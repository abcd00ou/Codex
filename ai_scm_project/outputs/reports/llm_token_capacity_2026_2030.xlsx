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formula_assumptions" sheetId="1" state="visible" r:id="rId1"/>
    <sheet xmlns:r="http://schemas.openxmlformats.org/officeDocument/2006/relationships" name="01_sources" sheetId="2" state="visible" r:id="rId2"/>
    <sheet xmlns:r="http://schemas.openxmlformats.org/officeDocument/2006/relationships" name="02_company_models" sheetId="3" state="visible" r:id="rId3"/>
    <sheet xmlns:r="http://schemas.openxmlformats.org/officeDocument/2006/relationships" name="02a_fact_anchors" sheetId="4" state="visible" r:id="rId4"/>
    <sheet xmlns:r="http://schemas.openxmlformats.org/officeDocument/2006/relationships" name="03_power_capacity" sheetId="5" state="visible" r:id="rId5"/>
    <sheet xmlns:r="http://schemas.openxmlformats.org/officeDocument/2006/relationships" name="04_gpu_asic_mix" sheetId="6" state="visible" r:id="rId6"/>
    <sheet xmlns:r="http://schemas.openxmlformats.org/officeDocument/2006/relationships" name="05_inference_efficiency" sheetId="7" state="visible" r:id="rId7"/>
    <sheet xmlns:r="http://schemas.openxmlformats.org/officeDocument/2006/relationships" name="06_training_inference_split" sheetId="8" state="visible" r:id="rId8"/>
    <sheet xmlns:r="http://schemas.openxmlformats.org/officeDocument/2006/relationships" name="07_token_forecast_2026_2030" sheetId="9" state="visible" r:id="rId9"/>
    <sheet xmlns:r="http://schemas.openxmlformats.org/officeDocument/2006/relationships" name="08_sensitivity" sheetId="10" state="visible" r:id="rId10"/>
    <sheet xmlns:r="http://schemas.openxmlformats.org/officeDocument/2006/relationships" name="08a_scenario_definitions" sheetId="11" state="visible" r:id="rId11"/>
    <sheet xmlns:r="http://schemas.openxmlformats.org/officeDocument/2006/relationships" name="08b_scenario_forecast" sheetId="12" state="visible" r:id="rId12"/>
    <sheet xmlns:r="http://schemas.openxmlformats.org/officeDocument/2006/relationships" name="08c_scenario_summary" sheetId="13" state="visible" r:id="rId13"/>
    <sheet xmlns:r="http://schemas.openxmlformats.org/officeDocument/2006/relationships" name="09_exec_summary" sheetId="14" state="visible" r:id="rId14"/>
    <sheet xmlns:r="http://schemas.openxmlformats.org/officeDocument/2006/relationships" name="10_charts" sheetId="15" state="visible" r:id="rId15"/>
  </sheets>
  <definedNames>
    <definedName name="_xlnm._FilterDatabase" localSheetId="0" hidden="1">'00_formula_assumptions'!$A$1:$E$7</definedName>
    <definedName name="_xlnm._FilterDatabase" localSheetId="1" hidden="1">'01_sources'!$A$1:$I$23</definedName>
    <definedName name="_xlnm._FilterDatabase" localSheetId="2" hidden="1">'02_company_models'!$A$1:$L$9</definedName>
    <definedName name="_xlnm._FilterDatabase" localSheetId="3" hidden="1">'02a_fact_anchors'!$A$1:$L$16</definedName>
    <definedName name="_xlnm._FilterDatabase" localSheetId="4" hidden="1">'03_power_capacity'!$A$1:$L$41</definedName>
    <definedName name="_xlnm._FilterDatabase" localSheetId="5" hidden="1">'04_gpu_asic_mix'!$A$1:$E$9</definedName>
    <definedName name="_xlnm._FilterDatabase" localSheetId="6" hidden="1">'05_inference_efficiency'!$A$1:$I$41</definedName>
    <definedName name="_xlnm._FilterDatabase" localSheetId="7" hidden="1">'06_training_inference_split'!$A$1:$G$41</definedName>
    <definedName name="_xlnm._FilterDatabase" localSheetId="8" hidden="1">'07_token_forecast_2026_2030'!$A$1:$P$41</definedName>
    <definedName name="_xlnm._FilterDatabase" localSheetId="9" hidden="1">'08_sensitivity'!$A$1:$H$73</definedName>
    <definedName name="_xlnm._FilterDatabase" localSheetId="10" hidden="1">'08a_scenario_definitions'!$A$1:$J$5</definedName>
    <definedName name="_xlnm._FilterDatabase" localSheetId="11" hidden="1">'08b_scenario_forecast'!$A$1:$Z$161</definedName>
    <definedName name="_xlnm._FilterDatabase" localSheetId="12" hidden="1">'08c_scenario_summary'!$A$1:$K$21</definedName>
    <definedName name="_xlnm._FilterDatabase" localSheetId="13" hidden="1">'09_exec_summary'!$A$1:$D$9</definedName>
    <definedName name="_xlnm._FilterDatabase" localSheetId="14" hidden="1">'10_charts'!$A$1:$I$6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업체별 추정 inference token capacity (quadrillion tokens/day)</a:t>
            </a:r>
          </a:p>
        </rich>
      </tx>
    </title>
    <plotArea>
      <lineChart>
        <grouping val="standard"/>
        <ser>
          <idx val="0"/>
          <order val="0"/>
          <tx>
            <strRef>
              <f>'10_charts'!B1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'10_charts'!$A$2:$A$6</f>
            </numRef>
          </cat>
          <val>
            <numRef>
              <f>'10_charts'!$B$2:$B$6</f>
            </numRef>
          </val>
        </ser>
        <ser>
          <idx val="1"/>
          <order val="1"/>
          <tx>
            <strRef>
              <f>'10_charts'!C1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'10_charts'!$A$2:$A$6</f>
            </numRef>
          </cat>
          <val>
            <numRef>
              <f>'10_charts'!$C$2:$C$6</f>
            </numRef>
          </val>
        </ser>
        <ser>
          <idx val="2"/>
          <order val="2"/>
          <tx>
            <strRef>
              <f>'10_charts'!D1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'10_charts'!$A$2:$A$6</f>
            </numRef>
          </cat>
          <val>
            <numRef>
              <f>'10_charts'!$D$2:$D$6</f>
            </numRef>
          </val>
        </ser>
        <ser>
          <idx val="3"/>
          <order val="3"/>
          <tx>
            <strRef>
              <f>'10_charts'!E1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'10_charts'!$A$2:$A$6</f>
            </numRef>
          </cat>
          <val>
            <numRef>
              <f>'10_charts'!$E$2:$E$6</f>
            </numRef>
          </val>
        </ser>
        <ser>
          <idx val="4"/>
          <order val="4"/>
          <tx>
            <strRef>
              <f>'10_charts'!F1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'10_charts'!$A$2:$A$6</f>
            </numRef>
          </cat>
          <val>
            <numRef>
              <f>'10_charts'!$F$2:$F$6</f>
            </numRef>
          </val>
        </ser>
        <ser>
          <idx val="5"/>
          <order val="5"/>
          <tx>
            <strRef>
              <f>'10_charts'!G1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'10_charts'!$A$2:$A$6</f>
            </numRef>
          </cat>
          <val>
            <numRef>
              <f>'10_charts'!$G$2:$G$6</f>
            </numRef>
          </val>
        </ser>
        <ser>
          <idx val="6"/>
          <order val="6"/>
          <tx>
            <strRef>
              <f>'10_charts'!H1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'10_charts'!$A$2:$A$6</f>
            </numRef>
          </cat>
          <val>
            <numRef>
              <f>'10_charts'!$H$2:$H$6</f>
            </numRef>
          </val>
        </ser>
        <ser>
          <idx val="7"/>
          <order val="7"/>
          <tx>
            <strRef>
              <f>'10_charts'!I1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'10_charts'!$A$2:$A$6</f>
            </numRef>
          </cat>
          <val>
            <numRef>
              <f>'10_charts'!$I$2:$I$6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 tokens/day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2030 inference vs training GW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'10_charts'!B7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'10_charts'!$A$8:$A$15</f>
            </numRef>
          </cat>
          <val>
            <numRef>
              <f>'10_charts'!$B$8:$B$15</f>
            </numRef>
          </val>
        </ser>
        <ser>
          <idx val="1"/>
          <order val="1"/>
          <tx>
            <strRef>
              <f>'10_charts'!C7</f>
            </strRef>
          </tx>
          <spPr>
            <a:ln xmlns:a="http://schemas.openxmlformats.org/drawingml/2006/main">
              <a:prstDash val="solid"/>
            </a:ln>
          </spPr>
          <cat>
            <numRef>
              <f>'10_charts'!$A$8:$A$15</f>
            </numRef>
          </cat>
          <val>
            <numRef>
              <f>'10_charts'!$C$8:$C$15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시나리오별 토큰 capacity: 낙관/기준/보수/전력제약</a:t>
            </a:r>
          </a:p>
        </rich>
      </tx>
    </title>
    <plotArea>
      <lineChart>
        <grouping val="standard"/>
        <ser>
          <idx val="0"/>
          <order val="0"/>
          <tx>
            <strRef>
              <f>'10_charts'!B17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'10_charts'!$A$18:$A$22</f>
            </numRef>
          </cat>
          <val>
            <numRef>
              <f>'10_charts'!$B$18:$B$22</f>
            </numRef>
          </val>
        </ser>
        <ser>
          <idx val="1"/>
          <order val="1"/>
          <tx>
            <strRef>
              <f>'10_charts'!C17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'10_charts'!$A$18:$A$22</f>
            </numRef>
          </cat>
          <val>
            <numRef>
              <f>'10_charts'!$C$18:$C$22</f>
            </numRef>
          </val>
        </ser>
        <ser>
          <idx val="2"/>
          <order val="2"/>
          <tx>
            <strRef>
              <f>'10_charts'!D17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'10_charts'!$A$18:$A$22</f>
            </numRef>
          </cat>
          <val>
            <numRef>
              <f>'10_charts'!$D$18:$D$22</f>
            </numRef>
          </val>
        </ser>
        <ser>
          <idx val="3"/>
          <order val="3"/>
          <tx>
            <strRef>
              <f>'10_charts'!E17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'10_charts'!$A$18:$A$22</f>
            </numRef>
          </cat>
          <val>
            <numRef>
              <f>'10_charts'!$E$18:$E$22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 tokens/day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27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46</row>
      <rowOff>0</rowOff>
    </from>
    <ext cx="86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  <col width="21" customWidth="1" min="4" max="4"/>
    <col width="38" customWidth="1" min="5" max="5"/>
  </cols>
  <sheetData>
    <row r="1">
      <c r="A1" s="1" t="inlineStr">
        <is>
          <t>category</t>
        </is>
      </c>
      <c r="B1" s="1" t="inlineStr">
        <is>
          <t>formula</t>
        </is>
      </c>
      <c r="C1" s="1" t="inlineStr">
        <is>
          <t>meaning_kr</t>
        </is>
      </c>
      <c r="D1" s="1" t="inlineStr">
        <is>
          <t>evidence_type</t>
        </is>
      </c>
      <c r="E1" s="1" t="inlineStr">
        <is>
          <t>source_ids</t>
        </is>
      </c>
    </row>
    <row r="2">
      <c r="A2" s="2" t="inlineStr">
        <is>
          <t>Power to AI IT load</t>
        </is>
      </c>
      <c r="B2" s="2" t="inlineStr">
        <is>
          <t>it_load_gw = active_power_gw / pue</t>
        </is>
      </c>
      <c r="C2" s="2" t="inlineStr">
        <is>
          <t>계약/계획 전력이 아니라 실제 operational deploy된 전력에서 PUE를 차감해 IT load를 산출.</t>
        </is>
      </c>
      <c r="D2" s="2" t="inlineStr">
        <is>
          <t>Formula</t>
        </is>
      </c>
      <c r="E2" s="2" t="inlineStr">
        <is>
          <t>SRC_MCKINSEY_AI_WORKLOADS; SRC_EPRI_EPOCH_AI_POWER</t>
        </is>
      </c>
    </row>
    <row r="3">
      <c r="A3" s="2" t="inlineStr">
        <is>
          <t>AI workload allocation</t>
        </is>
      </c>
      <c r="B3" s="2" t="inlineStr">
        <is>
          <t>ai_it_load_gw = it_load_gw * ai_workload_share</t>
        </is>
      </c>
      <c r="C3" s="2" t="inlineStr">
        <is>
          <t>데이터센터 전체 IT load 중 LLM serving/training에 쓰이는 AI load만 분리.</t>
        </is>
      </c>
      <c r="D3" s="2" t="inlineStr">
        <is>
          <t>Scenario assumption</t>
        </is>
      </c>
      <c r="E3" s="2" t="inlineStr">
        <is>
          <t>ASSUMP_POWER_RAMP</t>
        </is>
      </c>
    </row>
    <row r="4">
      <c r="A4" s="2" t="inlineStr">
        <is>
          <t>Training vs inference split</t>
        </is>
      </c>
      <c r="B4" s="2" t="inlineStr">
        <is>
          <t>inference_gw = ai_it_load_gw * inference_power_share; training_gw = ai_it_load_gw * (1 - inference_power_share)</t>
        </is>
      </c>
      <c r="C4" s="2" t="inlineStr">
        <is>
          <t>inference 비중은 company fact가 아니라 상용화 성숙도와 제품 표면에 따른 시나리오 변수.</t>
        </is>
      </c>
      <c r="D4" s="2" t="inlineStr">
        <is>
          <t>Scenario assumption</t>
        </is>
      </c>
      <c r="E4" s="2" t="inlineStr">
        <is>
          <t>SRC_MCKINSEY_AI_WORKLOADS; SRC_DELOITTE_AI_POWER; SRC_EPRI_EPOCH_AI_POWER; ASSUMP_INFERENCE_SHARE_NOT_FACT_60</t>
        </is>
      </c>
    </row>
    <row r="5">
      <c r="A5" s="2" t="inlineStr">
        <is>
          <t>Inference token capacity</t>
        </is>
      </c>
      <c r="B5" s="2" t="inlineStr">
        <is>
          <t>inference_tokens_per_day = inference_gw * 1000 * tokens_per_second_per_mw * utilization * 86,400</t>
        </is>
      </c>
      <c r="C5" s="2" t="inlineStr">
        <is>
          <t>전력 배정, serving 효율, 실제 utilization이 token 생성 capacity를 결정.</t>
        </is>
      </c>
      <c r="D5" s="2" t="inlineStr">
        <is>
          <t>Model equation</t>
        </is>
      </c>
      <c r="E5" s="2" t="inlineStr">
        <is>
          <t>SRC_SEMIANALYSIS_INFERENCEX; SRC_ARXIV_INFERENCE_ENERGY</t>
        </is>
      </c>
    </row>
    <row r="6">
      <c r="A6" s="2" t="inlineStr">
        <is>
          <t>Energy sanity check</t>
        </is>
      </c>
      <c r="B6" s="2" t="inlineStr">
        <is>
          <t>joules_per_token = 1,000,000 / tokens_per_second_per_mw</t>
        </is>
      </c>
      <c r="C6" s="2" t="inlineStr">
        <is>
          <t>MW를 J/s로 환산해 tokens/sec/MW와 에너지/token이 상호 일관되는지 확인.</t>
        </is>
      </c>
      <c r="D6" s="2" t="inlineStr">
        <is>
          <t>Sanity check</t>
        </is>
      </c>
      <c r="E6" s="2" t="inlineStr">
        <is>
          <t>SRC_ARXIV_INFERENCE_ENERGY</t>
        </is>
      </c>
    </row>
    <row r="7">
      <c r="A7" s="2" t="inlineStr">
        <is>
          <t>MoE optimization</t>
        </is>
      </c>
      <c r="B7" s="2" t="inlineStr">
        <is>
          <t>scenario_tokens_per_second_per_mw = base_tps_per_mw * tokens_per_mw_multiplier * moe_optimization_multiplier</t>
        </is>
      </c>
      <c r="C7" s="2" t="inlineStr">
        <is>
          <t>DeepSeek/Qwen 같은 MoE 모델은 active parameter가 낮아 serving efficiency scenario에 별도 multiplier를 적용.</t>
        </is>
      </c>
      <c r="D7" s="2" t="inlineStr">
        <is>
          <t>Scenario assumption</t>
        </is>
      </c>
      <c r="E7" s="2" t="inlineStr">
        <is>
          <t>SRC_DEEPSEEK_V3; SRC_QWEN3_GITHUB; ASSUMP_MOE_EFFICIENCY</t>
        </is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6" customWidth="1" min="3" max="3"/>
    <col width="21" customWidth="1" min="4" max="4"/>
    <col width="38" customWidth="1" min="5" max="5"/>
    <col width="12" customWidth="1" min="6" max="6"/>
    <col width="38" customWidth="1" min="7" max="7"/>
    <col width="12" customWidth="1" min="8" max="8"/>
    <col width="38" customWidth="1" min="9" max="9"/>
  </cols>
  <sheetData>
    <row r="1">
      <c r="A1" s="1" t="inlineStr">
        <is>
          <t>source_id</t>
        </is>
      </c>
      <c r="B1" s="1" t="inlineStr">
        <is>
          <t>title</t>
        </is>
      </c>
      <c r="C1" s="1" t="inlineStr">
        <is>
          <t>publisher</t>
        </is>
      </c>
      <c r="D1" s="1" t="inlineStr">
        <is>
          <t>date</t>
        </is>
      </c>
      <c r="E1" s="1" t="inlineStr">
        <is>
          <t>url_or_report</t>
        </is>
      </c>
      <c r="F1" s="1" t="inlineStr">
        <is>
          <t>tier</t>
        </is>
      </c>
      <c r="G1" s="1" t="inlineStr">
        <is>
          <t>use_in_model</t>
        </is>
      </c>
      <c r="H1" s="1" t="inlineStr">
        <is>
          <t>confidence</t>
        </is>
      </c>
      <c r="I1" s="1" t="inlineStr">
        <is>
          <t>note_kr</t>
        </is>
      </c>
    </row>
    <row r="2">
      <c r="A2" s="2" t="inlineStr">
        <is>
          <t>SRC_OPENAI_GPT41_DOCS</t>
        </is>
      </c>
      <c r="B2" s="2" t="inlineStr">
        <is>
          <t>GPT-4.1 model documentation</t>
        </is>
      </c>
      <c r="C2" s="2" t="inlineStr">
        <is>
          <t>OpenAI</t>
        </is>
      </c>
      <c r="D2" s="2" t="inlineStr">
        <is>
          <t>2025-04-14</t>
        </is>
      </c>
      <c r="E2" s="2" t="inlineStr">
        <is>
          <t>https://platform.openai.com/docs/models/gpt-4.1</t>
        </is>
      </c>
      <c r="F2" s="2" t="inlineStr">
        <is>
          <t>Tier 1</t>
        </is>
      </c>
      <c r="G2" s="2" t="inlineStr">
        <is>
          <t>OpenAI commercial model family and closed-model parameter disclosure boundary</t>
        </is>
      </c>
      <c r="H2" s="2" t="n">
        <v>0.9</v>
      </c>
      <c r="I2" s="2" t="inlineStr">
        <is>
          <t>모델 제공 사실 확인. 파라미터는 비공개이므로 band로만 사용.</t>
        </is>
      </c>
    </row>
    <row r="3">
      <c r="A3" s="2" t="inlineStr">
        <is>
          <t>SRC_OPENAI_STARGATE_ORACLE</t>
        </is>
      </c>
      <c r="B3" s="2" t="inlineStr">
        <is>
          <t>Stargate advances with partnership with Oracle</t>
        </is>
      </c>
      <c r="C3" s="2" t="inlineStr">
        <is>
          <t>OpenAI</t>
        </is>
      </c>
      <c r="D3" s="2" t="inlineStr">
        <is>
          <t>2025-07-22</t>
        </is>
      </c>
      <c r="E3" s="2" t="inlineStr">
        <is>
          <t>https://openai.com/index/stargate-advances-with-partnership-with-oracle/</t>
        </is>
      </c>
      <c r="F3" s="2" t="inlineStr">
        <is>
          <t>Tier 1</t>
        </is>
      </c>
      <c r="G3" s="2" t="inlineStr">
        <is>
          <t>OpenAI hosting capacity ramp anchor, not a precise active IT load</t>
        </is>
      </c>
      <c r="H3" s="2" t="n">
        <v>0.85</v>
      </c>
      <c r="I3" s="2" t="inlineStr">
        <is>
          <t>Stargate/Oracle capacity는 OpenAI 모델 owner capacity로 귀속하되 ramp는 시나리오.</t>
        </is>
      </c>
    </row>
    <row r="4">
      <c r="A4" s="2" t="inlineStr">
        <is>
          <t>SRC_OPENAI_STARGATE_PROGRESS</t>
        </is>
      </c>
      <c r="B4" s="2" t="inlineStr">
        <is>
          <t>Five new Stargate sites and nearly 7 GW planned capacity</t>
        </is>
      </c>
      <c r="C4" s="2" t="inlineStr">
        <is>
          <t>OpenAI</t>
        </is>
      </c>
      <c r="D4" s="2" t="inlineStr">
        <is>
          <t>2025-09-23</t>
        </is>
      </c>
      <c r="E4" s="2" t="inlineStr">
        <is>
          <t>https://openai.com/index/five-new-stargate-sites/</t>
        </is>
      </c>
      <c r="F4" s="2" t="inlineStr">
        <is>
          <t>Tier 1</t>
        </is>
      </c>
      <c r="G4" s="2" t="inlineStr">
        <is>
          <t>OpenAI 2030 contracted/planned capacity upper-bound anchor</t>
        </is>
      </c>
      <c r="H4" s="2" t="n">
        <v>0.86</v>
      </c>
      <c r="I4" s="2" t="inlineStr">
        <is>
          <t>Stargate planned capacity는 active IT load가 아니며 operational deploy multiplier를 통해 반영.</t>
        </is>
      </c>
    </row>
    <row r="5">
      <c r="A5" s="2" t="inlineStr">
        <is>
          <t>SRC_GOOGLE_GEMINI_TOKENS</t>
        </is>
      </c>
      <c r="B5" s="2" t="inlineStr">
        <is>
          <t>Gemini API token documentation</t>
        </is>
      </c>
      <c r="C5" s="2" t="inlineStr">
        <is>
          <t>Google AI for Developers</t>
        </is>
      </c>
      <c r="D5" s="2" t="inlineStr">
        <is>
          <t>2026-05-13 accessed</t>
        </is>
      </c>
      <c r="E5" s="2" t="inlineStr">
        <is>
          <t>https://ai.google.dev/gemini-api/docs/tokens</t>
        </is>
      </c>
      <c r="F5" s="2" t="inlineStr">
        <is>
          <t>Tier 1</t>
        </is>
      </c>
      <c r="G5" s="2" t="inlineStr">
        <is>
          <t>Token accounting and context handling anchor for Gemini surfaces</t>
        </is>
      </c>
      <c r="H5" s="2" t="n">
        <v>0.9</v>
      </c>
      <c r="I5" s="2" t="inlineStr">
        <is>
          <t>토큰 산식 및 Gemini API token accounting 확인용.</t>
        </is>
      </c>
    </row>
    <row r="6">
      <c r="A6" s="2" t="inlineStr">
        <is>
          <t>SRC_GOOGLE_IRONWOOD</t>
        </is>
      </c>
      <c r="B6" s="2" t="inlineStr">
        <is>
          <t>Ironwood TPU: the age of inference</t>
        </is>
      </c>
      <c r="C6" s="2" t="inlineStr">
        <is>
          <t>Google Cloud</t>
        </is>
      </c>
      <c r="D6" s="2" t="inlineStr">
        <is>
          <t>2025-04-09</t>
        </is>
      </c>
      <c r="E6" s="2" t="inlineStr">
        <is>
          <t>https://blog.google/products/google-cloud/ironwood-tpu-age-of-inference/</t>
        </is>
      </c>
      <c r="F6" s="2" t="inlineStr">
        <is>
          <t>Tier 1</t>
        </is>
      </c>
      <c r="G6" s="2" t="inlineStr">
        <is>
          <t>Google TPU serving platform and inference-optimized hardware direction</t>
        </is>
      </c>
      <c r="H6" s="2" t="n">
        <v>0.88</v>
      </c>
      <c r="I6" s="2" t="inlineStr">
        <is>
          <t>Google은 TPU 기반 serving 효율 개선 가정의 1차 anchor.</t>
        </is>
      </c>
    </row>
    <row r="7">
      <c r="A7" s="2" t="inlineStr">
        <is>
          <t>SRC_META_LLAMA</t>
        </is>
      </c>
      <c r="B7" s="2" t="inlineStr">
        <is>
          <t>Llama model family official site and model cards</t>
        </is>
      </c>
      <c r="C7" s="2" t="inlineStr">
        <is>
          <t>Meta AI</t>
        </is>
      </c>
      <c r="D7" s="2" t="inlineStr">
        <is>
          <t>2026-05-13 accessed</t>
        </is>
      </c>
      <c r="E7" s="2" t="inlineStr">
        <is>
          <t>https://www.llama.com/</t>
        </is>
      </c>
      <c r="F7" s="2" t="inlineStr">
        <is>
          <t>Tier 1</t>
        </is>
      </c>
      <c r="G7" s="2" t="inlineStr">
        <is>
          <t>Llama model family and open model parameter disclosures where available</t>
        </is>
      </c>
      <c r="H7" s="2" t="n">
        <v>0.82</v>
      </c>
      <c r="I7" s="2" t="inlineStr">
        <is>
          <t>공개 Llama 계열은 model card 기준, 비공개 Meta AI serving은 band 처리.</t>
        </is>
      </c>
    </row>
    <row r="8">
      <c r="A8" s="2" t="inlineStr">
        <is>
          <t>SRC_XAI_MODELS</t>
        </is>
      </c>
      <c r="B8" s="2" t="inlineStr">
        <is>
          <t>xAI model documentation</t>
        </is>
      </c>
      <c r="C8" s="2" t="inlineStr">
        <is>
          <t>xAI</t>
        </is>
      </c>
      <c r="D8" s="2" t="inlineStr">
        <is>
          <t>2026-05-13 accessed</t>
        </is>
      </c>
      <c r="E8" s="2" t="inlineStr">
        <is>
          <t>https://docs.x.ai/docs/models</t>
        </is>
      </c>
      <c r="F8" s="2" t="inlineStr">
        <is>
          <t>Tier 1</t>
        </is>
      </c>
      <c r="G8" s="2" t="inlineStr">
        <is>
          <t>Grok commercial model surface and closed-model disclosure boundary</t>
        </is>
      </c>
      <c r="H8" s="2" t="n">
        <v>0.78</v>
      </c>
      <c r="I8" s="2" t="inlineStr">
        <is>
          <t>Grok 모델 제공 사실 확인. Colossus active power는 scenario.</t>
        </is>
      </c>
    </row>
    <row r="9">
      <c r="A9" s="2" t="inlineStr">
        <is>
          <t>SRC_XAI_NVIDIA_COLOSSUS</t>
        </is>
      </c>
      <c r="B9" s="2" t="inlineStr">
        <is>
          <t>xAI's Colossus supercomputer cluster</t>
        </is>
      </c>
      <c r="C9" s="2" t="inlineStr">
        <is>
          <t>NVIDIA</t>
        </is>
      </c>
      <c r="D9" s="2" t="inlineStr">
        <is>
          <t>2024-12-04</t>
        </is>
      </c>
      <c r="E9" s="2" t="inlineStr">
        <is>
          <t>https://blogs.nvidia.com/blog/xai-colossus/</t>
        </is>
      </c>
      <c r="F9" s="2" t="inlineStr">
        <is>
          <t>Tier 1/2</t>
        </is>
      </c>
      <c r="G9" s="2" t="inlineStr">
        <is>
          <t>xAI GPU cluster scale anchor for active power and serving/training capacity scenarios</t>
        </is>
      </c>
      <c r="H9" s="2" t="n">
        <v>0.82</v>
      </c>
      <c r="I9" s="2" t="inlineStr">
        <is>
          <t>100k Hopper GPU와 200k expansion 방향성은 cluster scale anchor. GW 환산은 estimate.</t>
        </is>
      </c>
    </row>
    <row r="10">
      <c r="A10" s="2" t="inlineStr">
        <is>
          <t>SRC_DEEPSEEK_V3</t>
        </is>
      </c>
      <c r="B10" s="2" t="inlineStr">
        <is>
          <t>DeepSeek-V3 GitHub repository and technical report</t>
        </is>
      </c>
      <c r="C10" s="2" t="inlineStr">
        <is>
          <t>DeepSeek</t>
        </is>
      </c>
      <c r="D10" s="2" t="inlineStr">
        <is>
          <t>2024-12-26</t>
        </is>
      </c>
      <c r="E10" s="2" t="inlineStr">
        <is>
          <t>https://github.com/deepseek-ai/DeepSeek-V3</t>
        </is>
      </c>
      <c r="F10" s="2" t="inlineStr">
        <is>
          <t>Tier 1</t>
        </is>
      </c>
      <c r="G10" s="2" t="inlineStr">
        <is>
          <t>MoE total and active parameter anchor</t>
        </is>
      </c>
      <c r="H10" s="2" t="n">
        <v>0.92</v>
      </c>
      <c r="I10" s="2" t="inlineStr">
        <is>
          <t>671B total / 37B active MoE 구조 anchor.</t>
        </is>
      </c>
    </row>
    <row r="11">
      <c r="A11" s="2" t="inlineStr">
        <is>
          <t>SRC_DEEPSEEK_R1</t>
        </is>
      </c>
      <c r="B11" s="2" t="inlineStr">
        <is>
          <t>DeepSeek-R1 GitHub repository</t>
        </is>
      </c>
      <c r="C11" s="2" t="inlineStr">
        <is>
          <t>DeepSeek</t>
        </is>
      </c>
      <c r="D11" s="2" t="inlineStr">
        <is>
          <t>2025-01-20</t>
        </is>
      </c>
      <c r="E11" s="2" t="inlineStr">
        <is>
          <t>https://github.com/deepseek-ai/DeepSeek-R1</t>
        </is>
      </c>
      <c r="F11" s="2" t="inlineStr">
        <is>
          <t>Tier 1</t>
        </is>
      </c>
      <c r="G11" s="2" t="inlineStr">
        <is>
          <t>Reasoning model family and distillation ecosystem anchor</t>
        </is>
      </c>
      <c r="H11" s="2" t="n">
        <v>0.88</v>
      </c>
      <c r="I11" s="2" t="inlineStr">
        <is>
          <t>R1 상용/오픈 생태계 확인. serving power는 별도 scenario.</t>
        </is>
      </c>
    </row>
    <row r="12">
      <c r="A12" s="2" t="inlineStr">
        <is>
          <t>SRC_QWEN3_GITHUB</t>
        </is>
      </c>
      <c r="B12" s="2" t="inlineStr">
        <is>
          <t>Qwen3 GitHub repository</t>
        </is>
      </c>
      <c r="C12" s="2" t="inlineStr">
        <is>
          <t>Alibaba / Qwen Team</t>
        </is>
      </c>
      <c r="D12" s="2" t="inlineStr">
        <is>
          <t>2025-04-29</t>
        </is>
      </c>
      <c r="E12" s="2" t="inlineStr">
        <is>
          <t>https://github.com/QwenLM/Qwen3</t>
        </is>
      </c>
      <c r="F12" s="2" t="inlineStr">
        <is>
          <t>Tier 1</t>
        </is>
      </c>
      <c r="G12" s="2" t="inlineStr">
        <is>
          <t>Qwen3 dense/MoE family and active parameter anchor</t>
        </is>
      </c>
      <c r="H12" s="2" t="n">
        <v>0.9</v>
      </c>
      <c r="I12" s="2" t="inlineStr">
        <is>
          <t>Qwen3 MoE total/active parameter 구조 anchor.</t>
        </is>
      </c>
    </row>
    <row r="13">
      <c r="A13" s="2" t="inlineStr">
        <is>
          <t>SRC_META_LLAMA4_NVIDIA</t>
        </is>
      </c>
      <c r="B13" s="2" t="inlineStr">
        <is>
          <t>Meta Llama 4 model family optimization notes</t>
        </is>
      </c>
      <c r="C13" s="2" t="inlineStr">
        <is>
          <t>NVIDIA Developer Blog</t>
        </is>
      </c>
      <c r="D13" s="2" t="inlineStr">
        <is>
          <t>2025-04-07</t>
        </is>
      </c>
      <c r="E13" s="2" t="inlineStr">
        <is>
          <t>https://developer.nvidia.com/blog/meta-llama-4-first-nvidia-optimized-mixture-of-experts-models/</t>
        </is>
      </c>
      <c r="F13" s="2" t="inlineStr">
        <is>
          <t>Tier 2</t>
        </is>
      </c>
      <c r="G13" s="2" t="inlineStr">
        <is>
          <t>Llama 4 Scout/Maverick total-active parameter anchor when official Meta page is less accessible</t>
        </is>
      </c>
      <c r="H13" s="2" t="n">
        <v>0.74</v>
      </c>
      <c r="I13" s="2" t="inlineStr">
        <is>
          <t>Meta Llama 4 MoE parameter facts는 model card/official ecosystem cross-check 필요.</t>
        </is>
      </c>
    </row>
    <row r="14">
      <c r="A14" s="2" t="inlineStr">
        <is>
          <t>SRC_TENCENT_HY3</t>
        </is>
      </c>
      <c r="B14" s="2" t="inlineStr">
        <is>
          <t>Tencent launches Hunyuan 3D generation model Hy3</t>
        </is>
      </c>
      <c r="C14" s="2" t="inlineStr">
        <is>
          <t>Tencent</t>
        </is>
      </c>
      <c r="D14" s="2" t="inlineStr">
        <is>
          <t>2025-01-21</t>
        </is>
      </c>
      <c r="E14" s="2" t="inlineStr">
        <is>
          <t>https://www.tencent.com/en-us/articles/2202320.html</t>
        </is>
      </c>
      <c r="F14" s="2" t="inlineStr">
        <is>
          <t>Tier 1</t>
        </is>
      </c>
      <c r="G14" s="2" t="inlineStr">
        <is>
          <t>Tencent Hunyuan commercial surface and model-family anchor</t>
        </is>
      </c>
      <c r="H14" s="2" t="n">
        <v>0.78</v>
      </c>
      <c r="I14" s="2" t="inlineStr">
        <is>
          <t>Hy3는 3D 생성 모델이므로 LLM token forecast에는 Hunyuan surface 확인용으로만 사용.</t>
        </is>
      </c>
    </row>
    <row r="15">
      <c r="A15" s="2" t="inlineStr">
        <is>
          <t>SRC_TENCENT_HUNYUAN</t>
        </is>
      </c>
      <c r="B15" s="2" t="inlineStr">
        <is>
          <t>Tencent unveils Hunyuan foundation model</t>
        </is>
      </c>
      <c r="C15" s="2" t="inlineStr">
        <is>
          <t>Tencent</t>
        </is>
      </c>
      <c r="D15" s="2" t="inlineStr">
        <is>
          <t>2023-09-07</t>
        </is>
      </c>
      <c r="E15" s="2" t="inlineStr">
        <is>
          <t>https://www.tencent.com/en-us/articles/2201460.html</t>
        </is>
      </c>
      <c r="F15" s="2" t="inlineStr">
        <is>
          <t>Tier 1</t>
        </is>
      </c>
      <c r="G15" s="2" t="inlineStr">
        <is>
          <t>Tencent Hunyuan parameter and pretraining token anchor</t>
        </is>
      </c>
      <c r="H15" s="2" t="n">
        <v>0.82</v>
      </c>
      <c r="I15" s="2" t="inlineStr">
        <is>
          <t>Hunyuan 100B+ parameter와 2T+ pretraining token 공개 anchor.</t>
        </is>
      </c>
    </row>
    <row r="16">
      <c r="A16" s="2" t="inlineStr">
        <is>
          <t>SRC_MS_PHI</t>
        </is>
      </c>
      <c r="B16" s="2" t="inlineStr">
        <is>
          <t>Phi model family on Azure AI Foundry / Microsoft documentation</t>
        </is>
      </c>
      <c r="C16" s="2" t="inlineStr">
        <is>
          <t>Microsoft</t>
        </is>
      </c>
      <c r="D16" s="2" t="inlineStr">
        <is>
          <t>2026-05-13 accessed</t>
        </is>
      </c>
      <c r="E16" s="2" t="inlineStr">
        <is>
          <t>https://learn.microsoft.com/en-us/azure/ai-foundry/model-inference/concepts/models</t>
        </is>
      </c>
      <c r="F16" s="2" t="inlineStr">
        <is>
          <t>Tier 1</t>
        </is>
      </c>
      <c r="G16" s="2" t="inlineStr">
        <is>
          <t>Microsoft-owned small language model family anchor</t>
        </is>
      </c>
      <c r="H16" s="2" t="n">
        <v>0.78</v>
      </c>
      <c r="I16" s="2" t="inlineStr">
        <is>
          <t>Microsoft token attribution은 Phi/MAI owned와 OpenAI model dependency를 분리.</t>
        </is>
      </c>
    </row>
    <row r="17">
      <c r="A17" s="2" t="inlineStr">
        <is>
          <t>SRC_MS_PHI4_TECHREPORT</t>
        </is>
      </c>
      <c r="B17" s="2" t="inlineStr">
        <is>
          <t>Phi-4 technical report</t>
        </is>
      </c>
      <c r="C17" s="2" t="inlineStr">
        <is>
          <t>Microsoft</t>
        </is>
      </c>
      <c r="D17" s="2" t="inlineStr">
        <is>
          <t>2024-12-12</t>
        </is>
      </c>
      <c r="E17" s="2" t="inlineStr">
        <is>
          <t>https://arxiv.org/abs/2412.08905</t>
        </is>
      </c>
      <c r="F17" s="2" t="inlineStr">
        <is>
          <t>Tier 1/2</t>
        </is>
      </c>
      <c r="G17" s="2" t="inlineStr">
        <is>
          <t>Microsoft-owned Phi-4 14B parameter anchor</t>
        </is>
      </c>
      <c r="H17" s="2" t="n">
        <v>0.82</v>
      </c>
      <c r="I17" s="2" t="inlineStr">
        <is>
          <t>Phi-4는 Microsoft-owned model size anchor. Copilot frontier routing은 별도 attribution.</t>
        </is>
      </c>
    </row>
    <row r="18">
      <c r="A18" s="2" t="inlineStr">
        <is>
          <t>SRC_GOOGLE_TPU_V6E</t>
        </is>
      </c>
      <c r="B18" s="2" t="inlineStr">
        <is>
          <t>Cloud TPU v6e / Trillium documentation</t>
        </is>
      </c>
      <c r="C18" s="2" t="inlineStr">
        <is>
          <t>Google Cloud</t>
        </is>
      </c>
      <c r="D18" s="2" t="inlineStr">
        <is>
          <t>2026-05-14 accessed</t>
        </is>
      </c>
      <c r="E18" s="2" t="inlineStr">
        <is>
          <t>https://cloud.google.com/tpu/docs/v6e</t>
        </is>
      </c>
      <c r="F18" s="2" t="inlineStr">
        <is>
          <t>Tier 1</t>
        </is>
      </c>
      <c r="G18" s="2" t="inlineStr">
        <is>
          <t>Google TPU serving/training platform generation anchor</t>
        </is>
      </c>
      <c r="H18" s="2" t="n">
        <v>0.84</v>
      </c>
      <c r="I18" s="2" t="inlineStr">
        <is>
          <t>Ironwood와 함께 Google TPU-heavy serving platform의 factual hardware lineage.</t>
        </is>
      </c>
    </row>
    <row r="19">
      <c r="A19" s="2" t="inlineStr">
        <is>
          <t>SRC_SEMIANALYSIS_INFERENCEX</t>
        </is>
      </c>
      <c r="B19" s="2" t="inlineStr">
        <is>
          <t>InferenceX / InferenceMAX benchmark methodology</t>
        </is>
      </c>
      <c r="C19" s="2" t="inlineStr">
        <is>
          <t>SemiAnalysis</t>
        </is>
      </c>
      <c r="D19" s="2" t="inlineStr">
        <is>
          <t>2025-2026</t>
        </is>
      </c>
      <c r="E19" s="2" t="inlineStr">
        <is>
          <t>https://inferencex.semianalysis.com/about</t>
        </is>
      </c>
      <c r="F19" s="2" t="inlineStr">
        <is>
          <t>Tier 2</t>
        </is>
      </c>
      <c r="G19" s="2" t="inlineStr">
        <is>
          <t>Benchmark layer for tokens/sec/MW sensitivity, not company capacity</t>
        </is>
      </c>
      <c r="H19" s="2" t="n">
        <v>0.7</v>
      </c>
      <c r="I19" s="2" t="inlineStr">
        <is>
          <t>tokens/sec/MW benchmark calibration. 업체별 capacity fact로 직접 사용하지 않음.</t>
        </is>
      </c>
    </row>
    <row r="20">
      <c r="A20" s="2" t="inlineStr">
        <is>
          <t>SRC_ARXIV_INFERENCE_ENERGY</t>
        </is>
      </c>
      <c r="B20" s="2" t="inlineStr">
        <is>
          <t>LLM inference energy and serving efficiency literature set</t>
        </is>
      </c>
      <c r="C20" s="2" t="inlineStr">
        <is>
          <t>arXiv</t>
        </is>
      </c>
      <c r="D20" s="2" t="inlineStr">
        <is>
          <t>2024-2026</t>
        </is>
      </c>
      <c r="E20" s="2" t="inlineStr">
        <is>
          <t>https://arxiv.org/search/?query=large+language+model+inference+energy+joules+per+token&amp;searchtype=all</t>
        </is>
      </c>
      <c r="F20" s="2" t="inlineStr">
        <is>
          <t>Tier 2</t>
        </is>
      </c>
      <c r="G20" s="2" t="inlineStr">
        <is>
          <t>Joules/token sanity check, prefill/decode split, batching, quantization sensitivity</t>
        </is>
      </c>
      <c r="H20" s="2" t="n">
        <v>0.65</v>
      </c>
      <c r="I20" s="2" t="inlineStr">
        <is>
          <t>논문별 수치는 workload 차이가 커서 sensitivity layer로만 사용.</t>
        </is>
      </c>
    </row>
    <row r="21">
      <c r="A21" s="2" t="inlineStr">
        <is>
          <t>SRC_MCKINSEY_AI_WORKLOADS</t>
        </is>
      </c>
      <c r="B21" s="2" t="inlineStr">
        <is>
          <t>The future of AI workloads</t>
        </is>
      </c>
      <c r="C21" s="2" t="inlineStr">
        <is>
          <t>McKinsey &amp; Company</t>
        </is>
      </c>
      <c r="D21" s="2" t="inlineStr">
        <is>
          <t>2026-02-24</t>
        </is>
      </c>
      <c r="E21" s="2" t="inlineStr">
        <is>
          <t>https://www.mckinsey.com/featured-insights/week-in-charts/the-future-of-ai-workloads</t>
        </is>
      </c>
      <c r="F21" s="2" t="inlineStr">
        <is>
          <t>Tier 2</t>
        </is>
      </c>
      <c r="G21" s="2" t="inlineStr">
        <is>
          <t>Inference share fact-check and 2030 workload mix directional anchor</t>
        </is>
      </c>
      <c r="H21" s="2" t="n">
        <v>0.72</v>
      </c>
      <c r="I21" s="2" t="inlineStr">
        <is>
          <t>2030년 inference가 AI compute의 절반 이상이 될 수 있다는 전망. 2026 현재 GW fact로 직접 사용하지 않음.</t>
        </is>
      </c>
    </row>
    <row r="22">
      <c r="A22" s="2" t="inlineStr">
        <is>
          <t>SRC_DELOITTE_AI_POWER</t>
        </is>
      </c>
      <c r="B22" s="2" t="inlineStr">
        <is>
          <t>More compute for AI, not less</t>
        </is>
      </c>
      <c r="C22" s="2" t="inlineStr">
        <is>
          <t>Deloitte</t>
        </is>
      </c>
      <c r="D22" s="2" t="inlineStr">
        <is>
          <t>2025-12</t>
        </is>
      </c>
      <c r="E22" s="2" t="inlineStr">
        <is>
          <t>https://www.deloitte.com/us/en/insights/industry/technology/technology-media-and-telecom-predictions/2026/compute-power-ai.html</t>
        </is>
      </c>
      <c r="F22" s="2" t="inlineStr">
        <is>
          <t>Tier 2</t>
        </is>
      </c>
      <c r="G22" s="2" t="inlineStr">
        <is>
          <t>Inference compute share outlook, used only as scenario cross-check</t>
        </is>
      </c>
      <c r="H22" s="2" t="n">
        <v>0.68</v>
      </c>
      <c r="I22" s="2" t="inlineStr">
        <is>
          <t>2026 compute 기준 inference 비중 전망을 제공하지만 업체별 GW fact는 아님.</t>
        </is>
      </c>
    </row>
    <row r="23">
      <c r="A23" s="2" t="inlineStr">
        <is>
          <t>SRC_EPRI_EPOCH_AI_POWER</t>
        </is>
      </c>
      <c r="B23" s="2" t="inlineStr">
        <is>
          <t>How much power will frontier AI training demand in 2030?</t>
        </is>
      </c>
      <c r="C23" s="2" t="inlineStr">
        <is>
          <t>EPRI / Epoch AI</t>
        </is>
      </c>
      <c r="D23" s="2" t="inlineStr">
        <is>
          <t>2025-08</t>
        </is>
      </c>
      <c r="E23" s="2" t="inlineStr">
        <is>
          <t>https://epoch.ai/blog/power-demands-of-frontier-ai-training</t>
        </is>
      </c>
      <c r="F23" s="2" t="inlineStr">
        <is>
          <t>Tier 2</t>
        </is>
      </c>
      <c r="G23" s="2" t="inlineStr">
        <is>
          <t>Current AI power allocation sanity check across training, experiments, and inference</t>
        </is>
      </c>
      <c r="H23" s="2" t="n">
        <v>0.7</v>
      </c>
      <c r="I23" s="2" t="inlineStr">
        <is>
          <t>현재 power allocation은 training/experiments/inference가 대략 나뉜다는 관점. 60%+ inference fact 주장에 대한 반대 anchor.</t>
        </is>
      </c>
    </row>
  </sheetData>
  <autoFilter ref="A1:I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</cols>
  <sheetData>
    <row r="1">
      <c r="A1" s="1" t="inlineStr">
        <is>
          <t>company</t>
        </is>
      </c>
      <c r="B1" s="1" t="inlineStr">
        <is>
          <t>model_family</t>
        </is>
      </c>
      <c r="C1" s="1" t="inlineStr">
        <is>
          <t>commercial_surface</t>
        </is>
      </c>
      <c r="D1" s="1" t="inlineStr">
        <is>
          <t>parameter_band_total</t>
        </is>
      </c>
      <c r="E1" s="1" t="inlineStr">
        <is>
          <t>parameter_band_active</t>
        </is>
      </c>
      <c r="F1" s="1" t="inlineStr">
        <is>
          <t>model_architecture</t>
        </is>
      </c>
      <c r="G1" s="1" t="inlineStr">
        <is>
          <t>serving_platform</t>
        </is>
      </c>
      <c r="H1" s="1" t="inlineStr">
        <is>
          <t>attribution_rule</t>
        </is>
      </c>
      <c r="I1" s="1" t="inlineStr">
        <is>
          <t>gpu_asic_mix</t>
        </is>
      </c>
      <c r="J1" s="1" t="inlineStr">
        <is>
          <t>source_ids</t>
        </is>
      </c>
      <c r="K1" s="1" t="inlineStr">
        <is>
          <t>confidence</t>
        </is>
      </c>
      <c r="L1" s="1" t="inlineStr">
        <is>
          <t>note_kr</t>
        </is>
      </c>
    </row>
    <row r="2">
      <c r="A2" s="2" t="inlineStr">
        <is>
          <t>Microsoft</t>
        </is>
      </c>
      <c r="B2" s="2" t="inlineStr">
        <is>
          <t>Phi / MAI / Copilot model mix</t>
        </is>
      </c>
      <c r="C2" s="2" t="inlineStr">
        <is>
          <t>Microsoft 365 Copilot, GitHub Copilot, Azure AI Foundry</t>
        </is>
      </c>
      <c r="D2" s="2" t="inlineStr">
        <is>
          <t>Phi 공개모델: 3B-14B급; MAI/대형 Copilot 모델: undisclosed band</t>
        </is>
      </c>
      <c r="E2" s="2" t="inlineStr">
        <is>
          <t>Phi: dense disclosed; MAI/Copilot: closed band</t>
        </is>
      </c>
      <c r="F2" s="2" t="inlineStr">
        <is>
          <t>Dense SLM + closed frontier/agentic routing</t>
        </is>
      </c>
      <c r="G2" s="2" t="inlineStr">
        <is>
          <t>Azure GPU + Maia inference + OpenAI-hosted dependency split</t>
        </is>
      </c>
      <c r="H2" s="2" t="inlineStr">
        <is>
          <t>Microsoft-owned token은 Phi/MAI/Copilot serving으로, OpenAI model output은 OpenAI row에도 별도 표기</t>
        </is>
      </c>
      <c r="I2" s="2" t="inlineStr">
        <is>
          <t>NVIDIA GPU, Azure Maia, OpenAI-hosted frontier serving</t>
        </is>
      </c>
      <c r="J2" s="2" t="inlineStr">
        <is>
          <t>SRC_MS_PHI; SRC_OPENAI_GPT41_DOCS</t>
        </is>
      </c>
      <c r="K2" s="2" t="inlineStr">
        <is>
          <t>Medium</t>
        </is>
      </c>
      <c r="L2" s="2" t="inlineStr">
        <is>
          <t>Microsoft는 Copilot 상용 표면이 크지만 model-owner attribution은 OpenAI dependency를 분리해야 함.</t>
        </is>
      </c>
    </row>
    <row r="3">
      <c r="A3" s="2" t="inlineStr">
        <is>
          <t>Google</t>
        </is>
      </c>
      <c r="B3" s="2" t="inlineStr">
        <is>
          <t>Gemini / Gemma</t>
        </is>
      </c>
      <c r="C3" s="2" t="inlineStr">
        <is>
          <t>Gemini app/API, Google Workspace, Cloud Vertex AI</t>
        </is>
      </c>
      <c r="D3" s="2" t="inlineStr">
        <is>
          <t>Gemini closed frontier band; Gemma 공개모델 1B-27B급</t>
        </is>
      </c>
      <c r="E3" s="2" t="inlineStr">
        <is>
          <t>Closed frontier active band; open Gemma disclosed</t>
        </is>
      </c>
      <c r="F3" s="2" t="inlineStr">
        <is>
          <t>Dense/MoE undisclosed frontier + open dense models</t>
        </is>
      </c>
      <c r="G3" s="2" t="inlineStr">
        <is>
          <t>TPU v5/v6/Ironwood + selective NVIDIA GPU</t>
        </is>
      </c>
      <c r="H3" s="2" t="inlineStr">
        <is>
          <t>Google-owned Gemini token generation, Anthropic hosted capacity excluded from core</t>
        </is>
      </c>
      <c r="I3" s="2" t="inlineStr">
        <is>
          <t>TPU-heavy serving, Google Cloud GPU where needed</t>
        </is>
      </c>
      <c r="J3" s="2" t="inlineStr">
        <is>
          <t>SRC_GOOGLE_GEMINI_TOKENS; SRC_GOOGLE_IRONWOOD</t>
        </is>
      </c>
      <c r="K3" s="2" t="inlineStr">
        <is>
          <t>Medium-High</t>
        </is>
      </c>
      <c r="L3" s="2" t="inlineStr">
        <is>
          <t>TPU 최적화가 tokens/MW 상향 요인. closed Gemini parameter는 band만 허용.</t>
        </is>
      </c>
    </row>
    <row r="4">
      <c r="A4" s="2" t="inlineStr">
        <is>
          <t>Meta</t>
        </is>
      </c>
      <c r="B4" s="2" t="inlineStr">
        <is>
          <t>Llama / Meta AI</t>
        </is>
      </c>
      <c r="C4" s="2" t="inlineStr">
        <is>
          <t>Meta AI app, WhatsApp/Instagram/Facebook AI, open Llama ecosystem</t>
        </is>
      </c>
      <c r="D4" s="2" t="inlineStr">
        <is>
          <t>Llama 4 Scout 109B / Maverick 400B anchor; production routing undisclosed</t>
        </is>
      </c>
      <c r="E4" s="2" t="inlineStr">
        <is>
          <t>Llama 4 Scout/Maverick active 17B anchor; Meta AI serving mix band</t>
        </is>
      </c>
      <c r="F4" s="2" t="inlineStr">
        <is>
          <t>Open dense/MoE family + in-house ranking/routing</t>
        </is>
      </c>
      <c r="G4" s="2" t="inlineStr">
        <is>
          <t>NVIDIA GPU fleet + MTIA inference layer</t>
        </is>
      </c>
      <c r="H4" s="2" t="inlineStr">
        <is>
          <t>Meta-owned consumer and open model serving; third-party hosted Llama not counted in Meta owner tokens</t>
        </is>
      </c>
      <c r="I4" s="2" t="inlineStr">
        <is>
          <t>NVIDIA GPU, MTIA for internal inference acceleration</t>
        </is>
      </c>
      <c r="J4" s="2" t="inlineStr">
        <is>
          <t>SRC_META_LLAMA; SRC_META_LLAMA4_NVIDIA</t>
        </is>
      </c>
      <c r="K4" s="2" t="inlineStr">
        <is>
          <t>Medium-High for open model params, Medium for active capacity</t>
        </is>
      </c>
      <c r="L4" s="2" t="inlineStr">
        <is>
          <t>Llama 4 MoE parameter facts improve model-side confidence; exact Meta AI active capacity remains scenario.</t>
        </is>
      </c>
    </row>
    <row r="5">
      <c r="A5" s="2" t="inlineStr">
        <is>
          <t>xAI</t>
        </is>
      </c>
      <c r="B5" s="2" t="inlineStr">
        <is>
          <t>Grok</t>
        </is>
      </c>
      <c r="C5" s="2" t="inlineStr">
        <is>
          <t>Grok app/API, X integration, enterprise API</t>
        </is>
      </c>
      <c r="D5" s="2" t="inlineStr">
        <is>
          <t>Closed frontier band</t>
        </is>
      </c>
      <c r="E5" s="2" t="inlineStr">
        <is>
          <t>Closed frontier active band</t>
        </is>
      </c>
      <c r="F5" s="2" t="inlineStr">
        <is>
          <t>Closed frontier multimodal/reasoning model</t>
        </is>
      </c>
      <c r="G5" s="2" t="inlineStr">
        <is>
          <t>Colossus-style NVIDIA GPU clusters</t>
        </is>
      </c>
      <c r="H5" s="2" t="inlineStr">
        <is>
          <t>xAI-owned Grok token generation; X social integration counted only when model generated</t>
        </is>
      </c>
      <c r="I5" s="2" t="inlineStr">
        <is>
          <t>NVIDIA GPU dominated</t>
        </is>
      </c>
      <c r="J5" s="2" t="inlineStr">
        <is>
          <t>SRC_XAI_MODELS</t>
        </is>
      </c>
      <c r="K5" s="2" t="inlineStr">
        <is>
          <t>Medium-Low</t>
        </is>
      </c>
      <c r="L5" s="2" t="inlineStr">
        <is>
          <t>Colossus scale is visible directionally, but active inference/training split remains scenario.</t>
        </is>
      </c>
    </row>
    <row r="6">
      <c r="A6" s="2" t="inlineStr">
        <is>
          <t>OpenAI</t>
        </is>
      </c>
      <c r="B6" s="2" t="inlineStr">
        <is>
          <t>GPT / o-series / ChatGPT</t>
        </is>
      </c>
      <c r="C6" s="2" t="inlineStr">
        <is>
          <t>ChatGPT, API, enterprise, Microsoft/OpenAI distribution</t>
        </is>
      </c>
      <c r="D6" s="2" t="inlineStr">
        <is>
          <t>Closed frontier band only</t>
        </is>
      </c>
      <c r="E6" s="2" t="inlineStr">
        <is>
          <t>Closed frontier active band only</t>
        </is>
      </c>
      <c r="F6" s="2" t="inlineStr">
        <is>
          <t>Closed frontier multimodal/reasoning + router stack</t>
        </is>
      </c>
      <c r="G6" s="2" t="inlineStr">
        <is>
          <t>Azure + Oracle/Stargate + partner GPU clusters</t>
        </is>
      </c>
      <c r="H6" s="2" t="inlineStr">
        <is>
          <t>OpenAI model output counted here, including OpenAI models served through Microsoft channels when model ownership is OpenAI</t>
        </is>
      </c>
      <c r="I6" s="2" t="inlineStr">
        <is>
          <t>NVIDIA GPU dominated; custom/partner accelerators TBD</t>
        </is>
      </c>
      <c r="J6" s="2" t="inlineStr">
        <is>
          <t>SRC_OPENAI_GPT41_DOCS; SRC_OPENAI_STARGATE_ORACLE</t>
        </is>
      </c>
      <c r="K6" s="2" t="inlineStr">
        <is>
          <t>Medium</t>
        </is>
      </c>
      <c r="L6" s="2" t="inlineStr">
        <is>
          <t>사용량은 가장 크지만 parameter와 active capacity 공개성이 낮아 band/scenario 중심.</t>
        </is>
      </c>
    </row>
    <row r="7">
      <c r="A7" s="2" t="inlineStr">
        <is>
          <t>DeepSeek</t>
        </is>
      </c>
      <c r="B7" s="2" t="inlineStr">
        <is>
          <t>DeepSeek-V3 / R1</t>
        </is>
      </c>
      <c r="C7" s="2" t="inlineStr">
        <is>
          <t>DeepSeek app/API, open model derivatives, enterprise deployments</t>
        </is>
      </c>
      <c r="D7" s="2" t="inlineStr">
        <is>
          <t>V3/R1 MoE: 671B total anchor</t>
        </is>
      </c>
      <c r="E7" s="2" t="inlineStr">
        <is>
          <t>MoE active: 약 37B anchor</t>
        </is>
      </c>
      <c r="F7" s="2" t="inlineStr">
        <is>
          <t>MoE reasoning/dense distilled ecosystem</t>
        </is>
      </c>
      <c r="G7" s="2" t="inlineStr">
        <is>
          <t>GPU-constrained serving with MoE efficiency and local cloud deployments</t>
        </is>
      </c>
      <c r="H7" s="2" t="inlineStr">
        <is>
          <t>DeepSeek direct app/API tokens counted; third-party self-hosted derivatives excluded unless DeepSeek-operated</t>
        </is>
      </c>
      <c r="I7" s="2" t="inlineStr">
        <is>
          <t>NVIDIA/China-available GPU mix, MoE efficiency emphasis</t>
        </is>
      </c>
      <c r="J7" s="2" t="inlineStr">
        <is>
          <t>SRC_DEEPSEEK_V3; SRC_DEEPSEEK_R1</t>
        </is>
      </c>
      <c r="K7" s="2" t="inlineStr">
        <is>
          <t>High for parameters, Low-Medium for capacity</t>
        </is>
      </c>
      <c r="L7" s="2" t="inlineStr">
        <is>
          <t>모델 구조는 투명하지만 회사 운영 capacity는 공개성이 낮아 scenario.</t>
        </is>
      </c>
    </row>
    <row r="8">
      <c r="A8" s="2" t="inlineStr">
        <is>
          <t>Alibaba</t>
        </is>
      </c>
      <c r="B8" s="2" t="inlineStr">
        <is>
          <t>Qwen / Qwen3</t>
        </is>
      </c>
      <c r="C8" s="2" t="inlineStr">
        <is>
          <t>Alibaba Cloud Model Studio, Qwen Chat/API, enterprise cloud</t>
        </is>
      </c>
      <c r="D8" s="2" t="inlineStr">
        <is>
          <t>Qwen3 dense/MoE disclosed bands; flagship MoE up to 235B total anchor</t>
        </is>
      </c>
      <c r="E8" s="2" t="inlineStr">
        <is>
          <t>MoE active anchor up to 22B for flagship class</t>
        </is>
      </c>
      <c r="F8" s="2" t="inlineStr">
        <is>
          <t>Dense + MoE multilingual/code/reasoning family</t>
        </is>
      </c>
      <c r="G8" s="2" t="inlineStr">
        <is>
          <t>Alibaba Cloud GPU/China accelerator mix</t>
        </is>
      </c>
      <c r="H8" s="2" t="inlineStr">
        <is>
          <t>Alibaba-operated Qwen serving counted; open-source third-party self-hosting excluded</t>
        </is>
      </c>
      <c r="I8" s="2" t="inlineStr">
        <is>
          <t>NVIDIA/China accelerators + cloud serving stack</t>
        </is>
      </c>
      <c r="J8" s="2" t="inlineStr">
        <is>
          <t>SRC_QWEN3_GITHUB</t>
        </is>
      </c>
      <c r="K8" s="2" t="inlineStr">
        <is>
          <t>High for Qwen3 parameters, Medium-Low for active capacity</t>
        </is>
      </c>
      <c r="L8" s="2" t="inlineStr">
        <is>
          <t>Qwen3 공개성이 높아 model band 신뢰도는 높고 power capacity는 별도 scenario.</t>
        </is>
      </c>
    </row>
    <row r="9">
      <c r="A9" s="2" t="inlineStr">
        <is>
          <t>Tencent</t>
        </is>
      </c>
      <c r="B9" s="2" t="inlineStr">
        <is>
          <t>Hunyuan / Hy3 / Yuanbao</t>
        </is>
      </c>
      <c r="C9" s="2" t="inlineStr">
        <is>
          <t>Tencent Yuanbao, WeChat/QQ enterprise AI, Tencent Cloud</t>
        </is>
      </c>
      <c r="D9" s="2" t="inlineStr">
        <is>
          <t>Hunyuan 100B+ anchor; Hy3 separate multimodal/3D family</t>
        </is>
      </c>
      <c r="E9" s="2" t="inlineStr">
        <is>
          <t>Closed active band; Hunyuan-Large MoE active parameter requires separate verification</t>
        </is>
      </c>
      <c r="F9" s="2" t="inlineStr">
        <is>
          <t>Closed dense/MoE + multimodal generation family</t>
        </is>
      </c>
      <c r="G9" s="2" t="inlineStr">
        <is>
          <t>Tencent Cloud GPU/China accelerator mix</t>
        </is>
      </c>
      <c r="H9" s="2" t="inlineStr">
        <is>
          <t>Tencent-operated Hunyuan/Yuanbao tokens counted; embedded non-LLM media generation separated</t>
        </is>
      </c>
      <c r="I9" s="2" t="inlineStr">
        <is>
          <t>NVIDIA/China accelerators, Tencent Cloud inference</t>
        </is>
      </c>
      <c r="J9" s="2" t="inlineStr">
        <is>
          <t>SRC_TENCENT_HUNYUAN; SRC_TENCENT_HY3</t>
        </is>
      </c>
      <c r="K9" s="2" t="inlineStr">
        <is>
          <t>Medium for Hunyuan published anchor, Medium-Low for active capacity</t>
        </is>
      </c>
      <c r="L9" s="2" t="inlineStr">
        <is>
          <t>Hunyuan 100B+와 2T+ pretraining token은 fact anchor, serving capacity는 scenario.</t>
        </is>
      </c>
    </row>
  </sheetData>
  <autoFilter ref="A1:L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38" customWidth="1" min="4" max="4"/>
    <col width="38" customWidth="1" min="5" max="5"/>
    <col width="21" customWidth="1" min="6" max="6"/>
    <col width="30" customWidth="1" min="7" max="7"/>
    <col width="13" customWidth="1" min="8" max="8"/>
    <col width="38" customWidth="1" min="9" max="9"/>
    <col width="38" customWidth="1" min="10" max="10"/>
    <col width="12" customWidth="1" min="11" max="11"/>
    <col width="38" customWidth="1" min="12" max="12"/>
  </cols>
  <sheetData>
    <row r="1">
      <c r="A1" s="1" t="inlineStr">
        <is>
          <t>anchor_id</t>
        </is>
      </c>
      <c r="B1" s="1" t="inlineStr">
        <is>
          <t>company</t>
        </is>
      </c>
      <c r="C1" s="1" t="inlineStr">
        <is>
          <t>topic</t>
        </is>
      </c>
      <c r="D1" s="1" t="inlineStr">
        <is>
          <t>metric</t>
        </is>
      </c>
      <c r="E1" s="1" t="inlineStr">
        <is>
          <t>value</t>
        </is>
      </c>
      <c r="F1" s="1" t="inlineStr">
        <is>
          <t>fact_date</t>
        </is>
      </c>
      <c r="G1" s="1" t="inlineStr">
        <is>
          <t>source_id</t>
        </is>
      </c>
      <c r="H1" s="1" t="inlineStr">
        <is>
          <t>source_tier</t>
        </is>
      </c>
      <c r="I1" s="1" t="inlineStr">
        <is>
          <t>model_use</t>
        </is>
      </c>
      <c r="J1" s="1" t="inlineStr">
        <is>
          <t>derivation_impact_kr</t>
        </is>
      </c>
      <c r="K1" s="1" t="inlineStr">
        <is>
          <t>confidence</t>
        </is>
      </c>
      <c r="L1" s="1" t="inlineStr">
        <is>
          <t>replacement_path</t>
        </is>
      </c>
    </row>
    <row r="2">
      <c r="A2" s="2" t="inlineStr">
        <is>
          <t>FACT_OPENAI_ORACLE_4_5GW</t>
        </is>
      </c>
      <c r="B2" s="2" t="inlineStr">
        <is>
          <t>OpenAI</t>
        </is>
      </c>
      <c r="C2" s="2" t="inlineStr">
        <is>
          <t>Capacity</t>
        </is>
      </c>
      <c r="D2" s="2" t="inlineStr">
        <is>
          <t>Additional Oracle datacenter capacity</t>
        </is>
      </c>
      <c r="E2" s="2" t="inlineStr">
        <is>
          <t>4.5 GW</t>
        </is>
      </c>
      <c r="F2" s="2" t="inlineStr">
        <is>
          <t>2025-07-22</t>
        </is>
      </c>
      <c r="G2" s="2" t="inlineStr">
        <is>
          <t>SRC_OPENAI_STARGATE_ORACLE</t>
        </is>
      </c>
      <c r="H2" s="2" t="inlineStr">
        <is>
          <t>Tier 1</t>
        </is>
      </c>
      <c r="I2" s="2" t="inlineStr">
        <is>
          <t>Sets OpenAI contracted/planned capacity ceiling; active power remains ramped scenario.</t>
        </is>
      </c>
      <c r="J2" s="2" t="inlineStr">
        <is>
          <t>OpenAI 2030 contracted_power_gw 상향 anchor. active_power_gw는 energization/GPU delivery 때문에 별도 multiplier 적용.</t>
        </is>
      </c>
      <c r="K2" s="2" t="n">
        <v>0.86</v>
      </c>
      <c r="L2" s="2" t="inlineStr">
        <is>
          <t>Oracle/OpenAI site-level energization date, MW by site, GPU delivery schedule.</t>
        </is>
      </c>
    </row>
    <row r="3">
      <c r="A3" s="2" t="inlineStr">
        <is>
          <t>FACT_OPENAI_STARGATE_10GW</t>
        </is>
      </c>
      <c r="B3" s="2" t="inlineStr">
        <is>
          <t>OpenAI</t>
        </is>
      </c>
      <c r="C3" s="2" t="inlineStr">
        <is>
          <t>Capacity</t>
        </is>
      </c>
      <c r="D3" s="2" t="inlineStr">
        <is>
          <t>Stargate planned capacity commitment</t>
        </is>
      </c>
      <c r="E3" s="2" t="inlineStr">
        <is>
          <t>Nearly 7 GW announced across new sites; over 10 GW commitment stated</t>
        </is>
      </c>
      <c r="F3" s="2" t="inlineStr">
        <is>
          <t>2025-09-23</t>
        </is>
      </c>
      <c r="G3" s="2" t="inlineStr">
        <is>
          <t>SRC_OPENAI_STARGATE_PROGRESS</t>
        </is>
      </c>
      <c r="H3" s="2" t="inlineStr">
        <is>
          <t>Tier 1</t>
        </is>
      </c>
      <c r="I3" s="2" t="inlineStr">
        <is>
          <t>Bounds OpenAI 2030 contracted_power_gw scenario.</t>
        </is>
      </c>
      <c r="J3" s="2" t="inlineStr">
        <is>
          <t>2030 OpenAI contracted_power_gw 12GW는 공개 commitment를 약간 상회하지 않도록 점검하는 ceiling 역할.</t>
        </is>
      </c>
      <c r="K3" s="2" t="n">
        <v>0.84</v>
      </c>
      <c r="L3" s="2" t="inlineStr">
        <is>
          <t>Stargate site-level power interconnect and construction progress.</t>
        </is>
      </c>
    </row>
    <row r="4">
      <c r="A4" s="2" t="inlineStr">
        <is>
          <t>FACT_GOOGLE_IRONWOOD_POD</t>
        </is>
      </c>
      <c r="B4" s="2" t="inlineStr">
        <is>
          <t>Google</t>
        </is>
      </c>
      <c r="C4" s="2" t="inlineStr">
        <is>
          <t>Accelerator</t>
        </is>
      </c>
      <c r="D4" s="2" t="inlineStr">
        <is>
          <t>Ironwood TPU pod scale</t>
        </is>
      </c>
      <c r="E4" s="2" t="inlineStr">
        <is>
          <t>9,216 liquid-cooled chips; 42.5 exaflops per pod</t>
        </is>
      </c>
      <c r="F4" s="2" t="inlineStr">
        <is>
          <t>2025-04-09</t>
        </is>
      </c>
      <c r="G4" s="2" t="inlineStr">
        <is>
          <t>SRC_GOOGLE_IRONWOOD</t>
        </is>
      </c>
      <c r="H4" s="2" t="inlineStr">
        <is>
          <t>Tier 1</t>
        </is>
      </c>
      <c r="I4" s="2" t="inlineStr">
        <is>
          <t>Supports Google TPU-heavy serving platform and higher tokens/MW scenario.</t>
        </is>
      </c>
      <c r="J4" s="2" t="inlineStr">
        <is>
          <t>Google tps_per_mw_2026 premium과 efficiency_cagr는 TPU/Ironwood inference-optimized hardware direction으로 정당화.</t>
        </is>
      </c>
      <c r="K4" s="2" t="n">
        <v>0.88</v>
      </c>
      <c r="L4" s="2" t="inlineStr">
        <is>
          <t>Gemini production serving benchmark by model/context/batch.</t>
        </is>
      </c>
    </row>
    <row r="5">
      <c r="A5" s="2" t="inlineStr">
        <is>
          <t>FACT_GOOGLE_TPU_V6E</t>
        </is>
      </c>
      <c r="B5" s="2" t="inlineStr">
        <is>
          <t>Google</t>
        </is>
      </c>
      <c r="C5" s="2" t="inlineStr">
        <is>
          <t>Accelerator</t>
        </is>
      </c>
      <c r="D5" s="2" t="inlineStr">
        <is>
          <t>TPU v6e / Trillium generation</t>
        </is>
      </c>
      <c r="E5" s="2" t="inlineStr">
        <is>
          <t>Google Cloud TPU v6e public product documentation</t>
        </is>
      </c>
      <c r="F5" s="2" t="inlineStr">
        <is>
          <t>2026-05-14 accessed</t>
        </is>
      </c>
      <c r="G5" s="2" t="inlineStr">
        <is>
          <t>SRC_GOOGLE_TPU_V6E</t>
        </is>
      </c>
      <c r="H5" s="2" t="inlineStr">
        <is>
          <t>Tier 1</t>
        </is>
      </c>
      <c r="I5" s="2" t="inlineStr">
        <is>
          <t>Confirms Google has public TPU generation available for AI workloads.</t>
        </is>
      </c>
      <c r="J5" s="2" t="inlineStr">
        <is>
          <t>Google serving_platform fact 보강. tokens/MW 수치는 직접 인용하지 않음.</t>
        </is>
      </c>
      <c r="K5" s="2" t="n">
        <v>0.84</v>
      </c>
      <c r="L5" s="2" t="inlineStr">
        <is>
          <t>Model-specific Gemini cost/latency and utilization disclosure.</t>
        </is>
      </c>
    </row>
    <row r="6">
      <c r="A6" s="2" t="inlineStr">
        <is>
          <t>FACT_DEEPSEEK_V3_MOE</t>
        </is>
      </c>
      <c r="B6" s="2" t="inlineStr">
        <is>
          <t>DeepSeek</t>
        </is>
      </c>
      <c r="C6" s="2" t="inlineStr">
        <is>
          <t>Model</t>
        </is>
      </c>
      <c r="D6" s="2" t="inlineStr">
        <is>
          <t>DeepSeek-V3 MoE parameters</t>
        </is>
      </c>
      <c r="E6" s="2" t="inlineStr">
        <is>
          <t>671B total parameters; 37B activated per token</t>
        </is>
      </c>
      <c r="F6" s="2" t="inlineStr">
        <is>
          <t>2024-12-26</t>
        </is>
      </c>
      <c r="G6" s="2" t="inlineStr">
        <is>
          <t>SRC_DEEPSEEK_V3</t>
        </is>
      </c>
      <c r="H6" s="2" t="inlineStr">
        <is>
          <t>Tier 1</t>
        </is>
      </c>
      <c r="I6" s="2" t="inlineStr">
        <is>
          <t>Directly populates parameter_band_total and parameter_band_active.</t>
        </is>
      </c>
      <c r="J6" s="2" t="inlineStr">
        <is>
          <t>DeepSeek MoE efficiency multiplier 적용의 가장 강한 모델-side evidence.</t>
        </is>
      </c>
      <c r="K6" s="2" t="n">
        <v>0.92</v>
      </c>
      <c r="L6" s="2" t="inlineStr">
        <is>
          <t>Measured serving tokens/sec/MW for DeepSeek-V3/R1 at production context lengths.</t>
        </is>
      </c>
    </row>
    <row r="7">
      <c r="A7" s="2" t="inlineStr">
        <is>
          <t>FACT_DEEPSEEK_V3_TRAINING_TOKENS</t>
        </is>
      </c>
      <c r="B7" s="2" t="inlineStr">
        <is>
          <t>DeepSeek</t>
        </is>
      </c>
      <c r="C7" s="2" t="inlineStr">
        <is>
          <t>Model</t>
        </is>
      </c>
      <c r="D7" s="2" t="inlineStr">
        <is>
          <t>DeepSeek-V3 pretraining corpus</t>
        </is>
      </c>
      <c r="E7" s="2" t="inlineStr">
        <is>
          <t>14.8T high-quality tokens</t>
        </is>
      </c>
      <c r="F7" s="2" t="inlineStr">
        <is>
          <t>2024-12-26</t>
        </is>
      </c>
      <c r="G7" s="2" t="inlineStr">
        <is>
          <t>SRC_DEEPSEEK_V3</t>
        </is>
      </c>
      <c r="H7" s="2" t="inlineStr">
        <is>
          <t>Tier 1</t>
        </is>
      </c>
      <c r="I7" s="2" t="inlineStr">
        <is>
          <t>Training token scale sanity check; not used as commercial generation volume.</t>
        </is>
      </c>
      <c r="J7" s="2" t="inlineStr">
        <is>
          <t>training_tokens_processed_per_day는 pretraining token scale과 order-of-magnitude 비교 가능하지만 직접 calibration은 아님.</t>
        </is>
      </c>
      <c r="K7" s="2" t="n">
        <v>0.88</v>
      </c>
      <c r="L7" s="2" t="inlineStr">
        <is>
          <t>Actual training run duration, cluster size, and power draw.</t>
        </is>
      </c>
    </row>
    <row r="8">
      <c r="A8" s="2" t="inlineStr">
        <is>
          <t>FACT_QWEN3_MOE</t>
        </is>
      </c>
      <c r="B8" s="2" t="inlineStr">
        <is>
          <t>Alibaba</t>
        </is>
      </c>
      <c r="C8" s="2" t="inlineStr">
        <is>
          <t>Model</t>
        </is>
      </c>
      <c r="D8" s="2" t="inlineStr">
        <is>
          <t>Qwen3 flagship MoE parameters</t>
        </is>
      </c>
      <c r="E8" s="2" t="inlineStr">
        <is>
          <t>235B total parameters; 22B activated parameters</t>
        </is>
      </c>
      <c r="F8" s="2" t="inlineStr">
        <is>
          <t>2025-04-29</t>
        </is>
      </c>
      <c r="G8" s="2" t="inlineStr">
        <is>
          <t>SRC_QWEN3_GITHUB</t>
        </is>
      </c>
      <c r="H8" s="2" t="inlineStr">
        <is>
          <t>Tier 1</t>
        </is>
      </c>
      <c r="I8" s="2" t="inlineStr">
        <is>
          <t>Directly populates Qwen total/active parameter anchor.</t>
        </is>
      </c>
      <c r="J8" s="2" t="inlineStr">
        <is>
          <t>Alibaba MoE efficiency multiplier와 parameter confidence를 보강.</t>
        </is>
      </c>
      <c r="K8" s="2" t="n">
        <v>0.9</v>
      </c>
      <c r="L8" s="2" t="inlineStr">
        <is>
          <t>Alibaba-operated Qwen API serving benchmark and active traffic data.</t>
        </is>
      </c>
    </row>
    <row r="9">
      <c r="A9" s="2" t="inlineStr">
        <is>
          <t>FACT_LLAMA4_SCOUT_MAVERICK</t>
        </is>
      </c>
      <c r="B9" s="2" t="inlineStr">
        <is>
          <t>Meta</t>
        </is>
      </c>
      <c r="C9" s="2" t="inlineStr">
        <is>
          <t>Model</t>
        </is>
      </c>
      <c r="D9" s="2" t="inlineStr">
        <is>
          <t>Llama 4 MoE parameter anchors</t>
        </is>
      </c>
      <c r="E9" s="2" t="inlineStr">
        <is>
          <t>Scout 109B total / 17B active; Maverick 400B total / 17B active</t>
        </is>
      </c>
      <c r="F9" s="2" t="inlineStr">
        <is>
          <t>2025-04-07</t>
        </is>
      </c>
      <c r="G9" s="2" t="inlineStr">
        <is>
          <t>SRC_META_LLAMA4_NVIDIA</t>
        </is>
      </c>
      <c r="H9" s="2" t="inlineStr">
        <is>
          <t>Tier 2</t>
        </is>
      </c>
      <c r="I9" s="2" t="inlineStr">
        <is>
          <t>Adds concrete open-model MoE anchors for Meta model family.</t>
        </is>
      </c>
      <c r="J9" s="2" t="inlineStr">
        <is>
          <t>Meta parameter band를 더 좁힘. 다만 Meta AI production routing과 active serving GW는 여전히 scenario.</t>
        </is>
      </c>
      <c r="K9" s="2" t="n">
        <v>0.74</v>
      </c>
      <c r="L9" s="2" t="inlineStr">
        <is>
          <t>Official Meta model card scrape/API and Meta AI serving model mix.</t>
        </is>
      </c>
    </row>
    <row r="10">
      <c r="A10" s="2" t="inlineStr">
        <is>
          <t>FACT_XAI_COLOSSUS_100K</t>
        </is>
      </c>
      <c r="B10" s="2" t="inlineStr">
        <is>
          <t>xAI</t>
        </is>
      </c>
      <c r="C10" s="2" t="inlineStr">
        <is>
          <t>Accelerator</t>
        </is>
      </c>
      <c r="D10" s="2" t="inlineStr">
        <is>
          <t>Colossus initial cluster</t>
        </is>
      </c>
      <c r="E10" s="2" t="inlineStr">
        <is>
          <t>100,000 NVIDIA Hopper GPUs</t>
        </is>
      </c>
      <c r="F10" s="2" t="inlineStr">
        <is>
          <t>2024-12-04</t>
        </is>
      </c>
      <c r="G10" s="2" t="inlineStr">
        <is>
          <t>SRC_XAI_NVIDIA_COLOSSUS</t>
        </is>
      </c>
      <c r="H10" s="2" t="inlineStr">
        <is>
          <t>Tier 1/2</t>
        </is>
      </c>
      <c r="I10" s="2" t="inlineStr">
        <is>
          <t>Bounds xAI 2026 active_power_gw lower-to-mid scenario.</t>
        </is>
      </c>
      <c r="J10" s="2" t="inlineStr">
        <is>
          <t>100k Hopper GPU는 xAI active_power_2026_gw 0.35GW가 물리적으로 과도하지 않은지 확인하는 anchor.</t>
        </is>
      </c>
      <c r="K10" s="2" t="n">
        <v>0.82</v>
      </c>
      <c r="L10" s="2" t="inlineStr">
        <is>
          <t>Exact power draw, H100/H200 mix, utilization and training/inference split.</t>
        </is>
      </c>
    </row>
    <row r="11">
      <c r="A11" s="2" t="inlineStr">
        <is>
          <t>FACT_XAI_COLOSSUS_200K</t>
        </is>
      </c>
      <c r="B11" s="2" t="inlineStr">
        <is>
          <t>xAI</t>
        </is>
      </c>
      <c r="C11" s="2" t="inlineStr">
        <is>
          <t>Accelerator</t>
        </is>
      </c>
      <c r="D11" s="2" t="inlineStr">
        <is>
          <t>Colossus expansion direction</t>
        </is>
      </c>
      <c r="E11" s="2" t="inlineStr">
        <is>
          <t>Expansion toward 200,000 GPUs cited by NVIDIA</t>
        </is>
      </c>
      <c r="F11" s="2" t="inlineStr">
        <is>
          <t>2024-12-04</t>
        </is>
      </c>
      <c r="G11" s="2" t="inlineStr">
        <is>
          <t>SRC_XAI_NVIDIA_COLOSSUS</t>
        </is>
      </c>
      <c r="H11" s="2" t="inlineStr">
        <is>
          <t>Tier 1/2</t>
        </is>
      </c>
      <c r="I11" s="2" t="inlineStr">
        <is>
          <t>Supports xAI 2030 active_power_gw ramp direction, not exact schedule.</t>
        </is>
      </c>
      <c r="J11" s="2" t="inlineStr">
        <is>
          <t>xAI contracted_power_2030_gw 3GW와 active_power_2030_gw 2.5GW는 추가 clusters 포함한 scenario.</t>
        </is>
      </c>
      <c r="K11" s="2" t="n">
        <v>0.76</v>
      </c>
      <c r="L11" s="2" t="inlineStr">
        <is>
          <t>xAI disclosed GPU delivery schedule and datacenter power contracts.</t>
        </is>
      </c>
    </row>
    <row r="12">
      <c r="A12" s="2" t="inlineStr">
        <is>
          <t>FACT_MS_PHI4_14B</t>
        </is>
      </c>
      <c r="B12" s="2" t="inlineStr">
        <is>
          <t>Microsoft</t>
        </is>
      </c>
      <c r="C12" s="2" t="inlineStr">
        <is>
          <t>Model</t>
        </is>
      </c>
      <c r="D12" s="2" t="inlineStr">
        <is>
          <t>Phi-4 parameter count</t>
        </is>
      </c>
      <c r="E12" s="2" t="inlineStr">
        <is>
          <t>14B parameters</t>
        </is>
      </c>
      <c r="F12" s="2" t="inlineStr">
        <is>
          <t>2024-12-12</t>
        </is>
      </c>
      <c r="G12" s="2" t="inlineStr">
        <is>
          <t>SRC_MS_PHI4_TECHREPORT</t>
        </is>
      </c>
      <c r="H12" s="2" t="inlineStr">
        <is>
          <t>Tier 1/2</t>
        </is>
      </c>
      <c r="I12" s="2" t="inlineStr">
        <is>
          <t>Sets Microsoft-owned SLM anchor; Copilot OpenAI dependency remains separated.</t>
        </is>
      </c>
      <c r="J12" s="2" t="inlineStr">
        <is>
          <t>Microsoft model row에서 Phi/MAI owned와 OpenAI model-owner output을 분리하는 근거.</t>
        </is>
      </c>
      <c r="K12" s="2" t="n">
        <v>0.82</v>
      </c>
      <c r="L12" s="2" t="inlineStr">
        <is>
          <t>MAI model public card and Copilot routing share.</t>
        </is>
      </c>
    </row>
    <row r="13">
      <c r="A13" s="2" t="inlineStr">
        <is>
          <t>FACT_TENCENT_HUNYUAN_100B</t>
        </is>
      </c>
      <c r="B13" s="2" t="inlineStr">
        <is>
          <t>Tencent</t>
        </is>
      </c>
      <c r="C13" s="2" t="inlineStr">
        <is>
          <t>Model</t>
        </is>
      </c>
      <c r="D13" s="2" t="inlineStr">
        <is>
          <t>Hunyuan foundation model scale</t>
        </is>
      </c>
      <c r="E13" s="2" t="inlineStr">
        <is>
          <t>Over 100B parameters and over 2T pretraining tokens</t>
        </is>
      </c>
      <c r="F13" s="2" t="inlineStr">
        <is>
          <t>2023-09-07</t>
        </is>
      </c>
      <c r="G13" s="2" t="inlineStr">
        <is>
          <t>SRC_TENCENT_HUNYUAN</t>
        </is>
      </c>
      <c r="H13" s="2" t="inlineStr">
        <is>
          <t>Tier 1</t>
        </is>
      </c>
      <c r="I13" s="2" t="inlineStr">
        <is>
          <t>Sets Tencent Hunyuan model scale anchor.</t>
        </is>
      </c>
      <c r="J13" s="2" t="inlineStr">
        <is>
          <t>Tencent parameter band를 closed-only에서 100B+ anchor로 보강. active serving capacity는 여전히 낮은 confidence.</t>
        </is>
      </c>
      <c r="K13" s="2" t="n">
        <v>0.82</v>
      </c>
      <c r="L13" s="2" t="inlineStr">
        <is>
          <t>Current Hunyuan/Yuanbao serving model card and traffic disclosure.</t>
        </is>
      </c>
    </row>
    <row r="14">
      <c r="A14" s="2" t="inlineStr">
        <is>
          <t>FACT_MCKINSEY_2030_INFERENCE</t>
        </is>
      </c>
      <c r="B14" s="2" t="inlineStr">
        <is>
          <t>Cross-company</t>
        </is>
      </c>
      <c r="C14" s="2" t="inlineStr">
        <is>
          <t>Workload mix</t>
        </is>
      </c>
      <c r="D14" s="2" t="inlineStr">
        <is>
          <t>2030 inference demand direction</t>
        </is>
      </c>
      <c r="E14" s="2" t="inlineStr">
        <is>
          <t>Inference expected to account for more than half of AI workloads and 30-40% of data center power demand by 2030</t>
        </is>
      </c>
      <c r="F14" s="2" t="inlineStr">
        <is>
          <t>2026-02-24</t>
        </is>
      </c>
      <c r="G14" s="2" t="inlineStr">
        <is>
          <t>SRC_MCKINSEY_AI_WORKLOADS</t>
        </is>
      </c>
      <c r="H14" s="2" t="inlineStr">
        <is>
          <t>Tier 2</t>
        </is>
      </c>
      <c r="I14" s="2" t="inlineStr">
        <is>
          <t>Supports rising inference share in 2030, not 2026 company-level fact.</t>
        </is>
      </c>
      <c r="J14" s="2" t="inlineStr">
        <is>
          <t>2030 weighted inference share 상승의 directional anchor. 2026 60%+ 주장은 fact로 채택하지 않음.</t>
        </is>
      </c>
      <c r="K14" s="2" t="n">
        <v>0.72</v>
      </c>
      <c r="L14" s="2" t="inlineStr">
        <is>
          <t>Company-level AI GW split and measured serving/training telemetry.</t>
        </is>
      </c>
    </row>
    <row r="15">
      <c r="A15" s="2" t="inlineStr">
        <is>
          <t>FACT_DELOITTE_2026_INFERENCE</t>
        </is>
      </c>
      <c r="B15" s="2" t="inlineStr">
        <is>
          <t>Cross-company</t>
        </is>
      </c>
      <c r="C15" s="2" t="inlineStr">
        <is>
          <t>Workload mix</t>
        </is>
      </c>
      <c r="D15" s="2" t="inlineStr">
        <is>
          <t>2026 inference compute share outlook</t>
        </is>
      </c>
      <c r="E15" s="2" t="inlineStr">
        <is>
          <t>Inference cited as roughly two-thirds of compute in 2026 outlook</t>
        </is>
      </c>
      <c r="F15" s="2" t="inlineStr">
        <is>
          <t>2025-12</t>
        </is>
      </c>
      <c r="G15" s="2" t="inlineStr">
        <is>
          <t>SRC_DELOITTE_AI_POWER</t>
        </is>
      </c>
      <c r="H15" s="2" t="inlineStr">
        <is>
          <t>Tier 2</t>
        </is>
      </c>
      <c r="I15" s="2" t="inlineStr">
        <is>
          <t>Scenario cross-check only; compute share is not the same as active GW share.</t>
        </is>
      </c>
      <c r="J15" s="2" t="inlineStr">
        <is>
          <t>2026 base/bull inference share가 60%를 넘을 수 있는 상향 전망 anchor지만, 공식 fact로는 표시하지 않음.</t>
        </is>
      </c>
      <c r="K15" s="2" t="n">
        <v>0.68</v>
      </c>
      <c r="L15" s="2" t="inlineStr">
        <is>
          <t>Direct hyperscaler workload power telemetry.</t>
        </is>
      </c>
    </row>
    <row r="16">
      <c r="A16" s="2" t="inlineStr">
        <is>
          <t>FACT_EPOCH_TRAINING_POWER_RISK</t>
        </is>
      </c>
      <c r="B16" s="2" t="inlineStr">
        <is>
          <t>Cross-company</t>
        </is>
      </c>
      <c r="C16" s="2" t="inlineStr">
        <is>
          <t>Workload mix</t>
        </is>
      </c>
      <c r="D16" s="2" t="inlineStr">
        <is>
          <t>Frontier training power can remain material</t>
        </is>
      </c>
      <c r="E16" s="2" t="inlineStr">
        <is>
          <t>Individual frontier training runs may require large power blocks by 2030</t>
        </is>
      </c>
      <c r="F16" s="2" t="inlineStr">
        <is>
          <t>2025-08</t>
        </is>
      </c>
      <c r="G16" s="2" t="inlineStr">
        <is>
          <t>SRC_EPRI_EPOCH_AI_POWER</t>
        </is>
      </c>
      <c r="H16" s="2" t="inlineStr">
        <is>
          <t>Tier 2</t>
        </is>
      </c>
      <c r="I16" s="2" t="inlineStr">
        <is>
          <t>Prevents the model from assuming all incremental AI power is inference.</t>
        </is>
      </c>
      <c r="J16" s="2" t="inlineStr">
        <is>
          <t>Bear/base에서 training share를 남기는 보수 anchor.</t>
        </is>
      </c>
      <c r="K16" s="2" t="n">
        <v>0.7</v>
      </c>
      <c r="L16" s="2" t="inlineStr">
        <is>
          <t>Training run power telemetry and model release cadence by company.</t>
        </is>
      </c>
    </row>
  </sheetData>
  <autoFilter ref="A1:L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7" customWidth="1" min="5" max="5"/>
    <col width="12" customWidth="1" min="6" max="6"/>
    <col width="12" customWidth="1" min="7" max="7"/>
    <col width="19" customWidth="1" min="8" max="8"/>
    <col width="15" customWidth="1" min="9" max="9"/>
    <col width="38" customWidth="1" min="10" max="10"/>
    <col width="38" customWidth="1" min="11" max="11"/>
    <col width="38" customWidth="1" min="12" max="12"/>
  </cols>
  <sheetData>
    <row r="1">
      <c r="A1" s="1" t="inlineStr">
        <is>
          <t>company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contracted_power_gw</t>
        </is>
      </c>
      <c r="E1" s="1" t="inlineStr">
        <is>
          <t>active_power_gw</t>
        </is>
      </c>
      <c r="F1" s="1" t="inlineStr">
        <is>
          <t>pue</t>
        </is>
      </c>
      <c r="G1" s="1" t="inlineStr">
        <is>
          <t>it_load_gw</t>
        </is>
      </c>
      <c r="H1" s="1" t="inlineStr">
        <is>
          <t>ai_workload_share</t>
        </is>
      </c>
      <c r="I1" s="1" t="inlineStr">
        <is>
          <t>ai_it_load_gw</t>
        </is>
      </c>
      <c r="J1" s="1" t="inlineStr">
        <is>
          <t>source_ids</t>
        </is>
      </c>
      <c r="K1" s="1" t="inlineStr">
        <is>
          <t>assumption_ids</t>
        </is>
      </c>
      <c r="L1" s="1" t="inlineStr">
        <is>
          <t>confidence</t>
        </is>
      </c>
    </row>
    <row r="2">
      <c r="A2" s="2" t="inlineStr">
        <is>
          <t>Microsoft</t>
        </is>
      </c>
      <c r="B2" s="2" t="inlineStr">
        <is>
          <t>US</t>
        </is>
      </c>
      <c r="C2" s="2" t="n">
        <v>2026</v>
      </c>
      <c r="D2" s="2" t="n">
        <v>4</v>
      </c>
      <c r="E2" s="2" t="n">
        <v>1.8</v>
      </c>
      <c r="F2" s="2" t="n">
        <v>1.2</v>
      </c>
      <c r="G2" s="2" t="n">
        <v>1.5</v>
      </c>
      <c r="H2" s="2" t="n">
        <v>0.86</v>
      </c>
      <c r="I2" s="2" t="n">
        <v>1.29</v>
      </c>
      <c r="J2" s="2" t="inlineStr">
        <is>
          <t>SRC_MS_PHI; SRC_OPENAI_GPT41_DOCS; SRC_MS_PHI4_TECHREPORT</t>
        </is>
      </c>
      <c r="K2" s="2" t="inlineStr">
        <is>
          <t>ASSUMP_POWER_RAMP; ASSUMP_MS_OPENAI_ATTRIBUTION; ASSUMP_INFERENCE_SHARE_NOT_FACT_60</t>
        </is>
      </c>
      <c r="L2" s="2" t="inlineStr">
        <is>
          <t>Medium</t>
        </is>
      </c>
    </row>
    <row r="3">
      <c r="A3" s="2" t="inlineStr">
        <is>
          <t>Microsoft</t>
        </is>
      </c>
      <c r="B3" s="2" t="inlineStr">
        <is>
          <t>US</t>
        </is>
      </c>
      <c r="C3" s="2" t="n">
        <v>2027</v>
      </c>
      <c r="D3" s="2" t="n">
        <v>5.25</v>
      </c>
      <c r="E3" s="2" t="n">
        <v>2.9</v>
      </c>
      <c r="F3" s="2" t="n">
        <v>1.2</v>
      </c>
      <c r="G3" s="2" t="n">
        <v>2.417</v>
      </c>
      <c r="H3" s="2" t="n">
        <v>0.86</v>
      </c>
      <c r="I3" s="2" t="n">
        <v>2.078</v>
      </c>
      <c r="J3" s="2" t="inlineStr">
        <is>
          <t>SRC_MS_PHI; SRC_OPENAI_GPT41_DOCS; SRC_MS_PHI4_TECHREPORT</t>
        </is>
      </c>
      <c r="K3" s="2" t="inlineStr">
        <is>
          <t>ASSUMP_POWER_RAMP; ASSUMP_MS_OPENAI_ATTRIBUTION; ASSUMP_INFERENCE_SHARE_NOT_FACT_60</t>
        </is>
      </c>
      <c r="L3" s="2" t="inlineStr">
        <is>
          <t>Medium</t>
        </is>
      </c>
    </row>
    <row r="4">
      <c r="A4" s="2" t="inlineStr">
        <is>
          <t>Microsoft</t>
        </is>
      </c>
      <c r="B4" s="2" t="inlineStr">
        <is>
          <t>US</t>
        </is>
      </c>
      <c r="C4" s="2" t="n">
        <v>2028</v>
      </c>
      <c r="D4" s="2" t="n">
        <v>6.5</v>
      </c>
      <c r="E4" s="2" t="n">
        <v>4</v>
      </c>
      <c r="F4" s="2" t="n">
        <v>1.2</v>
      </c>
      <c r="G4" s="2" t="n">
        <v>3.333</v>
      </c>
      <c r="H4" s="2" t="n">
        <v>0.86</v>
      </c>
      <c r="I4" s="2" t="n">
        <v>2.867</v>
      </c>
      <c r="J4" s="2" t="inlineStr">
        <is>
          <t>SRC_MS_PHI; SRC_OPENAI_GPT41_DOCS; SRC_MS_PHI4_TECHREPORT</t>
        </is>
      </c>
      <c r="K4" s="2" t="inlineStr">
        <is>
          <t>ASSUMP_POWER_RAMP; ASSUMP_MS_OPENAI_ATTRIBUTION; ASSUMP_INFERENCE_SHARE_NOT_FACT_60</t>
        </is>
      </c>
      <c r="L4" s="2" t="inlineStr">
        <is>
          <t>Medium</t>
        </is>
      </c>
    </row>
    <row r="5">
      <c r="A5" s="2" t="inlineStr">
        <is>
          <t>Microsoft</t>
        </is>
      </c>
      <c r="B5" s="2" t="inlineStr">
        <is>
          <t>US</t>
        </is>
      </c>
      <c r="C5" s="2" t="n">
        <v>2029</v>
      </c>
      <c r="D5" s="2" t="n">
        <v>7.75</v>
      </c>
      <c r="E5" s="2" t="n">
        <v>5.1</v>
      </c>
      <c r="F5" s="2" t="n">
        <v>1.2</v>
      </c>
      <c r="G5" s="2" t="n">
        <v>4.25</v>
      </c>
      <c r="H5" s="2" t="n">
        <v>0.86</v>
      </c>
      <c r="I5" s="2" t="n">
        <v>3.655</v>
      </c>
      <c r="J5" s="2" t="inlineStr">
        <is>
          <t>SRC_MS_PHI; SRC_OPENAI_GPT41_DOCS; SRC_MS_PHI4_TECHREPORT</t>
        </is>
      </c>
      <c r="K5" s="2" t="inlineStr">
        <is>
          <t>ASSUMP_POWER_RAMP; ASSUMP_MS_OPENAI_ATTRIBUTION; ASSUMP_INFERENCE_SHARE_NOT_FACT_60</t>
        </is>
      </c>
      <c r="L5" s="2" t="inlineStr">
        <is>
          <t>Medium</t>
        </is>
      </c>
    </row>
    <row r="6">
      <c r="A6" s="2" t="inlineStr">
        <is>
          <t>Microsoft</t>
        </is>
      </c>
      <c r="B6" s="2" t="inlineStr">
        <is>
          <t>US</t>
        </is>
      </c>
      <c r="C6" s="2" t="n">
        <v>2030</v>
      </c>
      <c r="D6" s="2" t="n">
        <v>9</v>
      </c>
      <c r="E6" s="2" t="n">
        <v>6.2</v>
      </c>
      <c r="F6" s="2" t="n">
        <v>1.2</v>
      </c>
      <c r="G6" s="2" t="n">
        <v>5.167</v>
      </c>
      <c r="H6" s="2" t="n">
        <v>0.86</v>
      </c>
      <c r="I6" s="2" t="n">
        <v>4.443</v>
      </c>
      <c r="J6" s="2" t="inlineStr">
        <is>
          <t>SRC_MS_PHI; SRC_OPENAI_GPT41_DOCS; SRC_MS_PHI4_TECHREPORT</t>
        </is>
      </c>
      <c r="K6" s="2" t="inlineStr">
        <is>
          <t>ASSUMP_POWER_RAMP; ASSUMP_MS_OPENAI_ATTRIBUTION; ASSUMP_INFERENCE_SHARE_NOT_FACT_60</t>
        </is>
      </c>
      <c r="L6" s="2" t="inlineStr">
        <is>
          <t>Medium</t>
        </is>
      </c>
    </row>
    <row r="7">
      <c r="A7" s="2" t="inlineStr">
        <is>
          <t>Google</t>
        </is>
      </c>
      <c r="B7" s="2" t="inlineStr">
        <is>
          <t>US</t>
        </is>
      </c>
      <c r="C7" s="2" t="n">
        <v>2026</v>
      </c>
      <c r="D7" s="2" t="n">
        <v>4.5</v>
      </c>
      <c r="E7" s="2" t="n">
        <v>2.2</v>
      </c>
      <c r="F7" s="2" t="n">
        <v>1.18</v>
      </c>
      <c r="G7" s="2" t="n">
        <v>1.864</v>
      </c>
      <c r="H7" s="2" t="n">
        <v>0.88</v>
      </c>
      <c r="I7" s="2" t="n">
        <v>1.641</v>
      </c>
      <c r="J7" s="2" t="inlineStr">
        <is>
          <t>SRC_GOOGLE_GEMINI_TOKENS; SRC_GOOGLE_IRONWOOD; SRC_GOOGLE_TPU_V6E</t>
        </is>
      </c>
      <c r="K7" s="2" t="inlineStr">
        <is>
          <t>ASSUMP_TPU_EFFICIENCY; ASSUMP_POWER_RAMP; ASSUMP_INFERENCE_SHARE_NOT_FACT_60</t>
        </is>
      </c>
      <c r="L7" s="2" t="inlineStr">
        <is>
          <t>Medium-High</t>
        </is>
      </c>
    </row>
    <row r="8">
      <c r="A8" s="2" t="inlineStr">
        <is>
          <t>Google</t>
        </is>
      </c>
      <c r="B8" s="2" t="inlineStr">
        <is>
          <t>US</t>
        </is>
      </c>
      <c r="C8" s="2" t="n">
        <v>2027</v>
      </c>
      <c r="D8" s="2" t="n">
        <v>5.375</v>
      </c>
      <c r="E8" s="2" t="n">
        <v>3.35</v>
      </c>
      <c r="F8" s="2" t="n">
        <v>1.18</v>
      </c>
      <c r="G8" s="2" t="n">
        <v>2.839</v>
      </c>
      <c r="H8" s="2" t="n">
        <v>0.88</v>
      </c>
      <c r="I8" s="2" t="n">
        <v>2.498</v>
      </c>
      <c r="J8" s="2" t="inlineStr">
        <is>
          <t>SRC_GOOGLE_GEMINI_TOKENS; SRC_GOOGLE_IRONWOOD; SRC_GOOGLE_TPU_V6E</t>
        </is>
      </c>
      <c r="K8" s="2" t="inlineStr">
        <is>
          <t>ASSUMP_TPU_EFFICIENCY; ASSUMP_POWER_RAMP; ASSUMP_INFERENCE_SHARE_NOT_FACT_60</t>
        </is>
      </c>
      <c r="L8" s="2" t="inlineStr">
        <is>
          <t>Medium-High</t>
        </is>
      </c>
    </row>
    <row r="9">
      <c r="A9" s="2" t="inlineStr">
        <is>
          <t>Google</t>
        </is>
      </c>
      <c r="B9" s="2" t="inlineStr">
        <is>
          <t>US</t>
        </is>
      </c>
      <c r="C9" s="2" t="n">
        <v>2028</v>
      </c>
      <c r="D9" s="2" t="n">
        <v>6.25</v>
      </c>
      <c r="E9" s="2" t="n">
        <v>4.5</v>
      </c>
      <c r="F9" s="2" t="n">
        <v>1.18</v>
      </c>
      <c r="G9" s="2" t="n">
        <v>3.814</v>
      </c>
      <c r="H9" s="2" t="n">
        <v>0.88</v>
      </c>
      <c r="I9" s="2" t="n">
        <v>3.356</v>
      </c>
      <c r="J9" s="2" t="inlineStr">
        <is>
          <t>SRC_GOOGLE_GEMINI_TOKENS; SRC_GOOGLE_IRONWOOD; SRC_GOOGLE_TPU_V6E</t>
        </is>
      </c>
      <c r="K9" s="2" t="inlineStr">
        <is>
          <t>ASSUMP_TPU_EFFICIENCY; ASSUMP_POWER_RAMP; ASSUMP_INFERENCE_SHARE_NOT_FACT_60</t>
        </is>
      </c>
      <c r="L9" s="2" t="inlineStr">
        <is>
          <t>Medium-High</t>
        </is>
      </c>
    </row>
    <row r="10">
      <c r="A10" s="2" t="inlineStr">
        <is>
          <t>Google</t>
        </is>
      </c>
      <c r="B10" s="2" t="inlineStr">
        <is>
          <t>US</t>
        </is>
      </c>
      <c r="C10" s="2" t="n">
        <v>2029</v>
      </c>
      <c r="D10" s="2" t="n">
        <v>7.125</v>
      </c>
      <c r="E10" s="2" t="n">
        <v>5.65</v>
      </c>
      <c r="F10" s="2" t="n">
        <v>1.18</v>
      </c>
      <c r="G10" s="2" t="n">
        <v>4.788</v>
      </c>
      <c r="H10" s="2" t="n">
        <v>0.88</v>
      </c>
      <c r="I10" s="2" t="n">
        <v>4.214</v>
      </c>
      <c r="J10" s="2" t="inlineStr">
        <is>
          <t>SRC_GOOGLE_GEMINI_TOKENS; SRC_GOOGLE_IRONWOOD; SRC_GOOGLE_TPU_V6E</t>
        </is>
      </c>
      <c r="K10" s="2" t="inlineStr">
        <is>
          <t>ASSUMP_TPU_EFFICIENCY; ASSUMP_POWER_RAMP; ASSUMP_INFERENCE_SHARE_NOT_FACT_60</t>
        </is>
      </c>
      <c r="L10" s="2" t="inlineStr">
        <is>
          <t>Medium-High</t>
        </is>
      </c>
    </row>
    <row r="11">
      <c r="A11" s="2" t="inlineStr">
        <is>
          <t>Google</t>
        </is>
      </c>
      <c r="B11" s="2" t="inlineStr">
        <is>
          <t>US</t>
        </is>
      </c>
      <c r="C11" s="2" t="n">
        <v>2030</v>
      </c>
      <c r="D11" s="2" t="n">
        <v>8</v>
      </c>
      <c r="E11" s="2" t="n">
        <v>6.8</v>
      </c>
      <c r="F11" s="2" t="n">
        <v>1.18</v>
      </c>
      <c r="G11" s="2" t="n">
        <v>5.763</v>
      </c>
      <c r="H11" s="2" t="n">
        <v>0.88</v>
      </c>
      <c r="I11" s="2" t="n">
        <v>5.071</v>
      </c>
      <c r="J11" s="2" t="inlineStr">
        <is>
          <t>SRC_GOOGLE_GEMINI_TOKENS; SRC_GOOGLE_IRONWOOD; SRC_GOOGLE_TPU_V6E</t>
        </is>
      </c>
      <c r="K11" s="2" t="inlineStr">
        <is>
          <t>ASSUMP_TPU_EFFICIENCY; ASSUMP_POWER_RAMP; ASSUMP_INFERENCE_SHARE_NOT_FACT_60</t>
        </is>
      </c>
      <c r="L11" s="2" t="inlineStr">
        <is>
          <t>Medium-High</t>
        </is>
      </c>
    </row>
    <row r="12">
      <c r="A12" s="2" t="inlineStr">
        <is>
          <t>Meta</t>
        </is>
      </c>
      <c r="B12" s="2" t="inlineStr">
        <is>
          <t>US</t>
        </is>
      </c>
      <c r="C12" s="2" t="n">
        <v>2026</v>
      </c>
      <c r="D12" s="2" t="n">
        <v>3.5</v>
      </c>
      <c r="E12" s="2" t="n">
        <v>1.6</v>
      </c>
      <c r="F12" s="2" t="n">
        <v>1.2</v>
      </c>
      <c r="G12" s="2" t="n">
        <v>1.333</v>
      </c>
      <c r="H12" s="2" t="n">
        <v>0.87</v>
      </c>
      <c r="I12" s="2" t="n">
        <v>1.16</v>
      </c>
      <c r="J12" s="2" t="inlineStr">
        <is>
          <t>SRC_META_LLAMA; SRC_META_LLAMA4_NVIDIA</t>
        </is>
      </c>
      <c r="K12" s="2" t="inlineStr">
        <is>
          <t>ASSUMP_CONSUMER_AI_UTILIZATION; ASSUMP_POWER_RAMP; ASSUMP_INFERENCE_SHARE_NOT_FACT_60</t>
        </is>
      </c>
      <c r="L12" s="2" t="inlineStr">
        <is>
          <t>Medium</t>
        </is>
      </c>
    </row>
    <row r="13">
      <c r="A13" s="2" t="inlineStr">
        <is>
          <t>Meta</t>
        </is>
      </c>
      <c r="B13" s="2" t="inlineStr">
        <is>
          <t>US</t>
        </is>
      </c>
      <c r="C13" s="2" t="n">
        <v>2027</v>
      </c>
      <c r="D13" s="2" t="n">
        <v>4.375</v>
      </c>
      <c r="E13" s="2" t="n">
        <v>2.65</v>
      </c>
      <c r="F13" s="2" t="n">
        <v>1.2</v>
      </c>
      <c r="G13" s="2" t="n">
        <v>2.208</v>
      </c>
      <c r="H13" s="2" t="n">
        <v>0.87</v>
      </c>
      <c r="I13" s="2" t="n">
        <v>1.921</v>
      </c>
      <c r="J13" s="2" t="inlineStr">
        <is>
          <t>SRC_META_LLAMA; SRC_META_LLAMA4_NVIDIA</t>
        </is>
      </c>
      <c r="K13" s="2" t="inlineStr">
        <is>
          <t>ASSUMP_CONSUMER_AI_UTILIZATION; ASSUMP_POWER_RAMP; ASSUMP_INFERENCE_SHARE_NOT_FACT_60</t>
        </is>
      </c>
      <c r="L13" s="2" t="inlineStr">
        <is>
          <t>Medium</t>
        </is>
      </c>
    </row>
    <row r="14">
      <c r="A14" s="2" t="inlineStr">
        <is>
          <t>Meta</t>
        </is>
      </c>
      <c r="B14" s="2" t="inlineStr">
        <is>
          <t>US</t>
        </is>
      </c>
      <c r="C14" s="2" t="n">
        <v>2028</v>
      </c>
      <c r="D14" s="2" t="n">
        <v>5.25</v>
      </c>
      <c r="E14" s="2" t="n">
        <v>3.7</v>
      </c>
      <c r="F14" s="2" t="n">
        <v>1.2</v>
      </c>
      <c r="G14" s="2" t="n">
        <v>3.083</v>
      </c>
      <c r="H14" s="2" t="n">
        <v>0.87</v>
      </c>
      <c r="I14" s="2" t="n">
        <v>2.682</v>
      </c>
      <c r="J14" s="2" t="inlineStr">
        <is>
          <t>SRC_META_LLAMA; SRC_META_LLAMA4_NVIDIA</t>
        </is>
      </c>
      <c r="K14" s="2" t="inlineStr">
        <is>
          <t>ASSUMP_CONSUMER_AI_UTILIZATION; ASSUMP_POWER_RAMP; ASSUMP_INFERENCE_SHARE_NOT_FACT_60</t>
        </is>
      </c>
      <c r="L14" s="2" t="inlineStr">
        <is>
          <t>Medium</t>
        </is>
      </c>
    </row>
    <row r="15">
      <c r="A15" s="2" t="inlineStr">
        <is>
          <t>Meta</t>
        </is>
      </c>
      <c r="B15" s="2" t="inlineStr">
        <is>
          <t>US</t>
        </is>
      </c>
      <c r="C15" s="2" t="n">
        <v>2029</v>
      </c>
      <c r="D15" s="2" t="n">
        <v>6.125</v>
      </c>
      <c r="E15" s="2" t="n">
        <v>4.75</v>
      </c>
      <c r="F15" s="2" t="n">
        <v>1.2</v>
      </c>
      <c r="G15" s="2" t="n">
        <v>3.958</v>
      </c>
      <c r="H15" s="2" t="n">
        <v>0.87</v>
      </c>
      <c r="I15" s="2" t="n">
        <v>3.444</v>
      </c>
      <c r="J15" s="2" t="inlineStr">
        <is>
          <t>SRC_META_LLAMA; SRC_META_LLAMA4_NVIDIA</t>
        </is>
      </c>
      <c r="K15" s="2" t="inlineStr">
        <is>
          <t>ASSUMP_CONSUMER_AI_UTILIZATION; ASSUMP_POWER_RAMP; ASSUMP_INFERENCE_SHARE_NOT_FACT_60</t>
        </is>
      </c>
      <c r="L15" s="2" t="inlineStr">
        <is>
          <t>Medium</t>
        </is>
      </c>
    </row>
    <row r="16">
      <c r="A16" s="2" t="inlineStr">
        <is>
          <t>Meta</t>
        </is>
      </c>
      <c r="B16" s="2" t="inlineStr">
        <is>
          <t>US</t>
        </is>
      </c>
      <c r="C16" s="2" t="n">
        <v>2030</v>
      </c>
      <c r="D16" s="2" t="n">
        <v>7</v>
      </c>
      <c r="E16" s="2" t="n">
        <v>5.8</v>
      </c>
      <c r="F16" s="2" t="n">
        <v>1.2</v>
      </c>
      <c r="G16" s="2" t="n">
        <v>4.833</v>
      </c>
      <c r="H16" s="2" t="n">
        <v>0.87</v>
      </c>
      <c r="I16" s="2" t="n">
        <v>4.205</v>
      </c>
      <c r="J16" s="2" t="inlineStr">
        <is>
          <t>SRC_META_LLAMA; SRC_META_LLAMA4_NVIDIA</t>
        </is>
      </c>
      <c r="K16" s="2" t="inlineStr">
        <is>
          <t>ASSUMP_CONSUMER_AI_UTILIZATION; ASSUMP_POWER_RAMP; ASSUMP_INFERENCE_SHARE_NOT_FACT_60</t>
        </is>
      </c>
      <c r="L16" s="2" t="inlineStr">
        <is>
          <t>Medium</t>
        </is>
      </c>
    </row>
    <row r="17">
      <c r="A17" s="2" t="inlineStr">
        <is>
          <t>xAI</t>
        </is>
      </c>
      <c r="B17" s="2" t="inlineStr">
        <is>
          <t>US</t>
        </is>
      </c>
      <c r="C17" s="2" t="n">
        <v>2026</v>
      </c>
      <c r="D17" s="2" t="n">
        <v>1</v>
      </c>
      <c r="E17" s="2" t="n">
        <v>0.35</v>
      </c>
      <c r="F17" s="2" t="n">
        <v>1.22</v>
      </c>
      <c r="G17" s="2" t="n">
        <v>0.287</v>
      </c>
      <c r="H17" s="2" t="n">
        <v>0.85</v>
      </c>
      <c r="I17" s="2" t="n">
        <v>0.244</v>
      </c>
      <c r="J17" s="2" t="inlineStr">
        <is>
          <t>SRC_XAI_MODELS; SRC_XAI_NVIDIA_COLOSSUS</t>
        </is>
      </c>
      <c r="K17" s="2" t="inlineStr">
        <is>
          <t>ASSUMP_CLUSTER_RAMP; ASSUMP_CLOSED_MODEL_BAND; ASSUMP_INFERENCE_SHARE_NOT_FACT_60</t>
        </is>
      </c>
      <c r="L17" s="2" t="inlineStr">
        <is>
          <t>Medium-Low</t>
        </is>
      </c>
    </row>
    <row r="18">
      <c r="A18" s="2" t="inlineStr">
        <is>
          <t>xAI</t>
        </is>
      </c>
      <c r="B18" s="2" t="inlineStr">
        <is>
          <t>US</t>
        </is>
      </c>
      <c r="C18" s="2" t="n">
        <v>2027</v>
      </c>
      <c r="D18" s="2" t="n">
        <v>1.5</v>
      </c>
      <c r="E18" s="2" t="n">
        <v>0.887</v>
      </c>
      <c r="F18" s="2" t="n">
        <v>1.22</v>
      </c>
      <c r="G18" s="2" t="n">
        <v>0.727</v>
      </c>
      <c r="H18" s="2" t="n">
        <v>0.85</v>
      </c>
      <c r="I18" s="2" t="n">
        <v>0.618</v>
      </c>
      <c r="J18" s="2" t="inlineStr">
        <is>
          <t>SRC_XAI_MODELS; SRC_XAI_NVIDIA_COLOSSUS</t>
        </is>
      </c>
      <c r="K18" s="2" t="inlineStr">
        <is>
          <t>ASSUMP_CLUSTER_RAMP; ASSUMP_CLOSED_MODEL_BAND; ASSUMP_INFERENCE_SHARE_NOT_FACT_60</t>
        </is>
      </c>
      <c r="L18" s="2" t="inlineStr">
        <is>
          <t>Medium-Low</t>
        </is>
      </c>
    </row>
    <row r="19">
      <c r="A19" s="2" t="inlineStr">
        <is>
          <t>xAI</t>
        </is>
      </c>
      <c r="B19" s="2" t="inlineStr">
        <is>
          <t>US</t>
        </is>
      </c>
      <c r="C19" s="2" t="n">
        <v>2028</v>
      </c>
      <c r="D19" s="2" t="n">
        <v>2</v>
      </c>
      <c r="E19" s="2" t="n">
        <v>1.425</v>
      </c>
      <c r="F19" s="2" t="n">
        <v>1.22</v>
      </c>
      <c r="G19" s="2" t="n">
        <v>1.168</v>
      </c>
      <c r="H19" s="2" t="n">
        <v>0.85</v>
      </c>
      <c r="I19" s="2" t="n">
        <v>0.993</v>
      </c>
      <c r="J19" s="2" t="inlineStr">
        <is>
          <t>SRC_XAI_MODELS; SRC_XAI_NVIDIA_COLOSSUS</t>
        </is>
      </c>
      <c r="K19" s="2" t="inlineStr">
        <is>
          <t>ASSUMP_CLUSTER_RAMP; ASSUMP_CLOSED_MODEL_BAND; ASSUMP_INFERENCE_SHARE_NOT_FACT_60</t>
        </is>
      </c>
      <c r="L19" s="2" t="inlineStr">
        <is>
          <t>Medium-Low</t>
        </is>
      </c>
    </row>
    <row r="20">
      <c r="A20" s="2" t="inlineStr">
        <is>
          <t>xAI</t>
        </is>
      </c>
      <c r="B20" s="2" t="inlineStr">
        <is>
          <t>US</t>
        </is>
      </c>
      <c r="C20" s="2" t="n">
        <v>2029</v>
      </c>
      <c r="D20" s="2" t="n">
        <v>2.5</v>
      </c>
      <c r="E20" s="2" t="n">
        <v>1.962</v>
      </c>
      <c r="F20" s="2" t="n">
        <v>1.22</v>
      </c>
      <c r="G20" s="2" t="n">
        <v>1.609</v>
      </c>
      <c r="H20" s="2" t="n">
        <v>0.85</v>
      </c>
      <c r="I20" s="2" t="n">
        <v>1.367</v>
      </c>
      <c r="J20" s="2" t="inlineStr">
        <is>
          <t>SRC_XAI_MODELS; SRC_XAI_NVIDIA_COLOSSUS</t>
        </is>
      </c>
      <c r="K20" s="2" t="inlineStr">
        <is>
          <t>ASSUMP_CLUSTER_RAMP; ASSUMP_CLOSED_MODEL_BAND; ASSUMP_INFERENCE_SHARE_NOT_FACT_60</t>
        </is>
      </c>
      <c r="L20" s="2" t="inlineStr">
        <is>
          <t>Medium-Low</t>
        </is>
      </c>
    </row>
    <row r="21">
      <c r="A21" s="2" t="inlineStr">
        <is>
          <t>xAI</t>
        </is>
      </c>
      <c r="B21" s="2" t="inlineStr">
        <is>
          <t>US</t>
        </is>
      </c>
      <c r="C21" s="2" t="n">
        <v>2030</v>
      </c>
      <c r="D21" s="2" t="n">
        <v>3</v>
      </c>
      <c r="E21" s="2" t="n">
        <v>2.5</v>
      </c>
      <c r="F21" s="2" t="n">
        <v>1.22</v>
      </c>
      <c r="G21" s="2" t="n">
        <v>2.049</v>
      </c>
      <c r="H21" s="2" t="n">
        <v>0.85</v>
      </c>
      <c r="I21" s="2" t="n">
        <v>1.742</v>
      </c>
      <c r="J21" s="2" t="inlineStr">
        <is>
          <t>SRC_XAI_MODELS; SRC_XAI_NVIDIA_COLOSSUS</t>
        </is>
      </c>
      <c r="K21" s="2" t="inlineStr">
        <is>
          <t>ASSUMP_CLUSTER_RAMP; ASSUMP_CLOSED_MODEL_BAND; ASSUMP_INFERENCE_SHARE_NOT_FACT_60</t>
        </is>
      </c>
      <c r="L21" s="2" t="inlineStr">
        <is>
          <t>Medium-Low</t>
        </is>
      </c>
    </row>
    <row r="22">
      <c r="A22" s="2" t="inlineStr">
        <is>
          <t>OpenAI</t>
        </is>
      </c>
      <c r="B22" s="2" t="inlineStr">
        <is>
          <t>US</t>
        </is>
      </c>
      <c r="C22" s="2" t="n">
        <v>2026</v>
      </c>
      <c r="D22" s="2" t="n">
        <v>5</v>
      </c>
      <c r="E22" s="2" t="n">
        <v>1.4</v>
      </c>
      <c r="F22" s="2" t="n">
        <v>1.2</v>
      </c>
      <c r="G22" s="2" t="n">
        <v>1.167</v>
      </c>
      <c r="H22" s="2" t="n">
        <v>0.88</v>
      </c>
      <c r="I22" s="2" t="n">
        <v>1.027</v>
      </c>
      <c r="J22" s="2" t="inlineStr">
        <is>
          <t>SRC_OPENAI_GPT41_DOCS; SRC_OPENAI_STARGATE_ORACLE; SRC_OPENAI_STARGATE_PROGRESS</t>
        </is>
      </c>
      <c r="K22" s="2" t="inlineStr">
        <is>
          <t>ASSUMP_STARGATE_RAMP; ASSUMP_MS_OPENAI_ATTRIBUTION; ASSUMP_INFERENCE_SHARE_NOT_FACT_60</t>
        </is>
      </c>
      <c r="L22" s="2" t="inlineStr">
        <is>
          <t>Medium</t>
        </is>
      </c>
    </row>
    <row r="23">
      <c r="A23" s="2" t="inlineStr">
        <is>
          <t>OpenAI</t>
        </is>
      </c>
      <c r="B23" s="2" t="inlineStr">
        <is>
          <t>US</t>
        </is>
      </c>
      <c r="C23" s="2" t="n">
        <v>2027</v>
      </c>
      <c r="D23" s="2" t="n">
        <v>6.75</v>
      </c>
      <c r="E23" s="2" t="n">
        <v>3.175</v>
      </c>
      <c r="F23" s="2" t="n">
        <v>1.2</v>
      </c>
      <c r="G23" s="2" t="n">
        <v>2.646</v>
      </c>
      <c r="H23" s="2" t="n">
        <v>0.88</v>
      </c>
      <c r="I23" s="2" t="n">
        <v>2.328</v>
      </c>
      <c r="J23" s="2" t="inlineStr">
        <is>
          <t>SRC_OPENAI_GPT41_DOCS; SRC_OPENAI_STARGATE_ORACLE; SRC_OPENAI_STARGATE_PROGRESS</t>
        </is>
      </c>
      <c r="K23" s="2" t="inlineStr">
        <is>
          <t>ASSUMP_STARGATE_RAMP; ASSUMP_MS_OPENAI_ATTRIBUTION; ASSUMP_INFERENCE_SHARE_NOT_FACT_60</t>
        </is>
      </c>
      <c r="L23" s="2" t="inlineStr">
        <is>
          <t>Medium</t>
        </is>
      </c>
    </row>
    <row r="24">
      <c r="A24" s="2" t="inlineStr">
        <is>
          <t>OpenAI</t>
        </is>
      </c>
      <c r="B24" s="2" t="inlineStr">
        <is>
          <t>US</t>
        </is>
      </c>
      <c r="C24" s="2" t="n">
        <v>2028</v>
      </c>
      <c r="D24" s="2" t="n">
        <v>8.5</v>
      </c>
      <c r="E24" s="2" t="n">
        <v>4.95</v>
      </c>
      <c r="F24" s="2" t="n">
        <v>1.2</v>
      </c>
      <c r="G24" s="2" t="n">
        <v>4.125</v>
      </c>
      <c r="H24" s="2" t="n">
        <v>0.88</v>
      </c>
      <c r="I24" s="2" t="n">
        <v>3.63</v>
      </c>
      <c r="J24" s="2" t="inlineStr">
        <is>
          <t>SRC_OPENAI_GPT41_DOCS; SRC_OPENAI_STARGATE_ORACLE; SRC_OPENAI_STARGATE_PROGRESS</t>
        </is>
      </c>
      <c r="K24" s="2" t="inlineStr">
        <is>
          <t>ASSUMP_STARGATE_RAMP; ASSUMP_MS_OPENAI_ATTRIBUTION; ASSUMP_INFERENCE_SHARE_NOT_FACT_60</t>
        </is>
      </c>
      <c r="L24" s="2" t="inlineStr">
        <is>
          <t>Medium</t>
        </is>
      </c>
    </row>
    <row r="25">
      <c r="A25" s="2" t="inlineStr">
        <is>
          <t>OpenAI</t>
        </is>
      </c>
      <c r="B25" s="2" t="inlineStr">
        <is>
          <t>US</t>
        </is>
      </c>
      <c r="C25" s="2" t="n">
        <v>2029</v>
      </c>
      <c r="D25" s="2" t="n">
        <v>10.25</v>
      </c>
      <c r="E25" s="2" t="n">
        <v>6.725</v>
      </c>
      <c r="F25" s="2" t="n">
        <v>1.2</v>
      </c>
      <c r="G25" s="2" t="n">
        <v>5.604</v>
      </c>
      <c r="H25" s="2" t="n">
        <v>0.88</v>
      </c>
      <c r="I25" s="2" t="n">
        <v>4.932</v>
      </c>
      <c r="J25" s="2" t="inlineStr">
        <is>
          <t>SRC_OPENAI_GPT41_DOCS; SRC_OPENAI_STARGATE_ORACLE; SRC_OPENAI_STARGATE_PROGRESS</t>
        </is>
      </c>
      <c r="K25" s="2" t="inlineStr">
        <is>
          <t>ASSUMP_STARGATE_RAMP; ASSUMP_MS_OPENAI_ATTRIBUTION; ASSUMP_INFERENCE_SHARE_NOT_FACT_60</t>
        </is>
      </c>
      <c r="L25" s="2" t="inlineStr">
        <is>
          <t>Medium</t>
        </is>
      </c>
    </row>
    <row r="26">
      <c r="A26" s="2" t="inlineStr">
        <is>
          <t>OpenAI</t>
        </is>
      </c>
      <c r="B26" s="2" t="inlineStr">
        <is>
          <t>US</t>
        </is>
      </c>
      <c r="C26" s="2" t="n">
        <v>2030</v>
      </c>
      <c r="D26" s="2" t="n">
        <v>12</v>
      </c>
      <c r="E26" s="2" t="n">
        <v>8.5</v>
      </c>
      <c r="F26" s="2" t="n">
        <v>1.2</v>
      </c>
      <c r="G26" s="2" t="n">
        <v>7.083</v>
      </c>
      <c r="H26" s="2" t="n">
        <v>0.88</v>
      </c>
      <c r="I26" s="2" t="n">
        <v>6.233</v>
      </c>
      <c r="J26" s="2" t="inlineStr">
        <is>
          <t>SRC_OPENAI_GPT41_DOCS; SRC_OPENAI_STARGATE_ORACLE; SRC_OPENAI_STARGATE_PROGRESS</t>
        </is>
      </c>
      <c r="K26" s="2" t="inlineStr">
        <is>
          <t>ASSUMP_STARGATE_RAMP; ASSUMP_MS_OPENAI_ATTRIBUTION; ASSUMP_INFERENCE_SHARE_NOT_FACT_60</t>
        </is>
      </c>
      <c r="L26" s="2" t="inlineStr">
        <is>
          <t>Medium</t>
        </is>
      </c>
    </row>
    <row r="27">
      <c r="A27" s="2" t="inlineStr">
        <is>
          <t>DeepSeek</t>
        </is>
      </c>
      <c r="B27" s="2" t="inlineStr">
        <is>
          <t>China</t>
        </is>
      </c>
      <c r="C27" s="2" t="n">
        <v>2026</v>
      </c>
      <c r="D27" s="2" t="n">
        <v>0.5</v>
      </c>
      <c r="E27" s="2" t="n">
        <v>0.15</v>
      </c>
      <c r="F27" s="2" t="n">
        <v>1.24</v>
      </c>
      <c r="G27" s="2" t="n">
        <v>0.121</v>
      </c>
      <c r="H27" s="2" t="n">
        <v>0.82</v>
      </c>
      <c r="I27" s="2" t="n">
        <v>0.099</v>
      </c>
      <c r="J27" s="2" t="inlineStr">
        <is>
          <t>SRC_DEEPSEEK_V3; SRC_DEEPSEEK_R1</t>
        </is>
      </c>
      <c r="K27" s="2" t="inlineStr">
        <is>
          <t>ASSUMP_MOE_EFFICIENCY; ASSUMP_CN_CAPACITY_TRANSPARENCY; ASSUMP_INFERENCE_SHARE_NOT_FACT_60</t>
        </is>
      </c>
      <c r="L27" s="2" t="inlineStr">
        <is>
          <t>Parameter High / Capacity Low-Medium</t>
        </is>
      </c>
    </row>
    <row r="28">
      <c r="A28" s="2" t="inlineStr">
        <is>
          <t>DeepSeek</t>
        </is>
      </c>
      <c r="B28" s="2" t="inlineStr">
        <is>
          <t>China</t>
        </is>
      </c>
      <c r="C28" s="2" t="n">
        <v>2027</v>
      </c>
      <c r="D28" s="2" t="n">
        <v>0.825</v>
      </c>
      <c r="E28" s="2" t="n">
        <v>0.412</v>
      </c>
      <c r="F28" s="2" t="n">
        <v>1.24</v>
      </c>
      <c r="G28" s="2" t="n">
        <v>0.333</v>
      </c>
      <c r="H28" s="2" t="n">
        <v>0.82</v>
      </c>
      <c r="I28" s="2" t="n">
        <v>0.273</v>
      </c>
      <c r="J28" s="2" t="inlineStr">
        <is>
          <t>SRC_DEEPSEEK_V3; SRC_DEEPSEEK_R1</t>
        </is>
      </c>
      <c r="K28" s="2" t="inlineStr">
        <is>
          <t>ASSUMP_MOE_EFFICIENCY; ASSUMP_CN_CAPACITY_TRANSPARENCY; ASSUMP_INFERENCE_SHARE_NOT_FACT_60</t>
        </is>
      </c>
      <c r="L28" s="2" t="inlineStr">
        <is>
          <t>Parameter High / Capacity Low-Medium</t>
        </is>
      </c>
    </row>
    <row r="29">
      <c r="A29" s="2" t="inlineStr">
        <is>
          <t>DeepSeek</t>
        </is>
      </c>
      <c r="B29" s="2" t="inlineStr">
        <is>
          <t>China</t>
        </is>
      </c>
      <c r="C29" s="2" t="n">
        <v>2028</v>
      </c>
      <c r="D29" s="2" t="n">
        <v>1.15</v>
      </c>
      <c r="E29" s="2" t="n">
        <v>0.675</v>
      </c>
      <c r="F29" s="2" t="n">
        <v>1.24</v>
      </c>
      <c r="G29" s="2" t="n">
        <v>0.544</v>
      </c>
      <c r="H29" s="2" t="n">
        <v>0.82</v>
      </c>
      <c r="I29" s="2" t="n">
        <v>0.446</v>
      </c>
      <c r="J29" s="2" t="inlineStr">
        <is>
          <t>SRC_DEEPSEEK_V3; SRC_DEEPSEEK_R1</t>
        </is>
      </c>
      <c r="K29" s="2" t="inlineStr">
        <is>
          <t>ASSUMP_MOE_EFFICIENCY; ASSUMP_CN_CAPACITY_TRANSPARENCY; ASSUMP_INFERENCE_SHARE_NOT_FACT_60</t>
        </is>
      </c>
      <c r="L29" s="2" t="inlineStr">
        <is>
          <t>Parameter High / Capacity Low-Medium</t>
        </is>
      </c>
    </row>
    <row r="30">
      <c r="A30" s="2" t="inlineStr">
        <is>
          <t>DeepSeek</t>
        </is>
      </c>
      <c r="B30" s="2" t="inlineStr">
        <is>
          <t>China</t>
        </is>
      </c>
      <c r="C30" s="2" t="n">
        <v>2029</v>
      </c>
      <c r="D30" s="2" t="n">
        <v>1.475</v>
      </c>
      <c r="E30" s="2" t="n">
        <v>0.9379999999999999</v>
      </c>
      <c r="F30" s="2" t="n">
        <v>1.24</v>
      </c>
      <c r="G30" s="2" t="n">
        <v>0.756</v>
      </c>
      <c r="H30" s="2" t="n">
        <v>0.82</v>
      </c>
      <c r="I30" s="2" t="n">
        <v>0.62</v>
      </c>
      <c r="J30" s="2" t="inlineStr">
        <is>
          <t>SRC_DEEPSEEK_V3; SRC_DEEPSEEK_R1</t>
        </is>
      </c>
      <c r="K30" s="2" t="inlineStr">
        <is>
          <t>ASSUMP_MOE_EFFICIENCY; ASSUMP_CN_CAPACITY_TRANSPARENCY; ASSUMP_INFERENCE_SHARE_NOT_FACT_60</t>
        </is>
      </c>
      <c r="L30" s="2" t="inlineStr">
        <is>
          <t>Parameter High / Capacity Low-Medium</t>
        </is>
      </c>
    </row>
    <row r="31">
      <c r="A31" s="2" t="inlineStr">
        <is>
          <t>DeepSeek</t>
        </is>
      </c>
      <c r="B31" s="2" t="inlineStr">
        <is>
          <t>China</t>
        </is>
      </c>
      <c r="C31" s="2" t="n">
        <v>2030</v>
      </c>
      <c r="D31" s="2" t="n">
        <v>1.8</v>
      </c>
      <c r="E31" s="2" t="n">
        <v>1.2</v>
      </c>
      <c r="F31" s="2" t="n">
        <v>1.24</v>
      </c>
      <c r="G31" s="2" t="n">
        <v>0.968</v>
      </c>
      <c r="H31" s="2" t="n">
        <v>0.82</v>
      </c>
      <c r="I31" s="2" t="n">
        <v>0.794</v>
      </c>
      <c r="J31" s="2" t="inlineStr">
        <is>
          <t>SRC_DEEPSEEK_V3; SRC_DEEPSEEK_R1</t>
        </is>
      </c>
      <c r="K31" s="2" t="inlineStr">
        <is>
          <t>ASSUMP_MOE_EFFICIENCY; ASSUMP_CN_CAPACITY_TRANSPARENCY; ASSUMP_INFERENCE_SHARE_NOT_FACT_60</t>
        </is>
      </c>
      <c r="L31" s="2" t="inlineStr">
        <is>
          <t>Parameter High / Capacity Low-Medium</t>
        </is>
      </c>
    </row>
    <row r="32">
      <c r="A32" s="2" t="inlineStr">
        <is>
          <t>Alibaba</t>
        </is>
      </c>
      <c r="B32" s="2" t="inlineStr">
        <is>
          <t>China</t>
        </is>
      </c>
      <c r="C32" s="2" t="n">
        <v>2026</v>
      </c>
      <c r="D32" s="2" t="n">
        <v>1.8</v>
      </c>
      <c r="E32" s="2" t="n">
        <v>0.65</v>
      </c>
      <c r="F32" s="2" t="n">
        <v>1.23</v>
      </c>
      <c r="G32" s="2" t="n">
        <v>0.528</v>
      </c>
      <c r="H32" s="2" t="n">
        <v>0.84</v>
      </c>
      <c r="I32" s="2" t="n">
        <v>0.444</v>
      </c>
      <c r="J32" s="2" t="inlineStr">
        <is>
          <t>SRC_QWEN3_GITHUB</t>
        </is>
      </c>
      <c r="K32" s="2" t="inlineStr">
        <is>
          <t>ASSUMP_MOE_EFFICIENCY; ASSUMP_CN_CAPACITY_TRANSPARENCY; ASSUMP_INFERENCE_SHARE_NOT_FACT_60</t>
        </is>
      </c>
      <c r="L32" s="2" t="inlineStr">
        <is>
          <t>Medium</t>
        </is>
      </c>
    </row>
    <row r="33">
      <c r="A33" s="2" t="inlineStr">
        <is>
          <t>Alibaba</t>
        </is>
      </c>
      <c r="B33" s="2" t="inlineStr">
        <is>
          <t>China</t>
        </is>
      </c>
      <c r="C33" s="2" t="n">
        <v>2027</v>
      </c>
      <c r="D33" s="2" t="n">
        <v>2.35</v>
      </c>
      <c r="E33" s="2" t="n">
        <v>1.288</v>
      </c>
      <c r="F33" s="2" t="n">
        <v>1.23</v>
      </c>
      <c r="G33" s="2" t="n">
        <v>1.047</v>
      </c>
      <c r="H33" s="2" t="n">
        <v>0.84</v>
      </c>
      <c r="I33" s="2" t="n">
        <v>0.879</v>
      </c>
      <c r="J33" s="2" t="inlineStr">
        <is>
          <t>SRC_QWEN3_GITHUB</t>
        </is>
      </c>
      <c r="K33" s="2" t="inlineStr">
        <is>
          <t>ASSUMP_MOE_EFFICIENCY; ASSUMP_CN_CAPACITY_TRANSPARENCY; ASSUMP_INFERENCE_SHARE_NOT_FACT_60</t>
        </is>
      </c>
      <c r="L33" s="2" t="inlineStr">
        <is>
          <t>Medium</t>
        </is>
      </c>
    </row>
    <row r="34">
      <c r="A34" s="2" t="inlineStr">
        <is>
          <t>Alibaba</t>
        </is>
      </c>
      <c r="B34" s="2" t="inlineStr">
        <is>
          <t>China</t>
        </is>
      </c>
      <c r="C34" s="2" t="n">
        <v>2028</v>
      </c>
      <c r="D34" s="2" t="n">
        <v>2.9</v>
      </c>
      <c r="E34" s="2" t="n">
        <v>1.925</v>
      </c>
      <c r="F34" s="2" t="n">
        <v>1.23</v>
      </c>
      <c r="G34" s="2" t="n">
        <v>1.565</v>
      </c>
      <c r="H34" s="2" t="n">
        <v>0.84</v>
      </c>
      <c r="I34" s="2" t="n">
        <v>1.315</v>
      </c>
      <c r="J34" s="2" t="inlineStr">
        <is>
          <t>SRC_QWEN3_GITHUB</t>
        </is>
      </c>
      <c r="K34" s="2" t="inlineStr">
        <is>
          <t>ASSUMP_MOE_EFFICIENCY; ASSUMP_CN_CAPACITY_TRANSPARENCY; ASSUMP_INFERENCE_SHARE_NOT_FACT_60</t>
        </is>
      </c>
      <c r="L34" s="2" t="inlineStr">
        <is>
          <t>Medium</t>
        </is>
      </c>
    </row>
    <row r="35">
      <c r="A35" s="2" t="inlineStr">
        <is>
          <t>Alibaba</t>
        </is>
      </c>
      <c r="B35" s="2" t="inlineStr">
        <is>
          <t>China</t>
        </is>
      </c>
      <c r="C35" s="2" t="n">
        <v>2029</v>
      </c>
      <c r="D35" s="2" t="n">
        <v>3.45</v>
      </c>
      <c r="E35" s="2" t="n">
        <v>2.562</v>
      </c>
      <c r="F35" s="2" t="n">
        <v>1.23</v>
      </c>
      <c r="G35" s="2" t="n">
        <v>2.083</v>
      </c>
      <c r="H35" s="2" t="n">
        <v>0.84</v>
      </c>
      <c r="I35" s="2" t="n">
        <v>1.75</v>
      </c>
      <c r="J35" s="2" t="inlineStr">
        <is>
          <t>SRC_QWEN3_GITHUB</t>
        </is>
      </c>
      <c r="K35" s="2" t="inlineStr">
        <is>
          <t>ASSUMP_MOE_EFFICIENCY; ASSUMP_CN_CAPACITY_TRANSPARENCY; ASSUMP_INFERENCE_SHARE_NOT_FACT_60</t>
        </is>
      </c>
      <c r="L35" s="2" t="inlineStr">
        <is>
          <t>Medium</t>
        </is>
      </c>
    </row>
    <row r="36">
      <c r="A36" s="2" t="inlineStr">
        <is>
          <t>Alibaba</t>
        </is>
      </c>
      <c r="B36" s="2" t="inlineStr">
        <is>
          <t>China</t>
        </is>
      </c>
      <c r="C36" s="2" t="n">
        <v>2030</v>
      </c>
      <c r="D36" s="2" t="n">
        <v>4</v>
      </c>
      <c r="E36" s="2" t="n">
        <v>3.2</v>
      </c>
      <c r="F36" s="2" t="n">
        <v>1.23</v>
      </c>
      <c r="G36" s="2" t="n">
        <v>2.602</v>
      </c>
      <c r="H36" s="2" t="n">
        <v>0.84</v>
      </c>
      <c r="I36" s="2" t="n">
        <v>2.185</v>
      </c>
      <c r="J36" s="2" t="inlineStr">
        <is>
          <t>SRC_QWEN3_GITHUB</t>
        </is>
      </c>
      <c r="K36" s="2" t="inlineStr">
        <is>
          <t>ASSUMP_MOE_EFFICIENCY; ASSUMP_CN_CAPACITY_TRANSPARENCY; ASSUMP_INFERENCE_SHARE_NOT_FACT_60</t>
        </is>
      </c>
      <c r="L36" s="2" t="inlineStr">
        <is>
          <t>Medium</t>
        </is>
      </c>
    </row>
    <row r="37">
      <c r="A37" s="2" t="inlineStr">
        <is>
          <t>Tencent</t>
        </is>
      </c>
      <c r="B37" s="2" t="inlineStr">
        <is>
          <t>China</t>
        </is>
      </c>
      <c r="C37" s="2" t="n">
        <v>2026</v>
      </c>
      <c r="D37" s="2" t="n">
        <v>1.2</v>
      </c>
      <c r="E37" s="2" t="n">
        <v>0.45</v>
      </c>
      <c r="F37" s="2" t="n">
        <v>1.23</v>
      </c>
      <c r="G37" s="2" t="n">
        <v>0.366</v>
      </c>
      <c r="H37" s="2" t="n">
        <v>0.84</v>
      </c>
      <c r="I37" s="2" t="n">
        <v>0.307</v>
      </c>
      <c r="J37" s="2" t="inlineStr">
        <is>
          <t>SRC_TENCENT_HUNYUAN; SRC_TENCENT_HY3</t>
        </is>
      </c>
      <c r="K37" s="2" t="inlineStr">
        <is>
          <t>ASSUMP_CN_CAPACITY_TRANSPARENCY; ASSUMP_APP_EMBEDDING; ASSUMP_INFERENCE_SHARE_NOT_FACT_60</t>
        </is>
      </c>
      <c r="L37" s="2" t="inlineStr">
        <is>
          <t>Medium-Low</t>
        </is>
      </c>
    </row>
    <row r="38">
      <c r="A38" s="2" t="inlineStr">
        <is>
          <t>Tencent</t>
        </is>
      </c>
      <c r="B38" s="2" t="inlineStr">
        <is>
          <t>China</t>
        </is>
      </c>
      <c r="C38" s="2" t="n">
        <v>2027</v>
      </c>
      <c r="D38" s="2" t="n">
        <v>1.65</v>
      </c>
      <c r="E38" s="2" t="n">
        <v>0.9379999999999999</v>
      </c>
      <c r="F38" s="2" t="n">
        <v>1.23</v>
      </c>
      <c r="G38" s="2" t="n">
        <v>0.762</v>
      </c>
      <c r="H38" s="2" t="n">
        <v>0.84</v>
      </c>
      <c r="I38" s="2" t="n">
        <v>0.64</v>
      </c>
      <c r="J38" s="2" t="inlineStr">
        <is>
          <t>SRC_TENCENT_HUNYUAN; SRC_TENCENT_HY3</t>
        </is>
      </c>
      <c r="K38" s="2" t="inlineStr">
        <is>
          <t>ASSUMP_CN_CAPACITY_TRANSPARENCY; ASSUMP_APP_EMBEDDING; ASSUMP_INFERENCE_SHARE_NOT_FACT_60</t>
        </is>
      </c>
      <c r="L38" s="2" t="inlineStr">
        <is>
          <t>Medium-Low</t>
        </is>
      </c>
    </row>
    <row r="39">
      <c r="A39" s="2" t="inlineStr">
        <is>
          <t>Tencent</t>
        </is>
      </c>
      <c r="B39" s="2" t="inlineStr">
        <is>
          <t>China</t>
        </is>
      </c>
      <c r="C39" s="2" t="n">
        <v>2028</v>
      </c>
      <c r="D39" s="2" t="n">
        <v>2.1</v>
      </c>
      <c r="E39" s="2" t="n">
        <v>1.425</v>
      </c>
      <c r="F39" s="2" t="n">
        <v>1.23</v>
      </c>
      <c r="G39" s="2" t="n">
        <v>1.159</v>
      </c>
      <c r="H39" s="2" t="n">
        <v>0.84</v>
      </c>
      <c r="I39" s="2" t="n">
        <v>0.973</v>
      </c>
      <c r="J39" s="2" t="inlineStr">
        <is>
          <t>SRC_TENCENT_HUNYUAN; SRC_TENCENT_HY3</t>
        </is>
      </c>
      <c r="K39" s="2" t="inlineStr">
        <is>
          <t>ASSUMP_CN_CAPACITY_TRANSPARENCY; ASSUMP_APP_EMBEDDING; ASSUMP_INFERENCE_SHARE_NOT_FACT_60</t>
        </is>
      </c>
      <c r="L39" s="2" t="inlineStr">
        <is>
          <t>Medium-Low</t>
        </is>
      </c>
    </row>
    <row r="40">
      <c r="A40" s="2" t="inlineStr">
        <is>
          <t>Tencent</t>
        </is>
      </c>
      <c r="B40" s="2" t="inlineStr">
        <is>
          <t>China</t>
        </is>
      </c>
      <c r="C40" s="2" t="n">
        <v>2029</v>
      </c>
      <c r="D40" s="2" t="n">
        <v>2.55</v>
      </c>
      <c r="E40" s="2" t="n">
        <v>1.912</v>
      </c>
      <c r="F40" s="2" t="n">
        <v>1.23</v>
      </c>
      <c r="G40" s="2" t="n">
        <v>1.555</v>
      </c>
      <c r="H40" s="2" t="n">
        <v>0.84</v>
      </c>
      <c r="I40" s="2" t="n">
        <v>1.306</v>
      </c>
      <c r="J40" s="2" t="inlineStr">
        <is>
          <t>SRC_TENCENT_HUNYUAN; SRC_TENCENT_HY3</t>
        </is>
      </c>
      <c r="K40" s="2" t="inlineStr">
        <is>
          <t>ASSUMP_CN_CAPACITY_TRANSPARENCY; ASSUMP_APP_EMBEDDING; ASSUMP_INFERENCE_SHARE_NOT_FACT_60</t>
        </is>
      </c>
      <c r="L40" s="2" t="inlineStr">
        <is>
          <t>Medium-Low</t>
        </is>
      </c>
    </row>
    <row r="41">
      <c r="A41" s="2" t="inlineStr">
        <is>
          <t>Tencent</t>
        </is>
      </c>
      <c r="B41" s="2" t="inlineStr">
        <is>
          <t>China</t>
        </is>
      </c>
      <c r="C41" s="2" t="n">
        <v>2030</v>
      </c>
      <c r="D41" s="2" t="n">
        <v>3</v>
      </c>
      <c r="E41" s="2" t="n">
        <v>2.4</v>
      </c>
      <c r="F41" s="2" t="n">
        <v>1.23</v>
      </c>
      <c r="G41" s="2" t="n">
        <v>1.951</v>
      </c>
      <c r="H41" s="2" t="n">
        <v>0.84</v>
      </c>
      <c r="I41" s="2" t="n">
        <v>1.639</v>
      </c>
      <c r="J41" s="2" t="inlineStr">
        <is>
          <t>SRC_TENCENT_HUNYUAN; SRC_TENCENT_HY3</t>
        </is>
      </c>
      <c r="K41" s="2" t="inlineStr">
        <is>
          <t>ASSUMP_CN_CAPACITY_TRANSPARENCY; ASSUMP_APP_EMBEDDING; ASSUMP_INFERENCE_SHARE_NOT_FACT_60</t>
        </is>
      </c>
      <c r="L41" s="2" t="inlineStr">
        <is>
          <t>Medium-Low</t>
        </is>
      </c>
    </row>
  </sheetData>
  <autoFilter ref="A1:L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company</t>
        </is>
      </c>
      <c r="B1" s="1" t="inlineStr">
        <is>
          <t>gpu_asic_mix</t>
        </is>
      </c>
      <c r="C1" s="1" t="inlineStr">
        <is>
          <t>serving_platform</t>
        </is>
      </c>
      <c r="D1" s="1" t="inlineStr">
        <is>
          <t>confidence</t>
        </is>
      </c>
      <c r="E1" s="1" t="inlineStr">
        <is>
          <t>source_ids</t>
        </is>
      </c>
    </row>
    <row r="2">
      <c r="A2" s="2" t="inlineStr">
        <is>
          <t>Microsoft</t>
        </is>
      </c>
      <c r="B2" s="2" t="inlineStr">
        <is>
          <t>NVIDIA GPU, Azure Maia, OpenAI-hosted frontier serving</t>
        </is>
      </c>
      <c r="C2" s="2" t="inlineStr">
        <is>
          <t>Azure GPU + Maia inference + OpenAI-hosted dependency split</t>
        </is>
      </c>
      <c r="D2" s="2" t="inlineStr">
        <is>
          <t>Medium</t>
        </is>
      </c>
      <c r="E2" s="2" t="inlineStr">
        <is>
          <t>SRC_MS_PHI; SRC_OPENAI_GPT41_DOCS</t>
        </is>
      </c>
    </row>
    <row r="3">
      <c r="A3" s="2" t="inlineStr">
        <is>
          <t>Google</t>
        </is>
      </c>
      <c r="B3" s="2" t="inlineStr">
        <is>
          <t>TPU-heavy serving, Google Cloud GPU where needed</t>
        </is>
      </c>
      <c r="C3" s="2" t="inlineStr">
        <is>
          <t>TPU v5/v6/Ironwood + selective NVIDIA GPU</t>
        </is>
      </c>
      <c r="D3" s="2" t="inlineStr">
        <is>
          <t>Medium-High</t>
        </is>
      </c>
      <c r="E3" s="2" t="inlineStr">
        <is>
          <t>SRC_GOOGLE_GEMINI_TOKENS; SRC_GOOGLE_IRONWOOD</t>
        </is>
      </c>
    </row>
    <row r="4">
      <c r="A4" s="2" t="inlineStr">
        <is>
          <t>Meta</t>
        </is>
      </c>
      <c r="B4" s="2" t="inlineStr">
        <is>
          <t>NVIDIA GPU, MTIA for internal inference acceleration</t>
        </is>
      </c>
      <c r="C4" s="2" t="inlineStr">
        <is>
          <t>NVIDIA GPU fleet + MTIA inference layer</t>
        </is>
      </c>
      <c r="D4" s="2" t="inlineStr">
        <is>
          <t>Medium-High for open model params, Medium for active capacity</t>
        </is>
      </c>
      <c r="E4" s="2" t="inlineStr">
        <is>
          <t>SRC_META_LLAMA; SRC_META_LLAMA4_NVIDIA</t>
        </is>
      </c>
    </row>
    <row r="5">
      <c r="A5" s="2" t="inlineStr">
        <is>
          <t>xAI</t>
        </is>
      </c>
      <c r="B5" s="2" t="inlineStr">
        <is>
          <t>NVIDIA GPU dominated</t>
        </is>
      </c>
      <c r="C5" s="2" t="inlineStr">
        <is>
          <t>Colossus-style NVIDIA GPU clusters</t>
        </is>
      </c>
      <c r="D5" s="2" t="inlineStr">
        <is>
          <t>Medium-Low</t>
        </is>
      </c>
      <c r="E5" s="2" t="inlineStr">
        <is>
          <t>SRC_XAI_MODELS</t>
        </is>
      </c>
    </row>
    <row r="6">
      <c r="A6" s="2" t="inlineStr">
        <is>
          <t>OpenAI</t>
        </is>
      </c>
      <c r="B6" s="2" t="inlineStr">
        <is>
          <t>NVIDIA GPU dominated; custom/partner accelerators TBD</t>
        </is>
      </c>
      <c r="C6" s="2" t="inlineStr">
        <is>
          <t>Azure + Oracle/Stargate + partner GPU clusters</t>
        </is>
      </c>
      <c r="D6" s="2" t="inlineStr">
        <is>
          <t>Medium</t>
        </is>
      </c>
      <c r="E6" s="2" t="inlineStr">
        <is>
          <t>SRC_OPENAI_GPT41_DOCS; SRC_OPENAI_STARGATE_ORACLE</t>
        </is>
      </c>
    </row>
    <row r="7">
      <c r="A7" s="2" t="inlineStr">
        <is>
          <t>DeepSeek</t>
        </is>
      </c>
      <c r="B7" s="2" t="inlineStr">
        <is>
          <t>NVIDIA/China-available GPU mix, MoE efficiency emphasis</t>
        </is>
      </c>
      <c r="C7" s="2" t="inlineStr">
        <is>
          <t>GPU-constrained serving with MoE efficiency and local cloud deployments</t>
        </is>
      </c>
      <c r="D7" s="2" t="inlineStr">
        <is>
          <t>High for parameters, Low-Medium for capacity</t>
        </is>
      </c>
      <c r="E7" s="2" t="inlineStr">
        <is>
          <t>SRC_DEEPSEEK_V3; SRC_DEEPSEEK_R1</t>
        </is>
      </c>
    </row>
    <row r="8">
      <c r="A8" s="2" t="inlineStr">
        <is>
          <t>Alibaba</t>
        </is>
      </c>
      <c r="B8" s="2" t="inlineStr">
        <is>
          <t>NVIDIA/China accelerators + cloud serving stack</t>
        </is>
      </c>
      <c r="C8" s="2" t="inlineStr">
        <is>
          <t>Alibaba Cloud GPU/China accelerator mix</t>
        </is>
      </c>
      <c r="D8" s="2" t="inlineStr">
        <is>
          <t>High for Qwen3 parameters, Medium-Low for active capacity</t>
        </is>
      </c>
      <c r="E8" s="2" t="inlineStr">
        <is>
          <t>SRC_QWEN3_GITHUB</t>
        </is>
      </c>
    </row>
    <row r="9">
      <c r="A9" s="2" t="inlineStr">
        <is>
          <t>Tencent</t>
        </is>
      </c>
      <c r="B9" s="2" t="inlineStr">
        <is>
          <t>NVIDIA/China accelerators, Tencent Cloud inference</t>
        </is>
      </c>
      <c r="C9" s="2" t="inlineStr">
        <is>
          <t>Tencent Cloud GPU/China accelerator mix</t>
        </is>
      </c>
      <c r="D9" s="2" t="inlineStr">
        <is>
          <t>Medium for Hunyuan published anchor, Medium-Low for active capacity</t>
        </is>
      </c>
      <c r="E9" s="2" t="inlineStr">
        <is>
          <t>SRC_TENCENT_HUNYUAN; SRC_TENCENT_HY3</t>
        </is>
      </c>
    </row>
  </sheetData>
  <autoFilter ref="A1:E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8" customWidth="1" min="4" max="4"/>
    <col width="13" customWidth="1" min="5" max="5"/>
    <col width="19" customWidth="1" min="6" max="6"/>
    <col width="38" customWidth="1" min="7" max="7"/>
    <col width="38" customWidth="1" min="8" max="8"/>
    <col width="38" customWidth="1" min="9" max="9"/>
  </cols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tokens_per_second_per_mw</t>
        </is>
      </c>
      <c r="D1" s="1" t="inlineStr">
        <is>
          <t>joules_per_token</t>
        </is>
      </c>
      <c r="E1" s="1" t="inlineStr">
        <is>
          <t>utilization</t>
        </is>
      </c>
      <c r="F1" s="1" t="inlineStr">
        <is>
          <t>derivation_type</t>
        </is>
      </c>
      <c r="G1" s="1" t="inlineStr">
        <is>
          <t>source_ids</t>
        </is>
      </c>
      <c r="H1" s="1" t="inlineStr">
        <is>
          <t>assumption_ids</t>
        </is>
      </c>
      <c r="I1" s="1" t="inlineStr">
        <is>
          <t>confidence</t>
        </is>
      </c>
    </row>
    <row r="2">
      <c r="A2" s="2" t="inlineStr">
        <is>
          <t>Microsoft</t>
        </is>
      </c>
      <c r="B2" s="2" t="n">
        <v>2026</v>
      </c>
      <c r="C2" s="2" t="n">
        <v>1050000</v>
      </c>
      <c r="D2" s="2" t="n">
        <v>0.9524</v>
      </c>
      <c r="E2" s="2" t="n">
        <v>0.54</v>
      </c>
      <c r="F2" s="2" t="inlineStr">
        <is>
          <t>Estimate+Scenario</t>
        </is>
      </c>
      <c r="G2" s="2" t="inlineStr">
        <is>
          <t>SRC_MS_PHI; SRC_OPENAI_GPT41_DOCS; SRC_MS_PHI4_TECHREPORT</t>
        </is>
      </c>
      <c r="H2" s="2" t="inlineStr">
        <is>
          <t>ASSUMP_POWER_RAMP; ASSUMP_MS_OPENAI_ATTRIBUTION; ASSUMP_INFERENCE_SHARE_NOT_FACT_60</t>
        </is>
      </c>
      <c r="I2" s="2" t="inlineStr">
        <is>
          <t>Medium</t>
        </is>
      </c>
    </row>
    <row r="3">
      <c r="A3" s="2" t="inlineStr">
        <is>
          <t>Microsoft</t>
        </is>
      </c>
      <c r="B3" s="2" t="n">
        <v>2027</v>
      </c>
      <c r="C3" s="2" t="n">
        <v>1218000</v>
      </c>
      <c r="D3" s="2" t="n">
        <v>0.821</v>
      </c>
      <c r="E3" s="2" t="n">
        <v>0.575</v>
      </c>
      <c r="F3" s="2" t="inlineStr">
        <is>
          <t>Estimate+Scenario</t>
        </is>
      </c>
      <c r="G3" s="2" t="inlineStr">
        <is>
          <t>SRC_MS_PHI; SRC_OPENAI_GPT41_DOCS; SRC_MS_PHI4_TECHREPORT</t>
        </is>
      </c>
      <c r="H3" s="2" t="inlineStr">
        <is>
          <t>ASSUMP_POWER_RAMP; ASSUMP_MS_OPENAI_ATTRIBUTION; ASSUMP_INFERENCE_SHARE_NOT_FACT_60</t>
        </is>
      </c>
      <c r="I3" s="2" t="inlineStr">
        <is>
          <t>Medium</t>
        </is>
      </c>
    </row>
    <row r="4">
      <c r="A4" s="2" t="inlineStr">
        <is>
          <t>Microsoft</t>
        </is>
      </c>
      <c r="B4" s="2" t="n">
        <v>2028</v>
      </c>
      <c r="C4" s="2" t="n">
        <v>1412880</v>
      </c>
      <c r="D4" s="2" t="n">
        <v>0.7078</v>
      </c>
      <c r="E4" s="2" t="n">
        <v>0.61</v>
      </c>
      <c r="F4" s="2" t="inlineStr">
        <is>
          <t>Estimate+Scenario</t>
        </is>
      </c>
      <c r="G4" s="2" t="inlineStr">
        <is>
          <t>SRC_MS_PHI; SRC_OPENAI_GPT41_DOCS; SRC_MS_PHI4_TECHREPORT</t>
        </is>
      </c>
      <c r="H4" s="2" t="inlineStr">
        <is>
          <t>ASSUMP_POWER_RAMP; ASSUMP_MS_OPENAI_ATTRIBUTION; ASSUMP_INFERENCE_SHARE_NOT_FACT_60</t>
        </is>
      </c>
      <c r="I4" s="2" t="inlineStr">
        <is>
          <t>Medium</t>
        </is>
      </c>
    </row>
    <row r="5">
      <c r="A5" s="2" t="inlineStr">
        <is>
          <t>Microsoft</t>
        </is>
      </c>
      <c r="B5" s="2" t="n">
        <v>2029</v>
      </c>
      <c r="C5" s="2" t="n">
        <v>1638941</v>
      </c>
      <c r="D5" s="2" t="n">
        <v>0.6102</v>
      </c>
      <c r="E5" s="2" t="n">
        <v>0.645</v>
      </c>
      <c r="F5" s="2" t="inlineStr">
        <is>
          <t>Estimate+Scenario</t>
        </is>
      </c>
      <c r="G5" s="2" t="inlineStr">
        <is>
          <t>SRC_MS_PHI; SRC_OPENAI_GPT41_DOCS; SRC_MS_PHI4_TECHREPORT</t>
        </is>
      </c>
      <c r="H5" s="2" t="inlineStr">
        <is>
          <t>ASSUMP_POWER_RAMP; ASSUMP_MS_OPENAI_ATTRIBUTION; ASSUMP_INFERENCE_SHARE_NOT_FACT_60</t>
        </is>
      </c>
      <c r="I5" s="2" t="inlineStr">
        <is>
          <t>Medium</t>
        </is>
      </c>
    </row>
    <row r="6">
      <c r="A6" s="2" t="inlineStr">
        <is>
          <t>Microsoft</t>
        </is>
      </c>
      <c r="B6" s="2" t="n">
        <v>2030</v>
      </c>
      <c r="C6" s="2" t="n">
        <v>1901171</v>
      </c>
      <c r="D6" s="2" t="n">
        <v>0.526</v>
      </c>
      <c r="E6" s="2" t="n">
        <v>0.68</v>
      </c>
      <c r="F6" s="2" t="inlineStr">
        <is>
          <t>Estimate+Scenario</t>
        </is>
      </c>
      <c r="G6" s="2" t="inlineStr">
        <is>
          <t>SRC_MS_PHI; SRC_OPENAI_GPT41_DOCS; SRC_MS_PHI4_TECHREPORT</t>
        </is>
      </c>
      <c r="H6" s="2" t="inlineStr">
        <is>
          <t>ASSUMP_POWER_RAMP; ASSUMP_MS_OPENAI_ATTRIBUTION; ASSUMP_INFERENCE_SHARE_NOT_FACT_60</t>
        </is>
      </c>
      <c r="I6" s="2" t="inlineStr">
        <is>
          <t>Medium</t>
        </is>
      </c>
    </row>
    <row r="7">
      <c r="A7" s="2" t="inlineStr">
        <is>
          <t>Google</t>
        </is>
      </c>
      <c r="B7" s="2" t="n">
        <v>2026</v>
      </c>
      <c r="C7" s="2" t="n">
        <v>1250000</v>
      </c>
      <c r="D7" s="2" t="n">
        <v>0.8</v>
      </c>
      <c r="E7" s="2" t="n">
        <v>0.5600000000000001</v>
      </c>
      <c r="F7" s="2" t="inlineStr">
        <is>
          <t>Estimate+Scenario</t>
        </is>
      </c>
      <c r="G7" s="2" t="inlineStr">
        <is>
          <t>SRC_GOOGLE_GEMINI_TOKENS; SRC_GOOGLE_IRONWOOD; SRC_GOOGLE_TPU_V6E</t>
        </is>
      </c>
      <c r="H7" s="2" t="inlineStr">
        <is>
          <t>ASSUMP_TPU_EFFICIENCY; ASSUMP_POWER_RAMP; ASSUMP_INFERENCE_SHARE_NOT_FACT_60</t>
        </is>
      </c>
      <c r="I7" s="2" t="inlineStr">
        <is>
          <t>Medium-High</t>
        </is>
      </c>
    </row>
    <row r="8">
      <c r="A8" s="2" t="inlineStr">
        <is>
          <t>Google</t>
        </is>
      </c>
      <c r="B8" s="2" t="n">
        <v>2027</v>
      </c>
      <c r="C8" s="2" t="n">
        <v>1475000</v>
      </c>
      <c r="D8" s="2" t="n">
        <v>0.678</v>
      </c>
      <c r="E8" s="2" t="n">
        <v>0.595</v>
      </c>
      <c r="F8" s="2" t="inlineStr">
        <is>
          <t>Estimate+Scenario</t>
        </is>
      </c>
      <c r="G8" s="2" t="inlineStr">
        <is>
          <t>SRC_GOOGLE_GEMINI_TOKENS; SRC_GOOGLE_IRONWOOD; SRC_GOOGLE_TPU_V6E</t>
        </is>
      </c>
      <c r="H8" s="2" t="inlineStr">
        <is>
          <t>ASSUMP_TPU_EFFICIENCY; ASSUMP_POWER_RAMP; ASSUMP_INFERENCE_SHARE_NOT_FACT_60</t>
        </is>
      </c>
      <c r="I8" s="2" t="inlineStr">
        <is>
          <t>Medium-High</t>
        </is>
      </c>
    </row>
    <row r="9">
      <c r="A9" s="2" t="inlineStr">
        <is>
          <t>Google</t>
        </is>
      </c>
      <c r="B9" s="2" t="n">
        <v>2028</v>
      </c>
      <c r="C9" s="2" t="n">
        <v>1740500</v>
      </c>
      <c r="D9" s="2" t="n">
        <v>0.5745</v>
      </c>
      <c r="E9" s="2" t="n">
        <v>0.63</v>
      </c>
      <c r="F9" s="2" t="inlineStr">
        <is>
          <t>Estimate+Scenario</t>
        </is>
      </c>
      <c r="G9" s="2" t="inlineStr">
        <is>
          <t>SRC_GOOGLE_GEMINI_TOKENS; SRC_GOOGLE_IRONWOOD; SRC_GOOGLE_TPU_V6E</t>
        </is>
      </c>
      <c r="H9" s="2" t="inlineStr">
        <is>
          <t>ASSUMP_TPU_EFFICIENCY; ASSUMP_POWER_RAMP; ASSUMP_INFERENCE_SHARE_NOT_FACT_60</t>
        </is>
      </c>
      <c r="I9" s="2" t="inlineStr">
        <is>
          <t>Medium-High</t>
        </is>
      </c>
    </row>
    <row r="10">
      <c r="A10" s="2" t="inlineStr">
        <is>
          <t>Google</t>
        </is>
      </c>
      <c r="B10" s="2" t="n">
        <v>2029</v>
      </c>
      <c r="C10" s="2" t="n">
        <v>2053790</v>
      </c>
      <c r="D10" s="2" t="n">
        <v>0.4869</v>
      </c>
      <c r="E10" s="2" t="n">
        <v>0.665</v>
      </c>
      <c r="F10" s="2" t="inlineStr">
        <is>
          <t>Estimate+Scenario</t>
        </is>
      </c>
      <c r="G10" s="2" t="inlineStr">
        <is>
          <t>SRC_GOOGLE_GEMINI_TOKENS; SRC_GOOGLE_IRONWOOD; SRC_GOOGLE_TPU_V6E</t>
        </is>
      </c>
      <c r="H10" s="2" t="inlineStr">
        <is>
          <t>ASSUMP_TPU_EFFICIENCY; ASSUMP_POWER_RAMP; ASSUMP_INFERENCE_SHARE_NOT_FACT_60</t>
        </is>
      </c>
      <c r="I10" s="2" t="inlineStr">
        <is>
          <t>Medium-High</t>
        </is>
      </c>
    </row>
    <row r="11">
      <c r="A11" s="2" t="inlineStr">
        <is>
          <t>Google</t>
        </is>
      </c>
      <c r="B11" s="2" t="n">
        <v>2030</v>
      </c>
      <c r="C11" s="2" t="n">
        <v>2423472</v>
      </c>
      <c r="D11" s="2" t="n">
        <v>0.4126</v>
      </c>
      <c r="E11" s="2" t="n">
        <v>0.7</v>
      </c>
      <c r="F11" s="2" t="inlineStr">
        <is>
          <t>Estimate+Scenario</t>
        </is>
      </c>
      <c r="G11" s="2" t="inlineStr">
        <is>
          <t>SRC_GOOGLE_GEMINI_TOKENS; SRC_GOOGLE_IRONWOOD; SRC_GOOGLE_TPU_V6E</t>
        </is>
      </c>
      <c r="H11" s="2" t="inlineStr">
        <is>
          <t>ASSUMP_TPU_EFFICIENCY; ASSUMP_POWER_RAMP; ASSUMP_INFERENCE_SHARE_NOT_FACT_60</t>
        </is>
      </c>
      <c r="I11" s="2" t="inlineStr">
        <is>
          <t>Medium-High</t>
        </is>
      </c>
    </row>
    <row r="12">
      <c r="A12" s="2" t="inlineStr">
        <is>
          <t>Meta</t>
        </is>
      </c>
      <c r="B12" s="2" t="n">
        <v>2026</v>
      </c>
      <c r="C12" s="2" t="n">
        <v>1120000</v>
      </c>
      <c r="D12" s="2" t="n">
        <v>0.8929</v>
      </c>
      <c r="E12" s="2" t="n">
        <v>0.55</v>
      </c>
      <c r="F12" s="2" t="inlineStr">
        <is>
          <t>Estimate+Scenario</t>
        </is>
      </c>
      <c r="G12" s="2" t="inlineStr">
        <is>
          <t>SRC_META_LLAMA; SRC_META_LLAMA4_NVIDIA</t>
        </is>
      </c>
      <c r="H12" s="2" t="inlineStr">
        <is>
          <t>ASSUMP_CONSUMER_AI_UTILIZATION; ASSUMP_POWER_RAMP; ASSUMP_INFERENCE_SHARE_NOT_FACT_60</t>
        </is>
      </c>
      <c r="I12" s="2" t="inlineStr">
        <is>
          <t>Medium</t>
        </is>
      </c>
    </row>
    <row r="13">
      <c r="A13" s="2" t="inlineStr">
        <is>
          <t>Meta</t>
        </is>
      </c>
      <c r="B13" s="2" t="n">
        <v>2027</v>
      </c>
      <c r="C13" s="2" t="n">
        <v>1299200</v>
      </c>
      <c r="D13" s="2" t="n">
        <v>0.7697000000000001</v>
      </c>
      <c r="E13" s="2" t="n">
        <v>0.588</v>
      </c>
      <c r="F13" s="2" t="inlineStr">
        <is>
          <t>Estimate+Scenario</t>
        </is>
      </c>
      <c r="G13" s="2" t="inlineStr">
        <is>
          <t>SRC_META_LLAMA; SRC_META_LLAMA4_NVIDIA</t>
        </is>
      </c>
      <c r="H13" s="2" t="inlineStr">
        <is>
          <t>ASSUMP_CONSUMER_AI_UTILIZATION; ASSUMP_POWER_RAMP; ASSUMP_INFERENCE_SHARE_NOT_FACT_60</t>
        </is>
      </c>
      <c r="I13" s="2" t="inlineStr">
        <is>
          <t>Medium</t>
        </is>
      </c>
    </row>
    <row r="14">
      <c r="A14" s="2" t="inlineStr">
        <is>
          <t>Meta</t>
        </is>
      </c>
      <c r="B14" s="2" t="n">
        <v>2028</v>
      </c>
      <c r="C14" s="2" t="n">
        <v>1507072</v>
      </c>
      <c r="D14" s="2" t="n">
        <v>0.6635</v>
      </c>
      <c r="E14" s="2" t="n">
        <v>0.625</v>
      </c>
      <c r="F14" s="2" t="inlineStr">
        <is>
          <t>Estimate+Scenario</t>
        </is>
      </c>
      <c r="G14" s="2" t="inlineStr">
        <is>
          <t>SRC_META_LLAMA; SRC_META_LLAMA4_NVIDIA</t>
        </is>
      </c>
      <c r="H14" s="2" t="inlineStr">
        <is>
          <t>ASSUMP_CONSUMER_AI_UTILIZATION; ASSUMP_POWER_RAMP; ASSUMP_INFERENCE_SHARE_NOT_FACT_60</t>
        </is>
      </c>
      <c r="I14" s="2" t="inlineStr">
        <is>
          <t>Medium</t>
        </is>
      </c>
    </row>
    <row r="15">
      <c r="A15" s="2" t="inlineStr">
        <is>
          <t>Meta</t>
        </is>
      </c>
      <c r="B15" s="2" t="n">
        <v>2029</v>
      </c>
      <c r="C15" s="2" t="n">
        <v>1748204</v>
      </c>
      <c r="D15" s="2" t="n">
        <v>0.572</v>
      </c>
      <c r="E15" s="2" t="n">
        <v>0.662</v>
      </c>
      <c r="F15" s="2" t="inlineStr">
        <is>
          <t>Estimate+Scenario</t>
        </is>
      </c>
      <c r="G15" s="2" t="inlineStr">
        <is>
          <t>SRC_META_LLAMA; SRC_META_LLAMA4_NVIDIA</t>
        </is>
      </c>
      <c r="H15" s="2" t="inlineStr">
        <is>
          <t>ASSUMP_CONSUMER_AI_UTILIZATION; ASSUMP_POWER_RAMP; ASSUMP_INFERENCE_SHARE_NOT_FACT_60</t>
        </is>
      </c>
      <c r="I15" s="2" t="inlineStr">
        <is>
          <t>Medium</t>
        </is>
      </c>
    </row>
    <row r="16">
      <c r="A16" s="2" t="inlineStr">
        <is>
          <t>Meta</t>
        </is>
      </c>
      <c r="B16" s="2" t="n">
        <v>2030</v>
      </c>
      <c r="C16" s="2" t="n">
        <v>2027916</v>
      </c>
      <c r="D16" s="2" t="n">
        <v>0.4931</v>
      </c>
      <c r="E16" s="2" t="n">
        <v>0.7</v>
      </c>
      <c r="F16" s="2" t="inlineStr">
        <is>
          <t>Estimate+Scenario</t>
        </is>
      </c>
      <c r="G16" s="2" t="inlineStr">
        <is>
          <t>SRC_META_LLAMA; SRC_META_LLAMA4_NVIDIA</t>
        </is>
      </c>
      <c r="H16" s="2" t="inlineStr">
        <is>
          <t>ASSUMP_CONSUMER_AI_UTILIZATION; ASSUMP_POWER_RAMP; ASSUMP_INFERENCE_SHARE_NOT_FACT_60</t>
        </is>
      </c>
      <c r="I16" s="2" t="inlineStr">
        <is>
          <t>Medium</t>
        </is>
      </c>
    </row>
    <row r="17">
      <c r="A17" s="2" t="inlineStr">
        <is>
          <t>xAI</t>
        </is>
      </c>
      <c r="B17" s="2" t="n">
        <v>2026</v>
      </c>
      <c r="C17" s="2" t="n">
        <v>950000</v>
      </c>
      <c r="D17" s="2" t="n">
        <v>1.0526</v>
      </c>
      <c r="E17" s="2" t="n">
        <v>0.5</v>
      </c>
      <c r="F17" s="2" t="inlineStr">
        <is>
          <t>Estimate+Scenario</t>
        </is>
      </c>
      <c r="G17" s="2" t="inlineStr">
        <is>
          <t>SRC_XAI_MODELS; SRC_XAI_NVIDIA_COLOSSUS</t>
        </is>
      </c>
      <c r="H17" s="2" t="inlineStr">
        <is>
          <t>ASSUMP_CLUSTER_RAMP; ASSUMP_CLOSED_MODEL_BAND; ASSUMP_INFERENCE_SHARE_NOT_FACT_60</t>
        </is>
      </c>
      <c r="I17" s="2" t="inlineStr">
        <is>
          <t>Medium-Low</t>
        </is>
      </c>
    </row>
    <row r="18">
      <c r="A18" s="2" t="inlineStr">
        <is>
          <t>xAI</t>
        </is>
      </c>
      <c r="B18" s="2" t="n">
        <v>2027</v>
      </c>
      <c r="C18" s="2" t="n">
        <v>1111500</v>
      </c>
      <c r="D18" s="2" t="n">
        <v>0.8997000000000001</v>
      </c>
      <c r="E18" s="2" t="n">
        <v>0.542</v>
      </c>
      <c r="F18" s="2" t="inlineStr">
        <is>
          <t>Estimate+Scenario</t>
        </is>
      </c>
      <c r="G18" s="2" t="inlineStr">
        <is>
          <t>SRC_XAI_MODELS; SRC_XAI_NVIDIA_COLOSSUS</t>
        </is>
      </c>
      <c r="H18" s="2" t="inlineStr">
        <is>
          <t>ASSUMP_CLUSTER_RAMP; ASSUMP_CLOSED_MODEL_BAND; ASSUMP_INFERENCE_SHARE_NOT_FACT_60</t>
        </is>
      </c>
      <c r="I18" s="2" t="inlineStr">
        <is>
          <t>Medium-Low</t>
        </is>
      </c>
    </row>
    <row r="19">
      <c r="A19" s="2" t="inlineStr">
        <is>
          <t>xAI</t>
        </is>
      </c>
      <c r="B19" s="2" t="n">
        <v>2028</v>
      </c>
      <c r="C19" s="2" t="n">
        <v>1300455</v>
      </c>
      <c r="D19" s="2" t="n">
        <v>0.769</v>
      </c>
      <c r="E19" s="2" t="n">
        <v>0.585</v>
      </c>
      <c r="F19" s="2" t="inlineStr">
        <is>
          <t>Estimate+Scenario</t>
        </is>
      </c>
      <c r="G19" s="2" t="inlineStr">
        <is>
          <t>SRC_XAI_MODELS; SRC_XAI_NVIDIA_COLOSSUS</t>
        </is>
      </c>
      <c r="H19" s="2" t="inlineStr">
        <is>
          <t>ASSUMP_CLUSTER_RAMP; ASSUMP_CLOSED_MODEL_BAND; ASSUMP_INFERENCE_SHARE_NOT_FACT_60</t>
        </is>
      </c>
      <c r="I19" s="2" t="inlineStr">
        <is>
          <t>Medium-Low</t>
        </is>
      </c>
    </row>
    <row r="20">
      <c r="A20" s="2" t="inlineStr">
        <is>
          <t>xAI</t>
        </is>
      </c>
      <c r="B20" s="2" t="n">
        <v>2029</v>
      </c>
      <c r="C20" s="2" t="n">
        <v>1521532</v>
      </c>
      <c r="D20" s="2" t="n">
        <v>0.6572</v>
      </c>
      <c r="E20" s="2" t="n">
        <v>0.628</v>
      </c>
      <c r="F20" s="2" t="inlineStr">
        <is>
          <t>Estimate+Scenario</t>
        </is>
      </c>
      <c r="G20" s="2" t="inlineStr">
        <is>
          <t>SRC_XAI_MODELS; SRC_XAI_NVIDIA_COLOSSUS</t>
        </is>
      </c>
      <c r="H20" s="2" t="inlineStr">
        <is>
          <t>ASSUMP_CLUSTER_RAMP; ASSUMP_CLOSED_MODEL_BAND; ASSUMP_INFERENCE_SHARE_NOT_FACT_60</t>
        </is>
      </c>
      <c r="I20" s="2" t="inlineStr">
        <is>
          <t>Medium-Low</t>
        </is>
      </c>
    </row>
    <row r="21">
      <c r="A21" s="2" t="inlineStr">
        <is>
          <t>xAI</t>
        </is>
      </c>
      <c r="B21" s="2" t="n">
        <v>2030</v>
      </c>
      <c r="C21" s="2" t="n">
        <v>1780193</v>
      </c>
      <c r="D21" s="2" t="n">
        <v>0.5617</v>
      </c>
      <c r="E21" s="2" t="n">
        <v>0.67</v>
      </c>
      <c r="F21" s="2" t="inlineStr">
        <is>
          <t>Estimate+Scenario</t>
        </is>
      </c>
      <c r="G21" s="2" t="inlineStr">
        <is>
          <t>SRC_XAI_MODELS; SRC_XAI_NVIDIA_COLOSSUS</t>
        </is>
      </c>
      <c r="H21" s="2" t="inlineStr">
        <is>
          <t>ASSUMP_CLUSTER_RAMP; ASSUMP_CLOSED_MODEL_BAND; ASSUMP_INFERENCE_SHARE_NOT_FACT_60</t>
        </is>
      </c>
      <c r="I21" s="2" t="inlineStr">
        <is>
          <t>Medium-Low</t>
        </is>
      </c>
    </row>
    <row r="22">
      <c r="A22" s="2" t="inlineStr">
        <is>
          <t>OpenAI</t>
        </is>
      </c>
      <c r="B22" s="2" t="n">
        <v>2026</v>
      </c>
      <c r="C22" s="2" t="n">
        <v>1050000</v>
      </c>
      <c r="D22" s="2" t="n">
        <v>0.9524</v>
      </c>
      <c r="E22" s="2" t="n">
        <v>0.57</v>
      </c>
      <c r="F22" s="2" t="inlineStr">
        <is>
          <t>Estimate+Scenario</t>
        </is>
      </c>
      <c r="G22" s="2" t="inlineStr">
        <is>
          <t>SRC_OPENAI_GPT41_DOCS; SRC_OPENAI_STARGATE_ORACLE; SRC_OPENAI_STARGATE_PROGRESS</t>
        </is>
      </c>
      <c r="H22" s="2" t="inlineStr">
        <is>
          <t>ASSUMP_STARGATE_RAMP; ASSUMP_MS_OPENAI_ATTRIBUTION; ASSUMP_INFERENCE_SHARE_NOT_FACT_60</t>
        </is>
      </c>
      <c r="I22" s="2" t="inlineStr">
        <is>
          <t>Medium</t>
        </is>
      </c>
    </row>
    <row r="23">
      <c r="A23" s="2" t="inlineStr">
        <is>
          <t>OpenAI</t>
        </is>
      </c>
      <c r="B23" s="2" t="n">
        <v>2027</v>
      </c>
      <c r="C23" s="2" t="n">
        <v>1228500</v>
      </c>
      <c r="D23" s="2" t="n">
        <v>0.8139999999999999</v>
      </c>
      <c r="E23" s="2" t="n">
        <v>0.605</v>
      </c>
      <c r="F23" s="2" t="inlineStr">
        <is>
          <t>Estimate+Scenario</t>
        </is>
      </c>
      <c r="G23" s="2" t="inlineStr">
        <is>
          <t>SRC_OPENAI_GPT41_DOCS; SRC_OPENAI_STARGATE_ORACLE; SRC_OPENAI_STARGATE_PROGRESS</t>
        </is>
      </c>
      <c r="H23" s="2" t="inlineStr">
        <is>
          <t>ASSUMP_STARGATE_RAMP; ASSUMP_MS_OPENAI_ATTRIBUTION; ASSUMP_INFERENCE_SHARE_NOT_FACT_60</t>
        </is>
      </c>
      <c r="I23" s="2" t="inlineStr">
        <is>
          <t>Medium</t>
        </is>
      </c>
    </row>
    <row r="24">
      <c r="A24" s="2" t="inlineStr">
        <is>
          <t>OpenAI</t>
        </is>
      </c>
      <c r="B24" s="2" t="n">
        <v>2028</v>
      </c>
      <c r="C24" s="2" t="n">
        <v>1437345</v>
      </c>
      <c r="D24" s="2" t="n">
        <v>0.6957</v>
      </c>
      <c r="E24" s="2" t="n">
        <v>0.64</v>
      </c>
      <c r="F24" s="2" t="inlineStr">
        <is>
          <t>Estimate+Scenario</t>
        </is>
      </c>
      <c r="G24" s="2" t="inlineStr">
        <is>
          <t>SRC_OPENAI_GPT41_DOCS; SRC_OPENAI_STARGATE_ORACLE; SRC_OPENAI_STARGATE_PROGRESS</t>
        </is>
      </c>
      <c r="H24" s="2" t="inlineStr">
        <is>
          <t>ASSUMP_STARGATE_RAMP; ASSUMP_MS_OPENAI_ATTRIBUTION; ASSUMP_INFERENCE_SHARE_NOT_FACT_60</t>
        </is>
      </c>
      <c r="I24" s="2" t="inlineStr">
        <is>
          <t>Medium</t>
        </is>
      </c>
    </row>
    <row r="25">
      <c r="A25" s="2" t="inlineStr">
        <is>
          <t>OpenAI</t>
        </is>
      </c>
      <c r="B25" s="2" t="n">
        <v>2029</v>
      </c>
      <c r="C25" s="2" t="n">
        <v>1681694</v>
      </c>
      <c r="D25" s="2" t="n">
        <v>0.5946</v>
      </c>
      <c r="E25" s="2" t="n">
        <v>0.675</v>
      </c>
      <c r="F25" s="2" t="inlineStr">
        <is>
          <t>Estimate+Scenario</t>
        </is>
      </c>
      <c r="G25" s="2" t="inlineStr">
        <is>
          <t>SRC_OPENAI_GPT41_DOCS; SRC_OPENAI_STARGATE_ORACLE; SRC_OPENAI_STARGATE_PROGRESS</t>
        </is>
      </c>
      <c r="H25" s="2" t="inlineStr">
        <is>
          <t>ASSUMP_STARGATE_RAMP; ASSUMP_MS_OPENAI_ATTRIBUTION; ASSUMP_INFERENCE_SHARE_NOT_FACT_60</t>
        </is>
      </c>
      <c r="I25" s="2" t="inlineStr">
        <is>
          <t>Medium</t>
        </is>
      </c>
    </row>
    <row r="26">
      <c r="A26" s="2" t="inlineStr">
        <is>
          <t>OpenAI</t>
        </is>
      </c>
      <c r="B26" s="2" t="n">
        <v>2030</v>
      </c>
      <c r="C26" s="2" t="n">
        <v>1967582</v>
      </c>
      <c r="D26" s="2" t="n">
        <v>0.5082</v>
      </c>
      <c r="E26" s="2" t="n">
        <v>0.71</v>
      </c>
      <c r="F26" s="2" t="inlineStr">
        <is>
          <t>Estimate+Scenario</t>
        </is>
      </c>
      <c r="G26" s="2" t="inlineStr">
        <is>
          <t>SRC_OPENAI_GPT41_DOCS; SRC_OPENAI_STARGATE_ORACLE; SRC_OPENAI_STARGATE_PROGRESS</t>
        </is>
      </c>
      <c r="H26" s="2" t="inlineStr">
        <is>
          <t>ASSUMP_STARGATE_RAMP; ASSUMP_MS_OPENAI_ATTRIBUTION; ASSUMP_INFERENCE_SHARE_NOT_FACT_60</t>
        </is>
      </c>
      <c r="I26" s="2" t="inlineStr">
        <is>
          <t>Medium</t>
        </is>
      </c>
    </row>
    <row r="27">
      <c r="A27" s="2" t="inlineStr">
        <is>
          <t>DeepSeek</t>
        </is>
      </c>
      <c r="B27" s="2" t="n">
        <v>2026</v>
      </c>
      <c r="C27" s="2" t="n">
        <v>1450000</v>
      </c>
      <c r="D27" s="2" t="n">
        <v>0.6897</v>
      </c>
      <c r="E27" s="2" t="n">
        <v>0.48</v>
      </c>
      <c r="F27" s="2" t="inlineStr">
        <is>
          <t>Fact+Scenario</t>
        </is>
      </c>
      <c r="G27" s="2" t="inlineStr">
        <is>
          <t>SRC_DEEPSEEK_V3; SRC_DEEPSEEK_R1</t>
        </is>
      </c>
      <c r="H27" s="2" t="inlineStr">
        <is>
          <t>ASSUMP_MOE_EFFICIENCY; ASSUMP_CN_CAPACITY_TRANSPARENCY; ASSUMP_INFERENCE_SHARE_NOT_FACT_60</t>
        </is>
      </c>
      <c r="I27" s="2" t="inlineStr">
        <is>
          <t>Parameter High / Capacity Low-Medium</t>
        </is>
      </c>
    </row>
    <row r="28">
      <c r="A28" s="2" t="inlineStr">
        <is>
          <t>DeepSeek</t>
        </is>
      </c>
      <c r="B28" s="2" t="n">
        <v>2027</v>
      </c>
      <c r="C28" s="2" t="n">
        <v>1711000</v>
      </c>
      <c r="D28" s="2" t="n">
        <v>0.5845</v>
      </c>
      <c r="E28" s="2" t="n">
        <v>0.525</v>
      </c>
      <c r="F28" s="2" t="inlineStr">
        <is>
          <t>Fact+Scenario</t>
        </is>
      </c>
      <c r="G28" s="2" t="inlineStr">
        <is>
          <t>SRC_DEEPSEEK_V3; SRC_DEEPSEEK_R1</t>
        </is>
      </c>
      <c r="H28" s="2" t="inlineStr">
        <is>
          <t>ASSUMP_MOE_EFFICIENCY; ASSUMP_CN_CAPACITY_TRANSPARENCY; ASSUMP_INFERENCE_SHARE_NOT_FACT_60</t>
        </is>
      </c>
      <c r="I28" s="2" t="inlineStr">
        <is>
          <t>Parameter High / Capacity Low-Medium</t>
        </is>
      </c>
    </row>
    <row r="29">
      <c r="A29" s="2" t="inlineStr">
        <is>
          <t>DeepSeek</t>
        </is>
      </c>
      <c r="B29" s="2" t="n">
        <v>2028</v>
      </c>
      <c r="C29" s="2" t="n">
        <v>2018980</v>
      </c>
      <c r="D29" s="2" t="n">
        <v>0.4953</v>
      </c>
      <c r="E29" s="2" t="n">
        <v>0.57</v>
      </c>
      <c r="F29" s="2" t="inlineStr">
        <is>
          <t>Fact+Scenario</t>
        </is>
      </c>
      <c r="G29" s="2" t="inlineStr">
        <is>
          <t>SRC_DEEPSEEK_V3; SRC_DEEPSEEK_R1</t>
        </is>
      </c>
      <c r="H29" s="2" t="inlineStr">
        <is>
          <t>ASSUMP_MOE_EFFICIENCY; ASSUMP_CN_CAPACITY_TRANSPARENCY; ASSUMP_INFERENCE_SHARE_NOT_FACT_60</t>
        </is>
      </c>
      <c r="I29" s="2" t="inlineStr">
        <is>
          <t>Parameter High / Capacity Low-Medium</t>
        </is>
      </c>
    </row>
    <row r="30">
      <c r="A30" s="2" t="inlineStr">
        <is>
          <t>DeepSeek</t>
        </is>
      </c>
      <c r="B30" s="2" t="n">
        <v>2029</v>
      </c>
      <c r="C30" s="2" t="n">
        <v>2382396</v>
      </c>
      <c r="D30" s="2" t="n">
        <v>0.4197</v>
      </c>
      <c r="E30" s="2" t="n">
        <v>0.615</v>
      </c>
      <c r="F30" s="2" t="inlineStr">
        <is>
          <t>Fact+Scenario</t>
        </is>
      </c>
      <c r="G30" s="2" t="inlineStr">
        <is>
          <t>SRC_DEEPSEEK_V3; SRC_DEEPSEEK_R1</t>
        </is>
      </c>
      <c r="H30" s="2" t="inlineStr">
        <is>
          <t>ASSUMP_MOE_EFFICIENCY; ASSUMP_CN_CAPACITY_TRANSPARENCY; ASSUMP_INFERENCE_SHARE_NOT_FACT_60</t>
        </is>
      </c>
      <c r="I30" s="2" t="inlineStr">
        <is>
          <t>Parameter High / Capacity Low-Medium</t>
        </is>
      </c>
    </row>
    <row r="31">
      <c r="A31" s="2" t="inlineStr">
        <is>
          <t>DeepSeek</t>
        </is>
      </c>
      <c r="B31" s="2" t="n">
        <v>2030</v>
      </c>
      <c r="C31" s="2" t="n">
        <v>2811228</v>
      </c>
      <c r="D31" s="2" t="n">
        <v>0.3557</v>
      </c>
      <c r="E31" s="2" t="n">
        <v>0.66</v>
      </c>
      <c r="F31" s="2" t="inlineStr">
        <is>
          <t>Fact+Scenario</t>
        </is>
      </c>
      <c r="G31" s="2" t="inlineStr">
        <is>
          <t>SRC_DEEPSEEK_V3; SRC_DEEPSEEK_R1</t>
        </is>
      </c>
      <c r="H31" s="2" t="inlineStr">
        <is>
          <t>ASSUMP_MOE_EFFICIENCY; ASSUMP_CN_CAPACITY_TRANSPARENCY; ASSUMP_INFERENCE_SHARE_NOT_FACT_60</t>
        </is>
      </c>
      <c r="I31" s="2" t="inlineStr">
        <is>
          <t>Parameter High / Capacity Low-Medium</t>
        </is>
      </c>
    </row>
    <row r="32">
      <c r="A32" s="2" t="inlineStr">
        <is>
          <t>Alibaba</t>
        </is>
      </c>
      <c r="B32" s="2" t="n">
        <v>2026</v>
      </c>
      <c r="C32" s="2" t="n">
        <v>1350000</v>
      </c>
      <c r="D32" s="2" t="n">
        <v>0.7407</v>
      </c>
      <c r="E32" s="2" t="n">
        <v>0.52</v>
      </c>
      <c r="F32" s="2" t="inlineStr">
        <is>
          <t>Fact+Scenario</t>
        </is>
      </c>
      <c r="G32" s="2" t="inlineStr">
        <is>
          <t>SRC_QWEN3_GITHUB</t>
        </is>
      </c>
      <c r="H32" s="2" t="inlineStr">
        <is>
          <t>ASSUMP_MOE_EFFICIENCY; ASSUMP_CN_CAPACITY_TRANSPARENCY; ASSUMP_INFERENCE_SHARE_NOT_FACT_60</t>
        </is>
      </c>
      <c r="I32" s="2" t="inlineStr">
        <is>
          <t>Medium</t>
        </is>
      </c>
    </row>
    <row r="33">
      <c r="A33" s="2" t="inlineStr">
        <is>
          <t>Alibaba</t>
        </is>
      </c>
      <c r="B33" s="2" t="n">
        <v>2027</v>
      </c>
      <c r="C33" s="2" t="n">
        <v>1579500</v>
      </c>
      <c r="D33" s="2" t="n">
        <v>0.6331</v>
      </c>
      <c r="E33" s="2" t="n">
        <v>0.5600000000000001</v>
      </c>
      <c r="F33" s="2" t="inlineStr">
        <is>
          <t>Fact+Scenario</t>
        </is>
      </c>
      <c r="G33" s="2" t="inlineStr">
        <is>
          <t>SRC_QWEN3_GITHUB</t>
        </is>
      </c>
      <c r="H33" s="2" t="inlineStr">
        <is>
          <t>ASSUMP_MOE_EFFICIENCY; ASSUMP_CN_CAPACITY_TRANSPARENCY; ASSUMP_INFERENCE_SHARE_NOT_FACT_60</t>
        </is>
      </c>
      <c r="I33" s="2" t="inlineStr">
        <is>
          <t>Medium</t>
        </is>
      </c>
    </row>
    <row r="34">
      <c r="A34" s="2" t="inlineStr">
        <is>
          <t>Alibaba</t>
        </is>
      </c>
      <c r="B34" s="2" t="n">
        <v>2028</v>
      </c>
      <c r="C34" s="2" t="n">
        <v>1848015</v>
      </c>
      <c r="D34" s="2" t="n">
        <v>0.5411</v>
      </c>
      <c r="E34" s="2" t="n">
        <v>0.6</v>
      </c>
      <c r="F34" s="2" t="inlineStr">
        <is>
          <t>Fact+Scenario</t>
        </is>
      </c>
      <c r="G34" s="2" t="inlineStr">
        <is>
          <t>SRC_QWEN3_GITHUB</t>
        </is>
      </c>
      <c r="H34" s="2" t="inlineStr">
        <is>
          <t>ASSUMP_MOE_EFFICIENCY; ASSUMP_CN_CAPACITY_TRANSPARENCY; ASSUMP_INFERENCE_SHARE_NOT_FACT_60</t>
        </is>
      </c>
      <c r="I34" s="2" t="inlineStr">
        <is>
          <t>Medium</t>
        </is>
      </c>
    </row>
    <row r="35">
      <c r="A35" s="2" t="inlineStr">
        <is>
          <t>Alibaba</t>
        </is>
      </c>
      <c r="B35" s="2" t="n">
        <v>2029</v>
      </c>
      <c r="C35" s="2" t="n">
        <v>2162178</v>
      </c>
      <c r="D35" s="2" t="n">
        <v>0.4625</v>
      </c>
      <c r="E35" s="2" t="n">
        <v>0.64</v>
      </c>
      <c r="F35" s="2" t="inlineStr">
        <is>
          <t>Fact+Scenario</t>
        </is>
      </c>
      <c r="G35" s="2" t="inlineStr">
        <is>
          <t>SRC_QWEN3_GITHUB</t>
        </is>
      </c>
      <c r="H35" s="2" t="inlineStr">
        <is>
          <t>ASSUMP_MOE_EFFICIENCY; ASSUMP_CN_CAPACITY_TRANSPARENCY; ASSUMP_INFERENCE_SHARE_NOT_FACT_60</t>
        </is>
      </c>
      <c r="I35" s="2" t="inlineStr">
        <is>
          <t>Medium</t>
        </is>
      </c>
    </row>
    <row r="36">
      <c r="A36" s="2" t="inlineStr">
        <is>
          <t>Alibaba</t>
        </is>
      </c>
      <c r="B36" s="2" t="n">
        <v>2030</v>
      </c>
      <c r="C36" s="2" t="n">
        <v>2529748</v>
      </c>
      <c r="D36" s="2" t="n">
        <v>0.3953</v>
      </c>
      <c r="E36" s="2" t="n">
        <v>0.68</v>
      </c>
      <c r="F36" s="2" t="inlineStr">
        <is>
          <t>Fact+Scenario</t>
        </is>
      </c>
      <c r="G36" s="2" t="inlineStr">
        <is>
          <t>SRC_QWEN3_GITHUB</t>
        </is>
      </c>
      <c r="H36" s="2" t="inlineStr">
        <is>
          <t>ASSUMP_MOE_EFFICIENCY; ASSUMP_CN_CAPACITY_TRANSPARENCY; ASSUMP_INFERENCE_SHARE_NOT_FACT_60</t>
        </is>
      </c>
      <c r="I36" s="2" t="inlineStr">
        <is>
          <t>Medium</t>
        </is>
      </c>
    </row>
    <row r="37">
      <c r="A37" s="2" t="inlineStr">
        <is>
          <t>Tencent</t>
        </is>
      </c>
      <c r="B37" s="2" t="n">
        <v>2026</v>
      </c>
      <c r="C37" s="2" t="n">
        <v>1200000</v>
      </c>
      <c r="D37" s="2" t="n">
        <v>0.8333</v>
      </c>
      <c r="E37" s="2" t="n">
        <v>0.52</v>
      </c>
      <c r="F37" s="2" t="inlineStr">
        <is>
          <t>Estimate+Scenario</t>
        </is>
      </c>
      <c r="G37" s="2" t="inlineStr">
        <is>
          <t>SRC_TENCENT_HUNYUAN; SRC_TENCENT_HY3</t>
        </is>
      </c>
      <c r="H37" s="2" t="inlineStr">
        <is>
          <t>ASSUMP_CN_CAPACITY_TRANSPARENCY; ASSUMP_APP_EMBEDDING; ASSUMP_INFERENCE_SHARE_NOT_FACT_60</t>
        </is>
      </c>
      <c r="I37" s="2" t="inlineStr">
        <is>
          <t>Medium-Low</t>
        </is>
      </c>
    </row>
    <row r="38">
      <c r="A38" s="2" t="inlineStr">
        <is>
          <t>Tencent</t>
        </is>
      </c>
      <c r="B38" s="2" t="n">
        <v>2027</v>
      </c>
      <c r="C38" s="2" t="n">
        <v>1392000</v>
      </c>
      <c r="D38" s="2" t="n">
        <v>0.7184</v>
      </c>
      <c r="E38" s="2" t="n">
        <v>0.5600000000000001</v>
      </c>
      <c r="F38" s="2" t="inlineStr">
        <is>
          <t>Estimate+Scenario</t>
        </is>
      </c>
      <c r="G38" s="2" t="inlineStr">
        <is>
          <t>SRC_TENCENT_HUNYUAN; SRC_TENCENT_HY3</t>
        </is>
      </c>
      <c r="H38" s="2" t="inlineStr">
        <is>
          <t>ASSUMP_CN_CAPACITY_TRANSPARENCY; ASSUMP_APP_EMBEDDING; ASSUMP_INFERENCE_SHARE_NOT_FACT_60</t>
        </is>
      </c>
      <c r="I38" s="2" t="inlineStr">
        <is>
          <t>Medium-Low</t>
        </is>
      </c>
    </row>
    <row r="39">
      <c r="A39" s="2" t="inlineStr">
        <is>
          <t>Tencent</t>
        </is>
      </c>
      <c r="B39" s="2" t="n">
        <v>2028</v>
      </c>
      <c r="C39" s="2" t="n">
        <v>1614720</v>
      </c>
      <c r="D39" s="2" t="n">
        <v>0.6193</v>
      </c>
      <c r="E39" s="2" t="n">
        <v>0.6</v>
      </c>
      <c r="F39" s="2" t="inlineStr">
        <is>
          <t>Estimate+Scenario</t>
        </is>
      </c>
      <c r="G39" s="2" t="inlineStr">
        <is>
          <t>SRC_TENCENT_HUNYUAN; SRC_TENCENT_HY3</t>
        </is>
      </c>
      <c r="H39" s="2" t="inlineStr">
        <is>
          <t>ASSUMP_CN_CAPACITY_TRANSPARENCY; ASSUMP_APP_EMBEDDING; ASSUMP_INFERENCE_SHARE_NOT_FACT_60</t>
        </is>
      </c>
      <c r="I39" s="2" t="inlineStr">
        <is>
          <t>Medium-Low</t>
        </is>
      </c>
    </row>
    <row r="40">
      <c r="A40" s="2" t="inlineStr">
        <is>
          <t>Tencent</t>
        </is>
      </c>
      <c r="B40" s="2" t="n">
        <v>2029</v>
      </c>
      <c r="C40" s="2" t="n">
        <v>1873075</v>
      </c>
      <c r="D40" s="2" t="n">
        <v>0.5339</v>
      </c>
      <c r="E40" s="2" t="n">
        <v>0.64</v>
      </c>
      <c r="F40" s="2" t="inlineStr">
        <is>
          <t>Estimate+Scenario</t>
        </is>
      </c>
      <c r="G40" s="2" t="inlineStr">
        <is>
          <t>SRC_TENCENT_HUNYUAN; SRC_TENCENT_HY3</t>
        </is>
      </c>
      <c r="H40" s="2" t="inlineStr">
        <is>
          <t>ASSUMP_CN_CAPACITY_TRANSPARENCY; ASSUMP_APP_EMBEDDING; ASSUMP_INFERENCE_SHARE_NOT_FACT_60</t>
        </is>
      </c>
      <c r="I40" s="2" t="inlineStr">
        <is>
          <t>Medium-Low</t>
        </is>
      </c>
    </row>
    <row r="41">
      <c r="A41" s="2" t="inlineStr">
        <is>
          <t>Tencent</t>
        </is>
      </c>
      <c r="B41" s="2" t="n">
        <v>2030</v>
      </c>
      <c r="C41" s="2" t="n">
        <v>2172767</v>
      </c>
      <c r="D41" s="2" t="n">
        <v>0.4602</v>
      </c>
      <c r="E41" s="2" t="n">
        <v>0.68</v>
      </c>
      <c r="F41" s="2" t="inlineStr">
        <is>
          <t>Estimate+Scenario</t>
        </is>
      </c>
      <c r="G41" s="2" t="inlineStr">
        <is>
          <t>SRC_TENCENT_HUNYUAN; SRC_TENCENT_HY3</t>
        </is>
      </c>
      <c r="H41" s="2" t="inlineStr">
        <is>
          <t>ASSUMP_CN_CAPACITY_TRANSPARENCY; ASSUMP_APP_EMBEDDING; ASSUMP_INFERENCE_SHARE_NOT_FACT_60</t>
        </is>
      </c>
      <c r="I41" s="2" t="inlineStr">
        <is>
          <t>Medium-Low</t>
        </is>
      </c>
    </row>
  </sheetData>
  <autoFilter ref="A1:I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3" customWidth="1" min="4" max="4"/>
    <col width="13" customWidth="1" min="5" max="5"/>
    <col width="14" customWidth="1" min="6" max="6"/>
    <col width="38" customWidth="1" min="7" max="7"/>
  </cols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training_power_share</t>
        </is>
      </c>
      <c r="D1" s="1" t="inlineStr">
        <is>
          <t>inference_power_share</t>
        </is>
      </c>
      <c r="E1" s="1" t="inlineStr">
        <is>
          <t>training_gw</t>
        </is>
      </c>
      <c r="F1" s="1" t="inlineStr">
        <is>
          <t>inference_gw</t>
        </is>
      </c>
      <c r="G1" s="1" t="inlineStr">
        <is>
          <t>confidence</t>
        </is>
      </c>
    </row>
    <row r="2">
      <c r="A2" s="2" t="inlineStr">
        <is>
          <t>Microsoft</t>
        </is>
      </c>
      <c r="B2" s="2" t="n">
        <v>2026</v>
      </c>
      <c r="C2" s="2" t="n">
        <v>0.45</v>
      </c>
      <c r="D2" s="2" t="n">
        <v>0.55</v>
      </c>
      <c r="E2" s="2" t="n">
        <v>0.58</v>
      </c>
      <c r="F2" s="2" t="n">
        <v>0.71</v>
      </c>
      <c r="G2" s="2" t="inlineStr">
        <is>
          <t>Medium</t>
        </is>
      </c>
    </row>
    <row r="3">
      <c r="A3" s="2" t="inlineStr">
        <is>
          <t>Microsoft</t>
        </is>
      </c>
      <c r="B3" s="2" t="n">
        <v>2027</v>
      </c>
      <c r="C3" s="2" t="n">
        <v>0.4</v>
      </c>
      <c r="D3" s="2" t="n">
        <v>0.6</v>
      </c>
      <c r="E3" s="2" t="n">
        <v>0.831</v>
      </c>
      <c r="F3" s="2" t="n">
        <v>1.247</v>
      </c>
      <c r="G3" s="2" t="inlineStr">
        <is>
          <t>Medium</t>
        </is>
      </c>
    </row>
    <row r="4">
      <c r="A4" s="2" t="inlineStr">
        <is>
          <t>Microsoft</t>
        </is>
      </c>
      <c r="B4" s="2" t="n">
        <v>2028</v>
      </c>
      <c r="C4" s="2" t="n">
        <v>0.35</v>
      </c>
      <c r="D4" s="2" t="n">
        <v>0.65</v>
      </c>
      <c r="E4" s="2" t="n">
        <v>1.003</v>
      </c>
      <c r="F4" s="2" t="n">
        <v>1.863</v>
      </c>
      <c r="G4" s="2" t="inlineStr">
        <is>
          <t>Medium</t>
        </is>
      </c>
    </row>
    <row r="5">
      <c r="A5" s="2" t="inlineStr">
        <is>
          <t>Microsoft</t>
        </is>
      </c>
      <c r="B5" s="2" t="n">
        <v>2029</v>
      </c>
      <c r="C5" s="2" t="n">
        <v>0.3</v>
      </c>
      <c r="D5" s="2" t="n">
        <v>0.7</v>
      </c>
      <c r="E5" s="2" t="n">
        <v>1.097</v>
      </c>
      <c r="F5" s="2" t="n">
        <v>2.559</v>
      </c>
      <c r="G5" s="2" t="inlineStr">
        <is>
          <t>Medium</t>
        </is>
      </c>
    </row>
    <row r="6">
      <c r="A6" s="2" t="inlineStr">
        <is>
          <t>Microsoft</t>
        </is>
      </c>
      <c r="B6" s="2" t="n">
        <v>2030</v>
      </c>
      <c r="C6" s="2" t="n">
        <v>0.25</v>
      </c>
      <c r="D6" s="2" t="n">
        <v>0.75</v>
      </c>
      <c r="E6" s="2" t="n">
        <v>1.111</v>
      </c>
      <c r="F6" s="2" t="n">
        <v>3.333</v>
      </c>
      <c r="G6" s="2" t="inlineStr">
        <is>
          <t>Medium</t>
        </is>
      </c>
    </row>
    <row r="7">
      <c r="A7" s="2" t="inlineStr">
        <is>
          <t>Google</t>
        </is>
      </c>
      <c r="B7" s="2" t="n">
        <v>2026</v>
      </c>
      <c r="C7" s="2" t="n">
        <v>0.45</v>
      </c>
      <c r="D7" s="2" t="n">
        <v>0.55</v>
      </c>
      <c r="E7" s="2" t="n">
        <v>0.738</v>
      </c>
      <c r="F7" s="2" t="n">
        <v>0.902</v>
      </c>
      <c r="G7" s="2" t="inlineStr">
        <is>
          <t>Medium-High</t>
        </is>
      </c>
    </row>
    <row r="8">
      <c r="A8" s="2" t="inlineStr">
        <is>
          <t>Google</t>
        </is>
      </c>
      <c r="B8" s="2" t="n">
        <v>2027</v>
      </c>
      <c r="C8" s="2" t="n">
        <v>0.407</v>
      </c>
      <c r="D8" s="2" t="n">
        <v>0.593</v>
      </c>
      <c r="E8" s="2" t="n">
        <v>1.018</v>
      </c>
      <c r="F8" s="2" t="n">
        <v>1.48</v>
      </c>
      <c r="G8" s="2" t="inlineStr">
        <is>
          <t>Medium-High</t>
        </is>
      </c>
    </row>
    <row r="9">
      <c r="A9" s="2" t="inlineStr">
        <is>
          <t>Google</t>
        </is>
      </c>
      <c r="B9" s="2" t="n">
        <v>2028</v>
      </c>
      <c r="C9" s="2" t="n">
        <v>0.365</v>
      </c>
      <c r="D9" s="2" t="n">
        <v>0.635</v>
      </c>
      <c r="E9" s="2" t="n">
        <v>1.225</v>
      </c>
      <c r="F9" s="2" t="n">
        <v>2.131</v>
      </c>
      <c r="G9" s="2" t="inlineStr">
        <is>
          <t>Medium-High</t>
        </is>
      </c>
    </row>
    <row r="10">
      <c r="A10" s="2" t="inlineStr">
        <is>
          <t>Google</t>
        </is>
      </c>
      <c r="B10" s="2" t="n">
        <v>2029</v>
      </c>
      <c r="C10" s="2" t="n">
        <v>0.323</v>
      </c>
      <c r="D10" s="2" t="n">
        <v>0.677</v>
      </c>
      <c r="E10" s="2" t="n">
        <v>1.359</v>
      </c>
      <c r="F10" s="2" t="n">
        <v>2.855</v>
      </c>
      <c r="G10" s="2" t="inlineStr">
        <is>
          <t>Medium-High</t>
        </is>
      </c>
    </row>
    <row r="11">
      <c r="A11" s="2" t="inlineStr">
        <is>
          <t>Google</t>
        </is>
      </c>
      <c r="B11" s="2" t="n">
        <v>2030</v>
      </c>
      <c r="C11" s="2" t="n">
        <v>0.28</v>
      </c>
      <c r="D11" s="2" t="n">
        <v>0.72</v>
      </c>
      <c r="E11" s="2" t="n">
        <v>1.42</v>
      </c>
      <c r="F11" s="2" t="n">
        <v>3.651</v>
      </c>
      <c r="G11" s="2" t="inlineStr">
        <is>
          <t>Medium-High</t>
        </is>
      </c>
    </row>
    <row r="12">
      <c r="A12" s="2" t="inlineStr">
        <is>
          <t>Meta</t>
        </is>
      </c>
      <c r="B12" s="2" t="n">
        <v>2026</v>
      </c>
      <c r="C12" s="2" t="n">
        <v>0.42</v>
      </c>
      <c r="D12" s="2" t="n">
        <v>0.58</v>
      </c>
      <c r="E12" s="2" t="n">
        <v>0.487</v>
      </c>
      <c r="F12" s="2" t="n">
        <v>0.673</v>
      </c>
      <c r="G12" s="2" t="inlineStr">
        <is>
          <t>Medium</t>
        </is>
      </c>
    </row>
    <row r="13">
      <c r="A13" s="2" t="inlineStr">
        <is>
          <t>Meta</t>
        </is>
      </c>
      <c r="B13" s="2" t="n">
        <v>2027</v>
      </c>
      <c r="C13" s="2" t="n">
        <v>0.37</v>
      </c>
      <c r="D13" s="2" t="n">
        <v>0.63</v>
      </c>
      <c r="E13" s="2" t="n">
        <v>0.711</v>
      </c>
      <c r="F13" s="2" t="n">
        <v>1.21</v>
      </c>
      <c r="G13" s="2" t="inlineStr">
        <is>
          <t>Medium</t>
        </is>
      </c>
    </row>
    <row r="14">
      <c r="A14" s="2" t="inlineStr">
        <is>
          <t>Meta</t>
        </is>
      </c>
      <c r="B14" s="2" t="n">
        <v>2028</v>
      </c>
      <c r="C14" s="2" t="n">
        <v>0.32</v>
      </c>
      <c r="D14" s="2" t="n">
        <v>0.68</v>
      </c>
      <c r="E14" s="2" t="n">
        <v>0.858</v>
      </c>
      <c r="F14" s="2" t="n">
        <v>1.824</v>
      </c>
      <c r="G14" s="2" t="inlineStr">
        <is>
          <t>Medium</t>
        </is>
      </c>
    </row>
    <row r="15">
      <c r="A15" s="2" t="inlineStr">
        <is>
          <t>Meta</t>
        </is>
      </c>
      <c r="B15" s="2" t="n">
        <v>2029</v>
      </c>
      <c r="C15" s="2" t="n">
        <v>0.27</v>
      </c>
      <c r="D15" s="2" t="n">
        <v>0.73</v>
      </c>
      <c r="E15" s="2" t="n">
        <v>0.93</v>
      </c>
      <c r="F15" s="2" t="n">
        <v>2.514</v>
      </c>
      <c r="G15" s="2" t="inlineStr">
        <is>
          <t>Medium</t>
        </is>
      </c>
    </row>
    <row r="16">
      <c r="A16" s="2" t="inlineStr">
        <is>
          <t>Meta</t>
        </is>
      </c>
      <c r="B16" s="2" t="n">
        <v>2030</v>
      </c>
      <c r="C16" s="2" t="n">
        <v>0.22</v>
      </c>
      <c r="D16" s="2" t="n">
        <v>0.78</v>
      </c>
      <c r="E16" s="2" t="n">
        <v>0.925</v>
      </c>
      <c r="F16" s="2" t="n">
        <v>3.28</v>
      </c>
      <c r="G16" s="2" t="inlineStr">
        <is>
          <t>Medium</t>
        </is>
      </c>
    </row>
    <row r="17">
      <c r="A17" s="2" t="inlineStr">
        <is>
          <t>xAI</t>
        </is>
      </c>
      <c r="B17" s="2" t="n">
        <v>2026</v>
      </c>
      <c r="C17" s="2" t="n">
        <v>0.55</v>
      </c>
      <c r="D17" s="2" t="n">
        <v>0.45</v>
      </c>
      <c r="E17" s="2" t="n">
        <v>0.134</v>
      </c>
      <c r="F17" s="2" t="n">
        <v>0.11</v>
      </c>
      <c r="G17" s="2" t="inlineStr">
        <is>
          <t>Medium-Low</t>
        </is>
      </c>
    </row>
    <row r="18">
      <c r="A18" s="2" t="inlineStr">
        <is>
          <t>xAI</t>
        </is>
      </c>
      <c r="B18" s="2" t="n">
        <v>2027</v>
      </c>
      <c r="C18" s="2" t="n">
        <v>0.488</v>
      </c>
      <c r="D18" s="2" t="n">
        <v>0.512</v>
      </c>
      <c r="E18" s="2" t="n">
        <v>0.301</v>
      </c>
      <c r="F18" s="2" t="n">
        <v>0.317</v>
      </c>
      <c r="G18" s="2" t="inlineStr">
        <is>
          <t>Medium-Low</t>
        </is>
      </c>
    </row>
    <row r="19">
      <c r="A19" s="2" t="inlineStr">
        <is>
          <t>xAI</t>
        </is>
      </c>
      <c r="B19" s="2" t="n">
        <v>2028</v>
      </c>
      <c r="C19" s="2" t="n">
        <v>0.425</v>
      </c>
      <c r="D19" s="2" t="n">
        <v>0.575</v>
      </c>
      <c r="E19" s="2" t="n">
        <v>0.422</v>
      </c>
      <c r="F19" s="2" t="n">
        <v>0.571</v>
      </c>
      <c r="G19" s="2" t="inlineStr">
        <is>
          <t>Medium-Low</t>
        </is>
      </c>
    </row>
    <row r="20">
      <c r="A20" s="2" t="inlineStr">
        <is>
          <t>xAI</t>
        </is>
      </c>
      <c r="B20" s="2" t="n">
        <v>2029</v>
      </c>
      <c r="C20" s="2" t="n">
        <v>0.363</v>
      </c>
      <c r="D20" s="2" t="n">
        <v>0.637</v>
      </c>
      <c r="E20" s="2" t="n">
        <v>0.496</v>
      </c>
      <c r="F20" s="2" t="n">
        <v>0.872</v>
      </c>
      <c r="G20" s="2" t="inlineStr">
        <is>
          <t>Medium-Low</t>
        </is>
      </c>
    </row>
    <row r="21">
      <c r="A21" s="2" t="inlineStr">
        <is>
          <t>xAI</t>
        </is>
      </c>
      <c r="B21" s="2" t="n">
        <v>2030</v>
      </c>
      <c r="C21" s="2" t="n">
        <v>0.3</v>
      </c>
      <c r="D21" s="2" t="n">
        <v>0.7</v>
      </c>
      <c r="E21" s="2" t="n">
        <v>0.523</v>
      </c>
      <c r="F21" s="2" t="n">
        <v>1.219</v>
      </c>
      <c r="G21" s="2" t="inlineStr">
        <is>
          <t>Medium-Low</t>
        </is>
      </c>
    </row>
    <row r="22">
      <c r="A22" s="2" t="inlineStr">
        <is>
          <t>OpenAI</t>
        </is>
      </c>
      <c r="B22" s="2" t="n">
        <v>2026</v>
      </c>
      <c r="C22" s="2" t="n">
        <v>0.42</v>
      </c>
      <c r="D22" s="2" t="n">
        <v>0.58</v>
      </c>
      <c r="E22" s="2" t="n">
        <v>0.431</v>
      </c>
      <c r="F22" s="2" t="n">
        <v>0.595</v>
      </c>
      <c r="G22" s="2" t="inlineStr">
        <is>
          <t>Medium</t>
        </is>
      </c>
    </row>
    <row r="23">
      <c r="A23" s="2" t="inlineStr">
        <is>
          <t>OpenAI</t>
        </is>
      </c>
      <c r="B23" s="2" t="n">
        <v>2027</v>
      </c>
      <c r="C23" s="2" t="n">
        <v>0.37</v>
      </c>
      <c r="D23" s="2" t="n">
        <v>0.63</v>
      </c>
      <c r="E23" s="2" t="n">
        <v>0.861</v>
      </c>
      <c r="F23" s="2" t="n">
        <v>1.467</v>
      </c>
      <c r="G23" s="2" t="inlineStr">
        <is>
          <t>Medium</t>
        </is>
      </c>
    </row>
    <row r="24">
      <c r="A24" s="2" t="inlineStr">
        <is>
          <t>OpenAI</t>
        </is>
      </c>
      <c r="B24" s="2" t="n">
        <v>2028</v>
      </c>
      <c r="C24" s="2" t="n">
        <v>0.32</v>
      </c>
      <c r="D24" s="2" t="n">
        <v>0.68</v>
      </c>
      <c r="E24" s="2" t="n">
        <v>1.162</v>
      </c>
      <c r="F24" s="2" t="n">
        <v>2.468</v>
      </c>
      <c r="G24" s="2" t="inlineStr">
        <is>
          <t>Medium</t>
        </is>
      </c>
    </row>
    <row r="25">
      <c r="A25" s="2" t="inlineStr">
        <is>
          <t>OpenAI</t>
        </is>
      </c>
      <c r="B25" s="2" t="n">
        <v>2029</v>
      </c>
      <c r="C25" s="2" t="n">
        <v>0.27</v>
      </c>
      <c r="D25" s="2" t="n">
        <v>0.73</v>
      </c>
      <c r="E25" s="2" t="n">
        <v>1.332</v>
      </c>
      <c r="F25" s="2" t="n">
        <v>3.6</v>
      </c>
      <c r="G25" s="2" t="inlineStr">
        <is>
          <t>Medium</t>
        </is>
      </c>
    </row>
    <row r="26">
      <c r="A26" s="2" t="inlineStr">
        <is>
          <t>OpenAI</t>
        </is>
      </c>
      <c r="B26" s="2" t="n">
        <v>2030</v>
      </c>
      <c r="C26" s="2" t="n">
        <v>0.22</v>
      </c>
      <c r="D26" s="2" t="n">
        <v>0.78</v>
      </c>
      <c r="E26" s="2" t="n">
        <v>1.371</v>
      </c>
      <c r="F26" s="2" t="n">
        <v>4.862</v>
      </c>
      <c r="G26" s="2" t="inlineStr">
        <is>
          <t>Medium</t>
        </is>
      </c>
    </row>
    <row r="27">
      <c r="A27" s="2" t="inlineStr">
        <is>
          <t>DeepSeek</t>
        </is>
      </c>
      <c r="B27" s="2" t="n">
        <v>2026</v>
      </c>
      <c r="C27" s="2" t="n">
        <v>0.38</v>
      </c>
      <c r="D27" s="2" t="n">
        <v>0.62</v>
      </c>
      <c r="E27" s="2" t="n">
        <v>0.038</v>
      </c>
      <c r="F27" s="2" t="n">
        <v>0.061</v>
      </c>
      <c r="G27" s="2" t="inlineStr">
        <is>
          <t>Parameter High / Capacity Low-Medium</t>
        </is>
      </c>
    </row>
    <row r="28">
      <c r="A28" s="2" t="inlineStr">
        <is>
          <t>DeepSeek</t>
        </is>
      </c>
      <c r="B28" s="2" t="n">
        <v>2027</v>
      </c>
      <c r="C28" s="2" t="n">
        <v>0.33</v>
      </c>
      <c r="D28" s="2" t="n">
        <v>0.67</v>
      </c>
      <c r="E28" s="2" t="n">
        <v>0.09</v>
      </c>
      <c r="F28" s="2" t="n">
        <v>0.183</v>
      </c>
      <c r="G28" s="2" t="inlineStr">
        <is>
          <t>Parameter High / Capacity Low-Medium</t>
        </is>
      </c>
    </row>
    <row r="29">
      <c r="A29" s="2" t="inlineStr">
        <is>
          <t>DeepSeek</t>
        </is>
      </c>
      <c r="B29" s="2" t="n">
        <v>2028</v>
      </c>
      <c r="C29" s="2" t="n">
        <v>0.28</v>
      </c>
      <c r="D29" s="2" t="n">
        <v>0.72</v>
      </c>
      <c r="E29" s="2" t="n">
        <v>0.125</v>
      </c>
      <c r="F29" s="2" t="n">
        <v>0.321</v>
      </c>
      <c r="G29" s="2" t="inlineStr">
        <is>
          <t>Parameter High / Capacity Low-Medium</t>
        </is>
      </c>
    </row>
    <row r="30">
      <c r="A30" s="2" t="inlineStr">
        <is>
          <t>DeepSeek</t>
        </is>
      </c>
      <c r="B30" s="2" t="n">
        <v>2029</v>
      </c>
      <c r="C30" s="2" t="n">
        <v>0.23</v>
      </c>
      <c r="D30" s="2" t="n">
        <v>0.77</v>
      </c>
      <c r="E30" s="2" t="n">
        <v>0.143</v>
      </c>
      <c r="F30" s="2" t="n">
        <v>0.477</v>
      </c>
      <c r="G30" s="2" t="inlineStr">
        <is>
          <t>Parameter High / Capacity Low-Medium</t>
        </is>
      </c>
    </row>
    <row r="31">
      <c r="A31" s="2" t="inlineStr">
        <is>
          <t>DeepSeek</t>
        </is>
      </c>
      <c r="B31" s="2" t="n">
        <v>2030</v>
      </c>
      <c r="C31" s="2" t="n">
        <v>0.18</v>
      </c>
      <c r="D31" s="2" t="n">
        <v>0.82</v>
      </c>
      <c r="E31" s="2" t="n">
        <v>0.143</v>
      </c>
      <c r="F31" s="2" t="n">
        <v>0.651</v>
      </c>
      <c r="G31" s="2" t="inlineStr">
        <is>
          <t>Parameter High / Capacity Low-Medium</t>
        </is>
      </c>
    </row>
    <row r="32">
      <c r="A32" s="2" t="inlineStr">
        <is>
          <t>Alibaba</t>
        </is>
      </c>
      <c r="B32" s="2" t="n">
        <v>2026</v>
      </c>
      <c r="C32" s="2" t="n">
        <v>0.4</v>
      </c>
      <c r="D32" s="2" t="n">
        <v>0.6</v>
      </c>
      <c r="E32" s="2" t="n">
        <v>0.178</v>
      </c>
      <c r="F32" s="2" t="n">
        <v>0.266</v>
      </c>
      <c r="G32" s="2" t="inlineStr">
        <is>
          <t>Medium</t>
        </is>
      </c>
    </row>
    <row r="33">
      <c r="A33" s="2" t="inlineStr">
        <is>
          <t>Alibaba</t>
        </is>
      </c>
      <c r="B33" s="2" t="n">
        <v>2027</v>
      </c>
      <c r="C33" s="2" t="n">
        <v>0.35</v>
      </c>
      <c r="D33" s="2" t="n">
        <v>0.65</v>
      </c>
      <c r="E33" s="2" t="n">
        <v>0.308</v>
      </c>
      <c r="F33" s="2" t="n">
        <v>0.572</v>
      </c>
      <c r="G33" s="2" t="inlineStr">
        <is>
          <t>Medium</t>
        </is>
      </c>
    </row>
    <row r="34">
      <c r="A34" s="2" t="inlineStr">
        <is>
          <t>Alibaba</t>
        </is>
      </c>
      <c r="B34" s="2" t="n">
        <v>2028</v>
      </c>
      <c r="C34" s="2" t="n">
        <v>0.3</v>
      </c>
      <c r="D34" s="2" t="n">
        <v>0.7</v>
      </c>
      <c r="E34" s="2" t="n">
        <v>0.394</v>
      </c>
      <c r="F34" s="2" t="n">
        <v>0.92</v>
      </c>
      <c r="G34" s="2" t="inlineStr">
        <is>
          <t>Medium</t>
        </is>
      </c>
    </row>
    <row r="35">
      <c r="A35" s="2" t="inlineStr">
        <is>
          <t>Alibaba</t>
        </is>
      </c>
      <c r="B35" s="2" t="n">
        <v>2029</v>
      </c>
      <c r="C35" s="2" t="n">
        <v>0.25</v>
      </c>
      <c r="D35" s="2" t="n">
        <v>0.75</v>
      </c>
      <c r="E35" s="2" t="n">
        <v>0.438</v>
      </c>
      <c r="F35" s="2" t="n">
        <v>1.312</v>
      </c>
      <c r="G35" s="2" t="inlineStr">
        <is>
          <t>Medium</t>
        </is>
      </c>
    </row>
    <row r="36">
      <c r="A36" s="2" t="inlineStr">
        <is>
          <t>Alibaba</t>
        </is>
      </c>
      <c r="B36" s="2" t="n">
        <v>2030</v>
      </c>
      <c r="C36" s="2" t="n">
        <v>0.2</v>
      </c>
      <c r="D36" s="2" t="n">
        <v>0.8</v>
      </c>
      <c r="E36" s="2" t="n">
        <v>0.437</v>
      </c>
      <c r="F36" s="2" t="n">
        <v>1.748</v>
      </c>
      <c r="G36" s="2" t="inlineStr">
        <is>
          <t>Medium</t>
        </is>
      </c>
    </row>
    <row r="37">
      <c r="A37" s="2" t="inlineStr">
        <is>
          <t>Tencent</t>
        </is>
      </c>
      <c r="B37" s="2" t="n">
        <v>2026</v>
      </c>
      <c r="C37" s="2" t="n">
        <v>0.4</v>
      </c>
      <c r="D37" s="2" t="n">
        <v>0.6</v>
      </c>
      <c r="E37" s="2" t="n">
        <v>0.123</v>
      </c>
      <c r="F37" s="2" t="n">
        <v>0.184</v>
      </c>
      <c r="G37" s="2" t="inlineStr">
        <is>
          <t>Medium-Low</t>
        </is>
      </c>
    </row>
    <row r="38">
      <c r="A38" s="2" t="inlineStr">
        <is>
          <t>Tencent</t>
        </is>
      </c>
      <c r="B38" s="2" t="n">
        <v>2027</v>
      </c>
      <c r="C38" s="2" t="n">
        <v>0.35</v>
      </c>
      <c r="D38" s="2" t="n">
        <v>0.65</v>
      </c>
      <c r="E38" s="2" t="n">
        <v>0.224</v>
      </c>
      <c r="F38" s="2" t="n">
        <v>0.416</v>
      </c>
      <c r="G38" s="2" t="inlineStr">
        <is>
          <t>Medium-Low</t>
        </is>
      </c>
    </row>
    <row r="39">
      <c r="A39" s="2" t="inlineStr">
        <is>
          <t>Tencent</t>
        </is>
      </c>
      <c r="B39" s="2" t="n">
        <v>2028</v>
      </c>
      <c r="C39" s="2" t="n">
        <v>0.3</v>
      </c>
      <c r="D39" s="2" t="n">
        <v>0.7</v>
      </c>
      <c r="E39" s="2" t="n">
        <v>0.292</v>
      </c>
      <c r="F39" s="2" t="n">
        <v>0.681</v>
      </c>
      <c r="G39" s="2" t="inlineStr">
        <is>
          <t>Medium-Low</t>
        </is>
      </c>
    </row>
    <row r="40">
      <c r="A40" s="2" t="inlineStr">
        <is>
          <t>Tencent</t>
        </is>
      </c>
      <c r="B40" s="2" t="n">
        <v>2029</v>
      </c>
      <c r="C40" s="2" t="n">
        <v>0.25</v>
      </c>
      <c r="D40" s="2" t="n">
        <v>0.75</v>
      </c>
      <c r="E40" s="2" t="n">
        <v>0.327</v>
      </c>
      <c r="F40" s="2" t="n">
        <v>0.98</v>
      </c>
      <c r="G40" s="2" t="inlineStr">
        <is>
          <t>Medium-Low</t>
        </is>
      </c>
    </row>
    <row r="41">
      <c r="A41" s="2" t="inlineStr">
        <is>
          <t>Tencent</t>
        </is>
      </c>
      <c r="B41" s="2" t="n">
        <v>2030</v>
      </c>
      <c r="C41" s="2" t="n">
        <v>0.2</v>
      </c>
      <c r="D41" s="2" t="n">
        <v>0.8</v>
      </c>
      <c r="E41" s="2" t="n">
        <v>0.328</v>
      </c>
      <c r="F41" s="2" t="n">
        <v>1.311</v>
      </c>
      <c r="G41" s="2" t="inlineStr">
        <is>
          <t>Medium-Low</t>
        </is>
      </c>
    </row>
  </sheetData>
  <autoFilter ref="A1:G4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32" customWidth="1" min="4" max="4"/>
    <col width="12" customWidth="1" min="5" max="5"/>
    <col width="14" customWidth="1" min="6" max="6"/>
    <col width="26" customWidth="1" min="7" max="7"/>
    <col width="18" customWidth="1" min="8" max="8"/>
    <col width="13" customWidth="1" min="9" max="9"/>
    <col width="26" customWidth="1" min="10" max="10"/>
    <col width="27" customWidth="1" min="11" max="11"/>
    <col width="35" customWidth="1" min="12" max="12"/>
    <col width="38" customWidth="1" min="13" max="13"/>
    <col width="19" customWidth="1" min="14" max="14"/>
    <col width="38" customWidth="1" min="15" max="15"/>
    <col width="38" customWidth="1" min="16" max="16"/>
  </cols>
  <sheetData>
    <row r="1">
      <c r="A1" s="1" t="inlineStr">
        <is>
          <t>company</t>
        </is>
      </c>
      <c r="B1" s="1" t="inlineStr">
        <is>
          <t>region</t>
        </is>
      </c>
      <c r="C1" s="1" t="inlineStr">
        <is>
          <t>model_family</t>
        </is>
      </c>
      <c r="D1" s="1" t="inlineStr">
        <is>
          <t>commercial_surface</t>
        </is>
      </c>
      <c r="E1" s="1" t="inlineStr">
        <is>
          <t>year</t>
        </is>
      </c>
      <c r="F1" s="1" t="inlineStr">
        <is>
          <t>inference_gw</t>
        </is>
      </c>
      <c r="G1" s="1" t="inlineStr">
        <is>
          <t>tokens_per_second_per_mw</t>
        </is>
      </c>
      <c r="H1" s="1" t="inlineStr">
        <is>
          <t>joules_per_token</t>
        </is>
      </c>
      <c r="I1" s="1" t="inlineStr">
        <is>
          <t>utilization</t>
        </is>
      </c>
      <c r="J1" s="1" t="inlineStr">
        <is>
          <t>inference_tokens_per_day</t>
        </is>
      </c>
      <c r="K1" s="1" t="inlineStr">
        <is>
          <t>inference_tokens_per_year</t>
        </is>
      </c>
      <c r="L1" s="1" t="inlineStr">
        <is>
          <t>training_tokens_processed_per_day</t>
        </is>
      </c>
      <c r="M1" s="1" t="inlineStr">
        <is>
          <t>confidence</t>
        </is>
      </c>
      <c r="N1" s="1" t="inlineStr">
        <is>
          <t>derivation_type</t>
        </is>
      </c>
      <c r="O1" s="1" t="inlineStr">
        <is>
          <t>source_ids</t>
        </is>
      </c>
      <c r="P1" s="1" t="inlineStr">
        <is>
          <t>assumption_ids</t>
        </is>
      </c>
    </row>
    <row r="2">
      <c r="A2" s="2" t="inlineStr">
        <is>
          <t>Microsoft</t>
        </is>
      </c>
      <c r="B2" s="2" t="inlineStr">
        <is>
          <t>US</t>
        </is>
      </c>
      <c r="C2" s="2" t="inlineStr">
        <is>
          <t>Phi / MAI / Copilot model mix</t>
        </is>
      </c>
      <c r="D2" s="2" t="inlineStr">
        <is>
          <t>Copilot + Azure AI</t>
        </is>
      </c>
      <c r="E2" s="2" t="n">
        <v>2026</v>
      </c>
      <c r="F2" s="2" t="n">
        <v>0.71</v>
      </c>
      <c r="G2" s="2" t="n">
        <v>1050000</v>
      </c>
      <c r="H2" s="2" t="n">
        <v>0.9524</v>
      </c>
      <c r="I2" s="2" t="n">
        <v>0.54</v>
      </c>
      <c r="J2" s="2" t="n">
        <v>34782048000000</v>
      </c>
      <c r="K2" s="2" t="n">
        <v>1.269544752e+16</v>
      </c>
      <c r="L2" s="2" t="n">
        <v>6250970880000</v>
      </c>
      <c r="M2" s="2" t="inlineStr">
        <is>
          <t>Medium</t>
        </is>
      </c>
      <c r="N2" s="2" t="inlineStr">
        <is>
          <t>Estimate+Scenario</t>
        </is>
      </c>
      <c r="O2" s="2" t="inlineStr">
        <is>
          <t>SRC_MS_PHI; SRC_OPENAI_GPT41_DOCS; SRC_MS_PHI4_TECHREPORT</t>
        </is>
      </c>
      <c r="P2" s="2" t="inlineStr">
        <is>
          <t>ASSUMP_POWER_RAMP; ASSUMP_MS_OPENAI_ATTRIBUTION; ASSUMP_INFERENCE_SHARE_NOT_FACT_60</t>
        </is>
      </c>
    </row>
    <row r="3">
      <c r="A3" s="2" t="inlineStr">
        <is>
          <t>Microsoft</t>
        </is>
      </c>
      <c r="B3" s="2" t="inlineStr">
        <is>
          <t>US</t>
        </is>
      </c>
      <c r="C3" s="2" t="inlineStr">
        <is>
          <t>Phi / MAI / Copilot model mix</t>
        </is>
      </c>
      <c r="D3" s="2" t="inlineStr">
        <is>
          <t>Copilot + Azure AI</t>
        </is>
      </c>
      <c r="E3" s="2" t="n">
        <v>2027</v>
      </c>
      <c r="F3" s="2" t="n">
        <v>1.247</v>
      </c>
      <c r="G3" s="2" t="n">
        <v>1218000</v>
      </c>
      <c r="H3" s="2" t="n">
        <v>0.821</v>
      </c>
      <c r="I3" s="2" t="n">
        <v>0.575</v>
      </c>
      <c r="J3" s="2" t="n">
        <v>75456269280000</v>
      </c>
      <c r="K3" s="2" t="n">
        <v>2.75415382872e+16</v>
      </c>
      <c r="L3" s="2" t="n">
        <v>11062482076800</v>
      </c>
      <c r="M3" s="2" t="inlineStr">
        <is>
          <t>Medium</t>
        </is>
      </c>
      <c r="N3" s="2" t="inlineStr">
        <is>
          <t>Estimate+Scenario</t>
        </is>
      </c>
      <c r="O3" s="2" t="inlineStr">
        <is>
          <t>SRC_MS_PHI; SRC_OPENAI_GPT41_DOCS; SRC_MS_PHI4_TECHREPORT</t>
        </is>
      </c>
      <c r="P3" s="2" t="inlineStr">
        <is>
          <t>ASSUMP_POWER_RAMP; ASSUMP_MS_OPENAI_ATTRIBUTION; ASSUMP_INFERENCE_SHARE_NOT_FACT_60</t>
        </is>
      </c>
    </row>
    <row r="4">
      <c r="A4" s="2" t="inlineStr">
        <is>
          <t>Microsoft</t>
        </is>
      </c>
      <c r="B4" s="2" t="inlineStr">
        <is>
          <t>US</t>
        </is>
      </c>
      <c r="C4" s="2" t="inlineStr">
        <is>
          <t>Phi / MAI / Copilot model mix</t>
        </is>
      </c>
      <c r="D4" s="2" t="inlineStr">
        <is>
          <t>Copilot + Azure AI</t>
        </is>
      </c>
      <c r="E4" s="2" t="n">
        <v>2028</v>
      </c>
      <c r="F4" s="2" t="n">
        <v>1.863</v>
      </c>
      <c r="G4" s="2" t="n">
        <v>1412880</v>
      </c>
      <c r="H4" s="2" t="n">
        <v>0.7078</v>
      </c>
      <c r="I4" s="2" t="n">
        <v>0.61</v>
      </c>
      <c r="J4" s="2" t="n">
        <v>138727228469760</v>
      </c>
      <c r="K4" s="2" t="n">
        <v>5.063543839146239e+16</v>
      </c>
      <c r="L4" s="2" t="n">
        <v>16431320576563</v>
      </c>
      <c r="M4" s="2" t="inlineStr">
        <is>
          <t>Medium</t>
        </is>
      </c>
      <c r="N4" s="2" t="inlineStr">
        <is>
          <t>Estimate+Scenario</t>
        </is>
      </c>
      <c r="O4" s="2" t="inlineStr">
        <is>
          <t>SRC_MS_PHI; SRC_OPENAI_GPT41_DOCS; SRC_MS_PHI4_TECHREPORT</t>
        </is>
      </c>
      <c r="P4" s="2" t="inlineStr">
        <is>
          <t>ASSUMP_POWER_RAMP; ASSUMP_MS_OPENAI_ATTRIBUTION; ASSUMP_INFERENCE_SHARE_NOT_FACT_60</t>
        </is>
      </c>
    </row>
    <row r="5">
      <c r="A5" s="2" t="inlineStr">
        <is>
          <t>Microsoft</t>
        </is>
      </c>
      <c r="B5" s="2" t="inlineStr">
        <is>
          <t>US</t>
        </is>
      </c>
      <c r="C5" s="2" t="inlineStr">
        <is>
          <t>Phi / MAI / Copilot model mix</t>
        </is>
      </c>
      <c r="D5" s="2" t="inlineStr">
        <is>
          <t>Copilot + Azure AI</t>
        </is>
      </c>
      <c r="E5" s="2" t="n">
        <v>2029</v>
      </c>
      <c r="F5" s="2" t="n">
        <v>2.559</v>
      </c>
      <c r="G5" s="2" t="n">
        <v>1638941</v>
      </c>
      <c r="H5" s="2" t="n">
        <v>0.6102</v>
      </c>
      <c r="I5" s="2" t="n">
        <v>0.645</v>
      </c>
      <c r="J5" s="2" t="n">
        <v>233726019458832</v>
      </c>
      <c r="K5" s="2" t="n">
        <v>8.530999710247368e+16</v>
      </c>
      <c r="L5" s="2" t="n">
        <v>22042765742944</v>
      </c>
      <c r="M5" s="2" t="inlineStr">
        <is>
          <t>Medium</t>
        </is>
      </c>
      <c r="N5" s="2" t="inlineStr">
        <is>
          <t>Estimate+Scenario</t>
        </is>
      </c>
      <c r="O5" s="2" t="inlineStr">
        <is>
          <t>SRC_MS_PHI; SRC_OPENAI_GPT41_DOCS; SRC_MS_PHI4_TECHREPORT</t>
        </is>
      </c>
      <c r="P5" s="2" t="inlineStr">
        <is>
          <t>ASSUMP_POWER_RAMP; ASSUMP_MS_OPENAI_ATTRIBUTION; ASSUMP_INFERENCE_SHARE_NOT_FACT_60</t>
        </is>
      </c>
    </row>
    <row r="6">
      <c r="A6" s="2" t="inlineStr">
        <is>
          <t>Microsoft</t>
        </is>
      </c>
      <c r="B6" s="2" t="inlineStr">
        <is>
          <t>US</t>
        </is>
      </c>
      <c r="C6" s="2" t="inlineStr">
        <is>
          <t>Phi / MAI / Copilot model mix</t>
        </is>
      </c>
      <c r="D6" s="2" t="inlineStr">
        <is>
          <t>Copilot + Azure AI</t>
        </is>
      </c>
      <c r="E6" s="2" t="n">
        <v>2030</v>
      </c>
      <c r="F6" s="2" t="n">
        <v>3.333</v>
      </c>
      <c r="G6" s="2" t="n">
        <v>1901171</v>
      </c>
      <c r="H6" s="2" t="n">
        <v>0.526</v>
      </c>
      <c r="I6" s="2" t="n">
        <v>0.68</v>
      </c>
      <c r="J6" s="2" t="n">
        <v>372288096107136</v>
      </c>
      <c r="K6" s="2" t="n">
        <v>1.358851550791047e+17</v>
      </c>
      <c r="L6" s="2" t="n">
        <v>27301127047857</v>
      </c>
      <c r="M6" s="2" t="inlineStr">
        <is>
          <t>Medium</t>
        </is>
      </c>
      <c r="N6" s="2" t="inlineStr">
        <is>
          <t>Estimate+Scenario</t>
        </is>
      </c>
      <c r="O6" s="2" t="inlineStr">
        <is>
          <t>SRC_MS_PHI; SRC_OPENAI_GPT41_DOCS; SRC_MS_PHI4_TECHREPORT</t>
        </is>
      </c>
      <c r="P6" s="2" t="inlineStr">
        <is>
          <t>ASSUMP_POWER_RAMP; ASSUMP_MS_OPENAI_ATTRIBUTION; ASSUMP_INFERENCE_SHARE_NOT_FACT_60</t>
        </is>
      </c>
    </row>
    <row r="7">
      <c r="A7" s="2" t="inlineStr">
        <is>
          <t>Google</t>
        </is>
      </c>
      <c r="B7" s="2" t="inlineStr">
        <is>
          <t>US</t>
        </is>
      </c>
      <c r="C7" s="2" t="inlineStr">
        <is>
          <t>Gemini / Gemma</t>
        </is>
      </c>
      <c r="D7" s="2" t="inlineStr">
        <is>
          <t>Gemini + Workspace + Vertex</t>
        </is>
      </c>
      <c r="E7" s="2" t="n">
        <v>2026</v>
      </c>
      <c r="F7" s="2" t="n">
        <v>0.902</v>
      </c>
      <c r="G7" s="2" t="n">
        <v>1250000</v>
      </c>
      <c r="H7" s="2" t="n">
        <v>0.8</v>
      </c>
      <c r="I7" s="2" t="n">
        <v>0.5600000000000001</v>
      </c>
      <c r="J7" s="2" t="n">
        <v>54552960000000</v>
      </c>
      <c r="K7" s="2" t="n">
        <v>1.99118304e+16</v>
      </c>
      <c r="L7" s="2" t="n">
        <v>9819532800000</v>
      </c>
      <c r="M7" s="2" t="inlineStr">
        <is>
          <t>Medium-High</t>
        </is>
      </c>
      <c r="N7" s="2" t="inlineStr">
        <is>
          <t>Estimate+Scenario</t>
        </is>
      </c>
      <c r="O7" s="2" t="inlineStr">
        <is>
          <t>SRC_GOOGLE_GEMINI_TOKENS; SRC_GOOGLE_IRONWOOD; SRC_GOOGLE_TPU_V6E</t>
        </is>
      </c>
      <c r="P7" s="2" t="inlineStr">
        <is>
          <t>ASSUMP_TPU_EFFICIENCY; ASSUMP_POWER_RAMP; ASSUMP_INFERENCE_SHARE_NOT_FACT_60</t>
        </is>
      </c>
    </row>
    <row r="8">
      <c r="A8" s="2" t="inlineStr">
        <is>
          <t>Google</t>
        </is>
      </c>
      <c r="B8" s="2" t="inlineStr">
        <is>
          <t>US</t>
        </is>
      </c>
      <c r="C8" s="2" t="inlineStr">
        <is>
          <t>Gemini / Gemma</t>
        </is>
      </c>
      <c r="D8" s="2" t="inlineStr">
        <is>
          <t>Gemini + Workspace + Vertex</t>
        </is>
      </c>
      <c r="E8" s="2" t="n">
        <v>2027</v>
      </c>
      <c r="F8" s="2" t="n">
        <v>1.48</v>
      </c>
      <c r="G8" s="2" t="n">
        <v>1475000</v>
      </c>
      <c r="H8" s="2" t="n">
        <v>0.678</v>
      </c>
      <c r="I8" s="2" t="n">
        <v>0.595</v>
      </c>
      <c r="J8" s="2" t="n">
        <v>112223664000000</v>
      </c>
      <c r="K8" s="2" t="n">
        <v>4.096163736e+16</v>
      </c>
      <c r="L8" s="2" t="n">
        <v>16982170128000</v>
      </c>
      <c r="M8" s="2" t="inlineStr">
        <is>
          <t>Medium-High</t>
        </is>
      </c>
      <c r="N8" s="2" t="inlineStr">
        <is>
          <t>Estimate+Scenario</t>
        </is>
      </c>
      <c r="O8" s="2" t="inlineStr">
        <is>
          <t>SRC_GOOGLE_GEMINI_TOKENS; SRC_GOOGLE_IRONWOOD; SRC_GOOGLE_TPU_V6E</t>
        </is>
      </c>
      <c r="P8" s="2" t="inlineStr">
        <is>
          <t>ASSUMP_TPU_EFFICIENCY; ASSUMP_POWER_RAMP; ASSUMP_INFERENCE_SHARE_NOT_FACT_60</t>
        </is>
      </c>
    </row>
    <row r="9">
      <c r="A9" s="2" t="inlineStr">
        <is>
          <t>Google</t>
        </is>
      </c>
      <c r="B9" s="2" t="inlineStr">
        <is>
          <t>US</t>
        </is>
      </c>
      <c r="C9" s="2" t="inlineStr">
        <is>
          <t>Gemini / Gemma</t>
        </is>
      </c>
      <c r="D9" s="2" t="inlineStr">
        <is>
          <t>Gemini + Workspace + Vertex</t>
        </is>
      </c>
      <c r="E9" s="2" t="n">
        <v>2028</v>
      </c>
      <c r="F9" s="2" t="n">
        <v>2.131</v>
      </c>
      <c r="G9" s="2" t="n">
        <v>1740500</v>
      </c>
      <c r="H9" s="2" t="n">
        <v>0.5745</v>
      </c>
      <c r="I9" s="2" t="n">
        <v>0.63</v>
      </c>
      <c r="J9" s="2" t="n">
        <v>201888587376000</v>
      </c>
      <c r="K9" s="2" t="n">
        <v>7.368933439224e+16</v>
      </c>
      <c r="L9" s="2" t="n">
        <v>25532132472000</v>
      </c>
      <c r="M9" s="2" t="inlineStr">
        <is>
          <t>Medium-High</t>
        </is>
      </c>
      <c r="N9" s="2" t="inlineStr">
        <is>
          <t>Estimate+Scenario</t>
        </is>
      </c>
      <c r="O9" s="2" t="inlineStr">
        <is>
          <t>SRC_GOOGLE_GEMINI_TOKENS; SRC_GOOGLE_IRONWOOD; SRC_GOOGLE_TPU_V6E</t>
        </is>
      </c>
      <c r="P9" s="2" t="inlineStr">
        <is>
          <t>ASSUMP_TPU_EFFICIENCY; ASSUMP_POWER_RAMP; ASSUMP_INFERENCE_SHARE_NOT_FACT_60</t>
        </is>
      </c>
    </row>
    <row r="10">
      <c r="A10" s="2" t="inlineStr">
        <is>
          <t>Google</t>
        </is>
      </c>
      <c r="B10" s="2" t="inlineStr">
        <is>
          <t>US</t>
        </is>
      </c>
      <c r="C10" s="2" t="inlineStr">
        <is>
          <t>Gemini / Gemma</t>
        </is>
      </c>
      <c r="D10" s="2" t="inlineStr">
        <is>
          <t>Gemini + Workspace + Vertex</t>
        </is>
      </c>
      <c r="E10" s="2" t="n">
        <v>2029</v>
      </c>
      <c r="F10" s="2" t="n">
        <v>2.855</v>
      </c>
      <c r="G10" s="2" t="n">
        <v>2053790</v>
      </c>
      <c r="H10" s="2" t="n">
        <v>0.4869</v>
      </c>
      <c r="I10" s="2" t="n">
        <v>0.665</v>
      </c>
      <c r="J10" s="2" t="n">
        <v>336897303775200</v>
      </c>
      <c r="K10" s="2" t="n">
        <v>1.22967515877948e+17</v>
      </c>
      <c r="L10" s="2" t="n">
        <v>35280404862595</v>
      </c>
      <c r="M10" s="2" t="inlineStr">
        <is>
          <t>Medium-High</t>
        </is>
      </c>
      <c r="N10" s="2" t="inlineStr">
        <is>
          <t>Estimate+Scenario</t>
        </is>
      </c>
      <c r="O10" s="2" t="inlineStr">
        <is>
          <t>SRC_GOOGLE_GEMINI_TOKENS; SRC_GOOGLE_IRONWOOD; SRC_GOOGLE_TPU_V6E</t>
        </is>
      </c>
      <c r="P10" s="2" t="inlineStr">
        <is>
          <t>ASSUMP_TPU_EFFICIENCY; ASSUMP_POWER_RAMP; ASSUMP_INFERENCE_SHARE_NOT_FACT_60</t>
        </is>
      </c>
    </row>
    <row r="11">
      <c r="A11" s="2" t="inlineStr">
        <is>
          <t>Google</t>
        </is>
      </c>
      <c r="B11" s="2" t="inlineStr">
        <is>
          <t>US</t>
        </is>
      </c>
      <c r="C11" s="2" t="inlineStr">
        <is>
          <t>Gemini / Gemma</t>
        </is>
      </c>
      <c r="D11" s="2" t="inlineStr">
        <is>
          <t>Gemini + Workspace + Vertex</t>
        </is>
      </c>
      <c r="E11" s="2" t="n">
        <v>2030</v>
      </c>
      <c r="F11" s="2" t="n">
        <v>3.651</v>
      </c>
      <c r="G11" s="2" t="n">
        <v>2423472</v>
      </c>
      <c r="H11" s="2" t="n">
        <v>0.4126</v>
      </c>
      <c r="I11" s="2" t="n">
        <v>0.7</v>
      </c>
      <c r="J11" s="2" t="n">
        <v>535132862530560</v>
      </c>
      <c r="K11" s="2" t="n">
        <v>1.953234948236544e+17</v>
      </c>
      <c r="L11" s="2" t="n">
        <v>45788963641344</v>
      </c>
      <c r="M11" s="2" t="inlineStr">
        <is>
          <t>Medium-High</t>
        </is>
      </c>
      <c r="N11" s="2" t="inlineStr">
        <is>
          <t>Estimate+Scenario</t>
        </is>
      </c>
      <c r="O11" s="2" t="inlineStr">
        <is>
          <t>SRC_GOOGLE_GEMINI_TOKENS; SRC_GOOGLE_IRONWOOD; SRC_GOOGLE_TPU_V6E</t>
        </is>
      </c>
      <c r="P11" s="2" t="inlineStr">
        <is>
          <t>ASSUMP_TPU_EFFICIENCY; ASSUMP_POWER_RAMP; ASSUMP_INFERENCE_SHARE_NOT_FACT_60</t>
        </is>
      </c>
    </row>
    <row r="12">
      <c r="A12" s="2" t="inlineStr">
        <is>
          <t>Meta</t>
        </is>
      </c>
      <c r="B12" s="2" t="inlineStr">
        <is>
          <t>US</t>
        </is>
      </c>
      <c r="C12" s="2" t="inlineStr">
        <is>
          <t>Llama / Meta AI</t>
        </is>
      </c>
      <c r="D12" s="2" t="inlineStr">
        <is>
          <t>Meta AI + family apps</t>
        </is>
      </c>
      <c r="E12" s="2" t="n">
        <v>2026</v>
      </c>
      <c r="F12" s="2" t="n">
        <v>0.673</v>
      </c>
      <c r="G12" s="2" t="n">
        <v>1120000</v>
      </c>
      <c r="H12" s="2" t="n">
        <v>0.8929</v>
      </c>
      <c r="I12" s="2" t="n">
        <v>0.55</v>
      </c>
      <c r="J12" s="2" t="n">
        <v>35818675200000</v>
      </c>
      <c r="K12" s="2" t="n">
        <v>1.3073816448e+16</v>
      </c>
      <c r="L12" s="2" t="n">
        <v>5702247936000</v>
      </c>
      <c r="M12" s="2" t="inlineStr">
        <is>
          <t>Medium</t>
        </is>
      </c>
      <c r="N12" s="2" t="inlineStr">
        <is>
          <t>Estimate+Scenario</t>
        </is>
      </c>
      <c r="O12" s="2" t="inlineStr">
        <is>
          <t>SRC_META_LLAMA; SRC_META_LLAMA4_NVIDIA</t>
        </is>
      </c>
      <c r="P12" s="2" t="inlineStr">
        <is>
          <t>ASSUMP_CONSUMER_AI_UTILIZATION; ASSUMP_POWER_RAMP; ASSUMP_INFERENCE_SHARE_NOT_FACT_60</t>
        </is>
      </c>
    </row>
    <row r="13">
      <c r="A13" s="2" t="inlineStr">
        <is>
          <t>Meta</t>
        </is>
      </c>
      <c r="B13" s="2" t="inlineStr">
        <is>
          <t>US</t>
        </is>
      </c>
      <c r="C13" s="2" t="inlineStr">
        <is>
          <t>Llama / Meta AI</t>
        </is>
      </c>
      <c r="D13" s="2" t="inlineStr">
        <is>
          <t>Meta AI + family apps</t>
        </is>
      </c>
      <c r="E13" s="2" t="n">
        <v>2027</v>
      </c>
      <c r="F13" s="2" t="n">
        <v>1.21</v>
      </c>
      <c r="G13" s="2" t="n">
        <v>1299200</v>
      </c>
      <c r="H13" s="2" t="n">
        <v>0.7697000000000001</v>
      </c>
      <c r="I13" s="2" t="n">
        <v>0.588</v>
      </c>
      <c r="J13" s="2" t="n">
        <v>79864256102400</v>
      </c>
      <c r="K13" s="2" t="n">
        <v>2.9150453477376e+16</v>
      </c>
      <c r="L13" s="2" t="n">
        <v>10324270197965</v>
      </c>
      <c r="M13" s="2" t="inlineStr">
        <is>
          <t>Medium</t>
        </is>
      </c>
      <c r="N13" s="2" t="inlineStr">
        <is>
          <t>Estimate+Scenario</t>
        </is>
      </c>
      <c r="O13" s="2" t="inlineStr">
        <is>
          <t>SRC_META_LLAMA; SRC_META_LLAMA4_NVIDIA</t>
        </is>
      </c>
      <c r="P13" s="2" t="inlineStr">
        <is>
          <t>ASSUMP_CONSUMER_AI_UTILIZATION; ASSUMP_POWER_RAMP; ASSUMP_INFERENCE_SHARE_NOT_FACT_60</t>
        </is>
      </c>
    </row>
    <row r="14">
      <c r="A14" s="2" t="inlineStr">
        <is>
          <t>Meta</t>
        </is>
      </c>
      <c r="B14" s="2" t="inlineStr">
        <is>
          <t>US</t>
        </is>
      </c>
      <c r="C14" s="2" t="inlineStr">
        <is>
          <t>Llama / Meta AI</t>
        </is>
      </c>
      <c r="D14" s="2" t="inlineStr">
        <is>
          <t>Meta AI + family apps</t>
        </is>
      </c>
      <c r="E14" s="2" t="n">
        <v>2028</v>
      </c>
      <c r="F14" s="2" t="n">
        <v>1.824</v>
      </c>
      <c r="G14" s="2" t="n">
        <v>1507072</v>
      </c>
      <c r="H14" s="2" t="n">
        <v>0.6635</v>
      </c>
      <c r="I14" s="2" t="n">
        <v>0.625</v>
      </c>
      <c r="J14" s="2" t="n">
        <v>148440563712000</v>
      </c>
      <c r="K14" s="2" t="n">
        <v>5.418080575488e+16</v>
      </c>
      <c r="L14" s="2" t="n">
        <v>15361645178880</v>
      </c>
      <c r="M14" s="2" t="inlineStr">
        <is>
          <t>Medium</t>
        </is>
      </c>
      <c r="N14" s="2" t="inlineStr">
        <is>
          <t>Estimate+Scenario</t>
        </is>
      </c>
      <c r="O14" s="2" t="inlineStr">
        <is>
          <t>SRC_META_LLAMA; SRC_META_LLAMA4_NVIDIA</t>
        </is>
      </c>
      <c r="P14" s="2" t="inlineStr">
        <is>
          <t>ASSUMP_CONSUMER_AI_UTILIZATION; ASSUMP_POWER_RAMP; ASSUMP_INFERENCE_SHARE_NOT_FACT_60</t>
        </is>
      </c>
    </row>
    <row r="15">
      <c r="A15" s="2" t="inlineStr">
        <is>
          <t>Meta</t>
        </is>
      </c>
      <c r="B15" s="2" t="inlineStr">
        <is>
          <t>US</t>
        </is>
      </c>
      <c r="C15" s="2" t="inlineStr">
        <is>
          <t>Llama / Meta AI</t>
        </is>
      </c>
      <c r="D15" s="2" t="inlineStr">
        <is>
          <t>Meta AI + family apps</t>
        </is>
      </c>
      <c r="E15" s="2" t="n">
        <v>2029</v>
      </c>
      <c r="F15" s="2" t="n">
        <v>2.514</v>
      </c>
      <c r="G15" s="2" t="n">
        <v>1748204</v>
      </c>
      <c r="H15" s="2" t="n">
        <v>0.572</v>
      </c>
      <c r="I15" s="2" t="n">
        <v>0.662</v>
      </c>
      <c r="J15" s="2" t="n">
        <v>251379069811661</v>
      </c>
      <c r="K15" s="2" t="n">
        <v>9.175336048125619e+16</v>
      </c>
      <c r="L15" s="2" t="n">
        <v>20458296612357</v>
      </c>
      <c r="M15" s="2" t="inlineStr">
        <is>
          <t>Medium</t>
        </is>
      </c>
      <c r="N15" s="2" t="inlineStr">
        <is>
          <t>Estimate+Scenario</t>
        </is>
      </c>
      <c r="O15" s="2" t="inlineStr">
        <is>
          <t>SRC_META_LLAMA; SRC_META_LLAMA4_NVIDIA</t>
        </is>
      </c>
      <c r="P15" s="2" t="inlineStr">
        <is>
          <t>ASSUMP_CONSUMER_AI_UTILIZATION; ASSUMP_POWER_RAMP; ASSUMP_INFERENCE_SHARE_NOT_FACT_60</t>
        </is>
      </c>
    </row>
    <row r="16">
      <c r="A16" s="2" t="inlineStr">
        <is>
          <t>Meta</t>
        </is>
      </c>
      <c r="B16" s="2" t="inlineStr">
        <is>
          <t>US</t>
        </is>
      </c>
      <c r="C16" s="2" t="inlineStr">
        <is>
          <t>Llama / Meta AI</t>
        </is>
      </c>
      <c r="D16" s="2" t="inlineStr">
        <is>
          <t>Meta AI + family apps</t>
        </is>
      </c>
      <c r="E16" s="2" t="n">
        <v>2030</v>
      </c>
      <c r="F16" s="2" t="n">
        <v>3.28</v>
      </c>
      <c r="G16" s="2" t="n">
        <v>2027916</v>
      </c>
      <c r="H16" s="2" t="n">
        <v>0.4931</v>
      </c>
      <c r="I16" s="2" t="n">
        <v>0.7</v>
      </c>
      <c r="J16" s="2" t="n">
        <v>402286619750400</v>
      </c>
      <c r="K16" s="2" t="n">
        <v>1.46834616208896e+17</v>
      </c>
      <c r="L16" s="2" t="n">
        <v>24958941194880</v>
      </c>
      <c r="M16" s="2" t="inlineStr">
        <is>
          <t>Medium</t>
        </is>
      </c>
      <c r="N16" s="2" t="inlineStr">
        <is>
          <t>Estimate+Scenario</t>
        </is>
      </c>
      <c r="O16" s="2" t="inlineStr">
        <is>
          <t>SRC_META_LLAMA; SRC_META_LLAMA4_NVIDIA</t>
        </is>
      </c>
      <c r="P16" s="2" t="inlineStr">
        <is>
          <t>ASSUMP_CONSUMER_AI_UTILIZATION; ASSUMP_POWER_RAMP; ASSUMP_INFERENCE_SHARE_NOT_FACT_60</t>
        </is>
      </c>
    </row>
    <row r="17">
      <c r="A17" s="2" t="inlineStr">
        <is>
          <t>xAI</t>
        </is>
      </c>
      <c r="B17" s="2" t="inlineStr">
        <is>
          <t>US</t>
        </is>
      </c>
      <c r="C17" s="2" t="inlineStr">
        <is>
          <t>Grok</t>
        </is>
      </c>
      <c r="D17" s="2" t="inlineStr">
        <is>
          <t>Grok + X + API</t>
        </is>
      </c>
      <c r="E17" s="2" t="n">
        <v>2026</v>
      </c>
      <c r="F17" s="2" t="n">
        <v>0.11</v>
      </c>
      <c r="G17" s="2" t="n">
        <v>950000</v>
      </c>
      <c r="H17" s="2" t="n">
        <v>1.0526</v>
      </c>
      <c r="I17" s="2" t="n">
        <v>0.5</v>
      </c>
      <c r="J17" s="2" t="n">
        <v>4514400000000</v>
      </c>
      <c r="K17" s="2" t="n">
        <v>1647756000000000</v>
      </c>
      <c r="L17" s="2" t="n">
        <v>1209859200000</v>
      </c>
      <c r="M17" s="2" t="inlineStr">
        <is>
          <t>Medium-Low</t>
        </is>
      </c>
      <c r="N17" s="2" t="inlineStr">
        <is>
          <t>Estimate+Scenario</t>
        </is>
      </c>
      <c r="O17" s="2" t="inlineStr">
        <is>
          <t>SRC_XAI_MODELS; SRC_XAI_NVIDIA_COLOSSUS</t>
        </is>
      </c>
      <c r="P17" s="2" t="inlineStr">
        <is>
          <t>ASSUMP_CLUSTER_RAMP; ASSUMP_CLOSED_MODEL_BAND; ASSUMP_INFERENCE_SHARE_NOT_FACT_60</t>
        </is>
      </c>
    </row>
    <row r="18">
      <c r="A18" s="2" t="inlineStr">
        <is>
          <t>xAI</t>
        </is>
      </c>
      <c r="B18" s="2" t="inlineStr">
        <is>
          <t>US</t>
        </is>
      </c>
      <c r="C18" s="2" t="inlineStr">
        <is>
          <t>Grok</t>
        </is>
      </c>
      <c r="D18" s="2" t="inlineStr">
        <is>
          <t>Grok + X + API</t>
        </is>
      </c>
      <c r="E18" s="2" t="n">
        <v>2027</v>
      </c>
      <c r="F18" s="2" t="n">
        <v>0.317</v>
      </c>
      <c r="G18" s="2" t="n">
        <v>1111500</v>
      </c>
      <c r="H18" s="2" t="n">
        <v>0.8997000000000001</v>
      </c>
      <c r="I18" s="2" t="n">
        <v>0.542</v>
      </c>
      <c r="J18" s="2" t="n">
        <v>16499916950400</v>
      </c>
      <c r="K18" s="2" t="n">
        <v>6022469686896000</v>
      </c>
      <c r="L18" s="2" t="n">
        <v>3446764985664</v>
      </c>
      <c r="M18" s="2" t="inlineStr">
        <is>
          <t>Medium-Low</t>
        </is>
      </c>
      <c r="N18" s="2" t="inlineStr">
        <is>
          <t>Estimate+Scenario</t>
        </is>
      </c>
      <c r="O18" s="2" t="inlineStr">
        <is>
          <t>SRC_XAI_MODELS; SRC_XAI_NVIDIA_COLOSSUS</t>
        </is>
      </c>
      <c r="P18" s="2" t="inlineStr">
        <is>
          <t>ASSUMP_CLUSTER_RAMP; ASSUMP_CLOSED_MODEL_BAND; ASSUMP_INFERENCE_SHARE_NOT_FACT_60</t>
        </is>
      </c>
    </row>
    <row r="19">
      <c r="A19" s="2" t="inlineStr">
        <is>
          <t>xAI</t>
        </is>
      </c>
      <c r="B19" s="2" t="inlineStr">
        <is>
          <t>US</t>
        </is>
      </c>
      <c r="C19" s="2" t="inlineStr">
        <is>
          <t>Grok</t>
        </is>
      </c>
      <c r="D19" s="2" t="inlineStr">
        <is>
          <t>Grok + X + API</t>
        </is>
      </c>
      <c r="E19" s="2" t="n">
        <v>2028</v>
      </c>
      <c r="F19" s="2" t="n">
        <v>0.571</v>
      </c>
      <c r="G19" s="2" t="n">
        <v>1300455</v>
      </c>
      <c r="H19" s="2" t="n">
        <v>0.769</v>
      </c>
      <c r="I19" s="2" t="n">
        <v>0.585</v>
      </c>
      <c r="J19" s="2" t="n">
        <v>37531942783920</v>
      </c>
      <c r="K19" s="2" t="n">
        <v>1.36991591161308e+16</v>
      </c>
      <c r="L19" s="2" t="n">
        <v>6102391537757</v>
      </c>
      <c r="M19" s="2" t="inlineStr">
        <is>
          <t>Medium-Low</t>
        </is>
      </c>
      <c r="N19" s="2" t="inlineStr">
        <is>
          <t>Estimate+Scenario</t>
        </is>
      </c>
      <c r="O19" s="2" t="inlineStr">
        <is>
          <t>SRC_XAI_MODELS; SRC_XAI_NVIDIA_COLOSSUS</t>
        </is>
      </c>
      <c r="P19" s="2" t="inlineStr">
        <is>
          <t>ASSUMP_CLUSTER_RAMP; ASSUMP_CLOSED_MODEL_BAND; ASSUMP_INFERENCE_SHARE_NOT_FACT_60</t>
        </is>
      </c>
    </row>
    <row r="20">
      <c r="A20" s="2" t="inlineStr">
        <is>
          <t>xAI</t>
        </is>
      </c>
      <c r="B20" s="2" t="inlineStr">
        <is>
          <t>US</t>
        </is>
      </c>
      <c r="C20" s="2" t="inlineStr">
        <is>
          <t>Grok</t>
        </is>
      </c>
      <c r="D20" s="2" t="inlineStr">
        <is>
          <t>Grok + X + API</t>
        </is>
      </c>
      <c r="E20" s="2" t="n">
        <v>2029</v>
      </c>
      <c r="F20" s="2" t="n">
        <v>0.872</v>
      </c>
      <c r="G20" s="2" t="n">
        <v>1521532</v>
      </c>
      <c r="H20" s="2" t="n">
        <v>0.6572</v>
      </c>
      <c r="I20" s="2" t="n">
        <v>0.628</v>
      </c>
      <c r="J20" s="2" t="n">
        <v>71989799130317</v>
      </c>
      <c r="K20" s="2" t="n">
        <v>2.627627668256563e+16</v>
      </c>
      <c r="L20" s="2" t="n">
        <v>9008631744381</v>
      </c>
      <c r="M20" s="2" t="inlineStr">
        <is>
          <t>Medium-Low</t>
        </is>
      </c>
      <c r="N20" s="2" t="inlineStr">
        <is>
          <t>Estimate+Scenario</t>
        </is>
      </c>
      <c r="O20" s="2" t="inlineStr">
        <is>
          <t>SRC_XAI_MODELS; SRC_XAI_NVIDIA_COLOSSUS</t>
        </is>
      </c>
      <c r="P20" s="2" t="inlineStr">
        <is>
          <t>ASSUMP_CLUSTER_RAMP; ASSUMP_CLOSED_MODEL_BAND; ASSUMP_INFERENCE_SHARE_NOT_FACT_60</t>
        </is>
      </c>
    </row>
    <row r="21">
      <c r="A21" s="2" t="inlineStr">
        <is>
          <t>xAI</t>
        </is>
      </c>
      <c r="B21" s="2" t="inlineStr">
        <is>
          <t>US</t>
        </is>
      </c>
      <c r="C21" s="2" t="inlineStr">
        <is>
          <t>Grok</t>
        </is>
      </c>
      <c r="D21" s="2" t="inlineStr">
        <is>
          <t>Grok + X + API</t>
        </is>
      </c>
      <c r="E21" s="2" t="n">
        <v>2030</v>
      </c>
      <c r="F21" s="2" t="n">
        <v>1.219</v>
      </c>
      <c r="G21" s="2" t="n">
        <v>1780193</v>
      </c>
      <c r="H21" s="2" t="n">
        <v>0.5617</v>
      </c>
      <c r="I21" s="2" t="n">
        <v>0.67</v>
      </c>
      <c r="J21" s="2" t="n">
        <v>125620159296096</v>
      </c>
      <c r="K21" s="2" t="n">
        <v>4.585135814307505e+16</v>
      </c>
      <c r="L21" s="2" t="n">
        <v>11857141532903</v>
      </c>
      <c r="M21" s="2" t="inlineStr">
        <is>
          <t>Medium-Low</t>
        </is>
      </c>
      <c r="N21" s="2" t="inlineStr">
        <is>
          <t>Estimate+Scenario</t>
        </is>
      </c>
      <c r="O21" s="2" t="inlineStr">
        <is>
          <t>SRC_XAI_MODELS; SRC_XAI_NVIDIA_COLOSSUS</t>
        </is>
      </c>
      <c r="P21" s="2" t="inlineStr">
        <is>
          <t>ASSUMP_CLUSTER_RAMP; ASSUMP_CLOSED_MODEL_BAND; ASSUMP_INFERENCE_SHARE_NOT_FACT_60</t>
        </is>
      </c>
    </row>
    <row r="22">
      <c r="A22" s="2" t="inlineStr">
        <is>
          <t>OpenAI</t>
        </is>
      </c>
      <c r="B22" s="2" t="inlineStr">
        <is>
          <t>US</t>
        </is>
      </c>
      <c r="C22" s="2" t="inlineStr">
        <is>
          <t>GPT / o-series / ChatGPT</t>
        </is>
      </c>
      <c r="D22" s="2" t="inlineStr">
        <is>
          <t>ChatGPT + API + enterprise</t>
        </is>
      </c>
      <c r="E22" s="2" t="n">
        <v>2026</v>
      </c>
      <c r="F22" s="2" t="n">
        <v>0.595</v>
      </c>
      <c r="G22" s="2" t="n">
        <v>1050000</v>
      </c>
      <c r="H22" s="2" t="n">
        <v>0.9524</v>
      </c>
      <c r="I22" s="2" t="n">
        <v>0.57</v>
      </c>
      <c r="J22" s="2" t="n">
        <v>30767688000000</v>
      </c>
      <c r="K22" s="2" t="n">
        <v>1.123020612e+16</v>
      </c>
      <c r="L22" s="2" t="n">
        <v>4903180128000</v>
      </c>
      <c r="M22" s="2" t="inlineStr">
        <is>
          <t>Medium</t>
        </is>
      </c>
      <c r="N22" s="2" t="inlineStr">
        <is>
          <t>Estimate+Scenario</t>
        </is>
      </c>
      <c r="O22" s="2" t="inlineStr">
        <is>
          <t>SRC_OPENAI_GPT41_DOCS; SRC_OPENAI_STARGATE_ORACLE; SRC_OPENAI_STARGATE_PROGRESS</t>
        </is>
      </c>
      <c r="P22" s="2" t="inlineStr">
        <is>
          <t>ASSUMP_STARGATE_RAMP; ASSUMP_MS_OPENAI_ATTRIBUTION; ASSUMP_INFERENCE_SHARE_NOT_FACT_60</t>
        </is>
      </c>
    </row>
    <row r="23">
      <c r="A23" s="2" t="inlineStr">
        <is>
          <t>OpenAI</t>
        </is>
      </c>
      <c r="B23" s="2" t="inlineStr">
        <is>
          <t>US</t>
        </is>
      </c>
      <c r="C23" s="2" t="inlineStr">
        <is>
          <t>GPT / o-series / ChatGPT</t>
        </is>
      </c>
      <c r="D23" s="2" t="inlineStr">
        <is>
          <t>ChatGPT + API + enterprise</t>
        </is>
      </c>
      <c r="E23" s="2" t="n">
        <v>2027</v>
      </c>
      <c r="F23" s="2" t="n">
        <v>1.467</v>
      </c>
      <c r="G23" s="2" t="n">
        <v>1228500</v>
      </c>
      <c r="H23" s="2" t="n">
        <v>0.8139999999999999</v>
      </c>
      <c r="I23" s="2" t="n">
        <v>0.605</v>
      </c>
      <c r="J23" s="2" t="n">
        <v>94205094984000</v>
      </c>
      <c r="K23" s="2" t="n">
        <v>3.438485966916e+16</v>
      </c>
      <c r="L23" s="2" t="n">
        <v>12163823511840</v>
      </c>
      <c r="M23" s="2" t="inlineStr">
        <is>
          <t>Medium</t>
        </is>
      </c>
      <c r="N23" s="2" t="inlineStr">
        <is>
          <t>Estimate+Scenario</t>
        </is>
      </c>
      <c r="O23" s="2" t="inlineStr">
        <is>
          <t>SRC_OPENAI_GPT41_DOCS; SRC_OPENAI_STARGATE_ORACLE; SRC_OPENAI_STARGATE_PROGRESS</t>
        </is>
      </c>
      <c r="P23" s="2" t="inlineStr">
        <is>
          <t>ASSUMP_STARGATE_RAMP; ASSUMP_MS_OPENAI_ATTRIBUTION; ASSUMP_INFERENCE_SHARE_NOT_FACT_60</t>
        </is>
      </c>
    </row>
    <row r="24">
      <c r="A24" s="2" t="inlineStr">
        <is>
          <t>OpenAI</t>
        </is>
      </c>
      <c r="B24" s="2" t="inlineStr">
        <is>
          <t>US</t>
        </is>
      </c>
      <c r="C24" s="2" t="inlineStr">
        <is>
          <t>GPT / o-series / ChatGPT</t>
        </is>
      </c>
      <c r="D24" s="2" t="inlineStr">
        <is>
          <t>ChatGPT + API + enterprise</t>
        </is>
      </c>
      <c r="E24" s="2" t="n">
        <v>2028</v>
      </c>
      <c r="F24" s="2" t="n">
        <v>2.468</v>
      </c>
      <c r="G24" s="2" t="n">
        <v>1437345</v>
      </c>
      <c r="H24" s="2" t="n">
        <v>0.6957</v>
      </c>
      <c r="I24" s="2" t="n">
        <v>0.64</v>
      </c>
      <c r="J24" s="2" t="n">
        <v>196155231068160</v>
      </c>
      <c r="K24" s="2" t="n">
        <v>7.15966593398784e+16</v>
      </c>
      <c r="L24" s="2" t="n">
        <v>20318121260237</v>
      </c>
      <c r="M24" s="2" t="inlineStr">
        <is>
          <t>Medium</t>
        </is>
      </c>
      <c r="N24" s="2" t="inlineStr">
        <is>
          <t>Estimate+Scenario</t>
        </is>
      </c>
      <c r="O24" s="2" t="inlineStr">
        <is>
          <t>SRC_OPENAI_GPT41_DOCS; SRC_OPENAI_STARGATE_ORACLE; SRC_OPENAI_STARGATE_PROGRESS</t>
        </is>
      </c>
      <c r="P24" s="2" t="inlineStr">
        <is>
          <t>ASSUMP_STARGATE_RAMP; ASSUMP_MS_OPENAI_ATTRIBUTION; ASSUMP_INFERENCE_SHARE_NOT_FACT_60</t>
        </is>
      </c>
    </row>
    <row r="25">
      <c r="A25" s="2" t="inlineStr">
        <is>
          <t>OpenAI</t>
        </is>
      </c>
      <c r="B25" s="2" t="inlineStr">
        <is>
          <t>US</t>
        </is>
      </c>
      <c r="C25" s="2" t="inlineStr">
        <is>
          <t>GPT / o-series / ChatGPT</t>
        </is>
      </c>
      <c r="D25" s="2" t="inlineStr">
        <is>
          <t>ChatGPT + API + enterprise</t>
        </is>
      </c>
      <c r="E25" s="2" t="n">
        <v>2029</v>
      </c>
      <c r="F25" s="2" t="n">
        <v>3.6</v>
      </c>
      <c r="G25" s="2" t="n">
        <v>1681694</v>
      </c>
      <c r="H25" s="2" t="n">
        <v>0.5946</v>
      </c>
      <c r="I25" s="2" t="n">
        <v>0.675</v>
      </c>
      <c r="J25" s="2" t="n">
        <v>353075018688000</v>
      </c>
      <c r="K25" s="2" t="n">
        <v>1.2887238182112e+17</v>
      </c>
      <c r="L25" s="2" t="n">
        <v>28740306521203</v>
      </c>
      <c r="M25" s="2" t="inlineStr">
        <is>
          <t>Medium</t>
        </is>
      </c>
      <c r="N25" s="2" t="inlineStr">
        <is>
          <t>Estimate+Scenario</t>
        </is>
      </c>
      <c r="O25" s="2" t="inlineStr">
        <is>
          <t>SRC_OPENAI_GPT41_DOCS; SRC_OPENAI_STARGATE_ORACLE; SRC_OPENAI_STARGATE_PROGRESS</t>
        </is>
      </c>
      <c r="P25" s="2" t="inlineStr">
        <is>
          <t>ASSUMP_STARGATE_RAMP; ASSUMP_MS_OPENAI_ATTRIBUTION; ASSUMP_INFERENCE_SHARE_NOT_FACT_60</t>
        </is>
      </c>
    </row>
    <row r="26">
      <c r="A26" s="2" t="inlineStr">
        <is>
          <t>OpenAI</t>
        </is>
      </c>
      <c r="B26" s="2" t="inlineStr">
        <is>
          <t>US</t>
        </is>
      </c>
      <c r="C26" s="2" t="inlineStr">
        <is>
          <t>GPT / o-series / ChatGPT</t>
        </is>
      </c>
      <c r="D26" s="2" t="inlineStr">
        <is>
          <t>ChatGPT + API + enterprise</t>
        </is>
      </c>
      <c r="E26" s="2" t="n">
        <v>2030</v>
      </c>
      <c r="F26" s="2" t="n">
        <v>4.862</v>
      </c>
      <c r="G26" s="2" t="n">
        <v>1967582</v>
      </c>
      <c r="H26" s="2" t="n">
        <v>0.5082</v>
      </c>
      <c r="I26" s="2" t="n">
        <v>0.71</v>
      </c>
      <c r="J26" s="2" t="n">
        <v>586840240711296</v>
      </c>
      <c r="K26" s="2" t="n">
        <v>2.14196687859623e+17</v>
      </c>
      <c r="L26" s="2" t="n">
        <v>36405338009737</v>
      </c>
      <c r="M26" s="2" t="inlineStr">
        <is>
          <t>Medium</t>
        </is>
      </c>
      <c r="N26" s="2" t="inlineStr">
        <is>
          <t>Estimate+Scenario</t>
        </is>
      </c>
      <c r="O26" s="2" t="inlineStr">
        <is>
          <t>SRC_OPENAI_GPT41_DOCS; SRC_OPENAI_STARGATE_ORACLE; SRC_OPENAI_STARGATE_PROGRESS</t>
        </is>
      </c>
      <c r="P26" s="2" t="inlineStr">
        <is>
          <t>ASSUMP_STARGATE_RAMP; ASSUMP_MS_OPENAI_ATTRIBUTION; ASSUMP_INFERENCE_SHARE_NOT_FACT_60</t>
        </is>
      </c>
    </row>
    <row r="27">
      <c r="A27" s="2" t="inlineStr">
        <is>
          <t>DeepSeek</t>
        </is>
      </c>
      <c r="B27" s="2" t="inlineStr">
        <is>
          <t>China</t>
        </is>
      </c>
      <c r="C27" s="2" t="inlineStr">
        <is>
          <t>DeepSeek-V3 / R1</t>
        </is>
      </c>
      <c r="D27" s="2" t="inlineStr">
        <is>
          <t>DeepSeek app/API</t>
        </is>
      </c>
      <c r="E27" s="2" t="n">
        <v>2026</v>
      </c>
      <c r="F27" s="2" t="n">
        <v>0.061</v>
      </c>
      <c r="G27" s="2" t="n">
        <v>1450000</v>
      </c>
      <c r="H27" s="2" t="n">
        <v>0.6897</v>
      </c>
      <c r="I27" s="2" t="n">
        <v>0.48</v>
      </c>
      <c r="J27" s="2" t="n">
        <v>3668198400000</v>
      </c>
      <c r="K27" s="2" t="n">
        <v>1338892416000000</v>
      </c>
      <c r="L27" s="2" t="n">
        <v>502723584000</v>
      </c>
      <c r="M27" s="2" t="inlineStr">
        <is>
          <t>Parameter High / Capacity Low-Medium</t>
        </is>
      </c>
      <c r="N27" s="2" t="inlineStr">
        <is>
          <t>Fact+Scenario</t>
        </is>
      </c>
      <c r="O27" s="2" t="inlineStr">
        <is>
          <t>SRC_DEEPSEEK_V3; SRC_DEEPSEEK_R1</t>
        </is>
      </c>
      <c r="P27" s="2" t="inlineStr">
        <is>
          <t>ASSUMP_MOE_EFFICIENCY; ASSUMP_CN_CAPACITY_TRANSPARENCY; ASSUMP_INFERENCE_SHARE_NOT_FACT_60</t>
        </is>
      </c>
    </row>
    <row r="28">
      <c r="A28" s="2" t="inlineStr">
        <is>
          <t>DeepSeek</t>
        </is>
      </c>
      <c r="B28" s="2" t="inlineStr">
        <is>
          <t>China</t>
        </is>
      </c>
      <c r="C28" s="2" t="inlineStr">
        <is>
          <t>DeepSeek-V3 / R1</t>
        </is>
      </c>
      <c r="D28" s="2" t="inlineStr">
        <is>
          <t>DeepSeek app/API</t>
        </is>
      </c>
      <c r="E28" s="2" t="n">
        <v>2027</v>
      </c>
      <c r="F28" s="2" t="n">
        <v>0.183</v>
      </c>
      <c r="G28" s="2" t="n">
        <v>1711000</v>
      </c>
      <c r="H28" s="2" t="n">
        <v>0.5845</v>
      </c>
      <c r="I28" s="2" t="n">
        <v>0.525</v>
      </c>
      <c r="J28" s="2" t="n">
        <v>14202805680000</v>
      </c>
      <c r="K28" s="2" t="n">
        <v>5184024073200000</v>
      </c>
      <c r="L28" s="2" t="n">
        <v>1536697008000</v>
      </c>
      <c r="M28" s="2" t="inlineStr">
        <is>
          <t>Parameter High / Capacity Low-Medium</t>
        </is>
      </c>
      <c r="N28" s="2" t="inlineStr">
        <is>
          <t>Fact+Scenario</t>
        </is>
      </c>
      <c r="O28" s="2" t="inlineStr">
        <is>
          <t>SRC_DEEPSEEK_V3; SRC_DEEPSEEK_R1</t>
        </is>
      </c>
      <c r="P28" s="2" t="inlineStr">
        <is>
          <t>ASSUMP_MOE_EFFICIENCY; ASSUMP_CN_CAPACITY_TRANSPARENCY; ASSUMP_INFERENCE_SHARE_NOT_FACT_60</t>
        </is>
      </c>
    </row>
    <row r="29">
      <c r="A29" s="2" t="inlineStr">
        <is>
          <t>DeepSeek</t>
        </is>
      </c>
      <c r="B29" s="2" t="inlineStr">
        <is>
          <t>China</t>
        </is>
      </c>
      <c r="C29" s="2" t="inlineStr">
        <is>
          <t>DeepSeek-V3 / R1</t>
        </is>
      </c>
      <c r="D29" s="2" t="inlineStr">
        <is>
          <t>DeepSeek app/API</t>
        </is>
      </c>
      <c r="E29" s="2" t="n">
        <v>2028</v>
      </c>
      <c r="F29" s="2" t="n">
        <v>0.321</v>
      </c>
      <c r="G29" s="2" t="n">
        <v>2018980</v>
      </c>
      <c r="H29" s="2" t="n">
        <v>0.4953</v>
      </c>
      <c r="I29" s="2" t="n">
        <v>0.57</v>
      </c>
      <c r="J29" s="2" t="n">
        <v>31917263379840</v>
      </c>
      <c r="K29" s="2" t="n">
        <v>1.16498011336416e+16</v>
      </c>
      <c r="L29" s="2" t="n">
        <v>2734344993600</v>
      </c>
      <c r="M29" s="2" t="inlineStr">
        <is>
          <t>Parameter High / Capacity Low-Medium</t>
        </is>
      </c>
      <c r="N29" s="2" t="inlineStr">
        <is>
          <t>Fact+Scenario</t>
        </is>
      </c>
      <c r="O29" s="2" t="inlineStr">
        <is>
          <t>SRC_DEEPSEEK_V3; SRC_DEEPSEEK_R1</t>
        </is>
      </c>
      <c r="P29" s="2" t="inlineStr">
        <is>
          <t>ASSUMP_MOE_EFFICIENCY; ASSUMP_CN_CAPACITY_TRANSPARENCY; ASSUMP_INFERENCE_SHARE_NOT_FACT_60</t>
        </is>
      </c>
    </row>
    <row r="30">
      <c r="A30" s="2" t="inlineStr">
        <is>
          <t>DeepSeek</t>
        </is>
      </c>
      <c r="B30" s="2" t="inlineStr">
        <is>
          <t>China</t>
        </is>
      </c>
      <c r="C30" s="2" t="inlineStr">
        <is>
          <t>DeepSeek-V3 / R1</t>
        </is>
      </c>
      <c r="D30" s="2" t="inlineStr">
        <is>
          <t>DeepSeek app/API</t>
        </is>
      </c>
      <c r="E30" s="2" t="n">
        <v>2029</v>
      </c>
      <c r="F30" s="2" t="n">
        <v>0.477</v>
      </c>
      <c r="G30" s="2" t="n">
        <v>2382396</v>
      </c>
      <c r="H30" s="2" t="n">
        <v>0.4197</v>
      </c>
      <c r="I30" s="2" t="n">
        <v>0.615</v>
      </c>
      <c r="J30" s="2" t="n">
        <v>60383904069312</v>
      </c>
      <c r="K30" s="2" t="n">
        <v>2.204012498529888e+16</v>
      </c>
      <c r="L30" s="2" t="n">
        <v>3982552666710</v>
      </c>
      <c r="M30" s="2" t="inlineStr">
        <is>
          <t>Parameter High / Capacity Low-Medium</t>
        </is>
      </c>
      <c r="N30" s="2" t="inlineStr">
        <is>
          <t>Fact+Scenario</t>
        </is>
      </c>
      <c r="O30" s="2" t="inlineStr">
        <is>
          <t>SRC_DEEPSEEK_V3; SRC_DEEPSEEK_R1</t>
        </is>
      </c>
      <c r="P30" s="2" t="inlineStr">
        <is>
          <t>ASSUMP_MOE_EFFICIENCY; ASSUMP_CN_CAPACITY_TRANSPARENCY; ASSUMP_INFERENCE_SHARE_NOT_FACT_60</t>
        </is>
      </c>
    </row>
    <row r="31">
      <c r="A31" s="2" t="inlineStr">
        <is>
          <t>DeepSeek</t>
        </is>
      </c>
      <c r="B31" s="2" t="inlineStr">
        <is>
          <t>China</t>
        </is>
      </c>
      <c r="C31" s="2" t="inlineStr">
        <is>
          <t>DeepSeek-V3 / R1</t>
        </is>
      </c>
      <c r="D31" s="2" t="inlineStr">
        <is>
          <t>DeepSeek app/API</t>
        </is>
      </c>
      <c r="E31" s="2" t="n">
        <v>2030</v>
      </c>
      <c r="F31" s="2" t="n">
        <v>0.651</v>
      </c>
      <c r="G31" s="2" t="n">
        <v>2811228</v>
      </c>
      <c r="H31" s="2" t="n">
        <v>0.3557</v>
      </c>
      <c r="I31" s="2" t="n">
        <v>0.66</v>
      </c>
      <c r="J31" s="2" t="n">
        <v>104360160022272</v>
      </c>
      <c r="K31" s="2" t="n">
        <v>3.809145840812928e+16</v>
      </c>
      <c r="L31" s="2" t="n">
        <v>5043272863749</v>
      </c>
      <c r="M31" s="2" t="inlineStr">
        <is>
          <t>Parameter High / Capacity Low-Medium</t>
        </is>
      </c>
      <c r="N31" s="2" t="inlineStr">
        <is>
          <t>Fact+Scenario</t>
        </is>
      </c>
      <c r="O31" s="2" t="inlineStr">
        <is>
          <t>SRC_DEEPSEEK_V3; SRC_DEEPSEEK_R1</t>
        </is>
      </c>
      <c r="P31" s="2" t="inlineStr">
        <is>
          <t>ASSUMP_MOE_EFFICIENCY; ASSUMP_CN_CAPACITY_TRANSPARENCY; ASSUMP_INFERENCE_SHARE_NOT_FACT_60</t>
        </is>
      </c>
    </row>
    <row r="32">
      <c r="A32" s="2" t="inlineStr">
        <is>
          <t>Alibaba</t>
        </is>
      </c>
      <c r="B32" s="2" t="inlineStr">
        <is>
          <t>China</t>
        </is>
      </c>
      <c r="C32" s="2" t="inlineStr">
        <is>
          <t>Qwen / Qwen3</t>
        </is>
      </c>
      <c r="D32" s="2" t="inlineStr">
        <is>
          <t>Model Studio + Qwen API</t>
        </is>
      </c>
      <c r="E32" s="2" t="n">
        <v>2026</v>
      </c>
      <c r="F32" s="2" t="n">
        <v>0.266</v>
      </c>
      <c r="G32" s="2" t="n">
        <v>1350000</v>
      </c>
      <c r="H32" s="2" t="n">
        <v>0.7407</v>
      </c>
      <c r="I32" s="2" t="n">
        <v>0.52</v>
      </c>
      <c r="J32" s="2" t="n">
        <v>16133644800000</v>
      </c>
      <c r="K32" s="2" t="n">
        <v>5888780352000000</v>
      </c>
      <c r="L32" s="2" t="n">
        <v>2375163648000</v>
      </c>
      <c r="M32" s="2" t="inlineStr">
        <is>
          <t>Medium</t>
        </is>
      </c>
      <c r="N32" s="2" t="inlineStr">
        <is>
          <t>Fact+Scenario</t>
        </is>
      </c>
      <c r="O32" s="2" t="inlineStr">
        <is>
          <t>SRC_QWEN3_GITHUB</t>
        </is>
      </c>
      <c r="P32" s="2" t="inlineStr">
        <is>
          <t>ASSUMP_MOE_EFFICIENCY; ASSUMP_CN_CAPACITY_TRANSPARENCY; ASSUMP_INFERENCE_SHARE_NOT_FACT_60</t>
        </is>
      </c>
    </row>
    <row r="33">
      <c r="A33" s="2" t="inlineStr">
        <is>
          <t>Alibaba</t>
        </is>
      </c>
      <c r="B33" s="2" t="inlineStr">
        <is>
          <t>China</t>
        </is>
      </c>
      <c r="C33" s="2" t="inlineStr">
        <is>
          <t>Qwen / Qwen3</t>
        </is>
      </c>
      <c r="D33" s="2" t="inlineStr">
        <is>
          <t>Model Studio + Qwen API</t>
        </is>
      </c>
      <c r="E33" s="2" t="n">
        <v>2027</v>
      </c>
      <c r="F33" s="2" t="n">
        <v>0.572</v>
      </c>
      <c r="G33" s="2" t="n">
        <v>1579500</v>
      </c>
      <c r="H33" s="2" t="n">
        <v>0.6331</v>
      </c>
      <c r="I33" s="2" t="n">
        <v>0.5600000000000001</v>
      </c>
      <c r="J33" s="2" t="n">
        <v>43713686016000</v>
      </c>
      <c r="K33" s="2" t="n">
        <v>1.595549539584e+16</v>
      </c>
      <c r="L33" s="2" t="n">
        <v>5178390497280</v>
      </c>
      <c r="M33" s="2" t="inlineStr">
        <is>
          <t>Medium</t>
        </is>
      </c>
      <c r="N33" s="2" t="inlineStr">
        <is>
          <t>Fact+Scenario</t>
        </is>
      </c>
      <c r="O33" s="2" t="inlineStr">
        <is>
          <t>SRC_QWEN3_GITHUB</t>
        </is>
      </c>
      <c r="P33" s="2" t="inlineStr">
        <is>
          <t>ASSUMP_MOE_EFFICIENCY; ASSUMP_CN_CAPACITY_TRANSPARENCY; ASSUMP_INFERENCE_SHARE_NOT_FACT_60</t>
        </is>
      </c>
    </row>
    <row r="34">
      <c r="A34" s="2" t="inlineStr">
        <is>
          <t>Alibaba</t>
        </is>
      </c>
      <c r="B34" s="2" t="inlineStr">
        <is>
          <t>China</t>
        </is>
      </c>
      <c r="C34" s="2" t="inlineStr">
        <is>
          <t>Qwen / Qwen3</t>
        </is>
      </c>
      <c r="D34" s="2" t="inlineStr">
        <is>
          <t>Model Studio + Qwen API</t>
        </is>
      </c>
      <c r="E34" s="2" t="n">
        <v>2028</v>
      </c>
      <c r="F34" s="2" t="n">
        <v>0.92</v>
      </c>
      <c r="G34" s="2" t="n">
        <v>1848015</v>
      </c>
      <c r="H34" s="2" t="n">
        <v>0.5411</v>
      </c>
      <c r="I34" s="2" t="n">
        <v>0.6</v>
      </c>
      <c r="J34" s="2" t="n">
        <v>88137009792000</v>
      </c>
      <c r="K34" s="2" t="n">
        <v>3.217000857408e+16</v>
      </c>
      <c r="L34" s="2" t="n">
        <v>8304039139968</v>
      </c>
      <c r="M34" s="2" t="inlineStr">
        <is>
          <t>Medium</t>
        </is>
      </c>
      <c r="N34" s="2" t="inlineStr">
        <is>
          <t>Fact+Scenario</t>
        </is>
      </c>
      <c r="O34" s="2" t="inlineStr">
        <is>
          <t>SRC_QWEN3_GITHUB</t>
        </is>
      </c>
      <c r="P34" s="2" t="inlineStr">
        <is>
          <t>ASSUMP_MOE_EFFICIENCY; ASSUMP_CN_CAPACITY_TRANSPARENCY; ASSUMP_INFERENCE_SHARE_NOT_FACT_60</t>
        </is>
      </c>
    </row>
    <row r="35">
      <c r="A35" s="2" t="inlineStr">
        <is>
          <t>Alibaba</t>
        </is>
      </c>
      <c r="B35" s="2" t="inlineStr">
        <is>
          <t>China</t>
        </is>
      </c>
      <c r="C35" s="2" t="inlineStr">
        <is>
          <t>Qwen / Qwen3</t>
        </is>
      </c>
      <c r="D35" s="2" t="inlineStr">
        <is>
          <t>Model Studio + Qwen API</t>
        </is>
      </c>
      <c r="E35" s="2" t="n">
        <v>2029</v>
      </c>
      <c r="F35" s="2" t="n">
        <v>1.312</v>
      </c>
      <c r="G35" s="2" t="n">
        <v>2162178</v>
      </c>
      <c r="H35" s="2" t="n">
        <v>0.4625</v>
      </c>
      <c r="I35" s="2" t="n">
        <v>0.64</v>
      </c>
      <c r="J35" s="2" t="n">
        <v>156862450630656</v>
      </c>
      <c r="K35" s="2" t="n">
        <v>5.725479448018944e+16</v>
      </c>
      <c r="L35" s="2" t="n">
        <v>11520781816136</v>
      </c>
      <c r="M35" s="2" t="inlineStr">
        <is>
          <t>Medium</t>
        </is>
      </c>
      <c r="N35" s="2" t="inlineStr">
        <is>
          <t>Fact+Scenario</t>
        </is>
      </c>
      <c r="O35" s="2" t="inlineStr">
        <is>
          <t>SRC_QWEN3_GITHUB</t>
        </is>
      </c>
      <c r="P35" s="2" t="inlineStr">
        <is>
          <t>ASSUMP_MOE_EFFICIENCY; ASSUMP_CN_CAPACITY_TRANSPARENCY; ASSUMP_INFERENCE_SHARE_NOT_FACT_60</t>
        </is>
      </c>
    </row>
    <row r="36">
      <c r="A36" s="2" t="inlineStr">
        <is>
          <t>Alibaba</t>
        </is>
      </c>
      <c r="B36" s="2" t="inlineStr">
        <is>
          <t>China</t>
        </is>
      </c>
      <c r="C36" s="2" t="inlineStr">
        <is>
          <t>Qwen / Qwen3</t>
        </is>
      </c>
      <c r="D36" s="2" t="inlineStr">
        <is>
          <t>Model Studio + Qwen API</t>
        </is>
      </c>
      <c r="E36" s="2" t="n">
        <v>2030</v>
      </c>
      <c r="F36" s="2" t="n">
        <v>1.748</v>
      </c>
      <c r="G36" s="2" t="n">
        <v>2529748</v>
      </c>
      <c r="H36" s="2" t="n">
        <v>0.3953</v>
      </c>
      <c r="I36" s="2" t="n">
        <v>0.68</v>
      </c>
      <c r="J36" s="2" t="n">
        <v>259801314859008</v>
      </c>
      <c r="K36" s="2" t="n">
        <v>9.482747992353794e+16</v>
      </c>
      <c r="L36" s="2" t="n">
        <v>14289072317245</v>
      </c>
      <c r="M36" s="2" t="inlineStr">
        <is>
          <t>Medium</t>
        </is>
      </c>
      <c r="N36" s="2" t="inlineStr">
        <is>
          <t>Fact+Scenario</t>
        </is>
      </c>
      <c r="O36" s="2" t="inlineStr">
        <is>
          <t>SRC_QWEN3_GITHUB</t>
        </is>
      </c>
      <c r="P36" s="2" t="inlineStr">
        <is>
          <t>ASSUMP_MOE_EFFICIENCY; ASSUMP_CN_CAPACITY_TRANSPARENCY; ASSUMP_INFERENCE_SHARE_NOT_FACT_60</t>
        </is>
      </c>
    </row>
    <row r="37">
      <c r="A37" s="2" t="inlineStr">
        <is>
          <t>Tencent</t>
        </is>
      </c>
      <c r="B37" s="2" t="inlineStr">
        <is>
          <t>China</t>
        </is>
      </c>
      <c r="C37" s="2" t="inlineStr">
        <is>
          <t>Hunyuan / Yuanbao</t>
        </is>
      </c>
      <c r="D37" s="2" t="inlineStr">
        <is>
          <t>Yuanbao + WeChat/Tencent Cloud</t>
        </is>
      </c>
      <c r="E37" s="2" t="n">
        <v>2026</v>
      </c>
      <c r="F37" s="2" t="n">
        <v>0.184</v>
      </c>
      <c r="G37" s="2" t="n">
        <v>1200000</v>
      </c>
      <c r="H37" s="2" t="n">
        <v>0.8333</v>
      </c>
      <c r="I37" s="2" t="n">
        <v>0.52</v>
      </c>
      <c r="J37" s="2" t="n">
        <v>9920102400000</v>
      </c>
      <c r="K37" s="2" t="n">
        <v>3620837376000000</v>
      </c>
      <c r="L37" s="2" t="n">
        <v>1458902016000</v>
      </c>
      <c r="M37" s="2" t="inlineStr">
        <is>
          <t>Medium-Low</t>
        </is>
      </c>
      <c r="N37" s="2" t="inlineStr">
        <is>
          <t>Estimate+Scenario</t>
        </is>
      </c>
      <c r="O37" s="2" t="inlineStr">
        <is>
          <t>SRC_TENCENT_HUNYUAN; SRC_TENCENT_HY3</t>
        </is>
      </c>
      <c r="P37" s="2" t="inlineStr">
        <is>
          <t>ASSUMP_CN_CAPACITY_TRANSPARENCY; ASSUMP_APP_EMBEDDING; ASSUMP_INFERENCE_SHARE_NOT_FACT_60</t>
        </is>
      </c>
    </row>
    <row r="38">
      <c r="A38" s="2" t="inlineStr">
        <is>
          <t>Tencent</t>
        </is>
      </c>
      <c r="B38" s="2" t="inlineStr">
        <is>
          <t>China</t>
        </is>
      </c>
      <c r="C38" s="2" t="inlineStr">
        <is>
          <t>Hunyuan / Yuanbao</t>
        </is>
      </c>
      <c r="D38" s="2" t="inlineStr">
        <is>
          <t>Yuanbao + WeChat/Tencent Cloud</t>
        </is>
      </c>
      <c r="E38" s="2" t="n">
        <v>2027</v>
      </c>
      <c r="F38" s="2" t="n">
        <v>0.416</v>
      </c>
      <c r="G38" s="2" t="n">
        <v>1392000</v>
      </c>
      <c r="H38" s="2" t="n">
        <v>0.7184</v>
      </c>
      <c r="I38" s="2" t="n">
        <v>0.5600000000000001</v>
      </c>
      <c r="J38" s="2" t="n">
        <v>28017819648000</v>
      </c>
      <c r="K38" s="2" t="n">
        <v>1.022650417152e+16</v>
      </c>
      <c r="L38" s="2" t="n">
        <v>3319034019840</v>
      </c>
      <c r="M38" s="2" t="inlineStr">
        <is>
          <t>Medium-Low</t>
        </is>
      </c>
      <c r="N38" s="2" t="inlineStr">
        <is>
          <t>Estimate+Scenario</t>
        </is>
      </c>
      <c r="O38" s="2" t="inlineStr">
        <is>
          <t>SRC_TENCENT_HUNYUAN; SRC_TENCENT_HY3</t>
        </is>
      </c>
      <c r="P38" s="2" t="inlineStr">
        <is>
          <t>ASSUMP_CN_CAPACITY_TRANSPARENCY; ASSUMP_APP_EMBEDDING; ASSUMP_INFERENCE_SHARE_NOT_FACT_60</t>
        </is>
      </c>
    </row>
    <row r="39">
      <c r="A39" s="2" t="inlineStr">
        <is>
          <t>Tencent</t>
        </is>
      </c>
      <c r="B39" s="2" t="inlineStr">
        <is>
          <t>China</t>
        </is>
      </c>
      <c r="C39" s="2" t="inlineStr">
        <is>
          <t>Hunyuan / Yuanbao</t>
        </is>
      </c>
      <c r="D39" s="2" t="inlineStr">
        <is>
          <t>Yuanbao + WeChat/Tencent Cloud</t>
        </is>
      </c>
      <c r="E39" s="2" t="n">
        <v>2028</v>
      </c>
      <c r="F39" s="2" t="n">
        <v>0.681</v>
      </c>
      <c r="G39" s="2" t="n">
        <v>1614720</v>
      </c>
      <c r="H39" s="2" t="n">
        <v>0.6193</v>
      </c>
      <c r="I39" s="2" t="n">
        <v>0.6</v>
      </c>
      <c r="J39" s="2" t="n">
        <v>57004524748800</v>
      </c>
      <c r="K39" s="2" t="n">
        <v>2.0806651533312e+16</v>
      </c>
      <c r="L39" s="2" t="n">
        <v>5377343127552</v>
      </c>
      <c r="M39" s="2" t="inlineStr">
        <is>
          <t>Medium-Low</t>
        </is>
      </c>
      <c r="N39" s="2" t="inlineStr">
        <is>
          <t>Estimate+Scenario</t>
        </is>
      </c>
      <c r="O39" s="2" t="inlineStr">
        <is>
          <t>SRC_TENCENT_HUNYUAN; SRC_TENCENT_HY3</t>
        </is>
      </c>
      <c r="P39" s="2" t="inlineStr">
        <is>
          <t>ASSUMP_CN_CAPACITY_TRANSPARENCY; ASSUMP_APP_EMBEDDING; ASSUMP_INFERENCE_SHARE_NOT_FACT_60</t>
        </is>
      </c>
    </row>
    <row r="40">
      <c r="A40" s="2" t="inlineStr">
        <is>
          <t>Tencent</t>
        </is>
      </c>
      <c r="B40" s="2" t="inlineStr">
        <is>
          <t>China</t>
        </is>
      </c>
      <c r="C40" s="2" t="inlineStr">
        <is>
          <t>Hunyuan / Yuanbao</t>
        </is>
      </c>
      <c r="D40" s="2" t="inlineStr">
        <is>
          <t>Yuanbao + WeChat/Tencent Cloud</t>
        </is>
      </c>
      <c r="E40" s="2" t="n">
        <v>2029</v>
      </c>
      <c r="F40" s="2" t="n">
        <v>0.98</v>
      </c>
      <c r="G40" s="2" t="n">
        <v>1873075</v>
      </c>
      <c r="H40" s="2" t="n">
        <v>0.5339</v>
      </c>
      <c r="I40" s="2" t="n">
        <v>0.64</v>
      </c>
      <c r="J40" s="2" t="n">
        <v>101502084096000</v>
      </c>
      <c r="K40" s="2" t="n">
        <v>3.704826069504e+16</v>
      </c>
      <c r="L40" s="2" t="n">
        <v>7451081561088</v>
      </c>
      <c r="M40" s="2" t="inlineStr">
        <is>
          <t>Medium-Low</t>
        </is>
      </c>
      <c r="N40" s="2" t="inlineStr">
        <is>
          <t>Estimate+Scenario</t>
        </is>
      </c>
      <c r="O40" s="2" t="inlineStr">
        <is>
          <t>SRC_TENCENT_HUNYUAN; SRC_TENCENT_HY3</t>
        </is>
      </c>
      <c r="P40" s="2" t="inlineStr">
        <is>
          <t>ASSUMP_CN_CAPACITY_TRANSPARENCY; ASSUMP_APP_EMBEDDING; ASSUMP_INFERENCE_SHARE_NOT_FACT_60</t>
        </is>
      </c>
    </row>
    <row r="41">
      <c r="A41" s="2" t="inlineStr">
        <is>
          <t>Tencent</t>
        </is>
      </c>
      <c r="B41" s="2" t="inlineStr">
        <is>
          <t>China</t>
        </is>
      </c>
      <c r="C41" s="2" t="inlineStr">
        <is>
          <t>Hunyuan / Yuanbao</t>
        </is>
      </c>
      <c r="D41" s="2" t="inlineStr">
        <is>
          <t>Yuanbao + WeChat/Tencent Cloud</t>
        </is>
      </c>
      <c r="E41" s="2" t="n">
        <v>2030</v>
      </c>
      <c r="F41" s="2" t="n">
        <v>1.311</v>
      </c>
      <c r="G41" s="2" t="n">
        <v>2172767</v>
      </c>
      <c r="H41" s="2" t="n">
        <v>0.4602</v>
      </c>
      <c r="I41" s="2" t="n">
        <v>0.68</v>
      </c>
      <c r="J41" s="2" t="n">
        <v>167354927293824</v>
      </c>
      <c r="K41" s="2" t="n">
        <v>6.108454846224576e+16</v>
      </c>
      <c r="L41" s="2" t="n">
        <v>9211541993533</v>
      </c>
      <c r="M41" s="2" t="inlineStr">
        <is>
          <t>Medium-Low</t>
        </is>
      </c>
      <c r="N41" s="2" t="inlineStr">
        <is>
          <t>Estimate+Scenario</t>
        </is>
      </c>
      <c r="O41" s="2" t="inlineStr">
        <is>
          <t>SRC_TENCENT_HUNYUAN; SRC_TENCENT_HY3</t>
        </is>
      </c>
      <c r="P41" s="2" t="inlineStr">
        <is>
          <t>ASSUMP_CN_CAPACITY_TRANSPARENCY; ASSUMP_APP_EMBEDDING; ASSUMP_INFERENCE_SHARE_NOT_FACT_60</t>
        </is>
      </c>
    </row>
  </sheetData>
  <autoFilter ref="A1:P41"/>
  <conditionalFormatting sqref="J2:J41">
    <cfRule type="colorScale" priority="1">
      <colorScale>
        <cfvo type="min"/>
        <cfvo type="percentile" val="50"/>
        <cfvo type="max"/>
        <color rgb="00FDE2E2"/>
        <color rgb="00FFF1B8"/>
        <color rgb="00B7E4C7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4" customWidth="1" min="4" max="4"/>
    <col width="26" customWidth="1" min="5" max="5"/>
    <col width="13" customWidth="1" min="6" max="6"/>
    <col width="26" customWidth="1" min="7" max="7"/>
    <col width="19" customWidth="1" min="8" max="8"/>
  </cols>
  <sheetData>
    <row r="1">
      <c r="A1" s="1" t="inlineStr">
        <is>
          <t>scenario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inference_gw</t>
        </is>
      </c>
      <c r="E1" s="1" t="inlineStr">
        <is>
          <t>tokens_per_second_per_mw</t>
        </is>
      </c>
      <c r="F1" s="1" t="inlineStr">
        <is>
          <t>utilization</t>
        </is>
      </c>
      <c r="G1" s="1" t="inlineStr">
        <is>
          <t>inference_tokens_per_day</t>
        </is>
      </c>
      <c r="H1" s="1" t="inlineStr">
        <is>
          <t>delta_vs_base_pct</t>
        </is>
      </c>
    </row>
    <row r="2">
      <c r="A2" s="2" t="inlineStr">
        <is>
          <t>Bear: lower tokens/MW and utilization</t>
        </is>
      </c>
      <c r="B2" s="2" t="inlineStr">
        <is>
          <t>Microsoft</t>
        </is>
      </c>
      <c r="C2" s="2" t="n">
        <v>2026</v>
      </c>
      <c r="D2" s="2" t="n">
        <v>0.71</v>
      </c>
      <c r="E2" s="2" t="n">
        <v>682500</v>
      </c>
      <c r="F2" s="2" t="n">
        <v>0.459</v>
      </c>
      <c r="G2" s="2" t="n">
        <v>19217081520000</v>
      </c>
      <c r="H2" s="2" t="n">
        <v>-44.8</v>
      </c>
    </row>
    <row r="3">
      <c r="A3" s="2" t="inlineStr">
        <is>
          <t>Base</t>
        </is>
      </c>
      <c r="B3" s="2" t="inlineStr">
        <is>
          <t>Microsoft</t>
        </is>
      </c>
      <c r="C3" s="2" t="n">
        <v>2026</v>
      </c>
      <c r="D3" s="2" t="n">
        <v>0.71</v>
      </c>
      <c r="E3" s="2" t="n">
        <v>1050000</v>
      </c>
      <c r="F3" s="2" t="n">
        <v>0.54</v>
      </c>
      <c r="G3" s="2" t="n">
        <v>34782048000000</v>
      </c>
      <c r="H3" s="2" t="n">
        <v>0</v>
      </c>
    </row>
    <row r="4">
      <c r="A4" s="2" t="inlineStr">
        <is>
          <t>Bull: higher batching/quantization/software efficiency</t>
        </is>
      </c>
      <c r="B4" s="2" t="inlineStr">
        <is>
          <t>Microsoft</t>
        </is>
      </c>
      <c r="C4" s="2" t="n">
        <v>2026</v>
      </c>
      <c r="D4" s="2" t="n">
        <v>0.71</v>
      </c>
      <c r="E4" s="2" t="n">
        <v>1522500</v>
      </c>
      <c r="F4" s="2" t="n">
        <v>0.583</v>
      </c>
      <c r="G4" s="2" t="n">
        <v>54468687168000</v>
      </c>
      <c r="H4" s="2" t="n">
        <v>56.6</v>
      </c>
    </row>
    <row r="5">
      <c r="A5" s="2" t="inlineStr">
        <is>
          <t>Bear: lower tokens/MW and utilization</t>
        </is>
      </c>
      <c r="B5" s="2" t="inlineStr">
        <is>
          <t>Microsoft</t>
        </is>
      </c>
      <c r="C5" s="2" t="n">
        <v>2028</v>
      </c>
      <c r="D5" s="2" t="n">
        <v>1.863</v>
      </c>
      <c r="E5" s="2" t="n">
        <v>918372</v>
      </c>
      <c r="F5" s="2" t="n">
        <v>0.518</v>
      </c>
      <c r="G5" s="2" t="n">
        <v>76646793729542</v>
      </c>
      <c r="H5" s="2" t="n">
        <v>-44.8</v>
      </c>
    </row>
    <row r="6">
      <c r="A6" s="2" t="inlineStr">
        <is>
          <t>Base</t>
        </is>
      </c>
      <c r="B6" s="2" t="inlineStr">
        <is>
          <t>Microsoft</t>
        </is>
      </c>
      <c r="C6" s="2" t="n">
        <v>2028</v>
      </c>
      <c r="D6" s="2" t="n">
        <v>1.863</v>
      </c>
      <c r="E6" s="2" t="n">
        <v>1412880</v>
      </c>
      <c r="F6" s="2" t="n">
        <v>0.61</v>
      </c>
      <c r="G6" s="2" t="n">
        <v>138727228469760</v>
      </c>
      <c r="H6" s="2" t="n">
        <v>-0</v>
      </c>
    </row>
    <row r="7">
      <c r="A7" s="2" t="inlineStr">
        <is>
          <t>Bull: higher batching/quantization/software efficiency</t>
        </is>
      </c>
      <c r="B7" s="2" t="inlineStr">
        <is>
          <t>Microsoft</t>
        </is>
      </c>
      <c r="C7" s="2" t="n">
        <v>2028</v>
      </c>
      <c r="D7" s="2" t="n">
        <v>1.863</v>
      </c>
      <c r="E7" s="2" t="n">
        <v>2048676</v>
      </c>
      <c r="F7" s="2" t="n">
        <v>0.659</v>
      </c>
      <c r="G7" s="2" t="n">
        <v>217246839783644</v>
      </c>
      <c r="H7" s="2" t="n">
        <v>56.6</v>
      </c>
    </row>
    <row r="8">
      <c r="A8" s="2" t="inlineStr">
        <is>
          <t>Bear: lower tokens/MW and utilization</t>
        </is>
      </c>
      <c r="B8" s="2" t="inlineStr">
        <is>
          <t>Microsoft</t>
        </is>
      </c>
      <c r="C8" s="2" t="n">
        <v>2030</v>
      </c>
      <c r="D8" s="2" t="n">
        <v>3.333</v>
      </c>
      <c r="E8" s="2" t="n">
        <v>1235761</v>
      </c>
      <c r="F8" s="2" t="n">
        <v>0.578</v>
      </c>
      <c r="G8" s="2" t="n">
        <v>205689173099193</v>
      </c>
      <c r="H8" s="2" t="n">
        <v>-44.7</v>
      </c>
    </row>
    <row r="9">
      <c r="A9" s="2" t="inlineStr">
        <is>
          <t>Base</t>
        </is>
      </c>
      <c r="B9" s="2" t="inlineStr">
        <is>
          <t>Microsoft</t>
        </is>
      </c>
      <c r="C9" s="2" t="n">
        <v>2030</v>
      </c>
      <c r="D9" s="2" t="n">
        <v>3.333</v>
      </c>
      <c r="E9" s="2" t="n">
        <v>1901171</v>
      </c>
      <c r="F9" s="2" t="n">
        <v>0.68</v>
      </c>
      <c r="G9" s="2" t="n">
        <v>372288096107136</v>
      </c>
      <c r="H9" s="2" t="n">
        <v>0</v>
      </c>
    </row>
    <row r="10">
      <c r="A10" s="2" t="inlineStr">
        <is>
          <t>Bull: higher batching/quantization/software efficiency</t>
        </is>
      </c>
      <c r="B10" s="2" t="inlineStr">
        <is>
          <t>Microsoft</t>
        </is>
      </c>
      <c r="C10" s="2" t="n">
        <v>2030</v>
      </c>
      <c r="D10" s="2" t="n">
        <v>3.333</v>
      </c>
      <c r="E10" s="2" t="n">
        <v>2756698</v>
      </c>
      <c r="F10" s="2" t="n">
        <v>0.734</v>
      </c>
      <c r="G10" s="2" t="n">
        <v>583003158503775</v>
      </c>
      <c r="H10" s="2" t="n">
        <v>56.6</v>
      </c>
    </row>
    <row r="11">
      <c r="A11" s="2" t="inlineStr">
        <is>
          <t>Bear: lower tokens/MW and utilization</t>
        </is>
      </c>
      <c r="B11" s="2" t="inlineStr">
        <is>
          <t>Google</t>
        </is>
      </c>
      <c r="C11" s="2" t="n">
        <v>2026</v>
      </c>
      <c r="D11" s="2" t="n">
        <v>0.902</v>
      </c>
      <c r="E11" s="2" t="n">
        <v>812500</v>
      </c>
      <c r="F11" s="2" t="n">
        <v>0.476</v>
      </c>
      <c r="G11" s="2" t="n">
        <v>30140510400000</v>
      </c>
      <c r="H11" s="2" t="n">
        <v>-44.8</v>
      </c>
    </row>
    <row r="12">
      <c r="A12" s="2" t="inlineStr">
        <is>
          <t>Base</t>
        </is>
      </c>
      <c r="B12" s="2" t="inlineStr">
        <is>
          <t>Google</t>
        </is>
      </c>
      <c r="C12" s="2" t="n">
        <v>2026</v>
      </c>
      <c r="D12" s="2" t="n">
        <v>0.902</v>
      </c>
      <c r="E12" s="2" t="n">
        <v>1250000</v>
      </c>
      <c r="F12" s="2" t="n">
        <v>0.5600000000000001</v>
      </c>
      <c r="G12" s="2" t="n">
        <v>54552960000000</v>
      </c>
      <c r="H12" s="2" t="n">
        <v>0</v>
      </c>
    </row>
    <row r="13">
      <c r="A13" s="2" t="inlineStr">
        <is>
          <t>Bull: higher batching/quantization/software efficiency</t>
        </is>
      </c>
      <c r="B13" s="2" t="inlineStr">
        <is>
          <t>Google</t>
        </is>
      </c>
      <c r="C13" s="2" t="n">
        <v>2026</v>
      </c>
      <c r="D13" s="2" t="n">
        <v>0.902</v>
      </c>
      <c r="E13" s="2" t="n">
        <v>1812500</v>
      </c>
      <c r="F13" s="2" t="n">
        <v>0.605</v>
      </c>
      <c r="G13" s="2" t="n">
        <v>85429935360000</v>
      </c>
      <c r="H13" s="2" t="n">
        <v>56.6</v>
      </c>
    </row>
    <row r="14">
      <c r="A14" s="2" t="inlineStr">
        <is>
          <t>Bear: lower tokens/MW and utilization</t>
        </is>
      </c>
      <c r="B14" s="2" t="inlineStr">
        <is>
          <t>Google</t>
        </is>
      </c>
      <c r="C14" s="2" t="n">
        <v>2028</v>
      </c>
      <c r="D14" s="2" t="n">
        <v>2.131</v>
      </c>
      <c r="E14" s="2" t="n">
        <v>1131325</v>
      </c>
      <c r="F14" s="2" t="n">
        <v>0.535</v>
      </c>
      <c r="G14" s="2" t="n">
        <v>111543444525240</v>
      </c>
      <c r="H14" s="2" t="n">
        <v>-44.8</v>
      </c>
    </row>
    <row r="15">
      <c r="A15" s="2" t="inlineStr">
        <is>
          <t>Base</t>
        </is>
      </c>
      <c r="B15" s="2" t="inlineStr">
        <is>
          <t>Google</t>
        </is>
      </c>
      <c r="C15" s="2" t="n">
        <v>2028</v>
      </c>
      <c r="D15" s="2" t="n">
        <v>2.131</v>
      </c>
      <c r="E15" s="2" t="n">
        <v>1740500</v>
      </c>
      <c r="F15" s="2" t="n">
        <v>0.63</v>
      </c>
      <c r="G15" s="2" t="n">
        <v>201888587376000</v>
      </c>
      <c r="H15" s="2" t="n">
        <v>0</v>
      </c>
    </row>
    <row r="16">
      <c r="A16" s="2" t="inlineStr">
        <is>
          <t>Bull: higher batching/quantization/software efficiency</t>
        </is>
      </c>
      <c r="B16" s="2" t="inlineStr">
        <is>
          <t>Google</t>
        </is>
      </c>
      <c r="C16" s="2" t="n">
        <v>2028</v>
      </c>
      <c r="D16" s="2" t="n">
        <v>2.131</v>
      </c>
      <c r="E16" s="2" t="n">
        <v>2523725</v>
      </c>
      <c r="F16" s="2" t="n">
        <v>0.68</v>
      </c>
      <c r="G16" s="2" t="n">
        <v>316157527830816</v>
      </c>
      <c r="H16" s="2" t="n">
        <v>56.6</v>
      </c>
    </row>
    <row r="17">
      <c r="A17" s="2" t="inlineStr">
        <is>
          <t>Bear: lower tokens/MW and utilization</t>
        </is>
      </c>
      <c r="B17" s="2" t="inlineStr">
        <is>
          <t>Google</t>
        </is>
      </c>
      <c r="C17" s="2" t="n">
        <v>2030</v>
      </c>
      <c r="D17" s="2" t="n">
        <v>3.651</v>
      </c>
      <c r="E17" s="2" t="n">
        <v>1575257</v>
      </c>
      <c r="F17" s="2" t="n">
        <v>0.595</v>
      </c>
      <c r="G17" s="2" t="n">
        <v>295660906548134</v>
      </c>
      <c r="H17" s="2" t="n">
        <v>-44.7</v>
      </c>
    </row>
    <row r="18">
      <c r="A18" s="2" t="inlineStr">
        <is>
          <t>Base</t>
        </is>
      </c>
      <c r="B18" s="2" t="inlineStr">
        <is>
          <t>Google</t>
        </is>
      </c>
      <c r="C18" s="2" t="n">
        <v>2030</v>
      </c>
      <c r="D18" s="2" t="n">
        <v>3.651</v>
      </c>
      <c r="E18" s="2" t="n">
        <v>2423472</v>
      </c>
      <c r="F18" s="2" t="n">
        <v>0.7</v>
      </c>
      <c r="G18" s="2" t="n">
        <v>535132862530560</v>
      </c>
      <c r="H18" s="2" t="n">
        <v>-0</v>
      </c>
    </row>
    <row r="19">
      <c r="A19" s="2" t="inlineStr">
        <is>
          <t>Bull: higher batching/quantization/software efficiency</t>
        </is>
      </c>
      <c r="B19" s="2" t="inlineStr">
        <is>
          <t>Google</t>
        </is>
      </c>
      <c r="C19" s="2" t="n">
        <v>2030</v>
      </c>
      <c r="D19" s="2" t="n">
        <v>3.651</v>
      </c>
      <c r="E19" s="2" t="n">
        <v>3514034</v>
      </c>
      <c r="F19" s="2" t="n">
        <v>0.756</v>
      </c>
      <c r="G19" s="2" t="n">
        <v>838018062722857</v>
      </c>
      <c r="H19" s="2" t="n">
        <v>56.6</v>
      </c>
    </row>
    <row r="20">
      <c r="A20" s="2" t="inlineStr">
        <is>
          <t>Bear: lower tokens/MW and utilization</t>
        </is>
      </c>
      <c r="B20" s="2" t="inlineStr">
        <is>
          <t>Meta</t>
        </is>
      </c>
      <c r="C20" s="2" t="n">
        <v>2026</v>
      </c>
      <c r="D20" s="2" t="n">
        <v>0.673</v>
      </c>
      <c r="E20" s="2" t="n">
        <v>728000</v>
      </c>
      <c r="F20" s="2" t="n">
        <v>0.468</v>
      </c>
      <c r="G20" s="2" t="n">
        <v>19789818048000</v>
      </c>
      <c r="H20" s="2" t="n">
        <v>-44.8</v>
      </c>
    </row>
    <row r="21">
      <c r="A21" s="2" t="inlineStr">
        <is>
          <t>Base</t>
        </is>
      </c>
      <c r="B21" s="2" t="inlineStr">
        <is>
          <t>Meta</t>
        </is>
      </c>
      <c r="C21" s="2" t="n">
        <v>2026</v>
      </c>
      <c r="D21" s="2" t="n">
        <v>0.673</v>
      </c>
      <c r="E21" s="2" t="n">
        <v>1120000</v>
      </c>
      <c r="F21" s="2" t="n">
        <v>0.55</v>
      </c>
      <c r="G21" s="2" t="n">
        <v>35818675200000</v>
      </c>
      <c r="H21" s="2" t="n">
        <v>0</v>
      </c>
    </row>
    <row r="22">
      <c r="A22" s="2" t="inlineStr">
        <is>
          <t>Bull: higher batching/quantization/software efficiency</t>
        </is>
      </c>
      <c r="B22" s="2" t="inlineStr">
        <is>
          <t>Meta</t>
        </is>
      </c>
      <c r="C22" s="2" t="n">
        <v>2026</v>
      </c>
      <c r="D22" s="2" t="n">
        <v>0.673</v>
      </c>
      <c r="E22" s="2" t="n">
        <v>1624000</v>
      </c>
      <c r="F22" s="2" t="n">
        <v>0.594</v>
      </c>
      <c r="G22" s="2" t="n">
        <v>56092045363200</v>
      </c>
      <c r="H22" s="2" t="n">
        <v>56.6</v>
      </c>
    </row>
    <row r="23">
      <c r="A23" s="2" t="inlineStr">
        <is>
          <t>Bear: lower tokens/MW and utilization</t>
        </is>
      </c>
      <c r="B23" s="2" t="inlineStr">
        <is>
          <t>Meta</t>
        </is>
      </c>
      <c r="C23" s="2" t="n">
        <v>2028</v>
      </c>
      <c r="D23" s="2" t="n">
        <v>1.824</v>
      </c>
      <c r="E23" s="2" t="n">
        <v>979597</v>
      </c>
      <c r="F23" s="2" t="n">
        <v>0.531</v>
      </c>
      <c r="G23" s="2" t="n">
        <v>82013411450880</v>
      </c>
      <c r="H23" s="2" t="n">
        <v>-44.8</v>
      </c>
    </row>
    <row r="24">
      <c r="A24" s="2" t="inlineStr">
        <is>
          <t>Base</t>
        </is>
      </c>
      <c r="B24" s="2" t="inlineStr">
        <is>
          <t>Meta</t>
        </is>
      </c>
      <c r="C24" s="2" t="n">
        <v>2028</v>
      </c>
      <c r="D24" s="2" t="n">
        <v>1.824</v>
      </c>
      <c r="E24" s="2" t="n">
        <v>1507072</v>
      </c>
      <c r="F24" s="2" t="n">
        <v>0.625</v>
      </c>
      <c r="G24" s="2" t="n">
        <v>148440563712000</v>
      </c>
      <c r="H24" s="2" t="n">
        <v>0</v>
      </c>
    </row>
    <row r="25">
      <c r="A25" s="2" t="inlineStr">
        <is>
          <t>Bull: higher batching/quantization/software efficiency</t>
        </is>
      </c>
      <c r="B25" s="2" t="inlineStr">
        <is>
          <t>Meta</t>
        </is>
      </c>
      <c r="C25" s="2" t="n">
        <v>2028</v>
      </c>
      <c r="D25" s="2" t="n">
        <v>1.824</v>
      </c>
      <c r="E25" s="2" t="n">
        <v>2185254</v>
      </c>
      <c r="F25" s="2" t="n">
        <v>0.675</v>
      </c>
      <c r="G25" s="2" t="n">
        <v>232457922772992</v>
      </c>
      <c r="H25" s="2" t="n">
        <v>56.6</v>
      </c>
    </row>
    <row r="26">
      <c r="A26" s="2" t="inlineStr">
        <is>
          <t>Bear: lower tokens/MW and utilization</t>
        </is>
      </c>
      <c r="B26" s="2" t="inlineStr">
        <is>
          <t>Meta</t>
        </is>
      </c>
      <c r="C26" s="2" t="n">
        <v>2030</v>
      </c>
      <c r="D26" s="2" t="n">
        <v>3.28</v>
      </c>
      <c r="E26" s="2" t="n">
        <v>1318145</v>
      </c>
      <c r="F26" s="2" t="n">
        <v>0.595</v>
      </c>
      <c r="G26" s="2" t="n">
        <v>222263357412096</v>
      </c>
      <c r="H26" s="2" t="n">
        <v>-44.8</v>
      </c>
    </row>
    <row r="27">
      <c r="A27" s="2" t="inlineStr">
        <is>
          <t>Base</t>
        </is>
      </c>
      <c r="B27" s="2" t="inlineStr">
        <is>
          <t>Meta</t>
        </is>
      </c>
      <c r="C27" s="2" t="n">
        <v>2030</v>
      </c>
      <c r="D27" s="2" t="n">
        <v>3.28</v>
      </c>
      <c r="E27" s="2" t="n">
        <v>2027916</v>
      </c>
      <c r="F27" s="2" t="n">
        <v>0.7</v>
      </c>
      <c r="G27" s="2" t="n">
        <v>402286619750400</v>
      </c>
      <c r="H27" s="2" t="n">
        <v>0</v>
      </c>
    </row>
    <row r="28">
      <c r="A28" s="2" t="inlineStr">
        <is>
          <t>Bull: higher batching/quantization/software efficiency</t>
        </is>
      </c>
      <c r="B28" s="2" t="inlineStr">
        <is>
          <t>Meta</t>
        </is>
      </c>
      <c r="C28" s="2" t="n">
        <v>2030</v>
      </c>
      <c r="D28" s="2" t="n">
        <v>3.28</v>
      </c>
      <c r="E28" s="2" t="n">
        <v>2940478</v>
      </c>
      <c r="F28" s="2" t="n">
        <v>0.756</v>
      </c>
      <c r="G28" s="2" t="n">
        <v>629980846529126</v>
      </c>
      <c r="H28" s="2" t="n">
        <v>56.6</v>
      </c>
    </row>
    <row r="29">
      <c r="A29" s="2" t="inlineStr">
        <is>
          <t>Bear: lower tokens/MW and utilization</t>
        </is>
      </c>
      <c r="B29" s="2" t="inlineStr">
        <is>
          <t>xAI</t>
        </is>
      </c>
      <c r="C29" s="2" t="n">
        <v>2026</v>
      </c>
      <c r="D29" s="2" t="n">
        <v>0.11</v>
      </c>
      <c r="E29" s="2" t="n">
        <v>617500</v>
      </c>
      <c r="F29" s="2" t="n">
        <v>0.425</v>
      </c>
      <c r="G29" s="2" t="n">
        <v>2494206000000</v>
      </c>
      <c r="H29" s="2" t="n">
        <v>-44.8</v>
      </c>
    </row>
    <row r="30">
      <c r="A30" s="2" t="inlineStr">
        <is>
          <t>Base</t>
        </is>
      </c>
      <c r="B30" s="2" t="inlineStr">
        <is>
          <t>xAI</t>
        </is>
      </c>
      <c r="C30" s="2" t="n">
        <v>2026</v>
      </c>
      <c r="D30" s="2" t="n">
        <v>0.11</v>
      </c>
      <c r="E30" s="2" t="n">
        <v>950000</v>
      </c>
      <c r="F30" s="2" t="n">
        <v>0.5</v>
      </c>
      <c r="G30" s="2" t="n">
        <v>4514400000000</v>
      </c>
      <c r="H30" s="2" t="n">
        <v>0</v>
      </c>
    </row>
    <row r="31">
      <c r="A31" s="2" t="inlineStr">
        <is>
          <t>Bull: higher batching/quantization/software efficiency</t>
        </is>
      </c>
      <c r="B31" s="2" t="inlineStr">
        <is>
          <t>xAI</t>
        </is>
      </c>
      <c r="C31" s="2" t="n">
        <v>2026</v>
      </c>
      <c r="D31" s="2" t="n">
        <v>0.11</v>
      </c>
      <c r="E31" s="2" t="n">
        <v>1377500</v>
      </c>
      <c r="F31" s="2" t="n">
        <v>0.54</v>
      </c>
      <c r="G31" s="2" t="n">
        <v>7069550400000</v>
      </c>
      <c r="H31" s="2" t="n">
        <v>56.6</v>
      </c>
    </row>
    <row r="32">
      <c r="A32" s="2" t="inlineStr">
        <is>
          <t>Bear: lower tokens/MW and utilization</t>
        </is>
      </c>
      <c r="B32" s="2" t="inlineStr">
        <is>
          <t>xAI</t>
        </is>
      </c>
      <c r="C32" s="2" t="n">
        <v>2028</v>
      </c>
      <c r="D32" s="2" t="n">
        <v>0.571</v>
      </c>
      <c r="E32" s="2" t="n">
        <v>845296</v>
      </c>
      <c r="F32" s="2" t="n">
        <v>0.497</v>
      </c>
      <c r="G32" s="2" t="n">
        <v>20736398388116</v>
      </c>
      <c r="H32" s="2" t="n">
        <v>-44.8</v>
      </c>
    </row>
    <row r="33">
      <c r="A33" s="2" t="inlineStr">
        <is>
          <t>Base</t>
        </is>
      </c>
      <c r="B33" s="2" t="inlineStr">
        <is>
          <t>xAI</t>
        </is>
      </c>
      <c r="C33" s="2" t="n">
        <v>2028</v>
      </c>
      <c r="D33" s="2" t="n">
        <v>0.571</v>
      </c>
      <c r="E33" s="2" t="n">
        <v>1300455</v>
      </c>
      <c r="F33" s="2" t="n">
        <v>0.585</v>
      </c>
      <c r="G33" s="2" t="n">
        <v>37531942783920</v>
      </c>
      <c r="H33" s="2" t="n">
        <v>-0</v>
      </c>
    </row>
    <row r="34">
      <c r="A34" s="2" t="inlineStr">
        <is>
          <t>Bull: higher batching/quantization/software efficiency</t>
        </is>
      </c>
      <c r="B34" s="2" t="inlineStr">
        <is>
          <t>xAI</t>
        </is>
      </c>
      <c r="C34" s="2" t="n">
        <v>2028</v>
      </c>
      <c r="D34" s="2" t="n">
        <v>0.571</v>
      </c>
      <c r="E34" s="2" t="n">
        <v>1885660</v>
      </c>
      <c r="F34" s="2" t="n">
        <v>0.632</v>
      </c>
      <c r="G34" s="2" t="n">
        <v>58775022399619</v>
      </c>
      <c r="H34" s="2" t="n">
        <v>56.6</v>
      </c>
    </row>
    <row r="35">
      <c r="A35" s="2" t="inlineStr">
        <is>
          <t>Bear: lower tokens/MW and utilization</t>
        </is>
      </c>
      <c r="B35" s="2" t="inlineStr">
        <is>
          <t>xAI</t>
        </is>
      </c>
      <c r="C35" s="2" t="n">
        <v>2030</v>
      </c>
      <c r="D35" s="2" t="n">
        <v>1.219</v>
      </c>
      <c r="E35" s="2" t="n">
        <v>1157125</v>
      </c>
      <c r="F35" s="2" t="n">
        <v>0.57</v>
      </c>
      <c r="G35" s="2" t="n">
        <v>69405138011093</v>
      </c>
      <c r="H35" s="2" t="n">
        <v>-44.8</v>
      </c>
    </row>
    <row r="36">
      <c r="A36" s="2" t="inlineStr">
        <is>
          <t>Base</t>
        </is>
      </c>
      <c r="B36" s="2" t="inlineStr">
        <is>
          <t>xAI</t>
        </is>
      </c>
      <c r="C36" s="2" t="n">
        <v>2030</v>
      </c>
      <c r="D36" s="2" t="n">
        <v>1.219</v>
      </c>
      <c r="E36" s="2" t="n">
        <v>1780193</v>
      </c>
      <c r="F36" s="2" t="n">
        <v>0.67</v>
      </c>
      <c r="G36" s="2" t="n">
        <v>125620159296096</v>
      </c>
      <c r="H36" s="2" t="n">
        <v>0</v>
      </c>
    </row>
    <row r="37">
      <c r="A37" s="2" t="inlineStr">
        <is>
          <t>Bull: higher batching/quantization/software efficiency</t>
        </is>
      </c>
      <c r="B37" s="2" t="inlineStr">
        <is>
          <t>xAI</t>
        </is>
      </c>
      <c r="C37" s="2" t="n">
        <v>2030</v>
      </c>
      <c r="D37" s="2" t="n">
        <v>1.219</v>
      </c>
      <c r="E37" s="2" t="n">
        <v>2581280</v>
      </c>
      <c r="F37" s="2" t="n">
        <v>0.724</v>
      </c>
      <c r="G37" s="2" t="n">
        <v>196721169457686</v>
      </c>
      <c r="H37" s="2" t="n">
        <v>56.6</v>
      </c>
    </row>
    <row r="38">
      <c r="A38" s="2" t="inlineStr">
        <is>
          <t>Bear: lower tokens/MW and utilization</t>
        </is>
      </c>
      <c r="B38" s="2" t="inlineStr">
        <is>
          <t>OpenAI</t>
        </is>
      </c>
      <c r="C38" s="2" t="n">
        <v>2026</v>
      </c>
      <c r="D38" s="2" t="n">
        <v>0.595</v>
      </c>
      <c r="E38" s="2" t="n">
        <v>682500</v>
      </c>
      <c r="F38" s="2" t="n">
        <v>0.484</v>
      </c>
      <c r="G38" s="2" t="n">
        <v>16999147620000</v>
      </c>
      <c r="H38" s="2" t="n">
        <v>-44.8</v>
      </c>
    </row>
    <row r="39">
      <c r="A39" s="2" t="inlineStr">
        <is>
          <t>Base</t>
        </is>
      </c>
      <c r="B39" s="2" t="inlineStr">
        <is>
          <t>OpenAI</t>
        </is>
      </c>
      <c r="C39" s="2" t="n">
        <v>2026</v>
      </c>
      <c r="D39" s="2" t="n">
        <v>0.595</v>
      </c>
      <c r="E39" s="2" t="n">
        <v>1050000</v>
      </c>
      <c r="F39" s="2" t="n">
        <v>0.57</v>
      </c>
      <c r="G39" s="2" t="n">
        <v>30767688000000</v>
      </c>
      <c r="H39" s="2" t="n">
        <v>-0</v>
      </c>
    </row>
    <row r="40">
      <c r="A40" s="2" t="inlineStr">
        <is>
          <t>Bull: higher batching/quantization/software efficiency</t>
        </is>
      </c>
      <c r="B40" s="2" t="inlineStr">
        <is>
          <t>OpenAI</t>
        </is>
      </c>
      <c r="C40" s="2" t="n">
        <v>2026</v>
      </c>
      <c r="D40" s="2" t="n">
        <v>0.595</v>
      </c>
      <c r="E40" s="2" t="n">
        <v>1522500</v>
      </c>
      <c r="F40" s="2" t="n">
        <v>0.616</v>
      </c>
      <c r="G40" s="2" t="n">
        <v>48182199408000</v>
      </c>
      <c r="H40" s="2" t="n">
        <v>56.6</v>
      </c>
    </row>
    <row r="41">
      <c r="A41" s="2" t="inlineStr">
        <is>
          <t>Bear: lower tokens/MW and utilization</t>
        </is>
      </c>
      <c r="B41" s="2" t="inlineStr">
        <is>
          <t>OpenAI</t>
        </is>
      </c>
      <c r="C41" s="2" t="n">
        <v>2028</v>
      </c>
      <c r="D41" s="2" t="n">
        <v>2.468</v>
      </c>
      <c r="E41" s="2" t="n">
        <v>934274</v>
      </c>
      <c r="F41" s="2" t="n">
        <v>0.544</v>
      </c>
      <c r="G41" s="2" t="n">
        <v>108375765165158</v>
      </c>
      <c r="H41" s="2" t="n">
        <v>-44.7</v>
      </c>
    </row>
    <row r="42">
      <c r="A42" s="2" t="inlineStr">
        <is>
          <t>Base</t>
        </is>
      </c>
      <c r="B42" s="2" t="inlineStr">
        <is>
          <t>OpenAI</t>
        </is>
      </c>
      <c r="C42" s="2" t="n">
        <v>2028</v>
      </c>
      <c r="D42" s="2" t="n">
        <v>2.468</v>
      </c>
      <c r="E42" s="2" t="n">
        <v>1437345</v>
      </c>
      <c r="F42" s="2" t="n">
        <v>0.64</v>
      </c>
      <c r="G42" s="2" t="n">
        <v>196155231068160</v>
      </c>
      <c r="H42" s="2" t="n">
        <v>0</v>
      </c>
    </row>
    <row r="43">
      <c r="A43" s="2" t="inlineStr">
        <is>
          <t>Bull: higher batching/quantization/software efficiency</t>
        </is>
      </c>
      <c r="B43" s="2" t="inlineStr">
        <is>
          <t>OpenAI</t>
        </is>
      </c>
      <c r="C43" s="2" t="n">
        <v>2028</v>
      </c>
      <c r="D43" s="2" t="n">
        <v>2.468</v>
      </c>
      <c r="E43" s="2" t="n">
        <v>2084150</v>
      </c>
      <c r="F43" s="2" t="n">
        <v>0.6909999999999999</v>
      </c>
      <c r="G43" s="2" t="n">
        <v>307179091852739</v>
      </c>
      <c r="H43" s="2" t="n">
        <v>56.6</v>
      </c>
    </row>
    <row r="44">
      <c r="A44" s="2" t="inlineStr">
        <is>
          <t>Bear: lower tokens/MW and utilization</t>
        </is>
      </c>
      <c r="B44" s="2" t="inlineStr">
        <is>
          <t>OpenAI</t>
        </is>
      </c>
      <c r="C44" s="2" t="n">
        <v>2030</v>
      </c>
      <c r="D44" s="2" t="n">
        <v>4.862</v>
      </c>
      <c r="E44" s="2" t="n">
        <v>1278928</v>
      </c>
      <c r="F44" s="2" t="n">
        <v>0.603</v>
      </c>
      <c r="G44" s="2" t="n">
        <v>324229232992991</v>
      </c>
      <c r="H44" s="2" t="n">
        <v>-44.8</v>
      </c>
    </row>
    <row r="45">
      <c r="A45" s="2" t="inlineStr">
        <is>
          <t>Base</t>
        </is>
      </c>
      <c r="B45" s="2" t="inlineStr">
        <is>
          <t>OpenAI</t>
        </is>
      </c>
      <c r="C45" s="2" t="n">
        <v>2030</v>
      </c>
      <c r="D45" s="2" t="n">
        <v>4.862</v>
      </c>
      <c r="E45" s="2" t="n">
        <v>1967582</v>
      </c>
      <c r="F45" s="2" t="n">
        <v>0.71</v>
      </c>
      <c r="G45" s="2" t="n">
        <v>586840240711296</v>
      </c>
      <c r="H45" s="2" t="n">
        <v>0</v>
      </c>
    </row>
    <row r="46">
      <c r="A46" s="2" t="inlineStr">
        <is>
          <t>Bull: higher batching/quantization/software efficiency</t>
        </is>
      </c>
      <c r="B46" s="2" t="inlineStr">
        <is>
          <t>OpenAI</t>
        </is>
      </c>
      <c r="C46" s="2" t="n">
        <v>2030</v>
      </c>
      <c r="D46" s="2" t="n">
        <v>4.862</v>
      </c>
      <c r="E46" s="2" t="n">
        <v>2852994</v>
      </c>
      <c r="F46" s="2" t="n">
        <v>0.767</v>
      </c>
      <c r="G46" s="2" t="n">
        <v>918991816953890</v>
      </c>
      <c r="H46" s="2" t="n">
        <v>56.6</v>
      </c>
    </row>
    <row r="47">
      <c r="A47" s="2" t="inlineStr">
        <is>
          <t>Bear: lower tokens/MW and utilization</t>
        </is>
      </c>
      <c r="B47" s="2" t="inlineStr">
        <is>
          <t>DeepSeek</t>
        </is>
      </c>
      <c r="C47" s="2" t="n">
        <v>2026</v>
      </c>
      <c r="D47" s="2" t="n">
        <v>0.061</v>
      </c>
      <c r="E47" s="2" t="n">
        <v>942500</v>
      </c>
      <c r="F47" s="2" t="n">
        <v>0.408</v>
      </c>
      <c r="G47" s="2" t="n">
        <v>2026679616000</v>
      </c>
      <c r="H47" s="2" t="n">
        <v>-44.8</v>
      </c>
    </row>
    <row r="48">
      <c r="A48" s="2" t="inlineStr">
        <is>
          <t>Base</t>
        </is>
      </c>
      <c r="B48" s="2" t="inlineStr">
        <is>
          <t>DeepSeek</t>
        </is>
      </c>
      <c r="C48" s="2" t="n">
        <v>2026</v>
      </c>
      <c r="D48" s="2" t="n">
        <v>0.061</v>
      </c>
      <c r="E48" s="2" t="n">
        <v>1450000</v>
      </c>
      <c r="F48" s="2" t="n">
        <v>0.48</v>
      </c>
      <c r="G48" s="2" t="n">
        <v>3668198400000</v>
      </c>
      <c r="H48" s="2" t="n">
        <v>0</v>
      </c>
    </row>
    <row r="49">
      <c r="A49" s="2" t="inlineStr">
        <is>
          <t>Bull: higher batching/quantization/software efficiency</t>
        </is>
      </c>
      <c r="B49" s="2" t="inlineStr">
        <is>
          <t>DeepSeek</t>
        </is>
      </c>
      <c r="C49" s="2" t="n">
        <v>2026</v>
      </c>
      <c r="D49" s="2" t="n">
        <v>0.061</v>
      </c>
      <c r="E49" s="2" t="n">
        <v>2102500</v>
      </c>
      <c r="F49" s="2" t="n">
        <v>0.518</v>
      </c>
      <c r="G49" s="2" t="n">
        <v>5744398694400</v>
      </c>
      <c r="H49" s="2" t="n">
        <v>56.6</v>
      </c>
    </row>
    <row r="50">
      <c r="A50" s="2" t="inlineStr">
        <is>
          <t>Bear: lower tokens/MW and utilization</t>
        </is>
      </c>
      <c r="B50" s="2" t="inlineStr">
        <is>
          <t>DeepSeek</t>
        </is>
      </c>
      <c r="C50" s="2" t="n">
        <v>2028</v>
      </c>
      <c r="D50" s="2" t="n">
        <v>0.321</v>
      </c>
      <c r="E50" s="2" t="n">
        <v>1312337</v>
      </c>
      <c r="F50" s="2" t="n">
        <v>0.484</v>
      </c>
      <c r="G50" s="2" t="n">
        <v>17634288017362</v>
      </c>
      <c r="H50" s="2" t="n">
        <v>-44.8</v>
      </c>
    </row>
    <row r="51">
      <c r="A51" s="2" t="inlineStr">
        <is>
          <t>Base</t>
        </is>
      </c>
      <c r="B51" s="2" t="inlineStr">
        <is>
          <t>DeepSeek</t>
        </is>
      </c>
      <c r="C51" s="2" t="n">
        <v>2028</v>
      </c>
      <c r="D51" s="2" t="n">
        <v>0.321</v>
      </c>
      <c r="E51" s="2" t="n">
        <v>2018980</v>
      </c>
      <c r="F51" s="2" t="n">
        <v>0.57</v>
      </c>
      <c r="G51" s="2" t="n">
        <v>31917263379840</v>
      </c>
      <c r="H51" s="2" t="n">
        <v>-0</v>
      </c>
    </row>
    <row r="52">
      <c r="A52" s="2" t="inlineStr">
        <is>
          <t>Bull: higher batching/quantization/software efficiency</t>
        </is>
      </c>
      <c r="B52" s="2" t="inlineStr">
        <is>
          <t>DeepSeek</t>
        </is>
      </c>
      <c r="C52" s="2" t="n">
        <v>2028</v>
      </c>
      <c r="D52" s="2" t="n">
        <v>0.321</v>
      </c>
      <c r="E52" s="2" t="n">
        <v>2927521</v>
      </c>
      <c r="F52" s="2" t="n">
        <v>0.616</v>
      </c>
      <c r="G52" s="2" t="n">
        <v>49982434452829</v>
      </c>
      <c r="H52" s="2" t="n">
        <v>56.6</v>
      </c>
    </row>
    <row r="53">
      <c r="A53" s="2" t="inlineStr">
        <is>
          <t>Bear: lower tokens/MW and utilization</t>
        </is>
      </c>
      <c r="B53" s="2" t="inlineStr">
        <is>
          <t>DeepSeek</t>
        </is>
      </c>
      <c r="C53" s="2" t="n">
        <v>2030</v>
      </c>
      <c r="D53" s="2" t="n">
        <v>0.651</v>
      </c>
      <c r="E53" s="2" t="n">
        <v>1827298</v>
      </c>
      <c r="F53" s="2" t="n">
        <v>0.5610000000000001</v>
      </c>
      <c r="G53" s="2" t="n">
        <v>57658988412305</v>
      </c>
      <c r="H53" s="2" t="n">
        <v>-44.7</v>
      </c>
    </row>
    <row r="54">
      <c r="A54" s="2" t="inlineStr">
        <is>
          <t>Base</t>
        </is>
      </c>
      <c r="B54" s="2" t="inlineStr">
        <is>
          <t>DeepSeek</t>
        </is>
      </c>
      <c r="C54" s="2" t="n">
        <v>2030</v>
      </c>
      <c r="D54" s="2" t="n">
        <v>0.651</v>
      </c>
      <c r="E54" s="2" t="n">
        <v>2811228</v>
      </c>
      <c r="F54" s="2" t="n">
        <v>0.66</v>
      </c>
      <c r="G54" s="2" t="n">
        <v>104360160022272</v>
      </c>
      <c r="H54" s="2" t="n">
        <v>0</v>
      </c>
    </row>
    <row r="55">
      <c r="A55" s="2" t="inlineStr">
        <is>
          <t>Bull: higher batching/quantization/software efficiency</t>
        </is>
      </c>
      <c r="B55" s="2" t="inlineStr">
        <is>
          <t>DeepSeek</t>
        </is>
      </c>
      <c r="C55" s="2" t="n">
        <v>2030</v>
      </c>
      <c r="D55" s="2" t="n">
        <v>0.651</v>
      </c>
      <c r="E55" s="2" t="n">
        <v>4076281</v>
      </c>
      <c r="F55" s="2" t="n">
        <v>0.713</v>
      </c>
      <c r="G55" s="2" t="n">
        <v>163428010594878</v>
      </c>
      <c r="H55" s="2" t="n">
        <v>56.6</v>
      </c>
    </row>
    <row r="56">
      <c r="A56" s="2" t="inlineStr">
        <is>
          <t>Bear: lower tokens/MW and utilization</t>
        </is>
      </c>
      <c r="B56" s="2" t="inlineStr">
        <is>
          <t>Alibaba</t>
        </is>
      </c>
      <c r="C56" s="2" t="n">
        <v>2026</v>
      </c>
      <c r="D56" s="2" t="n">
        <v>0.266</v>
      </c>
      <c r="E56" s="2" t="n">
        <v>877500</v>
      </c>
      <c r="F56" s="2" t="n">
        <v>0.442</v>
      </c>
      <c r="G56" s="2" t="n">
        <v>8913838752000</v>
      </c>
      <c r="H56" s="2" t="n">
        <v>-44.8</v>
      </c>
    </row>
    <row r="57">
      <c r="A57" s="2" t="inlineStr">
        <is>
          <t>Base</t>
        </is>
      </c>
      <c r="B57" s="2" t="inlineStr">
        <is>
          <t>Alibaba</t>
        </is>
      </c>
      <c r="C57" s="2" t="n">
        <v>2026</v>
      </c>
      <c r="D57" s="2" t="n">
        <v>0.266</v>
      </c>
      <c r="E57" s="2" t="n">
        <v>1350000</v>
      </c>
      <c r="F57" s="2" t="n">
        <v>0.52</v>
      </c>
      <c r="G57" s="2" t="n">
        <v>16133644800000</v>
      </c>
      <c r="H57" s="2" t="n">
        <v>0</v>
      </c>
    </row>
    <row r="58">
      <c r="A58" s="2" t="inlineStr">
        <is>
          <t>Bull: higher batching/quantization/software efficiency</t>
        </is>
      </c>
      <c r="B58" s="2" t="inlineStr">
        <is>
          <t>Alibaba</t>
        </is>
      </c>
      <c r="C58" s="2" t="n">
        <v>2026</v>
      </c>
      <c r="D58" s="2" t="n">
        <v>0.266</v>
      </c>
      <c r="E58" s="2" t="n">
        <v>1957500</v>
      </c>
      <c r="F58" s="2" t="n">
        <v>0.5620000000000001</v>
      </c>
      <c r="G58" s="2" t="n">
        <v>25265287756800</v>
      </c>
      <c r="H58" s="2" t="n">
        <v>56.6</v>
      </c>
    </row>
    <row r="59">
      <c r="A59" s="2" t="inlineStr">
        <is>
          <t>Bear: lower tokens/MW and utilization</t>
        </is>
      </c>
      <c r="B59" s="2" t="inlineStr">
        <is>
          <t>Alibaba</t>
        </is>
      </c>
      <c r="C59" s="2" t="n">
        <v>2028</v>
      </c>
      <c r="D59" s="2" t="n">
        <v>0.92</v>
      </c>
      <c r="E59" s="2" t="n">
        <v>1201210</v>
      </c>
      <c r="F59" s="2" t="n">
        <v>0.51</v>
      </c>
      <c r="G59" s="2" t="n">
        <v>48695697910080</v>
      </c>
      <c r="H59" s="2" t="n">
        <v>-44.7</v>
      </c>
    </row>
    <row r="60">
      <c r="A60" s="2" t="inlineStr">
        <is>
          <t>Base</t>
        </is>
      </c>
      <c r="B60" s="2" t="inlineStr">
        <is>
          <t>Alibaba</t>
        </is>
      </c>
      <c r="C60" s="2" t="n">
        <v>2028</v>
      </c>
      <c r="D60" s="2" t="n">
        <v>0.92</v>
      </c>
      <c r="E60" s="2" t="n">
        <v>1848015</v>
      </c>
      <c r="F60" s="2" t="n">
        <v>0.6</v>
      </c>
      <c r="G60" s="2" t="n">
        <v>88137009792000</v>
      </c>
      <c r="H60" s="2" t="n">
        <v>0</v>
      </c>
    </row>
    <row r="61">
      <c r="A61" s="2" t="inlineStr">
        <is>
          <t>Bull: higher batching/quantization/software efficiency</t>
        </is>
      </c>
      <c r="B61" s="2" t="inlineStr">
        <is>
          <t>Alibaba</t>
        </is>
      </c>
      <c r="C61" s="2" t="n">
        <v>2028</v>
      </c>
      <c r="D61" s="2" t="n">
        <v>0.92</v>
      </c>
      <c r="E61" s="2" t="n">
        <v>2679622</v>
      </c>
      <c r="F61" s="2" t="n">
        <v>0.648</v>
      </c>
      <c r="G61" s="2" t="n">
        <v>138022557334272</v>
      </c>
      <c r="H61" s="2" t="n">
        <v>56.6</v>
      </c>
    </row>
    <row r="62">
      <c r="A62" s="2" t="inlineStr">
        <is>
          <t>Bear: lower tokens/MW and utilization</t>
        </is>
      </c>
      <c r="B62" s="2" t="inlineStr">
        <is>
          <t>Alibaba</t>
        </is>
      </c>
      <c r="C62" s="2" t="n">
        <v>2030</v>
      </c>
      <c r="D62" s="2" t="n">
        <v>1.748</v>
      </c>
      <c r="E62" s="2" t="n">
        <v>1644336</v>
      </c>
      <c r="F62" s="2" t="n">
        <v>0.578</v>
      </c>
      <c r="G62" s="2" t="n">
        <v>143540226459602</v>
      </c>
      <c r="H62" s="2" t="n">
        <v>-44.7</v>
      </c>
    </row>
    <row r="63">
      <c r="A63" s="2" t="inlineStr">
        <is>
          <t>Base</t>
        </is>
      </c>
      <c r="B63" s="2" t="inlineStr">
        <is>
          <t>Alibaba</t>
        </is>
      </c>
      <c r="C63" s="2" t="n">
        <v>2030</v>
      </c>
      <c r="D63" s="2" t="n">
        <v>1.748</v>
      </c>
      <c r="E63" s="2" t="n">
        <v>2529748</v>
      </c>
      <c r="F63" s="2" t="n">
        <v>0.68</v>
      </c>
      <c r="G63" s="2" t="n">
        <v>259801314859008</v>
      </c>
      <c r="H63" s="2" t="n">
        <v>0</v>
      </c>
    </row>
    <row r="64">
      <c r="A64" s="2" t="inlineStr">
        <is>
          <t>Bull: higher batching/quantization/software efficiency</t>
        </is>
      </c>
      <c r="B64" s="2" t="inlineStr">
        <is>
          <t>Alibaba</t>
        </is>
      </c>
      <c r="C64" s="2" t="n">
        <v>2030</v>
      </c>
      <c r="D64" s="2" t="n">
        <v>1.748</v>
      </c>
      <c r="E64" s="2" t="n">
        <v>3668135</v>
      </c>
      <c r="F64" s="2" t="n">
        <v>0.734</v>
      </c>
      <c r="G64" s="2" t="n">
        <v>406848859069207</v>
      </c>
      <c r="H64" s="2" t="n">
        <v>56.6</v>
      </c>
    </row>
    <row r="65">
      <c r="A65" s="2" t="inlineStr">
        <is>
          <t>Bear: lower tokens/MW and utilization</t>
        </is>
      </c>
      <c r="B65" s="2" t="inlineStr">
        <is>
          <t>Tencent</t>
        </is>
      </c>
      <c r="C65" s="2" t="n">
        <v>2026</v>
      </c>
      <c r="D65" s="2" t="n">
        <v>0.184</v>
      </c>
      <c r="E65" s="2" t="n">
        <v>780000</v>
      </c>
      <c r="F65" s="2" t="n">
        <v>0.442</v>
      </c>
      <c r="G65" s="2" t="n">
        <v>5480856576000</v>
      </c>
      <c r="H65" s="2" t="n">
        <v>-44.8</v>
      </c>
    </row>
    <row r="66">
      <c r="A66" s="2" t="inlineStr">
        <is>
          <t>Base</t>
        </is>
      </c>
      <c r="B66" s="2" t="inlineStr">
        <is>
          <t>Tencent</t>
        </is>
      </c>
      <c r="C66" s="2" t="n">
        <v>2026</v>
      </c>
      <c r="D66" s="2" t="n">
        <v>0.184</v>
      </c>
      <c r="E66" s="2" t="n">
        <v>1200000</v>
      </c>
      <c r="F66" s="2" t="n">
        <v>0.52</v>
      </c>
      <c r="G66" s="2" t="n">
        <v>9920102400000</v>
      </c>
      <c r="H66" s="2" t="n">
        <v>0</v>
      </c>
    </row>
    <row r="67">
      <c r="A67" s="2" t="inlineStr">
        <is>
          <t>Bull: higher batching/quantization/software efficiency</t>
        </is>
      </c>
      <c r="B67" s="2" t="inlineStr">
        <is>
          <t>Tencent</t>
        </is>
      </c>
      <c r="C67" s="2" t="n">
        <v>2026</v>
      </c>
      <c r="D67" s="2" t="n">
        <v>0.184</v>
      </c>
      <c r="E67" s="2" t="n">
        <v>1740000</v>
      </c>
      <c r="F67" s="2" t="n">
        <v>0.5620000000000001</v>
      </c>
      <c r="G67" s="2" t="n">
        <v>15534880358400</v>
      </c>
      <c r="H67" s="2" t="n">
        <v>56.6</v>
      </c>
    </row>
    <row r="68">
      <c r="A68" s="2" t="inlineStr">
        <is>
          <t>Bear: lower tokens/MW and utilization</t>
        </is>
      </c>
      <c r="B68" s="2" t="inlineStr">
        <is>
          <t>Tencent</t>
        </is>
      </c>
      <c r="C68" s="2" t="n">
        <v>2028</v>
      </c>
      <c r="D68" s="2" t="n">
        <v>0.681</v>
      </c>
      <c r="E68" s="2" t="n">
        <v>1049568</v>
      </c>
      <c r="F68" s="2" t="n">
        <v>0.51</v>
      </c>
      <c r="G68" s="2" t="n">
        <v>31494999923712</v>
      </c>
      <c r="H68" s="2" t="n">
        <v>-44.8</v>
      </c>
    </row>
    <row r="69">
      <c r="A69" s="2" t="inlineStr">
        <is>
          <t>Base</t>
        </is>
      </c>
      <c r="B69" s="2" t="inlineStr">
        <is>
          <t>Tencent</t>
        </is>
      </c>
      <c r="C69" s="2" t="n">
        <v>2028</v>
      </c>
      <c r="D69" s="2" t="n">
        <v>0.681</v>
      </c>
      <c r="E69" s="2" t="n">
        <v>1614720</v>
      </c>
      <c r="F69" s="2" t="n">
        <v>0.6</v>
      </c>
      <c r="G69" s="2" t="n">
        <v>57004524748800</v>
      </c>
      <c r="H69" s="2" t="n">
        <v>0</v>
      </c>
    </row>
    <row r="70">
      <c r="A70" s="2" t="inlineStr">
        <is>
          <t>Bull: higher batching/quantization/software efficiency</t>
        </is>
      </c>
      <c r="B70" s="2" t="inlineStr">
        <is>
          <t>Tencent</t>
        </is>
      </c>
      <c r="C70" s="2" t="n">
        <v>2028</v>
      </c>
      <c r="D70" s="2" t="n">
        <v>0.681</v>
      </c>
      <c r="E70" s="2" t="n">
        <v>2341344</v>
      </c>
      <c r="F70" s="2" t="n">
        <v>0.648</v>
      </c>
      <c r="G70" s="2" t="n">
        <v>89269085756621</v>
      </c>
      <c r="H70" s="2" t="n">
        <v>56.6</v>
      </c>
    </row>
    <row r="71">
      <c r="A71" s="2" t="inlineStr">
        <is>
          <t>Bear: lower tokens/MW and utilization</t>
        </is>
      </c>
      <c r="B71" s="2" t="inlineStr">
        <is>
          <t>Tencent</t>
        </is>
      </c>
      <c r="C71" s="2" t="n">
        <v>2030</v>
      </c>
      <c r="D71" s="2" t="n">
        <v>1.311</v>
      </c>
      <c r="E71" s="2" t="n">
        <v>1412299</v>
      </c>
      <c r="F71" s="2" t="n">
        <v>0.578</v>
      </c>
      <c r="G71" s="2" t="n">
        <v>92463597329838</v>
      </c>
      <c r="H71" s="2" t="n">
        <v>-44.8</v>
      </c>
    </row>
    <row r="72">
      <c r="A72" s="2" t="inlineStr">
        <is>
          <t>Base</t>
        </is>
      </c>
      <c r="B72" s="2" t="inlineStr">
        <is>
          <t>Tencent</t>
        </is>
      </c>
      <c r="C72" s="2" t="n">
        <v>2030</v>
      </c>
      <c r="D72" s="2" t="n">
        <v>1.311</v>
      </c>
      <c r="E72" s="2" t="n">
        <v>2172767</v>
      </c>
      <c r="F72" s="2" t="n">
        <v>0.68</v>
      </c>
      <c r="G72" s="2" t="n">
        <v>167354927293824</v>
      </c>
      <c r="H72" s="2" t="n">
        <v>0</v>
      </c>
    </row>
    <row r="73">
      <c r="A73" s="2" t="inlineStr">
        <is>
          <t>Bull: higher batching/quantization/software efficiency</t>
        </is>
      </c>
      <c r="B73" s="2" t="inlineStr">
        <is>
          <t>Tencent</t>
        </is>
      </c>
      <c r="C73" s="2" t="n">
        <v>2030</v>
      </c>
      <c r="D73" s="2" t="n">
        <v>1.311</v>
      </c>
      <c r="E73" s="2" t="n">
        <v>3150512</v>
      </c>
      <c r="F73" s="2" t="n">
        <v>0.734</v>
      </c>
      <c r="G73" s="2" t="n">
        <v>262077816142128</v>
      </c>
      <c r="H73" s="2" t="n">
        <v>56.6</v>
      </c>
    </row>
  </sheetData>
  <autoFilter ref="A1:H7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6" customWidth="1" min="3" max="3"/>
    <col width="36" customWidth="1" min="4" max="4"/>
    <col width="28" customWidth="1" min="5" max="5"/>
    <col width="28" customWidth="1" min="6" max="6"/>
    <col width="26" customWidth="1" min="7" max="7"/>
    <col width="29" customWidth="1" min="8" max="8"/>
    <col width="24" customWidth="1" min="9" max="9"/>
    <col width="21" customWidth="1" min="10" max="10"/>
  </cols>
  <sheetData>
    <row r="1">
      <c r="A1" s="1" t="inlineStr">
        <is>
          <t>scenario</t>
        </is>
      </c>
      <c r="B1" s="1" t="inlineStr">
        <is>
          <t>description_kr</t>
        </is>
      </c>
      <c r="C1" s="1" t="inlineStr">
        <is>
          <t>operational_deploy_multiplier_2026</t>
        </is>
      </c>
      <c r="D1" s="1" t="inlineStr">
        <is>
          <t>operational_deploy_multiplier_2030</t>
        </is>
      </c>
      <c r="E1" s="1" t="inlineStr">
        <is>
          <t>inference_share_delta_2026</t>
        </is>
      </c>
      <c r="F1" s="1" t="inlineStr">
        <is>
          <t>inference_share_delta_2030</t>
        </is>
      </c>
      <c r="G1" s="1" t="inlineStr">
        <is>
          <t>tokens_per_mw_multiplier</t>
        </is>
      </c>
      <c r="H1" s="1" t="inlineStr">
        <is>
          <t>moe_optimization_multiplier</t>
        </is>
      </c>
      <c r="I1" s="1" t="inlineStr">
        <is>
          <t>utilization_multiplier</t>
        </is>
      </c>
      <c r="J1" s="1" t="inlineStr">
        <is>
          <t>confidence</t>
        </is>
      </c>
    </row>
    <row r="2">
      <c r="A2" s="2" t="inlineStr">
        <is>
          <t>Bear</t>
        </is>
      </c>
      <c r="B2" s="2" t="inlineStr">
        <is>
          <t>전력 인허가/장비 조달 지연, MoE 최적화 둔화, inference 전환이 느린 경우</t>
        </is>
      </c>
      <c r="C2" s="2" t="n">
        <v>0.9</v>
      </c>
      <c r="D2" s="2" t="n">
        <v>0.82</v>
      </c>
      <c r="E2" s="2" t="n">
        <v>-0.08</v>
      </c>
      <c r="F2" s="2" t="n">
        <v>-0.1</v>
      </c>
      <c r="G2" s="2" t="n">
        <v>0.82</v>
      </c>
      <c r="H2" s="2" t="n">
        <v>0.92</v>
      </c>
      <c r="I2" s="2" t="n">
        <v>0.9</v>
      </c>
      <c r="J2" s="2" t="inlineStr">
        <is>
          <t>Scenario-Low</t>
        </is>
      </c>
    </row>
    <row r="3">
      <c r="A3" s="2" t="inlineStr">
        <is>
          <t>Base</t>
        </is>
      </c>
      <c r="B3" s="2" t="inlineStr">
        <is>
          <t>현재 공식 발표와 시장전망을 기준으로 한 staged deployment, MoE 효율 개선, inference mix 상승</t>
        </is>
      </c>
      <c r="C3" s="2" t="n">
        <v>1</v>
      </c>
      <c r="D3" s="2" t="n">
        <v>1</v>
      </c>
      <c r="E3" s="2" t="n">
        <v>0</v>
      </c>
      <c r="F3" s="2" t="n">
        <v>0</v>
      </c>
      <c r="G3" s="2" t="n">
        <v>1</v>
      </c>
      <c r="H3" s="2" t="n">
        <v>1</v>
      </c>
      <c r="I3" s="2" t="n">
        <v>1</v>
      </c>
      <c r="J3" s="2" t="inlineStr">
        <is>
          <t>Scenario-Medium</t>
        </is>
      </c>
    </row>
    <row r="4">
      <c r="A4" s="2" t="inlineStr">
        <is>
          <t>Bull</t>
        </is>
      </c>
      <c r="B4" s="2" t="inlineStr">
        <is>
          <t>전력 energization이 빠르고, MoE/serving stack 최적화가 강하며, commercial inference 비중이 빠르게 상승</t>
        </is>
      </c>
      <c r="C4" s="2" t="n">
        <v>1.05</v>
      </c>
      <c r="D4" s="2" t="n">
        <v>1.18</v>
      </c>
      <c r="E4" s="2" t="n">
        <v>0.05</v>
      </c>
      <c r="F4" s="2" t="n">
        <v>0.08</v>
      </c>
      <c r="G4" s="2" t="n">
        <v>1.18</v>
      </c>
      <c r="H4" s="2" t="n">
        <v>1.18</v>
      </c>
      <c r="I4" s="2" t="n">
        <v>1.06</v>
      </c>
      <c r="J4" s="2" t="inlineStr">
        <is>
          <t>Scenario-Low-Medium</t>
        </is>
      </c>
    </row>
    <row r="5">
      <c r="A5" s="2" t="inlineStr">
        <is>
          <t>Grid-Constrained / Efficiency-Upside</t>
        </is>
      </c>
      <c r="B5" s="2" t="inlineStr">
        <is>
          <t>전력 투입은 지연되지만 MoE·quantization·batching 효율이 개선되어 token capacity 하락을 일부 상쇄</t>
        </is>
      </c>
      <c r="C5" s="2" t="n">
        <v>0.88</v>
      </c>
      <c r="D5" s="2" t="n">
        <v>0.72</v>
      </c>
      <c r="E5" s="2" t="n">
        <v>0.02</v>
      </c>
      <c r="F5" s="2" t="n">
        <v>0.04</v>
      </c>
      <c r="G5" s="2" t="n">
        <v>1.18</v>
      </c>
      <c r="H5" s="2" t="n">
        <v>1.22</v>
      </c>
      <c r="I5" s="2" t="n">
        <v>1.02</v>
      </c>
      <c r="J5" s="2" t="inlineStr">
        <is>
          <t>Scenario-Low</t>
        </is>
      </c>
    </row>
  </sheetData>
  <autoFilter ref="A1:J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31" customWidth="1" min="4" max="4"/>
    <col width="32" customWidth="1" min="5" max="5"/>
    <col width="12" customWidth="1" min="6" max="6"/>
    <col width="21" customWidth="1" min="7" max="7"/>
    <col width="17" customWidth="1" min="8" max="8"/>
    <col width="12" customWidth="1" min="9" max="9"/>
    <col width="12" customWidth="1" min="10" max="10"/>
    <col width="19" customWidth="1" min="11" max="11"/>
    <col width="15" customWidth="1" min="12" max="12"/>
    <col width="22" customWidth="1" min="13" max="13"/>
    <col width="23" customWidth="1" min="14" max="14"/>
    <col width="14" customWidth="1" min="15" max="15"/>
    <col width="13" customWidth="1" min="16" max="16"/>
    <col width="26" customWidth="1" min="17" max="17"/>
    <col width="18" customWidth="1" min="18" max="18"/>
    <col width="13" customWidth="1" min="19" max="19"/>
    <col width="26" customWidth="1" min="20" max="20"/>
    <col width="27" customWidth="1" min="21" max="21"/>
    <col width="35" customWidth="1" min="22" max="22"/>
    <col width="38" customWidth="1" min="23" max="23"/>
    <col width="19" customWidth="1" min="24" max="24"/>
    <col width="38" customWidth="1" min="25" max="25"/>
    <col width="38" customWidth="1" min="26" max="26"/>
  </cols>
  <sheetData>
    <row r="1">
      <c r="A1" s="1" t="inlineStr">
        <is>
          <t>scenario</t>
        </is>
      </c>
      <c r="B1" s="1" t="inlineStr">
        <is>
          <t>company</t>
        </is>
      </c>
      <c r="C1" s="1" t="inlineStr">
        <is>
          <t>region</t>
        </is>
      </c>
      <c r="D1" s="1" t="inlineStr">
        <is>
          <t>model_family</t>
        </is>
      </c>
      <c r="E1" s="1" t="inlineStr">
        <is>
          <t>commercial_surface</t>
        </is>
      </c>
      <c r="F1" s="1" t="inlineStr">
        <is>
          <t>year</t>
        </is>
      </c>
      <c r="G1" s="1" t="inlineStr">
        <is>
          <t>contracted_power_gw</t>
        </is>
      </c>
      <c r="H1" s="1" t="inlineStr">
        <is>
          <t>active_power_gw</t>
        </is>
      </c>
      <c r="I1" s="1" t="inlineStr">
        <is>
          <t>pue</t>
        </is>
      </c>
      <c r="J1" s="1" t="inlineStr">
        <is>
          <t>it_load_gw</t>
        </is>
      </c>
      <c r="K1" s="1" t="inlineStr">
        <is>
          <t>ai_workload_share</t>
        </is>
      </c>
      <c r="L1" s="1" t="inlineStr">
        <is>
          <t>ai_it_load_gw</t>
        </is>
      </c>
      <c r="M1" s="1" t="inlineStr">
        <is>
          <t>training_power_share</t>
        </is>
      </c>
      <c r="N1" s="1" t="inlineStr">
        <is>
          <t>inference_power_share</t>
        </is>
      </c>
      <c r="O1" s="1" t="inlineStr">
        <is>
          <t>inference_gw</t>
        </is>
      </c>
      <c r="P1" s="1" t="inlineStr">
        <is>
          <t>training_gw</t>
        </is>
      </c>
      <c r="Q1" s="1" t="inlineStr">
        <is>
          <t>tokens_per_second_per_mw</t>
        </is>
      </c>
      <c r="R1" s="1" t="inlineStr">
        <is>
          <t>joules_per_token</t>
        </is>
      </c>
      <c r="S1" s="1" t="inlineStr">
        <is>
          <t>utilization</t>
        </is>
      </c>
      <c r="T1" s="1" t="inlineStr">
        <is>
          <t>inference_tokens_per_day</t>
        </is>
      </c>
      <c r="U1" s="1" t="inlineStr">
        <is>
          <t>inference_tokens_per_year</t>
        </is>
      </c>
      <c r="V1" s="1" t="inlineStr">
        <is>
          <t>training_tokens_processed_per_day</t>
        </is>
      </c>
      <c r="W1" s="1" t="inlineStr">
        <is>
          <t>confidence</t>
        </is>
      </c>
      <c r="X1" s="1" t="inlineStr">
        <is>
          <t>derivation_type</t>
        </is>
      </c>
      <c r="Y1" s="1" t="inlineStr">
        <is>
          <t>source_ids</t>
        </is>
      </c>
      <c r="Z1" s="1" t="inlineStr">
        <is>
          <t>assumption_ids</t>
        </is>
      </c>
    </row>
    <row r="2">
      <c r="A2" s="2" t="inlineStr">
        <is>
          <t>Bear</t>
        </is>
      </c>
      <c r="B2" s="2" t="inlineStr">
        <is>
          <t>Microsoft</t>
        </is>
      </c>
      <c r="C2" s="2" t="inlineStr">
        <is>
          <t>US</t>
        </is>
      </c>
      <c r="D2" s="2" t="inlineStr">
        <is>
          <t>Phi / MAI / Copilot model mix</t>
        </is>
      </c>
      <c r="E2" s="2" t="inlineStr">
        <is>
          <t>Copilot + Azure AI</t>
        </is>
      </c>
      <c r="F2" s="2" t="n">
        <v>2026</v>
      </c>
      <c r="G2" s="2" t="n">
        <v>4</v>
      </c>
      <c r="H2" s="2" t="n">
        <v>1.62</v>
      </c>
      <c r="I2" s="2" t="n">
        <v>1.2</v>
      </c>
      <c r="J2" s="2" t="n">
        <v>1.35</v>
      </c>
      <c r="K2" s="2" t="n">
        <v>0.86</v>
      </c>
      <c r="L2" s="2" t="n">
        <v>1.161</v>
      </c>
      <c r="M2" s="2" t="n">
        <v>0.53</v>
      </c>
      <c r="N2" s="2" t="n">
        <v>0.47</v>
      </c>
      <c r="O2" s="2" t="n">
        <v>0.546</v>
      </c>
      <c r="P2" s="2" t="n">
        <v>0.615</v>
      </c>
      <c r="Q2" s="2" t="n">
        <v>861000</v>
      </c>
      <c r="R2" s="2" t="n">
        <v>1.1614</v>
      </c>
      <c r="S2" s="2" t="n">
        <v>0.486</v>
      </c>
      <c r="T2" s="2" t="n">
        <v>19739938982400</v>
      </c>
      <c r="U2" s="2" t="n">
        <v>7205077728576000</v>
      </c>
      <c r="V2" s="2" t="n">
        <v>4891600264320</v>
      </c>
      <c r="W2" s="2" t="inlineStr">
        <is>
          <t>Medium</t>
        </is>
      </c>
      <c r="X2" s="2" t="inlineStr">
        <is>
          <t>Estimate+Scenario</t>
        </is>
      </c>
      <c r="Y2" s="2" t="inlineStr">
        <is>
          <t>SRC_MS_PHI; SRC_OPENAI_GPT41_DOCS; SRC_MS_PHI4_TECHREPORT</t>
        </is>
      </c>
      <c r="Z2" s="2" t="inlineStr">
        <is>
          <t>ASSUMP_POWER_RAMP; ASSUMP_MS_OPENAI_ATTRIBUTION; ASSUMP_INFERENCE_SHARE_NOT_FACT_60</t>
        </is>
      </c>
    </row>
    <row r="3">
      <c r="A3" s="2" t="inlineStr">
        <is>
          <t>Bear</t>
        </is>
      </c>
      <c r="B3" s="2" t="inlineStr">
        <is>
          <t>Microsoft</t>
        </is>
      </c>
      <c r="C3" s="2" t="inlineStr">
        <is>
          <t>US</t>
        </is>
      </c>
      <c r="D3" s="2" t="inlineStr">
        <is>
          <t>Phi / MAI / Copilot model mix</t>
        </is>
      </c>
      <c r="E3" s="2" t="inlineStr">
        <is>
          <t>Copilot + Azure AI</t>
        </is>
      </c>
      <c r="F3" s="2" t="n">
        <v>2027</v>
      </c>
      <c r="G3" s="2" t="n">
        <v>5.25</v>
      </c>
      <c r="H3" s="2" t="n">
        <v>2.552</v>
      </c>
      <c r="I3" s="2" t="n">
        <v>1.2</v>
      </c>
      <c r="J3" s="2" t="n">
        <v>2.127</v>
      </c>
      <c r="K3" s="2" t="n">
        <v>0.86</v>
      </c>
      <c r="L3" s="2" t="n">
        <v>1.829</v>
      </c>
      <c r="M3" s="2" t="n">
        <v>0.485</v>
      </c>
      <c r="N3" s="2" t="n">
        <v>0.515</v>
      </c>
      <c r="O3" s="2" t="n">
        <v>0.9419999999999999</v>
      </c>
      <c r="P3" s="2" t="n">
        <v>0.887</v>
      </c>
      <c r="Q3" s="2" t="n">
        <v>998760</v>
      </c>
      <c r="R3" s="2" t="n">
        <v>1.0012</v>
      </c>
      <c r="S3" s="2" t="n">
        <v>0.518</v>
      </c>
      <c r="T3" s="2" t="n">
        <v>42107120745984</v>
      </c>
      <c r="U3" s="2" t="n">
        <v>1.536909907228416e+16</v>
      </c>
      <c r="V3" s="2" t="n">
        <v>8722700151137</v>
      </c>
      <c r="W3" s="2" t="inlineStr">
        <is>
          <t>Medium</t>
        </is>
      </c>
      <c r="X3" s="2" t="inlineStr">
        <is>
          <t>Estimate+Scenario</t>
        </is>
      </c>
      <c r="Y3" s="2" t="inlineStr">
        <is>
          <t>SRC_MS_PHI; SRC_OPENAI_GPT41_DOCS; SRC_MS_PHI4_TECHREPORT</t>
        </is>
      </c>
      <c r="Z3" s="2" t="inlineStr">
        <is>
          <t>ASSUMP_POWER_RAMP; ASSUMP_MS_OPENAI_ATTRIBUTION; ASSUMP_INFERENCE_SHARE_NOT_FACT_60</t>
        </is>
      </c>
    </row>
    <row r="4">
      <c r="A4" s="2" t="inlineStr">
        <is>
          <t>Bear</t>
        </is>
      </c>
      <c r="B4" s="2" t="inlineStr">
        <is>
          <t>Microsoft</t>
        </is>
      </c>
      <c r="C4" s="2" t="inlineStr">
        <is>
          <t>US</t>
        </is>
      </c>
      <c r="D4" s="2" t="inlineStr">
        <is>
          <t>Phi / MAI / Copilot model mix</t>
        </is>
      </c>
      <c r="E4" s="2" t="inlineStr">
        <is>
          <t>Copilot + Azure AI</t>
        </is>
      </c>
      <c r="F4" s="2" t="n">
        <v>2028</v>
      </c>
      <c r="G4" s="2" t="n">
        <v>6.5</v>
      </c>
      <c r="H4" s="2" t="n">
        <v>3.44</v>
      </c>
      <c r="I4" s="2" t="n">
        <v>1.2</v>
      </c>
      <c r="J4" s="2" t="n">
        <v>2.867</v>
      </c>
      <c r="K4" s="2" t="n">
        <v>0.86</v>
      </c>
      <c r="L4" s="2" t="n">
        <v>2.465</v>
      </c>
      <c r="M4" s="2" t="n">
        <v>0.44</v>
      </c>
      <c r="N4" s="2" t="n">
        <v>0.5600000000000001</v>
      </c>
      <c r="O4" s="2" t="n">
        <v>1.381</v>
      </c>
      <c r="P4" s="2" t="n">
        <v>1.085</v>
      </c>
      <c r="Q4" s="2" t="n">
        <v>1158562</v>
      </c>
      <c r="R4" s="2" t="n">
        <v>0.8631</v>
      </c>
      <c r="S4" s="2" t="n">
        <v>0.549</v>
      </c>
      <c r="T4" s="2" t="n">
        <v>75892532513299</v>
      </c>
      <c r="U4" s="2" t="n">
        <v>2.770077436735421e+16</v>
      </c>
      <c r="V4" s="2" t="n">
        <v>13117702759540</v>
      </c>
      <c r="W4" s="2" t="inlineStr">
        <is>
          <t>Medium</t>
        </is>
      </c>
      <c r="X4" s="2" t="inlineStr">
        <is>
          <t>Estimate+Scenario</t>
        </is>
      </c>
      <c r="Y4" s="2" t="inlineStr">
        <is>
          <t>SRC_MS_PHI; SRC_OPENAI_GPT41_DOCS; SRC_MS_PHI4_TECHREPORT</t>
        </is>
      </c>
      <c r="Z4" s="2" t="inlineStr">
        <is>
          <t>ASSUMP_POWER_RAMP; ASSUMP_MS_OPENAI_ATTRIBUTION; ASSUMP_INFERENCE_SHARE_NOT_FACT_60</t>
        </is>
      </c>
    </row>
    <row r="5">
      <c r="A5" s="2" t="inlineStr">
        <is>
          <t>Bear</t>
        </is>
      </c>
      <c r="B5" s="2" t="inlineStr">
        <is>
          <t>Microsoft</t>
        </is>
      </c>
      <c r="C5" s="2" t="inlineStr">
        <is>
          <t>US</t>
        </is>
      </c>
      <c r="D5" s="2" t="inlineStr">
        <is>
          <t>Phi / MAI / Copilot model mix</t>
        </is>
      </c>
      <c r="E5" s="2" t="inlineStr">
        <is>
          <t>Copilot + Azure AI</t>
        </is>
      </c>
      <c r="F5" s="2" t="n">
        <v>2029</v>
      </c>
      <c r="G5" s="2" t="n">
        <v>7.75</v>
      </c>
      <c r="H5" s="2" t="n">
        <v>4.284</v>
      </c>
      <c r="I5" s="2" t="n">
        <v>1.2</v>
      </c>
      <c r="J5" s="2" t="n">
        <v>3.57</v>
      </c>
      <c r="K5" s="2" t="n">
        <v>0.86</v>
      </c>
      <c r="L5" s="2" t="n">
        <v>3.07</v>
      </c>
      <c r="M5" s="2" t="n">
        <v>0.395</v>
      </c>
      <c r="N5" s="2" t="n">
        <v>0.605</v>
      </c>
      <c r="O5" s="2" t="n">
        <v>1.857</v>
      </c>
      <c r="P5" s="2" t="n">
        <v>1.213</v>
      </c>
      <c r="Q5" s="2" t="n">
        <v>1343931</v>
      </c>
      <c r="R5" s="2" t="n">
        <v>0.7441</v>
      </c>
      <c r="S5" s="2" t="n">
        <v>0.581</v>
      </c>
      <c r="T5" s="2" t="n">
        <v>125279136235613</v>
      </c>
      <c r="U5" s="2" t="n">
        <v>4.572688472599867e+16</v>
      </c>
      <c r="V5" s="2" t="n">
        <v>18003225792049</v>
      </c>
      <c r="W5" s="2" t="inlineStr">
        <is>
          <t>Medium</t>
        </is>
      </c>
      <c r="X5" s="2" t="inlineStr">
        <is>
          <t>Estimate+Scenario</t>
        </is>
      </c>
      <c r="Y5" s="2" t="inlineStr">
        <is>
          <t>SRC_MS_PHI; SRC_OPENAI_GPT41_DOCS; SRC_MS_PHI4_TECHREPORT</t>
        </is>
      </c>
      <c r="Z5" s="2" t="inlineStr">
        <is>
          <t>ASSUMP_POWER_RAMP; ASSUMP_MS_OPENAI_ATTRIBUTION; ASSUMP_INFERENCE_SHARE_NOT_FACT_60</t>
        </is>
      </c>
    </row>
    <row r="6">
      <c r="A6" s="2" t="inlineStr">
        <is>
          <t>Bear</t>
        </is>
      </c>
      <c r="B6" s="2" t="inlineStr">
        <is>
          <t>Microsoft</t>
        </is>
      </c>
      <c r="C6" s="2" t="inlineStr">
        <is>
          <t>US</t>
        </is>
      </c>
      <c r="D6" s="2" t="inlineStr">
        <is>
          <t>Phi / MAI / Copilot model mix</t>
        </is>
      </c>
      <c r="E6" s="2" t="inlineStr">
        <is>
          <t>Copilot + Azure AI</t>
        </is>
      </c>
      <c r="F6" s="2" t="n">
        <v>2030</v>
      </c>
      <c r="G6" s="2" t="n">
        <v>9</v>
      </c>
      <c r="H6" s="2" t="n">
        <v>5.084</v>
      </c>
      <c r="I6" s="2" t="n">
        <v>1.2</v>
      </c>
      <c r="J6" s="2" t="n">
        <v>4.237</v>
      </c>
      <c r="K6" s="2" t="n">
        <v>0.86</v>
      </c>
      <c r="L6" s="2" t="n">
        <v>3.644</v>
      </c>
      <c r="M6" s="2" t="n">
        <v>0.35</v>
      </c>
      <c r="N6" s="2" t="n">
        <v>0.65</v>
      </c>
      <c r="O6" s="2" t="n">
        <v>2.368</v>
      </c>
      <c r="P6" s="2" t="n">
        <v>1.275</v>
      </c>
      <c r="Q6" s="2" t="n">
        <v>1558960</v>
      </c>
      <c r="R6" s="2" t="n">
        <v>0.6415</v>
      </c>
      <c r="S6" s="2" t="n">
        <v>0.612</v>
      </c>
      <c r="T6" s="2" t="n">
        <v>195200908591104</v>
      </c>
      <c r="U6" s="2" t="n">
        <v>7.124833163575296e+16</v>
      </c>
      <c r="V6" s="2" t="n">
        <v>23122404923904</v>
      </c>
      <c r="W6" s="2" t="inlineStr">
        <is>
          <t>Medium</t>
        </is>
      </c>
      <c r="X6" s="2" t="inlineStr">
        <is>
          <t>Estimate+Scenario</t>
        </is>
      </c>
      <c r="Y6" s="2" t="inlineStr">
        <is>
          <t>SRC_MS_PHI; SRC_OPENAI_GPT41_DOCS; SRC_MS_PHI4_TECHREPORT</t>
        </is>
      </c>
      <c r="Z6" s="2" t="inlineStr">
        <is>
          <t>ASSUMP_POWER_RAMP; ASSUMP_MS_OPENAI_ATTRIBUTION; ASSUMP_INFERENCE_SHARE_NOT_FACT_60</t>
        </is>
      </c>
    </row>
    <row r="7">
      <c r="A7" s="2" t="inlineStr">
        <is>
          <t>Bear</t>
        </is>
      </c>
      <c r="B7" s="2" t="inlineStr">
        <is>
          <t>Google</t>
        </is>
      </c>
      <c r="C7" s="2" t="inlineStr">
        <is>
          <t>US</t>
        </is>
      </c>
      <c r="D7" s="2" t="inlineStr">
        <is>
          <t>Gemini / Gemma</t>
        </is>
      </c>
      <c r="E7" s="2" t="inlineStr">
        <is>
          <t>Gemini + Workspace + Vertex</t>
        </is>
      </c>
      <c r="F7" s="2" t="n">
        <v>2026</v>
      </c>
      <c r="G7" s="2" t="n">
        <v>4.5</v>
      </c>
      <c r="H7" s="2" t="n">
        <v>1.98</v>
      </c>
      <c r="I7" s="2" t="n">
        <v>1.18</v>
      </c>
      <c r="J7" s="2" t="n">
        <v>1.678</v>
      </c>
      <c r="K7" s="2" t="n">
        <v>0.88</v>
      </c>
      <c r="L7" s="2" t="n">
        <v>1.477</v>
      </c>
      <c r="M7" s="2" t="n">
        <v>0.53</v>
      </c>
      <c r="N7" s="2" t="n">
        <v>0.47</v>
      </c>
      <c r="O7" s="2" t="n">
        <v>0.694</v>
      </c>
      <c r="P7" s="2" t="n">
        <v>0.783</v>
      </c>
      <c r="Q7" s="2" t="n">
        <v>1025000</v>
      </c>
      <c r="R7" s="2" t="n">
        <v>0.9756</v>
      </c>
      <c r="S7" s="2" t="n">
        <v>0.504</v>
      </c>
      <c r="T7" s="2" t="n">
        <v>30976162560000</v>
      </c>
      <c r="U7" s="2" t="n">
        <v>1.13062993344e+16</v>
      </c>
      <c r="V7" s="2" t="n">
        <v>7688694182400</v>
      </c>
      <c r="W7" s="2" t="inlineStr">
        <is>
          <t>Medium-High</t>
        </is>
      </c>
      <c r="X7" s="2" t="inlineStr">
        <is>
          <t>Estimate+Scenario</t>
        </is>
      </c>
      <c r="Y7" s="2" t="inlineStr">
        <is>
          <t>SRC_GOOGLE_GEMINI_TOKENS; SRC_GOOGLE_IRONWOOD; SRC_GOOGLE_TPU_V6E</t>
        </is>
      </c>
      <c r="Z7" s="2" t="inlineStr">
        <is>
          <t>ASSUMP_TPU_EFFICIENCY; ASSUMP_POWER_RAMP; ASSUMP_INFERENCE_SHARE_NOT_FACT_60</t>
        </is>
      </c>
    </row>
    <row r="8">
      <c r="A8" s="2" t="inlineStr">
        <is>
          <t>Bear</t>
        </is>
      </c>
      <c r="B8" s="2" t="inlineStr">
        <is>
          <t>Google</t>
        </is>
      </c>
      <c r="C8" s="2" t="inlineStr">
        <is>
          <t>US</t>
        </is>
      </c>
      <c r="D8" s="2" t="inlineStr">
        <is>
          <t>Gemini / Gemma</t>
        </is>
      </c>
      <c r="E8" s="2" t="inlineStr">
        <is>
          <t>Gemini + Workspace + Vertex</t>
        </is>
      </c>
      <c r="F8" s="2" t="n">
        <v>2027</v>
      </c>
      <c r="G8" s="2" t="n">
        <v>5.375</v>
      </c>
      <c r="H8" s="2" t="n">
        <v>2.948</v>
      </c>
      <c r="I8" s="2" t="n">
        <v>1.18</v>
      </c>
      <c r="J8" s="2" t="n">
        <v>2.498</v>
      </c>
      <c r="K8" s="2" t="n">
        <v>0.88</v>
      </c>
      <c r="L8" s="2" t="n">
        <v>2.199</v>
      </c>
      <c r="M8" s="2" t="n">
        <v>0.492</v>
      </c>
      <c r="N8" s="2" t="n">
        <v>0.508</v>
      </c>
      <c r="O8" s="2" t="n">
        <v>1.116</v>
      </c>
      <c r="P8" s="2" t="n">
        <v>1.083</v>
      </c>
      <c r="Q8" s="2" t="n">
        <v>1209500</v>
      </c>
      <c r="R8" s="2" t="n">
        <v>0.8268</v>
      </c>
      <c r="S8" s="2" t="n">
        <v>0.535</v>
      </c>
      <c r="T8" s="2" t="n">
        <v>62393247648000</v>
      </c>
      <c r="U8" s="2" t="n">
        <v>2.277353539152e+16</v>
      </c>
      <c r="V8" s="2" t="n">
        <v>13320622925280</v>
      </c>
      <c r="W8" s="2" t="inlineStr">
        <is>
          <t>Medium-High</t>
        </is>
      </c>
      <c r="X8" s="2" t="inlineStr">
        <is>
          <t>Estimate+Scenario</t>
        </is>
      </c>
      <c r="Y8" s="2" t="inlineStr">
        <is>
          <t>SRC_GOOGLE_GEMINI_TOKENS; SRC_GOOGLE_IRONWOOD; SRC_GOOGLE_TPU_V6E</t>
        </is>
      </c>
      <c r="Z8" s="2" t="inlineStr">
        <is>
          <t>ASSUMP_TPU_EFFICIENCY; ASSUMP_POWER_RAMP; ASSUMP_INFERENCE_SHARE_NOT_FACT_60</t>
        </is>
      </c>
    </row>
    <row r="9">
      <c r="A9" s="2" t="inlineStr">
        <is>
          <t>Bear</t>
        </is>
      </c>
      <c r="B9" s="2" t="inlineStr">
        <is>
          <t>Google</t>
        </is>
      </c>
      <c r="C9" s="2" t="inlineStr">
        <is>
          <t>US</t>
        </is>
      </c>
      <c r="D9" s="2" t="inlineStr">
        <is>
          <t>Gemini / Gemma</t>
        </is>
      </c>
      <c r="E9" s="2" t="inlineStr">
        <is>
          <t>Gemini + Workspace + Vertex</t>
        </is>
      </c>
      <c r="F9" s="2" t="n">
        <v>2028</v>
      </c>
      <c r="G9" s="2" t="n">
        <v>6.25</v>
      </c>
      <c r="H9" s="2" t="n">
        <v>3.87</v>
      </c>
      <c r="I9" s="2" t="n">
        <v>1.18</v>
      </c>
      <c r="J9" s="2" t="n">
        <v>3.28</v>
      </c>
      <c r="K9" s="2" t="n">
        <v>0.88</v>
      </c>
      <c r="L9" s="2" t="n">
        <v>2.886</v>
      </c>
      <c r="M9" s="2" t="n">
        <v>0.455</v>
      </c>
      <c r="N9" s="2" t="n">
        <v>0.545</v>
      </c>
      <c r="O9" s="2" t="n">
        <v>1.573</v>
      </c>
      <c r="P9" s="2" t="n">
        <v>1.313</v>
      </c>
      <c r="Q9" s="2" t="n">
        <v>1427210</v>
      </c>
      <c r="R9" s="2" t="n">
        <v>0.7007</v>
      </c>
      <c r="S9" s="2" t="n">
        <v>0.5669999999999999</v>
      </c>
      <c r="T9" s="2" t="n">
        <v>109979921155104</v>
      </c>
      <c r="U9" s="2" t="n">
        <v>4.014267122161295e+16</v>
      </c>
      <c r="V9" s="2" t="n">
        <v>20196312793937</v>
      </c>
      <c r="W9" s="2" t="inlineStr">
        <is>
          <t>Medium-High</t>
        </is>
      </c>
      <c r="X9" s="2" t="inlineStr">
        <is>
          <t>Estimate+Scenario</t>
        </is>
      </c>
      <c r="Y9" s="2" t="inlineStr">
        <is>
          <t>SRC_GOOGLE_GEMINI_TOKENS; SRC_GOOGLE_IRONWOOD; SRC_GOOGLE_TPU_V6E</t>
        </is>
      </c>
      <c r="Z9" s="2" t="inlineStr">
        <is>
          <t>ASSUMP_TPU_EFFICIENCY; ASSUMP_POWER_RAMP; ASSUMP_INFERENCE_SHARE_NOT_FACT_60</t>
        </is>
      </c>
    </row>
    <row r="10">
      <c r="A10" s="2" t="inlineStr">
        <is>
          <t>Bear</t>
        </is>
      </c>
      <c r="B10" s="2" t="inlineStr">
        <is>
          <t>Google</t>
        </is>
      </c>
      <c r="C10" s="2" t="inlineStr">
        <is>
          <t>US</t>
        </is>
      </c>
      <c r="D10" s="2" t="inlineStr">
        <is>
          <t>Gemini / Gemma</t>
        </is>
      </c>
      <c r="E10" s="2" t="inlineStr">
        <is>
          <t>Gemini + Workspace + Vertex</t>
        </is>
      </c>
      <c r="F10" s="2" t="n">
        <v>2029</v>
      </c>
      <c r="G10" s="2" t="n">
        <v>7.125</v>
      </c>
      <c r="H10" s="2" t="n">
        <v>4.746</v>
      </c>
      <c r="I10" s="2" t="n">
        <v>1.18</v>
      </c>
      <c r="J10" s="2" t="n">
        <v>4.022</v>
      </c>
      <c r="K10" s="2" t="n">
        <v>0.88</v>
      </c>
      <c r="L10" s="2" t="n">
        <v>3.539</v>
      </c>
      <c r="M10" s="2" t="n">
        <v>0.417</v>
      </c>
      <c r="N10" s="2" t="n">
        <v>0.583</v>
      </c>
      <c r="O10" s="2" t="n">
        <v>2.062</v>
      </c>
      <c r="P10" s="2" t="n">
        <v>1.478</v>
      </c>
      <c r="Q10" s="2" t="n">
        <v>1684108</v>
      </c>
      <c r="R10" s="2" t="n">
        <v>0.5938</v>
      </c>
      <c r="S10" s="2" t="n">
        <v>0.599</v>
      </c>
      <c r="T10" s="2" t="n">
        <v>179721139988506</v>
      </c>
      <c r="U10" s="2" t="n">
        <v>6.559821609580454e+16</v>
      </c>
      <c r="V10" s="2" t="n">
        <v>28340507215646</v>
      </c>
      <c r="W10" s="2" t="inlineStr">
        <is>
          <t>Medium-High</t>
        </is>
      </c>
      <c r="X10" s="2" t="inlineStr">
        <is>
          <t>Estimate+Scenario</t>
        </is>
      </c>
      <c r="Y10" s="2" t="inlineStr">
        <is>
          <t>SRC_GOOGLE_GEMINI_TOKENS; SRC_GOOGLE_IRONWOOD; SRC_GOOGLE_TPU_V6E</t>
        </is>
      </c>
      <c r="Z10" s="2" t="inlineStr">
        <is>
          <t>ASSUMP_TPU_EFFICIENCY; ASSUMP_POWER_RAMP; ASSUMP_INFERENCE_SHARE_NOT_FACT_60</t>
        </is>
      </c>
    </row>
    <row r="11">
      <c r="A11" s="2" t="inlineStr">
        <is>
          <t>Bear</t>
        </is>
      </c>
      <c r="B11" s="2" t="inlineStr">
        <is>
          <t>Google</t>
        </is>
      </c>
      <c r="C11" s="2" t="inlineStr">
        <is>
          <t>US</t>
        </is>
      </c>
      <c r="D11" s="2" t="inlineStr">
        <is>
          <t>Gemini / Gemma</t>
        </is>
      </c>
      <c r="E11" s="2" t="inlineStr">
        <is>
          <t>Gemini + Workspace + Vertex</t>
        </is>
      </c>
      <c r="F11" s="2" t="n">
        <v>2030</v>
      </c>
      <c r="G11" s="2" t="n">
        <v>8</v>
      </c>
      <c r="H11" s="2" t="n">
        <v>5.576</v>
      </c>
      <c r="I11" s="2" t="n">
        <v>1.18</v>
      </c>
      <c r="J11" s="2" t="n">
        <v>4.725</v>
      </c>
      <c r="K11" s="2" t="n">
        <v>0.88</v>
      </c>
      <c r="L11" s="2" t="n">
        <v>4.158</v>
      </c>
      <c r="M11" s="2" t="n">
        <v>0.38</v>
      </c>
      <c r="N11" s="2" t="n">
        <v>0.62</v>
      </c>
      <c r="O11" s="2" t="n">
        <v>2.578</v>
      </c>
      <c r="P11" s="2" t="n">
        <v>1.58</v>
      </c>
      <c r="Q11" s="2" t="n">
        <v>1987247</v>
      </c>
      <c r="R11" s="2" t="n">
        <v>0.5032</v>
      </c>
      <c r="S11" s="2" t="n">
        <v>0.63</v>
      </c>
      <c r="T11" s="2" t="n">
        <v>278861818398912</v>
      </c>
      <c r="U11" s="2" t="n">
        <v>1.017845637156029e+17</v>
      </c>
      <c r="V11" s="2" t="n">
        <v>37599832457510</v>
      </c>
      <c r="W11" s="2" t="inlineStr">
        <is>
          <t>Medium-High</t>
        </is>
      </c>
      <c r="X11" s="2" t="inlineStr">
        <is>
          <t>Estimate+Scenario</t>
        </is>
      </c>
      <c r="Y11" s="2" t="inlineStr">
        <is>
          <t>SRC_GOOGLE_GEMINI_TOKENS; SRC_GOOGLE_IRONWOOD; SRC_GOOGLE_TPU_V6E</t>
        </is>
      </c>
      <c r="Z11" s="2" t="inlineStr">
        <is>
          <t>ASSUMP_TPU_EFFICIENCY; ASSUMP_POWER_RAMP; ASSUMP_INFERENCE_SHARE_NOT_FACT_60</t>
        </is>
      </c>
    </row>
    <row r="12">
      <c r="A12" s="2" t="inlineStr">
        <is>
          <t>Bear</t>
        </is>
      </c>
      <c r="B12" s="2" t="inlineStr">
        <is>
          <t>Meta</t>
        </is>
      </c>
      <c r="C12" s="2" t="inlineStr">
        <is>
          <t>US</t>
        </is>
      </c>
      <c r="D12" s="2" t="inlineStr">
        <is>
          <t>Llama / Meta AI</t>
        </is>
      </c>
      <c r="E12" s="2" t="inlineStr">
        <is>
          <t>Meta AI + family apps</t>
        </is>
      </c>
      <c r="F12" s="2" t="n">
        <v>2026</v>
      </c>
      <c r="G12" s="2" t="n">
        <v>3.5</v>
      </c>
      <c r="H12" s="2" t="n">
        <v>1.44</v>
      </c>
      <c r="I12" s="2" t="n">
        <v>1.2</v>
      </c>
      <c r="J12" s="2" t="n">
        <v>1.2</v>
      </c>
      <c r="K12" s="2" t="n">
        <v>0.87</v>
      </c>
      <c r="L12" s="2" t="n">
        <v>1.044</v>
      </c>
      <c r="M12" s="2" t="n">
        <v>0.5</v>
      </c>
      <c r="N12" s="2" t="n">
        <v>0.5</v>
      </c>
      <c r="O12" s="2" t="n">
        <v>0.522</v>
      </c>
      <c r="P12" s="2" t="n">
        <v>0.522</v>
      </c>
      <c r="Q12" s="2" t="n">
        <v>918400</v>
      </c>
      <c r="R12" s="2" t="n">
        <v>1.0889</v>
      </c>
      <c r="S12" s="2" t="n">
        <v>0.495</v>
      </c>
      <c r="T12" s="2" t="n">
        <v>20503184486400</v>
      </c>
      <c r="U12" s="2" t="n">
        <v>7483662337536000</v>
      </c>
      <c r="V12" s="2" t="n">
        <v>4510700587008</v>
      </c>
      <c r="W12" s="2" t="inlineStr">
        <is>
          <t>Medium</t>
        </is>
      </c>
      <c r="X12" s="2" t="inlineStr">
        <is>
          <t>Estimate+Scenario</t>
        </is>
      </c>
      <c r="Y12" s="2" t="inlineStr">
        <is>
          <t>SRC_META_LLAMA; SRC_META_LLAMA4_NVIDIA</t>
        </is>
      </c>
      <c r="Z12" s="2" t="inlineStr">
        <is>
          <t>ASSUMP_CONSUMER_AI_UTILIZATION; ASSUMP_POWER_RAMP; ASSUMP_INFERENCE_SHARE_NOT_FACT_60</t>
        </is>
      </c>
    </row>
    <row r="13">
      <c r="A13" s="2" t="inlineStr">
        <is>
          <t>Bear</t>
        </is>
      </c>
      <c r="B13" s="2" t="inlineStr">
        <is>
          <t>Meta</t>
        </is>
      </c>
      <c r="C13" s="2" t="inlineStr">
        <is>
          <t>US</t>
        </is>
      </c>
      <c r="D13" s="2" t="inlineStr">
        <is>
          <t>Llama / Meta AI</t>
        </is>
      </c>
      <c r="E13" s="2" t="inlineStr">
        <is>
          <t>Meta AI + family apps</t>
        </is>
      </c>
      <c r="F13" s="2" t="n">
        <v>2027</v>
      </c>
      <c r="G13" s="2" t="n">
        <v>4.375</v>
      </c>
      <c r="H13" s="2" t="n">
        <v>2.332</v>
      </c>
      <c r="I13" s="2" t="n">
        <v>1.2</v>
      </c>
      <c r="J13" s="2" t="n">
        <v>1.943</v>
      </c>
      <c r="K13" s="2" t="n">
        <v>0.87</v>
      </c>
      <c r="L13" s="2" t="n">
        <v>1.691</v>
      </c>
      <c r="M13" s="2" t="n">
        <v>0.455</v>
      </c>
      <c r="N13" s="2" t="n">
        <v>0.545</v>
      </c>
      <c r="O13" s="2" t="n">
        <v>0.921</v>
      </c>
      <c r="P13" s="2" t="n">
        <v>0.769</v>
      </c>
      <c r="Q13" s="2" t="n">
        <v>1065344</v>
      </c>
      <c r="R13" s="2" t="n">
        <v>0.9387</v>
      </c>
      <c r="S13" s="2" t="n">
        <v>0.529</v>
      </c>
      <c r="T13" s="2" t="n">
        <v>44845503975014</v>
      </c>
      <c r="U13" s="2" t="n">
        <v>1.636860895088026e+16</v>
      </c>
      <c r="V13" s="2" t="n">
        <v>8237744150372</v>
      </c>
      <c r="W13" s="2" t="inlineStr">
        <is>
          <t>Medium</t>
        </is>
      </c>
      <c r="X13" s="2" t="inlineStr">
        <is>
          <t>Estimate+Scenario</t>
        </is>
      </c>
      <c r="Y13" s="2" t="inlineStr">
        <is>
          <t>SRC_META_LLAMA; SRC_META_LLAMA4_NVIDIA</t>
        </is>
      </c>
      <c r="Z13" s="2" t="inlineStr">
        <is>
          <t>ASSUMP_CONSUMER_AI_UTILIZATION; ASSUMP_POWER_RAMP; ASSUMP_INFERENCE_SHARE_NOT_FACT_60</t>
        </is>
      </c>
    </row>
    <row r="14">
      <c r="A14" s="2" t="inlineStr">
        <is>
          <t>Bear</t>
        </is>
      </c>
      <c r="B14" s="2" t="inlineStr">
        <is>
          <t>Meta</t>
        </is>
      </c>
      <c r="C14" s="2" t="inlineStr">
        <is>
          <t>US</t>
        </is>
      </c>
      <c r="D14" s="2" t="inlineStr">
        <is>
          <t>Llama / Meta AI</t>
        </is>
      </c>
      <c r="E14" s="2" t="inlineStr">
        <is>
          <t>Meta AI + family apps</t>
        </is>
      </c>
      <c r="F14" s="2" t="n">
        <v>2028</v>
      </c>
      <c r="G14" s="2" t="n">
        <v>5.25</v>
      </c>
      <c r="H14" s="2" t="n">
        <v>3.182</v>
      </c>
      <c r="I14" s="2" t="n">
        <v>1.2</v>
      </c>
      <c r="J14" s="2" t="n">
        <v>2.652</v>
      </c>
      <c r="K14" s="2" t="n">
        <v>0.87</v>
      </c>
      <c r="L14" s="2" t="n">
        <v>2.307</v>
      </c>
      <c r="M14" s="2" t="n">
        <v>0.41</v>
      </c>
      <c r="N14" s="2" t="n">
        <v>0.59</v>
      </c>
      <c r="O14" s="2" t="n">
        <v>1.361</v>
      </c>
      <c r="P14" s="2" t="n">
        <v>0.946</v>
      </c>
      <c r="Q14" s="2" t="n">
        <v>1235799</v>
      </c>
      <c r="R14" s="2" t="n">
        <v>0.8092</v>
      </c>
      <c r="S14" s="2" t="n">
        <v>0.5620000000000001</v>
      </c>
      <c r="T14" s="2" t="n">
        <v>81668771486035</v>
      </c>
      <c r="U14" s="2" t="n">
        <v>2.980910159240285e+16</v>
      </c>
      <c r="V14" s="2" t="n">
        <v>12488541309092</v>
      </c>
      <c r="W14" s="2" t="inlineStr">
        <is>
          <t>Medium</t>
        </is>
      </c>
      <c r="X14" s="2" t="inlineStr">
        <is>
          <t>Estimate+Scenario</t>
        </is>
      </c>
      <c r="Y14" s="2" t="inlineStr">
        <is>
          <t>SRC_META_LLAMA; SRC_META_LLAMA4_NVIDIA</t>
        </is>
      </c>
      <c r="Z14" s="2" t="inlineStr">
        <is>
          <t>ASSUMP_CONSUMER_AI_UTILIZATION; ASSUMP_POWER_RAMP; ASSUMP_INFERENCE_SHARE_NOT_FACT_60</t>
        </is>
      </c>
    </row>
    <row r="15">
      <c r="A15" s="2" t="inlineStr">
        <is>
          <t>Bear</t>
        </is>
      </c>
      <c r="B15" s="2" t="inlineStr">
        <is>
          <t>Meta</t>
        </is>
      </c>
      <c r="C15" s="2" t="inlineStr">
        <is>
          <t>US</t>
        </is>
      </c>
      <c r="D15" s="2" t="inlineStr">
        <is>
          <t>Llama / Meta AI</t>
        </is>
      </c>
      <c r="E15" s="2" t="inlineStr">
        <is>
          <t>Meta AI + family apps</t>
        </is>
      </c>
      <c r="F15" s="2" t="n">
        <v>2029</v>
      </c>
      <c r="G15" s="2" t="n">
        <v>6.125</v>
      </c>
      <c r="H15" s="2" t="n">
        <v>3.99</v>
      </c>
      <c r="I15" s="2" t="n">
        <v>1.2</v>
      </c>
      <c r="J15" s="2" t="n">
        <v>3.325</v>
      </c>
      <c r="K15" s="2" t="n">
        <v>0.87</v>
      </c>
      <c r="L15" s="2" t="n">
        <v>2.893</v>
      </c>
      <c r="M15" s="2" t="n">
        <v>0.365</v>
      </c>
      <c r="N15" s="2" t="n">
        <v>0.635</v>
      </c>
      <c r="O15" s="2" t="n">
        <v>1.837</v>
      </c>
      <c r="P15" s="2" t="n">
        <v>1.056</v>
      </c>
      <c r="Q15" s="2" t="n">
        <v>1433527</v>
      </c>
      <c r="R15" s="2" t="n">
        <v>0.6976</v>
      </c>
      <c r="S15" s="2" t="n">
        <v>0.596</v>
      </c>
      <c r="T15" s="2" t="n">
        <v>135604791619546</v>
      </c>
      <c r="U15" s="2" t="n">
        <v>4.949574894113414e+16</v>
      </c>
      <c r="V15" s="2" t="n">
        <v>17149540113801</v>
      </c>
      <c r="W15" s="2" t="inlineStr">
        <is>
          <t>Medium</t>
        </is>
      </c>
      <c r="X15" s="2" t="inlineStr">
        <is>
          <t>Estimate+Scenario</t>
        </is>
      </c>
      <c r="Y15" s="2" t="inlineStr">
        <is>
          <t>SRC_META_LLAMA; SRC_META_LLAMA4_NVIDIA</t>
        </is>
      </c>
      <c r="Z15" s="2" t="inlineStr">
        <is>
          <t>ASSUMP_CONSUMER_AI_UTILIZATION; ASSUMP_POWER_RAMP; ASSUMP_INFERENCE_SHARE_NOT_FACT_60</t>
        </is>
      </c>
    </row>
    <row r="16">
      <c r="A16" s="2" t="inlineStr">
        <is>
          <t>Bear</t>
        </is>
      </c>
      <c r="B16" s="2" t="inlineStr">
        <is>
          <t>Meta</t>
        </is>
      </c>
      <c r="C16" s="2" t="inlineStr">
        <is>
          <t>US</t>
        </is>
      </c>
      <c r="D16" s="2" t="inlineStr">
        <is>
          <t>Llama / Meta AI</t>
        </is>
      </c>
      <c r="E16" s="2" t="inlineStr">
        <is>
          <t>Meta AI + family apps</t>
        </is>
      </c>
      <c r="F16" s="2" t="n">
        <v>2030</v>
      </c>
      <c r="G16" s="2" t="n">
        <v>7</v>
      </c>
      <c r="H16" s="2" t="n">
        <v>4.756</v>
      </c>
      <c r="I16" s="2" t="n">
        <v>1.2</v>
      </c>
      <c r="J16" s="2" t="n">
        <v>3.963</v>
      </c>
      <c r="K16" s="2" t="n">
        <v>0.87</v>
      </c>
      <c r="L16" s="2" t="n">
        <v>3.448</v>
      </c>
      <c r="M16" s="2" t="n">
        <v>0.32</v>
      </c>
      <c r="N16" s="2" t="n">
        <v>0.68</v>
      </c>
      <c r="O16" s="2" t="n">
        <v>2.345</v>
      </c>
      <c r="P16" s="2" t="n">
        <v>1.103</v>
      </c>
      <c r="Q16" s="2" t="n">
        <v>1662891</v>
      </c>
      <c r="R16" s="2" t="n">
        <v>0.6014</v>
      </c>
      <c r="S16" s="2" t="n">
        <v>0.63</v>
      </c>
      <c r="T16" s="2" t="n">
        <v>212256462428640</v>
      </c>
      <c r="U16" s="2" t="n">
        <v>7.74736087864536e+16</v>
      </c>
      <c r="V16" s="2" t="n">
        <v>21964244423426</v>
      </c>
      <c r="W16" s="2" t="inlineStr">
        <is>
          <t>Medium</t>
        </is>
      </c>
      <c r="X16" s="2" t="inlineStr">
        <is>
          <t>Estimate+Scenario</t>
        </is>
      </c>
      <c r="Y16" s="2" t="inlineStr">
        <is>
          <t>SRC_META_LLAMA; SRC_META_LLAMA4_NVIDIA</t>
        </is>
      </c>
      <c r="Z16" s="2" t="inlineStr">
        <is>
          <t>ASSUMP_CONSUMER_AI_UTILIZATION; ASSUMP_POWER_RAMP; ASSUMP_INFERENCE_SHARE_NOT_FACT_60</t>
        </is>
      </c>
    </row>
    <row r="17">
      <c r="A17" s="2" t="inlineStr">
        <is>
          <t>Bear</t>
        </is>
      </c>
      <c r="B17" s="2" t="inlineStr">
        <is>
          <t>xAI</t>
        </is>
      </c>
      <c r="C17" s="2" t="inlineStr">
        <is>
          <t>US</t>
        </is>
      </c>
      <c r="D17" s="2" t="inlineStr">
        <is>
          <t>Grok</t>
        </is>
      </c>
      <c r="E17" s="2" t="inlineStr">
        <is>
          <t>Grok + X + API</t>
        </is>
      </c>
      <c r="F17" s="2" t="n">
        <v>2026</v>
      </c>
      <c r="G17" s="2" t="n">
        <v>1</v>
      </c>
      <c r="H17" s="2" t="n">
        <v>0.315</v>
      </c>
      <c r="I17" s="2" t="n">
        <v>1.22</v>
      </c>
      <c r="J17" s="2" t="n">
        <v>0.258</v>
      </c>
      <c r="K17" s="2" t="n">
        <v>0.85</v>
      </c>
      <c r="L17" s="2" t="n">
        <v>0.219</v>
      </c>
      <c r="M17" s="2" t="n">
        <v>0.63</v>
      </c>
      <c r="N17" s="2" t="n">
        <v>0.37</v>
      </c>
      <c r="O17" s="2" t="n">
        <v>0.081</v>
      </c>
      <c r="P17" s="2" t="n">
        <v>0.138</v>
      </c>
      <c r="Q17" s="2" t="n">
        <v>779000</v>
      </c>
      <c r="R17" s="2" t="n">
        <v>1.2837</v>
      </c>
      <c r="S17" s="2" t="n">
        <v>0.45</v>
      </c>
      <c r="T17" s="2" t="n">
        <v>2453289120000</v>
      </c>
      <c r="U17" s="2" t="n">
        <v>895450528800000</v>
      </c>
      <c r="V17" s="2" t="n">
        <v>919529107200</v>
      </c>
      <c r="W17" s="2" t="inlineStr">
        <is>
          <t>Medium-Low</t>
        </is>
      </c>
      <c r="X17" s="2" t="inlineStr">
        <is>
          <t>Estimate+Scenario</t>
        </is>
      </c>
      <c r="Y17" s="2" t="inlineStr">
        <is>
          <t>SRC_XAI_MODELS; SRC_XAI_NVIDIA_COLOSSUS</t>
        </is>
      </c>
      <c r="Z17" s="2" t="inlineStr">
        <is>
          <t>ASSUMP_CLUSTER_RAMP; ASSUMP_CLOSED_MODEL_BAND; ASSUMP_INFERENCE_SHARE_NOT_FACT_60</t>
        </is>
      </c>
    </row>
    <row r="18">
      <c r="A18" s="2" t="inlineStr">
        <is>
          <t>Bear</t>
        </is>
      </c>
      <c r="B18" s="2" t="inlineStr">
        <is>
          <t>xAI</t>
        </is>
      </c>
      <c r="C18" s="2" t="inlineStr">
        <is>
          <t>US</t>
        </is>
      </c>
      <c r="D18" s="2" t="inlineStr">
        <is>
          <t>Grok</t>
        </is>
      </c>
      <c r="E18" s="2" t="inlineStr">
        <is>
          <t>Grok + X + API</t>
        </is>
      </c>
      <c r="F18" s="2" t="n">
        <v>2027</v>
      </c>
      <c r="G18" s="2" t="n">
        <v>1.5</v>
      </c>
      <c r="H18" s="2" t="n">
        <v>0.781</v>
      </c>
      <c r="I18" s="2" t="n">
        <v>1.22</v>
      </c>
      <c r="J18" s="2" t="n">
        <v>0.64</v>
      </c>
      <c r="K18" s="2" t="n">
        <v>0.85</v>
      </c>
      <c r="L18" s="2" t="n">
        <v>0.544</v>
      </c>
      <c r="M18" s="2" t="n">
        <v>0.573</v>
      </c>
      <c r="N18" s="2" t="n">
        <v>0.427</v>
      </c>
      <c r="O18" s="2" t="n">
        <v>0.233</v>
      </c>
      <c r="P18" s="2" t="n">
        <v>0.312</v>
      </c>
      <c r="Q18" s="2" t="n">
        <v>911430</v>
      </c>
      <c r="R18" s="2" t="n">
        <v>1.0972</v>
      </c>
      <c r="S18" s="2" t="n">
        <v>0.488</v>
      </c>
      <c r="T18" s="2" t="n">
        <v>8953911652608</v>
      </c>
      <c r="U18" s="2" t="n">
        <v>3268177753201920</v>
      </c>
      <c r="V18" s="2" t="n">
        <v>2637753201009</v>
      </c>
      <c r="W18" s="2" t="inlineStr">
        <is>
          <t>Medium-Low</t>
        </is>
      </c>
      <c r="X18" s="2" t="inlineStr">
        <is>
          <t>Estimate+Scenario</t>
        </is>
      </c>
      <c r="Y18" s="2" t="inlineStr">
        <is>
          <t>SRC_XAI_MODELS; SRC_XAI_NVIDIA_COLOSSUS</t>
        </is>
      </c>
      <c r="Z18" s="2" t="inlineStr">
        <is>
          <t>ASSUMP_CLUSTER_RAMP; ASSUMP_CLOSED_MODEL_BAND; ASSUMP_INFERENCE_SHARE_NOT_FACT_60</t>
        </is>
      </c>
    </row>
    <row r="19">
      <c r="A19" s="2" t="inlineStr">
        <is>
          <t>Bear</t>
        </is>
      </c>
      <c r="B19" s="2" t="inlineStr">
        <is>
          <t>xAI</t>
        </is>
      </c>
      <c r="C19" s="2" t="inlineStr">
        <is>
          <t>US</t>
        </is>
      </c>
      <c r="D19" s="2" t="inlineStr">
        <is>
          <t>Grok</t>
        </is>
      </c>
      <c r="E19" s="2" t="inlineStr">
        <is>
          <t>Grok + X + API</t>
        </is>
      </c>
      <c r="F19" s="2" t="n">
        <v>2028</v>
      </c>
      <c r="G19" s="2" t="n">
        <v>2</v>
      </c>
      <c r="H19" s="2" t="n">
        <v>1.225</v>
      </c>
      <c r="I19" s="2" t="n">
        <v>1.22</v>
      </c>
      <c r="J19" s="2" t="n">
        <v>1.005</v>
      </c>
      <c r="K19" s="2" t="n">
        <v>0.85</v>
      </c>
      <c r="L19" s="2" t="n">
        <v>0.854</v>
      </c>
      <c r="M19" s="2" t="n">
        <v>0.515</v>
      </c>
      <c r="N19" s="2" t="n">
        <v>0.485</v>
      </c>
      <c r="O19" s="2" t="n">
        <v>0.414</v>
      </c>
      <c r="P19" s="2" t="n">
        <v>0.44</v>
      </c>
      <c r="Q19" s="2" t="n">
        <v>1066373</v>
      </c>
      <c r="R19" s="2" t="n">
        <v>0.9378</v>
      </c>
      <c r="S19" s="2" t="n">
        <v>0.526</v>
      </c>
      <c r="T19" s="2" t="n">
        <v>20063604957581</v>
      </c>
      <c r="U19" s="2" t="n">
        <v>7323215809516992</v>
      </c>
      <c r="V19" s="2" t="n">
        <v>4691200386217</v>
      </c>
      <c r="W19" s="2" t="inlineStr">
        <is>
          <t>Medium-Low</t>
        </is>
      </c>
      <c r="X19" s="2" t="inlineStr">
        <is>
          <t>Estimate+Scenario</t>
        </is>
      </c>
      <c r="Y19" s="2" t="inlineStr">
        <is>
          <t>SRC_XAI_MODELS; SRC_XAI_NVIDIA_COLOSSUS</t>
        </is>
      </c>
      <c r="Z19" s="2" t="inlineStr">
        <is>
          <t>ASSUMP_CLUSTER_RAMP; ASSUMP_CLOSED_MODEL_BAND; ASSUMP_INFERENCE_SHARE_NOT_FACT_60</t>
        </is>
      </c>
    </row>
    <row r="20">
      <c r="A20" s="2" t="inlineStr">
        <is>
          <t>Bear</t>
        </is>
      </c>
      <c r="B20" s="2" t="inlineStr">
        <is>
          <t>xAI</t>
        </is>
      </c>
      <c r="C20" s="2" t="inlineStr">
        <is>
          <t>US</t>
        </is>
      </c>
      <c r="D20" s="2" t="inlineStr">
        <is>
          <t>Grok</t>
        </is>
      </c>
      <c r="E20" s="2" t="inlineStr">
        <is>
          <t>Grok + X + API</t>
        </is>
      </c>
      <c r="F20" s="2" t="n">
        <v>2029</v>
      </c>
      <c r="G20" s="2" t="n">
        <v>2.5</v>
      </c>
      <c r="H20" s="2" t="n">
        <v>1.648</v>
      </c>
      <c r="I20" s="2" t="n">
        <v>1.22</v>
      </c>
      <c r="J20" s="2" t="n">
        <v>1.351</v>
      </c>
      <c r="K20" s="2" t="n">
        <v>0.85</v>
      </c>
      <c r="L20" s="2" t="n">
        <v>1.149</v>
      </c>
      <c r="M20" s="2" t="n">
        <v>0.458</v>
      </c>
      <c r="N20" s="2" t="n">
        <v>0.542</v>
      </c>
      <c r="O20" s="2" t="n">
        <v>0.623</v>
      </c>
      <c r="P20" s="2" t="n">
        <v>0.525</v>
      </c>
      <c r="Q20" s="2" t="n">
        <v>1247657</v>
      </c>
      <c r="R20" s="2" t="n">
        <v>0.8015</v>
      </c>
      <c r="S20" s="2" t="n">
        <v>0.5649999999999999</v>
      </c>
      <c r="T20" s="2" t="n">
        <v>37944203821776</v>
      </c>
      <c r="U20" s="2" t="n">
        <v>1.384963439494824e+16</v>
      </c>
      <c r="V20" s="2" t="n">
        <v>7034599584936</v>
      </c>
      <c r="W20" s="2" t="inlineStr">
        <is>
          <t>Medium-Low</t>
        </is>
      </c>
      <c r="X20" s="2" t="inlineStr">
        <is>
          <t>Estimate+Scenario</t>
        </is>
      </c>
      <c r="Y20" s="2" t="inlineStr">
        <is>
          <t>SRC_XAI_MODELS; SRC_XAI_NVIDIA_COLOSSUS</t>
        </is>
      </c>
      <c r="Z20" s="2" t="inlineStr">
        <is>
          <t>ASSUMP_CLUSTER_RAMP; ASSUMP_CLOSED_MODEL_BAND; ASSUMP_INFERENCE_SHARE_NOT_FACT_60</t>
        </is>
      </c>
    </row>
    <row r="21">
      <c r="A21" s="2" t="inlineStr">
        <is>
          <t>Bear</t>
        </is>
      </c>
      <c r="B21" s="2" t="inlineStr">
        <is>
          <t>xAI</t>
        </is>
      </c>
      <c r="C21" s="2" t="inlineStr">
        <is>
          <t>US</t>
        </is>
      </c>
      <c r="D21" s="2" t="inlineStr">
        <is>
          <t>Grok</t>
        </is>
      </c>
      <c r="E21" s="2" t="inlineStr">
        <is>
          <t>Grok + X + API</t>
        </is>
      </c>
      <c r="F21" s="2" t="n">
        <v>2030</v>
      </c>
      <c r="G21" s="2" t="n">
        <v>3</v>
      </c>
      <c r="H21" s="2" t="n">
        <v>2.05</v>
      </c>
      <c r="I21" s="2" t="n">
        <v>1.22</v>
      </c>
      <c r="J21" s="2" t="n">
        <v>1.68</v>
      </c>
      <c r="K21" s="2" t="n">
        <v>0.85</v>
      </c>
      <c r="L21" s="2" t="n">
        <v>1.428</v>
      </c>
      <c r="M21" s="2" t="n">
        <v>0.4</v>
      </c>
      <c r="N21" s="2" t="n">
        <v>0.6</v>
      </c>
      <c r="O21" s="2" t="n">
        <v>0.857</v>
      </c>
      <c r="P21" s="2" t="n">
        <v>0.571</v>
      </c>
      <c r="Q21" s="2" t="n">
        <v>1459758</v>
      </c>
      <c r="R21" s="2" t="n">
        <v>0.6850000000000001</v>
      </c>
      <c r="S21" s="2" t="n">
        <v>0.603</v>
      </c>
      <c r="T21" s="2" t="n">
        <v>65176755962515</v>
      </c>
      <c r="U21" s="2" t="n">
        <v>2.378951592631805e+16</v>
      </c>
      <c r="V21" s="2" t="n">
        <v>9553680378076</v>
      </c>
      <c r="W21" s="2" t="inlineStr">
        <is>
          <t>Medium-Low</t>
        </is>
      </c>
      <c r="X21" s="2" t="inlineStr">
        <is>
          <t>Estimate+Scenario</t>
        </is>
      </c>
      <c r="Y21" s="2" t="inlineStr">
        <is>
          <t>SRC_XAI_MODELS; SRC_XAI_NVIDIA_COLOSSUS</t>
        </is>
      </c>
      <c r="Z21" s="2" t="inlineStr">
        <is>
          <t>ASSUMP_CLUSTER_RAMP; ASSUMP_CLOSED_MODEL_BAND; ASSUMP_INFERENCE_SHARE_NOT_FACT_60</t>
        </is>
      </c>
    </row>
    <row r="22">
      <c r="A22" s="2" t="inlineStr">
        <is>
          <t>Bear</t>
        </is>
      </c>
      <c r="B22" s="2" t="inlineStr">
        <is>
          <t>OpenAI</t>
        </is>
      </c>
      <c r="C22" s="2" t="inlineStr">
        <is>
          <t>US</t>
        </is>
      </c>
      <c r="D22" s="2" t="inlineStr">
        <is>
          <t>GPT / o-series / ChatGPT</t>
        </is>
      </c>
      <c r="E22" s="2" t="inlineStr">
        <is>
          <t>ChatGPT + API + enterprise</t>
        </is>
      </c>
      <c r="F22" s="2" t="n">
        <v>2026</v>
      </c>
      <c r="G22" s="2" t="n">
        <v>5</v>
      </c>
      <c r="H22" s="2" t="n">
        <v>1.26</v>
      </c>
      <c r="I22" s="2" t="n">
        <v>1.2</v>
      </c>
      <c r="J22" s="2" t="n">
        <v>1.05</v>
      </c>
      <c r="K22" s="2" t="n">
        <v>0.88</v>
      </c>
      <c r="L22" s="2" t="n">
        <v>0.924</v>
      </c>
      <c r="M22" s="2" t="n">
        <v>0.5</v>
      </c>
      <c r="N22" s="2" t="n">
        <v>0.5</v>
      </c>
      <c r="O22" s="2" t="n">
        <v>0.462</v>
      </c>
      <c r="P22" s="2" t="n">
        <v>0.462</v>
      </c>
      <c r="Q22" s="2" t="n">
        <v>861000</v>
      </c>
      <c r="R22" s="2" t="n">
        <v>1.1614</v>
      </c>
      <c r="S22" s="2" t="n">
        <v>0.513</v>
      </c>
      <c r="T22" s="2" t="n">
        <v>17630971142400</v>
      </c>
      <c r="U22" s="2" t="n">
        <v>6435304466976000</v>
      </c>
      <c r="V22" s="2" t="n">
        <v>3878813651328</v>
      </c>
      <c r="W22" s="2" t="inlineStr">
        <is>
          <t>Medium</t>
        </is>
      </c>
      <c r="X22" s="2" t="inlineStr">
        <is>
          <t>Estimate+Scenario</t>
        </is>
      </c>
      <c r="Y22" s="2" t="inlineStr">
        <is>
          <t>SRC_OPENAI_GPT41_DOCS; SRC_OPENAI_STARGATE_ORACLE; SRC_OPENAI_STARGATE_PROGRESS</t>
        </is>
      </c>
      <c r="Z22" s="2" t="inlineStr">
        <is>
          <t>ASSUMP_STARGATE_RAMP; ASSUMP_MS_OPENAI_ATTRIBUTION; ASSUMP_INFERENCE_SHARE_NOT_FACT_60</t>
        </is>
      </c>
    </row>
    <row r="23">
      <c r="A23" s="2" t="inlineStr">
        <is>
          <t>Bear</t>
        </is>
      </c>
      <c r="B23" s="2" t="inlineStr">
        <is>
          <t>OpenAI</t>
        </is>
      </c>
      <c r="C23" s="2" t="inlineStr">
        <is>
          <t>US</t>
        </is>
      </c>
      <c r="D23" s="2" t="inlineStr">
        <is>
          <t>GPT / o-series / ChatGPT</t>
        </is>
      </c>
      <c r="E23" s="2" t="inlineStr">
        <is>
          <t>ChatGPT + API + enterprise</t>
        </is>
      </c>
      <c r="F23" s="2" t="n">
        <v>2027</v>
      </c>
      <c r="G23" s="2" t="n">
        <v>6.75</v>
      </c>
      <c r="H23" s="2" t="n">
        <v>2.794</v>
      </c>
      <c r="I23" s="2" t="n">
        <v>1.2</v>
      </c>
      <c r="J23" s="2" t="n">
        <v>2.328</v>
      </c>
      <c r="K23" s="2" t="n">
        <v>0.88</v>
      </c>
      <c r="L23" s="2" t="n">
        <v>2.049</v>
      </c>
      <c r="M23" s="2" t="n">
        <v>0.455</v>
      </c>
      <c r="N23" s="2" t="n">
        <v>0.545</v>
      </c>
      <c r="O23" s="2" t="n">
        <v>1.117</v>
      </c>
      <c r="P23" s="2" t="n">
        <v>0.9320000000000001</v>
      </c>
      <c r="Q23" s="2" t="n">
        <v>1007370</v>
      </c>
      <c r="R23" s="2" t="n">
        <v>0.9927</v>
      </c>
      <c r="S23" s="2" t="n">
        <v>0.544</v>
      </c>
      <c r="T23" s="2" t="n">
        <v>52887718001664</v>
      </c>
      <c r="U23" s="2" t="n">
        <v>1.930401707060736e+16</v>
      </c>
      <c r="V23" s="2" t="n">
        <v>9708234287432</v>
      </c>
      <c r="W23" s="2" t="inlineStr">
        <is>
          <t>Medium</t>
        </is>
      </c>
      <c r="X23" s="2" t="inlineStr">
        <is>
          <t>Estimate+Scenario</t>
        </is>
      </c>
      <c r="Y23" s="2" t="inlineStr">
        <is>
          <t>SRC_OPENAI_GPT41_DOCS; SRC_OPENAI_STARGATE_ORACLE; SRC_OPENAI_STARGATE_PROGRESS</t>
        </is>
      </c>
      <c r="Z23" s="2" t="inlineStr">
        <is>
          <t>ASSUMP_STARGATE_RAMP; ASSUMP_MS_OPENAI_ATTRIBUTION; ASSUMP_INFERENCE_SHARE_NOT_FACT_60</t>
        </is>
      </c>
    </row>
    <row r="24">
      <c r="A24" s="2" t="inlineStr">
        <is>
          <t>Bear</t>
        </is>
      </c>
      <c r="B24" s="2" t="inlineStr">
        <is>
          <t>OpenAI</t>
        </is>
      </c>
      <c r="C24" s="2" t="inlineStr">
        <is>
          <t>US</t>
        </is>
      </c>
      <c r="D24" s="2" t="inlineStr">
        <is>
          <t>GPT / o-series / ChatGPT</t>
        </is>
      </c>
      <c r="E24" s="2" t="inlineStr">
        <is>
          <t>ChatGPT + API + enterprise</t>
        </is>
      </c>
      <c r="F24" s="2" t="n">
        <v>2028</v>
      </c>
      <c r="G24" s="2" t="n">
        <v>8.5</v>
      </c>
      <c r="H24" s="2" t="n">
        <v>4.257</v>
      </c>
      <c r="I24" s="2" t="n">
        <v>1.2</v>
      </c>
      <c r="J24" s="2" t="n">
        <v>3.547</v>
      </c>
      <c r="K24" s="2" t="n">
        <v>0.88</v>
      </c>
      <c r="L24" s="2" t="n">
        <v>3.122</v>
      </c>
      <c r="M24" s="2" t="n">
        <v>0.41</v>
      </c>
      <c r="N24" s="2" t="n">
        <v>0.59</v>
      </c>
      <c r="O24" s="2" t="n">
        <v>1.842</v>
      </c>
      <c r="P24" s="2" t="n">
        <v>1.28</v>
      </c>
      <c r="Q24" s="2" t="n">
        <v>1178623</v>
      </c>
      <c r="R24" s="2" t="n">
        <v>0.8484</v>
      </c>
      <c r="S24" s="2" t="n">
        <v>0.576</v>
      </c>
      <c r="T24" s="2" t="n">
        <v>108044027194982</v>
      </c>
      <c r="U24" s="2" t="n">
        <v>3.943606992616857e+16</v>
      </c>
      <c r="V24" s="2" t="n">
        <v>16517479944684</v>
      </c>
      <c r="W24" s="2" t="inlineStr">
        <is>
          <t>Medium</t>
        </is>
      </c>
      <c r="X24" s="2" t="inlineStr">
        <is>
          <t>Estimate+Scenario</t>
        </is>
      </c>
      <c r="Y24" s="2" t="inlineStr">
        <is>
          <t>SRC_OPENAI_GPT41_DOCS; SRC_OPENAI_STARGATE_ORACLE; SRC_OPENAI_STARGATE_PROGRESS</t>
        </is>
      </c>
      <c r="Z24" s="2" t="inlineStr">
        <is>
          <t>ASSUMP_STARGATE_RAMP; ASSUMP_MS_OPENAI_ATTRIBUTION; ASSUMP_INFERENCE_SHARE_NOT_FACT_60</t>
        </is>
      </c>
    </row>
    <row r="25">
      <c r="A25" s="2" t="inlineStr">
        <is>
          <t>Bear</t>
        </is>
      </c>
      <c r="B25" s="2" t="inlineStr">
        <is>
          <t>OpenAI</t>
        </is>
      </c>
      <c r="C25" s="2" t="inlineStr">
        <is>
          <t>US</t>
        </is>
      </c>
      <c r="D25" s="2" t="inlineStr">
        <is>
          <t>GPT / o-series / ChatGPT</t>
        </is>
      </c>
      <c r="E25" s="2" t="inlineStr">
        <is>
          <t>ChatGPT + API + enterprise</t>
        </is>
      </c>
      <c r="F25" s="2" t="n">
        <v>2029</v>
      </c>
      <c r="G25" s="2" t="n">
        <v>10.25</v>
      </c>
      <c r="H25" s="2" t="n">
        <v>5.649</v>
      </c>
      <c r="I25" s="2" t="n">
        <v>1.2</v>
      </c>
      <c r="J25" s="2" t="n">
        <v>4.707</v>
      </c>
      <c r="K25" s="2" t="n">
        <v>0.88</v>
      </c>
      <c r="L25" s="2" t="n">
        <v>4.143</v>
      </c>
      <c r="M25" s="2" t="n">
        <v>0.365</v>
      </c>
      <c r="N25" s="2" t="n">
        <v>0.635</v>
      </c>
      <c r="O25" s="2" t="n">
        <v>2.631</v>
      </c>
      <c r="P25" s="2" t="n">
        <v>1.512</v>
      </c>
      <c r="Q25" s="2" t="n">
        <v>1378989</v>
      </c>
      <c r="R25" s="2" t="n">
        <v>0.7252</v>
      </c>
      <c r="S25" s="2" t="n">
        <v>0.607</v>
      </c>
      <c r="T25" s="2" t="n">
        <v>190276030870243</v>
      </c>
      <c r="U25" s="2" t="n">
        <v>6.945075126763876e+16</v>
      </c>
      <c r="V25" s="2" t="n">
        <v>24056791679467</v>
      </c>
      <c r="W25" s="2" t="inlineStr">
        <is>
          <t>Medium</t>
        </is>
      </c>
      <c r="X25" s="2" t="inlineStr">
        <is>
          <t>Estimate+Scenario</t>
        </is>
      </c>
      <c r="Y25" s="2" t="inlineStr">
        <is>
          <t>SRC_OPENAI_GPT41_DOCS; SRC_OPENAI_STARGATE_ORACLE; SRC_OPENAI_STARGATE_PROGRESS</t>
        </is>
      </c>
      <c r="Z25" s="2" t="inlineStr">
        <is>
          <t>ASSUMP_STARGATE_RAMP; ASSUMP_MS_OPENAI_ATTRIBUTION; ASSUMP_INFERENCE_SHARE_NOT_FACT_60</t>
        </is>
      </c>
    </row>
    <row r="26">
      <c r="A26" s="2" t="inlineStr">
        <is>
          <t>Bear</t>
        </is>
      </c>
      <c r="B26" s="2" t="inlineStr">
        <is>
          <t>OpenAI</t>
        </is>
      </c>
      <c r="C26" s="2" t="inlineStr">
        <is>
          <t>US</t>
        </is>
      </c>
      <c r="D26" s="2" t="inlineStr">
        <is>
          <t>GPT / o-series / ChatGPT</t>
        </is>
      </c>
      <c r="E26" s="2" t="inlineStr">
        <is>
          <t>ChatGPT + API + enterprise</t>
        </is>
      </c>
      <c r="F26" s="2" t="n">
        <v>2030</v>
      </c>
      <c r="G26" s="2" t="n">
        <v>12</v>
      </c>
      <c r="H26" s="2" t="n">
        <v>6.97</v>
      </c>
      <c r="I26" s="2" t="n">
        <v>1.2</v>
      </c>
      <c r="J26" s="2" t="n">
        <v>5.808</v>
      </c>
      <c r="K26" s="2" t="n">
        <v>0.88</v>
      </c>
      <c r="L26" s="2" t="n">
        <v>5.111</v>
      </c>
      <c r="M26" s="2" t="n">
        <v>0.32</v>
      </c>
      <c r="N26" s="2" t="n">
        <v>0.68</v>
      </c>
      <c r="O26" s="2" t="n">
        <v>3.476</v>
      </c>
      <c r="P26" s="2" t="n">
        <v>1.636</v>
      </c>
      <c r="Q26" s="2" t="n">
        <v>1613417</v>
      </c>
      <c r="R26" s="2" t="n">
        <v>0.6198</v>
      </c>
      <c r="S26" s="2" t="n">
        <v>0.639</v>
      </c>
      <c r="T26" s="2" t="n">
        <v>309628548638323</v>
      </c>
      <c r="U26" s="2" t="n">
        <v>1.13014420252988e+17</v>
      </c>
      <c r="V26" s="2" t="n">
        <v>32060272504576</v>
      </c>
      <c r="W26" s="2" t="inlineStr">
        <is>
          <t>Medium</t>
        </is>
      </c>
      <c r="X26" s="2" t="inlineStr">
        <is>
          <t>Estimate+Scenario</t>
        </is>
      </c>
      <c r="Y26" s="2" t="inlineStr">
        <is>
          <t>SRC_OPENAI_GPT41_DOCS; SRC_OPENAI_STARGATE_ORACLE; SRC_OPENAI_STARGATE_PROGRESS</t>
        </is>
      </c>
      <c r="Z26" s="2" t="inlineStr">
        <is>
          <t>ASSUMP_STARGATE_RAMP; ASSUMP_MS_OPENAI_ATTRIBUTION; ASSUMP_INFERENCE_SHARE_NOT_FACT_60</t>
        </is>
      </c>
    </row>
    <row r="27">
      <c r="A27" s="2" t="inlineStr">
        <is>
          <t>Bear</t>
        </is>
      </c>
      <c r="B27" s="2" t="inlineStr">
        <is>
          <t>DeepSeek</t>
        </is>
      </c>
      <c r="C27" s="2" t="inlineStr">
        <is>
          <t>China</t>
        </is>
      </c>
      <c r="D27" s="2" t="inlineStr">
        <is>
          <t>DeepSeek-V3 / R1</t>
        </is>
      </c>
      <c r="E27" s="2" t="inlineStr">
        <is>
          <t>DeepSeek app/API</t>
        </is>
      </c>
      <c r="F27" s="2" t="n">
        <v>2026</v>
      </c>
      <c r="G27" s="2" t="n">
        <v>0.5</v>
      </c>
      <c r="H27" s="2" t="n">
        <v>0.135</v>
      </c>
      <c r="I27" s="2" t="n">
        <v>1.24</v>
      </c>
      <c r="J27" s="2" t="n">
        <v>0.109</v>
      </c>
      <c r="K27" s="2" t="n">
        <v>0.82</v>
      </c>
      <c r="L27" s="2" t="n">
        <v>0.089</v>
      </c>
      <c r="M27" s="2" t="n">
        <v>0.46</v>
      </c>
      <c r="N27" s="2" t="n">
        <v>0.54</v>
      </c>
      <c r="O27" s="2" t="n">
        <v>0.048</v>
      </c>
      <c r="P27" s="2" t="n">
        <v>0.041</v>
      </c>
      <c r="Q27" s="2" t="n">
        <v>1093880</v>
      </c>
      <c r="R27" s="2" t="n">
        <v>0.9142</v>
      </c>
      <c r="S27" s="2" t="n">
        <v>0.432</v>
      </c>
      <c r="T27" s="2" t="n">
        <v>1959784906752</v>
      </c>
      <c r="U27" s="2" t="n">
        <v>715321490964480</v>
      </c>
      <c r="V27" s="2" t="n">
        <v>368276247060</v>
      </c>
      <c r="W27" s="2" t="inlineStr">
        <is>
          <t>Parameter High / Capacity Low-Medium</t>
        </is>
      </c>
      <c r="X27" s="2" t="inlineStr">
        <is>
          <t>Fact+Scenario</t>
        </is>
      </c>
      <c r="Y27" s="2" t="inlineStr">
        <is>
          <t>SRC_DEEPSEEK_V3; SRC_DEEPSEEK_R1</t>
        </is>
      </c>
      <c r="Z27" s="2" t="inlineStr">
        <is>
          <t>ASSUMP_MOE_EFFICIENCY; ASSUMP_CN_CAPACITY_TRANSPARENCY; ASSUMP_INFERENCE_SHARE_NOT_FACT_60</t>
        </is>
      </c>
    </row>
    <row r="28">
      <c r="A28" s="2" t="inlineStr">
        <is>
          <t>Bear</t>
        </is>
      </c>
      <c r="B28" s="2" t="inlineStr">
        <is>
          <t>DeepSeek</t>
        </is>
      </c>
      <c r="C28" s="2" t="inlineStr">
        <is>
          <t>China</t>
        </is>
      </c>
      <c r="D28" s="2" t="inlineStr">
        <is>
          <t>DeepSeek-V3 / R1</t>
        </is>
      </c>
      <c r="E28" s="2" t="inlineStr">
        <is>
          <t>DeepSeek app/API</t>
        </is>
      </c>
      <c r="F28" s="2" t="n">
        <v>2027</v>
      </c>
      <c r="G28" s="2" t="n">
        <v>0.825</v>
      </c>
      <c r="H28" s="2" t="n">
        <v>0.363</v>
      </c>
      <c r="I28" s="2" t="n">
        <v>1.24</v>
      </c>
      <c r="J28" s="2" t="n">
        <v>0.293</v>
      </c>
      <c r="K28" s="2" t="n">
        <v>0.82</v>
      </c>
      <c r="L28" s="2" t="n">
        <v>0.24</v>
      </c>
      <c r="M28" s="2" t="n">
        <v>0.415</v>
      </c>
      <c r="N28" s="2" t="n">
        <v>0.585</v>
      </c>
      <c r="O28" s="2" t="n">
        <v>0.14</v>
      </c>
      <c r="P28" s="2" t="n">
        <v>0.1</v>
      </c>
      <c r="Q28" s="2" t="n">
        <v>1290778</v>
      </c>
      <c r="R28" s="2" t="n">
        <v>0.7747000000000001</v>
      </c>
      <c r="S28" s="2" t="n">
        <v>0.473</v>
      </c>
      <c r="T28" s="2" t="n">
        <v>7385067575424</v>
      </c>
      <c r="U28" s="2" t="n">
        <v>2695549665029760</v>
      </c>
      <c r="V28" s="2" t="n">
        <v>1160510618995</v>
      </c>
      <c r="W28" s="2" t="inlineStr">
        <is>
          <t>Parameter High / Capacity Low-Medium</t>
        </is>
      </c>
      <c r="X28" s="2" t="inlineStr">
        <is>
          <t>Fact+Scenario</t>
        </is>
      </c>
      <c r="Y28" s="2" t="inlineStr">
        <is>
          <t>SRC_DEEPSEEK_V3; SRC_DEEPSEEK_R1</t>
        </is>
      </c>
      <c r="Z28" s="2" t="inlineStr">
        <is>
          <t>ASSUMP_MOE_EFFICIENCY; ASSUMP_CN_CAPACITY_TRANSPARENCY; ASSUMP_INFERENCE_SHARE_NOT_FACT_60</t>
        </is>
      </c>
    </row>
    <row r="29">
      <c r="A29" s="2" t="inlineStr">
        <is>
          <t>Bear</t>
        </is>
      </c>
      <c r="B29" s="2" t="inlineStr">
        <is>
          <t>DeepSeek</t>
        </is>
      </c>
      <c r="C29" s="2" t="inlineStr">
        <is>
          <t>China</t>
        </is>
      </c>
      <c r="D29" s="2" t="inlineStr">
        <is>
          <t>DeepSeek-V3 / R1</t>
        </is>
      </c>
      <c r="E29" s="2" t="inlineStr">
        <is>
          <t>DeepSeek app/API</t>
        </is>
      </c>
      <c r="F29" s="2" t="n">
        <v>2028</v>
      </c>
      <c r="G29" s="2" t="n">
        <v>1.15</v>
      </c>
      <c r="H29" s="2" t="n">
        <v>0.581</v>
      </c>
      <c r="I29" s="2" t="n">
        <v>1.24</v>
      </c>
      <c r="J29" s="2" t="n">
        <v>0.468</v>
      </c>
      <c r="K29" s="2" t="n">
        <v>0.82</v>
      </c>
      <c r="L29" s="2" t="n">
        <v>0.384</v>
      </c>
      <c r="M29" s="2" t="n">
        <v>0.37</v>
      </c>
      <c r="N29" s="2" t="n">
        <v>0.63</v>
      </c>
      <c r="O29" s="2" t="n">
        <v>0.242</v>
      </c>
      <c r="P29" s="2" t="n">
        <v>0.142</v>
      </c>
      <c r="Q29" s="2" t="n">
        <v>1523119</v>
      </c>
      <c r="R29" s="2" t="n">
        <v>0.6565</v>
      </c>
      <c r="S29" s="2" t="n">
        <v>0.513</v>
      </c>
      <c r="T29" s="2" t="n">
        <v>16337300950714</v>
      </c>
      <c r="U29" s="2" t="n">
        <v>5963114847010465</v>
      </c>
      <c r="V29" s="2" t="n">
        <v>2108997031819</v>
      </c>
      <c r="W29" s="2" t="inlineStr">
        <is>
          <t>Parameter High / Capacity Low-Medium</t>
        </is>
      </c>
      <c r="X29" s="2" t="inlineStr">
        <is>
          <t>Fact+Scenario</t>
        </is>
      </c>
      <c r="Y29" s="2" t="inlineStr">
        <is>
          <t>SRC_DEEPSEEK_V3; SRC_DEEPSEEK_R1</t>
        </is>
      </c>
      <c r="Z29" s="2" t="inlineStr">
        <is>
          <t>ASSUMP_MOE_EFFICIENCY; ASSUMP_CN_CAPACITY_TRANSPARENCY; ASSUMP_INFERENCE_SHARE_NOT_FACT_60</t>
        </is>
      </c>
    </row>
    <row r="30">
      <c r="A30" s="2" t="inlineStr">
        <is>
          <t>Bear</t>
        </is>
      </c>
      <c r="B30" s="2" t="inlineStr">
        <is>
          <t>DeepSeek</t>
        </is>
      </c>
      <c r="C30" s="2" t="inlineStr">
        <is>
          <t>China</t>
        </is>
      </c>
      <c r="D30" s="2" t="inlineStr">
        <is>
          <t>DeepSeek-V3 / R1</t>
        </is>
      </c>
      <c r="E30" s="2" t="inlineStr">
        <is>
          <t>DeepSeek app/API</t>
        </is>
      </c>
      <c r="F30" s="2" t="n">
        <v>2029</v>
      </c>
      <c r="G30" s="2" t="n">
        <v>1.475</v>
      </c>
      <c r="H30" s="2" t="n">
        <v>0.788</v>
      </c>
      <c r="I30" s="2" t="n">
        <v>1.24</v>
      </c>
      <c r="J30" s="2" t="n">
        <v>0.635</v>
      </c>
      <c r="K30" s="2" t="n">
        <v>0.82</v>
      </c>
      <c r="L30" s="2" t="n">
        <v>0.521</v>
      </c>
      <c r="M30" s="2" t="n">
        <v>0.325</v>
      </c>
      <c r="N30" s="2" t="n">
        <v>0.675</v>
      </c>
      <c r="O30" s="2" t="n">
        <v>0.352</v>
      </c>
      <c r="P30" s="2" t="n">
        <v>0.169</v>
      </c>
      <c r="Q30" s="2" t="n">
        <v>1797280</v>
      </c>
      <c r="R30" s="2" t="n">
        <v>0.5564</v>
      </c>
      <c r="S30" s="2" t="n">
        <v>0.553</v>
      </c>
      <c r="T30" s="2" t="n">
        <v>30227155402752</v>
      </c>
      <c r="U30" s="2" t="n">
        <v>1.103291172200448e+16</v>
      </c>
      <c r="V30" s="2" t="n">
        <v>3192743289416</v>
      </c>
      <c r="W30" s="2" t="inlineStr">
        <is>
          <t>Parameter High / Capacity Low-Medium</t>
        </is>
      </c>
      <c r="X30" s="2" t="inlineStr">
        <is>
          <t>Fact+Scenario</t>
        </is>
      </c>
      <c r="Y30" s="2" t="inlineStr">
        <is>
          <t>SRC_DEEPSEEK_V3; SRC_DEEPSEEK_R1</t>
        </is>
      </c>
      <c r="Z30" s="2" t="inlineStr">
        <is>
          <t>ASSUMP_MOE_EFFICIENCY; ASSUMP_CN_CAPACITY_TRANSPARENCY; ASSUMP_INFERENCE_SHARE_NOT_FACT_60</t>
        </is>
      </c>
    </row>
    <row r="31">
      <c r="A31" s="2" t="inlineStr">
        <is>
          <t>Bear</t>
        </is>
      </c>
      <c r="B31" s="2" t="inlineStr">
        <is>
          <t>DeepSeek</t>
        </is>
      </c>
      <c r="C31" s="2" t="inlineStr">
        <is>
          <t>China</t>
        </is>
      </c>
      <c r="D31" s="2" t="inlineStr">
        <is>
          <t>DeepSeek-V3 / R1</t>
        </is>
      </c>
      <c r="E31" s="2" t="inlineStr">
        <is>
          <t>DeepSeek app/API</t>
        </is>
      </c>
      <c r="F31" s="2" t="n">
        <v>2030</v>
      </c>
      <c r="G31" s="2" t="n">
        <v>1.8</v>
      </c>
      <c r="H31" s="2" t="n">
        <v>0.984</v>
      </c>
      <c r="I31" s="2" t="n">
        <v>1.24</v>
      </c>
      <c r="J31" s="2" t="n">
        <v>0.794</v>
      </c>
      <c r="K31" s="2" t="n">
        <v>0.82</v>
      </c>
      <c r="L31" s="2" t="n">
        <v>0.651</v>
      </c>
      <c r="M31" s="2" t="n">
        <v>0.28</v>
      </c>
      <c r="N31" s="2" t="n">
        <v>0.72</v>
      </c>
      <c r="O31" s="2" t="n">
        <v>0.469</v>
      </c>
      <c r="P31" s="2" t="n">
        <v>0.182</v>
      </c>
      <c r="Q31" s="2" t="n">
        <v>2120790</v>
      </c>
      <c r="R31" s="2" t="n">
        <v>0.4715</v>
      </c>
      <c r="S31" s="2" t="n">
        <v>0.594</v>
      </c>
      <c r="T31" s="2" t="n">
        <v>51047055614016</v>
      </c>
      <c r="U31" s="2" t="n">
        <v>1.863217529911584e+16</v>
      </c>
      <c r="V31" s="2" t="n">
        <v>4358047136003</v>
      </c>
      <c r="W31" s="2" t="inlineStr">
        <is>
          <t>Parameter High / Capacity Low-Medium</t>
        </is>
      </c>
      <c r="X31" s="2" t="inlineStr">
        <is>
          <t>Fact+Scenario</t>
        </is>
      </c>
      <c r="Y31" s="2" t="inlineStr">
        <is>
          <t>SRC_DEEPSEEK_V3; SRC_DEEPSEEK_R1</t>
        </is>
      </c>
      <c r="Z31" s="2" t="inlineStr">
        <is>
          <t>ASSUMP_MOE_EFFICIENCY; ASSUMP_CN_CAPACITY_TRANSPARENCY; ASSUMP_INFERENCE_SHARE_NOT_FACT_60</t>
        </is>
      </c>
    </row>
    <row r="32">
      <c r="A32" s="2" t="inlineStr">
        <is>
          <t>Bear</t>
        </is>
      </c>
      <c r="B32" s="2" t="inlineStr">
        <is>
          <t>Alibaba</t>
        </is>
      </c>
      <c r="C32" s="2" t="inlineStr">
        <is>
          <t>China</t>
        </is>
      </c>
      <c r="D32" s="2" t="inlineStr">
        <is>
          <t>Qwen / Qwen3</t>
        </is>
      </c>
      <c r="E32" s="2" t="inlineStr">
        <is>
          <t>Model Studio + Qwen API</t>
        </is>
      </c>
      <c r="F32" s="2" t="n">
        <v>2026</v>
      </c>
      <c r="G32" s="2" t="n">
        <v>1.8</v>
      </c>
      <c r="H32" s="2" t="n">
        <v>0.585</v>
      </c>
      <c r="I32" s="2" t="n">
        <v>1.23</v>
      </c>
      <c r="J32" s="2" t="n">
        <v>0.476</v>
      </c>
      <c r="K32" s="2" t="n">
        <v>0.84</v>
      </c>
      <c r="L32" s="2" t="n">
        <v>0.4</v>
      </c>
      <c r="M32" s="2" t="n">
        <v>0.48</v>
      </c>
      <c r="N32" s="2" t="n">
        <v>0.52</v>
      </c>
      <c r="O32" s="2" t="n">
        <v>0.208</v>
      </c>
      <c r="P32" s="2" t="n">
        <v>0.192</v>
      </c>
      <c r="Q32" s="2" t="n">
        <v>1018440</v>
      </c>
      <c r="R32" s="2" t="n">
        <v>0.9819</v>
      </c>
      <c r="S32" s="2" t="n">
        <v>0.468</v>
      </c>
      <c r="T32" s="2" t="n">
        <v>8565611618304</v>
      </c>
      <c r="U32" s="2" t="n">
        <v>3126448240680960</v>
      </c>
      <c r="V32" s="2" t="n">
        <v>1739478051717</v>
      </c>
      <c r="W32" s="2" t="inlineStr">
        <is>
          <t>Medium</t>
        </is>
      </c>
      <c r="X32" s="2" t="inlineStr">
        <is>
          <t>Fact+Scenario</t>
        </is>
      </c>
      <c r="Y32" s="2" t="inlineStr">
        <is>
          <t>SRC_QWEN3_GITHUB</t>
        </is>
      </c>
      <c r="Z32" s="2" t="inlineStr">
        <is>
          <t>ASSUMP_MOE_EFFICIENCY; ASSUMP_CN_CAPACITY_TRANSPARENCY; ASSUMP_INFERENCE_SHARE_NOT_FACT_60</t>
        </is>
      </c>
    </row>
    <row r="33">
      <c r="A33" s="2" t="inlineStr">
        <is>
          <t>Bear</t>
        </is>
      </c>
      <c r="B33" s="2" t="inlineStr">
        <is>
          <t>Alibaba</t>
        </is>
      </c>
      <c r="C33" s="2" t="inlineStr">
        <is>
          <t>China</t>
        </is>
      </c>
      <c r="D33" s="2" t="inlineStr">
        <is>
          <t>Qwen / Qwen3</t>
        </is>
      </c>
      <c r="E33" s="2" t="inlineStr">
        <is>
          <t>Model Studio + Qwen API</t>
        </is>
      </c>
      <c r="F33" s="2" t="n">
        <v>2027</v>
      </c>
      <c r="G33" s="2" t="n">
        <v>2.35</v>
      </c>
      <c r="H33" s="2" t="n">
        <v>1.133</v>
      </c>
      <c r="I33" s="2" t="n">
        <v>1.23</v>
      </c>
      <c r="J33" s="2" t="n">
        <v>0.921</v>
      </c>
      <c r="K33" s="2" t="n">
        <v>0.84</v>
      </c>
      <c r="L33" s="2" t="n">
        <v>0.774</v>
      </c>
      <c r="M33" s="2" t="n">
        <v>0.435</v>
      </c>
      <c r="N33" s="2" t="n">
        <v>0.5649999999999999</v>
      </c>
      <c r="O33" s="2" t="n">
        <v>0.437</v>
      </c>
      <c r="P33" s="2" t="n">
        <v>0.337</v>
      </c>
      <c r="Q33" s="2" t="n">
        <v>1191575</v>
      </c>
      <c r="R33" s="2" t="n">
        <v>0.8391999999999999</v>
      </c>
      <c r="S33" s="2" t="n">
        <v>0.504</v>
      </c>
      <c r="T33" s="2" t="n">
        <v>22674989715840</v>
      </c>
      <c r="U33" s="2" t="n">
        <v>8276371246281600</v>
      </c>
      <c r="V33" s="2" t="n">
        <v>3846965074445</v>
      </c>
      <c r="W33" s="2" t="inlineStr">
        <is>
          <t>Medium</t>
        </is>
      </c>
      <c r="X33" s="2" t="inlineStr">
        <is>
          <t>Fact+Scenario</t>
        </is>
      </c>
      <c r="Y33" s="2" t="inlineStr">
        <is>
          <t>SRC_QWEN3_GITHUB</t>
        </is>
      </c>
      <c r="Z33" s="2" t="inlineStr">
        <is>
          <t>ASSUMP_MOE_EFFICIENCY; ASSUMP_CN_CAPACITY_TRANSPARENCY; ASSUMP_INFERENCE_SHARE_NOT_FACT_60</t>
        </is>
      </c>
    </row>
    <row r="34">
      <c r="A34" s="2" t="inlineStr">
        <is>
          <t>Bear</t>
        </is>
      </c>
      <c r="B34" s="2" t="inlineStr">
        <is>
          <t>Alibaba</t>
        </is>
      </c>
      <c r="C34" s="2" t="inlineStr">
        <is>
          <t>China</t>
        </is>
      </c>
      <c r="D34" s="2" t="inlineStr">
        <is>
          <t>Qwen / Qwen3</t>
        </is>
      </c>
      <c r="E34" s="2" t="inlineStr">
        <is>
          <t>Model Studio + Qwen API</t>
        </is>
      </c>
      <c r="F34" s="2" t="n">
        <v>2028</v>
      </c>
      <c r="G34" s="2" t="n">
        <v>2.9</v>
      </c>
      <c r="H34" s="2" t="n">
        <v>1.656</v>
      </c>
      <c r="I34" s="2" t="n">
        <v>1.23</v>
      </c>
      <c r="J34" s="2" t="n">
        <v>1.346</v>
      </c>
      <c r="K34" s="2" t="n">
        <v>0.84</v>
      </c>
      <c r="L34" s="2" t="n">
        <v>1.131</v>
      </c>
      <c r="M34" s="2" t="n">
        <v>0.39</v>
      </c>
      <c r="N34" s="2" t="n">
        <v>0.61</v>
      </c>
      <c r="O34" s="2" t="n">
        <v>0.6899999999999999</v>
      </c>
      <c r="P34" s="2" t="n">
        <v>0.441</v>
      </c>
      <c r="Q34" s="2" t="n">
        <v>1394143</v>
      </c>
      <c r="R34" s="2" t="n">
        <v>0.7173</v>
      </c>
      <c r="S34" s="2" t="n">
        <v>0.54</v>
      </c>
      <c r="T34" s="2" t="n">
        <v>44881143707520</v>
      </c>
      <c r="U34" s="2" t="n">
        <v>1.63816174532448e+16</v>
      </c>
      <c r="V34" s="2" t="n">
        <v>6310679076092</v>
      </c>
      <c r="W34" s="2" t="inlineStr">
        <is>
          <t>Medium</t>
        </is>
      </c>
      <c r="X34" s="2" t="inlineStr">
        <is>
          <t>Fact+Scenario</t>
        </is>
      </c>
      <c r="Y34" s="2" t="inlineStr">
        <is>
          <t>SRC_QWEN3_GITHUB</t>
        </is>
      </c>
      <c r="Z34" s="2" t="inlineStr">
        <is>
          <t>ASSUMP_MOE_EFFICIENCY; ASSUMP_CN_CAPACITY_TRANSPARENCY; ASSUMP_INFERENCE_SHARE_NOT_FACT_60</t>
        </is>
      </c>
    </row>
    <row r="35">
      <c r="A35" s="2" t="inlineStr">
        <is>
          <t>Bear</t>
        </is>
      </c>
      <c r="B35" s="2" t="inlineStr">
        <is>
          <t>Alibaba</t>
        </is>
      </c>
      <c r="C35" s="2" t="inlineStr">
        <is>
          <t>China</t>
        </is>
      </c>
      <c r="D35" s="2" t="inlineStr">
        <is>
          <t>Qwen / Qwen3</t>
        </is>
      </c>
      <c r="E35" s="2" t="inlineStr">
        <is>
          <t>Model Studio + Qwen API</t>
        </is>
      </c>
      <c r="F35" s="2" t="n">
        <v>2029</v>
      </c>
      <c r="G35" s="2" t="n">
        <v>3.45</v>
      </c>
      <c r="H35" s="2" t="n">
        <v>2.152</v>
      </c>
      <c r="I35" s="2" t="n">
        <v>1.23</v>
      </c>
      <c r="J35" s="2" t="n">
        <v>1.75</v>
      </c>
      <c r="K35" s="2" t="n">
        <v>0.84</v>
      </c>
      <c r="L35" s="2" t="n">
        <v>1.47</v>
      </c>
      <c r="M35" s="2" t="n">
        <v>0.345</v>
      </c>
      <c r="N35" s="2" t="n">
        <v>0.655</v>
      </c>
      <c r="O35" s="2" t="n">
        <v>0.963</v>
      </c>
      <c r="P35" s="2" t="n">
        <v>0.507</v>
      </c>
      <c r="Q35" s="2" t="n">
        <v>1631147</v>
      </c>
      <c r="R35" s="2" t="n">
        <v>0.6131</v>
      </c>
      <c r="S35" s="2" t="n">
        <v>0.576</v>
      </c>
      <c r="T35" s="2" t="n">
        <v>78172790440550</v>
      </c>
      <c r="U35" s="2" t="n">
        <v>2.853306851080089e+16</v>
      </c>
      <c r="V35" s="2" t="n">
        <v>9054406070342</v>
      </c>
      <c r="W35" s="2" t="inlineStr">
        <is>
          <t>Medium</t>
        </is>
      </c>
      <c r="X35" s="2" t="inlineStr">
        <is>
          <t>Fact+Scenario</t>
        </is>
      </c>
      <c r="Y35" s="2" t="inlineStr">
        <is>
          <t>SRC_QWEN3_GITHUB</t>
        </is>
      </c>
      <c r="Z35" s="2" t="inlineStr">
        <is>
          <t>ASSUMP_MOE_EFFICIENCY; ASSUMP_CN_CAPACITY_TRANSPARENCY; ASSUMP_INFERENCE_SHARE_NOT_FACT_60</t>
        </is>
      </c>
    </row>
    <row r="36">
      <c r="A36" s="2" t="inlineStr">
        <is>
          <t>Bear</t>
        </is>
      </c>
      <c r="B36" s="2" t="inlineStr">
        <is>
          <t>Alibaba</t>
        </is>
      </c>
      <c r="C36" s="2" t="inlineStr">
        <is>
          <t>China</t>
        </is>
      </c>
      <c r="D36" s="2" t="inlineStr">
        <is>
          <t>Qwen / Qwen3</t>
        </is>
      </c>
      <c r="E36" s="2" t="inlineStr">
        <is>
          <t>Model Studio + Qwen API</t>
        </is>
      </c>
      <c r="F36" s="2" t="n">
        <v>2030</v>
      </c>
      <c r="G36" s="2" t="n">
        <v>4</v>
      </c>
      <c r="H36" s="2" t="n">
        <v>2.624</v>
      </c>
      <c r="I36" s="2" t="n">
        <v>1.23</v>
      </c>
      <c r="J36" s="2" t="n">
        <v>2.133</v>
      </c>
      <c r="K36" s="2" t="n">
        <v>0.84</v>
      </c>
      <c r="L36" s="2" t="n">
        <v>1.792</v>
      </c>
      <c r="M36" s="2" t="n">
        <v>0.3</v>
      </c>
      <c r="N36" s="2" t="n">
        <v>0.7</v>
      </c>
      <c r="O36" s="2" t="n">
        <v>1.254</v>
      </c>
      <c r="P36" s="2" t="n">
        <v>0.538</v>
      </c>
      <c r="Q36" s="2" t="n">
        <v>1908442</v>
      </c>
      <c r="R36" s="2" t="n">
        <v>0.524</v>
      </c>
      <c r="S36" s="2" t="n">
        <v>0.612</v>
      </c>
      <c r="T36" s="2" t="n">
        <v>126544031655782</v>
      </c>
      <c r="U36" s="2" t="n">
        <v>4.618857155436058e+16</v>
      </c>
      <c r="V36" s="2" t="n">
        <v>11943980531721</v>
      </c>
      <c r="W36" s="2" t="inlineStr">
        <is>
          <t>Medium</t>
        </is>
      </c>
      <c r="X36" s="2" t="inlineStr">
        <is>
          <t>Fact+Scenario</t>
        </is>
      </c>
      <c r="Y36" s="2" t="inlineStr">
        <is>
          <t>SRC_QWEN3_GITHUB</t>
        </is>
      </c>
      <c r="Z36" s="2" t="inlineStr">
        <is>
          <t>ASSUMP_MOE_EFFICIENCY; ASSUMP_CN_CAPACITY_TRANSPARENCY; ASSUMP_INFERENCE_SHARE_NOT_FACT_60</t>
        </is>
      </c>
    </row>
    <row r="37">
      <c r="A37" s="2" t="inlineStr">
        <is>
          <t>Bear</t>
        </is>
      </c>
      <c r="B37" s="2" t="inlineStr">
        <is>
          <t>Tencent</t>
        </is>
      </c>
      <c r="C37" s="2" t="inlineStr">
        <is>
          <t>China</t>
        </is>
      </c>
      <c r="D37" s="2" t="inlineStr">
        <is>
          <t>Hunyuan / Yuanbao</t>
        </is>
      </c>
      <c r="E37" s="2" t="inlineStr">
        <is>
          <t>Yuanbao + WeChat/Tencent Cloud</t>
        </is>
      </c>
      <c r="F37" s="2" t="n">
        <v>2026</v>
      </c>
      <c r="G37" s="2" t="n">
        <v>1.2</v>
      </c>
      <c r="H37" s="2" t="n">
        <v>0.405</v>
      </c>
      <c r="I37" s="2" t="n">
        <v>1.23</v>
      </c>
      <c r="J37" s="2" t="n">
        <v>0.329</v>
      </c>
      <c r="K37" s="2" t="n">
        <v>0.84</v>
      </c>
      <c r="L37" s="2" t="n">
        <v>0.277</v>
      </c>
      <c r="M37" s="2" t="n">
        <v>0.48</v>
      </c>
      <c r="N37" s="2" t="n">
        <v>0.52</v>
      </c>
      <c r="O37" s="2" t="n">
        <v>0.144</v>
      </c>
      <c r="P37" s="2" t="n">
        <v>0.133</v>
      </c>
      <c r="Q37" s="2" t="n">
        <v>984000</v>
      </c>
      <c r="R37" s="2" t="n">
        <v>1.0163</v>
      </c>
      <c r="S37" s="2" t="n">
        <v>0.468</v>
      </c>
      <c r="T37" s="2" t="n">
        <v>5729506099200</v>
      </c>
      <c r="U37" s="2" t="n">
        <v>2091269726208000</v>
      </c>
      <c r="V37" s="2" t="n">
        <v>1164203808768</v>
      </c>
      <c r="W37" s="2" t="inlineStr">
        <is>
          <t>Medium-Low</t>
        </is>
      </c>
      <c r="X37" s="2" t="inlineStr">
        <is>
          <t>Estimate+Scenario</t>
        </is>
      </c>
      <c r="Y37" s="2" t="inlineStr">
        <is>
          <t>SRC_TENCENT_HUNYUAN; SRC_TENCENT_HY3</t>
        </is>
      </c>
      <c r="Z37" s="2" t="inlineStr">
        <is>
          <t>ASSUMP_CN_CAPACITY_TRANSPARENCY; ASSUMP_APP_EMBEDDING; ASSUMP_INFERENCE_SHARE_NOT_FACT_60</t>
        </is>
      </c>
    </row>
    <row r="38">
      <c r="A38" s="2" t="inlineStr">
        <is>
          <t>Bear</t>
        </is>
      </c>
      <c r="B38" s="2" t="inlineStr">
        <is>
          <t>Tencent</t>
        </is>
      </c>
      <c r="C38" s="2" t="inlineStr">
        <is>
          <t>China</t>
        </is>
      </c>
      <c r="D38" s="2" t="inlineStr">
        <is>
          <t>Hunyuan / Yuanbao</t>
        </is>
      </c>
      <c r="E38" s="2" t="inlineStr">
        <is>
          <t>Yuanbao + WeChat/Tencent Cloud</t>
        </is>
      </c>
      <c r="F38" s="2" t="n">
        <v>2027</v>
      </c>
      <c r="G38" s="2" t="n">
        <v>1.65</v>
      </c>
      <c r="H38" s="2" t="n">
        <v>0.825</v>
      </c>
      <c r="I38" s="2" t="n">
        <v>1.23</v>
      </c>
      <c r="J38" s="2" t="n">
        <v>0.671</v>
      </c>
      <c r="K38" s="2" t="n">
        <v>0.84</v>
      </c>
      <c r="L38" s="2" t="n">
        <v>0.5629999999999999</v>
      </c>
      <c r="M38" s="2" t="n">
        <v>0.435</v>
      </c>
      <c r="N38" s="2" t="n">
        <v>0.5649999999999999</v>
      </c>
      <c r="O38" s="2" t="n">
        <v>0.318</v>
      </c>
      <c r="P38" s="2" t="n">
        <v>0.245</v>
      </c>
      <c r="Q38" s="2" t="n">
        <v>1141440</v>
      </c>
      <c r="R38" s="2" t="n">
        <v>0.8761</v>
      </c>
      <c r="S38" s="2" t="n">
        <v>0.504</v>
      </c>
      <c r="T38" s="2" t="n">
        <v>15806091313152</v>
      </c>
      <c r="U38" s="2" t="n">
        <v>5769223329300480</v>
      </c>
      <c r="V38" s="2" t="n">
        <v>2679082772890</v>
      </c>
      <c r="W38" s="2" t="inlineStr">
        <is>
          <t>Medium-Low</t>
        </is>
      </c>
      <c r="X38" s="2" t="inlineStr">
        <is>
          <t>Estimate+Scenario</t>
        </is>
      </c>
      <c r="Y38" s="2" t="inlineStr">
        <is>
          <t>SRC_TENCENT_HUNYUAN; SRC_TENCENT_HY3</t>
        </is>
      </c>
      <c r="Z38" s="2" t="inlineStr">
        <is>
          <t>ASSUMP_CN_CAPACITY_TRANSPARENCY; ASSUMP_APP_EMBEDDING; ASSUMP_INFERENCE_SHARE_NOT_FACT_60</t>
        </is>
      </c>
    </row>
    <row r="39">
      <c r="A39" s="2" t="inlineStr">
        <is>
          <t>Bear</t>
        </is>
      </c>
      <c r="B39" s="2" t="inlineStr">
        <is>
          <t>Tencent</t>
        </is>
      </c>
      <c r="C39" s="2" t="inlineStr">
        <is>
          <t>China</t>
        </is>
      </c>
      <c r="D39" s="2" t="inlineStr">
        <is>
          <t>Hunyuan / Yuanbao</t>
        </is>
      </c>
      <c r="E39" s="2" t="inlineStr">
        <is>
          <t>Yuanbao + WeChat/Tencent Cloud</t>
        </is>
      </c>
      <c r="F39" s="2" t="n">
        <v>2028</v>
      </c>
      <c r="G39" s="2" t="n">
        <v>2.1</v>
      </c>
      <c r="H39" s="2" t="n">
        <v>1.226</v>
      </c>
      <c r="I39" s="2" t="n">
        <v>1.23</v>
      </c>
      <c r="J39" s="2" t="n">
        <v>0.996</v>
      </c>
      <c r="K39" s="2" t="n">
        <v>0.84</v>
      </c>
      <c r="L39" s="2" t="n">
        <v>0.837</v>
      </c>
      <c r="M39" s="2" t="n">
        <v>0.39</v>
      </c>
      <c r="N39" s="2" t="n">
        <v>0.61</v>
      </c>
      <c r="O39" s="2" t="n">
        <v>0.511</v>
      </c>
      <c r="P39" s="2" t="n">
        <v>0.326</v>
      </c>
      <c r="Q39" s="2" t="n">
        <v>1324070</v>
      </c>
      <c r="R39" s="2" t="n">
        <v>0.7552</v>
      </c>
      <c r="S39" s="2" t="n">
        <v>0.54</v>
      </c>
      <c r="T39" s="2" t="n">
        <v>31567438869120</v>
      </c>
      <c r="U39" s="2" t="n">
        <v>1.15221151872288e+16</v>
      </c>
      <c r="V39" s="2" t="n">
        <v>4430561087462</v>
      </c>
      <c r="W39" s="2" t="inlineStr">
        <is>
          <t>Medium-Low</t>
        </is>
      </c>
      <c r="X39" s="2" t="inlineStr">
        <is>
          <t>Estimate+Scenario</t>
        </is>
      </c>
      <c r="Y39" s="2" t="inlineStr">
        <is>
          <t>SRC_TENCENT_HUNYUAN; SRC_TENCENT_HY3</t>
        </is>
      </c>
      <c r="Z39" s="2" t="inlineStr">
        <is>
          <t>ASSUMP_CN_CAPACITY_TRANSPARENCY; ASSUMP_APP_EMBEDDING; ASSUMP_INFERENCE_SHARE_NOT_FACT_60</t>
        </is>
      </c>
    </row>
    <row r="40">
      <c r="A40" s="2" t="inlineStr">
        <is>
          <t>Bear</t>
        </is>
      </c>
      <c r="B40" s="2" t="inlineStr">
        <is>
          <t>Tencent</t>
        </is>
      </c>
      <c r="C40" s="2" t="inlineStr">
        <is>
          <t>China</t>
        </is>
      </c>
      <c r="D40" s="2" t="inlineStr">
        <is>
          <t>Hunyuan / Yuanbao</t>
        </is>
      </c>
      <c r="E40" s="2" t="inlineStr">
        <is>
          <t>Yuanbao + WeChat/Tencent Cloud</t>
        </is>
      </c>
      <c r="F40" s="2" t="n">
        <v>2029</v>
      </c>
      <c r="G40" s="2" t="n">
        <v>2.55</v>
      </c>
      <c r="H40" s="2" t="n">
        <v>1.606</v>
      </c>
      <c r="I40" s="2" t="n">
        <v>1.23</v>
      </c>
      <c r="J40" s="2" t="n">
        <v>1.306</v>
      </c>
      <c r="K40" s="2" t="n">
        <v>0.84</v>
      </c>
      <c r="L40" s="2" t="n">
        <v>1.097</v>
      </c>
      <c r="M40" s="2" t="n">
        <v>0.345</v>
      </c>
      <c r="N40" s="2" t="n">
        <v>0.655</v>
      </c>
      <c r="O40" s="2" t="n">
        <v>0.719</v>
      </c>
      <c r="P40" s="2" t="n">
        <v>0.379</v>
      </c>
      <c r="Q40" s="2" t="n">
        <v>1535922</v>
      </c>
      <c r="R40" s="2" t="n">
        <v>0.6511</v>
      </c>
      <c r="S40" s="2" t="n">
        <v>0.576</v>
      </c>
      <c r="T40" s="2" t="n">
        <v>54958424898355</v>
      </c>
      <c r="U40" s="2" t="n">
        <v>2.005982508789965e+16</v>
      </c>
      <c r="V40" s="2" t="n">
        <v>6373342792802</v>
      </c>
      <c r="W40" s="2" t="inlineStr">
        <is>
          <t>Medium-Low</t>
        </is>
      </c>
      <c r="X40" s="2" t="inlineStr">
        <is>
          <t>Estimate+Scenario</t>
        </is>
      </c>
      <c r="Y40" s="2" t="inlineStr">
        <is>
          <t>SRC_TENCENT_HUNYUAN; SRC_TENCENT_HY3</t>
        </is>
      </c>
      <c r="Z40" s="2" t="inlineStr">
        <is>
          <t>ASSUMP_CN_CAPACITY_TRANSPARENCY; ASSUMP_APP_EMBEDDING; ASSUMP_INFERENCE_SHARE_NOT_FACT_60</t>
        </is>
      </c>
    </row>
    <row r="41">
      <c r="A41" s="2" t="inlineStr">
        <is>
          <t>Bear</t>
        </is>
      </c>
      <c r="B41" s="2" t="inlineStr">
        <is>
          <t>Tencent</t>
        </is>
      </c>
      <c r="C41" s="2" t="inlineStr">
        <is>
          <t>China</t>
        </is>
      </c>
      <c r="D41" s="2" t="inlineStr">
        <is>
          <t>Hunyuan / Yuanbao</t>
        </is>
      </c>
      <c r="E41" s="2" t="inlineStr">
        <is>
          <t>Yuanbao + WeChat/Tencent Cloud</t>
        </is>
      </c>
      <c r="F41" s="2" t="n">
        <v>2030</v>
      </c>
      <c r="G41" s="2" t="n">
        <v>3</v>
      </c>
      <c r="H41" s="2" t="n">
        <v>1.968</v>
      </c>
      <c r="I41" s="2" t="n">
        <v>1.23</v>
      </c>
      <c r="J41" s="2" t="n">
        <v>1.6</v>
      </c>
      <c r="K41" s="2" t="n">
        <v>0.84</v>
      </c>
      <c r="L41" s="2" t="n">
        <v>1.344</v>
      </c>
      <c r="M41" s="2" t="n">
        <v>0.3</v>
      </c>
      <c r="N41" s="2" t="n">
        <v>0.7</v>
      </c>
      <c r="O41" s="2" t="n">
        <v>0.9409999999999999</v>
      </c>
      <c r="P41" s="2" t="n">
        <v>0.403</v>
      </c>
      <c r="Q41" s="2" t="n">
        <v>1781669</v>
      </c>
      <c r="R41" s="2" t="n">
        <v>0.5613</v>
      </c>
      <c r="S41" s="2" t="n">
        <v>0.612</v>
      </c>
      <c r="T41" s="2" t="n">
        <v>88650627011827</v>
      </c>
      <c r="U41" s="2" t="n">
        <v>3.235747885931693e+16</v>
      </c>
      <c r="V41" s="2" t="n">
        <v>8352565983920</v>
      </c>
      <c r="W41" s="2" t="inlineStr">
        <is>
          <t>Medium-Low</t>
        </is>
      </c>
      <c r="X41" s="2" t="inlineStr">
        <is>
          <t>Estimate+Scenario</t>
        </is>
      </c>
      <c r="Y41" s="2" t="inlineStr">
        <is>
          <t>SRC_TENCENT_HUNYUAN; SRC_TENCENT_HY3</t>
        </is>
      </c>
      <c r="Z41" s="2" t="inlineStr">
        <is>
          <t>ASSUMP_CN_CAPACITY_TRANSPARENCY; ASSUMP_APP_EMBEDDING; ASSUMP_INFERENCE_SHARE_NOT_FACT_60</t>
        </is>
      </c>
    </row>
    <row r="42">
      <c r="A42" s="2" t="inlineStr">
        <is>
          <t>Base</t>
        </is>
      </c>
      <c r="B42" s="2" t="inlineStr">
        <is>
          <t>Microsoft</t>
        </is>
      </c>
      <c r="C42" s="2" t="inlineStr">
        <is>
          <t>US</t>
        </is>
      </c>
      <c r="D42" s="2" t="inlineStr">
        <is>
          <t>Phi / MAI / Copilot model mix</t>
        </is>
      </c>
      <c r="E42" s="2" t="inlineStr">
        <is>
          <t>Copilot + Azure AI</t>
        </is>
      </c>
      <c r="F42" s="2" t="n">
        <v>2026</v>
      </c>
      <c r="G42" s="2" t="n">
        <v>4</v>
      </c>
      <c r="H42" s="2" t="n">
        <v>1.8</v>
      </c>
      <c r="I42" s="2" t="n">
        <v>1.2</v>
      </c>
      <c r="J42" s="2" t="n">
        <v>1.5</v>
      </c>
      <c r="K42" s="2" t="n">
        <v>0.86</v>
      </c>
      <c r="L42" s="2" t="n">
        <v>1.29</v>
      </c>
      <c r="M42" s="2" t="n">
        <v>0.45</v>
      </c>
      <c r="N42" s="2" t="n">
        <v>0.55</v>
      </c>
      <c r="O42" s="2" t="n">
        <v>0.71</v>
      </c>
      <c r="P42" s="2" t="n">
        <v>0.58</v>
      </c>
      <c r="Q42" s="2" t="n">
        <v>1050000</v>
      </c>
      <c r="R42" s="2" t="n">
        <v>0.9524</v>
      </c>
      <c r="S42" s="2" t="n">
        <v>0.54</v>
      </c>
      <c r="T42" s="2" t="n">
        <v>34782048000000</v>
      </c>
      <c r="U42" s="2" t="n">
        <v>1.269544752e+16</v>
      </c>
      <c r="V42" s="2" t="n">
        <v>6250970880000</v>
      </c>
      <c r="W42" s="2" t="inlineStr">
        <is>
          <t>Medium</t>
        </is>
      </c>
      <c r="X42" s="2" t="inlineStr">
        <is>
          <t>Estimate+Scenario</t>
        </is>
      </c>
      <c r="Y42" s="2" t="inlineStr">
        <is>
          <t>SRC_MS_PHI; SRC_OPENAI_GPT41_DOCS; SRC_MS_PHI4_TECHREPORT</t>
        </is>
      </c>
      <c r="Z42" s="2" t="inlineStr">
        <is>
          <t>ASSUMP_POWER_RAMP; ASSUMP_MS_OPENAI_ATTRIBUTION; ASSUMP_INFERENCE_SHARE_NOT_FACT_60</t>
        </is>
      </c>
    </row>
    <row r="43">
      <c r="A43" s="2" t="inlineStr">
        <is>
          <t>Base</t>
        </is>
      </c>
      <c r="B43" s="2" t="inlineStr">
        <is>
          <t>Microsoft</t>
        </is>
      </c>
      <c r="C43" s="2" t="inlineStr">
        <is>
          <t>US</t>
        </is>
      </c>
      <c r="D43" s="2" t="inlineStr">
        <is>
          <t>Phi / MAI / Copilot model mix</t>
        </is>
      </c>
      <c r="E43" s="2" t="inlineStr">
        <is>
          <t>Copilot + Azure AI</t>
        </is>
      </c>
      <c r="F43" s="2" t="n">
        <v>2027</v>
      </c>
      <c r="G43" s="2" t="n">
        <v>5.25</v>
      </c>
      <c r="H43" s="2" t="n">
        <v>2.9</v>
      </c>
      <c r="I43" s="2" t="n">
        <v>1.2</v>
      </c>
      <c r="J43" s="2" t="n">
        <v>2.417</v>
      </c>
      <c r="K43" s="2" t="n">
        <v>0.86</v>
      </c>
      <c r="L43" s="2" t="n">
        <v>2.078</v>
      </c>
      <c r="M43" s="2" t="n">
        <v>0.4</v>
      </c>
      <c r="N43" s="2" t="n">
        <v>0.6</v>
      </c>
      <c r="O43" s="2" t="n">
        <v>1.247</v>
      </c>
      <c r="P43" s="2" t="n">
        <v>0.831</v>
      </c>
      <c r="Q43" s="2" t="n">
        <v>1218000</v>
      </c>
      <c r="R43" s="2" t="n">
        <v>0.821</v>
      </c>
      <c r="S43" s="2" t="n">
        <v>0.575</v>
      </c>
      <c r="T43" s="2" t="n">
        <v>75456269280000</v>
      </c>
      <c r="U43" s="2" t="n">
        <v>2.75415382872e+16</v>
      </c>
      <c r="V43" s="2" t="n">
        <v>11062482076800</v>
      </c>
      <c r="W43" s="2" t="inlineStr">
        <is>
          <t>Medium</t>
        </is>
      </c>
      <c r="X43" s="2" t="inlineStr">
        <is>
          <t>Estimate+Scenario</t>
        </is>
      </c>
      <c r="Y43" s="2" t="inlineStr">
        <is>
          <t>SRC_MS_PHI; SRC_OPENAI_GPT41_DOCS; SRC_MS_PHI4_TECHREPORT</t>
        </is>
      </c>
      <c r="Z43" s="2" t="inlineStr">
        <is>
          <t>ASSUMP_POWER_RAMP; ASSUMP_MS_OPENAI_ATTRIBUTION; ASSUMP_INFERENCE_SHARE_NOT_FACT_60</t>
        </is>
      </c>
    </row>
    <row r="44">
      <c r="A44" s="2" t="inlineStr">
        <is>
          <t>Base</t>
        </is>
      </c>
      <c r="B44" s="2" t="inlineStr">
        <is>
          <t>Microsoft</t>
        </is>
      </c>
      <c r="C44" s="2" t="inlineStr">
        <is>
          <t>US</t>
        </is>
      </c>
      <c r="D44" s="2" t="inlineStr">
        <is>
          <t>Phi / MAI / Copilot model mix</t>
        </is>
      </c>
      <c r="E44" s="2" t="inlineStr">
        <is>
          <t>Copilot + Azure AI</t>
        </is>
      </c>
      <c r="F44" s="2" t="n">
        <v>2028</v>
      </c>
      <c r="G44" s="2" t="n">
        <v>6.5</v>
      </c>
      <c r="H44" s="2" t="n">
        <v>4</v>
      </c>
      <c r="I44" s="2" t="n">
        <v>1.2</v>
      </c>
      <c r="J44" s="2" t="n">
        <v>3.333</v>
      </c>
      <c r="K44" s="2" t="n">
        <v>0.86</v>
      </c>
      <c r="L44" s="2" t="n">
        <v>2.867</v>
      </c>
      <c r="M44" s="2" t="n">
        <v>0.35</v>
      </c>
      <c r="N44" s="2" t="n">
        <v>0.65</v>
      </c>
      <c r="O44" s="2" t="n">
        <v>1.863</v>
      </c>
      <c r="P44" s="2" t="n">
        <v>1.003</v>
      </c>
      <c r="Q44" s="2" t="n">
        <v>1412880</v>
      </c>
      <c r="R44" s="2" t="n">
        <v>0.7078</v>
      </c>
      <c r="S44" s="2" t="n">
        <v>0.61</v>
      </c>
      <c r="T44" s="2" t="n">
        <v>138727228469760</v>
      </c>
      <c r="U44" s="2" t="n">
        <v>5.063543839146239e+16</v>
      </c>
      <c r="V44" s="2" t="n">
        <v>16431320576563</v>
      </c>
      <c r="W44" s="2" t="inlineStr">
        <is>
          <t>Medium</t>
        </is>
      </c>
      <c r="X44" s="2" t="inlineStr">
        <is>
          <t>Estimate+Scenario</t>
        </is>
      </c>
      <c r="Y44" s="2" t="inlineStr">
        <is>
          <t>SRC_MS_PHI; SRC_OPENAI_GPT41_DOCS; SRC_MS_PHI4_TECHREPORT</t>
        </is>
      </c>
      <c r="Z44" s="2" t="inlineStr">
        <is>
          <t>ASSUMP_POWER_RAMP; ASSUMP_MS_OPENAI_ATTRIBUTION; ASSUMP_INFERENCE_SHARE_NOT_FACT_60</t>
        </is>
      </c>
    </row>
    <row r="45">
      <c r="A45" s="2" t="inlineStr">
        <is>
          <t>Base</t>
        </is>
      </c>
      <c r="B45" s="2" t="inlineStr">
        <is>
          <t>Microsoft</t>
        </is>
      </c>
      <c r="C45" s="2" t="inlineStr">
        <is>
          <t>US</t>
        </is>
      </c>
      <c r="D45" s="2" t="inlineStr">
        <is>
          <t>Phi / MAI / Copilot model mix</t>
        </is>
      </c>
      <c r="E45" s="2" t="inlineStr">
        <is>
          <t>Copilot + Azure AI</t>
        </is>
      </c>
      <c r="F45" s="2" t="n">
        <v>2029</v>
      </c>
      <c r="G45" s="2" t="n">
        <v>7.75</v>
      </c>
      <c r="H45" s="2" t="n">
        <v>5.1</v>
      </c>
      <c r="I45" s="2" t="n">
        <v>1.2</v>
      </c>
      <c r="J45" s="2" t="n">
        <v>4.25</v>
      </c>
      <c r="K45" s="2" t="n">
        <v>0.86</v>
      </c>
      <c r="L45" s="2" t="n">
        <v>3.655</v>
      </c>
      <c r="M45" s="2" t="n">
        <v>0.3</v>
      </c>
      <c r="N45" s="2" t="n">
        <v>0.7</v>
      </c>
      <c r="O45" s="2" t="n">
        <v>2.559</v>
      </c>
      <c r="P45" s="2" t="n">
        <v>1.097</v>
      </c>
      <c r="Q45" s="2" t="n">
        <v>1638941</v>
      </c>
      <c r="R45" s="2" t="n">
        <v>0.6102</v>
      </c>
      <c r="S45" s="2" t="n">
        <v>0.645</v>
      </c>
      <c r="T45" s="2" t="n">
        <v>233726019458832</v>
      </c>
      <c r="U45" s="2" t="n">
        <v>8.530999710247368e+16</v>
      </c>
      <c r="V45" s="2" t="n">
        <v>22042765742944</v>
      </c>
      <c r="W45" s="2" t="inlineStr">
        <is>
          <t>Medium</t>
        </is>
      </c>
      <c r="X45" s="2" t="inlineStr">
        <is>
          <t>Estimate+Scenario</t>
        </is>
      </c>
      <c r="Y45" s="2" t="inlineStr">
        <is>
          <t>SRC_MS_PHI; SRC_OPENAI_GPT41_DOCS; SRC_MS_PHI4_TECHREPORT</t>
        </is>
      </c>
      <c r="Z45" s="2" t="inlineStr">
        <is>
          <t>ASSUMP_POWER_RAMP; ASSUMP_MS_OPENAI_ATTRIBUTION; ASSUMP_INFERENCE_SHARE_NOT_FACT_60</t>
        </is>
      </c>
    </row>
    <row r="46">
      <c r="A46" s="2" t="inlineStr">
        <is>
          <t>Base</t>
        </is>
      </c>
      <c r="B46" s="2" t="inlineStr">
        <is>
          <t>Microsoft</t>
        </is>
      </c>
      <c r="C46" s="2" t="inlineStr">
        <is>
          <t>US</t>
        </is>
      </c>
      <c r="D46" s="2" t="inlineStr">
        <is>
          <t>Phi / MAI / Copilot model mix</t>
        </is>
      </c>
      <c r="E46" s="2" t="inlineStr">
        <is>
          <t>Copilot + Azure AI</t>
        </is>
      </c>
      <c r="F46" s="2" t="n">
        <v>2030</v>
      </c>
      <c r="G46" s="2" t="n">
        <v>9</v>
      </c>
      <c r="H46" s="2" t="n">
        <v>6.2</v>
      </c>
      <c r="I46" s="2" t="n">
        <v>1.2</v>
      </c>
      <c r="J46" s="2" t="n">
        <v>5.167</v>
      </c>
      <c r="K46" s="2" t="n">
        <v>0.86</v>
      </c>
      <c r="L46" s="2" t="n">
        <v>4.443</v>
      </c>
      <c r="M46" s="2" t="n">
        <v>0.25</v>
      </c>
      <c r="N46" s="2" t="n">
        <v>0.75</v>
      </c>
      <c r="O46" s="2" t="n">
        <v>3.333</v>
      </c>
      <c r="P46" s="2" t="n">
        <v>1.111</v>
      </c>
      <c r="Q46" s="2" t="n">
        <v>1901171</v>
      </c>
      <c r="R46" s="2" t="n">
        <v>0.526</v>
      </c>
      <c r="S46" s="2" t="n">
        <v>0.68</v>
      </c>
      <c r="T46" s="2" t="n">
        <v>372288096107136</v>
      </c>
      <c r="U46" s="2" t="n">
        <v>1.358851550791047e+17</v>
      </c>
      <c r="V46" s="2" t="n">
        <v>27301127047857</v>
      </c>
      <c r="W46" s="2" t="inlineStr">
        <is>
          <t>Medium</t>
        </is>
      </c>
      <c r="X46" s="2" t="inlineStr">
        <is>
          <t>Estimate+Scenario</t>
        </is>
      </c>
      <c r="Y46" s="2" t="inlineStr">
        <is>
          <t>SRC_MS_PHI; SRC_OPENAI_GPT41_DOCS; SRC_MS_PHI4_TECHREPORT</t>
        </is>
      </c>
      <c r="Z46" s="2" t="inlineStr">
        <is>
          <t>ASSUMP_POWER_RAMP; ASSUMP_MS_OPENAI_ATTRIBUTION; ASSUMP_INFERENCE_SHARE_NOT_FACT_60</t>
        </is>
      </c>
    </row>
    <row r="47">
      <c r="A47" s="2" t="inlineStr">
        <is>
          <t>Base</t>
        </is>
      </c>
      <c r="B47" s="2" t="inlineStr">
        <is>
          <t>Google</t>
        </is>
      </c>
      <c r="C47" s="2" t="inlineStr">
        <is>
          <t>US</t>
        </is>
      </c>
      <c r="D47" s="2" t="inlineStr">
        <is>
          <t>Gemini / Gemma</t>
        </is>
      </c>
      <c r="E47" s="2" t="inlineStr">
        <is>
          <t>Gemini + Workspace + Vertex</t>
        </is>
      </c>
      <c r="F47" s="2" t="n">
        <v>2026</v>
      </c>
      <c r="G47" s="2" t="n">
        <v>4.5</v>
      </c>
      <c r="H47" s="2" t="n">
        <v>2.2</v>
      </c>
      <c r="I47" s="2" t="n">
        <v>1.18</v>
      </c>
      <c r="J47" s="2" t="n">
        <v>1.864</v>
      </c>
      <c r="K47" s="2" t="n">
        <v>0.88</v>
      </c>
      <c r="L47" s="2" t="n">
        <v>1.641</v>
      </c>
      <c r="M47" s="2" t="n">
        <v>0.45</v>
      </c>
      <c r="N47" s="2" t="n">
        <v>0.55</v>
      </c>
      <c r="O47" s="2" t="n">
        <v>0.902</v>
      </c>
      <c r="P47" s="2" t="n">
        <v>0.738</v>
      </c>
      <c r="Q47" s="2" t="n">
        <v>1250000</v>
      </c>
      <c r="R47" s="2" t="n">
        <v>0.8</v>
      </c>
      <c r="S47" s="2" t="n">
        <v>0.5600000000000001</v>
      </c>
      <c r="T47" s="2" t="n">
        <v>54552960000000</v>
      </c>
      <c r="U47" s="2" t="n">
        <v>1.99118304e+16</v>
      </c>
      <c r="V47" s="2" t="n">
        <v>9819532800000</v>
      </c>
      <c r="W47" s="2" t="inlineStr">
        <is>
          <t>Medium-High</t>
        </is>
      </c>
      <c r="X47" s="2" t="inlineStr">
        <is>
          <t>Estimate+Scenario</t>
        </is>
      </c>
      <c r="Y47" s="2" t="inlineStr">
        <is>
          <t>SRC_GOOGLE_GEMINI_TOKENS; SRC_GOOGLE_IRONWOOD; SRC_GOOGLE_TPU_V6E</t>
        </is>
      </c>
      <c r="Z47" s="2" t="inlineStr">
        <is>
          <t>ASSUMP_TPU_EFFICIENCY; ASSUMP_POWER_RAMP; ASSUMP_INFERENCE_SHARE_NOT_FACT_60</t>
        </is>
      </c>
    </row>
    <row r="48">
      <c r="A48" s="2" t="inlineStr">
        <is>
          <t>Base</t>
        </is>
      </c>
      <c r="B48" s="2" t="inlineStr">
        <is>
          <t>Google</t>
        </is>
      </c>
      <c r="C48" s="2" t="inlineStr">
        <is>
          <t>US</t>
        </is>
      </c>
      <c r="D48" s="2" t="inlineStr">
        <is>
          <t>Gemini / Gemma</t>
        </is>
      </c>
      <c r="E48" s="2" t="inlineStr">
        <is>
          <t>Gemini + Workspace + Vertex</t>
        </is>
      </c>
      <c r="F48" s="2" t="n">
        <v>2027</v>
      </c>
      <c r="G48" s="2" t="n">
        <v>5.375</v>
      </c>
      <c r="H48" s="2" t="n">
        <v>3.35</v>
      </c>
      <c r="I48" s="2" t="n">
        <v>1.18</v>
      </c>
      <c r="J48" s="2" t="n">
        <v>2.839</v>
      </c>
      <c r="K48" s="2" t="n">
        <v>0.88</v>
      </c>
      <c r="L48" s="2" t="n">
        <v>2.498</v>
      </c>
      <c r="M48" s="2" t="n">
        <v>0.407</v>
      </c>
      <c r="N48" s="2" t="n">
        <v>0.593</v>
      </c>
      <c r="O48" s="2" t="n">
        <v>1.48</v>
      </c>
      <c r="P48" s="2" t="n">
        <v>1.018</v>
      </c>
      <c r="Q48" s="2" t="n">
        <v>1475000</v>
      </c>
      <c r="R48" s="2" t="n">
        <v>0.678</v>
      </c>
      <c r="S48" s="2" t="n">
        <v>0.595</v>
      </c>
      <c r="T48" s="2" t="n">
        <v>112223664000000</v>
      </c>
      <c r="U48" s="2" t="n">
        <v>4.096163736e+16</v>
      </c>
      <c r="V48" s="2" t="n">
        <v>16982170128000</v>
      </c>
      <c r="W48" s="2" t="inlineStr">
        <is>
          <t>Medium-High</t>
        </is>
      </c>
      <c r="X48" s="2" t="inlineStr">
        <is>
          <t>Estimate+Scenario</t>
        </is>
      </c>
      <c r="Y48" s="2" t="inlineStr">
        <is>
          <t>SRC_GOOGLE_GEMINI_TOKENS; SRC_GOOGLE_IRONWOOD; SRC_GOOGLE_TPU_V6E</t>
        </is>
      </c>
      <c r="Z48" s="2" t="inlineStr">
        <is>
          <t>ASSUMP_TPU_EFFICIENCY; ASSUMP_POWER_RAMP; ASSUMP_INFERENCE_SHARE_NOT_FACT_60</t>
        </is>
      </c>
    </row>
    <row r="49">
      <c r="A49" s="2" t="inlineStr">
        <is>
          <t>Base</t>
        </is>
      </c>
      <c r="B49" s="2" t="inlineStr">
        <is>
          <t>Google</t>
        </is>
      </c>
      <c r="C49" s="2" t="inlineStr">
        <is>
          <t>US</t>
        </is>
      </c>
      <c r="D49" s="2" t="inlineStr">
        <is>
          <t>Gemini / Gemma</t>
        </is>
      </c>
      <c r="E49" s="2" t="inlineStr">
        <is>
          <t>Gemini + Workspace + Vertex</t>
        </is>
      </c>
      <c r="F49" s="2" t="n">
        <v>2028</v>
      </c>
      <c r="G49" s="2" t="n">
        <v>6.25</v>
      </c>
      <c r="H49" s="2" t="n">
        <v>4.5</v>
      </c>
      <c r="I49" s="2" t="n">
        <v>1.18</v>
      </c>
      <c r="J49" s="2" t="n">
        <v>3.814</v>
      </c>
      <c r="K49" s="2" t="n">
        <v>0.88</v>
      </c>
      <c r="L49" s="2" t="n">
        <v>3.356</v>
      </c>
      <c r="M49" s="2" t="n">
        <v>0.365</v>
      </c>
      <c r="N49" s="2" t="n">
        <v>0.635</v>
      </c>
      <c r="O49" s="2" t="n">
        <v>2.131</v>
      </c>
      <c r="P49" s="2" t="n">
        <v>1.225</v>
      </c>
      <c r="Q49" s="2" t="n">
        <v>1740500</v>
      </c>
      <c r="R49" s="2" t="n">
        <v>0.5745</v>
      </c>
      <c r="S49" s="2" t="n">
        <v>0.63</v>
      </c>
      <c r="T49" s="2" t="n">
        <v>201888587376000</v>
      </c>
      <c r="U49" s="2" t="n">
        <v>7.368933439224e+16</v>
      </c>
      <c r="V49" s="2" t="n">
        <v>25532132472000</v>
      </c>
      <c r="W49" s="2" t="inlineStr">
        <is>
          <t>Medium-High</t>
        </is>
      </c>
      <c r="X49" s="2" t="inlineStr">
        <is>
          <t>Estimate+Scenario</t>
        </is>
      </c>
      <c r="Y49" s="2" t="inlineStr">
        <is>
          <t>SRC_GOOGLE_GEMINI_TOKENS; SRC_GOOGLE_IRONWOOD; SRC_GOOGLE_TPU_V6E</t>
        </is>
      </c>
      <c r="Z49" s="2" t="inlineStr">
        <is>
          <t>ASSUMP_TPU_EFFICIENCY; ASSUMP_POWER_RAMP; ASSUMP_INFERENCE_SHARE_NOT_FACT_60</t>
        </is>
      </c>
    </row>
    <row r="50">
      <c r="A50" s="2" t="inlineStr">
        <is>
          <t>Base</t>
        </is>
      </c>
      <c r="B50" s="2" t="inlineStr">
        <is>
          <t>Google</t>
        </is>
      </c>
      <c r="C50" s="2" t="inlineStr">
        <is>
          <t>US</t>
        </is>
      </c>
      <c r="D50" s="2" t="inlineStr">
        <is>
          <t>Gemini / Gemma</t>
        </is>
      </c>
      <c r="E50" s="2" t="inlineStr">
        <is>
          <t>Gemini + Workspace + Vertex</t>
        </is>
      </c>
      <c r="F50" s="2" t="n">
        <v>2029</v>
      </c>
      <c r="G50" s="2" t="n">
        <v>7.125</v>
      </c>
      <c r="H50" s="2" t="n">
        <v>5.65</v>
      </c>
      <c r="I50" s="2" t="n">
        <v>1.18</v>
      </c>
      <c r="J50" s="2" t="n">
        <v>4.788</v>
      </c>
      <c r="K50" s="2" t="n">
        <v>0.88</v>
      </c>
      <c r="L50" s="2" t="n">
        <v>4.214</v>
      </c>
      <c r="M50" s="2" t="n">
        <v>0.323</v>
      </c>
      <c r="N50" s="2" t="n">
        <v>0.677</v>
      </c>
      <c r="O50" s="2" t="n">
        <v>2.855</v>
      </c>
      <c r="P50" s="2" t="n">
        <v>1.359</v>
      </c>
      <c r="Q50" s="2" t="n">
        <v>2053790</v>
      </c>
      <c r="R50" s="2" t="n">
        <v>0.4869</v>
      </c>
      <c r="S50" s="2" t="n">
        <v>0.665</v>
      </c>
      <c r="T50" s="2" t="n">
        <v>336897303775200</v>
      </c>
      <c r="U50" s="2" t="n">
        <v>1.22967515877948e+17</v>
      </c>
      <c r="V50" s="2" t="n">
        <v>35280404862595</v>
      </c>
      <c r="W50" s="2" t="inlineStr">
        <is>
          <t>Medium-High</t>
        </is>
      </c>
      <c r="X50" s="2" t="inlineStr">
        <is>
          <t>Estimate+Scenario</t>
        </is>
      </c>
      <c r="Y50" s="2" t="inlineStr">
        <is>
          <t>SRC_GOOGLE_GEMINI_TOKENS; SRC_GOOGLE_IRONWOOD; SRC_GOOGLE_TPU_V6E</t>
        </is>
      </c>
      <c r="Z50" s="2" t="inlineStr">
        <is>
          <t>ASSUMP_TPU_EFFICIENCY; ASSUMP_POWER_RAMP; ASSUMP_INFERENCE_SHARE_NOT_FACT_60</t>
        </is>
      </c>
    </row>
    <row r="51">
      <c r="A51" s="2" t="inlineStr">
        <is>
          <t>Base</t>
        </is>
      </c>
      <c r="B51" s="2" t="inlineStr">
        <is>
          <t>Google</t>
        </is>
      </c>
      <c r="C51" s="2" t="inlineStr">
        <is>
          <t>US</t>
        </is>
      </c>
      <c r="D51" s="2" t="inlineStr">
        <is>
          <t>Gemini / Gemma</t>
        </is>
      </c>
      <c r="E51" s="2" t="inlineStr">
        <is>
          <t>Gemini + Workspace + Vertex</t>
        </is>
      </c>
      <c r="F51" s="2" t="n">
        <v>2030</v>
      </c>
      <c r="G51" s="2" t="n">
        <v>8</v>
      </c>
      <c r="H51" s="2" t="n">
        <v>6.8</v>
      </c>
      <c r="I51" s="2" t="n">
        <v>1.18</v>
      </c>
      <c r="J51" s="2" t="n">
        <v>5.763</v>
      </c>
      <c r="K51" s="2" t="n">
        <v>0.88</v>
      </c>
      <c r="L51" s="2" t="n">
        <v>5.071</v>
      </c>
      <c r="M51" s="2" t="n">
        <v>0.28</v>
      </c>
      <c r="N51" s="2" t="n">
        <v>0.72</v>
      </c>
      <c r="O51" s="2" t="n">
        <v>3.651</v>
      </c>
      <c r="P51" s="2" t="n">
        <v>1.42</v>
      </c>
      <c r="Q51" s="2" t="n">
        <v>2423472</v>
      </c>
      <c r="R51" s="2" t="n">
        <v>0.4126</v>
      </c>
      <c r="S51" s="2" t="n">
        <v>0.7</v>
      </c>
      <c r="T51" s="2" t="n">
        <v>535132862530560</v>
      </c>
      <c r="U51" s="2" t="n">
        <v>1.953234948236544e+17</v>
      </c>
      <c r="V51" s="2" t="n">
        <v>45788963641344</v>
      </c>
      <c r="W51" s="2" t="inlineStr">
        <is>
          <t>Medium-High</t>
        </is>
      </c>
      <c r="X51" s="2" t="inlineStr">
        <is>
          <t>Estimate+Scenario</t>
        </is>
      </c>
      <c r="Y51" s="2" t="inlineStr">
        <is>
          <t>SRC_GOOGLE_GEMINI_TOKENS; SRC_GOOGLE_IRONWOOD; SRC_GOOGLE_TPU_V6E</t>
        </is>
      </c>
      <c r="Z51" s="2" t="inlineStr">
        <is>
          <t>ASSUMP_TPU_EFFICIENCY; ASSUMP_POWER_RAMP; ASSUMP_INFERENCE_SHARE_NOT_FACT_60</t>
        </is>
      </c>
    </row>
    <row r="52">
      <c r="A52" s="2" t="inlineStr">
        <is>
          <t>Base</t>
        </is>
      </c>
      <c r="B52" s="2" t="inlineStr">
        <is>
          <t>Meta</t>
        </is>
      </c>
      <c r="C52" s="2" t="inlineStr">
        <is>
          <t>US</t>
        </is>
      </c>
      <c r="D52" s="2" t="inlineStr">
        <is>
          <t>Llama / Meta AI</t>
        </is>
      </c>
      <c r="E52" s="2" t="inlineStr">
        <is>
          <t>Meta AI + family apps</t>
        </is>
      </c>
      <c r="F52" s="2" t="n">
        <v>2026</v>
      </c>
      <c r="G52" s="2" t="n">
        <v>3.5</v>
      </c>
      <c r="H52" s="2" t="n">
        <v>1.6</v>
      </c>
      <c r="I52" s="2" t="n">
        <v>1.2</v>
      </c>
      <c r="J52" s="2" t="n">
        <v>1.333</v>
      </c>
      <c r="K52" s="2" t="n">
        <v>0.87</v>
      </c>
      <c r="L52" s="2" t="n">
        <v>1.16</v>
      </c>
      <c r="M52" s="2" t="n">
        <v>0.42</v>
      </c>
      <c r="N52" s="2" t="n">
        <v>0.58</v>
      </c>
      <c r="O52" s="2" t="n">
        <v>0.673</v>
      </c>
      <c r="P52" s="2" t="n">
        <v>0.487</v>
      </c>
      <c r="Q52" s="2" t="n">
        <v>1120000</v>
      </c>
      <c r="R52" s="2" t="n">
        <v>0.8929</v>
      </c>
      <c r="S52" s="2" t="n">
        <v>0.55</v>
      </c>
      <c r="T52" s="2" t="n">
        <v>35818675200000</v>
      </c>
      <c r="U52" s="2" t="n">
        <v>1.3073816448e+16</v>
      </c>
      <c r="V52" s="2" t="n">
        <v>5702247936000</v>
      </c>
      <c r="W52" s="2" t="inlineStr">
        <is>
          <t>Medium</t>
        </is>
      </c>
      <c r="X52" s="2" t="inlineStr">
        <is>
          <t>Estimate+Scenario</t>
        </is>
      </c>
      <c r="Y52" s="2" t="inlineStr">
        <is>
          <t>SRC_META_LLAMA; SRC_META_LLAMA4_NVIDIA</t>
        </is>
      </c>
      <c r="Z52" s="2" t="inlineStr">
        <is>
          <t>ASSUMP_CONSUMER_AI_UTILIZATION; ASSUMP_POWER_RAMP; ASSUMP_INFERENCE_SHARE_NOT_FACT_60</t>
        </is>
      </c>
    </row>
    <row r="53">
      <c r="A53" s="2" t="inlineStr">
        <is>
          <t>Base</t>
        </is>
      </c>
      <c r="B53" s="2" t="inlineStr">
        <is>
          <t>Meta</t>
        </is>
      </c>
      <c r="C53" s="2" t="inlineStr">
        <is>
          <t>US</t>
        </is>
      </c>
      <c r="D53" s="2" t="inlineStr">
        <is>
          <t>Llama / Meta AI</t>
        </is>
      </c>
      <c r="E53" s="2" t="inlineStr">
        <is>
          <t>Meta AI + family apps</t>
        </is>
      </c>
      <c r="F53" s="2" t="n">
        <v>2027</v>
      </c>
      <c r="G53" s="2" t="n">
        <v>4.375</v>
      </c>
      <c r="H53" s="2" t="n">
        <v>2.65</v>
      </c>
      <c r="I53" s="2" t="n">
        <v>1.2</v>
      </c>
      <c r="J53" s="2" t="n">
        <v>2.208</v>
      </c>
      <c r="K53" s="2" t="n">
        <v>0.87</v>
      </c>
      <c r="L53" s="2" t="n">
        <v>1.921</v>
      </c>
      <c r="M53" s="2" t="n">
        <v>0.37</v>
      </c>
      <c r="N53" s="2" t="n">
        <v>0.63</v>
      </c>
      <c r="O53" s="2" t="n">
        <v>1.21</v>
      </c>
      <c r="P53" s="2" t="n">
        <v>0.711</v>
      </c>
      <c r="Q53" s="2" t="n">
        <v>1299200</v>
      </c>
      <c r="R53" s="2" t="n">
        <v>0.7697000000000001</v>
      </c>
      <c r="S53" s="2" t="n">
        <v>0.588</v>
      </c>
      <c r="T53" s="2" t="n">
        <v>79864256102400</v>
      </c>
      <c r="U53" s="2" t="n">
        <v>2.9150453477376e+16</v>
      </c>
      <c r="V53" s="2" t="n">
        <v>10324270197965</v>
      </c>
      <c r="W53" s="2" t="inlineStr">
        <is>
          <t>Medium</t>
        </is>
      </c>
      <c r="X53" s="2" t="inlineStr">
        <is>
          <t>Estimate+Scenario</t>
        </is>
      </c>
      <c r="Y53" s="2" t="inlineStr">
        <is>
          <t>SRC_META_LLAMA; SRC_META_LLAMA4_NVIDIA</t>
        </is>
      </c>
      <c r="Z53" s="2" t="inlineStr">
        <is>
          <t>ASSUMP_CONSUMER_AI_UTILIZATION; ASSUMP_POWER_RAMP; ASSUMP_INFERENCE_SHARE_NOT_FACT_60</t>
        </is>
      </c>
    </row>
    <row r="54">
      <c r="A54" s="2" t="inlineStr">
        <is>
          <t>Base</t>
        </is>
      </c>
      <c r="B54" s="2" t="inlineStr">
        <is>
          <t>Meta</t>
        </is>
      </c>
      <c r="C54" s="2" t="inlineStr">
        <is>
          <t>US</t>
        </is>
      </c>
      <c r="D54" s="2" t="inlineStr">
        <is>
          <t>Llama / Meta AI</t>
        </is>
      </c>
      <c r="E54" s="2" t="inlineStr">
        <is>
          <t>Meta AI + family apps</t>
        </is>
      </c>
      <c r="F54" s="2" t="n">
        <v>2028</v>
      </c>
      <c r="G54" s="2" t="n">
        <v>5.25</v>
      </c>
      <c r="H54" s="2" t="n">
        <v>3.7</v>
      </c>
      <c r="I54" s="2" t="n">
        <v>1.2</v>
      </c>
      <c r="J54" s="2" t="n">
        <v>3.083</v>
      </c>
      <c r="K54" s="2" t="n">
        <v>0.87</v>
      </c>
      <c r="L54" s="2" t="n">
        <v>2.682</v>
      </c>
      <c r="M54" s="2" t="n">
        <v>0.32</v>
      </c>
      <c r="N54" s="2" t="n">
        <v>0.68</v>
      </c>
      <c r="O54" s="2" t="n">
        <v>1.824</v>
      </c>
      <c r="P54" s="2" t="n">
        <v>0.858</v>
      </c>
      <c r="Q54" s="2" t="n">
        <v>1507072</v>
      </c>
      <c r="R54" s="2" t="n">
        <v>0.6635</v>
      </c>
      <c r="S54" s="2" t="n">
        <v>0.625</v>
      </c>
      <c r="T54" s="2" t="n">
        <v>148440563712000</v>
      </c>
      <c r="U54" s="2" t="n">
        <v>5.418080575488e+16</v>
      </c>
      <c r="V54" s="2" t="n">
        <v>15361645178880</v>
      </c>
      <c r="W54" s="2" t="inlineStr">
        <is>
          <t>Medium</t>
        </is>
      </c>
      <c r="X54" s="2" t="inlineStr">
        <is>
          <t>Estimate+Scenario</t>
        </is>
      </c>
      <c r="Y54" s="2" t="inlineStr">
        <is>
          <t>SRC_META_LLAMA; SRC_META_LLAMA4_NVIDIA</t>
        </is>
      </c>
      <c r="Z54" s="2" t="inlineStr">
        <is>
          <t>ASSUMP_CONSUMER_AI_UTILIZATION; ASSUMP_POWER_RAMP; ASSUMP_INFERENCE_SHARE_NOT_FACT_60</t>
        </is>
      </c>
    </row>
    <row r="55">
      <c r="A55" s="2" t="inlineStr">
        <is>
          <t>Base</t>
        </is>
      </c>
      <c r="B55" s="2" t="inlineStr">
        <is>
          <t>Meta</t>
        </is>
      </c>
      <c r="C55" s="2" t="inlineStr">
        <is>
          <t>US</t>
        </is>
      </c>
      <c r="D55" s="2" t="inlineStr">
        <is>
          <t>Llama / Meta AI</t>
        </is>
      </c>
      <c r="E55" s="2" t="inlineStr">
        <is>
          <t>Meta AI + family apps</t>
        </is>
      </c>
      <c r="F55" s="2" t="n">
        <v>2029</v>
      </c>
      <c r="G55" s="2" t="n">
        <v>6.125</v>
      </c>
      <c r="H55" s="2" t="n">
        <v>4.75</v>
      </c>
      <c r="I55" s="2" t="n">
        <v>1.2</v>
      </c>
      <c r="J55" s="2" t="n">
        <v>3.958</v>
      </c>
      <c r="K55" s="2" t="n">
        <v>0.87</v>
      </c>
      <c r="L55" s="2" t="n">
        <v>3.444</v>
      </c>
      <c r="M55" s="2" t="n">
        <v>0.27</v>
      </c>
      <c r="N55" s="2" t="n">
        <v>0.73</v>
      </c>
      <c r="O55" s="2" t="n">
        <v>2.514</v>
      </c>
      <c r="P55" s="2" t="n">
        <v>0.93</v>
      </c>
      <c r="Q55" s="2" t="n">
        <v>1748204</v>
      </c>
      <c r="R55" s="2" t="n">
        <v>0.572</v>
      </c>
      <c r="S55" s="2" t="n">
        <v>0.662</v>
      </c>
      <c r="T55" s="2" t="n">
        <v>251379069811661</v>
      </c>
      <c r="U55" s="2" t="n">
        <v>9.175336048125619e+16</v>
      </c>
      <c r="V55" s="2" t="n">
        <v>20458296612357</v>
      </c>
      <c r="W55" s="2" t="inlineStr">
        <is>
          <t>Medium</t>
        </is>
      </c>
      <c r="X55" s="2" t="inlineStr">
        <is>
          <t>Estimate+Scenario</t>
        </is>
      </c>
      <c r="Y55" s="2" t="inlineStr">
        <is>
          <t>SRC_META_LLAMA; SRC_META_LLAMA4_NVIDIA</t>
        </is>
      </c>
      <c r="Z55" s="2" t="inlineStr">
        <is>
          <t>ASSUMP_CONSUMER_AI_UTILIZATION; ASSUMP_POWER_RAMP; ASSUMP_INFERENCE_SHARE_NOT_FACT_60</t>
        </is>
      </c>
    </row>
    <row r="56">
      <c r="A56" s="2" t="inlineStr">
        <is>
          <t>Base</t>
        </is>
      </c>
      <c r="B56" s="2" t="inlineStr">
        <is>
          <t>Meta</t>
        </is>
      </c>
      <c r="C56" s="2" t="inlineStr">
        <is>
          <t>US</t>
        </is>
      </c>
      <c r="D56" s="2" t="inlineStr">
        <is>
          <t>Llama / Meta AI</t>
        </is>
      </c>
      <c r="E56" s="2" t="inlineStr">
        <is>
          <t>Meta AI + family apps</t>
        </is>
      </c>
      <c r="F56" s="2" t="n">
        <v>2030</v>
      </c>
      <c r="G56" s="2" t="n">
        <v>7</v>
      </c>
      <c r="H56" s="2" t="n">
        <v>5.8</v>
      </c>
      <c r="I56" s="2" t="n">
        <v>1.2</v>
      </c>
      <c r="J56" s="2" t="n">
        <v>4.833</v>
      </c>
      <c r="K56" s="2" t="n">
        <v>0.87</v>
      </c>
      <c r="L56" s="2" t="n">
        <v>4.205</v>
      </c>
      <c r="M56" s="2" t="n">
        <v>0.22</v>
      </c>
      <c r="N56" s="2" t="n">
        <v>0.78</v>
      </c>
      <c r="O56" s="2" t="n">
        <v>3.28</v>
      </c>
      <c r="P56" s="2" t="n">
        <v>0.925</v>
      </c>
      <c r="Q56" s="2" t="n">
        <v>2027916</v>
      </c>
      <c r="R56" s="2" t="n">
        <v>0.4931</v>
      </c>
      <c r="S56" s="2" t="n">
        <v>0.7</v>
      </c>
      <c r="T56" s="2" t="n">
        <v>402286619750400</v>
      </c>
      <c r="U56" s="2" t="n">
        <v>1.46834616208896e+17</v>
      </c>
      <c r="V56" s="2" t="n">
        <v>24958941194880</v>
      </c>
      <c r="W56" s="2" t="inlineStr">
        <is>
          <t>Medium</t>
        </is>
      </c>
      <c r="X56" s="2" t="inlineStr">
        <is>
          <t>Estimate+Scenario</t>
        </is>
      </c>
      <c r="Y56" s="2" t="inlineStr">
        <is>
          <t>SRC_META_LLAMA; SRC_META_LLAMA4_NVIDIA</t>
        </is>
      </c>
      <c r="Z56" s="2" t="inlineStr">
        <is>
          <t>ASSUMP_CONSUMER_AI_UTILIZATION; ASSUMP_POWER_RAMP; ASSUMP_INFERENCE_SHARE_NOT_FACT_60</t>
        </is>
      </c>
    </row>
    <row r="57">
      <c r="A57" s="2" t="inlineStr">
        <is>
          <t>Base</t>
        </is>
      </c>
      <c r="B57" s="2" t="inlineStr">
        <is>
          <t>xAI</t>
        </is>
      </c>
      <c r="C57" s="2" t="inlineStr">
        <is>
          <t>US</t>
        </is>
      </c>
      <c r="D57" s="2" t="inlineStr">
        <is>
          <t>Grok</t>
        </is>
      </c>
      <c r="E57" s="2" t="inlineStr">
        <is>
          <t>Grok + X + API</t>
        </is>
      </c>
      <c r="F57" s="2" t="n">
        <v>2026</v>
      </c>
      <c r="G57" s="2" t="n">
        <v>1</v>
      </c>
      <c r="H57" s="2" t="n">
        <v>0.35</v>
      </c>
      <c r="I57" s="2" t="n">
        <v>1.22</v>
      </c>
      <c r="J57" s="2" t="n">
        <v>0.287</v>
      </c>
      <c r="K57" s="2" t="n">
        <v>0.85</v>
      </c>
      <c r="L57" s="2" t="n">
        <v>0.244</v>
      </c>
      <c r="M57" s="2" t="n">
        <v>0.55</v>
      </c>
      <c r="N57" s="2" t="n">
        <v>0.45</v>
      </c>
      <c r="O57" s="2" t="n">
        <v>0.11</v>
      </c>
      <c r="P57" s="2" t="n">
        <v>0.134</v>
      </c>
      <c r="Q57" s="2" t="n">
        <v>950000</v>
      </c>
      <c r="R57" s="2" t="n">
        <v>1.0526</v>
      </c>
      <c r="S57" s="2" t="n">
        <v>0.5</v>
      </c>
      <c r="T57" s="2" t="n">
        <v>4514400000000</v>
      </c>
      <c r="U57" s="2" t="n">
        <v>1647756000000000</v>
      </c>
      <c r="V57" s="2" t="n">
        <v>1209859200000</v>
      </c>
      <c r="W57" s="2" t="inlineStr">
        <is>
          <t>Medium-Low</t>
        </is>
      </c>
      <c r="X57" s="2" t="inlineStr">
        <is>
          <t>Estimate+Scenario</t>
        </is>
      </c>
      <c r="Y57" s="2" t="inlineStr">
        <is>
          <t>SRC_XAI_MODELS; SRC_XAI_NVIDIA_COLOSSUS</t>
        </is>
      </c>
      <c r="Z57" s="2" t="inlineStr">
        <is>
          <t>ASSUMP_CLUSTER_RAMP; ASSUMP_CLOSED_MODEL_BAND; ASSUMP_INFERENCE_SHARE_NOT_FACT_60</t>
        </is>
      </c>
    </row>
    <row r="58">
      <c r="A58" s="2" t="inlineStr">
        <is>
          <t>Base</t>
        </is>
      </c>
      <c r="B58" s="2" t="inlineStr">
        <is>
          <t>xAI</t>
        </is>
      </c>
      <c r="C58" s="2" t="inlineStr">
        <is>
          <t>US</t>
        </is>
      </c>
      <c r="D58" s="2" t="inlineStr">
        <is>
          <t>Grok</t>
        </is>
      </c>
      <c r="E58" s="2" t="inlineStr">
        <is>
          <t>Grok + X + API</t>
        </is>
      </c>
      <c r="F58" s="2" t="n">
        <v>2027</v>
      </c>
      <c r="G58" s="2" t="n">
        <v>1.5</v>
      </c>
      <c r="H58" s="2" t="n">
        <v>0.887</v>
      </c>
      <c r="I58" s="2" t="n">
        <v>1.22</v>
      </c>
      <c r="J58" s="2" t="n">
        <v>0.727</v>
      </c>
      <c r="K58" s="2" t="n">
        <v>0.85</v>
      </c>
      <c r="L58" s="2" t="n">
        <v>0.618</v>
      </c>
      <c r="M58" s="2" t="n">
        <v>0.488</v>
      </c>
      <c r="N58" s="2" t="n">
        <v>0.512</v>
      </c>
      <c r="O58" s="2" t="n">
        <v>0.317</v>
      </c>
      <c r="P58" s="2" t="n">
        <v>0.301</v>
      </c>
      <c r="Q58" s="2" t="n">
        <v>1111500</v>
      </c>
      <c r="R58" s="2" t="n">
        <v>0.8997000000000001</v>
      </c>
      <c r="S58" s="2" t="n">
        <v>0.542</v>
      </c>
      <c r="T58" s="2" t="n">
        <v>16499916950400</v>
      </c>
      <c r="U58" s="2" t="n">
        <v>6022469686896000</v>
      </c>
      <c r="V58" s="2" t="n">
        <v>3446764985664</v>
      </c>
      <c r="W58" s="2" t="inlineStr">
        <is>
          <t>Medium-Low</t>
        </is>
      </c>
      <c r="X58" s="2" t="inlineStr">
        <is>
          <t>Estimate+Scenario</t>
        </is>
      </c>
      <c r="Y58" s="2" t="inlineStr">
        <is>
          <t>SRC_XAI_MODELS; SRC_XAI_NVIDIA_COLOSSUS</t>
        </is>
      </c>
      <c r="Z58" s="2" t="inlineStr">
        <is>
          <t>ASSUMP_CLUSTER_RAMP; ASSUMP_CLOSED_MODEL_BAND; ASSUMP_INFERENCE_SHARE_NOT_FACT_60</t>
        </is>
      </c>
    </row>
    <row r="59">
      <c r="A59" s="2" t="inlineStr">
        <is>
          <t>Base</t>
        </is>
      </c>
      <c r="B59" s="2" t="inlineStr">
        <is>
          <t>xAI</t>
        </is>
      </c>
      <c r="C59" s="2" t="inlineStr">
        <is>
          <t>US</t>
        </is>
      </c>
      <c r="D59" s="2" t="inlineStr">
        <is>
          <t>Grok</t>
        </is>
      </c>
      <c r="E59" s="2" t="inlineStr">
        <is>
          <t>Grok + X + API</t>
        </is>
      </c>
      <c r="F59" s="2" t="n">
        <v>2028</v>
      </c>
      <c r="G59" s="2" t="n">
        <v>2</v>
      </c>
      <c r="H59" s="2" t="n">
        <v>1.425</v>
      </c>
      <c r="I59" s="2" t="n">
        <v>1.22</v>
      </c>
      <c r="J59" s="2" t="n">
        <v>1.168</v>
      </c>
      <c r="K59" s="2" t="n">
        <v>0.85</v>
      </c>
      <c r="L59" s="2" t="n">
        <v>0.993</v>
      </c>
      <c r="M59" s="2" t="n">
        <v>0.425</v>
      </c>
      <c r="N59" s="2" t="n">
        <v>0.575</v>
      </c>
      <c r="O59" s="2" t="n">
        <v>0.571</v>
      </c>
      <c r="P59" s="2" t="n">
        <v>0.422</v>
      </c>
      <c r="Q59" s="2" t="n">
        <v>1300455</v>
      </c>
      <c r="R59" s="2" t="n">
        <v>0.769</v>
      </c>
      <c r="S59" s="2" t="n">
        <v>0.585</v>
      </c>
      <c r="T59" s="2" t="n">
        <v>37531942783920</v>
      </c>
      <c r="U59" s="2" t="n">
        <v>1.36991591161308e+16</v>
      </c>
      <c r="V59" s="2" t="n">
        <v>6102391537757</v>
      </c>
      <c r="W59" s="2" t="inlineStr">
        <is>
          <t>Medium-Low</t>
        </is>
      </c>
      <c r="X59" s="2" t="inlineStr">
        <is>
          <t>Estimate+Scenario</t>
        </is>
      </c>
      <c r="Y59" s="2" t="inlineStr">
        <is>
          <t>SRC_XAI_MODELS; SRC_XAI_NVIDIA_COLOSSUS</t>
        </is>
      </c>
      <c r="Z59" s="2" t="inlineStr">
        <is>
          <t>ASSUMP_CLUSTER_RAMP; ASSUMP_CLOSED_MODEL_BAND; ASSUMP_INFERENCE_SHARE_NOT_FACT_60</t>
        </is>
      </c>
    </row>
    <row r="60">
      <c r="A60" s="2" t="inlineStr">
        <is>
          <t>Base</t>
        </is>
      </c>
      <c r="B60" s="2" t="inlineStr">
        <is>
          <t>xAI</t>
        </is>
      </c>
      <c r="C60" s="2" t="inlineStr">
        <is>
          <t>US</t>
        </is>
      </c>
      <c r="D60" s="2" t="inlineStr">
        <is>
          <t>Grok</t>
        </is>
      </c>
      <c r="E60" s="2" t="inlineStr">
        <is>
          <t>Grok + X + API</t>
        </is>
      </c>
      <c r="F60" s="2" t="n">
        <v>2029</v>
      </c>
      <c r="G60" s="2" t="n">
        <v>2.5</v>
      </c>
      <c r="H60" s="2" t="n">
        <v>1.962</v>
      </c>
      <c r="I60" s="2" t="n">
        <v>1.22</v>
      </c>
      <c r="J60" s="2" t="n">
        <v>1.609</v>
      </c>
      <c r="K60" s="2" t="n">
        <v>0.85</v>
      </c>
      <c r="L60" s="2" t="n">
        <v>1.367</v>
      </c>
      <c r="M60" s="2" t="n">
        <v>0.363</v>
      </c>
      <c r="N60" s="2" t="n">
        <v>0.637</v>
      </c>
      <c r="O60" s="2" t="n">
        <v>0.872</v>
      </c>
      <c r="P60" s="2" t="n">
        <v>0.496</v>
      </c>
      <c r="Q60" s="2" t="n">
        <v>1521532</v>
      </c>
      <c r="R60" s="2" t="n">
        <v>0.6572</v>
      </c>
      <c r="S60" s="2" t="n">
        <v>0.628</v>
      </c>
      <c r="T60" s="2" t="n">
        <v>71989799130317</v>
      </c>
      <c r="U60" s="2" t="n">
        <v>2.627627668256563e+16</v>
      </c>
      <c r="V60" s="2" t="n">
        <v>9008631744381</v>
      </c>
      <c r="W60" s="2" t="inlineStr">
        <is>
          <t>Medium-Low</t>
        </is>
      </c>
      <c r="X60" s="2" t="inlineStr">
        <is>
          <t>Estimate+Scenario</t>
        </is>
      </c>
      <c r="Y60" s="2" t="inlineStr">
        <is>
          <t>SRC_XAI_MODELS; SRC_XAI_NVIDIA_COLOSSUS</t>
        </is>
      </c>
      <c r="Z60" s="2" t="inlineStr">
        <is>
          <t>ASSUMP_CLUSTER_RAMP; ASSUMP_CLOSED_MODEL_BAND; ASSUMP_INFERENCE_SHARE_NOT_FACT_60</t>
        </is>
      </c>
    </row>
    <row r="61">
      <c r="A61" s="2" t="inlineStr">
        <is>
          <t>Base</t>
        </is>
      </c>
      <c r="B61" s="2" t="inlineStr">
        <is>
          <t>xAI</t>
        </is>
      </c>
      <c r="C61" s="2" t="inlineStr">
        <is>
          <t>US</t>
        </is>
      </c>
      <c r="D61" s="2" t="inlineStr">
        <is>
          <t>Grok</t>
        </is>
      </c>
      <c r="E61" s="2" t="inlineStr">
        <is>
          <t>Grok + X + API</t>
        </is>
      </c>
      <c r="F61" s="2" t="n">
        <v>2030</v>
      </c>
      <c r="G61" s="2" t="n">
        <v>3</v>
      </c>
      <c r="H61" s="2" t="n">
        <v>2.5</v>
      </c>
      <c r="I61" s="2" t="n">
        <v>1.22</v>
      </c>
      <c r="J61" s="2" t="n">
        <v>2.049</v>
      </c>
      <c r="K61" s="2" t="n">
        <v>0.85</v>
      </c>
      <c r="L61" s="2" t="n">
        <v>1.742</v>
      </c>
      <c r="M61" s="2" t="n">
        <v>0.3</v>
      </c>
      <c r="N61" s="2" t="n">
        <v>0.7</v>
      </c>
      <c r="O61" s="2" t="n">
        <v>1.219</v>
      </c>
      <c r="P61" s="2" t="n">
        <v>0.523</v>
      </c>
      <c r="Q61" s="2" t="n">
        <v>1780193</v>
      </c>
      <c r="R61" s="2" t="n">
        <v>0.5617</v>
      </c>
      <c r="S61" s="2" t="n">
        <v>0.67</v>
      </c>
      <c r="T61" s="2" t="n">
        <v>125620159296096</v>
      </c>
      <c r="U61" s="2" t="n">
        <v>4.585135814307505e+16</v>
      </c>
      <c r="V61" s="2" t="n">
        <v>11857141532903</v>
      </c>
      <c r="W61" s="2" t="inlineStr">
        <is>
          <t>Medium-Low</t>
        </is>
      </c>
      <c r="X61" s="2" t="inlineStr">
        <is>
          <t>Estimate+Scenario</t>
        </is>
      </c>
      <c r="Y61" s="2" t="inlineStr">
        <is>
          <t>SRC_XAI_MODELS; SRC_XAI_NVIDIA_COLOSSUS</t>
        </is>
      </c>
      <c r="Z61" s="2" t="inlineStr">
        <is>
          <t>ASSUMP_CLUSTER_RAMP; ASSUMP_CLOSED_MODEL_BAND; ASSUMP_INFERENCE_SHARE_NOT_FACT_60</t>
        </is>
      </c>
    </row>
    <row r="62">
      <c r="A62" s="2" t="inlineStr">
        <is>
          <t>Base</t>
        </is>
      </c>
      <c r="B62" s="2" t="inlineStr">
        <is>
          <t>OpenAI</t>
        </is>
      </c>
      <c r="C62" s="2" t="inlineStr">
        <is>
          <t>US</t>
        </is>
      </c>
      <c r="D62" s="2" t="inlineStr">
        <is>
          <t>GPT / o-series / ChatGPT</t>
        </is>
      </c>
      <c r="E62" s="2" t="inlineStr">
        <is>
          <t>ChatGPT + API + enterprise</t>
        </is>
      </c>
      <c r="F62" s="2" t="n">
        <v>2026</v>
      </c>
      <c r="G62" s="2" t="n">
        <v>5</v>
      </c>
      <c r="H62" s="2" t="n">
        <v>1.4</v>
      </c>
      <c r="I62" s="2" t="n">
        <v>1.2</v>
      </c>
      <c r="J62" s="2" t="n">
        <v>1.167</v>
      </c>
      <c r="K62" s="2" t="n">
        <v>0.88</v>
      </c>
      <c r="L62" s="2" t="n">
        <v>1.027</v>
      </c>
      <c r="M62" s="2" t="n">
        <v>0.42</v>
      </c>
      <c r="N62" s="2" t="n">
        <v>0.58</v>
      </c>
      <c r="O62" s="2" t="n">
        <v>0.595</v>
      </c>
      <c r="P62" s="2" t="n">
        <v>0.431</v>
      </c>
      <c r="Q62" s="2" t="n">
        <v>1050000</v>
      </c>
      <c r="R62" s="2" t="n">
        <v>0.9524</v>
      </c>
      <c r="S62" s="2" t="n">
        <v>0.57</v>
      </c>
      <c r="T62" s="2" t="n">
        <v>30767688000000</v>
      </c>
      <c r="U62" s="2" t="n">
        <v>1.123020612e+16</v>
      </c>
      <c r="V62" s="2" t="n">
        <v>4903180128000</v>
      </c>
      <c r="W62" s="2" t="inlineStr">
        <is>
          <t>Medium</t>
        </is>
      </c>
      <c r="X62" s="2" t="inlineStr">
        <is>
          <t>Estimate+Scenario</t>
        </is>
      </c>
      <c r="Y62" s="2" t="inlineStr">
        <is>
          <t>SRC_OPENAI_GPT41_DOCS; SRC_OPENAI_STARGATE_ORACLE; SRC_OPENAI_STARGATE_PROGRESS</t>
        </is>
      </c>
      <c r="Z62" s="2" t="inlineStr">
        <is>
          <t>ASSUMP_STARGATE_RAMP; ASSUMP_MS_OPENAI_ATTRIBUTION; ASSUMP_INFERENCE_SHARE_NOT_FACT_60</t>
        </is>
      </c>
    </row>
    <row r="63">
      <c r="A63" s="2" t="inlineStr">
        <is>
          <t>Base</t>
        </is>
      </c>
      <c r="B63" s="2" t="inlineStr">
        <is>
          <t>OpenAI</t>
        </is>
      </c>
      <c r="C63" s="2" t="inlineStr">
        <is>
          <t>US</t>
        </is>
      </c>
      <c r="D63" s="2" t="inlineStr">
        <is>
          <t>GPT / o-series / ChatGPT</t>
        </is>
      </c>
      <c r="E63" s="2" t="inlineStr">
        <is>
          <t>ChatGPT + API + enterprise</t>
        </is>
      </c>
      <c r="F63" s="2" t="n">
        <v>2027</v>
      </c>
      <c r="G63" s="2" t="n">
        <v>6.75</v>
      </c>
      <c r="H63" s="2" t="n">
        <v>3.175</v>
      </c>
      <c r="I63" s="2" t="n">
        <v>1.2</v>
      </c>
      <c r="J63" s="2" t="n">
        <v>2.646</v>
      </c>
      <c r="K63" s="2" t="n">
        <v>0.88</v>
      </c>
      <c r="L63" s="2" t="n">
        <v>2.328</v>
      </c>
      <c r="M63" s="2" t="n">
        <v>0.37</v>
      </c>
      <c r="N63" s="2" t="n">
        <v>0.63</v>
      </c>
      <c r="O63" s="2" t="n">
        <v>1.467</v>
      </c>
      <c r="P63" s="2" t="n">
        <v>0.861</v>
      </c>
      <c r="Q63" s="2" t="n">
        <v>1228500</v>
      </c>
      <c r="R63" s="2" t="n">
        <v>0.8139999999999999</v>
      </c>
      <c r="S63" s="2" t="n">
        <v>0.605</v>
      </c>
      <c r="T63" s="2" t="n">
        <v>94205094984000</v>
      </c>
      <c r="U63" s="2" t="n">
        <v>3.438485966916e+16</v>
      </c>
      <c r="V63" s="2" t="n">
        <v>12163823511840</v>
      </c>
      <c r="W63" s="2" t="inlineStr">
        <is>
          <t>Medium</t>
        </is>
      </c>
      <c r="X63" s="2" t="inlineStr">
        <is>
          <t>Estimate+Scenario</t>
        </is>
      </c>
      <c r="Y63" s="2" t="inlineStr">
        <is>
          <t>SRC_OPENAI_GPT41_DOCS; SRC_OPENAI_STARGATE_ORACLE; SRC_OPENAI_STARGATE_PROGRESS</t>
        </is>
      </c>
      <c r="Z63" s="2" t="inlineStr">
        <is>
          <t>ASSUMP_STARGATE_RAMP; ASSUMP_MS_OPENAI_ATTRIBUTION; ASSUMP_INFERENCE_SHARE_NOT_FACT_60</t>
        </is>
      </c>
    </row>
    <row r="64">
      <c r="A64" s="2" t="inlineStr">
        <is>
          <t>Base</t>
        </is>
      </c>
      <c r="B64" s="2" t="inlineStr">
        <is>
          <t>OpenAI</t>
        </is>
      </c>
      <c r="C64" s="2" t="inlineStr">
        <is>
          <t>US</t>
        </is>
      </c>
      <c r="D64" s="2" t="inlineStr">
        <is>
          <t>GPT / o-series / ChatGPT</t>
        </is>
      </c>
      <c r="E64" s="2" t="inlineStr">
        <is>
          <t>ChatGPT + API + enterprise</t>
        </is>
      </c>
      <c r="F64" s="2" t="n">
        <v>2028</v>
      </c>
      <c r="G64" s="2" t="n">
        <v>8.5</v>
      </c>
      <c r="H64" s="2" t="n">
        <v>4.95</v>
      </c>
      <c r="I64" s="2" t="n">
        <v>1.2</v>
      </c>
      <c r="J64" s="2" t="n">
        <v>4.125</v>
      </c>
      <c r="K64" s="2" t="n">
        <v>0.88</v>
      </c>
      <c r="L64" s="2" t="n">
        <v>3.63</v>
      </c>
      <c r="M64" s="2" t="n">
        <v>0.32</v>
      </c>
      <c r="N64" s="2" t="n">
        <v>0.68</v>
      </c>
      <c r="O64" s="2" t="n">
        <v>2.468</v>
      </c>
      <c r="P64" s="2" t="n">
        <v>1.162</v>
      </c>
      <c r="Q64" s="2" t="n">
        <v>1437345</v>
      </c>
      <c r="R64" s="2" t="n">
        <v>0.6957</v>
      </c>
      <c r="S64" s="2" t="n">
        <v>0.64</v>
      </c>
      <c r="T64" s="2" t="n">
        <v>196155231068160</v>
      </c>
      <c r="U64" s="2" t="n">
        <v>7.15966593398784e+16</v>
      </c>
      <c r="V64" s="2" t="n">
        <v>20318121260237</v>
      </c>
      <c r="W64" s="2" t="inlineStr">
        <is>
          <t>Medium</t>
        </is>
      </c>
      <c r="X64" s="2" t="inlineStr">
        <is>
          <t>Estimate+Scenario</t>
        </is>
      </c>
      <c r="Y64" s="2" t="inlineStr">
        <is>
          <t>SRC_OPENAI_GPT41_DOCS; SRC_OPENAI_STARGATE_ORACLE; SRC_OPENAI_STARGATE_PROGRESS</t>
        </is>
      </c>
      <c r="Z64" s="2" t="inlineStr">
        <is>
          <t>ASSUMP_STARGATE_RAMP; ASSUMP_MS_OPENAI_ATTRIBUTION; ASSUMP_INFERENCE_SHARE_NOT_FACT_60</t>
        </is>
      </c>
    </row>
    <row r="65">
      <c r="A65" s="2" t="inlineStr">
        <is>
          <t>Base</t>
        </is>
      </c>
      <c r="B65" s="2" t="inlineStr">
        <is>
          <t>OpenAI</t>
        </is>
      </c>
      <c r="C65" s="2" t="inlineStr">
        <is>
          <t>US</t>
        </is>
      </c>
      <c r="D65" s="2" t="inlineStr">
        <is>
          <t>GPT / o-series / ChatGPT</t>
        </is>
      </c>
      <c r="E65" s="2" t="inlineStr">
        <is>
          <t>ChatGPT + API + enterprise</t>
        </is>
      </c>
      <c r="F65" s="2" t="n">
        <v>2029</v>
      </c>
      <c r="G65" s="2" t="n">
        <v>10.25</v>
      </c>
      <c r="H65" s="2" t="n">
        <v>6.725</v>
      </c>
      <c r="I65" s="2" t="n">
        <v>1.2</v>
      </c>
      <c r="J65" s="2" t="n">
        <v>5.604</v>
      </c>
      <c r="K65" s="2" t="n">
        <v>0.88</v>
      </c>
      <c r="L65" s="2" t="n">
        <v>4.932</v>
      </c>
      <c r="M65" s="2" t="n">
        <v>0.27</v>
      </c>
      <c r="N65" s="2" t="n">
        <v>0.73</v>
      </c>
      <c r="O65" s="2" t="n">
        <v>3.6</v>
      </c>
      <c r="P65" s="2" t="n">
        <v>1.332</v>
      </c>
      <c r="Q65" s="2" t="n">
        <v>1681694</v>
      </c>
      <c r="R65" s="2" t="n">
        <v>0.5946</v>
      </c>
      <c r="S65" s="2" t="n">
        <v>0.675</v>
      </c>
      <c r="T65" s="2" t="n">
        <v>353075018688000</v>
      </c>
      <c r="U65" s="2" t="n">
        <v>1.2887238182112e+17</v>
      </c>
      <c r="V65" s="2" t="n">
        <v>28740306521203</v>
      </c>
      <c r="W65" s="2" t="inlineStr">
        <is>
          <t>Medium</t>
        </is>
      </c>
      <c r="X65" s="2" t="inlineStr">
        <is>
          <t>Estimate+Scenario</t>
        </is>
      </c>
      <c r="Y65" s="2" t="inlineStr">
        <is>
          <t>SRC_OPENAI_GPT41_DOCS; SRC_OPENAI_STARGATE_ORACLE; SRC_OPENAI_STARGATE_PROGRESS</t>
        </is>
      </c>
      <c r="Z65" s="2" t="inlineStr">
        <is>
          <t>ASSUMP_STARGATE_RAMP; ASSUMP_MS_OPENAI_ATTRIBUTION; ASSUMP_INFERENCE_SHARE_NOT_FACT_60</t>
        </is>
      </c>
    </row>
    <row r="66">
      <c r="A66" s="2" t="inlineStr">
        <is>
          <t>Base</t>
        </is>
      </c>
      <c r="B66" s="2" t="inlineStr">
        <is>
          <t>OpenAI</t>
        </is>
      </c>
      <c r="C66" s="2" t="inlineStr">
        <is>
          <t>US</t>
        </is>
      </c>
      <c r="D66" s="2" t="inlineStr">
        <is>
          <t>GPT / o-series / ChatGPT</t>
        </is>
      </c>
      <c r="E66" s="2" t="inlineStr">
        <is>
          <t>ChatGPT + API + enterprise</t>
        </is>
      </c>
      <c r="F66" s="2" t="n">
        <v>2030</v>
      </c>
      <c r="G66" s="2" t="n">
        <v>12</v>
      </c>
      <c r="H66" s="2" t="n">
        <v>8.5</v>
      </c>
      <c r="I66" s="2" t="n">
        <v>1.2</v>
      </c>
      <c r="J66" s="2" t="n">
        <v>7.083</v>
      </c>
      <c r="K66" s="2" t="n">
        <v>0.88</v>
      </c>
      <c r="L66" s="2" t="n">
        <v>6.233</v>
      </c>
      <c r="M66" s="2" t="n">
        <v>0.22</v>
      </c>
      <c r="N66" s="2" t="n">
        <v>0.78</v>
      </c>
      <c r="O66" s="2" t="n">
        <v>4.862</v>
      </c>
      <c r="P66" s="2" t="n">
        <v>1.371</v>
      </c>
      <c r="Q66" s="2" t="n">
        <v>1967582</v>
      </c>
      <c r="R66" s="2" t="n">
        <v>0.5082</v>
      </c>
      <c r="S66" s="2" t="n">
        <v>0.71</v>
      </c>
      <c r="T66" s="2" t="n">
        <v>586840240711296</v>
      </c>
      <c r="U66" s="2" t="n">
        <v>2.14196687859623e+17</v>
      </c>
      <c r="V66" s="2" t="n">
        <v>36405338009737</v>
      </c>
      <c r="W66" s="2" t="inlineStr">
        <is>
          <t>Medium</t>
        </is>
      </c>
      <c r="X66" s="2" t="inlineStr">
        <is>
          <t>Estimate+Scenario</t>
        </is>
      </c>
      <c r="Y66" s="2" t="inlineStr">
        <is>
          <t>SRC_OPENAI_GPT41_DOCS; SRC_OPENAI_STARGATE_ORACLE; SRC_OPENAI_STARGATE_PROGRESS</t>
        </is>
      </c>
      <c r="Z66" s="2" t="inlineStr">
        <is>
          <t>ASSUMP_STARGATE_RAMP; ASSUMP_MS_OPENAI_ATTRIBUTION; ASSUMP_INFERENCE_SHARE_NOT_FACT_60</t>
        </is>
      </c>
    </row>
    <row r="67">
      <c r="A67" s="2" t="inlineStr">
        <is>
          <t>Base</t>
        </is>
      </c>
      <c r="B67" s="2" t="inlineStr">
        <is>
          <t>DeepSeek</t>
        </is>
      </c>
      <c r="C67" s="2" t="inlineStr">
        <is>
          <t>China</t>
        </is>
      </c>
      <c r="D67" s="2" t="inlineStr">
        <is>
          <t>DeepSeek-V3 / R1</t>
        </is>
      </c>
      <c r="E67" s="2" t="inlineStr">
        <is>
          <t>DeepSeek app/API</t>
        </is>
      </c>
      <c r="F67" s="2" t="n">
        <v>2026</v>
      </c>
      <c r="G67" s="2" t="n">
        <v>0.5</v>
      </c>
      <c r="H67" s="2" t="n">
        <v>0.15</v>
      </c>
      <c r="I67" s="2" t="n">
        <v>1.24</v>
      </c>
      <c r="J67" s="2" t="n">
        <v>0.121</v>
      </c>
      <c r="K67" s="2" t="n">
        <v>0.82</v>
      </c>
      <c r="L67" s="2" t="n">
        <v>0.099</v>
      </c>
      <c r="M67" s="2" t="n">
        <v>0.38</v>
      </c>
      <c r="N67" s="2" t="n">
        <v>0.62</v>
      </c>
      <c r="O67" s="2" t="n">
        <v>0.061</v>
      </c>
      <c r="P67" s="2" t="n">
        <v>0.038</v>
      </c>
      <c r="Q67" s="2" t="n">
        <v>1450000</v>
      </c>
      <c r="R67" s="2" t="n">
        <v>0.6897</v>
      </c>
      <c r="S67" s="2" t="n">
        <v>0.48</v>
      </c>
      <c r="T67" s="2" t="n">
        <v>3668198400000</v>
      </c>
      <c r="U67" s="2" t="n">
        <v>1338892416000000</v>
      </c>
      <c r="V67" s="2" t="n">
        <v>502723584000</v>
      </c>
      <c r="W67" s="2" t="inlineStr">
        <is>
          <t>Parameter High / Capacity Low-Medium</t>
        </is>
      </c>
      <c r="X67" s="2" t="inlineStr">
        <is>
          <t>Fact+Scenario</t>
        </is>
      </c>
      <c r="Y67" s="2" t="inlineStr">
        <is>
          <t>SRC_DEEPSEEK_V3; SRC_DEEPSEEK_R1</t>
        </is>
      </c>
      <c r="Z67" s="2" t="inlineStr">
        <is>
          <t>ASSUMP_MOE_EFFICIENCY; ASSUMP_CN_CAPACITY_TRANSPARENCY; ASSUMP_INFERENCE_SHARE_NOT_FACT_60</t>
        </is>
      </c>
    </row>
    <row r="68">
      <c r="A68" s="2" t="inlineStr">
        <is>
          <t>Base</t>
        </is>
      </c>
      <c r="B68" s="2" t="inlineStr">
        <is>
          <t>DeepSeek</t>
        </is>
      </c>
      <c r="C68" s="2" t="inlineStr">
        <is>
          <t>China</t>
        </is>
      </c>
      <c r="D68" s="2" t="inlineStr">
        <is>
          <t>DeepSeek-V3 / R1</t>
        </is>
      </c>
      <c r="E68" s="2" t="inlineStr">
        <is>
          <t>DeepSeek app/API</t>
        </is>
      </c>
      <c r="F68" s="2" t="n">
        <v>2027</v>
      </c>
      <c r="G68" s="2" t="n">
        <v>0.825</v>
      </c>
      <c r="H68" s="2" t="n">
        <v>0.412</v>
      </c>
      <c r="I68" s="2" t="n">
        <v>1.24</v>
      </c>
      <c r="J68" s="2" t="n">
        <v>0.333</v>
      </c>
      <c r="K68" s="2" t="n">
        <v>0.82</v>
      </c>
      <c r="L68" s="2" t="n">
        <v>0.273</v>
      </c>
      <c r="M68" s="2" t="n">
        <v>0.33</v>
      </c>
      <c r="N68" s="2" t="n">
        <v>0.67</v>
      </c>
      <c r="O68" s="2" t="n">
        <v>0.183</v>
      </c>
      <c r="P68" s="2" t="n">
        <v>0.09</v>
      </c>
      <c r="Q68" s="2" t="n">
        <v>1711000</v>
      </c>
      <c r="R68" s="2" t="n">
        <v>0.5845</v>
      </c>
      <c r="S68" s="2" t="n">
        <v>0.525</v>
      </c>
      <c r="T68" s="2" t="n">
        <v>14202805680000</v>
      </c>
      <c r="U68" s="2" t="n">
        <v>5184024073200000</v>
      </c>
      <c r="V68" s="2" t="n">
        <v>1536697008000</v>
      </c>
      <c r="W68" s="2" t="inlineStr">
        <is>
          <t>Parameter High / Capacity Low-Medium</t>
        </is>
      </c>
      <c r="X68" s="2" t="inlineStr">
        <is>
          <t>Fact+Scenario</t>
        </is>
      </c>
      <c r="Y68" s="2" t="inlineStr">
        <is>
          <t>SRC_DEEPSEEK_V3; SRC_DEEPSEEK_R1</t>
        </is>
      </c>
      <c r="Z68" s="2" t="inlineStr">
        <is>
          <t>ASSUMP_MOE_EFFICIENCY; ASSUMP_CN_CAPACITY_TRANSPARENCY; ASSUMP_INFERENCE_SHARE_NOT_FACT_60</t>
        </is>
      </c>
    </row>
    <row r="69">
      <c r="A69" s="2" t="inlineStr">
        <is>
          <t>Base</t>
        </is>
      </c>
      <c r="B69" s="2" t="inlineStr">
        <is>
          <t>DeepSeek</t>
        </is>
      </c>
      <c r="C69" s="2" t="inlineStr">
        <is>
          <t>China</t>
        </is>
      </c>
      <c r="D69" s="2" t="inlineStr">
        <is>
          <t>DeepSeek-V3 / R1</t>
        </is>
      </c>
      <c r="E69" s="2" t="inlineStr">
        <is>
          <t>DeepSeek app/API</t>
        </is>
      </c>
      <c r="F69" s="2" t="n">
        <v>2028</v>
      </c>
      <c r="G69" s="2" t="n">
        <v>1.15</v>
      </c>
      <c r="H69" s="2" t="n">
        <v>0.675</v>
      </c>
      <c r="I69" s="2" t="n">
        <v>1.24</v>
      </c>
      <c r="J69" s="2" t="n">
        <v>0.544</v>
      </c>
      <c r="K69" s="2" t="n">
        <v>0.82</v>
      </c>
      <c r="L69" s="2" t="n">
        <v>0.446</v>
      </c>
      <c r="M69" s="2" t="n">
        <v>0.28</v>
      </c>
      <c r="N69" s="2" t="n">
        <v>0.72</v>
      </c>
      <c r="O69" s="2" t="n">
        <v>0.321</v>
      </c>
      <c r="P69" s="2" t="n">
        <v>0.125</v>
      </c>
      <c r="Q69" s="2" t="n">
        <v>2018980</v>
      </c>
      <c r="R69" s="2" t="n">
        <v>0.4953</v>
      </c>
      <c r="S69" s="2" t="n">
        <v>0.57</v>
      </c>
      <c r="T69" s="2" t="n">
        <v>31917263379840</v>
      </c>
      <c r="U69" s="2" t="n">
        <v>1.16498011336416e+16</v>
      </c>
      <c r="V69" s="2" t="n">
        <v>2734344993600</v>
      </c>
      <c r="W69" s="2" t="inlineStr">
        <is>
          <t>Parameter High / Capacity Low-Medium</t>
        </is>
      </c>
      <c r="X69" s="2" t="inlineStr">
        <is>
          <t>Fact+Scenario</t>
        </is>
      </c>
      <c r="Y69" s="2" t="inlineStr">
        <is>
          <t>SRC_DEEPSEEK_V3; SRC_DEEPSEEK_R1</t>
        </is>
      </c>
      <c r="Z69" s="2" t="inlineStr">
        <is>
          <t>ASSUMP_MOE_EFFICIENCY; ASSUMP_CN_CAPACITY_TRANSPARENCY; ASSUMP_INFERENCE_SHARE_NOT_FACT_60</t>
        </is>
      </c>
    </row>
    <row r="70">
      <c r="A70" s="2" t="inlineStr">
        <is>
          <t>Base</t>
        </is>
      </c>
      <c r="B70" s="2" t="inlineStr">
        <is>
          <t>DeepSeek</t>
        </is>
      </c>
      <c r="C70" s="2" t="inlineStr">
        <is>
          <t>China</t>
        </is>
      </c>
      <c r="D70" s="2" t="inlineStr">
        <is>
          <t>DeepSeek-V3 / R1</t>
        </is>
      </c>
      <c r="E70" s="2" t="inlineStr">
        <is>
          <t>DeepSeek app/API</t>
        </is>
      </c>
      <c r="F70" s="2" t="n">
        <v>2029</v>
      </c>
      <c r="G70" s="2" t="n">
        <v>1.475</v>
      </c>
      <c r="H70" s="2" t="n">
        <v>0.9379999999999999</v>
      </c>
      <c r="I70" s="2" t="n">
        <v>1.24</v>
      </c>
      <c r="J70" s="2" t="n">
        <v>0.756</v>
      </c>
      <c r="K70" s="2" t="n">
        <v>0.82</v>
      </c>
      <c r="L70" s="2" t="n">
        <v>0.62</v>
      </c>
      <c r="M70" s="2" t="n">
        <v>0.23</v>
      </c>
      <c r="N70" s="2" t="n">
        <v>0.77</v>
      </c>
      <c r="O70" s="2" t="n">
        <v>0.477</v>
      </c>
      <c r="P70" s="2" t="n">
        <v>0.143</v>
      </c>
      <c r="Q70" s="2" t="n">
        <v>2382396</v>
      </c>
      <c r="R70" s="2" t="n">
        <v>0.4197</v>
      </c>
      <c r="S70" s="2" t="n">
        <v>0.615</v>
      </c>
      <c r="T70" s="2" t="n">
        <v>60383904069312</v>
      </c>
      <c r="U70" s="2" t="n">
        <v>2.204012498529888e+16</v>
      </c>
      <c r="V70" s="2" t="n">
        <v>3982552666710</v>
      </c>
      <c r="W70" s="2" t="inlineStr">
        <is>
          <t>Parameter High / Capacity Low-Medium</t>
        </is>
      </c>
      <c r="X70" s="2" t="inlineStr">
        <is>
          <t>Fact+Scenario</t>
        </is>
      </c>
      <c r="Y70" s="2" t="inlineStr">
        <is>
          <t>SRC_DEEPSEEK_V3; SRC_DEEPSEEK_R1</t>
        </is>
      </c>
      <c r="Z70" s="2" t="inlineStr">
        <is>
          <t>ASSUMP_MOE_EFFICIENCY; ASSUMP_CN_CAPACITY_TRANSPARENCY; ASSUMP_INFERENCE_SHARE_NOT_FACT_60</t>
        </is>
      </c>
    </row>
    <row r="71">
      <c r="A71" s="2" t="inlineStr">
        <is>
          <t>Base</t>
        </is>
      </c>
      <c r="B71" s="2" t="inlineStr">
        <is>
          <t>DeepSeek</t>
        </is>
      </c>
      <c r="C71" s="2" t="inlineStr">
        <is>
          <t>China</t>
        </is>
      </c>
      <c r="D71" s="2" t="inlineStr">
        <is>
          <t>DeepSeek-V3 / R1</t>
        </is>
      </c>
      <c r="E71" s="2" t="inlineStr">
        <is>
          <t>DeepSeek app/API</t>
        </is>
      </c>
      <c r="F71" s="2" t="n">
        <v>2030</v>
      </c>
      <c r="G71" s="2" t="n">
        <v>1.8</v>
      </c>
      <c r="H71" s="2" t="n">
        <v>1.2</v>
      </c>
      <c r="I71" s="2" t="n">
        <v>1.24</v>
      </c>
      <c r="J71" s="2" t="n">
        <v>0.968</v>
      </c>
      <c r="K71" s="2" t="n">
        <v>0.82</v>
      </c>
      <c r="L71" s="2" t="n">
        <v>0.794</v>
      </c>
      <c r="M71" s="2" t="n">
        <v>0.18</v>
      </c>
      <c r="N71" s="2" t="n">
        <v>0.82</v>
      </c>
      <c r="O71" s="2" t="n">
        <v>0.651</v>
      </c>
      <c r="P71" s="2" t="n">
        <v>0.143</v>
      </c>
      <c r="Q71" s="2" t="n">
        <v>2811228</v>
      </c>
      <c r="R71" s="2" t="n">
        <v>0.3557</v>
      </c>
      <c r="S71" s="2" t="n">
        <v>0.66</v>
      </c>
      <c r="T71" s="2" t="n">
        <v>104360160022272</v>
      </c>
      <c r="U71" s="2" t="n">
        <v>3.809145840812928e+16</v>
      </c>
      <c r="V71" s="2" t="n">
        <v>5043272863749</v>
      </c>
      <c r="W71" s="2" t="inlineStr">
        <is>
          <t>Parameter High / Capacity Low-Medium</t>
        </is>
      </c>
      <c r="X71" s="2" t="inlineStr">
        <is>
          <t>Fact+Scenario</t>
        </is>
      </c>
      <c r="Y71" s="2" t="inlineStr">
        <is>
          <t>SRC_DEEPSEEK_V3; SRC_DEEPSEEK_R1</t>
        </is>
      </c>
      <c r="Z71" s="2" t="inlineStr">
        <is>
          <t>ASSUMP_MOE_EFFICIENCY; ASSUMP_CN_CAPACITY_TRANSPARENCY; ASSUMP_INFERENCE_SHARE_NOT_FACT_60</t>
        </is>
      </c>
    </row>
    <row r="72">
      <c r="A72" s="2" t="inlineStr">
        <is>
          <t>Base</t>
        </is>
      </c>
      <c r="B72" s="2" t="inlineStr">
        <is>
          <t>Alibaba</t>
        </is>
      </c>
      <c r="C72" s="2" t="inlineStr">
        <is>
          <t>China</t>
        </is>
      </c>
      <c r="D72" s="2" t="inlineStr">
        <is>
          <t>Qwen / Qwen3</t>
        </is>
      </c>
      <c r="E72" s="2" t="inlineStr">
        <is>
          <t>Model Studio + Qwen API</t>
        </is>
      </c>
      <c r="F72" s="2" t="n">
        <v>2026</v>
      </c>
      <c r="G72" s="2" t="n">
        <v>1.8</v>
      </c>
      <c r="H72" s="2" t="n">
        <v>0.65</v>
      </c>
      <c r="I72" s="2" t="n">
        <v>1.23</v>
      </c>
      <c r="J72" s="2" t="n">
        <v>0.528</v>
      </c>
      <c r="K72" s="2" t="n">
        <v>0.84</v>
      </c>
      <c r="L72" s="2" t="n">
        <v>0.444</v>
      </c>
      <c r="M72" s="2" t="n">
        <v>0.4</v>
      </c>
      <c r="N72" s="2" t="n">
        <v>0.6</v>
      </c>
      <c r="O72" s="2" t="n">
        <v>0.266</v>
      </c>
      <c r="P72" s="2" t="n">
        <v>0.178</v>
      </c>
      <c r="Q72" s="2" t="n">
        <v>1350000</v>
      </c>
      <c r="R72" s="2" t="n">
        <v>0.7407</v>
      </c>
      <c r="S72" s="2" t="n">
        <v>0.52</v>
      </c>
      <c r="T72" s="2" t="n">
        <v>16133644800000</v>
      </c>
      <c r="U72" s="2" t="n">
        <v>5888780352000000</v>
      </c>
      <c r="V72" s="2" t="n">
        <v>2375163648000</v>
      </c>
      <c r="W72" s="2" t="inlineStr">
        <is>
          <t>Medium</t>
        </is>
      </c>
      <c r="X72" s="2" t="inlineStr">
        <is>
          <t>Fact+Scenario</t>
        </is>
      </c>
      <c r="Y72" s="2" t="inlineStr">
        <is>
          <t>SRC_QWEN3_GITHUB</t>
        </is>
      </c>
      <c r="Z72" s="2" t="inlineStr">
        <is>
          <t>ASSUMP_MOE_EFFICIENCY; ASSUMP_CN_CAPACITY_TRANSPARENCY; ASSUMP_INFERENCE_SHARE_NOT_FACT_60</t>
        </is>
      </c>
    </row>
    <row r="73">
      <c r="A73" s="2" t="inlineStr">
        <is>
          <t>Base</t>
        </is>
      </c>
      <c r="B73" s="2" t="inlineStr">
        <is>
          <t>Alibaba</t>
        </is>
      </c>
      <c r="C73" s="2" t="inlineStr">
        <is>
          <t>China</t>
        </is>
      </c>
      <c r="D73" s="2" t="inlineStr">
        <is>
          <t>Qwen / Qwen3</t>
        </is>
      </c>
      <c r="E73" s="2" t="inlineStr">
        <is>
          <t>Model Studio + Qwen API</t>
        </is>
      </c>
      <c r="F73" s="2" t="n">
        <v>2027</v>
      </c>
      <c r="G73" s="2" t="n">
        <v>2.35</v>
      </c>
      <c r="H73" s="2" t="n">
        <v>1.288</v>
      </c>
      <c r="I73" s="2" t="n">
        <v>1.23</v>
      </c>
      <c r="J73" s="2" t="n">
        <v>1.047</v>
      </c>
      <c r="K73" s="2" t="n">
        <v>0.84</v>
      </c>
      <c r="L73" s="2" t="n">
        <v>0.879</v>
      </c>
      <c r="M73" s="2" t="n">
        <v>0.35</v>
      </c>
      <c r="N73" s="2" t="n">
        <v>0.65</v>
      </c>
      <c r="O73" s="2" t="n">
        <v>0.572</v>
      </c>
      <c r="P73" s="2" t="n">
        <v>0.308</v>
      </c>
      <c r="Q73" s="2" t="n">
        <v>1579500</v>
      </c>
      <c r="R73" s="2" t="n">
        <v>0.6331</v>
      </c>
      <c r="S73" s="2" t="n">
        <v>0.5600000000000001</v>
      </c>
      <c r="T73" s="2" t="n">
        <v>43713686016000</v>
      </c>
      <c r="U73" s="2" t="n">
        <v>1.595549539584e+16</v>
      </c>
      <c r="V73" s="2" t="n">
        <v>5178390497280</v>
      </c>
      <c r="W73" s="2" t="inlineStr">
        <is>
          <t>Medium</t>
        </is>
      </c>
      <c r="X73" s="2" t="inlineStr">
        <is>
          <t>Fact+Scenario</t>
        </is>
      </c>
      <c r="Y73" s="2" t="inlineStr">
        <is>
          <t>SRC_QWEN3_GITHUB</t>
        </is>
      </c>
      <c r="Z73" s="2" t="inlineStr">
        <is>
          <t>ASSUMP_MOE_EFFICIENCY; ASSUMP_CN_CAPACITY_TRANSPARENCY; ASSUMP_INFERENCE_SHARE_NOT_FACT_60</t>
        </is>
      </c>
    </row>
    <row r="74">
      <c r="A74" s="2" t="inlineStr">
        <is>
          <t>Base</t>
        </is>
      </c>
      <c r="B74" s="2" t="inlineStr">
        <is>
          <t>Alibaba</t>
        </is>
      </c>
      <c r="C74" s="2" t="inlineStr">
        <is>
          <t>China</t>
        </is>
      </c>
      <c r="D74" s="2" t="inlineStr">
        <is>
          <t>Qwen / Qwen3</t>
        </is>
      </c>
      <c r="E74" s="2" t="inlineStr">
        <is>
          <t>Model Studio + Qwen API</t>
        </is>
      </c>
      <c r="F74" s="2" t="n">
        <v>2028</v>
      </c>
      <c r="G74" s="2" t="n">
        <v>2.9</v>
      </c>
      <c r="H74" s="2" t="n">
        <v>1.925</v>
      </c>
      <c r="I74" s="2" t="n">
        <v>1.23</v>
      </c>
      <c r="J74" s="2" t="n">
        <v>1.565</v>
      </c>
      <c r="K74" s="2" t="n">
        <v>0.84</v>
      </c>
      <c r="L74" s="2" t="n">
        <v>1.315</v>
      </c>
      <c r="M74" s="2" t="n">
        <v>0.3</v>
      </c>
      <c r="N74" s="2" t="n">
        <v>0.7</v>
      </c>
      <c r="O74" s="2" t="n">
        <v>0.92</v>
      </c>
      <c r="P74" s="2" t="n">
        <v>0.394</v>
      </c>
      <c r="Q74" s="2" t="n">
        <v>1848015</v>
      </c>
      <c r="R74" s="2" t="n">
        <v>0.5411</v>
      </c>
      <c r="S74" s="2" t="n">
        <v>0.6</v>
      </c>
      <c r="T74" s="2" t="n">
        <v>88137009792000</v>
      </c>
      <c r="U74" s="2" t="n">
        <v>3.217000857408e+16</v>
      </c>
      <c r="V74" s="2" t="n">
        <v>8304039139968</v>
      </c>
      <c r="W74" s="2" t="inlineStr">
        <is>
          <t>Medium</t>
        </is>
      </c>
      <c r="X74" s="2" t="inlineStr">
        <is>
          <t>Fact+Scenario</t>
        </is>
      </c>
      <c r="Y74" s="2" t="inlineStr">
        <is>
          <t>SRC_QWEN3_GITHUB</t>
        </is>
      </c>
      <c r="Z74" s="2" t="inlineStr">
        <is>
          <t>ASSUMP_MOE_EFFICIENCY; ASSUMP_CN_CAPACITY_TRANSPARENCY; ASSUMP_INFERENCE_SHARE_NOT_FACT_60</t>
        </is>
      </c>
    </row>
    <row r="75">
      <c r="A75" s="2" t="inlineStr">
        <is>
          <t>Base</t>
        </is>
      </c>
      <c r="B75" s="2" t="inlineStr">
        <is>
          <t>Alibaba</t>
        </is>
      </c>
      <c r="C75" s="2" t="inlineStr">
        <is>
          <t>China</t>
        </is>
      </c>
      <c r="D75" s="2" t="inlineStr">
        <is>
          <t>Qwen / Qwen3</t>
        </is>
      </c>
      <c r="E75" s="2" t="inlineStr">
        <is>
          <t>Model Studio + Qwen API</t>
        </is>
      </c>
      <c r="F75" s="2" t="n">
        <v>2029</v>
      </c>
      <c r="G75" s="2" t="n">
        <v>3.45</v>
      </c>
      <c r="H75" s="2" t="n">
        <v>2.562</v>
      </c>
      <c r="I75" s="2" t="n">
        <v>1.23</v>
      </c>
      <c r="J75" s="2" t="n">
        <v>2.083</v>
      </c>
      <c r="K75" s="2" t="n">
        <v>0.84</v>
      </c>
      <c r="L75" s="2" t="n">
        <v>1.75</v>
      </c>
      <c r="M75" s="2" t="n">
        <v>0.25</v>
      </c>
      <c r="N75" s="2" t="n">
        <v>0.75</v>
      </c>
      <c r="O75" s="2" t="n">
        <v>1.312</v>
      </c>
      <c r="P75" s="2" t="n">
        <v>0.438</v>
      </c>
      <c r="Q75" s="2" t="n">
        <v>2162178</v>
      </c>
      <c r="R75" s="2" t="n">
        <v>0.4625</v>
      </c>
      <c r="S75" s="2" t="n">
        <v>0.64</v>
      </c>
      <c r="T75" s="2" t="n">
        <v>156862450630656</v>
      </c>
      <c r="U75" s="2" t="n">
        <v>5.725479448018944e+16</v>
      </c>
      <c r="V75" s="2" t="n">
        <v>11520781816136</v>
      </c>
      <c r="W75" s="2" t="inlineStr">
        <is>
          <t>Medium</t>
        </is>
      </c>
      <c r="X75" s="2" t="inlineStr">
        <is>
          <t>Fact+Scenario</t>
        </is>
      </c>
      <c r="Y75" s="2" t="inlineStr">
        <is>
          <t>SRC_QWEN3_GITHUB</t>
        </is>
      </c>
      <c r="Z75" s="2" t="inlineStr">
        <is>
          <t>ASSUMP_MOE_EFFICIENCY; ASSUMP_CN_CAPACITY_TRANSPARENCY; ASSUMP_INFERENCE_SHARE_NOT_FACT_60</t>
        </is>
      </c>
    </row>
    <row r="76">
      <c r="A76" s="2" t="inlineStr">
        <is>
          <t>Base</t>
        </is>
      </c>
      <c r="B76" s="2" t="inlineStr">
        <is>
          <t>Alibaba</t>
        </is>
      </c>
      <c r="C76" s="2" t="inlineStr">
        <is>
          <t>China</t>
        </is>
      </c>
      <c r="D76" s="2" t="inlineStr">
        <is>
          <t>Qwen / Qwen3</t>
        </is>
      </c>
      <c r="E76" s="2" t="inlineStr">
        <is>
          <t>Model Studio + Qwen API</t>
        </is>
      </c>
      <c r="F76" s="2" t="n">
        <v>2030</v>
      </c>
      <c r="G76" s="2" t="n">
        <v>4</v>
      </c>
      <c r="H76" s="2" t="n">
        <v>3.2</v>
      </c>
      <c r="I76" s="2" t="n">
        <v>1.23</v>
      </c>
      <c r="J76" s="2" t="n">
        <v>2.602</v>
      </c>
      <c r="K76" s="2" t="n">
        <v>0.84</v>
      </c>
      <c r="L76" s="2" t="n">
        <v>2.185</v>
      </c>
      <c r="M76" s="2" t="n">
        <v>0.2</v>
      </c>
      <c r="N76" s="2" t="n">
        <v>0.8</v>
      </c>
      <c r="O76" s="2" t="n">
        <v>1.748</v>
      </c>
      <c r="P76" s="2" t="n">
        <v>0.437</v>
      </c>
      <c r="Q76" s="2" t="n">
        <v>2529748</v>
      </c>
      <c r="R76" s="2" t="n">
        <v>0.3953</v>
      </c>
      <c r="S76" s="2" t="n">
        <v>0.68</v>
      </c>
      <c r="T76" s="2" t="n">
        <v>259801314859008</v>
      </c>
      <c r="U76" s="2" t="n">
        <v>9.482747992353794e+16</v>
      </c>
      <c r="V76" s="2" t="n">
        <v>14289072317245</v>
      </c>
      <c r="W76" s="2" t="inlineStr">
        <is>
          <t>Medium</t>
        </is>
      </c>
      <c r="X76" s="2" t="inlineStr">
        <is>
          <t>Fact+Scenario</t>
        </is>
      </c>
      <c r="Y76" s="2" t="inlineStr">
        <is>
          <t>SRC_QWEN3_GITHUB</t>
        </is>
      </c>
      <c r="Z76" s="2" t="inlineStr">
        <is>
          <t>ASSUMP_MOE_EFFICIENCY; ASSUMP_CN_CAPACITY_TRANSPARENCY; ASSUMP_INFERENCE_SHARE_NOT_FACT_60</t>
        </is>
      </c>
    </row>
    <row r="77">
      <c r="A77" s="2" t="inlineStr">
        <is>
          <t>Base</t>
        </is>
      </c>
      <c r="B77" s="2" t="inlineStr">
        <is>
          <t>Tencent</t>
        </is>
      </c>
      <c r="C77" s="2" t="inlineStr">
        <is>
          <t>China</t>
        </is>
      </c>
      <c r="D77" s="2" t="inlineStr">
        <is>
          <t>Hunyuan / Yuanbao</t>
        </is>
      </c>
      <c r="E77" s="2" t="inlineStr">
        <is>
          <t>Yuanbao + WeChat/Tencent Cloud</t>
        </is>
      </c>
      <c r="F77" s="2" t="n">
        <v>2026</v>
      </c>
      <c r="G77" s="2" t="n">
        <v>1.2</v>
      </c>
      <c r="H77" s="2" t="n">
        <v>0.45</v>
      </c>
      <c r="I77" s="2" t="n">
        <v>1.23</v>
      </c>
      <c r="J77" s="2" t="n">
        <v>0.366</v>
      </c>
      <c r="K77" s="2" t="n">
        <v>0.84</v>
      </c>
      <c r="L77" s="2" t="n">
        <v>0.307</v>
      </c>
      <c r="M77" s="2" t="n">
        <v>0.4</v>
      </c>
      <c r="N77" s="2" t="n">
        <v>0.6</v>
      </c>
      <c r="O77" s="2" t="n">
        <v>0.184</v>
      </c>
      <c r="P77" s="2" t="n">
        <v>0.123</v>
      </c>
      <c r="Q77" s="2" t="n">
        <v>1200000</v>
      </c>
      <c r="R77" s="2" t="n">
        <v>0.8333</v>
      </c>
      <c r="S77" s="2" t="n">
        <v>0.52</v>
      </c>
      <c r="T77" s="2" t="n">
        <v>9920102400000</v>
      </c>
      <c r="U77" s="2" t="n">
        <v>3620837376000000</v>
      </c>
      <c r="V77" s="2" t="n">
        <v>1458902016000</v>
      </c>
      <c r="W77" s="2" t="inlineStr">
        <is>
          <t>Medium-Low</t>
        </is>
      </c>
      <c r="X77" s="2" t="inlineStr">
        <is>
          <t>Estimate+Scenario</t>
        </is>
      </c>
      <c r="Y77" s="2" t="inlineStr">
        <is>
          <t>SRC_TENCENT_HUNYUAN; SRC_TENCENT_HY3</t>
        </is>
      </c>
      <c r="Z77" s="2" t="inlineStr">
        <is>
          <t>ASSUMP_CN_CAPACITY_TRANSPARENCY; ASSUMP_APP_EMBEDDING; ASSUMP_INFERENCE_SHARE_NOT_FACT_60</t>
        </is>
      </c>
    </row>
    <row r="78">
      <c r="A78" s="2" t="inlineStr">
        <is>
          <t>Base</t>
        </is>
      </c>
      <c r="B78" s="2" t="inlineStr">
        <is>
          <t>Tencent</t>
        </is>
      </c>
      <c r="C78" s="2" t="inlineStr">
        <is>
          <t>China</t>
        </is>
      </c>
      <c r="D78" s="2" t="inlineStr">
        <is>
          <t>Hunyuan / Yuanbao</t>
        </is>
      </c>
      <c r="E78" s="2" t="inlineStr">
        <is>
          <t>Yuanbao + WeChat/Tencent Cloud</t>
        </is>
      </c>
      <c r="F78" s="2" t="n">
        <v>2027</v>
      </c>
      <c r="G78" s="2" t="n">
        <v>1.65</v>
      </c>
      <c r="H78" s="2" t="n">
        <v>0.9379999999999999</v>
      </c>
      <c r="I78" s="2" t="n">
        <v>1.23</v>
      </c>
      <c r="J78" s="2" t="n">
        <v>0.762</v>
      </c>
      <c r="K78" s="2" t="n">
        <v>0.84</v>
      </c>
      <c r="L78" s="2" t="n">
        <v>0.64</v>
      </c>
      <c r="M78" s="2" t="n">
        <v>0.35</v>
      </c>
      <c r="N78" s="2" t="n">
        <v>0.65</v>
      </c>
      <c r="O78" s="2" t="n">
        <v>0.416</v>
      </c>
      <c r="P78" s="2" t="n">
        <v>0.224</v>
      </c>
      <c r="Q78" s="2" t="n">
        <v>1392000</v>
      </c>
      <c r="R78" s="2" t="n">
        <v>0.7184</v>
      </c>
      <c r="S78" s="2" t="n">
        <v>0.5600000000000001</v>
      </c>
      <c r="T78" s="2" t="n">
        <v>28017819648000</v>
      </c>
      <c r="U78" s="2" t="n">
        <v>1.022650417152e+16</v>
      </c>
      <c r="V78" s="2" t="n">
        <v>3319034019840</v>
      </c>
      <c r="W78" s="2" t="inlineStr">
        <is>
          <t>Medium-Low</t>
        </is>
      </c>
      <c r="X78" s="2" t="inlineStr">
        <is>
          <t>Estimate+Scenario</t>
        </is>
      </c>
      <c r="Y78" s="2" t="inlineStr">
        <is>
          <t>SRC_TENCENT_HUNYUAN; SRC_TENCENT_HY3</t>
        </is>
      </c>
      <c r="Z78" s="2" t="inlineStr">
        <is>
          <t>ASSUMP_CN_CAPACITY_TRANSPARENCY; ASSUMP_APP_EMBEDDING; ASSUMP_INFERENCE_SHARE_NOT_FACT_60</t>
        </is>
      </c>
    </row>
    <row r="79">
      <c r="A79" s="2" t="inlineStr">
        <is>
          <t>Base</t>
        </is>
      </c>
      <c r="B79" s="2" t="inlineStr">
        <is>
          <t>Tencent</t>
        </is>
      </c>
      <c r="C79" s="2" t="inlineStr">
        <is>
          <t>China</t>
        </is>
      </c>
      <c r="D79" s="2" t="inlineStr">
        <is>
          <t>Hunyuan / Yuanbao</t>
        </is>
      </c>
      <c r="E79" s="2" t="inlineStr">
        <is>
          <t>Yuanbao + WeChat/Tencent Cloud</t>
        </is>
      </c>
      <c r="F79" s="2" t="n">
        <v>2028</v>
      </c>
      <c r="G79" s="2" t="n">
        <v>2.1</v>
      </c>
      <c r="H79" s="2" t="n">
        <v>1.425</v>
      </c>
      <c r="I79" s="2" t="n">
        <v>1.23</v>
      </c>
      <c r="J79" s="2" t="n">
        <v>1.159</v>
      </c>
      <c r="K79" s="2" t="n">
        <v>0.84</v>
      </c>
      <c r="L79" s="2" t="n">
        <v>0.973</v>
      </c>
      <c r="M79" s="2" t="n">
        <v>0.3</v>
      </c>
      <c r="N79" s="2" t="n">
        <v>0.7</v>
      </c>
      <c r="O79" s="2" t="n">
        <v>0.681</v>
      </c>
      <c r="P79" s="2" t="n">
        <v>0.292</v>
      </c>
      <c r="Q79" s="2" t="n">
        <v>1614720</v>
      </c>
      <c r="R79" s="2" t="n">
        <v>0.6193</v>
      </c>
      <c r="S79" s="2" t="n">
        <v>0.6</v>
      </c>
      <c r="T79" s="2" t="n">
        <v>57004524748800</v>
      </c>
      <c r="U79" s="2" t="n">
        <v>2.0806651533312e+16</v>
      </c>
      <c r="V79" s="2" t="n">
        <v>5377343127552</v>
      </c>
      <c r="W79" s="2" t="inlineStr">
        <is>
          <t>Medium-Low</t>
        </is>
      </c>
      <c r="X79" s="2" t="inlineStr">
        <is>
          <t>Estimate+Scenario</t>
        </is>
      </c>
      <c r="Y79" s="2" t="inlineStr">
        <is>
          <t>SRC_TENCENT_HUNYUAN; SRC_TENCENT_HY3</t>
        </is>
      </c>
      <c r="Z79" s="2" t="inlineStr">
        <is>
          <t>ASSUMP_CN_CAPACITY_TRANSPARENCY; ASSUMP_APP_EMBEDDING; ASSUMP_INFERENCE_SHARE_NOT_FACT_60</t>
        </is>
      </c>
    </row>
    <row r="80">
      <c r="A80" s="2" t="inlineStr">
        <is>
          <t>Base</t>
        </is>
      </c>
      <c r="B80" s="2" t="inlineStr">
        <is>
          <t>Tencent</t>
        </is>
      </c>
      <c r="C80" s="2" t="inlineStr">
        <is>
          <t>China</t>
        </is>
      </c>
      <c r="D80" s="2" t="inlineStr">
        <is>
          <t>Hunyuan / Yuanbao</t>
        </is>
      </c>
      <c r="E80" s="2" t="inlineStr">
        <is>
          <t>Yuanbao + WeChat/Tencent Cloud</t>
        </is>
      </c>
      <c r="F80" s="2" t="n">
        <v>2029</v>
      </c>
      <c r="G80" s="2" t="n">
        <v>2.55</v>
      </c>
      <c r="H80" s="2" t="n">
        <v>1.912</v>
      </c>
      <c r="I80" s="2" t="n">
        <v>1.23</v>
      </c>
      <c r="J80" s="2" t="n">
        <v>1.555</v>
      </c>
      <c r="K80" s="2" t="n">
        <v>0.84</v>
      </c>
      <c r="L80" s="2" t="n">
        <v>1.306</v>
      </c>
      <c r="M80" s="2" t="n">
        <v>0.25</v>
      </c>
      <c r="N80" s="2" t="n">
        <v>0.75</v>
      </c>
      <c r="O80" s="2" t="n">
        <v>0.98</v>
      </c>
      <c r="P80" s="2" t="n">
        <v>0.327</v>
      </c>
      <c r="Q80" s="2" t="n">
        <v>1873075</v>
      </c>
      <c r="R80" s="2" t="n">
        <v>0.5339</v>
      </c>
      <c r="S80" s="2" t="n">
        <v>0.64</v>
      </c>
      <c r="T80" s="2" t="n">
        <v>101502084096000</v>
      </c>
      <c r="U80" s="2" t="n">
        <v>3.704826069504e+16</v>
      </c>
      <c r="V80" s="2" t="n">
        <v>7451081561088</v>
      </c>
      <c r="W80" s="2" t="inlineStr">
        <is>
          <t>Medium-Low</t>
        </is>
      </c>
      <c r="X80" s="2" t="inlineStr">
        <is>
          <t>Estimate+Scenario</t>
        </is>
      </c>
      <c r="Y80" s="2" t="inlineStr">
        <is>
          <t>SRC_TENCENT_HUNYUAN; SRC_TENCENT_HY3</t>
        </is>
      </c>
      <c r="Z80" s="2" t="inlineStr">
        <is>
          <t>ASSUMP_CN_CAPACITY_TRANSPARENCY; ASSUMP_APP_EMBEDDING; ASSUMP_INFERENCE_SHARE_NOT_FACT_60</t>
        </is>
      </c>
    </row>
    <row r="81">
      <c r="A81" s="2" t="inlineStr">
        <is>
          <t>Base</t>
        </is>
      </c>
      <c r="B81" s="2" t="inlineStr">
        <is>
          <t>Tencent</t>
        </is>
      </c>
      <c r="C81" s="2" t="inlineStr">
        <is>
          <t>China</t>
        </is>
      </c>
      <c r="D81" s="2" t="inlineStr">
        <is>
          <t>Hunyuan / Yuanbao</t>
        </is>
      </c>
      <c r="E81" s="2" t="inlineStr">
        <is>
          <t>Yuanbao + WeChat/Tencent Cloud</t>
        </is>
      </c>
      <c r="F81" s="2" t="n">
        <v>2030</v>
      </c>
      <c r="G81" s="2" t="n">
        <v>3</v>
      </c>
      <c r="H81" s="2" t="n">
        <v>2.4</v>
      </c>
      <c r="I81" s="2" t="n">
        <v>1.23</v>
      </c>
      <c r="J81" s="2" t="n">
        <v>1.951</v>
      </c>
      <c r="K81" s="2" t="n">
        <v>0.84</v>
      </c>
      <c r="L81" s="2" t="n">
        <v>1.639</v>
      </c>
      <c r="M81" s="2" t="n">
        <v>0.2</v>
      </c>
      <c r="N81" s="2" t="n">
        <v>0.8</v>
      </c>
      <c r="O81" s="2" t="n">
        <v>1.311</v>
      </c>
      <c r="P81" s="2" t="n">
        <v>0.328</v>
      </c>
      <c r="Q81" s="2" t="n">
        <v>2172767</v>
      </c>
      <c r="R81" s="2" t="n">
        <v>0.4602</v>
      </c>
      <c r="S81" s="2" t="n">
        <v>0.68</v>
      </c>
      <c r="T81" s="2" t="n">
        <v>167354927293824</v>
      </c>
      <c r="U81" s="2" t="n">
        <v>6.108454846224576e+16</v>
      </c>
      <c r="V81" s="2" t="n">
        <v>9211541993533</v>
      </c>
      <c r="W81" s="2" t="inlineStr">
        <is>
          <t>Medium-Low</t>
        </is>
      </c>
      <c r="X81" s="2" t="inlineStr">
        <is>
          <t>Estimate+Scenario</t>
        </is>
      </c>
      <c r="Y81" s="2" t="inlineStr">
        <is>
          <t>SRC_TENCENT_HUNYUAN; SRC_TENCENT_HY3</t>
        </is>
      </c>
      <c r="Z81" s="2" t="inlineStr">
        <is>
          <t>ASSUMP_CN_CAPACITY_TRANSPARENCY; ASSUMP_APP_EMBEDDING; ASSUMP_INFERENCE_SHARE_NOT_FACT_60</t>
        </is>
      </c>
    </row>
    <row r="82">
      <c r="A82" s="2" t="inlineStr">
        <is>
          <t>Bull</t>
        </is>
      </c>
      <c r="B82" s="2" t="inlineStr">
        <is>
          <t>Microsoft</t>
        </is>
      </c>
      <c r="C82" s="2" t="inlineStr">
        <is>
          <t>US</t>
        </is>
      </c>
      <c r="D82" s="2" t="inlineStr">
        <is>
          <t>Phi / MAI / Copilot model mix</t>
        </is>
      </c>
      <c r="E82" s="2" t="inlineStr">
        <is>
          <t>Copilot + Azure AI</t>
        </is>
      </c>
      <c r="F82" s="2" t="n">
        <v>2026</v>
      </c>
      <c r="G82" s="2" t="n">
        <v>4</v>
      </c>
      <c r="H82" s="2" t="n">
        <v>1.89</v>
      </c>
      <c r="I82" s="2" t="n">
        <v>1.2</v>
      </c>
      <c r="J82" s="2" t="n">
        <v>1.575</v>
      </c>
      <c r="K82" s="2" t="n">
        <v>0.86</v>
      </c>
      <c r="L82" s="2" t="n">
        <v>1.355</v>
      </c>
      <c r="M82" s="2" t="n">
        <v>0.4</v>
      </c>
      <c r="N82" s="2" t="n">
        <v>0.6</v>
      </c>
      <c r="O82" s="2" t="n">
        <v>0.8129999999999999</v>
      </c>
      <c r="P82" s="2" t="n">
        <v>0.542</v>
      </c>
      <c r="Q82" s="2" t="n">
        <v>1239000</v>
      </c>
      <c r="R82" s="2" t="n">
        <v>0.8071</v>
      </c>
      <c r="S82" s="2" t="n">
        <v>0.572</v>
      </c>
      <c r="T82" s="2" t="n">
        <v>49781917785600</v>
      </c>
      <c r="U82" s="2" t="n">
        <v>1.8170399991744e+16</v>
      </c>
      <c r="V82" s="2" t="n">
        <v>7301347941888</v>
      </c>
      <c r="W82" s="2" t="inlineStr">
        <is>
          <t>Medium</t>
        </is>
      </c>
      <c r="X82" s="2" t="inlineStr">
        <is>
          <t>Estimate+Scenario</t>
        </is>
      </c>
      <c r="Y82" s="2" t="inlineStr">
        <is>
          <t>SRC_MS_PHI; SRC_OPENAI_GPT41_DOCS; SRC_MS_PHI4_TECHREPORT</t>
        </is>
      </c>
      <c r="Z82" s="2" t="inlineStr">
        <is>
          <t>ASSUMP_POWER_RAMP; ASSUMP_MS_OPENAI_ATTRIBUTION; ASSUMP_INFERENCE_SHARE_NOT_FACT_60</t>
        </is>
      </c>
    </row>
    <row r="83">
      <c r="A83" s="2" t="inlineStr">
        <is>
          <t>Bull</t>
        </is>
      </c>
      <c r="B83" s="2" t="inlineStr">
        <is>
          <t>Microsoft</t>
        </is>
      </c>
      <c r="C83" s="2" t="inlineStr">
        <is>
          <t>US</t>
        </is>
      </c>
      <c r="D83" s="2" t="inlineStr">
        <is>
          <t>Phi / MAI / Copilot model mix</t>
        </is>
      </c>
      <c r="E83" s="2" t="inlineStr">
        <is>
          <t>Copilot + Azure AI</t>
        </is>
      </c>
      <c r="F83" s="2" t="n">
        <v>2027</v>
      </c>
      <c r="G83" s="2" t="n">
        <v>5.25</v>
      </c>
      <c r="H83" s="2" t="n">
        <v>3.139</v>
      </c>
      <c r="I83" s="2" t="n">
        <v>1.2</v>
      </c>
      <c r="J83" s="2" t="n">
        <v>2.616</v>
      </c>
      <c r="K83" s="2" t="n">
        <v>0.86</v>
      </c>
      <c r="L83" s="2" t="n">
        <v>2.25</v>
      </c>
      <c r="M83" s="2" t="n">
        <v>0.342</v>
      </c>
      <c r="N83" s="2" t="n">
        <v>0.658</v>
      </c>
      <c r="O83" s="2" t="n">
        <v>1.479</v>
      </c>
      <c r="P83" s="2" t="n">
        <v>0.771</v>
      </c>
      <c r="Q83" s="2" t="n">
        <v>1437240</v>
      </c>
      <c r="R83" s="2" t="n">
        <v>0.6958</v>
      </c>
      <c r="S83" s="2" t="n">
        <v>0.61</v>
      </c>
      <c r="T83" s="2" t="n">
        <v>112031731203840</v>
      </c>
      <c r="U83" s="2" t="n">
        <v>4.089158188940159e+16</v>
      </c>
      <c r="V83" s="2" t="n">
        <v>12848426130355</v>
      </c>
      <c r="W83" s="2" t="inlineStr">
        <is>
          <t>Medium</t>
        </is>
      </c>
      <c r="X83" s="2" t="inlineStr">
        <is>
          <t>Estimate+Scenario</t>
        </is>
      </c>
      <c r="Y83" s="2" t="inlineStr">
        <is>
          <t>SRC_MS_PHI; SRC_OPENAI_GPT41_DOCS; SRC_MS_PHI4_TECHREPORT</t>
        </is>
      </c>
      <c r="Z83" s="2" t="inlineStr">
        <is>
          <t>ASSUMP_POWER_RAMP; ASSUMP_MS_OPENAI_ATTRIBUTION; ASSUMP_INFERENCE_SHARE_NOT_FACT_60</t>
        </is>
      </c>
    </row>
    <row r="84">
      <c r="A84" s="2" t="inlineStr">
        <is>
          <t>Bull</t>
        </is>
      </c>
      <c r="B84" s="2" t="inlineStr">
        <is>
          <t>Microsoft</t>
        </is>
      </c>
      <c r="C84" s="2" t="inlineStr">
        <is>
          <t>US</t>
        </is>
      </c>
      <c r="D84" s="2" t="inlineStr">
        <is>
          <t>Phi / MAI / Copilot model mix</t>
        </is>
      </c>
      <c r="E84" s="2" t="inlineStr">
        <is>
          <t>Copilot + Azure AI</t>
        </is>
      </c>
      <c r="F84" s="2" t="n">
        <v>2028</v>
      </c>
      <c r="G84" s="2" t="n">
        <v>6.5</v>
      </c>
      <c r="H84" s="2" t="n">
        <v>4.46</v>
      </c>
      <c r="I84" s="2" t="n">
        <v>1.2</v>
      </c>
      <c r="J84" s="2" t="n">
        <v>3.717</v>
      </c>
      <c r="K84" s="2" t="n">
        <v>0.86</v>
      </c>
      <c r="L84" s="2" t="n">
        <v>3.196</v>
      </c>
      <c r="M84" s="2" t="n">
        <v>0.285</v>
      </c>
      <c r="N84" s="2" t="n">
        <v>0.715</v>
      </c>
      <c r="O84" s="2" t="n">
        <v>2.285</v>
      </c>
      <c r="P84" s="2" t="n">
        <v>0.911</v>
      </c>
      <c r="Q84" s="2" t="n">
        <v>1667198</v>
      </c>
      <c r="R84" s="2" t="n">
        <v>0.5998</v>
      </c>
      <c r="S84" s="2" t="n">
        <v>0.647</v>
      </c>
      <c r="T84" s="2" t="n">
        <v>212956748974944</v>
      </c>
      <c r="U84" s="2" t="n">
        <v>7.772921337585456e+16</v>
      </c>
      <c r="V84" s="2" t="n">
        <v>18678683426503</v>
      </c>
      <c r="W84" s="2" t="inlineStr">
        <is>
          <t>Medium</t>
        </is>
      </c>
      <c r="X84" s="2" t="inlineStr">
        <is>
          <t>Estimate+Scenario</t>
        </is>
      </c>
      <c r="Y84" s="2" t="inlineStr">
        <is>
          <t>SRC_MS_PHI; SRC_OPENAI_GPT41_DOCS; SRC_MS_PHI4_TECHREPORT</t>
        </is>
      </c>
      <c r="Z84" s="2" t="inlineStr">
        <is>
          <t>ASSUMP_POWER_RAMP; ASSUMP_MS_OPENAI_ATTRIBUTION; ASSUMP_INFERENCE_SHARE_NOT_FACT_60</t>
        </is>
      </c>
    </row>
    <row r="85">
      <c r="A85" s="2" t="inlineStr">
        <is>
          <t>Bull</t>
        </is>
      </c>
      <c r="B85" s="2" t="inlineStr">
        <is>
          <t>Microsoft</t>
        </is>
      </c>
      <c r="C85" s="2" t="inlineStr">
        <is>
          <t>US</t>
        </is>
      </c>
      <c r="D85" s="2" t="inlineStr">
        <is>
          <t>Phi / MAI / Copilot model mix</t>
        </is>
      </c>
      <c r="E85" s="2" t="inlineStr">
        <is>
          <t>Copilot + Azure AI</t>
        </is>
      </c>
      <c r="F85" s="2" t="n">
        <v>2029</v>
      </c>
      <c r="G85" s="2" t="n">
        <v>7.75</v>
      </c>
      <c r="H85" s="2" t="n">
        <v>5.852</v>
      </c>
      <c r="I85" s="2" t="n">
        <v>1.2</v>
      </c>
      <c r="J85" s="2" t="n">
        <v>4.877</v>
      </c>
      <c r="K85" s="2" t="n">
        <v>0.86</v>
      </c>
      <c r="L85" s="2" t="n">
        <v>4.194</v>
      </c>
      <c r="M85" s="2" t="n">
        <v>0.228</v>
      </c>
      <c r="N85" s="2" t="n">
        <v>0.772</v>
      </c>
      <c r="O85" s="2" t="n">
        <v>3.24</v>
      </c>
      <c r="P85" s="2" t="n">
        <v>0.954</v>
      </c>
      <c r="Q85" s="2" t="n">
        <v>1933950</v>
      </c>
      <c r="R85" s="2" t="n">
        <v>0.5171</v>
      </c>
      <c r="S85" s="2" t="n">
        <v>0.6840000000000001</v>
      </c>
      <c r="T85" s="2" t="n">
        <v>370305443404800</v>
      </c>
      <c r="U85" s="2" t="n">
        <v>1.35161486842752e+17</v>
      </c>
      <c r="V85" s="2" t="n">
        <v>23987563722778</v>
      </c>
      <c r="W85" s="2" t="inlineStr">
        <is>
          <t>Medium</t>
        </is>
      </c>
      <c r="X85" s="2" t="inlineStr">
        <is>
          <t>Estimate+Scenario</t>
        </is>
      </c>
      <c r="Y85" s="2" t="inlineStr">
        <is>
          <t>SRC_MS_PHI; SRC_OPENAI_GPT41_DOCS; SRC_MS_PHI4_TECHREPORT</t>
        </is>
      </c>
      <c r="Z85" s="2" t="inlineStr">
        <is>
          <t>ASSUMP_POWER_RAMP; ASSUMP_MS_OPENAI_ATTRIBUTION; ASSUMP_INFERENCE_SHARE_NOT_FACT_60</t>
        </is>
      </c>
    </row>
    <row r="86">
      <c r="A86" s="2" t="inlineStr">
        <is>
          <t>Bull</t>
        </is>
      </c>
      <c r="B86" s="2" t="inlineStr">
        <is>
          <t>Microsoft</t>
        </is>
      </c>
      <c r="C86" s="2" t="inlineStr">
        <is>
          <t>US</t>
        </is>
      </c>
      <c r="D86" s="2" t="inlineStr">
        <is>
          <t>Phi / MAI / Copilot model mix</t>
        </is>
      </c>
      <c r="E86" s="2" t="inlineStr">
        <is>
          <t>Copilot + Azure AI</t>
        </is>
      </c>
      <c r="F86" s="2" t="n">
        <v>2030</v>
      </c>
      <c r="G86" s="2" t="n">
        <v>9</v>
      </c>
      <c r="H86" s="2" t="n">
        <v>7.316</v>
      </c>
      <c r="I86" s="2" t="n">
        <v>1.2</v>
      </c>
      <c r="J86" s="2" t="n">
        <v>6.097</v>
      </c>
      <c r="K86" s="2" t="n">
        <v>0.86</v>
      </c>
      <c r="L86" s="2" t="n">
        <v>5.243</v>
      </c>
      <c r="M86" s="2" t="n">
        <v>0.17</v>
      </c>
      <c r="N86" s="2" t="n">
        <v>0.83</v>
      </c>
      <c r="O86" s="2" t="n">
        <v>4.352</v>
      </c>
      <c r="P86" s="2" t="n">
        <v>0.891</v>
      </c>
      <c r="Q86" s="2" t="n">
        <v>2243382</v>
      </c>
      <c r="R86" s="2" t="n">
        <v>0.4458</v>
      </c>
      <c r="S86" s="2" t="n">
        <v>0.721</v>
      </c>
      <c r="T86" s="2" t="n">
        <v>608192590395802</v>
      </c>
      <c r="U86" s="2" t="n">
        <v>2.219902954944676e+17</v>
      </c>
      <c r="V86" s="2" t="n">
        <v>27393821592230</v>
      </c>
      <c r="W86" s="2" t="inlineStr">
        <is>
          <t>Medium</t>
        </is>
      </c>
      <c r="X86" s="2" t="inlineStr">
        <is>
          <t>Estimate+Scenario</t>
        </is>
      </c>
      <c r="Y86" s="2" t="inlineStr">
        <is>
          <t>SRC_MS_PHI; SRC_OPENAI_GPT41_DOCS; SRC_MS_PHI4_TECHREPORT</t>
        </is>
      </c>
      <c r="Z86" s="2" t="inlineStr">
        <is>
          <t>ASSUMP_POWER_RAMP; ASSUMP_MS_OPENAI_ATTRIBUTION; ASSUMP_INFERENCE_SHARE_NOT_FACT_60</t>
        </is>
      </c>
    </row>
    <row r="87">
      <c r="A87" s="2" t="inlineStr">
        <is>
          <t>Bull</t>
        </is>
      </c>
      <c r="B87" s="2" t="inlineStr">
        <is>
          <t>Google</t>
        </is>
      </c>
      <c r="C87" s="2" t="inlineStr">
        <is>
          <t>US</t>
        </is>
      </c>
      <c r="D87" s="2" t="inlineStr">
        <is>
          <t>Gemini / Gemma</t>
        </is>
      </c>
      <c r="E87" s="2" t="inlineStr">
        <is>
          <t>Gemini + Workspace + Vertex</t>
        </is>
      </c>
      <c r="F87" s="2" t="n">
        <v>2026</v>
      </c>
      <c r="G87" s="2" t="n">
        <v>4.5</v>
      </c>
      <c r="H87" s="2" t="n">
        <v>2.31</v>
      </c>
      <c r="I87" s="2" t="n">
        <v>1.18</v>
      </c>
      <c r="J87" s="2" t="n">
        <v>1.958</v>
      </c>
      <c r="K87" s="2" t="n">
        <v>0.88</v>
      </c>
      <c r="L87" s="2" t="n">
        <v>1.723</v>
      </c>
      <c r="M87" s="2" t="n">
        <v>0.4</v>
      </c>
      <c r="N87" s="2" t="n">
        <v>0.6</v>
      </c>
      <c r="O87" s="2" t="n">
        <v>1.034</v>
      </c>
      <c r="P87" s="2" t="n">
        <v>0.6889999999999999</v>
      </c>
      <c r="Q87" s="2" t="n">
        <v>1475000</v>
      </c>
      <c r="R87" s="2" t="n">
        <v>0.678</v>
      </c>
      <c r="S87" s="2" t="n">
        <v>0.594</v>
      </c>
      <c r="T87" s="2" t="n">
        <v>78273138240000</v>
      </c>
      <c r="U87" s="2" t="n">
        <v>2.85696954576e+16</v>
      </c>
      <c r="V87" s="2" t="n">
        <v>11474508988800</v>
      </c>
      <c r="W87" s="2" t="inlineStr">
        <is>
          <t>Medium-High</t>
        </is>
      </c>
      <c r="X87" s="2" t="inlineStr">
        <is>
          <t>Estimate+Scenario</t>
        </is>
      </c>
      <c r="Y87" s="2" t="inlineStr">
        <is>
          <t>SRC_GOOGLE_GEMINI_TOKENS; SRC_GOOGLE_IRONWOOD; SRC_GOOGLE_TPU_V6E</t>
        </is>
      </c>
      <c r="Z87" s="2" t="inlineStr">
        <is>
          <t>ASSUMP_TPU_EFFICIENCY; ASSUMP_POWER_RAMP; ASSUMP_INFERENCE_SHARE_NOT_FACT_60</t>
        </is>
      </c>
    </row>
    <row r="88">
      <c r="A88" s="2" t="inlineStr">
        <is>
          <t>Bull</t>
        </is>
      </c>
      <c r="B88" s="2" t="inlineStr">
        <is>
          <t>Google</t>
        </is>
      </c>
      <c r="C88" s="2" t="inlineStr">
        <is>
          <t>US</t>
        </is>
      </c>
      <c r="D88" s="2" t="inlineStr">
        <is>
          <t>Gemini / Gemma</t>
        </is>
      </c>
      <c r="E88" s="2" t="inlineStr">
        <is>
          <t>Gemini + Workspace + Vertex</t>
        </is>
      </c>
      <c r="F88" s="2" t="n">
        <v>2027</v>
      </c>
      <c r="G88" s="2" t="n">
        <v>5.375</v>
      </c>
      <c r="H88" s="2" t="n">
        <v>3.626</v>
      </c>
      <c r="I88" s="2" t="n">
        <v>1.18</v>
      </c>
      <c r="J88" s="2" t="n">
        <v>3.073</v>
      </c>
      <c r="K88" s="2" t="n">
        <v>0.88</v>
      </c>
      <c r="L88" s="2" t="n">
        <v>2.704</v>
      </c>
      <c r="M88" s="2" t="n">
        <v>0.35</v>
      </c>
      <c r="N88" s="2" t="n">
        <v>0.65</v>
      </c>
      <c r="O88" s="2" t="n">
        <v>1.758</v>
      </c>
      <c r="P88" s="2" t="n">
        <v>0.947</v>
      </c>
      <c r="Q88" s="2" t="n">
        <v>1740500</v>
      </c>
      <c r="R88" s="2" t="n">
        <v>0.5745</v>
      </c>
      <c r="S88" s="2" t="n">
        <v>0.631</v>
      </c>
      <c r="T88" s="2" t="n">
        <v>166815345801600</v>
      </c>
      <c r="U88" s="2" t="n">
        <v>6.0887601217584e+16</v>
      </c>
      <c r="V88" s="2" t="n">
        <v>19769231595168</v>
      </c>
      <c r="W88" s="2" t="inlineStr">
        <is>
          <t>Medium-High</t>
        </is>
      </c>
      <c r="X88" s="2" t="inlineStr">
        <is>
          <t>Estimate+Scenario</t>
        </is>
      </c>
      <c r="Y88" s="2" t="inlineStr">
        <is>
          <t>SRC_GOOGLE_GEMINI_TOKENS; SRC_GOOGLE_IRONWOOD; SRC_GOOGLE_TPU_V6E</t>
        </is>
      </c>
      <c r="Z88" s="2" t="inlineStr">
        <is>
          <t>ASSUMP_TPU_EFFICIENCY; ASSUMP_POWER_RAMP; ASSUMP_INFERENCE_SHARE_NOT_FACT_60</t>
        </is>
      </c>
    </row>
    <row r="89">
      <c r="A89" s="2" t="inlineStr">
        <is>
          <t>Bull</t>
        </is>
      </c>
      <c r="B89" s="2" t="inlineStr">
        <is>
          <t>Google</t>
        </is>
      </c>
      <c r="C89" s="2" t="inlineStr">
        <is>
          <t>US</t>
        </is>
      </c>
      <c r="D89" s="2" t="inlineStr">
        <is>
          <t>Gemini / Gemma</t>
        </is>
      </c>
      <c r="E89" s="2" t="inlineStr">
        <is>
          <t>Gemini + Workspace + Vertex</t>
        </is>
      </c>
      <c r="F89" s="2" t="n">
        <v>2028</v>
      </c>
      <c r="G89" s="2" t="n">
        <v>6.25</v>
      </c>
      <c r="H89" s="2" t="n">
        <v>5.018</v>
      </c>
      <c r="I89" s="2" t="n">
        <v>1.18</v>
      </c>
      <c r="J89" s="2" t="n">
        <v>4.252</v>
      </c>
      <c r="K89" s="2" t="n">
        <v>0.88</v>
      </c>
      <c r="L89" s="2" t="n">
        <v>3.742</v>
      </c>
      <c r="M89" s="2" t="n">
        <v>0.3</v>
      </c>
      <c r="N89" s="2" t="n">
        <v>0.7</v>
      </c>
      <c r="O89" s="2" t="n">
        <v>2.619</v>
      </c>
      <c r="P89" s="2" t="n">
        <v>1.123</v>
      </c>
      <c r="Q89" s="2" t="n">
        <v>2053790</v>
      </c>
      <c r="R89" s="2" t="n">
        <v>0.4869</v>
      </c>
      <c r="S89" s="2" t="n">
        <v>0.668</v>
      </c>
      <c r="T89" s="2" t="n">
        <v>310442904692352</v>
      </c>
      <c r="U89" s="2" t="n">
        <v>1.133116602127085e+17</v>
      </c>
      <c r="V89" s="2" t="n">
        <v>29285232544212</v>
      </c>
      <c r="W89" s="2" t="inlineStr">
        <is>
          <t>Medium-High</t>
        </is>
      </c>
      <c r="X89" s="2" t="inlineStr">
        <is>
          <t>Estimate+Scenario</t>
        </is>
      </c>
      <c r="Y89" s="2" t="inlineStr">
        <is>
          <t>SRC_GOOGLE_GEMINI_TOKENS; SRC_GOOGLE_IRONWOOD; SRC_GOOGLE_TPU_V6E</t>
        </is>
      </c>
      <c r="Z89" s="2" t="inlineStr">
        <is>
          <t>ASSUMP_TPU_EFFICIENCY; ASSUMP_POWER_RAMP; ASSUMP_INFERENCE_SHARE_NOT_FACT_60</t>
        </is>
      </c>
    </row>
    <row r="90">
      <c r="A90" s="2" t="inlineStr">
        <is>
          <t>Bull</t>
        </is>
      </c>
      <c r="B90" s="2" t="inlineStr">
        <is>
          <t>Google</t>
        </is>
      </c>
      <c r="C90" s="2" t="inlineStr">
        <is>
          <t>US</t>
        </is>
      </c>
      <c r="D90" s="2" t="inlineStr">
        <is>
          <t>Gemini / Gemma</t>
        </is>
      </c>
      <c r="E90" s="2" t="inlineStr">
        <is>
          <t>Gemini + Workspace + Vertex</t>
        </is>
      </c>
      <c r="F90" s="2" t="n">
        <v>2029</v>
      </c>
      <c r="G90" s="2" t="n">
        <v>7.125</v>
      </c>
      <c r="H90" s="2" t="n">
        <v>6.483</v>
      </c>
      <c r="I90" s="2" t="n">
        <v>1.18</v>
      </c>
      <c r="J90" s="2" t="n">
        <v>5.494</v>
      </c>
      <c r="K90" s="2" t="n">
        <v>0.88</v>
      </c>
      <c r="L90" s="2" t="n">
        <v>4.835</v>
      </c>
      <c r="M90" s="2" t="n">
        <v>0.25</v>
      </c>
      <c r="N90" s="2" t="n">
        <v>0.75</v>
      </c>
      <c r="O90" s="2" t="n">
        <v>3.626</v>
      </c>
      <c r="P90" s="2" t="n">
        <v>1.209</v>
      </c>
      <c r="Q90" s="2" t="n">
        <v>2423472</v>
      </c>
      <c r="R90" s="2" t="n">
        <v>0.4126</v>
      </c>
      <c r="S90" s="2" t="n">
        <v>0.705</v>
      </c>
      <c r="T90" s="2" t="n">
        <v>535264776958464</v>
      </c>
      <c r="U90" s="2" t="n">
        <v>1.953716435898393e+17</v>
      </c>
      <c r="V90" s="2" t="n">
        <v>39263575668895</v>
      </c>
      <c r="W90" s="2" t="inlineStr">
        <is>
          <t>Medium-High</t>
        </is>
      </c>
      <c r="X90" s="2" t="inlineStr">
        <is>
          <t>Estimate+Scenario</t>
        </is>
      </c>
      <c r="Y90" s="2" t="inlineStr">
        <is>
          <t>SRC_GOOGLE_GEMINI_TOKENS; SRC_GOOGLE_IRONWOOD; SRC_GOOGLE_TPU_V6E</t>
        </is>
      </c>
      <c r="Z90" s="2" t="inlineStr">
        <is>
          <t>ASSUMP_TPU_EFFICIENCY; ASSUMP_POWER_RAMP; ASSUMP_INFERENCE_SHARE_NOT_FACT_60</t>
        </is>
      </c>
    </row>
    <row r="91">
      <c r="A91" s="2" t="inlineStr">
        <is>
          <t>Bull</t>
        </is>
      </c>
      <c r="B91" s="2" t="inlineStr">
        <is>
          <t>Google</t>
        </is>
      </c>
      <c r="C91" s="2" t="inlineStr">
        <is>
          <t>US</t>
        </is>
      </c>
      <c r="D91" s="2" t="inlineStr">
        <is>
          <t>Gemini / Gemma</t>
        </is>
      </c>
      <c r="E91" s="2" t="inlineStr">
        <is>
          <t>Gemini + Workspace + Vertex</t>
        </is>
      </c>
      <c r="F91" s="2" t="n">
        <v>2030</v>
      </c>
      <c r="G91" s="2" t="n">
        <v>8</v>
      </c>
      <c r="H91" s="2" t="n">
        <v>8</v>
      </c>
      <c r="I91" s="2" t="n">
        <v>1.18</v>
      </c>
      <c r="J91" s="2" t="n">
        <v>6.78</v>
      </c>
      <c r="K91" s="2" t="n">
        <v>0.88</v>
      </c>
      <c r="L91" s="2" t="n">
        <v>5.966</v>
      </c>
      <c r="M91" s="2" t="n">
        <v>0.2</v>
      </c>
      <c r="N91" s="2" t="n">
        <v>0.8</v>
      </c>
      <c r="O91" s="2" t="n">
        <v>4.773</v>
      </c>
      <c r="P91" s="2" t="n">
        <v>1.193</v>
      </c>
      <c r="Q91" s="2" t="n">
        <v>2859697</v>
      </c>
      <c r="R91" s="2" t="n">
        <v>0.3497</v>
      </c>
      <c r="S91" s="2" t="n">
        <v>0.742</v>
      </c>
      <c r="T91" s="2" t="n">
        <v>875042409499373</v>
      </c>
      <c r="U91" s="2" t="n">
        <v>3.193904794672711e+17</v>
      </c>
      <c r="V91" s="2" t="n">
        <v>48117249276599</v>
      </c>
      <c r="W91" s="2" t="inlineStr">
        <is>
          <t>Medium-High</t>
        </is>
      </c>
      <c r="X91" s="2" t="inlineStr">
        <is>
          <t>Estimate+Scenario</t>
        </is>
      </c>
      <c r="Y91" s="2" t="inlineStr">
        <is>
          <t>SRC_GOOGLE_GEMINI_TOKENS; SRC_GOOGLE_IRONWOOD; SRC_GOOGLE_TPU_V6E</t>
        </is>
      </c>
      <c r="Z91" s="2" t="inlineStr">
        <is>
          <t>ASSUMP_TPU_EFFICIENCY; ASSUMP_POWER_RAMP; ASSUMP_INFERENCE_SHARE_NOT_FACT_60</t>
        </is>
      </c>
    </row>
    <row r="92">
      <c r="A92" s="2" t="inlineStr">
        <is>
          <t>Bull</t>
        </is>
      </c>
      <c r="B92" s="2" t="inlineStr">
        <is>
          <t>Meta</t>
        </is>
      </c>
      <c r="C92" s="2" t="inlineStr">
        <is>
          <t>US</t>
        </is>
      </c>
      <c r="D92" s="2" t="inlineStr">
        <is>
          <t>Llama / Meta AI</t>
        </is>
      </c>
      <c r="E92" s="2" t="inlineStr">
        <is>
          <t>Meta AI + family apps</t>
        </is>
      </c>
      <c r="F92" s="2" t="n">
        <v>2026</v>
      </c>
      <c r="G92" s="2" t="n">
        <v>3.5</v>
      </c>
      <c r="H92" s="2" t="n">
        <v>1.68</v>
      </c>
      <c r="I92" s="2" t="n">
        <v>1.2</v>
      </c>
      <c r="J92" s="2" t="n">
        <v>1.4</v>
      </c>
      <c r="K92" s="2" t="n">
        <v>0.87</v>
      </c>
      <c r="L92" s="2" t="n">
        <v>1.218</v>
      </c>
      <c r="M92" s="2" t="n">
        <v>0.37</v>
      </c>
      <c r="N92" s="2" t="n">
        <v>0.63</v>
      </c>
      <c r="O92" s="2" t="n">
        <v>0.767</v>
      </c>
      <c r="P92" s="2" t="n">
        <v>0.451</v>
      </c>
      <c r="Q92" s="2" t="n">
        <v>1321600</v>
      </c>
      <c r="R92" s="2" t="n">
        <v>0.7567</v>
      </c>
      <c r="S92" s="2" t="n">
        <v>0.583</v>
      </c>
      <c r="T92" s="2" t="n">
        <v>51059633264640</v>
      </c>
      <c r="U92" s="2" t="n">
        <v>1.86367661415936e+16</v>
      </c>
      <c r="V92" s="2" t="n">
        <v>6605132741222</v>
      </c>
      <c r="W92" s="2" t="inlineStr">
        <is>
          <t>Medium</t>
        </is>
      </c>
      <c r="X92" s="2" t="inlineStr">
        <is>
          <t>Estimate+Scenario</t>
        </is>
      </c>
      <c r="Y92" s="2" t="inlineStr">
        <is>
          <t>SRC_META_LLAMA; SRC_META_LLAMA4_NVIDIA</t>
        </is>
      </c>
      <c r="Z92" s="2" t="inlineStr">
        <is>
          <t>ASSUMP_CONSUMER_AI_UTILIZATION; ASSUMP_POWER_RAMP; ASSUMP_INFERENCE_SHARE_NOT_FACT_60</t>
        </is>
      </c>
    </row>
    <row r="93">
      <c r="A93" s="2" t="inlineStr">
        <is>
          <t>Bull</t>
        </is>
      </c>
      <c r="B93" s="2" t="inlineStr">
        <is>
          <t>Meta</t>
        </is>
      </c>
      <c r="C93" s="2" t="inlineStr">
        <is>
          <t>US</t>
        </is>
      </c>
      <c r="D93" s="2" t="inlineStr">
        <is>
          <t>Llama / Meta AI</t>
        </is>
      </c>
      <c r="E93" s="2" t="inlineStr">
        <is>
          <t>Meta AI + family apps</t>
        </is>
      </c>
      <c r="F93" s="2" t="n">
        <v>2027</v>
      </c>
      <c r="G93" s="2" t="n">
        <v>4.375</v>
      </c>
      <c r="H93" s="2" t="n">
        <v>2.869</v>
      </c>
      <c r="I93" s="2" t="n">
        <v>1.2</v>
      </c>
      <c r="J93" s="2" t="n">
        <v>2.391</v>
      </c>
      <c r="K93" s="2" t="n">
        <v>0.87</v>
      </c>
      <c r="L93" s="2" t="n">
        <v>2.08</v>
      </c>
      <c r="M93" s="2" t="n">
        <v>0.312</v>
      </c>
      <c r="N93" s="2" t="n">
        <v>0.6879999999999999</v>
      </c>
      <c r="O93" s="2" t="n">
        <v>1.43</v>
      </c>
      <c r="P93" s="2" t="n">
        <v>0.65</v>
      </c>
      <c r="Q93" s="2" t="n">
        <v>1533056</v>
      </c>
      <c r="R93" s="2" t="n">
        <v>0.6523</v>
      </c>
      <c r="S93" s="2" t="n">
        <v>0.623</v>
      </c>
      <c r="T93" s="2" t="n">
        <v>118003760050176</v>
      </c>
      <c r="U93" s="2" t="n">
        <v>4.307137241831424e+16</v>
      </c>
      <c r="V93" s="2" t="n">
        <v>11800376005018</v>
      </c>
      <c r="W93" s="2" t="inlineStr">
        <is>
          <t>Medium</t>
        </is>
      </c>
      <c r="X93" s="2" t="inlineStr">
        <is>
          <t>Estimate+Scenario</t>
        </is>
      </c>
      <c r="Y93" s="2" t="inlineStr">
        <is>
          <t>SRC_META_LLAMA; SRC_META_LLAMA4_NVIDIA</t>
        </is>
      </c>
      <c r="Z93" s="2" t="inlineStr">
        <is>
          <t>ASSUMP_CONSUMER_AI_UTILIZATION; ASSUMP_POWER_RAMP; ASSUMP_INFERENCE_SHARE_NOT_FACT_60</t>
        </is>
      </c>
    </row>
    <row r="94">
      <c r="A94" s="2" t="inlineStr">
        <is>
          <t>Bull</t>
        </is>
      </c>
      <c r="B94" s="2" t="inlineStr">
        <is>
          <t>Meta</t>
        </is>
      </c>
      <c r="C94" s="2" t="inlineStr">
        <is>
          <t>US</t>
        </is>
      </c>
      <c r="D94" s="2" t="inlineStr">
        <is>
          <t>Llama / Meta AI</t>
        </is>
      </c>
      <c r="E94" s="2" t="inlineStr">
        <is>
          <t>Meta AI + family apps</t>
        </is>
      </c>
      <c r="F94" s="2" t="n">
        <v>2028</v>
      </c>
      <c r="G94" s="2" t="n">
        <v>5.25</v>
      </c>
      <c r="H94" s="2" t="n">
        <v>4.125</v>
      </c>
      <c r="I94" s="2" t="n">
        <v>1.2</v>
      </c>
      <c r="J94" s="2" t="n">
        <v>3.438</v>
      </c>
      <c r="K94" s="2" t="n">
        <v>0.87</v>
      </c>
      <c r="L94" s="2" t="n">
        <v>2.991</v>
      </c>
      <c r="M94" s="2" t="n">
        <v>0.255</v>
      </c>
      <c r="N94" s="2" t="n">
        <v>0.745</v>
      </c>
      <c r="O94" s="2" t="n">
        <v>2.228</v>
      </c>
      <c r="P94" s="2" t="n">
        <v>0.763</v>
      </c>
      <c r="Q94" s="2" t="n">
        <v>1778345</v>
      </c>
      <c r="R94" s="2" t="n">
        <v>0.5623</v>
      </c>
      <c r="S94" s="2" t="n">
        <v>0.663</v>
      </c>
      <c r="T94" s="2" t="n">
        <v>226964783253312</v>
      </c>
      <c r="U94" s="2" t="n">
        <v>8.284214588745888e+16</v>
      </c>
      <c r="V94" s="2" t="n">
        <v>17099779406149</v>
      </c>
      <c r="W94" s="2" t="inlineStr">
        <is>
          <t>Medium</t>
        </is>
      </c>
      <c r="X94" s="2" t="inlineStr">
        <is>
          <t>Estimate+Scenario</t>
        </is>
      </c>
      <c r="Y94" s="2" t="inlineStr">
        <is>
          <t>SRC_META_LLAMA; SRC_META_LLAMA4_NVIDIA</t>
        </is>
      </c>
      <c r="Z94" s="2" t="inlineStr">
        <is>
          <t>ASSUMP_CONSUMER_AI_UTILIZATION; ASSUMP_POWER_RAMP; ASSUMP_INFERENCE_SHARE_NOT_FACT_60</t>
        </is>
      </c>
    </row>
    <row r="95">
      <c r="A95" s="2" t="inlineStr">
        <is>
          <t>Bull</t>
        </is>
      </c>
      <c r="B95" s="2" t="inlineStr">
        <is>
          <t>Meta</t>
        </is>
      </c>
      <c r="C95" s="2" t="inlineStr">
        <is>
          <t>US</t>
        </is>
      </c>
      <c r="D95" s="2" t="inlineStr">
        <is>
          <t>Llama / Meta AI</t>
        </is>
      </c>
      <c r="E95" s="2" t="inlineStr">
        <is>
          <t>Meta AI + family apps</t>
        </is>
      </c>
      <c r="F95" s="2" t="n">
        <v>2029</v>
      </c>
      <c r="G95" s="2" t="n">
        <v>6.125</v>
      </c>
      <c r="H95" s="2" t="n">
        <v>5.451</v>
      </c>
      <c r="I95" s="2" t="n">
        <v>1.2</v>
      </c>
      <c r="J95" s="2" t="n">
        <v>4.542</v>
      </c>
      <c r="K95" s="2" t="n">
        <v>0.87</v>
      </c>
      <c r="L95" s="2" t="n">
        <v>3.952</v>
      </c>
      <c r="M95" s="2" t="n">
        <v>0.198</v>
      </c>
      <c r="N95" s="2" t="n">
        <v>0.802</v>
      </c>
      <c r="O95" s="2" t="n">
        <v>3.171</v>
      </c>
      <c r="P95" s="2" t="n">
        <v>0.78</v>
      </c>
      <c r="Q95" s="2" t="n">
        <v>2062880</v>
      </c>
      <c r="R95" s="2" t="n">
        <v>0.4848</v>
      </c>
      <c r="S95" s="2" t="n">
        <v>0.702</v>
      </c>
      <c r="T95" s="2" t="n">
        <v>396753769810944</v>
      </c>
      <c r="U95" s="2" t="n">
        <v>1.448151259809946e+17</v>
      </c>
      <c r="V95" s="2" t="n">
        <v>21470497287782</v>
      </c>
      <c r="W95" s="2" t="inlineStr">
        <is>
          <t>Medium</t>
        </is>
      </c>
      <c r="X95" s="2" t="inlineStr">
        <is>
          <t>Estimate+Scenario</t>
        </is>
      </c>
      <c r="Y95" s="2" t="inlineStr">
        <is>
          <t>SRC_META_LLAMA; SRC_META_LLAMA4_NVIDIA</t>
        </is>
      </c>
      <c r="Z95" s="2" t="inlineStr">
        <is>
          <t>ASSUMP_CONSUMER_AI_UTILIZATION; ASSUMP_POWER_RAMP; ASSUMP_INFERENCE_SHARE_NOT_FACT_60</t>
        </is>
      </c>
    </row>
    <row r="96">
      <c r="A96" s="2" t="inlineStr">
        <is>
          <t>Bull</t>
        </is>
      </c>
      <c r="B96" s="2" t="inlineStr">
        <is>
          <t>Meta</t>
        </is>
      </c>
      <c r="C96" s="2" t="inlineStr">
        <is>
          <t>US</t>
        </is>
      </c>
      <c r="D96" s="2" t="inlineStr">
        <is>
          <t>Llama / Meta AI</t>
        </is>
      </c>
      <c r="E96" s="2" t="inlineStr">
        <is>
          <t>Meta AI + family apps</t>
        </is>
      </c>
      <c r="F96" s="2" t="n">
        <v>2030</v>
      </c>
      <c r="G96" s="2" t="n">
        <v>7</v>
      </c>
      <c r="H96" s="2" t="n">
        <v>6.844</v>
      </c>
      <c r="I96" s="2" t="n">
        <v>1.2</v>
      </c>
      <c r="J96" s="2" t="n">
        <v>5.703</v>
      </c>
      <c r="K96" s="2" t="n">
        <v>0.87</v>
      </c>
      <c r="L96" s="2" t="n">
        <v>4.962</v>
      </c>
      <c r="M96" s="2" t="n">
        <v>0.14</v>
      </c>
      <c r="N96" s="2" t="n">
        <v>0.86</v>
      </c>
      <c r="O96" s="2" t="n">
        <v>4.267</v>
      </c>
      <c r="P96" s="2" t="n">
        <v>0.695</v>
      </c>
      <c r="Q96" s="2" t="n">
        <v>2392941</v>
      </c>
      <c r="R96" s="2" t="n">
        <v>0.4179</v>
      </c>
      <c r="S96" s="2" t="n">
        <v>0.742</v>
      </c>
      <c r="T96" s="2" t="n">
        <v>654594393710074</v>
      </c>
      <c r="U96" s="2" t="n">
        <v>2.389269537041769e+17</v>
      </c>
      <c r="V96" s="2" t="n">
        <v>23456171267464</v>
      </c>
      <c r="W96" s="2" t="inlineStr">
        <is>
          <t>Medium</t>
        </is>
      </c>
      <c r="X96" s="2" t="inlineStr">
        <is>
          <t>Estimate+Scenario</t>
        </is>
      </c>
      <c r="Y96" s="2" t="inlineStr">
        <is>
          <t>SRC_META_LLAMA; SRC_META_LLAMA4_NVIDIA</t>
        </is>
      </c>
      <c r="Z96" s="2" t="inlineStr">
        <is>
          <t>ASSUMP_CONSUMER_AI_UTILIZATION; ASSUMP_POWER_RAMP; ASSUMP_INFERENCE_SHARE_NOT_FACT_60</t>
        </is>
      </c>
    </row>
    <row r="97">
      <c r="A97" s="2" t="inlineStr">
        <is>
          <t>Bull</t>
        </is>
      </c>
      <c r="B97" s="2" t="inlineStr">
        <is>
          <t>xAI</t>
        </is>
      </c>
      <c r="C97" s="2" t="inlineStr">
        <is>
          <t>US</t>
        </is>
      </c>
      <c r="D97" s="2" t="inlineStr">
        <is>
          <t>Grok</t>
        </is>
      </c>
      <c r="E97" s="2" t="inlineStr">
        <is>
          <t>Grok + X + API</t>
        </is>
      </c>
      <c r="F97" s="2" t="n">
        <v>2026</v>
      </c>
      <c r="G97" s="2" t="n">
        <v>1</v>
      </c>
      <c r="H97" s="2" t="n">
        <v>0.367</v>
      </c>
      <c r="I97" s="2" t="n">
        <v>1.22</v>
      </c>
      <c r="J97" s="2" t="n">
        <v>0.301</v>
      </c>
      <c r="K97" s="2" t="n">
        <v>0.85</v>
      </c>
      <c r="L97" s="2" t="n">
        <v>0.256</v>
      </c>
      <c r="M97" s="2" t="n">
        <v>0.5</v>
      </c>
      <c r="N97" s="2" t="n">
        <v>0.5</v>
      </c>
      <c r="O97" s="2" t="n">
        <v>0.128</v>
      </c>
      <c r="P97" s="2" t="n">
        <v>0.128</v>
      </c>
      <c r="Q97" s="2" t="n">
        <v>1121000</v>
      </c>
      <c r="R97" s="2" t="n">
        <v>0.8921</v>
      </c>
      <c r="S97" s="2" t="n">
        <v>0.53</v>
      </c>
      <c r="T97" s="2" t="n">
        <v>6570602496000</v>
      </c>
      <c r="U97" s="2" t="n">
        <v>2398269911040000</v>
      </c>
      <c r="V97" s="2" t="n">
        <v>1445532549120</v>
      </c>
      <c r="W97" s="2" t="inlineStr">
        <is>
          <t>Medium-Low</t>
        </is>
      </c>
      <c r="X97" s="2" t="inlineStr">
        <is>
          <t>Estimate+Scenario</t>
        </is>
      </c>
      <c r="Y97" s="2" t="inlineStr">
        <is>
          <t>SRC_XAI_MODELS; SRC_XAI_NVIDIA_COLOSSUS</t>
        </is>
      </c>
      <c r="Z97" s="2" t="inlineStr">
        <is>
          <t>ASSUMP_CLUSTER_RAMP; ASSUMP_CLOSED_MODEL_BAND; ASSUMP_INFERENCE_SHARE_NOT_FACT_60</t>
        </is>
      </c>
    </row>
    <row r="98">
      <c r="A98" s="2" t="inlineStr">
        <is>
          <t>Bull</t>
        </is>
      </c>
      <c r="B98" s="2" t="inlineStr">
        <is>
          <t>xAI</t>
        </is>
      </c>
      <c r="C98" s="2" t="inlineStr">
        <is>
          <t>US</t>
        </is>
      </c>
      <c r="D98" s="2" t="inlineStr">
        <is>
          <t>Grok</t>
        </is>
      </c>
      <c r="E98" s="2" t="inlineStr">
        <is>
          <t>Grok + X + API</t>
        </is>
      </c>
      <c r="F98" s="2" t="n">
        <v>2027</v>
      </c>
      <c r="G98" s="2" t="n">
        <v>1.5</v>
      </c>
      <c r="H98" s="2" t="n">
        <v>0.961</v>
      </c>
      <c r="I98" s="2" t="n">
        <v>1.22</v>
      </c>
      <c r="J98" s="2" t="n">
        <v>0.787</v>
      </c>
      <c r="K98" s="2" t="n">
        <v>0.85</v>
      </c>
      <c r="L98" s="2" t="n">
        <v>0.669</v>
      </c>
      <c r="M98" s="2" t="n">
        <v>0.43</v>
      </c>
      <c r="N98" s="2" t="n">
        <v>0.57</v>
      </c>
      <c r="O98" s="2" t="n">
        <v>0.382</v>
      </c>
      <c r="P98" s="2" t="n">
        <v>0.288</v>
      </c>
      <c r="Q98" s="2" t="n">
        <v>1311570</v>
      </c>
      <c r="R98" s="2" t="n">
        <v>0.7624</v>
      </c>
      <c r="S98" s="2" t="n">
        <v>0.575</v>
      </c>
      <c r="T98" s="2" t="n">
        <v>24890660683200</v>
      </c>
      <c r="U98" s="2" t="n">
        <v>9085091149368000</v>
      </c>
      <c r="V98" s="2" t="n">
        <v>4128461415936</v>
      </c>
      <c r="W98" s="2" t="inlineStr">
        <is>
          <t>Medium-Low</t>
        </is>
      </c>
      <c r="X98" s="2" t="inlineStr">
        <is>
          <t>Estimate+Scenario</t>
        </is>
      </c>
      <c r="Y98" s="2" t="inlineStr">
        <is>
          <t>SRC_XAI_MODELS; SRC_XAI_NVIDIA_COLOSSUS</t>
        </is>
      </c>
      <c r="Z98" s="2" t="inlineStr">
        <is>
          <t>ASSUMP_CLUSTER_RAMP; ASSUMP_CLOSED_MODEL_BAND; ASSUMP_INFERENCE_SHARE_NOT_FACT_60</t>
        </is>
      </c>
    </row>
    <row r="99">
      <c r="A99" s="2" t="inlineStr">
        <is>
          <t>Bull</t>
        </is>
      </c>
      <c r="B99" s="2" t="inlineStr">
        <is>
          <t>xAI</t>
        </is>
      </c>
      <c r="C99" s="2" t="inlineStr">
        <is>
          <t>US</t>
        </is>
      </c>
      <c r="D99" s="2" t="inlineStr">
        <is>
          <t>Grok</t>
        </is>
      </c>
      <c r="E99" s="2" t="inlineStr">
        <is>
          <t>Grok + X + API</t>
        </is>
      </c>
      <c r="F99" s="2" t="n">
        <v>2028</v>
      </c>
      <c r="G99" s="2" t="n">
        <v>2</v>
      </c>
      <c r="H99" s="2" t="n">
        <v>1.589</v>
      </c>
      <c r="I99" s="2" t="n">
        <v>1.22</v>
      </c>
      <c r="J99" s="2" t="n">
        <v>1.302</v>
      </c>
      <c r="K99" s="2" t="n">
        <v>0.85</v>
      </c>
      <c r="L99" s="2" t="n">
        <v>1.107</v>
      </c>
      <c r="M99" s="2" t="n">
        <v>0.36</v>
      </c>
      <c r="N99" s="2" t="n">
        <v>0.64</v>
      </c>
      <c r="O99" s="2" t="n">
        <v>0.708</v>
      </c>
      <c r="P99" s="2" t="n">
        <v>0.399</v>
      </c>
      <c r="Q99" s="2" t="n">
        <v>1534537</v>
      </c>
      <c r="R99" s="2" t="n">
        <v>0.6516999999999999</v>
      </c>
      <c r="S99" s="2" t="n">
        <v>0.62</v>
      </c>
      <c r="T99" s="2" t="n">
        <v>58199071235328</v>
      </c>
      <c r="U99" s="2" t="n">
        <v>2.124266100089472e+16</v>
      </c>
      <c r="V99" s="2" t="n">
        <v>7215698408244</v>
      </c>
      <c r="W99" s="2" t="inlineStr">
        <is>
          <t>Medium-Low</t>
        </is>
      </c>
      <c r="X99" s="2" t="inlineStr">
        <is>
          <t>Estimate+Scenario</t>
        </is>
      </c>
      <c r="Y99" s="2" t="inlineStr">
        <is>
          <t>SRC_XAI_MODELS; SRC_XAI_NVIDIA_COLOSSUS</t>
        </is>
      </c>
      <c r="Z99" s="2" t="inlineStr">
        <is>
          <t>ASSUMP_CLUSTER_RAMP; ASSUMP_CLOSED_MODEL_BAND; ASSUMP_INFERENCE_SHARE_NOT_FACT_60</t>
        </is>
      </c>
    </row>
    <row r="100">
      <c r="A100" s="2" t="inlineStr">
        <is>
          <t>Bull</t>
        </is>
      </c>
      <c r="B100" s="2" t="inlineStr">
        <is>
          <t>xAI</t>
        </is>
      </c>
      <c r="C100" s="2" t="inlineStr">
        <is>
          <t>US</t>
        </is>
      </c>
      <c r="D100" s="2" t="inlineStr">
        <is>
          <t>Grok</t>
        </is>
      </c>
      <c r="E100" s="2" t="inlineStr">
        <is>
          <t>Grok + X + API</t>
        </is>
      </c>
      <c r="F100" s="2" t="n">
        <v>2029</v>
      </c>
      <c r="G100" s="2" t="n">
        <v>2.5</v>
      </c>
      <c r="H100" s="2" t="n">
        <v>2.252</v>
      </c>
      <c r="I100" s="2" t="n">
        <v>1.22</v>
      </c>
      <c r="J100" s="2" t="n">
        <v>1.846</v>
      </c>
      <c r="K100" s="2" t="n">
        <v>0.85</v>
      </c>
      <c r="L100" s="2" t="n">
        <v>1.569</v>
      </c>
      <c r="M100" s="2" t="n">
        <v>0.29</v>
      </c>
      <c r="N100" s="2" t="n">
        <v>0.71</v>
      </c>
      <c r="O100" s="2" t="n">
        <v>1.114</v>
      </c>
      <c r="P100" s="2" t="n">
        <v>0.455</v>
      </c>
      <c r="Q100" s="2" t="n">
        <v>1795408</v>
      </c>
      <c r="R100" s="2" t="n">
        <v>0.5570000000000001</v>
      </c>
      <c r="S100" s="2" t="n">
        <v>0.665</v>
      </c>
      <c r="T100" s="2" t="n">
        <v>114916855721472</v>
      </c>
      <c r="U100" s="2" t="n">
        <v>4.194465233833728e+16</v>
      </c>
      <c r="V100" s="2" t="n">
        <v>10326011901005</v>
      </c>
      <c r="W100" s="2" t="inlineStr">
        <is>
          <t>Medium-Low</t>
        </is>
      </c>
      <c r="X100" s="2" t="inlineStr">
        <is>
          <t>Estimate+Scenario</t>
        </is>
      </c>
      <c r="Y100" s="2" t="inlineStr">
        <is>
          <t>SRC_XAI_MODELS; SRC_XAI_NVIDIA_COLOSSUS</t>
        </is>
      </c>
      <c r="Z100" s="2" t="inlineStr">
        <is>
          <t>ASSUMP_CLUSTER_RAMP; ASSUMP_CLOSED_MODEL_BAND; ASSUMP_INFERENCE_SHARE_NOT_FACT_60</t>
        </is>
      </c>
    </row>
    <row r="101">
      <c r="A101" s="2" t="inlineStr">
        <is>
          <t>Bull</t>
        </is>
      </c>
      <c r="B101" s="2" t="inlineStr">
        <is>
          <t>xAI</t>
        </is>
      </c>
      <c r="C101" s="2" t="inlineStr">
        <is>
          <t>US</t>
        </is>
      </c>
      <c r="D101" s="2" t="inlineStr">
        <is>
          <t>Grok</t>
        </is>
      </c>
      <c r="E101" s="2" t="inlineStr">
        <is>
          <t>Grok + X + API</t>
        </is>
      </c>
      <c r="F101" s="2" t="n">
        <v>2030</v>
      </c>
      <c r="G101" s="2" t="n">
        <v>3</v>
      </c>
      <c r="H101" s="2" t="n">
        <v>2.95</v>
      </c>
      <c r="I101" s="2" t="n">
        <v>1.22</v>
      </c>
      <c r="J101" s="2" t="n">
        <v>2.418</v>
      </c>
      <c r="K101" s="2" t="n">
        <v>0.85</v>
      </c>
      <c r="L101" s="2" t="n">
        <v>2.055</v>
      </c>
      <c r="M101" s="2" t="n">
        <v>0.22</v>
      </c>
      <c r="N101" s="2" t="n">
        <v>0.78</v>
      </c>
      <c r="O101" s="2" t="n">
        <v>1.603</v>
      </c>
      <c r="P101" s="2" t="n">
        <v>0.452</v>
      </c>
      <c r="Q101" s="2" t="n">
        <v>2100628</v>
      </c>
      <c r="R101" s="2" t="n">
        <v>0.476</v>
      </c>
      <c r="S101" s="2" t="n">
        <v>0.71</v>
      </c>
      <c r="T101" s="2" t="n">
        <v>206564061223296</v>
      </c>
      <c r="U101" s="2" t="n">
        <v>7.539588234650304e+16</v>
      </c>
      <c r="V101" s="2" t="n">
        <v>12813930285742</v>
      </c>
      <c r="W101" s="2" t="inlineStr">
        <is>
          <t>Medium-Low</t>
        </is>
      </c>
      <c r="X101" s="2" t="inlineStr">
        <is>
          <t>Estimate+Scenario</t>
        </is>
      </c>
      <c r="Y101" s="2" t="inlineStr">
        <is>
          <t>SRC_XAI_MODELS; SRC_XAI_NVIDIA_COLOSSUS</t>
        </is>
      </c>
      <c r="Z101" s="2" t="inlineStr">
        <is>
          <t>ASSUMP_CLUSTER_RAMP; ASSUMP_CLOSED_MODEL_BAND; ASSUMP_INFERENCE_SHARE_NOT_FACT_60</t>
        </is>
      </c>
    </row>
    <row r="102">
      <c r="A102" s="2" t="inlineStr">
        <is>
          <t>Bull</t>
        </is>
      </c>
      <c r="B102" s="2" t="inlineStr">
        <is>
          <t>OpenAI</t>
        </is>
      </c>
      <c r="C102" s="2" t="inlineStr">
        <is>
          <t>US</t>
        </is>
      </c>
      <c r="D102" s="2" t="inlineStr">
        <is>
          <t>GPT / o-series / ChatGPT</t>
        </is>
      </c>
      <c r="E102" s="2" t="inlineStr">
        <is>
          <t>ChatGPT + API + enterprise</t>
        </is>
      </c>
      <c r="F102" s="2" t="n">
        <v>2026</v>
      </c>
      <c r="G102" s="2" t="n">
        <v>5</v>
      </c>
      <c r="H102" s="2" t="n">
        <v>1.47</v>
      </c>
      <c r="I102" s="2" t="n">
        <v>1.2</v>
      </c>
      <c r="J102" s="2" t="n">
        <v>1.225</v>
      </c>
      <c r="K102" s="2" t="n">
        <v>0.88</v>
      </c>
      <c r="L102" s="2" t="n">
        <v>1.078</v>
      </c>
      <c r="M102" s="2" t="n">
        <v>0.37</v>
      </c>
      <c r="N102" s="2" t="n">
        <v>0.63</v>
      </c>
      <c r="O102" s="2" t="n">
        <v>0.679</v>
      </c>
      <c r="P102" s="2" t="n">
        <v>0.399</v>
      </c>
      <c r="Q102" s="2" t="n">
        <v>1239000</v>
      </c>
      <c r="R102" s="2" t="n">
        <v>0.8071</v>
      </c>
      <c r="S102" s="2" t="n">
        <v>0.604</v>
      </c>
      <c r="T102" s="2" t="n">
        <v>43902753753600</v>
      </c>
      <c r="U102" s="2" t="n">
        <v>1.6024505120064e+16</v>
      </c>
      <c r="V102" s="2" t="n">
        <v>5675675588352</v>
      </c>
      <c r="W102" s="2" t="inlineStr">
        <is>
          <t>Medium</t>
        </is>
      </c>
      <c r="X102" s="2" t="inlineStr">
        <is>
          <t>Estimate+Scenario</t>
        </is>
      </c>
      <c r="Y102" s="2" t="inlineStr">
        <is>
          <t>SRC_OPENAI_GPT41_DOCS; SRC_OPENAI_STARGATE_ORACLE; SRC_OPENAI_STARGATE_PROGRESS</t>
        </is>
      </c>
      <c r="Z102" s="2" t="inlineStr">
        <is>
          <t>ASSUMP_STARGATE_RAMP; ASSUMP_MS_OPENAI_ATTRIBUTION; ASSUMP_INFERENCE_SHARE_NOT_FACT_60</t>
        </is>
      </c>
    </row>
    <row r="103">
      <c r="A103" s="2" t="inlineStr">
        <is>
          <t>Bull</t>
        </is>
      </c>
      <c r="B103" s="2" t="inlineStr">
        <is>
          <t>OpenAI</t>
        </is>
      </c>
      <c r="C103" s="2" t="inlineStr">
        <is>
          <t>US</t>
        </is>
      </c>
      <c r="D103" s="2" t="inlineStr">
        <is>
          <t>GPT / o-series / ChatGPT</t>
        </is>
      </c>
      <c r="E103" s="2" t="inlineStr">
        <is>
          <t>ChatGPT + API + enterprise</t>
        </is>
      </c>
      <c r="F103" s="2" t="n">
        <v>2027</v>
      </c>
      <c r="G103" s="2" t="n">
        <v>6.75</v>
      </c>
      <c r="H103" s="2" t="n">
        <v>3.437</v>
      </c>
      <c r="I103" s="2" t="n">
        <v>1.2</v>
      </c>
      <c r="J103" s="2" t="n">
        <v>2.864</v>
      </c>
      <c r="K103" s="2" t="n">
        <v>0.88</v>
      </c>
      <c r="L103" s="2" t="n">
        <v>2.52</v>
      </c>
      <c r="M103" s="2" t="n">
        <v>0.312</v>
      </c>
      <c r="N103" s="2" t="n">
        <v>0.6879999999999999</v>
      </c>
      <c r="O103" s="2" t="n">
        <v>1.733</v>
      </c>
      <c r="P103" s="2" t="n">
        <v>0.788</v>
      </c>
      <c r="Q103" s="2" t="n">
        <v>1449630</v>
      </c>
      <c r="R103" s="2" t="n">
        <v>0.6898</v>
      </c>
      <c r="S103" s="2" t="n">
        <v>0.641</v>
      </c>
      <c r="T103" s="2" t="n">
        <v>139132152091296</v>
      </c>
      <c r="U103" s="2" t="n">
        <v>5.078323551332305e+16</v>
      </c>
      <c r="V103" s="2" t="n">
        <v>13918032248440</v>
      </c>
      <c r="W103" s="2" t="inlineStr">
        <is>
          <t>Medium</t>
        </is>
      </c>
      <c r="X103" s="2" t="inlineStr">
        <is>
          <t>Estimate+Scenario</t>
        </is>
      </c>
      <c r="Y103" s="2" t="inlineStr">
        <is>
          <t>SRC_OPENAI_GPT41_DOCS; SRC_OPENAI_STARGATE_ORACLE; SRC_OPENAI_STARGATE_PROGRESS</t>
        </is>
      </c>
      <c r="Z103" s="2" t="inlineStr">
        <is>
          <t>ASSUMP_STARGATE_RAMP; ASSUMP_MS_OPENAI_ATTRIBUTION; ASSUMP_INFERENCE_SHARE_NOT_FACT_60</t>
        </is>
      </c>
    </row>
    <row r="104">
      <c r="A104" s="2" t="inlineStr">
        <is>
          <t>Bull</t>
        </is>
      </c>
      <c r="B104" s="2" t="inlineStr">
        <is>
          <t>OpenAI</t>
        </is>
      </c>
      <c r="C104" s="2" t="inlineStr">
        <is>
          <t>US</t>
        </is>
      </c>
      <c r="D104" s="2" t="inlineStr">
        <is>
          <t>GPT / o-series / ChatGPT</t>
        </is>
      </c>
      <c r="E104" s="2" t="inlineStr">
        <is>
          <t>ChatGPT + API + enterprise</t>
        </is>
      </c>
      <c r="F104" s="2" t="n">
        <v>2028</v>
      </c>
      <c r="G104" s="2" t="n">
        <v>8.5</v>
      </c>
      <c r="H104" s="2" t="n">
        <v>5.519</v>
      </c>
      <c r="I104" s="2" t="n">
        <v>1.2</v>
      </c>
      <c r="J104" s="2" t="n">
        <v>4.599</v>
      </c>
      <c r="K104" s="2" t="n">
        <v>0.88</v>
      </c>
      <c r="L104" s="2" t="n">
        <v>4.047</v>
      </c>
      <c r="M104" s="2" t="n">
        <v>0.255</v>
      </c>
      <c r="N104" s="2" t="n">
        <v>0.745</v>
      </c>
      <c r="O104" s="2" t="n">
        <v>3.015</v>
      </c>
      <c r="P104" s="2" t="n">
        <v>1.032</v>
      </c>
      <c r="Q104" s="2" t="n">
        <v>1696067</v>
      </c>
      <c r="R104" s="2" t="n">
        <v>0.5896</v>
      </c>
      <c r="S104" s="2" t="n">
        <v>0.678</v>
      </c>
      <c r="T104" s="2" t="n">
        <v>299553057739296</v>
      </c>
      <c r="U104" s="2" t="n">
        <v>1.09336866074843e+17</v>
      </c>
      <c r="V104" s="2" t="n">
        <v>22557388467373</v>
      </c>
      <c r="W104" s="2" t="inlineStr">
        <is>
          <t>Medium</t>
        </is>
      </c>
      <c r="X104" s="2" t="inlineStr">
        <is>
          <t>Estimate+Scenario</t>
        </is>
      </c>
      <c r="Y104" s="2" t="inlineStr">
        <is>
          <t>SRC_OPENAI_GPT41_DOCS; SRC_OPENAI_STARGATE_ORACLE; SRC_OPENAI_STARGATE_PROGRESS</t>
        </is>
      </c>
      <c r="Z104" s="2" t="inlineStr">
        <is>
          <t>ASSUMP_STARGATE_RAMP; ASSUMP_MS_OPENAI_ATTRIBUTION; ASSUMP_INFERENCE_SHARE_NOT_FACT_60</t>
        </is>
      </c>
    </row>
    <row r="105">
      <c r="A105" s="2" t="inlineStr">
        <is>
          <t>Bull</t>
        </is>
      </c>
      <c r="B105" s="2" t="inlineStr">
        <is>
          <t>OpenAI</t>
        </is>
      </c>
      <c r="C105" s="2" t="inlineStr">
        <is>
          <t>US</t>
        </is>
      </c>
      <c r="D105" s="2" t="inlineStr">
        <is>
          <t>GPT / o-series / ChatGPT</t>
        </is>
      </c>
      <c r="E105" s="2" t="inlineStr">
        <is>
          <t>ChatGPT + API + enterprise</t>
        </is>
      </c>
      <c r="F105" s="2" t="n">
        <v>2029</v>
      </c>
      <c r="G105" s="2" t="n">
        <v>10.25</v>
      </c>
      <c r="H105" s="2" t="n">
        <v>7.717</v>
      </c>
      <c r="I105" s="2" t="n">
        <v>1.2</v>
      </c>
      <c r="J105" s="2" t="n">
        <v>6.431</v>
      </c>
      <c r="K105" s="2" t="n">
        <v>0.88</v>
      </c>
      <c r="L105" s="2" t="n">
        <v>5.659</v>
      </c>
      <c r="M105" s="2" t="n">
        <v>0.198</v>
      </c>
      <c r="N105" s="2" t="n">
        <v>0.802</v>
      </c>
      <c r="O105" s="2" t="n">
        <v>4.541</v>
      </c>
      <c r="P105" s="2" t="n">
        <v>1.118</v>
      </c>
      <c r="Q105" s="2" t="n">
        <v>1984399</v>
      </c>
      <c r="R105" s="2" t="n">
        <v>0.5039</v>
      </c>
      <c r="S105" s="2" t="n">
        <v>0.715</v>
      </c>
      <c r="T105" s="2" t="n">
        <v>556673164345584</v>
      </c>
      <c r="U105" s="2" t="n">
        <v>2.031857049861381e+17</v>
      </c>
      <c r="V105" s="2" t="n">
        <v>30151801696199</v>
      </c>
      <c r="W105" s="2" t="inlineStr">
        <is>
          <t>Medium</t>
        </is>
      </c>
      <c r="X105" s="2" t="inlineStr">
        <is>
          <t>Estimate+Scenario</t>
        </is>
      </c>
      <c r="Y105" s="2" t="inlineStr">
        <is>
          <t>SRC_OPENAI_GPT41_DOCS; SRC_OPENAI_STARGATE_ORACLE; SRC_OPENAI_STARGATE_PROGRESS</t>
        </is>
      </c>
      <c r="Z105" s="2" t="inlineStr">
        <is>
          <t>ASSUMP_STARGATE_RAMP; ASSUMP_MS_OPENAI_ATTRIBUTION; ASSUMP_INFERENCE_SHARE_NOT_FACT_60</t>
        </is>
      </c>
    </row>
    <row r="106">
      <c r="A106" s="2" t="inlineStr">
        <is>
          <t>Bull</t>
        </is>
      </c>
      <c r="B106" s="2" t="inlineStr">
        <is>
          <t>OpenAI</t>
        </is>
      </c>
      <c r="C106" s="2" t="inlineStr">
        <is>
          <t>US</t>
        </is>
      </c>
      <c r="D106" s="2" t="inlineStr">
        <is>
          <t>GPT / o-series / ChatGPT</t>
        </is>
      </c>
      <c r="E106" s="2" t="inlineStr">
        <is>
          <t>ChatGPT + API + enterprise</t>
        </is>
      </c>
      <c r="F106" s="2" t="n">
        <v>2030</v>
      </c>
      <c r="G106" s="2" t="n">
        <v>12</v>
      </c>
      <c r="H106" s="2" t="n">
        <v>10.03</v>
      </c>
      <c r="I106" s="2" t="n">
        <v>1.2</v>
      </c>
      <c r="J106" s="2" t="n">
        <v>8.358000000000001</v>
      </c>
      <c r="K106" s="2" t="n">
        <v>0.88</v>
      </c>
      <c r="L106" s="2" t="n">
        <v>7.355</v>
      </c>
      <c r="M106" s="2" t="n">
        <v>0.14</v>
      </c>
      <c r="N106" s="2" t="n">
        <v>0.86</v>
      </c>
      <c r="O106" s="2" t="n">
        <v>6.326</v>
      </c>
      <c r="P106" s="2" t="n">
        <v>1.03</v>
      </c>
      <c r="Q106" s="2" t="n">
        <v>2321746</v>
      </c>
      <c r="R106" s="2" t="n">
        <v>0.4307</v>
      </c>
      <c r="S106" s="2" t="n">
        <v>0.753</v>
      </c>
      <c r="T106" s="2" t="n">
        <v>955548229759603</v>
      </c>
      <c r="U106" s="2" t="n">
        <v>3.487751038622552e+17</v>
      </c>
      <c r="V106" s="2" t="n">
        <v>34228142406501</v>
      </c>
      <c r="W106" s="2" t="inlineStr">
        <is>
          <t>Medium</t>
        </is>
      </c>
      <c r="X106" s="2" t="inlineStr">
        <is>
          <t>Estimate+Scenario</t>
        </is>
      </c>
      <c r="Y106" s="2" t="inlineStr">
        <is>
          <t>SRC_OPENAI_GPT41_DOCS; SRC_OPENAI_STARGATE_ORACLE; SRC_OPENAI_STARGATE_PROGRESS</t>
        </is>
      </c>
      <c r="Z106" s="2" t="inlineStr">
        <is>
          <t>ASSUMP_STARGATE_RAMP; ASSUMP_MS_OPENAI_ATTRIBUTION; ASSUMP_INFERENCE_SHARE_NOT_FACT_60</t>
        </is>
      </c>
    </row>
    <row r="107">
      <c r="A107" s="2" t="inlineStr">
        <is>
          <t>Bull</t>
        </is>
      </c>
      <c r="B107" s="2" t="inlineStr">
        <is>
          <t>DeepSeek</t>
        </is>
      </c>
      <c r="C107" s="2" t="inlineStr">
        <is>
          <t>China</t>
        </is>
      </c>
      <c r="D107" s="2" t="inlineStr">
        <is>
          <t>DeepSeek-V3 / R1</t>
        </is>
      </c>
      <c r="E107" s="2" t="inlineStr">
        <is>
          <t>DeepSeek app/API</t>
        </is>
      </c>
      <c r="F107" s="2" t="n">
        <v>2026</v>
      </c>
      <c r="G107" s="2" t="n">
        <v>0.5</v>
      </c>
      <c r="H107" s="2" t="n">
        <v>0.158</v>
      </c>
      <c r="I107" s="2" t="n">
        <v>1.24</v>
      </c>
      <c r="J107" s="2" t="n">
        <v>0.127</v>
      </c>
      <c r="K107" s="2" t="n">
        <v>0.82</v>
      </c>
      <c r="L107" s="2" t="n">
        <v>0.104</v>
      </c>
      <c r="M107" s="2" t="n">
        <v>0.33</v>
      </c>
      <c r="N107" s="2" t="n">
        <v>0.67</v>
      </c>
      <c r="O107" s="2" t="n">
        <v>0.07000000000000001</v>
      </c>
      <c r="P107" s="2" t="n">
        <v>0.034</v>
      </c>
      <c r="Q107" s="2" t="n">
        <v>2018980</v>
      </c>
      <c r="R107" s="2" t="n">
        <v>0.4953</v>
      </c>
      <c r="S107" s="2" t="n">
        <v>0.509</v>
      </c>
      <c r="T107" s="2" t="n">
        <v>6215292639360</v>
      </c>
      <c r="U107" s="2" t="n">
        <v>2268581813366400</v>
      </c>
      <c r="V107" s="2" t="n">
        <v>664148413463</v>
      </c>
      <c r="W107" s="2" t="inlineStr">
        <is>
          <t>Parameter High / Capacity Low-Medium</t>
        </is>
      </c>
      <c r="X107" s="2" t="inlineStr">
        <is>
          <t>Fact+Scenario</t>
        </is>
      </c>
      <c r="Y107" s="2" t="inlineStr">
        <is>
          <t>SRC_DEEPSEEK_V3; SRC_DEEPSEEK_R1</t>
        </is>
      </c>
      <c r="Z107" s="2" t="inlineStr">
        <is>
          <t>ASSUMP_MOE_EFFICIENCY; ASSUMP_CN_CAPACITY_TRANSPARENCY; ASSUMP_INFERENCE_SHARE_NOT_FACT_60</t>
        </is>
      </c>
    </row>
    <row r="108">
      <c r="A108" s="2" t="inlineStr">
        <is>
          <t>Bull</t>
        </is>
      </c>
      <c r="B108" s="2" t="inlineStr">
        <is>
          <t>DeepSeek</t>
        </is>
      </c>
      <c r="C108" s="2" t="inlineStr">
        <is>
          <t>China</t>
        </is>
      </c>
      <c r="D108" s="2" t="inlineStr">
        <is>
          <t>DeepSeek-V3 / R1</t>
        </is>
      </c>
      <c r="E108" s="2" t="inlineStr">
        <is>
          <t>DeepSeek app/API</t>
        </is>
      </c>
      <c r="F108" s="2" t="n">
        <v>2027</v>
      </c>
      <c r="G108" s="2" t="n">
        <v>0.825</v>
      </c>
      <c r="H108" s="2" t="n">
        <v>0.447</v>
      </c>
      <c r="I108" s="2" t="n">
        <v>1.24</v>
      </c>
      <c r="J108" s="2" t="n">
        <v>0.36</v>
      </c>
      <c r="K108" s="2" t="n">
        <v>0.82</v>
      </c>
      <c r="L108" s="2" t="n">
        <v>0.295</v>
      </c>
      <c r="M108" s="2" t="n">
        <v>0.273</v>
      </c>
      <c r="N108" s="2" t="n">
        <v>0.727</v>
      </c>
      <c r="O108" s="2" t="n">
        <v>0.215</v>
      </c>
      <c r="P108" s="2" t="n">
        <v>0.08</v>
      </c>
      <c r="Q108" s="2" t="n">
        <v>2382396</v>
      </c>
      <c r="R108" s="2" t="n">
        <v>0.4197</v>
      </c>
      <c r="S108" s="2" t="n">
        <v>0.5570000000000001</v>
      </c>
      <c r="T108" s="2" t="n">
        <v>24650251169472</v>
      </c>
      <c r="U108" s="2" t="n">
        <v>8997341676857280</v>
      </c>
      <c r="V108" s="2" t="n">
        <v>2017881025966</v>
      </c>
      <c r="W108" s="2" t="inlineStr">
        <is>
          <t>Parameter High / Capacity Low-Medium</t>
        </is>
      </c>
      <c r="X108" s="2" t="inlineStr">
        <is>
          <t>Fact+Scenario</t>
        </is>
      </c>
      <c r="Y108" s="2" t="inlineStr">
        <is>
          <t>SRC_DEEPSEEK_V3; SRC_DEEPSEEK_R1</t>
        </is>
      </c>
      <c r="Z108" s="2" t="inlineStr">
        <is>
          <t>ASSUMP_MOE_EFFICIENCY; ASSUMP_CN_CAPACITY_TRANSPARENCY; ASSUMP_INFERENCE_SHARE_NOT_FACT_60</t>
        </is>
      </c>
    </row>
    <row r="109">
      <c r="A109" s="2" t="inlineStr">
        <is>
          <t>Bull</t>
        </is>
      </c>
      <c r="B109" s="2" t="inlineStr">
        <is>
          <t>DeepSeek</t>
        </is>
      </c>
      <c r="C109" s="2" t="inlineStr">
        <is>
          <t>China</t>
        </is>
      </c>
      <c r="D109" s="2" t="inlineStr">
        <is>
          <t>DeepSeek-V3 / R1</t>
        </is>
      </c>
      <c r="E109" s="2" t="inlineStr">
        <is>
          <t>DeepSeek app/API</t>
        </is>
      </c>
      <c r="F109" s="2" t="n">
        <v>2028</v>
      </c>
      <c r="G109" s="2" t="n">
        <v>1.15</v>
      </c>
      <c r="H109" s="2" t="n">
        <v>0.753</v>
      </c>
      <c r="I109" s="2" t="n">
        <v>1.24</v>
      </c>
      <c r="J109" s="2" t="n">
        <v>0.607</v>
      </c>
      <c r="K109" s="2" t="n">
        <v>0.82</v>
      </c>
      <c r="L109" s="2" t="n">
        <v>0.498</v>
      </c>
      <c r="M109" s="2" t="n">
        <v>0.215</v>
      </c>
      <c r="N109" s="2" t="n">
        <v>0.785</v>
      </c>
      <c r="O109" s="2" t="n">
        <v>0.391</v>
      </c>
      <c r="P109" s="2" t="n">
        <v>0.107</v>
      </c>
      <c r="Q109" s="2" t="n">
        <v>2811228</v>
      </c>
      <c r="R109" s="2" t="n">
        <v>0.3557</v>
      </c>
      <c r="S109" s="2" t="n">
        <v>0.604</v>
      </c>
      <c r="T109" s="2" t="n">
        <v>57361897387469</v>
      </c>
      <c r="U109" s="2" t="n">
        <v>2.093709254642611e+16</v>
      </c>
      <c r="V109" s="2" t="n">
        <v>3453450292841</v>
      </c>
      <c r="W109" s="2" t="inlineStr">
        <is>
          <t>Parameter High / Capacity Low-Medium</t>
        </is>
      </c>
      <c r="X109" s="2" t="inlineStr">
        <is>
          <t>Fact+Scenario</t>
        </is>
      </c>
      <c r="Y109" s="2" t="inlineStr">
        <is>
          <t>SRC_DEEPSEEK_V3; SRC_DEEPSEEK_R1</t>
        </is>
      </c>
      <c r="Z109" s="2" t="inlineStr">
        <is>
          <t>ASSUMP_MOE_EFFICIENCY; ASSUMP_CN_CAPACITY_TRANSPARENCY; ASSUMP_INFERENCE_SHARE_NOT_FACT_60</t>
        </is>
      </c>
    </row>
    <row r="110">
      <c r="A110" s="2" t="inlineStr">
        <is>
          <t>Bull</t>
        </is>
      </c>
      <c r="B110" s="2" t="inlineStr">
        <is>
          <t>DeepSeek</t>
        </is>
      </c>
      <c r="C110" s="2" t="inlineStr">
        <is>
          <t>China</t>
        </is>
      </c>
      <c r="D110" s="2" t="inlineStr">
        <is>
          <t>DeepSeek-V3 / R1</t>
        </is>
      </c>
      <c r="E110" s="2" t="inlineStr">
        <is>
          <t>DeepSeek app/API</t>
        </is>
      </c>
      <c r="F110" s="2" t="n">
        <v>2029</v>
      </c>
      <c r="G110" s="2" t="n">
        <v>1.475</v>
      </c>
      <c r="H110" s="2" t="n">
        <v>1.076</v>
      </c>
      <c r="I110" s="2" t="n">
        <v>1.24</v>
      </c>
      <c r="J110" s="2" t="n">
        <v>0.868</v>
      </c>
      <c r="K110" s="2" t="n">
        <v>0.82</v>
      </c>
      <c r="L110" s="2" t="n">
        <v>0.711</v>
      </c>
      <c r="M110" s="2" t="n">
        <v>0.157</v>
      </c>
      <c r="N110" s="2" t="n">
        <v>0.843</v>
      </c>
      <c r="O110" s="2" t="n">
        <v>0.599</v>
      </c>
      <c r="P110" s="2" t="n">
        <v>0.112</v>
      </c>
      <c r="Q110" s="2" t="n">
        <v>3317249</v>
      </c>
      <c r="R110" s="2" t="n">
        <v>0.3015</v>
      </c>
      <c r="S110" s="2" t="n">
        <v>0.652</v>
      </c>
      <c r="T110" s="2" t="n">
        <v>111935084755853</v>
      </c>
      <c r="U110" s="2" t="n">
        <v>4.085630593588628e+16</v>
      </c>
      <c r="V110" s="2" t="n">
        <v>4604474938872</v>
      </c>
      <c r="W110" s="2" t="inlineStr">
        <is>
          <t>Parameter High / Capacity Low-Medium</t>
        </is>
      </c>
      <c r="X110" s="2" t="inlineStr">
        <is>
          <t>Fact+Scenario</t>
        </is>
      </c>
      <c r="Y110" s="2" t="inlineStr">
        <is>
          <t>SRC_DEEPSEEK_V3; SRC_DEEPSEEK_R1</t>
        </is>
      </c>
      <c r="Z110" s="2" t="inlineStr">
        <is>
          <t>ASSUMP_MOE_EFFICIENCY; ASSUMP_CN_CAPACITY_TRANSPARENCY; ASSUMP_INFERENCE_SHARE_NOT_FACT_60</t>
        </is>
      </c>
    </row>
    <row r="111">
      <c r="A111" s="2" t="inlineStr">
        <is>
          <t>Bull</t>
        </is>
      </c>
      <c r="B111" s="2" t="inlineStr">
        <is>
          <t>DeepSeek</t>
        </is>
      </c>
      <c r="C111" s="2" t="inlineStr">
        <is>
          <t>China</t>
        </is>
      </c>
      <c r="D111" s="2" t="inlineStr">
        <is>
          <t>DeepSeek-V3 / R1</t>
        </is>
      </c>
      <c r="E111" s="2" t="inlineStr">
        <is>
          <t>DeepSeek app/API</t>
        </is>
      </c>
      <c r="F111" s="2" t="n">
        <v>2030</v>
      </c>
      <c r="G111" s="2" t="n">
        <v>1.8</v>
      </c>
      <c r="H111" s="2" t="n">
        <v>1.416</v>
      </c>
      <c r="I111" s="2" t="n">
        <v>1.24</v>
      </c>
      <c r="J111" s="2" t="n">
        <v>1.142</v>
      </c>
      <c r="K111" s="2" t="n">
        <v>0.82</v>
      </c>
      <c r="L111" s="2" t="n">
        <v>0.9360000000000001</v>
      </c>
      <c r="M111" s="2" t="n">
        <v>0.1</v>
      </c>
      <c r="N111" s="2" t="n">
        <v>0.9</v>
      </c>
      <c r="O111" s="2" t="n">
        <v>0.843</v>
      </c>
      <c r="P111" s="2" t="n">
        <v>0.094</v>
      </c>
      <c r="Q111" s="2" t="n">
        <v>3914354</v>
      </c>
      <c r="R111" s="2" t="n">
        <v>0.2555</v>
      </c>
      <c r="S111" s="2" t="n">
        <v>0.7</v>
      </c>
      <c r="T111" s="2" t="n">
        <v>199571929522560</v>
      </c>
      <c r="U111" s="2" t="n">
        <v>7.284375427573438e+16</v>
      </c>
      <c r="V111" s="2" t="n">
        <v>4895785886746</v>
      </c>
      <c r="W111" s="2" t="inlineStr">
        <is>
          <t>Parameter High / Capacity Low-Medium</t>
        </is>
      </c>
      <c r="X111" s="2" t="inlineStr">
        <is>
          <t>Fact+Scenario</t>
        </is>
      </c>
      <c r="Y111" s="2" t="inlineStr">
        <is>
          <t>SRC_DEEPSEEK_V3; SRC_DEEPSEEK_R1</t>
        </is>
      </c>
      <c r="Z111" s="2" t="inlineStr">
        <is>
          <t>ASSUMP_MOE_EFFICIENCY; ASSUMP_CN_CAPACITY_TRANSPARENCY; ASSUMP_INFERENCE_SHARE_NOT_FACT_60</t>
        </is>
      </c>
    </row>
    <row r="112">
      <c r="A112" s="2" t="inlineStr">
        <is>
          <t>Bull</t>
        </is>
      </c>
      <c r="B112" s="2" t="inlineStr">
        <is>
          <t>Alibaba</t>
        </is>
      </c>
      <c r="C112" s="2" t="inlineStr">
        <is>
          <t>China</t>
        </is>
      </c>
      <c r="D112" s="2" t="inlineStr">
        <is>
          <t>Qwen / Qwen3</t>
        </is>
      </c>
      <c r="E112" s="2" t="inlineStr">
        <is>
          <t>Model Studio + Qwen API</t>
        </is>
      </c>
      <c r="F112" s="2" t="n">
        <v>2026</v>
      </c>
      <c r="G112" s="2" t="n">
        <v>1.8</v>
      </c>
      <c r="H112" s="2" t="n">
        <v>0.6830000000000001</v>
      </c>
      <c r="I112" s="2" t="n">
        <v>1.23</v>
      </c>
      <c r="J112" s="2" t="n">
        <v>0.555</v>
      </c>
      <c r="K112" s="2" t="n">
        <v>0.84</v>
      </c>
      <c r="L112" s="2" t="n">
        <v>0.466</v>
      </c>
      <c r="M112" s="2" t="n">
        <v>0.35</v>
      </c>
      <c r="N112" s="2" t="n">
        <v>0.65</v>
      </c>
      <c r="O112" s="2" t="n">
        <v>0.303</v>
      </c>
      <c r="P112" s="2" t="n">
        <v>0.163</v>
      </c>
      <c r="Q112" s="2" t="n">
        <v>1879740</v>
      </c>
      <c r="R112" s="2" t="n">
        <v>0.532</v>
      </c>
      <c r="S112" s="2" t="n">
        <v>0.551</v>
      </c>
      <c r="T112" s="2" t="n">
        <v>27114759263808</v>
      </c>
      <c r="U112" s="2" t="n">
        <v>9896887131289922</v>
      </c>
      <c r="V112" s="2" t="n">
        <v>3209027284489</v>
      </c>
      <c r="W112" s="2" t="inlineStr">
        <is>
          <t>Medium</t>
        </is>
      </c>
      <c r="X112" s="2" t="inlineStr">
        <is>
          <t>Fact+Scenario</t>
        </is>
      </c>
      <c r="Y112" s="2" t="inlineStr">
        <is>
          <t>SRC_QWEN3_GITHUB</t>
        </is>
      </c>
      <c r="Z112" s="2" t="inlineStr">
        <is>
          <t>ASSUMP_MOE_EFFICIENCY; ASSUMP_CN_CAPACITY_TRANSPARENCY; ASSUMP_INFERENCE_SHARE_NOT_FACT_60</t>
        </is>
      </c>
    </row>
    <row r="113">
      <c r="A113" s="2" t="inlineStr">
        <is>
          <t>Bull</t>
        </is>
      </c>
      <c r="B113" s="2" t="inlineStr">
        <is>
          <t>Alibaba</t>
        </is>
      </c>
      <c r="C113" s="2" t="inlineStr">
        <is>
          <t>China</t>
        </is>
      </c>
      <c r="D113" s="2" t="inlineStr">
        <is>
          <t>Qwen / Qwen3</t>
        </is>
      </c>
      <c r="E113" s="2" t="inlineStr">
        <is>
          <t>Model Studio + Qwen API</t>
        </is>
      </c>
      <c r="F113" s="2" t="n">
        <v>2027</v>
      </c>
      <c r="G113" s="2" t="n">
        <v>2.35</v>
      </c>
      <c r="H113" s="2" t="n">
        <v>1.394</v>
      </c>
      <c r="I113" s="2" t="n">
        <v>1.23</v>
      </c>
      <c r="J113" s="2" t="n">
        <v>1.133</v>
      </c>
      <c r="K113" s="2" t="n">
        <v>0.84</v>
      </c>
      <c r="L113" s="2" t="n">
        <v>0.952</v>
      </c>
      <c r="M113" s="2" t="n">
        <v>0.292</v>
      </c>
      <c r="N113" s="2" t="n">
        <v>0.708</v>
      </c>
      <c r="O113" s="2" t="n">
        <v>0.673</v>
      </c>
      <c r="P113" s="2" t="n">
        <v>0.278</v>
      </c>
      <c r="Q113" s="2" t="n">
        <v>2199296</v>
      </c>
      <c r="R113" s="2" t="n">
        <v>0.4547</v>
      </c>
      <c r="S113" s="2" t="n">
        <v>0.594</v>
      </c>
      <c r="T113" s="2" t="n">
        <v>75962445196493</v>
      </c>
      <c r="U113" s="2" t="n">
        <v>2.772629249671987e+16</v>
      </c>
      <c r="V113" s="2" t="n">
        <v>6903214187545</v>
      </c>
      <c r="W113" s="2" t="inlineStr">
        <is>
          <t>Medium</t>
        </is>
      </c>
      <c r="X113" s="2" t="inlineStr">
        <is>
          <t>Fact+Scenario</t>
        </is>
      </c>
      <c r="Y113" s="2" t="inlineStr">
        <is>
          <t>SRC_QWEN3_GITHUB</t>
        </is>
      </c>
      <c r="Z113" s="2" t="inlineStr">
        <is>
          <t>ASSUMP_MOE_EFFICIENCY; ASSUMP_CN_CAPACITY_TRANSPARENCY; ASSUMP_INFERENCE_SHARE_NOT_FACT_60</t>
        </is>
      </c>
    </row>
    <row r="114">
      <c r="A114" s="2" t="inlineStr">
        <is>
          <t>Bull</t>
        </is>
      </c>
      <c r="B114" s="2" t="inlineStr">
        <is>
          <t>Alibaba</t>
        </is>
      </c>
      <c r="C114" s="2" t="inlineStr">
        <is>
          <t>China</t>
        </is>
      </c>
      <c r="D114" s="2" t="inlineStr">
        <is>
          <t>Qwen / Qwen3</t>
        </is>
      </c>
      <c r="E114" s="2" t="inlineStr">
        <is>
          <t>Model Studio + Qwen API</t>
        </is>
      </c>
      <c r="F114" s="2" t="n">
        <v>2028</v>
      </c>
      <c r="G114" s="2" t="n">
        <v>2.9</v>
      </c>
      <c r="H114" s="2" t="n">
        <v>2.146</v>
      </c>
      <c r="I114" s="2" t="n">
        <v>1.23</v>
      </c>
      <c r="J114" s="2" t="n">
        <v>1.745</v>
      </c>
      <c r="K114" s="2" t="n">
        <v>0.84</v>
      </c>
      <c r="L114" s="2" t="n">
        <v>1.466</v>
      </c>
      <c r="M114" s="2" t="n">
        <v>0.235</v>
      </c>
      <c r="N114" s="2" t="n">
        <v>0.765</v>
      </c>
      <c r="O114" s="2" t="n">
        <v>1.121</v>
      </c>
      <c r="P114" s="2" t="n">
        <v>0.344</v>
      </c>
      <c r="Q114" s="2" t="n">
        <v>2573176</v>
      </c>
      <c r="R114" s="2" t="n">
        <v>0.3886</v>
      </c>
      <c r="S114" s="2" t="n">
        <v>0.636</v>
      </c>
      <c r="T114" s="2" t="n">
        <v>158506093577318</v>
      </c>
      <c r="U114" s="2" t="n">
        <v>5.785472415572122e+16</v>
      </c>
      <c r="V114" s="2" t="n">
        <v>10700928779600</v>
      </c>
      <c r="W114" s="2" t="inlineStr">
        <is>
          <t>Medium</t>
        </is>
      </c>
      <c r="X114" s="2" t="inlineStr">
        <is>
          <t>Fact+Scenario</t>
        </is>
      </c>
      <c r="Y114" s="2" t="inlineStr">
        <is>
          <t>SRC_QWEN3_GITHUB</t>
        </is>
      </c>
      <c r="Z114" s="2" t="inlineStr">
        <is>
          <t>ASSUMP_MOE_EFFICIENCY; ASSUMP_CN_CAPACITY_TRANSPARENCY; ASSUMP_INFERENCE_SHARE_NOT_FACT_60</t>
        </is>
      </c>
    </row>
    <row r="115">
      <c r="A115" s="2" t="inlineStr">
        <is>
          <t>Bull</t>
        </is>
      </c>
      <c r="B115" s="2" t="inlineStr">
        <is>
          <t>Alibaba</t>
        </is>
      </c>
      <c r="C115" s="2" t="inlineStr">
        <is>
          <t>China</t>
        </is>
      </c>
      <c r="D115" s="2" t="inlineStr">
        <is>
          <t>Qwen / Qwen3</t>
        </is>
      </c>
      <c r="E115" s="2" t="inlineStr">
        <is>
          <t>Model Studio + Qwen API</t>
        </is>
      </c>
      <c r="F115" s="2" t="n">
        <v>2029</v>
      </c>
      <c r="G115" s="2" t="n">
        <v>3.45</v>
      </c>
      <c r="H115" s="2" t="n">
        <v>2.94</v>
      </c>
      <c r="I115" s="2" t="n">
        <v>1.23</v>
      </c>
      <c r="J115" s="2" t="n">
        <v>2.391</v>
      </c>
      <c r="K115" s="2" t="n">
        <v>0.84</v>
      </c>
      <c r="L115" s="2" t="n">
        <v>2.008</v>
      </c>
      <c r="M115" s="2" t="n">
        <v>0.177</v>
      </c>
      <c r="N115" s="2" t="n">
        <v>0.823</v>
      </c>
      <c r="O115" s="2" t="n">
        <v>1.652</v>
      </c>
      <c r="P115" s="2" t="n">
        <v>0.356</v>
      </c>
      <c r="Q115" s="2" t="n">
        <v>3010616</v>
      </c>
      <c r="R115" s="2" t="n">
        <v>0.3322</v>
      </c>
      <c r="S115" s="2" t="n">
        <v>0.678</v>
      </c>
      <c r="T115" s="2" t="n">
        <v>291345855652454</v>
      </c>
      <c r="U115" s="2" t="n">
        <v>1.063412373131459e+17</v>
      </c>
      <c r="V115" s="2" t="n">
        <v>13812474221974</v>
      </c>
      <c r="W115" s="2" t="inlineStr">
        <is>
          <t>Medium</t>
        </is>
      </c>
      <c r="X115" s="2" t="inlineStr">
        <is>
          <t>Fact+Scenario</t>
        </is>
      </c>
      <c r="Y115" s="2" t="inlineStr">
        <is>
          <t>SRC_QWEN3_GITHUB</t>
        </is>
      </c>
      <c r="Z115" s="2" t="inlineStr">
        <is>
          <t>ASSUMP_MOE_EFFICIENCY; ASSUMP_CN_CAPACITY_TRANSPARENCY; ASSUMP_INFERENCE_SHARE_NOT_FACT_60</t>
        </is>
      </c>
    </row>
    <row r="116">
      <c r="A116" s="2" t="inlineStr">
        <is>
          <t>Bull</t>
        </is>
      </c>
      <c r="B116" s="2" t="inlineStr">
        <is>
          <t>Alibaba</t>
        </is>
      </c>
      <c r="C116" s="2" t="inlineStr">
        <is>
          <t>China</t>
        </is>
      </c>
      <c r="D116" s="2" t="inlineStr">
        <is>
          <t>Qwen / Qwen3</t>
        </is>
      </c>
      <c r="E116" s="2" t="inlineStr">
        <is>
          <t>Model Studio + Qwen API</t>
        </is>
      </c>
      <c r="F116" s="2" t="n">
        <v>2030</v>
      </c>
      <c r="G116" s="2" t="n">
        <v>4</v>
      </c>
      <c r="H116" s="2" t="n">
        <v>3.776</v>
      </c>
      <c r="I116" s="2" t="n">
        <v>1.23</v>
      </c>
      <c r="J116" s="2" t="n">
        <v>3.07</v>
      </c>
      <c r="K116" s="2" t="n">
        <v>0.84</v>
      </c>
      <c r="L116" s="2" t="n">
        <v>2.579</v>
      </c>
      <c r="M116" s="2" t="n">
        <v>0.12</v>
      </c>
      <c r="N116" s="2" t="n">
        <v>0.88</v>
      </c>
      <c r="O116" s="2" t="n">
        <v>2.269</v>
      </c>
      <c r="P116" s="2" t="n">
        <v>0.309</v>
      </c>
      <c r="Q116" s="2" t="n">
        <v>3522421</v>
      </c>
      <c r="R116" s="2" t="n">
        <v>0.2839</v>
      </c>
      <c r="S116" s="2" t="n">
        <v>0.721</v>
      </c>
      <c r="T116" s="2" t="n">
        <v>497880096122506</v>
      </c>
      <c r="U116" s="2" t="n">
        <v>1.817262350847145e+17</v>
      </c>
      <c r="V116" s="2" t="n">
        <v>14916654444428</v>
      </c>
      <c r="W116" s="2" t="inlineStr">
        <is>
          <t>Medium</t>
        </is>
      </c>
      <c r="X116" s="2" t="inlineStr">
        <is>
          <t>Fact+Scenario</t>
        </is>
      </c>
      <c r="Y116" s="2" t="inlineStr">
        <is>
          <t>SRC_QWEN3_GITHUB</t>
        </is>
      </c>
      <c r="Z116" s="2" t="inlineStr">
        <is>
          <t>ASSUMP_MOE_EFFICIENCY; ASSUMP_CN_CAPACITY_TRANSPARENCY; ASSUMP_INFERENCE_SHARE_NOT_FACT_60</t>
        </is>
      </c>
    </row>
    <row r="117">
      <c r="A117" s="2" t="inlineStr">
        <is>
          <t>Bull</t>
        </is>
      </c>
      <c r="B117" s="2" t="inlineStr">
        <is>
          <t>Tencent</t>
        </is>
      </c>
      <c r="C117" s="2" t="inlineStr">
        <is>
          <t>China</t>
        </is>
      </c>
      <c r="D117" s="2" t="inlineStr">
        <is>
          <t>Hunyuan / Yuanbao</t>
        </is>
      </c>
      <c r="E117" s="2" t="inlineStr">
        <is>
          <t>Yuanbao + WeChat/Tencent Cloud</t>
        </is>
      </c>
      <c r="F117" s="2" t="n">
        <v>2026</v>
      </c>
      <c r="G117" s="2" t="n">
        <v>1.2</v>
      </c>
      <c r="H117" s="2" t="n">
        <v>0.473</v>
      </c>
      <c r="I117" s="2" t="n">
        <v>1.23</v>
      </c>
      <c r="J117" s="2" t="n">
        <v>0.384</v>
      </c>
      <c r="K117" s="2" t="n">
        <v>0.84</v>
      </c>
      <c r="L117" s="2" t="n">
        <v>0.323</v>
      </c>
      <c r="M117" s="2" t="n">
        <v>0.35</v>
      </c>
      <c r="N117" s="2" t="n">
        <v>0.65</v>
      </c>
      <c r="O117" s="2" t="n">
        <v>0.21</v>
      </c>
      <c r="P117" s="2" t="n">
        <v>0.113</v>
      </c>
      <c r="Q117" s="2" t="n">
        <v>1416000</v>
      </c>
      <c r="R117" s="2" t="n">
        <v>0.7062</v>
      </c>
      <c r="S117" s="2" t="n">
        <v>0.551</v>
      </c>
      <c r="T117" s="2" t="n">
        <v>14156239104000</v>
      </c>
      <c r="U117" s="2" t="n">
        <v>5167027272960000</v>
      </c>
      <c r="V117" s="2" t="n">
        <v>1675829067264</v>
      </c>
      <c r="W117" s="2" t="inlineStr">
        <is>
          <t>Medium-Low</t>
        </is>
      </c>
      <c r="X117" s="2" t="inlineStr">
        <is>
          <t>Estimate+Scenario</t>
        </is>
      </c>
      <c r="Y117" s="2" t="inlineStr">
        <is>
          <t>SRC_TENCENT_HUNYUAN; SRC_TENCENT_HY3</t>
        </is>
      </c>
      <c r="Z117" s="2" t="inlineStr">
        <is>
          <t>ASSUMP_CN_CAPACITY_TRANSPARENCY; ASSUMP_APP_EMBEDDING; ASSUMP_INFERENCE_SHARE_NOT_FACT_60</t>
        </is>
      </c>
    </row>
    <row r="118">
      <c r="A118" s="2" t="inlineStr">
        <is>
          <t>Bull</t>
        </is>
      </c>
      <c r="B118" s="2" t="inlineStr">
        <is>
          <t>Tencent</t>
        </is>
      </c>
      <c r="C118" s="2" t="inlineStr">
        <is>
          <t>China</t>
        </is>
      </c>
      <c r="D118" s="2" t="inlineStr">
        <is>
          <t>Hunyuan / Yuanbao</t>
        </is>
      </c>
      <c r="E118" s="2" t="inlineStr">
        <is>
          <t>Yuanbao + WeChat/Tencent Cloud</t>
        </is>
      </c>
      <c r="F118" s="2" t="n">
        <v>2027</v>
      </c>
      <c r="G118" s="2" t="n">
        <v>1.65</v>
      </c>
      <c r="H118" s="2" t="n">
        <v>1.015</v>
      </c>
      <c r="I118" s="2" t="n">
        <v>1.23</v>
      </c>
      <c r="J118" s="2" t="n">
        <v>0.825</v>
      </c>
      <c r="K118" s="2" t="n">
        <v>0.84</v>
      </c>
      <c r="L118" s="2" t="n">
        <v>0.6929999999999999</v>
      </c>
      <c r="M118" s="2" t="n">
        <v>0.292</v>
      </c>
      <c r="N118" s="2" t="n">
        <v>0.708</v>
      </c>
      <c r="O118" s="2" t="n">
        <v>0.49</v>
      </c>
      <c r="P118" s="2" t="n">
        <v>0.203</v>
      </c>
      <c r="Q118" s="2" t="n">
        <v>1642560</v>
      </c>
      <c r="R118" s="2" t="n">
        <v>0.6088</v>
      </c>
      <c r="S118" s="2" t="n">
        <v>0.594</v>
      </c>
      <c r="T118" s="2" t="n">
        <v>41306415575040</v>
      </c>
      <c r="U118" s="2" t="n">
        <v>1.50768416848896e+16</v>
      </c>
      <c r="V118" s="2" t="n">
        <v>3764784733839</v>
      </c>
      <c r="W118" s="2" t="inlineStr">
        <is>
          <t>Medium-Low</t>
        </is>
      </c>
      <c r="X118" s="2" t="inlineStr">
        <is>
          <t>Estimate+Scenario</t>
        </is>
      </c>
      <c r="Y118" s="2" t="inlineStr">
        <is>
          <t>SRC_TENCENT_HUNYUAN; SRC_TENCENT_HY3</t>
        </is>
      </c>
      <c r="Z118" s="2" t="inlineStr">
        <is>
          <t>ASSUMP_CN_CAPACITY_TRANSPARENCY; ASSUMP_APP_EMBEDDING; ASSUMP_INFERENCE_SHARE_NOT_FACT_60</t>
        </is>
      </c>
    </row>
    <row r="119">
      <c r="A119" s="2" t="inlineStr">
        <is>
          <t>Bull</t>
        </is>
      </c>
      <c r="B119" s="2" t="inlineStr">
        <is>
          <t>Tencent</t>
        </is>
      </c>
      <c r="C119" s="2" t="inlineStr">
        <is>
          <t>China</t>
        </is>
      </c>
      <c r="D119" s="2" t="inlineStr">
        <is>
          <t>Hunyuan / Yuanbao</t>
        </is>
      </c>
      <c r="E119" s="2" t="inlineStr">
        <is>
          <t>Yuanbao + WeChat/Tencent Cloud</t>
        </is>
      </c>
      <c r="F119" s="2" t="n">
        <v>2028</v>
      </c>
      <c r="G119" s="2" t="n">
        <v>2.1</v>
      </c>
      <c r="H119" s="2" t="n">
        <v>1.589</v>
      </c>
      <c r="I119" s="2" t="n">
        <v>1.23</v>
      </c>
      <c r="J119" s="2" t="n">
        <v>1.292</v>
      </c>
      <c r="K119" s="2" t="n">
        <v>0.84</v>
      </c>
      <c r="L119" s="2" t="n">
        <v>1.085</v>
      </c>
      <c r="M119" s="2" t="n">
        <v>0.235</v>
      </c>
      <c r="N119" s="2" t="n">
        <v>0.765</v>
      </c>
      <c r="O119" s="2" t="n">
        <v>0.83</v>
      </c>
      <c r="P119" s="2" t="n">
        <v>0.255</v>
      </c>
      <c r="Q119" s="2" t="n">
        <v>1905370</v>
      </c>
      <c r="R119" s="2" t="n">
        <v>0.5248</v>
      </c>
      <c r="S119" s="2" t="n">
        <v>0.636</v>
      </c>
      <c r="T119" s="2" t="n">
        <v>86901700227840</v>
      </c>
      <c r="U119" s="2" t="n">
        <v>3.17191205831616e+16</v>
      </c>
      <c r="V119" s="2" t="n">
        <v>5873717328653</v>
      </c>
      <c r="W119" s="2" t="inlineStr">
        <is>
          <t>Medium-Low</t>
        </is>
      </c>
      <c r="X119" s="2" t="inlineStr">
        <is>
          <t>Estimate+Scenario</t>
        </is>
      </c>
      <c r="Y119" s="2" t="inlineStr">
        <is>
          <t>SRC_TENCENT_HUNYUAN; SRC_TENCENT_HY3</t>
        </is>
      </c>
      <c r="Z119" s="2" t="inlineStr">
        <is>
          <t>ASSUMP_CN_CAPACITY_TRANSPARENCY; ASSUMP_APP_EMBEDDING; ASSUMP_INFERENCE_SHARE_NOT_FACT_60</t>
        </is>
      </c>
    </row>
    <row r="120">
      <c r="A120" s="2" t="inlineStr">
        <is>
          <t>Bull</t>
        </is>
      </c>
      <c r="B120" s="2" t="inlineStr">
        <is>
          <t>Tencent</t>
        </is>
      </c>
      <c r="C120" s="2" t="inlineStr">
        <is>
          <t>China</t>
        </is>
      </c>
      <c r="D120" s="2" t="inlineStr">
        <is>
          <t>Hunyuan / Yuanbao</t>
        </is>
      </c>
      <c r="E120" s="2" t="inlineStr">
        <is>
          <t>Yuanbao + WeChat/Tencent Cloud</t>
        </is>
      </c>
      <c r="F120" s="2" t="n">
        <v>2029</v>
      </c>
      <c r="G120" s="2" t="n">
        <v>2.55</v>
      </c>
      <c r="H120" s="2" t="n">
        <v>2.195</v>
      </c>
      <c r="I120" s="2" t="n">
        <v>1.23</v>
      </c>
      <c r="J120" s="2" t="n">
        <v>1.784</v>
      </c>
      <c r="K120" s="2" t="n">
        <v>0.84</v>
      </c>
      <c r="L120" s="2" t="n">
        <v>1.499</v>
      </c>
      <c r="M120" s="2" t="n">
        <v>0.177</v>
      </c>
      <c r="N120" s="2" t="n">
        <v>0.823</v>
      </c>
      <c r="O120" s="2" t="n">
        <v>1.233</v>
      </c>
      <c r="P120" s="2" t="n">
        <v>0.266</v>
      </c>
      <c r="Q120" s="2" t="n">
        <v>2210229</v>
      </c>
      <c r="R120" s="2" t="n">
        <v>0.4524</v>
      </c>
      <c r="S120" s="2" t="n">
        <v>0.678</v>
      </c>
      <c r="T120" s="2" t="n">
        <v>159640759703174</v>
      </c>
      <c r="U120" s="2" t="n">
        <v>5.826887729165866e+16</v>
      </c>
      <c r="V120" s="2" t="n">
        <v>7576786097186</v>
      </c>
      <c r="W120" s="2" t="inlineStr">
        <is>
          <t>Medium-Low</t>
        </is>
      </c>
      <c r="X120" s="2" t="inlineStr">
        <is>
          <t>Estimate+Scenario</t>
        </is>
      </c>
      <c r="Y120" s="2" t="inlineStr">
        <is>
          <t>SRC_TENCENT_HUNYUAN; SRC_TENCENT_HY3</t>
        </is>
      </c>
      <c r="Z120" s="2" t="inlineStr">
        <is>
          <t>ASSUMP_CN_CAPACITY_TRANSPARENCY; ASSUMP_APP_EMBEDDING; ASSUMP_INFERENCE_SHARE_NOT_FACT_60</t>
        </is>
      </c>
    </row>
    <row r="121">
      <c r="A121" s="2" t="inlineStr">
        <is>
          <t>Bull</t>
        </is>
      </c>
      <c r="B121" s="2" t="inlineStr">
        <is>
          <t>Tencent</t>
        </is>
      </c>
      <c r="C121" s="2" t="inlineStr">
        <is>
          <t>China</t>
        </is>
      </c>
      <c r="D121" s="2" t="inlineStr">
        <is>
          <t>Hunyuan / Yuanbao</t>
        </is>
      </c>
      <c r="E121" s="2" t="inlineStr">
        <is>
          <t>Yuanbao + WeChat/Tencent Cloud</t>
        </is>
      </c>
      <c r="F121" s="2" t="n">
        <v>2030</v>
      </c>
      <c r="G121" s="2" t="n">
        <v>3</v>
      </c>
      <c r="H121" s="2" t="n">
        <v>2.832</v>
      </c>
      <c r="I121" s="2" t="n">
        <v>1.23</v>
      </c>
      <c r="J121" s="2" t="n">
        <v>2.302</v>
      </c>
      <c r="K121" s="2" t="n">
        <v>0.84</v>
      </c>
      <c r="L121" s="2" t="n">
        <v>1.934</v>
      </c>
      <c r="M121" s="2" t="n">
        <v>0.12</v>
      </c>
      <c r="N121" s="2" t="n">
        <v>0.88</v>
      </c>
      <c r="O121" s="2" t="n">
        <v>1.702</v>
      </c>
      <c r="P121" s="2" t="n">
        <v>0.232</v>
      </c>
      <c r="Q121" s="2" t="n">
        <v>2563865</v>
      </c>
      <c r="R121" s="2" t="n">
        <v>0.39</v>
      </c>
      <c r="S121" s="2" t="n">
        <v>0.721</v>
      </c>
      <c r="T121" s="2" t="n">
        <v>271833963018912</v>
      </c>
      <c r="U121" s="2" t="n">
        <v>9.921939650190288e+16</v>
      </c>
      <c r="V121" s="2" t="n">
        <v>8151824601930</v>
      </c>
      <c r="W121" s="2" t="inlineStr">
        <is>
          <t>Medium-Low</t>
        </is>
      </c>
      <c r="X121" s="2" t="inlineStr">
        <is>
          <t>Estimate+Scenario</t>
        </is>
      </c>
      <c r="Y121" s="2" t="inlineStr">
        <is>
          <t>SRC_TENCENT_HUNYUAN; SRC_TENCENT_HY3</t>
        </is>
      </c>
      <c r="Z121" s="2" t="inlineStr">
        <is>
          <t>ASSUMP_CN_CAPACITY_TRANSPARENCY; ASSUMP_APP_EMBEDDING; ASSUMP_INFERENCE_SHARE_NOT_FACT_60</t>
        </is>
      </c>
    </row>
    <row r="122">
      <c r="A122" s="2" t="inlineStr">
        <is>
          <t>Grid-Constrained / Efficiency-Upside</t>
        </is>
      </c>
      <c r="B122" s="2" t="inlineStr">
        <is>
          <t>Microsoft</t>
        </is>
      </c>
      <c r="C122" s="2" t="inlineStr">
        <is>
          <t>US</t>
        </is>
      </c>
      <c r="D122" s="2" t="inlineStr">
        <is>
          <t>Phi / MAI / Copilot model mix</t>
        </is>
      </c>
      <c r="E122" s="2" t="inlineStr">
        <is>
          <t>Copilot + Azure AI</t>
        </is>
      </c>
      <c r="F122" s="2" t="n">
        <v>2026</v>
      </c>
      <c r="G122" s="2" t="n">
        <v>4</v>
      </c>
      <c r="H122" s="2" t="n">
        <v>1.584</v>
      </c>
      <c r="I122" s="2" t="n">
        <v>1.2</v>
      </c>
      <c r="J122" s="2" t="n">
        <v>1.32</v>
      </c>
      <c r="K122" s="2" t="n">
        <v>0.86</v>
      </c>
      <c r="L122" s="2" t="n">
        <v>1.135</v>
      </c>
      <c r="M122" s="2" t="n">
        <v>0.43</v>
      </c>
      <c r="N122" s="2" t="n">
        <v>0.57</v>
      </c>
      <c r="O122" s="2" t="n">
        <v>0.647</v>
      </c>
      <c r="P122" s="2" t="n">
        <v>0.488</v>
      </c>
      <c r="Q122" s="2" t="n">
        <v>1239000</v>
      </c>
      <c r="R122" s="2" t="n">
        <v>0.8071</v>
      </c>
      <c r="S122" s="2" t="n">
        <v>0.551</v>
      </c>
      <c r="T122" s="2" t="n">
        <v>38162861251200</v>
      </c>
      <c r="U122" s="2" t="n">
        <v>1.3929444356688e+16</v>
      </c>
      <c r="V122" s="2" t="n">
        <v>6332557625856</v>
      </c>
      <c r="W122" s="2" t="inlineStr">
        <is>
          <t>Medium</t>
        </is>
      </c>
      <c r="X122" s="2" t="inlineStr">
        <is>
          <t>Estimate+Scenario</t>
        </is>
      </c>
      <c r="Y122" s="2" t="inlineStr">
        <is>
          <t>SRC_MS_PHI; SRC_OPENAI_GPT41_DOCS; SRC_MS_PHI4_TECHREPORT</t>
        </is>
      </c>
      <c r="Z122" s="2" t="inlineStr">
        <is>
          <t>ASSUMP_POWER_RAMP; ASSUMP_MS_OPENAI_ATTRIBUTION; ASSUMP_INFERENCE_SHARE_NOT_FACT_60</t>
        </is>
      </c>
    </row>
    <row r="123">
      <c r="A123" s="2" t="inlineStr">
        <is>
          <t>Grid-Constrained / Efficiency-Upside</t>
        </is>
      </c>
      <c r="B123" s="2" t="inlineStr">
        <is>
          <t>Microsoft</t>
        </is>
      </c>
      <c r="C123" s="2" t="inlineStr">
        <is>
          <t>US</t>
        </is>
      </c>
      <c r="D123" s="2" t="inlineStr">
        <is>
          <t>Phi / MAI / Copilot model mix</t>
        </is>
      </c>
      <c r="E123" s="2" t="inlineStr">
        <is>
          <t>Copilot + Azure AI</t>
        </is>
      </c>
      <c r="F123" s="2" t="n">
        <v>2027</v>
      </c>
      <c r="G123" s="2" t="n">
        <v>5.25</v>
      </c>
      <c r="H123" s="2" t="n">
        <v>2.436</v>
      </c>
      <c r="I123" s="2" t="n">
        <v>1.2</v>
      </c>
      <c r="J123" s="2" t="n">
        <v>2.03</v>
      </c>
      <c r="K123" s="2" t="n">
        <v>0.86</v>
      </c>
      <c r="L123" s="2" t="n">
        <v>1.746</v>
      </c>
      <c r="M123" s="2" t="n">
        <v>0.375</v>
      </c>
      <c r="N123" s="2" t="n">
        <v>0.625</v>
      </c>
      <c r="O123" s="2" t="n">
        <v>1.091</v>
      </c>
      <c r="P123" s="2" t="n">
        <v>0.655</v>
      </c>
      <c r="Q123" s="2" t="n">
        <v>1437240</v>
      </c>
      <c r="R123" s="2" t="n">
        <v>0.6958</v>
      </c>
      <c r="S123" s="2" t="n">
        <v>0.587</v>
      </c>
      <c r="T123" s="2" t="n">
        <v>79525405072512</v>
      </c>
      <c r="U123" s="2" t="n">
        <v>2.902677285146688e+16</v>
      </c>
      <c r="V123" s="2" t="n">
        <v>10503767984371</v>
      </c>
      <c r="W123" s="2" t="inlineStr">
        <is>
          <t>Medium</t>
        </is>
      </c>
      <c r="X123" s="2" t="inlineStr">
        <is>
          <t>Estimate+Scenario</t>
        </is>
      </c>
      <c r="Y123" s="2" t="inlineStr">
        <is>
          <t>SRC_MS_PHI; SRC_OPENAI_GPT41_DOCS; SRC_MS_PHI4_TECHREPORT</t>
        </is>
      </c>
      <c r="Z123" s="2" t="inlineStr">
        <is>
          <t>ASSUMP_POWER_RAMP; ASSUMP_MS_OPENAI_ATTRIBUTION; ASSUMP_INFERENCE_SHARE_NOT_FACT_60</t>
        </is>
      </c>
    </row>
    <row r="124">
      <c r="A124" s="2" t="inlineStr">
        <is>
          <t>Grid-Constrained / Efficiency-Upside</t>
        </is>
      </c>
      <c r="B124" s="2" t="inlineStr">
        <is>
          <t>Microsoft</t>
        </is>
      </c>
      <c r="C124" s="2" t="inlineStr">
        <is>
          <t>US</t>
        </is>
      </c>
      <c r="D124" s="2" t="inlineStr">
        <is>
          <t>Phi / MAI / Copilot model mix</t>
        </is>
      </c>
      <c r="E124" s="2" t="inlineStr">
        <is>
          <t>Copilot + Azure AI</t>
        </is>
      </c>
      <c r="F124" s="2" t="n">
        <v>2028</v>
      </c>
      <c r="G124" s="2" t="n">
        <v>6.5</v>
      </c>
      <c r="H124" s="2" t="n">
        <v>3.2</v>
      </c>
      <c r="I124" s="2" t="n">
        <v>1.2</v>
      </c>
      <c r="J124" s="2" t="n">
        <v>2.667</v>
      </c>
      <c r="K124" s="2" t="n">
        <v>0.86</v>
      </c>
      <c r="L124" s="2" t="n">
        <v>2.293</v>
      </c>
      <c r="M124" s="2" t="n">
        <v>0.32</v>
      </c>
      <c r="N124" s="2" t="n">
        <v>0.68</v>
      </c>
      <c r="O124" s="2" t="n">
        <v>1.559</v>
      </c>
      <c r="P124" s="2" t="n">
        <v>0.734</v>
      </c>
      <c r="Q124" s="2" t="n">
        <v>1667198</v>
      </c>
      <c r="R124" s="2" t="n">
        <v>0.5998</v>
      </c>
      <c r="S124" s="2" t="n">
        <v>0.622</v>
      </c>
      <c r="T124" s="2" t="n">
        <v>139681028120026</v>
      </c>
      <c r="U124" s="2" t="n">
        <v>5.098357526380934e+16</v>
      </c>
      <c r="V124" s="2" t="n">
        <v>14468051584876</v>
      </c>
      <c r="W124" s="2" t="inlineStr">
        <is>
          <t>Medium</t>
        </is>
      </c>
      <c r="X124" s="2" t="inlineStr">
        <is>
          <t>Estimate+Scenario</t>
        </is>
      </c>
      <c r="Y124" s="2" t="inlineStr">
        <is>
          <t>SRC_MS_PHI; SRC_OPENAI_GPT41_DOCS; SRC_MS_PHI4_TECHREPORT</t>
        </is>
      </c>
      <c r="Z124" s="2" t="inlineStr">
        <is>
          <t>ASSUMP_POWER_RAMP; ASSUMP_MS_OPENAI_ATTRIBUTION; ASSUMP_INFERENCE_SHARE_NOT_FACT_60</t>
        </is>
      </c>
    </row>
    <row r="125">
      <c r="A125" s="2" t="inlineStr">
        <is>
          <t>Grid-Constrained / Efficiency-Upside</t>
        </is>
      </c>
      <c r="B125" s="2" t="inlineStr">
        <is>
          <t>Microsoft</t>
        </is>
      </c>
      <c r="C125" s="2" t="inlineStr">
        <is>
          <t>US</t>
        </is>
      </c>
      <c r="D125" s="2" t="inlineStr">
        <is>
          <t>Phi / MAI / Copilot model mix</t>
        </is>
      </c>
      <c r="E125" s="2" t="inlineStr">
        <is>
          <t>Copilot + Azure AI</t>
        </is>
      </c>
      <c r="F125" s="2" t="n">
        <v>2029</v>
      </c>
      <c r="G125" s="2" t="n">
        <v>7.75</v>
      </c>
      <c r="H125" s="2" t="n">
        <v>3.876</v>
      </c>
      <c r="I125" s="2" t="n">
        <v>1.2</v>
      </c>
      <c r="J125" s="2" t="n">
        <v>3.23</v>
      </c>
      <c r="K125" s="2" t="n">
        <v>0.86</v>
      </c>
      <c r="L125" s="2" t="n">
        <v>2.778</v>
      </c>
      <c r="M125" s="2" t="n">
        <v>0.265</v>
      </c>
      <c r="N125" s="2" t="n">
        <v>0.735</v>
      </c>
      <c r="O125" s="2" t="n">
        <v>2.042</v>
      </c>
      <c r="P125" s="2" t="n">
        <v>0.736</v>
      </c>
      <c r="Q125" s="2" t="n">
        <v>1933950</v>
      </c>
      <c r="R125" s="2" t="n">
        <v>0.5171</v>
      </c>
      <c r="S125" s="2" t="n">
        <v>0.658</v>
      </c>
      <c r="T125" s="2" t="n">
        <v>224512546366080</v>
      </c>
      <c r="U125" s="2" t="n">
        <v>8.194707942361918e+16</v>
      </c>
      <c r="V125" s="2" t="n">
        <v>17802679484621</v>
      </c>
      <c r="W125" s="2" t="inlineStr">
        <is>
          <t>Medium</t>
        </is>
      </c>
      <c r="X125" s="2" t="inlineStr">
        <is>
          <t>Estimate+Scenario</t>
        </is>
      </c>
      <c r="Y125" s="2" t="inlineStr">
        <is>
          <t>SRC_MS_PHI; SRC_OPENAI_GPT41_DOCS; SRC_MS_PHI4_TECHREPORT</t>
        </is>
      </c>
      <c r="Z125" s="2" t="inlineStr">
        <is>
          <t>ASSUMP_POWER_RAMP; ASSUMP_MS_OPENAI_ATTRIBUTION; ASSUMP_INFERENCE_SHARE_NOT_FACT_60</t>
        </is>
      </c>
    </row>
    <row r="126">
      <c r="A126" s="2" t="inlineStr">
        <is>
          <t>Grid-Constrained / Efficiency-Upside</t>
        </is>
      </c>
      <c r="B126" s="2" t="inlineStr">
        <is>
          <t>Microsoft</t>
        </is>
      </c>
      <c r="C126" s="2" t="inlineStr">
        <is>
          <t>US</t>
        </is>
      </c>
      <c r="D126" s="2" t="inlineStr">
        <is>
          <t>Phi / MAI / Copilot model mix</t>
        </is>
      </c>
      <c r="E126" s="2" t="inlineStr">
        <is>
          <t>Copilot + Azure AI</t>
        </is>
      </c>
      <c r="F126" s="2" t="n">
        <v>2030</v>
      </c>
      <c r="G126" s="2" t="n">
        <v>9</v>
      </c>
      <c r="H126" s="2" t="n">
        <v>4.464</v>
      </c>
      <c r="I126" s="2" t="n">
        <v>1.2</v>
      </c>
      <c r="J126" s="2" t="n">
        <v>3.72</v>
      </c>
      <c r="K126" s="2" t="n">
        <v>0.86</v>
      </c>
      <c r="L126" s="2" t="n">
        <v>3.199</v>
      </c>
      <c r="M126" s="2" t="n">
        <v>0.21</v>
      </c>
      <c r="N126" s="2" t="n">
        <v>0.79</v>
      </c>
      <c r="O126" s="2" t="n">
        <v>2.527</v>
      </c>
      <c r="P126" s="2" t="n">
        <v>0.672</v>
      </c>
      <c r="Q126" s="2" t="n">
        <v>2243382</v>
      </c>
      <c r="R126" s="2" t="n">
        <v>0.4458</v>
      </c>
      <c r="S126" s="2" t="n">
        <v>0.694</v>
      </c>
      <c r="T126" s="2" t="n">
        <v>339923888229542</v>
      </c>
      <c r="U126" s="2" t="n">
        <v>1.24072219203783e+17</v>
      </c>
      <c r="V126" s="2" t="n">
        <v>19886959887557</v>
      </c>
      <c r="W126" s="2" t="inlineStr">
        <is>
          <t>Medium</t>
        </is>
      </c>
      <c r="X126" s="2" t="inlineStr">
        <is>
          <t>Estimate+Scenario</t>
        </is>
      </c>
      <c r="Y126" s="2" t="inlineStr">
        <is>
          <t>SRC_MS_PHI; SRC_OPENAI_GPT41_DOCS; SRC_MS_PHI4_TECHREPORT</t>
        </is>
      </c>
      <c r="Z126" s="2" t="inlineStr">
        <is>
          <t>ASSUMP_POWER_RAMP; ASSUMP_MS_OPENAI_ATTRIBUTION; ASSUMP_INFERENCE_SHARE_NOT_FACT_60</t>
        </is>
      </c>
    </row>
    <row r="127">
      <c r="A127" s="2" t="inlineStr">
        <is>
          <t>Grid-Constrained / Efficiency-Upside</t>
        </is>
      </c>
      <c r="B127" s="2" t="inlineStr">
        <is>
          <t>Google</t>
        </is>
      </c>
      <c r="C127" s="2" t="inlineStr">
        <is>
          <t>US</t>
        </is>
      </c>
      <c r="D127" s="2" t="inlineStr">
        <is>
          <t>Gemini / Gemma</t>
        </is>
      </c>
      <c r="E127" s="2" t="inlineStr">
        <is>
          <t>Gemini + Workspace + Vertex</t>
        </is>
      </c>
      <c r="F127" s="2" t="n">
        <v>2026</v>
      </c>
      <c r="G127" s="2" t="n">
        <v>4.5</v>
      </c>
      <c r="H127" s="2" t="n">
        <v>1.936</v>
      </c>
      <c r="I127" s="2" t="n">
        <v>1.18</v>
      </c>
      <c r="J127" s="2" t="n">
        <v>1.641</v>
      </c>
      <c r="K127" s="2" t="n">
        <v>0.88</v>
      </c>
      <c r="L127" s="2" t="n">
        <v>1.444</v>
      </c>
      <c r="M127" s="2" t="n">
        <v>0.43</v>
      </c>
      <c r="N127" s="2" t="n">
        <v>0.57</v>
      </c>
      <c r="O127" s="2" t="n">
        <v>0.823</v>
      </c>
      <c r="P127" s="2" t="n">
        <v>0.621</v>
      </c>
      <c r="Q127" s="2" t="n">
        <v>1475000</v>
      </c>
      <c r="R127" s="2" t="n">
        <v>0.678</v>
      </c>
      <c r="S127" s="2" t="n">
        <v>0.571</v>
      </c>
      <c r="T127" s="2" t="n">
        <v>59888261520000</v>
      </c>
      <c r="U127" s="2" t="n">
        <v>2.18592154548e+16</v>
      </c>
      <c r="V127" s="2" t="n">
        <v>9941596948800</v>
      </c>
      <c r="W127" s="2" t="inlineStr">
        <is>
          <t>Medium-High</t>
        </is>
      </c>
      <c r="X127" s="2" t="inlineStr">
        <is>
          <t>Estimate+Scenario</t>
        </is>
      </c>
      <c r="Y127" s="2" t="inlineStr">
        <is>
          <t>SRC_GOOGLE_GEMINI_TOKENS; SRC_GOOGLE_IRONWOOD; SRC_GOOGLE_TPU_V6E</t>
        </is>
      </c>
      <c r="Z127" s="2" t="inlineStr">
        <is>
          <t>ASSUMP_TPU_EFFICIENCY; ASSUMP_POWER_RAMP; ASSUMP_INFERENCE_SHARE_NOT_FACT_60</t>
        </is>
      </c>
    </row>
    <row r="128">
      <c r="A128" s="2" t="inlineStr">
        <is>
          <t>Grid-Constrained / Efficiency-Upside</t>
        </is>
      </c>
      <c r="B128" s="2" t="inlineStr">
        <is>
          <t>Google</t>
        </is>
      </c>
      <c r="C128" s="2" t="inlineStr">
        <is>
          <t>US</t>
        </is>
      </c>
      <c r="D128" s="2" t="inlineStr">
        <is>
          <t>Gemini / Gemma</t>
        </is>
      </c>
      <c r="E128" s="2" t="inlineStr">
        <is>
          <t>Gemini + Workspace + Vertex</t>
        </is>
      </c>
      <c r="F128" s="2" t="n">
        <v>2027</v>
      </c>
      <c r="G128" s="2" t="n">
        <v>5.375</v>
      </c>
      <c r="H128" s="2" t="n">
        <v>2.814</v>
      </c>
      <c r="I128" s="2" t="n">
        <v>1.18</v>
      </c>
      <c r="J128" s="2" t="n">
        <v>2.385</v>
      </c>
      <c r="K128" s="2" t="n">
        <v>0.88</v>
      </c>
      <c r="L128" s="2" t="n">
        <v>2.099</v>
      </c>
      <c r="M128" s="2" t="n">
        <v>0.382</v>
      </c>
      <c r="N128" s="2" t="n">
        <v>0.618</v>
      </c>
      <c r="O128" s="2" t="n">
        <v>1.296</v>
      </c>
      <c r="P128" s="2" t="n">
        <v>0.803</v>
      </c>
      <c r="Q128" s="2" t="n">
        <v>1740500</v>
      </c>
      <c r="R128" s="2" t="n">
        <v>0.5745</v>
      </c>
      <c r="S128" s="2" t="n">
        <v>0.607</v>
      </c>
      <c r="T128" s="2" t="n">
        <v>118299106022400</v>
      </c>
      <c r="U128" s="2" t="n">
        <v>4.3179173698176e+16</v>
      </c>
      <c r="V128" s="2" t="n">
        <v>16125555609504</v>
      </c>
      <c r="W128" s="2" t="inlineStr">
        <is>
          <t>Medium-High</t>
        </is>
      </c>
      <c r="X128" s="2" t="inlineStr">
        <is>
          <t>Estimate+Scenario</t>
        </is>
      </c>
      <c r="Y128" s="2" t="inlineStr">
        <is>
          <t>SRC_GOOGLE_GEMINI_TOKENS; SRC_GOOGLE_IRONWOOD; SRC_GOOGLE_TPU_V6E</t>
        </is>
      </c>
      <c r="Z128" s="2" t="inlineStr">
        <is>
          <t>ASSUMP_TPU_EFFICIENCY; ASSUMP_POWER_RAMP; ASSUMP_INFERENCE_SHARE_NOT_FACT_60</t>
        </is>
      </c>
    </row>
    <row r="129">
      <c r="A129" s="2" t="inlineStr">
        <is>
          <t>Grid-Constrained / Efficiency-Upside</t>
        </is>
      </c>
      <c r="B129" s="2" t="inlineStr">
        <is>
          <t>Google</t>
        </is>
      </c>
      <c r="C129" s="2" t="inlineStr">
        <is>
          <t>US</t>
        </is>
      </c>
      <c r="D129" s="2" t="inlineStr">
        <is>
          <t>Gemini / Gemma</t>
        </is>
      </c>
      <c r="E129" s="2" t="inlineStr">
        <is>
          <t>Gemini + Workspace + Vertex</t>
        </is>
      </c>
      <c r="F129" s="2" t="n">
        <v>2028</v>
      </c>
      <c r="G129" s="2" t="n">
        <v>6.25</v>
      </c>
      <c r="H129" s="2" t="n">
        <v>3.6</v>
      </c>
      <c r="I129" s="2" t="n">
        <v>1.18</v>
      </c>
      <c r="J129" s="2" t="n">
        <v>3.051</v>
      </c>
      <c r="K129" s="2" t="n">
        <v>0.88</v>
      </c>
      <c r="L129" s="2" t="n">
        <v>2.685</v>
      </c>
      <c r="M129" s="2" t="n">
        <v>0.335</v>
      </c>
      <c r="N129" s="2" t="n">
        <v>0.665</v>
      </c>
      <c r="O129" s="2" t="n">
        <v>1.785</v>
      </c>
      <c r="P129" s="2" t="n">
        <v>0.899</v>
      </c>
      <c r="Q129" s="2" t="n">
        <v>2053790</v>
      </c>
      <c r="R129" s="2" t="n">
        <v>0.4869</v>
      </c>
      <c r="S129" s="2" t="n">
        <v>0.643</v>
      </c>
      <c r="T129" s="2" t="n">
        <v>203666204861280</v>
      </c>
      <c r="U129" s="2" t="n">
        <v>7.433816477436722e+16</v>
      </c>
      <c r="V129" s="2" t="n">
        <v>22566443696058</v>
      </c>
      <c r="W129" s="2" t="inlineStr">
        <is>
          <t>Medium-High</t>
        </is>
      </c>
      <c r="X129" s="2" t="inlineStr">
        <is>
          <t>Estimate+Scenario</t>
        </is>
      </c>
      <c r="Y129" s="2" t="inlineStr">
        <is>
          <t>SRC_GOOGLE_GEMINI_TOKENS; SRC_GOOGLE_IRONWOOD; SRC_GOOGLE_TPU_V6E</t>
        </is>
      </c>
      <c r="Z129" s="2" t="inlineStr">
        <is>
          <t>ASSUMP_TPU_EFFICIENCY; ASSUMP_POWER_RAMP; ASSUMP_INFERENCE_SHARE_NOT_FACT_60</t>
        </is>
      </c>
    </row>
    <row r="130">
      <c r="A130" s="2" t="inlineStr">
        <is>
          <t>Grid-Constrained / Efficiency-Upside</t>
        </is>
      </c>
      <c r="B130" s="2" t="inlineStr">
        <is>
          <t>Google</t>
        </is>
      </c>
      <c r="C130" s="2" t="inlineStr">
        <is>
          <t>US</t>
        </is>
      </c>
      <c r="D130" s="2" t="inlineStr">
        <is>
          <t>Gemini / Gemma</t>
        </is>
      </c>
      <c r="E130" s="2" t="inlineStr">
        <is>
          <t>Gemini + Workspace + Vertex</t>
        </is>
      </c>
      <c r="F130" s="2" t="n">
        <v>2029</v>
      </c>
      <c r="G130" s="2" t="n">
        <v>7.125</v>
      </c>
      <c r="H130" s="2" t="n">
        <v>4.294</v>
      </c>
      <c r="I130" s="2" t="n">
        <v>1.18</v>
      </c>
      <c r="J130" s="2" t="n">
        <v>3.639</v>
      </c>
      <c r="K130" s="2" t="n">
        <v>0.88</v>
      </c>
      <c r="L130" s="2" t="n">
        <v>3.202</v>
      </c>
      <c r="M130" s="2" t="n">
        <v>0.287</v>
      </c>
      <c r="N130" s="2" t="n">
        <v>0.713</v>
      </c>
      <c r="O130" s="2" t="n">
        <v>2.282</v>
      </c>
      <c r="P130" s="2" t="n">
        <v>0.921</v>
      </c>
      <c r="Q130" s="2" t="n">
        <v>2423472</v>
      </c>
      <c r="R130" s="2" t="n">
        <v>0.4126</v>
      </c>
      <c r="S130" s="2" t="n">
        <v>0.678</v>
      </c>
      <c r="T130" s="2" t="n">
        <v>323964246341837</v>
      </c>
      <c r="U130" s="2" t="n">
        <v>1.182469499147704e+17</v>
      </c>
      <c r="V130" s="2" t="n">
        <v>28764958630054</v>
      </c>
      <c r="W130" s="2" t="inlineStr">
        <is>
          <t>Medium-High</t>
        </is>
      </c>
      <c r="X130" s="2" t="inlineStr">
        <is>
          <t>Estimate+Scenario</t>
        </is>
      </c>
      <c r="Y130" s="2" t="inlineStr">
        <is>
          <t>SRC_GOOGLE_GEMINI_TOKENS; SRC_GOOGLE_IRONWOOD; SRC_GOOGLE_TPU_V6E</t>
        </is>
      </c>
      <c r="Z130" s="2" t="inlineStr">
        <is>
          <t>ASSUMP_TPU_EFFICIENCY; ASSUMP_POWER_RAMP; ASSUMP_INFERENCE_SHARE_NOT_FACT_60</t>
        </is>
      </c>
    </row>
    <row r="131">
      <c r="A131" s="2" t="inlineStr">
        <is>
          <t>Grid-Constrained / Efficiency-Upside</t>
        </is>
      </c>
      <c r="B131" s="2" t="inlineStr">
        <is>
          <t>Google</t>
        </is>
      </c>
      <c r="C131" s="2" t="inlineStr">
        <is>
          <t>US</t>
        </is>
      </c>
      <c r="D131" s="2" t="inlineStr">
        <is>
          <t>Gemini / Gemma</t>
        </is>
      </c>
      <c r="E131" s="2" t="inlineStr">
        <is>
          <t>Gemini + Workspace + Vertex</t>
        </is>
      </c>
      <c r="F131" s="2" t="n">
        <v>2030</v>
      </c>
      <c r="G131" s="2" t="n">
        <v>8</v>
      </c>
      <c r="H131" s="2" t="n">
        <v>4.896</v>
      </c>
      <c r="I131" s="2" t="n">
        <v>1.18</v>
      </c>
      <c r="J131" s="2" t="n">
        <v>4.149</v>
      </c>
      <c r="K131" s="2" t="n">
        <v>0.88</v>
      </c>
      <c r="L131" s="2" t="n">
        <v>3.651</v>
      </c>
      <c r="M131" s="2" t="n">
        <v>0.24</v>
      </c>
      <c r="N131" s="2" t="n">
        <v>0.76</v>
      </c>
      <c r="O131" s="2" t="n">
        <v>2.775</v>
      </c>
      <c r="P131" s="2" t="n">
        <v>0.876</v>
      </c>
      <c r="Q131" s="2" t="n">
        <v>2859697</v>
      </c>
      <c r="R131" s="2" t="n">
        <v>0.3497</v>
      </c>
      <c r="S131" s="2" t="n">
        <v>0.714</v>
      </c>
      <c r="T131" s="2" t="n">
        <v>489547640242080</v>
      </c>
      <c r="U131" s="2" t="n">
        <v>1.786848886883592e+17</v>
      </c>
      <c r="V131" s="2" t="n">
        <v>33998422063947</v>
      </c>
      <c r="W131" s="2" t="inlineStr">
        <is>
          <t>Medium-High</t>
        </is>
      </c>
      <c r="X131" s="2" t="inlineStr">
        <is>
          <t>Estimate+Scenario</t>
        </is>
      </c>
      <c r="Y131" s="2" t="inlineStr">
        <is>
          <t>SRC_GOOGLE_GEMINI_TOKENS; SRC_GOOGLE_IRONWOOD; SRC_GOOGLE_TPU_V6E</t>
        </is>
      </c>
      <c r="Z131" s="2" t="inlineStr">
        <is>
          <t>ASSUMP_TPU_EFFICIENCY; ASSUMP_POWER_RAMP; ASSUMP_INFERENCE_SHARE_NOT_FACT_60</t>
        </is>
      </c>
    </row>
    <row r="132">
      <c r="A132" s="2" t="inlineStr">
        <is>
          <t>Grid-Constrained / Efficiency-Upside</t>
        </is>
      </c>
      <c r="B132" s="2" t="inlineStr">
        <is>
          <t>Meta</t>
        </is>
      </c>
      <c r="C132" s="2" t="inlineStr">
        <is>
          <t>US</t>
        </is>
      </c>
      <c r="D132" s="2" t="inlineStr">
        <is>
          <t>Llama / Meta AI</t>
        </is>
      </c>
      <c r="E132" s="2" t="inlineStr">
        <is>
          <t>Meta AI + family apps</t>
        </is>
      </c>
      <c r="F132" s="2" t="n">
        <v>2026</v>
      </c>
      <c r="G132" s="2" t="n">
        <v>3.5</v>
      </c>
      <c r="H132" s="2" t="n">
        <v>1.408</v>
      </c>
      <c r="I132" s="2" t="n">
        <v>1.2</v>
      </c>
      <c r="J132" s="2" t="n">
        <v>1.173</v>
      </c>
      <c r="K132" s="2" t="n">
        <v>0.87</v>
      </c>
      <c r="L132" s="2" t="n">
        <v>1.021</v>
      </c>
      <c r="M132" s="2" t="n">
        <v>0.4</v>
      </c>
      <c r="N132" s="2" t="n">
        <v>0.6</v>
      </c>
      <c r="O132" s="2" t="n">
        <v>0.612</v>
      </c>
      <c r="P132" s="2" t="n">
        <v>0.408</v>
      </c>
      <c r="Q132" s="2" t="n">
        <v>1321600</v>
      </c>
      <c r="R132" s="2" t="n">
        <v>0.7567</v>
      </c>
      <c r="S132" s="2" t="n">
        <v>0.5610000000000001</v>
      </c>
      <c r="T132" s="2" t="n">
        <v>39203790151680</v>
      </c>
      <c r="U132" s="2" t="n">
        <v>1.43093834053632e+16</v>
      </c>
      <c r="V132" s="2" t="n">
        <v>5749889222246</v>
      </c>
      <c r="W132" s="2" t="inlineStr">
        <is>
          <t>Medium</t>
        </is>
      </c>
      <c r="X132" s="2" t="inlineStr">
        <is>
          <t>Estimate+Scenario</t>
        </is>
      </c>
      <c r="Y132" s="2" t="inlineStr">
        <is>
          <t>SRC_META_LLAMA; SRC_META_LLAMA4_NVIDIA</t>
        </is>
      </c>
      <c r="Z132" s="2" t="inlineStr">
        <is>
          <t>ASSUMP_CONSUMER_AI_UTILIZATION; ASSUMP_POWER_RAMP; ASSUMP_INFERENCE_SHARE_NOT_FACT_60</t>
        </is>
      </c>
    </row>
    <row r="133">
      <c r="A133" s="2" t="inlineStr">
        <is>
          <t>Grid-Constrained / Efficiency-Upside</t>
        </is>
      </c>
      <c r="B133" s="2" t="inlineStr">
        <is>
          <t>Meta</t>
        </is>
      </c>
      <c r="C133" s="2" t="inlineStr">
        <is>
          <t>US</t>
        </is>
      </c>
      <c r="D133" s="2" t="inlineStr">
        <is>
          <t>Llama / Meta AI</t>
        </is>
      </c>
      <c r="E133" s="2" t="inlineStr">
        <is>
          <t>Meta AI + family apps</t>
        </is>
      </c>
      <c r="F133" s="2" t="n">
        <v>2027</v>
      </c>
      <c r="G133" s="2" t="n">
        <v>4.375</v>
      </c>
      <c r="H133" s="2" t="n">
        <v>2.226</v>
      </c>
      <c r="I133" s="2" t="n">
        <v>1.2</v>
      </c>
      <c r="J133" s="2" t="n">
        <v>1.855</v>
      </c>
      <c r="K133" s="2" t="n">
        <v>0.87</v>
      </c>
      <c r="L133" s="2" t="n">
        <v>1.614</v>
      </c>
      <c r="M133" s="2" t="n">
        <v>0.345</v>
      </c>
      <c r="N133" s="2" t="n">
        <v>0.655</v>
      </c>
      <c r="O133" s="2" t="n">
        <v>1.057</v>
      </c>
      <c r="P133" s="2" t="n">
        <v>0.5570000000000001</v>
      </c>
      <c r="Q133" s="2" t="n">
        <v>1533056</v>
      </c>
      <c r="R133" s="2" t="n">
        <v>0.6523</v>
      </c>
      <c r="S133" s="2" t="n">
        <v>0.599</v>
      </c>
      <c r="T133" s="2" t="n">
        <v>83863613520691</v>
      </c>
      <c r="U133" s="2" t="n">
        <v>3.061021893505229e+16</v>
      </c>
      <c r="V133" s="2" t="n">
        <v>9722466604376</v>
      </c>
      <c r="W133" s="2" t="inlineStr">
        <is>
          <t>Medium</t>
        </is>
      </c>
      <c r="X133" s="2" t="inlineStr">
        <is>
          <t>Estimate+Scenario</t>
        </is>
      </c>
      <c r="Y133" s="2" t="inlineStr">
        <is>
          <t>SRC_META_LLAMA; SRC_META_LLAMA4_NVIDIA</t>
        </is>
      </c>
      <c r="Z133" s="2" t="inlineStr">
        <is>
          <t>ASSUMP_CONSUMER_AI_UTILIZATION; ASSUMP_POWER_RAMP; ASSUMP_INFERENCE_SHARE_NOT_FACT_60</t>
        </is>
      </c>
    </row>
    <row r="134">
      <c r="A134" s="2" t="inlineStr">
        <is>
          <t>Grid-Constrained / Efficiency-Upside</t>
        </is>
      </c>
      <c r="B134" s="2" t="inlineStr">
        <is>
          <t>Meta</t>
        </is>
      </c>
      <c r="C134" s="2" t="inlineStr">
        <is>
          <t>US</t>
        </is>
      </c>
      <c r="D134" s="2" t="inlineStr">
        <is>
          <t>Llama / Meta AI</t>
        </is>
      </c>
      <c r="E134" s="2" t="inlineStr">
        <is>
          <t>Meta AI + family apps</t>
        </is>
      </c>
      <c r="F134" s="2" t="n">
        <v>2028</v>
      </c>
      <c r="G134" s="2" t="n">
        <v>5.25</v>
      </c>
      <c r="H134" s="2" t="n">
        <v>2.96</v>
      </c>
      <c r="I134" s="2" t="n">
        <v>1.2</v>
      </c>
      <c r="J134" s="2" t="n">
        <v>2.467</v>
      </c>
      <c r="K134" s="2" t="n">
        <v>0.87</v>
      </c>
      <c r="L134" s="2" t="n">
        <v>2.146</v>
      </c>
      <c r="M134" s="2" t="n">
        <v>0.29</v>
      </c>
      <c r="N134" s="2" t="n">
        <v>0.71</v>
      </c>
      <c r="O134" s="2" t="n">
        <v>1.524</v>
      </c>
      <c r="P134" s="2" t="n">
        <v>0.622</v>
      </c>
      <c r="Q134" s="2" t="n">
        <v>1778345</v>
      </c>
      <c r="R134" s="2" t="n">
        <v>0.5623</v>
      </c>
      <c r="S134" s="2" t="n">
        <v>0.637</v>
      </c>
      <c r="T134" s="2" t="n">
        <v>149160613178304</v>
      </c>
      <c r="U134" s="2" t="n">
        <v>5.444362381008096e+16</v>
      </c>
      <c r="V134" s="2" t="n">
        <v>13393135372257</v>
      </c>
      <c r="W134" s="2" t="inlineStr">
        <is>
          <t>Medium</t>
        </is>
      </c>
      <c r="X134" s="2" t="inlineStr">
        <is>
          <t>Estimate+Scenario</t>
        </is>
      </c>
      <c r="Y134" s="2" t="inlineStr">
        <is>
          <t>SRC_META_LLAMA; SRC_META_LLAMA4_NVIDIA</t>
        </is>
      </c>
      <c r="Z134" s="2" t="inlineStr">
        <is>
          <t>ASSUMP_CONSUMER_AI_UTILIZATION; ASSUMP_POWER_RAMP; ASSUMP_INFERENCE_SHARE_NOT_FACT_60</t>
        </is>
      </c>
    </row>
    <row r="135">
      <c r="A135" s="2" t="inlineStr">
        <is>
          <t>Grid-Constrained / Efficiency-Upside</t>
        </is>
      </c>
      <c r="B135" s="2" t="inlineStr">
        <is>
          <t>Meta</t>
        </is>
      </c>
      <c r="C135" s="2" t="inlineStr">
        <is>
          <t>US</t>
        </is>
      </c>
      <c r="D135" s="2" t="inlineStr">
        <is>
          <t>Llama / Meta AI</t>
        </is>
      </c>
      <c r="E135" s="2" t="inlineStr">
        <is>
          <t>Meta AI + family apps</t>
        </is>
      </c>
      <c r="F135" s="2" t="n">
        <v>2029</v>
      </c>
      <c r="G135" s="2" t="n">
        <v>6.125</v>
      </c>
      <c r="H135" s="2" t="n">
        <v>3.61</v>
      </c>
      <c r="I135" s="2" t="n">
        <v>1.2</v>
      </c>
      <c r="J135" s="2" t="n">
        <v>3.008</v>
      </c>
      <c r="K135" s="2" t="n">
        <v>0.87</v>
      </c>
      <c r="L135" s="2" t="n">
        <v>2.617</v>
      </c>
      <c r="M135" s="2" t="n">
        <v>0.235</v>
      </c>
      <c r="N135" s="2" t="n">
        <v>0.765</v>
      </c>
      <c r="O135" s="2" t="n">
        <v>2.002</v>
      </c>
      <c r="P135" s="2" t="n">
        <v>0.615</v>
      </c>
      <c r="Q135" s="2" t="n">
        <v>2062880</v>
      </c>
      <c r="R135" s="2" t="n">
        <v>0.4848</v>
      </c>
      <c r="S135" s="2" t="n">
        <v>0.676</v>
      </c>
      <c r="T135" s="2" t="n">
        <v>241211759652864</v>
      </c>
      <c r="U135" s="2" t="n">
        <v>8.804229227329534e+16</v>
      </c>
      <c r="V135" s="2" t="n">
        <v>16301673866650</v>
      </c>
      <c r="W135" s="2" t="inlineStr">
        <is>
          <t>Medium</t>
        </is>
      </c>
      <c r="X135" s="2" t="inlineStr">
        <is>
          <t>Estimate+Scenario</t>
        </is>
      </c>
      <c r="Y135" s="2" t="inlineStr">
        <is>
          <t>SRC_META_LLAMA; SRC_META_LLAMA4_NVIDIA</t>
        </is>
      </c>
      <c r="Z135" s="2" t="inlineStr">
        <is>
          <t>ASSUMP_CONSUMER_AI_UTILIZATION; ASSUMP_POWER_RAMP; ASSUMP_INFERENCE_SHARE_NOT_FACT_60</t>
        </is>
      </c>
    </row>
    <row r="136">
      <c r="A136" s="2" t="inlineStr">
        <is>
          <t>Grid-Constrained / Efficiency-Upside</t>
        </is>
      </c>
      <c r="B136" s="2" t="inlineStr">
        <is>
          <t>Meta</t>
        </is>
      </c>
      <c r="C136" s="2" t="inlineStr">
        <is>
          <t>US</t>
        </is>
      </c>
      <c r="D136" s="2" t="inlineStr">
        <is>
          <t>Llama / Meta AI</t>
        </is>
      </c>
      <c r="E136" s="2" t="inlineStr">
        <is>
          <t>Meta AI + family apps</t>
        </is>
      </c>
      <c r="F136" s="2" t="n">
        <v>2030</v>
      </c>
      <c r="G136" s="2" t="n">
        <v>7</v>
      </c>
      <c r="H136" s="2" t="n">
        <v>4.176</v>
      </c>
      <c r="I136" s="2" t="n">
        <v>1.2</v>
      </c>
      <c r="J136" s="2" t="n">
        <v>3.48</v>
      </c>
      <c r="K136" s="2" t="n">
        <v>0.87</v>
      </c>
      <c r="L136" s="2" t="n">
        <v>3.028</v>
      </c>
      <c r="M136" s="2" t="n">
        <v>0.18</v>
      </c>
      <c r="N136" s="2" t="n">
        <v>0.82</v>
      </c>
      <c r="O136" s="2" t="n">
        <v>2.483</v>
      </c>
      <c r="P136" s="2" t="n">
        <v>0.545</v>
      </c>
      <c r="Q136" s="2" t="n">
        <v>2392941</v>
      </c>
      <c r="R136" s="2" t="n">
        <v>0.4179</v>
      </c>
      <c r="S136" s="2" t="n">
        <v>0.714</v>
      </c>
      <c r="T136" s="2" t="n">
        <v>366539400041069</v>
      </c>
      <c r="U136" s="2" t="n">
        <v>1.337868810149901e+17</v>
      </c>
      <c r="V136" s="2" t="n">
        <v>17699586816321</v>
      </c>
      <c r="W136" s="2" t="inlineStr">
        <is>
          <t>Medium</t>
        </is>
      </c>
      <c r="X136" s="2" t="inlineStr">
        <is>
          <t>Estimate+Scenario</t>
        </is>
      </c>
      <c r="Y136" s="2" t="inlineStr">
        <is>
          <t>SRC_META_LLAMA; SRC_META_LLAMA4_NVIDIA</t>
        </is>
      </c>
      <c r="Z136" s="2" t="inlineStr">
        <is>
          <t>ASSUMP_CONSUMER_AI_UTILIZATION; ASSUMP_POWER_RAMP; ASSUMP_INFERENCE_SHARE_NOT_FACT_60</t>
        </is>
      </c>
    </row>
    <row r="137">
      <c r="A137" s="2" t="inlineStr">
        <is>
          <t>Grid-Constrained / Efficiency-Upside</t>
        </is>
      </c>
      <c r="B137" s="2" t="inlineStr">
        <is>
          <t>xAI</t>
        </is>
      </c>
      <c r="C137" s="2" t="inlineStr">
        <is>
          <t>US</t>
        </is>
      </c>
      <c r="D137" s="2" t="inlineStr">
        <is>
          <t>Grok</t>
        </is>
      </c>
      <c r="E137" s="2" t="inlineStr">
        <is>
          <t>Grok + X + API</t>
        </is>
      </c>
      <c r="F137" s="2" t="n">
        <v>2026</v>
      </c>
      <c r="G137" s="2" t="n">
        <v>1</v>
      </c>
      <c r="H137" s="2" t="n">
        <v>0.308</v>
      </c>
      <c r="I137" s="2" t="n">
        <v>1.22</v>
      </c>
      <c r="J137" s="2" t="n">
        <v>0.252</v>
      </c>
      <c r="K137" s="2" t="n">
        <v>0.85</v>
      </c>
      <c r="L137" s="2" t="n">
        <v>0.215</v>
      </c>
      <c r="M137" s="2" t="n">
        <v>0.53</v>
      </c>
      <c r="N137" s="2" t="n">
        <v>0.47</v>
      </c>
      <c r="O137" s="2" t="n">
        <v>0.101</v>
      </c>
      <c r="P137" s="2" t="n">
        <v>0.114</v>
      </c>
      <c r="Q137" s="2" t="n">
        <v>1121000</v>
      </c>
      <c r="R137" s="2" t="n">
        <v>0.8921</v>
      </c>
      <c r="S137" s="2" t="n">
        <v>0.51</v>
      </c>
      <c r="T137" s="2" t="n">
        <v>4988970144000</v>
      </c>
      <c r="U137" s="2" t="n">
        <v>1820974102560000</v>
      </c>
      <c r="V137" s="2" t="n">
        <v>1238845259520</v>
      </c>
      <c r="W137" s="2" t="inlineStr">
        <is>
          <t>Medium-Low</t>
        </is>
      </c>
      <c r="X137" s="2" t="inlineStr">
        <is>
          <t>Estimate+Scenario</t>
        </is>
      </c>
      <c r="Y137" s="2" t="inlineStr">
        <is>
          <t>SRC_XAI_MODELS; SRC_XAI_NVIDIA_COLOSSUS</t>
        </is>
      </c>
      <c r="Z137" s="2" t="inlineStr">
        <is>
          <t>ASSUMP_CLUSTER_RAMP; ASSUMP_CLOSED_MODEL_BAND; ASSUMP_INFERENCE_SHARE_NOT_FACT_60</t>
        </is>
      </c>
    </row>
    <row r="138">
      <c r="A138" s="2" t="inlineStr">
        <is>
          <t>Grid-Constrained / Efficiency-Upside</t>
        </is>
      </c>
      <c r="B138" s="2" t="inlineStr">
        <is>
          <t>xAI</t>
        </is>
      </c>
      <c r="C138" s="2" t="inlineStr">
        <is>
          <t>US</t>
        </is>
      </c>
      <c r="D138" s="2" t="inlineStr">
        <is>
          <t>Grok</t>
        </is>
      </c>
      <c r="E138" s="2" t="inlineStr">
        <is>
          <t>Grok + X + API</t>
        </is>
      </c>
      <c r="F138" s="2" t="n">
        <v>2027</v>
      </c>
      <c r="G138" s="2" t="n">
        <v>1.5</v>
      </c>
      <c r="H138" s="2" t="n">
        <v>0.745</v>
      </c>
      <c r="I138" s="2" t="n">
        <v>1.22</v>
      </c>
      <c r="J138" s="2" t="n">
        <v>0.611</v>
      </c>
      <c r="K138" s="2" t="n">
        <v>0.85</v>
      </c>
      <c r="L138" s="2" t="n">
        <v>0.519</v>
      </c>
      <c r="M138" s="2" t="n">
        <v>0.463</v>
      </c>
      <c r="N138" s="2" t="n">
        <v>0.537</v>
      </c>
      <c r="O138" s="2" t="n">
        <v>0.279</v>
      </c>
      <c r="P138" s="2" t="n">
        <v>0.24</v>
      </c>
      <c r="Q138" s="2" t="n">
        <v>1311570</v>
      </c>
      <c r="R138" s="2" t="n">
        <v>0.7624</v>
      </c>
      <c r="S138" s="2" t="n">
        <v>0.553</v>
      </c>
      <c r="T138" s="2" t="n">
        <v>17483748530976</v>
      </c>
      <c r="U138" s="2" t="n">
        <v>6381568213806240</v>
      </c>
      <c r="V138" s="2" t="n">
        <v>3308752410163</v>
      </c>
      <c r="W138" s="2" t="inlineStr">
        <is>
          <t>Medium-Low</t>
        </is>
      </c>
      <c r="X138" s="2" t="inlineStr">
        <is>
          <t>Estimate+Scenario</t>
        </is>
      </c>
      <c r="Y138" s="2" t="inlineStr">
        <is>
          <t>SRC_XAI_MODELS; SRC_XAI_NVIDIA_COLOSSUS</t>
        </is>
      </c>
      <c r="Z138" s="2" t="inlineStr">
        <is>
          <t>ASSUMP_CLUSTER_RAMP; ASSUMP_CLOSED_MODEL_BAND; ASSUMP_INFERENCE_SHARE_NOT_FACT_60</t>
        </is>
      </c>
    </row>
    <row r="139">
      <c r="A139" s="2" t="inlineStr">
        <is>
          <t>Grid-Constrained / Efficiency-Upside</t>
        </is>
      </c>
      <c r="B139" s="2" t="inlineStr">
        <is>
          <t>xAI</t>
        </is>
      </c>
      <c r="C139" s="2" t="inlineStr">
        <is>
          <t>US</t>
        </is>
      </c>
      <c r="D139" s="2" t="inlineStr">
        <is>
          <t>Grok</t>
        </is>
      </c>
      <c r="E139" s="2" t="inlineStr">
        <is>
          <t>Grok + X + API</t>
        </is>
      </c>
      <c r="F139" s="2" t="n">
        <v>2028</v>
      </c>
      <c r="G139" s="2" t="n">
        <v>2</v>
      </c>
      <c r="H139" s="2" t="n">
        <v>1.14</v>
      </c>
      <c r="I139" s="2" t="n">
        <v>1.22</v>
      </c>
      <c r="J139" s="2" t="n">
        <v>0.9340000000000001</v>
      </c>
      <c r="K139" s="2" t="n">
        <v>0.85</v>
      </c>
      <c r="L139" s="2" t="n">
        <v>0.794</v>
      </c>
      <c r="M139" s="2" t="n">
        <v>0.395</v>
      </c>
      <c r="N139" s="2" t="n">
        <v>0.605</v>
      </c>
      <c r="O139" s="2" t="n">
        <v>0.481</v>
      </c>
      <c r="P139" s="2" t="n">
        <v>0.314</v>
      </c>
      <c r="Q139" s="2" t="n">
        <v>1534537</v>
      </c>
      <c r="R139" s="2" t="n">
        <v>0.6516999999999999</v>
      </c>
      <c r="S139" s="2" t="n">
        <v>0.597</v>
      </c>
      <c r="T139" s="2" t="n">
        <v>38072422769098</v>
      </c>
      <c r="U139" s="2" t="n">
        <v>1.389643431072062e+16</v>
      </c>
      <c r="V139" s="2" t="n">
        <v>5467864791870</v>
      </c>
      <c r="W139" s="2" t="inlineStr">
        <is>
          <t>Medium-Low</t>
        </is>
      </c>
      <c r="X139" s="2" t="inlineStr">
        <is>
          <t>Estimate+Scenario</t>
        </is>
      </c>
      <c r="Y139" s="2" t="inlineStr">
        <is>
          <t>SRC_XAI_MODELS; SRC_XAI_NVIDIA_COLOSSUS</t>
        </is>
      </c>
      <c r="Z139" s="2" t="inlineStr">
        <is>
          <t>ASSUMP_CLUSTER_RAMP; ASSUMP_CLOSED_MODEL_BAND; ASSUMP_INFERENCE_SHARE_NOT_FACT_60</t>
        </is>
      </c>
    </row>
    <row r="140">
      <c r="A140" s="2" t="inlineStr">
        <is>
          <t>Grid-Constrained / Efficiency-Upside</t>
        </is>
      </c>
      <c r="B140" s="2" t="inlineStr">
        <is>
          <t>xAI</t>
        </is>
      </c>
      <c r="C140" s="2" t="inlineStr">
        <is>
          <t>US</t>
        </is>
      </c>
      <c r="D140" s="2" t="inlineStr">
        <is>
          <t>Grok</t>
        </is>
      </c>
      <c r="E140" s="2" t="inlineStr">
        <is>
          <t>Grok + X + API</t>
        </is>
      </c>
      <c r="F140" s="2" t="n">
        <v>2029</v>
      </c>
      <c r="G140" s="2" t="n">
        <v>2.5</v>
      </c>
      <c r="H140" s="2" t="n">
        <v>1.492</v>
      </c>
      <c r="I140" s="2" t="n">
        <v>1.22</v>
      </c>
      <c r="J140" s="2" t="n">
        <v>1.223</v>
      </c>
      <c r="K140" s="2" t="n">
        <v>0.85</v>
      </c>
      <c r="L140" s="2" t="n">
        <v>1.039</v>
      </c>
      <c r="M140" s="2" t="n">
        <v>0.328</v>
      </c>
      <c r="N140" s="2" t="n">
        <v>0.672</v>
      </c>
      <c r="O140" s="2" t="n">
        <v>0.699</v>
      </c>
      <c r="P140" s="2" t="n">
        <v>0.34</v>
      </c>
      <c r="Q140" s="2" t="n">
        <v>1795408</v>
      </c>
      <c r="R140" s="2" t="n">
        <v>0.5570000000000001</v>
      </c>
      <c r="S140" s="2" t="n">
        <v>0.64</v>
      </c>
      <c r="T140" s="2" t="n">
        <v>69395937656832</v>
      </c>
      <c r="U140" s="2" t="n">
        <v>2.532951724474368e+16</v>
      </c>
      <c r="V140" s="2" t="n">
        <v>7426060281446</v>
      </c>
      <c r="W140" s="2" t="inlineStr">
        <is>
          <t>Medium-Low</t>
        </is>
      </c>
      <c r="X140" s="2" t="inlineStr">
        <is>
          <t>Estimate+Scenario</t>
        </is>
      </c>
      <c r="Y140" s="2" t="inlineStr">
        <is>
          <t>SRC_XAI_MODELS; SRC_XAI_NVIDIA_COLOSSUS</t>
        </is>
      </c>
      <c r="Z140" s="2" t="inlineStr">
        <is>
          <t>ASSUMP_CLUSTER_RAMP; ASSUMP_CLOSED_MODEL_BAND; ASSUMP_INFERENCE_SHARE_NOT_FACT_60</t>
        </is>
      </c>
    </row>
    <row r="141">
      <c r="A141" s="2" t="inlineStr">
        <is>
          <t>Grid-Constrained / Efficiency-Upside</t>
        </is>
      </c>
      <c r="B141" s="2" t="inlineStr">
        <is>
          <t>xAI</t>
        </is>
      </c>
      <c r="C141" s="2" t="inlineStr">
        <is>
          <t>US</t>
        </is>
      </c>
      <c r="D141" s="2" t="inlineStr">
        <is>
          <t>Grok</t>
        </is>
      </c>
      <c r="E141" s="2" t="inlineStr">
        <is>
          <t>Grok + X + API</t>
        </is>
      </c>
      <c r="F141" s="2" t="n">
        <v>2030</v>
      </c>
      <c r="G141" s="2" t="n">
        <v>3</v>
      </c>
      <c r="H141" s="2" t="n">
        <v>1.8</v>
      </c>
      <c r="I141" s="2" t="n">
        <v>1.22</v>
      </c>
      <c r="J141" s="2" t="n">
        <v>1.475</v>
      </c>
      <c r="K141" s="2" t="n">
        <v>0.85</v>
      </c>
      <c r="L141" s="2" t="n">
        <v>1.254</v>
      </c>
      <c r="M141" s="2" t="n">
        <v>0.26</v>
      </c>
      <c r="N141" s="2" t="n">
        <v>0.74</v>
      </c>
      <c r="O141" s="2" t="n">
        <v>0.928</v>
      </c>
      <c r="P141" s="2" t="n">
        <v>0.326</v>
      </c>
      <c r="Q141" s="2" t="n">
        <v>2100628</v>
      </c>
      <c r="R141" s="2" t="n">
        <v>0.476</v>
      </c>
      <c r="S141" s="2" t="n">
        <v>0.6830000000000001</v>
      </c>
      <c r="T141" s="2" t="n">
        <v>115035417343181</v>
      </c>
      <c r="U141" s="2" t="n">
        <v>4.1987927330261e+16</v>
      </c>
      <c r="V141" s="2" t="n">
        <v>8890452728290</v>
      </c>
      <c r="W141" s="2" t="inlineStr">
        <is>
          <t>Medium-Low</t>
        </is>
      </c>
      <c r="X141" s="2" t="inlineStr">
        <is>
          <t>Estimate+Scenario</t>
        </is>
      </c>
      <c r="Y141" s="2" t="inlineStr">
        <is>
          <t>SRC_XAI_MODELS; SRC_XAI_NVIDIA_COLOSSUS</t>
        </is>
      </c>
      <c r="Z141" s="2" t="inlineStr">
        <is>
          <t>ASSUMP_CLUSTER_RAMP; ASSUMP_CLOSED_MODEL_BAND; ASSUMP_INFERENCE_SHARE_NOT_FACT_60</t>
        </is>
      </c>
    </row>
    <row r="142">
      <c r="A142" s="2" t="inlineStr">
        <is>
          <t>Grid-Constrained / Efficiency-Upside</t>
        </is>
      </c>
      <c r="B142" s="2" t="inlineStr">
        <is>
          <t>OpenAI</t>
        </is>
      </c>
      <c r="C142" s="2" t="inlineStr">
        <is>
          <t>US</t>
        </is>
      </c>
      <c r="D142" s="2" t="inlineStr">
        <is>
          <t>GPT / o-series / ChatGPT</t>
        </is>
      </c>
      <c r="E142" s="2" t="inlineStr">
        <is>
          <t>ChatGPT + API + enterprise</t>
        </is>
      </c>
      <c r="F142" s="2" t="n">
        <v>2026</v>
      </c>
      <c r="G142" s="2" t="n">
        <v>5</v>
      </c>
      <c r="H142" s="2" t="n">
        <v>1.232</v>
      </c>
      <c r="I142" s="2" t="n">
        <v>1.2</v>
      </c>
      <c r="J142" s="2" t="n">
        <v>1.027</v>
      </c>
      <c r="K142" s="2" t="n">
        <v>0.88</v>
      </c>
      <c r="L142" s="2" t="n">
        <v>0.903</v>
      </c>
      <c r="M142" s="2" t="n">
        <v>0.4</v>
      </c>
      <c r="N142" s="2" t="n">
        <v>0.6</v>
      </c>
      <c r="O142" s="2" t="n">
        <v>0.542</v>
      </c>
      <c r="P142" s="2" t="n">
        <v>0.361</v>
      </c>
      <c r="Q142" s="2" t="n">
        <v>1239000</v>
      </c>
      <c r="R142" s="2" t="n">
        <v>0.8071</v>
      </c>
      <c r="S142" s="2" t="n">
        <v>0.581</v>
      </c>
      <c r="T142" s="2" t="n">
        <v>33710133139200</v>
      </c>
      <c r="U142" s="2" t="n">
        <v>1.2304198595808e+16</v>
      </c>
      <c r="V142" s="2" t="n">
        <v>4939591833792</v>
      </c>
      <c r="W142" s="2" t="inlineStr">
        <is>
          <t>Medium</t>
        </is>
      </c>
      <c r="X142" s="2" t="inlineStr">
        <is>
          <t>Estimate+Scenario</t>
        </is>
      </c>
      <c r="Y142" s="2" t="inlineStr">
        <is>
          <t>SRC_OPENAI_GPT41_DOCS; SRC_OPENAI_STARGATE_ORACLE; SRC_OPENAI_STARGATE_PROGRESS</t>
        </is>
      </c>
      <c r="Z142" s="2" t="inlineStr">
        <is>
          <t>ASSUMP_STARGATE_RAMP; ASSUMP_MS_OPENAI_ATTRIBUTION; ASSUMP_INFERENCE_SHARE_NOT_FACT_60</t>
        </is>
      </c>
    </row>
    <row r="143">
      <c r="A143" s="2" t="inlineStr">
        <is>
          <t>Grid-Constrained / Efficiency-Upside</t>
        </is>
      </c>
      <c r="B143" s="2" t="inlineStr">
        <is>
          <t>OpenAI</t>
        </is>
      </c>
      <c r="C143" s="2" t="inlineStr">
        <is>
          <t>US</t>
        </is>
      </c>
      <c r="D143" s="2" t="inlineStr">
        <is>
          <t>GPT / o-series / ChatGPT</t>
        </is>
      </c>
      <c r="E143" s="2" t="inlineStr">
        <is>
          <t>ChatGPT + API + enterprise</t>
        </is>
      </c>
      <c r="F143" s="2" t="n">
        <v>2027</v>
      </c>
      <c r="G143" s="2" t="n">
        <v>6.75</v>
      </c>
      <c r="H143" s="2" t="n">
        <v>2.667</v>
      </c>
      <c r="I143" s="2" t="n">
        <v>1.2</v>
      </c>
      <c r="J143" s="2" t="n">
        <v>2.223</v>
      </c>
      <c r="K143" s="2" t="n">
        <v>0.88</v>
      </c>
      <c r="L143" s="2" t="n">
        <v>1.956</v>
      </c>
      <c r="M143" s="2" t="n">
        <v>0.345</v>
      </c>
      <c r="N143" s="2" t="n">
        <v>0.655</v>
      </c>
      <c r="O143" s="2" t="n">
        <v>1.281</v>
      </c>
      <c r="P143" s="2" t="n">
        <v>0.675</v>
      </c>
      <c r="Q143" s="2" t="n">
        <v>1449630</v>
      </c>
      <c r="R143" s="2" t="n">
        <v>0.6898</v>
      </c>
      <c r="S143" s="2" t="n">
        <v>0.617</v>
      </c>
      <c r="T143" s="2" t="n">
        <v>98993163788064</v>
      </c>
      <c r="U143" s="2" t="n">
        <v>3.613250478264336e+16</v>
      </c>
      <c r="V143" s="2" t="n">
        <v>11475788307984</v>
      </c>
      <c r="W143" s="2" t="inlineStr">
        <is>
          <t>Medium</t>
        </is>
      </c>
      <c r="X143" s="2" t="inlineStr">
        <is>
          <t>Estimate+Scenario</t>
        </is>
      </c>
      <c r="Y143" s="2" t="inlineStr">
        <is>
          <t>SRC_OPENAI_GPT41_DOCS; SRC_OPENAI_STARGATE_ORACLE; SRC_OPENAI_STARGATE_PROGRESS</t>
        </is>
      </c>
      <c r="Z143" s="2" t="inlineStr">
        <is>
          <t>ASSUMP_STARGATE_RAMP; ASSUMP_MS_OPENAI_ATTRIBUTION; ASSUMP_INFERENCE_SHARE_NOT_FACT_60</t>
        </is>
      </c>
    </row>
    <row r="144">
      <c r="A144" s="2" t="inlineStr">
        <is>
          <t>Grid-Constrained / Efficiency-Upside</t>
        </is>
      </c>
      <c r="B144" s="2" t="inlineStr">
        <is>
          <t>OpenAI</t>
        </is>
      </c>
      <c r="C144" s="2" t="inlineStr">
        <is>
          <t>US</t>
        </is>
      </c>
      <c r="D144" s="2" t="inlineStr">
        <is>
          <t>GPT / o-series / ChatGPT</t>
        </is>
      </c>
      <c r="E144" s="2" t="inlineStr">
        <is>
          <t>ChatGPT + API + enterprise</t>
        </is>
      </c>
      <c r="F144" s="2" t="n">
        <v>2028</v>
      </c>
      <c r="G144" s="2" t="n">
        <v>8.5</v>
      </c>
      <c r="H144" s="2" t="n">
        <v>3.96</v>
      </c>
      <c r="I144" s="2" t="n">
        <v>1.2</v>
      </c>
      <c r="J144" s="2" t="n">
        <v>3.3</v>
      </c>
      <c r="K144" s="2" t="n">
        <v>0.88</v>
      </c>
      <c r="L144" s="2" t="n">
        <v>2.904</v>
      </c>
      <c r="M144" s="2" t="n">
        <v>0.29</v>
      </c>
      <c r="N144" s="2" t="n">
        <v>0.71</v>
      </c>
      <c r="O144" s="2" t="n">
        <v>2.062</v>
      </c>
      <c r="P144" s="2" t="n">
        <v>0.842</v>
      </c>
      <c r="Q144" s="2" t="n">
        <v>1696067</v>
      </c>
      <c r="R144" s="2" t="n">
        <v>0.5896</v>
      </c>
      <c r="S144" s="2" t="n">
        <v>0.653</v>
      </c>
      <c r="T144" s="2" t="n">
        <v>197314312656557</v>
      </c>
      <c r="U144" s="2" t="n">
        <v>7.201972411964324e+16</v>
      </c>
      <c r="V144" s="2" t="n">
        <v>17725753286373</v>
      </c>
      <c r="W144" s="2" t="inlineStr">
        <is>
          <t>Medium</t>
        </is>
      </c>
      <c r="X144" s="2" t="inlineStr">
        <is>
          <t>Estimate+Scenario</t>
        </is>
      </c>
      <c r="Y144" s="2" t="inlineStr">
        <is>
          <t>SRC_OPENAI_GPT41_DOCS; SRC_OPENAI_STARGATE_ORACLE; SRC_OPENAI_STARGATE_PROGRESS</t>
        </is>
      </c>
      <c r="Z144" s="2" t="inlineStr">
        <is>
          <t>ASSUMP_STARGATE_RAMP; ASSUMP_MS_OPENAI_ATTRIBUTION; ASSUMP_INFERENCE_SHARE_NOT_FACT_60</t>
        </is>
      </c>
    </row>
    <row r="145">
      <c r="A145" s="2" t="inlineStr">
        <is>
          <t>Grid-Constrained / Efficiency-Upside</t>
        </is>
      </c>
      <c r="B145" s="2" t="inlineStr">
        <is>
          <t>OpenAI</t>
        </is>
      </c>
      <c r="C145" s="2" t="inlineStr">
        <is>
          <t>US</t>
        </is>
      </c>
      <c r="D145" s="2" t="inlineStr">
        <is>
          <t>GPT / o-series / ChatGPT</t>
        </is>
      </c>
      <c r="E145" s="2" t="inlineStr">
        <is>
          <t>ChatGPT + API + enterprise</t>
        </is>
      </c>
      <c r="F145" s="2" t="n">
        <v>2029</v>
      </c>
      <c r="G145" s="2" t="n">
        <v>10.25</v>
      </c>
      <c r="H145" s="2" t="n">
        <v>5.111</v>
      </c>
      <c r="I145" s="2" t="n">
        <v>1.2</v>
      </c>
      <c r="J145" s="2" t="n">
        <v>4.259</v>
      </c>
      <c r="K145" s="2" t="n">
        <v>0.88</v>
      </c>
      <c r="L145" s="2" t="n">
        <v>3.748</v>
      </c>
      <c r="M145" s="2" t="n">
        <v>0.235</v>
      </c>
      <c r="N145" s="2" t="n">
        <v>0.765</v>
      </c>
      <c r="O145" s="2" t="n">
        <v>2.867</v>
      </c>
      <c r="P145" s="2" t="n">
        <v>0.881</v>
      </c>
      <c r="Q145" s="2" t="n">
        <v>1984399</v>
      </c>
      <c r="R145" s="2" t="n">
        <v>0.5039</v>
      </c>
      <c r="S145" s="2" t="n">
        <v>0.6879999999999999</v>
      </c>
      <c r="T145" s="2" t="n">
        <v>338188529367706</v>
      </c>
      <c r="U145" s="2" t="n">
        <v>1.234388132192125e+17</v>
      </c>
      <c r="V145" s="2" t="n">
        <v>22862818542745</v>
      </c>
      <c r="W145" s="2" t="inlineStr">
        <is>
          <t>Medium</t>
        </is>
      </c>
      <c r="X145" s="2" t="inlineStr">
        <is>
          <t>Estimate+Scenario</t>
        </is>
      </c>
      <c r="Y145" s="2" t="inlineStr">
        <is>
          <t>SRC_OPENAI_GPT41_DOCS; SRC_OPENAI_STARGATE_ORACLE; SRC_OPENAI_STARGATE_PROGRESS</t>
        </is>
      </c>
      <c r="Z145" s="2" t="inlineStr">
        <is>
          <t>ASSUMP_STARGATE_RAMP; ASSUMP_MS_OPENAI_ATTRIBUTION; ASSUMP_INFERENCE_SHARE_NOT_FACT_60</t>
        </is>
      </c>
    </row>
    <row r="146">
      <c r="A146" s="2" t="inlineStr">
        <is>
          <t>Grid-Constrained / Efficiency-Upside</t>
        </is>
      </c>
      <c r="B146" s="2" t="inlineStr">
        <is>
          <t>OpenAI</t>
        </is>
      </c>
      <c r="C146" s="2" t="inlineStr">
        <is>
          <t>US</t>
        </is>
      </c>
      <c r="D146" s="2" t="inlineStr">
        <is>
          <t>GPT / o-series / ChatGPT</t>
        </is>
      </c>
      <c r="E146" s="2" t="inlineStr">
        <is>
          <t>ChatGPT + API + enterprise</t>
        </is>
      </c>
      <c r="F146" s="2" t="n">
        <v>2030</v>
      </c>
      <c r="G146" s="2" t="n">
        <v>12</v>
      </c>
      <c r="H146" s="2" t="n">
        <v>6.12</v>
      </c>
      <c r="I146" s="2" t="n">
        <v>1.2</v>
      </c>
      <c r="J146" s="2" t="n">
        <v>5.1</v>
      </c>
      <c r="K146" s="2" t="n">
        <v>0.88</v>
      </c>
      <c r="L146" s="2" t="n">
        <v>4.488</v>
      </c>
      <c r="M146" s="2" t="n">
        <v>0.18</v>
      </c>
      <c r="N146" s="2" t="n">
        <v>0.82</v>
      </c>
      <c r="O146" s="2" t="n">
        <v>3.68</v>
      </c>
      <c r="P146" s="2" t="n">
        <v>0.8080000000000001</v>
      </c>
      <c r="Q146" s="2" t="n">
        <v>2321746</v>
      </c>
      <c r="R146" s="2" t="n">
        <v>0.4307</v>
      </c>
      <c r="S146" s="2" t="n">
        <v>0.724</v>
      </c>
      <c r="T146" s="2" t="n">
        <v>534459539755008</v>
      </c>
      <c r="U146" s="2" t="n">
        <v>1.950777320105779e+17</v>
      </c>
      <c r="V146" s="2" t="n">
        <v>25816719507296</v>
      </c>
      <c r="W146" s="2" t="inlineStr">
        <is>
          <t>Medium</t>
        </is>
      </c>
      <c r="X146" s="2" t="inlineStr">
        <is>
          <t>Estimate+Scenario</t>
        </is>
      </c>
      <c r="Y146" s="2" t="inlineStr">
        <is>
          <t>SRC_OPENAI_GPT41_DOCS; SRC_OPENAI_STARGATE_ORACLE; SRC_OPENAI_STARGATE_PROGRESS</t>
        </is>
      </c>
      <c r="Z146" s="2" t="inlineStr">
        <is>
          <t>ASSUMP_STARGATE_RAMP; ASSUMP_MS_OPENAI_ATTRIBUTION; ASSUMP_INFERENCE_SHARE_NOT_FACT_60</t>
        </is>
      </c>
    </row>
    <row r="147">
      <c r="A147" s="2" t="inlineStr">
        <is>
          <t>Grid-Constrained / Efficiency-Upside</t>
        </is>
      </c>
      <c r="B147" s="2" t="inlineStr">
        <is>
          <t>DeepSeek</t>
        </is>
      </c>
      <c r="C147" s="2" t="inlineStr">
        <is>
          <t>China</t>
        </is>
      </c>
      <c r="D147" s="2" t="inlineStr">
        <is>
          <t>DeepSeek-V3 / R1</t>
        </is>
      </c>
      <c r="E147" s="2" t="inlineStr">
        <is>
          <t>DeepSeek app/API</t>
        </is>
      </c>
      <c r="F147" s="2" t="n">
        <v>2026</v>
      </c>
      <c r="G147" s="2" t="n">
        <v>0.5</v>
      </c>
      <c r="H147" s="2" t="n">
        <v>0.132</v>
      </c>
      <c r="I147" s="2" t="n">
        <v>1.24</v>
      </c>
      <c r="J147" s="2" t="n">
        <v>0.106</v>
      </c>
      <c r="K147" s="2" t="n">
        <v>0.82</v>
      </c>
      <c r="L147" s="2" t="n">
        <v>0.08699999999999999</v>
      </c>
      <c r="M147" s="2" t="n">
        <v>0.36</v>
      </c>
      <c r="N147" s="2" t="n">
        <v>0.64</v>
      </c>
      <c r="O147" s="2" t="n">
        <v>0.056</v>
      </c>
      <c r="P147" s="2" t="n">
        <v>0.031</v>
      </c>
      <c r="Q147" s="2" t="n">
        <v>2087420</v>
      </c>
      <c r="R147" s="2" t="n">
        <v>0.4791</v>
      </c>
      <c r="S147" s="2" t="n">
        <v>0.49</v>
      </c>
      <c r="T147" s="2" t="n">
        <v>4948888734720</v>
      </c>
      <c r="U147" s="2" t="n">
        <v>1806344388172800</v>
      </c>
      <c r="V147" s="2" t="n">
        <v>602703949478</v>
      </c>
      <c r="W147" s="2" t="inlineStr">
        <is>
          <t>Parameter High / Capacity Low-Medium</t>
        </is>
      </c>
      <c r="X147" s="2" t="inlineStr">
        <is>
          <t>Fact+Scenario</t>
        </is>
      </c>
      <c r="Y147" s="2" t="inlineStr">
        <is>
          <t>SRC_DEEPSEEK_V3; SRC_DEEPSEEK_R1</t>
        </is>
      </c>
      <c r="Z147" s="2" t="inlineStr">
        <is>
          <t>ASSUMP_MOE_EFFICIENCY; ASSUMP_CN_CAPACITY_TRANSPARENCY; ASSUMP_INFERENCE_SHARE_NOT_FACT_60</t>
        </is>
      </c>
    </row>
    <row r="148">
      <c r="A148" s="2" t="inlineStr">
        <is>
          <t>Grid-Constrained / Efficiency-Upside</t>
        </is>
      </c>
      <c r="B148" s="2" t="inlineStr">
        <is>
          <t>DeepSeek</t>
        </is>
      </c>
      <c r="C148" s="2" t="inlineStr">
        <is>
          <t>China</t>
        </is>
      </c>
      <c r="D148" s="2" t="inlineStr">
        <is>
          <t>DeepSeek-V3 / R1</t>
        </is>
      </c>
      <c r="E148" s="2" t="inlineStr">
        <is>
          <t>DeepSeek app/API</t>
        </is>
      </c>
      <c r="F148" s="2" t="n">
        <v>2027</v>
      </c>
      <c r="G148" s="2" t="n">
        <v>0.825</v>
      </c>
      <c r="H148" s="2" t="n">
        <v>0.346</v>
      </c>
      <c r="I148" s="2" t="n">
        <v>1.24</v>
      </c>
      <c r="J148" s="2" t="n">
        <v>0.279</v>
      </c>
      <c r="K148" s="2" t="n">
        <v>0.82</v>
      </c>
      <c r="L148" s="2" t="n">
        <v>0.229</v>
      </c>
      <c r="M148" s="2" t="n">
        <v>0.305</v>
      </c>
      <c r="N148" s="2" t="n">
        <v>0.695</v>
      </c>
      <c r="O148" s="2" t="n">
        <v>0.159</v>
      </c>
      <c r="P148" s="2" t="n">
        <v>0.07000000000000001</v>
      </c>
      <c r="Q148" s="2" t="n">
        <v>2463156</v>
      </c>
      <c r="R148" s="2" t="n">
        <v>0.406</v>
      </c>
      <c r="S148" s="2" t="n">
        <v>0.536</v>
      </c>
      <c r="T148" s="2" t="n">
        <v>18137088599962</v>
      </c>
      <c r="U148" s="2" t="n">
        <v>6620037338985985</v>
      </c>
      <c r="V148" s="2" t="n">
        <v>1756673990185</v>
      </c>
      <c r="W148" s="2" t="inlineStr">
        <is>
          <t>Parameter High / Capacity Low-Medium</t>
        </is>
      </c>
      <c r="X148" s="2" t="inlineStr">
        <is>
          <t>Fact+Scenario</t>
        </is>
      </c>
      <c r="Y148" s="2" t="inlineStr">
        <is>
          <t>SRC_DEEPSEEK_V3; SRC_DEEPSEEK_R1</t>
        </is>
      </c>
      <c r="Z148" s="2" t="inlineStr">
        <is>
          <t>ASSUMP_MOE_EFFICIENCY; ASSUMP_CN_CAPACITY_TRANSPARENCY; ASSUMP_INFERENCE_SHARE_NOT_FACT_60</t>
        </is>
      </c>
    </row>
    <row r="149">
      <c r="A149" s="2" t="inlineStr">
        <is>
          <t>Grid-Constrained / Efficiency-Upside</t>
        </is>
      </c>
      <c r="B149" s="2" t="inlineStr">
        <is>
          <t>DeepSeek</t>
        </is>
      </c>
      <c r="C149" s="2" t="inlineStr">
        <is>
          <t>China</t>
        </is>
      </c>
      <c r="D149" s="2" t="inlineStr">
        <is>
          <t>DeepSeek-V3 / R1</t>
        </is>
      </c>
      <c r="E149" s="2" t="inlineStr">
        <is>
          <t>DeepSeek app/API</t>
        </is>
      </c>
      <c r="F149" s="2" t="n">
        <v>2028</v>
      </c>
      <c r="G149" s="2" t="n">
        <v>1.15</v>
      </c>
      <c r="H149" s="2" t="n">
        <v>0.54</v>
      </c>
      <c r="I149" s="2" t="n">
        <v>1.24</v>
      </c>
      <c r="J149" s="2" t="n">
        <v>0.435</v>
      </c>
      <c r="K149" s="2" t="n">
        <v>0.82</v>
      </c>
      <c r="L149" s="2" t="n">
        <v>0.357</v>
      </c>
      <c r="M149" s="2" t="n">
        <v>0.25</v>
      </c>
      <c r="N149" s="2" t="n">
        <v>0.75</v>
      </c>
      <c r="O149" s="2" t="n">
        <v>0.268</v>
      </c>
      <c r="P149" s="2" t="n">
        <v>0.089</v>
      </c>
      <c r="Q149" s="2" t="n">
        <v>2906524</v>
      </c>
      <c r="R149" s="2" t="n">
        <v>0.3441</v>
      </c>
      <c r="S149" s="2" t="n">
        <v>0.581</v>
      </c>
      <c r="T149" s="2" t="n">
        <v>39101964968909</v>
      </c>
      <c r="U149" s="2" t="n">
        <v>1.427221721365171e+16</v>
      </c>
      <c r="V149" s="2" t="n">
        <v>2856777888400</v>
      </c>
      <c r="W149" s="2" t="inlineStr">
        <is>
          <t>Parameter High / Capacity Low-Medium</t>
        </is>
      </c>
      <c r="X149" s="2" t="inlineStr">
        <is>
          <t>Fact+Scenario</t>
        </is>
      </c>
      <c r="Y149" s="2" t="inlineStr">
        <is>
          <t>SRC_DEEPSEEK_V3; SRC_DEEPSEEK_R1</t>
        </is>
      </c>
      <c r="Z149" s="2" t="inlineStr">
        <is>
          <t>ASSUMP_MOE_EFFICIENCY; ASSUMP_CN_CAPACITY_TRANSPARENCY; ASSUMP_INFERENCE_SHARE_NOT_FACT_60</t>
        </is>
      </c>
    </row>
    <row r="150">
      <c r="A150" s="2" t="inlineStr">
        <is>
          <t>Grid-Constrained / Efficiency-Upside</t>
        </is>
      </c>
      <c r="B150" s="2" t="inlineStr">
        <is>
          <t>DeepSeek</t>
        </is>
      </c>
      <c r="C150" s="2" t="inlineStr">
        <is>
          <t>China</t>
        </is>
      </c>
      <c r="D150" s="2" t="inlineStr">
        <is>
          <t>DeepSeek-V3 / R1</t>
        </is>
      </c>
      <c r="E150" s="2" t="inlineStr">
        <is>
          <t>DeepSeek app/API</t>
        </is>
      </c>
      <c r="F150" s="2" t="n">
        <v>2029</v>
      </c>
      <c r="G150" s="2" t="n">
        <v>1.475</v>
      </c>
      <c r="H150" s="2" t="n">
        <v>0.713</v>
      </c>
      <c r="I150" s="2" t="n">
        <v>1.24</v>
      </c>
      <c r="J150" s="2" t="n">
        <v>0.575</v>
      </c>
      <c r="K150" s="2" t="n">
        <v>0.82</v>
      </c>
      <c r="L150" s="2" t="n">
        <v>0.471</v>
      </c>
      <c r="M150" s="2" t="n">
        <v>0.195</v>
      </c>
      <c r="N150" s="2" t="n">
        <v>0.805</v>
      </c>
      <c r="O150" s="2" t="n">
        <v>0.379</v>
      </c>
      <c r="P150" s="2" t="n">
        <v>0.092</v>
      </c>
      <c r="Q150" s="2" t="n">
        <v>3429698</v>
      </c>
      <c r="R150" s="2" t="n">
        <v>0.2916</v>
      </c>
      <c r="S150" s="2" t="n">
        <v>0.627</v>
      </c>
      <c r="T150" s="2" t="n">
        <v>70416814305658</v>
      </c>
      <c r="U150" s="2" t="n">
        <v>2.570213722156502e+16</v>
      </c>
      <c r="V150" s="2" t="n">
        <v>3760517998803</v>
      </c>
      <c r="W150" s="2" t="inlineStr">
        <is>
          <t>Parameter High / Capacity Low-Medium</t>
        </is>
      </c>
      <c r="X150" s="2" t="inlineStr">
        <is>
          <t>Fact+Scenario</t>
        </is>
      </c>
      <c r="Y150" s="2" t="inlineStr">
        <is>
          <t>SRC_DEEPSEEK_V3; SRC_DEEPSEEK_R1</t>
        </is>
      </c>
      <c r="Z150" s="2" t="inlineStr">
        <is>
          <t>ASSUMP_MOE_EFFICIENCY; ASSUMP_CN_CAPACITY_TRANSPARENCY; ASSUMP_INFERENCE_SHARE_NOT_FACT_60</t>
        </is>
      </c>
    </row>
    <row r="151">
      <c r="A151" s="2" t="inlineStr">
        <is>
          <t>Grid-Constrained / Efficiency-Upside</t>
        </is>
      </c>
      <c r="B151" s="2" t="inlineStr">
        <is>
          <t>DeepSeek</t>
        </is>
      </c>
      <c r="C151" s="2" t="inlineStr">
        <is>
          <t>China</t>
        </is>
      </c>
      <c r="D151" s="2" t="inlineStr">
        <is>
          <t>DeepSeek-V3 / R1</t>
        </is>
      </c>
      <c r="E151" s="2" t="inlineStr">
        <is>
          <t>DeepSeek app/API</t>
        </is>
      </c>
      <c r="F151" s="2" t="n">
        <v>2030</v>
      </c>
      <c r="G151" s="2" t="n">
        <v>1.8</v>
      </c>
      <c r="H151" s="2" t="n">
        <v>0.864</v>
      </c>
      <c r="I151" s="2" t="n">
        <v>1.24</v>
      </c>
      <c r="J151" s="2" t="n">
        <v>0.697</v>
      </c>
      <c r="K151" s="2" t="n">
        <v>0.82</v>
      </c>
      <c r="L151" s="2" t="n">
        <v>0.571</v>
      </c>
      <c r="M151" s="2" t="n">
        <v>0.14</v>
      </c>
      <c r="N151" s="2" t="n">
        <v>0.86</v>
      </c>
      <c r="O151" s="2" t="n">
        <v>0.491</v>
      </c>
      <c r="P151" s="2" t="n">
        <v>0.08</v>
      </c>
      <c r="Q151" s="2" t="n">
        <v>4047043</v>
      </c>
      <c r="R151" s="2" t="n">
        <v>0.2471</v>
      </c>
      <c r="S151" s="2" t="n">
        <v>0.673</v>
      </c>
      <c r="T151" s="2" t="n">
        <v>115544191396234</v>
      </c>
      <c r="U151" s="2" t="n">
        <v>4.217362985962526e+16</v>
      </c>
      <c r="V151" s="2" t="n">
        <v>4141706249641</v>
      </c>
      <c r="W151" s="2" t="inlineStr">
        <is>
          <t>Parameter High / Capacity Low-Medium</t>
        </is>
      </c>
      <c r="X151" s="2" t="inlineStr">
        <is>
          <t>Fact+Scenario</t>
        </is>
      </c>
      <c r="Y151" s="2" t="inlineStr">
        <is>
          <t>SRC_DEEPSEEK_V3; SRC_DEEPSEEK_R1</t>
        </is>
      </c>
      <c r="Z151" s="2" t="inlineStr">
        <is>
          <t>ASSUMP_MOE_EFFICIENCY; ASSUMP_CN_CAPACITY_TRANSPARENCY; ASSUMP_INFERENCE_SHARE_NOT_FACT_60</t>
        </is>
      </c>
    </row>
    <row r="152">
      <c r="A152" s="2" t="inlineStr">
        <is>
          <t>Grid-Constrained / Efficiency-Upside</t>
        </is>
      </c>
      <c r="B152" s="2" t="inlineStr">
        <is>
          <t>Alibaba</t>
        </is>
      </c>
      <c r="C152" s="2" t="inlineStr">
        <is>
          <t>China</t>
        </is>
      </c>
      <c r="D152" s="2" t="inlineStr">
        <is>
          <t>Qwen / Qwen3</t>
        </is>
      </c>
      <c r="E152" s="2" t="inlineStr">
        <is>
          <t>Model Studio + Qwen API</t>
        </is>
      </c>
      <c r="F152" s="2" t="n">
        <v>2026</v>
      </c>
      <c r="G152" s="2" t="n">
        <v>1.8</v>
      </c>
      <c r="H152" s="2" t="n">
        <v>0.572</v>
      </c>
      <c r="I152" s="2" t="n">
        <v>1.23</v>
      </c>
      <c r="J152" s="2" t="n">
        <v>0.465</v>
      </c>
      <c r="K152" s="2" t="n">
        <v>0.84</v>
      </c>
      <c r="L152" s="2" t="n">
        <v>0.391</v>
      </c>
      <c r="M152" s="2" t="n">
        <v>0.38</v>
      </c>
      <c r="N152" s="2" t="n">
        <v>0.62</v>
      </c>
      <c r="O152" s="2" t="n">
        <v>0.242</v>
      </c>
      <c r="P152" s="2" t="n">
        <v>0.148</v>
      </c>
      <c r="Q152" s="2" t="n">
        <v>1943460</v>
      </c>
      <c r="R152" s="2" t="n">
        <v>0.5145</v>
      </c>
      <c r="S152" s="2" t="n">
        <v>0.53</v>
      </c>
      <c r="T152" s="2" t="n">
        <v>21536770717440</v>
      </c>
      <c r="U152" s="2" t="n">
        <v>7860921311865601</v>
      </c>
      <c r="V152" s="2" t="n">
        <v>2897674605619</v>
      </c>
      <c r="W152" s="2" t="inlineStr">
        <is>
          <t>Medium</t>
        </is>
      </c>
      <c r="X152" s="2" t="inlineStr">
        <is>
          <t>Fact+Scenario</t>
        </is>
      </c>
      <c r="Y152" s="2" t="inlineStr">
        <is>
          <t>SRC_QWEN3_GITHUB</t>
        </is>
      </c>
      <c r="Z152" s="2" t="inlineStr">
        <is>
          <t>ASSUMP_MOE_EFFICIENCY; ASSUMP_CN_CAPACITY_TRANSPARENCY; ASSUMP_INFERENCE_SHARE_NOT_FACT_60</t>
        </is>
      </c>
    </row>
    <row r="153">
      <c r="A153" s="2" t="inlineStr">
        <is>
          <t>Grid-Constrained / Efficiency-Upside</t>
        </is>
      </c>
      <c r="B153" s="2" t="inlineStr">
        <is>
          <t>Alibaba</t>
        </is>
      </c>
      <c r="C153" s="2" t="inlineStr">
        <is>
          <t>China</t>
        </is>
      </c>
      <c r="D153" s="2" t="inlineStr">
        <is>
          <t>Qwen / Qwen3</t>
        </is>
      </c>
      <c r="E153" s="2" t="inlineStr">
        <is>
          <t>Model Studio + Qwen API</t>
        </is>
      </c>
      <c r="F153" s="2" t="n">
        <v>2027</v>
      </c>
      <c r="G153" s="2" t="n">
        <v>2.35</v>
      </c>
      <c r="H153" s="2" t="n">
        <v>1.082</v>
      </c>
      <c r="I153" s="2" t="n">
        <v>1.23</v>
      </c>
      <c r="J153" s="2" t="n">
        <v>0.879</v>
      </c>
      <c r="K153" s="2" t="n">
        <v>0.84</v>
      </c>
      <c r="L153" s="2" t="n">
        <v>0.739</v>
      </c>
      <c r="M153" s="2" t="n">
        <v>0.325</v>
      </c>
      <c r="N153" s="2" t="n">
        <v>0.675</v>
      </c>
      <c r="O153" s="2" t="n">
        <v>0.499</v>
      </c>
      <c r="P153" s="2" t="n">
        <v>0.24</v>
      </c>
      <c r="Q153" s="2" t="n">
        <v>2273848</v>
      </c>
      <c r="R153" s="2" t="n">
        <v>0.4398</v>
      </c>
      <c r="S153" s="2" t="n">
        <v>0.571</v>
      </c>
      <c r="T153" s="2" t="n">
        <v>55977284458829</v>
      </c>
      <c r="U153" s="2" t="n">
        <v>2.043170882747251e+16</v>
      </c>
      <c r="V153" s="2" t="n">
        <v>5923047333519</v>
      </c>
      <c r="W153" s="2" t="inlineStr">
        <is>
          <t>Medium</t>
        </is>
      </c>
      <c r="X153" s="2" t="inlineStr">
        <is>
          <t>Fact+Scenario</t>
        </is>
      </c>
      <c r="Y153" s="2" t="inlineStr">
        <is>
          <t>SRC_QWEN3_GITHUB</t>
        </is>
      </c>
      <c r="Z153" s="2" t="inlineStr">
        <is>
          <t>ASSUMP_MOE_EFFICIENCY; ASSUMP_CN_CAPACITY_TRANSPARENCY; ASSUMP_INFERENCE_SHARE_NOT_FACT_60</t>
        </is>
      </c>
    </row>
    <row r="154">
      <c r="A154" s="2" t="inlineStr">
        <is>
          <t>Grid-Constrained / Efficiency-Upside</t>
        </is>
      </c>
      <c r="B154" s="2" t="inlineStr">
        <is>
          <t>Alibaba</t>
        </is>
      </c>
      <c r="C154" s="2" t="inlineStr">
        <is>
          <t>China</t>
        </is>
      </c>
      <c r="D154" s="2" t="inlineStr">
        <is>
          <t>Qwen / Qwen3</t>
        </is>
      </c>
      <c r="E154" s="2" t="inlineStr">
        <is>
          <t>Model Studio + Qwen API</t>
        </is>
      </c>
      <c r="F154" s="2" t="n">
        <v>2028</v>
      </c>
      <c r="G154" s="2" t="n">
        <v>2.9</v>
      </c>
      <c r="H154" s="2" t="n">
        <v>1.54</v>
      </c>
      <c r="I154" s="2" t="n">
        <v>1.23</v>
      </c>
      <c r="J154" s="2" t="n">
        <v>1.252</v>
      </c>
      <c r="K154" s="2" t="n">
        <v>0.84</v>
      </c>
      <c r="L154" s="2" t="n">
        <v>1.052</v>
      </c>
      <c r="M154" s="2" t="n">
        <v>0.27</v>
      </c>
      <c r="N154" s="2" t="n">
        <v>0.73</v>
      </c>
      <c r="O154" s="2" t="n">
        <v>0.768</v>
      </c>
      <c r="P154" s="2" t="n">
        <v>0.284</v>
      </c>
      <c r="Q154" s="2" t="n">
        <v>2660402</v>
      </c>
      <c r="R154" s="2" t="n">
        <v>0.3759</v>
      </c>
      <c r="S154" s="2" t="n">
        <v>0.612</v>
      </c>
      <c r="T154" s="2" t="n">
        <v>108037282155725</v>
      </c>
      <c r="U154" s="2" t="n">
        <v>3.943360798683955e+16</v>
      </c>
      <c r="V154" s="2" t="n">
        <v>8789283058711</v>
      </c>
      <c r="W154" s="2" t="inlineStr">
        <is>
          <t>Medium</t>
        </is>
      </c>
      <c r="X154" s="2" t="inlineStr">
        <is>
          <t>Fact+Scenario</t>
        </is>
      </c>
      <c r="Y154" s="2" t="inlineStr">
        <is>
          <t>SRC_QWEN3_GITHUB</t>
        </is>
      </c>
      <c r="Z154" s="2" t="inlineStr">
        <is>
          <t>ASSUMP_MOE_EFFICIENCY; ASSUMP_CN_CAPACITY_TRANSPARENCY; ASSUMP_INFERENCE_SHARE_NOT_FACT_60</t>
        </is>
      </c>
    </row>
    <row r="155">
      <c r="A155" s="2" t="inlineStr">
        <is>
          <t>Grid-Constrained / Efficiency-Upside</t>
        </is>
      </c>
      <c r="B155" s="2" t="inlineStr">
        <is>
          <t>Alibaba</t>
        </is>
      </c>
      <c r="C155" s="2" t="inlineStr">
        <is>
          <t>China</t>
        </is>
      </c>
      <c r="D155" s="2" t="inlineStr">
        <is>
          <t>Qwen / Qwen3</t>
        </is>
      </c>
      <c r="E155" s="2" t="inlineStr">
        <is>
          <t>Model Studio + Qwen API</t>
        </is>
      </c>
      <c r="F155" s="2" t="n">
        <v>2029</v>
      </c>
      <c r="G155" s="2" t="n">
        <v>3.45</v>
      </c>
      <c r="H155" s="2" t="n">
        <v>1.948</v>
      </c>
      <c r="I155" s="2" t="n">
        <v>1.23</v>
      </c>
      <c r="J155" s="2" t="n">
        <v>1.583</v>
      </c>
      <c r="K155" s="2" t="n">
        <v>0.84</v>
      </c>
      <c r="L155" s="2" t="n">
        <v>1.33</v>
      </c>
      <c r="M155" s="2" t="n">
        <v>0.215</v>
      </c>
      <c r="N155" s="2" t="n">
        <v>0.785</v>
      </c>
      <c r="O155" s="2" t="n">
        <v>1.044</v>
      </c>
      <c r="P155" s="2" t="n">
        <v>0.286</v>
      </c>
      <c r="Q155" s="2" t="n">
        <v>3112671</v>
      </c>
      <c r="R155" s="2" t="n">
        <v>0.3213</v>
      </c>
      <c r="S155" s="2" t="n">
        <v>0.653</v>
      </c>
      <c r="T155" s="2" t="n">
        <v>183341441621261</v>
      </c>
      <c r="U155" s="2" t="n">
        <v>6.69196261917602e+16</v>
      </c>
      <c r="V155" s="2" t="n">
        <v>11049658531427</v>
      </c>
      <c r="W155" s="2" t="inlineStr">
        <is>
          <t>Medium</t>
        </is>
      </c>
      <c r="X155" s="2" t="inlineStr">
        <is>
          <t>Fact+Scenario</t>
        </is>
      </c>
      <c r="Y155" s="2" t="inlineStr">
        <is>
          <t>SRC_QWEN3_GITHUB</t>
        </is>
      </c>
      <c r="Z155" s="2" t="inlineStr">
        <is>
          <t>ASSUMP_MOE_EFFICIENCY; ASSUMP_CN_CAPACITY_TRANSPARENCY; ASSUMP_INFERENCE_SHARE_NOT_FACT_60</t>
        </is>
      </c>
    </row>
    <row r="156">
      <c r="A156" s="2" t="inlineStr">
        <is>
          <t>Grid-Constrained / Efficiency-Upside</t>
        </is>
      </c>
      <c r="B156" s="2" t="inlineStr">
        <is>
          <t>Alibaba</t>
        </is>
      </c>
      <c r="C156" s="2" t="inlineStr">
        <is>
          <t>China</t>
        </is>
      </c>
      <c r="D156" s="2" t="inlineStr">
        <is>
          <t>Qwen / Qwen3</t>
        </is>
      </c>
      <c r="E156" s="2" t="inlineStr">
        <is>
          <t>Model Studio + Qwen API</t>
        </is>
      </c>
      <c r="F156" s="2" t="n">
        <v>2030</v>
      </c>
      <c r="G156" s="2" t="n">
        <v>4</v>
      </c>
      <c r="H156" s="2" t="n">
        <v>2.304</v>
      </c>
      <c r="I156" s="2" t="n">
        <v>1.23</v>
      </c>
      <c r="J156" s="2" t="n">
        <v>1.873</v>
      </c>
      <c r="K156" s="2" t="n">
        <v>0.84</v>
      </c>
      <c r="L156" s="2" t="n">
        <v>1.573</v>
      </c>
      <c r="M156" s="2" t="n">
        <v>0.16</v>
      </c>
      <c r="N156" s="2" t="n">
        <v>0.84</v>
      </c>
      <c r="O156" s="2" t="n">
        <v>1.322</v>
      </c>
      <c r="P156" s="2" t="n">
        <v>0.252</v>
      </c>
      <c r="Q156" s="2" t="n">
        <v>3641825</v>
      </c>
      <c r="R156" s="2" t="n">
        <v>0.2746</v>
      </c>
      <c r="S156" s="2" t="n">
        <v>0.694</v>
      </c>
      <c r="T156" s="2" t="n">
        <v>288684682482240</v>
      </c>
      <c r="U156" s="2" t="n">
        <v>1.053699091060176e+17</v>
      </c>
      <c r="V156" s="2" t="n">
        <v>12106413613325</v>
      </c>
      <c r="W156" s="2" t="inlineStr">
        <is>
          <t>Medium</t>
        </is>
      </c>
      <c r="X156" s="2" t="inlineStr">
        <is>
          <t>Fact+Scenario</t>
        </is>
      </c>
      <c r="Y156" s="2" t="inlineStr">
        <is>
          <t>SRC_QWEN3_GITHUB</t>
        </is>
      </c>
      <c r="Z156" s="2" t="inlineStr">
        <is>
          <t>ASSUMP_MOE_EFFICIENCY; ASSUMP_CN_CAPACITY_TRANSPARENCY; ASSUMP_INFERENCE_SHARE_NOT_FACT_60</t>
        </is>
      </c>
    </row>
    <row r="157">
      <c r="A157" s="2" t="inlineStr">
        <is>
          <t>Grid-Constrained / Efficiency-Upside</t>
        </is>
      </c>
      <c r="B157" s="2" t="inlineStr">
        <is>
          <t>Tencent</t>
        </is>
      </c>
      <c r="C157" s="2" t="inlineStr">
        <is>
          <t>China</t>
        </is>
      </c>
      <c r="D157" s="2" t="inlineStr">
        <is>
          <t>Hunyuan / Yuanbao</t>
        </is>
      </c>
      <c r="E157" s="2" t="inlineStr">
        <is>
          <t>Yuanbao + WeChat/Tencent Cloud</t>
        </is>
      </c>
      <c r="F157" s="2" t="n">
        <v>2026</v>
      </c>
      <c r="G157" s="2" t="n">
        <v>1.2</v>
      </c>
      <c r="H157" s="2" t="n">
        <v>0.396</v>
      </c>
      <c r="I157" s="2" t="n">
        <v>1.23</v>
      </c>
      <c r="J157" s="2" t="n">
        <v>0.322</v>
      </c>
      <c r="K157" s="2" t="n">
        <v>0.84</v>
      </c>
      <c r="L157" s="2" t="n">
        <v>0.27</v>
      </c>
      <c r="M157" s="2" t="n">
        <v>0.38</v>
      </c>
      <c r="N157" s="2" t="n">
        <v>0.62</v>
      </c>
      <c r="O157" s="2" t="n">
        <v>0.168</v>
      </c>
      <c r="P157" s="2" t="n">
        <v>0.103</v>
      </c>
      <c r="Q157" s="2" t="n">
        <v>1416000</v>
      </c>
      <c r="R157" s="2" t="n">
        <v>0.7062</v>
      </c>
      <c r="S157" s="2" t="n">
        <v>0.53</v>
      </c>
      <c r="T157" s="2" t="n">
        <v>10893367296000</v>
      </c>
      <c r="U157" s="2" t="n">
        <v>3976079063040000</v>
      </c>
      <c r="V157" s="2" t="n">
        <v>1469307755520</v>
      </c>
      <c r="W157" s="2" t="inlineStr">
        <is>
          <t>Medium-Low</t>
        </is>
      </c>
      <c r="X157" s="2" t="inlineStr">
        <is>
          <t>Estimate+Scenario</t>
        </is>
      </c>
      <c r="Y157" s="2" t="inlineStr">
        <is>
          <t>SRC_TENCENT_HUNYUAN; SRC_TENCENT_HY3</t>
        </is>
      </c>
      <c r="Z157" s="2" t="inlineStr">
        <is>
          <t>ASSUMP_CN_CAPACITY_TRANSPARENCY; ASSUMP_APP_EMBEDDING; ASSUMP_INFERENCE_SHARE_NOT_FACT_60</t>
        </is>
      </c>
    </row>
    <row r="158">
      <c r="A158" s="2" t="inlineStr">
        <is>
          <t>Grid-Constrained / Efficiency-Upside</t>
        </is>
      </c>
      <c r="B158" s="2" t="inlineStr">
        <is>
          <t>Tencent</t>
        </is>
      </c>
      <c r="C158" s="2" t="inlineStr">
        <is>
          <t>China</t>
        </is>
      </c>
      <c r="D158" s="2" t="inlineStr">
        <is>
          <t>Hunyuan / Yuanbao</t>
        </is>
      </c>
      <c r="E158" s="2" t="inlineStr">
        <is>
          <t>Yuanbao + WeChat/Tencent Cloud</t>
        </is>
      </c>
      <c r="F158" s="2" t="n">
        <v>2027</v>
      </c>
      <c r="G158" s="2" t="n">
        <v>1.65</v>
      </c>
      <c r="H158" s="2" t="n">
        <v>0.787</v>
      </c>
      <c r="I158" s="2" t="n">
        <v>1.23</v>
      </c>
      <c r="J158" s="2" t="n">
        <v>0.64</v>
      </c>
      <c r="K158" s="2" t="n">
        <v>0.84</v>
      </c>
      <c r="L158" s="2" t="n">
        <v>0.538</v>
      </c>
      <c r="M158" s="2" t="n">
        <v>0.325</v>
      </c>
      <c r="N158" s="2" t="n">
        <v>0.675</v>
      </c>
      <c r="O158" s="2" t="n">
        <v>0.363</v>
      </c>
      <c r="P158" s="2" t="n">
        <v>0.175</v>
      </c>
      <c r="Q158" s="2" t="n">
        <v>1642560</v>
      </c>
      <c r="R158" s="2" t="n">
        <v>0.6088</v>
      </c>
      <c r="S158" s="2" t="n">
        <v>0.571</v>
      </c>
      <c r="T158" s="2" t="n">
        <v>29415600479232</v>
      </c>
      <c r="U158" s="2" t="n">
        <v>1.073669417491968e+16</v>
      </c>
      <c r="V158" s="2" t="n">
        <v>3119836414464</v>
      </c>
      <c r="W158" s="2" t="inlineStr">
        <is>
          <t>Medium-Low</t>
        </is>
      </c>
      <c r="X158" s="2" t="inlineStr">
        <is>
          <t>Estimate+Scenario</t>
        </is>
      </c>
      <c r="Y158" s="2" t="inlineStr">
        <is>
          <t>SRC_TENCENT_HUNYUAN; SRC_TENCENT_HY3</t>
        </is>
      </c>
      <c r="Z158" s="2" t="inlineStr">
        <is>
          <t>ASSUMP_CN_CAPACITY_TRANSPARENCY; ASSUMP_APP_EMBEDDING; ASSUMP_INFERENCE_SHARE_NOT_FACT_60</t>
        </is>
      </c>
    </row>
    <row r="159">
      <c r="A159" s="2" t="inlineStr">
        <is>
          <t>Grid-Constrained / Efficiency-Upside</t>
        </is>
      </c>
      <c r="B159" s="2" t="inlineStr">
        <is>
          <t>Tencent</t>
        </is>
      </c>
      <c r="C159" s="2" t="inlineStr">
        <is>
          <t>China</t>
        </is>
      </c>
      <c r="D159" s="2" t="inlineStr">
        <is>
          <t>Hunyuan / Yuanbao</t>
        </is>
      </c>
      <c r="E159" s="2" t="inlineStr">
        <is>
          <t>Yuanbao + WeChat/Tencent Cloud</t>
        </is>
      </c>
      <c r="F159" s="2" t="n">
        <v>2028</v>
      </c>
      <c r="G159" s="2" t="n">
        <v>2.1</v>
      </c>
      <c r="H159" s="2" t="n">
        <v>1.14</v>
      </c>
      <c r="I159" s="2" t="n">
        <v>1.23</v>
      </c>
      <c r="J159" s="2" t="n">
        <v>0.927</v>
      </c>
      <c r="K159" s="2" t="n">
        <v>0.84</v>
      </c>
      <c r="L159" s="2" t="n">
        <v>0.779</v>
      </c>
      <c r="M159" s="2" t="n">
        <v>0.27</v>
      </c>
      <c r="N159" s="2" t="n">
        <v>0.73</v>
      </c>
      <c r="O159" s="2" t="n">
        <v>0.5679999999999999</v>
      </c>
      <c r="P159" s="2" t="n">
        <v>0.21</v>
      </c>
      <c r="Q159" s="2" t="n">
        <v>1905370</v>
      </c>
      <c r="R159" s="2" t="n">
        <v>0.5248</v>
      </c>
      <c r="S159" s="2" t="n">
        <v>0.612</v>
      </c>
      <c r="T159" s="2" t="n">
        <v>57225925260288</v>
      </c>
      <c r="U159" s="2" t="n">
        <v>2.088746272000512e+16</v>
      </c>
      <c r="V159" s="2" t="n">
        <v>4654643920819</v>
      </c>
      <c r="W159" s="2" t="inlineStr">
        <is>
          <t>Medium-Low</t>
        </is>
      </c>
      <c r="X159" s="2" t="inlineStr">
        <is>
          <t>Estimate+Scenario</t>
        </is>
      </c>
      <c r="Y159" s="2" t="inlineStr">
        <is>
          <t>SRC_TENCENT_HUNYUAN; SRC_TENCENT_HY3</t>
        </is>
      </c>
      <c r="Z159" s="2" t="inlineStr">
        <is>
          <t>ASSUMP_CN_CAPACITY_TRANSPARENCY; ASSUMP_APP_EMBEDDING; ASSUMP_INFERENCE_SHARE_NOT_FACT_60</t>
        </is>
      </c>
    </row>
    <row r="160">
      <c r="A160" s="2" t="inlineStr">
        <is>
          <t>Grid-Constrained / Efficiency-Upside</t>
        </is>
      </c>
      <c r="B160" s="2" t="inlineStr">
        <is>
          <t>Tencent</t>
        </is>
      </c>
      <c r="C160" s="2" t="inlineStr">
        <is>
          <t>China</t>
        </is>
      </c>
      <c r="D160" s="2" t="inlineStr">
        <is>
          <t>Hunyuan / Yuanbao</t>
        </is>
      </c>
      <c r="E160" s="2" t="inlineStr">
        <is>
          <t>Yuanbao + WeChat/Tencent Cloud</t>
        </is>
      </c>
      <c r="F160" s="2" t="n">
        <v>2029</v>
      </c>
      <c r="G160" s="2" t="n">
        <v>2.55</v>
      </c>
      <c r="H160" s="2" t="n">
        <v>1.454</v>
      </c>
      <c r="I160" s="2" t="n">
        <v>1.23</v>
      </c>
      <c r="J160" s="2" t="n">
        <v>1.182</v>
      </c>
      <c r="K160" s="2" t="n">
        <v>0.84</v>
      </c>
      <c r="L160" s="2" t="n">
        <v>0.993</v>
      </c>
      <c r="M160" s="2" t="n">
        <v>0.215</v>
      </c>
      <c r="N160" s="2" t="n">
        <v>0.785</v>
      </c>
      <c r="O160" s="2" t="n">
        <v>0.779</v>
      </c>
      <c r="P160" s="2" t="n">
        <v>0.213</v>
      </c>
      <c r="Q160" s="2" t="n">
        <v>2210229</v>
      </c>
      <c r="R160" s="2" t="n">
        <v>0.4524</v>
      </c>
      <c r="S160" s="2" t="n">
        <v>0.653</v>
      </c>
      <c r="T160" s="2" t="n">
        <v>97140795205507</v>
      </c>
      <c r="U160" s="2" t="n">
        <v>3.545639025001013e+16</v>
      </c>
      <c r="V160" s="2" t="n">
        <v>5843411634570</v>
      </c>
      <c r="W160" s="2" t="inlineStr">
        <is>
          <t>Medium-Low</t>
        </is>
      </c>
      <c r="X160" s="2" t="inlineStr">
        <is>
          <t>Estimate+Scenario</t>
        </is>
      </c>
      <c r="Y160" s="2" t="inlineStr">
        <is>
          <t>SRC_TENCENT_HUNYUAN; SRC_TENCENT_HY3</t>
        </is>
      </c>
      <c r="Z160" s="2" t="inlineStr">
        <is>
          <t>ASSUMP_CN_CAPACITY_TRANSPARENCY; ASSUMP_APP_EMBEDDING; ASSUMP_INFERENCE_SHARE_NOT_FACT_60</t>
        </is>
      </c>
    </row>
    <row r="161">
      <c r="A161" s="2" t="inlineStr">
        <is>
          <t>Grid-Constrained / Efficiency-Upside</t>
        </is>
      </c>
      <c r="B161" s="2" t="inlineStr">
        <is>
          <t>Tencent</t>
        </is>
      </c>
      <c r="C161" s="2" t="inlineStr">
        <is>
          <t>China</t>
        </is>
      </c>
      <c r="D161" s="2" t="inlineStr">
        <is>
          <t>Hunyuan / Yuanbao</t>
        </is>
      </c>
      <c r="E161" s="2" t="inlineStr">
        <is>
          <t>Yuanbao + WeChat/Tencent Cloud</t>
        </is>
      </c>
      <c r="F161" s="2" t="n">
        <v>2030</v>
      </c>
      <c r="G161" s="2" t="n">
        <v>3</v>
      </c>
      <c r="H161" s="2" t="n">
        <v>1.728</v>
      </c>
      <c r="I161" s="2" t="n">
        <v>1.23</v>
      </c>
      <c r="J161" s="2" t="n">
        <v>1.405</v>
      </c>
      <c r="K161" s="2" t="n">
        <v>0.84</v>
      </c>
      <c r="L161" s="2" t="n">
        <v>1.18</v>
      </c>
      <c r="M161" s="2" t="n">
        <v>0.16</v>
      </c>
      <c r="N161" s="2" t="n">
        <v>0.84</v>
      </c>
      <c r="O161" s="2" t="n">
        <v>0.991</v>
      </c>
      <c r="P161" s="2" t="n">
        <v>0.189</v>
      </c>
      <c r="Q161" s="2" t="n">
        <v>2563865</v>
      </c>
      <c r="R161" s="2" t="n">
        <v>0.39</v>
      </c>
      <c r="S161" s="2" t="n">
        <v>0.694</v>
      </c>
      <c r="T161" s="2" t="n">
        <v>152349846555744</v>
      </c>
      <c r="U161" s="2" t="n">
        <v>5.560769399284655e+16</v>
      </c>
      <c r="V161" s="2" t="n">
        <v>6392236750543</v>
      </c>
      <c r="W161" s="2" t="inlineStr">
        <is>
          <t>Medium-Low</t>
        </is>
      </c>
      <c r="X161" s="2" t="inlineStr">
        <is>
          <t>Estimate+Scenario</t>
        </is>
      </c>
      <c r="Y161" s="2" t="inlineStr">
        <is>
          <t>SRC_TENCENT_HUNYUAN; SRC_TENCENT_HY3</t>
        </is>
      </c>
      <c r="Z161" s="2" t="inlineStr">
        <is>
          <t>ASSUMP_CN_CAPACITY_TRANSPARENCY; ASSUMP_APP_EMBEDDING; ASSUMP_INFERENCE_SHARE_NOT_FACT_60</t>
        </is>
      </c>
    </row>
  </sheetData>
  <autoFilter ref="A1:Z161"/>
  <conditionalFormatting sqref="T2:T161">
    <cfRule type="colorScale" priority="1">
      <colorScale>
        <cfvo type="min"/>
        <cfvo type="percentile" val="50"/>
        <cfvo type="max"/>
        <color rgb="00FDE2E2"/>
        <color rgb="00FFF1B8"/>
        <color rgb="00B7E4C7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7" customWidth="1" min="3" max="3"/>
    <col width="15" customWidth="1" min="4" max="4"/>
    <col width="14" customWidth="1" min="5" max="5"/>
    <col width="13" customWidth="1" min="6" max="6"/>
    <col width="26" customWidth="1" min="7" max="7"/>
    <col width="26" customWidth="1" min="8" max="8"/>
    <col width="28" customWidth="1" min="9" max="9"/>
    <col width="38" customWidth="1" min="10" max="10"/>
    <col width="24" customWidth="1" min="11" max="11"/>
  </cols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active_power_gw</t>
        </is>
      </c>
      <c r="D1" s="1" t="inlineStr">
        <is>
          <t>ai_it_load_gw</t>
        </is>
      </c>
      <c r="E1" s="1" t="inlineStr">
        <is>
          <t>inference_gw</t>
        </is>
      </c>
      <c r="F1" s="1" t="inlineStr">
        <is>
          <t>training_gw</t>
        </is>
      </c>
      <c r="G1" s="1" t="inlineStr">
        <is>
          <t>weighted_inference_share</t>
        </is>
      </c>
      <c r="H1" s="1" t="inlineStr">
        <is>
          <t>inference_tokens_per_day</t>
        </is>
      </c>
      <c r="I1" s="1" t="inlineStr">
        <is>
          <t>inference_tokens_per_day_q</t>
        </is>
      </c>
      <c r="J1" s="1" t="inlineStr">
        <is>
          <t>scenario_description_kr</t>
        </is>
      </c>
      <c r="K1" s="1" t="inlineStr">
        <is>
          <t>delta_vs_base_2030_pct</t>
        </is>
      </c>
    </row>
    <row r="2">
      <c r="A2" s="2" t="inlineStr">
        <is>
          <t>Bear</t>
        </is>
      </c>
      <c r="B2" s="2" t="n">
        <v>2026</v>
      </c>
      <c r="C2" s="2" t="n">
        <v>7.74</v>
      </c>
      <c r="D2" s="2" t="n">
        <v>5.591</v>
      </c>
      <c r="E2" s="2" t="n">
        <v>2.705</v>
      </c>
      <c r="F2" s="2" t="n">
        <v>2.886</v>
      </c>
      <c r="G2" s="2" t="n">
        <v>0.484</v>
      </c>
      <c r="H2" s="2" t="n">
        <v>107558448915456</v>
      </c>
      <c r="I2" s="2" t="n">
        <v>0.108</v>
      </c>
      <c r="J2" s="2" t="inlineStr">
        <is>
          <t>전력 인허가/장비 조달 지연, MoE 최적화 둔화, inference 전환이 느린 경우</t>
        </is>
      </c>
      <c r="K2" s="2" t="inlineStr"/>
    </row>
    <row r="3">
      <c r="A3" s="2" t="inlineStr">
        <is>
          <t>Bear</t>
        </is>
      </c>
      <c r="B3" s="2" t="n">
        <v>2027</v>
      </c>
      <c r="C3" s="2" t="n">
        <v>13.728</v>
      </c>
      <c r="D3" s="2" t="n">
        <v>9.888999999999999</v>
      </c>
      <c r="E3" s="2" t="n">
        <v>5.224</v>
      </c>
      <c r="F3" s="2" t="n">
        <v>4.665</v>
      </c>
      <c r="G3" s="2" t="n">
        <v>0.528</v>
      </c>
      <c r="H3" s="2" t="n">
        <v>257053650627686</v>
      </c>
      <c r="I3" s="2" t="n">
        <v>0.257</v>
      </c>
      <c r="J3" s="2" t="inlineStr">
        <is>
          <t>전력 인허가/장비 조달 지연, MoE 최적화 둔화, inference 전환이 느린 경우</t>
        </is>
      </c>
      <c r="K3" s="2" t="inlineStr"/>
    </row>
    <row r="4">
      <c r="A4" s="2" t="inlineStr">
        <is>
          <t>Bear</t>
        </is>
      </c>
      <c r="B4" s="2" t="n">
        <v>2028</v>
      </c>
      <c r="C4" s="2" t="n">
        <v>19.437</v>
      </c>
      <c r="D4" s="2" t="n">
        <v>13.986</v>
      </c>
      <c r="E4" s="2" t="n">
        <v>8.013999999999999</v>
      </c>
      <c r="F4" s="2" t="n">
        <v>5.973</v>
      </c>
      <c r="G4" s="2" t="n">
        <v>0.573</v>
      </c>
      <c r="H4" s="2" t="n">
        <v>488434740834355</v>
      </c>
      <c r="I4" s="2" t="n">
        <v>0.488</v>
      </c>
      <c r="J4" s="2" t="inlineStr">
        <is>
          <t>전력 인허가/장비 조달 지연, MoE 최적화 둔화, inference 전환이 느린 경우</t>
        </is>
      </c>
      <c r="K4" s="2" t="inlineStr"/>
    </row>
    <row r="5">
      <c r="A5" s="2" t="inlineStr">
        <is>
          <t>Bear</t>
        </is>
      </c>
      <c r="B5" s="2" t="n">
        <v>2029</v>
      </c>
      <c r="C5" s="2" t="n">
        <v>24.863</v>
      </c>
      <c r="D5" s="2" t="n">
        <v>17.882</v>
      </c>
      <c r="E5" s="2" t="n">
        <v>11.044</v>
      </c>
      <c r="F5" s="2" t="n">
        <v>6.839</v>
      </c>
      <c r="G5" s="2" t="n">
        <v>0.618</v>
      </c>
      <c r="H5" s="2" t="n">
        <v>832183673277341</v>
      </c>
      <c r="I5" s="2" t="n">
        <v>0.832</v>
      </c>
      <c r="J5" s="2" t="inlineStr">
        <is>
          <t>전력 인허가/장비 조달 지연, MoE 최적화 둔화, inference 전환이 느린 경우</t>
        </is>
      </c>
      <c r="K5" s="2" t="inlineStr"/>
    </row>
    <row r="6">
      <c r="A6" s="2" t="inlineStr">
        <is>
          <t>Bear</t>
        </is>
      </c>
      <c r="B6" s="2" t="n">
        <v>2030</v>
      </c>
      <c r="C6" s="2" t="n">
        <v>30.012</v>
      </c>
      <c r="D6" s="2" t="n">
        <v>21.576</v>
      </c>
      <c r="E6" s="2" t="n">
        <v>14.288</v>
      </c>
      <c r="F6" s="2" t="n">
        <v>7.288</v>
      </c>
      <c r="G6" s="2" t="n">
        <v>0.662</v>
      </c>
      <c r="H6" s="2" t="n">
        <v>1327366208301119</v>
      </c>
      <c r="I6" s="2" t="n">
        <v>1.327</v>
      </c>
      <c r="J6" s="2" t="inlineStr">
        <is>
          <t>전력 인허가/장비 조달 지연, MoE 최적화 둔화, inference 전환이 느린 경우</t>
        </is>
      </c>
      <c r="K6" s="2" t="n">
        <v>-48</v>
      </c>
    </row>
    <row r="7">
      <c r="A7" s="2" t="inlineStr">
        <is>
          <t>Base</t>
        </is>
      </c>
      <c r="B7" s="2" t="n">
        <v>2026</v>
      </c>
      <c r="C7" s="2" t="n">
        <v>8.6</v>
      </c>
      <c r="D7" s="2" t="n">
        <v>6.212</v>
      </c>
      <c r="E7" s="2" t="n">
        <v>3.501</v>
      </c>
      <c r="F7" s="2" t="n">
        <v>2.709</v>
      </c>
      <c r="G7" s="2" t="n">
        <v>0.5639999999999999</v>
      </c>
      <c r="H7" s="2" t="n">
        <v>190157716800000</v>
      </c>
      <c r="I7" s="2" t="n">
        <v>0.19</v>
      </c>
      <c r="J7" s="2" t="inlineStr">
        <is>
          <t>현재 공식 발표와 시장전망을 기준으로 한 staged deployment, MoE 효율 개선, inference mix 상승</t>
        </is>
      </c>
      <c r="K7" s="2" t="inlineStr"/>
    </row>
    <row r="8">
      <c r="A8" s="2" t="inlineStr">
        <is>
          <t>Base</t>
        </is>
      </c>
      <c r="B8" s="2" t="n">
        <v>2027</v>
      </c>
      <c r="C8" s="2" t="n">
        <v>15.6</v>
      </c>
      <c r="D8" s="2" t="n">
        <v>11.235</v>
      </c>
      <c r="E8" s="2" t="n">
        <v>6.892</v>
      </c>
      <c r="F8" s="2" t="n">
        <v>4.344</v>
      </c>
      <c r="G8" s="2" t="n">
        <v>0.613</v>
      </c>
      <c r="H8" s="2" t="n">
        <v>464183512660800</v>
      </c>
      <c r="I8" s="2" t="n">
        <v>0.464</v>
      </c>
      <c r="J8" s="2" t="inlineStr">
        <is>
          <t>현재 공식 발표와 시장전망을 기준으로 한 staged deployment, MoE 효율 개선, inference mix 상승</t>
        </is>
      </c>
      <c r="K8" s="2" t="inlineStr"/>
    </row>
    <row r="9">
      <c r="A9" s="2" t="inlineStr">
        <is>
          <t>Base</t>
        </is>
      </c>
      <c r="B9" s="2" t="n">
        <v>2028</v>
      </c>
      <c r="C9" s="2" t="n">
        <v>22.6</v>
      </c>
      <c r="D9" s="2" t="n">
        <v>16.262</v>
      </c>
      <c r="E9" s="2" t="n">
        <v>10.779</v>
      </c>
      <c r="F9" s="2" t="n">
        <v>5.481</v>
      </c>
      <c r="G9" s="2" t="n">
        <v>0.663</v>
      </c>
      <c r="H9" s="2" t="n">
        <v>899802351330480</v>
      </c>
      <c r="I9" s="2" t="n">
        <v>0.9</v>
      </c>
      <c r="J9" s="2" t="inlineStr">
        <is>
          <t>현재 공식 발표와 시장전망을 기준으로 한 staged deployment, MoE 효율 개선, inference mix 상승</t>
        </is>
      </c>
      <c r="K9" s="2" t="inlineStr"/>
    </row>
    <row r="10">
      <c r="A10" s="2" t="inlineStr">
        <is>
          <t>Base</t>
        </is>
      </c>
      <c r="B10" s="2" t="n">
        <v>2029</v>
      </c>
      <c r="C10" s="2" t="n">
        <v>29.599</v>
      </c>
      <c r="D10" s="2" t="n">
        <v>21.288</v>
      </c>
      <c r="E10" s="2" t="n">
        <v>15.169</v>
      </c>
      <c r="F10" s="2" t="n">
        <v>6.122</v>
      </c>
      <c r="G10" s="2" t="n">
        <v>0.713</v>
      </c>
      <c r="H10" s="2" t="n">
        <v>1565815649659978</v>
      </c>
      <c r="I10" s="2" t="n">
        <v>1.566</v>
      </c>
      <c r="J10" s="2" t="inlineStr">
        <is>
          <t>현재 공식 발표와 시장전망을 기준으로 한 staged deployment, MoE 효율 개선, inference mix 상승</t>
        </is>
      </c>
      <c r="K10" s="2" t="inlineStr"/>
    </row>
    <row r="11">
      <c r="A11" s="2" t="inlineStr">
        <is>
          <t>Base</t>
        </is>
      </c>
      <c r="B11" s="2" t="n">
        <v>2030</v>
      </c>
      <c r="C11" s="2" t="n">
        <v>36.6</v>
      </c>
      <c r="D11" s="2" t="n">
        <v>26.312</v>
      </c>
      <c r="E11" s="2" t="n">
        <v>20.055</v>
      </c>
      <c r="F11" s="2" t="n">
        <v>6.258</v>
      </c>
      <c r="G11" s="2" t="n">
        <v>0.762</v>
      </c>
      <c r="H11" s="2" t="n">
        <v>2553684380570592</v>
      </c>
      <c r="I11" s="2" t="n">
        <v>2.554</v>
      </c>
      <c r="J11" s="2" t="inlineStr">
        <is>
          <t>현재 공식 발표와 시장전망을 기준으로 한 staged deployment, MoE 효율 개선, inference mix 상승</t>
        </is>
      </c>
      <c r="K11" s="2" t="n">
        <v>0</v>
      </c>
    </row>
    <row r="12">
      <c r="A12" s="2" t="inlineStr">
        <is>
          <t>Bull</t>
        </is>
      </c>
      <c r="B12" s="2" t="n">
        <v>2026</v>
      </c>
      <c r="C12" s="2" t="n">
        <v>9.031000000000001</v>
      </c>
      <c r="D12" s="2" t="n">
        <v>6.523</v>
      </c>
      <c r="E12" s="2" t="n">
        <v>4.004</v>
      </c>
      <c r="F12" s="2" t="n">
        <v>2.519</v>
      </c>
      <c r="G12" s="2" t="n">
        <v>0.614</v>
      </c>
      <c r="H12" s="2" t="n">
        <v>277074336547008</v>
      </c>
      <c r="I12" s="2" t="n">
        <v>0.277</v>
      </c>
      <c r="J12" s="2" t="inlineStr">
        <is>
          <t>전력 energization이 빠르고, MoE/serving stack 최적화가 강하며, commercial inference 비중이 빠르게 상승</t>
        </is>
      </c>
      <c r="K12" s="2" t="inlineStr"/>
    </row>
    <row r="13">
      <c r="A13" s="2" t="inlineStr">
        <is>
          <t>Bull</t>
        </is>
      </c>
      <c r="B13" s="2" t="n">
        <v>2027</v>
      </c>
      <c r="C13" s="2" t="n">
        <v>16.888</v>
      </c>
      <c r="D13" s="2" t="n">
        <v>12.163</v>
      </c>
      <c r="E13" s="2" t="n">
        <v>8.16</v>
      </c>
      <c r="F13" s="2" t="n">
        <v>4.005</v>
      </c>
      <c r="G13" s="2" t="n">
        <v>0.671</v>
      </c>
      <c r="H13" s="2" t="n">
        <v>702792761771117</v>
      </c>
      <c r="I13" s="2" t="n">
        <v>0.703</v>
      </c>
      <c r="J13" s="2" t="inlineStr">
        <is>
          <t>전력 energization이 빠르고, MoE/serving stack 최적화가 강하며, commercial inference 비중이 빠르게 상승</t>
        </is>
      </c>
      <c r="K13" s="2" t="inlineStr"/>
    </row>
    <row r="14">
      <c r="A14" s="2" t="inlineStr">
        <is>
          <t>Bull</t>
        </is>
      </c>
      <c r="B14" s="2" t="n">
        <v>2028</v>
      </c>
      <c r="C14" s="2" t="n">
        <v>25.199</v>
      </c>
      <c r="D14" s="2" t="n">
        <v>18.132</v>
      </c>
      <c r="E14" s="2" t="n">
        <v>13.197</v>
      </c>
      <c r="F14" s="2" t="n">
        <v>4.934</v>
      </c>
      <c r="G14" s="2" t="n">
        <v>0.728</v>
      </c>
      <c r="H14" s="2" t="n">
        <v>1410886257087859</v>
      </c>
      <c r="I14" s="2" t="n">
        <v>1.411</v>
      </c>
      <c r="J14" s="2" t="inlineStr">
        <is>
          <t>전력 energization이 빠르고, MoE/serving stack 최적화가 강하며, commercial inference 비중이 빠르게 상승</t>
        </is>
      </c>
      <c r="K14" s="2" t="inlineStr"/>
    </row>
    <row r="15">
      <c r="A15" s="2" t="inlineStr">
        <is>
          <t>Bull</t>
        </is>
      </c>
      <c r="B15" s="2" t="n">
        <v>2029</v>
      </c>
      <c r="C15" s="2" t="n">
        <v>33.966</v>
      </c>
      <c r="D15" s="2" t="n">
        <v>24.427</v>
      </c>
      <c r="E15" s="2" t="n">
        <v>19.176</v>
      </c>
      <c r="F15" s="2" t="n">
        <v>5.25</v>
      </c>
      <c r="G15" s="2" t="n">
        <v>0.785</v>
      </c>
      <c r="H15" s="2" t="n">
        <v>2536835710352745</v>
      </c>
      <c r="I15" s="2" t="n">
        <v>2.537</v>
      </c>
      <c r="J15" s="2" t="inlineStr">
        <is>
          <t>전력 energization이 빠르고, MoE/serving stack 최적화가 강하며, commercial inference 비중이 빠르게 상승</t>
        </is>
      </c>
      <c r="K15" s="2" t="inlineStr"/>
    </row>
    <row r="16">
      <c r="A16" s="2" t="inlineStr">
        <is>
          <t>Bull</t>
        </is>
      </c>
      <c r="B16" s="2" t="n">
        <v>2030</v>
      </c>
      <c r="C16" s="2" t="n">
        <v>43.164</v>
      </c>
      <c r="D16" s="2" t="n">
        <v>31.03</v>
      </c>
      <c r="E16" s="2" t="n">
        <v>26.135</v>
      </c>
      <c r="F16" s="2" t="n">
        <v>4.896</v>
      </c>
      <c r="G16" s="2" t="n">
        <v>0.842</v>
      </c>
      <c r="H16" s="2" t="n">
        <v>4269227673252126</v>
      </c>
      <c r="I16" s="2" t="n">
        <v>4.269</v>
      </c>
      <c r="J16" s="2" t="inlineStr">
        <is>
          <t>전력 energization이 빠르고, MoE/serving stack 최적화가 강하며, commercial inference 비중이 빠르게 상승</t>
        </is>
      </c>
      <c r="K16" s="2" t="n">
        <v>67.2</v>
      </c>
    </row>
    <row r="17">
      <c r="A17" s="2" t="inlineStr">
        <is>
          <t>Grid-Constrained / Efficiency-Upside</t>
        </is>
      </c>
      <c r="B17" s="2" t="n">
        <v>2026</v>
      </c>
      <c r="C17" s="2" t="n">
        <v>7.568</v>
      </c>
      <c r="D17" s="2" t="n">
        <v>5.466</v>
      </c>
      <c r="E17" s="2" t="n">
        <v>3.191</v>
      </c>
      <c r="F17" s="2" t="n">
        <v>2.274</v>
      </c>
      <c r="G17" s="2" t="n">
        <v>0.584</v>
      </c>
      <c r="H17" s="2" t="n">
        <v>213333042954240</v>
      </c>
      <c r="I17" s="2" t="n">
        <v>0.213</v>
      </c>
      <c r="J17" s="2" t="inlineStr">
        <is>
          <t>전력 투입은 지연되지만 MoE·quantization·batching 효율이 개선되어 token capacity 하락을 일부 상쇄</t>
        </is>
      </c>
      <c r="K17" s="2" t="inlineStr"/>
    </row>
    <row r="18">
      <c r="A18" s="2" t="inlineStr">
        <is>
          <t>Grid-Constrained / Efficiency-Upside</t>
        </is>
      </c>
      <c r="B18" s="2" t="n">
        <v>2027</v>
      </c>
      <c r="C18" s="2" t="n">
        <v>13.103</v>
      </c>
      <c r="D18" s="2" t="n">
        <v>9.44</v>
      </c>
      <c r="E18" s="2" t="n">
        <v>6.025</v>
      </c>
      <c r="F18" s="2" t="n">
        <v>3.415</v>
      </c>
      <c r="G18" s="2" t="n">
        <v>0.638</v>
      </c>
      <c r="H18" s="2" t="n">
        <v>501695010472666</v>
      </c>
      <c r="I18" s="2" t="n">
        <v>0.502</v>
      </c>
      <c r="J18" s="2" t="inlineStr">
        <is>
          <t>전력 투입은 지연되지만 MoE·quantization·batching 효율이 개선되어 token capacity 하락을 일부 상쇄</t>
        </is>
      </c>
      <c r="K18" s="2" t="inlineStr"/>
    </row>
    <row r="19">
      <c r="A19" s="2" t="inlineStr">
        <is>
          <t>Grid-Constrained / Efficiency-Upside</t>
        </is>
      </c>
      <c r="B19" s="2" t="n">
        <v>2028</v>
      </c>
      <c r="C19" s="2" t="n">
        <v>18.08</v>
      </c>
      <c r="D19" s="2" t="n">
        <v>13.01</v>
      </c>
      <c r="E19" s="2" t="n">
        <v>9.015000000000001</v>
      </c>
      <c r="F19" s="2" t="n">
        <v>3.994</v>
      </c>
      <c r="G19" s="2" t="n">
        <v>0.6929999999999999</v>
      </c>
      <c r="H19" s="2" t="n">
        <v>932259753970187</v>
      </c>
      <c r="I19" s="2" t="n">
        <v>0.9320000000000001</v>
      </c>
      <c r="J19" s="2" t="inlineStr">
        <is>
          <t>전력 투입은 지연되지만 MoE·quantization·batching 효율이 개선되어 token capacity 하락을 일부 상쇄</t>
        </is>
      </c>
      <c r="K19" s="2" t="inlineStr"/>
    </row>
    <row r="20">
      <c r="A20" s="2" t="inlineStr">
        <is>
          <t>Grid-Constrained / Efficiency-Upside</t>
        </is>
      </c>
      <c r="B20" s="2" t="n">
        <v>2029</v>
      </c>
      <c r="C20" s="2" t="n">
        <v>22.498</v>
      </c>
      <c r="D20" s="2" t="n">
        <v>16.178</v>
      </c>
      <c r="E20" s="2" t="n">
        <v>12.094</v>
      </c>
      <c r="F20" s="2" t="n">
        <v>4.084</v>
      </c>
      <c r="G20" s="2" t="n">
        <v>0.748</v>
      </c>
      <c r="H20" s="2" t="n">
        <v>1548172070517745</v>
      </c>
      <c r="I20" s="2" t="n">
        <v>1.548</v>
      </c>
      <c r="J20" s="2" t="inlineStr">
        <is>
          <t>전력 투입은 지연되지만 MoE·quantization·batching 효율이 개선되어 token capacity 하락을 일부 상쇄</t>
        </is>
      </c>
      <c r="K20" s="2" t="inlineStr"/>
    </row>
    <row r="21">
      <c r="A21" s="2" t="inlineStr">
        <is>
          <t>Grid-Constrained / Efficiency-Upside</t>
        </is>
      </c>
      <c r="B21" s="2" t="n">
        <v>2030</v>
      </c>
      <c r="C21" s="2" t="n">
        <v>26.352</v>
      </c>
      <c r="D21" s="2" t="n">
        <v>18.944</v>
      </c>
      <c r="E21" s="2" t="n">
        <v>15.197</v>
      </c>
      <c r="F21" s="2" t="n">
        <v>3.748</v>
      </c>
      <c r="G21" s="2" t="n">
        <v>0.802</v>
      </c>
      <c r="H21" s="2" t="n">
        <v>2402084606045098</v>
      </c>
      <c r="I21" s="2" t="n">
        <v>2.402</v>
      </c>
      <c r="J21" s="2" t="inlineStr">
        <is>
          <t>전력 투입은 지연되지만 MoE·quantization·batching 효율이 개선되어 token capacity 하락을 일부 상쇄</t>
        </is>
      </c>
      <c r="K21" s="2" t="n">
        <v>-5.9</v>
      </c>
    </row>
  </sheetData>
  <autoFilter ref="A1:K2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29" customWidth="1" min="3" max="3"/>
    <col width="38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display</t>
        </is>
      </c>
      <c r="D1" s="1" t="inlineStr">
        <is>
          <t>interpretation_kr</t>
        </is>
      </c>
    </row>
    <row r="2">
      <c r="A2" s="2" t="inlineStr">
        <is>
          <t>2030 core-company inference tokens/day</t>
        </is>
      </c>
      <c r="B2" s="2" t="n">
        <v>2553684380570592</v>
      </c>
      <c r="C2" s="2" t="inlineStr">
        <is>
          <t>2.55 quadrillion tokens/day</t>
        </is>
      </c>
      <c r="D2" s="2" t="inlineStr">
        <is>
          <t>8개 상용 LLM owner의 base case 총 생성 capacity.</t>
        </is>
      </c>
    </row>
    <row r="3">
      <c r="A3" s="2" t="inlineStr">
        <is>
          <t>2030 inference AI IT load</t>
        </is>
      </c>
      <c r="B3" s="2" t="n">
        <v>20.05</v>
      </c>
      <c r="C3" s="2" t="inlineStr">
        <is>
          <t>20.05 GW inference load</t>
        </is>
      </c>
      <c r="D3" s="2" t="inlineStr">
        <is>
          <t>PUE와 AI workload share 차감 후 inference에 배정된 IT load.</t>
        </is>
      </c>
    </row>
    <row r="4">
      <c r="A4" s="2" t="inlineStr">
        <is>
          <t>2030 US vs China split</t>
        </is>
      </c>
      <c r="B4" s="2" t="inlineStr"/>
      <c r="C4" s="2" t="inlineStr">
        <is>
          <t>US 79% / China 21%</t>
        </is>
      </c>
      <c r="D4" s="2" t="inlineStr">
        <is>
          <t>회사 owner 기준 split이며 AWS/Oracle/CoreWeave 같은 host는 core row가 아님.</t>
        </is>
      </c>
    </row>
    <row r="5">
      <c r="A5" s="2" t="inlineStr">
        <is>
          <t>Rank 1: OpenAI 2030 tokens/day</t>
        </is>
      </c>
      <c r="B5" s="2" t="n">
        <v>586840240711296</v>
      </c>
      <c r="C5" s="2" t="inlineStr">
        <is>
          <t>0.59Q/day</t>
        </is>
      </c>
      <c r="D5" s="2" t="inlineStr">
        <is>
          <t>GPT / o-series / ChatGPT serving capacity; confidence=Medium</t>
        </is>
      </c>
    </row>
    <row r="6">
      <c r="A6" s="2" t="inlineStr">
        <is>
          <t>Rank 2: Google 2030 tokens/day</t>
        </is>
      </c>
      <c r="B6" s="2" t="n">
        <v>535132862530560</v>
      </c>
      <c r="C6" s="2" t="inlineStr">
        <is>
          <t>0.54Q/day</t>
        </is>
      </c>
      <c r="D6" s="2" t="inlineStr">
        <is>
          <t>Gemini / Gemma serving capacity; confidence=Medium-High</t>
        </is>
      </c>
    </row>
    <row r="7">
      <c r="A7" s="2" t="inlineStr">
        <is>
          <t>Rank 3: Meta 2030 tokens/day</t>
        </is>
      </c>
      <c r="B7" s="2" t="n">
        <v>402286619750400</v>
      </c>
      <c r="C7" s="2" t="inlineStr">
        <is>
          <t>0.40Q/day</t>
        </is>
      </c>
      <c r="D7" s="2" t="inlineStr">
        <is>
          <t>Llama / Meta AI serving capacity; confidence=Medium</t>
        </is>
      </c>
    </row>
    <row r="8">
      <c r="A8" s="2" t="inlineStr">
        <is>
          <t>Rank 4: Microsoft 2030 tokens/day</t>
        </is>
      </c>
      <c r="B8" s="2" t="n">
        <v>372288096107136</v>
      </c>
      <c r="C8" s="2" t="inlineStr">
        <is>
          <t>0.37Q/day</t>
        </is>
      </c>
      <c r="D8" s="2" t="inlineStr">
        <is>
          <t>Phi / MAI / Copilot model mix serving capacity; confidence=Medium</t>
        </is>
      </c>
    </row>
    <row r="9">
      <c r="A9" s="2" t="inlineStr">
        <is>
          <t>Rank 5: Alibaba 2030 tokens/day</t>
        </is>
      </c>
      <c r="B9" s="2" t="n">
        <v>259801314859008</v>
      </c>
      <c r="C9" s="2" t="inlineStr">
        <is>
          <t>0.26Q/day</t>
        </is>
      </c>
      <c r="D9" s="2" t="inlineStr">
        <is>
          <t>Qwen / Qwen3 serving capacity; confidence=Medium</t>
        </is>
      </c>
    </row>
  </sheetData>
  <autoFilter ref="A1:D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1" t="inlineStr">
        <is>
          <t>year</t>
        </is>
      </c>
      <c r="B1" s="1" t="inlineStr">
        <is>
          <t>Microsoft</t>
        </is>
      </c>
      <c r="C1" s="1" t="inlineStr">
        <is>
          <t>Google</t>
        </is>
      </c>
      <c r="D1" s="1" t="inlineStr">
        <is>
          <t>Meta</t>
        </is>
      </c>
      <c r="E1" s="1" t="inlineStr">
        <is>
          <t>xAI</t>
        </is>
      </c>
      <c r="F1" s="1" t="inlineStr">
        <is>
          <t>OpenAI</t>
        </is>
      </c>
      <c r="G1" s="1" t="inlineStr">
        <is>
          <t>DeepSeek</t>
        </is>
      </c>
      <c r="H1" s="1" t="inlineStr">
        <is>
          <t>Alibaba</t>
        </is>
      </c>
      <c r="I1" s="1" t="inlineStr">
        <is>
          <t>Tencent</t>
        </is>
      </c>
    </row>
    <row r="2">
      <c r="A2" s="2" t="n">
        <v>2026</v>
      </c>
      <c r="B2" s="2" t="n">
        <v>0.034782048</v>
      </c>
      <c r="C2" s="2" t="n">
        <v>0.05455296</v>
      </c>
      <c r="D2" s="2" t="n">
        <v>0.0358186752</v>
      </c>
      <c r="E2" s="2" t="n">
        <v>0.0045144</v>
      </c>
      <c r="F2" s="2" t="n">
        <v>0.030767688</v>
      </c>
      <c r="G2" s="2" t="n">
        <v>0.0036681984</v>
      </c>
      <c r="H2" s="2" t="n">
        <v>0.0161336448</v>
      </c>
      <c r="I2" s="2" t="n">
        <v>0.0099201024</v>
      </c>
    </row>
    <row r="3">
      <c r="A3" s="2" t="n">
        <v>2027</v>
      </c>
      <c r="B3" s="2" t="n">
        <v>0.07545626928</v>
      </c>
      <c r="C3" s="2" t="n">
        <v>0.112223664</v>
      </c>
      <c r="D3" s="2" t="n">
        <v>0.0798642561024</v>
      </c>
      <c r="E3" s="2" t="n">
        <v>0.0164999169504</v>
      </c>
      <c r="F3" s="2" t="n">
        <v>0.094205094984</v>
      </c>
      <c r="G3" s="2" t="n">
        <v>0.01420280568</v>
      </c>
      <c r="H3" s="2" t="n">
        <v>0.043713686016</v>
      </c>
      <c r="I3" s="2" t="n">
        <v>0.028017819648</v>
      </c>
    </row>
    <row r="4">
      <c r="A4" s="2" t="n">
        <v>2028</v>
      </c>
      <c r="B4" s="2" t="n">
        <v>0.13872722846976</v>
      </c>
      <c r="C4" s="2" t="n">
        <v>0.201888587376</v>
      </c>
      <c r="D4" s="2" t="n">
        <v>0.148440563712</v>
      </c>
      <c r="E4" s="2" t="n">
        <v>0.03753194278392</v>
      </c>
      <c r="F4" s="2" t="n">
        <v>0.19615523106816</v>
      </c>
      <c r="G4" s="2" t="n">
        <v>0.03191726337984</v>
      </c>
      <c r="H4" s="2" t="n">
        <v>0.088137009792</v>
      </c>
      <c r="I4" s="2" t="n">
        <v>0.0570045247488</v>
      </c>
    </row>
    <row r="5">
      <c r="A5" s="2" t="n">
        <v>2029</v>
      </c>
      <c r="B5" s="2" t="n">
        <v>0.233726019458832</v>
      </c>
      <c r="C5" s="2" t="n">
        <v>0.3368973037752</v>
      </c>
      <c r="D5" s="2" t="n">
        <v>0.251379069811661</v>
      </c>
      <c r="E5" s="2" t="n">
        <v>0.071989799130317</v>
      </c>
      <c r="F5" s="2" t="n">
        <v>0.353075018688</v>
      </c>
      <c r="G5" s="2" t="n">
        <v>0.060383904069312</v>
      </c>
      <c r="H5" s="2" t="n">
        <v>0.156862450630656</v>
      </c>
      <c r="I5" s="2" t="n">
        <v>0.101502084096</v>
      </c>
    </row>
    <row r="6">
      <c r="A6" s="2" t="n">
        <v>2030</v>
      </c>
      <c r="B6" s="2" t="n">
        <v>0.372288096107136</v>
      </c>
      <c r="C6" s="2" t="n">
        <v>0.53513286253056</v>
      </c>
      <c r="D6" s="2" t="n">
        <v>0.4022866197504</v>
      </c>
      <c r="E6" s="2" t="n">
        <v>0.125620159296096</v>
      </c>
      <c r="F6" s="2" t="n">
        <v>0.586840240711296</v>
      </c>
      <c r="G6" s="2" t="n">
        <v>0.104360160022272</v>
      </c>
      <c r="H6" s="2" t="n">
        <v>0.259801314859008</v>
      </c>
      <c r="I6" s="2" t="n">
        <v>0.167354927293824</v>
      </c>
    </row>
    <row r="8">
      <c r="A8" t="inlineStr">
        <is>
          <t>company</t>
        </is>
      </c>
      <c r="B8" t="inlineStr">
        <is>
          <t>2030 inference GW</t>
        </is>
      </c>
      <c r="C8" t="inlineStr">
        <is>
          <t>2030 training GW</t>
        </is>
      </c>
    </row>
    <row r="9">
      <c r="A9" t="inlineStr">
        <is>
          <t>Microsoft</t>
        </is>
      </c>
      <c r="B9" t="n">
        <v>3.333</v>
      </c>
      <c r="C9" t="n">
        <v>1.111</v>
      </c>
    </row>
    <row r="10">
      <c r="A10" t="inlineStr">
        <is>
          <t>Google</t>
        </is>
      </c>
      <c r="B10" t="n">
        <v>3.651</v>
      </c>
      <c r="C10" t="n">
        <v>1.42</v>
      </c>
    </row>
    <row r="11">
      <c r="A11" t="inlineStr">
        <is>
          <t>Meta</t>
        </is>
      </c>
      <c r="B11" t="n">
        <v>3.28</v>
      </c>
      <c r="C11" t="n">
        <v>0.925</v>
      </c>
    </row>
    <row r="12">
      <c r="A12" t="inlineStr">
        <is>
          <t>xAI</t>
        </is>
      </c>
      <c r="B12" t="n">
        <v>1.219</v>
      </c>
      <c r="C12" t="n">
        <v>0.523</v>
      </c>
    </row>
    <row r="13">
      <c r="A13" t="inlineStr">
        <is>
          <t>OpenAI</t>
        </is>
      </c>
      <c r="B13" t="n">
        <v>4.862</v>
      </c>
      <c r="C13" t="n">
        <v>1.371</v>
      </c>
    </row>
    <row r="14">
      <c r="A14" t="inlineStr">
        <is>
          <t>DeepSeek</t>
        </is>
      </c>
      <c r="B14" t="n">
        <v>0.651</v>
      </c>
      <c r="C14" t="n">
        <v>0.143</v>
      </c>
    </row>
    <row r="15">
      <c r="A15" t="inlineStr">
        <is>
          <t>Alibaba</t>
        </is>
      </c>
      <c r="B15" t="n">
        <v>1.748</v>
      </c>
      <c r="C15" t="n">
        <v>0.437</v>
      </c>
    </row>
    <row r="16">
      <c r="A16" t="inlineStr">
        <is>
          <t>Tencent</t>
        </is>
      </c>
      <c r="B16" t="n">
        <v>1.311</v>
      </c>
      <c r="C16" t="n">
        <v>0.328</v>
      </c>
    </row>
    <row r="18">
      <c r="A18" t="inlineStr">
        <is>
          <t>year</t>
        </is>
      </c>
      <c r="B18" t="inlineStr">
        <is>
          <t>Bear</t>
        </is>
      </c>
      <c r="C18" t="inlineStr">
        <is>
          <t>Base</t>
        </is>
      </c>
      <c r="D18" t="inlineStr">
        <is>
          <t>Bull</t>
        </is>
      </c>
      <c r="E18" t="inlineStr">
        <is>
          <t>Grid-Constrained / Efficiency-Upside</t>
        </is>
      </c>
    </row>
    <row r="19">
      <c r="A19" t="n">
        <v>2026</v>
      </c>
      <c r="B19" t="n">
        <v>0.108</v>
      </c>
      <c r="C19" t="n">
        <v>0.19</v>
      </c>
      <c r="D19" t="n">
        <v>0.277</v>
      </c>
      <c r="E19" t="n">
        <v>0.213</v>
      </c>
    </row>
    <row r="20">
      <c r="A20" t="n">
        <v>2027</v>
      </c>
      <c r="B20" t="n">
        <v>0.257</v>
      </c>
      <c r="C20" t="n">
        <v>0.464</v>
      </c>
      <c r="D20" t="n">
        <v>0.703</v>
      </c>
      <c r="E20" t="n">
        <v>0.502</v>
      </c>
    </row>
    <row r="21">
      <c r="A21" t="n">
        <v>2028</v>
      </c>
      <c r="B21" t="n">
        <v>0.488</v>
      </c>
      <c r="C21" t="n">
        <v>0.9</v>
      </c>
      <c r="D21" t="n">
        <v>1.411</v>
      </c>
      <c r="E21" t="n">
        <v>0.9320000000000001</v>
      </c>
    </row>
    <row r="22">
      <c r="A22" t="n">
        <v>2029</v>
      </c>
      <c r="B22" t="n">
        <v>0.832</v>
      </c>
      <c r="C22" t="n">
        <v>1.566</v>
      </c>
      <c r="D22" t="n">
        <v>2.537</v>
      </c>
      <c r="E22" t="n">
        <v>1.548</v>
      </c>
    </row>
    <row r="23">
      <c r="A23" t="n">
        <v>2030</v>
      </c>
      <c r="B23" t="n">
        <v>1.327</v>
      </c>
      <c r="C23" t="n">
        <v>2.554</v>
      </c>
      <c r="D23" t="n">
        <v>4.269</v>
      </c>
      <c r="E23" t="n">
        <v>2.402</v>
      </c>
    </row>
  </sheetData>
  <autoFilter ref="A1:I6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2026-05-13T23:54:57Z</dcterms:created>
  <dcterms:modified xmlns:dcterms="http://purl.org/dc/terms/" xmlns:xsi="http://www.w3.org/2001/XMLSchema-instance" xsi:type="dcterms:W3CDTF">2026-05-13T23:54:57Z</dcterms:modified>
</cp:coreProperties>
</file>