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b3aba4595a47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123fea31f8d4377"/>
    <x:sheet xmlns:r="http://schemas.openxmlformats.org/officeDocument/2006/relationships" name="Scenario Model" sheetId="2" r:id="R171dbb75c5b7451c"/>
    <x:sheet xmlns:r="http://schemas.openxmlformats.org/officeDocument/2006/relationships" name="Assumptions" sheetId="3" r:id="Rf4ac91a58598404f"/>
    <x:sheet xmlns:r="http://schemas.openxmlformats.org/officeDocument/2006/relationships" name="Evidence" sheetId="4" r:id="R36b39aaf8c774742"/>
    <x:sheet xmlns:r="http://schemas.openxmlformats.org/officeDocument/2006/relationships" name="Checks" sheetId="5" r:id="Rd7650354a2a34da1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0.00"/>
    <x:numFmt numFmtId="201" formatCode="0.00E+00"/>
    <x:numFmt numFmtId="202" formatCode="#,##0.000"/>
    <x:numFmt numFmtId="203" formatCode="#,##0.0000"/>
    <x:numFmt numFmtId="204" formatCode="0%"/>
    <x:numFmt numFmtId="205" formatCode="$#,##0"/>
    <x:numFmt numFmtId="206" formatCode="#,##0"/>
    <x:numFmt numFmtId="207" formatCode="#,##0.0"/>
    <x:numFmt numFmtId="208" formatCode="0.000"/>
    <x:numFmt numFmtId="209" formatCode="0.00x"/>
    <x:numFmt numFmtId="210" formatCode="0.0"/>
  </x:numFmts>
  <x:fonts count="7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1"/>
      <x:color rgb="102A43"/>
      <x:name val="Carlito"/>
    </x:font>
    <x:font>
      <x:b/>
      <x:sz val="11"/>
      <x:name val="Carlito"/>
    </x:font>
    <x:font>
      <x:b/>
      <x:sz val="10"/>
      <x:color rgb="FFFFFF"/>
      <x:name val="Aptos"/>
    </x:font>
    <x:font>
      <x:sz val="1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102A43"/>
      </x:patternFill>
    </x:fill>
    <x:fill>
      <x:patternFill patternType="solid">
        <x:fgColor rgb="243B53"/>
      </x:patternFill>
    </x:fill>
    <x:fill>
      <x:patternFill patternType="solid">
        <x:fgColor rgb="D9E2EC"/>
      </x:patternFill>
    </x:fill>
    <x:fill>
      <x:patternFill patternType="solid">
        <x:fgColor rgb="FFF3BF"/>
      </x:patternFill>
    </x:fill>
  </x:fills>
  <x:borders count="1">
    <x:border/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7" fontId="0" fillId="0" borderId="0" xfId="0" applyNumberFormat="1" applyFont="1" applyFill="1" applyBorder="1"/>
    <x:xf numFmtId="208" fontId="0" fillId="0" borderId="0" xfId="0" applyNumberFormat="1" applyFont="1" applyFill="1" applyBorder="1"/>
    <x:xf numFmtId="209" fontId="0" fillId="0" borderId="0" xfId="0" applyNumberFormat="1" applyFont="1" applyFill="1" applyBorder="1"/>
    <x:xf numFmtId="21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207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9" fontId="0" fillId="0" borderId="0" xfId="0" applyNumberFormat="1" applyFont="1" applyFill="1" applyBorder="1" applyAlignment="1">
      <x:alignment wrapText="1"/>
    </x:xf>
    <x:xf numFmtId="21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208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8D7DA"/>
        </x:patternFill>
      </x:fill>
    </x:dxf>
    <x:dxf>
      <x:font>
        <x:b/>
      </x:font>
      <x:fill>
        <x:patternFill patternType="solid">
          <x:bgColor rgb="D3F9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a86e42d69e4dec" /><Relationship Type="http://schemas.openxmlformats.org/officeDocument/2006/relationships/theme" Target="/xl/theme/theme1.xml" Id="R2b6355a0c9a94a08" /><Relationship Type="http://schemas.openxmlformats.org/officeDocument/2006/relationships/sheetMetadata" Target="/xl/metadata1.xml" Id="R911907e1a1a9463c" /><Relationship Type="http://schemas.openxmlformats.org/officeDocument/2006/relationships/sharedStrings" Target="/xl/sharedStrings.xml" Id="R7e6a36e33fbe4b85" /><Relationship Type="http://schemas.openxmlformats.org/officeDocument/2006/relationships/worksheet" Target="/xl/worksheets/sheet1.xml" Id="R8123fea31f8d4377" /><Relationship Type="http://schemas.openxmlformats.org/officeDocument/2006/relationships/worksheet" Target="/xl/worksheets/sheet2.xml" Id="R171dbb75c5b7451c" /><Relationship Type="http://schemas.openxmlformats.org/officeDocument/2006/relationships/worksheet" Target="/xl/worksheets/sheet3.xml" Id="Rf4ac91a58598404f" /><Relationship Type="http://schemas.openxmlformats.org/officeDocument/2006/relationships/worksheet" Target="/xl/worksheets/sheet4.xml" Id="R36b39aaf8c774742" /><Relationship Type="http://schemas.openxmlformats.org/officeDocument/2006/relationships/worksheet" Target="/xl/worksheets/sheet5.xml" Id="Rd7650354a2a34da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8698e5c3a1049e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Selected Scenario Gap Ratios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Accelerator Gap</c:v>
          </c:tx>
          <c:cat>
            <c:strRef>
              <c:f>'Dashboard'!$A$16:$A$18</c:f>
              <c:strCache>
                <c:ptCount val="0"/>
              </c:strCache>
            </c:strRef>
          </c:cat>
          <c:val>
            <c:numRef>
              <c:f>'Dashboard'!$B$16:$B$18</c:f>
              <c:numCache>
                <c:formatCode>0.00x</c:formatCode>
                <c:ptCount val="0"/>
              </c:numCache>
            </c:numRef>
          </c:val>
          <c:smooth val="0"/>
        </c:ser>
        <c:ser>
          <c:idx val="1"/>
          <c:order val="1"/>
          <c:tx>
            <c:v>HBM Gap</c:v>
          </c:tx>
          <c:cat>
            <c:strRef>
              <c:f>'Dashboard'!$A$16:$A$18</c:f>
              <c:strCache>
                <c:ptCount val="0"/>
              </c:strCache>
            </c:strRef>
          </c:cat>
          <c:val>
            <c:numRef>
              <c:f>'Dashboard'!$C$16:$C$18</c:f>
              <c:numCache>
                <c:formatCode>0.00x</c:formatCode>
                <c:ptCount val="0"/>
              </c:numCache>
            </c:numRef>
          </c:val>
          <c:smooth val="0"/>
        </c:ser>
        <c:ser>
          <c:idx val="2"/>
          <c:order val="2"/>
          <c:tx>
            <c:v>CoWoS Gap</c:v>
          </c:tx>
          <c:cat>
            <c:strRef>
              <c:f>'Dashboard'!$A$16:$A$18</c:f>
              <c:strCache>
                <c:ptCount val="0"/>
              </c:strCache>
            </c:strRef>
          </c:cat>
          <c:val>
            <c:numRef>
              <c:f>'Dashboard'!$D$16:$D$18</c:f>
              <c:numCache>
                <c:formatCode>0.00x</c:formatCode>
                <c:ptCount val="0"/>
              </c:numCache>
            </c:numRef>
          </c:val>
          <c:smooth val="0"/>
        </c:ser>
        <c:ser>
          <c:idx val="3"/>
          <c:order val="3"/>
          <c:tx>
            <c:v>Power Gap</c:v>
          </c:tx>
          <c:cat>
            <c:strRef>
              <c:f>'Dashboard'!$A$16:$A$18</c:f>
              <c:strCache>
                <c:ptCount val="0"/>
              </c:strCache>
            </c:strRef>
          </c:cat>
          <c:val>
            <c:numRef>
              <c:f>'Dashboard'!$E$16:$E$18</c:f>
              <c:numCache>
                <c:formatCode>0.00x</c:formatCode>
                <c:ptCount val="0"/>
              </c:numCache>
            </c:numRef>
          </c:val>
          <c:smooth val="0"/>
        </c:ser>
        <c:ser>
          <c:idx val="4"/>
          <c:order val="4"/>
          <c:tx>
            <c:v>Network Gap</c:v>
          </c:tx>
          <c:cat>
            <c:strRef>
              <c:f>'Dashboard'!$A$16:$A$18</c:f>
              <c:strCache>
                <c:ptCount val="0"/>
              </c:strCache>
            </c:strRef>
          </c:cat>
          <c:val>
            <c:numRef>
              <c:f>'Dashboard'!$F$16:$F$18</c:f>
              <c:numCache>
                <c:formatCode>0.00x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23</xdr:row>
      <xdr:rowOff>0</xdr:rowOff>
    </xdr:from>
    <xdr:ext cx="68580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698e5c3a1049e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c66f399694c4164" /></Relationships>
</file>

<file path=xl/worksheets/sheet1.xml><?xml version="1.0" encoding="utf-8"?>
<x:worksheet xmlns:x="http://schemas.openxmlformats.org/spreadsheetml/2006/main">
  <x:sheetFormatPr defaultRowHeight="15"/>
  <x:cols>
    <x:col min="1" max="1" width="17.790000915527344" hidden="0" customWidth="1"/>
    <x:col min="2" max="2" width="15.34000015258789" hidden="0" customWidth="1"/>
    <x:col min="3" max="3" width="10.430000305175781" hidden="0" customWidth="1"/>
    <x:col min="4" max="4" width="31.290000915527344" hidden="0" customWidth="1"/>
    <x:col min="5" max="5" width="17.790000915527344" hidden="0" customWidth="1"/>
    <x:col min="6" max="6" width="15.34000015258789" hidden="0" customWidth="1"/>
    <x:col min="7" max="7" width="10.430000305175781" hidden="0" customWidth="1"/>
    <x:col min="8" max="8" width="31.290000915527344" hidden="0" customWidth="1"/>
  </x:cols>
  <x:sheetData>
    <x:row r="1" ht="25.5" customHeight="1">
      <x:c r="A1" s="25" t="str">
        <x:v>AI SCM Supply-Demand Simulator</x:v>
      </x:c>
      <x:c r="B1" s="25" t="str">
        <x:v>AI SCM Supply-Demand Simulator</x:v>
      </x:c>
      <x:c r="C1" s="25" t="str">
        <x:v>AI SCM Supply-Demand Simulator</x:v>
      </x:c>
      <x:c r="D1" s="25" t="str">
        <x:v>AI SCM Supply-Demand Simulator</x:v>
      </x:c>
      <x:c r="E1" s="25" t="str">
        <x:v>AI SCM Supply-Demand Simulator</x:v>
      </x:c>
      <x:c r="F1" s="25" t="str">
        <x:v>AI SCM Supply-Demand Simulator</x:v>
      </x:c>
      <x:c r="G1" s="25" t="str">
        <x:v>AI SCM Supply-Demand Simulator</x:v>
      </x:c>
      <x:c r="H1" s="25" t="str">
        <x:v>AI SCM Supply-Demand Simulator</x:v>
      </x:c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  <x:c r="AA1" s="23"/>
      <x:c r="AB1" s="23"/>
      <x:c r="AC1" s="23"/>
      <x:c r="AD1" s="23"/>
      <x:c r="AE1" s="23"/>
      <x:c r="AF1" s="23"/>
      <x:c r="AG1" s="23"/>
      <x:c r="AH1" s="23"/>
      <x:c r="AI1" s="23"/>
      <x:c r="AJ1" s="23"/>
      <x:c r="AK1" s="23"/>
      <x:c r="AL1" s="23"/>
      <x:c r="AM1" s="23"/>
      <x:c r="AN1" s="23"/>
      <x:c r="AO1" s="23"/>
      <x:c r="AP1" s="23"/>
      <x:c r="AQ1" s="23"/>
      <x:c r="AR1" s="23"/>
      <x:c r="AS1" s="23"/>
      <x:c r="AT1" s="23"/>
      <x:c r="AU1" s="23"/>
      <x:c r="AV1" s="23"/>
      <x:c r="AW1" s="23"/>
      <x:c r="AX1" s="23"/>
      <x:c r="AY1" s="23"/>
      <x:c r="AZ1" s="23"/>
    </x:row>
    <x:row r="2">
      <x:c r="A2" s="26"/>
      <x:c r="B2" s="26"/>
      <x:c r="C2" s="26"/>
      <x:c r="D2" s="26"/>
      <x:c r="E2" s="26"/>
      <x:c r="F2" s="26"/>
      <x:c r="G2" s="26"/>
      <x:c r="H2" s="26"/>
    </x:row>
    <x:row r="3">
      <x:c r="A3" s="27" t="str">
        <x:v>Selected Scenario</x:v>
      </x:c>
      <x:c r="B3" s="28" t="str">
        <x:v>base</x:v>
      </x:c>
      <x:c r="C3" s="26"/>
      <x:c r="D3" s="27" t="str">
        <x:v>As of</x:v>
      </x:c>
      <x:c r="E3" s="27" t="str">
        <x:v>2026-04-28</x:v>
      </x:c>
      <x:c r="F3" s="27" t="str">
        <x:v>Model Version</x:v>
      </x:c>
      <x:c r="G3" s="27" t="str">
        <x:v>0.1</x:v>
      </x:c>
      <x:c r="H3" s="27" t="str">
        <x:v>Formula-driven XLSX</x:v>
      </x:c>
    </x:row>
    <x:row r="4">
      <x:c r="A4" s="27" t="str">
        <x:v>Selected Year</x:v>
      </x:c>
      <x:c r="B4" s="28" t="n">
        <x:v>2026</x:v>
      </x:c>
      <x:c r="C4" s="26"/>
      <x:c r="D4" s="26"/>
      <x:c r="E4" s="26"/>
      <x:c r="F4" s="26"/>
      <x:c r="G4" s="26"/>
      <x:c r="H4" s="26"/>
    </x:row>
    <x:row r="5">
      <x:c r="A5" s="26"/>
      <x:c r="B5" s="26"/>
      <x:c r="C5" s="26"/>
      <x:c r="D5" s="26"/>
      <x:c r="E5" s="26"/>
      <x:c r="F5" s="26"/>
      <x:c r="G5" s="26"/>
      <x:c r="H5" s="26"/>
    </x:row>
    <x:row r="6">
      <x:c r="A6" s="5" t="str">
        <x:v>Metric</x:v>
      </x:c>
      <x:c r="B6" s="5" t="str">
        <x:v>Value</x:v>
      </x:c>
      <x:c r="C6" s="5" t="str">
        <x:v>Unit</x:v>
      </x:c>
      <x:c r="D6" s="5" t="str">
        <x:v>Interpretation</x:v>
      </x:c>
      <x:c r="E6" s="5" t="str">
        <x:v>Metric</x:v>
      </x:c>
      <x:c r="F6" s="5" t="str">
        <x:v>Value</x:v>
      </x:c>
      <x:c r="G6" s="5" t="str">
        <x:v>Unit</x:v>
      </x:c>
      <x:c r="H6" s="5" t="str">
        <x:v>Interpretation</x:v>
      </x:c>
    </x:row>
    <x:row r="7">
      <x:c r="A7" s="26" t="str">
        <x:v>Accelerator Demand</x:v>
      </x:c>
      <x:c r="B7" s="29" t="n">
        <x:f>SUMIFS('Scenario Model'!$N:$N,'Scenario Model'!$A:$A,$B$3,'Scenario Model'!$B:$B,$B$4)</x:f>
        <x:v>3710945.454545454</x:v>
      </x:c>
      <x:c r="C7" s="26" t="str">
        <x:v>units</x:v>
      </x:c>
      <x:c r="D7" s="26" t="str">
        <x:v>Max of token-utilization demand and CapEx procurement demand</x:v>
      </x:c>
      <x:c r="E7" s="26" t="str">
        <x:v>Limiting Layer</x:v>
      </x:c>
      <x:c r="F7" s="26" t="str">
        <x:f>XLOOKUP($B$3&amp;"|"&amp;$B$4,'Scenario Model'!$AW:$AW,'Scenario Model'!$AN:$AN)</x:f>
        <x:v>HBM</x:v>
      </x:c>
      <x:c r="G7" s="26" t="str"/>
      <x:c r="H7" s="26" t="str">
        <x:v>Layer with highest demand/supply ratio</x:v>
      </x:c>
    </x:row>
    <x:row r="8">
      <x:c r="A8" s="26" t="str">
        <x:v>HBM Demand</x:v>
      </x:c>
      <x:c r="B8" s="29" t="n">
        <x:f>SUMIFS('Scenario Model'!$P:$P,'Scenario Model'!$A:$A,$B$3,'Scenario Model'!$B:$B,$B$4)</x:f>
        <x:v>296.8756363636363</x:v>
      </x:c>
      <x:c r="C8" s="26" t="str">
        <x:v>PB/year</x:v>
      </x:c>
      <x:c r="D8" s="26" t="str">
        <x:v>Accelerator demand multiplied by HBM GB per accelerator</x:v>
      </x:c>
      <x:c r="E8" s="26" t="str">
        <x:v>Fulfillment Rate</x:v>
      </x:c>
      <x:c r="F8" s="30" t="n">
        <x:f>SUMIFS('Scenario Model'!$AO:$AO,'Scenario Model'!$A:$A,$B$3,'Scenario Model'!$B:$B,$B$4)</x:f>
        <x:v>1</x:v>
      </x:c>
      <x:c r="G8" s="26" t="str">
        <x:v>%</x:v>
      </x:c>
      <x:c r="H8" s="26" t="str">
        <x:v>Deployment rate capped by tightest layer</x:v>
      </x:c>
    </x:row>
    <x:row r="9">
      <x:c r="A9" s="26" t="str">
        <x:v>CoWoS Demand</x:v>
      </x:c>
      <x:c r="B9" s="29" t="n">
        <x:f>SUMIFS('Scenario Model'!$R:$R,'Scenario Model'!$A:$A,$B$3,'Scenario Model'!$B:$B,$B$4)</x:f>
        <x:v>66797.01818181817</x:v>
      </x:c>
      <x:c r="C9" s="26" t="str">
        <x:v>wpm</x:v>
      </x:c>
      <x:c r="D9" s="26" t="str">
        <x:v>Advanced package slot pressure</x:v>
      </x:c>
      <x:c r="E9" s="26" t="str">
        <x:v>Unserved Accels</x:v>
      </x:c>
      <x:c r="F9" s="26" t="n">
        <x:f>SUMIFS('Scenario Model'!$AP:$AP,'Scenario Model'!$A:$A,$B$3,'Scenario Model'!$B:$B,$B$4)</x:f>
        <x:v>0</x:v>
      </x:c>
      <x:c r="G9" s="26" t="str">
        <x:v>units</x:v>
      </x:c>
      <x:c r="H9" s="26" t="str">
        <x:v>Backlog-generating unmet accelerator demand</x:v>
      </x:c>
    </x:row>
    <x:row r="10">
      <x:c r="A10" s="26" t="str">
        <x:v>Power Demand</x:v>
      </x:c>
      <x:c r="B10" s="29" t="n">
        <x:f>SUMIFS('Scenario Model'!$V:$V,'Scenario Model'!$A:$A,$B$3,'Scenario Model'!$B:$B,$B$4)</x:f>
        <x:v>4.727744509090909</x:v>
      </x:c>
      <x:c r="C10" s="26" t="str">
        <x:v>GW</x:v>
      </x:c>
      <x:c r="D10" s="26" t="str">
        <x:v>GPU TDP * server overhead * PUE</x:v>
      </x:c>
      <x:c r="E10" s="26" t="str">
        <x:v>HBM Gap</x:v>
      </x:c>
      <x:c r="F10" s="31" t="n">
        <x:f>SUMIFS('Scenario Model'!$AH:$AH,'Scenario Model'!$A:$A,$B$3,'Scenario Model'!$B:$B,$B$4)</x:f>
        <x:v>0.9900012550725849</x:v>
      </x:c>
      <x:c r="G10" s="26" t="str">
        <x:v>x</x:v>
      </x:c>
      <x:c r="H10" s="26" t="str">
        <x:v>Demand / supply</x:v>
      </x:c>
    </x:row>
    <x:row r="11">
      <x:c r="A11" s="26" t="str">
        <x:v>Network Demand</x:v>
      </x:c>
      <x:c r="B11" s="29" t="n">
        <x:f>SUMIFS('Scenario Model'!$X:$X,'Scenario Model'!$A:$A,$B$3,'Scenario Model'!$B:$B,$B$4)</x:f>
        <x:v>12988.30909090909</x:v>
      </x:c>
      <x:c r="C11" s="26" t="str">
        <x:v>Tbps</x:v>
      </x:c>
      <x:c r="D11" s="26" t="str">
        <x:v>Cluster fabric pressure</x:v>
      </x:c>
      <x:c r="E11" s="26" t="str">
        <x:v>Power Gap</x:v>
      </x:c>
      <x:c r="F11" s="31" t="n">
        <x:f>SUMIFS('Scenario Model'!$AJ:$AJ,'Scenario Model'!$A:$A,$B$3,'Scenario Model'!$B:$B,$B$4)</x:f>
        <x:v>0.8700302740321879</x:v>
      </x:c>
      <x:c r="G11" s="26" t="str">
        <x:v>x</x:v>
      </x:c>
      <x:c r="H11" s="26" t="str">
        <x:v>Demand / supply</x:v>
      </x:c>
    </x:row>
    <x:row r="12">
      <x:c r="A12" s="26" t="str">
        <x:v>Storage Flow</x:v>
      </x:c>
      <x:c r="B12" s="29" t="n">
        <x:f>SUMIFS('Scenario Model'!$Z:$Z,'Scenario Model'!$A:$A,$B$3,'Scenario Model'!$B:$B,$B$4)</x:f>
        <x:v>76.636</x:v>
      </x:c>
      <x:c r="C12" s="26" t="str">
        <x:v>PB/day</x:v>
      </x:c>
      <x:c r="D12" s="26" t="str">
        <x:v>RAG/context storage flow proxy</x:v>
      </x:c>
      <x:c r="E12" s="26" t="str">
        <x:v>Price Pressure</x:v>
      </x:c>
      <x:c r="F12" s="32" t="n">
        <x:f>MAX(SUMIFS('Scenario Model'!$AR:$AR,'Scenario Model'!$A:$A,$B$3,'Scenario Model'!$B:$B,$B$4),SUMIFS('Scenario Model'!$AS:$AS,'Scenario Model'!$A:$A,$B$3,'Scenario Model'!$B:$B,$B$4),SUMIFS('Scenario Model'!$AT:$AT,'Scenario Model'!$A:$A,$B$3,'Scenario Model'!$B:$B,$B$4),SUMIFS('Scenario Model'!$AU:$AU,'Scenario Model'!$A:$A,$B$3,'Scenario Model'!$B:$B,$B$4),SUMIFS('Scenario Model'!$AV:$AV,'Scenario Model'!$A:$A,$B$3,'Scenario Model'!$B:$B,$B$4))</x:f>
        <x:v>99.75003137681462</x:v>
      </x:c>
      <x:c r="G12" s="26" t="str">
        <x:v>index</x:v>
      </x:c>
      <x:c r="H12" s="26" t="str">
        <x:v>100 neutral; convex in shortage</x:v>
      </x:c>
    </x:row>
    <x:row r="13">
      <x:c r="A13" s="26"/>
      <x:c r="B13" s="26"/>
      <x:c r="C13" s="26"/>
      <x:c r="D13" s="26"/>
      <x:c r="E13" s="26"/>
      <x:c r="F13" s="26"/>
      <x:c r="G13" s="26"/>
      <x:c r="H13" s="26"/>
    </x:row>
    <x:row r="14">
      <x:c r="A14" s="26"/>
      <x:c r="B14" s="26"/>
      <x:c r="C14" s="26"/>
      <x:c r="D14" s="26"/>
      <x:c r="E14" s="26"/>
      <x:c r="F14" s="26"/>
      <x:c r="G14" s="26"/>
      <x:c r="H14" s="26"/>
    </x:row>
    <x:row r="15">
      <x:c r="A15" s="5" t="str">
        <x:v>Year</x:v>
      </x:c>
      <x:c r="B15" s="5" t="str">
        <x:v>Accelerator Gap</x:v>
      </x:c>
      <x:c r="C15" s="5" t="str">
        <x:v>HBM Gap</x:v>
      </x:c>
      <x:c r="D15" s="5" t="str">
        <x:v>CoWoS Gap</x:v>
      </x:c>
      <x:c r="E15" s="5" t="str">
        <x:v>Power Gap</x:v>
      </x:c>
      <x:c r="F15" s="5" t="str">
        <x:v>Network Gap</x:v>
      </x:c>
      <x:c r="G15" s="5" t="str">
        <x:v>Fulfillment</x:v>
      </x:c>
      <x:c r="H15" s="26"/>
    </x:row>
    <x:row r="16">
      <x:c r="A16" s="26" t="n">
        <x:v>2026</x:v>
      </x:c>
      <x:c r="B16" s="31" t="n">
        <x:f>SUMIFS('Scenario Model'!$AG:$AG,'Scenario Model'!$A:$A,$B$3,'Scenario Model'!$B:$B,$A16)</x:f>
        <x:v>0.849999999964601</x:v>
      </x:c>
      <x:c r="C16" s="31" t="n">
        <x:f>SUMIFS('Scenario Model'!$AH:$AH,'Scenario Model'!$A:$A,$B$3,'Scenario Model'!$B:$B,$A16)</x:f>
        <x:v>0.9900012550725849</x:v>
      </x:c>
      <x:c r="D16" s="31" t="n">
        <x:f>SUMIFS('Scenario Model'!$AI:$AI,'Scenario Model'!$A:$A,$B$3,'Scenario Model'!$B:$B,$A16)</x:f>
        <x:v>0.6600000019941009</x:v>
      </x:c>
      <x:c r="E16" s="31" t="n">
        <x:f>SUMIFS('Scenario Model'!$AJ:$AJ,'Scenario Model'!$A:$A,$B$3,'Scenario Model'!$B:$B,$A16)</x:f>
        <x:v>0.8700302740321879</x:v>
      </x:c>
      <x:c r="F16" s="31" t="n">
        <x:f>SUMIFS('Scenario Model'!$AK:$AK,'Scenario Model'!$A:$A,$B$3,'Scenario Model'!$B:$B,$A16)</x:f>
        <x:v>0.8000000179182121</x:v>
      </x:c>
      <x:c r="G16" s="30" t="n">
        <x:f>SUMIFS('Scenario Model'!$AO:$AO,'Scenario Model'!$A:$A,$B$3,'Scenario Model'!$B:$B,$A16)</x:f>
        <x:v>1</x:v>
      </x:c>
      <x:c r="H16" s="26"/>
    </x:row>
    <x:row r="17">
      <x:c r="A17" s="26" t="n">
        <x:v>2027</x:v>
      </x:c>
      <x:c r="B17" s="31" t="n">
        <x:f>SUMIFS('Scenario Model'!$AG:$AG,'Scenario Model'!$A:$A,$B$3,'Scenario Model'!$B:$B,$A17)</x:f>
        <x:v>0.7083333333494657</x:v>
      </x:c>
      <x:c r="C17" s="31" t="n">
        <x:f>SUMIFS('Scenario Model'!$AH:$AH,'Scenario Model'!$A:$A,$B$3,'Scenario Model'!$B:$B,$A17)</x:f>
        <x:v>0.7734368143684683</x:v>
      </x:c>
      <x:c r="D17" s="31" t="n">
        <x:f>SUMIFS('Scenario Model'!$AI:$AI,'Scenario Model'!$A:$A,$B$3,'Scenario Model'!$B:$B,$A17)</x:f>
        <x:v>0.5409836072498889</x:v>
      </x:c>
      <x:c r="E17" s="31" t="n">
        <x:f>SUMIFS('Scenario Model'!$AJ:$AJ,'Scenario Model'!$A:$A,$B$3,'Scenario Model'!$B:$B,$A17)</x:f>
        <x:v>0.6692448792493463</x:v>
      </x:c>
      <x:c r="F17" s="31" t="n">
        <x:f>SUMIFS('Scenario Model'!$AK:$AK,'Scenario Model'!$A:$A,$B$3,'Scenario Model'!$B:$B,$A17)</x:f>
        <x:v>0.6451612966031525</x:v>
      </x:c>
      <x:c r="G17" s="30" t="n">
        <x:f>SUMIFS('Scenario Model'!$AO:$AO,'Scenario Model'!$A:$A,$B$3,'Scenario Model'!$B:$B,$A17)</x:f>
        <x:v>1</x:v>
      </x:c>
      <x:c r="H17" s="26"/>
    </x:row>
    <x:row r="18">
      <x:c r="A18" s="26" t="n">
        <x:v>2028</x:v>
      </x:c>
      <x:c r="B18" s="31" t="n">
        <x:f>SUMIFS('Scenario Model'!$AG:$AG,'Scenario Model'!$A:$A,$B$3,'Scenario Model'!$B:$B,$A18)</x:f>
        <x:v>0.5902777778061855</x:v>
      </x:c>
      <x:c r="C18" s="31" t="n">
        <x:f>SUMIFS('Scenario Model'!$AH:$AH,'Scenario Model'!$A:$A,$B$3,'Scenario Model'!$B:$B,$A18)</x:f>
        <x:v>0.6042481776557302</x:v>
      </x:c>
      <x:c r="D18" s="31" t="n">
        <x:f>SUMIFS('Scenario Model'!$AI:$AI,'Scenario Model'!$A:$A,$B$3,'Scenario Model'!$B:$B,$A18)</x:f>
        <x:v>0.4434291846752909</x:v>
      </x:c>
      <x:c r="E18" s="31" t="n">
        <x:f>SUMIFS('Scenario Model'!$AJ:$AJ,'Scenario Model'!$A:$A,$B$3,'Scenario Model'!$B:$B,$A18)</x:f>
        <x:v>0.5147814190494971</x:v>
      </x:c>
      <x:c r="F18" s="31" t="n">
        <x:f>SUMIFS('Scenario Model'!$AK:$AK,'Scenario Model'!$A:$A,$B$3,'Scenario Model'!$B:$B,$A18)</x:f>
        <x:v>0.5202913574964388</x:v>
      </x:c>
      <x:c r="G18" s="30" t="n">
        <x:f>SUMIFS('Scenario Model'!$AO:$AO,'Scenario Model'!$A:$A,$B$3,'Scenario Model'!$B:$B,$A18)</x:f>
        <x:v>1</x:v>
      </x:c>
      <x:c r="H18" s="26"/>
    </x:row>
    <x:row r="19">
      <x:c r="A19" s="26"/>
      <x:c r="B19" s="26"/>
      <x:c r="C19" s="26"/>
      <x:c r="D19" s="26"/>
      <x:c r="E19" s="26"/>
      <x:c r="F19" s="26"/>
      <x:c r="G19" s="26"/>
      <x:c r="H19" s="26"/>
    </x:row>
    <x:row r="20">
      <x:c r="A20" s="26"/>
      <x:c r="B20" s="26"/>
      <x:c r="C20" s="26"/>
      <x:c r="D20" s="26"/>
      <x:c r="E20" s="26"/>
      <x:c r="F20" s="26"/>
      <x:c r="G20" s="26"/>
      <x:c r="H20" s="26"/>
    </x:row>
    <x:row r="21">
      <x:c r="A21" s="27" t="str">
        <x:v>Evidence Discipline</x:v>
      </x:c>
      <x:c r="B21" s="27" t="str">
        <x:v>Direct specs and filings are separated from derived estimates. Low-confidence assumptions are visible in Evidence and Assumptions.</x:v>
      </x:c>
      <x:c r="C21" s="27"/>
      <x:c r="D21" s="27"/>
      <x:c r="E21" s="27"/>
      <x:c r="F21" s="27"/>
      <x:c r="G21" s="27"/>
      <x:c r="H21" s="27"/>
    </x:row>
    <x:row r="22">
      <x:c r="A22" s="26"/>
      <x:c r="B22" s="26"/>
      <x:c r="C22" s="26"/>
      <x:c r="D22" s="26"/>
      <x:c r="E22" s="26"/>
      <x:c r="F22" s="26"/>
      <x:c r="G22" s="26"/>
      <x:c r="H22" s="26"/>
    </x:row>
    <x:row r="23">
      <x:c r="A23" s="26"/>
      <x:c r="B23" s="26"/>
      <x:c r="C23" s="26"/>
      <x:c r="D23" s="26"/>
      <x:c r="E23" s="26"/>
      <x:c r="F23" s="26"/>
      <x:c r="G23" s="26"/>
      <x:c r="H23" s="26"/>
    </x:row>
    <x:row r="24">
      <x:c r="A24" s="26"/>
      <x:c r="B24" s="26"/>
      <x:c r="C24" s="26"/>
      <x:c r="D24" s="26"/>
      <x:c r="E24" s="26"/>
      <x:c r="F24" s="26"/>
      <x:c r="G24" s="26"/>
      <x:c r="H24" s="26"/>
    </x:row>
  </x:sheetData>
  <x:pageMargins left="0.7" right="0.7" top="0.75" bottom="0.75" header="0.3" footer="0.3"/>
  <x:drawing xmlns:r="http://schemas.openxmlformats.org/officeDocument/2006/relationships" r:id="Rdc66f399694c4164"/>
</x:worksheet>
</file>

<file path=xl/worksheets/sheet2.xml><?xml version="1.0" encoding="utf-8"?>
<x:worksheet xmlns:x="http://schemas.openxmlformats.org/spreadsheetml/2006/main">
  <x:sheetFormatPr defaultRowHeight="15"/>
  <x:cols>
    <x:col min="1" max="1" width="9.199999809265137" hidden="0" customWidth="1"/>
    <x:col min="2" max="2" width="9.199999809265137" hidden="0" customWidth="1"/>
    <x:col min="3" max="3" width="9.199999809265137" hidden="0" customWidth="1"/>
    <x:col min="4" max="4" width="9.199999809265137" hidden="0" customWidth="1"/>
    <x:col min="5" max="5" width="9.199999809265137" hidden="0" customWidth="1"/>
    <x:col min="6" max="6" width="9.199999809265137" hidden="0" customWidth="1"/>
    <x:col min="7" max="7" width="10.430000305175781" hidden="0" customWidth="1"/>
    <x:col min="8" max="8" width="14.109999656677246" hidden="0" customWidth="1"/>
    <x:col min="9" max="9" width="10.430000305175781" hidden="0" customWidth="1"/>
    <x:col min="10" max="10" width="12.880000114440918" hidden="0" customWidth="1"/>
    <x:col min="11" max="11" width="14.109999656677246" hidden="0" customWidth="1"/>
    <x:col min="12" max="12" width="10.430000305175781" hidden="0" customWidth="1"/>
    <x:col min="13" max="13" width="10.430000305175781" hidden="0" customWidth="1"/>
    <x:col min="14" max="14" width="10.430000305175781" hidden="0" customWidth="1"/>
    <x:col min="15" max="15" width="10.430000305175781" hidden="0" customWidth="1"/>
    <x:col min="16" max="16" width="10.430000305175781" hidden="0" customWidth="1"/>
    <x:col min="17" max="17" width="9.199999809265137" hidden="0" customWidth="1"/>
    <x:col min="18" max="18" width="12.880000114440918" hidden="0" customWidth="1"/>
    <x:col min="19" max="19" width="7.980000019073486" hidden="0" customWidth="1"/>
    <x:col min="20" max="20" width="10.430000305175781" hidden="0" customWidth="1"/>
    <x:col min="21" max="21" width="6.75" hidden="0" customWidth="1"/>
    <x:col min="22" max="22" width="11.65999984741211" hidden="0" customWidth="1"/>
    <x:col min="23" max="23" width="10.430000305175781" hidden="0" customWidth="1"/>
    <x:col min="24" max="24" width="14.109999656677246" hidden="0" customWidth="1"/>
    <x:col min="25" max="25" width="9.199999809265137" hidden="0" customWidth="1"/>
    <x:col min="26" max="26" width="14.109999656677246" hidden="0" customWidth="1"/>
  </x:cols>
  <x:sheetData>
    <x:row r="1">
      <x:c r="A1" s="24" t="str">
        <x:v>Scenario</x:v>
      </x:c>
      <x:c r="B1" s="24" t="str">
        <x:v>Year</x:v>
      </x:c>
      <x:c r="C1" s="24" t="str">
        <x:v>Base Tokens/Day</x:v>
      </x:c>
      <x:c r="D1" s="24" t="str">
        <x:v>Demand Mult</x:v>
      </x:c>
      <x:c r="E1" s="24" t="str">
        <x:v>Tokens/Day</x:v>
      </x:c>
      <x:c r="F1" s="24" t="str">
        <x:v>Total CapEx USD bn</x:v>
      </x:c>
      <x:c r="G1" s="24" t="str">
        <x:v>AI Infra Share</x:v>
      </x:c>
      <x:c r="H1" s="24" t="str">
        <x:v>Accelerator Share</x:v>
      </x:c>
      <x:c r="I1" s="24" t="str">
        <x:v>Avg Accelerator ASP</x:v>
      </x:c>
      <x:c r="J1" s="24" t="str">
        <x:v>CapEx-Implied Accels</x:v>
      </x:c>
      <x:c r="K1" s="24" t="str">
        <x:v>Tokens/sec</x:v>
      </x:c>
      <x:c r="L1" s="24" t="str">
        <x:v>Utilization</x:v>
      </x:c>
      <x:c r="M1" s="24" t="str">
        <x:v>Utilization-Implied Accels</x:v>
      </x:c>
      <x:c r="N1" s="24" t="str">
        <x:v>Accelerator Demand</x:v>
      </x:c>
      <x:c r="O1" s="24" t="str">
        <x:v>HBM GB/Accel</x:v>
      </x:c>
      <x:c r="P1" s="24" t="str">
        <x:v>HBM Demand PB</x:v>
      </x:c>
      <x:c r="Q1" s="24" t="str">
        <x:v>CoWoS coef</x:v>
      </x:c>
      <x:c r="R1" s="24" t="str">
        <x:v>CoWoS Demand wpm</x:v>
      </x:c>
      <x:c r="S1" s="24" t="str">
        <x:v>TDP W</x:v>
      </x:c>
      <x:c r="T1" s="24" t="str">
        <x:v>Server Overhead</x:v>
      </x:c>
      <x:c r="U1" s="24" t="str">
        <x:v>PUE</x:v>
      </x:c>
      <x:c r="V1" s="24" t="str">
        <x:v>Power Demand GW</x:v>
      </x:c>
      <x:c r="W1" s="24" t="str">
        <x:v>Network coef</x:v>
      </x:c>
      <x:c r="X1" s="24" t="str">
        <x:v>Network Demand Tbps</x:v>
      </x:c>
      <x:c r="Y1" s="24" t="str">
        <x:v>RAG Ratio</x:v>
      </x:c>
      <x:c r="Z1" s="24" t="str">
        <x:v>Storage Demand PB/day</x:v>
      </x:c>
      <x:c r="AA1" s="24" t="str">
        <x:v>Accel Supply</x:v>
      </x:c>
      <x:c r="AB1" s="24" t="str">
        <x:v>HBM Supply PB</x:v>
      </x:c>
      <x:c r="AC1" s="24" t="str">
        <x:v>CoWoS Supply wpm</x:v>
      </x:c>
      <x:c r="AD1" s="24" t="str">
        <x:v>Power Supply GW</x:v>
      </x:c>
      <x:c r="AE1" s="24" t="str">
        <x:v>Network Supply Tbps</x:v>
      </x:c>
      <x:c r="AF1" s="24" t="str">
        <x:v>Storage Supply PB/day</x:v>
      </x:c>
      <x:c r="AG1" s="24" t="str">
        <x:v>Accel Gap</x:v>
      </x:c>
      <x:c r="AH1" s="24" t="str">
        <x:v>HBM Gap</x:v>
      </x:c>
      <x:c r="AI1" s="24" t="str">
        <x:v>CoWoS Gap</x:v>
      </x:c>
      <x:c r="AJ1" s="24" t="str">
        <x:v>Power Gap</x:v>
      </x:c>
      <x:c r="AK1" s="24" t="str">
        <x:v>Network Gap</x:v>
      </x:c>
      <x:c r="AL1" s="24" t="str">
        <x:v>Storage Gap</x:v>
      </x:c>
      <x:c r="AM1" s="24" t="str">
        <x:v>Limiting Gap</x:v>
      </x:c>
      <x:c r="AN1" s="24" t="str">
        <x:v>Limiting Layer</x:v>
      </x:c>
      <x:c r="AO1" s="24" t="str">
        <x:v>Fulfillment Rate</x:v>
      </x:c>
      <x:c r="AP1" s="24" t="str">
        <x:v>Unserved Accels</x:v>
      </x:c>
      <x:c r="AQ1" s="24" t="str">
        <x:v>Backlog to Next Year</x:v>
      </x:c>
      <x:c r="AR1" s="24" t="str">
        <x:v>Price Index - Accel</x:v>
      </x:c>
      <x:c r="AS1" s="24" t="str">
        <x:v>Price Index - HBM</x:v>
      </x:c>
      <x:c r="AT1" s="24" t="str">
        <x:v>Price Index - CoWoS</x:v>
      </x:c>
      <x:c r="AU1" s="24" t="str">
        <x:v>Price Index - Power</x:v>
      </x:c>
      <x:c r="AV1" s="24" t="str">
        <x:v>Price Index - Network</x:v>
      </x:c>
      <x:c r="AW1" s="24" t="str">
        <x:v>Lookup Key</x:v>
      </x:c>
      <x:c r="AX1" s="23"/>
      <x:c r="AY1" s="23"/>
      <x:c r="AZ1" s="23"/>
    </x:row>
    <x:row r="2">
      <x:c r="A2" s="26" t="str">
        <x:v>bear</x:v>
      </x:c>
      <x:c r="B2" s="26" t="n">
        <x:v>2026</x:v>
      </x:c>
      <x:c r="C2" s="33" t="n">
        <x:f>XLOOKUP($B2,Assumptions!$A$9:$A$11,Assumptions!$B$9:$B$11)</x:f>
        <x:v>112700000000000</x:v>
      </x:c>
      <x:c r="D2" s="34" t="n">
        <x:f>XLOOKUP($A2,Assumptions!$A$4:$A$6,Assumptions!$B$4:$B$6)</x:f>
        <x:v>0.78</x:v>
      </x:c>
      <x:c r="E2" s="34" t="n">
        <x:f>C2*D2</x:f>
        <x:v>87906000000000</x:v>
      </x:c>
      <x:c r="F2" s="34" t="n">
        <x:f>XLOOKUP($B2,Assumptions!$A$9:$A$11,Assumptions!$C$9:$C$11)</x:f>
        <x:v>765</x:v>
      </x:c>
      <x:c r="G2" s="34" t="n">
        <x:f>XLOOKUP("COEF_CAPEX_AI_INFRA_SHARE",Assumptions!$A$14:$A$19,Assumptions!$B$14:$B$19)</x:f>
        <x:v>0.58</x:v>
      </x:c>
      <x:c r="H2" s="34" t="n">
        <x:f>XLOOKUP("COEF_CAPEX_ACCELERATOR_SHARE",Assumptions!$A$14:$A$19,Assumptions!$B$14:$B$19)</x:f>
        <x:v>0.46</x:v>
      </x:c>
      <x:c r="I2" s="35" t="n">
        <x:f>XLOOKUP("COEF_AVG_ACCELERATOR_ASP_USD",Assumptions!$A$14:$A$19,Assumptions!$B$14:$B$19)</x:f>
        <x:v>55000</x:v>
      </x:c>
      <x:c r="J2" s="36" t="n">
        <x:f>F2*1000000000*G2*H2/I2</x:f>
        <x:v>3710945.454545454</x:v>
      </x:c>
      <x:c r="K2" s="36" t="n">
        <x:f>Assumptions!$G$14</x:f>
        <x:v>2000</x:v>
      </x:c>
      <x:c r="L2" s="36" t="n">
        <x:f>Assumptions!$G$15</x:f>
        <x:v>0.85</x:v>
      </x:c>
      <x:c r="M2" s="36" t="n">
        <x:f>E2/86400/(K2*L2)</x:f>
        <x:v>598488.5620915033</x:v>
      </x:c>
      <x:c r="N2" s="36" t="n">
        <x:f>MAX(J2,M2)+0</x:f>
        <x:v>3710945.454545454</x:v>
      </x:c>
      <x:c r="O2" s="26" t="n">
        <x:f>Assumptions!$G$16</x:f>
        <x:v>80</x:v>
      </x:c>
      <x:c r="P2" s="29" t="n">
        <x:f>N2*O2/1000000</x:f>
        <x:v>296.8756363636363</x:v>
      </x:c>
      <x:c r="Q2" s="26" t="n">
        <x:f>XLOOKUP("COEF_COWOS_WPM_PER_ACCELERATOR",Assumptions!$A$14:$A$19,Assumptions!$B$14:$B$19)</x:f>
        <x:v>0.018</x:v>
      </x:c>
      <x:c r="R2" s="36" t="n">
        <x:f>N2*Q2</x:f>
        <x:v>66797.01818181817</x:v>
      </x:c>
      <x:c r="S2" s="26" t="n">
        <x:f>Assumptions!$G$17</x:f>
        <x:v>700</x:v>
      </x:c>
      <x:c r="T2" s="26" t="n">
        <x:f>Assumptions!$G$18</x:f>
        <x:v>1.3</x:v>
      </x:c>
      <x:c r="U2" s="26" t="n">
        <x:f>Assumptions!$G$19</x:f>
        <x:v>1.4</x:v>
      </x:c>
      <x:c r="V2" s="34" t="n">
        <x:f>N2*S2*T2*U2/1000000000</x:f>
        <x:v>4.727744509090909</x:v>
      </x:c>
      <x:c r="W2" s="26" t="n">
        <x:f>XLOOKUP("COEF_NETWORK_TBPS_PER_ACCELERATOR",Assumptions!$A$14:$A$19,Assumptions!$B$14:$B$19)</x:f>
        <x:v>0.0035</x:v>
      </x:c>
      <x:c r="X2" s="36" t="n">
        <x:f>N2*W2*(1+0.035*MAX(B2-2026,0))</x:f>
        <x:v>12988.30909090909</x:v>
      </x:c>
      <x:c r="Y2" s="26" t="n">
        <x:f>XLOOKUP("COEF_RAG_STORAGE_RATIO",Assumptions!$A$14:$A$19,Assumptions!$B$14:$B$19)</x:f>
        <x:v>0.34</x:v>
      </x:c>
      <x:c r="Z2" s="37" t="n">
        <x:f>E2*Y2*2/1000/1000000000</x:f>
        <x:v>59.77608000000001</x:v>
      </x:c>
      <x:c r="AA2" s="38" t="n">
        <x:f>XLOOKUP(B2,Assumptions!$A$9:$A$11,Assumptions!$D$9:$D$11)*XLOOKUP(A2,Assumptions!$A$4:$A$6,Assumptions!$C$4:$C$6)</x:f>
        <x:v>4016552.72744</x:v>
      </x:c>
      <x:c r="AB2" s="38" t="n">
        <x:f>XLOOKUP(B2,Assumptions!$A$9:$A$11,Assumptions!$E$9:$E$11)*XLOOKUP(A2,Assumptions!$A$4:$A$6,Assumptions!$C$4:$C$6)</x:f>
        <x:v>275.88408000000004</x:v>
      </x:c>
      <x:c r="AC2" s="38" t="n">
        <x:f>XLOOKUP(B2,Assumptions!$A$9:$A$11,Assumptions!$F$9:$F$11)*XLOOKUP(A2,Assumptions!$A$4:$A$6,Assumptions!$C$4:$C$6)</x:f>
        <x:v>93110.99476</x:v>
      </x:c>
      <x:c r="AD2" s="38" t="n">
        <x:f>XLOOKUP(B2,Assumptions!$A$9:$A$11,Assumptions!$G$9:$G$11)*XLOOKUP(A2,Assumptions!$A$4:$A$6,Assumptions!$C$4:$C$6)</x:f>
        <x:v>4.999280000000001</x:v>
      </x:c>
      <x:c r="AE2" s="38" t="n">
        <x:f>XLOOKUP(B2,Assumptions!$A$9:$A$11,Assumptions!$H$9:$H$11)*XLOOKUP(A2,Assumptions!$A$4:$A$6,Assumptions!$C$4:$C$6)</x:f>
        <x:v>14936.55512</x:v>
      </x:c>
      <x:c r="AF2" s="38" t="n">
        <x:f>XLOOKUP(B2,Assumptions!$A$9:$A$11,Assumptions!$I$9:$I$11)*XLOOKUP(A2,Assumptions!$A$4:$A$6,Assumptions!$C$4:$C$6)</x:f>
        <x:v>25502.4</x:v>
      </x:c>
      <x:c r="AG2" s="31" t="n">
        <x:f>N2/AA2</x:f>
        <x:v>0.9239130434397836</x:v>
      </x:c>
      <x:c r="AH2" s="31" t="n">
        <x:f>P2/AB2</x:f>
        <x:v>1.0760883207310703</x:v>
      </x:c>
      <x:c r="AI2" s="31" t="n">
        <x:f>R2/AC2</x:f>
        <x:v>0.7173913065153271</x:v>
      </x:c>
      <x:c r="AJ2" s="31" t="n">
        <x:f>V2/AD2</x:f>
        <x:v>0.9456850804697694</x:v>
      </x:c>
      <x:c r="AK2" s="31" t="n">
        <x:f>X2/AE2</x:f>
        <x:v>0.8695652368676218</x:v>
      </x:c>
      <x:c r="AL2" s="31" t="n">
        <x:f>Z2/AF2</x:f>
        <x:v>0.0023439393939393943</x:v>
      </x:c>
      <x:c r="AM2" s="31" t="n">
        <x:f>MAX(AG2:AK2)</x:f>
        <x:v>1.0760883207310703</x:v>
      </x:c>
      <x:c r="AN2" s="26" t="str">
        <x:f>SUBSTITUTE(INDEX($AG$1:$AK$1,1,MATCH(AM2,AG2:AK2,0))," Gap","")</x:f>
        <x:v>HBM</x:v>
      </x:c>
      <x:c r="AO2" s="30" t="n">
        <x:f>MIN(1,1/AM2)</x:f>
        <x:v>0.9292917511832323</x:v>
      </x:c>
      <x:c r="AP2" s="36" t="n">
        <x:f>N2*(1-AO2)</x:f>
        <x:v>262394.45454545325</x:v>
      </x:c>
      <x:c r="AQ2" s="36" t="n">
        <x:f>AP2*XLOOKUP(A2,Assumptions!$A$4:$A$6,Assumptions!$D$4:$D$6)</x:f>
        <x:v>144316.9499999993</x:v>
      </x:c>
      <x:c r="AR2" s="32" t="n">
        <x:f>MAX(80,100*(1+XLOOKUP(A2,Assumptions!$A$4:$A$6,Assumptions!$E$4:$E$6)*(EXP(MAX(AG2-1,0))-1)-0.25*MAX(1-AG2,0)))</x:f>
        <x:v>98.09782608599458</x:v>
      </x:c>
      <x:c r="AS2" s="32" t="n">
        <x:f>MAX(80,100*(1+XLOOKUP(A2,Assumptions!$A$4:$A$6,Assumptions!$E$4:$E$6)*(EXP(MAX(AH2-1,0))-1)-0.25*MAX(1-AH2,0)))</x:f>
        <x:v>105.13876175338541</x:v>
      </x:c>
      <x:c r="AT2" s="32" t="n">
        <x:f>MAX(80,100*(1+XLOOKUP(A2,Assumptions!$A$4:$A$6,Assumptions!$E$4:$E$6)*(EXP(MAX(AI2-1,0))-1)-0.25*MAX(1-AI2,0)))</x:f>
        <x:v>92.93478266288318</x:v>
      </x:c>
      <x:c r="AU2" s="32" t="n">
        <x:f>MAX(80,100*(1+XLOOKUP(A2,Assumptions!$A$4:$A$6,Assumptions!$E$4:$E$6)*(EXP(MAX(AJ2-1,0))-1)-0.25*MAX(1-AJ2,0)))</x:f>
        <x:v>98.64212701174424</x:v>
      </x:c>
      <x:c r="AV2" s="32" t="n">
        <x:f>MAX(80,100*(1+XLOOKUP(A2,Assumptions!$A$4:$A$6,Assumptions!$E$4:$E$6)*(EXP(MAX(AK2-1,0))-1)-0.25*MAX(1-AK2,0)))</x:f>
        <x:v>96.73913092169055</x:v>
      </x:c>
      <x:c r="AW2" s="26" t="str">
        <x:f>A2&amp;"|"&amp;B2</x:f>
        <x:v>bear|2026</x:v>
      </x:c>
    </x:row>
    <x:row r="3">
      <x:c r="A3" s="26" t="str">
        <x:v>bear</x:v>
      </x:c>
      <x:c r="B3" s="26" t="n">
        <x:v>2027</x:v>
      </x:c>
      <x:c r="C3" s="33" t="n">
        <x:f>XLOOKUP($B3,Assumptions!$A$9:$A$11,Assumptions!$B$9:$B$11)</x:f>
        <x:v>177430000000000</x:v>
      </x:c>
      <x:c r="D3" s="34" t="n">
        <x:f>XLOOKUP($A3,Assumptions!$A$4:$A$6,Assumptions!$B$4:$B$6)</x:f>
        <x:v>0.78</x:v>
      </x:c>
      <x:c r="E3" s="34" t="n">
        <x:f>C3*D3</x:f>
        <x:v>138395400000000</x:v>
      </x:c>
      <x:c r="F3" s="34" t="n">
        <x:f>XLOOKUP($B3,Assumptions!$A$9:$A$11,Assumptions!$C$9:$C$11)</x:f>
        <x:v>960</x:v>
      </x:c>
      <x:c r="G3" s="34" t="n">
        <x:f>XLOOKUP("COEF_CAPEX_AI_INFRA_SHARE",Assumptions!$A$14:$A$19,Assumptions!$B$14:$B$19)</x:f>
        <x:v>0.58</x:v>
      </x:c>
      <x:c r="H3" s="34" t="n">
        <x:f>XLOOKUP("COEF_CAPEX_ACCELERATOR_SHARE",Assumptions!$A$14:$A$19,Assumptions!$B$14:$B$19)</x:f>
        <x:v>0.46</x:v>
      </x:c>
      <x:c r="I3" s="35" t="n">
        <x:f>XLOOKUP("COEF_AVG_ACCELERATOR_ASP_USD",Assumptions!$A$14:$A$19,Assumptions!$B$14:$B$19)</x:f>
        <x:v>55000</x:v>
      </x:c>
      <x:c r="J3" s="36" t="n">
        <x:f>F3*1000000000*G3*H3/I3</x:f>
        <x:v>4656872.7272727275</x:v>
      </x:c>
      <x:c r="K3" s="36" t="n">
        <x:f>Assumptions!$G$14</x:f>
        <x:v>2000</x:v>
      </x:c>
      <x:c r="L3" s="36" t="n">
        <x:f>Assumptions!$G$15</x:f>
        <x:v>0.85</x:v>
      </x:c>
      <x:c r="M3" s="36" t="n">
        <x:f>E3/86400/(K3*L3)</x:f>
        <x:v>942234.4771241831</x:v>
      </x:c>
      <x:c r="N3" s="36" t="n">
        <x:f>MAX(J3,M3)+IF($A2=$A3,$AQ2,0)</x:f>
        <x:v>4801189.677272727</x:v>
      </x:c>
      <x:c r="O3" s="26" t="n">
        <x:f>Assumptions!$G$16</x:f>
        <x:v>80</x:v>
      </x:c>
      <x:c r="P3" s="29" t="n">
        <x:f>N3*O3/1000000</x:f>
        <x:v>384.09517418181815</x:v>
      </x:c>
      <x:c r="Q3" s="26" t="n">
        <x:f>XLOOKUP("COEF_COWOS_WPM_PER_ACCELERATOR",Assumptions!$A$14:$A$19,Assumptions!$B$14:$B$19)</x:f>
        <x:v>0.018</x:v>
      </x:c>
      <x:c r="R3" s="36" t="n">
        <x:f>N3*Q3</x:f>
        <x:v>86421.41419090907</x:v>
      </x:c>
      <x:c r="S3" s="26" t="n">
        <x:f>Assumptions!$G$17</x:f>
        <x:v>700</x:v>
      </x:c>
      <x:c r="T3" s="26" t="n">
        <x:f>Assumptions!$G$18</x:f>
        <x:v>1.3</x:v>
      </x:c>
      <x:c r="U3" s="26" t="n">
        <x:f>Assumptions!$G$19</x:f>
        <x:v>1.4</x:v>
      </x:c>
      <x:c r="V3" s="34" t="n">
        <x:f>N3*S3*T3*U3/1000000000</x:f>
        <x:v>6.116715648845453</x:v>
      </x:c>
      <x:c r="W3" s="26" t="n">
        <x:f>XLOOKUP("COEF_NETWORK_TBPS_PER_ACCELERATOR",Assumptions!$A$14:$A$19,Assumptions!$B$14:$B$19)</x:f>
        <x:v>0.0035</x:v>
      </x:c>
      <x:c r="X3" s="36" t="n">
        <x:f>N3*W3*(1+0.035*MAX(B3-2026,0))</x:f>
        <x:v>17392.30960592045</x:v>
      </x:c>
      <x:c r="Y3" s="26" t="n">
        <x:f>XLOOKUP("COEF_RAG_STORAGE_RATIO",Assumptions!$A$14:$A$19,Assumptions!$B$14:$B$19)</x:f>
        <x:v>0.34</x:v>
      </x:c>
      <x:c r="Z3" s="37" t="n">
        <x:f>E3*Y3*2/1000/1000000000</x:f>
        <x:v>94.108872</x:v>
      </x:c>
      <x:c r="AA3" s="38" t="n">
        <x:f>XLOOKUP(B3,Assumptions!$A$9:$A$11,Assumptions!$D$9:$D$11)*XLOOKUP(A3,Assumptions!$A$4:$A$6,Assumptions!$C$4:$C$6)</x:f>
        <x:v>6048455.8715200005</x:v>
      </x:c>
      <x:c r="AB3" s="38" t="n">
        <x:f>XLOOKUP(B3,Assumptions!$A$9:$A$11,Assumptions!$E$9:$E$11)*XLOOKUP(A3,Assumptions!$A$4:$A$6,Assumptions!$C$4:$C$6)</x:f>
        <x:v>443.14652</x:v>
      </x:c>
      <x:c r="AC3" s="38" t="n">
        <x:f>XLOOKUP(B3,Assumptions!$A$9:$A$11,Assumptions!$F$9:$F$11)*XLOOKUP(A3,Assumptions!$A$4:$A$6,Assumptions!$C$4:$C$6)</x:f>
        <x:v>142551.10752000002</x:v>
      </x:c>
      <x:c r="AD3" s="38" t="n">
        <x:f>XLOOKUP(B3,Assumptions!$A$9:$A$11,Assumptions!$G$9:$G$11)*XLOOKUP(A3,Assumptions!$A$4:$A$6,Assumptions!$C$4:$C$6)</x:f>
        <x:v>8.155800000000001</x:v>
      </x:c>
      <x:c r="AE3" s="38" t="n">
        <x:f>XLOOKUP(B3,Assumptions!$A$9:$A$11,Assumptions!$H$9:$H$11)*XLOOKUP(A3,Assumptions!$A$4:$A$6,Assumptions!$C$4:$C$6)</x:f>
        <x:v>24055.937360000004</x:v>
      </x:c>
      <x:c r="AF3" s="38" t="n">
        <x:f>XLOOKUP(B3,Assumptions!$A$9:$A$11,Assumptions!$I$9:$I$11)*XLOOKUP(A3,Assumptions!$A$4:$A$6,Assumptions!$C$4:$C$6)</x:f>
        <x:v>30602.88</x:v>
      </x:c>
      <x:c r="AG3" s="31" t="n">
        <x:f>N3/AA3</x:f>
        <x:v>0.7937876673416432</x:v>
      </x:c>
      <x:c r="AH3" s="31" t="n">
        <x:f>P3/AB3</x:f>
        <x:v>0.8667453242819512</x:v>
      </x:c>
      <x:c r="AI3" s="31" t="n">
        <x:f>R3/AC3</x:f>
        <x:v>0.6062486338717789</x:v>
      </x:c>
      <x:c r="AJ3" s="31" t="n">
        <x:f>V3/AD3</x:f>
        <x:v>0.7499835269189352</x:v>
      </x:c>
      <x:c r="AK3" s="31" t="n">
        <x:f>X3/AE3</x:f>
        <x:v>0.722994466839618</x:v>
      </x:c>
      <x:c r="AL3" s="31" t="n">
        <x:f>Z3/AF3</x:f>
        <x:v>0.003075163906142167</x:v>
      </x:c>
      <x:c r="AM3" s="31" t="n">
        <x:f>MAX(AG3:AK3)</x:f>
        <x:v>0.8667453242819512</x:v>
      </x:c>
      <x:c r="AN3" s="26" t="str">
        <x:f>SUBSTITUTE(INDEX($AG$1:$AK$1,1,MATCH(AM3,AG3:AK3,0))," Gap","")</x:f>
        <x:v>HBM</x:v>
      </x:c>
      <x:c r="AO3" s="30" t="n">
        <x:f>MIN(1,1/AM3)</x:f>
        <x:v>1</x:v>
      </x:c>
      <x:c r="AP3" s="36" t="n">
        <x:f>N3*(1-AO3)</x:f>
        <x:v>0</x:v>
      </x:c>
      <x:c r="AQ3" s="36" t="n">
        <x:f>AP3*XLOOKUP(A3,Assumptions!$A$4:$A$6,Assumptions!$D$4:$D$6)</x:f>
        <x:v>0</x:v>
      </x:c>
      <x:c r="AR3" s="32" t="n">
        <x:f>MAX(80,100*(1+XLOOKUP(A3,Assumptions!$A$4:$A$6,Assumptions!$E$4:$E$6)*(EXP(MAX(AG3-1,0))-1)-0.25*MAX(1-AG3,0)))</x:f>
        <x:v>94.84469168354109</x:v>
      </x:c>
      <x:c r="AS3" s="32" t="n">
        <x:f>MAX(80,100*(1+XLOOKUP(A3,Assumptions!$A$4:$A$6,Assumptions!$E$4:$E$6)*(EXP(MAX(AH3-1,0))-1)-0.25*MAX(1-AH3,0)))</x:f>
        <x:v>96.66863310704879</x:v>
      </x:c>
      <x:c r="AT3" s="32" t="n">
        <x:f>MAX(80,100*(1+XLOOKUP(A3,Assumptions!$A$4:$A$6,Assumptions!$E$4:$E$6)*(EXP(MAX(AI3-1,0))-1)-0.25*MAX(1-AI3,0)))</x:f>
        <x:v>90.15621584679448</x:v>
      </x:c>
      <x:c r="AU3" s="32" t="n">
        <x:f>MAX(80,100*(1+XLOOKUP(A3,Assumptions!$A$4:$A$6,Assumptions!$E$4:$E$6)*(EXP(MAX(AJ3-1,0))-1)-0.25*MAX(1-AJ3,0)))</x:f>
        <x:v>93.74958817297339</x:v>
      </x:c>
      <x:c r="AV3" s="32" t="n">
        <x:f>MAX(80,100*(1+XLOOKUP(A3,Assumptions!$A$4:$A$6,Assumptions!$E$4:$E$6)*(EXP(MAX(AK3-1,0))-1)-0.25*MAX(1-AK3,0)))</x:f>
        <x:v>93.07486167099044</x:v>
      </x:c>
      <x:c r="AW3" s="26" t="str">
        <x:f>A3&amp;"|"&amp;B3</x:f>
        <x:v>bear|2027</x:v>
      </x:c>
    </x:row>
    <x:row r="4">
      <x:c r="A4" s="26" t="str">
        <x:v>bear</x:v>
      </x:c>
      <x:c r="B4" s="26" t="n">
        <x:v>2028</x:v>
      </x:c>
      <x:c r="C4" s="33" t="n">
        <x:f>XLOOKUP($B4,Assumptions!$A$9:$A$11,Assumptions!$B$9:$B$11)</x:f>
        <x:v>280985000000000</x:v>
      </x:c>
      <x:c r="D4" s="34" t="n">
        <x:f>XLOOKUP($A4,Assumptions!$A$4:$A$6,Assumptions!$B$4:$B$6)</x:f>
        <x:v>0.78</x:v>
      </x:c>
      <x:c r="E4" s="34" t="n">
        <x:f>C4*D4</x:f>
        <x:v>219168300000000</x:v>
      </x:c>
      <x:c r="F4" s="34" t="n">
        <x:f>XLOOKUP($B4,Assumptions!$A$9:$A$11,Assumptions!$C$9:$C$11)</x:f>
        <x:v>960</x:v>
      </x:c>
      <x:c r="G4" s="34" t="n">
        <x:f>XLOOKUP("COEF_CAPEX_AI_INFRA_SHARE",Assumptions!$A$14:$A$19,Assumptions!$B$14:$B$19)</x:f>
        <x:v>0.58</x:v>
      </x:c>
      <x:c r="H4" s="34" t="n">
        <x:f>XLOOKUP("COEF_CAPEX_ACCELERATOR_SHARE",Assumptions!$A$14:$A$19,Assumptions!$B$14:$B$19)</x:f>
        <x:v>0.46</x:v>
      </x:c>
      <x:c r="I4" s="35" t="n">
        <x:f>XLOOKUP("COEF_AVG_ACCELERATOR_ASP_USD",Assumptions!$A$14:$A$19,Assumptions!$B$14:$B$19)</x:f>
        <x:v>55000</x:v>
      </x:c>
      <x:c r="J4" s="36" t="n">
        <x:f>F4*1000000000*G4*H4/I4</x:f>
        <x:v>4656872.7272727275</x:v>
      </x:c>
      <x:c r="K4" s="36" t="n">
        <x:f>Assumptions!$G$14</x:f>
        <x:v>2000</x:v>
      </x:c>
      <x:c r="L4" s="36" t="n">
        <x:f>Assumptions!$G$15</x:f>
        <x:v>0.85</x:v>
      </x:c>
      <x:c r="M4" s="36" t="n">
        <x:f>E4/86400/(K4*L4)</x:f>
        <x:v>1492158.9052287582</x:v>
      </x:c>
      <x:c r="N4" s="36" t="n">
        <x:f>MAX(J4,M4)+IF($A3=$A4,$AQ3,0)</x:f>
        <x:v>4656872.7272727275</x:v>
      </x:c>
      <x:c r="O4" s="26" t="n">
        <x:f>Assumptions!$G$16</x:f>
        <x:v>80</x:v>
      </x:c>
      <x:c r="P4" s="29" t="n">
        <x:f>N4*O4/1000000</x:f>
        <x:v>372.5498181818182</x:v>
      </x:c>
      <x:c r="Q4" s="26" t="n">
        <x:f>XLOOKUP("COEF_COWOS_WPM_PER_ACCELERATOR",Assumptions!$A$14:$A$19,Assumptions!$B$14:$B$19)</x:f>
        <x:v>0.018</x:v>
      </x:c>
      <x:c r="R4" s="36" t="n">
        <x:f>N4*Q4</x:f>
        <x:v>83823.70909090909</x:v>
      </x:c>
      <x:c r="S4" s="26" t="n">
        <x:f>Assumptions!$G$17</x:f>
        <x:v>700</x:v>
      </x:c>
      <x:c r="T4" s="26" t="n">
        <x:f>Assumptions!$G$18</x:f>
        <x:v>1.3</x:v>
      </x:c>
      <x:c r="U4" s="26" t="n">
        <x:f>Assumptions!$G$19</x:f>
        <x:v>1.4</x:v>
      </x:c>
      <x:c r="V4" s="34" t="n">
        <x:f>N4*S4*T4*U4/1000000000</x:f>
        <x:v>5.932855854545455</x:v>
      </x:c>
      <x:c r="W4" s="26" t="n">
        <x:f>XLOOKUP("COEF_NETWORK_TBPS_PER_ACCELERATOR",Assumptions!$A$14:$A$19,Assumptions!$B$14:$B$19)</x:f>
        <x:v>0.0035</x:v>
      </x:c>
      <x:c r="X4" s="36" t="n">
        <x:f>N4*W4*(1+0.035*MAX(B4-2026,0))</x:f>
        <x:v>17439.988363636367</x:v>
      </x:c>
      <x:c r="Y4" s="26" t="n">
        <x:f>XLOOKUP("COEF_RAG_STORAGE_RATIO",Assumptions!$A$14:$A$19,Assumptions!$B$14:$B$19)</x:f>
        <x:v>0.34</x:v>
      </x:c>
      <x:c r="Z4" s="37" t="n">
        <x:f>E4*Y4*2/1000/1000000000</x:f>
        <x:v>149.034444</x:v>
      </x:c>
      <x:c r="AA4" s="38" t="n">
        <x:f>XLOOKUP(B4,Assumptions!$A$9:$A$11,Assumptions!$D$9:$D$11)*XLOOKUP(A4,Assumptions!$A$4:$A$6,Assumptions!$C$4:$C$6)</x:f>
        <x:v>7258147.04564</x:v>
      </x:c>
      <x:c r="AB4" s="38" t="n">
        <x:f>XLOOKUP(B4,Assumptions!$A$9:$A$11,Assumptions!$E$9:$E$11)*XLOOKUP(A4,Assumptions!$A$4:$A$6,Assumptions!$C$4:$C$6)</x:f>
        <x:v>567.2269200000001</x:v>
      </x:c>
      <x:c r="AC4" s="38" t="n">
        <x:f>XLOOKUP(B4,Assumptions!$A$9:$A$11,Assumptions!$F$9:$F$11)*XLOOKUP(A4,Assumptions!$A$4:$A$6,Assumptions!$C$4:$C$6)</x:f>
        <x:v>173912.3518</x:v>
      </x:c>
      <x:c r="AD4" s="38" t="n">
        <x:f>XLOOKUP(B4,Assumptions!$A$9:$A$11,Assumptions!$G$9:$G$11)*XLOOKUP(A4,Assumptions!$A$4:$A$6,Assumptions!$C$4:$C$6)</x:f>
        <x:v>10.603000000000002</x:v>
      </x:c>
      <x:c r="AE4" s="38" t="n">
        <x:f>XLOOKUP(B4,Assumptions!$A$9:$A$11,Assumptions!$H$9:$H$11)*XLOOKUP(A4,Assumptions!$A$4:$A$6,Assumptions!$C$4:$C$6)</x:f>
        <x:v>30838.085360000005</x:v>
      </x:c>
      <x:c r="AF4" s="38" t="n">
        <x:f>XLOOKUP(B4,Assumptions!$A$9:$A$11,Assumptions!$I$9:$I$11)*XLOOKUP(A4,Assumptions!$A$4:$A$6,Assumptions!$C$4:$C$6)</x:f>
        <x:v>36723.456000000006</x:v>
      </x:c>
      <x:c r="AG4" s="31" t="n">
        <x:f>N4/AA4</x:f>
        <x:v>0.6416062802241146</x:v>
      </x:c>
      <x:c r="AH4" s="31" t="n">
        <x:f>P4/AB4</x:f>
        <x:v>0.6567914974518807</x:v>
      </x:c>
      <x:c r="AI4" s="31" t="n">
        <x:f>R4/AC4</x:f>
        <x:v>0.4819882442122727</x:v>
      </x:c>
      <x:c r="AJ4" s="31" t="n">
        <x:f>V4/AD4</x:f>
        <x:v>0.5595450207059751</x:v>
      </x:c>
      <x:c r="AK4" s="31" t="n">
        <x:f>X4/AE4</x:f>
        <x:v>0.5655340842352595</x:v>
      </x:c>
      <x:c r="AL4" s="31" t="n">
        <x:f>Z4/AF4</x:f>
        <x:v>0.004058290265491352</x:v>
      </x:c>
      <x:c r="AM4" s="31" t="n">
        <x:f>MAX(AG4:AK4)</x:f>
        <x:v>0.6567914974518807</x:v>
      </x:c>
      <x:c r="AN4" s="26" t="str">
        <x:f>SUBSTITUTE(INDEX($AG$1:$AK$1,1,MATCH(AM4,AG4:AK4,0))," Gap","")</x:f>
        <x:v>HBM</x:v>
      </x:c>
      <x:c r="AO4" s="30" t="n">
        <x:f>MIN(1,1/AM4)</x:f>
        <x:v>1</x:v>
      </x:c>
      <x:c r="AP4" s="36" t="n">
        <x:f>N4*(1-AO4)</x:f>
        <x:v>0</x:v>
      </x:c>
      <x:c r="AQ4" s="36" t="n">
        <x:f>AP4*XLOOKUP(A4,Assumptions!$A$4:$A$6,Assumptions!$D$4:$D$6)</x:f>
        <x:v>0</x:v>
      </x:c>
      <x:c r="AR4" s="32" t="n">
        <x:f>MAX(80,100*(1+XLOOKUP(A4,Assumptions!$A$4:$A$6,Assumptions!$E$4:$E$6)*(EXP(MAX(AG4-1,0))-1)-0.25*MAX(1-AG4,0)))</x:f>
        <x:v>91.04015700560286</x:v>
      </x:c>
      <x:c r="AS4" s="32" t="n">
        <x:f>MAX(80,100*(1+XLOOKUP(A4,Assumptions!$A$4:$A$6,Assumptions!$E$4:$E$6)*(EXP(MAX(AH4-1,0))-1)-0.25*MAX(1-AH4,0)))</x:f>
        <x:v>91.41978743629701</x:v>
      </x:c>
      <x:c r="AT4" s="32" t="n">
        <x:f>MAX(80,100*(1+XLOOKUP(A4,Assumptions!$A$4:$A$6,Assumptions!$E$4:$E$6)*(EXP(MAX(AI4-1,0))-1)-0.25*MAX(1-AI4,0)))</x:f>
        <x:v>87.04970610530683</x:v>
      </x:c>
      <x:c r="AU4" s="32" t="n">
        <x:f>MAX(80,100*(1+XLOOKUP(A4,Assumptions!$A$4:$A$6,Assumptions!$E$4:$E$6)*(EXP(MAX(AJ4-1,0))-1)-0.25*MAX(1-AJ4,0)))</x:f>
        <x:v>88.98862551764938</x:v>
      </x:c>
      <x:c r="AV4" s="32" t="n">
        <x:f>MAX(80,100*(1+XLOOKUP(A4,Assumptions!$A$4:$A$6,Assumptions!$E$4:$E$6)*(EXP(MAX(AK4-1,0))-1)-0.25*MAX(1-AK4,0)))</x:f>
        <x:v>89.1383521058815</x:v>
      </x:c>
      <x:c r="AW4" s="26" t="str">
        <x:f>A4&amp;"|"&amp;B4</x:f>
        <x:v>bear|2028</x:v>
      </x:c>
    </x:row>
    <x:row r="5">
      <x:c r="A5" s="26" t="str">
        <x:v>base</x:v>
      </x:c>
      <x:c r="B5" s="26" t="n">
        <x:v>2026</x:v>
      </x:c>
      <x:c r="C5" s="33" t="n">
        <x:f>XLOOKUP($B5,Assumptions!$A$9:$A$11,Assumptions!$B$9:$B$11)</x:f>
        <x:v>112700000000000</x:v>
      </x:c>
      <x:c r="D5" s="34" t="n">
        <x:f>XLOOKUP($A5,Assumptions!$A$4:$A$6,Assumptions!$B$4:$B$6)</x:f>
        <x:v>1</x:v>
      </x:c>
      <x:c r="E5" s="34" t="n">
        <x:f>C5*D5</x:f>
        <x:v>112700000000000</x:v>
      </x:c>
      <x:c r="F5" s="34" t="n">
        <x:f>XLOOKUP($B5,Assumptions!$A$9:$A$11,Assumptions!$C$9:$C$11)</x:f>
        <x:v>765</x:v>
      </x:c>
      <x:c r="G5" s="34" t="n">
        <x:f>XLOOKUP("COEF_CAPEX_AI_INFRA_SHARE",Assumptions!$A$14:$A$19,Assumptions!$B$14:$B$19)</x:f>
        <x:v>0.58</x:v>
      </x:c>
      <x:c r="H5" s="34" t="n">
        <x:f>XLOOKUP("COEF_CAPEX_ACCELERATOR_SHARE",Assumptions!$A$14:$A$19,Assumptions!$B$14:$B$19)</x:f>
        <x:v>0.46</x:v>
      </x:c>
      <x:c r="I5" s="35" t="n">
        <x:f>XLOOKUP("COEF_AVG_ACCELERATOR_ASP_USD",Assumptions!$A$14:$A$19,Assumptions!$B$14:$B$19)</x:f>
        <x:v>55000</x:v>
      </x:c>
      <x:c r="J5" s="36" t="n">
        <x:f>F5*1000000000*G5*H5/I5</x:f>
        <x:v>3710945.454545454</x:v>
      </x:c>
      <x:c r="K5" s="36" t="n">
        <x:f>Assumptions!$G$14</x:f>
        <x:v>2000</x:v>
      </x:c>
      <x:c r="L5" s="36" t="n">
        <x:f>Assumptions!$G$15</x:f>
        <x:v>0.85</x:v>
      </x:c>
      <x:c r="M5" s="36" t="n">
        <x:f>E5/86400/(K5*L5)</x:f>
        <x:v>767293.02832244</x:v>
      </x:c>
      <x:c r="N5" s="36" t="n">
        <x:f>MAX(J5,M5)+IF($A4=$A5,$AQ4,0)</x:f>
        <x:v>3710945.454545454</x:v>
      </x:c>
      <x:c r="O5" s="26" t="n">
        <x:f>Assumptions!$G$16</x:f>
        <x:v>80</x:v>
      </x:c>
      <x:c r="P5" s="29" t="n">
        <x:f>N5*O5/1000000</x:f>
        <x:v>296.8756363636363</x:v>
      </x:c>
      <x:c r="Q5" s="26" t="n">
        <x:f>XLOOKUP("COEF_COWOS_WPM_PER_ACCELERATOR",Assumptions!$A$14:$A$19,Assumptions!$B$14:$B$19)</x:f>
        <x:v>0.018</x:v>
      </x:c>
      <x:c r="R5" s="36" t="n">
        <x:f>N5*Q5</x:f>
        <x:v>66797.01818181817</x:v>
      </x:c>
      <x:c r="S5" s="26" t="n">
        <x:f>Assumptions!$G$17</x:f>
        <x:v>700</x:v>
      </x:c>
      <x:c r="T5" s="26" t="n">
        <x:f>Assumptions!$G$18</x:f>
        <x:v>1.3</x:v>
      </x:c>
      <x:c r="U5" s="26" t="n">
        <x:f>Assumptions!$G$19</x:f>
        <x:v>1.4</x:v>
      </x:c>
      <x:c r="V5" s="34" t="n">
        <x:f>N5*S5*T5*U5/1000000000</x:f>
        <x:v>4.727744509090909</x:v>
      </x:c>
      <x:c r="W5" s="26" t="n">
        <x:f>XLOOKUP("COEF_NETWORK_TBPS_PER_ACCELERATOR",Assumptions!$A$14:$A$19,Assumptions!$B$14:$B$19)</x:f>
        <x:v>0.0035</x:v>
      </x:c>
      <x:c r="X5" s="36" t="n">
        <x:f>N5*W5*(1+0.035*MAX(B5-2026,0))</x:f>
        <x:v>12988.30909090909</x:v>
      </x:c>
      <x:c r="Y5" s="26" t="n">
        <x:f>XLOOKUP("COEF_RAG_STORAGE_RATIO",Assumptions!$A$14:$A$19,Assumptions!$B$14:$B$19)</x:f>
        <x:v>0.34</x:v>
      </x:c>
      <x:c r="Z5" s="37" t="n">
        <x:f>E5*Y5*2/1000/1000000000</x:f>
        <x:v>76.636</x:v>
      </x:c>
      <x:c r="AA5" s="38" t="n">
        <x:f>XLOOKUP(B5,Assumptions!$A$9:$A$11,Assumptions!$D$9:$D$11)*XLOOKUP(A5,Assumptions!$A$4:$A$6,Assumptions!$C$4:$C$6)</x:f>
        <x:v>4365818.182</x:v>
      </x:c>
      <x:c r="AB5" s="38" t="n">
        <x:f>XLOOKUP(B5,Assumptions!$A$9:$A$11,Assumptions!$E$9:$E$11)*XLOOKUP(A5,Assumptions!$A$4:$A$6,Assumptions!$C$4:$C$6)</x:f>
        <x:v>299.874</x:v>
      </x:c>
      <x:c r="AC5" s="38" t="n">
        <x:f>XLOOKUP(B5,Assumptions!$A$9:$A$11,Assumptions!$F$9:$F$11)*XLOOKUP(A5,Assumptions!$A$4:$A$6,Assumptions!$C$4:$C$6)</x:f>
        <x:v>101207.603</x:v>
      </x:c>
      <x:c r="AD5" s="38" t="n">
        <x:f>XLOOKUP(B5,Assumptions!$A$9:$A$11,Assumptions!$G$9:$G$11)*XLOOKUP(A5,Assumptions!$A$4:$A$6,Assumptions!$C$4:$C$6)</x:f>
        <x:v>5.434</x:v>
      </x:c>
      <x:c r="AE5" s="38" t="n">
        <x:f>XLOOKUP(B5,Assumptions!$A$9:$A$11,Assumptions!$H$9:$H$11)*XLOOKUP(A5,Assumptions!$A$4:$A$6,Assumptions!$C$4:$C$6)</x:f>
        <x:v>16235.386</x:v>
      </x:c>
      <x:c r="AF5" s="38" t="n">
        <x:f>XLOOKUP(B5,Assumptions!$A$9:$A$11,Assumptions!$I$9:$I$11)*XLOOKUP(A5,Assumptions!$A$4:$A$6,Assumptions!$C$4:$C$6)</x:f>
        <x:v>27720</x:v>
      </x:c>
      <x:c r="AG5" s="31" t="n">
        <x:f>N5/AA5</x:f>
        <x:v>0.849999999964601</x:v>
      </x:c>
      <x:c r="AH5" s="31" t="n">
        <x:f>P5/AB5</x:f>
        <x:v>0.9900012550725849</x:v>
      </x:c>
      <x:c r="AI5" s="31" t="n">
        <x:f>R5/AC5</x:f>
        <x:v>0.6600000019941009</x:v>
      </x:c>
      <x:c r="AJ5" s="31" t="n">
        <x:f>V5/AD5</x:f>
        <x:v>0.8700302740321879</x:v>
      </x:c>
      <x:c r="AK5" s="31" t="n">
        <x:f>X5/AE5</x:f>
        <x:v>0.8000000179182121</x:v>
      </x:c>
      <x:c r="AL5" s="31" t="n">
        <x:f>Z5/AF5</x:f>
        <x:v>0.0027646464646464645</x:v>
      </x:c>
      <x:c r="AM5" s="31" t="n">
        <x:f>MAX(AG5:AK5)</x:f>
        <x:v>0.9900012550725849</x:v>
      </x:c>
      <x:c r="AN5" s="26" t="str">
        <x:f>SUBSTITUTE(INDEX($AG$1:$AK$1,1,MATCH(AM5,AG5:AK5,0))," Gap","")</x:f>
        <x:v>HBM</x:v>
      </x:c>
      <x:c r="AO5" s="30" t="n">
        <x:f>MIN(1,1/AM5)</x:f>
        <x:v>1</x:v>
      </x:c>
      <x:c r="AP5" s="36" t="n">
        <x:f>N5*(1-AO5)</x:f>
        <x:v>0</x:v>
      </x:c>
      <x:c r="AQ5" s="36" t="n">
        <x:f>AP5*XLOOKUP(A5,Assumptions!$A$4:$A$6,Assumptions!$D$4:$D$6)</x:f>
        <x:v>0</x:v>
      </x:c>
      <x:c r="AR5" s="32" t="n">
        <x:f>MAX(80,100*(1+XLOOKUP(A5,Assumptions!$A$4:$A$6,Assumptions!$E$4:$E$6)*(EXP(MAX(AG5-1,0))-1)-0.25*MAX(1-AG5,0)))</x:f>
        <x:v>96.24999999911502</x:v>
      </x:c>
      <x:c r="AS5" s="32" t="n">
        <x:f>MAX(80,100*(1+XLOOKUP(A5,Assumptions!$A$4:$A$6,Assumptions!$E$4:$E$6)*(EXP(MAX(AH5-1,0))-1)-0.25*MAX(1-AH5,0)))</x:f>
        <x:v>99.75003137681462</x:v>
      </x:c>
      <x:c r="AT5" s="32" t="n">
        <x:f>MAX(80,100*(1+XLOOKUP(A5,Assumptions!$A$4:$A$6,Assumptions!$E$4:$E$6)*(EXP(MAX(AI5-1,0))-1)-0.25*MAX(1-AI5,0)))</x:f>
        <x:v>91.50000004985253</x:v>
      </x:c>
      <x:c r="AU5" s="32" t="n">
        <x:f>MAX(80,100*(1+XLOOKUP(A5,Assumptions!$A$4:$A$6,Assumptions!$E$4:$E$6)*(EXP(MAX(AJ5-1,0))-1)-0.25*MAX(1-AJ5,0)))</x:f>
        <x:v>96.75075685080469</x:v>
      </x:c>
      <x:c r="AV5" s="32" t="n">
        <x:f>MAX(80,100*(1+XLOOKUP(A5,Assumptions!$A$4:$A$6,Assumptions!$E$4:$E$6)*(EXP(MAX(AK5-1,0))-1)-0.25*MAX(1-AK5,0)))</x:f>
        <x:v>95.0000004479553</x:v>
      </x:c>
      <x:c r="AW5" s="26" t="str">
        <x:f>A5&amp;"|"&amp;B5</x:f>
        <x:v>base|2026</x:v>
      </x:c>
    </x:row>
    <x:row r="6">
      <x:c r="A6" s="26" t="str">
        <x:v>base</x:v>
      </x:c>
      <x:c r="B6" s="26" t="n">
        <x:v>2027</x:v>
      </x:c>
      <x:c r="C6" s="33" t="n">
        <x:f>XLOOKUP($B6,Assumptions!$A$9:$A$11,Assumptions!$B$9:$B$11)</x:f>
        <x:v>177430000000000</x:v>
      </x:c>
      <x:c r="D6" s="34" t="n">
        <x:f>XLOOKUP($A6,Assumptions!$A$4:$A$6,Assumptions!$B$4:$B$6)</x:f>
        <x:v>1</x:v>
      </x:c>
      <x:c r="E6" s="34" t="n">
        <x:f>C6*D6</x:f>
        <x:v>177430000000000</x:v>
      </x:c>
      <x:c r="F6" s="34" t="n">
        <x:f>XLOOKUP($B6,Assumptions!$A$9:$A$11,Assumptions!$C$9:$C$11)</x:f>
        <x:v>960</x:v>
      </x:c>
      <x:c r="G6" s="34" t="n">
        <x:f>XLOOKUP("COEF_CAPEX_AI_INFRA_SHARE",Assumptions!$A$14:$A$19,Assumptions!$B$14:$B$19)</x:f>
        <x:v>0.58</x:v>
      </x:c>
      <x:c r="H6" s="34" t="n">
        <x:f>XLOOKUP("COEF_CAPEX_ACCELERATOR_SHARE",Assumptions!$A$14:$A$19,Assumptions!$B$14:$B$19)</x:f>
        <x:v>0.46</x:v>
      </x:c>
      <x:c r="I6" s="35" t="n">
        <x:f>XLOOKUP("COEF_AVG_ACCELERATOR_ASP_USD",Assumptions!$A$14:$A$19,Assumptions!$B$14:$B$19)</x:f>
        <x:v>55000</x:v>
      </x:c>
      <x:c r="J6" s="36" t="n">
        <x:f>F6*1000000000*G6*H6/I6</x:f>
        <x:v>4656872.7272727275</x:v>
      </x:c>
      <x:c r="K6" s="36" t="n">
        <x:f>Assumptions!$G$14</x:f>
        <x:v>2000</x:v>
      </x:c>
      <x:c r="L6" s="36" t="n">
        <x:f>Assumptions!$G$15</x:f>
        <x:v>0.85</x:v>
      </x:c>
      <x:c r="M6" s="36" t="n">
        <x:f>E6/86400/(K6*L6)</x:f>
        <x:v>1207992.919389978</x:v>
      </x:c>
      <x:c r="N6" s="36" t="n">
        <x:f>MAX(J6,M6)+IF($A5=$A6,$AQ5,0)</x:f>
        <x:v>4656872.7272727275</x:v>
      </x:c>
      <x:c r="O6" s="26" t="n">
        <x:f>Assumptions!$G$16</x:f>
        <x:v>80</x:v>
      </x:c>
      <x:c r="P6" s="29" t="n">
        <x:f>N6*O6/1000000</x:f>
        <x:v>372.5498181818182</x:v>
      </x:c>
      <x:c r="Q6" s="26" t="n">
        <x:f>XLOOKUP("COEF_COWOS_WPM_PER_ACCELERATOR",Assumptions!$A$14:$A$19,Assumptions!$B$14:$B$19)</x:f>
        <x:v>0.018</x:v>
      </x:c>
      <x:c r="R6" s="36" t="n">
        <x:f>N6*Q6</x:f>
        <x:v>83823.70909090909</x:v>
      </x:c>
      <x:c r="S6" s="26" t="n">
        <x:f>Assumptions!$G$17</x:f>
        <x:v>700</x:v>
      </x:c>
      <x:c r="T6" s="26" t="n">
        <x:f>Assumptions!$G$18</x:f>
        <x:v>1.3</x:v>
      </x:c>
      <x:c r="U6" s="26" t="n">
        <x:f>Assumptions!$G$19</x:f>
        <x:v>1.4</x:v>
      </x:c>
      <x:c r="V6" s="34" t="n">
        <x:f>N6*S6*T6*U6/1000000000</x:f>
        <x:v>5.932855854545455</x:v>
      </x:c>
      <x:c r="W6" s="26" t="n">
        <x:f>XLOOKUP("COEF_NETWORK_TBPS_PER_ACCELERATOR",Assumptions!$A$14:$A$19,Assumptions!$B$14:$B$19)</x:f>
        <x:v>0.0035</x:v>
      </x:c>
      <x:c r="X6" s="36" t="n">
        <x:f>N6*W6*(1+0.035*MAX(B6-2026,0))</x:f>
        <x:v>16869.521454545455</x:v>
      </x:c>
      <x:c r="Y6" s="26" t="n">
        <x:f>XLOOKUP("COEF_RAG_STORAGE_RATIO",Assumptions!$A$14:$A$19,Assumptions!$B$14:$B$19)</x:f>
        <x:v>0.34</x:v>
      </x:c>
      <x:c r="Z6" s="37" t="n">
        <x:f>E6*Y6*2/1000/1000000000</x:f>
        <x:v>120.65240000000001</x:v>
      </x:c>
      <x:c r="AA6" s="38" t="n">
        <x:f>XLOOKUP(B6,Assumptions!$A$9:$A$11,Assumptions!$D$9:$D$11)*XLOOKUP(A6,Assumptions!$A$4:$A$6,Assumptions!$C$4:$C$6)</x:f>
        <x:v>6574408.556</x:v>
      </x:c>
      <x:c r="AB6" s="38" t="n">
        <x:f>XLOOKUP(B6,Assumptions!$A$9:$A$11,Assumptions!$E$9:$E$11)*XLOOKUP(A6,Assumptions!$A$4:$A$6,Assumptions!$C$4:$C$6)</x:f>
        <x:v>481.681</x:v>
      </x:c>
      <x:c r="AC6" s="38" t="n">
        <x:f>XLOOKUP(B6,Assumptions!$A$9:$A$11,Assumptions!$F$9:$F$11)*XLOOKUP(A6,Assumptions!$A$4:$A$6,Assumptions!$C$4:$C$6)</x:f>
        <x:v>154946.856</x:v>
      </x:c>
      <x:c r="AD6" s="38" t="n">
        <x:f>XLOOKUP(B6,Assumptions!$A$9:$A$11,Assumptions!$G$9:$G$11)*XLOOKUP(A6,Assumptions!$A$4:$A$6,Assumptions!$C$4:$C$6)</x:f>
        <x:v>8.865</x:v>
      </x:c>
      <x:c r="AE6" s="38" t="n">
        <x:f>XLOOKUP(B6,Assumptions!$A$9:$A$11,Assumptions!$H$9:$H$11)*XLOOKUP(A6,Assumptions!$A$4:$A$6,Assumptions!$C$4:$C$6)</x:f>
        <x:v>26147.758</x:v>
      </x:c>
      <x:c r="AF6" s="38" t="n">
        <x:f>XLOOKUP(B6,Assumptions!$A$9:$A$11,Assumptions!$I$9:$I$11)*XLOOKUP(A6,Assumptions!$A$4:$A$6,Assumptions!$C$4:$C$6)</x:f>
        <x:v>33264</x:v>
      </x:c>
      <x:c r="AG6" s="31" t="n">
        <x:f>N6/AA6</x:f>
        <x:v>0.7083333333494657</x:v>
      </x:c>
      <x:c r="AH6" s="31" t="n">
        <x:f>P6/AB6</x:f>
        <x:v>0.7734368143684683</x:v>
      </x:c>
      <x:c r="AI6" s="31" t="n">
        <x:f>R6/AC6</x:f>
        <x:v>0.5409836072498889</x:v>
      </x:c>
      <x:c r="AJ6" s="31" t="n">
        <x:f>V6/AD6</x:f>
        <x:v>0.6692448792493463</x:v>
      </x:c>
      <x:c r="AK6" s="31" t="n">
        <x:f>X6/AE6</x:f>
        <x:v>0.6451612966031525</x:v>
      </x:c>
      <x:c r="AL6" s="31" t="n">
        <x:f>Z6/AF6</x:f>
        <x:v>0.0036271164021164023</x:v>
      </x:c>
      <x:c r="AM6" s="31" t="n">
        <x:f>MAX(AG6:AK6)</x:f>
        <x:v>0.7734368143684683</x:v>
      </x:c>
      <x:c r="AN6" s="26" t="str">
        <x:f>SUBSTITUTE(INDEX($AG$1:$AK$1,1,MATCH(AM6,AG6:AK6,0))," Gap","")</x:f>
        <x:v>HBM</x:v>
      </x:c>
      <x:c r="AO6" s="30" t="n">
        <x:f>MIN(1,1/AM6)</x:f>
        <x:v>1</x:v>
      </x:c>
      <x:c r="AP6" s="36" t="n">
        <x:f>N6*(1-AO6)</x:f>
        <x:v>0</x:v>
      </x:c>
      <x:c r="AQ6" s="36" t="n">
        <x:f>AP6*XLOOKUP(A6,Assumptions!$A$4:$A$6,Assumptions!$D$4:$D$6)</x:f>
        <x:v>0</x:v>
      </x:c>
      <x:c r="AR6" s="32" t="n">
        <x:f>MAX(80,100*(1+XLOOKUP(A6,Assumptions!$A$4:$A$6,Assumptions!$E$4:$E$6)*(EXP(MAX(AG6-1,0))-1)-0.25*MAX(1-AG6,0)))</x:f>
        <x:v>92.70833333373665</x:v>
      </x:c>
      <x:c r="AS6" s="32" t="n">
        <x:f>MAX(80,100*(1+XLOOKUP(A6,Assumptions!$A$4:$A$6,Assumptions!$E$4:$E$6)*(EXP(MAX(AH6-1,0))-1)-0.25*MAX(1-AH6,0)))</x:f>
        <x:v>94.33592035921171</x:v>
      </x:c>
      <x:c r="AT6" s="32" t="n">
        <x:f>MAX(80,100*(1+XLOOKUP(A6,Assumptions!$A$4:$A$6,Assumptions!$E$4:$E$6)*(EXP(MAX(AI6-1,0))-1)-0.25*MAX(1-AI6,0)))</x:f>
        <x:v>88.52459018124722</x:v>
      </x:c>
      <x:c r="AU6" s="32" t="n">
        <x:f>MAX(80,100*(1+XLOOKUP(A6,Assumptions!$A$4:$A$6,Assumptions!$E$4:$E$6)*(EXP(MAX(AJ6-1,0))-1)-0.25*MAX(1-AJ6,0)))</x:f>
        <x:v>91.73112198123366</x:v>
      </x:c>
      <x:c r="AV6" s="32" t="n">
        <x:f>MAX(80,100*(1+XLOOKUP(A6,Assumptions!$A$4:$A$6,Assumptions!$E$4:$E$6)*(EXP(MAX(AK6-1,0))-1)-0.25*MAX(1-AK6,0)))</x:f>
        <x:v>91.12903241507881</x:v>
      </x:c>
      <x:c r="AW6" s="26" t="str">
        <x:f>A6&amp;"|"&amp;B6</x:f>
        <x:v>base|2027</x:v>
      </x:c>
    </x:row>
    <x:row r="7">
      <x:c r="A7" s="26" t="str">
        <x:v>base</x:v>
      </x:c>
      <x:c r="B7" s="26" t="n">
        <x:v>2028</x:v>
      </x:c>
      <x:c r="C7" s="33" t="n">
        <x:f>XLOOKUP($B7,Assumptions!$A$9:$A$11,Assumptions!$B$9:$B$11)</x:f>
        <x:v>280985000000000</x:v>
      </x:c>
      <x:c r="D7" s="34" t="n">
        <x:f>XLOOKUP($A7,Assumptions!$A$4:$A$6,Assumptions!$B$4:$B$6)</x:f>
        <x:v>1</x:v>
      </x:c>
      <x:c r="E7" s="34" t="n">
        <x:f>C7*D7</x:f>
        <x:v>280985000000000</x:v>
      </x:c>
      <x:c r="F7" s="34" t="n">
        <x:f>XLOOKUP($B7,Assumptions!$A$9:$A$11,Assumptions!$C$9:$C$11)</x:f>
        <x:v>960</x:v>
      </x:c>
      <x:c r="G7" s="34" t="n">
        <x:f>XLOOKUP("COEF_CAPEX_AI_INFRA_SHARE",Assumptions!$A$14:$A$19,Assumptions!$B$14:$B$19)</x:f>
        <x:v>0.58</x:v>
      </x:c>
      <x:c r="H7" s="34" t="n">
        <x:f>XLOOKUP("COEF_CAPEX_ACCELERATOR_SHARE",Assumptions!$A$14:$A$19,Assumptions!$B$14:$B$19)</x:f>
        <x:v>0.46</x:v>
      </x:c>
      <x:c r="I7" s="35" t="n">
        <x:f>XLOOKUP("COEF_AVG_ACCELERATOR_ASP_USD",Assumptions!$A$14:$A$19,Assumptions!$B$14:$B$19)</x:f>
        <x:v>55000</x:v>
      </x:c>
      <x:c r="J7" s="36" t="n">
        <x:f>F7*1000000000*G7*H7/I7</x:f>
        <x:v>4656872.7272727275</x:v>
      </x:c>
      <x:c r="K7" s="36" t="n">
        <x:f>Assumptions!$G$14</x:f>
        <x:v>2000</x:v>
      </x:c>
      <x:c r="L7" s="36" t="n">
        <x:f>Assumptions!$G$15</x:f>
        <x:v>0.85</x:v>
      </x:c>
      <x:c r="M7" s="36" t="n">
        <x:f>E7/86400/(K7*L7)</x:f>
        <x:v>1913024.237472767</x:v>
      </x:c>
      <x:c r="N7" s="36" t="n">
        <x:f>MAX(J7,M7)+IF($A6=$A7,$AQ6,0)</x:f>
        <x:v>4656872.7272727275</x:v>
      </x:c>
      <x:c r="O7" s="26" t="n">
        <x:f>Assumptions!$G$16</x:f>
        <x:v>80</x:v>
      </x:c>
      <x:c r="P7" s="29" t="n">
        <x:f>N7*O7/1000000</x:f>
        <x:v>372.5498181818182</x:v>
      </x:c>
      <x:c r="Q7" s="26" t="n">
        <x:f>XLOOKUP("COEF_COWOS_WPM_PER_ACCELERATOR",Assumptions!$A$14:$A$19,Assumptions!$B$14:$B$19)</x:f>
        <x:v>0.018</x:v>
      </x:c>
      <x:c r="R7" s="36" t="n">
        <x:f>N7*Q7</x:f>
        <x:v>83823.70909090909</x:v>
      </x:c>
      <x:c r="S7" s="26" t="n">
        <x:f>Assumptions!$G$17</x:f>
        <x:v>700</x:v>
      </x:c>
      <x:c r="T7" s="26" t="n">
        <x:f>Assumptions!$G$18</x:f>
        <x:v>1.3</x:v>
      </x:c>
      <x:c r="U7" s="26" t="n">
        <x:f>Assumptions!$G$19</x:f>
        <x:v>1.4</x:v>
      </x:c>
      <x:c r="V7" s="34" t="n">
        <x:f>N7*S7*T7*U7/1000000000</x:f>
        <x:v>5.932855854545455</x:v>
      </x:c>
      <x:c r="W7" s="26" t="n">
        <x:f>XLOOKUP("COEF_NETWORK_TBPS_PER_ACCELERATOR",Assumptions!$A$14:$A$19,Assumptions!$B$14:$B$19)</x:f>
        <x:v>0.0035</x:v>
      </x:c>
      <x:c r="X7" s="36" t="n">
        <x:f>N7*W7*(1+0.035*MAX(B7-2026,0))</x:f>
        <x:v>17439.988363636367</x:v>
      </x:c>
      <x:c r="Y7" s="26" t="n">
        <x:f>XLOOKUP("COEF_RAG_STORAGE_RATIO",Assumptions!$A$14:$A$19,Assumptions!$B$14:$B$19)</x:f>
        <x:v>0.34</x:v>
      </x:c>
      <x:c r="Z7" s="37" t="n">
        <x:f>E7*Y7*2/1000/1000000000</x:f>
        <x:v>191.0698</x:v>
      </x:c>
      <x:c r="AA7" s="38" t="n">
        <x:f>XLOOKUP(B7,Assumptions!$A$9:$A$11,Assumptions!$D$9:$D$11)*XLOOKUP(A7,Assumptions!$A$4:$A$6,Assumptions!$C$4:$C$6)</x:f>
        <x:v>7889290.267</x:v>
      </x:c>
      <x:c r="AB7" s="38" t="n">
        <x:f>XLOOKUP(B7,Assumptions!$A$9:$A$11,Assumptions!$E$9:$E$11)*XLOOKUP(A7,Assumptions!$A$4:$A$6,Assumptions!$C$4:$C$6)</x:f>
        <x:v>616.551</x:v>
      </x:c>
      <x:c r="AC7" s="38" t="n">
        <x:f>XLOOKUP(B7,Assumptions!$A$9:$A$11,Assumptions!$F$9:$F$11)*XLOOKUP(A7,Assumptions!$A$4:$A$6,Assumptions!$C$4:$C$6)</x:f>
        <x:v>189035.165</x:v>
      </x:c>
      <x:c r="AD7" s="38" t="n">
        <x:f>XLOOKUP(B7,Assumptions!$A$9:$A$11,Assumptions!$G$9:$G$11)*XLOOKUP(A7,Assumptions!$A$4:$A$6,Assumptions!$C$4:$C$6)</x:f>
        <x:v>11.525</x:v>
      </x:c>
      <x:c r="AE7" s="38" t="n">
        <x:f>XLOOKUP(B7,Assumptions!$A$9:$A$11,Assumptions!$H$9:$H$11)*XLOOKUP(A7,Assumptions!$A$4:$A$6,Assumptions!$C$4:$C$6)</x:f>
        <x:v>33519.658</x:v>
      </x:c>
      <x:c r="AF7" s="38" t="n">
        <x:f>XLOOKUP(B7,Assumptions!$A$9:$A$11,Assumptions!$I$9:$I$11)*XLOOKUP(A7,Assumptions!$A$4:$A$6,Assumptions!$C$4:$C$6)</x:f>
        <x:v>39916.8</x:v>
      </x:c>
      <x:c r="AG7" s="31" t="n">
        <x:f>N7/AA7</x:f>
        <x:v>0.5902777778061855</x:v>
      </x:c>
      <x:c r="AH7" s="31" t="n">
        <x:f>P7/AB7</x:f>
        <x:v>0.6042481776557302</x:v>
      </x:c>
      <x:c r="AI7" s="31" t="n">
        <x:f>R7/AC7</x:f>
        <x:v>0.4434291846752909</x:v>
      </x:c>
      <x:c r="AJ7" s="31" t="n">
        <x:f>V7/AD7</x:f>
        <x:v>0.5147814190494971</x:v>
      </x:c>
      <x:c r="AK7" s="31" t="n">
        <x:f>X7/AE7</x:f>
        <x:v>0.5202913574964388</x:v>
      </x:c>
      <x:c r="AL7" s="31" t="n">
        <x:f>Z7/AF7</x:f>
        <x:v>0.004786701338784671</x:v>
      </x:c>
      <x:c r="AM7" s="31" t="n">
        <x:f>MAX(AG7:AK7)</x:f>
        <x:v>0.6042481776557302</x:v>
      </x:c>
      <x:c r="AN7" s="26" t="str">
        <x:f>SUBSTITUTE(INDEX($AG$1:$AK$1,1,MATCH(AM7,AG7:AK7,0))," Gap","")</x:f>
        <x:v>HBM</x:v>
      </x:c>
      <x:c r="AO7" s="30" t="n">
        <x:f>MIN(1,1/AM7)</x:f>
        <x:v>1</x:v>
      </x:c>
      <x:c r="AP7" s="36" t="n">
        <x:f>N7*(1-AO7)</x:f>
        <x:v>0</x:v>
      </x:c>
      <x:c r="AQ7" s="36" t="n">
        <x:f>AP7*XLOOKUP(A7,Assumptions!$A$4:$A$6,Assumptions!$D$4:$D$6)</x:f>
        <x:v>0</x:v>
      </x:c>
      <x:c r="AR7" s="32" t="n">
        <x:f>MAX(80,100*(1+XLOOKUP(A7,Assumptions!$A$4:$A$6,Assumptions!$E$4:$E$6)*(EXP(MAX(AG7-1,0))-1)-0.25*MAX(1-AG7,0)))</x:f>
        <x:v>89.75694444515464</x:v>
      </x:c>
      <x:c r="AS7" s="32" t="n">
        <x:f>MAX(80,100*(1+XLOOKUP(A7,Assumptions!$A$4:$A$6,Assumptions!$E$4:$E$6)*(EXP(MAX(AH7-1,0))-1)-0.25*MAX(1-AH7,0)))</x:f>
        <x:v>90.10620444139326</x:v>
      </x:c>
      <x:c r="AT7" s="32" t="n">
        <x:f>MAX(80,100*(1+XLOOKUP(A7,Assumptions!$A$4:$A$6,Assumptions!$E$4:$E$6)*(EXP(MAX(AI7-1,0))-1)-0.25*MAX(1-AI7,0)))</x:f>
        <x:v>86.08572961688228</x:v>
      </x:c>
      <x:c r="AU7" s="32" t="n">
        <x:f>MAX(80,100*(1+XLOOKUP(A7,Assumptions!$A$4:$A$6,Assumptions!$E$4:$E$6)*(EXP(MAX(AJ7-1,0))-1)-0.25*MAX(1-AJ7,0)))</x:f>
        <x:v>87.86953547623743</x:v>
      </x:c>
      <x:c r="AV7" s="32" t="n">
        <x:f>MAX(80,100*(1+XLOOKUP(A7,Assumptions!$A$4:$A$6,Assumptions!$E$4:$E$6)*(EXP(MAX(AK7-1,0))-1)-0.25*MAX(1-AK7,0)))</x:f>
        <x:v>88.00728393741097</x:v>
      </x:c>
      <x:c r="AW7" s="26" t="str">
        <x:f>A7&amp;"|"&amp;B7</x:f>
        <x:v>base|2028</x:v>
      </x:c>
    </x:row>
    <x:row r="8">
      <x:c r="A8" s="26" t="str">
        <x:v>bull</x:v>
      </x:c>
      <x:c r="B8" s="26" t="n">
        <x:v>2026</x:v>
      </x:c>
      <x:c r="C8" s="33" t="n">
        <x:f>XLOOKUP($B8,Assumptions!$A$9:$A$11,Assumptions!$B$9:$B$11)</x:f>
        <x:v>112700000000000</x:v>
      </x:c>
      <x:c r="D8" s="34" t="n">
        <x:f>XLOOKUP($A8,Assumptions!$A$4:$A$6,Assumptions!$B$4:$B$6)</x:f>
        <x:v>1.32</x:v>
      </x:c>
      <x:c r="E8" s="34" t="n">
        <x:f>C8*D8</x:f>
        <x:v>148764000000000</x:v>
      </x:c>
      <x:c r="F8" s="34" t="n">
        <x:f>XLOOKUP($B8,Assumptions!$A$9:$A$11,Assumptions!$C$9:$C$11)</x:f>
        <x:v>765</x:v>
      </x:c>
      <x:c r="G8" s="34" t="n">
        <x:f>XLOOKUP("COEF_CAPEX_AI_INFRA_SHARE",Assumptions!$A$14:$A$19,Assumptions!$B$14:$B$19)</x:f>
        <x:v>0.58</x:v>
      </x:c>
      <x:c r="H8" s="34" t="n">
        <x:f>XLOOKUP("COEF_CAPEX_ACCELERATOR_SHARE",Assumptions!$A$14:$A$19,Assumptions!$B$14:$B$19)</x:f>
        <x:v>0.46</x:v>
      </x:c>
      <x:c r="I8" s="35" t="n">
        <x:f>XLOOKUP("COEF_AVG_ACCELERATOR_ASP_USD",Assumptions!$A$14:$A$19,Assumptions!$B$14:$B$19)</x:f>
        <x:v>55000</x:v>
      </x:c>
      <x:c r="J8" s="36" t="n">
        <x:f>F8*1000000000*G8*H8/I8</x:f>
        <x:v>3710945.454545454</x:v>
      </x:c>
      <x:c r="K8" s="36" t="n">
        <x:f>Assumptions!$G$14</x:f>
        <x:v>2000</x:v>
      </x:c>
      <x:c r="L8" s="36" t="n">
        <x:f>Assumptions!$G$15</x:f>
        <x:v>0.85</x:v>
      </x:c>
      <x:c r="M8" s="36" t="n">
        <x:f>E8/86400/(K8*L8)</x:f>
        <x:v>1012826.7973856209</x:v>
      </x:c>
      <x:c r="N8" s="36" t="n">
        <x:f>MAX(J8,M8)+IF($A7=$A8,$AQ7,0)</x:f>
        <x:v>3710945.454545454</x:v>
      </x:c>
      <x:c r="O8" s="26" t="n">
        <x:f>Assumptions!$G$16</x:f>
        <x:v>80</x:v>
      </x:c>
      <x:c r="P8" s="29" t="n">
        <x:f>N8*O8/1000000</x:f>
        <x:v>296.8756363636363</x:v>
      </x:c>
      <x:c r="Q8" s="26" t="n">
        <x:f>XLOOKUP("COEF_COWOS_WPM_PER_ACCELERATOR",Assumptions!$A$14:$A$19,Assumptions!$B$14:$B$19)</x:f>
        <x:v>0.018</x:v>
      </x:c>
      <x:c r="R8" s="36" t="n">
        <x:f>N8*Q8</x:f>
        <x:v>66797.01818181817</x:v>
      </x:c>
      <x:c r="S8" s="26" t="n">
        <x:f>Assumptions!$G$17</x:f>
        <x:v>700</x:v>
      </x:c>
      <x:c r="T8" s="26" t="n">
        <x:f>Assumptions!$G$18</x:f>
        <x:v>1.3</x:v>
      </x:c>
      <x:c r="U8" s="26" t="n">
        <x:f>Assumptions!$G$19</x:f>
        <x:v>1.4</x:v>
      </x:c>
      <x:c r="V8" s="34" t="n">
        <x:f>N8*S8*T8*U8/1000000000</x:f>
        <x:v>4.727744509090909</x:v>
      </x:c>
      <x:c r="W8" s="26" t="n">
        <x:f>XLOOKUP("COEF_NETWORK_TBPS_PER_ACCELERATOR",Assumptions!$A$14:$A$19,Assumptions!$B$14:$B$19)</x:f>
        <x:v>0.0035</x:v>
      </x:c>
      <x:c r="X8" s="36" t="n">
        <x:f>N8*W8*(1+0.035*MAX(B8-2026,0))</x:f>
        <x:v>12988.30909090909</x:v>
      </x:c>
      <x:c r="Y8" s="26" t="n">
        <x:f>XLOOKUP("COEF_RAG_STORAGE_RATIO",Assumptions!$A$14:$A$19,Assumptions!$B$14:$B$19)</x:f>
        <x:v>0.34</x:v>
      </x:c>
      <x:c r="Z8" s="37" t="n">
        <x:f>E8*Y8*2/1000/1000000000</x:f>
        <x:v>101.15952</x:v>
      </x:c>
      <x:c r="AA8" s="38" t="n">
        <x:f>XLOOKUP(B8,Assumptions!$A$9:$A$11,Assumptions!$D$9:$D$11)*XLOOKUP(A8,Assumptions!$A$4:$A$6,Assumptions!$C$4:$C$6)</x:f>
        <x:v>4627767.27292</x:v>
      </x:c>
      <x:c r="AB8" s="38" t="n">
        <x:f>XLOOKUP(B8,Assumptions!$A$9:$A$11,Assumptions!$E$9:$E$11)*XLOOKUP(A8,Assumptions!$A$4:$A$6,Assumptions!$C$4:$C$6)</x:f>
        <x:v>317.86644000000007</x:v>
      </x:c>
      <x:c r="AC8" s="38" t="n">
        <x:f>XLOOKUP(B8,Assumptions!$A$9:$A$11,Assumptions!$F$9:$F$11)*XLOOKUP(A8,Assumptions!$A$4:$A$6,Assumptions!$C$4:$C$6)</x:f>
        <x:v>107280.05918000001</x:v>
      </x:c>
      <x:c r="AD8" s="38" t="n">
        <x:f>XLOOKUP(B8,Assumptions!$A$9:$A$11,Assumptions!$G$9:$G$11)*XLOOKUP(A8,Assumptions!$A$4:$A$6,Assumptions!$C$4:$C$6)</x:f>
        <x:v>5.76004</x:v>
      </x:c>
      <x:c r="AE8" s="38" t="n">
        <x:f>XLOOKUP(B8,Assumptions!$A$9:$A$11,Assumptions!$H$9:$H$11)*XLOOKUP(A8,Assumptions!$A$4:$A$6,Assumptions!$C$4:$C$6)</x:f>
        <x:v>17209.50916</x:v>
      </x:c>
      <x:c r="AF8" s="38" t="n">
        <x:f>XLOOKUP(B8,Assumptions!$A$9:$A$11,Assumptions!$I$9:$I$11)*XLOOKUP(A8,Assumptions!$A$4:$A$6,Assumptions!$C$4:$C$6)</x:f>
        <x:v>29383.2</x:v>
      </x:c>
      <x:c r="AG8" s="31" t="n">
        <x:f>N8/AA8</x:f>
        <x:v>0.8018867924194348</x:v>
      </x:c>
      <x:c r="AH8" s="31" t="n">
        <x:f>P8/AB8</x:f>
        <x:v>0.9339634481816836</x:v>
      </x:c>
      <x:c r="AI8" s="31" t="n">
        <x:f>R8/AC8</x:f>
        <x:v>0.6226415113151895</x:v>
      </x:c>
      <x:c r="AJ8" s="31" t="n">
        <x:f>V8/AD8</x:f>
        <x:v>0.8207832773888566</x:v>
      </x:c>
      <x:c r="AK8" s="31" t="n">
        <x:f>X8/AE8</x:f>
        <x:v>0.7547169980360491</x:v>
      </x:c>
      <x:c r="AL8" s="31" t="n">
        <x:f>Z8/AF8</x:f>
        <x:v>0.003442767295597484</x:v>
      </x:c>
      <x:c r="AM8" s="31" t="n">
        <x:f>MAX(AG8:AK8)</x:f>
        <x:v>0.9339634481816836</x:v>
      </x:c>
      <x:c r="AN8" s="26" t="str">
        <x:f>SUBSTITUTE(INDEX($AG$1:$AK$1,1,MATCH(AM8,AG8:AK8,0))," Gap","")</x:f>
        <x:v>HBM</x:v>
      </x:c>
      <x:c r="AO8" s="30" t="n">
        <x:f>MIN(1,1/AM8)</x:f>
        <x:v>1</x:v>
      </x:c>
      <x:c r="AP8" s="36" t="n">
        <x:f>N8*(1-AO8)</x:f>
        <x:v>0</x:v>
      </x:c>
      <x:c r="AQ8" s="36" t="n">
        <x:f>AP8*XLOOKUP(A8,Assumptions!$A$4:$A$6,Assumptions!$D$4:$D$6)</x:f>
        <x:v>0</x:v>
      </x:c>
      <x:c r="AR8" s="32" t="n">
        <x:f>MAX(80,100*(1+XLOOKUP(A8,Assumptions!$A$4:$A$6,Assumptions!$E$4:$E$6)*(EXP(MAX(AG8-1,0))-1)-0.25*MAX(1-AG8,0)))</x:f>
        <x:v>95.04716981048587</x:v>
      </x:c>
      <x:c r="AS8" s="32" t="n">
        <x:f>MAX(80,100*(1+XLOOKUP(A8,Assumptions!$A$4:$A$6,Assumptions!$E$4:$E$6)*(EXP(MAX(AH8-1,0))-1)-0.25*MAX(1-AH8,0)))</x:f>
        <x:v>98.34908620454209</x:v>
      </x:c>
      <x:c r="AT8" s="32" t="n">
        <x:f>MAX(80,100*(1+XLOOKUP(A8,Assumptions!$A$4:$A$6,Assumptions!$E$4:$E$6)*(EXP(MAX(AI8-1,0))-1)-0.25*MAX(1-AI8,0)))</x:f>
        <x:v>90.56603778287973</x:v>
      </x:c>
      <x:c r="AU8" s="32" t="n">
        <x:f>MAX(80,100*(1+XLOOKUP(A8,Assumptions!$A$4:$A$6,Assumptions!$E$4:$E$6)*(EXP(MAX(AJ8-1,0))-1)-0.25*MAX(1-AJ8,0)))</x:f>
        <x:v>95.51958193472142</x:v>
      </x:c>
      <x:c r="AV8" s="32" t="n">
        <x:f>MAX(80,100*(1+XLOOKUP(A8,Assumptions!$A$4:$A$6,Assumptions!$E$4:$E$6)*(EXP(MAX(AK8-1,0))-1)-0.25*MAX(1-AK8,0)))</x:f>
        <x:v>93.86792495090123</x:v>
      </x:c>
      <x:c r="AW8" s="26" t="str">
        <x:f>A8&amp;"|"&amp;B8</x:f>
        <x:v>bull|2026</x:v>
      </x:c>
    </x:row>
    <x:row r="9">
      <x:c r="A9" s="26" t="str">
        <x:v>bull</x:v>
      </x:c>
      <x:c r="B9" s="26" t="n">
        <x:v>2027</x:v>
      </x:c>
      <x:c r="C9" s="33" t="n">
        <x:f>XLOOKUP($B9,Assumptions!$A$9:$A$11,Assumptions!$B$9:$B$11)</x:f>
        <x:v>177430000000000</x:v>
      </x:c>
      <x:c r="D9" s="34" t="n">
        <x:f>XLOOKUP($A9,Assumptions!$A$4:$A$6,Assumptions!$B$4:$B$6)</x:f>
        <x:v>1.32</x:v>
      </x:c>
      <x:c r="E9" s="34" t="n">
        <x:f>C9*D9</x:f>
        <x:v>234207600000000</x:v>
      </x:c>
      <x:c r="F9" s="34" t="n">
        <x:f>XLOOKUP($B9,Assumptions!$A$9:$A$11,Assumptions!$C$9:$C$11)</x:f>
        <x:v>960</x:v>
      </x:c>
      <x:c r="G9" s="34" t="n">
        <x:f>XLOOKUP("COEF_CAPEX_AI_INFRA_SHARE",Assumptions!$A$14:$A$19,Assumptions!$B$14:$B$19)</x:f>
        <x:v>0.58</x:v>
      </x:c>
      <x:c r="H9" s="34" t="n">
        <x:f>XLOOKUP("COEF_CAPEX_ACCELERATOR_SHARE",Assumptions!$A$14:$A$19,Assumptions!$B$14:$B$19)</x:f>
        <x:v>0.46</x:v>
      </x:c>
      <x:c r="I9" s="35" t="n">
        <x:f>XLOOKUP("COEF_AVG_ACCELERATOR_ASP_USD",Assumptions!$A$14:$A$19,Assumptions!$B$14:$B$19)</x:f>
        <x:v>55000</x:v>
      </x:c>
      <x:c r="J9" s="36" t="n">
        <x:f>F9*1000000000*G9*H9/I9</x:f>
        <x:v>4656872.7272727275</x:v>
      </x:c>
      <x:c r="K9" s="36" t="n">
        <x:f>Assumptions!$G$14</x:f>
        <x:v>2000</x:v>
      </x:c>
      <x:c r="L9" s="36" t="n">
        <x:f>Assumptions!$G$15</x:f>
        <x:v>0.85</x:v>
      </x:c>
      <x:c r="M9" s="36" t="n">
        <x:f>E9/86400/(K9*L9)</x:f>
        <x:v>1594550.6535947712</x:v>
      </x:c>
      <x:c r="N9" s="36" t="n">
        <x:f>MAX(J9,M9)+IF($A8=$A9,$AQ8,0)</x:f>
        <x:v>4656872.7272727275</x:v>
      </x:c>
      <x:c r="O9" s="26" t="n">
        <x:f>Assumptions!$G$16</x:f>
        <x:v>80</x:v>
      </x:c>
      <x:c r="P9" s="29" t="n">
        <x:f>N9*O9/1000000</x:f>
        <x:v>372.5498181818182</x:v>
      </x:c>
      <x:c r="Q9" s="26" t="n">
        <x:f>XLOOKUP("COEF_COWOS_WPM_PER_ACCELERATOR",Assumptions!$A$14:$A$19,Assumptions!$B$14:$B$19)</x:f>
        <x:v>0.018</x:v>
      </x:c>
      <x:c r="R9" s="36" t="n">
        <x:f>N9*Q9</x:f>
        <x:v>83823.70909090909</x:v>
      </x:c>
      <x:c r="S9" s="26" t="n">
        <x:f>Assumptions!$G$17</x:f>
        <x:v>700</x:v>
      </x:c>
      <x:c r="T9" s="26" t="n">
        <x:f>Assumptions!$G$18</x:f>
        <x:v>1.3</x:v>
      </x:c>
      <x:c r="U9" s="26" t="n">
        <x:f>Assumptions!$G$19</x:f>
        <x:v>1.4</x:v>
      </x:c>
      <x:c r="V9" s="34" t="n">
        <x:f>N9*S9*T9*U9/1000000000</x:f>
        <x:v>5.932855854545455</x:v>
      </x:c>
      <x:c r="W9" s="26" t="n">
        <x:f>XLOOKUP("COEF_NETWORK_TBPS_PER_ACCELERATOR",Assumptions!$A$14:$A$19,Assumptions!$B$14:$B$19)</x:f>
        <x:v>0.0035</x:v>
      </x:c>
      <x:c r="X9" s="36" t="n">
        <x:f>N9*W9*(1+0.035*MAX(B9-2026,0))</x:f>
        <x:v>16869.521454545455</x:v>
      </x:c>
      <x:c r="Y9" s="26" t="n">
        <x:f>XLOOKUP("COEF_RAG_STORAGE_RATIO",Assumptions!$A$14:$A$19,Assumptions!$B$14:$B$19)</x:f>
        <x:v>0.34</x:v>
      </x:c>
      <x:c r="Z9" s="37" t="n">
        <x:f>E9*Y9*2/1000/1000000000</x:f>
        <x:v>159.261168</x:v>
      </x:c>
      <x:c r="AA9" s="38" t="n">
        <x:f>XLOOKUP(B9,Assumptions!$A$9:$A$11,Assumptions!$D$9:$D$11)*XLOOKUP(A9,Assumptions!$A$4:$A$6,Assumptions!$C$4:$C$6)</x:f>
        <x:v>6968873.06936</x:v>
      </x:c>
      <x:c r="AB9" s="38" t="n">
        <x:f>XLOOKUP(B9,Assumptions!$A$9:$A$11,Assumptions!$E$9:$E$11)*XLOOKUP(A9,Assumptions!$A$4:$A$6,Assumptions!$C$4:$C$6)</x:f>
        <x:v>510.58186</x:v>
      </x:c>
      <x:c r="AC9" s="38" t="n">
        <x:f>XLOOKUP(B9,Assumptions!$A$9:$A$11,Assumptions!$F$9:$F$11)*XLOOKUP(A9,Assumptions!$A$4:$A$6,Assumptions!$C$4:$C$6)</x:f>
        <x:v>164243.66736000002</x:v>
      </x:c>
      <x:c r="AD9" s="38" t="n">
        <x:f>XLOOKUP(B9,Assumptions!$A$9:$A$11,Assumptions!$G$9:$G$11)*XLOOKUP(A9,Assumptions!$A$4:$A$6,Assumptions!$C$4:$C$6)</x:f>
        <x:v>9.3969</x:v>
      </x:c>
      <x:c r="AE9" s="38" t="n">
        <x:f>XLOOKUP(B9,Assumptions!$A$9:$A$11,Assumptions!$H$9:$H$11)*XLOOKUP(A9,Assumptions!$A$4:$A$6,Assumptions!$C$4:$C$6)</x:f>
        <x:v>27716.623480000002</x:v>
      </x:c>
      <x:c r="AF9" s="38" t="n">
        <x:f>XLOOKUP(B9,Assumptions!$A$9:$A$11,Assumptions!$I$9:$I$11)*XLOOKUP(A9,Assumptions!$A$4:$A$6,Assumptions!$C$4:$C$6)</x:f>
        <x:v>35259.840000000004</x:v>
      </x:c>
      <x:c r="AG9" s="31" t="n">
        <x:f>N9/AA9</x:f>
        <x:v>0.668238993725911</x:v>
      </x:c>
      <x:c r="AH9" s="31" t="n">
        <x:f>P9/AB9</x:f>
        <x:v>0.7296573720457248</x:v>
      </x:c>
      <x:c r="AI9" s="31" t="n">
        <x:f>R9/AC9</x:f>
        <x:v>0.5103618936319706</x:v>
      </x:c>
      <x:c r="AJ9" s="31" t="n">
        <x:f>V9/AD9</x:f>
        <x:v>0.6313630936314587</x:v>
      </x:c>
      <x:c r="AK9" s="31" t="n">
        <x:f>X9/AE9</x:f>
        <x:v>0.6086427326444834</x:v>
      </x:c>
      <x:c r="AL9" s="31" t="n">
        <x:f>Z9/AF9</x:f>
        <x:v>0.004516786463012877</x:v>
      </x:c>
      <x:c r="AM9" s="31" t="n">
        <x:f>MAX(AG9:AK9)</x:f>
        <x:v>0.7296573720457248</x:v>
      </x:c>
      <x:c r="AN9" s="26" t="str">
        <x:f>SUBSTITUTE(INDEX($AG$1:$AK$1,1,MATCH(AM9,AG9:AK9,0))," Gap","")</x:f>
        <x:v>HBM</x:v>
      </x:c>
      <x:c r="AO9" s="30" t="n">
        <x:f>MIN(1,1/AM9)</x:f>
        <x:v>1</x:v>
      </x:c>
      <x:c r="AP9" s="36" t="n">
        <x:f>N9*(1-AO9)</x:f>
        <x:v>0</x:v>
      </x:c>
      <x:c r="AQ9" s="36" t="n">
        <x:f>AP9*XLOOKUP(A9,Assumptions!$A$4:$A$6,Assumptions!$D$4:$D$6)</x:f>
        <x:v>0</x:v>
      </x:c>
      <x:c r="AR9" s="32" t="n">
        <x:f>MAX(80,100*(1+XLOOKUP(A9,Assumptions!$A$4:$A$6,Assumptions!$E$4:$E$6)*(EXP(MAX(AG9-1,0))-1)-0.25*MAX(1-AG9,0)))</x:f>
        <x:v>91.70597484314777</x:v>
      </x:c>
      <x:c r="AS9" s="32" t="n">
        <x:f>MAX(80,100*(1+XLOOKUP(A9,Assumptions!$A$4:$A$6,Assumptions!$E$4:$E$6)*(EXP(MAX(AH9-1,0))-1)-0.25*MAX(1-AH9,0)))</x:f>
        <x:v>93.24143430114312</x:v>
      </x:c>
      <x:c r="AT9" s="32" t="n">
        <x:f>MAX(80,100*(1+XLOOKUP(A9,Assumptions!$A$4:$A$6,Assumptions!$E$4:$E$6)*(EXP(MAX(AI9-1,0))-1)-0.25*MAX(1-AI9,0)))</x:f>
        <x:v>87.75904734079927</x:v>
      </x:c>
      <x:c r="AU9" s="32" t="n">
        <x:f>MAX(80,100*(1+XLOOKUP(A9,Assumptions!$A$4:$A$6,Assumptions!$E$4:$E$6)*(EXP(MAX(AJ9-1,0))-1)-0.25*MAX(1-AJ9,0)))</x:f>
        <x:v>90.78407734078647</x:v>
      </x:c>
      <x:c r="AV9" s="32" t="n">
        <x:f>MAX(80,100*(1+XLOOKUP(A9,Assumptions!$A$4:$A$6,Assumptions!$E$4:$E$6)*(EXP(MAX(AK9-1,0))-1)-0.25*MAX(1-AK9,0)))</x:f>
        <x:v>90.21606831611209</x:v>
      </x:c>
      <x:c r="AW9" s="26" t="str">
        <x:f>A9&amp;"|"&amp;B9</x:f>
        <x:v>bull|2027</x:v>
      </x:c>
    </x:row>
    <x:row r="10">
      <x:c r="A10" s="26" t="str">
        <x:v>bull</x:v>
      </x:c>
      <x:c r="B10" s="26" t="n">
        <x:v>2028</x:v>
      </x:c>
      <x:c r="C10" s="33" t="n">
        <x:f>XLOOKUP($B10,Assumptions!$A$9:$A$11,Assumptions!$B$9:$B$11)</x:f>
        <x:v>280985000000000</x:v>
      </x:c>
      <x:c r="D10" s="34" t="n">
        <x:f>XLOOKUP($A10,Assumptions!$A$4:$A$6,Assumptions!$B$4:$B$6)</x:f>
        <x:v>1.32</x:v>
      </x:c>
      <x:c r="E10" s="34" t="n">
        <x:f>C10*D10</x:f>
        <x:v>370900200000000</x:v>
      </x:c>
      <x:c r="F10" s="34" t="n">
        <x:f>XLOOKUP($B10,Assumptions!$A$9:$A$11,Assumptions!$C$9:$C$11)</x:f>
        <x:v>960</x:v>
      </x:c>
      <x:c r="G10" s="34" t="n">
        <x:f>XLOOKUP("COEF_CAPEX_AI_INFRA_SHARE",Assumptions!$A$14:$A$19,Assumptions!$B$14:$B$19)</x:f>
        <x:v>0.58</x:v>
      </x:c>
      <x:c r="H10" s="34" t="n">
        <x:f>XLOOKUP("COEF_CAPEX_ACCELERATOR_SHARE",Assumptions!$A$14:$A$19,Assumptions!$B$14:$B$19)</x:f>
        <x:v>0.46</x:v>
      </x:c>
      <x:c r="I10" s="35" t="n">
        <x:f>XLOOKUP("COEF_AVG_ACCELERATOR_ASP_USD",Assumptions!$A$14:$A$19,Assumptions!$B$14:$B$19)</x:f>
        <x:v>55000</x:v>
      </x:c>
      <x:c r="J10" s="36" t="n">
        <x:f>F10*1000000000*G10*H10/I10</x:f>
        <x:v>4656872.7272727275</x:v>
      </x:c>
      <x:c r="K10" s="36" t="n">
        <x:f>Assumptions!$G$14</x:f>
        <x:v>2000</x:v>
      </x:c>
      <x:c r="L10" s="36" t="n">
        <x:f>Assumptions!$G$15</x:f>
        <x:v>0.85</x:v>
      </x:c>
      <x:c r="M10" s="36" t="n">
        <x:f>E10/86400/(K10*L10)</x:f>
        <x:v>2525191.993464052</x:v>
      </x:c>
      <x:c r="N10" s="36" t="n">
        <x:f>MAX(J10,M10)+IF($A9=$A10,$AQ9,0)</x:f>
        <x:v>4656872.7272727275</x:v>
      </x:c>
      <x:c r="O10" s="26" t="n">
        <x:f>Assumptions!$G$16</x:f>
        <x:v>80</x:v>
      </x:c>
      <x:c r="P10" s="29" t="n">
        <x:f>N10*O10/1000000</x:f>
        <x:v>372.5498181818182</x:v>
      </x:c>
      <x:c r="Q10" s="26" t="n">
        <x:f>XLOOKUP("COEF_COWOS_WPM_PER_ACCELERATOR",Assumptions!$A$14:$A$19,Assumptions!$B$14:$B$19)</x:f>
        <x:v>0.018</x:v>
      </x:c>
      <x:c r="R10" s="36" t="n">
        <x:f>N10*Q10</x:f>
        <x:v>83823.70909090909</x:v>
      </x:c>
      <x:c r="S10" s="26" t="n">
        <x:f>Assumptions!$G$17</x:f>
        <x:v>700</x:v>
      </x:c>
      <x:c r="T10" s="26" t="n">
        <x:f>Assumptions!$G$18</x:f>
        <x:v>1.3</x:v>
      </x:c>
      <x:c r="U10" s="26" t="n">
        <x:f>Assumptions!$G$19</x:f>
        <x:v>1.4</x:v>
      </x:c>
      <x:c r="V10" s="34" t="n">
        <x:f>N10*S10*T10*U10/1000000000</x:f>
        <x:v>5.932855854545455</x:v>
      </x:c>
      <x:c r="W10" s="26" t="n">
        <x:f>XLOOKUP("COEF_NETWORK_TBPS_PER_ACCELERATOR",Assumptions!$A$14:$A$19,Assumptions!$B$14:$B$19)</x:f>
        <x:v>0.0035</x:v>
      </x:c>
      <x:c r="X10" s="36" t="n">
        <x:f>N10*W10*(1+0.035*MAX(B10-2026,0))</x:f>
        <x:v>17439.988363636367</x:v>
      </x:c>
      <x:c r="Y10" s="26" t="n">
        <x:f>XLOOKUP("COEF_RAG_STORAGE_RATIO",Assumptions!$A$14:$A$19,Assumptions!$B$14:$B$19)</x:f>
        <x:v>0.34</x:v>
      </x:c>
      <x:c r="Z10" s="37" t="n">
        <x:f>E10*Y10*2/1000/1000000000</x:f>
        <x:v>252.21213600000004</x:v>
      </x:c>
      <x:c r="AA10" s="38" t="n">
        <x:f>XLOOKUP(B10,Assumptions!$A$9:$A$11,Assumptions!$D$9:$D$11)*XLOOKUP(A10,Assumptions!$A$4:$A$6,Assumptions!$C$4:$C$6)</x:f>
        <x:v>8362647.68302</x:v>
      </x:c>
      <x:c r="AB10" s="38" t="n">
        <x:f>XLOOKUP(B10,Assumptions!$A$9:$A$11,Assumptions!$E$9:$E$11)*XLOOKUP(A10,Assumptions!$A$4:$A$6,Assumptions!$C$4:$C$6)</x:f>
        <x:v>653.5440600000001</x:v>
      </x:c>
      <x:c r="AC10" s="38" t="n">
        <x:f>XLOOKUP(B10,Assumptions!$A$9:$A$11,Assumptions!$F$9:$F$11)*XLOOKUP(A10,Assumptions!$A$4:$A$6,Assumptions!$C$4:$C$6)</x:f>
        <x:v>200377.27490000002</x:v>
      </x:c>
      <x:c r="AD10" s="38" t="n">
        <x:f>XLOOKUP(B10,Assumptions!$A$9:$A$11,Assumptions!$G$9:$G$11)*XLOOKUP(A10,Assumptions!$A$4:$A$6,Assumptions!$C$4:$C$6)</x:f>
        <x:v>12.216500000000002</x:v>
      </x:c>
      <x:c r="AE10" s="38" t="n">
        <x:f>XLOOKUP(B10,Assumptions!$A$9:$A$11,Assumptions!$H$9:$H$11)*XLOOKUP(A10,Assumptions!$A$4:$A$6,Assumptions!$C$4:$C$6)</x:f>
        <x:v>35530.83748</x:v>
      </x:c>
      <x:c r="AF10" s="38" t="n">
        <x:f>XLOOKUP(B10,Assumptions!$A$9:$A$11,Assumptions!$I$9:$I$11)*XLOOKUP(A10,Assumptions!$A$4:$A$6,Assumptions!$C$4:$C$6)</x:f>
        <x:v>42311.808000000005</x:v>
      </x:c>
      <x:c r="AG10" s="31" t="n">
        <x:f>N10/AA10</x:f>
        <x:v>0.5568658281190428</x:v>
      </x:c>
      <x:c r="AH10" s="31" t="n">
        <x:f>P10/AB10</x:f>
        <x:v>0.5700454506186134</x:v>
      </x:c>
      <x:c r="AI10" s="31" t="n">
        <x:f>R10/AC10</x:f>
        <x:v>0.4183294195049914</x:v>
      </x:c>
      <x:c r="AJ10" s="31" t="n">
        <x:f>V10/AD10</x:f>
        <x:v>0.48564284815990294</x:v>
      </x:c>
      <x:c r="AK10" s="31" t="n">
        <x:f>X10/AE10</x:f>
        <x:v>0.4908409032985272</x:v>
      </x:c>
      <x:c r="AL10" s="31" t="n">
        <x:f>Z10/AF10</x:f>
        <x:v>0.005960797893580913</x:v>
      </x:c>
      <x:c r="AM10" s="31" t="n">
        <x:f>MAX(AG10:AK10)</x:f>
        <x:v>0.5700454506186134</x:v>
      </x:c>
      <x:c r="AN10" s="26" t="str">
        <x:f>SUBSTITUTE(INDEX($AG$1:$AK$1,1,MATCH(AM10,AG10:AK10,0))," Gap","")</x:f>
        <x:v>HBM</x:v>
      </x:c>
      <x:c r="AO10" s="30" t="n">
        <x:f>MIN(1,1/AM10)</x:f>
        <x:v>1</x:v>
      </x:c>
      <x:c r="AP10" s="36" t="n">
        <x:f>N10*(1-AO10)</x:f>
        <x:v>0</x:v>
      </x:c>
      <x:c r="AQ10" s="36" t="n">
        <x:f>AP10*XLOOKUP(A10,Assumptions!$A$4:$A$6,Assumptions!$D$4:$D$6)</x:f>
        <x:v>0</x:v>
      </x:c>
      <x:c r="AR10" s="32" t="n">
        <x:f>MAX(80,100*(1+XLOOKUP(A10,Assumptions!$A$4:$A$6,Assumptions!$E$4:$E$6)*(EXP(MAX(AG10-1,0))-1)-0.25*MAX(1-AG10,0)))</x:f>
        <x:v>88.92164570297606</x:v>
      </x:c>
      <x:c r="AS10" s="32" t="n">
        <x:f>MAX(80,100*(1+XLOOKUP(A10,Assumptions!$A$4:$A$6,Assumptions!$E$4:$E$6)*(EXP(MAX(AH10-1,0))-1)-0.25*MAX(1-AH10,0)))</x:f>
        <x:v>89.25113626546533</x:v>
      </x:c>
      <x:c r="AT10" s="32" t="n">
        <x:f>MAX(80,100*(1+XLOOKUP(A10,Assumptions!$A$4:$A$6,Assumptions!$E$4:$E$6)*(EXP(MAX(AI10-1,0))-1)-0.25*MAX(1-AI10,0)))</x:f>
        <x:v>85.45823548762479</x:v>
      </x:c>
      <x:c r="AU10" s="32" t="n">
        <x:f>MAX(80,100*(1+XLOOKUP(A10,Assumptions!$A$4:$A$6,Assumptions!$E$4:$E$6)*(EXP(MAX(AJ10-1,0))-1)-0.25*MAX(1-AJ10,0)))</x:f>
        <x:v>87.14107120399757</x:v>
      </x:c>
      <x:c r="AV10" s="32" t="n">
        <x:f>MAX(80,100*(1+XLOOKUP(A10,Assumptions!$A$4:$A$6,Assumptions!$E$4:$E$6)*(EXP(MAX(AK10-1,0))-1)-0.25*MAX(1-AK10,0)))</x:f>
        <x:v>87.27102258246317</x:v>
      </x:c>
      <x:c r="AW10" s="26" t="str">
        <x:f>A10&amp;"|"&amp;B10</x:f>
        <x:v>bull|2028</x:v>
      </x:c>
    </x:row>
  </x:sheetData>
  <x:conditionalFormatting sqref="AG2:AK10">
    <x:cfRule type="colorScale" priority="1">
      <x:colorScale>
        <x:cfvo type="num" val="0.7"/>
        <x:cfvo type="num" val="1"/>
        <x:cfvo type="num" val="1.3"/>
        <x:color rgb="B7E4C7"/>
        <x:color rgb="FFE066"/>
        <x:color rgb="F03E3E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.700000762939453" hidden="0" customWidth="1"/>
    <x:col min="2" max="2" width="15.34000015258789" hidden="0" customWidth="1"/>
    <x:col min="3" max="3" width="16.559999465942383" hidden="0" customWidth="1"/>
    <x:col min="4" max="4" width="15.34000015258789" hidden="0" customWidth="1"/>
    <x:col min="5" max="5" width="14.109999656677246" hidden="0" customWidth="1"/>
    <x:col min="6" max="6" width="26.3799991607666" hidden="0" customWidth="1"/>
    <x:col min="7" max="7" width="12.880000114440918" hidden="0" customWidth="1"/>
    <x:col min="8" max="8" width="11.65999984741211" hidden="0" customWidth="1"/>
    <x:col min="9" max="9" width="28.829999923706055" hidden="0" customWidth="1"/>
    <x:col min="10" max="10" width="31.290000915527344" hidden="0" customWidth="1"/>
  </x:cols>
  <x:sheetData>
    <x:row r="1" ht="25.5" customHeight="1">
      <x:c r="A1" s="25" t="str">
        <x:v>AI SCM Supply-Demand Simulator - Assumptions</x:v>
      </x:c>
      <x:c r="B1" s="25" t="str">
        <x:v>AI SCM Supply-Demand Simulator - Assumptions</x:v>
      </x:c>
      <x:c r="C1" s="25" t="str">
        <x:v>AI SCM Supply-Demand Simulator - Assumptions</x:v>
      </x:c>
      <x:c r="D1" s="25" t="str">
        <x:v>AI SCM Supply-Demand Simulator - Assumptions</x:v>
      </x:c>
      <x:c r="E1" s="25" t="str">
        <x:v>AI SCM Supply-Demand Simulator - Assumptions</x:v>
      </x:c>
      <x:c r="F1" s="25" t="str">
        <x:v>AI SCM Supply-Demand Simulator - Assumptions</x:v>
      </x:c>
      <x:c r="G1" s="25" t="str">
        <x:v>AI SCM Supply-Demand Simulator - Assumptions</x:v>
      </x:c>
      <x:c r="H1" s="25" t="str">
        <x:v>AI SCM Supply-Demand Simulator - Assumptions</x:v>
      </x:c>
      <x:c r="I1" s="25" t="str">
        <x:v>AI SCM Supply-Demand Simulator - Assumptions</x:v>
      </x:c>
      <x:c r="J1" s="39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  <x:c r="AA1" s="23"/>
      <x:c r="AB1" s="23"/>
      <x:c r="AC1" s="23"/>
      <x:c r="AD1" s="23"/>
      <x:c r="AE1" s="23"/>
      <x:c r="AF1" s="23"/>
      <x:c r="AG1" s="23"/>
      <x:c r="AH1" s="23"/>
      <x:c r="AI1" s="23"/>
      <x:c r="AJ1" s="23"/>
      <x:c r="AK1" s="23"/>
      <x:c r="AL1" s="23"/>
      <x:c r="AM1" s="23"/>
      <x:c r="AN1" s="23"/>
      <x:c r="AO1" s="23"/>
      <x:c r="AP1" s="23"/>
      <x:c r="AQ1" s="23"/>
      <x:c r="AR1" s="23"/>
      <x:c r="AS1" s="23"/>
      <x:c r="AT1" s="23"/>
      <x:c r="AU1" s="23"/>
      <x:c r="AV1" s="23"/>
      <x:c r="AW1" s="23"/>
      <x:c r="AX1" s="23"/>
      <x:c r="AY1" s="23"/>
      <x:c r="AZ1" s="23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</x:row>
    <x:row r="3">
      <x:c r="A3" s="5" t="str">
        <x:v>Scenario</x:v>
      </x:c>
      <x:c r="B3" s="5" t="str">
        <x:v>Demand Multiplier</x:v>
      </x:c>
      <x:c r="C3" s="5" t="str">
        <x:v>Supply Ramp Multiplier</x:v>
      </x:c>
      <x:c r="D3" s="5" t="str">
        <x:v>Backlog Carryover</x:v>
      </x:c>
      <x:c r="E3" s="5" t="str">
        <x:v>Price Beta</x:v>
      </x:c>
      <x:c r="F3" s="26"/>
      <x:c r="G3" s="26"/>
      <x:c r="H3" s="26"/>
      <x:c r="I3" s="26"/>
      <x:c r="J3" s="26"/>
    </x:row>
    <x:row r="4">
      <x:c r="A4" s="26" t="str">
        <x:v>bear</x:v>
      </x:c>
      <x:c r="B4" s="34" t="n">
        <x:v>0.78</x:v>
      </x:c>
      <x:c r="C4" s="34" t="n">
        <x:v>0.92</x:v>
      </x:c>
      <x:c r="D4" s="34" t="n">
        <x:v>0.55</x:v>
      </x:c>
      <x:c r="E4" s="34" t="n">
        <x:v>0.65</x:v>
      </x:c>
      <x:c r="F4" s="26"/>
      <x:c r="G4" s="26"/>
      <x:c r="H4" s="26"/>
      <x:c r="I4" s="26"/>
      <x:c r="J4" s="26"/>
    </x:row>
    <x:row r="5">
      <x:c r="A5" s="26" t="str">
        <x:v>base</x:v>
      </x:c>
      <x:c r="B5" s="34" t="n">
        <x:v>1</x:v>
      </x:c>
      <x:c r="C5" s="34" t="n">
        <x:v>1</x:v>
      </x:c>
      <x:c r="D5" s="34" t="n">
        <x:v>0.7</x:v>
      </x:c>
      <x:c r="E5" s="34" t="n">
        <x:v>0.85</x:v>
      </x:c>
      <x:c r="F5" s="26"/>
      <x:c r="G5" s="26"/>
      <x:c r="H5" s="26"/>
      <x:c r="I5" s="26"/>
      <x:c r="J5" s="26"/>
    </x:row>
    <x:row r="6">
      <x:c r="A6" s="26" t="str">
        <x:v>bull</x:v>
      </x:c>
      <x:c r="B6" s="34" t="n">
        <x:v>1.32</x:v>
      </x:c>
      <x:c r="C6" s="34" t="n">
        <x:v>1.06</x:v>
      </x:c>
      <x:c r="D6" s="34" t="n">
        <x:v>0.82</x:v>
      </x:c>
      <x:c r="E6" s="34" t="n">
        <x:v>1.1</x:v>
      </x:c>
      <x:c r="F6" s="26"/>
      <x:c r="G6" s="26"/>
      <x:c r="H6" s="26"/>
      <x:c r="I6" s="26"/>
      <x:c r="J6" s="26"/>
    </x:row>
    <x:row r="7">
      <x:c r="A7" s="26"/>
      <x:c r="B7" s="26"/>
      <x:c r="C7" s="26"/>
      <x:c r="D7" s="26"/>
      <x:c r="E7" s="26"/>
      <x:c r="F7" s="26"/>
      <x:c r="G7" s="26"/>
      <x:c r="H7" s="26"/>
      <x:c r="I7" s="26"/>
      <x:c r="J7" s="26"/>
    </x:row>
    <x:row r="8">
      <x:c r="A8" s="5" t="str">
        <x:v>Year</x:v>
      </x:c>
      <x:c r="B8" s="5" t="str">
        <x:v>Base Tokens / Day</x:v>
      </x:c>
      <x:c r="C8" s="5" t="str">
        <x:v>Total CapEx USD bn</x:v>
      </x:c>
      <x:c r="D8" s="5" t="str">
        <x:v>Base Accelerator Supply</x:v>
      </x:c>
      <x:c r="E8" s="5" t="str">
        <x:v>Base HBM Supply PB</x:v>
      </x:c>
      <x:c r="F8" s="5" t="str">
        <x:v>Base CoWoS Supply wpm</x:v>
      </x:c>
      <x:c r="G8" s="5" t="str">
        <x:v>Base Power Supply GW</x:v>
      </x:c>
      <x:c r="H8" s="5" t="str">
        <x:v>Base Network Supply Tbps</x:v>
      </x:c>
      <x:c r="I8" s="5" t="str">
        <x:v>Base Storage Supply PB/day</x:v>
      </x:c>
      <x:c r="J8" s="5" t="str">
        <x:v>Notes</x:v>
      </x:c>
    </x:row>
    <x:row r="9">
      <x:c r="A9" s="26" t="n">
        <x:v>2026</x:v>
      </x:c>
      <x:c r="B9" s="33" t="n">
        <x:v>112700000000000</x:v>
      </x:c>
      <x:c r="C9" s="38" t="n">
        <x:v>765</x:v>
      </x:c>
      <x:c r="D9" s="38" t="n">
        <x:v>4365818.182</x:v>
      </x:c>
      <x:c r="E9" s="38" t="n">
        <x:v>299.874</x:v>
      </x:c>
      <x:c r="F9" s="38" t="n">
        <x:v>101207.603</x:v>
      </x:c>
      <x:c r="G9" s="38" t="n">
        <x:v>5.434</x:v>
      </x:c>
      <x:c r="H9" s="38" t="n">
        <x:v>16235.386</x:v>
      </x:c>
      <x:c r="I9" s="38" t="n">
        <x:v>27720</x:v>
      </x:c>
      <x:c r="J9" s="26" t="str">
        <x:v>Base supply calibrated from dynamics_state and evidence registry</x:v>
      </x:c>
    </x:row>
    <x:row r="10">
      <x:c r="A10" s="26" t="n">
        <x:v>2027</x:v>
      </x:c>
      <x:c r="B10" s="33" t="n">
        <x:v>177430000000000</x:v>
      </x:c>
      <x:c r="C10" s="38" t="n">
        <x:v>960</x:v>
      </x:c>
      <x:c r="D10" s="38" t="n">
        <x:v>6574408.556</x:v>
      </x:c>
      <x:c r="E10" s="38" t="n">
        <x:v>481.681</x:v>
      </x:c>
      <x:c r="F10" s="38" t="n">
        <x:v>154946.856</x:v>
      </x:c>
      <x:c r="G10" s="38" t="n">
        <x:v>8.865</x:v>
      </x:c>
      <x:c r="H10" s="38" t="n">
        <x:v>26147.758</x:v>
      </x:c>
      <x:c r="I10" s="38" t="n">
        <x:v>33264</x:v>
      </x:c>
      <x:c r="J10" s="26" t="str">
        <x:v>Base supply calibrated from dynamics_state and evidence registry</x:v>
      </x:c>
    </x:row>
    <x:row r="11">
      <x:c r="A11" s="26" t="n">
        <x:v>2028</x:v>
      </x:c>
      <x:c r="B11" s="33" t="n">
        <x:v>280985000000000</x:v>
      </x:c>
      <x:c r="C11" s="38" t="n">
        <x:v>960</x:v>
      </x:c>
      <x:c r="D11" s="38" t="n">
        <x:v>7889290.267</x:v>
      </x:c>
      <x:c r="E11" s="38" t="n">
        <x:v>616.551</x:v>
      </x:c>
      <x:c r="F11" s="38" t="n">
        <x:v>189035.165</x:v>
      </x:c>
      <x:c r="G11" s="38" t="n">
        <x:v>11.525</x:v>
      </x:c>
      <x:c r="H11" s="38" t="n">
        <x:v>33519.658</x:v>
      </x:c>
      <x:c r="I11" s="38" t="n">
        <x:v>39916.8</x:v>
      </x:c>
      <x:c r="J11" s="26" t="str">
        <x:v>Base supply calibrated from dynamics_state and evidence registry</x:v>
      </x:c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5" t="str">
        <x:v>Coefficient ID</x:v>
      </x:c>
      <x:c r="B13" s="5" t="str">
        <x:v>Value</x:v>
      </x:c>
      <x:c r="C13" s="5" t="str">
        <x:v>Unit</x:v>
      </x:c>
      <x:c r="D13" s="5" t="str">
        <x:v>Confidence</x:v>
      </x:c>
      <x:c r="E13" s="26"/>
      <x:c r="F13" s="5" t="str">
        <x:v>Technical Input</x:v>
      </x:c>
      <x:c r="G13" s="5" t="str">
        <x:v>Value</x:v>
      </x:c>
      <x:c r="H13" s="5" t="str">
        <x:v>Unit</x:v>
      </x:c>
      <x:c r="I13" s="5" t="str">
        <x:v>Evidence</x:v>
      </x:c>
      <x:c r="J13" s="26"/>
    </x:row>
    <x:row r="14">
      <x:c r="A14" s="26" t="str">
        <x:v>COEF_CAPEX_AI_INFRA_SHARE</x:v>
      </x:c>
      <x:c r="B14" s="40" t="n">
        <x:v>0.58</x:v>
      </x:c>
      <x:c r="C14" s="26" t="str">
        <x:v>share_of_total_capex</x:v>
      </x:c>
      <x:c r="D14" s="30" t="n">
        <x:v>0.55</x:v>
      </x:c>
      <x:c r="E14" s="26"/>
      <x:c r="F14" s="26" t="str">
        <x:v>Tokens/sec per H100-equivalent</x:v>
      </x:c>
      <x:c r="G14" s="38" t="n">
        <x:v>2000</x:v>
      </x:c>
      <x:c r="H14" s="26" t="str">
        <x:v>tokens/sec</x:v>
      </x:c>
      <x:c r="I14" s="26" t="str">
        <x:v>Local GPU_SPECS; replace with measured workload throughput</x:v>
      </x:c>
      <x:c r="J14" s="26"/>
    </x:row>
    <x:row r="15">
      <x:c r="A15" s="26" t="str">
        <x:v>COEF_CAPEX_ACCELERATOR_SHARE</x:v>
      </x:c>
      <x:c r="B15" s="40" t="n">
        <x:v>0.46</x:v>
      </x:c>
      <x:c r="C15" s="26" t="str">
        <x:v>share_of_ai_infra_capex</x:v>
      </x:c>
      <x:c r="D15" s="30" t="n">
        <x:v>0.45</x:v>
      </x:c>
      <x:c r="E15" s="26"/>
      <x:c r="F15" s="26" t="str">
        <x:v>Accelerator utilization</x:v>
      </x:c>
      <x:c r="G15" s="38" t="n">
        <x:v>0.85</x:v>
      </x:c>
      <x:c r="H15" s="26" t="str">
        <x:v>share</x:v>
      </x:c>
      <x:c r="I15" s="26" t="str">
        <x:v>Modeling assumption</x:v>
      </x:c>
      <x:c r="J15" s="26"/>
    </x:row>
    <x:row r="16">
      <x:c r="A16" s="26" t="str">
        <x:v>COEF_AVG_ACCELERATOR_ASP_USD</x:v>
      </x:c>
      <x:c r="B16" s="40" t="n">
        <x:v>55000</x:v>
      </x:c>
      <x:c r="C16" s="26" t="str">
        <x:v>usd_per_h100_equivalent</x:v>
      </x:c>
      <x:c r="D16" s="30" t="n">
        <x:v>0.4</x:v>
      </x:c>
      <x:c r="E16" s="26"/>
      <x:c r="F16" s="26" t="str">
        <x:v>HBM GB per H100-equivalent</x:v>
      </x:c>
      <x:c r="G16" s="38" t="n">
        <x:v>80</x:v>
      </x:c>
      <x:c r="H16" s="26" t="str">
        <x:v>GB</x:v>
      </x:c>
      <x:c r="I16" s="26" t="str">
        <x:v>SRC_NVIDIA_H100_SPEC</x:v>
      </x:c>
      <x:c r="J16" s="26"/>
    </x:row>
    <x:row r="17">
      <x:c r="A17" s="26" t="str">
        <x:v>COEF_COWOS_WPM_PER_ACCELERATOR</x:v>
      </x:c>
      <x:c r="B17" s="40" t="n">
        <x:v>0.018</x:v>
      </x:c>
      <x:c r="C17" s="26" t="str">
        <x:v>wafers_per_month_per_accelerator_unit</x:v>
      </x:c>
      <x:c r="D17" s="30" t="n">
        <x:v>0.35</x:v>
      </x:c>
      <x:c r="E17" s="26"/>
      <x:c r="F17" s="26" t="str">
        <x:v>Accelerator TDP</x:v>
      </x:c>
      <x:c r="G17" s="38" t="n">
        <x:v>700</x:v>
      </x:c>
      <x:c r="H17" s="26" t="str">
        <x:v>W</x:v>
      </x:c>
      <x:c r="I17" s="26" t="str">
        <x:v>SRC_NVIDIA_H100_SPEC</x:v>
      </x:c>
      <x:c r="J17" s="26"/>
    </x:row>
    <x:row r="18">
      <x:c r="A18" s="26" t="str">
        <x:v>COEF_NETWORK_TBPS_PER_ACCELERATOR</x:v>
      </x:c>
      <x:c r="B18" s="40" t="n">
        <x:v>0.0035</x:v>
      </x:c>
      <x:c r="C18" s="26" t="str">
        <x:v>tbps_per_accelerator</x:v>
      </x:c>
      <x:c r="D18" s="30" t="n">
        <x:v>0.45</x:v>
      </x:c>
      <x:c r="E18" s="26"/>
      <x:c r="F18" s="26" t="str">
        <x:v>Server overhead</x:v>
      </x:c>
      <x:c r="G18" s="38" t="n">
        <x:v>1.3</x:v>
      </x:c>
      <x:c r="H18" s="26" t="str">
        <x:v>multiplier</x:v>
      </x:c>
      <x:c r="I18" s="26" t="str">
        <x:v>Infrastructure modeling assumption</x:v>
      </x:c>
      <x:c r="J18" s="26"/>
    </x:row>
    <x:row r="19">
      <x:c r="A19" s="26" t="str">
        <x:v>COEF_RAG_STORAGE_RATIO</x:v>
      </x:c>
      <x:c r="B19" s="40" t="n">
        <x:v>0.34</x:v>
      </x:c>
      <x:c r="C19" s="26" t="str">
        <x:v>share_of_tokens_touching_retrieval_or_context_storage</x:v>
      </x:c>
      <x:c r="D19" s="30" t="n">
        <x:v>0.3</x:v>
      </x:c>
      <x:c r="E19" s="26"/>
      <x:c r="F19" s="26" t="str">
        <x:v>PUE</x:v>
      </x:c>
      <x:c r="G19" s="38" t="n">
        <x:v>1.4</x:v>
      </x:c>
      <x:c r="H19" s="26" t="str">
        <x:v>ratio</x:v>
      </x:c>
      <x:c r="I19" s="26" t="str">
        <x:v>Local seed_data / datacenter_power</x:v>
      </x:c>
      <x:c r="J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.149999618530273" hidden="0" customWidth="1"/>
    <x:col min="2" max="2" width="14.109999656677246" hidden="0" customWidth="1"/>
    <x:col min="3" max="3" width="31.290000915527344" hidden="0" customWidth="1"/>
    <x:col min="4" max="4" width="50.91999816894531" hidden="0" customWidth="1"/>
    <x:col min="5" max="5" width="17.790000915527344" hidden="0" customWidth="1"/>
    <x:col min="6" max="6" width="10.430000305175781" hidden="0" customWidth="1"/>
    <x:col min="7" max="7" width="43.560001373291016" hidden="0" customWidth="1"/>
    <x:col min="8" max="8" width="21.469999313354492" hidden="0" customWidth="1"/>
  </x:cols>
  <x:sheetData>
    <x:row r="1" ht="25.5" customHeight="1">
      <x:c r="A1" s="25" t="str">
        <x:v>Evidence Registry</x:v>
      </x:c>
      <x:c r="B1" s="25" t="str">
        <x:v>Evidence Registry</x:v>
      </x:c>
      <x:c r="C1" s="25" t="str">
        <x:v>Evidence Registry</x:v>
      </x:c>
      <x:c r="D1" s="25" t="str">
        <x:v>Evidence Registry</x:v>
      </x:c>
      <x:c r="E1" s="25" t="str">
        <x:v>Evidence Registry</x:v>
      </x:c>
      <x:c r="F1" s="25" t="str">
        <x:v>Evidence Registry</x:v>
      </x:c>
      <x:c r="G1" s="25" t="str">
        <x:v>Evidence Registry</x:v>
      </x:c>
      <x:c r="H1" s="25" t="str">
        <x:v>Evidence Registry</x:v>
      </x:c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  <x:c r="AA1" s="23"/>
      <x:c r="AB1" s="23"/>
      <x:c r="AC1" s="23"/>
      <x:c r="AD1" s="23"/>
      <x:c r="AE1" s="23"/>
      <x:c r="AF1" s="23"/>
      <x:c r="AG1" s="23"/>
      <x:c r="AH1" s="23"/>
      <x:c r="AI1" s="23"/>
      <x:c r="AJ1" s="23"/>
      <x:c r="AK1" s="23"/>
      <x:c r="AL1" s="23"/>
      <x:c r="AM1" s="23"/>
      <x:c r="AN1" s="23"/>
      <x:c r="AO1" s="23"/>
      <x:c r="AP1" s="23"/>
      <x:c r="AQ1" s="23"/>
      <x:c r="AR1" s="23"/>
      <x:c r="AS1" s="23"/>
      <x:c r="AT1" s="23"/>
      <x:c r="AU1" s="23"/>
      <x:c r="AV1" s="23"/>
      <x:c r="AW1" s="23"/>
      <x:c r="AX1" s="23"/>
      <x:c r="AY1" s="23"/>
      <x:c r="AZ1" s="23"/>
    </x:row>
    <x:row r="3">
      <x:c r="A3" s="5" t="str">
        <x:v>Coefficient ID</x:v>
      </x:c>
      <x:c r="B3" s="5" t="str">
        <x:v>Value</x:v>
      </x:c>
      <x:c r="C3" s="5" t="str">
        <x:v>Unit</x:v>
      </x:c>
      <x:c r="D3" s="5" t="str">
        <x:v>Confidence</x:v>
      </x:c>
      <x:c r="E3" s="5" t="str">
        <x:v>Evidence IDs</x:v>
      </x:c>
      <x:c r="F3" s="5" t="str">
        <x:v>Derivation</x:v>
      </x:c>
      <x:c r="G3" s="5" t="str">
        <x:v>Replacement Path</x:v>
      </x:c>
      <x:c r="H3" s="5" t="str">
        <x:v>Formula Role</x:v>
      </x:c>
    </x:row>
    <x:row r="4">
      <x:c r="A4" t="str">
        <x:v>COEF_CAPEX_AI_INFRA_SHARE</x:v>
      </x:c>
      <x:c r="B4" t="n">
        <x:v>0.58</x:v>
      </x:c>
      <x:c r="C4" t="str">
        <x:v>share_of_total_capex</x:v>
      </x:c>
      <x:c r="D4" s="10" t="n">
        <x:v>0.55</x:v>
      </x:c>
      <x:c r="E4" t="str">
        <x:v>SRC_MICROSOFT_FY2026_Q1_CALL, SRC_ALPHABET_Q1_2026_SEC_8K, SRC_META_Q1_2026_RESULTS</x:v>
      </x:c>
      <x:c r="F4" t="str">
        <x:v>Working estimate. Microsoft says roughly half of FY2026 Q1 capex was short-lived assets primarily GPUs/CPUs; Meta and Alphabet disclosures confirm AI infrastructure as the driver of elevated capex. Use 0.58 until company-level capex mix is parsed directly from filings.</x:v>
      </x:c>
      <x:c r="G4" t="str">
        <x:v>Replace with company-quarter server/GPU/data-center/networking capex split from earnings transcripts and 10-Q cash-flow notes.</x:v>
      </x:c>
      <x:c r="H4" t="str">
        <x:v>capex_to_accelerator_demand</x:v>
      </x:c>
    </x:row>
    <x:row r="5">
      <x:c r="A5" t="str">
        <x:v>COEF_CAPEX_ACCELERATOR_SHARE</x:v>
      </x:c>
      <x:c r="B5" t="n">
        <x:v>0.46</x:v>
      </x:c>
      <x:c r="C5" t="str">
        <x:v>share_of_ai_infra_capex</x:v>
      </x:c>
      <x:c r="D5" s="10" t="n">
        <x:v>0.45</x:v>
      </x:c>
      <x:c r="E5" t="str">
        <x:v>SRC_MICROSOFT_FY2026_Q1_CALL, SRC_NVIDIA_FY2026_Q4_RESULTS</x:v>
      </x:c>
      <x:c r="F5" t="str">
        <x:v>Working estimate for GPU/accelerator procurement inside AI infrastructure capex after excluding data center shell, power, cooling, networking, storage, CPUs, and leases.</x:v>
      </x:c>
      <x:c r="G5" t="str">
        <x:v>Infer from NVIDIA data center revenue, AMD data center GPU revenue, cloud capex timing, and estimated accelerator ASP mix.</x:v>
      </x:c>
      <x:c r="H5" t="str">
        <x:v>capex_to_accelerator_demand</x:v>
      </x:c>
    </x:row>
    <x:row r="6">
      <x:c r="A6" t="str">
        <x:v>COEF_AVG_ACCELERATOR_ASP_USD</x:v>
      </x:c>
      <x:c r="B6" t="n">
        <x:v>55000</x:v>
      </x:c>
      <x:c r="C6" t="str">
        <x:v>usd_per_h100_equivalent</x:v>
      </x:c>
      <x:c r="D6" s="10" t="n">
        <x:v>0.4</x:v>
      </x:c>
      <x:c r="E6" t="str">
        <x:v>SRC_NVIDIA_H100_SPEC, SRC_NVIDIA_H200_SPEC, SRC_NVIDIA_GB200_NVL72_SPEC, SRC_NVIDIA_FY2026_Q4_RESULTS</x:v>
      </x:c>
      <x:c r="F6" t="str">
        <x:v>H100-equivalent blended accelerator ASP proxy. Not directly disclosed by NVIDIA; should be triangulated from data-center revenue and shipment mix.</x:v>
      </x:c>
      <x:c r="G6" t="str">
        <x:v>Build explicit H100/H200/B200/GB200 shipment mix and ASP ranges, then calculate weighted average.</x:v>
      </x:c>
      <x:c r="H6" t="str">
        <x:v>capex_to_accelerator_demand</x:v>
      </x:c>
    </x:row>
    <x:row r="7">
      <x:c r="A7" t="str">
        <x:v>COEF_COWOS_WPM_PER_ACCELERATOR</x:v>
      </x:c>
      <x:c r="B7" t="n">
        <x:v>0.018</x:v>
      </x:c>
      <x:c r="C7" t="str">
        <x:v>wafers_per_month_per_accelerator_unit</x:v>
      </x:c>
      <x:c r="D7" s="10" t="n">
        <x:v>0.35</x:v>
      </x:c>
      <x:c r="E7" t="str">
        <x:v>SRC_NVIDIA_H100_SPEC, SRC_NVIDIA_H200_SPEC, SRC_NVIDIA_GB200_NVL72_SPEC, SRC_LOCAL_GAP_ENGINE_ANCHORS</x:v>
      </x:c>
      <x:c r="F7" t="str">
        <x:v>Temporary normalized package-slot factor. Anchored to current CoWoS utilization until package-level die area and wafer allocation data are normalized.</x:v>
      </x:c>
      <x:c r="G7" t="str">
        <x:v>Replace with package-area model: accelerator_die_area_mm2, reticle/yield, interposer area, HBM stack count, CoWoS wafer throughput.</x:v>
      </x:c>
      <x:c r="H7" t="str">
        <x:v>accelerator_to_cowos</x:v>
      </x:c>
    </x:row>
    <x:row r="8">
      <x:c r="A8" t="str">
        <x:v>COEF_NETWORK_TBPS_PER_ACCELERATOR</x:v>
      </x:c>
      <x:c r="B8" t="n">
        <x:v>0.0035</x:v>
      </x:c>
      <x:c r="C8" t="str">
        <x:v>tbps_per_accelerator</x:v>
      </x:c>
      <x:c r="D8" s="10" t="n">
        <x:v>0.45</x:v>
      </x:c>
      <x:c r="E8" t="str">
        <x:v>SRC_NVIDIA_GB200_NVL72_SPEC</x:v>
      </x:c>
      <x:c r="F8" t="str">
        <x:v>Lower-bound normalized external fabric proxy. GB200 NVL72 discloses 130 TB/s rack NVLink bandwidth; external cluster fabric is modeled separately and conservatively.</x:v>
      </x:c>
      <x:c r="G8" t="str">
        <x:v>Split scale-up NVLink, scale-out InfiniBand/Ethernet, NIC radix, and oversubscription by cluster topology.</x:v>
      </x:c>
      <x:c r="H8" t="str">
        <x:v>accelerator_to_networking</x:v>
      </x:c>
    </x:row>
    <x:row r="9">
      <x:c r="A9" t="str">
        <x:v>COEF_RAG_STORAGE_RATIO</x:v>
      </x:c>
      <x:c r="B9" t="n">
        <x:v>0.34</x:v>
      </x:c>
      <x:c r="C9" t="str">
        <x:v>share_of_tokens_touching_retrieval_or_context_storage</x:v>
      </x:c>
      <x:c r="D9" s="10" t="n">
        <x:v>0.3</x:v>
      </x:c>
      <x:c r="E9" t="str">
        <x:v>SRC_NVIDIA_GB200_NVL72_SPEC</x:v>
      </x:c>
      <x:c r="F9" t="str">
        <x:v>Working assumption for agentic/RAG workloads. Evidence is directional only: NVIDIA highlights inference context memory/storage as a system need for Blackwell-era AI factories.</x:v>
      </x:c>
      <x:c r="G9" t="str">
        <x:v>Replace with workload telemetry: RAG query share, documents retrieved per query, embedding refresh rate, KV-cache spill rate.</x:v>
      </x:c>
      <x:c r="H9" t="str">
        <x:v>tokens_to_storage_flow</x:v>
      </x:c>
    </x:row>
    <x:row r="12">
      <x:c r="A12" s="5" t="str">
        <x:v>Source ID</x:v>
      </x:c>
      <x:c r="B12" s="5" t="str">
        <x:v>Publisher</x:v>
      </x:c>
      <x:c r="C12" s="5" t="str">
        <x:v>Title</x:v>
      </x:c>
      <x:c r="D12" s="5" t="str">
        <x:v>URL</x:v>
      </x:c>
      <x:c r="E12" s="5" t="str">
        <x:v>Derivation Type</x:v>
      </x:c>
      <x:c r="F12" s="5" t="str">
        <x:v>Confidence</x:v>
      </x:c>
    </x:row>
    <x:row r="13">
      <x:c r="A13" t="str">
        <x:v>SRC_NVIDIA_H100_SPEC</x:v>
      </x:c>
      <x:c r="B13" t="str">
        <x:v>NVIDIA</x:v>
      </x:c>
      <x:c r="C13" t="str">
        <x:v>NVIDIA H100 GPU product specifications</x:v>
      </x:c>
      <x:c r="D13" t="str">
        <x:v>https://www.nvidia.com/en-gb/data-center/h100/</x:v>
      </x:c>
      <x:c r="E13" t="str">
        <x:v>direct_product_spec</x:v>
      </x:c>
      <x:c r="F13" s="10" t="n">
        <x:v>0.95</x:v>
      </x:c>
    </x:row>
    <x:row r="14">
      <x:c r="A14" t="str">
        <x:v>SRC_NVIDIA_H200_SPEC</x:v>
      </x:c>
      <x:c r="B14" t="str">
        <x:v>NVIDIA</x:v>
      </x:c>
      <x:c r="C14" t="str">
        <x:v>NVIDIA H200 GPU product specifications</x:v>
      </x:c>
      <x:c r="D14" t="str">
        <x:v>https://www.nvidia.com/en-in/data-center/h200/</x:v>
      </x:c>
      <x:c r="E14" t="str">
        <x:v>direct_product_spec</x:v>
      </x:c>
      <x:c r="F14" s="10" t="n">
        <x:v>0.95</x:v>
      </x:c>
    </x:row>
    <x:row r="15">
      <x:c r="A15" t="str">
        <x:v>SRC_NVIDIA_GB200_NVL72_SPEC</x:v>
      </x:c>
      <x:c r="B15" t="str">
        <x:v>NVIDIA</x:v>
      </x:c>
      <x:c r="C15" t="str">
        <x:v>NVIDIA GB200 NVL72 specifications</x:v>
      </x:c>
      <x:c r="D15" t="str">
        <x:v>https://www.nvidia.com/en-us/data-center/gb200-nvl72/</x:v>
      </x:c>
      <x:c r="E15" t="str">
        <x:v>direct_product_spec</x:v>
      </x:c>
      <x:c r="F15" s="10" t="n">
        <x:v>0.95</x:v>
      </x:c>
    </x:row>
    <x:row r="16">
      <x:c r="A16" t="str">
        <x:v>SRC_NVIDIA_FY2026_Q4_RESULTS</x:v>
      </x:c>
      <x:c r="B16" t="str">
        <x:v>NVIDIA</x:v>
      </x:c>
      <x:c r="C16" t="str">
        <x:v>NVIDIA Announces Financial Results for Fourth Quarter and Fiscal 2026</x:v>
      </x:c>
      <x:c r="D16" t="str">
        <x:v>https://nvidianews.nvidia.com/news/nvidia-announces-financial-results-for-fourth-quarter-and-fiscal-2026</x:v>
      </x:c>
      <x:c r="E16" t="str">
        <x:v>direct_company_result</x:v>
      </x:c>
      <x:c r="F16" s="10" t="n">
        <x:v>0.95</x:v>
      </x:c>
    </x:row>
    <x:row r="17">
      <x:c r="A17" t="str">
        <x:v>SRC_MICROSOFT_FY2026_Q1_CALL</x:v>
      </x:c>
      <x:c r="B17" t="str">
        <x:v>Microsoft</x:v>
      </x:c>
      <x:c r="C17" t="str">
        <x:v>Microsoft Fiscal Year 2026 First Quarter Earnings Conference Call</x:v>
      </x:c>
      <x:c r="D17" t="str">
        <x:v>https://www.microsoft.com/en-us/investor/events/fy-2026/earnings-fy-2026-q1</x:v>
      </x:c>
      <x:c r="E17" t="str">
        <x:v>direct_company_commentary</x:v>
      </x:c>
      <x:c r="F17" s="10" t="n">
        <x:v>0.9</x:v>
      </x:c>
    </x:row>
    <x:row r="18">
      <x:c r="A18" t="str">
        <x:v>SRC_ALPHABET_Q1_2026_SEC_8K</x:v>
      </x:c>
      <x:c r="B18" t="str">
        <x:v>Alphabet / SEC</x:v>
      </x:c>
      <x:c r="C18" t="str">
        <x:v>Alphabet Announces First Quarter 2026 Results</x:v>
      </x:c>
      <x:c r="D18" t="str">
        <x:v>https://www.sec.gov/Archives/edgar/data/1652044/000165204426000043/googexhibit991q12026.htm</x:v>
      </x:c>
      <x:c r="E18" t="str">
        <x:v>direct_company_result</x:v>
      </x:c>
      <x:c r="F18" s="10" t="n">
        <x:v>0.95</x:v>
      </x:c>
    </x:row>
    <x:row r="19">
      <x:c r="A19" t="str">
        <x:v>SRC_META_Q1_2026_RESULTS</x:v>
      </x:c>
      <x:c r="B19" t="str">
        <x:v>Meta</x:v>
      </x:c>
      <x:c r="C19" t="str">
        <x:v>Meta Reports First Quarter 2026 Results</x:v>
      </x:c>
      <x:c r="D19" t="str">
        <x:v>https://investor.atmeta.com/investor-news/press-release-details/2026/Meta-Reports-First-Quarter-2026-Results/default.aspx</x:v>
      </x:c>
      <x:c r="E19" t="str">
        <x:v>direct_company_result</x:v>
      </x:c>
      <x:c r="F19" s="10" t="n">
        <x:v>0.95</x:v>
      </x:c>
    </x:row>
    <x:row r="20">
      <x:c r="A20" t="str">
        <x:v>SRC_LOCAL_GAP_ENGINE_ANCHORS</x:v>
      </x:c>
      <x:c r="B20" t="str">
        <x:v>Local model</x:v>
      </x:c>
      <x:c r="C20" t="str">
        <x:v>Current capacity utilization anchors from config.py and gap_engine.py</x:v>
      </x:c>
      <x:c r="D20" t="str">
        <x:v>config.py::CURRENT_CAPACITY_UTILIZATION</x:v>
      </x:c>
      <x:c r="E20" t="str">
        <x:v>internal_synthesis</x:v>
      </x:c>
      <x:c r="F20" s="10" t="n">
        <x:v>0.65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.829999923706055" hidden="0" customWidth="1"/>
    <x:col min="2" max="2" width="63.189998626708984" hidden="0" customWidth="1"/>
    <x:col min="3" max="3" width="14.109999656677246" hidden="0" customWidth="1"/>
    <x:col min="4" max="4" width="10.430000305175781" hidden="0" customWidth="1"/>
    <x:col min="5" max="5" width="14.109999656677246" hidden="0" customWidth="1"/>
  </x:cols>
  <x:sheetData>
    <x:row r="1" ht="25.5" customHeight="1">
      <x:c r="A1" s="22" t="str">
        <x:v>Model Checks</x:v>
      </x:c>
      <x:c r="B1" s="22" t="str">
        <x:v>Model Checks</x:v>
      </x:c>
      <x:c r="C1" s="22" t="str">
        <x:v>Model Checks</x:v>
      </x:c>
      <x:c r="D1" s="22" t="str">
        <x:v>Model Checks</x:v>
      </x:c>
      <x:c r="E1" s="22" t="str">
        <x:v>Model Checks</x:v>
      </x:c>
      <x:c r="F1" s="23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  <x:c r="AA1" s="23"/>
      <x:c r="AB1" s="23"/>
      <x:c r="AC1" s="23"/>
      <x:c r="AD1" s="23"/>
      <x:c r="AE1" s="23"/>
      <x:c r="AF1" s="23"/>
      <x:c r="AG1" s="23"/>
      <x:c r="AH1" s="23"/>
      <x:c r="AI1" s="23"/>
      <x:c r="AJ1" s="23"/>
      <x:c r="AK1" s="23"/>
      <x:c r="AL1" s="23"/>
      <x:c r="AM1" s="23"/>
      <x:c r="AN1" s="23"/>
      <x:c r="AO1" s="23"/>
      <x:c r="AP1" s="23"/>
      <x:c r="AQ1" s="23"/>
      <x:c r="AR1" s="23"/>
      <x:c r="AS1" s="23"/>
      <x:c r="AT1" s="23"/>
      <x:c r="AU1" s="23"/>
      <x:c r="AV1" s="23"/>
      <x:c r="AW1" s="23"/>
      <x:c r="AX1" s="23"/>
      <x:c r="AY1" s="23"/>
      <x:c r="AZ1" s="23"/>
    </x:row>
    <x:row r="3">
      <x:c r="A3" s="5" t="str">
        <x:v>Check</x:v>
      </x:c>
      <x:c r="B3" s="5" t="str">
        <x:v>Formula</x:v>
      </x:c>
      <x:c r="C3" s="5" t="str">
        <x:v>Result</x:v>
      </x:c>
      <x:c r="D3" s="5" t="str">
        <x:v>Pass?</x:v>
      </x:c>
    </x:row>
    <x:row r="4">
      <x:c r="A4" t="str">
        <x:v>Coefficient evidence IDs populated</x:v>
      </x:c>
      <x:c r="B4" t="str">
        <x:v>COUNTBLANK(Evidence!E4:E9)=0</x:v>
      </x:c>
      <x:c r="C4" t="b">
        <x:f>COUNTBLANK(Evidence!E4:E9)=0</x:f>
        <x:v>1</x:v>
      </x:c>
      <x:c r="D4" t="str">
        <x:f>IF(C4,"PASS","FAIL")</x:f>
        <x:v>PASS</x:v>
      </x:c>
    </x:row>
    <x:row r="5">
      <x:c r="A5" t="str">
        <x:v>No negative fulfillment</x:v>
      </x:c>
      <x:c r="B5" t="str">
        <x:v>MIN('Scenario Model'!AO2:AO10)&gt;=0</x:v>
      </x:c>
      <x:c r="C5" t="b">
        <x:f>MIN('Scenario Model'!AO2:AO10)&gt;=0</x:f>
        <x:v>1</x:v>
      </x:c>
      <x:c r="D5" t="str">
        <x:f>IF(C5,"PASS","FAIL")</x:f>
        <x:v>PASS</x:v>
      </x:c>
    </x:row>
    <x:row r="6">
      <x:c r="A6" t="str">
        <x:v>Fulfillment capped at 100%</x:v>
      </x:c>
      <x:c r="B6" t="str">
        <x:v>MAX('Scenario Model'!AO2:AO10)&lt;=1</x:v>
      </x:c>
      <x:c r="C6" t="b">
        <x:f>MAX('Scenario Model'!AO2:AO10)&lt;=1</x:f>
        <x:v>1</x:v>
      </x:c>
      <x:c r="D6" t="str">
        <x:f>IF(C6,"PASS","FAIL")</x:f>
        <x:v>PASS</x:v>
      </x:c>
    </x:row>
    <x:row r="7">
      <x:c r="A7" t="str">
        <x:v>No negative demand</x:v>
      </x:c>
      <x:c r="B7" t="str">
        <x:v>MIN('Scenario Model'!N2:N10)&gt;=0</x:v>
      </x:c>
      <x:c r="C7" t="b">
        <x:f>MIN('Scenario Model'!N2:N10)&gt;=0</x:f>
        <x:v>1</x:v>
      </x:c>
      <x:c r="D7" t="str">
        <x:f>IF(C7,"PASS","FAIL")</x:f>
        <x:v>PASS</x:v>
      </x:c>
    </x:row>
    <x:row r="8">
      <x:c r="A8" t="str">
        <x:v>Limiting gap matches max gap</x:v>
      </x:c>
      <x:c r="B8" t="str">
        <x:v>SUMPRODUCT(--(ABS('Scenario Model'!AM2:AM10-BYROW('Scenario Model'!AG2:AK10,LAMBDA(r,MAX(r))))&lt;0.0001))=9</x:v>
      </x:c>
      <x:c r="C8" t="e" cm="1">
        <x:f t="array" ref="C8">SUMPRODUCT(--(ABS('Scenario Model'!AM2:AM10-BYROW('Scenario Model'!AG2:AK10,_xlfn.LAMBDA(r,MAX(r))))&lt;0.0001))=9</x:f>
      </x:c>
      <x:c r="D8" t="e">
        <x:f>IF(C8,"PASS","FAIL")</x:f>
      </x:c>
    </x:row>
    <x:row r="9">
      <x:c r="A9" t="str">
        <x:v>Dashboard selected row exists</x:v>
      </x:c>
      <x:c r="B9" t="str">
        <x:v>COUNTIFS('Scenario Model'!A:A,Dashboard!B3,'Scenario Model'!B:B,Dashboard!B4)=1</x:v>
      </x:c>
      <x:c r="C9" t="b">
        <x:f>COUNTIFS('Scenario Model'!A:A,Dashboard!B3,'Scenario Model'!B:B,Dashboard!B4)=1</x:f>
        <x:v>1</x:v>
      </x:c>
      <x:c r="D9" t="str">
        <x:f>IF(C9,"PASS","FAIL")</x:f>
        <x:v>PASS</x:v>
      </x:c>
    </x:row>
  </x:sheetData>
  <x:conditionalFormatting sqref="D4:D9">
    <x:cfRule type="expression" dxfId="0" priority="1">
      <x:formula>$D4="FAIL"</x:formula>
    </x:cfRule>
    <x:cfRule type="expression" dxfId="1" priority="2">
      <x:formula>$D4="PASS"</x:formula>
    </x:cfRule>
  </x:conditionalFormatting>
  <x:pageMargins left="0.7" right="0.7" top="0.75" bottom="0.75" header="0.3" footer="0.3"/>
</x:worksheet>
</file>