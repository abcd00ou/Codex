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73a8d7518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f8a4f7a82447a2"/>
    <x:sheet xmlns:r="http://schemas.openxmlformats.org/officeDocument/2006/relationships" name="Review Matrix" sheetId="2" r:id="Rf50e08a82e5749e7"/>
    <x:sheet xmlns:r="http://schemas.openxmlformats.org/officeDocument/2006/relationships" name="Framework Coverage" sheetId="3" r:id="R80617458d1bd4ec2"/>
    <x:sheet xmlns:r="http://schemas.openxmlformats.org/officeDocument/2006/relationships" name="Workload Ratios" sheetId="4" r:id="R7babb513064a4a28"/>
    <x:sheet xmlns:r="http://schemas.openxmlformats.org/officeDocument/2006/relationships" name="Framework Ratios" sheetId="5" r:id="R0dbfe9ab3efb43c6"/>
    <x:sheet xmlns:r="http://schemas.openxmlformats.org/officeDocument/2006/relationships" name="Definitions" sheetId="6" r:id="Re8611d5d3c9c4b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"/>
    <x:numFmt numFmtId="202" formatCode="yyyy-mm-dd"/>
    <x:numFmt numFmtId="203" formatCode="#,##0"/>
    <x:numFmt numFmtId="204" formatCode="0.0"/>
    <x:numFmt numFmtId="205" formatCode="0.00x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15324B"/>
      <x:name val="Carlito"/>
    </x:font>
    <x:font>
      <x:b/>
      <x:sz val="11"/>
      <x:color rgb="FFFFFFFF"/>
      <x:name val="Carlito"/>
    </x:font>
    <x:font>
      <x:b/>
      <x:sz val="11"/>
      <x:color rgb="FF15324B"/>
      <x:name val="Carlito"/>
    </x:font>
    <x:font>
      <x:b/>
      <x:sz val="16"/>
      <x:color rgb="FF15324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8F1FA"/>
      </x:patternFill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E8EEFF"/>
      </x:patternFill>
    </x:fill>
    <x:fill>
      <x:patternFill patternType="solid">
        <x:fgColor rgb="FFFFF4CC"/>
      </x:patternFill>
    </x:fill>
    <x:fill>
      <x:patternFill patternType="solid">
        <x:fgColor rgb="FFEEF2F6"/>
      </x:patternFill>
    </x:fill>
  </x:fills>
  <x:borders count="8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9CA3AF"/>
      </x:left>
      <x:top style="thin">
        <x:color rgb="FF9CA3AF"/>
      </x:top>
    </x:border>
    <x:border>
      <x:right style="thin">
        <x:color rgb="FF9CA3AF"/>
      </x:right>
      <x:top style="thin">
        <x:color rgb="FF9CA3AF"/>
      </x:top>
    </x:border>
    <x:border>
      <x:left style="thin">
        <x:color rgb="FF9CA3AF"/>
      </x:left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4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/>
    </x:xf>
    <x:xf numFmtId="0" fontId="4" fillId="3" borderId="7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7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0" fontId="4" fillId="6" borderId="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6" xfId="0" applyNumberFormat="1" applyFont="1" applyFill="1" applyBorder="1"/>
    <x:xf numFmtId="0" fontId="4" fillId="7" borderId="7" xfId="0" applyNumberFormat="1" applyFont="1" applyFill="1" applyBorder="1"/>
    <x:xf numFmtId="0" fontId="4" fillId="7" borderId="4" xfId="0" applyNumberFormat="1" applyFont="1" applyFill="1" applyBorder="1" applyAlignment="1">
      <x:alignment horizontal="center"/>
    </x:xf>
    <x:xf numFmtId="0" fontId="4" fillId="7" borderId="5" xfId="0" applyNumberFormat="1" applyFont="1" applyFill="1" applyBorder="1" applyAlignment="1">
      <x:alignment horizontal="center"/>
    </x:xf>
    <x:xf numFmtId="0" fontId="4" fillId="7" borderId="6" xfId="0" applyNumberFormat="1" applyFont="1" applyFill="1" applyBorder="1" applyAlignment="1">
      <x:alignment horizontal="center"/>
    </x:xf>
    <x:xf numFmtId="0" fontId="4" fillId="7" borderId="7" xfId="0" applyNumberFormat="1" applyFont="1" applyFill="1" applyBorder="1" applyAlignment="1">
      <x:alignment horizontal="center"/>
    </x:xf>
    <x:xf numFmtId="0" fontId="4" fillId="7" borderId="4" xfId="0" applyNumberFormat="1" applyFont="1" applyFill="1" applyBorder="1" applyAlignment="1">
      <x:alignment horizontal="center" vertical="center"/>
    </x:xf>
    <x:xf numFmtId="0" fontId="4" fillId="7" borderId="5" xfId="0" applyNumberFormat="1" applyFont="1" applyFill="1" applyBorder="1" applyAlignment="1">
      <x:alignment horizontal="center" vertical="center"/>
    </x:xf>
    <x:xf numFmtId="0" fontId="4" fillId="7" borderId="6" xfId="0" applyNumberFormat="1" applyFont="1" applyFill="1" applyBorder="1" applyAlignment="1">
      <x:alignment horizontal="center" vertical="center"/>
    </x:xf>
    <x:xf numFmtId="0" fontId="4" fillId="7" borderId="7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4" xfId="0" applyNumberFormat="1" applyFont="1" applyFill="1" applyBorder="1"/>
    <x:xf numFmtId="0" fontId="4" fillId="8" borderId="5" xfId="0" applyNumberFormat="1" applyFont="1" applyFill="1" applyBorder="1"/>
    <x:xf numFmtId="0" fontId="4" fillId="8" borderId="6" xfId="0" applyNumberFormat="1" applyFont="1" applyFill="1" applyBorder="1"/>
    <x:xf numFmtId="0" fontId="4" fillId="8" borderId="7" xfId="0" applyNumberFormat="1" applyFont="1" applyFill="1" applyBorder="1"/>
    <x:xf numFmtId="0" fontId="4" fillId="8" borderId="4" xfId="0" applyNumberFormat="1" applyFont="1" applyFill="1" applyBorder="1" applyAlignment="1">
      <x:alignment horizontal="center"/>
    </x:xf>
    <x:xf numFmtId="0" fontId="4" fillId="8" borderId="5" xfId="0" applyNumberFormat="1" applyFont="1" applyFill="1" applyBorder="1" applyAlignment="1">
      <x:alignment horizontal="center"/>
    </x:xf>
    <x:xf numFmtId="0" fontId="4" fillId="8" borderId="6" xfId="0" applyNumberFormat="1" applyFont="1" applyFill="1" applyBorder="1" applyAlignment="1">
      <x:alignment horizontal="center"/>
    </x:xf>
    <x:xf numFmtId="0" fontId="4" fillId="8" borderId="7" xfId="0" applyNumberFormat="1" applyFont="1" applyFill="1" applyBorder="1" applyAlignment="1">
      <x:alignment horizontal="center"/>
    </x:xf>
    <x:xf numFmtId="0" fontId="4" fillId="8" borderId="4" xfId="0" applyNumberFormat="1" applyFont="1" applyFill="1" applyBorder="1" applyAlignment="1">
      <x:alignment horizontal="center" vertical="center"/>
    </x:xf>
    <x:xf numFmtId="0" fontId="4" fillId="8" borderId="5" xfId="0" applyNumberFormat="1" applyFont="1" applyFill="1" applyBorder="1" applyAlignment="1">
      <x:alignment horizontal="center" vertical="center"/>
    </x:xf>
    <x:xf numFmtId="0" fontId="4" fillId="8" borderId="6" xfId="0" applyNumberFormat="1" applyFont="1" applyFill="1" applyBorder="1" applyAlignment="1">
      <x:alignment horizontal="center" vertical="center"/>
    </x:xf>
    <x:xf numFmtId="0" fontId="4" fillId="8" borderId="7" xfId="0" applyNumberFormat="1" applyFont="1" applyFill="1" applyBorder="1" applyAlignment="1">
      <x:alignment horizontal="center" vertical="center"/>
    </x:xf>
    <x:xf numFmtId="0" fontId="5" fillId="3" borderId="6" xfId="0" applyNumberFormat="1" applyFont="1" applyFill="1" applyBorder="1" applyAlignment="1">
      <x:alignment horizontal="center" vertical="center"/>
    </x:xf>
    <x:xf numFmtId="0" fontId="5" fillId="3" borderId="7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6" borderId="6" xfId="0" applyNumberFormat="1" applyFont="1" applyFill="1" applyBorder="1" applyAlignment="1">
      <x:alignment horizontal="center" vertical="center"/>
    </x:xf>
    <x:xf numFmtId="0" fontId="5" fillId="6" borderId="7" xfId="0" applyNumberFormat="1" applyFont="1" applyFill="1" applyBorder="1" applyAlignment="1">
      <x:alignment horizontal="center" vertical="center"/>
    </x:xf>
    <x:xf numFmtId="0" fontId="5" fillId="7" borderId="6" xfId="0" applyNumberFormat="1" applyFont="1" applyFill="1" applyBorder="1" applyAlignment="1">
      <x:alignment horizontal="center" vertical="center"/>
    </x:xf>
    <x:xf numFmtId="0" fontId="5" fillId="7" borderId="7" xfId="0" applyNumberFormat="1" applyFont="1" applyFill="1" applyBorder="1" applyAlignment="1">
      <x:alignment horizontal="center" vertical="center"/>
    </x:xf>
    <x:xf numFmtId="0" fontId="5" fillId="8" borderId="6" xfId="0" applyNumberFormat="1" applyFont="1" applyFill="1" applyBorder="1" applyAlignment="1">
      <x:alignment horizontal="center" vertical="center"/>
    </x:xf>
    <x:xf numFmtId="0" fontId="5" fillId="8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1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FF4CC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6af4a89034577" /><Relationship Type="http://schemas.openxmlformats.org/officeDocument/2006/relationships/theme" Target="/xl/theme/theme1.xml" Id="Rdb97d53fc543422a" /><Relationship Type="http://schemas.openxmlformats.org/officeDocument/2006/relationships/sharedStrings" Target="/xl/sharedStrings.xml" Id="R0aa7749deb844abe" /><Relationship Type="http://schemas.openxmlformats.org/officeDocument/2006/relationships/worksheet" Target="/xl/worksheets/sheet1.xml" Id="Rcff8a4f7a82447a2" /><Relationship Type="http://schemas.openxmlformats.org/officeDocument/2006/relationships/worksheet" Target="/xl/worksheets/sheet2.xml" Id="Rf50e08a82e5749e7" /><Relationship Type="http://schemas.openxmlformats.org/officeDocument/2006/relationships/worksheet" Target="/xl/worksheets/sheet3.xml" Id="R80617458d1bd4ec2" /><Relationship Type="http://schemas.openxmlformats.org/officeDocument/2006/relationships/worksheet" Target="/xl/worksheets/sheet4.xml" Id="R7babb513064a4a28" /><Relationship Type="http://schemas.openxmlformats.org/officeDocument/2006/relationships/worksheet" Target="/xl/worksheets/sheet5.xml" Id="R0dbfe9ab3efb43c6" /><Relationship Type="http://schemas.openxmlformats.org/officeDocument/2006/relationships/worksheet" Target="/xl/worksheets/sheet6.xml" Id="Re8611d5d3c9c4ba8" /><Relationship Type="http://schemas.microsoft.com/office/2017/10/relationships/person" Target="/xl/persons/person.xml" Id="R32f9ff4421874509" /></Relationships>
</file>

<file path=xl/persons/person.xml><?xml version="1.0" encoding="utf-8"?>
<xltc:personList xmlns:xltc="http://schemas.microsoft.com/office/spreadsheetml/2018/threadedcomments">
  <xltc:person displayName="User" id="{6E482F61-7D3D-4329-863F-237EE103A56F}"/>
</xltc:personList>
</file>

<file path=xl/tables/table1.xml><?xml version="1.0" encoding="utf-8"?>
<x:table xmlns:x="http://schemas.openxmlformats.org/spreadsheetml/2006/main" id="5" name="SummaryCoverageTable" displayName="SummaryCoverageTable" ref="A8:J58" headerRowCount="1" totalsRowCount="0" totalsRowShown="0">
  <x:tableColumns count="10">
    <x:tableColumn id="1" name="Proxy Model"/>
    <x:tableColumn id="2" name="Model Code"/>
    <x:tableColumn id="3" name="GPU"/>
    <x:tableColumn id="4" name="Preferred Framework"/>
    <x:tableColumn id="5" name="Direct Preferred"/>
    <x:tableColumn id="6" name="Direct Other FW"/>
    <x:tableColumn id="7" name="Ratio Candidate"/>
    <x:tableColumn id="8" name="Cross-model Required"/>
    <x:tableColumn id="9" name="GPU Scaling"/>
    <x:tableColumn id="10" name="Review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eviewMatrixTable" displayName="ReviewMatrixTable" ref="A4:Y604" headerRowCount="1" totalsRowCount="0" totalsRowShown="0">
  <x:tableColumns count="25">
    <x:tableColumn id="1" name="Proxy Model"/>
    <x:tableColumn id="2" name="Model Code"/>
    <x:tableColumn id="3" name="GPU"/>
    <x:tableColumn id="4" name="GPU Class"/>
    <x:tableColumn id="5" name="Workload"/>
    <x:tableColumn id="6" name="Target Interactivity"/>
    <x:tableColumn id="7" name="Preferred Framework"/>
    <x:tableColumn id="8" name="Status"/>
    <x:tableColumn id="9" name="Direct TPS/MW (Preferred)"/>
    <x:tableColumn id="10" name="Actual Interactivity"/>
    <x:tableColumn id="11" name="Concurrency"/>
    <x:tableColumn id="12" name="GPU Count"/>
    <x:tableColumn id="13" name="Concurrency/GPU"/>
    <x:tableColumn id="14" name="Precision"/>
    <x:tableColumn id="15" name="Spec Method"/>
    <x:tableColumn id="16" name="Benchmark ID"/>
    <x:tableColumn id="17" name="Benchmark Date"/>
    <x:tableColumn id="18" name="Best Available TPS/MW"/>
    <x:tableColumn id="19" name="Best Available Framework"/>
    <x:tableColumn id="20" name="Frameworks Available"/>
    <x:tableColumn id="21" name="Eligible Rows (Preferred)"/>
    <x:tableColumn id="22" name="Eligible Rows (All)"/>
    <x:tableColumn id="23" name="Distinct Concurrency (Preferred)"/>
    <x:tableColumn id="24" name="Fill Anchor Workload"/>
    <x:tableColumn id="25" name="Review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FrameworkCoverageTable" displayName="FrameworkCoverageTable" ref="A4:O88" headerRowCount="1" totalsRowCount="0" totalsRowShown="0">
  <x:tableColumns count="15">
    <x:tableColumn id="1" name="Proxy Model"/>
    <x:tableColumn id="2" name="Model Code"/>
    <x:tableColumn id="3" name="GPU"/>
    <x:tableColumn id="4" name="Workload"/>
    <x:tableColumn id="5" name="Framework"/>
    <x:tableColumn id="6" name="Rows"/>
    <x:tableColumn id="7" name="Distinct Concurrency"/>
    <x:tableColumn id="8" name="Min Interactivity"/>
    <x:tableColumn id="9" name="Max Interactivity"/>
    <x:tableColumn id="10" name="Supported Targets"/>
    <x:tableColumn id="11" name="Max TPS/MW"/>
    <x:tableColumn id="12" name="Precisions"/>
    <x:tableColumn id="13" name="Spec Methods"/>
    <x:tableColumn id="14" name="First Date"/>
    <x:tableColumn id="15" name="Last 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WorkloadRatioTable" displayName="WorkloadRatioTable" ref="A4:L114" headerRowCount="1" totalsRowCount="0" totalsRowShown="0">
  <x:tableColumns count="12">
    <x:tableColumn id="1" name="GPU"/>
    <x:tableColumn id="2" name="Framework"/>
    <x:tableColumn id="3" name="Precision"/>
    <x:tableColumn id="4" name="Spec Method"/>
    <x:tableColumn id="5" name="Model Count"/>
    <x:tableColumn id="6" name="Matched Pair Count"/>
    <x:tableColumn id="7" name="Models"/>
    <x:tableColumn id="8" name="Ratio P10"/>
    <x:tableColumn id="9" name="Ratio P50"/>
    <x:tableColumn id="10" name="Ratio P90"/>
    <x:tableColumn id="11" name="Interactivity Ratio P50"/>
    <x:tableColumn id="12" name="Conf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FrameworkRatioTable" displayName="FrameworkRatioTable" ref="A4:M36" headerRowCount="1" totalsRowCount="0" totalsRowShown="0">
  <x:tableColumns count="13">
    <x:tableColumn id="1" name="GPU"/>
    <x:tableColumn id="2" name="Workload"/>
    <x:tableColumn id="3" name="Precision"/>
    <x:tableColumn id="4" name="Spec Method"/>
    <x:tableColumn id="5" name="Framework From"/>
    <x:tableColumn id="6" name="Framework To"/>
    <x:tableColumn id="7" name="Model Count"/>
    <x:tableColumn id="8" name="Matched Pair Count"/>
    <x:tableColumn id="9" name="Models"/>
    <x:tableColumn id="10" name="Ratio P10"/>
    <x:tableColumn id="11" name="Ratio P50"/>
    <x:tableColumn id="12" name="Ratio P90"/>
    <x:tableColumn id="13" name="Conf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finitionsTable" displayName="DefinitionsTable" ref="A4:D23" headerRowCount="1" totalsRowCount="0" totalsRowShown="0">
  <x:tableColumns count="4">
    <x:tableColumn id="1" name="Term"/>
    <x:tableColumn id="2" name="Definition / Value"/>
    <x:tableColumn id="3" name="Type"/>
    <x:tableColumn id="4" name="Audi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853ec0be5b4d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b8c603ebad43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e80368de27940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06fbb8d343c40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2fb93c7a7594d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c795171277d46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1" hidden="0" customWidth="1"/>
    <x:col min="4" max="4" width="21" hidden="0" customWidth="1"/>
    <x:col min="5" max="5" width="15" hidden="0" customWidth="1"/>
    <x:col min="6" max="6" width="15" hidden="0" customWidth="1"/>
    <x:col min="7" max="7" width="16" hidden="0" customWidth="1"/>
    <x:col min="8" max="8" width="19" hidden="0" customWidth="1"/>
    <x:col min="9" max="9" width="14" hidden="0" customWidth="1"/>
    <x:col min="10" max="10" width="34" hidden="0" customWidth="1"/>
  </x:cols>
  <x:sheetData>
    <x:row r="1" ht="30" customHeight="1">
      <x:c r="A1" s="3" t="str">
        <x:v>InferenceX Proxy Coverage Review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Review workbook for deciding where direct Pareto values are usable and where workload/framework/GPU arithmetic ratios are required.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35" t="str">
        <x:v>Total review cells</x:v>
      </x:c>
      <x:c r="B4" s="36"/>
      <x:c r="C4" s="49" t="str">
        <x:v>Direct preferred</x:v>
      </x:c>
      <x:c r="D4" s="50"/>
      <x:c r="E4" s="63" t="str">
        <x:v>Direct other framework</x:v>
      </x:c>
      <x:c r="F4" s="64"/>
      <x:c r="G4" s="77" t="str">
        <x:v>Ratio candidates / required</x:v>
      </x:c>
      <x:c r="H4" s="78"/>
      <x:c r="I4" s="91" t="str">
        <x:v>GPU scaling required</x:v>
      </x:c>
      <x:c r="J4" s="92"/>
    </x:row>
    <x:row r="5">
      <x:c r="A5" s="95" t="n">
        <x:f>COUNTA('Review Matrix'!$A$5:$A$604)</x:f>
        <x:v>600</x:v>
      </x:c>
      <x:c r="B5" s="96"/>
      <x:c r="C5" s="97" t="n">
        <x:f>COUNTIF('Review Matrix'!$H$5:$H$604,"DIRECT_PREFERRED")</x:f>
        <x:v>209</x:v>
      </x:c>
      <x:c r="D5" s="98"/>
      <x:c r="E5" s="99" t="n">
        <x:f>COUNTIF('Review Matrix'!$H$5:$H$604,"DIRECT_OTHER_FRAMEWORK")</x:f>
        <x:v>8</x:v>
      </x:c>
      <x:c r="F5" s="100"/>
      <x:c r="G5" s="101" t="n">
        <x:f>COUNTIF('Review Matrix'!$H$5:$H$604,"SHORT_FROM_LONG_CANDIDATE")+COUNTIF('Review Matrix'!$H$5:$H$604,"LONG_FROM_SHORT_CANDIDATE")+COUNTIF('Review Matrix'!$H$5:$H$604,"AGENTIC_RATIO_CANDIDATE")+COUNTIF('Review Matrix'!$H$5:$H$604,"CROSS_WORKLOAD_RATIO_REQUIRED")+COUNTIF('Review Matrix'!$H$5:$H$604,"CROSS_MODEL_RATIO_REQUIRED")</x:f>
        <x:v>83</x:v>
      </x:c>
      <x:c r="H5" s="102"/>
      <x:c r="I5" s="103" t="n">
        <x:f>COUNTIF('Review Matrix'!$H$5:$H$604,"GPU_SCALING_REQUIRED")</x:f>
        <x:v>300</x:v>
      </x:c>
      <x:c r="J5" s="104"/>
    </x:row>
    <x:row r="8" ht="30" customHeight="1">
      <x:c r="A8" s="16" t="str">
        <x:v>Proxy Model</x:v>
      </x:c>
      <x:c r="B8" s="17" t="str">
        <x:v>Model Code</x:v>
      </x:c>
      <x:c r="C8" s="17" t="str">
        <x:v>GPU</x:v>
      </x:c>
      <x:c r="D8" s="17" t="str">
        <x:v>Preferred Framework</x:v>
      </x:c>
      <x:c r="E8" s="17" t="str">
        <x:v>Direct Preferred</x:v>
      </x:c>
      <x:c r="F8" s="17" t="str">
        <x:v>Direct Other FW</x:v>
      </x:c>
      <x:c r="G8" s="17" t="str">
        <x:v>Ratio Candidate</x:v>
      </x:c>
      <x:c r="H8" s="17" t="str">
        <x:v>Cross-model Required</x:v>
      </x:c>
      <x:c r="I8" s="17" t="str">
        <x:v>GPU Scaling</x:v>
      </x:c>
      <x:c r="J8" s="18" t="str">
        <x:v>Review Note</x:v>
      </x:c>
    </x:row>
    <x:row r="9">
      <x:c r="A9" t="str">
        <x:v>DeepSeek V4 Pro</x:v>
      </x:c>
      <x:c r="B9" t="str">
        <x:v>dsv4</x:v>
      </x:c>
      <x:c r="C9" t="str">
        <x:v>H200</x:v>
      </x:c>
      <x:c r="D9" t="str">
        <x:v>vllm</x:v>
      </x:c>
      <x:c r="E9" s="19" t="n">
        <x:f>COUNTIFS('Review Matrix'!$B$5:$B$604,$B9,'Review Matrix'!$C$5:$C$604,$C9,'Review Matrix'!$H$5:$H$604,"DIRECT_PREFERRED")</x:f>
        <x:v>8</x:v>
      </x:c>
      <x:c r="F9" s="19" t="n">
        <x:f>COUNTIFS('Review Matrix'!$B$5:$B$604,$B9,'Review Matrix'!$C$5:$C$604,$C9,'Review Matrix'!$H$5:$H$604,"DIRECT_OTHER_FRAMEWORK")</x:f>
        <x:v>4</x:v>
      </x:c>
      <x:c r="G9" s="19" t="n">
        <x:f>COUNTIFS('Review Matrix'!$B$5:$B$604,$B9,'Review Matrix'!$C$5:$C$604,$C9,'Review Matrix'!$H$5:$H$604,"SHORT_FROM_LONG_CANDIDATE")+COUNTIFS('Review Matrix'!$B$5:$B$604,$B9,'Review Matrix'!$C$5:$C$604,$C9,'Review Matrix'!$H$5:$H$604,"LONG_FROM_SHORT_CANDIDATE")+COUNTIFS('Review Matrix'!$B$5:$B$604,$B9,'Review Matrix'!$C$5:$C$604,$C9,'Review Matrix'!$H$5:$H$604,"AGENTIC_RATIO_CANDIDATE")</x:f>
        <x:v>0</x:v>
      </x:c>
      <x:c r="H9" s="19" t="n">
        <x:f>COUNTIFS('Review Matrix'!$B$5:$B$604,$B9,'Review Matrix'!$C$5:$C$604,$C9,'Review Matrix'!$H$5:$H$604,"CROSS_MODEL_RATIO_REQUIRED")</x:f>
        <x:v>0</x:v>
      </x:c>
      <x:c r="I9" s="19" t="n">
        <x:f>COUNTIFS('Review Matrix'!$B$5:$B$604,$B9,'Review Matrix'!$C$5:$C$604,$C9,'Review Matrix'!$H$5:$H$604,"GPU_SCALING_REQUIRED")</x:f>
        <x:v>0</x:v>
      </x:c>
      <x:c r="J9" s="23" t="str">
        <x:f>IF(I9&gt;0,"Future GPU: scaling layer",IF(H9&gt;0,"Cross-model coefficient needed",IF(G9&gt;0,"Same-model workload ratio candidate",IF(F9&gt;0,"Framework choice needs review","Direct preferred coverage"))))</x:f>
        <x:v>Framework choice needs review</x:v>
      </x:c>
    </x:row>
    <x:row r="10">
      <x:c r="A10" t="str">
        <x:v>DeepSeek V4 Pro</x:v>
      </x:c>
      <x:c r="B10" t="str">
        <x:v>dsv4</x:v>
      </x:c>
      <x:c r="C10" t="str">
        <x:v>B200</x:v>
      </x:c>
      <x:c r="D10" t="str">
        <x:v>vllm</x:v>
      </x:c>
      <x:c r="E10" s="19" t="n">
        <x:f>COUNTIFS('Review Matrix'!$B$5:$B$604,$B10,'Review Matrix'!$C$5:$C$604,$C10,'Review Matrix'!$H$5:$H$604,"DIRECT_PREFERRED")</x:f>
        <x:v>12</x:v>
      </x:c>
      <x:c r="F10" s="19" t="n">
        <x:f>COUNTIFS('Review Matrix'!$B$5:$B$604,$B10,'Review Matrix'!$C$5:$C$604,$C10,'Review Matrix'!$H$5:$H$604,"DIRECT_OTHER_FRAMEWORK")</x:f>
        <x:v>0</x:v>
      </x:c>
      <x:c r="G10" s="19" t="n">
        <x:f>COUNTIFS('Review Matrix'!$B$5:$B$604,$B10,'Review Matrix'!$C$5:$C$604,$C10,'Review Matrix'!$H$5:$H$604,"SHORT_FROM_LONG_CANDIDATE")+COUNTIFS('Review Matrix'!$B$5:$B$604,$B10,'Review Matrix'!$C$5:$C$604,$C10,'Review Matrix'!$H$5:$H$604,"LONG_FROM_SHORT_CANDIDATE")+COUNTIFS('Review Matrix'!$B$5:$B$604,$B10,'Review Matrix'!$C$5:$C$604,$C10,'Review Matrix'!$H$5:$H$604,"AGENTIC_RATIO_CANDIDATE")</x:f>
        <x:v>0</x:v>
      </x:c>
      <x:c r="H10" s="19" t="n">
        <x:f>COUNTIFS('Review Matrix'!$B$5:$B$604,$B10,'Review Matrix'!$C$5:$C$604,$C10,'Review Matrix'!$H$5:$H$604,"CROSS_MODEL_RATIO_REQUIRED")</x:f>
        <x:v>0</x:v>
      </x:c>
      <x:c r="I10" s="19" t="n">
        <x:f>COUNTIFS('Review Matrix'!$B$5:$B$604,$B10,'Review Matrix'!$C$5:$C$604,$C10,'Review Matrix'!$H$5:$H$604,"GPU_SCALING_REQUIRED")</x:f>
        <x:v>0</x:v>
      </x:c>
      <x:c r="J10" s="23" t="str">
        <x:f>IF(I10&gt;0,"Future GPU: scaling layer",IF(H10&gt;0,"Cross-model coefficient needed",IF(G10&gt;0,"Same-model workload ratio candidate",IF(F10&gt;0,"Framework choice needs review","Direct preferred coverage"))))</x:f>
        <x:v>Direct preferred coverage</x:v>
      </x:c>
    </x:row>
    <x:row r="11">
      <x:c r="A11" t="str">
        <x:v>DeepSeek V4 Pro</x:v>
      </x:c>
      <x:c r="B11" t="str">
        <x:v>dsv4</x:v>
      </x:c>
      <x:c r="C11" t="str">
        <x:v>B300</x:v>
      </x:c>
      <x:c r="D11" t="str">
        <x:v>vllm</x:v>
      </x:c>
      <x:c r="E11" s="19" t="n">
        <x:f>COUNTIFS('Review Matrix'!$B$5:$B$604,$B11,'Review Matrix'!$C$5:$C$604,$C11,'Review Matrix'!$H$5:$H$604,"DIRECT_PREFERRED")</x:f>
        <x:v>12</x:v>
      </x:c>
      <x:c r="F11" s="19" t="n">
        <x:f>COUNTIFS('Review Matrix'!$B$5:$B$604,$B11,'Review Matrix'!$C$5:$C$604,$C11,'Review Matrix'!$H$5:$H$604,"DIRECT_OTHER_FRAMEWORK")</x:f>
        <x:v>0</x:v>
      </x:c>
      <x:c r="G11" s="19" t="n">
        <x:f>COUNTIFS('Review Matrix'!$B$5:$B$604,$B11,'Review Matrix'!$C$5:$C$604,$C11,'Review Matrix'!$H$5:$H$604,"SHORT_FROM_LONG_CANDIDATE")+COUNTIFS('Review Matrix'!$B$5:$B$604,$B11,'Review Matrix'!$C$5:$C$604,$C11,'Review Matrix'!$H$5:$H$604,"LONG_FROM_SHORT_CANDIDATE")+COUNTIFS('Review Matrix'!$B$5:$B$604,$B11,'Review Matrix'!$C$5:$C$604,$C11,'Review Matrix'!$H$5:$H$604,"AGENTIC_RATIO_CANDIDATE")</x:f>
        <x:v>0</x:v>
      </x:c>
      <x:c r="H11" s="19" t="n">
        <x:f>COUNTIFS('Review Matrix'!$B$5:$B$604,$B11,'Review Matrix'!$C$5:$C$604,$C11,'Review Matrix'!$H$5:$H$604,"CROSS_MODEL_RATIO_REQUIRED")</x:f>
        <x:v>0</x:v>
      </x:c>
      <x:c r="I11" s="19" t="n">
        <x:f>COUNTIFS('Review Matrix'!$B$5:$B$604,$B11,'Review Matrix'!$C$5:$C$604,$C11,'Review Matrix'!$H$5:$H$604,"GPU_SCALING_REQUIRED")</x:f>
        <x:v>0</x:v>
      </x:c>
      <x:c r="J11" s="23" t="str">
        <x:f>IF(I11&gt;0,"Future GPU: scaling layer",IF(H11&gt;0,"Cross-model coefficient needed",IF(G11&gt;0,"Same-model workload ratio candidate",IF(F11&gt;0,"Framework choice needs review","Direct preferred coverage"))))</x:f>
        <x:v>Direct preferred coverage</x:v>
      </x:c>
    </x:row>
    <x:row r="12">
      <x:c r="A12" t="str">
        <x:v>DeepSeek V4 Pro</x:v>
      </x:c>
      <x:c r="B12" t="str">
        <x:v>dsv4</x:v>
      </x:c>
      <x:c r="C12" t="str">
        <x:v>GB200</x:v>
      </x:c>
      <x:c r="D12" t="str">
        <x:v>dynamo-vllm</x:v>
      </x:c>
      <x:c r="E12" s="19" t="n">
        <x:f>COUNTIFS('Review Matrix'!$B$5:$B$604,$B12,'Review Matrix'!$C$5:$C$604,$C12,'Review Matrix'!$H$5:$H$604,"DIRECT_PREFERRED")</x:f>
        <x:v>7</x:v>
      </x:c>
      <x:c r="F12" s="19" t="n">
        <x:f>COUNTIFS('Review Matrix'!$B$5:$B$604,$B12,'Review Matrix'!$C$5:$C$604,$C12,'Review Matrix'!$H$5:$H$604,"DIRECT_OTHER_FRAMEWORK")</x:f>
        <x:v>0</x:v>
      </x:c>
      <x:c r="G12" s="19" t="n">
        <x:f>COUNTIFS('Review Matrix'!$B$5:$B$604,$B12,'Review Matrix'!$C$5:$C$604,$C12,'Review Matrix'!$H$5:$H$604,"SHORT_FROM_LONG_CANDIDATE")+COUNTIFS('Review Matrix'!$B$5:$B$604,$B12,'Review Matrix'!$C$5:$C$604,$C12,'Review Matrix'!$H$5:$H$604,"LONG_FROM_SHORT_CANDIDATE")+COUNTIFS('Review Matrix'!$B$5:$B$604,$B12,'Review Matrix'!$C$5:$C$604,$C12,'Review Matrix'!$H$5:$H$604,"AGENTIC_RATIO_CANDIDATE")</x:f>
        <x:v>5</x:v>
      </x:c>
      <x:c r="H12" s="19" t="n">
        <x:f>COUNTIFS('Review Matrix'!$B$5:$B$604,$B12,'Review Matrix'!$C$5:$C$604,$C12,'Review Matrix'!$H$5:$H$604,"CROSS_MODEL_RATIO_REQUIRED")</x:f>
        <x:v>0</x:v>
      </x:c>
      <x:c r="I12" s="19" t="n">
        <x:f>COUNTIFS('Review Matrix'!$B$5:$B$604,$B12,'Review Matrix'!$C$5:$C$604,$C12,'Review Matrix'!$H$5:$H$604,"GPU_SCALING_REQUIRED")</x:f>
        <x:v>0</x:v>
      </x:c>
      <x:c r="J12" s="23" t="str">
        <x:f>IF(I12&gt;0,"Future GPU: scaling layer",IF(H12&gt;0,"Cross-model coefficient needed",IF(G12&gt;0,"Same-model workload ratio candidate",IF(F12&gt;0,"Framework choice needs review","Direct preferred coverage"))))</x:f>
        <x:v>Same-model workload ratio candidate</x:v>
      </x:c>
    </x:row>
    <x:row r="13">
      <x:c r="A13" t="str">
        <x:v>DeepSeek V4 Pro</x:v>
      </x:c>
      <x:c r="B13" t="str">
        <x:v>dsv4</x:v>
      </x:c>
      <x:c r="C13" t="str">
        <x:v>GB300</x:v>
      </x:c>
      <x:c r="D13" t="str">
        <x:v>dynamo-trt</x:v>
      </x:c>
      <x:c r="E13" s="19" t="n">
        <x:f>COUNTIFS('Review Matrix'!$B$5:$B$604,$B13,'Review Matrix'!$C$5:$C$604,$C13,'Review Matrix'!$H$5:$H$604,"DIRECT_PREFERRED")</x:f>
        <x:v>8</x:v>
      </x:c>
      <x:c r="F13" s="19" t="n">
        <x:f>COUNTIFS('Review Matrix'!$B$5:$B$604,$B13,'Review Matrix'!$C$5:$C$604,$C13,'Review Matrix'!$H$5:$H$604,"DIRECT_OTHER_FRAMEWORK")</x:f>
        <x:v>4</x:v>
      </x:c>
      <x:c r="G13" s="19" t="n">
        <x:f>COUNTIFS('Review Matrix'!$B$5:$B$604,$B13,'Review Matrix'!$C$5:$C$604,$C13,'Review Matrix'!$H$5:$H$604,"SHORT_FROM_LONG_CANDIDATE")+COUNTIFS('Review Matrix'!$B$5:$B$604,$B13,'Review Matrix'!$C$5:$C$604,$C13,'Review Matrix'!$H$5:$H$604,"LONG_FROM_SHORT_CANDIDATE")+COUNTIFS('Review Matrix'!$B$5:$B$604,$B13,'Review Matrix'!$C$5:$C$604,$C13,'Review Matrix'!$H$5:$H$604,"AGENTIC_RATIO_CANDIDATE")</x:f>
        <x:v>0</x:v>
      </x:c>
      <x:c r="H13" s="19" t="n">
        <x:f>COUNTIFS('Review Matrix'!$B$5:$B$604,$B13,'Review Matrix'!$C$5:$C$604,$C13,'Review Matrix'!$H$5:$H$604,"CROSS_MODEL_RATIO_REQUIRED")</x:f>
        <x:v>0</x:v>
      </x:c>
      <x:c r="I13" s="19" t="n">
        <x:f>COUNTIFS('Review Matrix'!$B$5:$B$604,$B13,'Review Matrix'!$C$5:$C$604,$C13,'Review Matrix'!$H$5:$H$604,"GPU_SCALING_REQUIRED")</x:f>
        <x:v>0</x:v>
      </x:c>
      <x:c r="J13" s="23" t="str">
        <x:f>IF(I13&gt;0,"Future GPU: scaling layer",IF(H13&gt;0,"Cross-model coefficient needed",IF(G13&gt;0,"Same-model workload ratio candidate",IF(F13&gt;0,"Framework choice needs review","Direct preferred coverage"))))</x:f>
        <x:v>Framework choice needs review</x:v>
      </x:c>
    </x:row>
    <x:row r="14">
      <x:c r="A14" t="str">
        <x:v>DeepSeek V4 Pro</x:v>
      </x:c>
      <x:c r="B14" t="str">
        <x:v>dsv4</x:v>
      </x:c>
      <x:c r="C14" t="str">
        <x:v>R200</x:v>
      </x:c>
      <x:c r="D14" t="str"/>
      <x:c r="E14" s="19" t="n">
        <x:f>COUNTIFS('Review Matrix'!$B$5:$B$604,$B14,'Review Matrix'!$C$5:$C$604,$C14,'Review Matrix'!$H$5:$H$604,"DIRECT_PREFERRED")</x:f>
        <x:v>0</x:v>
      </x:c>
      <x:c r="F14" s="19" t="n">
        <x:f>COUNTIFS('Review Matrix'!$B$5:$B$604,$B14,'Review Matrix'!$C$5:$C$604,$C14,'Review Matrix'!$H$5:$H$604,"DIRECT_OTHER_FRAMEWORK")</x:f>
        <x:v>0</x:v>
      </x:c>
      <x:c r="G14" s="19" t="n">
        <x:f>COUNTIFS('Review Matrix'!$B$5:$B$604,$B14,'Review Matrix'!$C$5:$C$604,$C14,'Review Matrix'!$H$5:$H$604,"SHORT_FROM_LONG_CANDIDATE")+COUNTIFS('Review Matrix'!$B$5:$B$604,$B14,'Review Matrix'!$C$5:$C$604,$C14,'Review Matrix'!$H$5:$H$604,"LONG_FROM_SHORT_CANDIDATE")+COUNTIFS('Review Matrix'!$B$5:$B$604,$B14,'Review Matrix'!$C$5:$C$604,$C14,'Review Matrix'!$H$5:$H$604,"AGENTIC_RATIO_CANDIDATE")</x:f>
        <x:v>0</x:v>
      </x:c>
      <x:c r="H14" s="19" t="n">
        <x:f>COUNTIFS('Review Matrix'!$B$5:$B$604,$B14,'Review Matrix'!$C$5:$C$604,$C14,'Review Matrix'!$H$5:$H$604,"CROSS_MODEL_RATIO_REQUIRED")</x:f>
        <x:v>0</x:v>
      </x:c>
      <x:c r="I14" s="19" t="n">
        <x:f>COUNTIFS('Review Matrix'!$B$5:$B$604,$B14,'Review Matrix'!$C$5:$C$604,$C14,'Review Matrix'!$H$5:$H$604,"GPU_SCALING_REQUIRED")</x:f>
        <x:v>12</x:v>
      </x:c>
      <x:c r="J14" s="23" t="str">
        <x:f>IF(I14&gt;0,"Future GPU: scaling layer",IF(H14&gt;0,"Cross-model coefficient needed",IF(G14&gt;0,"Same-model workload ratio candidate",IF(F14&gt;0,"Framework choice needs review","Direct preferred coverage"))))</x:f>
        <x:v>Future GPU: scaling layer</x:v>
      </x:c>
    </x:row>
    <x:row r="15">
      <x:c r="A15" t="str">
        <x:v>DeepSeek V4 Pro</x:v>
      </x:c>
      <x:c r="B15" t="str">
        <x:v>dsv4</x:v>
      </x:c>
      <x:c r="C15" t="str">
        <x:v>VR200</x:v>
      </x:c>
      <x:c r="D15" t="str"/>
      <x:c r="E15" s="19" t="n">
        <x:f>COUNTIFS('Review Matrix'!$B$5:$B$604,$B15,'Review Matrix'!$C$5:$C$604,$C15,'Review Matrix'!$H$5:$H$604,"DIRECT_PREFERRED")</x:f>
        <x:v>0</x:v>
      </x:c>
      <x:c r="F15" s="19" t="n">
        <x:f>COUNTIFS('Review Matrix'!$B$5:$B$604,$B15,'Review Matrix'!$C$5:$C$604,$C15,'Review Matrix'!$H$5:$H$604,"DIRECT_OTHER_FRAMEWORK")</x:f>
        <x:v>0</x:v>
      </x:c>
      <x:c r="G15" s="19" t="n">
        <x:f>COUNTIFS('Review Matrix'!$B$5:$B$604,$B15,'Review Matrix'!$C$5:$C$604,$C15,'Review Matrix'!$H$5:$H$604,"SHORT_FROM_LONG_CANDIDATE")+COUNTIFS('Review Matrix'!$B$5:$B$604,$B15,'Review Matrix'!$C$5:$C$604,$C15,'Review Matrix'!$H$5:$H$604,"LONG_FROM_SHORT_CANDIDATE")+COUNTIFS('Review Matrix'!$B$5:$B$604,$B15,'Review Matrix'!$C$5:$C$604,$C15,'Review Matrix'!$H$5:$H$604,"AGENTIC_RATIO_CANDIDATE")</x:f>
        <x:v>0</x:v>
      </x:c>
      <x:c r="H15" s="19" t="n">
        <x:f>COUNTIFS('Review Matrix'!$B$5:$B$604,$B15,'Review Matrix'!$C$5:$C$604,$C15,'Review Matrix'!$H$5:$H$604,"CROSS_MODEL_RATIO_REQUIRED")</x:f>
        <x:v>0</x:v>
      </x:c>
      <x:c r="I15" s="19" t="n">
        <x:f>COUNTIFS('Review Matrix'!$B$5:$B$604,$B15,'Review Matrix'!$C$5:$C$604,$C15,'Review Matrix'!$H$5:$H$604,"GPU_SCALING_REQUIRED")</x:f>
        <x:v>12</x:v>
      </x:c>
      <x:c r="J15" s="23" t="str">
        <x:f>IF(I15&gt;0,"Future GPU: scaling layer",IF(H15&gt;0,"Cross-model coefficient needed",IF(G15&gt;0,"Same-model workload ratio candidate",IF(F15&gt;0,"Framework choice needs review","Direct preferred coverage"))))</x:f>
        <x:v>Future GPU: scaling layer</x:v>
      </x:c>
    </x:row>
    <x:row r="16">
      <x:c r="A16" t="str">
        <x:v>DeepSeek V4 Pro</x:v>
      </x:c>
      <x:c r="B16" t="str">
        <x:v>dsv4</x:v>
      </x:c>
      <x:c r="C16" t="str">
        <x:v>R300</x:v>
      </x:c>
      <x:c r="D16" t="str"/>
      <x:c r="E16" s="19" t="n">
        <x:f>COUNTIFS('Review Matrix'!$B$5:$B$604,$B16,'Review Matrix'!$C$5:$C$604,$C16,'Review Matrix'!$H$5:$H$604,"DIRECT_PREFERRED")</x:f>
        <x:v>0</x:v>
      </x:c>
      <x:c r="F16" s="19" t="n">
        <x:f>COUNTIFS('Review Matrix'!$B$5:$B$604,$B16,'Review Matrix'!$C$5:$C$604,$C16,'Review Matrix'!$H$5:$H$604,"DIRECT_OTHER_FRAMEWORK")</x:f>
        <x:v>0</x:v>
      </x:c>
      <x:c r="G16" s="19" t="n">
        <x:f>COUNTIFS('Review Matrix'!$B$5:$B$604,$B16,'Review Matrix'!$C$5:$C$604,$C16,'Review Matrix'!$H$5:$H$604,"SHORT_FROM_LONG_CANDIDATE")+COUNTIFS('Review Matrix'!$B$5:$B$604,$B16,'Review Matrix'!$C$5:$C$604,$C16,'Review Matrix'!$H$5:$H$604,"LONG_FROM_SHORT_CANDIDATE")+COUNTIFS('Review Matrix'!$B$5:$B$604,$B16,'Review Matrix'!$C$5:$C$604,$C16,'Review Matrix'!$H$5:$H$604,"AGENTIC_RATIO_CANDIDATE")</x:f>
        <x:v>0</x:v>
      </x:c>
      <x:c r="H16" s="19" t="n">
        <x:f>COUNTIFS('Review Matrix'!$B$5:$B$604,$B16,'Review Matrix'!$C$5:$C$604,$C16,'Review Matrix'!$H$5:$H$604,"CROSS_MODEL_RATIO_REQUIRED")</x:f>
        <x:v>0</x:v>
      </x:c>
      <x:c r="I16" s="19" t="n">
        <x:f>COUNTIFS('Review Matrix'!$B$5:$B$604,$B16,'Review Matrix'!$C$5:$C$604,$C16,'Review Matrix'!$H$5:$H$604,"GPU_SCALING_REQUIRED")</x:f>
        <x:v>12</x:v>
      </x:c>
      <x:c r="J16" s="23" t="str">
        <x:f>IF(I16&gt;0,"Future GPU: scaling layer",IF(H16&gt;0,"Cross-model coefficient needed",IF(G16&gt;0,"Same-model workload ratio candidate",IF(F16&gt;0,"Framework choice needs review","Direct preferred coverage"))))</x:f>
        <x:v>Future GPU: scaling layer</x:v>
      </x:c>
    </x:row>
    <x:row r="17">
      <x:c r="A17" t="str">
        <x:v>DeepSeek V4 Pro</x:v>
      </x:c>
      <x:c r="B17" t="str">
        <x:v>dsv4</x:v>
      </x:c>
      <x:c r="C17" t="str">
        <x:v>VR300</x:v>
      </x:c>
      <x:c r="D17" t="str"/>
      <x:c r="E17" s="19" t="n">
        <x:f>COUNTIFS('Review Matrix'!$B$5:$B$604,$B17,'Review Matrix'!$C$5:$C$604,$C17,'Review Matrix'!$H$5:$H$604,"DIRECT_PREFERRED")</x:f>
        <x:v>0</x:v>
      </x:c>
      <x:c r="F17" s="19" t="n">
        <x:f>COUNTIFS('Review Matrix'!$B$5:$B$604,$B17,'Review Matrix'!$C$5:$C$604,$C17,'Review Matrix'!$H$5:$H$604,"DIRECT_OTHER_FRAMEWORK")</x:f>
        <x:v>0</x:v>
      </x:c>
      <x:c r="G17" s="19" t="n">
        <x:f>COUNTIFS('Review Matrix'!$B$5:$B$604,$B17,'Review Matrix'!$C$5:$C$604,$C17,'Review Matrix'!$H$5:$H$604,"SHORT_FROM_LONG_CANDIDATE")+COUNTIFS('Review Matrix'!$B$5:$B$604,$B17,'Review Matrix'!$C$5:$C$604,$C17,'Review Matrix'!$H$5:$H$604,"LONG_FROM_SHORT_CANDIDATE")+COUNTIFS('Review Matrix'!$B$5:$B$604,$B17,'Review Matrix'!$C$5:$C$604,$C17,'Review Matrix'!$H$5:$H$604,"AGENTIC_RATIO_CANDIDATE")</x:f>
        <x:v>0</x:v>
      </x:c>
      <x:c r="H17" s="19" t="n">
        <x:f>COUNTIFS('Review Matrix'!$B$5:$B$604,$B17,'Review Matrix'!$C$5:$C$604,$C17,'Review Matrix'!$H$5:$H$604,"CROSS_MODEL_RATIO_REQUIRED")</x:f>
        <x:v>0</x:v>
      </x:c>
      <x:c r="I17" s="19" t="n">
        <x:f>COUNTIFS('Review Matrix'!$B$5:$B$604,$B17,'Review Matrix'!$C$5:$C$604,$C17,'Review Matrix'!$H$5:$H$604,"GPU_SCALING_REQUIRED")</x:f>
        <x:v>12</x:v>
      </x:c>
      <x:c r="J17" s="23" t="str">
        <x:f>IF(I17&gt;0,"Future GPU: scaling layer",IF(H17&gt;0,"Cross-model coefficient needed",IF(G17&gt;0,"Same-model workload ratio candidate",IF(F17&gt;0,"Framework choice needs review","Direct preferred coverage"))))</x:f>
        <x:v>Future GPU: scaling layer</x:v>
      </x:c>
    </x:row>
    <x:row r="18">
      <x:c r="A18" t="str">
        <x:v>DeepSeek V4 Pro</x:v>
      </x:c>
      <x:c r="B18" t="str">
        <x:v>dsv4</x:v>
      </x:c>
      <x:c r="C18" t="str">
        <x:v>Post Rubin</x:v>
      </x:c>
      <x:c r="D18" t="str"/>
      <x:c r="E18" s="19" t="n">
        <x:f>COUNTIFS('Review Matrix'!$B$5:$B$604,$B18,'Review Matrix'!$C$5:$C$604,$C18,'Review Matrix'!$H$5:$H$604,"DIRECT_PREFERRED")</x:f>
        <x:v>0</x:v>
      </x:c>
      <x:c r="F18" s="19" t="n">
        <x:f>COUNTIFS('Review Matrix'!$B$5:$B$604,$B18,'Review Matrix'!$C$5:$C$604,$C18,'Review Matrix'!$H$5:$H$604,"DIRECT_OTHER_FRAMEWORK")</x:f>
        <x:v>0</x:v>
      </x:c>
      <x:c r="G18" s="19" t="n">
        <x:f>COUNTIFS('Review Matrix'!$B$5:$B$604,$B18,'Review Matrix'!$C$5:$C$604,$C18,'Review Matrix'!$H$5:$H$604,"SHORT_FROM_LONG_CANDIDATE")+COUNTIFS('Review Matrix'!$B$5:$B$604,$B18,'Review Matrix'!$C$5:$C$604,$C18,'Review Matrix'!$H$5:$H$604,"LONG_FROM_SHORT_CANDIDATE")+COUNTIFS('Review Matrix'!$B$5:$B$604,$B18,'Review Matrix'!$C$5:$C$604,$C18,'Review Matrix'!$H$5:$H$604,"AGENTIC_RATIO_CANDIDATE")</x:f>
        <x:v>0</x:v>
      </x:c>
      <x:c r="H18" s="19" t="n">
        <x:f>COUNTIFS('Review Matrix'!$B$5:$B$604,$B18,'Review Matrix'!$C$5:$C$604,$C18,'Review Matrix'!$H$5:$H$604,"CROSS_MODEL_RATIO_REQUIRED")</x:f>
        <x:v>0</x:v>
      </x:c>
      <x:c r="I18" s="19" t="n">
        <x:f>COUNTIFS('Review Matrix'!$B$5:$B$604,$B18,'Review Matrix'!$C$5:$C$604,$C18,'Review Matrix'!$H$5:$H$604,"GPU_SCALING_REQUIRED")</x:f>
        <x:v>12</x:v>
      </x:c>
      <x:c r="J18" s="23" t="str">
        <x:f>IF(I18&gt;0,"Future GPU: scaling layer",IF(H18&gt;0,"Cross-model coefficient needed",IF(G18&gt;0,"Same-model workload ratio candidate",IF(F18&gt;0,"Framework choice needs review","Direct preferred coverage"))))</x:f>
        <x:v>Future GPU: scaling layer</x:v>
      </x:c>
    </x:row>
    <x:row r="19">
      <x:c r="A19" t="str">
        <x:v>Kimi K2.5</x:v>
      </x:c>
      <x:c r="B19" t="str">
        <x:v>kimik2.5</x:v>
      </x:c>
      <x:c r="C19" t="str">
        <x:v>H200</x:v>
      </x:c>
      <x:c r="D19" t="str">
        <x:v>vllm</x:v>
      </x:c>
      <x:c r="E19" s="19" t="n">
        <x:f>COUNTIFS('Review Matrix'!$B$5:$B$604,$B19,'Review Matrix'!$C$5:$C$604,$C19,'Review Matrix'!$H$5:$H$604,"DIRECT_PREFERRED")</x:f>
        <x:v>7</x:v>
      </x:c>
      <x:c r="F19" s="19" t="n">
        <x:f>COUNTIFS('Review Matrix'!$B$5:$B$604,$B19,'Review Matrix'!$C$5:$C$604,$C19,'Review Matrix'!$H$5:$H$604,"DIRECT_OTHER_FRAMEWORK")</x:f>
        <x:v>0</x:v>
      </x:c>
      <x:c r="G19" s="19" t="n">
        <x:f>COUNTIFS('Review Matrix'!$B$5:$B$604,$B19,'Review Matrix'!$C$5:$C$604,$C19,'Review Matrix'!$H$5:$H$604,"SHORT_FROM_LONG_CANDIDATE")+COUNTIFS('Review Matrix'!$B$5:$B$604,$B19,'Review Matrix'!$C$5:$C$604,$C19,'Review Matrix'!$H$5:$H$604,"LONG_FROM_SHORT_CANDIDATE")+COUNTIFS('Review Matrix'!$B$5:$B$604,$B19,'Review Matrix'!$C$5:$C$604,$C19,'Review Matrix'!$H$5:$H$604,"AGENTIC_RATIO_CANDIDATE")</x:f>
        <x:v>5</x:v>
      </x:c>
      <x:c r="H19" s="19" t="n">
        <x:f>COUNTIFS('Review Matrix'!$B$5:$B$604,$B19,'Review Matrix'!$C$5:$C$604,$C19,'Review Matrix'!$H$5:$H$604,"CROSS_MODEL_RATIO_REQUIRED")</x:f>
        <x:v>0</x:v>
      </x:c>
      <x:c r="I19" s="19" t="n">
        <x:f>COUNTIFS('Review Matrix'!$B$5:$B$604,$B19,'Review Matrix'!$C$5:$C$604,$C19,'Review Matrix'!$H$5:$H$604,"GPU_SCALING_REQUIRED")</x:f>
        <x:v>0</x:v>
      </x:c>
      <x:c r="J19" s="23" t="str">
        <x:f>IF(I19&gt;0,"Future GPU: scaling layer",IF(H19&gt;0,"Cross-model coefficient needed",IF(G19&gt;0,"Same-model workload ratio candidate",IF(F19&gt;0,"Framework choice needs review","Direct preferred coverage"))))</x:f>
        <x:v>Same-model workload ratio candidate</x:v>
      </x:c>
    </x:row>
    <x:row r="20">
      <x:c r="A20" t="str">
        <x:v>Kimi K2.5</x:v>
      </x:c>
      <x:c r="B20" t="str">
        <x:v>kimik2.5</x:v>
      </x:c>
      <x:c r="C20" t="str">
        <x:v>B200</x:v>
      </x:c>
      <x:c r="D20" t="str">
        <x:v>vllm</x:v>
      </x:c>
      <x:c r="E20" s="19" t="n">
        <x:f>COUNTIFS('Review Matrix'!$B$5:$B$604,$B20,'Review Matrix'!$C$5:$C$604,$C20,'Review Matrix'!$H$5:$H$604,"DIRECT_PREFERRED")</x:f>
        <x:v>8</x:v>
      </x:c>
      <x:c r="F20" s="19" t="n">
        <x:f>COUNTIFS('Review Matrix'!$B$5:$B$604,$B20,'Review Matrix'!$C$5:$C$604,$C20,'Review Matrix'!$H$5:$H$604,"DIRECT_OTHER_FRAMEWORK")</x:f>
        <x:v>0</x:v>
      </x:c>
      <x:c r="G20" s="19" t="n">
        <x:f>COUNTIFS('Review Matrix'!$B$5:$B$604,$B20,'Review Matrix'!$C$5:$C$604,$C20,'Review Matrix'!$H$5:$H$604,"SHORT_FROM_LONG_CANDIDATE")+COUNTIFS('Review Matrix'!$B$5:$B$604,$B20,'Review Matrix'!$C$5:$C$604,$C20,'Review Matrix'!$H$5:$H$604,"LONG_FROM_SHORT_CANDIDATE")+COUNTIFS('Review Matrix'!$B$5:$B$604,$B20,'Review Matrix'!$C$5:$C$604,$C20,'Review Matrix'!$H$5:$H$604,"AGENTIC_RATIO_CANDIDATE")</x:f>
        <x:v>4</x:v>
      </x:c>
      <x:c r="H20" s="19" t="n">
        <x:f>COUNTIFS('Review Matrix'!$B$5:$B$604,$B20,'Review Matrix'!$C$5:$C$604,$C20,'Review Matrix'!$H$5:$H$604,"CROSS_MODEL_RATIO_REQUIRED")</x:f>
        <x:v>0</x:v>
      </x:c>
      <x:c r="I20" s="19" t="n">
        <x:f>COUNTIFS('Review Matrix'!$B$5:$B$604,$B20,'Review Matrix'!$C$5:$C$604,$C20,'Review Matrix'!$H$5:$H$604,"GPU_SCALING_REQUIRED")</x:f>
        <x:v>0</x:v>
      </x:c>
      <x:c r="J20" s="23" t="str">
        <x:f>IF(I20&gt;0,"Future GPU: scaling layer",IF(H20&gt;0,"Cross-model coefficient needed",IF(G20&gt;0,"Same-model workload ratio candidate",IF(F20&gt;0,"Framework choice needs review","Direct preferred coverage"))))</x:f>
        <x:v>Same-model workload ratio candidate</x:v>
      </x:c>
    </x:row>
    <x:row r="21">
      <x:c r="A21" t="str">
        <x:v>Kimi K2.5</x:v>
      </x:c>
      <x:c r="B21" t="str">
        <x:v>kimik2.5</x:v>
      </x:c>
      <x:c r="C21" t="str">
        <x:v>B300</x:v>
      </x:c>
      <x:c r="D21" t="str">
        <x:v>vllm</x:v>
      </x:c>
      <x:c r="E21" s="19" t="n">
        <x:f>COUNTIFS('Review Matrix'!$B$5:$B$604,$B21,'Review Matrix'!$C$5:$C$604,$C21,'Review Matrix'!$H$5:$H$604,"DIRECT_PREFERRED")</x:f>
        <x:v>8</x:v>
      </x:c>
      <x:c r="F21" s="19" t="n">
        <x:f>COUNTIFS('Review Matrix'!$B$5:$B$604,$B21,'Review Matrix'!$C$5:$C$604,$C21,'Review Matrix'!$H$5:$H$604,"DIRECT_OTHER_FRAMEWORK")</x:f>
        <x:v>0</x:v>
      </x:c>
      <x:c r="G21" s="19" t="n">
        <x:f>COUNTIFS('Review Matrix'!$B$5:$B$604,$B21,'Review Matrix'!$C$5:$C$604,$C21,'Review Matrix'!$H$5:$H$604,"SHORT_FROM_LONG_CANDIDATE")+COUNTIFS('Review Matrix'!$B$5:$B$604,$B21,'Review Matrix'!$C$5:$C$604,$C21,'Review Matrix'!$H$5:$H$604,"LONG_FROM_SHORT_CANDIDATE")+COUNTIFS('Review Matrix'!$B$5:$B$604,$B21,'Review Matrix'!$C$5:$C$604,$C21,'Review Matrix'!$H$5:$H$604,"AGENTIC_RATIO_CANDIDATE")</x:f>
        <x:v>4</x:v>
      </x:c>
      <x:c r="H21" s="19" t="n">
        <x:f>COUNTIFS('Review Matrix'!$B$5:$B$604,$B21,'Review Matrix'!$C$5:$C$604,$C21,'Review Matrix'!$H$5:$H$604,"CROSS_MODEL_RATIO_REQUIRED")</x:f>
        <x:v>0</x:v>
      </x:c>
      <x:c r="I21" s="19" t="n">
        <x:f>COUNTIFS('Review Matrix'!$B$5:$B$604,$B21,'Review Matrix'!$C$5:$C$604,$C21,'Review Matrix'!$H$5:$H$604,"GPU_SCALING_REQUIRED")</x:f>
        <x:v>0</x:v>
      </x:c>
      <x:c r="J21" s="23" t="str">
        <x:f>IF(I21&gt;0,"Future GPU: scaling layer",IF(H21&gt;0,"Cross-model coefficient needed",IF(G21&gt;0,"Same-model workload ratio candidate",IF(F21&gt;0,"Framework choice needs review","Direct preferred coverage"))))</x:f>
        <x:v>Same-model workload ratio candidate</x:v>
      </x:c>
    </x:row>
    <x:row r="22">
      <x:c r="A22" t="str">
        <x:v>Kimi K2.5</x:v>
      </x:c>
      <x:c r="B22" t="str">
        <x:v>kimik2.5</x:v>
      </x:c>
      <x:c r="C22" t="str">
        <x:v>GB200</x:v>
      </x:c>
      <x:c r="D22" t="str">
        <x:v>dynamo-trt</x:v>
      </x:c>
      <x:c r="E22" s="19" t="n">
        <x:f>COUNTIFS('Review Matrix'!$B$5:$B$604,$B22,'Review Matrix'!$C$5:$C$604,$C22,'Review Matrix'!$H$5:$H$604,"DIRECT_PREFERRED")</x:f>
        <x:v>8</x:v>
      </x:c>
      <x:c r="F22" s="19" t="n">
        <x:f>COUNTIFS('Review Matrix'!$B$5:$B$604,$B22,'Review Matrix'!$C$5:$C$604,$C22,'Review Matrix'!$H$5:$H$604,"DIRECT_OTHER_FRAMEWORK")</x:f>
        <x:v>0</x:v>
      </x:c>
      <x:c r="G22" s="19" t="n">
        <x:f>COUNTIFS('Review Matrix'!$B$5:$B$604,$B22,'Review Matrix'!$C$5:$C$604,$C22,'Review Matrix'!$H$5:$H$604,"SHORT_FROM_LONG_CANDIDATE")+COUNTIFS('Review Matrix'!$B$5:$B$604,$B22,'Review Matrix'!$C$5:$C$604,$C22,'Review Matrix'!$H$5:$H$604,"LONG_FROM_SHORT_CANDIDATE")+COUNTIFS('Review Matrix'!$B$5:$B$604,$B22,'Review Matrix'!$C$5:$C$604,$C22,'Review Matrix'!$H$5:$H$604,"AGENTIC_RATIO_CANDIDATE")</x:f>
        <x:v>4</x:v>
      </x:c>
      <x:c r="H22" s="19" t="n">
        <x:f>COUNTIFS('Review Matrix'!$B$5:$B$604,$B22,'Review Matrix'!$C$5:$C$604,$C22,'Review Matrix'!$H$5:$H$604,"CROSS_MODEL_RATIO_REQUIRED")</x:f>
        <x:v>0</x:v>
      </x:c>
      <x:c r="I22" s="19" t="n">
        <x:f>COUNTIFS('Review Matrix'!$B$5:$B$604,$B22,'Review Matrix'!$C$5:$C$604,$C22,'Review Matrix'!$H$5:$H$604,"GPU_SCALING_REQUIRED")</x:f>
        <x:v>0</x:v>
      </x:c>
      <x:c r="J22" s="23" t="str">
        <x:f>IF(I22&gt;0,"Future GPU: scaling layer",IF(H22&gt;0,"Cross-model coefficient needed",IF(G22&gt;0,"Same-model workload ratio candidate",IF(F22&gt;0,"Framework choice needs review","Direct preferred coverage"))))</x:f>
        <x:v>Same-model workload ratio candidate</x:v>
      </x:c>
    </x:row>
    <x:row r="23">
      <x:c r="A23" t="str">
        <x:v>Kimi K2.5</x:v>
      </x:c>
      <x:c r="B23" t="str">
        <x:v>kimik2.5</x:v>
      </x:c>
      <x:c r="C23" t="str">
        <x:v>GB300</x:v>
      </x:c>
      <x:c r="D23" t="str">
        <x:v>dynamo-trt</x:v>
      </x:c>
      <x:c r="E23" s="19" t="n">
        <x:f>COUNTIFS('Review Matrix'!$B$5:$B$604,$B23,'Review Matrix'!$C$5:$C$604,$C23,'Review Matrix'!$H$5:$H$604,"DIRECT_PREFERRED")</x:f>
        <x:v>8</x:v>
      </x:c>
      <x:c r="F23" s="19" t="n">
        <x:f>COUNTIFS('Review Matrix'!$B$5:$B$604,$B23,'Review Matrix'!$C$5:$C$604,$C23,'Review Matrix'!$H$5:$H$604,"DIRECT_OTHER_FRAMEWORK")</x:f>
        <x:v>0</x:v>
      </x:c>
      <x:c r="G23" s="19" t="n">
        <x:f>COUNTIFS('Review Matrix'!$B$5:$B$604,$B23,'Review Matrix'!$C$5:$C$604,$C23,'Review Matrix'!$H$5:$H$604,"SHORT_FROM_LONG_CANDIDATE")+COUNTIFS('Review Matrix'!$B$5:$B$604,$B23,'Review Matrix'!$C$5:$C$604,$C23,'Review Matrix'!$H$5:$H$604,"LONG_FROM_SHORT_CANDIDATE")+COUNTIFS('Review Matrix'!$B$5:$B$604,$B23,'Review Matrix'!$C$5:$C$604,$C23,'Review Matrix'!$H$5:$H$604,"AGENTIC_RATIO_CANDIDATE")</x:f>
        <x:v>4</x:v>
      </x:c>
      <x:c r="H23" s="19" t="n">
        <x:f>COUNTIFS('Review Matrix'!$B$5:$B$604,$B23,'Review Matrix'!$C$5:$C$604,$C23,'Review Matrix'!$H$5:$H$604,"CROSS_MODEL_RATIO_REQUIRED")</x:f>
        <x:v>0</x:v>
      </x:c>
      <x:c r="I23" s="19" t="n">
        <x:f>COUNTIFS('Review Matrix'!$B$5:$B$604,$B23,'Review Matrix'!$C$5:$C$604,$C23,'Review Matrix'!$H$5:$H$604,"GPU_SCALING_REQUIRED")</x:f>
        <x:v>0</x:v>
      </x:c>
      <x:c r="J23" s="23" t="str">
        <x:f>IF(I23&gt;0,"Future GPU: scaling layer",IF(H23&gt;0,"Cross-model coefficient needed",IF(G23&gt;0,"Same-model workload ratio candidate",IF(F23&gt;0,"Framework choice needs review","Direct preferred coverage"))))</x:f>
        <x:v>Same-model workload ratio candidate</x:v>
      </x:c>
    </x:row>
    <x:row r="24">
      <x:c r="A24" t="str">
        <x:v>Kimi K2.5</x:v>
      </x:c>
      <x:c r="B24" t="str">
        <x:v>kimik2.5</x:v>
      </x:c>
      <x:c r="C24" t="str">
        <x:v>R200</x:v>
      </x:c>
      <x:c r="D24" t="str"/>
      <x:c r="E24" s="19" t="n">
        <x:f>COUNTIFS('Review Matrix'!$B$5:$B$604,$B24,'Review Matrix'!$C$5:$C$604,$C24,'Review Matrix'!$H$5:$H$604,"DIRECT_PREFERRED")</x:f>
        <x:v>0</x:v>
      </x:c>
      <x:c r="F24" s="19" t="n">
        <x:f>COUNTIFS('Review Matrix'!$B$5:$B$604,$B24,'Review Matrix'!$C$5:$C$604,$C24,'Review Matrix'!$H$5:$H$604,"DIRECT_OTHER_FRAMEWORK")</x:f>
        <x:v>0</x:v>
      </x:c>
      <x:c r="G24" s="19" t="n">
        <x:f>COUNTIFS('Review Matrix'!$B$5:$B$604,$B24,'Review Matrix'!$C$5:$C$604,$C24,'Review Matrix'!$H$5:$H$604,"SHORT_FROM_LONG_CANDIDATE")+COUNTIFS('Review Matrix'!$B$5:$B$604,$B24,'Review Matrix'!$C$5:$C$604,$C24,'Review Matrix'!$H$5:$H$604,"LONG_FROM_SHORT_CANDIDATE")+COUNTIFS('Review Matrix'!$B$5:$B$604,$B24,'Review Matrix'!$C$5:$C$604,$C24,'Review Matrix'!$H$5:$H$604,"AGENTIC_RATIO_CANDIDATE")</x:f>
        <x:v>0</x:v>
      </x:c>
      <x:c r="H24" s="19" t="n">
        <x:f>COUNTIFS('Review Matrix'!$B$5:$B$604,$B24,'Review Matrix'!$C$5:$C$604,$C24,'Review Matrix'!$H$5:$H$604,"CROSS_MODEL_RATIO_REQUIRED")</x:f>
        <x:v>0</x:v>
      </x:c>
      <x:c r="I24" s="19" t="n">
        <x:f>COUNTIFS('Review Matrix'!$B$5:$B$604,$B24,'Review Matrix'!$C$5:$C$604,$C24,'Review Matrix'!$H$5:$H$604,"GPU_SCALING_REQUIRED")</x:f>
        <x:v>12</x:v>
      </x:c>
      <x:c r="J24" s="23" t="str">
        <x:f>IF(I24&gt;0,"Future GPU: scaling layer",IF(H24&gt;0,"Cross-model coefficient needed",IF(G24&gt;0,"Same-model workload ratio candidate",IF(F24&gt;0,"Framework choice needs review","Direct preferred coverage"))))</x:f>
        <x:v>Future GPU: scaling layer</x:v>
      </x:c>
    </x:row>
    <x:row r="25">
      <x:c r="A25" t="str">
        <x:v>Kimi K2.5</x:v>
      </x:c>
      <x:c r="B25" t="str">
        <x:v>kimik2.5</x:v>
      </x:c>
      <x:c r="C25" t="str">
        <x:v>VR200</x:v>
      </x:c>
      <x:c r="D25" t="str"/>
      <x:c r="E25" s="19" t="n">
        <x:f>COUNTIFS('Review Matrix'!$B$5:$B$604,$B25,'Review Matrix'!$C$5:$C$604,$C25,'Review Matrix'!$H$5:$H$604,"DIRECT_PREFERRED")</x:f>
        <x:v>0</x:v>
      </x:c>
      <x:c r="F25" s="19" t="n">
        <x:f>COUNTIFS('Review Matrix'!$B$5:$B$604,$B25,'Review Matrix'!$C$5:$C$604,$C25,'Review Matrix'!$H$5:$H$604,"DIRECT_OTHER_FRAMEWORK")</x:f>
        <x:v>0</x:v>
      </x:c>
      <x:c r="G25" s="19" t="n">
        <x:f>COUNTIFS('Review Matrix'!$B$5:$B$604,$B25,'Review Matrix'!$C$5:$C$604,$C25,'Review Matrix'!$H$5:$H$604,"SHORT_FROM_LONG_CANDIDATE")+COUNTIFS('Review Matrix'!$B$5:$B$604,$B25,'Review Matrix'!$C$5:$C$604,$C25,'Review Matrix'!$H$5:$H$604,"LONG_FROM_SHORT_CANDIDATE")+COUNTIFS('Review Matrix'!$B$5:$B$604,$B25,'Review Matrix'!$C$5:$C$604,$C25,'Review Matrix'!$H$5:$H$604,"AGENTIC_RATIO_CANDIDATE")</x:f>
        <x:v>0</x:v>
      </x:c>
      <x:c r="H25" s="19" t="n">
        <x:f>COUNTIFS('Review Matrix'!$B$5:$B$604,$B25,'Review Matrix'!$C$5:$C$604,$C25,'Review Matrix'!$H$5:$H$604,"CROSS_MODEL_RATIO_REQUIRED")</x:f>
        <x:v>0</x:v>
      </x:c>
      <x:c r="I25" s="19" t="n">
        <x:f>COUNTIFS('Review Matrix'!$B$5:$B$604,$B25,'Review Matrix'!$C$5:$C$604,$C25,'Review Matrix'!$H$5:$H$604,"GPU_SCALING_REQUIRED")</x:f>
        <x:v>12</x:v>
      </x:c>
      <x:c r="J25" s="23" t="str">
        <x:f>IF(I25&gt;0,"Future GPU: scaling layer",IF(H25&gt;0,"Cross-model coefficient needed",IF(G25&gt;0,"Same-model workload ratio candidate",IF(F25&gt;0,"Framework choice needs review","Direct preferred coverage"))))</x:f>
        <x:v>Future GPU: scaling layer</x:v>
      </x:c>
    </x:row>
    <x:row r="26">
      <x:c r="A26" t="str">
        <x:v>Kimi K2.5</x:v>
      </x:c>
      <x:c r="B26" t="str">
        <x:v>kimik2.5</x:v>
      </x:c>
      <x:c r="C26" t="str">
        <x:v>R300</x:v>
      </x:c>
      <x:c r="D26" t="str"/>
      <x:c r="E26" s="19" t="n">
        <x:f>COUNTIFS('Review Matrix'!$B$5:$B$604,$B26,'Review Matrix'!$C$5:$C$604,$C26,'Review Matrix'!$H$5:$H$604,"DIRECT_PREFERRED")</x:f>
        <x:v>0</x:v>
      </x:c>
      <x:c r="F26" s="19" t="n">
        <x:f>COUNTIFS('Review Matrix'!$B$5:$B$604,$B26,'Review Matrix'!$C$5:$C$604,$C26,'Review Matrix'!$H$5:$H$604,"DIRECT_OTHER_FRAMEWORK")</x:f>
        <x:v>0</x:v>
      </x:c>
      <x:c r="G26" s="19" t="n">
        <x:f>COUNTIFS('Review Matrix'!$B$5:$B$604,$B26,'Review Matrix'!$C$5:$C$604,$C26,'Review Matrix'!$H$5:$H$604,"SHORT_FROM_LONG_CANDIDATE")+COUNTIFS('Review Matrix'!$B$5:$B$604,$B26,'Review Matrix'!$C$5:$C$604,$C26,'Review Matrix'!$H$5:$H$604,"LONG_FROM_SHORT_CANDIDATE")+COUNTIFS('Review Matrix'!$B$5:$B$604,$B26,'Review Matrix'!$C$5:$C$604,$C26,'Review Matrix'!$H$5:$H$604,"AGENTIC_RATIO_CANDIDATE")</x:f>
        <x:v>0</x:v>
      </x:c>
      <x:c r="H26" s="19" t="n">
        <x:f>COUNTIFS('Review Matrix'!$B$5:$B$604,$B26,'Review Matrix'!$C$5:$C$604,$C26,'Review Matrix'!$H$5:$H$604,"CROSS_MODEL_RATIO_REQUIRED")</x:f>
        <x:v>0</x:v>
      </x:c>
      <x:c r="I26" s="19" t="n">
        <x:f>COUNTIFS('Review Matrix'!$B$5:$B$604,$B26,'Review Matrix'!$C$5:$C$604,$C26,'Review Matrix'!$H$5:$H$604,"GPU_SCALING_REQUIRED")</x:f>
        <x:v>12</x:v>
      </x:c>
      <x:c r="J26" s="23" t="str">
        <x:f>IF(I26&gt;0,"Future GPU: scaling layer",IF(H26&gt;0,"Cross-model coefficient needed",IF(G26&gt;0,"Same-model workload ratio candidate",IF(F26&gt;0,"Framework choice needs review","Direct preferred coverage"))))</x:f>
        <x:v>Future GPU: scaling layer</x:v>
      </x:c>
    </x:row>
    <x:row r="27">
      <x:c r="A27" t="str">
        <x:v>Kimi K2.5</x:v>
      </x:c>
      <x:c r="B27" t="str">
        <x:v>kimik2.5</x:v>
      </x:c>
      <x:c r="C27" t="str">
        <x:v>VR300</x:v>
      </x:c>
      <x:c r="D27" t="str"/>
      <x:c r="E27" s="19" t="n">
        <x:f>COUNTIFS('Review Matrix'!$B$5:$B$604,$B27,'Review Matrix'!$C$5:$C$604,$C27,'Review Matrix'!$H$5:$H$604,"DIRECT_PREFERRED")</x:f>
        <x:v>0</x:v>
      </x:c>
      <x:c r="F27" s="19" t="n">
        <x:f>COUNTIFS('Review Matrix'!$B$5:$B$604,$B27,'Review Matrix'!$C$5:$C$604,$C27,'Review Matrix'!$H$5:$H$604,"DIRECT_OTHER_FRAMEWORK")</x:f>
        <x:v>0</x:v>
      </x:c>
      <x:c r="G27" s="19" t="n">
        <x:f>COUNTIFS('Review Matrix'!$B$5:$B$604,$B27,'Review Matrix'!$C$5:$C$604,$C27,'Review Matrix'!$H$5:$H$604,"SHORT_FROM_LONG_CANDIDATE")+COUNTIFS('Review Matrix'!$B$5:$B$604,$B27,'Review Matrix'!$C$5:$C$604,$C27,'Review Matrix'!$H$5:$H$604,"LONG_FROM_SHORT_CANDIDATE")+COUNTIFS('Review Matrix'!$B$5:$B$604,$B27,'Review Matrix'!$C$5:$C$604,$C27,'Review Matrix'!$H$5:$H$604,"AGENTIC_RATIO_CANDIDATE")</x:f>
        <x:v>0</x:v>
      </x:c>
      <x:c r="H27" s="19" t="n">
        <x:f>COUNTIFS('Review Matrix'!$B$5:$B$604,$B27,'Review Matrix'!$C$5:$C$604,$C27,'Review Matrix'!$H$5:$H$604,"CROSS_MODEL_RATIO_REQUIRED")</x:f>
        <x:v>0</x:v>
      </x:c>
      <x:c r="I27" s="19" t="n">
        <x:f>COUNTIFS('Review Matrix'!$B$5:$B$604,$B27,'Review Matrix'!$C$5:$C$604,$C27,'Review Matrix'!$H$5:$H$604,"GPU_SCALING_REQUIRED")</x:f>
        <x:v>12</x:v>
      </x:c>
      <x:c r="J27" s="23" t="str">
        <x:f>IF(I27&gt;0,"Future GPU: scaling layer",IF(H27&gt;0,"Cross-model coefficient needed",IF(G27&gt;0,"Same-model workload ratio candidate",IF(F27&gt;0,"Framework choice needs review","Direct preferred coverage"))))</x:f>
        <x:v>Future GPU: scaling layer</x:v>
      </x:c>
    </x:row>
    <x:row r="28">
      <x:c r="A28" t="str">
        <x:v>Kimi K2.5</x:v>
      </x:c>
      <x:c r="B28" t="str">
        <x:v>kimik2.5</x:v>
      </x:c>
      <x:c r="C28" t="str">
        <x:v>Post Rubin</x:v>
      </x:c>
      <x:c r="D28" t="str"/>
      <x:c r="E28" s="19" t="n">
        <x:f>COUNTIFS('Review Matrix'!$B$5:$B$604,$B28,'Review Matrix'!$C$5:$C$604,$C28,'Review Matrix'!$H$5:$H$604,"DIRECT_PREFERRED")</x:f>
        <x:v>0</x:v>
      </x:c>
      <x:c r="F28" s="19" t="n">
        <x:f>COUNTIFS('Review Matrix'!$B$5:$B$604,$B28,'Review Matrix'!$C$5:$C$604,$C28,'Review Matrix'!$H$5:$H$604,"DIRECT_OTHER_FRAMEWORK")</x:f>
        <x:v>0</x:v>
      </x:c>
      <x:c r="G28" s="19" t="n">
        <x:f>COUNTIFS('Review Matrix'!$B$5:$B$604,$B28,'Review Matrix'!$C$5:$C$604,$C28,'Review Matrix'!$H$5:$H$604,"SHORT_FROM_LONG_CANDIDATE")+COUNTIFS('Review Matrix'!$B$5:$B$604,$B28,'Review Matrix'!$C$5:$C$604,$C28,'Review Matrix'!$H$5:$H$604,"LONG_FROM_SHORT_CANDIDATE")+COUNTIFS('Review Matrix'!$B$5:$B$604,$B28,'Review Matrix'!$C$5:$C$604,$C28,'Review Matrix'!$H$5:$H$604,"AGENTIC_RATIO_CANDIDATE")</x:f>
        <x:v>0</x:v>
      </x:c>
      <x:c r="H28" s="19" t="n">
        <x:f>COUNTIFS('Review Matrix'!$B$5:$B$604,$B28,'Review Matrix'!$C$5:$C$604,$C28,'Review Matrix'!$H$5:$H$604,"CROSS_MODEL_RATIO_REQUIRED")</x:f>
        <x:v>0</x:v>
      </x:c>
      <x:c r="I28" s="19" t="n">
        <x:f>COUNTIFS('Review Matrix'!$B$5:$B$604,$B28,'Review Matrix'!$C$5:$C$604,$C28,'Review Matrix'!$H$5:$H$604,"GPU_SCALING_REQUIRED")</x:f>
        <x:v>12</x:v>
      </x:c>
      <x:c r="J28" s="23" t="str">
        <x:f>IF(I28&gt;0,"Future GPU: scaling layer",IF(H28&gt;0,"Cross-model coefficient needed",IF(G28&gt;0,"Same-model workload ratio candidate",IF(F28&gt;0,"Framework choice needs review","Direct preferred coverage"))))</x:f>
        <x:v>Future GPU: scaling layer</x:v>
      </x:c>
    </x:row>
    <x:row r="29">
      <x:c r="A29" t="str">
        <x:v>MiniMax M3</x:v>
      </x:c>
      <x:c r="B29" t="str">
        <x:v>minimaxm3</x:v>
      </x:c>
      <x:c r="C29" t="str">
        <x:v>H200</x:v>
      </x:c>
      <x:c r="D29" t="str">
        <x:v>vllm</x:v>
      </x:c>
      <x:c r="E29" s="19" t="n">
        <x:f>COUNTIFS('Review Matrix'!$B$5:$B$604,$B29,'Review Matrix'!$C$5:$C$604,$C29,'Review Matrix'!$H$5:$H$604,"DIRECT_PREFERRED")</x:f>
        <x:v>12</x:v>
      </x:c>
      <x:c r="F29" s="19" t="n">
        <x:f>COUNTIFS('Review Matrix'!$B$5:$B$604,$B29,'Review Matrix'!$C$5:$C$604,$C29,'Review Matrix'!$H$5:$H$604,"DIRECT_OTHER_FRAMEWORK")</x:f>
        <x:v>0</x:v>
      </x:c>
      <x:c r="G29" s="19" t="n">
        <x:f>COUNTIFS('Review Matrix'!$B$5:$B$604,$B29,'Review Matrix'!$C$5:$C$604,$C29,'Review Matrix'!$H$5:$H$604,"SHORT_FROM_LONG_CANDIDATE")+COUNTIFS('Review Matrix'!$B$5:$B$604,$B29,'Review Matrix'!$C$5:$C$604,$C29,'Review Matrix'!$H$5:$H$604,"LONG_FROM_SHORT_CANDIDATE")+COUNTIFS('Review Matrix'!$B$5:$B$604,$B29,'Review Matrix'!$C$5:$C$604,$C29,'Review Matrix'!$H$5:$H$604,"AGENTIC_RATIO_CANDIDATE")</x:f>
        <x:v>0</x:v>
      </x:c>
      <x:c r="H29" s="19" t="n">
        <x:f>COUNTIFS('Review Matrix'!$B$5:$B$604,$B29,'Review Matrix'!$C$5:$C$604,$C29,'Review Matrix'!$H$5:$H$604,"CROSS_MODEL_RATIO_REQUIRED")</x:f>
        <x:v>0</x:v>
      </x:c>
      <x:c r="I29" s="19" t="n">
        <x:f>COUNTIFS('Review Matrix'!$B$5:$B$604,$B29,'Review Matrix'!$C$5:$C$604,$C29,'Review Matrix'!$H$5:$H$604,"GPU_SCALING_REQUIRED")</x:f>
        <x:v>0</x:v>
      </x:c>
      <x:c r="J29" s="23" t="str">
        <x:f>IF(I29&gt;0,"Future GPU: scaling layer",IF(H29&gt;0,"Cross-model coefficient needed",IF(G29&gt;0,"Same-model workload ratio candidate",IF(F29&gt;0,"Framework choice needs review","Direct preferred coverage"))))</x:f>
        <x:v>Direct preferred coverage</x:v>
      </x:c>
    </x:row>
    <x:row r="30">
      <x:c r="A30" t="str">
        <x:v>MiniMax M3</x:v>
      </x:c>
      <x:c r="B30" t="str">
        <x:v>minimaxm3</x:v>
      </x:c>
      <x:c r="C30" t="str">
        <x:v>B200</x:v>
      </x:c>
      <x:c r="D30" t="str">
        <x:v>vllm</x:v>
      </x:c>
      <x:c r="E30" s="19" t="n">
        <x:f>COUNTIFS('Review Matrix'!$B$5:$B$604,$B30,'Review Matrix'!$C$5:$C$604,$C30,'Review Matrix'!$H$5:$H$604,"DIRECT_PREFERRED")</x:f>
        <x:v>12</x:v>
      </x:c>
      <x:c r="F30" s="19" t="n">
        <x:f>COUNTIFS('Review Matrix'!$B$5:$B$604,$B30,'Review Matrix'!$C$5:$C$604,$C30,'Review Matrix'!$H$5:$H$604,"DIRECT_OTHER_FRAMEWORK")</x:f>
        <x:v>0</x:v>
      </x:c>
      <x:c r="G30" s="19" t="n">
        <x:f>COUNTIFS('Review Matrix'!$B$5:$B$604,$B30,'Review Matrix'!$C$5:$C$604,$C30,'Review Matrix'!$H$5:$H$604,"SHORT_FROM_LONG_CANDIDATE")+COUNTIFS('Review Matrix'!$B$5:$B$604,$B30,'Review Matrix'!$C$5:$C$604,$C30,'Review Matrix'!$H$5:$H$604,"LONG_FROM_SHORT_CANDIDATE")+COUNTIFS('Review Matrix'!$B$5:$B$604,$B30,'Review Matrix'!$C$5:$C$604,$C30,'Review Matrix'!$H$5:$H$604,"AGENTIC_RATIO_CANDIDATE")</x:f>
        <x:v>0</x:v>
      </x:c>
      <x:c r="H30" s="19" t="n">
        <x:f>COUNTIFS('Review Matrix'!$B$5:$B$604,$B30,'Review Matrix'!$C$5:$C$604,$C30,'Review Matrix'!$H$5:$H$604,"CROSS_MODEL_RATIO_REQUIRED")</x:f>
        <x:v>0</x:v>
      </x:c>
      <x:c r="I30" s="19" t="n">
        <x:f>COUNTIFS('Review Matrix'!$B$5:$B$604,$B30,'Review Matrix'!$C$5:$C$604,$C30,'Review Matrix'!$H$5:$H$604,"GPU_SCALING_REQUIRED")</x:f>
        <x:v>0</x:v>
      </x:c>
      <x:c r="J30" s="23" t="str">
        <x:f>IF(I30&gt;0,"Future GPU: scaling layer",IF(H30&gt;0,"Cross-model coefficient needed",IF(G30&gt;0,"Same-model workload ratio candidate",IF(F30&gt;0,"Framework choice needs review","Direct preferred coverage"))))</x:f>
        <x:v>Direct preferred coverage</x:v>
      </x:c>
    </x:row>
    <x:row r="31">
      <x:c r="A31" t="str">
        <x:v>MiniMax M3</x:v>
      </x:c>
      <x:c r="B31" t="str">
        <x:v>minimaxm3</x:v>
      </x:c>
      <x:c r="C31" t="str">
        <x:v>B300</x:v>
      </x:c>
      <x:c r="D31" t="str">
        <x:v>vllm</x:v>
      </x:c>
      <x:c r="E31" s="19" t="n">
        <x:f>COUNTIFS('Review Matrix'!$B$5:$B$604,$B31,'Review Matrix'!$C$5:$C$604,$C31,'Review Matrix'!$H$5:$H$604,"DIRECT_PREFERRED")</x:f>
        <x:v>12</x:v>
      </x:c>
      <x:c r="F31" s="19" t="n">
        <x:f>COUNTIFS('Review Matrix'!$B$5:$B$604,$B31,'Review Matrix'!$C$5:$C$604,$C31,'Review Matrix'!$H$5:$H$604,"DIRECT_OTHER_FRAMEWORK")</x:f>
        <x:v>0</x:v>
      </x:c>
      <x:c r="G31" s="19" t="n">
        <x:f>COUNTIFS('Review Matrix'!$B$5:$B$604,$B31,'Review Matrix'!$C$5:$C$604,$C31,'Review Matrix'!$H$5:$H$604,"SHORT_FROM_LONG_CANDIDATE")+COUNTIFS('Review Matrix'!$B$5:$B$604,$B31,'Review Matrix'!$C$5:$C$604,$C31,'Review Matrix'!$H$5:$H$604,"LONG_FROM_SHORT_CANDIDATE")+COUNTIFS('Review Matrix'!$B$5:$B$604,$B31,'Review Matrix'!$C$5:$C$604,$C31,'Review Matrix'!$H$5:$H$604,"AGENTIC_RATIO_CANDIDATE")</x:f>
        <x:v>0</x:v>
      </x:c>
      <x:c r="H31" s="19" t="n">
        <x:f>COUNTIFS('Review Matrix'!$B$5:$B$604,$B31,'Review Matrix'!$C$5:$C$604,$C31,'Review Matrix'!$H$5:$H$604,"CROSS_MODEL_RATIO_REQUIRED")</x:f>
        <x:v>0</x:v>
      </x:c>
      <x:c r="I31" s="19" t="n">
        <x:f>COUNTIFS('Review Matrix'!$B$5:$B$604,$B31,'Review Matrix'!$C$5:$C$604,$C31,'Review Matrix'!$H$5:$H$604,"GPU_SCALING_REQUIRED")</x:f>
        <x:v>0</x:v>
      </x:c>
      <x:c r="J31" s="23" t="str">
        <x:f>IF(I31&gt;0,"Future GPU: scaling layer",IF(H31&gt;0,"Cross-model coefficient needed",IF(G31&gt;0,"Same-model workload ratio candidate",IF(F31&gt;0,"Framework choice needs review","Direct preferred coverage"))))</x:f>
        <x:v>Direct preferred coverage</x:v>
      </x:c>
    </x:row>
    <x:row r="32">
      <x:c r="A32" t="str">
        <x:v>MiniMax M3</x:v>
      </x:c>
      <x:c r="B32" t="str">
        <x:v>minimaxm3</x:v>
      </x:c>
      <x:c r="C32" t="str">
        <x:v>GB200</x:v>
      </x:c>
      <x:c r="D32" t="str">
        <x:v>dynamo-vllm</x:v>
      </x:c>
      <x:c r="E32" s="19" t="n">
        <x:f>COUNTIFS('Review Matrix'!$B$5:$B$604,$B32,'Review Matrix'!$C$5:$C$604,$C32,'Review Matrix'!$H$5:$H$604,"DIRECT_PREFERRED")</x:f>
        <x:v>8</x:v>
      </x:c>
      <x:c r="F32" s="19" t="n">
        <x:f>COUNTIFS('Review Matrix'!$B$5:$B$604,$B32,'Review Matrix'!$C$5:$C$604,$C32,'Review Matrix'!$H$5:$H$604,"DIRECT_OTHER_FRAMEWORK")</x:f>
        <x:v>0</x:v>
      </x:c>
      <x:c r="G32" s="19" t="n">
        <x:f>COUNTIFS('Review Matrix'!$B$5:$B$604,$B32,'Review Matrix'!$C$5:$C$604,$C32,'Review Matrix'!$H$5:$H$604,"SHORT_FROM_LONG_CANDIDATE")+COUNTIFS('Review Matrix'!$B$5:$B$604,$B32,'Review Matrix'!$C$5:$C$604,$C32,'Review Matrix'!$H$5:$H$604,"LONG_FROM_SHORT_CANDIDATE")+COUNTIFS('Review Matrix'!$B$5:$B$604,$B32,'Review Matrix'!$C$5:$C$604,$C32,'Review Matrix'!$H$5:$H$604,"AGENTIC_RATIO_CANDIDATE")</x:f>
        <x:v>4</x:v>
      </x:c>
      <x:c r="H32" s="19" t="n">
        <x:f>COUNTIFS('Review Matrix'!$B$5:$B$604,$B32,'Review Matrix'!$C$5:$C$604,$C32,'Review Matrix'!$H$5:$H$604,"CROSS_MODEL_RATIO_REQUIRED")</x:f>
        <x:v>0</x:v>
      </x:c>
      <x:c r="I32" s="19" t="n">
        <x:f>COUNTIFS('Review Matrix'!$B$5:$B$604,$B32,'Review Matrix'!$C$5:$C$604,$C32,'Review Matrix'!$H$5:$H$604,"GPU_SCALING_REQUIRED")</x:f>
        <x:v>0</x:v>
      </x:c>
      <x:c r="J32" s="23" t="str">
        <x:f>IF(I32&gt;0,"Future GPU: scaling layer",IF(H32&gt;0,"Cross-model coefficient needed",IF(G32&gt;0,"Same-model workload ratio candidate",IF(F32&gt;0,"Framework choice needs review","Direct preferred coverage"))))</x:f>
        <x:v>Same-model workload ratio candidate</x:v>
      </x:c>
    </x:row>
    <x:row r="33">
      <x:c r="A33" t="str">
        <x:v>MiniMax M3</x:v>
      </x:c>
      <x:c r="B33" t="str">
        <x:v>minimaxm3</x:v>
      </x:c>
      <x:c r="C33" t="str">
        <x:v>GB300</x:v>
      </x:c>
      <x:c r="D33" t="str">
        <x:v>dynamo-vllm</x:v>
      </x:c>
      <x:c r="E33" s="19" t="n">
        <x:f>COUNTIFS('Review Matrix'!$B$5:$B$604,$B33,'Review Matrix'!$C$5:$C$604,$C33,'Review Matrix'!$H$5:$H$604,"DIRECT_PREFERRED")</x:f>
        <x:v>8</x:v>
      </x:c>
      <x:c r="F33" s="19" t="n">
        <x:f>COUNTIFS('Review Matrix'!$B$5:$B$604,$B33,'Review Matrix'!$C$5:$C$604,$C33,'Review Matrix'!$H$5:$H$604,"DIRECT_OTHER_FRAMEWORK")</x:f>
        <x:v>0</x:v>
      </x:c>
      <x:c r="G33" s="19" t="n">
        <x:f>COUNTIFS('Review Matrix'!$B$5:$B$604,$B33,'Review Matrix'!$C$5:$C$604,$C33,'Review Matrix'!$H$5:$H$604,"SHORT_FROM_LONG_CANDIDATE")+COUNTIFS('Review Matrix'!$B$5:$B$604,$B33,'Review Matrix'!$C$5:$C$604,$C33,'Review Matrix'!$H$5:$H$604,"LONG_FROM_SHORT_CANDIDATE")+COUNTIFS('Review Matrix'!$B$5:$B$604,$B33,'Review Matrix'!$C$5:$C$604,$C33,'Review Matrix'!$H$5:$H$604,"AGENTIC_RATIO_CANDIDATE")</x:f>
        <x:v>4</x:v>
      </x:c>
      <x:c r="H33" s="19" t="n">
        <x:f>COUNTIFS('Review Matrix'!$B$5:$B$604,$B33,'Review Matrix'!$C$5:$C$604,$C33,'Review Matrix'!$H$5:$H$604,"CROSS_MODEL_RATIO_REQUIRED")</x:f>
        <x:v>0</x:v>
      </x:c>
      <x:c r="I33" s="19" t="n">
        <x:f>COUNTIFS('Review Matrix'!$B$5:$B$604,$B33,'Review Matrix'!$C$5:$C$604,$C33,'Review Matrix'!$H$5:$H$604,"GPU_SCALING_REQUIRED")</x:f>
        <x:v>0</x:v>
      </x:c>
      <x:c r="J33" s="23" t="str">
        <x:f>IF(I33&gt;0,"Future GPU: scaling layer",IF(H33&gt;0,"Cross-model coefficient needed",IF(G33&gt;0,"Same-model workload ratio candidate",IF(F33&gt;0,"Framework choice needs review","Direct preferred coverage"))))</x:f>
        <x:v>Same-model workload ratio candidate</x:v>
      </x:c>
    </x:row>
    <x:row r="34">
      <x:c r="A34" t="str">
        <x:v>MiniMax M3</x:v>
      </x:c>
      <x:c r="B34" t="str">
        <x:v>minimaxm3</x:v>
      </x:c>
      <x:c r="C34" t="str">
        <x:v>R200</x:v>
      </x:c>
      <x:c r="D34" t="str"/>
      <x:c r="E34" s="19" t="n">
        <x:f>COUNTIFS('Review Matrix'!$B$5:$B$604,$B34,'Review Matrix'!$C$5:$C$604,$C34,'Review Matrix'!$H$5:$H$604,"DIRECT_PREFERRED")</x:f>
        <x:v>0</x:v>
      </x:c>
      <x:c r="F34" s="19" t="n">
        <x:f>COUNTIFS('Review Matrix'!$B$5:$B$604,$B34,'Review Matrix'!$C$5:$C$604,$C34,'Review Matrix'!$H$5:$H$604,"DIRECT_OTHER_FRAMEWORK")</x:f>
        <x:v>0</x:v>
      </x:c>
      <x:c r="G34" s="19" t="n">
        <x:f>COUNTIFS('Review Matrix'!$B$5:$B$604,$B34,'Review Matrix'!$C$5:$C$604,$C34,'Review Matrix'!$H$5:$H$604,"SHORT_FROM_LONG_CANDIDATE")+COUNTIFS('Review Matrix'!$B$5:$B$604,$B34,'Review Matrix'!$C$5:$C$604,$C34,'Review Matrix'!$H$5:$H$604,"LONG_FROM_SHORT_CANDIDATE")+COUNTIFS('Review Matrix'!$B$5:$B$604,$B34,'Review Matrix'!$C$5:$C$604,$C34,'Review Matrix'!$H$5:$H$604,"AGENTIC_RATIO_CANDIDATE")</x:f>
        <x:v>0</x:v>
      </x:c>
      <x:c r="H34" s="19" t="n">
        <x:f>COUNTIFS('Review Matrix'!$B$5:$B$604,$B34,'Review Matrix'!$C$5:$C$604,$C34,'Review Matrix'!$H$5:$H$604,"CROSS_MODEL_RATIO_REQUIRED")</x:f>
        <x:v>0</x:v>
      </x:c>
      <x:c r="I34" s="19" t="n">
        <x:f>COUNTIFS('Review Matrix'!$B$5:$B$604,$B34,'Review Matrix'!$C$5:$C$604,$C34,'Review Matrix'!$H$5:$H$604,"GPU_SCALING_REQUIRED")</x:f>
        <x:v>12</x:v>
      </x:c>
      <x:c r="J34" s="23" t="str">
        <x:f>IF(I34&gt;0,"Future GPU: scaling layer",IF(H34&gt;0,"Cross-model coefficient needed",IF(G34&gt;0,"Same-model workload ratio candidate",IF(F34&gt;0,"Framework choice needs review","Direct preferred coverage"))))</x:f>
        <x:v>Future GPU: scaling layer</x:v>
      </x:c>
    </x:row>
    <x:row r="35">
      <x:c r="A35" t="str">
        <x:v>MiniMax M3</x:v>
      </x:c>
      <x:c r="B35" t="str">
        <x:v>minimaxm3</x:v>
      </x:c>
      <x:c r="C35" t="str">
        <x:v>VR200</x:v>
      </x:c>
      <x:c r="D35" t="str"/>
      <x:c r="E35" s="19" t="n">
        <x:f>COUNTIFS('Review Matrix'!$B$5:$B$604,$B35,'Review Matrix'!$C$5:$C$604,$C35,'Review Matrix'!$H$5:$H$604,"DIRECT_PREFERRED")</x:f>
        <x:v>0</x:v>
      </x:c>
      <x:c r="F35" s="19" t="n">
        <x:f>COUNTIFS('Review Matrix'!$B$5:$B$604,$B35,'Review Matrix'!$C$5:$C$604,$C35,'Review Matrix'!$H$5:$H$604,"DIRECT_OTHER_FRAMEWORK")</x:f>
        <x:v>0</x:v>
      </x:c>
      <x:c r="G35" s="19" t="n">
        <x:f>COUNTIFS('Review Matrix'!$B$5:$B$604,$B35,'Review Matrix'!$C$5:$C$604,$C35,'Review Matrix'!$H$5:$H$604,"SHORT_FROM_LONG_CANDIDATE")+COUNTIFS('Review Matrix'!$B$5:$B$604,$B35,'Review Matrix'!$C$5:$C$604,$C35,'Review Matrix'!$H$5:$H$604,"LONG_FROM_SHORT_CANDIDATE")+COUNTIFS('Review Matrix'!$B$5:$B$604,$B35,'Review Matrix'!$C$5:$C$604,$C35,'Review Matrix'!$H$5:$H$604,"AGENTIC_RATIO_CANDIDATE")</x:f>
        <x:v>0</x:v>
      </x:c>
      <x:c r="H35" s="19" t="n">
        <x:f>COUNTIFS('Review Matrix'!$B$5:$B$604,$B35,'Review Matrix'!$C$5:$C$604,$C35,'Review Matrix'!$H$5:$H$604,"CROSS_MODEL_RATIO_REQUIRED")</x:f>
        <x:v>0</x:v>
      </x:c>
      <x:c r="I35" s="19" t="n">
        <x:f>COUNTIFS('Review Matrix'!$B$5:$B$604,$B35,'Review Matrix'!$C$5:$C$604,$C35,'Review Matrix'!$H$5:$H$604,"GPU_SCALING_REQUIRED")</x:f>
        <x:v>12</x:v>
      </x:c>
      <x:c r="J35" s="23" t="str">
        <x:f>IF(I35&gt;0,"Future GPU: scaling layer",IF(H35&gt;0,"Cross-model coefficient needed",IF(G35&gt;0,"Same-model workload ratio candidate",IF(F35&gt;0,"Framework choice needs review","Direct preferred coverage"))))</x:f>
        <x:v>Future GPU: scaling layer</x:v>
      </x:c>
    </x:row>
    <x:row r="36">
      <x:c r="A36" t="str">
        <x:v>MiniMax M3</x:v>
      </x:c>
      <x:c r="B36" t="str">
        <x:v>minimaxm3</x:v>
      </x:c>
      <x:c r="C36" t="str">
        <x:v>R300</x:v>
      </x:c>
      <x:c r="D36" t="str"/>
      <x:c r="E36" s="19" t="n">
        <x:f>COUNTIFS('Review Matrix'!$B$5:$B$604,$B36,'Review Matrix'!$C$5:$C$604,$C36,'Review Matrix'!$H$5:$H$604,"DIRECT_PREFERRED")</x:f>
        <x:v>0</x:v>
      </x:c>
      <x:c r="F36" s="19" t="n">
        <x:f>COUNTIFS('Review Matrix'!$B$5:$B$604,$B36,'Review Matrix'!$C$5:$C$604,$C36,'Review Matrix'!$H$5:$H$604,"DIRECT_OTHER_FRAMEWORK")</x:f>
        <x:v>0</x:v>
      </x:c>
      <x:c r="G36" s="19" t="n">
        <x:f>COUNTIFS('Review Matrix'!$B$5:$B$604,$B36,'Review Matrix'!$C$5:$C$604,$C36,'Review Matrix'!$H$5:$H$604,"SHORT_FROM_LONG_CANDIDATE")+COUNTIFS('Review Matrix'!$B$5:$B$604,$B36,'Review Matrix'!$C$5:$C$604,$C36,'Review Matrix'!$H$5:$H$604,"LONG_FROM_SHORT_CANDIDATE")+COUNTIFS('Review Matrix'!$B$5:$B$604,$B36,'Review Matrix'!$C$5:$C$604,$C36,'Review Matrix'!$H$5:$H$604,"AGENTIC_RATIO_CANDIDATE")</x:f>
        <x:v>0</x:v>
      </x:c>
      <x:c r="H36" s="19" t="n">
        <x:f>COUNTIFS('Review Matrix'!$B$5:$B$604,$B36,'Review Matrix'!$C$5:$C$604,$C36,'Review Matrix'!$H$5:$H$604,"CROSS_MODEL_RATIO_REQUIRED")</x:f>
        <x:v>0</x:v>
      </x:c>
      <x:c r="I36" s="19" t="n">
        <x:f>COUNTIFS('Review Matrix'!$B$5:$B$604,$B36,'Review Matrix'!$C$5:$C$604,$C36,'Review Matrix'!$H$5:$H$604,"GPU_SCALING_REQUIRED")</x:f>
        <x:v>12</x:v>
      </x:c>
      <x:c r="J36" s="23" t="str">
        <x:f>IF(I36&gt;0,"Future GPU: scaling layer",IF(H36&gt;0,"Cross-model coefficient needed",IF(G36&gt;0,"Same-model workload ratio candidate",IF(F36&gt;0,"Framework choice needs review","Direct preferred coverage"))))</x:f>
        <x:v>Future GPU: scaling layer</x:v>
      </x:c>
    </x:row>
    <x:row r="37">
      <x:c r="A37" t="str">
        <x:v>MiniMax M3</x:v>
      </x:c>
      <x:c r="B37" t="str">
        <x:v>minimaxm3</x:v>
      </x:c>
      <x:c r="C37" t="str">
        <x:v>VR300</x:v>
      </x:c>
      <x:c r="D37" t="str"/>
      <x:c r="E37" s="19" t="n">
        <x:f>COUNTIFS('Review Matrix'!$B$5:$B$604,$B37,'Review Matrix'!$C$5:$C$604,$C37,'Review Matrix'!$H$5:$H$604,"DIRECT_PREFERRED")</x:f>
        <x:v>0</x:v>
      </x:c>
      <x:c r="F37" s="19" t="n">
        <x:f>COUNTIFS('Review Matrix'!$B$5:$B$604,$B37,'Review Matrix'!$C$5:$C$604,$C37,'Review Matrix'!$H$5:$H$604,"DIRECT_OTHER_FRAMEWORK")</x:f>
        <x:v>0</x:v>
      </x:c>
      <x:c r="G37" s="19" t="n">
        <x:f>COUNTIFS('Review Matrix'!$B$5:$B$604,$B37,'Review Matrix'!$C$5:$C$604,$C37,'Review Matrix'!$H$5:$H$604,"SHORT_FROM_LONG_CANDIDATE")+COUNTIFS('Review Matrix'!$B$5:$B$604,$B37,'Review Matrix'!$C$5:$C$604,$C37,'Review Matrix'!$H$5:$H$604,"LONG_FROM_SHORT_CANDIDATE")+COUNTIFS('Review Matrix'!$B$5:$B$604,$B37,'Review Matrix'!$C$5:$C$604,$C37,'Review Matrix'!$H$5:$H$604,"AGENTIC_RATIO_CANDIDATE")</x:f>
        <x:v>0</x:v>
      </x:c>
      <x:c r="H37" s="19" t="n">
        <x:f>COUNTIFS('Review Matrix'!$B$5:$B$604,$B37,'Review Matrix'!$C$5:$C$604,$C37,'Review Matrix'!$H$5:$H$604,"CROSS_MODEL_RATIO_REQUIRED")</x:f>
        <x:v>0</x:v>
      </x:c>
      <x:c r="I37" s="19" t="n">
        <x:f>COUNTIFS('Review Matrix'!$B$5:$B$604,$B37,'Review Matrix'!$C$5:$C$604,$C37,'Review Matrix'!$H$5:$H$604,"GPU_SCALING_REQUIRED")</x:f>
        <x:v>12</x:v>
      </x:c>
      <x:c r="J37" s="23" t="str">
        <x:f>IF(I37&gt;0,"Future GPU: scaling layer",IF(H37&gt;0,"Cross-model coefficient needed",IF(G37&gt;0,"Same-model workload ratio candidate",IF(F37&gt;0,"Framework choice needs review","Direct preferred coverage"))))</x:f>
        <x:v>Future GPU: scaling layer</x:v>
      </x:c>
    </x:row>
    <x:row r="38">
      <x:c r="A38" t="str">
        <x:v>MiniMax M3</x:v>
      </x:c>
      <x:c r="B38" t="str">
        <x:v>minimaxm3</x:v>
      </x:c>
      <x:c r="C38" t="str">
        <x:v>Post Rubin</x:v>
      </x:c>
      <x:c r="D38" t="str"/>
      <x:c r="E38" s="19" t="n">
        <x:f>COUNTIFS('Review Matrix'!$B$5:$B$604,$B38,'Review Matrix'!$C$5:$C$604,$C38,'Review Matrix'!$H$5:$H$604,"DIRECT_PREFERRED")</x:f>
        <x:v>0</x:v>
      </x:c>
      <x:c r="F38" s="19" t="n">
        <x:f>COUNTIFS('Review Matrix'!$B$5:$B$604,$B38,'Review Matrix'!$C$5:$C$604,$C38,'Review Matrix'!$H$5:$H$604,"DIRECT_OTHER_FRAMEWORK")</x:f>
        <x:v>0</x:v>
      </x:c>
      <x:c r="G38" s="19" t="n">
        <x:f>COUNTIFS('Review Matrix'!$B$5:$B$604,$B38,'Review Matrix'!$C$5:$C$604,$C38,'Review Matrix'!$H$5:$H$604,"SHORT_FROM_LONG_CANDIDATE")+COUNTIFS('Review Matrix'!$B$5:$B$604,$B38,'Review Matrix'!$C$5:$C$604,$C38,'Review Matrix'!$H$5:$H$604,"LONG_FROM_SHORT_CANDIDATE")+COUNTIFS('Review Matrix'!$B$5:$B$604,$B38,'Review Matrix'!$C$5:$C$604,$C38,'Review Matrix'!$H$5:$H$604,"AGENTIC_RATIO_CANDIDATE")</x:f>
        <x:v>0</x:v>
      </x:c>
      <x:c r="H38" s="19" t="n">
        <x:f>COUNTIFS('Review Matrix'!$B$5:$B$604,$B38,'Review Matrix'!$C$5:$C$604,$C38,'Review Matrix'!$H$5:$H$604,"CROSS_MODEL_RATIO_REQUIRED")</x:f>
        <x:v>0</x:v>
      </x:c>
      <x:c r="I38" s="19" t="n">
        <x:f>COUNTIFS('Review Matrix'!$B$5:$B$604,$B38,'Review Matrix'!$C$5:$C$604,$C38,'Review Matrix'!$H$5:$H$604,"GPU_SCALING_REQUIRED")</x:f>
        <x:v>12</x:v>
      </x:c>
      <x:c r="J38" s="23" t="str">
        <x:f>IF(I38&gt;0,"Future GPU: scaling layer",IF(H38&gt;0,"Cross-model coefficient needed",IF(G38&gt;0,"Same-model workload ratio candidate",IF(F38&gt;0,"Framework choice needs review","Direct preferred coverage"))))</x:f>
        <x:v>Future GPU: scaling layer</x:v>
      </x:c>
    </x:row>
    <x:row r="39">
      <x:c r="A39" t="str">
        <x:v>GLM 5.2</x:v>
      </x:c>
      <x:c r="B39" t="str">
        <x:v>glm5.2</x:v>
      </x:c>
      <x:c r="C39" t="str">
        <x:v>H200</x:v>
      </x:c>
      <x:c r="D39" t="str">
        <x:v>dynamo-sglang</x:v>
      </x:c>
      <x:c r="E39" s="19" t="n">
        <x:f>COUNTIFS('Review Matrix'!$B$5:$B$604,$B39,'Review Matrix'!$C$5:$C$604,$C39,'Review Matrix'!$H$5:$H$604,"DIRECT_PREFERRED")</x:f>
        <x:v>3</x:v>
      </x:c>
      <x:c r="F39" s="19" t="n">
        <x:f>COUNTIFS('Review Matrix'!$B$5:$B$604,$B39,'Review Matrix'!$C$5:$C$604,$C39,'Review Matrix'!$H$5:$H$604,"DIRECT_OTHER_FRAMEWORK")</x:f>
        <x:v>0</x:v>
      </x:c>
      <x:c r="G39" s="19" t="n">
        <x:f>COUNTIFS('Review Matrix'!$B$5:$B$604,$B39,'Review Matrix'!$C$5:$C$604,$C39,'Review Matrix'!$H$5:$H$604,"SHORT_FROM_LONG_CANDIDATE")+COUNTIFS('Review Matrix'!$B$5:$B$604,$B39,'Review Matrix'!$C$5:$C$604,$C39,'Review Matrix'!$H$5:$H$604,"LONG_FROM_SHORT_CANDIDATE")+COUNTIFS('Review Matrix'!$B$5:$B$604,$B39,'Review Matrix'!$C$5:$C$604,$C39,'Review Matrix'!$H$5:$H$604,"AGENTIC_RATIO_CANDIDATE")</x:f>
        <x:v>0</x:v>
      </x:c>
      <x:c r="H39" s="19" t="n">
        <x:f>COUNTIFS('Review Matrix'!$B$5:$B$604,$B39,'Review Matrix'!$C$5:$C$604,$C39,'Review Matrix'!$H$5:$H$604,"CROSS_MODEL_RATIO_REQUIRED")</x:f>
        <x:v>3</x:v>
      </x:c>
      <x:c r="I39" s="19" t="n">
        <x:f>COUNTIFS('Review Matrix'!$B$5:$B$604,$B39,'Review Matrix'!$C$5:$C$604,$C39,'Review Matrix'!$H$5:$H$604,"GPU_SCALING_REQUIRED")</x:f>
        <x:v>0</x:v>
      </x:c>
      <x:c r="J39" s="23" t="str">
        <x:f>IF(I39&gt;0,"Future GPU: scaling layer",IF(H39&gt;0,"Cross-model coefficient needed",IF(G39&gt;0,"Same-model workload ratio candidate",IF(F39&gt;0,"Framework choice needs review","Direct preferred coverage"))))</x:f>
        <x:v>Cross-model coefficient needed</x:v>
      </x:c>
    </x:row>
    <x:row r="40">
      <x:c r="A40" t="str">
        <x:v>GLM 5.2</x:v>
      </x:c>
      <x:c r="B40" t="str">
        <x:v>glm5.2</x:v>
      </x:c>
      <x:c r="C40" t="str">
        <x:v>B200</x:v>
      </x:c>
      <x:c r="D40" t="str">
        <x:v>sglang</x:v>
      </x:c>
      <x:c r="E40" s="19" t="n">
        <x:f>COUNTIFS('Review Matrix'!$B$5:$B$604,$B40,'Review Matrix'!$C$5:$C$604,$C40,'Review Matrix'!$H$5:$H$604,"DIRECT_PREFERRED")</x:f>
        <x:v>4</x:v>
      </x:c>
      <x:c r="F40" s="19" t="n">
        <x:f>COUNTIFS('Review Matrix'!$B$5:$B$604,$B40,'Review Matrix'!$C$5:$C$604,$C40,'Review Matrix'!$H$5:$H$604,"DIRECT_OTHER_FRAMEWORK")</x:f>
        <x:v>0</x:v>
      </x:c>
      <x:c r="G40" s="19" t="n">
        <x:f>COUNTIFS('Review Matrix'!$B$5:$B$604,$B40,'Review Matrix'!$C$5:$C$604,$C40,'Review Matrix'!$H$5:$H$604,"SHORT_FROM_LONG_CANDIDATE")+COUNTIFS('Review Matrix'!$B$5:$B$604,$B40,'Review Matrix'!$C$5:$C$604,$C40,'Review Matrix'!$H$5:$H$604,"LONG_FROM_SHORT_CANDIDATE")+COUNTIFS('Review Matrix'!$B$5:$B$604,$B40,'Review Matrix'!$C$5:$C$604,$C40,'Review Matrix'!$H$5:$H$604,"AGENTIC_RATIO_CANDIDATE")</x:f>
        <x:v>0</x:v>
      </x:c>
      <x:c r="H40" s="19" t="n">
        <x:f>COUNTIFS('Review Matrix'!$B$5:$B$604,$B40,'Review Matrix'!$C$5:$C$604,$C40,'Review Matrix'!$H$5:$H$604,"CROSS_MODEL_RATIO_REQUIRED")</x:f>
        <x:v>0</x:v>
      </x:c>
      <x:c r="I40" s="19" t="n">
        <x:f>COUNTIFS('Review Matrix'!$B$5:$B$604,$B40,'Review Matrix'!$C$5:$C$604,$C40,'Review Matrix'!$H$5:$H$604,"GPU_SCALING_REQUIRED")</x:f>
        <x:v>0</x:v>
      </x:c>
      <x:c r="J40" s="23" t="str">
        <x:f>IF(I40&gt;0,"Future GPU: scaling layer",IF(H40&gt;0,"Cross-model coefficient needed",IF(G40&gt;0,"Same-model workload ratio candidate",IF(F40&gt;0,"Framework choice needs review","Direct preferred coverage"))))</x:f>
        <x:v>Direct preferred coverage</x:v>
      </x:c>
    </x:row>
    <x:row r="41">
      <x:c r="A41" t="str">
        <x:v>GLM 5.2</x:v>
      </x:c>
      <x:c r="B41" t="str">
        <x:v>glm5.2</x:v>
      </x:c>
      <x:c r="C41" t="str">
        <x:v>B300</x:v>
      </x:c>
      <x:c r="D41" t="str">
        <x:v>sglang</x:v>
      </x:c>
      <x:c r="E41" s="19" t="n">
        <x:f>COUNTIFS('Review Matrix'!$B$5:$B$604,$B41,'Review Matrix'!$C$5:$C$604,$C41,'Review Matrix'!$H$5:$H$604,"DIRECT_PREFERRED")</x:f>
        <x:v>4</x:v>
      </x:c>
      <x:c r="F41" s="19" t="n">
        <x:f>COUNTIFS('Review Matrix'!$B$5:$B$604,$B41,'Review Matrix'!$C$5:$C$604,$C41,'Review Matrix'!$H$5:$H$604,"DIRECT_OTHER_FRAMEWORK")</x:f>
        <x:v>0</x:v>
      </x:c>
      <x:c r="G41" s="19" t="n">
        <x:f>COUNTIFS('Review Matrix'!$B$5:$B$604,$B41,'Review Matrix'!$C$5:$C$604,$C41,'Review Matrix'!$H$5:$H$604,"SHORT_FROM_LONG_CANDIDATE")+COUNTIFS('Review Matrix'!$B$5:$B$604,$B41,'Review Matrix'!$C$5:$C$604,$C41,'Review Matrix'!$H$5:$H$604,"LONG_FROM_SHORT_CANDIDATE")+COUNTIFS('Review Matrix'!$B$5:$B$604,$B41,'Review Matrix'!$C$5:$C$604,$C41,'Review Matrix'!$H$5:$H$604,"AGENTIC_RATIO_CANDIDATE")</x:f>
        <x:v>0</x:v>
      </x:c>
      <x:c r="H41" s="19" t="n">
        <x:f>COUNTIFS('Review Matrix'!$B$5:$B$604,$B41,'Review Matrix'!$C$5:$C$604,$C41,'Review Matrix'!$H$5:$H$604,"CROSS_MODEL_RATIO_REQUIRED")</x:f>
        <x:v>0</x:v>
      </x:c>
      <x:c r="I41" s="19" t="n">
        <x:f>COUNTIFS('Review Matrix'!$B$5:$B$604,$B41,'Review Matrix'!$C$5:$C$604,$C41,'Review Matrix'!$H$5:$H$604,"GPU_SCALING_REQUIRED")</x:f>
        <x:v>0</x:v>
      </x:c>
      <x:c r="J41" s="23" t="str">
        <x:f>IF(I41&gt;0,"Future GPU: scaling layer",IF(H41&gt;0,"Cross-model coefficient needed",IF(G41&gt;0,"Same-model workload ratio candidate",IF(F41&gt;0,"Framework choice needs review","Direct preferred coverage"))))</x:f>
        <x:v>Direct preferred coverage</x:v>
      </x:c>
    </x:row>
    <x:row r="42">
      <x:c r="A42" t="str">
        <x:v>GLM 5.2</x:v>
      </x:c>
      <x:c r="B42" t="str">
        <x:v>glm5.2</x:v>
      </x:c>
      <x:c r="C42" t="str">
        <x:v>GB200</x:v>
      </x:c>
      <x:c r="D42" t="str"/>
      <x:c r="E42" s="19" t="n">
        <x:f>COUNTIFS('Review Matrix'!$B$5:$B$604,$B42,'Review Matrix'!$C$5:$C$604,$C42,'Review Matrix'!$H$5:$H$604,"DIRECT_PREFERRED")</x:f>
        <x:v>0</x:v>
      </x:c>
      <x:c r="F42" s="19" t="n">
        <x:f>COUNTIFS('Review Matrix'!$B$5:$B$604,$B42,'Review Matrix'!$C$5:$C$604,$C42,'Review Matrix'!$H$5:$H$604,"DIRECT_OTHER_FRAMEWORK")</x:f>
        <x:v>0</x:v>
      </x:c>
      <x:c r="G42" s="19" t="n">
        <x:f>COUNTIFS('Review Matrix'!$B$5:$B$604,$B42,'Review Matrix'!$C$5:$C$604,$C42,'Review Matrix'!$H$5:$H$604,"SHORT_FROM_LONG_CANDIDATE")+COUNTIFS('Review Matrix'!$B$5:$B$604,$B42,'Review Matrix'!$C$5:$C$604,$C42,'Review Matrix'!$H$5:$H$604,"LONG_FROM_SHORT_CANDIDATE")+COUNTIFS('Review Matrix'!$B$5:$B$604,$B42,'Review Matrix'!$C$5:$C$604,$C42,'Review Matrix'!$H$5:$H$604,"AGENTIC_RATIO_CANDIDATE")</x:f>
        <x:v>0</x:v>
      </x:c>
      <x:c r="H42" s="19" t="n">
        <x:f>COUNTIFS('Review Matrix'!$B$5:$B$604,$B42,'Review Matrix'!$C$5:$C$604,$C42,'Review Matrix'!$H$5:$H$604,"CROSS_MODEL_RATIO_REQUIRED")</x:f>
        <x:v>12</x:v>
      </x:c>
      <x:c r="I42" s="19" t="n">
        <x:f>COUNTIFS('Review Matrix'!$B$5:$B$604,$B42,'Review Matrix'!$C$5:$C$604,$C42,'Review Matrix'!$H$5:$H$604,"GPU_SCALING_REQUIRED")</x:f>
        <x:v>0</x:v>
      </x:c>
      <x:c r="J42" s="23" t="str">
        <x:f>IF(I42&gt;0,"Future GPU: scaling layer",IF(H42&gt;0,"Cross-model coefficient needed",IF(G42&gt;0,"Same-model workload ratio candidate",IF(F42&gt;0,"Framework choice needs review","Direct preferred coverage"))))</x:f>
        <x:v>Cross-model coefficient needed</x:v>
      </x:c>
    </x:row>
    <x:row r="43">
      <x:c r="A43" t="str">
        <x:v>GLM 5.2</x:v>
      </x:c>
      <x:c r="B43" t="str">
        <x:v>glm5.2</x:v>
      </x:c>
      <x:c r="C43" t="str">
        <x:v>GB300</x:v>
      </x:c>
      <x:c r="D43" t="str"/>
      <x:c r="E43" s="19" t="n">
        <x:f>COUNTIFS('Review Matrix'!$B$5:$B$604,$B43,'Review Matrix'!$C$5:$C$604,$C43,'Review Matrix'!$H$5:$H$604,"DIRECT_PREFERRED")</x:f>
        <x:v>0</x:v>
      </x:c>
      <x:c r="F43" s="19" t="n">
        <x:f>COUNTIFS('Review Matrix'!$B$5:$B$604,$B43,'Review Matrix'!$C$5:$C$604,$C43,'Review Matrix'!$H$5:$H$604,"DIRECT_OTHER_FRAMEWORK")</x:f>
        <x:v>0</x:v>
      </x:c>
      <x:c r="G43" s="19" t="n">
        <x:f>COUNTIFS('Review Matrix'!$B$5:$B$604,$B43,'Review Matrix'!$C$5:$C$604,$C43,'Review Matrix'!$H$5:$H$604,"SHORT_FROM_LONG_CANDIDATE")+COUNTIFS('Review Matrix'!$B$5:$B$604,$B43,'Review Matrix'!$C$5:$C$604,$C43,'Review Matrix'!$H$5:$H$604,"LONG_FROM_SHORT_CANDIDATE")+COUNTIFS('Review Matrix'!$B$5:$B$604,$B43,'Review Matrix'!$C$5:$C$604,$C43,'Review Matrix'!$H$5:$H$604,"AGENTIC_RATIO_CANDIDATE")</x:f>
        <x:v>0</x:v>
      </x:c>
      <x:c r="H43" s="19" t="n">
        <x:f>COUNTIFS('Review Matrix'!$B$5:$B$604,$B43,'Review Matrix'!$C$5:$C$604,$C43,'Review Matrix'!$H$5:$H$604,"CROSS_MODEL_RATIO_REQUIRED")</x:f>
        <x:v>12</x:v>
      </x:c>
      <x:c r="I43" s="19" t="n">
        <x:f>COUNTIFS('Review Matrix'!$B$5:$B$604,$B43,'Review Matrix'!$C$5:$C$604,$C43,'Review Matrix'!$H$5:$H$604,"GPU_SCALING_REQUIRED")</x:f>
        <x:v>0</x:v>
      </x:c>
      <x:c r="J43" s="23" t="str">
        <x:f>IF(I43&gt;0,"Future GPU: scaling layer",IF(H43&gt;0,"Cross-model coefficient needed",IF(G43&gt;0,"Same-model workload ratio candidate",IF(F43&gt;0,"Framework choice needs review","Direct preferred coverage"))))</x:f>
        <x:v>Cross-model coefficient needed</x:v>
      </x:c>
    </x:row>
    <x:row r="44">
      <x:c r="A44" t="str">
        <x:v>GLM 5.2</x:v>
      </x:c>
      <x:c r="B44" t="str">
        <x:v>glm5.2</x:v>
      </x:c>
      <x:c r="C44" t="str">
        <x:v>R200</x:v>
      </x:c>
      <x:c r="D44" t="str"/>
      <x:c r="E44" s="19" t="n">
        <x:f>COUNTIFS('Review Matrix'!$B$5:$B$604,$B44,'Review Matrix'!$C$5:$C$604,$C44,'Review Matrix'!$H$5:$H$604,"DIRECT_PREFERRED")</x:f>
        <x:v>0</x:v>
      </x:c>
      <x:c r="F44" s="19" t="n">
        <x:f>COUNTIFS('Review Matrix'!$B$5:$B$604,$B44,'Review Matrix'!$C$5:$C$604,$C44,'Review Matrix'!$H$5:$H$604,"DIRECT_OTHER_FRAMEWORK")</x:f>
        <x:v>0</x:v>
      </x:c>
      <x:c r="G44" s="19" t="n">
        <x:f>COUNTIFS('Review Matrix'!$B$5:$B$604,$B44,'Review Matrix'!$C$5:$C$604,$C44,'Review Matrix'!$H$5:$H$604,"SHORT_FROM_LONG_CANDIDATE")+COUNTIFS('Review Matrix'!$B$5:$B$604,$B44,'Review Matrix'!$C$5:$C$604,$C44,'Review Matrix'!$H$5:$H$604,"LONG_FROM_SHORT_CANDIDATE")+COUNTIFS('Review Matrix'!$B$5:$B$604,$B44,'Review Matrix'!$C$5:$C$604,$C44,'Review Matrix'!$H$5:$H$604,"AGENTIC_RATIO_CANDIDATE")</x:f>
        <x:v>0</x:v>
      </x:c>
      <x:c r="H44" s="19" t="n">
        <x:f>COUNTIFS('Review Matrix'!$B$5:$B$604,$B44,'Review Matrix'!$C$5:$C$604,$C44,'Review Matrix'!$H$5:$H$604,"CROSS_MODEL_RATIO_REQUIRED")</x:f>
        <x:v>0</x:v>
      </x:c>
      <x:c r="I44" s="19" t="n">
        <x:f>COUNTIFS('Review Matrix'!$B$5:$B$604,$B44,'Review Matrix'!$C$5:$C$604,$C44,'Review Matrix'!$H$5:$H$604,"GPU_SCALING_REQUIRED")</x:f>
        <x:v>12</x:v>
      </x:c>
      <x:c r="J44" s="23" t="str">
        <x:f>IF(I44&gt;0,"Future GPU: scaling layer",IF(H44&gt;0,"Cross-model coefficient needed",IF(G44&gt;0,"Same-model workload ratio candidate",IF(F44&gt;0,"Framework choice needs review","Direct preferred coverage"))))</x:f>
        <x:v>Future GPU: scaling layer</x:v>
      </x:c>
    </x:row>
    <x:row r="45">
      <x:c r="A45" t="str">
        <x:v>GLM 5.2</x:v>
      </x:c>
      <x:c r="B45" t="str">
        <x:v>glm5.2</x:v>
      </x:c>
      <x:c r="C45" t="str">
        <x:v>VR200</x:v>
      </x:c>
      <x:c r="D45" t="str"/>
      <x:c r="E45" s="19" t="n">
        <x:f>COUNTIFS('Review Matrix'!$B$5:$B$604,$B45,'Review Matrix'!$C$5:$C$604,$C45,'Review Matrix'!$H$5:$H$604,"DIRECT_PREFERRED")</x:f>
        <x:v>0</x:v>
      </x:c>
      <x:c r="F45" s="19" t="n">
        <x:f>COUNTIFS('Review Matrix'!$B$5:$B$604,$B45,'Review Matrix'!$C$5:$C$604,$C45,'Review Matrix'!$H$5:$H$604,"DIRECT_OTHER_FRAMEWORK")</x:f>
        <x:v>0</x:v>
      </x:c>
      <x:c r="G45" s="19" t="n">
        <x:f>COUNTIFS('Review Matrix'!$B$5:$B$604,$B45,'Review Matrix'!$C$5:$C$604,$C45,'Review Matrix'!$H$5:$H$604,"SHORT_FROM_LONG_CANDIDATE")+COUNTIFS('Review Matrix'!$B$5:$B$604,$B45,'Review Matrix'!$C$5:$C$604,$C45,'Review Matrix'!$H$5:$H$604,"LONG_FROM_SHORT_CANDIDATE")+COUNTIFS('Review Matrix'!$B$5:$B$604,$B45,'Review Matrix'!$C$5:$C$604,$C45,'Review Matrix'!$H$5:$H$604,"AGENTIC_RATIO_CANDIDATE")</x:f>
        <x:v>0</x:v>
      </x:c>
      <x:c r="H45" s="19" t="n">
        <x:f>COUNTIFS('Review Matrix'!$B$5:$B$604,$B45,'Review Matrix'!$C$5:$C$604,$C45,'Review Matrix'!$H$5:$H$604,"CROSS_MODEL_RATIO_REQUIRED")</x:f>
        <x:v>0</x:v>
      </x:c>
      <x:c r="I45" s="19" t="n">
        <x:f>COUNTIFS('Review Matrix'!$B$5:$B$604,$B45,'Review Matrix'!$C$5:$C$604,$C45,'Review Matrix'!$H$5:$H$604,"GPU_SCALING_REQUIRED")</x:f>
        <x:v>12</x:v>
      </x:c>
      <x:c r="J45" s="23" t="str">
        <x:f>IF(I45&gt;0,"Future GPU: scaling layer",IF(H45&gt;0,"Cross-model coefficient needed",IF(G45&gt;0,"Same-model workload ratio candidate",IF(F45&gt;0,"Framework choice needs review","Direct preferred coverage"))))</x:f>
        <x:v>Future GPU: scaling layer</x:v>
      </x:c>
    </x:row>
    <x:row r="46">
      <x:c r="A46" t="str">
        <x:v>GLM 5.2</x:v>
      </x:c>
      <x:c r="B46" t="str">
        <x:v>glm5.2</x:v>
      </x:c>
      <x:c r="C46" t="str">
        <x:v>R300</x:v>
      </x:c>
      <x:c r="D46" t="str"/>
      <x:c r="E46" s="19" t="n">
        <x:f>COUNTIFS('Review Matrix'!$B$5:$B$604,$B46,'Review Matrix'!$C$5:$C$604,$C46,'Review Matrix'!$H$5:$H$604,"DIRECT_PREFERRED")</x:f>
        <x:v>0</x:v>
      </x:c>
      <x:c r="F46" s="19" t="n">
        <x:f>COUNTIFS('Review Matrix'!$B$5:$B$604,$B46,'Review Matrix'!$C$5:$C$604,$C46,'Review Matrix'!$H$5:$H$604,"DIRECT_OTHER_FRAMEWORK")</x:f>
        <x:v>0</x:v>
      </x:c>
      <x:c r="G46" s="19" t="n">
        <x:f>COUNTIFS('Review Matrix'!$B$5:$B$604,$B46,'Review Matrix'!$C$5:$C$604,$C46,'Review Matrix'!$H$5:$H$604,"SHORT_FROM_LONG_CANDIDATE")+COUNTIFS('Review Matrix'!$B$5:$B$604,$B46,'Review Matrix'!$C$5:$C$604,$C46,'Review Matrix'!$H$5:$H$604,"LONG_FROM_SHORT_CANDIDATE")+COUNTIFS('Review Matrix'!$B$5:$B$604,$B46,'Review Matrix'!$C$5:$C$604,$C46,'Review Matrix'!$H$5:$H$604,"AGENTIC_RATIO_CANDIDATE")</x:f>
        <x:v>0</x:v>
      </x:c>
      <x:c r="H46" s="19" t="n">
        <x:f>COUNTIFS('Review Matrix'!$B$5:$B$604,$B46,'Review Matrix'!$C$5:$C$604,$C46,'Review Matrix'!$H$5:$H$604,"CROSS_MODEL_RATIO_REQUIRED")</x:f>
        <x:v>0</x:v>
      </x:c>
      <x:c r="I46" s="19" t="n">
        <x:f>COUNTIFS('Review Matrix'!$B$5:$B$604,$B46,'Review Matrix'!$C$5:$C$604,$C46,'Review Matrix'!$H$5:$H$604,"GPU_SCALING_REQUIRED")</x:f>
        <x:v>12</x:v>
      </x:c>
      <x:c r="J46" s="23" t="str">
        <x:f>IF(I46&gt;0,"Future GPU: scaling layer",IF(H46&gt;0,"Cross-model coefficient needed",IF(G46&gt;0,"Same-model workload ratio candidate",IF(F46&gt;0,"Framework choice needs review","Direct preferred coverage"))))</x:f>
        <x:v>Future GPU: scaling layer</x:v>
      </x:c>
    </x:row>
    <x:row r="47">
      <x:c r="A47" t="str">
        <x:v>GLM 5.2</x:v>
      </x:c>
      <x:c r="B47" t="str">
        <x:v>glm5.2</x:v>
      </x:c>
      <x:c r="C47" t="str">
        <x:v>VR300</x:v>
      </x:c>
      <x:c r="D47" t="str"/>
      <x:c r="E47" s="19" t="n">
        <x:f>COUNTIFS('Review Matrix'!$B$5:$B$604,$B47,'Review Matrix'!$C$5:$C$604,$C47,'Review Matrix'!$H$5:$H$604,"DIRECT_PREFERRED")</x:f>
        <x:v>0</x:v>
      </x:c>
      <x:c r="F47" s="19" t="n">
        <x:f>COUNTIFS('Review Matrix'!$B$5:$B$604,$B47,'Review Matrix'!$C$5:$C$604,$C47,'Review Matrix'!$H$5:$H$604,"DIRECT_OTHER_FRAMEWORK")</x:f>
        <x:v>0</x:v>
      </x:c>
      <x:c r="G47" s="19" t="n">
        <x:f>COUNTIFS('Review Matrix'!$B$5:$B$604,$B47,'Review Matrix'!$C$5:$C$604,$C47,'Review Matrix'!$H$5:$H$604,"SHORT_FROM_LONG_CANDIDATE")+COUNTIFS('Review Matrix'!$B$5:$B$604,$B47,'Review Matrix'!$C$5:$C$604,$C47,'Review Matrix'!$H$5:$H$604,"LONG_FROM_SHORT_CANDIDATE")+COUNTIFS('Review Matrix'!$B$5:$B$604,$B47,'Review Matrix'!$C$5:$C$604,$C47,'Review Matrix'!$H$5:$H$604,"AGENTIC_RATIO_CANDIDATE")</x:f>
        <x:v>0</x:v>
      </x:c>
      <x:c r="H47" s="19" t="n">
        <x:f>COUNTIFS('Review Matrix'!$B$5:$B$604,$B47,'Review Matrix'!$C$5:$C$604,$C47,'Review Matrix'!$H$5:$H$604,"CROSS_MODEL_RATIO_REQUIRED")</x:f>
        <x:v>0</x:v>
      </x:c>
      <x:c r="I47" s="19" t="n">
        <x:f>COUNTIFS('Review Matrix'!$B$5:$B$604,$B47,'Review Matrix'!$C$5:$C$604,$C47,'Review Matrix'!$H$5:$H$604,"GPU_SCALING_REQUIRED")</x:f>
        <x:v>12</x:v>
      </x:c>
      <x:c r="J47" s="23" t="str">
        <x:f>IF(I47&gt;0,"Future GPU: scaling layer",IF(H47&gt;0,"Cross-model coefficient needed",IF(G47&gt;0,"Same-model workload ratio candidate",IF(F47&gt;0,"Framework choice needs review","Direct preferred coverage"))))</x:f>
        <x:v>Future GPU: scaling layer</x:v>
      </x:c>
    </x:row>
    <x:row r="48">
      <x:c r="A48" t="str">
        <x:v>GLM 5.2</x:v>
      </x:c>
      <x:c r="B48" t="str">
        <x:v>glm5.2</x:v>
      </x:c>
      <x:c r="C48" t="str">
        <x:v>Post Rubin</x:v>
      </x:c>
      <x:c r="D48" t="str"/>
      <x:c r="E48" s="19" t="n">
        <x:f>COUNTIFS('Review Matrix'!$B$5:$B$604,$B48,'Review Matrix'!$C$5:$C$604,$C48,'Review Matrix'!$H$5:$H$604,"DIRECT_PREFERRED")</x:f>
        <x:v>0</x:v>
      </x:c>
      <x:c r="F48" s="19" t="n">
        <x:f>COUNTIFS('Review Matrix'!$B$5:$B$604,$B48,'Review Matrix'!$C$5:$C$604,$C48,'Review Matrix'!$H$5:$H$604,"DIRECT_OTHER_FRAMEWORK")</x:f>
        <x:v>0</x:v>
      </x:c>
      <x:c r="G48" s="19" t="n">
        <x:f>COUNTIFS('Review Matrix'!$B$5:$B$604,$B48,'Review Matrix'!$C$5:$C$604,$C48,'Review Matrix'!$H$5:$H$604,"SHORT_FROM_LONG_CANDIDATE")+COUNTIFS('Review Matrix'!$B$5:$B$604,$B48,'Review Matrix'!$C$5:$C$604,$C48,'Review Matrix'!$H$5:$H$604,"LONG_FROM_SHORT_CANDIDATE")+COUNTIFS('Review Matrix'!$B$5:$B$604,$B48,'Review Matrix'!$C$5:$C$604,$C48,'Review Matrix'!$H$5:$H$604,"AGENTIC_RATIO_CANDIDATE")</x:f>
        <x:v>0</x:v>
      </x:c>
      <x:c r="H48" s="19" t="n">
        <x:f>COUNTIFS('Review Matrix'!$B$5:$B$604,$B48,'Review Matrix'!$C$5:$C$604,$C48,'Review Matrix'!$H$5:$H$604,"CROSS_MODEL_RATIO_REQUIRED")</x:f>
        <x:v>0</x:v>
      </x:c>
      <x:c r="I48" s="19" t="n">
        <x:f>COUNTIFS('Review Matrix'!$B$5:$B$604,$B48,'Review Matrix'!$C$5:$C$604,$C48,'Review Matrix'!$H$5:$H$604,"GPU_SCALING_REQUIRED")</x:f>
        <x:v>12</x:v>
      </x:c>
      <x:c r="J48" s="23" t="str">
        <x:f>IF(I48&gt;0,"Future GPU: scaling layer",IF(H48&gt;0,"Cross-model coefficient needed",IF(G48&gt;0,"Same-model workload ratio candidate",IF(F48&gt;0,"Framework choice needs review","Direct preferred coverage"))))</x:f>
        <x:v>Future GPU: scaling layer</x:v>
      </x:c>
    </x:row>
    <x:row r="49">
      <x:c r="A49" t="str">
        <x:v>Qwen 3.5</x:v>
      </x:c>
      <x:c r="B49" t="str">
        <x:v>qwen3.5</x:v>
      </x:c>
      <x:c r="C49" t="str">
        <x:v>H200</x:v>
      </x:c>
      <x:c r="D49" t="str">
        <x:v>sglang</x:v>
      </x:c>
      <x:c r="E49" s="19" t="n">
        <x:f>COUNTIFS('Review Matrix'!$B$5:$B$604,$B49,'Review Matrix'!$C$5:$C$604,$C49,'Review Matrix'!$H$5:$H$604,"DIRECT_PREFERRED")</x:f>
        <x:v>12</x:v>
      </x:c>
      <x:c r="F49" s="19" t="n">
        <x:f>COUNTIFS('Review Matrix'!$B$5:$B$604,$B49,'Review Matrix'!$C$5:$C$604,$C49,'Review Matrix'!$H$5:$H$604,"DIRECT_OTHER_FRAMEWORK")</x:f>
        <x:v>0</x:v>
      </x:c>
      <x:c r="G49" s="19" t="n">
        <x:f>COUNTIFS('Review Matrix'!$B$5:$B$604,$B49,'Review Matrix'!$C$5:$C$604,$C49,'Review Matrix'!$H$5:$H$604,"SHORT_FROM_LONG_CANDIDATE")+COUNTIFS('Review Matrix'!$B$5:$B$604,$B49,'Review Matrix'!$C$5:$C$604,$C49,'Review Matrix'!$H$5:$H$604,"LONG_FROM_SHORT_CANDIDATE")+COUNTIFS('Review Matrix'!$B$5:$B$604,$B49,'Review Matrix'!$C$5:$C$604,$C49,'Review Matrix'!$H$5:$H$604,"AGENTIC_RATIO_CANDIDATE")</x:f>
        <x:v>0</x:v>
      </x:c>
      <x:c r="H49" s="19" t="n">
        <x:f>COUNTIFS('Review Matrix'!$B$5:$B$604,$B49,'Review Matrix'!$C$5:$C$604,$C49,'Review Matrix'!$H$5:$H$604,"CROSS_MODEL_RATIO_REQUIRED")</x:f>
        <x:v>0</x:v>
      </x:c>
      <x:c r="I49" s="19" t="n">
        <x:f>COUNTIFS('Review Matrix'!$B$5:$B$604,$B49,'Review Matrix'!$C$5:$C$604,$C49,'Review Matrix'!$H$5:$H$604,"GPU_SCALING_REQUIRED")</x:f>
        <x:v>0</x:v>
      </x:c>
      <x:c r="J49" s="23" t="str">
        <x:f>IF(I49&gt;0,"Future GPU: scaling layer",IF(H49&gt;0,"Cross-model coefficient needed",IF(G49&gt;0,"Same-model workload ratio candidate",IF(F49&gt;0,"Framework choice needs review","Direct preferred coverage"))))</x:f>
        <x:v>Direct preferred coverage</x:v>
      </x:c>
    </x:row>
    <x:row r="50">
      <x:c r="A50" t="str">
        <x:v>Qwen 3.5</x:v>
      </x:c>
      <x:c r="B50" t="str">
        <x:v>qwen3.5</x:v>
      </x:c>
      <x:c r="C50" t="str">
        <x:v>B200</x:v>
      </x:c>
      <x:c r="D50" t="str">
        <x:v>sglang</x:v>
      </x:c>
      <x:c r="E50" s="19" t="n">
        <x:f>COUNTIFS('Review Matrix'!$B$5:$B$604,$B50,'Review Matrix'!$C$5:$C$604,$C50,'Review Matrix'!$H$5:$H$604,"DIRECT_PREFERRED")</x:f>
        <x:v>12</x:v>
      </x:c>
      <x:c r="F50" s="19" t="n">
        <x:f>COUNTIFS('Review Matrix'!$B$5:$B$604,$B50,'Review Matrix'!$C$5:$C$604,$C50,'Review Matrix'!$H$5:$H$604,"DIRECT_OTHER_FRAMEWORK")</x:f>
        <x:v>0</x:v>
      </x:c>
      <x:c r="G50" s="19" t="n">
        <x:f>COUNTIFS('Review Matrix'!$B$5:$B$604,$B50,'Review Matrix'!$C$5:$C$604,$C50,'Review Matrix'!$H$5:$H$604,"SHORT_FROM_LONG_CANDIDATE")+COUNTIFS('Review Matrix'!$B$5:$B$604,$B50,'Review Matrix'!$C$5:$C$604,$C50,'Review Matrix'!$H$5:$H$604,"LONG_FROM_SHORT_CANDIDATE")+COUNTIFS('Review Matrix'!$B$5:$B$604,$B50,'Review Matrix'!$C$5:$C$604,$C50,'Review Matrix'!$H$5:$H$604,"AGENTIC_RATIO_CANDIDATE")</x:f>
        <x:v>0</x:v>
      </x:c>
      <x:c r="H50" s="19" t="n">
        <x:f>COUNTIFS('Review Matrix'!$B$5:$B$604,$B50,'Review Matrix'!$C$5:$C$604,$C50,'Review Matrix'!$H$5:$H$604,"CROSS_MODEL_RATIO_REQUIRED")</x:f>
        <x:v>0</x:v>
      </x:c>
      <x:c r="I50" s="19" t="n">
        <x:f>COUNTIFS('Review Matrix'!$B$5:$B$604,$B50,'Review Matrix'!$C$5:$C$604,$C50,'Review Matrix'!$H$5:$H$604,"GPU_SCALING_REQUIRED")</x:f>
        <x:v>0</x:v>
      </x:c>
      <x:c r="J50" s="23" t="str">
        <x:f>IF(I50&gt;0,"Future GPU: scaling layer",IF(H50&gt;0,"Cross-model coefficient needed",IF(G50&gt;0,"Same-model workload ratio candidate",IF(F50&gt;0,"Framework choice needs review","Direct preferred coverage"))))</x:f>
        <x:v>Direct preferred coverage</x:v>
      </x:c>
    </x:row>
    <x:row r="51">
      <x:c r="A51" t="str">
        <x:v>Qwen 3.5</x:v>
      </x:c>
      <x:c r="B51" t="str">
        <x:v>qwen3.5</x:v>
      </x:c>
      <x:c r="C51" t="str">
        <x:v>B300</x:v>
      </x:c>
      <x:c r="D51" t="str">
        <x:v>sglang</x:v>
      </x:c>
      <x:c r="E51" s="19" t="n">
        <x:f>COUNTIFS('Review Matrix'!$B$5:$B$604,$B51,'Review Matrix'!$C$5:$C$604,$C51,'Review Matrix'!$H$5:$H$604,"DIRECT_PREFERRED")</x:f>
        <x:v>12</x:v>
      </x:c>
      <x:c r="F51" s="19" t="n">
        <x:f>COUNTIFS('Review Matrix'!$B$5:$B$604,$B51,'Review Matrix'!$C$5:$C$604,$C51,'Review Matrix'!$H$5:$H$604,"DIRECT_OTHER_FRAMEWORK")</x:f>
        <x:v>0</x:v>
      </x:c>
      <x:c r="G51" s="19" t="n">
        <x:f>COUNTIFS('Review Matrix'!$B$5:$B$604,$B51,'Review Matrix'!$C$5:$C$604,$C51,'Review Matrix'!$H$5:$H$604,"SHORT_FROM_LONG_CANDIDATE")+COUNTIFS('Review Matrix'!$B$5:$B$604,$B51,'Review Matrix'!$C$5:$C$604,$C51,'Review Matrix'!$H$5:$H$604,"LONG_FROM_SHORT_CANDIDATE")+COUNTIFS('Review Matrix'!$B$5:$B$604,$B51,'Review Matrix'!$C$5:$C$604,$C51,'Review Matrix'!$H$5:$H$604,"AGENTIC_RATIO_CANDIDATE")</x:f>
        <x:v>0</x:v>
      </x:c>
      <x:c r="H51" s="19" t="n">
        <x:f>COUNTIFS('Review Matrix'!$B$5:$B$604,$B51,'Review Matrix'!$C$5:$C$604,$C51,'Review Matrix'!$H$5:$H$604,"CROSS_MODEL_RATIO_REQUIRED")</x:f>
        <x:v>0</x:v>
      </x:c>
      <x:c r="I51" s="19" t="n">
        <x:f>COUNTIFS('Review Matrix'!$B$5:$B$604,$B51,'Review Matrix'!$C$5:$C$604,$C51,'Review Matrix'!$H$5:$H$604,"GPU_SCALING_REQUIRED")</x:f>
        <x:v>0</x:v>
      </x:c>
      <x:c r="J51" s="23" t="str">
        <x:f>IF(I51&gt;0,"Future GPU: scaling layer",IF(H51&gt;0,"Cross-model coefficient needed",IF(G51&gt;0,"Same-model workload ratio candidate",IF(F51&gt;0,"Framework choice needs review","Direct preferred coverage"))))</x:f>
        <x:v>Direct preferred coverage</x:v>
      </x:c>
    </x:row>
    <x:row r="52">
      <x:c r="A52" t="str">
        <x:v>Qwen 3.5</x:v>
      </x:c>
      <x:c r="B52" t="str">
        <x:v>qwen3.5</x:v>
      </x:c>
      <x:c r="C52" t="str">
        <x:v>GB200</x:v>
      </x:c>
      <x:c r="D52" t="str">
        <x:v>dynamo-sglang</x:v>
      </x:c>
      <x:c r="E52" s="19" t="n">
        <x:f>COUNTIFS('Review Matrix'!$B$5:$B$604,$B52,'Review Matrix'!$C$5:$C$604,$C52,'Review Matrix'!$H$5:$H$604,"DIRECT_PREFERRED")</x:f>
        <x:v>12</x:v>
      </x:c>
      <x:c r="F52" s="19" t="n">
        <x:f>COUNTIFS('Review Matrix'!$B$5:$B$604,$B52,'Review Matrix'!$C$5:$C$604,$C52,'Review Matrix'!$H$5:$H$604,"DIRECT_OTHER_FRAMEWORK")</x:f>
        <x:v>0</x:v>
      </x:c>
      <x:c r="G52" s="19" t="n">
        <x:f>COUNTIFS('Review Matrix'!$B$5:$B$604,$B52,'Review Matrix'!$C$5:$C$604,$C52,'Review Matrix'!$H$5:$H$604,"SHORT_FROM_LONG_CANDIDATE")+COUNTIFS('Review Matrix'!$B$5:$B$604,$B52,'Review Matrix'!$C$5:$C$604,$C52,'Review Matrix'!$H$5:$H$604,"LONG_FROM_SHORT_CANDIDATE")+COUNTIFS('Review Matrix'!$B$5:$B$604,$B52,'Review Matrix'!$C$5:$C$604,$C52,'Review Matrix'!$H$5:$H$604,"AGENTIC_RATIO_CANDIDATE")</x:f>
        <x:v>0</x:v>
      </x:c>
      <x:c r="H52" s="19" t="n">
        <x:f>COUNTIFS('Review Matrix'!$B$5:$B$604,$B52,'Review Matrix'!$C$5:$C$604,$C52,'Review Matrix'!$H$5:$H$604,"CROSS_MODEL_RATIO_REQUIRED")</x:f>
        <x:v>0</x:v>
      </x:c>
      <x:c r="I52" s="19" t="n">
        <x:f>COUNTIFS('Review Matrix'!$B$5:$B$604,$B52,'Review Matrix'!$C$5:$C$604,$C52,'Review Matrix'!$H$5:$H$604,"GPU_SCALING_REQUIRED")</x:f>
        <x:v>0</x:v>
      </x:c>
      <x:c r="J52" s="23" t="str">
        <x:f>IF(I52&gt;0,"Future GPU: scaling layer",IF(H52&gt;0,"Cross-model coefficient needed",IF(G52&gt;0,"Same-model workload ratio candidate",IF(F52&gt;0,"Framework choice needs review","Direct preferred coverage"))))</x:f>
        <x:v>Direct preferred coverage</x:v>
      </x:c>
    </x:row>
    <x:row r="53">
      <x:c r="A53" t="str">
        <x:v>Qwen 3.5</x:v>
      </x:c>
      <x:c r="B53" t="str">
        <x:v>qwen3.5</x:v>
      </x:c>
      <x:c r="C53" t="str">
        <x:v>GB300</x:v>
      </x:c>
      <x:c r="D53" t="str">
        <x:v>dynamo-sglang</x:v>
      </x:c>
      <x:c r="E53" s="19" t="n">
        <x:f>COUNTIFS('Review Matrix'!$B$5:$B$604,$B53,'Review Matrix'!$C$5:$C$604,$C53,'Review Matrix'!$H$5:$H$604,"DIRECT_PREFERRED")</x:f>
        <x:v>12</x:v>
      </x:c>
      <x:c r="F53" s="19" t="n">
        <x:f>COUNTIFS('Review Matrix'!$B$5:$B$604,$B53,'Review Matrix'!$C$5:$C$604,$C53,'Review Matrix'!$H$5:$H$604,"DIRECT_OTHER_FRAMEWORK")</x:f>
        <x:v>0</x:v>
      </x:c>
      <x:c r="G53" s="19" t="n">
        <x:f>COUNTIFS('Review Matrix'!$B$5:$B$604,$B53,'Review Matrix'!$C$5:$C$604,$C53,'Review Matrix'!$H$5:$H$604,"SHORT_FROM_LONG_CANDIDATE")+COUNTIFS('Review Matrix'!$B$5:$B$604,$B53,'Review Matrix'!$C$5:$C$604,$C53,'Review Matrix'!$H$5:$H$604,"LONG_FROM_SHORT_CANDIDATE")+COUNTIFS('Review Matrix'!$B$5:$B$604,$B53,'Review Matrix'!$C$5:$C$604,$C53,'Review Matrix'!$H$5:$H$604,"AGENTIC_RATIO_CANDIDATE")</x:f>
        <x:v>0</x:v>
      </x:c>
      <x:c r="H53" s="19" t="n">
        <x:f>COUNTIFS('Review Matrix'!$B$5:$B$604,$B53,'Review Matrix'!$C$5:$C$604,$C53,'Review Matrix'!$H$5:$H$604,"CROSS_MODEL_RATIO_REQUIRED")</x:f>
        <x:v>0</x:v>
      </x:c>
      <x:c r="I53" s="19" t="n">
        <x:f>COUNTIFS('Review Matrix'!$B$5:$B$604,$B53,'Review Matrix'!$C$5:$C$604,$C53,'Review Matrix'!$H$5:$H$604,"GPU_SCALING_REQUIRED")</x:f>
        <x:v>0</x:v>
      </x:c>
      <x:c r="J53" s="23" t="str">
        <x:f>IF(I53&gt;0,"Future GPU: scaling layer",IF(H53&gt;0,"Cross-model coefficient needed",IF(G53&gt;0,"Same-model workload ratio candidate",IF(F53&gt;0,"Framework choice needs review","Direct preferred coverage"))))</x:f>
        <x:v>Direct preferred coverage</x:v>
      </x:c>
    </x:row>
    <x:row r="54">
      <x:c r="A54" t="str">
        <x:v>Qwen 3.5</x:v>
      </x:c>
      <x:c r="B54" t="str">
        <x:v>qwen3.5</x:v>
      </x:c>
      <x:c r="C54" t="str">
        <x:v>R200</x:v>
      </x:c>
      <x:c r="D54" t="str"/>
      <x:c r="E54" s="19" t="n">
        <x:f>COUNTIFS('Review Matrix'!$B$5:$B$604,$B54,'Review Matrix'!$C$5:$C$604,$C54,'Review Matrix'!$H$5:$H$604,"DIRECT_PREFERRED")</x:f>
        <x:v>0</x:v>
      </x:c>
      <x:c r="F54" s="19" t="n">
        <x:f>COUNTIFS('Review Matrix'!$B$5:$B$604,$B54,'Review Matrix'!$C$5:$C$604,$C54,'Review Matrix'!$H$5:$H$604,"DIRECT_OTHER_FRAMEWORK")</x:f>
        <x:v>0</x:v>
      </x:c>
      <x:c r="G54" s="19" t="n">
        <x:f>COUNTIFS('Review Matrix'!$B$5:$B$604,$B54,'Review Matrix'!$C$5:$C$604,$C54,'Review Matrix'!$H$5:$H$604,"SHORT_FROM_LONG_CANDIDATE")+COUNTIFS('Review Matrix'!$B$5:$B$604,$B54,'Review Matrix'!$C$5:$C$604,$C54,'Review Matrix'!$H$5:$H$604,"LONG_FROM_SHORT_CANDIDATE")+COUNTIFS('Review Matrix'!$B$5:$B$604,$B54,'Review Matrix'!$C$5:$C$604,$C54,'Review Matrix'!$H$5:$H$604,"AGENTIC_RATIO_CANDIDATE")</x:f>
        <x:v>0</x:v>
      </x:c>
      <x:c r="H54" s="19" t="n">
        <x:f>COUNTIFS('Review Matrix'!$B$5:$B$604,$B54,'Review Matrix'!$C$5:$C$604,$C54,'Review Matrix'!$H$5:$H$604,"CROSS_MODEL_RATIO_REQUIRED")</x:f>
        <x:v>0</x:v>
      </x:c>
      <x:c r="I54" s="19" t="n">
        <x:f>COUNTIFS('Review Matrix'!$B$5:$B$604,$B54,'Review Matrix'!$C$5:$C$604,$C54,'Review Matrix'!$H$5:$H$604,"GPU_SCALING_REQUIRED")</x:f>
        <x:v>12</x:v>
      </x:c>
      <x:c r="J54" s="23" t="str">
        <x:f>IF(I54&gt;0,"Future GPU: scaling layer",IF(H54&gt;0,"Cross-model coefficient needed",IF(G54&gt;0,"Same-model workload ratio candidate",IF(F54&gt;0,"Framework choice needs review","Direct preferred coverage"))))</x:f>
        <x:v>Future GPU: scaling layer</x:v>
      </x:c>
    </x:row>
    <x:row r="55">
      <x:c r="A55" t="str">
        <x:v>Qwen 3.5</x:v>
      </x:c>
      <x:c r="B55" t="str">
        <x:v>qwen3.5</x:v>
      </x:c>
      <x:c r="C55" t="str">
        <x:v>VR200</x:v>
      </x:c>
      <x:c r="D55" t="str"/>
      <x:c r="E55" s="19" t="n">
        <x:f>COUNTIFS('Review Matrix'!$B$5:$B$604,$B55,'Review Matrix'!$C$5:$C$604,$C55,'Review Matrix'!$H$5:$H$604,"DIRECT_PREFERRED")</x:f>
        <x:v>0</x:v>
      </x:c>
      <x:c r="F55" s="19" t="n">
        <x:f>COUNTIFS('Review Matrix'!$B$5:$B$604,$B55,'Review Matrix'!$C$5:$C$604,$C55,'Review Matrix'!$H$5:$H$604,"DIRECT_OTHER_FRAMEWORK")</x:f>
        <x:v>0</x:v>
      </x:c>
      <x:c r="G55" s="19" t="n">
        <x:f>COUNTIFS('Review Matrix'!$B$5:$B$604,$B55,'Review Matrix'!$C$5:$C$604,$C55,'Review Matrix'!$H$5:$H$604,"SHORT_FROM_LONG_CANDIDATE")+COUNTIFS('Review Matrix'!$B$5:$B$604,$B55,'Review Matrix'!$C$5:$C$604,$C55,'Review Matrix'!$H$5:$H$604,"LONG_FROM_SHORT_CANDIDATE")+COUNTIFS('Review Matrix'!$B$5:$B$604,$B55,'Review Matrix'!$C$5:$C$604,$C55,'Review Matrix'!$H$5:$H$604,"AGENTIC_RATIO_CANDIDATE")</x:f>
        <x:v>0</x:v>
      </x:c>
      <x:c r="H55" s="19" t="n">
        <x:f>COUNTIFS('Review Matrix'!$B$5:$B$604,$B55,'Review Matrix'!$C$5:$C$604,$C55,'Review Matrix'!$H$5:$H$604,"CROSS_MODEL_RATIO_REQUIRED")</x:f>
        <x:v>0</x:v>
      </x:c>
      <x:c r="I55" s="19" t="n">
        <x:f>COUNTIFS('Review Matrix'!$B$5:$B$604,$B55,'Review Matrix'!$C$5:$C$604,$C55,'Review Matrix'!$H$5:$H$604,"GPU_SCALING_REQUIRED")</x:f>
        <x:v>12</x:v>
      </x:c>
      <x:c r="J55" s="23" t="str">
        <x:f>IF(I55&gt;0,"Future GPU: scaling layer",IF(H55&gt;0,"Cross-model coefficient needed",IF(G55&gt;0,"Same-model workload ratio candidate",IF(F55&gt;0,"Framework choice needs review","Direct preferred coverage"))))</x:f>
        <x:v>Future GPU: scaling layer</x:v>
      </x:c>
    </x:row>
    <x:row r="56">
      <x:c r="A56" t="str">
        <x:v>Qwen 3.5</x:v>
      </x:c>
      <x:c r="B56" t="str">
        <x:v>qwen3.5</x:v>
      </x:c>
      <x:c r="C56" t="str">
        <x:v>R300</x:v>
      </x:c>
      <x:c r="D56" t="str"/>
      <x:c r="E56" s="19" t="n">
        <x:f>COUNTIFS('Review Matrix'!$B$5:$B$604,$B56,'Review Matrix'!$C$5:$C$604,$C56,'Review Matrix'!$H$5:$H$604,"DIRECT_PREFERRED")</x:f>
        <x:v>0</x:v>
      </x:c>
      <x:c r="F56" s="19" t="n">
        <x:f>COUNTIFS('Review Matrix'!$B$5:$B$604,$B56,'Review Matrix'!$C$5:$C$604,$C56,'Review Matrix'!$H$5:$H$604,"DIRECT_OTHER_FRAMEWORK")</x:f>
        <x:v>0</x:v>
      </x:c>
      <x:c r="G56" s="19" t="n">
        <x:f>COUNTIFS('Review Matrix'!$B$5:$B$604,$B56,'Review Matrix'!$C$5:$C$604,$C56,'Review Matrix'!$H$5:$H$604,"SHORT_FROM_LONG_CANDIDATE")+COUNTIFS('Review Matrix'!$B$5:$B$604,$B56,'Review Matrix'!$C$5:$C$604,$C56,'Review Matrix'!$H$5:$H$604,"LONG_FROM_SHORT_CANDIDATE")+COUNTIFS('Review Matrix'!$B$5:$B$604,$B56,'Review Matrix'!$C$5:$C$604,$C56,'Review Matrix'!$H$5:$H$604,"AGENTIC_RATIO_CANDIDATE")</x:f>
        <x:v>0</x:v>
      </x:c>
      <x:c r="H56" s="19" t="n">
        <x:f>COUNTIFS('Review Matrix'!$B$5:$B$604,$B56,'Review Matrix'!$C$5:$C$604,$C56,'Review Matrix'!$H$5:$H$604,"CROSS_MODEL_RATIO_REQUIRED")</x:f>
        <x:v>0</x:v>
      </x:c>
      <x:c r="I56" s="19" t="n">
        <x:f>COUNTIFS('Review Matrix'!$B$5:$B$604,$B56,'Review Matrix'!$C$5:$C$604,$C56,'Review Matrix'!$H$5:$H$604,"GPU_SCALING_REQUIRED")</x:f>
        <x:v>12</x:v>
      </x:c>
      <x:c r="J56" s="23" t="str">
        <x:f>IF(I56&gt;0,"Future GPU: scaling layer",IF(H56&gt;0,"Cross-model coefficient needed",IF(G56&gt;0,"Same-model workload ratio candidate",IF(F56&gt;0,"Framework choice needs review","Direct preferred coverage"))))</x:f>
        <x:v>Future GPU: scaling layer</x:v>
      </x:c>
    </x:row>
    <x:row r="57">
      <x:c r="A57" t="str">
        <x:v>Qwen 3.5</x:v>
      </x:c>
      <x:c r="B57" t="str">
        <x:v>qwen3.5</x:v>
      </x:c>
      <x:c r="C57" t="str">
        <x:v>VR300</x:v>
      </x:c>
      <x:c r="D57" t="str"/>
      <x:c r="E57" s="19" t="n">
        <x:f>COUNTIFS('Review Matrix'!$B$5:$B$604,$B57,'Review Matrix'!$C$5:$C$604,$C57,'Review Matrix'!$H$5:$H$604,"DIRECT_PREFERRED")</x:f>
        <x:v>0</x:v>
      </x:c>
      <x:c r="F57" s="19" t="n">
        <x:f>COUNTIFS('Review Matrix'!$B$5:$B$604,$B57,'Review Matrix'!$C$5:$C$604,$C57,'Review Matrix'!$H$5:$H$604,"DIRECT_OTHER_FRAMEWORK")</x:f>
        <x:v>0</x:v>
      </x:c>
      <x:c r="G57" s="19" t="n">
        <x:f>COUNTIFS('Review Matrix'!$B$5:$B$604,$B57,'Review Matrix'!$C$5:$C$604,$C57,'Review Matrix'!$H$5:$H$604,"SHORT_FROM_LONG_CANDIDATE")+COUNTIFS('Review Matrix'!$B$5:$B$604,$B57,'Review Matrix'!$C$5:$C$604,$C57,'Review Matrix'!$H$5:$H$604,"LONG_FROM_SHORT_CANDIDATE")+COUNTIFS('Review Matrix'!$B$5:$B$604,$B57,'Review Matrix'!$C$5:$C$604,$C57,'Review Matrix'!$H$5:$H$604,"AGENTIC_RATIO_CANDIDATE")</x:f>
        <x:v>0</x:v>
      </x:c>
      <x:c r="H57" s="19" t="n">
        <x:f>COUNTIFS('Review Matrix'!$B$5:$B$604,$B57,'Review Matrix'!$C$5:$C$604,$C57,'Review Matrix'!$H$5:$H$604,"CROSS_MODEL_RATIO_REQUIRED")</x:f>
        <x:v>0</x:v>
      </x:c>
      <x:c r="I57" s="19" t="n">
        <x:f>COUNTIFS('Review Matrix'!$B$5:$B$604,$B57,'Review Matrix'!$C$5:$C$604,$C57,'Review Matrix'!$H$5:$H$604,"GPU_SCALING_REQUIRED")</x:f>
        <x:v>12</x:v>
      </x:c>
      <x:c r="J57" s="23" t="str">
        <x:f>IF(I57&gt;0,"Future GPU: scaling layer",IF(H57&gt;0,"Cross-model coefficient needed",IF(G57&gt;0,"Same-model workload ratio candidate",IF(F57&gt;0,"Framework choice needs review","Direct preferred coverage"))))</x:f>
        <x:v>Future GPU: scaling layer</x:v>
      </x:c>
    </x:row>
    <x:row r="58">
      <x:c r="A58" t="str">
        <x:v>Qwen 3.5</x:v>
      </x:c>
      <x:c r="B58" t="str">
        <x:v>qwen3.5</x:v>
      </x:c>
      <x:c r="C58" t="str">
        <x:v>Post Rubin</x:v>
      </x:c>
      <x:c r="D58" t="str"/>
      <x:c r="E58" s="19" t="n">
        <x:f>COUNTIFS('Review Matrix'!$B$5:$B$604,$B58,'Review Matrix'!$C$5:$C$604,$C58,'Review Matrix'!$H$5:$H$604,"DIRECT_PREFERRED")</x:f>
        <x:v>0</x:v>
      </x:c>
      <x:c r="F58" s="19" t="n">
        <x:f>COUNTIFS('Review Matrix'!$B$5:$B$604,$B58,'Review Matrix'!$C$5:$C$604,$C58,'Review Matrix'!$H$5:$H$604,"DIRECT_OTHER_FRAMEWORK")</x:f>
        <x:v>0</x:v>
      </x:c>
      <x:c r="G58" s="19" t="n">
        <x:f>COUNTIFS('Review Matrix'!$B$5:$B$604,$B58,'Review Matrix'!$C$5:$C$604,$C58,'Review Matrix'!$H$5:$H$604,"SHORT_FROM_LONG_CANDIDATE")+COUNTIFS('Review Matrix'!$B$5:$B$604,$B58,'Review Matrix'!$C$5:$C$604,$C58,'Review Matrix'!$H$5:$H$604,"LONG_FROM_SHORT_CANDIDATE")+COUNTIFS('Review Matrix'!$B$5:$B$604,$B58,'Review Matrix'!$C$5:$C$604,$C58,'Review Matrix'!$H$5:$H$604,"AGENTIC_RATIO_CANDIDATE")</x:f>
        <x:v>0</x:v>
      </x:c>
      <x:c r="H58" s="19" t="n">
        <x:f>COUNTIFS('Review Matrix'!$B$5:$B$604,$B58,'Review Matrix'!$C$5:$C$604,$C58,'Review Matrix'!$H$5:$H$604,"CROSS_MODEL_RATIO_REQUIRED")</x:f>
        <x:v>0</x:v>
      </x:c>
      <x:c r="I58" s="19" t="n">
        <x:f>COUNTIFS('Review Matrix'!$B$5:$B$604,$B58,'Review Matrix'!$C$5:$C$604,$C58,'Review Matrix'!$H$5:$H$604,"GPU_SCALING_REQUIRED")</x:f>
        <x:v>12</x:v>
      </x:c>
      <x:c r="J58" s="23" t="str">
        <x:f>IF(I58&gt;0,"Future GPU: scaling layer",IF(H58&gt;0,"Cross-model coefficient needed",IF(G58&gt;0,"Same-model workload ratio candidate",IF(F58&gt;0,"Framework choice needs review","Direct preferred coverage"))))</x:f>
        <x:v>Future GPU: scaling layer</x:v>
      </x:c>
    </x:row>
  </x:sheetData>
  <x:mergeCells>
    <x:mergeCell ref="A1:J1"/>
    <x:mergeCell ref="A2:J2"/>
    <x:mergeCell ref="A4:B4"/>
    <x:mergeCell ref="C4:D4"/>
    <x:mergeCell ref="E4:F4"/>
    <x:mergeCell ref="G4:H4"/>
    <x:mergeCell ref="I4:J4"/>
    <x:mergeCell ref="A5:B5"/>
    <x:mergeCell ref="C5:D5"/>
    <x:mergeCell ref="E5:F5"/>
    <x:mergeCell ref="G5:H5"/>
    <x:mergeCell ref="I5:J5"/>
  </x:mergeCells>
  <x:pageMargins left="0.7" right="0.7" top="0.75" bottom="0.75" header="0.3" footer="0.3"/>
  <x:tableParts count="1">
    <x:tablePart xmlns:r="http://schemas.openxmlformats.org/officeDocument/2006/relationships" r:id="Rb4853ec0be5b4de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2" hidden="0" customWidth="1"/>
    <x:col min="3" max="3" width="11" hidden="0" customWidth="1"/>
    <x:col min="4" max="4" width="16" hidden="0" customWidth="1"/>
    <x:col min="5" max="5" width="11" hidden="0" customWidth="1"/>
    <x:col min="6" max="6" width="13" hidden="0" customWidth="1"/>
    <x:col min="7" max="7" width="20" hidden="0" customWidth="1"/>
    <x:col min="8" max="8" width="28" hidden="0" customWidth="1"/>
    <x:col min="9" max="9" width="18" hidden="0" customWidth="1"/>
    <x:col min="10" max="10" width="15" hidden="0" customWidth="1"/>
    <x:col min="11" max="11" width="13" hidden="0" customWidth="1"/>
    <x:col min="12" max="12" width="10" hidden="0" customWidth="1"/>
    <x:col min="13" max="13" width="15" hidden="0" customWidth="1"/>
    <x:col min="14" max="14" width="10" hidden="0" customWidth="1"/>
    <x:col min="15" max="15" width="12" hidden="0" customWidth="1"/>
    <x:col min="16" max="16" width="12" hidden="0" customWidth="1"/>
    <x:col min="17" max="17" width="22" hidden="0" customWidth="1"/>
    <x:col min="18" max="18" width="18" hidden="0" customWidth="1"/>
    <x:col min="19" max="19" width="20" hidden="0" customWidth="1"/>
    <x:col min="20" max="20" width="28" hidden="0" customWidth="1"/>
    <x:col min="21" max="21" width="15" hidden="0" customWidth="1"/>
    <x:col min="22" max="22" width="13" hidden="0" customWidth="1"/>
    <x:col min="23" max="23" width="18" hidden="0" customWidth="1"/>
    <x:col min="24" max="24" width="17" hidden="0" customWidth="1"/>
    <x:col min="25" max="25" width="48" hidden="0" customWidth="1"/>
  </x:cols>
  <x:sheetData>
    <x:row r="1" ht="30" customHeight="1">
      <x:c r="A1" s="3" t="str">
        <x:v>Proxy Model × GPU × Interactivity × Workload Review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34" customHeight="1">
      <x:c r="A2" s="7" t="str">
        <x:v>Direct coverage, provisional framework selection, Pareto-eligible observations, and arithmetic-ratio fill candidates. Production logic is unchanged.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4" ht="30" customHeight="1">
      <x:c r="A4" s="16" t="str">
        <x:v>Proxy Model</x:v>
      </x:c>
      <x:c r="B4" s="17" t="str">
        <x:v>Model Code</x:v>
      </x:c>
      <x:c r="C4" s="17" t="str">
        <x:v>GPU</x:v>
      </x:c>
      <x:c r="D4" s="17" t="str">
        <x:v>GPU Class</x:v>
      </x:c>
      <x:c r="E4" s="17" t="str">
        <x:v>Workload</x:v>
      </x:c>
      <x:c r="F4" s="17" t="str">
        <x:v>Target Interactivity</x:v>
      </x:c>
      <x:c r="G4" s="17" t="str">
        <x:v>Preferred Framework</x:v>
      </x:c>
      <x:c r="H4" s="17" t="str">
        <x:v>Status</x:v>
      </x:c>
      <x:c r="I4" s="17" t="str">
        <x:v>Direct TPS/MW (Preferred)</x:v>
      </x:c>
      <x:c r="J4" s="17" t="str">
        <x:v>Actual Interactivity</x:v>
      </x:c>
      <x:c r="K4" s="17" t="str">
        <x:v>Concurrency</x:v>
      </x:c>
      <x:c r="L4" s="17" t="str">
        <x:v>GPU Count</x:v>
      </x:c>
      <x:c r="M4" s="17" t="str">
        <x:v>Concurrency/GPU</x:v>
      </x:c>
      <x:c r="N4" s="17" t="str">
        <x:v>Precision</x:v>
      </x:c>
      <x:c r="O4" s="17" t="str">
        <x:v>Spec Method</x:v>
      </x:c>
      <x:c r="P4" s="17" t="str">
        <x:v>Benchmark ID</x:v>
      </x:c>
      <x:c r="Q4" s="17" t="str">
        <x:v>Benchmark Date</x:v>
      </x:c>
      <x:c r="R4" s="17" t="str">
        <x:v>Best Available TPS/MW</x:v>
      </x:c>
      <x:c r="S4" s="17" t="str">
        <x:v>Best Available Framework</x:v>
      </x:c>
      <x:c r="T4" s="17" t="str">
        <x:v>Frameworks Available</x:v>
      </x:c>
      <x:c r="U4" s="17" t="str">
        <x:v>Eligible Rows (Preferred)</x:v>
      </x:c>
      <x:c r="V4" s="17" t="str">
        <x:v>Eligible Rows (All)</x:v>
      </x:c>
      <x:c r="W4" s="17" t="str">
        <x:v>Distinct Concurrency (Preferred)</x:v>
      </x:c>
      <x:c r="X4" s="17" t="str">
        <x:v>Fill Anchor Workload</x:v>
      </x:c>
      <x:c r="Y4" s="18" t="str">
        <x:v>Review Note</x:v>
      </x:c>
    </x:row>
    <x:row r="5">
      <x:c r="A5" t="str">
        <x:v>DeepSeek V4 Pro</x:v>
      </x:c>
      <x:c r="B5" t="str">
        <x:v>dsv4</x:v>
      </x:c>
      <x:c r="C5" t="str">
        <x:v>H200</x:v>
      </x:c>
      <x:c r="D5" t="str">
        <x:v>direct</x:v>
      </x:c>
      <x:c r="E5" t="str">
        <x:v>short</x:v>
      </x:c>
      <x:c r="F5" s="19" t="n">
        <x:v>30</x:v>
      </x:c>
      <x:c r="G5" t="str">
        <x:v>vllm</x:v>
      </x:c>
      <x:c r="H5" s="23" t="str">
        <x:v>DIRECT_PREFERRED</x:v>
      </x:c>
      <x:c r="I5" s="20" t="n">
        <x:v>95793.95084286747</x:v>
      </x:c>
      <x:c r="J5" s="20" t="n">
        <x:v>33.9889495016147</x:v>
      </x:c>
      <x:c r="K5" s="20" t="n">
        <x:v>32</x:v>
      </x:c>
      <x:c r="L5" s="20" t="n">
        <x:v>8</x:v>
      </x:c>
      <x:c r="M5" s="20" t="n">
        <x:v>4</x:v>
      </x:c>
      <x:c r="N5" t="str">
        <x:v>fp8</x:v>
      </x:c>
      <x:c r="O5" t="str">
        <x:v>mtp</x:v>
      </x:c>
      <x:c r="P5" s="19" t="n">
        <x:v>435216</x:v>
      </x:c>
      <x:c r="Q5" s="21" t="n">
        <x:v>46217</x:v>
      </x:c>
      <x:c r="R5" s="22" t="n">
        <x:v>95793.95084286747</x:v>
      </x:c>
      <x:c r="S5" t="str">
        <x:v>vllm</x:v>
      </x:c>
      <x:c r="T5" t="str">
        <x:v>sglang, vllm</x:v>
      </x:c>
      <x:c r="U5" s="19" t="n">
        <x:v>64</x:v>
      </x:c>
      <x:c r="V5" s="19" t="n">
        <x:v>84</x:v>
      </x:c>
      <x:c r="W5" s="19" t="n">
        <x:v>9</x:v>
      </x:c>
      <x:c r="X5" t="str"/>
      <x:c r="Y5" s="23" t="str">
        <x:v>Preferred framework has a direct Pareto-eligible observation.</x:v>
      </x:c>
    </x:row>
    <x:row r="6">
      <x:c r="A6" t="str">
        <x:v>DeepSeek V4 Pro</x:v>
      </x:c>
      <x:c r="B6" t="str">
        <x:v>dsv4</x:v>
      </x:c>
      <x:c r="C6" t="str">
        <x:v>H200</x:v>
      </x:c>
      <x:c r="D6" t="str">
        <x:v>direct</x:v>
      </x:c>
      <x:c r="E6" t="str">
        <x:v>short</x:v>
      </x:c>
      <x:c r="F6" s="19" t="n">
        <x:v>50</x:v>
      </x:c>
      <x:c r="G6" t="str">
        <x:v>vllm</x:v>
      </x:c>
      <x:c r="H6" s="23" t="str">
        <x:v>DIRECT_PREFERRED</x:v>
      </x:c>
      <x:c r="I6" s="20" t="n">
        <x:v>50090.56918534581</x:v>
      </x:c>
      <x:c r="J6" s="20" t="n">
        <x:v>73.61724870860441</x:v>
      </x:c>
      <x:c r="K6" s="20" t="n">
        <x:v>8</x:v>
      </x:c>
      <x:c r="L6" s="20" t="n">
        <x:v>8</x:v>
      </x:c>
      <x:c r="M6" s="20" t="n">
        <x:v>1</x:v>
      </x:c>
      <x:c r="N6" t="str">
        <x:v>fp8</x:v>
      </x:c>
      <x:c r="O6" t="str">
        <x:v>mtp</x:v>
      </x:c>
      <x:c r="P6" s="19" t="n">
        <x:v>414829</x:v>
      </x:c>
      <x:c r="Q6" s="21" t="n">
        <x:v>46163</x:v>
      </x:c>
      <x:c r="R6" s="22" t="n">
        <x:v>71446.97451007004</x:v>
      </x:c>
      <x:c r="S6" t="str">
        <x:v>sglang</x:v>
      </x:c>
      <x:c r="T6" t="str">
        <x:v>sglang, vllm</x:v>
      </x:c>
      <x:c r="U6" s="19" t="n">
        <x:v>32</x:v>
      </x:c>
      <x:c r="V6" s="19" t="n">
        <x:v>46</x:v>
      </x:c>
      <x:c r="W6" s="19" t="n">
        <x:v>9</x:v>
      </x:c>
      <x:c r="X6" t="str"/>
      <x:c r="Y6" s="23" t="str">
        <x:v>Preferred framework has a direct Pareto-eligible observation.</x:v>
      </x:c>
    </x:row>
    <x:row r="7">
      <x:c r="A7" t="str">
        <x:v>DeepSeek V4 Pro</x:v>
      </x:c>
      <x:c r="B7" t="str">
        <x:v>dsv4</x:v>
      </x:c>
      <x:c r="C7" t="str">
        <x:v>H200</x:v>
      </x:c>
      <x:c r="D7" t="str">
        <x:v>direct</x:v>
      </x:c>
      <x:c r="E7" t="str">
        <x:v>short</x:v>
      </x:c>
      <x:c r="F7" s="19" t="n">
        <x:v>70</x:v>
      </x:c>
      <x:c r="G7" t="str">
        <x:v>vllm</x:v>
      </x:c>
      <x:c r="H7" s="23" t="str">
        <x:v>DIRECT_PREFERRED</x:v>
      </x:c>
      <x:c r="I7" s="20" t="n">
        <x:v>50090.56918534581</x:v>
      </x:c>
      <x:c r="J7" s="20" t="n">
        <x:v>73.61724870860441</x:v>
      </x:c>
      <x:c r="K7" s="20" t="n">
        <x:v>8</x:v>
      </x:c>
      <x:c r="L7" s="20" t="n">
        <x:v>8</x:v>
      </x:c>
      <x:c r="M7" s="20" t="n">
        <x:v>1</x:v>
      </x:c>
      <x:c r="N7" t="str">
        <x:v>fp8</x:v>
      </x:c>
      <x:c r="O7" t="str">
        <x:v>mtp</x:v>
      </x:c>
      <x:c r="P7" s="19" t="n">
        <x:v>414829</x:v>
      </x:c>
      <x:c r="Q7" s="21" t="n">
        <x:v>46163</x:v>
      </x:c>
      <x:c r="R7" s="22" t="n">
        <x:v>50090.56918534581</x:v>
      </x:c>
      <x:c r="S7" t="str">
        <x:v>vllm</x:v>
      </x:c>
      <x:c r="T7" t="str">
        <x:v>sglang, vllm</x:v>
      </x:c>
      <x:c r="U7" s="19" t="n">
        <x:v>18</x:v>
      </x:c>
      <x:c r="V7" s="19" t="n">
        <x:v>26</x:v>
      </x:c>
      <x:c r="W7" s="19" t="n">
        <x:v>9</x:v>
      </x:c>
      <x:c r="X7" t="str"/>
      <x:c r="Y7" s="23" t="str">
        <x:v>Preferred framework has a direct Pareto-eligible observation.</x:v>
      </x:c>
    </x:row>
    <x:row r="8">
      <x:c r="A8" t="str">
        <x:v>DeepSeek V4 Pro</x:v>
      </x:c>
      <x:c r="B8" t="str">
        <x:v>dsv4</x:v>
      </x:c>
      <x:c r="C8" t="str">
        <x:v>H200</x:v>
      </x:c>
      <x:c r="D8" t="str">
        <x:v>direct</x:v>
      </x:c>
      <x:c r="E8" t="str">
        <x:v>short</x:v>
      </x:c>
      <x:c r="F8" s="19" t="n">
        <x:v>100</x:v>
      </x:c>
      <x:c r="G8" t="str">
        <x:v>vllm</x:v>
      </x:c>
      <x:c r="H8" s="23" t="str">
        <x:v>DIRECT_PREFERRED</x:v>
      </x:c>
      <x:c r="I8" s="20" t="n">
        <x:v>24061.23678162922</x:v>
      </x:c>
      <x:c r="J8" s="20" t="n">
        <x:v>146.4940484800599</x:v>
      </x:c>
      <x:c r="K8" s="20" t="n">
        <x:v>2</x:v>
      </x:c>
      <x:c r="L8" s="20" t="n">
        <x:v>8</x:v>
      </x:c>
      <x:c r="M8" s="20" t="n">
        <x:v>0.25</x:v>
      </x:c>
      <x:c r="N8" t="str">
        <x:v>fp8</x:v>
      </x:c>
      <x:c r="O8" t="str">
        <x:v>mtp</x:v>
      </x:c>
      <x:c r="P8" s="19" t="n">
        <x:v>435172</x:v>
      </x:c>
      <x:c r="Q8" s="21" t="n">
        <x:v>46217</x:v>
      </x:c>
      <x:c r="R8" s="22" t="n">
        <x:v>24061.23678162922</x:v>
      </x:c>
      <x:c r="S8" t="str">
        <x:v>vllm</x:v>
      </x:c>
      <x:c r="T8" t="str">
        <x:v>sglang, vllm</x:v>
      </x:c>
      <x:c r="U8" s="19" t="n">
        <x:v>6</x:v>
      </x:c>
      <x:c r="V8" s="19" t="n">
        <x:v>8</x:v>
      </x:c>
      <x:c r="W8" s="19" t="n">
        <x:v>9</x:v>
      </x:c>
      <x:c r="X8" t="str"/>
      <x:c r="Y8" s="23" t="str">
        <x:v>Preferred framework has a direct Pareto-eligible observation.</x:v>
      </x:c>
    </x:row>
    <x:row r="9">
      <x:c r="A9" t="str">
        <x:v>DeepSeek V4 Pro</x:v>
      </x:c>
      <x:c r="B9" t="str">
        <x:v>dsv4</x:v>
      </x:c>
      <x:c r="C9" t="str">
        <x:v>H200</x:v>
      </x:c>
      <x:c r="D9" t="str">
        <x:v>direct</x:v>
      </x:c>
      <x:c r="E9" t="str">
        <x:v>long</x:v>
      </x:c>
      <x:c r="F9" s="19" t="n">
        <x:v>30</x:v>
      </x:c>
      <x:c r="G9" t="str">
        <x:v>vllm</x:v>
      </x:c>
      <x:c r="H9" s="23" t="str">
        <x:v>DIRECT_PREFERRED</x:v>
      </x:c>
      <x:c r="I9" s="20" t="n">
        <x:v>23700.976043716168</x:v>
      </x:c>
      <x:c r="J9" s="20" t="n">
        <x:v>38.33555265752672</x:v>
      </x:c>
      <x:c r="K9" s="20" t="n">
        <x:v>8</x:v>
      </x:c>
      <x:c r="L9" s="20" t="n">
        <x:v>8</x:v>
      </x:c>
      <x:c r="M9" s="20" t="n">
        <x:v>1</x:v>
      </x:c>
      <x:c r="N9" t="str">
        <x:v>fp8</x:v>
      </x:c>
      <x:c r="O9" t="str">
        <x:v>mtp</x:v>
      </x:c>
      <x:c r="P9" s="19" t="n">
        <x:v>414861</x:v>
      </x:c>
      <x:c r="Q9" s="21" t="n">
        <x:v>46163</x:v>
      </x:c>
      <x:c r="R9" s="22" t="n">
        <x:v>26985.672563432705</x:v>
      </x:c>
      <x:c r="S9" t="str">
        <x:v>sglang</x:v>
      </x:c>
      <x:c r="T9" t="str">
        <x:v>sglang, vllm</x:v>
      </x:c>
      <x:c r="U9" s="19" t="n">
        <x:v>42</x:v>
      </x:c>
      <x:c r="V9" s="19" t="n">
        <x:v>54</x:v>
      </x:c>
      <x:c r="W9" s="19" t="n">
        <x:v>9</x:v>
      </x:c>
      <x:c r="X9" t="str"/>
      <x:c r="Y9" s="23" t="str">
        <x:v>Preferred framework has a direct Pareto-eligible observation.</x:v>
      </x:c>
    </x:row>
    <x:row r="10">
      <x:c r="A10" t="str">
        <x:v>DeepSeek V4 Pro</x:v>
      </x:c>
      <x:c r="B10" t="str">
        <x:v>dsv4</x:v>
      </x:c>
      <x:c r="C10" t="str">
        <x:v>H200</x:v>
      </x:c>
      <x:c r="D10" t="str">
        <x:v>direct</x:v>
      </x:c>
      <x:c r="E10" t="str">
        <x:v>long</x:v>
      </x:c>
      <x:c r="F10" s="19" t="n">
        <x:v>50</x:v>
      </x:c>
      <x:c r="G10" t="str">
        <x:v>vllm</x:v>
      </x:c>
      <x:c r="H10" s="23" t="str">
        <x:v>DIRECT_PREFERRED</x:v>
      </x:c>
      <x:c r="I10" s="20" t="n">
        <x:v>18256.36734257129</x:v>
      </x:c>
      <x:c r="J10" s="20" t="n">
        <x:v>61.189144529089546</x:v>
      </x:c>
      <x:c r="K10" s="20" t="n">
        <x:v>4</x:v>
      </x:c>
      <x:c r="L10" s="20" t="n">
        <x:v>8</x:v>
      </x:c>
      <x:c r="M10" s="20" t="n">
        <x:v>0.5</x:v>
      </x:c>
      <x:c r="N10" t="str">
        <x:v>fp8</x:v>
      </x:c>
      <x:c r="O10" t="str">
        <x:v>mtp</x:v>
      </x:c>
      <x:c r="P10" s="19" t="n">
        <x:v>402863</x:v>
      </x:c>
      <x:c r="Q10" s="21" t="n">
        <x:v>46148</x:v>
      </x:c>
      <x:c r="R10" s="22" t="n">
        <x:v>20410.369987485967</x:v>
      </x:c>
      <x:c r="S10" t="str">
        <x:v>sglang</x:v>
      </x:c>
      <x:c r="T10" t="str">
        <x:v>sglang, vllm</x:v>
      </x:c>
      <x:c r="U10" s="19" t="n">
        <x:v>23</x:v>
      </x:c>
      <x:c r="V10" s="19" t="n">
        <x:v>29</x:v>
      </x:c>
      <x:c r="W10" s="19" t="n">
        <x:v>9</x:v>
      </x:c>
      <x:c r="X10" t="str"/>
      <x:c r="Y10" s="23" t="str">
        <x:v>Preferred framework has a direct Pareto-eligible observation.</x:v>
      </x:c>
    </x:row>
    <x:row r="11">
      <x:c r="A11" t="str">
        <x:v>DeepSeek V4 Pro</x:v>
      </x:c>
      <x:c r="B11" t="str">
        <x:v>dsv4</x:v>
      </x:c>
      <x:c r="C11" t="str">
        <x:v>H200</x:v>
      </x:c>
      <x:c r="D11" t="str">
        <x:v>direct</x:v>
      </x:c>
      <x:c r="E11" t="str">
        <x:v>long</x:v>
      </x:c>
      <x:c r="F11" s="19" t="n">
        <x:v>70</x:v>
      </x:c>
      <x:c r="G11" t="str">
        <x:v>vllm</x:v>
      </x:c>
      <x:c r="H11" s="23" t="str">
        <x:v>DIRECT_PREFERRED</x:v>
      </x:c>
      <x:c r="I11" s="20" t="n">
        <x:v>13217.209328654202</x:v>
      </x:c>
      <x:c r="J11" s="20" t="n">
        <x:v>100.70693404515276</x:v>
      </x:c>
      <x:c r="K11" s="20" t="n">
        <x:v>2</x:v>
      </x:c>
      <x:c r="L11" s="20" t="n">
        <x:v>8</x:v>
      </x:c>
      <x:c r="M11" s="20" t="n">
        <x:v>0.25</x:v>
      </x:c>
      <x:c r="N11" t="str">
        <x:v>fp8</x:v>
      </x:c>
      <x:c r="O11" t="str">
        <x:v>mtp</x:v>
      </x:c>
      <x:c r="P11" s="19" t="n">
        <x:v>435236</x:v>
      </x:c>
      <x:c r="Q11" s="21" t="n">
        <x:v>46217</x:v>
      </x:c>
      <x:c r="R11" s="22" t="n">
        <x:v>13217.209328654202</x:v>
      </x:c>
      <x:c r="S11" t="str">
        <x:v>vllm</x:v>
      </x:c>
      <x:c r="T11" t="str">
        <x:v>sglang, vllm</x:v>
      </x:c>
      <x:c r="U11" s="19" t="n">
        <x:v>13</x:v>
      </x:c>
      <x:c r="V11" s="19" t="n">
        <x:v>17</x:v>
      </x:c>
      <x:c r="W11" s="19" t="n">
        <x:v>9</x:v>
      </x:c>
      <x:c r="X11" t="str"/>
      <x:c r="Y11" s="23" t="str">
        <x:v>Preferred framework has a direct Pareto-eligible observation.</x:v>
      </x:c>
    </x:row>
    <x:row r="12">
      <x:c r="A12" t="str">
        <x:v>DeepSeek V4 Pro</x:v>
      </x:c>
      <x:c r="B12" t="str">
        <x:v>dsv4</x:v>
      </x:c>
      <x:c r="C12" t="str">
        <x:v>H200</x:v>
      </x:c>
      <x:c r="D12" t="str">
        <x:v>direct</x:v>
      </x:c>
      <x:c r="E12" t="str">
        <x:v>long</x:v>
      </x:c>
      <x:c r="F12" s="19" t="n">
        <x:v>100</x:v>
      </x:c>
      <x:c r="G12" t="str">
        <x:v>vllm</x:v>
      </x:c>
      <x:c r="H12" s="23" t="str">
        <x:v>DIRECT_PREFERRED</x:v>
      </x:c>
      <x:c r="I12" s="20" t="n">
        <x:v>13217.209328654202</x:v>
      </x:c>
      <x:c r="J12" s="20" t="n">
        <x:v>100.70693404515276</x:v>
      </x:c>
      <x:c r="K12" s="20" t="n">
        <x:v>2</x:v>
      </x:c>
      <x:c r="L12" s="20" t="n">
        <x:v>8</x:v>
      </x:c>
      <x:c r="M12" s="20" t="n">
        <x:v>0.25</x:v>
      </x:c>
      <x:c r="N12" t="str">
        <x:v>fp8</x:v>
      </x:c>
      <x:c r="O12" t="str">
        <x:v>mtp</x:v>
      </x:c>
      <x:c r="P12" s="19" t="n">
        <x:v>435236</x:v>
      </x:c>
      <x:c r="Q12" s="21" t="n">
        <x:v>46217</x:v>
      </x:c>
      <x:c r="R12" s="22" t="n">
        <x:v>13217.209328654202</x:v>
      </x:c>
      <x:c r="S12" t="str">
        <x:v>vllm</x:v>
      </x:c>
      <x:c r="T12" t="str">
        <x:v>sglang, vllm</x:v>
      </x:c>
      <x:c r="U12" s="19" t="n">
        <x:v>4</x:v>
      </x:c>
      <x:c r="V12" s="19" t="n">
        <x:v>6</x:v>
      </x:c>
      <x:c r="W12" s="19" t="n">
        <x:v>9</x:v>
      </x:c>
      <x:c r="X12" t="str"/>
      <x:c r="Y12" s="23" t="str">
        <x:v>Preferred framework has a direct Pareto-eligible observation.</x:v>
      </x:c>
    </x:row>
    <x:row r="13">
      <x:c r="A13" t="str">
        <x:v>DeepSeek V4 Pro</x:v>
      </x:c>
      <x:c r="B13" t="str">
        <x:v>dsv4</x:v>
      </x:c>
      <x:c r="C13" t="str">
        <x:v>H200</x:v>
      </x:c>
      <x:c r="D13" t="str">
        <x:v>direct</x:v>
      </x:c>
      <x:c r="E13" t="str">
        <x:v>agentic</x:v>
      </x:c>
      <x:c r="F13" s="19" t="n">
        <x:v>30</x:v>
      </x:c>
      <x:c r="G13" t="str">
        <x:v>vllm</x:v>
      </x:c>
      <x:c r="H13" s="23" t="str">
        <x:v>DIRECT_OTHER_FRAMEWORK</x:v>
      </x:c>
      <x:c r="I13" s="20"/>
      <x:c r="J13" s="20"/>
      <x:c r="K13" s="20"/>
      <x:c r="L13" s="20"/>
      <x:c r="M13" s="20"/>
      <x:c r="N13" t="str"/>
      <x:c r="O13" t="str"/>
      <x:c r="P13" s="19"/>
      <x:c r="Q13" s="21" t="str"/>
      <x:c r="R13" s="22" t="n">
        <x:v>25811.93430656934</x:v>
      </x:c>
      <x:c r="S13" t="str">
        <x:v>dynamo-sglang</x:v>
      </x:c>
      <x:c r="T13" t="str">
        <x:v>dynamo-sglang</x:v>
      </x:c>
      <x:c r="U13" s="19" t="n">
        <x:v>0</x:v>
      </x:c>
      <x:c r="V13" s="19" t="n">
        <x:v>5</x:v>
      </x:c>
      <x:c r="W13" s="19" t="n">
        <x:v>0</x:v>
      </x:c>
      <x:c r="X13" t="str"/>
      <x:c r="Y13" s="23" t="str">
        <x:v>Direct observation exists, but not in the provisional preferred framework.</x:v>
      </x:c>
    </x:row>
    <x:row r="14">
      <x:c r="A14" t="str">
        <x:v>DeepSeek V4 Pro</x:v>
      </x:c>
      <x:c r="B14" t="str">
        <x:v>dsv4</x:v>
      </x:c>
      <x:c r="C14" t="str">
        <x:v>H200</x:v>
      </x:c>
      <x:c r="D14" t="str">
        <x:v>direct</x:v>
      </x:c>
      <x:c r="E14" t="str">
        <x:v>agentic</x:v>
      </x:c>
      <x:c r="F14" s="19" t="n">
        <x:v>50</x:v>
      </x:c>
      <x:c r="G14" t="str">
        <x:v>vllm</x:v>
      </x:c>
      <x:c r="H14" s="23" t="str">
        <x:v>DIRECT_OTHER_FRAMEWORK</x:v>
      </x:c>
      <x:c r="I14" s="20"/>
      <x:c r="J14" s="20"/>
      <x:c r="K14" s="20"/>
      <x:c r="L14" s="20"/>
      <x:c r="M14" s="20"/>
      <x:c r="N14" t="str"/>
      <x:c r="O14" t="str"/>
      <x:c r="P14" s="19"/>
      <x:c r="Q14" s="21" t="str"/>
      <x:c r="R14" s="22" t="n">
        <x:v>25811.93430656934</x:v>
      </x:c>
      <x:c r="S14" t="str">
        <x:v>dynamo-sglang</x:v>
      </x:c>
      <x:c r="T14" t="str">
        <x:v>dynamo-sglang</x:v>
      </x:c>
      <x:c r="U14" s="19" t="n">
        <x:v>0</x:v>
      </x:c>
      <x:c r="V14" s="19" t="n">
        <x:v>5</x:v>
      </x:c>
      <x:c r="W14" s="19" t="n">
        <x:v>0</x:v>
      </x:c>
      <x:c r="X14" t="str"/>
      <x:c r="Y14" s="23" t="str">
        <x:v>Direct observation exists, but not in the provisional preferred framework.</x:v>
      </x:c>
    </x:row>
    <x:row r="15">
      <x:c r="A15" t="str">
        <x:v>DeepSeek V4 Pro</x:v>
      </x:c>
      <x:c r="B15" t="str">
        <x:v>dsv4</x:v>
      </x:c>
      <x:c r="C15" t="str">
        <x:v>H200</x:v>
      </x:c>
      <x:c r="D15" t="str">
        <x:v>direct</x:v>
      </x:c>
      <x:c r="E15" t="str">
        <x:v>agentic</x:v>
      </x:c>
      <x:c r="F15" s="19" t="n">
        <x:v>70</x:v>
      </x:c>
      <x:c r="G15" t="str">
        <x:v>vllm</x:v>
      </x:c>
      <x:c r="H15" s="23" t="str">
        <x:v>DIRECT_OTHER_FRAMEWORK</x:v>
      </x:c>
      <x:c r="I15" s="20"/>
      <x:c r="J15" s="20"/>
      <x:c r="K15" s="20"/>
      <x:c r="L15" s="20"/>
      <x:c r="M15" s="20"/>
      <x:c r="N15" t="str"/>
      <x:c r="O15" t="str"/>
      <x:c r="P15" s="19"/>
      <x:c r="Q15" s="21" t="str"/>
      <x:c r="R15" s="22" t="n">
        <x:v>25811.93430656934</x:v>
      </x:c>
      <x:c r="S15" t="str">
        <x:v>dynamo-sglang</x:v>
      </x:c>
      <x:c r="T15" t="str">
        <x:v>dynamo-sglang</x:v>
      </x:c>
      <x:c r="U15" s="19" t="n">
        <x:v>0</x:v>
      </x:c>
      <x:c r="V15" s="19" t="n">
        <x:v>4</x:v>
      </x:c>
      <x:c r="W15" s="19" t="n">
        <x:v>0</x:v>
      </x:c>
      <x:c r="X15" t="str"/>
      <x:c r="Y15" s="23" t="str">
        <x:v>Direct observation exists, but not in the provisional preferred framework.</x:v>
      </x:c>
    </x:row>
    <x:row r="16">
      <x:c r="A16" t="str">
        <x:v>DeepSeek V4 Pro</x:v>
      </x:c>
      <x:c r="B16" t="str">
        <x:v>dsv4</x:v>
      </x:c>
      <x:c r="C16" t="str">
        <x:v>H200</x:v>
      </x:c>
      <x:c r="D16" t="str">
        <x:v>direct</x:v>
      </x:c>
      <x:c r="E16" t="str">
        <x:v>agentic</x:v>
      </x:c>
      <x:c r="F16" s="19" t="n">
        <x:v>100</x:v>
      </x:c>
      <x:c r="G16" t="str">
        <x:v>vllm</x:v>
      </x:c>
      <x:c r="H16" s="23" t="str">
        <x:v>DIRECT_OTHER_FRAMEWORK</x:v>
      </x:c>
      <x:c r="I16" s="20"/>
      <x:c r="J16" s="20"/>
      <x:c r="K16" s="20"/>
      <x:c r="L16" s="20"/>
      <x:c r="M16" s="20"/>
      <x:c r="N16" t="str"/>
      <x:c r="O16" t="str"/>
      <x:c r="P16" s="19"/>
      <x:c r="Q16" s="21" t="str"/>
      <x:c r="R16" s="22" t="n">
        <x:v>14938.773722627735</x:v>
      </x:c>
      <x:c r="S16" t="str">
        <x:v>dynamo-sglang</x:v>
      </x:c>
      <x:c r="T16" t="str">
        <x:v>dynamo-sglang</x:v>
      </x:c>
      <x:c r="U16" s="19" t="n">
        <x:v>0</x:v>
      </x:c>
      <x:c r="V16" s="19" t="n">
        <x:v>3</x:v>
      </x:c>
      <x:c r="W16" s="19" t="n">
        <x:v>0</x:v>
      </x:c>
      <x:c r="X16" t="str"/>
      <x:c r="Y16" s="23" t="str">
        <x:v>Direct observation exists, but not in the provisional preferred framework.</x:v>
      </x:c>
    </x:row>
    <x:row r="17">
      <x:c r="A17" t="str">
        <x:v>DeepSeek V4 Pro</x:v>
      </x:c>
      <x:c r="B17" t="str">
        <x:v>dsv4</x:v>
      </x:c>
      <x:c r="C17" t="str">
        <x:v>B200</x:v>
      </x:c>
      <x:c r="D17" t="str">
        <x:v>direct</x:v>
      </x:c>
      <x:c r="E17" t="str">
        <x:v>short</x:v>
      </x:c>
      <x:c r="F17" s="19" t="n">
        <x:v>30</x:v>
      </x:c>
      <x:c r="G17" t="str">
        <x:v>vllm</x:v>
      </x:c>
      <x:c r="H17" s="23" t="str">
        <x:v>DIRECT_PREFERRED</x:v>
      </x:c>
      <x:c r="I17" s="20" t="n">
        <x:v>596103.2388122604</x:v>
      </x:c>
      <x:c r="J17" s="20" t="n">
        <x:v>32.99390839519264</x:v>
      </x:c>
      <x:c r="K17" s="20" t="n">
        <x:v>256</x:v>
      </x:c>
      <x:c r="L17" s="20" t="n">
        <x:v>64</x:v>
      </x:c>
      <x:c r="M17" s="20" t="n">
        <x:v>4</x:v>
      </x:c>
      <x:c r="N17" t="str">
        <x:v>fp4</x:v>
      </x:c>
      <x:c r="O17" t="str">
        <x:v>mtp</x:v>
      </x:c>
      <x:c r="P17" s="19" t="n">
        <x:v>434603</x:v>
      </x:c>
      <x:c r="Q17" s="21" t="n">
        <x:v>46215</x:v>
      </x:c>
      <x:c r="R17" s="22" t="n">
        <x:v>788432.6648427517</x:v>
      </x:c>
      <x:c r="S17" t="str">
        <x:v>trt</x:v>
      </x:c>
      <x:c r="T17" t="str">
        <x:v>sglang, trt, vllm</x:v>
      </x:c>
      <x:c r="U17" s="19" t="n">
        <x:v>69</x:v>
      </x:c>
      <x:c r="V17" s="19" t="n">
        <x:v>125</x:v>
      </x:c>
      <x:c r="W17" s="19" t="n">
        <x:v>13</x:v>
      </x:c>
      <x:c r="X17" t="str"/>
      <x:c r="Y17" s="23" t="str">
        <x:v>Preferred framework has a direct Pareto-eligible observation.</x:v>
      </x:c>
    </x:row>
    <x:row r="18">
      <x:c r="A18" t="str">
        <x:v>DeepSeek V4 Pro</x:v>
      </x:c>
      <x:c r="B18" t="str">
        <x:v>dsv4</x:v>
      </x:c>
      <x:c r="C18" t="str">
        <x:v>B200</x:v>
      </x:c>
      <x:c r="D18" t="str">
        <x:v>direct</x:v>
      </x:c>
      <x:c r="E18" t="str">
        <x:v>short</x:v>
      </x:c>
      <x:c r="F18" s="19" t="n">
        <x:v>50</x:v>
      </x:c>
      <x:c r="G18" t="str">
        <x:v>vllm</x:v>
      </x:c>
      <x:c r="H18" s="23" t="str">
        <x:v>DIRECT_PREFERRED</x:v>
      </x:c>
      <x:c r="I18" s="20" t="n">
        <x:v>236827.22628745643</x:v>
      </x:c>
      <x:c r="J18" s="20" t="n">
        <x:v>52.692700379394026</x:v>
      </x:c>
      <x:c r="K18" s="20" t="n">
        <x:v>64</x:v>
      </x:c>
      <x:c r="L18" s="20" t="n">
        <x:v>8</x:v>
      </x:c>
      <x:c r="M18" s="20" t="n">
        <x:v>8</x:v>
      </x:c>
      <x:c r="N18" t="str">
        <x:v>fp4</x:v>
      </x:c>
      <x:c r="O18" t="str">
        <x:v>mtp</x:v>
      </x:c>
      <x:c r="P18" s="19" t="n">
        <x:v>434550</x:v>
      </x:c>
      <x:c r="Q18" s="21" t="n">
        <x:v>46215</x:v>
      </x:c>
      <x:c r="R18" s="22" t="n">
        <x:v>788432.6648427517</x:v>
      </x:c>
      <x:c r="S18" t="str">
        <x:v>trt</x:v>
      </x:c>
      <x:c r="T18" t="str">
        <x:v>sglang, trt, vllm</x:v>
      </x:c>
      <x:c r="U18" s="19" t="n">
        <x:v>50</x:v>
      </x:c>
      <x:c r="V18" s="19" t="n">
        <x:v>88</x:v>
      </x:c>
      <x:c r="W18" s="19" t="n">
        <x:v>13</x:v>
      </x:c>
      <x:c r="X18" t="str"/>
      <x:c r="Y18" s="23" t="str">
        <x:v>Preferred framework has a direct Pareto-eligible observation.</x:v>
      </x:c>
    </x:row>
    <x:row r="19">
      <x:c r="A19" t="str">
        <x:v>DeepSeek V4 Pro</x:v>
      </x:c>
      <x:c r="B19" t="str">
        <x:v>dsv4</x:v>
      </x:c>
      <x:c r="C19" t="str">
        <x:v>B200</x:v>
      </x:c>
      <x:c r="D19" t="str">
        <x:v>direct</x:v>
      </x:c>
      <x:c r="E19" t="str">
        <x:v>short</x:v>
      </x:c>
      <x:c r="F19" s="19" t="n">
        <x:v>70</x:v>
      </x:c>
      <x:c r="G19" t="str">
        <x:v>vllm</x:v>
      </x:c>
      <x:c r="H19" s="23" t="str">
        <x:v>DIRECT_PREFERRED</x:v>
      </x:c>
      <x:c r="I19" s="20" t="n">
        <x:v>159421.34626780343</x:v>
      </x:c>
      <x:c r="J19" s="20" t="n">
        <x:v>70.2549154134709</x:v>
      </x:c>
      <x:c r="K19" s="20" t="n">
        <x:v>32</x:v>
      </x:c>
      <x:c r="L19" s="20" t="n">
        <x:v>8</x:v>
      </x:c>
      <x:c r="M19" s="20" t="n">
        <x:v>4</x:v>
      </x:c>
      <x:c r="N19" t="str">
        <x:v>fp4</x:v>
      </x:c>
      <x:c r="O19" t="str">
        <x:v>mtp</x:v>
      </x:c>
      <x:c r="P19" s="19" t="n">
        <x:v>434568</x:v>
      </x:c>
      <x:c r="Q19" s="21" t="n">
        <x:v>46215</x:v>
      </x:c>
      <x:c r="R19" s="22" t="n">
        <x:v>271993.1806897901</x:v>
      </x:c>
      <x:c r="S19" t="str">
        <x:v>trt</x:v>
      </x:c>
      <x:c r="T19" t="str">
        <x:v>sglang, trt, vllm</x:v>
      </x:c>
      <x:c r="U19" s="19" t="n">
        <x:v>35</x:v>
      </x:c>
      <x:c r="V19" s="19" t="n">
        <x:v>57</x:v>
      </x:c>
      <x:c r="W19" s="19" t="n">
        <x:v>13</x:v>
      </x:c>
      <x:c r="X19" t="str"/>
      <x:c r="Y19" s="23" t="str">
        <x:v>Preferred framework has a direct Pareto-eligible observation.</x:v>
      </x:c>
    </x:row>
    <x:row r="20">
      <x:c r="A20" t="str">
        <x:v>DeepSeek V4 Pro</x:v>
      </x:c>
      <x:c r="B20" t="str">
        <x:v>dsv4</x:v>
      </x:c>
      <x:c r="C20" t="str">
        <x:v>B200</x:v>
      </x:c>
      <x:c r="D20" t="str">
        <x:v>direct</x:v>
      </x:c>
      <x:c r="E20" t="str">
        <x:v>short</x:v>
      </x:c>
      <x:c r="F20" s="19" t="n">
        <x:v>100</x:v>
      </x:c>
      <x:c r="G20" t="str">
        <x:v>vllm</x:v>
      </x:c>
      <x:c r="H20" s="23" t="str">
        <x:v>DIRECT_PREFERRED</x:v>
      </x:c>
      <x:c r="I20" s="20" t="n">
        <x:v>59907.24740459379</x:v>
      </x:c>
      <x:c r="J20" s="20" t="n">
        <x:v>105.10316913535266</x:v>
      </x:c>
      <x:c r="K20" s="20" t="n">
        <x:v>8</x:v>
      </x:c>
      <x:c r="L20" s="20" t="n">
        <x:v>8</x:v>
      </x:c>
      <x:c r="M20" s="20" t="n">
        <x:v>1</x:v>
      </x:c>
      <x:c r="N20" t="str">
        <x:v>fp4</x:v>
      </x:c>
      <x:c r="O20" t="str">
        <x:v>mtp</x:v>
      </x:c>
      <x:c r="P20" s="19" t="n">
        <x:v>434554</x:v>
      </x:c>
      <x:c r="Q20" s="21" t="n">
        <x:v>46215</x:v>
      </x:c>
      <x:c r="R20" s="22" t="n">
        <x:v>59907.24740459379</x:v>
      </x:c>
      <x:c r="S20" t="str">
        <x:v>vllm</x:v>
      </x:c>
      <x:c r="T20" t="str">
        <x:v>sglang, trt, vllm</x:v>
      </x:c>
      <x:c r="U20" s="19" t="n">
        <x:v>9</x:v>
      </x:c>
      <x:c r="V20" s="19" t="n">
        <x:v>17</x:v>
      </x:c>
      <x:c r="W20" s="19" t="n">
        <x:v>13</x:v>
      </x:c>
      <x:c r="X20" t="str"/>
      <x:c r="Y20" s="23" t="str">
        <x:v>Preferred framework has a direct Pareto-eligible observation.</x:v>
      </x:c>
    </x:row>
    <x:row r="21">
      <x:c r="A21" t="str">
        <x:v>DeepSeek V4 Pro</x:v>
      </x:c>
      <x:c r="B21" t="str">
        <x:v>dsv4</x:v>
      </x:c>
      <x:c r="C21" t="str">
        <x:v>B200</x:v>
      </x:c>
      <x:c r="D21" t="str">
        <x:v>direct</x:v>
      </x:c>
      <x:c r="E21" t="str">
        <x:v>long</x:v>
      </x:c>
      <x:c r="F21" s="19" t="n">
        <x:v>30</x:v>
      </x:c>
      <x:c r="G21" t="str">
        <x:v>vllm</x:v>
      </x:c>
      <x:c r="H21" s="23" t="str">
        <x:v>DIRECT_PREFERRED</x:v>
      </x:c>
      <x:c r="I21" s="20" t="n">
        <x:v>137324.0694515044</x:v>
      </x:c>
      <x:c r="J21" s="20" t="n">
        <x:v>31.232207174402674</x:v>
      </x:c>
      <x:c r="K21" s="20" t="n">
        <x:v>64</x:v>
      </x:c>
      <x:c r="L21" s="20" t="n">
        <x:v>8</x:v>
      </x:c>
      <x:c r="M21" s="20" t="n">
        <x:v>8</x:v>
      </x:c>
      <x:c r="N21" t="str">
        <x:v>fp4</x:v>
      </x:c>
      <x:c r="O21" t="str">
        <x:v>mtp</x:v>
      </x:c>
      <x:c r="P21" s="19" t="n">
        <x:v>434508</x:v>
      </x:c>
      <x:c r="Q21" s="21" t="n">
        <x:v>46215</x:v>
      </x:c>
      <x:c r="R21" s="22" t="n">
        <x:v>2666084.3830249854</x:v>
      </x:c>
      <x:c r="S21" t="str">
        <x:v>dynamo-vllm</x:v>
      </x:c>
      <x:c r="T21" t="str">
        <x:v>dynamo-sglang, dynamo-vllm, sglang, trt, vllm</x:v>
      </x:c>
      <x:c r="U21" s="19" t="n">
        <x:v>51</x:v>
      </x:c>
      <x:c r="V21" s="19" t="n">
        <x:v>129</x:v>
      </x:c>
      <x:c r="W21" s="19" t="n">
        <x:v>11</x:v>
      </x:c>
      <x:c r="X21" t="str"/>
      <x:c r="Y21" s="23" t="str">
        <x:v>Preferred framework has a direct Pareto-eligible observation.</x:v>
      </x:c>
    </x:row>
    <x:row r="22">
      <x:c r="A22" t="str">
        <x:v>DeepSeek V4 Pro</x:v>
      </x:c>
      <x:c r="B22" t="str">
        <x:v>dsv4</x:v>
      </x:c>
      <x:c r="C22" t="str">
        <x:v>B200</x:v>
      </x:c>
      <x:c r="D22" t="str">
        <x:v>direct</x:v>
      </x:c>
      <x:c r="E22" t="str">
        <x:v>long</x:v>
      </x:c>
      <x:c r="F22" s="19" t="n">
        <x:v>50</x:v>
      </x:c>
      <x:c r="G22" t="str">
        <x:v>vllm</x:v>
      </x:c>
      <x:c r="H22" s="23" t="str">
        <x:v>DIRECT_PREFERRED</x:v>
      </x:c>
      <x:c r="I22" s="20" t="n">
        <x:v>73592.39877618667</x:v>
      </x:c>
      <x:c r="J22" s="20" t="n">
        <x:v>69.13618158130294</x:v>
      </x:c>
      <x:c r="K22" s="20" t="n">
        <x:v>16</x:v>
      </x:c>
      <x:c r="L22" s="20" t="n">
        <x:v>8</x:v>
      </x:c>
      <x:c r="M22" s="20" t="n">
        <x:v>2</x:v>
      </x:c>
      <x:c r="N22" t="str">
        <x:v>fp4</x:v>
      </x:c>
      <x:c r="O22" t="str">
        <x:v>mtp</x:v>
      </x:c>
      <x:c r="P22" s="19" t="n">
        <x:v>434520</x:v>
      </x:c>
      <x:c r="Q22" s="21" t="n">
        <x:v>46215</x:v>
      </x:c>
      <x:c r="R22" s="22" t="n">
        <x:v>1766862.5201013691</x:v>
      </x:c>
      <x:c r="S22" t="str">
        <x:v>dynamo-vllm</x:v>
      </x:c>
      <x:c r="T22" t="str">
        <x:v>dynamo-sglang, dynamo-vllm, sglang, trt, vllm</x:v>
      </x:c>
      <x:c r="U22" s="19" t="n">
        <x:v>42</x:v>
      </x:c>
      <x:c r="V22" s="19" t="n">
        <x:v>94</x:v>
      </x:c>
      <x:c r="W22" s="19" t="n">
        <x:v>11</x:v>
      </x:c>
      <x:c r="X22" t="str"/>
      <x:c r="Y22" s="23" t="str">
        <x:v>Preferred framework has a direct Pareto-eligible observation.</x:v>
      </x:c>
    </x:row>
    <x:row r="23">
      <x:c r="A23" t="str">
        <x:v>DeepSeek V4 Pro</x:v>
      </x:c>
      <x:c r="B23" t="str">
        <x:v>dsv4</x:v>
      </x:c>
      <x:c r="C23" t="str">
        <x:v>B200</x:v>
      </x:c>
      <x:c r="D23" t="str">
        <x:v>direct</x:v>
      </x:c>
      <x:c r="E23" t="str">
        <x:v>long</x:v>
      </x:c>
      <x:c r="F23" s="19" t="n">
        <x:v>70</x:v>
      </x:c>
      <x:c r="G23" t="str">
        <x:v>vllm</x:v>
      </x:c>
      <x:c r="H23" s="23" t="str">
        <x:v>DIRECT_PREFERRED</x:v>
      </x:c>
      <x:c r="I23" s="20" t="n">
        <x:v>45492.98150199239</x:v>
      </x:c>
      <x:c r="J23" s="20" t="n">
        <x:v>86.8956535001585</x:v>
      </x:c>
      <x:c r="K23" s="20" t="n">
        <x:v>8</x:v>
      </x:c>
      <x:c r="L23" s="20" t="n">
        <x:v>8</x:v>
      </x:c>
      <x:c r="M23" s="20" t="n">
        <x:v>1</x:v>
      </x:c>
      <x:c r="N23" t="str">
        <x:v>fp4</x:v>
      </x:c>
      <x:c r="O23" t="str">
        <x:v>mtp</x:v>
      </x:c>
      <x:c r="P23" s="19" t="n">
        <x:v>411474</x:v>
      </x:c>
      <x:c r="Q23" s="21" t="n">
        <x:v>46160</x:v>
      </x:c>
      <x:c r="R23" s="22" t="n">
        <x:v>426771.87054606306</x:v>
      </x:c>
      <x:c r="S23" t="str">
        <x:v>dynamo-vllm</x:v>
      </x:c>
      <x:c r="T23" t="str">
        <x:v>dynamo-sglang, dynamo-vllm, sglang, trt, vllm</x:v>
      </x:c>
      <x:c r="U23" s="19" t="n">
        <x:v>26</x:v>
      </x:c>
      <x:c r="V23" s="19" t="n">
        <x:v>57</x:v>
      </x:c>
      <x:c r="W23" s="19" t="n">
        <x:v>11</x:v>
      </x:c>
      <x:c r="X23" t="str"/>
      <x:c r="Y23" s="23" t="str">
        <x:v>Preferred framework has a direct Pareto-eligible observation.</x:v>
      </x:c>
    </x:row>
    <x:row r="24">
      <x:c r="A24" t="str">
        <x:v>DeepSeek V4 Pro</x:v>
      </x:c>
      <x:c r="B24" t="str">
        <x:v>dsv4</x:v>
      </x:c>
      <x:c r="C24" t="str">
        <x:v>B200</x:v>
      </x:c>
      <x:c r="D24" t="str">
        <x:v>direct</x:v>
      </x:c>
      <x:c r="E24" t="str">
        <x:v>long</x:v>
      </x:c>
      <x:c r="F24" s="19" t="n">
        <x:v>100</x:v>
      </x:c>
      <x:c r="G24" t="str">
        <x:v>vllm</x:v>
      </x:c>
      <x:c r="H24" s="23" t="str">
        <x:v>DIRECT_PREFERRED</x:v>
      </x:c>
      <x:c r="I24" s="20" t="n">
        <x:v>32216.57273843715</x:v>
      </x:c>
      <x:c r="J24" s="20" t="n">
        <x:v>121.90739992804072</x:v>
      </x:c>
      <x:c r="K24" s="20" t="n">
        <x:v>4</x:v>
      </x:c>
      <x:c r="L24" s="20" t="n">
        <x:v>8</x:v>
      </x:c>
      <x:c r="M24" s="20" t="n">
        <x:v>0.5</x:v>
      </x:c>
      <x:c r="N24" t="str">
        <x:v>fp4</x:v>
      </x:c>
      <x:c r="O24" t="str">
        <x:v>mtp</x:v>
      </x:c>
      <x:c r="P24" s="19" t="n">
        <x:v>434539</x:v>
      </x:c>
      <x:c r="Q24" s="21" t="n">
        <x:v>46215</x:v>
      </x:c>
      <x:c r="R24" s="22" t="n">
        <x:v>110825.2481094746</x:v>
      </x:c>
      <x:c r="S24" t="str">
        <x:v>dynamo-sglang</x:v>
      </x:c>
      <x:c r="T24" t="str">
        <x:v>dynamo-sglang, dynamo-vllm, sglang, trt, vllm</x:v>
      </x:c>
      <x:c r="U24" s="19" t="n">
        <x:v>7</x:v>
      </x:c>
      <x:c r="V24" s="19" t="n">
        <x:v>22</x:v>
      </x:c>
      <x:c r="W24" s="19" t="n">
        <x:v>11</x:v>
      </x:c>
      <x:c r="X24" t="str"/>
      <x:c r="Y24" s="23" t="str">
        <x:v>Preferred framework has a direct Pareto-eligible observation.</x:v>
      </x:c>
    </x:row>
    <x:row r="25">
      <x:c r="A25" t="str">
        <x:v>DeepSeek V4 Pro</x:v>
      </x:c>
      <x:c r="B25" t="str">
        <x:v>dsv4</x:v>
      </x:c>
      <x:c r="C25" t="str">
        <x:v>B200</x:v>
      </x:c>
      <x:c r="D25" t="str">
        <x:v>direct</x:v>
      </x:c>
      <x:c r="E25" t="str">
        <x:v>agentic</x:v>
      </x:c>
      <x:c r="F25" s="19" t="n">
        <x:v>30</x:v>
      </x:c>
      <x:c r="G25" t="str">
        <x:v>vllm</x:v>
      </x:c>
      <x:c r="H25" s="23" t="str">
        <x:v>DIRECT_PREFERRED</x:v>
      </x:c>
      <x:c r="I25" s="20" t="n">
        <x:v>119077.04093567251</x:v>
      </x:c>
      <x:c r="J25" s="20" t="n">
        <x:v>33.13452617627568</x:v>
      </x:c>
      <x:c r="K25" s="20" t="n">
        <x:v>72</x:v>
      </x:c>
      <x:c r="L25" s="20" t="n">
        <x:v>64</x:v>
      </x:c>
      <x:c r="M25" s="20" t="n">
        <x:v>1.125</x:v>
      </x:c>
      <x:c r="N25" t="str">
        <x:v>fp4</x:v>
      </x:c>
      <x:c r="O25" t="str">
        <x:v>mtp</x:v>
      </x:c>
      <x:c r="P25" s="19" t="n">
        <x:v>439283</x:v>
      </x:c>
      <x:c r="Q25" s="21" t="n">
        <x:v>46242</x:v>
      </x:c>
      <x:c r="R25" s="22" t="n">
        <x:v>119077.04093567251</x:v>
      </x:c>
      <x:c r="S25" t="str">
        <x:v>vllm</x:v>
      </x:c>
      <x:c r="T25" t="str">
        <x:v>vllm</x:v>
      </x:c>
      <x:c r="U25" s="19" t="n">
        <x:v>25</x:v>
      </x:c>
      <x:c r="V25" s="19" t="n">
        <x:v>25</x:v>
      </x:c>
      <x:c r="W25" s="19" t="n">
        <x:v>23</x:v>
      </x:c>
      <x:c r="X25" t="str"/>
      <x:c r="Y25" s="23" t="str">
        <x:v>Preferred framework has a direct Pareto-eligible observation.</x:v>
      </x:c>
    </x:row>
    <x:row r="26">
      <x:c r="A26" t="str">
        <x:v>DeepSeek V4 Pro</x:v>
      </x:c>
      <x:c r="B26" t="str">
        <x:v>dsv4</x:v>
      </x:c>
      <x:c r="C26" t="str">
        <x:v>B200</x:v>
      </x:c>
      <x:c r="D26" t="str">
        <x:v>direct</x:v>
      </x:c>
      <x:c r="E26" t="str">
        <x:v>agentic</x:v>
      </x:c>
      <x:c r="F26" s="19" t="n">
        <x:v>50</x:v>
      </x:c>
      <x:c r="G26" t="str">
        <x:v>vllm</x:v>
      </x:c>
      <x:c r="H26" s="23" t="str">
        <x:v>DIRECT_PREFERRED</x:v>
      </x:c>
      <x:c r="I26" s="20" t="n">
        <x:v>81649.3918128655</x:v>
      </x:c>
      <x:c r="J26" s="20" t="n">
        <x:v>53.7345513164965</x:v>
      </x:c>
      <x:c r="K26" s="20" t="n">
        <x:v>40</x:v>
      </x:c>
      <x:c r="L26" s="20" t="n">
        <x:v>64</x:v>
      </x:c>
      <x:c r="M26" s="20" t="n">
        <x:v>0.625</x:v>
      </x:c>
      <x:c r="N26" t="str">
        <x:v>fp4</x:v>
      </x:c>
      <x:c r="O26" t="str">
        <x:v>mtp</x:v>
      </x:c>
      <x:c r="P26" s="19" t="n">
        <x:v>439277</x:v>
      </x:c>
      <x:c r="Q26" s="21" t="n">
        <x:v>46242</x:v>
      </x:c>
      <x:c r="R26" s="22" t="n">
        <x:v>81649.3918128655</x:v>
      </x:c>
      <x:c r="S26" t="str">
        <x:v>vllm</x:v>
      </x:c>
      <x:c r="T26" t="str">
        <x:v>vllm</x:v>
      </x:c>
      <x:c r="U26" s="19" t="n">
        <x:v>17</x:v>
      </x:c>
      <x:c r="V26" s="19" t="n">
        <x:v>17</x:v>
      </x:c>
      <x:c r="W26" s="19" t="n">
        <x:v>23</x:v>
      </x:c>
      <x:c r="X26" t="str"/>
      <x:c r="Y26" s="23" t="str">
        <x:v>Preferred framework has a direct Pareto-eligible observation.</x:v>
      </x:c>
    </x:row>
    <x:row r="27">
      <x:c r="A27" t="str">
        <x:v>DeepSeek V4 Pro</x:v>
      </x:c>
      <x:c r="B27" t="str">
        <x:v>dsv4</x:v>
      </x:c>
      <x:c r="C27" t="str">
        <x:v>B200</x:v>
      </x:c>
      <x:c r="D27" t="str">
        <x:v>direct</x:v>
      </x:c>
      <x:c r="E27" t="str">
        <x:v>agentic</x:v>
      </x:c>
      <x:c r="F27" s="19" t="n">
        <x:v>70</x:v>
      </x:c>
      <x:c r="G27" t="str">
        <x:v>vllm</x:v>
      </x:c>
      <x:c r="H27" s="23" t="str">
        <x:v>DIRECT_PREFERRED</x:v>
      </x:c>
      <x:c r="I27" s="20" t="n">
        <x:v>39404.520467836264</x:v>
      </x:c>
      <x:c r="J27" s="20" t="n">
        <x:v>88.02816901408451</x:v>
      </x:c>
      <x:c r="K27" s="20" t="n">
        <x:v>16</x:v>
      </x:c>
      <x:c r="L27" s="20" t="n">
        <x:v>8</x:v>
      </x:c>
      <x:c r="M27" s="20" t="n">
        <x:v>2</x:v>
      </x:c>
      <x:c r="N27" t="str">
        <x:v>fp4</x:v>
      </x:c>
      <x:c r="O27" t="str">
        <x:v>mtp</x:v>
      </x:c>
      <x:c r="P27" s="19" t="n">
        <x:v>439274</x:v>
      </x:c>
      <x:c r="Q27" s="21" t="n">
        <x:v>46242</x:v>
      </x:c>
      <x:c r="R27" s="22" t="n">
        <x:v>39404.520467836264</x:v>
      </x:c>
      <x:c r="S27" t="str">
        <x:v>vllm</x:v>
      </x:c>
      <x:c r="T27" t="str">
        <x:v>vllm</x:v>
      </x:c>
      <x:c r="U27" s="19" t="n">
        <x:v>11</x:v>
      </x:c>
      <x:c r="V27" s="19" t="n">
        <x:v>11</x:v>
      </x:c>
      <x:c r="W27" s="19" t="n">
        <x:v>23</x:v>
      </x:c>
      <x:c r="X27" t="str"/>
      <x:c r="Y27" s="23" t="str">
        <x:v>Preferred framework has a direct Pareto-eligible observation.</x:v>
      </x:c>
    </x:row>
    <x:row r="28">
      <x:c r="A28" t="str">
        <x:v>DeepSeek V4 Pro</x:v>
      </x:c>
      <x:c r="B28" t="str">
        <x:v>dsv4</x:v>
      </x:c>
      <x:c r="C28" t="str">
        <x:v>B200</x:v>
      </x:c>
      <x:c r="D28" t="str">
        <x:v>direct</x:v>
      </x:c>
      <x:c r="E28" t="str">
        <x:v>agentic</x:v>
      </x:c>
      <x:c r="F28" s="19" t="n">
        <x:v>100</x:v>
      </x:c>
      <x:c r="G28" t="str">
        <x:v>vllm</x:v>
      </x:c>
      <x:c r="H28" s="23" t="str">
        <x:v>DIRECT_PREFERRED</x:v>
      </x:c>
      <x:c r="I28" s="20" t="n">
        <x:v>31261.426900584796</x:v>
      </x:c>
      <x:c r="J28" s="20" t="n">
        <x:v>110.98779134295226</x:v>
      </x:c>
      <x:c r="K28" s="20" t="n">
        <x:v>12</x:v>
      </x:c>
      <x:c r="L28" s="20" t="n">
        <x:v>8</x:v>
      </x:c>
      <x:c r="M28" s="20" t="n">
        <x:v>1.5</x:v>
      </x:c>
      <x:c r="N28" t="str">
        <x:v>fp4</x:v>
      </x:c>
      <x:c r="O28" t="str">
        <x:v>mtp</x:v>
      </x:c>
      <x:c r="P28" s="19" t="n">
        <x:v>439268</x:v>
      </x:c>
      <x:c r="Q28" s="21" t="n">
        <x:v>46242</x:v>
      </x:c>
      <x:c r="R28" s="22" t="n">
        <x:v>31261.426900584796</x:v>
      </x:c>
      <x:c r="S28" t="str">
        <x:v>vllm</x:v>
      </x:c>
      <x:c r="T28" t="str">
        <x:v>vllm</x:v>
      </x:c>
      <x:c r="U28" s="19" t="n">
        <x:v>7</x:v>
      </x:c>
      <x:c r="V28" s="19" t="n">
        <x:v>7</x:v>
      </x:c>
      <x:c r="W28" s="19" t="n">
        <x:v>23</x:v>
      </x:c>
      <x:c r="X28" t="str"/>
      <x:c r="Y28" s="23" t="str">
        <x:v>Preferred framework has a direct Pareto-eligible observation.</x:v>
      </x:c>
    </x:row>
    <x:row r="29">
      <x:c r="A29" t="str">
        <x:v>DeepSeek V4 Pro</x:v>
      </x:c>
      <x:c r="B29" t="str">
        <x:v>dsv4</x:v>
      </x:c>
      <x:c r="C29" t="str">
        <x:v>B300</x:v>
      </x:c>
      <x:c r="D29" t="str">
        <x:v>direct</x:v>
      </x:c>
      <x:c r="E29" t="str">
        <x:v>short</x:v>
      </x:c>
      <x:c r="F29" s="19" t="n">
        <x:v>30</x:v>
      </x:c>
      <x:c r="G29" t="str">
        <x:v>vllm</x:v>
      </x:c>
      <x:c r="H29" s="23" t="str">
        <x:v>DIRECT_PREFERRED</x:v>
      </x:c>
      <x:c r="I29" s="20" t="n">
        <x:v>539113.9903235134</x:v>
      </x:c>
      <x:c r="J29" s="20" t="n">
        <x:v>32.566875113327185</x:v>
      </x:c>
      <x:c r="K29" s="20" t="n">
        <x:v>128</x:v>
      </x:c>
      <x:c r="L29" s="20" t="n">
        <x:v>4</x:v>
      </x:c>
      <x:c r="M29" s="20" t="n">
        <x:v>32</x:v>
      </x:c>
      <x:c r="N29" t="str">
        <x:v>fp4</x:v>
      </x:c>
      <x:c r="O29" t="str">
        <x:v>mtp</x:v>
      </x:c>
      <x:c r="P29" s="19" t="n">
        <x:v>434602</x:v>
      </x:c>
      <x:c r="Q29" s="21" t="n">
        <x:v>46215</x:v>
      </x:c>
      <x:c r="R29" s="22" t="n">
        <x:v>1538008.8976419386</x:v>
      </x:c>
      <x:c r="S29" t="str">
        <x:v>trt</x:v>
      </x:c>
      <x:c r="T29" t="str">
        <x:v>sglang, trt, vllm</x:v>
      </x:c>
      <x:c r="U29" s="19" t="n">
        <x:v>106</x:v>
      </x:c>
      <x:c r="V29" s="19" t="n">
        <x:v>186</x:v>
      </x:c>
      <x:c r="W29" s="19" t="n">
        <x:v>14</x:v>
      </x:c>
      <x:c r="X29" t="str"/>
      <x:c r="Y29" s="23" t="str">
        <x:v>Preferred framework has a direct Pareto-eligible observation.</x:v>
      </x:c>
    </x:row>
    <x:row r="30">
      <x:c r="A30" t="str">
        <x:v>DeepSeek V4 Pro</x:v>
      </x:c>
      <x:c r="B30" t="str">
        <x:v>dsv4</x:v>
      </x:c>
      <x:c r="C30" t="str">
        <x:v>B300</x:v>
      </x:c>
      <x:c r="D30" t="str">
        <x:v>direct</x:v>
      </x:c>
      <x:c r="E30" t="str">
        <x:v>short</x:v>
      </x:c>
      <x:c r="F30" s="19" t="n">
        <x:v>50</x:v>
      </x:c>
      <x:c r="G30" t="str">
        <x:v>vllm</x:v>
      </x:c>
      <x:c r="H30" s="23" t="str">
        <x:v>DIRECT_PREFERRED</x:v>
      </x:c>
      <x:c r="I30" s="20" t="n">
        <x:v>235956.54536065998</x:v>
      </x:c>
      <x:c r="J30" s="20" t="n">
        <x:v>56.807152513424505</x:v>
      </x:c>
      <x:c r="K30" s="20" t="n">
        <x:v>32</x:v>
      </x:c>
      <x:c r="L30" s="20" t="n">
        <x:v>4</x:v>
      </x:c>
      <x:c r="M30" s="20" t="n">
        <x:v>8</x:v>
      </x:c>
      <x:c r="N30" t="str">
        <x:v>fp4</x:v>
      </x:c>
      <x:c r="O30" t="str">
        <x:v>mtp</x:v>
      </x:c>
      <x:c r="P30" s="19" t="n">
        <x:v>434519</x:v>
      </x:c>
      <x:c r="Q30" s="21" t="n">
        <x:v>46215</x:v>
      </x:c>
      <x:c r="R30" s="22" t="n">
        <x:v>381313.5223911867</x:v>
      </x:c>
      <x:c r="S30" t="str">
        <x:v>trt</x:v>
      </x:c>
      <x:c r="T30" t="str">
        <x:v>sglang, trt, vllm</x:v>
      </x:c>
      <x:c r="U30" s="19" t="n">
        <x:v>83</x:v>
      </x:c>
      <x:c r="V30" s="19" t="n">
        <x:v>136</x:v>
      </x:c>
      <x:c r="W30" s="19" t="n">
        <x:v>14</x:v>
      </x:c>
      <x:c r="X30" t="str"/>
      <x:c r="Y30" s="23" t="str">
        <x:v>Preferred framework has a direct Pareto-eligible observation.</x:v>
      </x:c>
    </x:row>
    <x:row r="31">
      <x:c r="A31" t="str">
        <x:v>DeepSeek V4 Pro</x:v>
      </x:c>
      <x:c r="B31" t="str">
        <x:v>dsv4</x:v>
      </x:c>
      <x:c r="C31" t="str">
        <x:v>B300</x:v>
      </x:c>
      <x:c r="D31" t="str">
        <x:v>direct</x:v>
      </x:c>
      <x:c r="E31" t="str">
        <x:v>short</x:v>
      </x:c>
      <x:c r="F31" s="19" t="n">
        <x:v>70</x:v>
      </x:c>
      <x:c r="G31" t="str">
        <x:v>vllm</x:v>
      </x:c>
      <x:c r="H31" s="23" t="str">
        <x:v>DIRECT_PREFERRED</x:v>
      </x:c>
      <x:c r="I31" s="20" t="n">
        <x:v>158275.4700265708</x:v>
      </x:c>
      <x:c r="J31" s="20" t="n">
        <x:v>77.21888257418537</x:v>
      </x:c>
      <x:c r="K31" s="20" t="n">
        <x:v>16</x:v>
      </x:c>
      <x:c r="L31" s="20" t="n">
        <x:v>4</x:v>
      </x:c>
      <x:c r="M31" s="20" t="n">
        <x:v>4</x:v>
      </x:c>
      <x:c r="N31" t="str">
        <x:v>fp4</x:v>
      </x:c>
      <x:c r="O31" t="str">
        <x:v>mtp</x:v>
      </x:c>
      <x:c r="P31" s="19" t="n">
        <x:v>434570</x:v>
      </x:c>
      <x:c r="Q31" s="21" t="n">
        <x:v>46215</x:v>
      </x:c>
      <x:c r="R31" s="22" t="n">
        <x:v>158275.4700265708</x:v>
      </x:c>
      <x:c r="S31" t="str">
        <x:v>vllm</x:v>
      </x:c>
      <x:c r="T31" t="str">
        <x:v>sglang, trt, vllm</x:v>
      </x:c>
      <x:c r="U31" s="19" t="n">
        <x:v>60</x:v>
      </x:c>
      <x:c r="V31" s="19" t="n">
        <x:v>94</x:v>
      </x:c>
      <x:c r="W31" s="19" t="n">
        <x:v>14</x:v>
      </x:c>
      <x:c r="X31" t="str"/>
      <x:c r="Y31" s="23" t="str">
        <x:v>Preferred framework has a direct Pareto-eligible observation.</x:v>
      </x:c>
    </x:row>
    <x:row r="32">
      <x:c r="A32" t="str">
        <x:v>DeepSeek V4 Pro</x:v>
      </x:c>
      <x:c r="B32" t="str">
        <x:v>dsv4</x:v>
      </x:c>
      <x:c r="C32" t="str">
        <x:v>B300</x:v>
      </x:c>
      <x:c r="D32" t="str">
        <x:v>direct</x:v>
      </x:c>
      <x:c r="E32" t="str">
        <x:v>short</x:v>
      </x:c>
      <x:c r="F32" s="19" t="n">
        <x:v>100</x:v>
      </x:c>
      <x:c r="G32" t="str">
        <x:v>vllm</x:v>
      </x:c>
      <x:c r="H32" s="23" t="str">
        <x:v>DIRECT_PREFERRED</x:v>
      </x:c>
      <x:c r="I32" s="20" t="n">
        <x:v>106813.08096872234</x:v>
      </x:c>
      <x:c r="J32" s="20" t="n">
        <x:v>105.1778303239677</x:v>
      </x:c>
      <x:c r="K32" s="20" t="n">
        <x:v>8</x:v>
      </x:c>
      <x:c r="L32" s="20" t="n">
        <x:v>4</x:v>
      </x:c>
      <x:c r="M32" s="20" t="n">
        <x:v>2</x:v>
      </x:c>
      <x:c r="N32" t="str">
        <x:v>fp4</x:v>
      </x:c>
      <x:c r="O32" t="str">
        <x:v>mtp</x:v>
      </x:c>
      <x:c r="P32" s="19" t="n">
        <x:v>434534</x:v>
      </x:c>
      <x:c r="Q32" s="21" t="n">
        <x:v>46215</x:v>
      </x:c>
      <x:c r="R32" s="22" t="n">
        <x:v>106813.08096872234</x:v>
      </x:c>
      <x:c r="S32" t="str">
        <x:v>vllm</x:v>
      </x:c>
      <x:c r="T32" t="str">
        <x:v>sglang, trt, vllm</x:v>
      </x:c>
      <x:c r="U32" s="19" t="n">
        <x:v>21</x:v>
      </x:c>
      <x:c r="V32" s="19" t="n">
        <x:v>39</x:v>
      </x:c>
      <x:c r="W32" s="19" t="n">
        <x:v>14</x:v>
      </x:c>
      <x:c r="X32" t="str"/>
      <x:c r="Y32" s="23" t="str">
        <x:v>Preferred framework has a direct Pareto-eligible observation.</x:v>
      </x:c>
    </x:row>
    <x:row r="33">
      <x:c r="A33" t="str">
        <x:v>DeepSeek V4 Pro</x:v>
      </x:c>
      <x:c r="B33" t="str">
        <x:v>dsv4</x:v>
      </x:c>
      <x:c r="C33" t="str">
        <x:v>B300</x:v>
      </x:c>
      <x:c r="D33" t="str">
        <x:v>direct</x:v>
      </x:c>
      <x:c r="E33" t="str">
        <x:v>long</x:v>
      </x:c>
      <x:c r="F33" s="19" t="n">
        <x:v>30</x:v>
      </x:c>
      <x:c r="G33" t="str">
        <x:v>vllm</x:v>
      </x:c>
      <x:c r="H33" s="23" t="str">
        <x:v>DIRECT_PREFERRED</x:v>
      </x:c>
      <x:c r="I33" s="20" t="n">
        <x:v>165985.10139209713</x:v>
      </x:c>
      <x:c r="J33" s="20" t="n">
        <x:v>42.3867614807639</x:v>
      </x:c>
      <x:c r="K33" s="20" t="n">
        <x:v>32</x:v>
      </x:c>
      <x:c r="L33" s="20" t="n">
        <x:v>4</x:v>
      </x:c>
      <x:c r="M33" s="20" t="n">
        <x:v>8</x:v>
      </x:c>
      <x:c r="N33" t="str">
        <x:v>fp4</x:v>
      </x:c>
      <x:c r="O33" t="str">
        <x:v>mtp</x:v>
      </x:c>
      <x:c r="P33" s="19" t="n">
        <x:v>434598</x:v>
      </x:c>
      <x:c r="Q33" s="21" t="n">
        <x:v>46215</x:v>
      </x:c>
      <x:c r="R33" s="22" t="n">
        <x:v>2837835.016764473</x:v>
      </x:c>
      <x:c r="S33" t="str">
        <x:v>dynamo-sglang</x:v>
      </x:c>
      <x:c r="T33" t="str">
        <x:v>dynamo-sglang, dynamo-vllm, sglang, trt, vllm</x:v>
      </x:c>
      <x:c r="U33" s="19" t="n">
        <x:v>94</x:v>
      </x:c>
      <x:c r="V33" s="19" t="n">
        <x:v>182</x:v>
      </x:c>
      <x:c r="W33" s="19" t="n">
        <x:v>13</x:v>
      </x:c>
      <x:c r="X33" t="str"/>
      <x:c r="Y33" s="23" t="str">
        <x:v>Preferred framework has a direct Pareto-eligible observation.</x:v>
      </x:c>
    </x:row>
    <x:row r="34">
      <x:c r="A34" t="str">
        <x:v>DeepSeek V4 Pro</x:v>
      </x:c>
      <x:c r="B34" t="str">
        <x:v>dsv4</x:v>
      </x:c>
      <x:c r="C34" t="str">
        <x:v>B300</x:v>
      </x:c>
      <x:c r="D34" t="str">
        <x:v>direct</x:v>
      </x:c>
      <x:c r="E34" t="str">
        <x:v>long</x:v>
      </x:c>
      <x:c r="F34" s="19" t="n">
        <x:v>50</x:v>
      </x:c>
      <x:c r="G34" t="str">
        <x:v>vllm</x:v>
      </x:c>
      <x:c r="H34" s="23" t="str">
        <x:v>DIRECT_PREFERRED</x:v>
      </x:c>
      <x:c r="I34" s="20" t="n">
        <x:v>124369.9041971679</x:v>
      </x:c>
      <x:c r="J34" s="20" t="n">
        <x:v>63.07544775437514</x:v>
      </x:c>
      <x:c r="K34" s="20" t="n">
        <x:v>16</x:v>
      </x:c>
      <x:c r="L34" s="20" t="n">
        <x:v>4</x:v>
      </x:c>
      <x:c r="M34" s="20" t="n">
        <x:v>4</x:v>
      </x:c>
      <x:c r="N34" t="str">
        <x:v>fp4</x:v>
      </x:c>
      <x:c r="O34" t="str">
        <x:v>mtp</x:v>
      </x:c>
      <x:c r="P34" s="19" t="n">
        <x:v>434561</x:v>
      </x:c>
      <x:c r="Q34" s="21" t="n">
        <x:v>46215</x:v>
      </x:c>
      <x:c r="R34" s="22" t="n">
        <x:v>1400983.5435717942</x:v>
      </x:c>
      <x:c r="S34" t="str">
        <x:v>dynamo-sglang</x:v>
      </x:c>
      <x:c r="T34" t="str">
        <x:v>dynamo-sglang, dynamo-vllm, sglang, trt, vllm</x:v>
      </x:c>
      <x:c r="U34" s="19" t="n">
        <x:v>77</x:v>
      </x:c>
      <x:c r="V34" s="19" t="n">
        <x:v>136</x:v>
      </x:c>
      <x:c r="W34" s="19" t="n">
        <x:v>13</x:v>
      </x:c>
      <x:c r="X34" t="str"/>
      <x:c r="Y34" s="23" t="str">
        <x:v>Preferred framework has a direct Pareto-eligible observation.</x:v>
      </x:c>
    </x:row>
    <x:row r="35">
      <x:c r="A35" t="str">
        <x:v>DeepSeek V4 Pro</x:v>
      </x:c>
      <x:c r="B35" t="str">
        <x:v>dsv4</x:v>
      </x:c>
      <x:c r="C35" t="str">
        <x:v>B300</x:v>
      </x:c>
      <x:c r="D35" t="str">
        <x:v>direct</x:v>
      </x:c>
      <x:c r="E35" t="str">
        <x:v>long</x:v>
      </x:c>
      <x:c r="F35" s="19" t="n">
        <x:v>70</x:v>
      </x:c>
      <x:c r="G35" t="str">
        <x:v>vllm</x:v>
      </x:c>
      <x:c r="H35" s="23" t="str">
        <x:v>DIRECT_PREFERRED</x:v>
      </x:c>
      <x:c r="I35" s="20" t="n">
        <x:v>86369.11749353264</x:v>
      </x:c>
      <x:c r="J35" s="20" t="n">
        <x:v>93.03108290335881</x:v>
      </x:c>
      <x:c r="K35" s="20" t="n">
        <x:v>8</x:v>
      </x:c>
      <x:c r="L35" s="20" t="n">
        <x:v>4</x:v>
      </x:c>
      <x:c r="M35" s="20" t="n">
        <x:v>2</x:v>
      </x:c>
      <x:c r="N35" t="str">
        <x:v>fp4</x:v>
      </x:c>
      <x:c r="O35" t="str">
        <x:v>mtp</x:v>
      </x:c>
      <x:c r="P35" s="19" t="n">
        <x:v>434548</x:v>
      </x:c>
      <x:c r="Q35" s="21" t="n">
        <x:v>46215</x:v>
      </x:c>
      <x:c r="R35" s="22" t="n">
        <x:v>444662.90318554855</x:v>
      </x:c>
      <x:c r="S35" t="str">
        <x:v>dynamo-sglang</x:v>
      </x:c>
      <x:c r="T35" t="str">
        <x:v>dynamo-sglang, dynamo-vllm, sglang, trt, vllm</x:v>
      </x:c>
      <x:c r="U35" s="19" t="n">
        <x:v>52</x:v>
      </x:c>
      <x:c r="V35" s="19" t="n">
        <x:v>95</x:v>
      </x:c>
      <x:c r="W35" s="19" t="n">
        <x:v>13</x:v>
      </x:c>
      <x:c r="X35" t="str"/>
      <x:c r="Y35" s="23" t="str">
        <x:v>Preferred framework has a direct Pareto-eligible observation.</x:v>
      </x:c>
    </x:row>
    <x:row r="36">
      <x:c r="A36" t="str">
        <x:v>DeepSeek V4 Pro</x:v>
      </x:c>
      <x:c r="B36" t="str">
        <x:v>dsv4</x:v>
      </x:c>
      <x:c r="C36" t="str">
        <x:v>B300</x:v>
      </x:c>
      <x:c r="D36" t="str">
        <x:v>direct</x:v>
      </x:c>
      <x:c r="E36" t="str">
        <x:v>long</x:v>
      </x:c>
      <x:c r="F36" s="19" t="n">
        <x:v>100</x:v>
      </x:c>
      <x:c r="G36" t="str">
        <x:v>vllm</x:v>
      </x:c>
      <x:c r="H36" s="23" t="str">
        <x:v>DIRECT_PREFERRED</x:v>
      </x:c>
      <x:c r="I36" s="20" t="n">
        <x:v>53037.61897477147</x:v>
      </x:c>
      <x:c r="J36" s="20" t="n">
        <x:v>106.8387064340745</x:v>
      </x:c>
      <x:c r="K36" s="20" t="n">
        <x:v>4</x:v>
      </x:c>
      <x:c r="L36" s="20" t="n">
        <x:v>4</x:v>
      </x:c>
      <x:c r="M36" s="20" t="n">
        <x:v>1</x:v>
      </x:c>
      <x:c r="N36" t="str">
        <x:v>fp4</x:v>
      </x:c>
      <x:c r="O36" t="str">
        <x:v>mtp</x:v>
      </x:c>
      <x:c r="P36" s="19" t="n">
        <x:v>434606</x:v>
      </x:c>
      <x:c r="Q36" s="21" t="n">
        <x:v>46215</x:v>
      </x:c>
      <x:c r="R36" s="22" t="n">
        <x:v>108903.6279037915</x:v>
      </x:c>
      <x:c r="S36" t="str">
        <x:v>dynamo-sglang</x:v>
      </x:c>
      <x:c r="T36" t="str">
        <x:v>dynamo-sglang, dynamo-vllm, sglang, trt, vllm</x:v>
      </x:c>
      <x:c r="U36" s="19" t="n">
        <x:v>19</x:v>
      </x:c>
      <x:c r="V36" s="19" t="n">
        <x:v>43</x:v>
      </x:c>
      <x:c r="W36" s="19" t="n">
        <x:v>13</x:v>
      </x:c>
      <x:c r="X36" t="str"/>
      <x:c r="Y36" s="23" t="str">
        <x:v>Preferred framework has a direct Pareto-eligible observation.</x:v>
      </x:c>
    </x:row>
    <x:row r="37">
      <x:c r="A37" t="str">
        <x:v>DeepSeek V4 Pro</x:v>
      </x:c>
      <x:c r="B37" t="str">
        <x:v>dsv4</x:v>
      </x:c>
      <x:c r="C37" t="str">
        <x:v>B300</x:v>
      </x:c>
      <x:c r="D37" t="str">
        <x:v>direct</x:v>
      </x:c>
      <x:c r="E37" t="str">
        <x:v>agentic</x:v>
      </x:c>
      <x:c r="F37" s="19" t="n">
        <x:v>30</x:v>
      </x:c>
      <x:c r="G37" t="str">
        <x:v>vllm</x:v>
      </x:c>
      <x:c r="H37" s="23" t="str">
        <x:v>DIRECT_PREFERRED</x:v>
      </x:c>
      <x:c r="I37" s="20" t="n">
        <x:v>212034.07894736843</x:v>
      </x:c>
      <x:c r="J37" s="20" t="n">
        <x:v>40.32258064516129</x:v>
      </x:c>
      <x:c r="K37" s="20" t="n">
        <x:v>128</x:v>
      </x:c>
      <x:c r="L37" s="20" t="n">
        <x:v>64</x:v>
      </x:c>
      <x:c r="M37" s="20" t="n">
        <x:v>2</x:v>
      </x:c>
      <x:c r="N37" t="str">
        <x:v>fp4</x:v>
      </x:c>
      <x:c r="O37" t="str">
        <x:v>mtp</x:v>
      </x:c>
      <x:c r="P37" s="19" t="n">
        <x:v>439518</x:v>
      </x:c>
      <x:c r="Q37" s="21" t="n">
        <x:v>46245</x:v>
      </x:c>
      <x:c r="R37" s="22" t="n">
        <x:v>212034.07894736843</x:v>
      </x:c>
      <x:c r="S37" t="str">
        <x:v>vllm</x:v>
      </x:c>
      <x:c r="T37" t="str">
        <x:v>vllm</x:v>
      </x:c>
      <x:c r="U37" s="19" t="n">
        <x:v>30</x:v>
      </x:c>
      <x:c r="V37" s="19" t="n">
        <x:v>30</x:v>
      </x:c>
      <x:c r="W37" s="19" t="n">
        <x:v>28</x:v>
      </x:c>
      <x:c r="X37" t="str"/>
      <x:c r="Y37" s="23" t="str">
        <x:v>Preferred framework has a direct Pareto-eligible observation.</x:v>
      </x:c>
    </x:row>
    <x:row r="38">
      <x:c r="A38" t="str">
        <x:v>DeepSeek V4 Pro</x:v>
      </x:c>
      <x:c r="B38" t="str">
        <x:v>dsv4</x:v>
      </x:c>
      <x:c r="C38" t="str">
        <x:v>B300</x:v>
      </x:c>
      <x:c r="D38" t="str">
        <x:v>direct</x:v>
      </x:c>
      <x:c r="E38" t="str">
        <x:v>agentic</x:v>
      </x:c>
      <x:c r="F38" s="19" t="n">
        <x:v>50</x:v>
      </x:c>
      <x:c r="G38" t="str">
        <x:v>vllm</x:v>
      </x:c>
      <x:c r="H38" s="23" t="str">
        <x:v>DIRECT_PREFERRED</x:v>
      </x:c>
      <x:c r="I38" s="20" t="n">
        <x:v>92476.94736842105</x:v>
      </x:c>
      <x:c r="J38" s="20" t="n">
        <x:v>65.78947368421052</x:v>
      </x:c>
      <x:c r="K38" s="20" t="n">
        <x:v>24</x:v>
      </x:c>
      <x:c r="L38" s="20" t="n">
        <x:v>4</x:v>
      </x:c>
      <x:c r="M38" s="20" t="n">
        <x:v>6</x:v>
      </x:c>
      <x:c r="N38" t="str">
        <x:v>fp4</x:v>
      </x:c>
      <x:c r="O38" t="str">
        <x:v>mtp</x:v>
      </x:c>
      <x:c r="P38" s="19" t="n">
        <x:v>439199</x:v>
      </x:c>
      <x:c r="Q38" s="21" t="n">
        <x:v>46241</x:v>
      </x:c>
      <x:c r="R38" s="22" t="n">
        <x:v>92476.94736842105</x:v>
      </x:c>
      <x:c r="S38" t="str">
        <x:v>vllm</x:v>
      </x:c>
      <x:c r="T38" t="str">
        <x:v>vllm</x:v>
      </x:c>
      <x:c r="U38" s="19" t="n">
        <x:v>20</x:v>
      </x:c>
      <x:c r="V38" s="19" t="n">
        <x:v>20</x:v>
      </x:c>
      <x:c r="W38" s="19" t="n">
        <x:v>28</x:v>
      </x:c>
      <x:c r="X38" t="str"/>
      <x:c r="Y38" s="23" t="str">
        <x:v>Preferred framework has a direct Pareto-eligible observation.</x:v>
      </x:c>
    </x:row>
    <x:row r="39">
      <x:c r="A39" t="str">
        <x:v>DeepSeek V4 Pro</x:v>
      </x:c>
      <x:c r="B39" t="str">
        <x:v>dsv4</x:v>
      </x:c>
      <x:c r="C39" t="str">
        <x:v>B300</x:v>
      </x:c>
      <x:c r="D39" t="str">
        <x:v>direct</x:v>
      </x:c>
      <x:c r="E39" t="str">
        <x:v>agentic</x:v>
      </x:c>
      <x:c r="F39" s="19" t="n">
        <x:v>70</x:v>
      </x:c>
      <x:c r="G39" t="str">
        <x:v>vllm</x:v>
      </x:c>
      <x:c r="H39" s="23" t="str">
        <x:v>DIRECT_PREFERRED</x:v>
      </x:c>
      <x:c r="I39" s="20" t="n">
        <x:v>86201.35789473684</x:v>
      </x:c>
      <x:c r="J39" s="20" t="n">
        <x:v>76.27765064836002</x:v>
      </x:c>
      <x:c r="K39" s="20" t="n">
        <x:v>20</x:v>
      </x:c>
      <x:c r="L39" s="20" t="n">
        <x:v>4</x:v>
      </x:c>
      <x:c r="M39" s="20" t="n">
        <x:v>5</x:v>
      </x:c>
      <x:c r="N39" t="str">
        <x:v>fp4</x:v>
      </x:c>
      <x:c r="O39" t="str">
        <x:v>mtp</x:v>
      </x:c>
      <x:c r="P39" s="19" t="n">
        <x:v>439226</x:v>
      </x:c>
      <x:c r="Q39" s="21" t="n">
        <x:v>46241</x:v>
      </x:c>
      <x:c r="R39" s="22" t="n">
        <x:v>86201.35789473684</x:v>
      </x:c>
      <x:c r="S39" t="str">
        <x:v>vllm</x:v>
      </x:c>
      <x:c r="T39" t="str">
        <x:v>vllm</x:v>
      </x:c>
      <x:c r="U39" s="19" t="n">
        <x:v>18</x:v>
      </x:c>
      <x:c r="V39" s="19" t="n">
        <x:v>18</x:v>
      </x:c>
      <x:c r="W39" s="19" t="n">
        <x:v>28</x:v>
      </x:c>
      <x:c r="X39" t="str"/>
      <x:c r="Y39" s="23" t="str">
        <x:v>Preferred framework has a direct Pareto-eligible observation.</x:v>
      </x:c>
    </x:row>
    <x:row r="40">
      <x:c r="A40" t="str">
        <x:v>DeepSeek V4 Pro</x:v>
      </x:c>
      <x:c r="B40" t="str">
        <x:v>dsv4</x:v>
      </x:c>
      <x:c r="C40" t="str">
        <x:v>B300</x:v>
      </x:c>
      <x:c r="D40" t="str">
        <x:v>direct</x:v>
      </x:c>
      <x:c r="E40" t="str">
        <x:v>agentic</x:v>
      </x:c>
      <x:c r="F40" s="19" t="n">
        <x:v>100</x:v>
      </x:c>
      <x:c r="G40" t="str">
        <x:v>vllm</x:v>
      </x:c>
      <x:c r="H40" s="23" t="str">
        <x:v>DIRECT_PREFERRED</x:v>
      </x:c>
      <x:c r="I40" s="20" t="n">
        <x:v>57349.62631578948</x:v>
      </x:c>
      <x:c r="J40" s="20" t="n">
        <x:v>114.5475372279496</x:v>
      </x:c>
      <x:c r="K40" s="20" t="n">
        <x:v>12</x:v>
      </x:c>
      <x:c r="L40" s="20" t="n">
        <x:v>4</x:v>
      </x:c>
      <x:c r="M40" s="20" t="n">
        <x:v>3</x:v>
      </x:c>
      <x:c r="N40" t="str">
        <x:v>fp4</x:v>
      </x:c>
      <x:c r="O40" t="str">
        <x:v>mtp</x:v>
      </x:c>
      <x:c r="P40" s="19" t="n">
        <x:v>439219</x:v>
      </x:c>
      <x:c r="Q40" s="21" t="n">
        <x:v>46241</x:v>
      </x:c>
      <x:c r="R40" s="22" t="n">
        <x:v>57349.62631578948</x:v>
      </x:c>
      <x:c r="S40" t="str">
        <x:v>vllm</x:v>
      </x:c>
      <x:c r="T40" t="str">
        <x:v>vllm</x:v>
      </x:c>
      <x:c r="U40" s="19" t="n">
        <x:v>14</x:v>
      </x:c>
      <x:c r="V40" s="19" t="n">
        <x:v>14</x:v>
      </x:c>
      <x:c r="W40" s="19" t="n">
        <x:v>28</x:v>
      </x:c>
      <x:c r="X40" t="str"/>
      <x:c r="Y40" s="23" t="str">
        <x:v>Preferred framework has a direct Pareto-eligible observation.</x:v>
      </x:c>
    </x:row>
    <x:row r="41">
      <x:c r="A41" t="str">
        <x:v>DeepSeek V4 Pro</x:v>
      </x:c>
      <x:c r="B41" t="str">
        <x:v>dsv4</x:v>
      </x:c>
      <x:c r="C41" t="str">
        <x:v>GB200</x:v>
      </x:c>
      <x:c r="D41" t="str">
        <x:v>direct</x:v>
      </x:c>
      <x:c r="E41" t="str">
        <x:v>short</x:v>
      </x:c>
      <x:c r="F41" s="19" t="n">
        <x:v>30</x:v>
      </x:c>
      <x:c r="G41" t="str">
        <x:v>dynamo-vllm</x:v>
      </x:c>
      <x:c r="H41" s="23" t="str">
        <x:v>DIRECT_PREFERRED</x:v>
      </x:c>
      <x:c r="I41" s="20" t="n">
        <x:v>72466.30334620553</x:v>
      </x:c>
      <x:c r="J41" s="20" t="n">
        <x:v>37.21067909472558</x:v>
      </x:c>
      <x:c r="K41" s="20" t="n">
        <x:v>32</x:v>
      </x:c>
      <x:c r="L41" s="20" t="n">
        <x:v>16</x:v>
      </x:c>
      <x:c r="M41" s="20" t="n">
        <x:v>2</x:v>
      </x:c>
      <x:c r="N41" t="str">
        <x:v>fp4</x:v>
      </x:c>
      <x:c r="O41" t="str">
        <x:v>none</x:v>
      </x:c>
      <x:c r="P41" s="19" t="n">
        <x:v>202475</x:v>
      </x:c>
      <x:c r="Q41" s="21" t="n">
        <x:v>46137</x:v>
      </x:c>
      <x:c r="R41" s="22" t="n">
        <x:v>72466.30334620553</x:v>
      </x:c>
      <x:c r="S41" t="str">
        <x:v>dynamo-vllm</x:v>
      </x:c>
      <x:c r="T41" t="str">
        <x:v>dynamo-vllm</x:v>
      </x:c>
      <x:c r="U41" s="19" t="n">
        <x:v>5</x:v>
      </x:c>
      <x:c r="V41" s="19" t="n">
        <x:v>5</x:v>
      </x:c>
      <x:c r="W41" s="19" t="n">
        <x:v>9</x:v>
      </x:c>
      <x:c r="X41" t="str"/>
      <x:c r="Y41" s="23" t="str">
        <x:v>Preferred framework has a direct Pareto-eligible observation.</x:v>
      </x:c>
    </x:row>
    <x:row r="42">
      <x:c r="A42" t="str">
        <x:v>DeepSeek V4 Pro</x:v>
      </x:c>
      <x:c r="B42" t="str">
        <x:v>dsv4</x:v>
      </x:c>
      <x:c r="C42" t="str">
        <x:v>GB200</x:v>
      </x:c>
      <x:c r="D42" t="str">
        <x:v>direct</x:v>
      </x:c>
      <x:c r="E42" t="str">
        <x:v>short</x:v>
      </x:c>
      <x:c r="F42" s="19" t="n">
        <x:v>50</x:v>
      </x:c>
      <x:c r="G42" t="str">
        <x:v>dynamo-vllm</x:v>
      </x:c>
      <x:c r="H42" s="23" t="str">
        <x:v>DIRECT_PREFERRED</x:v>
      </x:c>
      <x:c r="I42" s="20" t="n">
        <x:v>26792.14024184731</x:v>
      </x:c>
      <x:c r="J42" s="20" t="n">
        <x:v>55.69101244991084</x:v>
      </x:c>
      <x:c r="K42" s="20" t="n">
        <x:v>8</x:v>
      </x:c>
      <x:c r="L42" s="20" t="n">
        <x:v>16</x:v>
      </x:c>
      <x:c r="M42" s="20" t="n">
        <x:v>0.5</x:v>
      </x:c>
      <x:c r="N42" t="str">
        <x:v>fp4</x:v>
      </x:c>
      <x:c r="O42" t="str">
        <x:v>none</x:v>
      </x:c>
      <x:c r="P42" s="19" t="n">
        <x:v>202472</x:v>
      </x:c>
      <x:c r="Q42" s="21" t="n">
        <x:v>46137</x:v>
      </x:c>
      <x:c r="R42" s="22" t="n">
        <x:v>26792.14024184731</x:v>
      </x:c>
      <x:c r="S42" t="str">
        <x:v>dynamo-vllm</x:v>
      </x:c>
      <x:c r="T42" t="str">
        <x:v>dynamo-vllm</x:v>
      </x:c>
      <x:c r="U42" s="19" t="n">
        <x:v>3</x:v>
      </x:c>
      <x:c r="V42" s="19" t="n">
        <x:v>3</x:v>
      </x:c>
      <x:c r="W42" s="19" t="n">
        <x:v>9</x:v>
      </x:c>
      <x:c r="X42" t="str"/>
      <x:c r="Y42" s="23" t="str">
        <x:v>Preferred framework has a direct Pareto-eligible observation.</x:v>
      </x:c>
    </x:row>
    <x:row r="43">
      <x:c r="A43" t="str">
        <x:v>DeepSeek V4 Pro</x:v>
      </x:c>
      <x:c r="B43" t="str">
        <x:v>dsv4</x:v>
      </x:c>
      <x:c r="C43" t="str">
        <x:v>GB200</x:v>
      </x:c>
      <x:c r="D43" t="str">
        <x:v>direct</x:v>
      </x:c>
      <x:c r="E43" t="str">
        <x:v>short</x:v>
      </x:c>
      <x:c r="F43" s="19" t="n">
        <x:v>70</x:v>
      </x:c>
      <x:c r="G43" t="str">
        <x:v>dynamo-vllm</x:v>
      </x:c>
      <x:c r="H43" s="23" t="str">
        <x:v>DIRECT_PREFERRED</x:v>
      </x:c>
      <x:c r="I43" s="20" t="n">
        <x:v>2817.4214068112733</x:v>
      </x:c>
      <x:c r="J43" s="20" t="n">
        <x:v>76.11483677466592</x:v>
      </x:c>
      <x:c r="K43" s="20" t="n">
        <x:v>1</x:v>
      </x:c>
      <x:c r="L43" s="20" t="n">
        <x:v>16</x:v>
      </x:c>
      <x:c r="M43" s="20" t="n">
        <x:v>0.0625</x:v>
      </x:c>
      <x:c r="N43" t="str">
        <x:v>fp4</x:v>
      </x:c>
      <x:c r="O43" t="str">
        <x:v>none</x:v>
      </x:c>
      <x:c r="P43" s="19" t="n">
        <x:v>202471</x:v>
      </x:c>
      <x:c r="Q43" s="21" t="n">
        <x:v>46137</x:v>
      </x:c>
      <x:c r="R43" s="22" t="n">
        <x:v>2817.4214068112733</x:v>
      </x:c>
      <x:c r="S43" t="str">
        <x:v>dynamo-vllm</x:v>
      </x:c>
      <x:c r="T43" t="str">
        <x:v>dynamo-vllm</x:v>
      </x:c>
      <x:c r="U43" s="19" t="n">
        <x:v>1</x:v>
      </x:c>
      <x:c r="V43" s="19" t="n">
        <x:v>1</x:v>
      </x:c>
      <x:c r="W43" s="19" t="n">
        <x:v>9</x:v>
      </x:c>
      <x:c r="X43" t="str"/>
      <x:c r="Y43" s="23" t="str">
        <x:v>Preferred framework has a direct Pareto-eligible observation.</x:v>
      </x:c>
    </x:row>
    <x:row r="44">
      <x:c r="A44" t="str">
        <x:v>DeepSeek V4 Pro</x:v>
      </x:c>
      <x:c r="B44" t="str">
        <x:v>dsv4</x:v>
      </x:c>
      <x:c r="C44" t="str">
        <x:v>GB200</x:v>
      </x:c>
      <x:c r="D44" t="str">
        <x:v>direct</x:v>
      </x:c>
      <x:c r="E44" t="str">
        <x:v>short</x:v>
      </x:c>
      <x:c r="F44" s="19" t="n">
        <x:v>100</x:v>
      </x:c>
      <x:c r="G44" t="str">
        <x:v>dynamo-vllm</x:v>
      </x:c>
      <x:c r="H44" s="23" t="str">
        <x:v>SHORT_FROM_LONG_CANDIDATE</x:v>
      </x:c>
      <x:c r="I44" s="20"/>
      <x:c r="J44" s="20"/>
      <x:c r="K44" s="20"/>
      <x:c r="L44" s="20"/>
      <x:c r="M44" s="20"/>
      <x:c r="N44" t="str"/>
      <x:c r="O44" t="str"/>
      <x:c r="P44" s="19"/>
      <x:c r="Q44" s="21" t="str"/>
      <x:c r="R44" s="22"/>
      <x:c r="S44" t="str"/>
      <x:c r="T44" t="str">
        <x:v>dynamo-vllm</x:v>
      </x:c>
      <x:c r="U44" s="19" t="n">
        <x:v>0</x:v>
      </x:c>
      <x:c r="V44" s="19" t="n">
        <x:v>0</x:v>
      </x:c>
      <x:c r="W44" s="19" t="n">
        <x:v>9</x:v>
      </x:c>
      <x:c r="X44" t="str">
        <x:v>long</x:v>
      </x:c>
      <x:c r="Y44" s="23" t="str">
        <x:v>Preferred framework lacks short; long can serve as the same-model anchor if a matched ratio is supported.</x:v>
      </x:c>
    </x:row>
    <x:row r="45">
      <x:c r="A45" t="str">
        <x:v>DeepSeek V4 Pro</x:v>
      </x:c>
      <x:c r="B45" t="str">
        <x:v>dsv4</x:v>
      </x:c>
      <x:c r="C45" t="str">
        <x:v>GB200</x:v>
      </x:c>
      <x:c r="D45" t="str">
        <x:v>direct</x:v>
      </x:c>
      <x:c r="E45" t="str">
        <x:v>long</x:v>
      </x:c>
      <x:c r="F45" s="19" t="n">
        <x:v>30</x:v>
      </x:c>
      <x:c r="G45" t="str">
        <x:v>dynamo-vllm</x:v>
      </x:c>
      <x:c r="H45" s="23" t="str">
        <x:v>DIRECT_PREFERRED</x:v>
      </x:c>
      <x:c r="I45" s="20" t="n">
        <x:v>482118.73331736453</x:v>
      </x:c>
      <x:c r="J45" s="20" t="n">
        <x:v>32.61424585611142</x:v>
      </x:c>
      <x:c r="K45" s="20" t="n">
        <x:v>256</x:v>
      </x:c>
      <x:c r="L45" s="20" t="n">
        <x:v>16</x:v>
      </x:c>
      <x:c r="M45" s="20" t="n">
        <x:v>16</x:v>
      </x:c>
      <x:c r="N45" t="str">
        <x:v>fp4</x:v>
      </x:c>
      <x:c r="O45" t="str">
        <x:v>none</x:v>
      </x:c>
      <x:c r="P45" s="19" t="n">
        <x:v>438054</x:v>
      </x:c>
      <x:c r="Q45" s="21" t="n">
        <x:v>46233</x:v>
      </x:c>
      <x:c r="R45" s="22" t="n">
        <x:v>2252081.955331812</x:v>
      </x:c>
      <x:c r="S45" t="str">
        <x:v>dynamo-sglang</x:v>
      </x:c>
      <x:c r="T45" t="str">
        <x:v>dynamo-sglang, dynamo-vllm, llmd-vllm</x:v>
      </x:c>
      <x:c r="U45" s="19" t="n">
        <x:v>24</x:v>
      </x:c>
      <x:c r="V45" s="19" t="n">
        <x:v>46</x:v>
      </x:c>
      <x:c r="W45" s="19" t="n">
        <x:v>12</x:v>
      </x:c>
      <x:c r="X45" t="str"/>
      <x:c r="Y45" s="23" t="str">
        <x:v>Preferred framework has a direct Pareto-eligible observation.</x:v>
      </x:c>
    </x:row>
    <x:row r="46">
      <x:c r="A46" t="str">
        <x:v>DeepSeek V4 Pro</x:v>
      </x:c>
      <x:c r="B46" t="str">
        <x:v>dsv4</x:v>
      </x:c>
      <x:c r="C46" t="str">
        <x:v>GB200</x:v>
      </x:c>
      <x:c r="D46" t="str">
        <x:v>direct</x:v>
      </x:c>
      <x:c r="E46" t="str">
        <x:v>long</x:v>
      </x:c>
      <x:c r="F46" s="19" t="n">
        <x:v>50</x:v>
      </x:c>
      <x:c r="G46" t="str">
        <x:v>dynamo-vllm</x:v>
      </x:c>
      <x:c r="H46" s="23" t="str">
        <x:v>DIRECT_PREFERRED</x:v>
      </x:c>
      <x:c r="I46" s="20" t="n">
        <x:v>53473.62393526929</x:v>
      </x:c>
      <x:c r="J46" s="20" t="n">
        <x:v>63.45275830707056</x:v>
      </x:c>
      <x:c r="K46" s="20" t="n">
        <x:v>64</x:v>
      </x:c>
      <x:c r="L46" s="20" t="n">
        <x:v>40</x:v>
      </x:c>
      <x:c r="M46" s="20" t="n">
        <x:v>1.6</x:v>
      </x:c>
      <x:c r="N46" t="str">
        <x:v>fp4</x:v>
      </x:c>
      <x:c r="O46" t="str">
        <x:v>mtp</x:v>
      </x:c>
      <x:c r="P46" s="19" t="n">
        <x:v>402270</x:v>
      </x:c>
      <x:c r="Q46" s="21" t="n">
        <x:v>46146</x:v>
      </x:c>
      <x:c r="R46" s="22" t="n">
        <x:v>2252081.955331812</x:v>
      </x:c>
      <x:c r="S46" t="str">
        <x:v>dynamo-sglang</x:v>
      </x:c>
      <x:c r="T46" t="str">
        <x:v>dynamo-sglang, dynamo-vllm, llmd-vllm</x:v>
      </x:c>
      <x:c r="U46" s="19" t="n">
        <x:v>15</x:v>
      </x:c>
      <x:c r="V46" s="19" t="n">
        <x:v>29</x:v>
      </x:c>
      <x:c r="W46" s="19" t="n">
        <x:v>12</x:v>
      </x:c>
      <x:c r="X46" t="str"/>
      <x:c r="Y46" s="23" t="str">
        <x:v>Preferred framework has a direct Pareto-eligible observation.</x:v>
      </x:c>
    </x:row>
    <x:row r="47">
      <x:c r="A47" t="str">
        <x:v>DeepSeek V4 Pro</x:v>
      </x:c>
      <x:c r="B47" t="str">
        <x:v>dsv4</x:v>
      </x:c>
      <x:c r="C47" t="str">
        <x:v>GB200</x:v>
      </x:c>
      <x:c r="D47" t="str">
        <x:v>direct</x:v>
      </x:c>
      <x:c r="E47" t="str">
        <x:v>long</x:v>
      </x:c>
      <x:c r="F47" s="19" t="n">
        <x:v>70</x:v>
      </x:c>
      <x:c r="G47" t="str">
        <x:v>dynamo-vllm</x:v>
      </x:c>
      <x:c r="H47" s="23" t="str">
        <x:v>DIRECT_PREFERRED</x:v>
      </x:c>
      <x:c r="I47" s="20" t="n">
        <x:v>51604.33473294962</x:v>
      </x:c>
      <x:c r="J47" s="20" t="n">
        <x:v>76.39549877821798</x:v>
      </x:c>
      <x:c r="K47" s="20" t="n">
        <x:v>64</x:v>
      </x:c>
      <x:c r="L47" s="20" t="n">
        <x:v>40</x:v>
      </x:c>
      <x:c r="M47" s="20" t="n">
        <x:v>1.6</x:v>
      </x:c>
      <x:c r="N47" t="str">
        <x:v>fp4</x:v>
      </x:c>
      <x:c r="O47" t="str">
        <x:v>mtp</x:v>
      </x:c>
      <x:c r="P47" s="19" t="n">
        <x:v>412680</x:v>
      </x:c>
      <x:c r="Q47" s="21" t="n">
        <x:v>46161</x:v>
      </x:c>
      <x:c r="R47" s="22" t="n">
        <x:v>1527370.0823923445</x:v>
      </x:c>
      <x:c r="S47" t="str">
        <x:v>dynamo-sglang</x:v>
      </x:c>
      <x:c r="T47" t="str">
        <x:v>dynamo-sglang, dynamo-vllm, llmd-vllm</x:v>
      </x:c>
      <x:c r="U47" s="19" t="n">
        <x:v>12</x:v>
      </x:c>
      <x:c r="V47" s="19" t="n">
        <x:v>22</x:v>
      </x:c>
      <x:c r="W47" s="19" t="n">
        <x:v>12</x:v>
      </x:c>
      <x:c r="X47" t="str"/>
      <x:c r="Y47" s="23" t="str">
        <x:v>Preferred framework has a direct Pareto-eligible observation.</x:v>
      </x:c>
    </x:row>
    <x:row r="48">
      <x:c r="A48" t="str">
        <x:v>DeepSeek V4 Pro</x:v>
      </x:c>
      <x:c r="B48" t="str">
        <x:v>dsv4</x:v>
      </x:c>
      <x:c r="C48" t="str">
        <x:v>GB200</x:v>
      </x:c>
      <x:c r="D48" t="str">
        <x:v>direct</x:v>
      </x:c>
      <x:c r="E48" t="str">
        <x:v>long</x:v>
      </x:c>
      <x:c r="F48" s="19" t="n">
        <x:v>100</x:v>
      </x:c>
      <x:c r="G48" t="str">
        <x:v>dynamo-vllm</x:v>
      </x:c>
      <x:c r="H48" s="23" t="str">
        <x:v>DIRECT_PREFERRED</x:v>
      </x:c>
      <x:c r="I48" s="20" t="n">
        <x:v>8942.797632029902</x:v>
      </x:c>
      <x:c r="J48" s="20" t="n">
        <x:v>152.84900103804483</x:v>
      </x:c>
      <x:c r="K48" s="20" t="n">
        <x:v>1</x:v>
      </x:c>
      <x:c r="L48" s="20" t="n">
        <x:v>8</x:v>
      </x:c>
      <x:c r="M48" s="20" t="n">
        <x:v>0.125</x:v>
      </x:c>
      <x:c r="N48" t="str">
        <x:v>fp4</x:v>
      </x:c>
      <x:c r="O48" t="str">
        <x:v>mtp</x:v>
      </x:c>
      <x:c r="P48" s="19" t="n">
        <x:v>412681</x:v>
      </x:c>
      <x:c r="Q48" s="21" t="n">
        <x:v>46161</x:v>
      </x:c>
      <x:c r="R48" s="22" t="n">
        <x:v>769357.4221603612</x:v>
      </x:c>
      <x:c r="S48" t="str">
        <x:v>dynamo-sglang</x:v>
      </x:c>
      <x:c r="T48" t="str">
        <x:v>dynamo-sglang, dynamo-vllm, llmd-vllm</x:v>
      </x:c>
      <x:c r="U48" s="19" t="n">
        <x:v>2</x:v>
      </x:c>
      <x:c r="V48" s="19" t="n">
        <x:v>8</x:v>
      </x:c>
      <x:c r="W48" s="19" t="n">
        <x:v>12</x:v>
      </x:c>
      <x:c r="X48" t="str"/>
      <x:c r="Y48" s="23" t="str">
        <x:v>Preferred framework has a direct Pareto-eligible observation.</x:v>
      </x:c>
    </x:row>
    <x:row r="49">
      <x:c r="A49" t="str">
        <x:v>DeepSeek V4 Pro</x:v>
      </x:c>
      <x:c r="B49" t="str">
        <x:v>dsv4</x:v>
      </x:c>
      <x:c r="C49" t="str">
        <x:v>GB200</x:v>
      </x:c>
      <x:c r="D49" t="str">
        <x:v>direct</x:v>
      </x:c>
      <x:c r="E49" t="str">
        <x:v>agentic</x:v>
      </x:c>
      <x:c r="F49" s="19" t="n">
        <x:v>30</x:v>
      </x:c>
      <x:c r="G49" t="str">
        <x:v>dynamo-vllm</x:v>
      </x:c>
      <x:c r="H49" s="23" t="str">
        <x:v>AGENTIC_RATIO_CANDIDATE</x:v>
      </x:c>
      <x:c r="I49" s="20"/>
      <x:c r="J49" s="20"/>
      <x:c r="K49" s="20"/>
      <x:c r="L49" s="20"/>
      <x:c r="M49" s="20"/>
      <x:c r="N49" t="str"/>
      <x:c r="O49" t="str"/>
      <x:c r="P49" s="19"/>
      <x:c r="Q49" s="21" t="str"/>
      <x:c r="R49" s="22"/>
      <x:c r="S49" t="str"/>
      <x:c r="T49" t="str"/>
      <x:c r="U49" s="19" t="n">
        <x:v>0</x:v>
      </x:c>
      <x:c r="V49" s="19" t="n">
        <x:v>0</x:v>
      </x:c>
      <x:c r="W49" s="19" t="n">
        <x:v>0</x:v>
      </x:c>
      <x:c r="X49" t="str">
        <x:v>long</x:v>
      </x:c>
      <x:c r="Y49" s="23" t="str">
        <x:v>Preferred framework lacks agentic; long can serve as the same-model anchor if a matched ratio is supported.</x:v>
      </x:c>
    </x:row>
    <x:row r="50">
      <x:c r="A50" t="str">
        <x:v>DeepSeek V4 Pro</x:v>
      </x:c>
      <x:c r="B50" t="str">
        <x:v>dsv4</x:v>
      </x:c>
      <x:c r="C50" t="str">
        <x:v>GB200</x:v>
      </x:c>
      <x:c r="D50" t="str">
        <x:v>direct</x:v>
      </x:c>
      <x:c r="E50" t="str">
        <x:v>agentic</x:v>
      </x:c>
      <x:c r="F50" s="19" t="n">
        <x:v>50</x:v>
      </x:c>
      <x:c r="G50" t="str">
        <x:v>dynamo-vllm</x:v>
      </x:c>
      <x:c r="H50" s="23" t="str">
        <x:v>AGENTIC_RATIO_CANDIDATE</x:v>
      </x:c>
      <x:c r="I50" s="20"/>
      <x:c r="J50" s="20"/>
      <x:c r="K50" s="20"/>
      <x:c r="L50" s="20"/>
      <x:c r="M50" s="20"/>
      <x:c r="N50" t="str"/>
      <x:c r="O50" t="str"/>
      <x:c r="P50" s="19"/>
      <x:c r="Q50" s="21" t="str"/>
      <x:c r="R50" s="22"/>
      <x:c r="S50" t="str"/>
      <x:c r="T50" t="str"/>
      <x:c r="U50" s="19" t="n">
        <x:v>0</x:v>
      </x:c>
      <x:c r="V50" s="19" t="n">
        <x:v>0</x:v>
      </x:c>
      <x:c r="W50" s="19" t="n">
        <x:v>0</x:v>
      </x:c>
      <x:c r="X50" t="str">
        <x:v>long</x:v>
      </x:c>
      <x:c r="Y50" s="23" t="str">
        <x:v>Preferred framework lacks agentic; long can serve as the same-model anchor if a matched ratio is supported.</x:v>
      </x:c>
    </x:row>
    <x:row r="51">
      <x:c r="A51" t="str">
        <x:v>DeepSeek V4 Pro</x:v>
      </x:c>
      <x:c r="B51" t="str">
        <x:v>dsv4</x:v>
      </x:c>
      <x:c r="C51" t="str">
        <x:v>GB200</x:v>
      </x:c>
      <x:c r="D51" t="str">
        <x:v>direct</x:v>
      </x:c>
      <x:c r="E51" t="str">
        <x:v>agentic</x:v>
      </x:c>
      <x:c r="F51" s="19" t="n">
        <x:v>70</x:v>
      </x:c>
      <x:c r="G51" t="str">
        <x:v>dynamo-vllm</x:v>
      </x:c>
      <x:c r="H51" s="23" t="str">
        <x:v>AGENTIC_RATIO_CANDIDATE</x:v>
      </x:c>
      <x:c r="I51" s="20"/>
      <x:c r="J51" s="20"/>
      <x:c r="K51" s="20"/>
      <x:c r="L51" s="20"/>
      <x:c r="M51" s="20"/>
      <x:c r="N51" t="str"/>
      <x:c r="O51" t="str"/>
      <x:c r="P51" s="19"/>
      <x:c r="Q51" s="21" t="str"/>
      <x:c r="R51" s="22"/>
      <x:c r="S51" t="str"/>
      <x:c r="T51" t="str"/>
      <x:c r="U51" s="19" t="n">
        <x:v>0</x:v>
      </x:c>
      <x:c r="V51" s="19" t="n">
        <x:v>0</x:v>
      </x:c>
      <x:c r="W51" s="19" t="n">
        <x:v>0</x:v>
      </x:c>
      <x:c r="X51" t="str">
        <x:v>long</x:v>
      </x:c>
      <x:c r="Y51" s="23" t="str">
        <x:v>Preferred framework lacks agentic; long can serve as the same-model anchor if a matched ratio is supported.</x:v>
      </x:c>
    </x:row>
    <x:row r="52">
      <x:c r="A52" t="str">
        <x:v>DeepSeek V4 Pro</x:v>
      </x:c>
      <x:c r="B52" t="str">
        <x:v>dsv4</x:v>
      </x:c>
      <x:c r="C52" t="str">
        <x:v>GB200</x:v>
      </x:c>
      <x:c r="D52" t="str">
        <x:v>direct</x:v>
      </x:c>
      <x:c r="E52" t="str">
        <x:v>agentic</x:v>
      </x:c>
      <x:c r="F52" s="19" t="n">
        <x:v>100</x:v>
      </x:c>
      <x:c r="G52" t="str">
        <x:v>dynamo-vllm</x:v>
      </x:c>
      <x:c r="H52" s="23" t="str">
        <x:v>AGENTIC_RATIO_CANDIDATE</x:v>
      </x:c>
      <x:c r="I52" s="20"/>
      <x:c r="J52" s="20"/>
      <x:c r="K52" s="20"/>
      <x:c r="L52" s="20"/>
      <x:c r="M52" s="20"/>
      <x:c r="N52" t="str"/>
      <x:c r="O52" t="str"/>
      <x:c r="P52" s="19"/>
      <x:c r="Q52" s="21" t="str"/>
      <x:c r="R52" s="22"/>
      <x:c r="S52" t="str"/>
      <x:c r="T52" t="str"/>
      <x:c r="U52" s="19" t="n">
        <x:v>0</x:v>
      </x:c>
      <x:c r="V52" s="19" t="n">
        <x:v>0</x:v>
      </x:c>
      <x:c r="W52" s="19" t="n">
        <x:v>0</x:v>
      </x:c>
      <x:c r="X52" t="str">
        <x:v>long</x:v>
      </x:c>
      <x:c r="Y52" s="23" t="str">
        <x:v>Preferred framework lacks agentic; long can serve as the same-model anchor if a matched ratio is supported.</x:v>
      </x:c>
    </x:row>
    <x:row r="53">
      <x:c r="A53" t="str">
        <x:v>DeepSeek V4 Pro</x:v>
      </x:c>
      <x:c r="B53" t="str">
        <x:v>dsv4</x:v>
      </x:c>
      <x:c r="C53" t="str">
        <x:v>GB300</x:v>
      </x:c>
      <x:c r="D53" t="str">
        <x:v>direct</x:v>
      </x:c>
      <x:c r="E53" t="str">
        <x:v>short</x:v>
      </x:c>
      <x:c r="F53" s="19" t="n">
        <x:v>30</x:v>
      </x:c>
      <x:c r="G53" t="str">
        <x:v>dynamo-trt</x:v>
      </x:c>
      <x:c r="H53" s="23" t="str">
        <x:v>DIRECT_PREFERRED</x:v>
      </x:c>
      <x:c r="I53" s="20" t="n">
        <x:v>3939721.8511342616</x:v>
      </x:c>
      <x:c r="J53" s="20" t="n">
        <x:v>37.0309853970048</x:v>
      </x:c>
      <x:c r="K53" s="20" t="n">
        <x:v>4301</x:v>
      </x:c>
      <x:c r="L53" s="20" t="n">
        <x:v>28</x:v>
      </x:c>
      <x:c r="M53" s="20" t="n">
        <x:v>153.60714285714286</x:v>
      </x:c>
      <x:c r="N53" t="str">
        <x:v>fp4</x:v>
      </x:c>
      <x:c r="O53" t="str">
        <x:v>mtp</x:v>
      </x:c>
      <x:c r="P53" s="19" t="n">
        <x:v>424202</x:v>
      </x:c>
      <x:c r="Q53" s="21" t="n">
        <x:v>46188</x:v>
      </x:c>
      <x:c r="R53" s="22" t="n">
        <x:v>3939721.8511342616</x:v>
      </x:c>
      <x:c r="S53" t="str">
        <x:v>dynamo-trt</x:v>
      </x:c>
      <x:c r="T53" t="str">
        <x:v>dynamo-trt</x:v>
      </x:c>
      <x:c r="U53" s="19" t="n">
        <x:v>24</x:v>
      </x:c>
      <x:c r="V53" s="19" t="n">
        <x:v>24</x:v>
      </x:c>
      <x:c r="W53" s="19" t="n">
        <x:v>17</x:v>
      </x:c>
      <x:c r="X53" t="str"/>
      <x:c r="Y53" s="23" t="str">
        <x:v>Preferred framework has a direct Pareto-eligible observation.</x:v>
      </x:c>
    </x:row>
    <x:row r="54">
      <x:c r="A54" t="str">
        <x:v>DeepSeek V4 Pro</x:v>
      </x:c>
      <x:c r="B54" t="str">
        <x:v>dsv4</x:v>
      </x:c>
      <x:c r="C54" t="str">
        <x:v>GB300</x:v>
      </x:c>
      <x:c r="D54" t="str">
        <x:v>direct</x:v>
      </x:c>
      <x:c r="E54" t="str">
        <x:v>short</x:v>
      </x:c>
      <x:c r="F54" s="19" t="n">
        <x:v>50</x:v>
      </x:c>
      <x:c r="G54" t="str">
        <x:v>dynamo-trt</x:v>
      </x:c>
      <x:c r="H54" s="23" t="str">
        <x:v>DIRECT_PREFERRED</x:v>
      </x:c>
      <x:c r="I54" s="20" t="n">
        <x:v>2816060.1853853944</x:v>
      </x:c>
      <x:c r="J54" s="20" t="n">
        <x:v>53.88307409519043</x:v>
      </x:c>
      <x:c r="K54" s="20" t="n">
        <x:v>4301</x:v>
      </x:c>
      <x:c r="L54" s="20" t="n">
        <x:v>48</x:v>
      </x:c>
      <x:c r="M54" s="20" t="n">
        <x:v>89.60416666666667</x:v>
      </x:c>
      <x:c r="N54" t="str">
        <x:v>fp4</x:v>
      </x:c>
      <x:c r="O54" t="str">
        <x:v>mtp</x:v>
      </x:c>
      <x:c r="P54" s="19" t="n">
        <x:v>424190</x:v>
      </x:c>
      <x:c r="Q54" s="21" t="n">
        <x:v>46188</x:v>
      </x:c>
      <x:c r="R54" s="22" t="n">
        <x:v>2816060.1853853944</x:v>
      </x:c>
      <x:c r="S54" t="str">
        <x:v>dynamo-trt</x:v>
      </x:c>
      <x:c r="T54" t="str">
        <x:v>dynamo-trt</x:v>
      </x:c>
      <x:c r="U54" s="19" t="n">
        <x:v>18</x:v>
      </x:c>
      <x:c r="V54" s="19" t="n">
        <x:v>18</x:v>
      </x:c>
      <x:c r="W54" s="19" t="n">
        <x:v>17</x:v>
      </x:c>
      <x:c r="X54" t="str"/>
      <x:c r="Y54" s="23" t="str">
        <x:v>Preferred framework has a direct Pareto-eligible observation.</x:v>
      </x:c>
    </x:row>
    <x:row r="55">
      <x:c r="A55" t="str">
        <x:v>DeepSeek V4 Pro</x:v>
      </x:c>
      <x:c r="B55" t="str">
        <x:v>dsv4</x:v>
      </x:c>
      <x:c r="C55" t="str">
        <x:v>GB300</x:v>
      </x:c>
      <x:c r="D55" t="str">
        <x:v>direct</x:v>
      </x:c>
      <x:c r="E55" t="str">
        <x:v>short</x:v>
      </x:c>
      <x:c r="F55" s="19" t="n">
        <x:v>70</x:v>
      </x:c>
      <x:c r="G55" t="str">
        <x:v>dynamo-trt</x:v>
      </x:c>
      <x:c r="H55" s="23" t="str">
        <x:v>DIRECT_PREFERRED</x:v>
      </x:c>
      <x:c r="I55" s="20" t="n">
        <x:v>1875330.3288514938</x:v>
      </x:c>
      <x:c r="J55" s="20" t="n">
        <x:v>81.22706967185808</x:v>
      </x:c>
      <x:c r="K55" s="20" t="n">
        <x:v>2253</x:v>
      </x:c>
      <x:c r="L55" s="20" t="n">
        <x:v>44</x:v>
      </x:c>
      <x:c r="M55" s="20" t="n">
        <x:v>51.20454545454545</x:v>
      </x:c>
      <x:c r="N55" t="str">
        <x:v>fp4</x:v>
      </x:c>
      <x:c r="O55" t="str">
        <x:v>mtp</x:v>
      </x:c>
      <x:c r="P55" s="19" t="n">
        <x:v>424188</x:v>
      </x:c>
      <x:c r="Q55" s="21" t="n">
        <x:v>46188</x:v>
      </x:c>
      <x:c r="R55" s="22" t="n">
        <x:v>1875330.3288514938</x:v>
      </x:c>
      <x:c r="S55" t="str">
        <x:v>dynamo-trt</x:v>
      </x:c>
      <x:c r="T55" t="str">
        <x:v>dynamo-trt</x:v>
      </x:c>
      <x:c r="U55" s="19" t="n">
        <x:v>14</x:v>
      </x:c>
      <x:c r="V55" s="19" t="n">
        <x:v>14</x:v>
      </x:c>
      <x:c r="W55" s="19" t="n">
        <x:v>17</x:v>
      </x:c>
      <x:c r="X55" t="str"/>
      <x:c r="Y55" s="23" t="str">
        <x:v>Preferred framework has a direct Pareto-eligible observation.</x:v>
      </x:c>
    </x:row>
    <x:row r="56">
      <x:c r="A56" t="str">
        <x:v>DeepSeek V4 Pro</x:v>
      </x:c>
      <x:c r="B56" t="str">
        <x:v>dsv4</x:v>
      </x:c>
      <x:c r="C56" t="str">
        <x:v>GB300</x:v>
      </x:c>
      <x:c r="D56" t="str">
        <x:v>direct</x:v>
      </x:c>
      <x:c r="E56" t="str">
        <x:v>short</x:v>
      </x:c>
      <x:c r="F56" s="19" t="n">
        <x:v>100</x:v>
      </x:c>
      <x:c r="G56" t="str">
        <x:v>dynamo-trt</x:v>
      </x:c>
      <x:c r="H56" s="23" t="str">
        <x:v>DIRECT_PREFERRED</x:v>
      </x:c>
      <x:c r="I56" s="20" t="n">
        <x:v>656307.4154188319</x:v>
      </x:c>
      <x:c r="J56" s="20" t="n">
        <x:v>115.07045100854714</x:v>
      </x:c>
      <x:c r="K56" s="20" t="n">
        <x:v>615</x:v>
      </x:c>
      <x:c r="L56" s="20" t="n">
        <x:v>36</x:v>
      </x:c>
      <x:c r="M56" s="20" t="n">
        <x:v>17.083333333333332</x:v>
      </x:c>
      <x:c r="N56" t="str">
        <x:v>fp4</x:v>
      </x:c>
      <x:c r="O56" t="str">
        <x:v>mtp</x:v>
      </x:c>
      <x:c r="P56" s="19" t="n">
        <x:v>424193</x:v>
      </x:c>
      <x:c r="Q56" s="21" t="n">
        <x:v>46188</x:v>
      </x:c>
      <x:c r="R56" s="22" t="n">
        <x:v>656307.4154188319</x:v>
      </x:c>
      <x:c r="S56" t="str">
        <x:v>dynamo-trt</x:v>
      </x:c>
      <x:c r="T56" t="str">
        <x:v>dynamo-trt</x:v>
      </x:c>
      <x:c r="U56" s="19" t="n">
        <x:v>9</x:v>
      </x:c>
      <x:c r="V56" s="19" t="n">
        <x:v>9</x:v>
      </x:c>
      <x:c r="W56" s="19" t="n">
        <x:v>17</x:v>
      </x:c>
      <x:c r="X56" t="str"/>
      <x:c r="Y56" s="23" t="str">
        <x:v>Preferred framework has a direct Pareto-eligible observation.</x:v>
      </x:c>
    </x:row>
    <x:row r="57">
      <x:c r="A57" t="str">
        <x:v>DeepSeek V4 Pro</x:v>
      </x:c>
      <x:c r="B57" t="str">
        <x:v>dsv4</x:v>
      </x:c>
      <x:c r="C57" t="str">
        <x:v>GB300</x:v>
      </x:c>
      <x:c r="D57" t="str">
        <x:v>direct</x:v>
      </x:c>
      <x:c r="E57" t="str">
        <x:v>long</x:v>
      </x:c>
      <x:c r="F57" s="19" t="n">
        <x:v>30</x:v>
      </x:c>
      <x:c r="G57" t="str">
        <x:v>dynamo-trt</x:v>
      </x:c>
      <x:c r="H57" s="23" t="str">
        <x:v>DIRECT_PREFERRED</x:v>
      </x:c>
      <x:c r="I57" s="20" t="n">
        <x:v>3351414.681049497</x:v>
      </x:c>
      <x:c r="J57" s="20" t="n">
        <x:v>33.94718282838093</x:v>
      </x:c>
      <x:c r="K57" s="20" t="n">
        <x:v>2253</x:v>
      </x:c>
      <x:c r="L57" s="20" t="n">
        <x:v>44</x:v>
      </x:c>
      <x:c r="M57" s="20" t="n">
        <x:v>51.20454545454545</x:v>
      </x:c>
      <x:c r="N57" t="str">
        <x:v>fp4</x:v>
      </x:c>
      <x:c r="O57" t="str">
        <x:v>mtp</x:v>
      </x:c>
      <x:c r="P57" s="19" t="n">
        <x:v>424208</x:v>
      </x:c>
      <x:c r="Q57" s="21" t="n">
        <x:v>46188</x:v>
      </x:c>
      <x:c r="R57" s="22" t="n">
        <x:v>3351414.681049497</x:v>
      </x:c>
      <x:c r="S57" t="str">
        <x:v>dynamo-trt</x:v>
      </x:c>
      <x:c r="T57" t="str">
        <x:v>dynamo-sglang, dynamo-trt, dynamo-vllm</x:v>
      </x:c>
      <x:c r="U57" s="19" t="n">
        <x:v>23</x:v>
      </x:c>
      <x:c r="V57" s="19" t="n">
        <x:v>87</x:v>
      </x:c>
      <x:c r="W57" s="19" t="n">
        <x:v>19</x:v>
      </x:c>
      <x:c r="X57" t="str"/>
      <x:c r="Y57" s="23" t="str">
        <x:v>Preferred framework has a direct Pareto-eligible observation.</x:v>
      </x:c>
    </x:row>
    <x:row r="58">
      <x:c r="A58" t="str">
        <x:v>DeepSeek V4 Pro</x:v>
      </x:c>
      <x:c r="B58" t="str">
        <x:v>dsv4</x:v>
      </x:c>
      <x:c r="C58" t="str">
        <x:v>GB300</x:v>
      </x:c>
      <x:c r="D58" t="str">
        <x:v>direct</x:v>
      </x:c>
      <x:c r="E58" t="str">
        <x:v>long</x:v>
      </x:c>
      <x:c r="F58" s="19" t="n">
        <x:v>50</x:v>
      </x:c>
      <x:c r="G58" t="str">
        <x:v>dynamo-trt</x:v>
      </x:c>
      <x:c r="H58" s="23" t="str">
        <x:v>DIRECT_PREFERRED</x:v>
      </x:c>
      <x:c r="I58" s="20" t="n">
        <x:v>1669415.8867221952</x:v>
      </x:c>
      <x:c r="J58" s="20" t="n">
        <x:v>74.26290222900238</x:v>
      </x:c>
      <x:c r="K58" s="20" t="n">
        <x:v>1229</x:v>
      </x:c>
      <x:c r="L58" s="20" t="n">
        <x:v>56</x:v>
      </x:c>
      <x:c r="M58" s="20" t="n">
        <x:v>21.946428571428573</x:v>
      </x:c>
      <x:c r="N58" t="str">
        <x:v>fp4</x:v>
      </x:c>
      <x:c r="O58" t="str">
        <x:v>mtp</x:v>
      </x:c>
      <x:c r="P58" s="19" t="n">
        <x:v>424198</x:v>
      </x:c>
      <x:c r="Q58" s="21" t="n">
        <x:v>46188</x:v>
      </x:c>
      <x:c r="R58" s="22" t="n">
        <x:v>1669415.8867221952</x:v>
      </x:c>
      <x:c r="S58" t="str">
        <x:v>dynamo-trt</x:v>
      </x:c>
      <x:c r="T58" t="str">
        <x:v>dynamo-sglang, dynamo-trt, dynamo-vllm</x:v>
      </x:c>
      <x:c r="U58" s="19" t="n">
        <x:v>17</x:v>
      </x:c>
      <x:c r="V58" s="19" t="n">
        <x:v>52</x:v>
      </x:c>
      <x:c r="W58" s="19" t="n">
        <x:v>19</x:v>
      </x:c>
      <x:c r="X58" t="str"/>
      <x:c r="Y58" s="23" t="str">
        <x:v>Preferred framework has a direct Pareto-eligible observation.</x:v>
      </x:c>
    </x:row>
    <x:row r="59">
      <x:c r="A59" t="str">
        <x:v>DeepSeek V4 Pro</x:v>
      </x:c>
      <x:c r="B59" t="str">
        <x:v>dsv4</x:v>
      </x:c>
      <x:c r="C59" t="str">
        <x:v>GB300</x:v>
      </x:c>
      <x:c r="D59" t="str">
        <x:v>direct</x:v>
      </x:c>
      <x:c r="E59" t="str">
        <x:v>long</x:v>
      </x:c>
      <x:c r="F59" s="19" t="n">
        <x:v>70</x:v>
      </x:c>
      <x:c r="G59" t="str">
        <x:v>dynamo-trt</x:v>
      </x:c>
      <x:c r="H59" s="23" t="str">
        <x:v>DIRECT_PREFERRED</x:v>
      </x:c>
      <x:c r="I59" s="20" t="n">
        <x:v>1669415.8867221952</x:v>
      </x:c>
      <x:c r="J59" s="20" t="n">
        <x:v>74.26290222900238</x:v>
      </x:c>
      <x:c r="K59" s="20" t="n">
        <x:v>1229</x:v>
      </x:c>
      <x:c r="L59" s="20" t="n">
        <x:v>56</x:v>
      </x:c>
      <x:c r="M59" s="20" t="n">
        <x:v>21.946428571428573</x:v>
      </x:c>
      <x:c r="N59" t="str">
        <x:v>fp4</x:v>
      </x:c>
      <x:c r="O59" t="str">
        <x:v>mtp</x:v>
      </x:c>
      <x:c r="P59" s="19" t="n">
        <x:v>424198</x:v>
      </x:c>
      <x:c r="Q59" s="21" t="n">
        <x:v>46188</x:v>
      </x:c>
      <x:c r="R59" s="22" t="n">
        <x:v>1669415.8867221952</x:v>
      </x:c>
      <x:c r="S59" t="str">
        <x:v>dynamo-trt</x:v>
      </x:c>
      <x:c r="T59" t="str">
        <x:v>dynamo-sglang, dynamo-trt, dynamo-vllm</x:v>
      </x:c>
      <x:c r="U59" s="19" t="n">
        <x:v>14</x:v>
      </x:c>
      <x:c r="V59" s="19" t="n">
        <x:v>45</x:v>
      </x:c>
      <x:c r="W59" s="19" t="n">
        <x:v>19</x:v>
      </x:c>
      <x:c r="X59" t="str"/>
      <x:c r="Y59" s="23" t="str">
        <x:v>Preferred framework has a direct Pareto-eligible observation.</x:v>
      </x:c>
    </x:row>
    <x:row r="60">
      <x:c r="A60" t="str">
        <x:v>DeepSeek V4 Pro</x:v>
      </x:c>
      <x:c r="B60" t="str">
        <x:v>dsv4</x:v>
      </x:c>
      <x:c r="C60" t="str">
        <x:v>GB300</x:v>
      </x:c>
      <x:c r="D60" t="str">
        <x:v>direct</x:v>
      </x:c>
      <x:c r="E60" t="str">
        <x:v>long</x:v>
      </x:c>
      <x:c r="F60" s="19" t="n">
        <x:v>100</x:v>
      </x:c>
      <x:c r="G60" t="str">
        <x:v>dynamo-trt</x:v>
      </x:c>
      <x:c r="H60" s="23" t="str">
        <x:v>DIRECT_PREFERRED</x:v>
      </x:c>
      <x:c r="I60" s="20" t="n">
        <x:v>628688.538903877</x:v>
      </x:c>
      <x:c r="J60" s="20" t="n">
        <x:v>111.2117369231582</x:v>
      </x:c>
      <x:c r="K60" s="20" t="n">
        <x:v>615</x:v>
      </x:c>
      <x:c r="L60" s="20" t="n">
        <x:v>64</x:v>
      </x:c>
      <x:c r="M60" s="20" t="n">
        <x:v>9.609375</x:v>
      </x:c>
      <x:c r="N60" t="str">
        <x:v>fp4</x:v>
      </x:c>
      <x:c r="O60" t="str">
        <x:v>mtp</x:v>
      </x:c>
      <x:c r="P60" s="19" t="n">
        <x:v>424183</x:v>
      </x:c>
      <x:c r="Q60" s="21" t="n">
        <x:v>46188</x:v>
      </x:c>
      <x:c r="R60" s="22" t="n">
        <x:v>628688.538903877</x:v>
      </x:c>
      <x:c r="S60" t="str">
        <x:v>dynamo-trt</x:v>
      </x:c>
      <x:c r="T60" t="str">
        <x:v>dynamo-sglang, dynamo-trt, dynamo-vllm</x:v>
      </x:c>
      <x:c r="U60" s="19" t="n">
        <x:v>8</x:v>
      </x:c>
      <x:c r="V60" s="19" t="n">
        <x:v>24</x:v>
      </x:c>
      <x:c r="W60" s="19" t="n">
        <x:v>19</x:v>
      </x:c>
      <x:c r="X60" t="str"/>
      <x:c r="Y60" s="23" t="str">
        <x:v>Preferred framework has a direct Pareto-eligible observation.</x:v>
      </x:c>
    </x:row>
    <x:row r="61">
      <x:c r="A61" t="str">
        <x:v>DeepSeek V4 Pro</x:v>
      </x:c>
      <x:c r="B61" t="str">
        <x:v>dsv4</x:v>
      </x:c>
      <x:c r="C61" t="str">
        <x:v>GB300</x:v>
      </x:c>
      <x:c r="D61" t="str">
        <x:v>direct</x:v>
      </x:c>
      <x:c r="E61" t="str">
        <x:v>agentic</x:v>
      </x:c>
      <x:c r="F61" s="19" t="n">
        <x:v>30</x:v>
      </x:c>
      <x:c r="G61" t="str">
        <x:v>dynamo-trt</x:v>
      </x:c>
      <x:c r="H61" s="23" t="str">
        <x:v>DIRECT_OTHER_FRAMEWORK</x:v>
      </x:c>
      <x:c r="I61" s="20"/>
      <x:c r="J61" s="20"/>
      <x:c r="K61" s="20"/>
      <x:c r="L61" s="20"/>
      <x:c r="M61" s="20"/>
      <x:c r="N61" t="str"/>
      <x:c r="O61" t="str"/>
      <x:c r="P61" s="19"/>
      <x:c r="Q61" s="21" t="str"/>
      <x:c r="R61" s="22" t="n">
        <x:v>259761.23584905657</x:v>
      </x:c>
      <x:c r="S61" t="str">
        <x:v>dynamo-sglang</x:v>
      </x:c>
      <x:c r="T61" t="str">
        <x:v>dynamo-sglang</x:v>
      </x:c>
      <x:c r="U61" s="19" t="n">
        <x:v>0</x:v>
      </x:c>
      <x:c r="V61" s="19" t="n">
        <x:v>17</x:v>
      </x:c>
      <x:c r="W61" s="19" t="n">
        <x:v>0</x:v>
      </x:c>
      <x:c r="X61" t="str"/>
      <x:c r="Y61" s="23" t="str">
        <x:v>Direct observation exists, but not in the provisional preferred framework.</x:v>
      </x:c>
    </x:row>
    <x:row r="62">
      <x:c r="A62" t="str">
        <x:v>DeepSeek V4 Pro</x:v>
      </x:c>
      <x:c r="B62" t="str">
        <x:v>dsv4</x:v>
      </x:c>
      <x:c r="C62" t="str">
        <x:v>GB300</x:v>
      </x:c>
      <x:c r="D62" t="str">
        <x:v>direct</x:v>
      </x:c>
      <x:c r="E62" t="str">
        <x:v>agentic</x:v>
      </x:c>
      <x:c r="F62" s="19" t="n">
        <x:v>50</x:v>
      </x:c>
      <x:c r="G62" t="str">
        <x:v>dynamo-trt</x:v>
      </x:c>
      <x:c r="H62" s="23" t="str">
        <x:v>DIRECT_OTHER_FRAMEWORK</x:v>
      </x:c>
      <x:c r="I62" s="20"/>
      <x:c r="J62" s="20"/>
      <x:c r="K62" s="20"/>
      <x:c r="L62" s="20"/>
      <x:c r="M62" s="20"/>
      <x:c r="N62" t="str"/>
      <x:c r="O62" t="str"/>
      <x:c r="P62" s="19"/>
      <x:c r="Q62" s="21" t="str"/>
      <x:c r="R62" s="22" t="n">
        <x:v>235161.10849056602</x:v>
      </x:c>
      <x:c r="S62" t="str">
        <x:v>dynamo-sglang</x:v>
      </x:c>
      <x:c r="T62" t="str">
        <x:v>dynamo-sglang</x:v>
      </x:c>
      <x:c r="U62" s="19" t="n">
        <x:v>0</x:v>
      </x:c>
      <x:c r="V62" s="19" t="n">
        <x:v>16</x:v>
      </x:c>
      <x:c r="W62" s="19" t="n">
        <x:v>0</x:v>
      </x:c>
      <x:c r="X62" t="str"/>
      <x:c r="Y62" s="23" t="str">
        <x:v>Direct observation exists, but not in the provisional preferred framework.</x:v>
      </x:c>
    </x:row>
    <x:row r="63">
      <x:c r="A63" t="str">
        <x:v>DeepSeek V4 Pro</x:v>
      </x:c>
      <x:c r="B63" t="str">
        <x:v>dsv4</x:v>
      </x:c>
      <x:c r="C63" t="str">
        <x:v>GB300</x:v>
      </x:c>
      <x:c r="D63" t="str">
        <x:v>direct</x:v>
      </x:c>
      <x:c r="E63" t="str">
        <x:v>agentic</x:v>
      </x:c>
      <x:c r="F63" s="19" t="n">
        <x:v>70</x:v>
      </x:c>
      <x:c r="G63" t="str">
        <x:v>dynamo-trt</x:v>
      </x:c>
      <x:c r="H63" s="23" t="str">
        <x:v>DIRECT_OTHER_FRAMEWORK</x:v>
      </x:c>
      <x:c r="I63" s="20"/>
      <x:c r="J63" s="20"/>
      <x:c r="K63" s="20"/>
      <x:c r="L63" s="20"/>
      <x:c r="M63" s="20"/>
      <x:c r="N63" t="str"/>
      <x:c r="O63" t="str"/>
      <x:c r="P63" s="19"/>
      <x:c r="Q63" s="21" t="str"/>
      <x:c r="R63" s="22" t="n">
        <x:v>140344.30660377358</x:v>
      </x:c>
      <x:c r="S63" t="str">
        <x:v>dynamo-sglang</x:v>
      </x:c>
      <x:c r="T63" t="str">
        <x:v>dynamo-sglang</x:v>
      </x:c>
      <x:c r="U63" s="19" t="n">
        <x:v>0</x:v>
      </x:c>
      <x:c r="V63" s="19" t="n">
        <x:v>13</x:v>
      </x:c>
      <x:c r="W63" s="19" t="n">
        <x:v>0</x:v>
      </x:c>
      <x:c r="X63" t="str"/>
      <x:c r="Y63" s="23" t="str">
        <x:v>Direct observation exists, but not in the provisional preferred framework.</x:v>
      </x:c>
    </x:row>
    <x:row r="64">
      <x:c r="A64" t="str">
        <x:v>DeepSeek V4 Pro</x:v>
      </x:c>
      <x:c r="B64" t="str">
        <x:v>dsv4</x:v>
      </x:c>
      <x:c r="C64" t="str">
        <x:v>GB300</x:v>
      </x:c>
      <x:c r="D64" t="str">
        <x:v>direct</x:v>
      </x:c>
      <x:c r="E64" t="str">
        <x:v>agentic</x:v>
      </x:c>
      <x:c r="F64" s="19" t="n">
        <x:v>100</x:v>
      </x:c>
      <x:c r="G64" t="str">
        <x:v>dynamo-trt</x:v>
      </x:c>
      <x:c r="H64" s="23" t="str">
        <x:v>DIRECT_OTHER_FRAMEWORK</x:v>
      </x:c>
      <x:c r="I64" s="20"/>
      <x:c r="J64" s="20"/>
      <x:c r="K64" s="20"/>
      <x:c r="L64" s="20"/>
      <x:c r="M64" s="20"/>
      <x:c r="N64" t="str"/>
      <x:c r="O64" t="str"/>
      <x:c r="P64" s="19"/>
      <x:c r="Q64" s="21" t="str"/>
      <x:c r="R64" s="22" t="n">
        <x:v>38554.872641509435</x:v>
      </x:c>
      <x:c r="S64" t="str">
        <x:v>dynamo-sglang</x:v>
      </x:c>
      <x:c r="T64" t="str">
        <x:v>dynamo-sglang</x:v>
      </x:c>
      <x:c r="U64" s="19" t="n">
        <x:v>0</x:v>
      </x:c>
      <x:c r="V64" s="19" t="n">
        <x:v>10</x:v>
      </x:c>
      <x:c r="W64" s="19" t="n">
        <x:v>0</x:v>
      </x:c>
      <x:c r="X64" t="str"/>
      <x:c r="Y64" s="23" t="str">
        <x:v>Direct observation exists, but not in the provisional preferred framework.</x:v>
      </x:c>
    </x:row>
    <x:row r="65">
      <x:c r="A65" t="str">
        <x:v>DeepSeek V4 Pro</x:v>
      </x:c>
      <x:c r="B65" t="str">
        <x:v>dsv4</x:v>
      </x:c>
      <x:c r="C65" t="str">
        <x:v>R200</x:v>
      </x:c>
      <x:c r="D65" t="str">
        <x:v>future_scenario</x:v>
      </x:c>
      <x:c r="E65" t="str">
        <x:v>short</x:v>
      </x:c>
      <x:c r="F65" s="19" t="n">
        <x:v>30</x:v>
      </x:c>
      <x:c r="G65" t="str"/>
      <x:c r="H65" s="23" t="str">
        <x:v>GPU_SCALING_REQUIRED</x:v>
      </x:c>
      <x:c r="I65" s="20"/>
      <x:c r="J65" s="20"/>
      <x:c r="K65" s="20"/>
      <x:c r="L65" s="20"/>
      <x:c r="M65" s="20"/>
      <x:c r="N65" t="str"/>
      <x:c r="O65" t="str"/>
      <x:c r="P65" s="19"/>
      <x:c r="Q65" s="21" t="str"/>
      <x:c r="R65" s="22"/>
      <x:c r="S65" t="str"/>
      <x:c r="T65" t="str"/>
      <x:c r="U65" s="19" t="n">
        <x:v>0</x:v>
      </x:c>
      <x:c r="V65" s="19" t="n">
        <x:v>0</x:v>
      </x:c>
      <x:c r="W65" s="19" t="n">
        <x:v>0</x:v>
      </x:c>
      <x:c r="X65" t="str"/>
      <x:c r="Y65" s="23" t="str">
        <x:v>No InferenceX benchmark; future GPU scenario requires a separate GPU scaling layer.</x:v>
      </x:c>
    </x:row>
    <x:row r="66">
      <x:c r="A66" t="str">
        <x:v>DeepSeek V4 Pro</x:v>
      </x:c>
      <x:c r="B66" t="str">
        <x:v>dsv4</x:v>
      </x:c>
      <x:c r="C66" t="str">
        <x:v>R200</x:v>
      </x:c>
      <x:c r="D66" t="str">
        <x:v>future_scenario</x:v>
      </x:c>
      <x:c r="E66" t="str">
        <x:v>short</x:v>
      </x:c>
      <x:c r="F66" s="19" t="n">
        <x:v>50</x:v>
      </x:c>
      <x:c r="G66" t="str"/>
      <x:c r="H66" s="23" t="str">
        <x:v>GPU_SCALING_REQUIRED</x:v>
      </x:c>
      <x:c r="I66" s="20"/>
      <x:c r="J66" s="20"/>
      <x:c r="K66" s="20"/>
      <x:c r="L66" s="20"/>
      <x:c r="M66" s="20"/>
      <x:c r="N66" t="str"/>
      <x:c r="O66" t="str"/>
      <x:c r="P66" s="19"/>
      <x:c r="Q66" s="21" t="str"/>
      <x:c r="R66" s="22"/>
      <x:c r="S66" t="str"/>
      <x:c r="T66" t="str"/>
      <x:c r="U66" s="19" t="n">
        <x:v>0</x:v>
      </x:c>
      <x:c r="V66" s="19" t="n">
        <x:v>0</x:v>
      </x:c>
      <x:c r="W66" s="19" t="n">
        <x:v>0</x:v>
      </x:c>
      <x:c r="X66" t="str"/>
      <x:c r="Y66" s="23" t="str">
        <x:v>No InferenceX benchmark; future GPU scenario requires a separate GPU scaling layer.</x:v>
      </x:c>
    </x:row>
    <x:row r="67">
      <x:c r="A67" t="str">
        <x:v>DeepSeek V4 Pro</x:v>
      </x:c>
      <x:c r="B67" t="str">
        <x:v>dsv4</x:v>
      </x:c>
      <x:c r="C67" t="str">
        <x:v>R200</x:v>
      </x:c>
      <x:c r="D67" t="str">
        <x:v>future_scenario</x:v>
      </x:c>
      <x:c r="E67" t="str">
        <x:v>short</x:v>
      </x:c>
      <x:c r="F67" s="19" t="n">
        <x:v>70</x:v>
      </x:c>
      <x:c r="G67" t="str"/>
      <x:c r="H67" s="23" t="str">
        <x:v>GPU_SCALING_REQUIRED</x:v>
      </x:c>
      <x:c r="I67" s="20"/>
      <x:c r="J67" s="20"/>
      <x:c r="K67" s="20"/>
      <x:c r="L67" s="20"/>
      <x:c r="M67" s="20"/>
      <x:c r="N67" t="str"/>
      <x:c r="O67" t="str"/>
      <x:c r="P67" s="19"/>
      <x:c r="Q67" s="21" t="str"/>
      <x:c r="R67" s="22"/>
      <x:c r="S67" t="str"/>
      <x:c r="T67" t="str"/>
      <x:c r="U67" s="19" t="n">
        <x:v>0</x:v>
      </x:c>
      <x:c r="V67" s="19" t="n">
        <x:v>0</x:v>
      </x:c>
      <x:c r="W67" s="19" t="n">
        <x:v>0</x:v>
      </x:c>
      <x:c r="X67" t="str"/>
      <x:c r="Y67" s="23" t="str">
        <x:v>No InferenceX benchmark; future GPU scenario requires a separate GPU scaling layer.</x:v>
      </x:c>
    </x:row>
    <x:row r="68">
      <x:c r="A68" t="str">
        <x:v>DeepSeek V4 Pro</x:v>
      </x:c>
      <x:c r="B68" t="str">
        <x:v>dsv4</x:v>
      </x:c>
      <x:c r="C68" t="str">
        <x:v>R200</x:v>
      </x:c>
      <x:c r="D68" t="str">
        <x:v>future_scenario</x:v>
      </x:c>
      <x:c r="E68" t="str">
        <x:v>short</x:v>
      </x:c>
      <x:c r="F68" s="19" t="n">
        <x:v>100</x:v>
      </x:c>
      <x:c r="G68" t="str"/>
      <x:c r="H68" s="23" t="str">
        <x:v>GPU_SCALING_REQUIRED</x:v>
      </x:c>
      <x:c r="I68" s="20"/>
      <x:c r="J68" s="20"/>
      <x:c r="K68" s="20"/>
      <x:c r="L68" s="20"/>
      <x:c r="M68" s="20"/>
      <x:c r="N68" t="str"/>
      <x:c r="O68" t="str"/>
      <x:c r="P68" s="19"/>
      <x:c r="Q68" s="21" t="str"/>
      <x:c r="R68" s="22"/>
      <x:c r="S68" t="str"/>
      <x:c r="T68" t="str"/>
      <x:c r="U68" s="19" t="n">
        <x:v>0</x:v>
      </x:c>
      <x:c r="V68" s="19" t="n">
        <x:v>0</x:v>
      </x:c>
      <x:c r="W68" s="19" t="n">
        <x:v>0</x:v>
      </x:c>
      <x:c r="X68" t="str"/>
      <x:c r="Y68" s="23" t="str">
        <x:v>No InferenceX benchmark; future GPU scenario requires a separate GPU scaling layer.</x:v>
      </x:c>
    </x:row>
    <x:row r="69">
      <x:c r="A69" t="str">
        <x:v>DeepSeek V4 Pro</x:v>
      </x:c>
      <x:c r="B69" t="str">
        <x:v>dsv4</x:v>
      </x:c>
      <x:c r="C69" t="str">
        <x:v>R200</x:v>
      </x:c>
      <x:c r="D69" t="str">
        <x:v>future_scenario</x:v>
      </x:c>
      <x:c r="E69" t="str">
        <x:v>long</x:v>
      </x:c>
      <x:c r="F69" s="19" t="n">
        <x:v>30</x:v>
      </x:c>
      <x:c r="G69" t="str"/>
      <x:c r="H69" s="23" t="str">
        <x:v>GPU_SCALING_REQUIRED</x:v>
      </x:c>
      <x:c r="I69" s="20"/>
      <x:c r="J69" s="20"/>
      <x:c r="K69" s="20"/>
      <x:c r="L69" s="20"/>
      <x:c r="M69" s="20"/>
      <x:c r="N69" t="str"/>
      <x:c r="O69" t="str"/>
      <x:c r="P69" s="19"/>
      <x:c r="Q69" s="21" t="str"/>
      <x:c r="R69" s="22"/>
      <x:c r="S69" t="str"/>
      <x:c r="T69" t="str"/>
      <x:c r="U69" s="19" t="n">
        <x:v>0</x:v>
      </x:c>
      <x:c r="V69" s="19" t="n">
        <x:v>0</x:v>
      </x:c>
      <x:c r="W69" s="19" t="n">
        <x:v>0</x:v>
      </x:c>
      <x:c r="X69" t="str"/>
      <x:c r="Y69" s="23" t="str">
        <x:v>No InferenceX benchmark; future GPU scenario requires a separate GPU scaling layer.</x:v>
      </x:c>
    </x:row>
    <x:row r="70">
      <x:c r="A70" t="str">
        <x:v>DeepSeek V4 Pro</x:v>
      </x:c>
      <x:c r="B70" t="str">
        <x:v>dsv4</x:v>
      </x:c>
      <x:c r="C70" t="str">
        <x:v>R200</x:v>
      </x:c>
      <x:c r="D70" t="str">
        <x:v>future_scenario</x:v>
      </x:c>
      <x:c r="E70" t="str">
        <x:v>long</x:v>
      </x:c>
      <x:c r="F70" s="19" t="n">
        <x:v>50</x:v>
      </x:c>
      <x:c r="G70" t="str"/>
      <x:c r="H70" s="23" t="str">
        <x:v>GPU_SCALING_REQUIRED</x:v>
      </x:c>
      <x:c r="I70" s="20"/>
      <x:c r="J70" s="20"/>
      <x:c r="K70" s="20"/>
      <x:c r="L70" s="20"/>
      <x:c r="M70" s="20"/>
      <x:c r="N70" t="str"/>
      <x:c r="O70" t="str"/>
      <x:c r="P70" s="19"/>
      <x:c r="Q70" s="21" t="str"/>
      <x:c r="R70" s="22"/>
      <x:c r="S70" t="str"/>
      <x:c r="T70" t="str"/>
      <x:c r="U70" s="19" t="n">
        <x:v>0</x:v>
      </x:c>
      <x:c r="V70" s="19" t="n">
        <x:v>0</x:v>
      </x:c>
      <x:c r="W70" s="19" t="n">
        <x:v>0</x:v>
      </x:c>
      <x:c r="X70" t="str"/>
      <x:c r="Y70" s="23" t="str">
        <x:v>No InferenceX benchmark; future GPU scenario requires a separate GPU scaling layer.</x:v>
      </x:c>
    </x:row>
    <x:row r="71">
      <x:c r="A71" t="str">
        <x:v>DeepSeek V4 Pro</x:v>
      </x:c>
      <x:c r="B71" t="str">
        <x:v>dsv4</x:v>
      </x:c>
      <x:c r="C71" t="str">
        <x:v>R200</x:v>
      </x:c>
      <x:c r="D71" t="str">
        <x:v>future_scenario</x:v>
      </x:c>
      <x:c r="E71" t="str">
        <x:v>long</x:v>
      </x:c>
      <x:c r="F71" s="19" t="n">
        <x:v>70</x:v>
      </x:c>
      <x:c r="G71" t="str"/>
      <x:c r="H71" s="23" t="str">
        <x:v>GPU_SCALING_REQUIRED</x:v>
      </x:c>
      <x:c r="I71" s="20"/>
      <x:c r="J71" s="20"/>
      <x:c r="K71" s="20"/>
      <x:c r="L71" s="20"/>
      <x:c r="M71" s="20"/>
      <x:c r="N71" t="str"/>
      <x:c r="O71" t="str"/>
      <x:c r="P71" s="19"/>
      <x:c r="Q71" s="21" t="str"/>
      <x:c r="R71" s="22"/>
      <x:c r="S71" t="str"/>
      <x:c r="T71" t="str"/>
      <x:c r="U71" s="19" t="n">
        <x:v>0</x:v>
      </x:c>
      <x:c r="V71" s="19" t="n">
        <x:v>0</x:v>
      </x:c>
      <x:c r="W71" s="19" t="n">
        <x:v>0</x:v>
      </x:c>
      <x:c r="X71" t="str"/>
      <x:c r="Y71" s="23" t="str">
        <x:v>No InferenceX benchmark; future GPU scenario requires a separate GPU scaling layer.</x:v>
      </x:c>
    </x:row>
    <x:row r="72">
      <x:c r="A72" t="str">
        <x:v>DeepSeek V4 Pro</x:v>
      </x:c>
      <x:c r="B72" t="str">
        <x:v>dsv4</x:v>
      </x:c>
      <x:c r="C72" t="str">
        <x:v>R200</x:v>
      </x:c>
      <x:c r="D72" t="str">
        <x:v>future_scenario</x:v>
      </x:c>
      <x:c r="E72" t="str">
        <x:v>long</x:v>
      </x:c>
      <x:c r="F72" s="19" t="n">
        <x:v>100</x:v>
      </x:c>
      <x:c r="G72" t="str"/>
      <x:c r="H72" s="23" t="str">
        <x:v>GPU_SCALING_REQUIRED</x:v>
      </x:c>
      <x:c r="I72" s="20"/>
      <x:c r="J72" s="20"/>
      <x:c r="K72" s="20"/>
      <x:c r="L72" s="20"/>
      <x:c r="M72" s="20"/>
      <x:c r="N72" t="str"/>
      <x:c r="O72" t="str"/>
      <x:c r="P72" s="19"/>
      <x:c r="Q72" s="21" t="str"/>
      <x:c r="R72" s="22"/>
      <x:c r="S72" t="str"/>
      <x:c r="T72" t="str"/>
      <x:c r="U72" s="19" t="n">
        <x:v>0</x:v>
      </x:c>
      <x:c r="V72" s="19" t="n">
        <x:v>0</x:v>
      </x:c>
      <x:c r="W72" s="19" t="n">
        <x:v>0</x:v>
      </x:c>
      <x:c r="X72" t="str"/>
      <x:c r="Y72" s="23" t="str">
        <x:v>No InferenceX benchmark; future GPU scenario requires a separate GPU scaling layer.</x:v>
      </x:c>
    </x:row>
    <x:row r="73">
      <x:c r="A73" t="str">
        <x:v>DeepSeek V4 Pro</x:v>
      </x:c>
      <x:c r="B73" t="str">
        <x:v>dsv4</x:v>
      </x:c>
      <x:c r="C73" t="str">
        <x:v>R200</x:v>
      </x:c>
      <x:c r="D73" t="str">
        <x:v>future_scenario</x:v>
      </x:c>
      <x:c r="E73" t="str">
        <x:v>agentic</x:v>
      </x:c>
      <x:c r="F73" s="19" t="n">
        <x:v>30</x:v>
      </x:c>
      <x:c r="G73" t="str"/>
      <x:c r="H73" s="23" t="str">
        <x:v>GPU_SCALING_REQUIRED</x:v>
      </x:c>
      <x:c r="I73" s="20"/>
      <x:c r="J73" s="20"/>
      <x:c r="K73" s="20"/>
      <x:c r="L73" s="20"/>
      <x:c r="M73" s="20"/>
      <x:c r="N73" t="str"/>
      <x:c r="O73" t="str"/>
      <x:c r="P73" s="19"/>
      <x:c r="Q73" s="21" t="str"/>
      <x:c r="R73" s="22"/>
      <x:c r="S73" t="str"/>
      <x:c r="T73" t="str"/>
      <x:c r="U73" s="19" t="n">
        <x:v>0</x:v>
      </x:c>
      <x:c r="V73" s="19" t="n">
        <x:v>0</x:v>
      </x:c>
      <x:c r="W73" s="19" t="n">
        <x:v>0</x:v>
      </x:c>
      <x:c r="X73" t="str"/>
      <x:c r="Y73" s="23" t="str">
        <x:v>No InferenceX benchmark; future GPU scenario requires a separate GPU scaling layer.</x:v>
      </x:c>
    </x:row>
    <x:row r="74">
      <x:c r="A74" t="str">
        <x:v>DeepSeek V4 Pro</x:v>
      </x:c>
      <x:c r="B74" t="str">
        <x:v>dsv4</x:v>
      </x:c>
      <x:c r="C74" t="str">
        <x:v>R200</x:v>
      </x:c>
      <x:c r="D74" t="str">
        <x:v>future_scenario</x:v>
      </x:c>
      <x:c r="E74" t="str">
        <x:v>agentic</x:v>
      </x:c>
      <x:c r="F74" s="19" t="n">
        <x:v>50</x:v>
      </x:c>
      <x:c r="G74" t="str"/>
      <x:c r="H74" s="23" t="str">
        <x:v>GPU_SCALING_REQUIRED</x:v>
      </x:c>
      <x:c r="I74" s="20"/>
      <x:c r="J74" s="20"/>
      <x:c r="K74" s="20"/>
      <x:c r="L74" s="20"/>
      <x:c r="M74" s="20"/>
      <x:c r="N74" t="str"/>
      <x:c r="O74" t="str"/>
      <x:c r="P74" s="19"/>
      <x:c r="Q74" s="21" t="str"/>
      <x:c r="R74" s="22"/>
      <x:c r="S74" t="str"/>
      <x:c r="T74" t="str"/>
      <x:c r="U74" s="19" t="n">
        <x:v>0</x:v>
      </x:c>
      <x:c r="V74" s="19" t="n">
        <x:v>0</x:v>
      </x:c>
      <x:c r="W74" s="19" t="n">
        <x:v>0</x:v>
      </x:c>
      <x:c r="X74" t="str"/>
      <x:c r="Y74" s="23" t="str">
        <x:v>No InferenceX benchmark; future GPU scenario requires a separate GPU scaling layer.</x:v>
      </x:c>
    </x:row>
    <x:row r="75">
      <x:c r="A75" t="str">
        <x:v>DeepSeek V4 Pro</x:v>
      </x:c>
      <x:c r="B75" t="str">
        <x:v>dsv4</x:v>
      </x:c>
      <x:c r="C75" t="str">
        <x:v>R200</x:v>
      </x:c>
      <x:c r="D75" t="str">
        <x:v>future_scenario</x:v>
      </x:c>
      <x:c r="E75" t="str">
        <x:v>agentic</x:v>
      </x:c>
      <x:c r="F75" s="19" t="n">
        <x:v>70</x:v>
      </x:c>
      <x:c r="G75" t="str"/>
      <x:c r="H75" s="23" t="str">
        <x:v>GPU_SCALING_REQUIRED</x:v>
      </x:c>
      <x:c r="I75" s="20"/>
      <x:c r="J75" s="20"/>
      <x:c r="K75" s="20"/>
      <x:c r="L75" s="20"/>
      <x:c r="M75" s="20"/>
      <x:c r="N75" t="str"/>
      <x:c r="O75" t="str"/>
      <x:c r="P75" s="19"/>
      <x:c r="Q75" s="21" t="str"/>
      <x:c r="R75" s="22"/>
      <x:c r="S75" t="str"/>
      <x:c r="T75" t="str"/>
      <x:c r="U75" s="19" t="n">
        <x:v>0</x:v>
      </x:c>
      <x:c r="V75" s="19" t="n">
        <x:v>0</x:v>
      </x:c>
      <x:c r="W75" s="19" t="n">
        <x:v>0</x:v>
      </x:c>
      <x:c r="X75" t="str"/>
      <x:c r="Y75" s="23" t="str">
        <x:v>No InferenceX benchmark; future GPU scenario requires a separate GPU scaling layer.</x:v>
      </x:c>
    </x:row>
    <x:row r="76">
      <x:c r="A76" t="str">
        <x:v>DeepSeek V4 Pro</x:v>
      </x:c>
      <x:c r="B76" t="str">
        <x:v>dsv4</x:v>
      </x:c>
      <x:c r="C76" t="str">
        <x:v>R200</x:v>
      </x:c>
      <x:c r="D76" t="str">
        <x:v>future_scenario</x:v>
      </x:c>
      <x:c r="E76" t="str">
        <x:v>agentic</x:v>
      </x:c>
      <x:c r="F76" s="19" t="n">
        <x:v>100</x:v>
      </x:c>
      <x:c r="G76" t="str"/>
      <x:c r="H76" s="23" t="str">
        <x:v>GPU_SCALING_REQUIRED</x:v>
      </x:c>
      <x:c r="I76" s="20"/>
      <x:c r="J76" s="20"/>
      <x:c r="K76" s="20"/>
      <x:c r="L76" s="20"/>
      <x:c r="M76" s="20"/>
      <x:c r="N76" t="str"/>
      <x:c r="O76" t="str"/>
      <x:c r="P76" s="19"/>
      <x:c r="Q76" s="21" t="str"/>
      <x:c r="R76" s="22"/>
      <x:c r="S76" t="str"/>
      <x:c r="T76" t="str"/>
      <x:c r="U76" s="19" t="n">
        <x:v>0</x:v>
      </x:c>
      <x:c r="V76" s="19" t="n">
        <x:v>0</x:v>
      </x:c>
      <x:c r="W76" s="19" t="n">
        <x:v>0</x:v>
      </x:c>
      <x:c r="X76" t="str"/>
      <x:c r="Y76" s="23" t="str">
        <x:v>No InferenceX benchmark; future GPU scenario requires a separate GPU scaling layer.</x:v>
      </x:c>
    </x:row>
    <x:row r="77">
      <x:c r="A77" t="str">
        <x:v>DeepSeek V4 Pro</x:v>
      </x:c>
      <x:c r="B77" t="str">
        <x:v>dsv4</x:v>
      </x:c>
      <x:c r="C77" t="str">
        <x:v>VR200</x:v>
      </x:c>
      <x:c r="D77" t="str">
        <x:v>future_scenario</x:v>
      </x:c>
      <x:c r="E77" t="str">
        <x:v>short</x:v>
      </x:c>
      <x:c r="F77" s="19" t="n">
        <x:v>30</x:v>
      </x:c>
      <x:c r="G77" t="str"/>
      <x:c r="H77" s="23" t="str">
        <x:v>GPU_SCALING_REQUIRED</x:v>
      </x:c>
      <x:c r="I77" s="20"/>
      <x:c r="J77" s="20"/>
      <x:c r="K77" s="20"/>
      <x:c r="L77" s="20"/>
      <x:c r="M77" s="20"/>
      <x:c r="N77" t="str"/>
      <x:c r="O77" t="str"/>
      <x:c r="P77" s="19"/>
      <x:c r="Q77" s="21" t="str"/>
      <x:c r="R77" s="22"/>
      <x:c r="S77" t="str"/>
      <x:c r="T77" t="str"/>
      <x:c r="U77" s="19" t="n">
        <x:v>0</x:v>
      </x:c>
      <x:c r="V77" s="19" t="n">
        <x:v>0</x:v>
      </x:c>
      <x:c r="W77" s="19" t="n">
        <x:v>0</x:v>
      </x:c>
      <x:c r="X77" t="str"/>
      <x:c r="Y77" s="23" t="str">
        <x:v>No InferenceX benchmark; future GPU scenario requires a separate GPU scaling layer.</x:v>
      </x:c>
    </x:row>
    <x:row r="78">
      <x:c r="A78" t="str">
        <x:v>DeepSeek V4 Pro</x:v>
      </x:c>
      <x:c r="B78" t="str">
        <x:v>dsv4</x:v>
      </x:c>
      <x:c r="C78" t="str">
        <x:v>VR200</x:v>
      </x:c>
      <x:c r="D78" t="str">
        <x:v>future_scenario</x:v>
      </x:c>
      <x:c r="E78" t="str">
        <x:v>short</x:v>
      </x:c>
      <x:c r="F78" s="19" t="n">
        <x:v>50</x:v>
      </x:c>
      <x:c r="G78" t="str"/>
      <x:c r="H78" s="23" t="str">
        <x:v>GPU_SCALING_REQUIRED</x:v>
      </x:c>
      <x:c r="I78" s="20"/>
      <x:c r="J78" s="20"/>
      <x:c r="K78" s="20"/>
      <x:c r="L78" s="20"/>
      <x:c r="M78" s="20"/>
      <x:c r="N78" t="str"/>
      <x:c r="O78" t="str"/>
      <x:c r="P78" s="19"/>
      <x:c r="Q78" s="21" t="str"/>
      <x:c r="R78" s="22"/>
      <x:c r="S78" t="str"/>
      <x:c r="T78" t="str"/>
      <x:c r="U78" s="19" t="n">
        <x:v>0</x:v>
      </x:c>
      <x:c r="V78" s="19" t="n">
        <x:v>0</x:v>
      </x:c>
      <x:c r="W78" s="19" t="n">
        <x:v>0</x:v>
      </x:c>
      <x:c r="X78" t="str"/>
      <x:c r="Y78" s="23" t="str">
        <x:v>No InferenceX benchmark; future GPU scenario requires a separate GPU scaling layer.</x:v>
      </x:c>
    </x:row>
    <x:row r="79">
      <x:c r="A79" t="str">
        <x:v>DeepSeek V4 Pro</x:v>
      </x:c>
      <x:c r="B79" t="str">
        <x:v>dsv4</x:v>
      </x:c>
      <x:c r="C79" t="str">
        <x:v>VR200</x:v>
      </x:c>
      <x:c r="D79" t="str">
        <x:v>future_scenario</x:v>
      </x:c>
      <x:c r="E79" t="str">
        <x:v>short</x:v>
      </x:c>
      <x:c r="F79" s="19" t="n">
        <x:v>70</x:v>
      </x:c>
      <x:c r="G79" t="str"/>
      <x:c r="H79" s="23" t="str">
        <x:v>GPU_SCALING_REQUIRED</x:v>
      </x:c>
      <x:c r="I79" s="20"/>
      <x:c r="J79" s="20"/>
      <x:c r="K79" s="20"/>
      <x:c r="L79" s="20"/>
      <x:c r="M79" s="20"/>
      <x:c r="N79" t="str"/>
      <x:c r="O79" t="str"/>
      <x:c r="P79" s="19"/>
      <x:c r="Q79" s="21" t="str"/>
      <x:c r="R79" s="22"/>
      <x:c r="S79" t="str"/>
      <x:c r="T79" t="str"/>
      <x:c r="U79" s="19" t="n">
        <x:v>0</x:v>
      </x:c>
      <x:c r="V79" s="19" t="n">
        <x:v>0</x:v>
      </x:c>
      <x:c r="W79" s="19" t="n">
        <x:v>0</x:v>
      </x:c>
      <x:c r="X79" t="str"/>
      <x:c r="Y79" s="23" t="str">
        <x:v>No InferenceX benchmark; future GPU scenario requires a separate GPU scaling layer.</x:v>
      </x:c>
    </x:row>
    <x:row r="80">
      <x:c r="A80" t="str">
        <x:v>DeepSeek V4 Pro</x:v>
      </x:c>
      <x:c r="B80" t="str">
        <x:v>dsv4</x:v>
      </x:c>
      <x:c r="C80" t="str">
        <x:v>VR200</x:v>
      </x:c>
      <x:c r="D80" t="str">
        <x:v>future_scenario</x:v>
      </x:c>
      <x:c r="E80" t="str">
        <x:v>short</x:v>
      </x:c>
      <x:c r="F80" s="19" t="n">
        <x:v>100</x:v>
      </x:c>
      <x:c r="G80" t="str"/>
      <x:c r="H80" s="23" t="str">
        <x:v>GPU_SCALING_REQUIRED</x:v>
      </x:c>
      <x:c r="I80" s="20"/>
      <x:c r="J80" s="20"/>
      <x:c r="K80" s="20"/>
      <x:c r="L80" s="20"/>
      <x:c r="M80" s="20"/>
      <x:c r="N80" t="str"/>
      <x:c r="O80" t="str"/>
      <x:c r="P80" s="19"/>
      <x:c r="Q80" s="21" t="str"/>
      <x:c r="R80" s="22"/>
      <x:c r="S80" t="str"/>
      <x:c r="T80" t="str"/>
      <x:c r="U80" s="19" t="n">
        <x:v>0</x:v>
      </x:c>
      <x:c r="V80" s="19" t="n">
        <x:v>0</x:v>
      </x:c>
      <x:c r="W80" s="19" t="n">
        <x:v>0</x:v>
      </x:c>
      <x:c r="X80" t="str"/>
      <x:c r="Y80" s="23" t="str">
        <x:v>No InferenceX benchmark; future GPU scenario requires a separate GPU scaling layer.</x:v>
      </x:c>
    </x:row>
    <x:row r="81">
      <x:c r="A81" t="str">
        <x:v>DeepSeek V4 Pro</x:v>
      </x:c>
      <x:c r="B81" t="str">
        <x:v>dsv4</x:v>
      </x:c>
      <x:c r="C81" t="str">
        <x:v>VR200</x:v>
      </x:c>
      <x:c r="D81" t="str">
        <x:v>future_scenario</x:v>
      </x:c>
      <x:c r="E81" t="str">
        <x:v>long</x:v>
      </x:c>
      <x:c r="F81" s="19" t="n">
        <x:v>30</x:v>
      </x:c>
      <x:c r="G81" t="str"/>
      <x:c r="H81" s="23" t="str">
        <x:v>GPU_SCALING_REQUIRED</x:v>
      </x:c>
      <x:c r="I81" s="20"/>
      <x:c r="J81" s="20"/>
      <x:c r="K81" s="20"/>
      <x:c r="L81" s="20"/>
      <x:c r="M81" s="20"/>
      <x:c r="N81" t="str"/>
      <x:c r="O81" t="str"/>
      <x:c r="P81" s="19"/>
      <x:c r="Q81" s="21" t="str"/>
      <x:c r="R81" s="22"/>
      <x:c r="S81" t="str"/>
      <x:c r="T81" t="str"/>
      <x:c r="U81" s="19" t="n">
        <x:v>0</x:v>
      </x:c>
      <x:c r="V81" s="19" t="n">
        <x:v>0</x:v>
      </x:c>
      <x:c r="W81" s="19" t="n">
        <x:v>0</x:v>
      </x:c>
      <x:c r="X81" t="str"/>
      <x:c r="Y81" s="23" t="str">
        <x:v>No InferenceX benchmark; future GPU scenario requires a separate GPU scaling layer.</x:v>
      </x:c>
    </x:row>
    <x:row r="82">
      <x:c r="A82" t="str">
        <x:v>DeepSeek V4 Pro</x:v>
      </x:c>
      <x:c r="B82" t="str">
        <x:v>dsv4</x:v>
      </x:c>
      <x:c r="C82" t="str">
        <x:v>VR200</x:v>
      </x:c>
      <x:c r="D82" t="str">
        <x:v>future_scenario</x:v>
      </x:c>
      <x:c r="E82" t="str">
        <x:v>long</x:v>
      </x:c>
      <x:c r="F82" s="19" t="n">
        <x:v>50</x:v>
      </x:c>
      <x:c r="G82" t="str"/>
      <x:c r="H82" s="23" t="str">
        <x:v>GPU_SCALING_REQUIRED</x:v>
      </x:c>
      <x:c r="I82" s="20"/>
      <x:c r="J82" s="20"/>
      <x:c r="K82" s="20"/>
      <x:c r="L82" s="20"/>
      <x:c r="M82" s="20"/>
      <x:c r="N82" t="str"/>
      <x:c r="O82" t="str"/>
      <x:c r="P82" s="19"/>
      <x:c r="Q82" s="21" t="str"/>
      <x:c r="R82" s="22"/>
      <x:c r="S82" t="str"/>
      <x:c r="T82" t="str"/>
      <x:c r="U82" s="19" t="n">
        <x:v>0</x:v>
      </x:c>
      <x:c r="V82" s="19" t="n">
        <x:v>0</x:v>
      </x:c>
      <x:c r="W82" s="19" t="n">
        <x:v>0</x:v>
      </x:c>
      <x:c r="X82" t="str"/>
      <x:c r="Y82" s="23" t="str">
        <x:v>No InferenceX benchmark; future GPU scenario requires a separate GPU scaling layer.</x:v>
      </x:c>
    </x:row>
    <x:row r="83">
      <x:c r="A83" t="str">
        <x:v>DeepSeek V4 Pro</x:v>
      </x:c>
      <x:c r="B83" t="str">
        <x:v>dsv4</x:v>
      </x:c>
      <x:c r="C83" t="str">
        <x:v>VR200</x:v>
      </x:c>
      <x:c r="D83" t="str">
        <x:v>future_scenario</x:v>
      </x:c>
      <x:c r="E83" t="str">
        <x:v>long</x:v>
      </x:c>
      <x:c r="F83" s="19" t="n">
        <x:v>70</x:v>
      </x:c>
      <x:c r="G83" t="str"/>
      <x:c r="H83" s="23" t="str">
        <x:v>GPU_SCALING_REQUIRED</x:v>
      </x:c>
      <x:c r="I83" s="20"/>
      <x:c r="J83" s="20"/>
      <x:c r="K83" s="20"/>
      <x:c r="L83" s="20"/>
      <x:c r="M83" s="20"/>
      <x:c r="N83" t="str"/>
      <x:c r="O83" t="str"/>
      <x:c r="P83" s="19"/>
      <x:c r="Q83" s="21" t="str"/>
      <x:c r="R83" s="22"/>
      <x:c r="S83" t="str"/>
      <x:c r="T83" t="str"/>
      <x:c r="U83" s="19" t="n">
        <x:v>0</x:v>
      </x:c>
      <x:c r="V83" s="19" t="n">
        <x:v>0</x:v>
      </x:c>
      <x:c r="W83" s="19" t="n">
        <x:v>0</x:v>
      </x:c>
      <x:c r="X83" t="str"/>
      <x:c r="Y83" s="23" t="str">
        <x:v>No InferenceX benchmark; future GPU scenario requires a separate GPU scaling layer.</x:v>
      </x:c>
    </x:row>
    <x:row r="84">
      <x:c r="A84" t="str">
        <x:v>DeepSeek V4 Pro</x:v>
      </x:c>
      <x:c r="B84" t="str">
        <x:v>dsv4</x:v>
      </x:c>
      <x:c r="C84" t="str">
        <x:v>VR200</x:v>
      </x:c>
      <x:c r="D84" t="str">
        <x:v>future_scenario</x:v>
      </x:c>
      <x:c r="E84" t="str">
        <x:v>long</x:v>
      </x:c>
      <x:c r="F84" s="19" t="n">
        <x:v>100</x:v>
      </x:c>
      <x:c r="G84" t="str"/>
      <x:c r="H84" s="23" t="str">
        <x:v>GPU_SCALING_REQUIRED</x:v>
      </x:c>
      <x:c r="I84" s="20"/>
      <x:c r="J84" s="20"/>
      <x:c r="K84" s="20"/>
      <x:c r="L84" s="20"/>
      <x:c r="M84" s="20"/>
      <x:c r="N84" t="str"/>
      <x:c r="O84" t="str"/>
      <x:c r="P84" s="19"/>
      <x:c r="Q84" s="21" t="str"/>
      <x:c r="R84" s="22"/>
      <x:c r="S84" t="str"/>
      <x:c r="T84" t="str"/>
      <x:c r="U84" s="19" t="n">
        <x:v>0</x:v>
      </x:c>
      <x:c r="V84" s="19" t="n">
        <x:v>0</x:v>
      </x:c>
      <x:c r="W84" s="19" t="n">
        <x:v>0</x:v>
      </x:c>
      <x:c r="X84" t="str"/>
      <x:c r="Y84" s="23" t="str">
        <x:v>No InferenceX benchmark; future GPU scenario requires a separate GPU scaling layer.</x:v>
      </x:c>
    </x:row>
    <x:row r="85">
      <x:c r="A85" t="str">
        <x:v>DeepSeek V4 Pro</x:v>
      </x:c>
      <x:c r="B85" t="str">
        <x:v>dsv4</x:v>
      </x:c>
      <x:c r="C85" t="str">
        <x:v>VR200</x:v>
      </x:c>
      <x:c r="D85" t="str">
        <x:v>future_scenario</x:v>
      </x:c>
      <x:c r="E85" t="str">
        <x:v>agentic</x:v>
      </x:c>
      <x:c r="F85" s="19" t="n">
        <x:v>30</x:v>
      </x:c>
      <x:c r="G85" t="str"/>
      <x:c r="H85" s="23" t="str">
        <x:v>GPU_SCALING_REQUIRED</x:v>
      </x:c>
      <x:c r="I85" s="20"/>
      <x:c r="J85" s="20"/>
      <x:c r="K85" s="20"/>
      <x:c r="L85" s="20"/>
      <x:c r="M85" s="20"/>
      <x:c r="N85" t="str"/>
      <x:c r="O85" t="str"/>
      <x:c r="P85" s="19"/>
      <x:c r="Q85" s="21" t="str"/>
      <x:c r="R85" s="22"/>
      <x:c r="S85" t="str"/>
      <x:c r="T85" t="str"/>
      <x:c r="U85" s="19" t="n">
        <x:v>0</x:v>
      </x:c>
      <x:c r="V85" s="19" t="n">
        <x:v>0</x:v>
      </x:c>
      <x:c r="W85" s="19" t="n">
        <x:v>0</x:v>
      </x:c>
      <x:c r="X85" t="str"/>
      <x:c r="Y85" s="23" t="str">
        <x:v>No InferenceX benchmark; future GPU scenario requires a separate GPU scaling layer.</x:v>
      </x:c>
    </x:row>
    <x:row r="86">
      <x:c r="A86" t="str">
        <x:v>DeepSeek V4 Pro</x:v>
      </x:c>
      <x:c r="B86" t="str">
        <x:v>dsv4</x:v>
      </x:c>
      <x:c r="C86" t="str">
        <x:v>VR200</x:v>
      </x:c>
      <x:c r="D86" t="str">
        <x:v>future_scenario</x:v>
      </x:c>
      <x:c r="E86" t="str">
        <x:v>agentic</x:v>
      </x:c>
      <x:c r="F86" s="19" t="n">
        <x:v>50</x:v>
      </x:c>
      <x:c r="G86" t="str"/>
      <x:c r="H86" s="23" t="str">
        <x:v>GPU_SCALING_REQUIRED</x:v>
      </x:c>
      <x:c r="I86" s="20"/>
      <x:c r="J86" s="20"/>
      <x:c r="K86" s="20"/>
      <x:c r="L86" s="20"/>
      <x:c r="M86" s="20"/>
      <x:c r="N86" t="str"/>
      <x:c r="O86" t="str"/>
      <x:c r="P86" s="19"/>
      <x:c r="Q86" s="21" t="str"/>
      <x:c r="R86" s="22"/>
      <x:c r="S86" t="str"/>
      <x:c r="T86" t="str"/>
      <x:c r="U86" s="19" t="n">
        <x:v>0</x:v>
      </x:c>
      <x:c r="V86" s="19" t="n">
        <x:v>0</x:v>
      </x:c>
      <x:c r="W86" s="19" t="n">
        <x:v>0</x:v>
      </x:c>
      <x:c r="X86" t="str"/>
      <x:c r="Y86" s="23" t="str">
        <x:v>No InferenceX benchmark; future GPU scenario requires a separate GPU scaling layer.</x:v>
      </x:c>
    </x:row>
    <x:row r="87">
      <x:c r="A87" t="str">
        <x:v>DeepSeek V4 Pro</x:v>
      </x:c>
      <x:c r="B87" t="str">
        <x:v>dsv4</x:v>
      </x:c>
      <x:c r="C87" t="str">
        <x:v>VR200</x:v>
      </x:c>
      <x:c r="D87" t="str">
        <x:v>future_scenario</x:v>
      </x:c>
      <x:c r="E87" t="str">
        <x:v>agentic</x:v>
      </x:c>
      <x:c r="F87" s="19" t="n">
        <x:v>70</x:v>
      </x:c>
      <x:c r="G87" t="str"/>
      <x:c r="H87" s="23" t="str">
        <x:v>GPU_SCALING_REQUIRED</x:v>
      </x:c>
      <x:c r="I87" s="20"/>
      <x:c r="J87" s="20"/>
      <x:c r="K87" s="20"/>
      <x:c r="L87" s="20"/>
      <x:c r="M87" s="20"/>
      <x:c r="N87" t="str"/>
      <x:c r="O87" t="str"/>
      <x:c r="P87" s="19"/>
      <x:c r="Q87" s="21" t="str"/>
      <x:c r="R87" s="22"/>
      <x:c r="S87" t="str"/>
      <x:c r="T87" t="str"/>
      <x:c r="U87" s="19" t="n">
        <x:v>0</x:v>
      </x:c>
      <x:c r="V87" s="19" t="n">
        <x:v>0</x:v>
      </x:c>
      <x:c r="W87" s="19" t="n">
        <x:v>0</x:v>
      </x:c>
      <x:c r="X87" t="str"/>
      <x:c r="Y87" s="23" t="str">
        <x:v>No InferenceX benchmark; future GPU scenario requires a separate GPU scaling layer.</x:v>
      </x:c>
    </x:row>
    <x:row r="88">
      <x:c r="A88" t="str">
        <x:v>DeepSeek V4 Pro</x:v>
      </x:c>
      <x:c r="B88" t="str">
        <x:v>dsv4</x:v>
      </x:c>
      <x:c r="C88" t="str">
        <x:v>VR200</x:v>
      </x:c>
      <x:c r="D88" t="str">
        <x:v>future_scenario</x:v>
      </x:c>
      <x:c r="E88" t="str">
        <x:v>agentic</x:v>
      </x:c>
      <x:c r="F88" s="19" t="n">
        <x:v>100</x:v>
      </x:c>
      <x:c r="G88" t="str"/>
      <x:c r="H88" s="23" t="str">
        <x:v>GPU_SCALING_REQUIRED</x:v>
      </x:c>
      <x:c r="I88" s="20"/>
      <x:c r="J88" s="20"/>
      <x:c r="K88" s="20"/>
      <x:c r="L88" s="20"/>
      <x:c r="M88" s="20"/>
      <x:c r="N88" t="str"/>
      <x:c r="O88" t="str"/>
      <x:c r="P88" s="19"/>
      <x:c r="Q88" s="21" t="str"/>
      <x:c r="R88" s="22"/>
      <x:c r="S88" t="str"/>
      <x:c r="T88" t="str"/>
      <x:c r="U88" s="19" t="n">
        <x:v>0</x:v>
      </x:c>
      <x:c r="V88" s="19" t="n">
        <x:v>0</x:v>
      </x:c>
      <x:c r="W88" s="19" t="n">
        <x:v>0</x:v>
      </x:c>
      <x:c r="X88" t="str"/>
      <x:c r="Y88" s="23" t="str">
        <x:v>No InferenceX benchmark; future GPU scenario requires a separate GPU scaling layer.</x:v>
      </x:c>
    </x:row>
    <x:row r="89">
      <x:c r="A89" t="str">
        <x:v>DeepSeek V4 Pro</x:v>
      </x:c>
      <x:c r="B89" t="str">
        <x:v>dsv4</x:v>
      </x:c>
      <x:c r="C89" t="str">
        <x:v>R300</x:v>
      </x:c>
      <x:c r="D89" t="str">
        <x:v>future_scenario</x:v>
      </x:c>
      <x:c r="E89" t="str">
        <x:v>short</x:v>
      </x:c>
      <x:c r="F89" s="19" t="n">
        <x:v>30</x:v>
      </x:c>
      <x:c r="G89" t="str"/>
      <x:c r="H89" s="23" t="str">
        <x:v>GPU_SCALING_REQUIRED</x:v>
      </x:c>
      <x:c r="I89" s="20"/>
      <x:c r="J89" s="20"/>
      <x:c r="K89" s="20"/>
      <x:c r="L89" s="20"/>
      <x:c r="M89" s="20"/>
      <x:c r="N89" t="str"/>
      <x:c r="O89" t="str"/>
      <x:c r="P89" s="19"/>
      <x:c r="Q89" s="21" t="str"/>
      <x:c r="R89" s="22"/>
      <x:c r="S89" t="str"/>
      <x:c r="T89" t="str"/>
      <x:c r="U89" s="19" t="n">
        <x:v>0</x:v>
      </x:c>
      <x:c r="V89" s="19" t="n">
        <x:v>0</x:v>
      </x:c>
      <x:c r="W89" s="19" t="n">
        <x:v>0</x:v>
      </x:c>
      <x:c r="X89" t="str"/>
      <x:c r="Y89" s="23" t="str">
        <x:v>No InferenceX benchmark; future GPU scenario requires a separate GPU scaling layer.</x:v>
      </x:c>
    </x:row>
    <x:row r="90">
      <x:c r="A90" t="str">
        <x:v>DeepSeek V4 Pro</x:v>
      </x:c>
      <x:c r="B90" t="str">
        <x:v>dsv4</x:v>
      </x:c>
      <x:c r="C90" t="str">
        <x:v>R300</x:v>
      </x:c>
      <x:c r="D90" t="str">
        <x:v>future_scenario</x:v>
      </x:c>
      <x:c r="E90" t="str">
        <x:v>short</x:v>
      </x:c>
      <x:c r="F90" s="19" t="n">
        <x:v>50</x:v>
      </x:c>
      <x:c r="G90" t="str"/>
      <x:c r="H90" s="23" t="str">
        <x:v>GPU_SCALING_REQUIRED</x:v>
      </x:c>
      <x:c r="I90" s="20"/>
      <x:c r="J90" s="20"/>
      <x:c r="K90" s="20"/>
      <x:c r="L90" s="20"/>
      <x:c r="M90" s="20"/>
      <x:c r="N90" t="str"/>
      <x:c r="O90" t="str"/>
      <x:c r="P90" s="19"/>
      <x:c r="Q90" s="21" t="str"/>
      <x:c r="R90" s="22"/>
      <x:c r="S90" t="str"/>
      <x:c r="T90" t="str"/>
      <x:c r="U90" s="19" t="n">
        <x:v>0</x:v>
      </x:c>
      <x:c r="V90" s="19" t="n">
        <x:v>0</x:v>
      </x:c>
      <x:c r="W90" s="19" t="n">
        <x:v>0</x:v>
      </x:c>
      <x:c r="X90" t="str"/>
      <x:c r="Y90" s="23" t="str">
        <x:v>No InferenceX benchmark; future GPU scenario requires a separate GPU scaling layer.</x:v>
      </x:c>
    </x:row>
    <x:row r="91">
      <x:c r="A91" t="str">
        <x:v>DeepSeek V4 Pro</x:v>
      </x:c>
      <x:c r="B91" t="str">
        <x:v>dsv4</x:v>
      </x:c>
      <x:c r="C91" t="str">
        <x:v>R300</x:v>
      </x:c>
      <x:c r="D91" t="str">
        <x:v>future_scenario</x:v>
      </x:c>
      <x:c r="E91" t="str">
        <x:v>short</x:v>
      </x:c>
      <x:c r="F91" s="19" t="n">
        <x:v>70</x:v>
      </x:c>
      <x:c r="G91" t="str"/>
      <x:c r="H91" s="23" t="str">
        <x:v>GPU_SCALING_REQUIRED</x:v>
      </x:c>
      <x:c r="I91" s="20"/>
      <x:c r="J91" s="20"/>
      <x:c r="K91" s="20"/>
      <x:c r="L91" s="20"/>
      <x:c r="M91" s="20"/>
      <x:c r="N91" t="str"/>
      <x:c r="O91" t="str"/>
      <x:c r="P91" s="19"/>
      <x:c r="Q91" s="21" t="str"/>
      <x:c r="R91" s="22"/>
      <x:c r="S91" t="str"/>
      <x:c r="T91" t="str"/>
      <x:c r="U91" s="19" t="n">
        <x:v>0</x:v>
      </x:c>
      <x:c r="V91" s="19" t="n">
        <x:v>0</x:v>
      </x:c>
      <x:c r="W91" s="19" t="n">
        <x:v>0</x:v>
      </x:c>
      <x:c r="X91" t="str"/>
      <x:c r="Y91" s="23" t="str">
        <x:v>No InferenceX benchmark; future GPU scenario requires a separate GPU scaling layer.</x:v>
      </x:c>
    </x:row>
    <x:row r="92">
      <x:c r="A92" t="str">
        <x:v>DeepSeek V4 Pro</x:v>
      </x:c>
      <x:c r="B92" t="str">
        <x:v>dsv4</x:v>
      </x:c>
      <x:c r="C92" t="str">
        <x:v>R300</x:v>
      </x:c>
      <x:c r="D92" t="str">
        <x:v>future_scenario</x:v>
      </x:c>
      <x:c r="E92" t="str">
        <x:v>short</x:v>
      </x:c>
      <x:c r="F92" s="19" t="n">
        <x:v>100</x:v>
      </x:c>
      <x:c r="G92" t="str"/>
      <x:c r="H92" s="23" t="str">
        <x:v>GPU_SCALING_REQUIRED</x:v>
      </x:c>
      <x:c r="I92" s="20"/>
      <x:c r="J92" s="20"/>
      <x:c r="K92" s="20"/>
      <x:c r="L92" s="20"/>
      <x:c r="M92" s="20"/>
      <x:c r="N92" t="str"/>
      <x:c r="O92" t="str"/>
      <x:c r="P92" s="19"/>
      <x:c r="Q92" s="21" t="str"/>
      <x:c r="R92" s="22"/>
      <x:c r="S92" t="str"/>
      <x:c r="T92" t="str"/>
      <x:c r="U92" s="19" t="n">
        <x:v>0</x:v>
      </x:c>
      <x:c r="V92" s="19" t="n">
        <x:v>0</x:v>
      </x:c>
      <x:c r="W92" s="19" t="n">
        <x:v>0</x:v>
      </x:c>
      <x:c r="X92" t="str"/>
      <x:c r="Y92" s="23" t="str">
        <x:v>No InferenceX benchmark; future GPU scenario requires a separate GPU scaling layer.</x:v>
      </x:c>
    </x:row>
    <x:row r="93">
      <x:c r="A93" t="str">
        <x:v>DeepSeek V4 Pro</x:v>
      </x:c>
      <x:c r="B93" t="str">
        <x:v>dsv4</x:v>
      </x:c>
      <x:c r="C93" t="str">
        <x:v>R300</x:v>
      </x:c>
      <x:c r="D93" t="str">
        <x:v>future_scenario</x:v>
      </x:c>
      <x:c r="E93" t="str">
        <x:v>long</x:v>
      </x:c>
      <x:c r="F93" s="19" t="n">
        <x:v>30</x:v>
      </x:c>
      <x:c r="G93" t="str"/>
      <x:c r="H93" s="23" t="str">
        <x:v>GPU_SCALING_REQUIRED</x:v>
      </x:c>
      <x:c r="I93" s="20"/>
      <x:c r="J93" s="20"/>
      <x:c r="K93" s="20"/>
      <x:c r="L93" s="20"/>
      <x:c r="M93" s="20"/>
      <x:c r="N93" t="str"/>
      <x:c r="O93" t="str"/>
      <x:c r="P93" s="19"/>
      <x:c r="Q93" s="21" t="str"/>
      <x:c r="R93" s="22"/>
      <x:c r="S93" t="str"/>
      <x:c r="T93" t="str"/>
      <x:c r="U93" s="19" t="n">
        <x:v>0</x:v>
      </x:c>
      <x:c r="V93" s="19" t="n">
        <x:v>0</x:v>
      </x:c>
      <x:c r="W93" s="19" t="n">
        <x:v>0</x:v>
      </x:c>
      <x:c r="X93" t="str"/>
      <x:c r="Y93" s="23" t="str">
        <x:v>No InferenceX benchmark; future GPU scenario requires a separate GPU scaling layer.</x:v>
      </x:c>
    </x:row>
    <x:row r="94">
      <x:c r="A94" t="str">
        <x:v>DeepSeek V4 Pro</x:v>
      </x:c>
      <x:c r="B94" t="str">
        <x:v>dsv4</x:v>
      </x:c>
      <x:c r="C94" t="str">
        <x:v>R300</x:v>
      </x:c>
      <x:c r="D94" t="str">
        <x:v>future_scenario</x:v>
      </x:c>
      <x:c r="E94" t="str">
        <x:v>long</x:v>
      </x:c>
      <x:c r="F94" s="19" t="n">
        <x:v>50</x:v>
      </x:c>
      <x:c r="G94" t="str"/>
      <x:c r="H94" s="23" t="str">
        <x:v>GPU_SCALING_REQUIRED</x:v>
      </x:c>
      <x:c r="I94" s="20"/>
      <x:c r="J94" s="20"/>
      <x:c r="K94" s="20"/>
      <x:c r="L94" s="20"/>
      <x:c r="M94" s="20"/>
      <x:c r="N94" t="str"/>
      <x:c r="O94" t="str"/>
      <x:c r="P94" s="19"/>
      <x:c r="Q94" s="21" t="str"/>
      <x:c r="R94" s="22"/>
      <x:c r="S94" t="str"/>
      <x:c r="T94" t="str"/>
      <x:c r="U94" s="19" t="n">
        <x:v>0</x:v>
      </x:c>
      <x:c r="V94" s="19" t="n">
        <x:v>0</x:v>
      </x:c>
      <x:c r="W94" s="19" t="n">
        <x:v>0</x:v>
      </x:c>
      <x:c r="X94" t="str"/>
      <x:c r="Y94" s="23" t="str">
        <x:v>No InferenceX benchmark; future GPU scenario requires a separate GPU scaling layer.</x:v>
      </x:c>
    </x:row>
    <x:row r="95">
      <x:c r="A95" t="str">
        <x:v>DeepSeek V4 Pro</x:v>
      </x:c>
      <x:c r="B95" t="str">
        <x:v>dsv4</x:v>
      </x:c>
      <x:c r="C95" t="str">
        <x:v>R300</x:v>
      </x:c>
      <x:c r="D95" t="str">
        <x:v>future_scenario</x:v>
      </x:c>
      <x:c r="E95" t="str">
        <x:v>long</x:v>
      </x:c>
      <x:c r="F95" s="19" t="n">
        <x:v>70</x:v>
      </x:c>
      <x:c r="G95" t="str"/>
      <x:c r="H95" s="23" t="str">
        <x:v>GPU_SCALING_REQUIRED</x:v>
      </x:c>
      <x:c r="I95" s="20"/>
      <x:c r="J95" s="20"/>
      <x:c r="K95" s="20"/>
      <x:c r="L95" s="20"/>
      <x:c r="M95" s="20"/>
      <x:c r="N95" t="str"/>
      <x:c r="O95" t="str"/>
      <x:c r="P95" s="19"/>
      <x:c r="Q95" s="21" t="str"/>
      <x:c r="R95" s="22"/>
      <x:c r="S95" t="str"/>
      <x:c r="T95" t="str"/>
      <x:c r="U95" s="19" t="n">
        <x:v>0</x:v>
      </x:c>
      <x:c r="V95" s="19" t="n">
        <x:v>0</x:v>
      </x:c>
      <x:c r="W95" s="19" t="n">
        <x:v>0</x:v>
      </x:c>
      <x:c r="X95" t="str"/>
      <x:c r="Y95" s="23" t="str">
        <x:v>No InferenceX benchmark; future GPU scenario requires a separate GPU scaling layer.</x:v>
      </x:c>
    </x:row>
    <x:row r="96">
      <x:c r="A96" t="str">
        <x:v>DeepSeek V4 Pro</x:v>
      </x:c>
      <x:c r="B96" t="str">
        <x:v>dsv4</x:v>
      </x:c>
      <x:c r="C96" t="str">
        <x:v>R300</x:v>
      </x:c>
      <x:c r="D96" t="str">
        <x:v>future_scenario</x:v>
      </x:c>
      <x:c r="E96" t="str">
        <x:v>long</x:v>
      </x:c>
      <x:c r="F96" s="19" t="n">
        <x:v>100</x:v>
      </x:c>
      <x:c r="G96" t="str"/>
      <x:c r="H96" s="23" t="str">
        <x:v>GPU_SCALING_REQUIRED</x:v>
      </x:c>
      <x:c r="I96" s="20"/>
      <x:c r="J96" s="20"/>
      <x:c r="K96" s="20"/>
      <x:c r="L96" s="20"/>
      <x:c r="M96" s="20"/>
      <x:c r="N96" t="str"/>
      <x:c r="O96" t="str"/>
      <x:c r="P96" s="19"/>
      <x:c r="Q96" s="21" t="str"/>
      <x:c r="R96" s="22"/>
      <x:c r="S96" t="str"/>
      <x:c r="T96" t="str"/>
      <x:c r="U96" s="19" t="n">
        <x:v>0</x:v>
      </x:c>
      <x:c r="V96" s="19" t="n">
        <x:v>0</x:v>
      </x:c>
      <x:c r="W96" s="19" t="n">
        <x:v>0</x:v>
      </x:c>
      <x:c r="X96" t="str"/>
      <x:c r="Y96" s="23" t="str">
        <x:v>No InferenceX benchmark; future GPU scenario requires a separate GPU scaling layer.</x:v>
      </x:c>
    </x:row>
    <x:row r="97">
      <x:c r="A97" t="str">
        <x:v>DeepSeek V4 Pro</x:v>
      </x:c>
      <x:c r="B97" t="str">
        <x:v>dsv4</x:v>
      </x:c>
      <x:c r="C97" t="str">
        <x:v>R300</x:v>
      </x:c>
      <x:c r="D97" t="str">
        <x:v>future_scenario</x:v>
      </x:c>
      <x:c r="E97" t="str">
        <x:v>agentic</x:v>
      </x:c>
      <x:c r="F97" s="19" t="n">
        <x:v>30</x:v>
      </x:c>
      <x:c r="G97" t="str"/>
      <x:c r="H97" s="23" t="str">
        <x:v>GPU_SCALING_REQUIRED</x:v>
      </x:c>
      <x:c r="I97" s="20"/>
      <x:c r="J97" s="20"/>
      <x:c r="K97" s="20"/>
      <x:c r="L97" s="20"/>
      <x:c r="M97" s="20"/>
      <x:c r="N97" t="str"/>
      <x:c r="O97" t="str"/>
      <x:c r="P97" s="19"/>
      <x:c r="Q97" s="21" t="str"/>
      <x:c r="R97" s="22"/>
      <x:c r="S97" t="str"/>
      <x:c r="T97" t="str"/>
      <x:c r="U97" s="19" t="n">
        <x:v>0</x:v>
      </x:c>
      <x:c r="V97" s="19" t="n">
        <x:v>0</x:v>
      </x:c>
      <x:c r="W97" s="19" t="n">
        <x:v>0</x:v>
      </x:c>
      <x:c r="X97" t="str"/>
      <x:c r="Y97" s="23" t="str">
        <x:v>No InferenceX benchmark; future GPU scenario requires a separate GPU scaling layer.</x:v>
      </x:c>
    </x:row>
    <x:row r="98">
      <x:c r="A98" t="str">
        <x:v>DeepSeek V4 Pro</x:v>
      </x:c>
      <x:c r="B98" t="str">
        <x:v>dsv4</x:v>
      </x:c>
      <x:c r="C98" t="str">
        <x:v>R300</x:v>
      </x:c>
      <x:c r="D98" t="str">
        <x:v>future_scenario</x:v>
      </x:c>
      <x:c r="E98" t="str">
        <x:v>agentic</x:v>
      </x:c>
      <x:c r="F98" s="19" t="n">
        <x:v>50</x:v>
      </x:c>
      <x:c r="G98" t="str"/>
      <x:c r="H98" s="23" t="str">
        <x:v>GPU_SCALING_REQUIRED</x:v>
      </x:c>
      <x:c r="I98" s="20"/>
      <x:c r="J98" s="20"/>
      <x:c r="K98" s="20"/>
      <x:c r="L98" s="20"/>
      <x:c r="M98" s="20"/>
      <x:c r="N98" t="str"/>
      <x:c r="O98" t="str"/>
      <x:c r="P98" s="19"/>
      <x:c r="Q98" s="21" t="str"/>
      <x:c r="R98" s="22"/>
      <x:c r="S98" t="str"/>
      <x:c r="T98" t="str"/>
      <x:c r="U98" s="19" t="n">
        <x:v>0</x:v>
      </x:c>
      <x:c r="V98" s="19" t="n">
        <x:v>0</x:v>
      </x:c>
      <x:c r="W98" s="19" t="n">
        <x:v>0</x:v>
      </x:c>
      <x:c r="X98" t="str"/>
      <x:c r="Y98" s="23" t="str">
        <x:v>No InferenceX benchmark; future GPU scenario requires a separate GPU scaling layer.</x:v>
      </x:c>
    </x:row>
    <x:row r="99">
      <x:c r="A99" t="str">
        <x:v>DeepSeek V4 Pro</x:v>
      </x:c>
      <x:c r="B99" t="str">
        <x:v>dsv4</x:v>
      </x:c>
      <x:c r="C99" t="str">
        <x:v>R300</x:v>
      </x:c>
      <x:c r="D99" t="str">
        <x:v>future_scenario</x:v>
      </x:c>
      <x:c r="E99" t="str">
        <x:v>agentic</x:v>
      </x:c>
      <x:c r="F99" s="19" t="n">
        <x:v>70</x:v>
      </x:c>
      <x:c r="G99" t="str"/>
      <x:c r="H99" s="23" t="str">
        <x:v>GPU_SCALING_REQUIRED</x:v>
      </x:c>
      <x:c r="I99" s="20"/>
      <x:c r="J99" s="20"/>
      <x:c r="K99" s="20"/>
      <x:c r="L99" s="20"/>
      <x:c r="M99" s="20"/>
      <x:c r="N99" t="str"/>
      <x:c r="O99" t="str"/>
      <x:c r="P99" s="19"/>
      <x:c r="Q99" s="21" t="str"/>
      <x:c r="R99" s="22"/>
      <x:c r="S99" t="str"/>
      <x:c r="T99" t="str"/>
      <x:c r="U99" s="19" t="n">
        <x:v>0</x:v>
      </x:c>
      <x:c r="V99" s="19" t="n">
        <x:v>0</x:v>
      </x:c>
      <x:c r="W99" s="19" t="n">
        <x:v>0</x:v>
      </x:c>
      <x:c r="X99" t="str"/>
      <x:c r="Y99" s="23" t="str">
        <x:v>No InferenceX benchmark; future GPU scenario requires a separate GPU scaling layer.</x:v>
      </x:c>
    </x:row>
    <x:row r="100">
      <x:c r="A100" t="str">
        <x:v>DeepSeek V4 Pro</x:v>
      </x:c>
      <x:c r="B100" t="str">
        <x:v>dsv4</x:v>
      </x:c>
      <x:c r="C100" t="str">
        <x:v>R300</x:v>
      </x:c>
      <x:c r="D100" t="str">
        <x:v>future_scenario</x:v>
      </x:c>
      <x:c r="E100" t="str">
        <x:v>agentic</x:v>
      </x:c>
      <x:c r="F100" s="19" t="n">
        <x:v>100</x:v>
      </x:c>
      <x:c r="G100" t="str"/>
      <x:c r="H100" s="23" t="str">
        <x:v>GPU_SCALING_REQUIRED</x:v>
      </x:c>
      <x:c r="I100" s="20"/>
      <x:c r="J100" s="20"/>
      <x:c r="K100" s="20"/>
      <x:c r="L100" s="20"/>
      <x:c r="M100" s="20"/>
      <x:c r="N100" t="str"/>
      <x:c r="O100" t="str"/>
      <x:c r="P100" s="19"/>
      <x:c r="Q100" s="21" t="str"/>
      <x:c r="R100" s="22"/>
      <x:c r="S100" t="str"/>
      <x:c r="T100" t="str"/>
      <x:c r="U100" s="19" t="n">
        <x:v>0</x:v>
      </x:c>
      <x:c r="V100" s="19" t="n">
        <x:v>0</x:v>
      </x:c>
      <x:c r="W100" s="19" t="n">
        <x:v>0</x:v>
      </x:c>
      <x:c r="X100" t="str"/>
      <x:c r="Y100" s="23" t="str">
        <x:v>No InferenceX benchmark; future GPU scenario requires a separate GPU scaling layer.</x:v>
      </x:c>
    </x:row>
    <x:row r="101">
      <x:c r="A101" t="str">
        <x:v>DeepSeek V4 Pro</x:v>
      </x:c>
      <x:c r="B101" t="str">
        <x:v>dsv4</x:v>
      </x:c>
      <x:c r="C101" t="str">
        <x:v>VR300</x:v>
      </x:c>
      <x:c r="D101" t="str">
        <x:v>future_scenario</x:v>
      </x:c>
      <x:c r="E101" t="str">
        <x:v>short</x:v>
      </x:c>
      <x:c r="F101" s="19" t="n">
        <x:v>30</x:v>
      </x:c>
      <x:c r="G101" t="str"/>
      <x:c r="H101" s="23" t="str">
        <x:v>GPU_SCALING_REQUIRED</x:v>
      </x:c>
      <x:c r="I101" s="20"/>
      <x:c r="J101" s="20"/>
      <x:c r="K101" s="20"/>
      <x:c r="L101" s="20"/>
      <x:c r="M101" s="20"/>
      <x:c r="N101" t="str"/>
      <x:c r="O101" t="str"/>
      <x:c r="P101" s="19"/>
      <x:c r="Q101" s="21" t="str"/>
      <x:c r="R101" s="22"/>
      <x:c r="S101" t="str"/>
      <x:c r="T101" t="str"/>
      <x:c r="U101" s="19" t="n">
        <x:v>0</x:v>
      </x:c>
      <x:c r="V101" s="19" t="n">
        <x:v>0</x:v>
      </x:c>
      <x:c r="W101" s="19" t="n">
        <x:v>0</x:v>
      </x:c>
      <x:c r="X101" t="str"/>
      <x:c r="Y101" s="23" t="str">
        <x:v>No InferenceX benchmark; future GPU scenario requires a separate GPU scaling layer.</x:v>
      </x:c>
    </x:row>
    <x:row r="102">
      <x:c r="A102" t="str">
        <x:v>DeepSeek V4 Pro</x:v>
      </x:c>
      <x:c r="B102" t="str">
        <x:v>dsv4</x:v>
      </x:c>
      <x:c r="C102" t="str">
        <x:v>VR300</x:v>
      </x:c>
      <x:c r="D102" t="str">
        <x:v>future_scenario</x:v>
      </x:c>
      <x:c r="E102" t="str">
        <x:v>short</x:v>
      </x:c>
      <x:c r="F102" s="19" t="n">
        <x:v>50</x:v>
      </x:c>
      <x:c r="G102" t="str"/>
      <x:c r="H102" s="23" t="str">
        <x:v>GPU_SCALING_REQUIRED</x:v>
      </x:c>
      <x:c r="I102" s="20"/>
      <x:c r="J102" s="20"/>
      <x:c r="K102" s="20"/>
      <x:c r="L102" s="20"/>
      <x:c r="M102" s="20"/>
      <x:c r="N102" t="str"/>
      <x:c r="O102" t="str"/>
      <x:c r="P102" s="19"/>
      <x:c r="Q102" s="21" t="str"/>
      <x:c r="R102" s="22"/>
      <x:c r="S102" t="str"/>
      <x:c r="T102" t="str"/>
      <x:c r="U102" s="19" t="n">
        <x:v>0</x:v>
      </x:c>
      <x:c r="V102" s="19" t="n">
        <x:v>0</x:v>
      </x:c>
      <x:c r="W102" s="19" t="n">
        <x:v>0</x:v>
      </x:c>
      <x:c r="X102" t="str"/>
      <x:c r="Y102" s="23" t="str">
        <x:v>No InferenceX benchmark; future GPU scenario requires a separate GPU scaling layer.</x:v>
      </x:c>
    </x:row>
    <x:row r="103">
      <x:c r="A103" t="str">
        <x:v>DeepSeek V4 Pro</x:v>
      </x:c>
      <x:c r="B103" t="str">
        <x:v>dsv4</x:v>
      </x:c>
      <x:c r="C103" t="str">
        <x:v>VR300</x:v>
      </x:c>
      <x:c r="D103" t="str">
        <x:v>future_scenario</x:v>
      </x:c>
      <x:c r="E103" t="str">
        <x:v>short</x:v>
      </x:c>
      <x:c r="F103" s="19" t="n">
        <x:v>70</x:v>
      </x:c>
      <x:c r="G103" t="str"/>
      <x:c r="H103" s="23" t="str">
        <x:v>GPU_SCALING_REQUIRED</x:v>
      </x:c>
      <x:c r="I103" s="20"/>
      <x:c r="J103" s="20"/>
      <x:c r="K103" s="20"/>
      <x:c r="L103" s="20"/>
      <x:c r="M103" s="20"/>
      <x:c r="N103" t="str"/>
      <x:c r="O103" t="str"/>
      <x:c r="P103" s="19"/>
      <x:c r="Q103" s="21" t="str"/>
      <x:c r="R103" s="22"/>
      <x:c r="S103" t="str"/>
      <x:c r="T103" t="str"/>
      <x:c r="U103" s="19" t="n">
        <x:v>0</x:v>
      </x:c>
      <x:c r="V103" s="19" t="n">
        <x:v>0</x:v>
      </x:c>
      <x:c r="W103" s="19" t="n">
        <x:v>0</x:v>
      </x:c>
      <x:c r="X103" t="str"/>
      <x:c r="Y103" s="23" t="str">
        <x:v>No InferenceX benchmark; future GPU scenario requires a separate GPU scaling layer.</x:v>
      </x:c>
    </x:row>
    <x:row r="104">
      <x:c r="A104" t="str">
        <x:v>DeepSeek V4 Pro</x:v>
      </x:c>
      <x:c r="B104" t="str">
        <x:v>dsv4</x:v>
      </x:c>
      <x:c r="C104" t="str">
        <x:v>VR300</x:v>
      </x:c>
      <x:c r="D104" t="str">
        <x:v>future_scenario</x:v>
      </x:c>
      <x:c r="E104" t="str">
        <x:v>short</x:v>
      </x:c>
      <x:c r="F104" s="19" t="n">
        <x:v>100</x:v>
      </x:c>
      <x:c r="G104" t="str"/>
      <x:c r="H104" s="23" t="str">
        <x:v>GPU_SCALING_REQUIRED</x:v>
      </x:c>
      <x:c r="I104" s="20"/>
      <x:c r="J104" s="20"/>
      <x:c r="K104" s="20"/>
      <x:c r="L104" s="20"/>
      <x:c r="M104" s="20"/>
      <x:c r="N104" t="str"/>
      <x:c r="O104" t="str"/>
      <x:c r="P104" s="19"/>
      <x:c r="Q104" s="21" t="str"/>
      <x:c r="R104" s="22"/>
      <x:c r="S104" t="str"/>
      <x:c r="T104" t="str"/>
      <x:c r="U104" s="19" t="n">
        <x:v>0</x:v>
      </x:c>
      <x:c r="V104" s="19" t="n">
        <x:v>0</x:v>
      </x:c>
      <x:c r="W104" s="19" t="n">
        <x:v>0</x:v>
      </x:c>
      <x:c r="X104" t="str"/>
      <x:c r="Y104" s="23" t="str">
        <x:v>No InferenceX benchmark; future GPU scenario requires a separate GPU scaling layer.</x:v>
      </x:c>
    </x:row>
    <x:row r="105">
      <x:c r="A105" t="str">
        <x:v>DeepSeek V4 Pro</x:v>
      </x:c>
      <x:c r="B105" t="str">
        <x:v>dsv4</x:v>
      </x:c>
      <x:c r="C105" t="str">
        <x:v>VR300</x:v>
      </x:c>
      <x:c r="D105" t="str">
        <x:v>future_scenario</x:v>
      </x:c>
      <x:c r="E105" t="str">
        <x:v>long</x:v>
      </x:c>
      <x:c r="F105" s="19" t="n">
        <x:v>30</x:v>
      </x:c>
      <x:c r="G105" t="str"/>
      <x:c r="H105" s="23" t="str">
        <x:v>GPU_SCALING_REQUIRED</x:v>
      </x:c>
      <x:c r="I105" s="20"/>
      <x:c r="J105" s="20"/>
      <x:c r="K105" s="20"/>
      <x:c r="L105" s="20"/>
      <x:c r="M105" s="20"/>
      <x:c r="N105" t="str"/>
      <x:c r="O105" t="str"/>
      <x:c r="P105" s="19"/>
      <x:c r="Q105" s="21" t="str"/>
      <x:c r="R105" s="22"/>
      <x:c r="S105" t="str"/>
      <x:c r="T105" t="str"/>
      <x:c r="U105" s="19" t="n">
        <x:v>0</x:v>
      </x:c>
      <x:c r="V105" s="19" t="n">
        <x:v>0</x:v>
      </x:c>
      <x:c r="W105" s="19" t="n">
        <x:v>0</x:v>
      </x:c>
      <x:c r="X105" t="str"/>
      <x:c r="Y105" s="23" t="str">
        <x:v>No InferenceX benchmark; future GPU scenario requires a separate GPU scaling layer.</x:v>
      </x:c>
    </x:row>
    <x:row r="106">
      <x:c r="A106" t="str">
        <x:v>DeepSeek V4 Pro</x:v>
      </x:c>
      <x:c r="B106" t="str">
        <x:v>dsv4</x:v>
      </x:c>
      <x:c r="C106" t="str">
        <x:v>VR300</x:v>
      </x:c>
      <x:c r="D106" t="str">
        <x:v>future_scenario</x:v>
      </x:c>
      <x:c r="E106" t="str">
        <x:v>long</x:v>
      </x:c>
      <x:c r="F106" s="19" t="n">
        <x:v>50</x:v>
      </x:c>
      <x:c r="G106" t="str"/>
      <x:c r="H106" s="23" t="str">
        <x:v>GPU_SCALING_REQUIRED</x:v>
      </x:c>
      <x:c r="I106" s="20"/>
      <x:c r="J106" s="20"/>
      <x:c r="K106" s="20"/>
      <x:c r="L106" s="20"/>
      <x:c r="M106" s="20"/>
      <x:c r="N106" t="str"/>
      <x:c r="O106" t="str"/>
      <x:c r="P106" s="19"/>
      <x:c r="Q106" s="21" t="str"/>
      <x:c r="R106" s="22"/>
      <x:c r="S106" t="str"/>
      <x:c r="T106" t="str"/>
      <x:c r="U106" s="19" t="n">
        <x:v>0</x:v>
      </x:c>
      <x:c r="V106" s="19" t="n">
        <x:v>0</x:v>
      </x:c>
      <x:c r="W106" s="19" t="n">
        <x:v>0</x:v>
      </x:c>
      <x:c r="X106" t="str"/>
      <x:c r="Y106" s="23" t="str">
        <x:v>No InferenceX benchmark; future GPU scenario requires a separate GPU scaling layer.</x:v>
      </x:c>
    </x:row>
    <x:row r="107">
      <x:c r="A107" t="str">
        <x:v>DeepSeek V4 Pro</x:v>
      </x:c>
      <x:c r="B107" t="str">
        <x:v>dsv4</x:v>
      </x:c>
      <x:c r="C107" t="str">
        <x:v>VR300</x:v>
      </x:c>
      <x:c r="D107" t="str">
        <x:v>future_scenario</x:v>
      </x:c>
      <x:c r="E107" t="str">
        <x:v>long</x:v>
      </x:c>
      <x:c r="F107" s="19" t="n">
        <x:v>70</x:v>
      </x:c>
      <x:c r="G107" t="str"/>
      <x:c r="H107" s="23" t="str">
        <x:v>GPU_SCALING_REQUIRED</x:v>
      </x:c>
      <x:c r="I107" s="20"/>
      <x:c r="J107" s="20"/>
      <x:c r="K107" s="20"/>
      <x:c r="L107" s="20"/>
      <x:c r="M107" s="20"/>
      <x:c r="N107" t="str"/>
      <x:c r="O107" t="str"/>
      <x:c r="P107" s="19"/>
      <x:c r="Q107" s="21" t="str"/>
      <x:c r="R107" s="22"/>
      <x:c r="S107" t="str"/>
      <x:c r="T107" t="str"/>
      <x:c r="U107" s="19" t="n">
        <x:v>0</x:v>
      </x:c>
      <x:c r="V107" s="19" t="n">
        <x:v>0</x:v>
      </x:c>
      <x:c r="W107" s="19" t="n">
        <x:v>0</x:v>
      </x:c>
      <x:c r="X107" t="str"/>
      <x:c r="Y107" s="23" t="str">
        <x:v>No InferenceX benchmark; future GPU scenario requires a separate GPU scaling layer.</x:v>
      </x:c>
    </x:row>
    <x:row r="108">
      <x:c r="A108" t="str">
        <x:v>DeepSeek V4 Pro</x:v>
      </x:c>
      <x:c r="B108" t="str">
        <x:v>dsv4</x:v>
      </x:c>
      <x:c r="C108" t="str">
        <x:v>VR300</x:v>
      </x:c>
      <x:c r="D108" t="str">
        <x:v>future_scenario</x:v>
      </x:c>
      <x:c r="E108" t="str">
        <x:v>long</x:v>
      </x:c>
      <x:c r="F108" s="19" t="n">
        <x:v>100</x:v>
      </x:c>
      <x:c r="G108" t="str"/>
      <x:c r="H108" s="23" t="str">
        <x:v>GPU_SCALING_REQUIRED</x:v>
      </x:c>
      <x:c r="I108" s="20"/>
      <x:c r="J108" s="20"/>
      <x:c r="K108" s="20"/>
      <x:c r="L108" s="20"/>
      <x:c r="M108" s="20"/>
      <x:c r="N108" t="str"/>
      <x:c r="O108" t="str"/>
      <x:c r="P108" s="19"/>
      <x:c r="Q108" s="21" t="str"/>
      <x:c r="R108" s="22"/>
      <x:c r="S108" t="str"/>
      <x:c r="T108" t="str"/>
      <x:c r="U108" s="19" t="n">
        <x:v>0</x:v>
      </x:c>
      <x:c r="V108" s="19" t="n">
        <x:v>0</x:v>
      </x:c>
      <x:c r="W108" s="19" t="n">
        <x:v>0</x:v>
      </x:c>
      <x:c r="X108" t="str"/>
      <x:c r="Y108" s="23" t="str">
        <x:v>No InferenceX benchmark; future GPU scenario requires a separate GPU scaling layer.</x:v>
      </x:c>
    </x:row>
    <x:row r="109">
      <x:c r="A109" t="str">
        <x:v>DeepSeek V4 Pro</x:v>
      </x:c>
      <x:c r="B109" t="str">
        <x:v>dsv4</x:v>
      </x:c>
      <x:c r="C109" t="str">
        <x:v>VR300</x:v>
      </x:c>
      <x:c r="D109" t="str">
        <x:v>future_scenario</x:v>
      </x:c>
      <x:c r="E109" t="str">
        <x:v>agentic</x:v>
      </x:c>
      <x:c r="F109" s="19" t="n">
        <x:v>30</x:v>
      </x:c>
      <x:c r="G109" t="str"/>
      <x:c r="H109" s="23" t="str">
        <x:v>GPU_SCALING_REQUIRED</x:v>
      </x:c>
      <x:c r="I109" s="20"/>
      <x:c r="J109" s="20"/>
      <x:c r="K109" s="20"/>
      <x:c r="L109" s="20"/>
      <x:c r="M109" s="20"/>
      <x:c r="N109" t="str"/>
      <x:c r="O109" t="str"/>
      <x:c r="P109" s="19"/>
      <x:c r="Q109" s="21" t="str"/>
      <x:c r="R109" s="22"/>
      <x:c r="S109" t="str"/>
      <x:c r="T109" t="str"/>
      <x:c r="U109" s="19" t="n">
        <x:v>0</x:v>
      </x:c>
      <x:c r="V109" s="19" t="n">
        <x:v>0</x:v>
      </x:c>
      <x:c r="W109" s="19" t="n">
        <x:v>0</x:v>
      </x:c>
      <x:c r="X109" t="str"/>
      <x:c r="Y109" s="23" t="str">
        <x:v>No InferenceX benchmark; future GPU scenario requires a separate GPU scaling layer.</x:v>
      </x:c>
    </x:row>
    <x:row r="110">
      <x:c r="A110" t="str">
        <x:v>DeepSeek V4 Pro</x:v>
      </x:c>
      <x:c r="B110" t="str">
        <x:v>dsv4</x:v>
      </x:c>
      <x:c r="C110" t="str">
        <x:v>VR300</x:v>
      </x:c>
      <x:c r="D110" t="str">
        <x:v>future_scenario</x:v>
      </x:c>
      <x:c r="E110" t="str">
        <x:v>agentic</x:v>
      </x:c>
      <x:c r="F110" s="19" t="n">
        <x:v>50</x:v>
      </x:c>
      <x:c r="G110" t="str"/>
      <x:c r="H110" s="23" t="str">
        <x:v>GPU_SCALING_REQUIRED</x:v>
      </x:c>
      <x:c r="I110" s="20"/>
      <x:c r="J110" s="20"/>
      <x:c r="K110" s="20"/>
      <x:c r="L110" s="20"/>
      <x:c r="M110" s="20"/>
      <x:c r="N110" t="str"/>
      <x:c r="O110" t="str"/>
      <x:c r="P110" s="19"/>
      <x:c r="Q110" s="21" t="str"/>
      <x:c r="R110" s="22"/>
      <x:c r="S110" t="str"/>
      <x:c r="T110" t="str"/>
      <x:c r="U110" s="19" t="n">
        <x:v>0</x:v>
      </x:c>
      <x:c r="V110" s="19" t="n">
        <x:v>0</x:v>
      </x:c>
      <x:c r="W110" s="19" t="n">
        <x:v>0</x:v>
      </x:c>
      <x:c r="X110" t="str"/>
      <x:c r="Y110" s="23" t="str">
        <x:v>No InferenceX benchmark; future GPU scenario requires a separate GPU scaling layer.</x:v>
      </x:c>
    </x:row>
    <x:row r="111">
      <x:c r="A111" t="str">
        <x:v>DeepSeek V4 Pro</x:v>
      </x:c>
      <x:c r="B111" t="str">
        <x:v>dsv4</x:v>
      </x:c>
      <x:c r="C111" t="str">
        <x:v>VR300</x:v>
      </x:c>
      <x:c r="D111" t="str">
        <x:v>future_scenario</x:v>
      </x:c>
      <x:c r="E111" t="str">
        <x:v>agentic</x:v>
      </x:c>
      <x:c r="F111" s="19" t="n">
        <x:v>70</x:v>
      </x:c>
      <x:c r="G111" t="str"/>
      <x:c r="H111" s="23" t="str">
        <x:v>GPU_SCALING_REQUIRED</x:v>
      </x:c>
      <x:c r="I111" s="20"/>
      <x:c r="J111" s="20"/>
      <x:c r="K111" s="20"/>
      <x:c r="L111" s="20"/>
      <x:c r="M111" s="20"/>
      <x:c r="N111" t="str"/>
      <x:c r="O111" t="str"/>
      <x:c r="P111" s="19"/>
      <x:c r="Q111" s="21" t="str"/>
      <x:c r="R111" s="22"/>
      <x:c r="S111" t="str"/>
      <x:c r="T111" t="str"/>
      <x:c r="U111" s="19" t="n">
        <x:v>0</x:v>
      </x:c>
      <x:c r="V111" s="19" t="n">
        <x:v>0</x:v>
      </x:c>
      <x:c r="W111" s="19" t="n">
        <x:v>0</x:v>
      </x:c>
      <x:c r="X111" t="str"/>
      <x:c r="Y111" s="23" t="str">
        <x:v>No InferenceX benchmark; future GPU scenario requires a separate GPU scaling layer.</x:v>
      </x:c>
    </x:row>
    <x:row r="112">
      <x:c r="A112" t="str">
        <x:v>DeepSeek V4 Pro</x:v>
      </x:c>
      <x:c r="B112" t="str">
        <x:v>dsv4</x:v>
      </x:c>
      <x:c r="C112" t="str">
        <x:v>VR300</x:v>
      </x:c>
      <x:c r="D112" t="str">
        <x:v>future_scenario</x:v>
      </x:c>
      <x:c r="E112" t="str">
        <x:v>agentic</x:v>
      </x:c>
      <x:c r="F112" s="19" t="n">
        <x:v>100</x:v>
      </x:c>
      <x:c r="G112" t="str"/>
      <x:c r="H112" s="23" t="str">
        <x:v>GPU_SCALING_REQUIRED</x:v>
      </x:c>
      <x:c r="I112" s="20"/>
      <x:c r="J112" s="20"/>
      <x:c r="K112" s="20"/>
      <x:c r="L112" s="20"/>
      <x:c r="M112" s="20"/>
      <x:c r="N112" t="str"/>
      <x:c r="O112" t="str"/>
      <x:c r="P112" s="19"/>
      <x:c r="Q112" s="21" t="str"/>
      <x:c r="R112" s="22"/>
      <x:c r="S112" t="str"/>
      <x:c r="T112" t="str"/>
      <x:c r="U112" s="19" t="n">
        <x:v>0</x:v>
      </x:c>
      <x:c r="V112" s="19" t="n">
        <x:v>0</x:v>
      </x:c>
      <x:c r="W112" s="19" t="n">
        <x:v>0</x:v>
      </x:c>
      <x:c r="X112" t="str"/>
      <x:c r="Y112" s="23" t="str">
        <x:v>No InferenceX benchmark; future GPU scenario requires a separate GPU scaling layer.</x:v>
      </x:c>
    </x:row>
    <x:row r="113">
      <x:c r="A113" t="str">
        <x:v>DeepSeek V4 Pro</x:v>
      </x:c>
      <x:c r="B113" t="str">
        <x:v>dsv4</x:v>
      </x:c>
      <x:c r="C113" t="str">
        <x:v>Post Rubin</x:v>
      </x:c>
      <x:c r="D113" t="str">
        <x:v>future_scenario</x:v>
      </x:c>
      <x:c r="E113" t="str">
        <x:v>short</x:v>
      </x:c>
      <x:c r="F113" s="19" t="n">
        <x:v>30</x:v>
      </x:c>
      <x:c r="G113" t="str"/>
      <x:c r="H113" s="23" t="str">
        <x:v>GPU_SCALING_REQUIRED</x:v>
      </x:c>
      <x:c r="I113" s="20"/>
      <x:c r="J113" s="20"/>
      <x:c r="K113" s="20"/>
      <x:c r="L113" s="20"/>
      <x:c r="M113" s="20"/>
      <x:c r="N113" t="str"/>
      <x:c r="O113" t="str"/>
      <x:c r="P113" s="19"/>
      <x:c r="Q113" s="21" t="str"/>
      <x:c r="R113" s="22"/>
      <x:c r="S113" t="str"/>
      <x:c r="T113" t="str"/>
      <x:c r="U113" s="19" t="n">
        <x:v>0</x:v>
      </x:c>
      <x:c r="V113" s="19" t="n">
        <x:v>0</x:v>
      </x:c>
      <x:c r="W113" s="19" t="n">
        <x:v>0</x:v>
      </x:c>
      <x:c r="X113" t="str"/>
      <x:c r="Y113" s="23" t="str">
        <x:v>No InferenceX benchmark; future GPU scenario requires a separate GPU scaling layer.</x:v>
      </x:c>
    </x:row>
    <x:row r="114">
      <x:c r="A114" t="str">
        <x:v>DeepSeek V4 Pro</x:v>
      </x:c>
      <x:c r="B114" t="str">
        <x:v>dsv4</x:v>
      </x:c>
      <x:c r="C114" t="str">
        <x:v>Post Rubin</x:v>
      </x:c>
      <x:c r="D114" t="str">
        <x:v>future_scenario</x:v>
      </x:c>
      <x:c r="E114" t="str">
        <x:v>short</x:v>
      </x:c>
      <x:c r="F114" s="19" t="n">
        <x:v>50</x:v>
      </x:c>
      <x:c r="G114" t="str"/>
      <x:c r="H114" s="23" t="str">
        <x:v>GPU_SCALING_REQUIRED</x:v>
      </x:c>
      <x:c r="I114" s="20"/>
      <x:c r="J114" s="20"/>
      <x:c r="K114" s="20"/>
      <x:c r="L114" s="20"/>
      <x:c r="M114" s="20"/>
      <x:c r="N114" t="str"/>
      <x:c r="O114" t="str"/>
      <x:c r="P114" s="19"/>
      <x:c r="Q114" s="21" t="str"/>
      <x:c r="R114" s="22"/>
      <x:c r="S114" t="str"/>
      <x:c r="T114" t="str"/>
      <x:c r="U114" s="19" t="n">
        <x:v>0</x:v>
      </x:c>
      <x:c r="V114" s="19" t="n">
        <x:v>0</x:v>
      </x:c>
      <x:c r="W114" s="19" t="n">
        <x:v>0</x:v>
      </x:c>
      <x:c r="X114" t="str"/>
      <x:c r="Y114" s="23" t="str">
        <x:v>No InferenceX benchmark; future GPU scenario requires a separate GPU scaling layer.</x:v>
      </x:c>
    </x:row>
    <x:row r="115">
      <x:c r="A115" t="str">
        <x:v>DeepSeek V4 Pro</x:v>
      </x:c>
      <x:c r="B115" t="str">
        <x:v>dsv4</x:v>
      </x:c>
      <x:c r="C115" t="str">
        <x:v>Post Rubin</x:v>
      </x:c>
      <x:c r="D115" t="str">
        <x:v>future_scenario</x:v>
      </x:c>
      <x:c r="E115" t="str">
        <x:v>short</x:v>
      </x:c>
      <x:c r="F115" s="19" t="n">
        <x:v>70</x:v>
      </x:c>
      <x:c r="G115" t="str"/>
      <x:c r="H115" s="23" t="str">
        <x:v>GPU_SCALING_REQUIRED</x:v>
      </x:c>
      <x:c r="I115" s="20"/>
      <x:c r="J115" s="20"/>
      <x:c r="K115" s="20"/>
      <x:c r="L115" s="20"/>
      <x:c r="M115" s="20"/>
      <x:c r="N115" t="str"/>
      <x:c r="O115" t="str"/>
      <x:c r="P115" s="19"/>
      <x:c r="Q115" s="21" t="str"/>
      <x:c r="R115" s="22"/>
      <x:c r="S115" t="str"/>
      <x:c r="T115" t="str"/>
      <x:c r="U115" s="19" t="n">
        <x:v>0</x:v>
      </x:c>
      <x:c r="V115" s="19" t="n">
        <x:v>0</x:v>
      </x:c>
      <x:c r="W115" s="19" t="n">
        <x:v>0</x:v>
      </x:c>
      <x:c r="X115" t="str"/>
      <x:c r="Y115" s="23" t="str">
        <x:v>No InferenceX benchmark; future GPU scenario requires a separate GPU scaling layer.</x:v>
      </x:c>
    </x:row>
    <x:row r="116">
      <x:c r="A116" t="str">
        <x:v>DeepSeek V4 Pro</x:v>
      </x:c>
      <x:c r="B116" t="str">
        <x:v>dsv4</x:v>
      </x:c>
      <x:c r="C116" t="str">
        <x:v>Post Rubin</x:v>
      </x:c>
      <x:c r="D116" t="str">
        <x:v>future_scenario</x:v>
      </x:c>
      <x:c r="E116" t="str">
        <x:v>short</x:v>
      </x:c>
      <x:c r="F116" s="19" t="n">
        <x:v>100</x:v>
      </x:c>
      <x:c r="G116" t="str"/>
      <x:c r="H116" s="23" t="str">
        <x:v>GPU_SCALING_REQUIRED</x:v>
      </x:c>
      <x:c r="I116" s="20"/>
      <x:c r="J116" s="20"/>
      <x:c r="K116" s="20"/>
      <x:c r="L116" s="20"/>
      <x:c r="M116" s="20"/>
      <x:c r="N116" t="str"/>
      <x:c r="O116" t="str"/>
      <x:c r="P116" s="19"/>
      <x:c r="Q116" s="21" t="str"/>
      <x:c r="R116" s="22"/>
      <x:c r="S116" t="str"/>
      <x:c r="T116" t="str"/>
      <x:c r="U116" s="19" t="n">
        <x:v>0</x:v>
      </x:c>
      <x:c r="V116" s="19" t="n">
        <x:v>0</x:v>
      </x:c>
      <x:c r="W116" s="19" t="n">
        <x:v>0</x:v>
      </x:c>
      <x:c r="X116" t="str"/>
      <x:c r="Y116" s="23" t="str">
        <x:v>No InferenceX benchmark; future GPU scenario requires a separate GPU scaling layer.</x:v>
      </x:c>
    </x:row>
    <x:row r="117">
      <x:c r="A117" t="str">
        <x:v>DeepSeek V4 Pro</x:v>
      </x:c>
      <x:c r="B117" t="str">
        <x:v>dsv4</x:v>
      </x:c>
      <x:c r="C117" t="str">
        <x:v>Post Rubin</x:v>
      </x:c>
      <x:c r="D117" t="str">
        <x:v>future_scenario</x:v>
      </x:c>
      <x:c r="E117" t="str">
        <x:v>long</x:v>
      </x:c>
      <x:c r="F117" s="19" t="n">
        <x:v>30</x:v>
      </x:c>
      <x:c r="G117" t="str"/>
      <x:c r="H117" s="23" t="str">
        <x:v>GPU_SCALING_REQUIRED</x:v>
      </x:c>
      <x:c r="I117" s="20"/>
      <x:c r="J117" s="20"/>
      <x:c r="K117" s="20"/>
      <x:c r="L117" s="20"/>
      <x:c r="M117" s="20"/>
      <x:c r="N117" t="str"/>
      <x:c r="O117" t="str"/>
      <x:c r="P117" s="19"/>
      <x:c r="Q117" s="21" t="str"/>
      <x:c r="R117" s="22"/>
      <x:c r="S117" t="str"/>
      <x:c r="T117" t="str"/>
      <x:c r="U117" s="19" t="n">
        <x:v>0</x:v>
      </x:c>
      <x:c r="V117" s="19" t="n">
        <x:v>0</x:v>
      </x:c>
      <x:c r="W117" s="19" t="n">
        <x:v>0</x:v>
      </x:c>
      <x:c r="X117" t="str"/>
      <x:c r="Y117" s="23" t="str">
        <x:v>No InferenceX benchmark; future GPU scenario requires a separate GPU scaling layer.</x:v>
      </x:c>
    </x:row>
    <x:row r="118">
      <x:c r="A118" t="str">
        <x:v>DeepSeek V4 Pro</x:v>
      </x:c>
      <x:c r="B118" t="str">
        <x:v>dsv4</x:v>
      </x:c>
      <x:c r="C118" t="str">
        <x:v>Post Rubin</x:v>
      </x:c>
      <x:c r="D118" t="str">
        <x:v>future_scenario</x:v>
      </x:c>
      <x:c r="E118" t="str">
        <x:v>long</x:v>
      </x:c>
      <x:c r="F118" s="19" t="n">
        <x:v>50</x:v>
      </x:c>
      <x:c r="G118" t="str"/>
      <x:c r="H118" s="23" t="str">
        <x:v>GPU_SCALING_REQUIRED</x:v>
      </x:c>
      <x:c r="I118" s="20"/>
      <x:c r="J118" s="20"/>
      <x:c r="K118" s="20"/>
      <x:c r="L118" s="20"/>
      <x:c r="M118" s="20"/>
      <x:c r="N118" t="str"/>
      <x:c r="O118" t="str"/>
      <x:c r="P118" s="19"/>
      <x:c r="Q118" s="21" t="str"/>
      <x:c r="R118" s="22"/>
      <x:c r="S118" t="str"/>
      <x:c r="T118" t="str"/>
      <x:c r="U118" s="19" t="n">
        <x:v>0</x:v>
      </x:c>
      <x:c r="V118" s="19" t="n">
        <x:v>0</x:v>
      </x:c>
      <x:c r="W118" s="19" t="n">
        <x:v>0</x:v>
      </x:c>
      <x:c r="X118" t="str"/>
      <x:c r="Y118" s="23" t="str">
        <x:v>No InferenceX benchmark; future GPU scenario requires a separate GPU scaling layer.</x:v>
      </x:c>
    </x:row>
    <x:row r="119">
      <x:c r="A119" t="str">
        <x:v>DeepSeek V4 Pro</x:v>
      </x:c>
      <x:c r="B119" t="str">
        <x:v>dsv4</x:v>
      </x:c>
      <x:c r="C119" t="str">
        <x:v>Post Rubin</x:v>
      </x:c>
      <x:c r="D119" t="str">
        <x:v>future_scenario</x:v>
      </x:c>
      <x:c r="E119" t="str">
        <x:v>long</x:v>
      </x:c>
      <x:c r="F119" s="19" t="n">
        <x:v>70</x:v>
      </x:c>
      <x:c r="G119" t="str"/>
      <x:c r="H119" s="23" t="str">
        <x:v>GPU_SCALING_REQUIRED</x:v>
      </x:c>
      <x:c r="I119" s="20"/>
      <x:c r="J119" s="20"/>
      <x:c r="K119" s="20"/>
      <x:c r="L119" s="20"/>
      <x:c r="M119" s="20"/>
      <x:c r="N119" t="str"/>
      <x:c r="O119" t="str"/>
      <x:c r="P119" s="19"/>
      <x:c r="Q119" s="21" t="str"/>
      <x:c r="R119" s="22"/>
      <x:c r="S119" t="str"/>
      <x:c r="T119" t="str"/>
      <x:c r="U119" s="19" t="n">
        <x:v>0</x:v>
      </x:c>
      <x:c r="V119" s="19" t="n">
        <x:v>0</x:v>
      </x:c>
      <x:c r="W119" s="19" t="n">
        <x:v>0</x:v>
      </x:c>
      <x:c r="X119" t="str"/>
      <x:c r="Y119" s="23" t="str">
        <x:v>No InferenceX benchmark; future GPU scenario requires a separate GPU scaling layer.</x:v>
      </x:c>
    </x:row>
    <x:row r="120">
      <x:c r="A120" t="str">
        <x:v>DeepSeek V4 Pro</x:v>
      </x:c>
      <x:c r="B120" t="str">
        <x:v>dsv4</x:v>
      </x:c>
      <x:c r="C120" t="str">
        <x:v>Post Rubin</x:v>
      </x:c>
      <x:c r="D120" t="str">
        <x:v>future_scenario</x:v>
      </x:c>
      <x:c r="E120" t="str">
        <x:v>long</x:v>
      </x:c>
      <x:c r="F120" s="19" t="n">
        <x:v>100</x:v>
      </x:c>
      <x:c r="G120" t="str"/>
      <x:c r="H120" s="23" t="str">
        <x:v>GPU_SCALING_REQUIRED</x:v>
      </x:c>
      <x:c r="I120" s="20"/>
      <x:c r="J120" s="20"/>
      <x:c r="K120" s="20"/>
      <x:c r="L120" s="20"/>
      <x:c r="M120" s="20"/>
      <x:c r="N120" t="str"/>
      <x:c r="O120" t="str"/>
      <x:c r="P120" s="19"/>
      <x:c r="Q120" s="21" t="str"/>
      <x:c r="R120" s="22"/>
      <x:c r="S120" t="str"/>
      <x:c r="T120" t="str"/>
      <x:c r="U120" s="19" t="n">
        <x:v>0</x:v>
      </x:c>
      <x:c r="V120" s="19" t="n">
        <x:v>0</x:v>
      </x:c>
      <x:c r="W120" s="19" t="n">
        <x:v>0</x:v>
      </x:c>
      <x:c r="X120" t="str"/>
      <x:c r="Y120" s="23" t="str">
        <x:v>No InferenceX benchmark; future GPU scenario requires a separate GPU scaling layer.</x:v>
      </x:c>
    </x:row>
    <x:row r="121">
      <x:c r="A121" t="str">
        <x:v>DeepSeek V4 Pro</x:v>
      </x:c>
      <x:c r="B121" t="str">
        <x:v>dsv4</x:v>
      </x:c>
      <x:c r="C121" t="str">
        <x:v>Post Rubin</x:v>
      </x:c>
      <x:c r="D121" t="str">
        <x:v>future_scenario</x:v>
      </x:c>
      <x:c r="E121" t="str">
        <x:v>agentic</x:v>
      </x:c>
      <x:c r="F121" s="19" t="n">
        <x:v>30</x:v>
      </x:c>
      <x:c r="G121" t="str"/>
      <x:c r="H121" s="23" t="str">
        <x:v>GPU_SCALING_REQUIRED</x:v>
      </x:c>
      <x:c r="I121" s="20"/>
      <x:c r="J121" s="20"/>
      <x:c r="K121" s="20"/>
      <x:c r="L121" s="20"/>
      <x:c r="M121" s="20"/>
      <x:c r="N121" t="str"/>
      <x:c r="O121" t="str"/>
      <x:c r="P121" s="19"/>
      <x:c r="Q121" s="21" t="str"/>
      <x:c r="R121" s="22"/>
      <x:c r="S121" t="str"/>
      <x:c r="T121" t="str"/>
      <x:c r="U121" s="19" t="n">
        <x:v>0</x:v>
      </x:c>
      <x:c r="V121" s="19" t="n">
        <x:v>0</x:v>
      </x:c>
      <x:c r="W121" s="19" t="n">
        <x:v>0</x:v>
      </x:c>
      <x:c r="X121" t="str"/>
      <x:c r="Y121" s="23" t="str">
        <x:v>No InferenceX benchmark; future GPU scenario requires a separate GPU scaling layer.</x:v>
      </x:c>
    </x:row>
    <x:row r="122">
      <x:c r="A122" t="str">
        <x:v>DeepSeek V4 Pro</x:v>
      </x:c>
      <x:c r="B122" t="str">
        <x:v>dsv4</x:v>
      </x:c>
      <x:c r="C122" t="str">
        <x:v>Post Rubin</x:v>
      </x:c>
      <x:c r="D122" t="str">
        <x:v>future_scenario</x:v>
      </x:c>
      <x:c r="E122" t="str">
        <x:v>agentic</x:v>
      </x:c>
      <x:c r="F122" s="19" t="n">
        <x:v>50</x:v>
      </x:c>
      <x:c r="G122" t="str"/>
      <x:c r="H122" s="23" t="str">
        <x:v>GPU_SCALING_REQUIRED</x:v>
      </x:c>
      <x:c r="I122" s="20"/>
      <x:c r="J122" s="20"/>
      <x:c r="K122" s="20"/>
      <x:c r="L122" s="20"/>
      <x:c r="M122" s="20"/>
      <x:c r="N122" t="str"/>
      <x:c r="O122" t="str"/>
      <x:c r="P122" s="19"/>
      <x:c r="Q122" s="21" t="str"/>
      <x:c r="R122" s="22"/>
      <x:c r="S122" t="str"/>
      <x:c r="T122" t="str"/>
      <x:c r="U122" s="19" t="n">
        <x:v>0</x:v>
      </x:c>
      <x:c r="V122" s="19" t="n">
        <x:v>0</x:v>
      </x:c>
      <x:c r="W122" s="19" t="n">
        <x:v>0</x:v>
      </x:c>
      <x:c r="X122" t="str"/>
      <x:c r="Y122" s="23" t="str">
        <x:v>No InferenceX benchmark; future GPU scenario requires a separate GPU scaling layer.</x:v>
      </x:c>
    </x:row>
    <x:row r="123">
      <x:c r="A123" t="str">
        <x:v>DeepSeek V4 Pro</x:v>
      </x:c>
      <x:c r="B123" t="str">
        <x:v>dsv4</x:v>
      </x:c>
      <x:c r="C123" t="str">
        <x:v>Post Rubin</x:v>
      </x:c>
      <x:c r="D123" t="str">
        <x:v>future_scenario</x:v>
      </x:c>
      <x:c r="E123" t="str">
        <x:v>agentic</x:v>
      </x:c>
      <x:c r="F123" s="19" t="n">
        <x:v>70</x:v>
      </x:c>
      <x:c r="G123" t="str"/>
      <x:c r="H123" s="23" t="str">
        <x:v>GPU_SCALING_REQUIRED</x:v>
      </x:c>
      <x:c r="I123" s="20"/>
      <x:c r="J123" s="20"/>
      <x:c r="K123" s="20"/>
      <x:c r="L123" s="20"/>
      <x:c r="M123" s="20"/>
      <x:c r="N123" t="str"/>
      <x:c r="O123" t="str"/>
      <x:c r="P123" s="19"/>
      <x:c r="Q123" s="21" t="str"/>
      <x:c r="R123" s="22"/>
      <x:c r="S123" t="str"/>
      <x:c r="T123" t="str"/>
      <x:c r="U123" s="19" t="n">
        <x:v>0</x:v>
      </x:c>
      <x:c r="V123" s="19" t="n">
        <x:v>0</x:v>
      </x:c>
      <x:c r="W123" s="19" t="n">
        <x:v>0</x:v>
      </x:c>
      <x:c r="X123" t="str"/>
      <x:c r="Y123" s="23" t="str">
        <x:v>No InferenceX benchmark; future GPU scenario requires a separate GPU scaling layer.</x:v>
      </x:c>
    </x:row>
    <x:row r="124">
      <x:c r="A124" t="str">
        <x:v>DeepSeek V4 Pro</x:v>
      </x:c>
      <x:c r="B124" t="str">
        <x:v>dsv4</x:v>
      </x:c>
      <x:c r="C124" t="str">
        <x:v>Post Rubin</x:v>
      </x:c>
      <x:c r="D124" t="str">
        <x:v>future_scenario</x:v>
      </x:c>
      <x:c r="E124" t="str">
        <x:v>agentic</x:v>
      </x:c>
      <x:c r="F124" s="19" t="n">
        <x:v>100</x:v>
      </x:c>
      <x:c r="G124" t="str"/>
      <x:c r="H124" s="23" t="str">
        <x:v>GPU_SCALING_REQUIRED</x:v>
      </x:c>
      <x:c r="I124" s="20"/>
      <x:c r="J124" s="20"/>
      <x:c r="K124" s="20"/>
      <x:c r="L124" s="20"/>
      <x:c r="M124" s="20"/>
      <x:c r="N124" t="str"/>
      <x:c r="O124" t="str"/>
      <x:c r="P124" s="19"/>
      <x:c r="Q124" s="21" t="str"/>
      <x:c r="R124" s="22"/>
      <x:c r="S124" t="str"/>
      <x:c r="T124" t="str"/>
      <x:c r="U124" s="19" t="n">
        <x:v>0</x:v>
      </x:c>
      <x:c r="V124" s="19" t="n">
        <x:v>0</x:v>
      </x:c>
      <x:c r="W124" s="19" t="n">
        <x:v>0</x:v>
      </x:c>
      <x:c r="X124" t="str"/>
      <x:c r="Y124" s="23" t="str">
        <x:v>No InferenceX benchmark; future GPU scenario requires a separate GPU scaling layer.</x:v>
      </x:c>
    </x:row>
    <x:row r="125">
      <x:c r="A125" t="str">
        <x:v>Kimi K2.5</x:v>
      </x:c>
      <x:c r="B125" t="str">
        <x:v>kimik2.5</x:v>
      </x:c>
      <x:c r="C125" t="str">
        <x:v>H200</x:v>
      </x:c>
      <x:c r="D125" t="str">
        <x:v>direct</x:v>
      </x:c>
      <x:c r="E125" t="str">
        <x:v>short</x:v>
      </x:c>
      <x:c r="F125" s="19" t="n">
        <x:v>30</x:v>
      </x:c>
      <x:c r="G125" t="str">
        <x:v>vllm</x:v>
      </x:c>
      <x:c r="H125" s="23" t="str">
        <x:v>DIRECT_PREFERRED</x:v>
      </x:c>
      <x:c r="I125" s="20" t="n">
        <x:v>190201.65440073734</x:v>
      </x:c>
      <x:c r="J125" s="20" t="n">
        <x:v>33.23314571927728</x:v>
      </x:c>
      <x:c r="K125" s="20" t="n">
        <x:v>64</x:v>
      </x:c>
      <x:c r="L125" s="20" t="n">
        <x:v>8</x:v>
      </x:c>
      <x:c r="M125" s="20" t="n">
        <x:v>8</x:v>
      </x:c>
      <x:c r="N125" t="str">
        <x:v>int4</x:v>
      </x:c>
      <x:c r="O125" t="str">
        <x:v>none</x:v>
      </x:c>
      <x:c r="P125" s="19" t="n">
        <x:v>416973</x:v>
      </x:c>
      <x:c r="Q125" s="21" t="n">
        <x:v>46172</x:v>
      </x:c>
      <x:c r="R125" s="22" t="n">
        <x:v>190201.65440073734</x:v>
      </x:c>
      <x:c r="S125" t="str">
        <x:v>vllm</x:v>
      </x:c>
      <x:c r="T125" t="str">
        <x:v>vllm</x:v>
      </x:c>
      <x:c r="U125" s="19" t="n">
        <x:v>25</x:v>
      </x:c>
      <x:c r="V125" s="19" t="n">
        <x:v>25</x:v>
      </x:c>
      <x:c r="W125" s="19" t="n">
        <x:v>5</x:v>
      </x:c>
      <x:c r="X125" t="str"/>
      <x:c r="Y125" s="23" t="str">
        <x:v>Preferred framework has a direct Pareto-eligible observation.</x:v>
      </x:c>
    </x:row>
    <x:row r="126">
      <x:c r="A126" t="str">
        <x:v>Kimi K2.5</x:v>
      </x:c>
      <x:c r="B126" t="str">
        <x:v>kimik2.5</x:v>
      </x:c>
      <x:c r="C126" t="str">
        <x:v>H200</x:v>
      </x:c>
      <x:c r="D126" t="str">
        <x:v>direct</x:v>
      </x:c>
      <x:c r="E126" t="str">
        <x:v>short</x:v>
      </x:c>
      <x:c r="F126" s="19" t="n">
        <x:v>50</x:v>
      </x:c>
      <x:c r="G126" t="str">
        <x:v>vllm</x:v>
      </x:c>
      <x:c r="H126" s="23" t="str">
        <x:v>DIRECT_PREFERRED</x:v>
      </x:c>
      <x:c r="I126" s="20" t="n">
        <x:v>91147.87655894151</x:v>
      </x:c>
      <x:c r="J126" s="20" t="n">
        <x:v>64.12251519003141</x:v>
      </x:c>
      <x:c r="K126" s="20" t="n">
        <x:v>16</x:v>
      </x:c>
      <x:c r="L126" s="20" t="n">
        <x:v>8</x:v>
      </x:c>
      <x:c r="M126" s="20" t="n">
        <x:v>2</x:v>
      </x:c>
      <x:c r="N126" t="str">
        <x:v>int4</x:v>
      </x:c>
      <x:c r="O126" t="str">
        <x:v>none</x:v>
      </x:c>
      <x:c r="P126" s="19" t="n">
        <x:v>416967</x:v>
      </x:c>
      <x:c r="Q126" s="21" t="n">
        <x:v>46172</x:v>
      </x:c>
      <x:c r="R126" s="22" t="n">
        <x:v>91147.87655894151</x:v>
      </x:c>
      <x:c r="S126" t="str">
        <x:v>vllm</x:v>
      </x:c>
      <x:c r="T126" t="str">
        <x:v>vllm</x:v>
      </x:c>
      <x:c r="U126" s="19" t="n">
        <x:v>15</x:v>
      </x:c>
      <x:c r="V126" s="19" t="n">
        <x:v>15</x:v>
      </x:c>
      <x:c r="W126" s="19" t="n">
        <x:v>5</x:v>
      </x:c>
      <x:c r="X126" t="str"/>
      <x:c r="Y126" s="23" t="str">
        <x:v>Preferred framework has a direct Pareto-eligible observation.</x:v>
      </x:c>
    </x:row>
    <x:row r="127">
      <x:c r="A127" t="str">
        <x:v>Kimi K2.5</x:v>
      </x:c>
      <x:c r="B127" t="str">
        <x:v>kimik2.5</x:v>
      </x:c>
      <x:c r="C127" t="str">
        <x:v>H200</x:v>
      </x:c>
      <x:c r="D127" t="str">
        <x:v>direct</x:v>
      </x:c>
      <x:c r="E127" t="str">
        <x:v>short</x:v>
      </x:c>
      <x:c r="F127" s="19" t="n">
        <x:v>70</x:v>
      </x:c>
      <x:c r="G127" t="str">
        <x:v>vllm</x:v>
      </x:c>
      <x:c r="H127" s="23" t="str">
        <x:v>DIRECT_PREFERRED</x:v>
      </x:c>
      <x:c r="I127" s="20" t="n">
        <x:v>60785.50300607979</x:v>
      </x:c>
      <x:c r="J127" s="20" t="n">
        <x:v>85.75317624027984</x:v>
      </x:c>
      <x:c r="K127" s="20" t="n">
        <x:v>8</x:v>
      </x:c>
      <x:c r="L127" s="20" t="n">
        <x:v>8</x:v>
      </x:c>
      <x:c r="M127" s="20" t="n">
        <x:v>1</x:v>
      </x:c>
      <x:c r="N127" t="str">
        <x:v>int4</x:v>
      </x:c>
      <x:c r="O127" t="str">
        <x:v>none</x:v>
      </x:c>
      <x:c r="P127" s="19" t="n">
        <x:v>416968</x:v>
      </x:c>
      <x:c r="Q127" s="21" t="n">
        <x:v>46172</x:v>
      </x:c>
      <x:c r="R127" s="22" t="n">
        <x:v>60785.50300607979</x:v>
      </x:c>
      <x:c r="S127" t="str">
        <x:v>vllm</x:v>
      </x:c>
      <x:c r="T127" t="str">
        <x:v>vllm</x:v>
      </x:c>
      <x:c r="U127" s="19" t="n">
        <x:v>10</x:v>
      </x:c>
      <x:c r="V127" s="19" t="n">
        <x:v>10</x:v>
      </x:c>
      <x:c r="W127" s="19" t="n">
        <x:v>5</x:v>
      </x:c>
      <x:c r="X127" t="str"/>
      <x:c r="Y127" s="23" t="str">
        <x:v>Preferred framework has a direct Pareto-eligible observation.</x:v>
      </x:c>
    </x:row>
    <x:row r="128">
      <x:c r="A128" t="str">
        <x:v>Kimi K2.5</x:v>
      </x:c>
      <x:c r="B128" t="str">
        <x:v>kimik2.5</x:v>
      </x:c>
      <x:c r="C128" t="str">
        <x:v>H200</x:v>
      </x:c>
      <x:c r="D128" t="str">
        <x:v>direct</x:v>
      </x:c>
      <x:c r="E128" t="str">
        <x:v>short</x:v>
      </x:c>
      <x:c r="F128" s="19" t="n">
        <x:v>100</x:v>
      </x:c>
      <x:c r="G128" t="str">
        <x:v>vllm</x:v>
      </x:c>
      <x:c r="H128" s="23" t="str">
        <x:v>DIRECT_PREFERRED</x:v>
      </x:c>
      <x:c r="I128" s="20" t="n">
        <x:v>37129.64241310662</x:v>
      </x:c>
      <x:c r="J128" s="20" t="n">
        <x:v>106.5865314026403</x:v>
      </x:c>
      <x:c r="K128" s="20" t="n">
        <x:v>4</x:v>
      </x:c>
      <x:c r="L128" s="20" t="n">
        <x:v>8</x:v>
      </x:c>
      <x:c r="M128" s="20" t="n">
        <x:v>0.5</x:v>
      </x:c>
      <x:c r="N128" t="str">
        <x:v>int4</x:v>
      </x:c>
      <x:c r="O128" t="str">
        <x:v>none</x:v>
      </x:c>
      <x:c r="P128" s="19" t="n">
        <x:v>409550</x:v>
      </x:c>
      <x:c r="Q128" s="21" t="n">
        <x:v>46159</x:v>
      </x:c>
      <x:c r="R128" s="22" t="n">
        <x:v>37129.64241310662</x:v>
      </x:c>
      <x:c r="S128" t="str">
        <x:v>vllm</x:v>
      </x:c>
      <x:c r="T128" t="str">
        <x:v>vllm</x:v>
      </x:c>
      <x:c r="U128" s="19" t="n">
        <x:v>3</x:v>
      </x:c>
      <x:c r="V128" s="19" t="n">
        <x:v>3</x:v>
      </x:c>
      <x:c r="W128" s="19" t="n">
        <x:v>5</x:v>
      </x:c>
      <x:c r="X128" t="str"/>
      <x:c r="Y128" s="23" t="str">
        <x:v>Preferred framework has a direct Pareto-eligible observation.</x:v>
      </x:c>
    </x:row>
    <x:row r="129">
      <x:c r="A129" t="str">
        <x:v>Kimi K2.5</x:v>
      </x:c>
      <x:c r="B129" t="str">
        <x:v>kimik2.5</x:v>
      </x:c>
      <x:c r="C129" t="str">
        <x:v>H200</x:v>
      </x:c>
      <x:c r="D129" t="str">
        <x:v>direct</x:v>
      </x:c>
      <x:c r="E129" t="str">
        <x:v>long</x:v>
      </x:c>
      <x:c r="F129" s="19" t="n">
        <x:v>30</x:v>
      </x:c>
      <x:c r="G129" t="str">
        <x:v>vllm</x:v>
      </x:c>
      <x:c r="H129" s="23" t="str">
        <x:v>DIRECT_PREFERRED</x:v>
      </x:c>
      <x:c r="I129" s="20" t="n">
        <x:v>64936.69950735229</x:v>
      </x:c>
      <x:c r="J129" s="20" t="n">
        <x:v>46.99584660324748</x:v>
      </x:c>
      <x:c r="K129" s="20" t="n">
        <x:v>16</x:v>
      </x:c>
      <x:c r="L129" s="20" t="n">
        <x:v>8</x:v>
      </x:c>
      <x:c r="M129" s="20" t="n">
        <x:v>2</x:v>
      </x:c>
      <x:c r="N129" t="str">
        <x:v>int4</x:v>
      </x:c>
      <x:c r="O129" t="str">
        <x:v>none</x:v>
      </x:c>
      <x:c r="P129" s="19" t="n">
        <x:v>408419</x:v>
      </x:c>
      <x:c r="Q129" s="21" t="n">
        <x:v>46155</x:v>
      </x:c>
      <x:c r="R129" s="22" t="n">
        <x:v>64936.69950735229</x:v>
      </x:c>
      <x:c r="S129" t="str">
        <x:v>vllm</x:v>
      </x:c>
      <x:c r="T129" t="str">
        <x:v>vllm</x:v>
      </x:c>
      <x:c r="U129" s="19" t="n">
        <x:v>15</x:v>
      </x:c>
      <x:c r="V129" s="19" t="n">
        <x:v>15</x:v>
      </x:c>
      <x:c r="W129" s="19" t="n">
        <x:v>5</x:v>
      </x:c>
      <x:c r="X129" t="str"/>
      <x:c r="Y129" s="23" t="str">
        <x:v>Preferred framework has a direct Pareto-eligible observation.</x:v>
      </x:c>
    </x:row>
    <x:row r="130">
      <x:c r="A130" t="str">
        <x:v>Kimi K2.5</x:v>
      </x:c>
      <x:c r="B130" t="str">
        <x:v>kimik2.5</x:v>
      </x:c>
      <x:c r="C130" t="str">
        <x:v>H200</x:v>
      </x:c>
      <x:c r="D130" t="str">
        <x:v>direct</x:v>
      </x:c>
      <x:c r="E130" t="str">
        <x:v>long</x:v>
      </x:c>
      <x:c r="F130" s="19" t="n">
        <x:v>50</x:v>
      </x:c>
      <x:c r="G130" t="str">
        <x:v>vllm</x:v>
      </x:c>
      <x:c r="H130" s="23" t="str">
        <x:v>DIRECT_PREFERRED</x:v>
      </x:c>
      <x:c r="I130" s="20" t="n">
        <x:v>48432.75757735074</x:v>
      </x:c>
      <x:c r="J130" s="20" t="n">
        <x:v>70.28011624690257</x:v>
      </x:c>
      <x:c r="K130" s="20" t="n">
        <x:v>8</x:v>
      </x:c>
      <x:c r="L130" s="20" t="n">
        <x:v>8</x:v>
      </x:c>
      <x:c r="M130" s="20" t="n">
        <x:v>1</x:v>
      </x:c>
      <x:c r="N130" t="str">
        <x:v>int4</x:v>
      </x:c>
      <x:c r="O130" t="str">
        <x:v>none</x:v>
      </x:c>
      <x:c r="P130" s="19" t="n">
        <x:v>409551</x:v>
      </x:c>
      <x:c r="Q130" s="21" t="n">
        <x:v>46159</x:v>
      </x:c>
      <x:c r="R130" s="22" t="n">
        <x:v>48432.75757735074</x:v>
      </x:c>
      <x:c r="S130" t="str">
        <x:v>vllm</x:v>
      </x:c>
      <x:c r="T130" t="str">
        <x:v>vllm</x:v>
      </x:c>
      <x:c r="U130" s="19" t="n">
        <x:v>10</x:v>
      </x:c>
      <x:c r="V130" s="19" t="n">
        <x:v>10</x:v>
      </x:c>
      <x:c r="W130" s="19" t="n">
        <x:v>5</x:v>
      </x:c>
      <x:c r="X130" t="str"/>
      <x:c r="Y130" s="23" t="str">
        <x:v>Preferred framework has a direct Pareto-eligible observation.</x:v>
      </x:c>
    </x:row>
    <x:row r="131">
      <x:c r="A131" t="str">
        <x:v>Kimi K2.5</x:v>
      </x:c>
      <x:c r="B131" t="str">
        <x:v>kimik2.5</x:v>
      </x:c>
      <x:c r="C131" t="str">
        <x:v>H200</x:v>
      </x:c>
      <x:c r="D131" t="str">
        <x:v>direct</x:v>
      </x:c>
      <x:c r="E131" t="str">
        <x:v>long</x:v>
      </x:c>
      <x:c r="F131" s="19" t="n">
        <x:v>70</x:v>
      </x:c>
      <x:c r="G131" t="str">
        <x:v>vllm</x:v>
      </x:c>
      <x:c r="H131" s="23" t="str">
        <x:v>DIRECT_PREFERRED</x:v>
      </x:c>
      <x:c r="I131" s="20" t="n">
        <x:v>48432.75757735074</x:v>
      </x:c>
      <x:c r="J131" s="20" t="n">
        <x:v>70.28011624690257</x:v>
      </x:c>
      <x:c r="K131" s="20" t="n">
        <x:v>8</x:v>
      </x:c>
      <x:c r="L131" s="20" t="n">
        <x:v>8</x:v>
      </x:c>
      <x:c r="M131" s="20" t="n">
        <x:v>1</x:v>
      </x:c>
      <x:c r="N131" t="str">
        <x:v>int4</x:v>
      </x:c>
      <x:c r="O131" t="str">
        <x:v>none</x:v>
      </x:c>
      <x:c r="P131" s="19" t="n">
        <x:v>409551</x:v>
      </x:c>
      <x:c r="Q131" s="21" t="n">
        <x:v>46159</x:v>
      </x:c>
      <x:c r="R131" s="22" t="n">
        <x:v>48432.75757735074</x:v>
      </x:c>
      <x:c r="S131" t="str">
        <x:v>vllm</x:v>
      </x:c>
      <x:c r="T131" t="str">
        <x:v>vllm</x:v>
      </x:c>
      <x:c r="U131" s="19" t="n">
        <x:v>8</x:v>
      </x:c>
      <x:c r="V131" s="19" t="n">
        <x:v>8</x:v>
      </x:c>
      <x:c r="W131" s="19" t="n">
        <x:v>5</x:v>
      </x:c>
      <x:c r="X131" t="str"/>
      <x:c r="Y131" s="23" t="str">
        <x:v>Preferred framework has a direct Pareto-eligible observation.</x:v>
      </x:c>
    </x:row>
    <x:row r="132">
      <x:c r="A132" t="str">
        <x:v>Kimi K2.5</x:v>
      </x:c>
      <x:c r="B132" t="str">
        <x:v>kimik2.5</x:v>
      </x:c>
      <x:c r="C132" t="str">
        <x:v>H200</x:v>
      </x:c>
      <x:c r="D132" t="str">
        <x:v>direct</x:v>
      </x:c>
      <x:c r="E132" t="str">
        <x:v>long</x:v>
      </x:c>
      <x:c r="F132" s="19" t="n">
        <x:v>100</x:v>
      </x:c>
      <x:c r="G132" t="str">
        <x:v>vllm</x:v>
      </x:c>
      <x:c r="H132" s="23" t="str">
        <x:v>LONG_FROM_SHORT_CANDIDATE</x:v>
      </x:c>
      <x:c r="I132" s="20"/>
      <x:c r="J132" s="20"/>
      <x:c r="K132" s="20"/>
      <x:c r="L132" s="20"/>
      <x:c r="M132" s="20"/>
      <x:c r="N132" t="str"/>
      <x:c r="O132" t="str"/>
      <x:c r="P132" s="19"/>
      <x:c r="Q132" s="21" t="str"/>
      <x:c r="R132" s="22"/>
      <x:c r="S132" t="str"/>
      <x:c r="T132" t="str">
        <x:v>vllm</x:v>
      </x:c>
      <x:c r="U132" s="19" t="n">
        <x:v>0</x:v>
      </x:c>
      <x:c r="V132" s="19" t="n">
        <x:v>0</x:v>
      </x:c>
      <x:c r="W132" s="19" t="n">
        <x:v>5</x:v>
      </x:c>
      <x:c r="X132" t="str">
        <x:v>short</x:v>
      </x:c>
      <x:c r="Y132" s="23" t="str">
        <x:v>Preferred framework lacks long; short can serve as the same-model anchor if a matched ratio is supported.</x:v>
      </x:c>
    </x:row>
    <x:row r="133">
      <x:c r="A133" t="str">
        <x:v>Kimi K2.5</x:v>
      </x:c>
      <x:c r="B133" t="str">
        <x:v>kimik2.5</x:v>
      </x:c>
      <x:c r="C133" t="str">
        <x:v>H200</x:v>
      </x:c>
      <x:c r="D133" t="str">
        <x:v>direct</x:v>
      </x:c>
      <x:c r="E133" t="str">
        <x:v>agentic</x:v>
      </x:c>
      <x:c r="F133" s="19" t="n">
        <x:v>30</x:v>
      </x:c>
      <x:c r="G133" t="str">
        <x:v>vllm</x:v>
      </x:c>
      <x:c r="H133" s="23" t="str">
        <x:v>AGENTIC_RATIO_CANDIDATE</x:v>
      </x:c>
      <x:c r="I133" s="20"/>
      <x:c r="J133" s="20"/>
      <x:c r="K133" s="20"/>
      <x:c r="L133" s="20"/>
      <x:c r="M133" s="20"/>
      <x:c r="N133" t="str"/>
      <x:c r="O133" t="str"/>
      <x:c r="P133" s="19"/>
      <x:c r="Q133" s="21" t="str"/>
      <x:c r="R133" s="22"/>
      <x:c r="S133" t="str"/>
      <x:c r="T133" t="str"/>
      <x:c r="U133" s="19" t="n">
        <x:v>0</x:v>
      </x:c>
      <x:c r="V133" s="19" t="n">
        <x:v>0</x:v>
      </x:c>
      <x:c r="W133" s="19" t="n">
        <x:v>0</x:v>
      </x:c>
      <x:c r="X133" t="str">
        <x:v>short</x:v>
      </x:c>
      <x:c r="Y133" s="23" t="str">
        <x:v>Preferred framework lacks agentic; short can serve as the same-model anchor if a matched ratio is supported.</x:v>
      </x:c>
    </x:row>
    <x:row r="134">
      <x:c r="A134" t="str">
        <x:v>Kimi K2.5</x:v>
      </x:c>
      <x:c r="B134" t="str">
        <x:v>kimik2.5</x:v>
      </x:c>
      <x:c r="C134" t="str">
        <x:v>H200</x:v>
      </x:c>
      <x:c r="D134" t="str">
        <x:v>direct</x:v>
      </x:c>
      <x:c r="E134" t="str">
        <x:v>agentic</x:v>
      </x:c>
      <x:c r="F134" s="19" t="n">
        <x:v>50</x:v>
      </x:c>
      <x:c r="G134" t="str">
        <x:v>vllm</x:v>
      </x:c>
      <x:c r="H134" s="23" t="str">
        <x:v>AGENTIC_RATIO_CANDIDATE</x:v>
      </x:c>
      <x:c r="I134" s="20"/>
      <x:c r="J134" s="20"/>
      <x:c r="K134" s="20"/>
      <x:c r="L134" s="20"/>
      <x:c r="M134" s="20"/>
      <x:c r="N134" t="str"/>
      <x:c r="O134" t="str"/>
      <x:c r="P134" s="19"/>
      <x:c r="Q134" s="21" t="str"/>
      <x:c r="R134" s="22"/>
      <x:c r="S134" t="str"/>
      <x:c r="T134" t="str"/>
      <x:c r="U134" s="19" t="n">
        <x:v>0</x:v>
      </x:c>
      <x:c r="V134" s="19" t="n">
        <x:v>0</x:v>
      </x:c>
      <x:c r="W134" s="19" t="n">
        <x:v>0</x:v>
      </x:c>
      <x:c r="X134" t="str">
        <x:v>short</x:v>
      </x:c>
      <x:c r="Y134" s="23" t="str">
        <x:v>Preferred framework lacks agentic; short can serve as the same-model anchor if a matched ratio is supported.</x:v>
      </x:c>
    </x:row>
    <x:row r="135">
      <x:c r="A135" t="str">
        <x:v>Kimi K2.5</x:v>
      </x:c>
      <x:c r="B135" t="str">
        <x:v>kimik2.5</x:v>
      </x:c>
      <x:c r="C135" t="str">
        <x:v>H200</x:v>
      </x:c>
      <x:c r="D135" t="str">
        <x:v>direct</x:v>
      </x:c>
      <x:c r="E135" t="str">
        <x:v>agentic</x:v>
      </x:c>
      <x:c r="F135" s="19" t="n">
        <x:v>70</x:v>
      </x:c>
      <x:c r="G135" t="str">
        <x:v>vllm</x:v>
      </x:c>
      <x:c r="H135" s="23" t="str">
        <x:v>AGENTIC_RATIO_CANDIDATE</x:v>
      </x:c>
      <x:c r="I135" s="20"/>
      <x:c r="J135" s="20"/>
      <x:c r="K135" s="20"/>
      <x:c r="L135" s="20"/>
      <x:c r="M135" s="20"/>
      <x:c r="N135" t="str"/>
      <x:c r="O135" t="str"/>
      <x:c r="P135" s="19"/>
      <x:c r="Q135" s="21" t="str"/>
      <x:c r="R135" s="22"/>
      <x:c r="S135" t="str"/>
      <x:c r="T135" t="str"/>
      <x:c r="U135" s="19" t="n">
        <x:v>0</x:v>
      </x:c>
      <x:c r="V135" s="19" t="n">
        <x:v>0</x:v>
      </x:c>
      <x:c r="W135" s="19" t="n">
        <x:v>0</x:v>
      </x:c>
      <x:c r="X135" t="str">
        <x:v>short</x:v>
      </x:c>
      <x:c r="Y135" s="23" t="str">
        <x:v>Preferred framework lacks agentic; short can serve as the same-model anchor if a matched ratio is supported.</x:v>
      </x:c>
    </x:row>
    <x:row r="136">
      <x:c r="A136" t="str">
        <x:v>Kimi K2.5</x:v>
      </x:c>
      <x:c r="B136" t="str">
        <x:v>kimik2.5</x:v>
      </x:c>
      <x:c r="C136" t="str">
        <x:v>H200</x:v>
      </x:c>
      <x:c r="D136" t="str">
        <x:v>direct</x:v>
      </x:c>
      <x:c r="E136" t="str">
        <x:v>agentic</x:v>
      </x:c>
      <x:c r="F136" s="19" t="n">
        <x:v>100</x:v>
      </x:c>
      <x:c r="G136" t="str">
        <x:v>vllm</x:v>
      </x:c>
      <x:c r="H136" s="23" t="str">
        <x:v>AGENTIC_RATIO_CANDIDATE</x:v>
      </x:c>
      <x:c r="I136" s="20"/>
      <x:c r="J136" s="20"/>
      <x:c r="K136" s="20"/>
      <x:c r="L136" s="20"/>
      <x:c r="M136" s="20"/>
      <x:c r="N136" t="str"/>
      <x:c r="O136" t="str"/>
      <x:c r="P136" s="19"/>
      <x:c r="Q136" s="21" t="str"/>
      <x:c r="R136" s="22"/>
      <x:c r="S136" t="str"/>
      <x:c r="T136" t="str"/>
      <x:c r="U136" s="19" t="n">
        <x:v>0</x:v>
      </x:c>
      <x:c r="V136" s="19" t="n">
        <x:v>0</x:v>
      </x:c>
      <x:c r="W136" s="19" t="n">
        <x:v>0</x:v>
      </x:c>
      <x:c r="X136" t="str">
        <x:v>short</x:v>
      </x:c>
      <x:c r="Y136" s="23" t="str">
        <x:v>Preferred framework lacks agentic; short can serve as the same-model anchor if a matched ratio is supported.</x:v>
      </x:c>
    </x:row>
    <x:row r="137">
      <x:c r="A137" t="str">
        <x:v>Kimi K2.5</x:v>
      </x:c>
      <x:c r="B137" t="str">
        <x:v>kimik2.5</x:v>
      </x:c>
      <x:c r="C137" t="str">
        <x:v>B200</x:v>
      </x:c>
      <x:c r="D137" t="str">
        <x:v>direct</x:v>
      </x:c>
      <x:c r="E137" t="str">
        <x:v>short</x:v>
      </x:c>
      <x:c r="F137" s="19" t="n">
        <x:v>30</x:v>
      </x:c>
      <x:c r="G137" t="str">
        <x:v>vllm</x:v>
      </x:c>
      <x:c r="H137" s="23" t="str">
        <x:v>DIRECT_PREFERRED</x:v>
      </x:c>
      <x:c r="I137" s="20" t="n">
        <x:v>607272.2836243667</x:v>
      </x:c>
      <x:c r="J137" s="20" t="n">
        <x:v>34.480983201674746</x:v>
      </x:c>
      <x:c r="K137" s="20" t="n">
        <x:v>128</x:v>
      </x:c>
      <x:c r="L137" s="20" t="n">
        <x:v>4</x:v>
      </x:c>
      <x:c r="M137" s="20" t="n">
        <x:v>32</x:v>
      </x:c>
      <x:c r="N137" t="str">
        <x:v>fp4</x:v>
      </x:c>
      <x:c r="O137" t="str">
        <x:v>none</x:v>
      </x:c>
      <x:c r="P137" s="19" t="n">
        <x:v>420179</x:v>
      </x:c>
      <x:c r="Q137" s="21" t="n">
        <x:v>46180</x:v>
      </x:c>
      <x:c r="R137" s="22" t="n">
        <x:v>607272.2836243667</x:v>
      </x:c>
      <x:c r="S137" t="str">
        <x:v>vllm</x:v>
      </x:c>
      <x:c r="T137" t="str">
        <x:v>vllm</x:v>
      </x:c>
      <x:c r="U137" s="19" t="n">
        <x:v>76</x:v>
      </x:c>
      <x:c r="V137" s="19" t="n">
        <x:v>76</x:v>
      </x:c>
      <x:c r="W137" s="19" t="n">
        <x:v>8</x:v>
      </x:c>
      <x:c r="X137" t="str"/>
      <x:c r="Y137" s="23" t="str">
        <x:v>Preferred framework has a direct Pareto-eligible observation.</x:v>
      </x:c>
    </x:row>
    <x:row r="138">
      <x:c r="A138" t="str">
        <x:v>Kimi K2.5</x:v>
      </x:c>
      <x:c r="B138" t="str">
        <x:v>kimik2.5</x:v>
      </x:c>
      <x:c r="C138" t="str">
        <x:v>B200</x:v>
      </x:c>
      <x:c r="D138" t="str">
        <x:v>direct</x:v>
      </x:c>
      <x:c r="E138" t="str">
        <x:v>short</x:v>
      </x:c>
      <x:c r="F138" s="19" t="n">
        <x:v>50</x:v>
      </x:c>
      <x:c r="G138" t="str">
        <x:v>vllm</x:v>
      </x:c>
      <x:c r="H138" s="23" t="str">
        <x:v>DIRECT_PREFERRED</x:v>
      </x:c>
      <x:c r="I138" s="20" t="n">
        <x:v>286356.92802465364</x:v>
      </x:c>
      <x:c r="J138" s="20" t="n">
        <x:v>62.86489429732615</x:v>
      </x:c>
      <x:c r="K138" s="20" t="n">
        <x:v>32</x:v>
      </x:c>
      <x:c r="L138" s="20" t="n">
        <x:v>4</x:v>
      </x:c>
      <x:c r="M138" s="20" t="n">
        <x:v>8</x:v>
      </x:c>
      <x:c r="N138" t="str">
        <x:v>fp4</x:v>
      </x:c>
      <x:c r="O138" t="str">
        <x:v>none</x:v>
      </x:c>
      <x:c r="P138" s="19" t="n">
        <x:v>417692</x:v>
      </x:c>
      <x:c r="Q138" s="21" t="n">
        <x:v>46173</x:v>
      </x:c>
      <x:c r="R138" s="22" t="n">
        <x:v>286356.92802465364</x:v>
      </x:c>
      <x:c r="S138" t="str">
        <x:v>vllm</x:v>
      </x:c>
      <x:c r="T138" t="str">
        <x:v>vllm</x:v>
      </x:c>
      <x:c r="U138" s="19" t="n">
        <x:v>60</x:v>
      </x:c>
      <x:c r="V138" s="19" t="n">
        <x:v>60</x:v>
      </x:c>
      <x:c r="W138" s="19" t="n">
        <x:v>8</x:v>
      </x:c>
      <x:c r="X138" t="str"/>
      <x:c r="Y138" s="23" t="str">
        <x:v>Preferred framework has a direct Pareto-eligible observation.</x:v>
      </x:c>
    </x:row>
    <x:row r="139">
      <x:c r="A139" t="str">
        <x:v>Kimi K2.5</x:v>
      </x:c>
      <x:c r="B139" t="str">
        <x:v>kimik2.5</x:v>
      </x:c>
      <x:c r="C139" t="str">
        <x:v>B200</x:v>
      </x:c>
      <x:c r="D139" t="str">
        <x:v>direct</x:v>
      </x:c>
      <x:c r="E139" t="str">
        <x:v>short</x:v>
      </x:c>
      <x:c r="F139" s="19" t="n">
        <x:v>70</x:v>
      </x:c>
      <x:c r="G139" t="str">
        <x:v>vllm</x:v>
      </x:c>
      <x:c r="H139" s="23" t="str">
        <x:v>DIRECT_PREFERRED</x:v>
      </x:c>
      <x:c r="I139" s="20" t="n">
        <x:v>181730.65656736342</x:v>
      </x:c>
      <x:c r="J139" s="20" t="n">
        <x:v>79.98852013350435</x:v>
      </x:c>
      <x:c r="K139" s="20" t="n">
        <x:v>16</x:v>
      </x:c>
      <x:c r="L139" s="20" t="n">
        <x:v>4</x:v>
      </x:c>
      <x:c r="M139" s="20" t="n">
        <x:v>4</x:v>
      </x:c>
      <x:c r="N139" t="str">
        <x:v>fp4</x:v>
      </x:c>
      <x:c r="O139" t="str">
        <x:v>none</x:v>
      </x:c>
      <x:c r="P139" s="19" t="n">
        <x:v>420172</x:v>
      </x:c>
      <x:c r="Q139" s="21" t="n">
        <x:v>46180</x:v>
      </x:c>
      <x:c r="R139" s="22" t="n">
        <x:v>181730.65656736342</x:v>
      </x:c>
      <x:c r="S139" t="str">
        <x:v>vllm</x:v>
      </x:c>
      <x:c r="T139" t="str">
        <x:v>vllm</x:v>
      </x:c>
      <x:c r="U139" s="19" t="n">
        <x:v>42</x:v>
      </x:c>
      <x:c r="V139" s="19" t="n">
        <x:v>42</x:v>
      </x:c>
      <x:c r="W139" s="19" t="n">
        <x:v>8</x:v>
      </x:c>
      <x:c r="X139" t="str"/>
      <x:c r="Y139" s="23" t="str">
        <x:v>Preferred framework has a direct Pareto-eligible observation.</x:v>
      </x:c>
    </x:row>
    <x:row r="140">
      <x:c r="A140" t="str">
        <x:v>Kimi K2.5</x:v>
      </x:c>
      <x:c r="B140" t="str">
        <x:v>kimik2.5</x:v>
      </x:c>
      <x:c r="C140" t="str">
        <x:v>B200</x:v>
      </x:c>
      <x:c r="D140" t="str">
        <x:v>direct</x:v>
      </x:c>
      <x:c r="E140" t="str">
        <x:v>short</x:v>
      </x:c>
      <x:c r="F140" s="19" t="n">
        <x:v>100</x:v>
      </x:c>
      <x:c r="G140" t="str">
        <x:v>vllm</x:v>
      </x:c>
      <x:c r="H140" s="23" t="str">
        <x:v>DIRECT_PREFERRED</x:v>
      </x:c>
      <x:c r="I140" s="20" t="n">
        <x:v>119414.25997394341</x:v>
      </x:c>
      <x:c r="J140" s="20" t="n">
        <x:v>105.14966411944846</x:v>
      </x:c>
      <x:c r="K140" s="20" t="n">
        <x:v>8</x:v>
      </x:c>
      <x:c r="L140" s="20" t="n">
        <x:v>4</x:v>
      </x:c>
      <x:c r="M140" s="20" t="n">
        <x:v>2</x:v>
      </x:c>
      <x:c r="N140" t="str">
        <x:v>fp4</x:v>
      </x:c>
      <x:c r="O140" t="str">
        <x:v>none</x:v>
      </x:c>
      <x:c r="P140" s="19" t="n">
        <x:v>417685</x:v>
      </x:c>
      <x:c r="Q140" s="21" t="n">
        <x:v>46173</x:v>
      </x:c>
      <x:c r="R140" s="22" t="n">
        <x:v>119414.25997394341</x:v>
      </x:c>
      <x:c r="S140" t="str">
        <x:v>vllm</x:v>
      </x:c>
      <x:c r="T140" t="str">
        <x:v>vllm</x:v>
      </x:c>
      <x:c r="U140" s="19" t="n">
        <x:v>27</x:v>
      </x:c>
      <x:c r="V140" s="19" t="n">
        <x:v>27</x:v>
      </x:c>
      <x:c r="W140" s="19" t="n">
        <x:v>8</x:v>
      </x:c>
      <x:c r="X140" t="str"/>
      <x:c r="Y140" s="23" t="str">
        <x:v>Preferred framework has a direct Pareto-eligible observation.</x:v>
      </x:c>
    </x:row>
    <x:row r="141">
      <x:c r="A141" t="str">
        <x:v>Kimi K2.5</x:v>
      </x:c>
      <x:c r="B141" t="str">
        <x:v>kimik2.5</x:v>
      </x:c>
      <x:c r="C141" t="str">
        <x:v>B200</x:v>
      </x:c>
      <x:c r="D141" t="str">
        <x:v>direct</x:v>
      </x:c>
      <x:c r="E141" t="str">
        <x:v>long</x:v>
      </x:c>
      <x:c r="F141" s="19" t="n">
        <x:v>30</x:v>
      </x:c>
      <x:c r="G141" t="str">
        <x:v>vllm</x:v>
      </x:c>
      <x:c r="H141" s="23" t="str">
        <x:v>DIRECT_PREFERRED</x:v>
      </x:c>
      <x:c r="I141" s="20" t="n">
        <x:v>296692.4630100424</x:v>
      </x:c>
      <x:c r="J141" s="20" t="n">
        <x:v>32.50810932739321</x:v>
      </x:c>
      <x:c r="K141" s="20" t="n">
        <x:v>64</x:v>
      </x:c>
      <x:c r="L141" s="20" t="n">
        <x:v>4</x:v>
      </x:c>
      <x:c r="M141" s="20" t="n">
        <x:v>16</x:v>
      </x:c>
      <x:c r="N141" t="str">
        <x:v>fp4</x:v>
      </x:c>
      <x:c r="O141" t="str">
        <x:v>none</x:v>
      </x:c>
      <x:c r="P141" s="19" t="n">
        <x:v>439017</x:v>
      </x:c>
      <x:c r="Q141" s="21" t="n">
        <x:v>46241</x:v>
      </x:c>
      <x:c r="R141" s="22" t="n">
        <x:v>2335371.457058744</x:v>
      </x:c>
      <x:c r="S141" t="str">
        <x:v>dynamo-trt</x:v>
      </x:c>
      <x:c r="T141" t="str">
        <x:v>dynamo-trt, vllm</x:v>
      </x:c>
      <x:c r="U141" s="19" t="n">
        <x:v>100</x:v>
      </x:c>
      <x:c r="V141" s="19" t="n">
        <x:v>110</x:v>
      </x:c>
      <x:c r="W141" s="19" t="n">
        <x:v>11</x:v>
      </x:c>
      <x:c r="X141" t="str"/>
      <x:c r="Y141" s="23" t="str">
        <x:v>Preferred framework has a direct Pareto-eligible observation.</x:v>
      </x:c>
    </x:row>
    <x:row r="142">
      <x:c r="A142" t="str">
        <x:v>Kimi K2.5</x:v>
      </x:c>
      <x:c r="B142" t="str">
        <x:v>kimik2.5</x:v>
      </x:c>
      <x:c r="C142" t="str">
        <x:v>B200</x:v>
      </x:c>
      <x:c r="D142" t="str">
        <x:v>direct</x:v>
      </x:c>
      <x:c r="E142" t="str">
        <x:v>long</x:v>
      </x:c>
      <x:c r="F142" s="19" t="n">
        <x:v>50</x:v>
      </x:c>
      <x:c r="G142" t="str">
        <x:v>vllm</x:v>
      </x:c>
      <x:c r="H142" s="23" t="str">
        <x:v>DIRECT_PREFERRED</x:v>
      </x:c>
      <x:c r="I142" s="20" t="n">
        <x:v>157200.56766299307</x:v>
      </x:c>
      <x:c r="J142" s="20" t="n">
        <x:v>70.34123048463118</x:v>
      </x:c>
      <x:c r="K142" s="20" t="n">
        <x:v>16</x:v>
      </x:c>
      <x:c r="L142" s="20" t="n">
        <x:v>4</x:v>
      </x:c>
      <x:c r="M142" s="20" t="n">
        <x:v>4</x:v>
      </x:c>
      <x:c r="N142" t="str">
        <x:v>fp4</x:v>
      </x:c>
      <x:c r="O142" t="str">
        <x:v>none</x:v>
      </x:c>
      <x:c r="P142" s="19" t="n">
        <x:v>439010</x:v>
      </x:c>
      <x:c r="Q142" s="21" t="n">
        <x:v>46241</x:v>
      </x:c>
      <x:c r="R142" s="22" t="n">
        <x:v>291494.2207433186</x:v>
      </x:c>
      <x:c r="S142" t="str">
        <x:v>dynamo-trt</x:v>
      </x:c>
      <x:c r="T142" t="str">
        <x:v>dynamo-trt, vllm</x:v>
      </x:c>
      <x:c r="U142" s="19" t="n">
        <x:v>75</x:v>
      </x:c>
      <x:c r="V142" s="19" t="n">
        <x:v>82</x:v>
      </x:c>
      <x:c r="W142" s="19" t="n">
        <x:v>11</x:v>
      </x:c>
      <x:c r="X142" t="str"/>
      <x:c r="Y142" s="23" t="str">
        <x:v>Preferred framework has a direct Pareto-eligible observation.</x:v>
      </x:c>
    </x:row>
    <x:row r="143">
      <x:c r="A143" t="str">
        <x:v>Kimi K2.5</x:v>
      </x:c>
      <x:c r="B143" t="str">
        <x:v>kimik2.5</x:v>
      </x:c>
      <x:c r="C143" t="str">
        <x:v>B200</x:v>
      </x:c>
      <x:c r="D143" t="str">
        <x:v>direct</x:v>
      </x:c>
      <x:c r="E143" t="str">
        <x:v>long</x:v>
      </x:c>
      <x:c r="F143" s="19" t="n">
        <x:v>70</x:v>
      </x:c>
      <x:c r="G143" t="str">
        <x:v>vllm</x:v>
      </x:c>
      <x:c r="H143" s="23" t="str">
        <x:v>DIRECT_PREFERRED</x:v>
      </x:c>
      <x:c r="I143" s="20" t="n">
        <x:v>157200.56766299307</x:v>
      </x:c>
      <x:c r="J143" s="20" t="n">
        <x:v>70.34123048463118</x:v>
      </x:c>
      <x:c r="K143" s="20" t="n">
        <x:v>16</x:v>
      </x:c>
      <x:c r="L143" s="20" t="n">
        <x:v>4</x:v>
      </x:c>
      <x:c r="M143" s="20" t="n">
        <x:v>4</x:v>
      </x:c>
      <x:c r="N143" t="str">
        <x:v>fp4</x:v>
      </x:c>
      <x:c r="O143" t="str">
        <x:v>none</x:v>
      </x:c>
      <x:c r="P143" s="19" t="n">
        <x:v>439010</x:v>
      </x:c>
      <x:c r="Q143" s="21" t="n">
        <x:v>46241</x:v>
      </x:c>
      <x:c r="R143" s="22" t="n">
        <x:v>193807.7115849013</x:v>
      </x:c>
      <x:c r="S143" t="str">
        <x:v>dynamo-trt</x:v>
      </x:c>
      <x:c r="T143" t="str">
        <x:v>dynamo-trt, vllm</x:v>
      </x:c>
      <x:c r="U143" s="19" t="n">
        <x:v>56</x:v>
      </x:c>
      <x:c r="V143" s="19" t="n">
        <x:v>62</x:v>
      </x:c>
      <x:c r="W143" s="19" t="n">
        <x:v>11</x:v>
      </x:c>
      <x:c r="X143" t="str"/>
      <x:c r="Y143" s="23" t="str">
        <x:v>Preferred framework has a direct Pareto-eligible observation.</x:v>
      </x:c>
    </x:row>
    <x:row r="144">
      <x:c r="A144" t="str">
        <x:v>Kimi K2.5</x:v>
      </x:c>
      <x:c r="B144" t="str">
        <x:v>kimik2.5</x:v>
      </x:c>
      <x:c r="C144" t="str">
        <x:v>B200</x:v>
      </x:c>
      <x:c r="D144" t="str">
        <x:v>direct</x:v>
      </x:c>
      <x:c r="E144" t="str">
        <x:v>long</x:v>
      </x:c>
      <x:c r="F144" s="19" t="n">
        <x:v>100</x:v>
      </x:c>
      <x:c r="G144" t="str">
        <x:v>vllm</x:v>
      </x:c>
      <x:c r="H144" s="23" t="str">
        <x:v>DIRECT_PREFERRED</x:v>
      </x:c>
      <x:c r="I144" s="20" t="n">
        <x:v>66510.10476536021</x:v>
      </x:c>
      <x:c r="J144" s="20" t="n">
        <x:v>119.25889052741658</x:v>
      </x:c>
      <x:c r="K144" s="20" t="n">
        <x:v>4</x:v>
      </x:c>
      <x:c r="L144" s="20" t="n">
        <x:v>4</x:v>
      </x:c>
      <x:c r="M144" s="20" t="n">
        <x:v>1</x:v>
      </x:c>
      <x:c r="N144" t="str">
        <x:v>fp4</x:v>
      </x:c>
      <x:c r="O144" t="str">
        <x:v>none</x:v>
      </x:c>
      <x:c r="P144" s="19" t="n">
        <x:v>439027</x:v>
      </x:c>
      <x:c r="Q144" s="21" t="n">
        <x:v>46241</x:v>
      </x:c>
      <x:c r="R144" s="22" t="n">
        <x:v>121421.69954434081</x:v>
      </x:c>
      <x:c r="S144" t="str">
        <x:v>dynamo-trt</x:v>
      </x:c>
      <x:c r="T144" t="str">
        <x:v>dynamo-trt, vllm</x:v>
      </x:c>
      <x:c r="U144" s="19" t="n">
        <x:v>36</x:v>
      </x:c>
      <x:c r="V144" s="19" t="n">
        <x:v>41</x:v>
      </x:c>
      <x:c r="W144" s="19" t="n">
        <x:v>11</x:v>
      </x:c>
      <x:c r="X144" t="str"/>
      <x:c r="Y144" s="23" t="str">
        <x:v>Preferred framework has a direct Pareto-eligible observation.</x:v>
      </x:c>
    </x:row>
    <x:row r="145">
      <x:c r="A145" t="str">
        <x:v>Kimi K2.5</x:v>
      </x:c>
      <x:c r="B145" t="str">
        <x:v>kimik2.5</x:v>
      </x:c>
      <x:c r="C145" t="str">
        <x:v>B200</x:v>
      </x:c>
      <x:c r="D145" t="str">
        <x:v>direct</x:v>
      </x:c>
      <x:c r="E145" t="str">
        <x:v>agentic</x:v>
      </x:c>
      <x:c r="F145" s="19" t="n">
        <x:v>30</x:v>
      </x:c>
      <x:c r="G145" t="str">
        <x:v>vllm</x:v>
      </x:c>
      <x:c r="H145" s="23" t="str">
        <x:v>AGENTIC_RATIO_CANDIDATE</x:v>
      </x:c>
      <x:c r="I145" s="20"/>
      <x:c r="J145" s="20"/>
      <x:c r="K145" s="20"/>
      <x:c r="L145" s="20"/>
      <x:c r="M145" s="20"/>
      <x:c r="N145" t="str"/>
      <x:c r="O145" t="str"/>
      <x:c r="P145" s="19"/>
      <x:c r="Q145" s="21" t="str"/>
      <x:c r="R145" s="22"/>
      <x:c r="S145" t="str"/>
      <x:c r="T145" t="str"/>
      <x:c r="U145" s="19" t="n">
        <x:v>0</x:v>
      </x:c>
      <x:c r="V145" s="19" t="n">
        <x:v>0</x:v>
      </x:c>
      <x:c r="W145" s="19" t="n">
        <x:v>0</x:v>
      </x:c>
      <x:c r="X145" t="str">
        <x:v>long</x:v>
      </x:c>
      <x:c r="Y145" s="23" t="str">
        <x:v>Preferred framework lacks agentic; long can serve as the same-model anchor if a matched ratio is supported.</x:v>
      </x:c>
    </x:row>
    <x:row r="146">
      <x:c r="A146" t="str">
        <x:v>Kimi K2.5</x:v>
      </x:c>
      <x:c r="B146" t="str">
        <x:v>kimik2.5</x:v>
      </x:c>
      <x:c r="C146" t="str">
        <x:v>B200</x:v>
      </x:c>
      <x:c r="D146" t="str">
        <x:v>direct</x:v>
      </x:c>
      <x:c r="E146" t="str">
        <x:v>agentic</x:v>
      </x:c>
      <x:c r="F146" s="19" t="n">
        <x:v>50</x:v>
      </x:c>
      <x:c r="G146" t="str">
        <x:v>vllm</x:v>
      </x:c>
      <x:c r="H146" s="23" t="str">
        <x:v>AGENTIC_RATIO_CANDIDATE</x:v>
      </x:c>
      <x:c r="I146" s="20"/>
      <x:c r="J146" s="20"/>
      <x:c r="K146" s="20"/>
      <x:c r="L146" s="20"/>
      <x:c r="M146" s="20"/>
      <x:c r="N146" t="str"/>
      <x:c r="O146" t="str"/>
      <x:c r="P146" s="19"/>
      <x:c r="Q146" s="21" t="str"/>
      <x:c r="R146" s="22"/>
      <x:c r="S146" t="str"/>
      <x:c r="T146" t="str"/>
      <x:c r="U146" s="19" t="n">
        <x:v>0</x:v>
      </x:c>
      <x:c r="V146" s="19" t="n">
        <x:v>0</x:v>
      </x:c>
      <x:c r="W146" s="19" t="n">
        <x:v>0</x:v>
      </x:c>
      <x:c r="X146" t="str">
        <x:v>long</x:v>
      </x:c>
      <x:c r="Y146" s="23" t="str">
        <x:v>Preferred framework lacks agentic; long can serve as the same-model anchor if a matched ratio is supported.</x:v>
      </x:c>
    </x:row>
    <x:row r="147">
      <x:c r="A147" t="str">
        <x:v>Kimi K2.5</x:v>
      </x:c>
      <x:c r="B147" t="str">
        <x:v>kimik2.5</x:v>
      </x:c>
      <x:c r="C147" t="str">
        <x:v>B200</x:v>
      </x:c>
      <x:c r="D147" t="str">
        <x:v>direct</x:v>
      </x:c>
      <x:c r="E147" t="str">
        <x:v>agentic</x:v>
      </x:c>
      <x:c r="F147" s="19" t="n">
        <x:v>70</x:v>
      </x:c>
      <x:c r="G147" t="str">
        <x:v>vllm</x:v>
      </x:c>
      <x:c r="H147" s="23" t="str">
        <x:v>AGENTIC_RATIO_CANDIDATE</x:v>
      </x:c>
      <x:c r="I147" s="20"/>
      <x:c r="J147" s="20"/>
      <x:c r="K147" s="20"/>
      <x:c r="L147" s="20"/>
      <x:c r="M147" s="20"/>
      <x:c r="N147" t="str"/>
      <x:c r="O147" t="str"/>
      <x:c r="P147" s="19"/>
      <x:c r="Q147" s="21" t="str"/>
      <x:c r="R147" s="22"/>
      <x:c r="S147" t="str"/>
      <x:c r="T147" t="str"/>
      <x:c r="U147" s="19" t="n">
        <x:v>0</x:v>
      </x:c>
      <x:c r="V147" s="19" t="n">
        <x:v>0</x:v>
      </x:c>
      <x:c r="W147" s="19" t="n">
        <x:v>0</x:v>
      </x:c>
      <x:c r="X147" t="str">
        <x:v>long</x:v>
      </x:c>
      <x:c r="Y147" s="23" t="str">
        <x:v>Preferred framework lacks agentic; long can serve as the same-model anchor if a matched ratio is supported.</x:v>
      </x:c>
    </x:row>
    <x:row r="148">
      <x:c r="A148" t="str">
        <x:v>Kimi K2.5</x:v>
      </x:c>
      <x:c r="B148" t="str">
        <x:v>kimik2.5</x:v>
      </x:c>
      <x:c r="C148" t="str">
        <x:v>B200</x:v>
      </x:c>
      <x:c r="D148" t="str">
        <x:v>direct</x:v>
      </x:c>
      <x:c r="E148" t="str">
        <x:v>agentic</x:v>
      </x:c>
      <x:c r="F148" s="19" t="n">
        <x:v>100</x:v>
      </x:c>
      <x:c r="G148" t="str">
        <x:v>vllm</x:v>
      </x:c>
      <x:c r="H148" s="23" t="str">
        <x:v>AGENTIC_RATIO_CANDIDATE</x:v>
      </x:c>
      <x:c r="I148" s="20"/>
      <x:c r="J148" s="20"/>
      <x:c r="K148" s="20"/>
      <x:c r="L148" s="20"/>
      <x:c r="M148" s="20"/>
      <x:c r="N148" t="str"/>
      <x:c r="O148" t="str"/>
      <x:c r="P148" s="19"/>
      <x:c r="Q148" s="21" t="str"/>
      <x:c r="R148" s="22"/>
      <x:c r="S148" t="str"/>
      <x:c r="T148" t="str"/>
      <x:c r="U148" s="19" t="n">
        <x:v>0</x:v>
      </x:c>
      <x:c r="V148" s="19" t="n">
        <x:v>0</x:v>
      </x:c>
      <x:c r="W148" s="19" t="n">
        <x:v>0</x:v>
      </x:c>
      <x:c r="X148" t="str">
        <x:v>long</x:v>
      </x:c>
      <x:c r="Y148" s="23" t="str">
        <x:v>Preferred framework lacks agentic; long can serve as the same-model anchor if a matched ratio is supported.</x:v>
      </x:c>
    </x:row>
    <x:row r="149">
      <x:c r="A149" t="str">
        <x:v>Kimi K2.5</x:v>
      </x:c>
      <x:c r="B149" t="str">
        <x:v>kimik2.5</x:v>
      </x:c>
      <x:c r="C149" t="str">
        <x:v>B300</x:v>
      </x:c>
      <x:c r="D149" t="str">
        <x:v>direct</x:v>
      </x:c>
      <x:c r="E149" t="str">
        <x:v>short</x:v>
      </x:c>
      <x:c r="F149" s="19" t="n">
        <x:v>30</x:v>
      </x:c>
      <x:c r="G149" t="str">
        <x:v>vllm</x:v>
      </x:c>
      <x:c r="H149" s="23" t="str">
        <x:v>DIRECT_PREFERRED</x:v>
      </x:c>
      <x:c r="I149" s="20" t="n">
        <x:v>558962.1900343957</x:v>
      </x:c>
      <x:c r="J149" s="20" t="n">
        <x:v>34.37905072423207</x:v>
      </x:c>
      <x:c r="K149" s="20" t="n">
        <x:v>128</x:v>
      </x:c>
      <x:c r="L149" s="20" t="n">
        <x:v>4</x:v>
      </x:c>
      <x:c r="M149" s="20" t="n">
        <x:v>32</x:v>
      </x:c>
      <x:c r="N149" t="str">
        <x:v>fp4</x:v>
      </x:c>
      <x:c r="O149" t="str">
        <x:v>none</x:v>
      </x:c>
      <x:c r="P149" s="19" t="n">
        <x:v>420124</x:v>
      </x:c>
      <x:c r="Q149" s="21" t="n">
        <x:v>46180</x:v>
      </x:c>
      <x:c r="R149" s="22" t="n">
        <x:v>558962.1900343957</x:v>
      </x:c>
      <x:c r="S149" t="str">
        <x:v>vllm</x:v>
      </x:c>
      <x:c r="T149" t="str">
        <x:v>vllm</x:v>
      </x:c>
      <x:c r="U149" s="19" t="n">
        <x:v>59</x:v>
      </x:c>
      <x:c r="V149" s="19" t="n">
        <x:v>59</x:v>
      </x:c>
      <x:c r="W149" s="19" t="n">
        <x:v>8</x:v>
      </x:c>
      <x:c r="X149" t="str"/>
      <x:c r="Y149" s="23" t="str">
        <x:v>Preferred framework has a direct Pareto-eligible observation.</x:v>
      </x:c>
    </x:row>
    <x:row r="150">
      <x:c r="A150" t="str">
        <x:v>Kimi K2.5</x:v>
      </x:c>
      <x:c r="B150" t="str">
        <x:v>kimik2.5</x:v>
      </x:c>
      <x:c r="C150" t="str">
        <x:v>B300</x:v>
      </x:c>
      <x:c r="D150" t="str">
        <x:v>direct</x:v>
      </x:c>
      <x:c r="E150" t="str">
        <x:v>short</x:v>
      </x:c>
      <x:c r="F150" s="19" t="n">
        <x:v>50</x:v>
      </x:c>
      <x:c r="G150" t="str">
        <x:v>vllm</x:v>
      </x:c>
      <x:c r="H150" s="23" t="str">
        <x:v>DIRECT_PREFERRED</x:v>
      </x:c>
      <x:c r="I150" s="20" t="n">
        <x:v>252293.36528356746</x:v>
      </x:c>
      <x:c r="J150" s="20" t="n">
        <x:v>61.47546902228195</x:v>
      </x:c>
      <x:c r="K150" s="20" t="n">
        <x:v>32</x:v>
      </x:c>
      <x:c r="L150" s="20" t="n">
        <x:v>4</x:v>
      </x:c>
      <x:c r="M150" s="20" t="n">
        <x:v>8</x:v>
      </x:c>
      <x:c r="N150" t="str">
        <x:v>fp4</x:v>
      </x:c>
      <x:c r="O150" t="str">
        <x:v>none</x:v>
      </x:c>
      <x:c r="P150" s="19" t="n">
        <x:v>200902</x:v>
      </x:c>
      <x:c r="Q150" s="21" t="n">
        <x:v>46132</x:v>
      </x:c>
      <x:c r="R150" s="22" t="n">
        <x:v>252293.36528356746</x:v>
      </x:c>
      <x:c r="S150" t="str">
        <x:v>vllm</x:v>
      </x:c>
      <x:c r="T150" t="str">
        <x:v>vllm</x:v>
      </x:c>
      <x:c r="U150" s="19" t="n">
        <x:v>47</x:v>
      </x:c>
      <x:c r="V150" s="19" t="n">
        <x:v>47</x:v>
      </x:c>
      <x:c r="W150" s="19" t="n">
        <x:v>8</x:v>
      </x:c>
      <x:c r="X150" t="str"/>
      <x:c r="Y150" s="23" t="str">
        <x:v>Preferred framework has a direct Pareto-eligible observation.</x:v>
      </x:c>
    </x:row>
    <x:row r="151">
      <x:c r="A151" t="str">
        <x:v>Kimi K2.5</x:v>
      </x:c>
      <x:c r="B151" t="str">
        <x:v>kimik2.5</x:v>
      </x:c>
      <x:c r="C151" t="str">
        <x:v>B300</x:v>
      </x:c>
      <x:c r="D151" t="str">
        <x:v>direct</x:v>
      </x:c>
      <x:c r="E151" t="str">
        <x:v>short</x:v>
      </x:c>
      <x:c r="F151" s="19" t="n">
        <x:v>70</x:v>
      </x:c>
      <x:c r="G151" t="str">
        <x:v>vllm</x:v>
      </x:c>
      <x:c r="H151" s="23" t="str">
        <x:v>DIRECT_PREFERRED</x:v>
      </x:c>
      <x:c r="I151" s="20" t="n">
        <x:v>230833.41397376943</x:v>
      </x:c>
      <x:c r="J151" s="20" t="n">
        <x:v>113.08310862540941</x:v>
      </x:c>
      <x:c r="K151" s="20" t="n">
        <x:v>16</x:v>
      </x:c>
      <x:c r="L151" s="20" t="n">
        <x:v>4</x:v>
      </x:c>
      <x:c r="M151" s="20" t="n">
        <x:v>4</x:v>
      </x:c>
      <x:c r="N151" t="str">
        <x:v>fp4</x:v>
      </x:c>
      <x:c r="O151" t="str">
        <x:v>none</x:v>
      </x:c>
      <x:c r="P151" s="19" t="n">
        <x:v>420118</x:v>
      </x:c>
      <x:c r="Q151" s="21" t="n">
        <x:v>46180</x:v>
      </x:c>
      <x:c r="R151" s="22" t="n">
        <x:v>230833.41397376943</x:v>
      </x:c>
      <x:c r="S151" t="str">
        <x:v>vllm</x:v>
      </x:c>
      <x:c r="T151" t="str">
        <x:v>vllm</x:v>
      </x:c>
      <x:c r="U151" s="19" t="n">
        <x:v>35</x:v>
      </x:c>
      <x:c r="V151" s="19" t="n">
        <x:v>35</x:v>
      </x:c>
      <x:c r="W151" s="19" t="n">
        <x:v>8</x:v>
      </x:c>
      <x:c r="X151" t="str"/>
      <x:c r="Y151" s="23" t="str">
        <x:v>Preferred framework has a direct Pareto-eligible observation.</x:v>
      </x:c>
    </x:row>
    <x:row r="152">
      <x:c r="A152" t="str">
        <x:v>Kimi K2.5</x:v>
      </x:c>
      <x:c r="B152" t="str">
        <x:v>kimik2.5</x:v>
      </x:c>
      <x:c r="C152" t="str">
        <x:v>B300</x:v>
      </x:c>
      <x:c r="D152" t="str">
        <x:v>direct</x:v>
      </x:c>
      <x:c r="E152" t="str">
        <x:v>short</x:v>
      </x:c>
      <x:c r="F152" s="19" t="n">
        <x:v>100</x:v>
      </x:c>
      <x:c r="G152" t="str">
        <x:v>vllm</x:v>
      </x:c>
      <x:c r="H152" s="23" t="str">
        <x:v>DIRECT_PREFERRED</x:v>
      </x:c>
      <x:c r="I152" s="20" t="n">
        <x:v>230833.41397376943</x:v>
      </x:c>
      <x:c r="J152" s="20" t="n">
        <x:v>113.08310862540941</x:v>
      </x:c>
      <x:c r="K152" s="20" t="n">
        <x:v>16</x:v>
      </x:c>
      <x:c r="L152" s="20" t="n">
        <x:v>4</x:v>
      </x:c>
      <x:c r="M152" s="20" t="n">
        <x:v>4</x:v>
      </x:c>
      <x:c r="N152" t="str">
        <x:v>fp4</x:v>
      </x:c>
      <x:c r="O152" t="str">
        <x:v>none</x:v>
      </x:c>
      <x:c r="P152" s="19" t="n">
        <x:v>420118</x:v>
      </x:c>
      <x:c r="Q152" s="21" t="n">
        <x:v>46180</x:v>
      </x:c>
      <x:c r="R152" s="22" t="n">
        <x:v>230833.41397376943</x:v>
      </x:c>
      <x:c r="S152" t="str">
        <x:v>vllm</x:v>
      </x:c>
      <x:c r="T152" t="str">
        <x:v>vllm</x:v>
      </x:c>
      <x:c r="U152" s="19" t="n">
        <x:v>18</x:v>
      </x:c>
      <x:c r="V152" s="19" t="n">
        <x:v>18</x:v>
      </x:c>
      <x:c r="W152" s="19" t="n">
        <x:v>8</x:v>
      </x:c>
      <x:c r="X152" t="str"/>
      <x:c r="Y152" s="23" t="str">
        <x:v>Preferred framework has a direct Pareto-eligible observation.</x:v>
      </x:c>
    </x:row>
    <x:row r="153">
      <x:c r="A153" t="str">
        <x:v>Kimi K2.5</x:v>
      </x:c>
      <x:c r="B153" t="str">
        <x:v>kimik2.5</x:v>
      </x:c>
      <x:c r="C153" t="str">
        <x:v>B300</x:v>
      </x:c>
      <x:c r="D153" t="str">
        <x:v>direct</x:v>
      </x:c>
      <x:c r="E153" t="str">
        <x:v>long</x:v>
      </x:c>
      <x:c r="F153" s="19" t="n">
        <x:v>30</x:v>
      </x:c>
      <x:c r="G153" t="str">
        <x:v>vllm</x:v>
      </x:c>
      <x:c r="H153" s="23" t="str">
        <x:v>DIRECT_PREFERRED</x:v>
      </x:c>
      <x:c r="I153" s="20" t="n">
        <x:v>275353.6675767799</x:v>
      </x:c>
      <x:c r="J153" s="20" t="n">
        <x:v>33.6325085645681</x:v>
      </x:c>
      <x:c r="K153" s="20" t="n">
        <x:v>64</x:v>
      </x:c>
      <x:c r="L153" s="20" t="n">
        <x:v>16</x:v>
      </x:c>
      <x:c r="M153" s="20" t="n">
        <x:v>4</x:v>
      </x:c>
      <x:c r="N153" t="str">
        <x:v>fp4</x:v>
      </x:c>
      <x:c r="O153" t="str">
        <x:v>none</x:v>
      </x:c>
      <x:c r="P153" s="19" t="n">
        <x:v>439122</x:v>
      </x:c>
      <x:c r="Q153" s="21" t="n">
        <x:v>46241</x:v>
      </x:c>
      <x:c r="R153" s="22" t="n">
        <x:v>275353.6675767799</x:v>
      </x:c>
      <x:c r="S153" t="str">
        <x:v>vllm</x:v>
      </x:c>
      <x:c r="T153" t="str">
        <x:v>vllm</x:v>
      </x:c>
      <x:c r="U153" s="19" t="n">
        <x:v>78</x:v>
      </x:c>
      <x:c r="V153" s="19" t="n">
        <x:v>78</x:v>
      </x:c>
      <x:c r="W153" s="19" t="n">
        <x:v>10</x:v>
      </x:c>
      <x:c r="X153" t="str"/>
      <x:c r="Y153" s="23" t="str">
        <x:v>Preferred framework has a direct Pareto-eligible observation.</x:v>
      </x:c>
    </x:row>
    <x:row r="154">
      <x:c r="A154" t="str">
        <x:v>Kimi K2.5</x:v>
      </x:c>
      <x:c r="B154" t="str">
        <x:v>kimik2.5</x:v>
      </x:c>
      <x:c r="C154" t="str">
        <x:v>B300</x:v>
      </x:c>
      <x:c r="D154" t="str">
        <x:v>direct</x:v>
      </x:c>
      <x:c r="E154" t="str">
        <x:v>long</x:v>
      </x:c>
      <x:c r="F154" s="19" t="n">
        <x:v>50</x:v>
      </x:c>
      <x:c r="G154" t="str">
        <x:v>vllm</x:v>
      </x:c>
      <x:c r="H154" s="23" t="str">
        <x:v>DIRECT_PREFERRED</x:v>
      </x:c>
      <x:c r="I154" s="20" t="n">
        <x:v>205221.1762750317</x:v>
      </x:c>
      <x:c r="J154" s="20" t="n">
        <x:v>50.289044229064416</x:v>
      </x:c>
      <x:c r="K154" s="20" t="n">
        <x:v>32</x:v>
      </x:c>
      <x:c r="L154" s="20" t="n">
        <x:v>4</x:v>
      </x:c>
      <x:c r="M154" s="20" t="n">
        <x:v>8</x:v>
      </x:c>
      <x:c r="N154" t="str">
        <x:v>fp4</x:v>
      </x:c>
      <x:c r="O154" t="str">
        <x:v>none</x:v>
      </x:c>
      <x:c r="P154" s="19" t="n">
        <x:v>439132</x:v>
      </x:c>
      <x:c r="Q154" s="21" t="n">
        <x:v>46241</x:v>
      </x:c>
      <x:c r="R154" s="22" t="n">
        <x:v>205221.1762750317</x:v>
      </x:c>
      <x:c r="S154" t="str">
        <x:v>vllm</x:v>
      </x:c>
      <x:c r="T154" t="str">
        <x:v>vllm</x:v>
      </x:c>
      <x:c r="U154" s="19" t="n">
        <x:v>54</x:v>
      </x:c>
      <x:c r="V154" s="19" t="n">
        <x:v>54</x:v>
      </x:c>
      <x:c r="W154" s="19" t="n">
        <x:v>10</x:v>
      </x:c>
      <x:c r="X154" t="str"/>
      <x:c r="Y154" s="23" t="str">
        <x:v>Preferred framework has a direct Pareto-eligible observation.</x:v>
      </x:c>
    </x:row>
    <x:row r="155">
      <x:c r="A155" t="str">
        <x:v>Kimi K2.5</x:v>
      </x:c>
      <x:c r="B155" t="str">
        <x:v>kimik2.5</x:v>
      </x:c>
      <x:c r="C155" t="str">
        <x:v>B300</x:v>
      </x:c>
      <x:c r="D155" t="str">
        <x:v>direct</x:v>
      </x:c>
      <x:c r="E155" t="str">
        <x:v>long</x:v>
      </x:c>
      <x:c r="F155" s="19" t="n">
        <x:v>70</x:v>
      </x:c>
      <x:c r="G155" t="str">
        <x:v>vllm</x:v>
      </x:c>
      <x:c r="H155" s="23" t="str">
        <x:v>DIRECT_PREFERRED</x:v>
      </x:c>
      <x:c r="I155" s="20" t="n">
        <x:v>165628.19376147856</x:v>
      </x:c>
      <x:c r="J155" s="20" t="n">
        <x:v>89.59001244668067</x:v>
      </x:c>
      <x:c r="K155" s="20" t="n">
        <x:v>16</x:v>
      </x:c>
      <x:c r="L155" s="20" t="n">
        <x:v>4</x:v>
      </x:c>
      <x:c r="M155" s="20" t="n">
        <x:v>4</x:v>
      </x:c>
      <x:c r="N155" t="str">
        <x:v>fp4</x:v>
      </x:c>
      <x:c r="O155" t="str">
        <x:v>none</x:v>
      </x:c>
      <x:c r="P155" s="19" t="n">
        <x:v>420104</x:v>
      </x:c>
      <x:c r="Q155" s="21" t="n">
        <x:v>46180</x:v>
      </x:c>
      <x:c r="R155" s="22" t="n">
        <x:v>165628.19376147856</x:v>
      </x:c>
      <x:c r="S155" t="str">
        <x:v>vllm</x:v>
      </x:c>
      <x:c r="T155" t="str">
        <x:v>vllm</x:v>
      </x:c>
      <x:c r="U155" s="19" t="n">
        <x:v>42</x:v>
      </x:c>
      <x:c r="V155" s="19" t="n">
        <x:v>42</x:v>
      </x:c>
      <x:c r="W155" s="19" t="n">
        <x:v>10</x:v>
      </x:c>
      <x:c r="X155" t="str"/>
      <x:c r="Y155" s="23" t="str">
        <x:v>Preferred framework has a direct Pareto-eligible observation.</x:v>
      </x:c>
    </x:row>
    <x:row r="156">
      <x:c r="A156" t="str">
        <x:v>Kimi K2.5</x:v>
      </x:c>
      <x:c r="B156" t="str">
        <x:v>kimik2.5</x:v>
      </x:c>
      <x:c r="C156" t="str">
        <x:v>B300</x:v>
      </x:c>
      <x:c r="D156" t="str">
        <x:v>direct</x:v>
      </x:c>
      <x:c r="E156" t="str">
        <x:v>long</x:v>
      </x:c>
      <x:c r="F156" s="19" t="n">
        <x:v>100</x:v>
      </x:c>
      <x:c r="G156" t="str">
        <x:v>vllm</x:v>
      </x:c>
      <x:c r="H156" s="23" t="str">
        <x:v>DIRECT_PREFERRED</x:v>
      </x:c>
      <x:c r="I156" s="20" t="n">
        <x:v>116007.97086577384</x:v>
      </x:c>
      <x:c r="J156" s="20" t="n">
        <x:v>115.93783129933983</x:v>
      </x:c>
      <x:c r="K156" s="20" t="n">
        <x:v>8</x:v>
      </x:c>
      <x:c r="L156" s="20" t="n">
        <x:v>4</x:v>
      </x:c>
      <x:c r="M156" s="20" t="n">
        <x:v>2</x:v>
      </x:c>
      <x:c r="N156" t="str">
        <x:v>fp4</x:v>
      </x:c>
      <x:c r="O156" t="str">
        <x:v>none</x:v>
      </x:c>
      <x:c r="P156" s="19" t="n">
        <x:v>420114</x:v>
      </x:c>
      <x:c r="Q156" s="21" t="n">
        <x:v>46180</x:v>
      </x:c>
      <x:c r="R156" s="22" t="n">
        <x:v>116007.97086577384</x:v>
      </x:c>
      <x:c r="S156" t="str">
        <x:v>vllm</x:v>
      </x:c>
      <x:c r="T156" t="str">
        <x:v>vllm</x:v>
      </x:c>
      <x:c r="U156" s="19" t="n">
        <x:v>23</x:v>
      </x:c>
      <x:c r="V156" s="19" t="n">
        <x:v>23</x:v>
      </x:c>
      <x:c r="W156" s="19" t="n">
        <x:v>10</x:v>
      </x:c>
      <x:c r="X156" t="str"/>
      <x:c r="Y156" s="23" t="str">
        <x:v>Preferred framework has a direct Pareto-eligible observation.</x:v>
      </x:c>
    </x:row>
    <x:row r="157">
      <x:c r="A157" t="str">
        <x:v>Kimi K2.5</x:v>
      </x:c>
      <x:c r="B157" t="str">
        <x:v>kimik2.5</x:v>
      </x:c>
      <x:c r="C157" t="str">
        <x:v>B300</x:v>
      </x:c>
      <x:c r="D157" t="str">
        <x:v>direct</x:v>
      </x:c>
      <x:c r="E157" t="str">
        <x:v>agentic</x:v>
      </x:c>
      <x:c r="F157" s="19" t="n">
        <x:v>30</x:v>
      </x:c>
      <x:c r="G157" t="str">
        <x:v>vllm</x:v>
      </x:c>
      <x:c r="H157" s="23" t="str">
        <x:v>AGENTIC_RATIO_CANDIDATE</x:v>
      </x:c>
      <x:c r="I157" s="20"/>
      <x:c r="J157" s="20"/>
      <x:c r="K157" s="20"/>
      <x:c r="L157" s="20"/>
      <x:c r="M157" s="20"/>
      <x:c r="N157" t="str"/>
      <x:c r="O157" t="str"/>
      <x:c r="P157" s="19"/>
      <x:c r="Q157" s="21" t="str"/>
      <x:c r="R157" s="22"/>
      <x:c r="S157" t="str"/>
      <x:c r="T157" t="str"/>
      <x:c r="U157" s="19" t="n">
        <x:v>0</x:v>
      </x:c>
      <x:c r="V157" s="19" t="n">
        <x:v>0</x:v>
      </x:c>
      <x:c r="W157" s="19" t="n">
        <x:v>0</x:v>
      </x:c>
      <x:c r="X157" t="str">
        <x:v>long</x:v>
      </x:c>
      <x:c r="Y157" s="23" t="str">
        <x:v>Preferred framework lacks agentic; long can serve as the same-model anchor if a matched ratio is supported.</x:v>
      </x:c>
    </x:row>
    <x:row r="158">
      <x:c r="A158" t="str">
        <x:v>Kimi K2.5</x:v>
      </x:c>
      <x:c r="B158" t="str">
        <x:v>kimik2.5</x:v>
      </x:c>
      <x:c r="C158" t="str">
        <x:v>B300</x:v>
      </x:c>
      <x:c r="D158" t="str">
        <x:v>direct</x:v>
      </x:c>
      <x:c r="E158" t="str">
        <x:v>agentic</x:v>
      </x:c>
      <x:c r="F158" s="19" t="n">
        <x:v>50</x:v>
      </x:c>
      <x:c r="G158" t="str">
        <x:v>vllm</x:v>
      </x:c>
      <x:c r="H158" s="23" t="str">
        <x:v>AGENTIC_RATIO_CANDIDATE</x:v>
      </x:c>
      <x:c r="I158" s="20"/>
      <x:c r="J158" s="20"/>
      <x:c r="K158" s="20"/>
      <x:c r="L158" s="20"/>
      <x:c r="M158" s="20"/>
      <x:c r="N158" t="str"/>
      <x:c r="O158" t="str"/>
      <x:c r="P158" s="19"/>
      <x:c r="Q158" s="21" t="str"/>
      <x:c r="R158" s="22"/>
      <x:c r="S158" t="str"/>
      <x:c r="T158" t="str"/>
      <x:c r="U158" s="19" t="n">
        <x:v>0</x:v>
      </x:c>
      <x:c r="V158" s="19" t="n">
        <x:v>0</x:v>
      </x:c>
      <x:c r="W158" s="19" t="n">
        <x:v>0</x:v>
      </x:c>
      <x:c r="X158" t="str">
        <x:v>long</x:v>
      </x:c>
      <x:c r="Y158" s="23" t="str">
        <x:v>Preferred framework lacks agentic; long can serve as the same-model anchor if a matched ratio is supported.</x:v>
      </x:c>
    </x:row>
    <x:row r="159">
      <x:c r="A159" t="str">
        <x:v>Kimi K2.5</x:v>
      </x:c>
      <x:c r="B159" t="str">
        <x:v>kimik2.5</x:v>
      </x:c>
      <x:c r="C159" t="str">
        <x:v>B300</x:v>
      </x:c>
      <x:c r="D159" t="str">
        <x:v>direct</x:v>
      </x:c>
      <x:c r="E159" t="str">
        <x:v>agentic</x:v>
      </x:c>
      <x:c r="F159" s="19" t="n">
        <x:v>70</x:v>
      </x:c>
      <x:c r="G159" t="str">
        <x:v>vllm</x:v>
      </x:c>
      <x:c r="H159" s="23" t="str">
        <x:v>AGENTIC_RATIO_CANDIDATE</x:v>
      </x:c>
      <x:c r="I159" s="20"/>
      <x:c r="J159" s="20"/>
      <x:c r="K159" s="20"/>
      <x:c r="L159" s="20"/>
      <x:c r="M159" s="20"/>
      <x:c r="N159" t="str"/>
      <x:c r="O159" t="str"/>
      <x:c r="P159" s="19"/>
      <x:c r="Q159" s="21" t="str"/>
      <x:c r="R159" s="22"/>
      <x:c r="S159" t="str"/>
      <x:c r="T159" t="str"/>
      <x:c r="U159" s="19" t="n">
        <x:v>0</x:v>
      </x:c>
      <x:c r="V159" s="19" t="n">
        <x:v>0</x:v>
      </x:c>
      <x:c r="W159" s="19" t="n">
        <x:v>0</x:v>
      </x:c>
      <x:c r="X159" t="str">
        <x:v>long</x:v>
      </x:c>
      <x:c r="Y159" s="23" t="str">
        <x:v>Preferred framework lacks agentic; long can serve as the same-model anchor if a matched ratio is supported.</x:v>
      </x:c>
    </x:row>
    <x:row r="160">
      <x:c r="A160" t="str">
        <x:v>Kimi K2.5</x:v>
      </x:c>
      <x:c r="B160" t="str">
        <x:v>kimik2.5</x:v>
      </x:c>
      <x:c r="C160" t="str">
        <x:v>B300</x:v>
      </x:c>
      <x:c r="D160" t="str">
        <x:v>direct</x:v>
      </x:c>
      <x:c r="E160" t="str">
        <x:v>agentic</x:v>
      </x:c>
      <x:c r="F160" s="19" t="n">
        <x:v>100</x:v>
      </x:c>
      <x:c r="G160" t="str">
        <x:v>vllm</x:v>
      </x:c>
      <x:c r="H160" s="23" t="str">
        <x:v>AGENTIC_RATIO_CANDIDATE</x:v>
      </x:c>
      <x:c r="I160" s="20"/>
      <x:c r="J160" s="20"/>
      <x:c r="K160" s="20"/>
      <x:c r="L160" s="20"/>
      <x:c r="M160" s="20"/>
      <x:c r="N160" t="str"/>
      <x:c r="O160" t="str"/>
      <x:c r="P160" s="19"/>
      <x:c r="Q160" s="21" t="str"/>
      <x:c r="R160" s="22"/>
      <x:c r="S160" t="str"/>
      <x:c r="T160" t="str"/>
      <x:c r="U160" s="19" t="n">
        <x:v>0</x:v>
      </x:c>
      <x:c r="V160" s="19" t="n">
        <x:v>0</x:v>
      </x:c>
      <x:c r="W160" s="19" t="n">
        <x:v>0</x:v>
      </x:c>
      <x:c r="X160" t="str">
        <x:v>long</x:v>
      </x:c>
      <x:c r="Y160" s="23" t="str">
        <x:v>Preferred framework lacks agentic; long can serve as the same-model anchor if a matched ratio is supported.</x:v>
      </x:c>
    </x:row>
    <x:row r="161">
      <x:c r="A161" t="str">
        <x:v>Kimi K2.5</x:v>
      </x:c>
      <x:c r="B161" t="str">
        <x:v>kimik2.5</x:v>
      </x:c>
      <x:c r="C161" t="str">
        <x:v>GB200</x:v>
      </x:c>
      <x:c r="D161" t="str">
        <x:v>direct</x:v>
      </x:c>
      <x:c r="E161" t="str">
        <x:v>short</x:v>
      </x:c>
      <x:c r="F161" s="19" t="n">
        <x:v>30</x:v>
      </x:c>
      <x:c r="G161" t="str">
        <x:v>dynamo-trt</x:v>
      </x:c>
      <x:c r="H161" s="23" t="str">
        <x:v>DIRECT_PREFERRED</x:v>
      </x:c>
      <x:c r="I161" s="20" t="n">
        <x:v>4798956.730082549</x:v>
      </x:c>
      <x:c r="J161" s="20" t="n">
        <x:v>38.113431756997095</x:v>
      </x:c>
      <x:c r="K161" s="20" t="n">
        <x:v>4301</x:v>
      </x:c>
      <x:c r="L161" s="20" t="n">
        <x:v>24</x:v>
      </x:c>
      <x:c r="M161" s="20" t="n">
        <x:v>179.20833333333334</x:v>
      </x:c>
      <x:c r="N161" t="str">
        <x:v>fp4</x:v>
      </x:c>
      <x:c r="O161" t="str">
        <x:v>none</x:v>
      </x:c>
      <x:c r="P161" s="19" t="n">
        <x:v>426501</x:v>
      </x:c>
      <x:c r="Q161" s="21" t="n">
        <x:v>46193</x:v>
      </x:c>
      <x:c r="R161" s="22" t="n">
        <x:v>4798956.730082549</x:v>
      </x:c>
      <x:c r="S161" t="str">
        <x:v>dynamo-trt</x:v>
      </x:c>
      <x:c r="T161" t="str">
        <x:v>dynamo-trt, dynamo-vllm</x:v>
      </x:c>
      <x:c r="U161" s="19" t="n">
        <x:v>23</x:v>
      </x:c>
      <x:c r="V161" s="19" t="n">
        <x:v>41</x:v>
      </x:c>
      <x:c r="W161" s="19" t="n">
        <x:v>19</x:v>
      </x:c>
      <x:c r="X161" t="str"/>
      <x:c r="Y161" s="23" t="str">
        <x:v>Preferred framework has a direct Pareto-eligible observation.</x:v>
      </x:c>
    </x:row>
    <x:row r="162">
      <x:c r="A162" t="str">
        <x:v>Kimi K2.5</x:v>
      </x:c>
      <x:c r="B162" t="str">
        <x:v>kimik2.5</x:v>
      </x:c>
      <x:c r="C162" t="str">
        <x:v>GB200</x:v>
      </x:c>
      <x:c r="D162" t="str">
        <x:v>direct</x:v>
      </x:c>
      <x:c r="E162" t="str">
        <x:v>short</x:v>
      </x:c>
      <x:c r="F162" s="19" t="n">
        <x:v>50</x:v>
      </x:c>
      <x:c r="G162" t="str">
        <x:v>dynamo-trt</x:v>
      </x:c>
      <x:c r="H162" s="23" t="str">
        <x:v>DIRECT_PREFERRED</x:v>
      </x:c>
      <x:c r="I162" s="20" t="n">
        <x:v>3043267.5676837284</x:v>
      </x:c>
      <x:c r="J162" s="20" t="n">
        <x:v>50.10569345985507</x:v>
      </x:c>
      <x:c r="K162" s="20" t="n">
        <x:v>4301</x:v>
      </x:c>
      <x:c r="L162" s="20" t="n">
        <x:v>40</x:v>
      </x:c>
      <x:c r="M162" s="20" t="n">
        <x:v>107.525</x:v>
      </x:c>
      <x:c r="N162" t="str">
        <x:v>fp4</x:v>
      </x:c>
      <x:c r="O162" t="str">
        <x:v>none</x:v>
      </x:c>
      <x:c r="P162" s="19" t="n">
        <x:v>426499</x:v>
      </x:c>
      <x:c r="Q162" s="21" t="n">
        <x:v>46193</x:v>
      </x:c>
      <x:c r="R162" s="22" t="n">
        <x:v>3043267.5676837284</x:v>
      </x:c>
      <x:c r="S162" t="str">
        <x:v>dynamo-trt</x:v>
      </x:c>
      <x:c r="T162" t="str">
        <x:v>dynamo-trt, dynamo-vllm</x:v>
      </x:c>
      <x:c r="U162" s="19" t="n">
        <x:v>20</x:v>
      </x:c>
      <x:c r="V162" s="19" t="n">
        <x:v>31</x:v>
      </x:c>
      <x:c r="W162" s="19" t="n">
        <x:v>19</x:v>
      </x:c>
      <x:c r="X162" t="str"/>
      <x:c r="Y162" s="23" t="str">
        <x:v>Preferred framework has a direct Pareto-eligible observation.</x:v>
      </x:c>
    </x:row>
    <x:row r="163">
      <x:c r="A163" t="str">
        <x:v>Kimi K2.5</x:v>
      </x:c>
      <x:c r="B163" t="str">
        <x:v>kimik2.5</x:v>
      </x:c>
      <x:c r="C163" t="str">
        <x:v>GB200</x:v>
      </x:c>
      <x:c r="D163" t="str">
        <x:v>direct</x:v>
      </x:c>
      <x:c r="E163" t="str">
        <x:v>short</x:v>
      </x:c>
      <x:c r="F163" s="19" t="n">
        <x:v>70</x:v>
      </x:c>
      <x:c r="G163" t="str">
        <x:v>dynamo-trt</x:v>
      </x:c>
      <x:c r="H163" s="23" t="str">
        <x:v>DIRECT_PREFERRED</x:v>
      </x:c>
      <x:c r="I163" s="20" t="n">
        <x:v>1169891.0821431156</x:v>
      </x:c>
      <x:c r="J163" s="20" t="n">
        <x:v>74.58036473750457</x:v>
      </x:c>
      <x:c r="K163" s="20" t="n">
        <x:v>1127</x:v>
      </x:c>
      <x:c r="L163" s="20" t="n">
        <x:v>36</x:v>
      </x:c>
      <x:c r="M163" s="20" t="n">
        <x:v>31.305555555555557</x:v>
      </x:c>
      <x:c r="N163" t="str">
        <x:v>fp4</x:v>
      </x:c>
      <x:c r="O163" t="str">
        <x:v>none</x:v>
      </x:c>
      <x:c r="P163" s="19" t="n">
        <x:v>426495</x:v>
      </x:c>
      <x:c r="Q163" s="21" t="n">
        <x:v>46193</x:v>
      </x:c>
      <x:c r="R163" s="22" t="n">
        <x:v>1169891.0821431156</x:v>
      </x:c>
      <x:c r="S163" t="str">
        <x:v>dynamo-trt</x:v>
      </x:c>
      <x:c r="T163" t="str">
        <x:v>dynamo-trt, dynamo-vllm</x:v>
      </x:c>
      <x:c r="U163" s="19" t="n">
        <x:v>16</x:v>
      </x:c>
      <x:c r="V163" s="19" t="n">
        <x:v>25</x:v>
      </x:c>
      <x:c r="W163" s="19" t="n">
        <x:v>19</x:v>
      </x:c>
      <x:c r="X163" t="str"/>
      <x:c r="Y163" s="23" t="str">
        <x:v>Preferred framework has a direct Pareto-eligible observation.</x:v>
      </x:c>
    </x:row>
    <x:row r="164">
      <x:c r="A164" t="str">
        <x:v>Kimi K2.5</x:v>
      </x:c>
      <x:c r="B164" t="str">
        <x:v>kimik2.5</x:v>
      </x:c>
      <x:c r="C164" t="str">
        <x:v>GB200</x:v>
      </x:c>
      <x:c r="D164" t="str">
        <x:v>direct</x:v>
      </x:c>
      <x:c r="E164" t="str">
        <x:v>short</x:v>
      </x:c>
      <x:c r="F164" s="19" t="n">
        <x:v>100</x:v>
      </x:c>
      <x:c r="G164" t="str">
        <x:v>dynamo-trt</x:v>
      </x:c>
      <x:c r="H164" s="23" t="str">
        <x:v>DIRECT_PREFERRED</x:v>
      </x:c>
      <x:c r="I164" s="20" t="n">
        <x:v>117030.14864746727</x:v>
      </x:c>
      <x:c r="J164" s="20" t="n">
        <x:v>113.33689635223263</x:v>
      </x:c>
      <x:c r="K164" s="20" t="n">
        <x:v>60</x:v>
      </x:c>
      <x:c r="L164" s="20" t="n">
        <x:v>24</x:v>
      </x:c>
      <x:c r="M164" s="20" t="n">
        <x:v>2.5</x:v>
      </x:c>
      <x:c r="N164" t="str">
        <x:v>fp4</x:v>
      </x:c>
      <x:c r="O164" t="str">
        <x:v>none</x:v>
      </x:c>
      <x:c r="P164" s="19" t="n">
        <x:v>426507</x:v>
      </x:c>
      <x:c r="Q164" s="21" t="n">
        <x:v>46193</x:v>
      </x:c>
      <x:c r="R164" s="22" t="n">
        <x:v>117030.14864746727</x:v>
      </x:c>
      <x:c r="S164" t="str">
        <x:v>dynamo-trt</x:v>
      </x:c>
      <x:c r="T164" t="str">
        <x:v>dynamo-trt, dynamo-vllm</x:v>
      </x:c>
      <x:c r="U164" s="19" t="n">
        <x:v>10</x:v>
      </x:c>
      <x:c r="V164" s="19" t="n">
        <x:v>17</x:v>
      </x:c>
      <x:c r="W164" s="19" t="n">
        <x:v>19</x:v>
      </x:c>
      <x:c r="X164" t="str"/>
      <x:c r="Y164" s="23" t="str">
        <x:v>Preferred framework has a direct Pareto-eligible observation.</x:v>
      </x:c>
    </x:row>
    <x:row r="165">
      <x:c r="A165" t="str">
        <x:v>Kimi K2.5</x:v>
      </x:c>
      <x:c r="B165" t="str">
        <x:v>kimik2.5</x:v>
      </x:c>
      <x:c r="C165" t="str">
        <x:v>GB200</x:v>
      </x:c>
      <x:c r="D165" t="str">
        <x:v>direct</x:v>
      </x:c>
      <x:c r="E165" t="str">
        <x:v>long</x:v>
      </x:c>
      <x:c r="F165" s="19" t="n">
        <x:v>30</x:v>
      </x:c>
      <x:c r="G165" t="str">
        <x:v>dynamo-trt</x:v>
      </x:c>
      <x:c r="H165" s="23" t="str">
        <x:v>DIRECT_PREFERRED</x:v>
      </x:c>
      <x:c r="I165" s="20" t="n">
        <x:v>2462470.3722885116</x:v>
      </x:c>
      <x:c r="J165" s="20" t="n">
        <x:v>38.749884970878995</x:v>
      </x:c>
      <x:c r="K165" s="20" t="n">
        <x:v>2253</x:v>
      </x:c>
      <x:c r="L165" s="20" t="n">
        <x:v>44</x:v>
      </x:c>
      <x:c r="M165" s="20" t="n">
        <x:v>51.20454545454545</x:v>
      </x:c>
      <x:c r="N165" t="str">
        <x:v>fp4</x:v>
      </x:c>
      <x:c r="O165" t="str">
        <x:v>none</x:v>
      </x:c>
      <x:c r="P165" s="19" t="n">
        <x:v>426504</x:v>
      </x:c>
      <x:c r="Q165" s="21" t="n">
        <x:v>46193</x:v>
      </x:c>
      <x:c r="R165" s="22" t="n">
        <x:v>2462470.3722885116</x:v>
      </x:c>
      <x:c r="S165" t="str">
        <x:v>dynamo-trt</x:v>
      </x:c>
      <x:c r="T165" t="str">
        <x:v>dynamo-trt, dynamo-vllm</x:v>
      </x:c>
      <x:c r="U165" s="19" t="n">
        <x:v>21</x:v>
      </x:c>
      <x:c r="V165" s="19" t="n">
        <x:v>38</x:v>
      </x:c>
      <x:c r="W165" s="19" t="n">
        <x:v>16</x:v>
      </x:c>
      <x:c r="X165" t="str"/>
      <x:c r="Y165" s="23" t="str">
        <x:v>Preferred framework has a direct Pareto-eligible observation.</x:v>
      </x:c>
    </x:row>
    <x:row r="166">
      <x:c r="A166" t="str">
        <x:v>Kimi K2.5</x:v>
      </x:c>
      <x:c r="B166" t="str">
        <x:v>kimik2.5</x:v>
      </x:c>
      <x:c r="C166" t="str">
        <x:v>GB200</x:v>
      </x:c>
      <x:c r="D166" t="str">
        <x:v>direct</x:v>
      </x:c>
      <x:c r="E166" t="str">
        <x:v>long</x:v>
      </x:c>
      <x:c r="F166" s="19" t="n">
        <x:v>50</x:v>
      </x:c>
      <x:c r="G166" t="str">
        <x:v>dynamo-trt</x:v>
      </x:c>
      <x:c r="H166" s="23" t="str">
        <x:v>DIRECT_PREFERRED</x:v>
      </x:c>
      <x:c r="I166" s="20" t="n">
        <x:v>985185.4840846099</x:v>
      </x:c>
      <x:c r="J166" s="20" t="n">
        <x:v>61.9326113741378</x:v>
      </x:c>
      <x:c r="K166" s="20" t="n">
        <x:v>1229</x:v>
      </x:c>
      <x:c r="L166" s="20" t="n">
        <x:v>56</x:v>
      </x:c>
      <x:c r="M166" s="20" t="n">
        <x:v>21.946428571428573</x:v>
      </x:c>
      <x:c r="N166" t="str">
        <x:v>fp4</x:v>
      </x:c>
      <x:c r="O166" t="str">
        <x:v>none</x:v>
      </x:c>
      <x:c r="P166" s="19" t="n">
        <x:v>426509</x:v>
      </x:c>
      <x:c r="Q166" s="21" t="n">
        <x:v>46193</x:v>
      </x:c>
      <x:c r="R166" s="22" t="n">
        <x:v>985185.4840846099</x:v>
      </x:c>
      <x:c r="S166" t="str">
        <x:v>dynamo-trt</x:v>
      </x:c>
      <x:c r="T166" t="str">
        <x:v>dynamo-trt, dynamo-vllm</x:v>
      </x:c>
      <x:c r="U166" s="19" t="n">
        <x:v>17</x:v>
      </x:c>
      <x:c r="V166" s="19" t="n">
        <x:v>28</x:v>
      </x:c>
      <x:c r="W166" s="19" t="n">
        <x:v>16</x:v>
      </x:c>
      <x:c r="X166" t="str"/>
      <x:c r="Y166" s="23" t="str">
        <x:v>Preferred framework has a direct Pareto-eligible observation.</x:v>
      </x:c>
    </x:row>
    <x:row r="167">
      <x:c r="A167" t="str">
        <x:v>Kimi K2.5</x:v>
      </x:c>
      <x:c r="B167" t="str">
        <x:v>kimik2.5</x:v>
      </x:c>
      <x:c r="C167" t="str">
        <x:v>GB200</x:v>
      </x:c>
      <x:c r="D167" t="str">
        <x:v>direct</x:v>
      </x:c>
      <x:c r="E167" t="str">
        <x:v>long</x:v>
      </x:c>
      <x:c r="F167" s="19" t="n">
        <x:v>70</x:v>
      </x:c>
      <x:c r="G167" t="str">
        <x:v>dynamo-trt</x:v>
      </x:c>
      <x:c r="H167" s="23" t="str">
        <x:v>DIRECT_PREFERRED</x:v>
      </x:c>
      <x:c r="I167" s="20" t="n">
        <x:v>594793.8358387352</x:v>
      </x:c>
      <x:c r="J167" s="20" t="n">
        <x:v>74.62914403584223</x:v>
      </x:c>
      <x:c r="K167" s="20" t="n">
        <x:v>666</x:v>
      </x:c>
      <x:c r="L167" s="20" t="n">
        <x:v>48</x:v>
      </x:c>
      <x:c r="M167" s="20" t="n">
        <x:v>13.875</x:v>
      </x:c>
      <x:c r="N167" t="str">
        <x:v>fp4</x:v>
      </x:c>
      <x:c r="O167" t="str">
        <x:v>none</x:v>
      </x:c>
      <x:c r="P167" s="19" t="n">
        <x:v>426510</x:v>
      </x:c>
      <x:c r="Q167" s="21" t="n">
        <x:v>46193</x:v>
      </x:c>
      <x:c r="R167" s="22" t="n">
        <x:v>594793.8358387352</x:v>
      </x:c>
      <x:c r="S167" t="str">
        <x:v>dynamo-trt</x:v>
      </x:c>
      <x:c r="T167" t="str">
        <x:v>dynamo-trt, dynamo-vllm</x:v>
      </x:c>
      <x:c r="U167" s="19" t="n">
        <x:v>14</x:v>
      </x:c>
      <x:c r="V167" s="19" t="n">
        <x:v>25</x:v>
      </x:c>
      <x:c r="W167" s="19" t="n">
        <x:v>16</x:v>
      </x:c>
      <x:c r="X167" t="str"/>
      <x:c r="Y167" s="23" t="str">
        <x:v>Preferred framework has a direct Pareto-eligible observation.</x:v>
      </x:c>
    </x:row>
    <x:row r="168">
      <x:c r="A168" t="str">
        <x:v>Kimi K2.5</x:v>
      </x:c>
      <x:c r="B168" t="str">
        <x:v>kimik2.5</x:v>
      </x:c>
      <x:c r="C168" t="str">
        <x:v>GB200</x:v>
      </x:c>
      <x:c r="D168" t="str">
        <x:v>direct</x:v>
      </x:c>
      <x:c r="E168" t="str">
        <x:v>long</x:v>
      </x:c>
      <x:c r="F168" s="19" t="n">
        <x:v>100</x:v>
      </x:c>
      <x:c r="G168" t="str">
        <x:v>dynamo-trt</x:v>
      </x:c>
      <x:c r="H168" s="23" t="str">
        <x:v>DIRECT_PREFERRED</x:v>
      </x:c>
      <x:c r="I168" s="20" t="n">
        <x:v>109937.64148514127</x:v>
      </x:c>
      <x:c r="J168" s="20" t="n">
        <x:v>107.46391831546057</x:v>
      </x:c>
      <x:c r="K168" s="20" t="n">
        <x:v>60</x:v>
      </x:c>
      <x:c r="L168" s="20" t="n">
        <x:v>24</x:v>
      </x:c>
      <x:c r="M168" s="20" t="n">
        <x:v>2.5</x:v>
      </x:c>
      <x:c r="N168" t="str">
        <x:v>fp4</x:v>
      </x:c>
      <x:c r="O168" t="str">
        <x:v>none</x:v>
      </x:c>
      <x:c r="P168" s="19" t="n">
        <x:v>426511</x:v>
      </x:c>
      <x:c r="Q168" s="21" t="n">
        <x:v>46193</x:v>
      </x:c>
      <x:c r="R168" s="22" t="n">
        <x:v>109937.64148514127</x:v>
      </x:c>
      <x:c r="S168" t="str">
        <x:v>dynamo-trt</x:v>
      </x:c>
      <x:c r="T168" t="str">
        <x:v>dynamo-trt, dynamo-vllm</x:v>
      </x:c>
      <x:c r="U168" s="19" t="n">
        <x:v>9</x:v>
      </x:c>
      <x:c r="V168" s="19" t="n">
        <x:v>16</x:v>
      </x:c>
      <x:c r="W168" s="19" t="n">
        <x:v>16</x:v>
      </x:c>
      <x:c r="X168" t="str"/>
      <x:c r="Y168" s="23" t="str">
        <x:v>Preferred framework has a direct Pareto-eligible observation.</x:v>
      </x:c>
    </x:row>
    <x:row r="169">
      <x:c r="A169" t="str">
        <x:v>Kimi K2.5</x:v>
      </x:c>
      <x:c r="B169" t="str">
        <x:v>kimik2.5</x:v>
      </x:c>
      <x:c r="C169" t="str">
        <x:v>GB200</x:v>
      </x:c>
      <x:c r="D169" t="str">
        <x:v>direct</x:v>
      </x:c>
      <x:c r="E169" t="str">
        <x:v>agentic</x:v>
      </x:c>
      <x:c r="F169" s="19" t="n">
        <x:v>30</x:v>
      </x:c>
      <x:c r="G169" t="str">
        <x:v>dynamo-trt</x:v>
      </x:c>
      <x:c r="H169" s="23" t="str">
        <x:v>AGENTIC_RATIO_CANDIDATE</x:v>
      </x:c>
      <x:c r="I169" s="20"/>
      <x:c r="J169" s="20"/>
      <x:c r="K169" s="20"/>
      <x:c r="L169" s="20"/>
      <x:c r="M169" s="20"/>
      <x:c r="N169" t="str"/>
      <x:c r="O169" t="str"/>
      <x:c r="P169" s="19"/>
      <x:c r="Q169" s="21" t="str"/>
      <x:c r="R169" s="22"/>
      <x:c r="S169" t="str"/>
      <x:c r="T169" t="str"/>
      <x:c r="U169" s="19" t="n">
        <x:v>0</x:v>
      </x:c>
      <x:c r="V169" s="19" t="n">
        <x:v>0</x:v>
      </x:c>
      <x:c r="W169" s="19" t="n">
        <x:v>0</x:v>
      </x:c>
      <x:c r="X169" t="str">
        <x:v>short</x:v>
      </x:c>
      <x:c r="Y169" s="23" t="str">
        <x:v>Preferred framework lacks agentic; short can serve as the same-model anchor if a matched ratio is supported.</x:v>
      </x:c>
    </x:row>
    <x:row r="170">
      <x:c r="A170" t="str">
        <x:v>Kimi K2.5</x:v>
      </x:c>
      <x:c r="B170" t="str">
        <x:v>kimik2.5</x:v>
      </x:c>
      <x:c r="C170" t="str">
        <x:v>GB200</x:v>
      </x:c>
      <x:c r="D170" t="str">
        <x:v>direct</x:v>
      </x:c>
      <x:c r="E170" t="str">
        <x:v>agentic</x:v>
      </x:c>
      <x:c r="F170" s="19" t="n">
        <x:v>50</x:v>
      </x:c>
      <x:c r="G170" t="str">
        <x:v>dynamo-trt</x:v>
      </x:c>
      <x:c r="H170" s="23" t="str">
        <x:v>AGENTIC_RATIO_CANDIDATE</x:v>
      </x:c>
      <x:c r="I170" s="20"/>
      <x:c r="J170" s="20"/>
      <x:c r="K170" s="20"/>
      <x:c r="L170" s="20"/>
      <x:c r="M170" s="20"/>
      <x:c r="N170" t="str"/>
      <x:c r="O170" t="str"/>
      <x:c r="P170" s="19"/>
      <x:c r="Q170" s="21" t="str"/>
      <x:c r="R170" s="22"/>
      <x:c r="S170" t="str"/>
      <x:c r="T170" t="str"/>
      <x:c r="U170" s="19" t="n">
        <x:v>0</x:v>
      </x:c>
      <x:c r="V170" s="19" t="n">
        <x:v>0</x:v>
      </x:c>
      <x:c r="W170" s="19" t="n">
        <x:v>0</x:v>
      </x:c>
      <x:c r="X170" t="str">
        <x:v>short</x:v>
      </x:c>
      <x:c r="Y170" s="23" t="str">
        <x:v>Preferred framework lacks agentic; short can serve as the same-model anchor if a matched ratio is supported.</x:v>
      </x:c>
    </x:row>
    <x:row r="171">
      <x:c r="A171" t="str">
        <x:v>Kimi K2.5</x:v>
      </x:c>
      <x:c r="B171" t="str">
        <x:v>kimik2.5</x:v>
      </x:c>
      <x:c r="C171" t="str">
        <x:v>GB200</x:v>
      </x:c>
      <x:c r="D171" t="str">
        <x:v>direct</x:v>
      </x:c>
      <x:c r="E171" t="str">
        <x:v>agentic</x:v>
      </x:c>
      <x:c r="F171" s="19" t="n">
        <x:v>70</x:v>
      </x:c>
      <x:c r="G171" t="str">
        <x:v>dynamo-trt</x:v>
      </x:c>
      <x:c r="H171" s="23" t="str">
        <x:v>AGENTIC_RATIO_CANDIDATE</x:v>
      </x:c>
      <x:c r="I171" s="20"/>
      <x:c r="J171" s="20"/>
      <x:c r="K171" s="20"/>
      <x:c r="L171" s="20"/>
      <x:c r="M171" s="20"/>
      <x:c r="N171" t="str"/>
      <x:c r="O171" t="str"/>
      <x:c r="P171" s="19"/>
      <x:c r="Q171" s="21" t="str"/>
      <x:c r="R171" s="22"/>
      <x:c r="S171" t="str"/>
      <x:c r="T171" t="str"/>
      <x:c r="U171" s="19" t="n">
        <x:v>0</x:v>
      </x:c>
      <x:c r="V171" s="19" t="n">
        <x:v>0</x:v>
      </x:c>
      <x:c r="W171" s="19" t="n">
        <x:v>0</x:v>
      </x:c>
      <x:c r="X171" t="str">
        <x:v>short</x:v>
      </x:c>
      <x:c r="Y171" s="23" t="str">
        <x:v>Preferred framework lacks agentic; short can serve as the same-model anchor if a matched ratio is supported.</x:v>
      </x:c>
    </x:row>
    <x:row r="172">
      <x:c r="A172" t="str">
        <x:v>Kimi K2.5</x:v>
      </x:c>
      <x:c r="B172" t="str">
        <x:v>kimik2.5</x:v>
      </x:c>
      <x:c r="C172" t="str">
        <x:v>GB200</x:v>
      </x:c>
      <x:c r="D172" t="str">
        <x:v>direct</x:v>
      </x:c>
      <x:c r="E172" t="str">
        <x:v>agentic</x:v>
      </x:c>
      <x:c r="F172" s="19" t="n">
        <x:v>100</x:v>
      </x:c>
      <x:c r="G172" t="str">
        <x:v>dynamo-trt</x:v>
      </x:c>
      <x:c r="H172" s="23" t="str">
        <x:v>AGENTIC_RATIO_CANDIDATE</x:v>
      </x:c>
      <x:c r="I172" s="20"/>
      <x:c r="J172" s="20"/>
      <x:c r="K172" s="20"/>
      <x:c r="L172" s="20"/>
      <x:c r="M172" s="20"/>
      <x:c r="N172" t="str"/>
      <x:c r="O172" t="str"/>
      <x:c r="P172" s="19"/>
      <x:c r="Q172" s="21" t="str"/>
      <x:c r="R172" s="22"/>
      <x:c r="S172" t="str"/>
      <x:c r="T172" t="str"/>
      <x:c r="U172" s="19" t="n">
        <x:v>0</x:v>
      </x:c>
      <x:c r="V172" s="19" t="n">
        <x:v>0</x:v>
      </x:c>
      <x:c r="W172" s="19" t="n">
        <x:v>0</x:v>
      </x:c>
      <x:c r="X172" t="str">
        <x:v>short</x:v>
      </x:c>
      <x:c r="Y172" s="23" t="str">
        <x:v>Preferred framework lacks agentic; short can serve as the same-model anchor if a matched ratio is supported.</x:v>
      </x:c>
    </x:row>
    <x:row r="173">
      <x:c r="A173" t="str">
        <x:v>Kimi K2.5</x:v>
      </x:c>
      <x:c r="B173" t="str">
        <x:v>kimik2.5</x:v>
      </x:c>
      <x:c r="C173" t="str">
        <x:v>GB300</x:v>
      </x:c>
      <x:c r="D173" t="str">
        <x:v>direct</x:v>
      </x:c>
      <x:c r="E173" t="str">
        <x:v>short</x:v>
      </x:c>
      <x:c r="F173" s="19" t="n">
        <x:v>30</x:v>
      </x:c>
      <x:c r="G173" t="str">
        <x:v>dynamo-trt</x:v>
      </x:c>
      <x:c r="H173" s="23" t="str">
        <x:v>DIRECT_PREFERRED</x:v>
      </x:c>
      <x:c r="I173" s="20" t="n">
        <x:v>4529174.537270502</x:v>
      </x:c>
      <x:c r="J173" s="20" t="n">
        <x:v>40.23453943814228</x:v>
      </x:c>
      <x:c r="K173" s="20" t="n">
        <x:v>4301</x:v>
      </x:c>
      <x:c r="L173" s="20" t="n">
        <x:v>24</x:v>
      </x:c>
      <x:c r="M173" s="20" t="n">
        <x:v>179.20833333333334</x:v>
      </x:c>
      <x:c r="N173" t="str">
        <x:v>fp4</x:v>
      </x:c>
      <x:c r="O173" t="str">
        <x:v>none</x:v>
      </x:c>
      <x:c r="P173" s="19" t="n">
        <x:v>426864</x:v>
      </x:c>
      <x:c r="Q173" s="21" t="n">
        <x:v>46195</x:v>
      </x:c>
      <x:c r="R173" s="22" t="n">
        <x:v>4529174.537270502</x:v>
      </x:c>
      <x:c r="S173" t="str">
        <x:v>dynamo-trt</x:v>
      </x:c>
      <x:c r="T173" t="str">
        <x:v>dynamo-trt, dynamo-vllm</x:v>
      </x:c>
      <x:c r="U173" s="19" t="n">
        <x:v>11</x:v>
      </x:c>
      <x:c r="V173" s="19" t="n">
        <x:v>19</x:v>
      </x:c>
      <x:c r="W173" s="19" t="n">
        <x:v>11</x:v>
      </x:c>
      <x:c r="X173" t="str"/>
      <x:c r="Y173" s="23" t="str">
        <x:v>Preferred framework has a direct Pareto-eligible observation.</x:v>
      </x:c>
    </x:row>
    <x:row r="174">
      <x:c r="A174" t="str">
        <x:v>Kimi K2.5</x:v>
      </x:c>
      <x:c r="B174" t="str">
        <x:v>kimik2.5</x:v>
      </x:c>
      <x:c r="C174" t="str">
        <x:v>GB300</x:v>
      </x:c>
      <x:c r="D174" t="str">
        <x:v>direct</x:v>
      </x:c>
      <x:c r="E174" t="str">
        <x:v>short</x:v>
      </x:c>
      <x:c r="F174" s="19" t="n">
        <x:v>50</x:v>
      </x:c>
      <x:c r="G174" t="str">
        <x:v>dynamo-trt</x:v>
      </x:c>
      <x:c r="H174" s="23" t="str">
        <x:v>DIRECT_PREFERRED</x:v>
      </x:c>
      <x:c r="I174" s="20" t="n">
        <x:v>2888665.8175975136</x:v>
      </x:c>
      <x:c r="J174" s="20" t="n">
        <x:v>52.02807174383532</x:v>
      </x:c>
      <x:c r="K174" s="20" t="n">
        <x:v>4301</x:v>
      </x:c>
      <x:c r="L174" s="20" t="n">
        <x:v>40</x:v>
      </x:c>
      <x:c r="M174" s="20" t="n">
        <x:v>107.525</x:v>
      </x:c>
      <x:c r="N174" t="str">
        <x:v>fp4</x:v>
      </x:c>
      <x:c r="O174" t="str">
        <x:v>none</x:v>
      </x:c>
      <x:c r="P174" s="19" t="n">
        <x:v>426853</x:v>
      </x:c>
      <x:c r="Q174" s="21" t="n">
        <x:v>46195</x:v>
      </x:c>
      <x:c r="R174" s="22" t="n">
        <x:v>2888665.8175975136</x:v>
      </x:c>
      <x:c r="S174" t="str">
        <x:v>dynamo-trt</x:v>
      </x:c>
      <x:c r="T174" t="str">
        <x:v>dynamo-trt, dynamo-vllm</x:v>
      </x:c>
      <x:c r="U174" s="19" t="n">
        <x:v>10</x:v>
      </x:c>
      <x:c r="V174" s="19" t="n">
        <x:v>16</x:v>
      </x:c>
      <x:c r="W174" s="19" t="n">
        <x:v>11</x:v>
      </x:c>
      <x:c r="X174" t="str"/>
      <x:c r="Y174" s="23" t="str">
        <x:v>Preferred framework has a direct Pareto-eligible observation.</x:v>
      </x:c>
    </x:row>
    <x:row r="175">
      <x:c r="A175" t="str">
        <x:v>Kimi K2.5</x:v>
      </x:c>
      <x:c r="B175" t="str">
        <x:v>kimik2.5</x:v>
      </x:c>
      <x:c r="C175" t="str">
        <x:v>GB300</x:v>
      </x:c>
      <x:c r="D175" t="str">
        <x:v>direct</x:v>
      </x:c>
      <x:c r="E175" t="str">
        <x:v>short</x:v>
      </x:c>
      <x:c r="F175" s="19" t="n">
        <x:v>70</x:v>
      </x:c>
      <x:c r="G175" t="str">
        <x:v>dynamo-trt</x:v>
      </x:c>
      <x:c r="H175" s="23" t="str">
        <x:v>DIRECT_PREFERRED</x:v>
      </x:c>
      <x:c r="I175" s="20" t="n">
        <x:v>1069827.8421152425</x:v>
      </x:c>
      <x:c r="J175" s="20" t="n">
        <x:v>76.14157206579105</x:v>
      </x:c>
      <x:c r="K175" s="20" t="n">
        <x:v>1229</x:v>
      </x:c>
      <x:c r="L175" s="20" t="n">
        <x:v>36</x:v>
      </x:c>
      <x:c r="M175" s="20" t="n">
        <x:v>34.138888888888886</x:v>
      </x:c>
      <x:c r="N175" t="str">
        <x:v>fp4</x:v>
      </x:c>
      <x:c r="O175" t="str">
        <x:v>none</x:v>
      </x:c>
      <x:c r="P175" s="19" t="n">
        <x:v>426848</x:v>
      </x:c>
      <x:c r="Q175" s="21" t="n">
        <x:v>46195</x:v>
      </x:c>
      <x:c r="R175" s="22" t="n">
        <x:v>1069827.8421152425</x:v>
      </x:c>
      <x:c r="S175" t="str">
        <x:v>dynamo-trt</x:v>
      </x:c>
      <x:c r="T175" t="str">
        <x:v>dynamo-trt, dynamo-vllm</x:v>
      </x:c>
      <x:c r="U175" s="19" t="n">
        <x:v>8</x:v>
      </x:c>
      <x:c r="V175" s="19" t="n">
        <x:v>13</x:v>
      </x:c>
      <x:c r="W175" s="19" t="n">
        <x:v>11</x:v>
      </x:c>
      <x:c r="X175" t="str"/>
      <x:c r="Y175" s="23" t="str">
        <x:v>Preferred framework has a direct Pareto-eligible observation.</x:v>
      </x:c>
    </x:row>
    <x:row r="176">
      <x:c r="A176" t="str">
        <x:v>Kimi K2.5</x:v>
      </x:c>
      <x:c r="B176" t="str">
        <x:v>kimik2.5</x:v>
      </x:c>
      <x:c r="C176" t="str">
        <x:v>GB300</x:v>
      </x:c>
      <x:c r="D176" t="str">
        <x:v>direct</x:v>
      </x:c>
      <x:c r="E176" t="str">
        <x:v>short</x:v>
      </x:c>
      <x:c r="F176" s="19" t="n">
        <x:v>100</x:v>
      </x:c>
      <x:c r="G176" t="str">
        <x:v>dynamo-trt</x:v>
      </x:c>
      <x:c r="H176" s="23" t="str">
        <x:v>DIRECT_PREFERRED</x:v>
      </x:c>
      <x:c r="I176" s="20" t="n">
        <x:v>105347.63162526937</x:v>
      </x:c>
      <x:c r="J176" s="20" t="n">
        <x:v>113.80950555538399</x:v>
      </x:c>
      <x:c r="K176" s="20" t="n">
        <x:v>60</x:v>
      </x:c>
      <x:c r="L176" s="20" t="n">
        <x:v>24</x:v>
      </x:c>
      <x:c r="M176" s="20" t="n">
        <x:v>2.5</x:v>
      </x:c>
      <x:c r="N176" t="str">
        <x:v>fp4</x:v>
      </x:c>
      <x:c r="O176" t="str">
        <x:v>none</x:v>
      </x:c>
      <x:c r="P176" s="19" t="n">
        <x:v>426849</x:v>
      </x:c>
      <x:c r="Q176" s="21" t="n">
        <x:v>46195</x:v>
      </x:c>
      <x:c r="R176" s="22" t="n">
        <x:v>105347.63162526937</x:v>
      </x:c>
      <x:c r="S176" t="str">
        <x:v>dynamo-trt</x:v>
      </x:c>
      <x:c r="T176" t="str">
        <x:v>dynamo-trt, dynamo-vllm</x:v>
      </x:c>
      <x:c r="U176" s="19" t="n">
        <x:v>5</x:v>
      </x:c>
      <x:c r="V176" s="19" t="n">
        <x:v>8</x:v>
      </x:c>
      <x:c r="W176" s="19" t="n">
        <x:v>11</x:v>
      </x:c>
      <x:c r="X176" t="str"/>
      <x:c r="Y176" s="23" t="str">
        <x:v>Preferred framework has a direct Pareto-eligible observation.</x:v>
      </x:c>
    </x:row>
    <x:row r="177">
      <x:c r="A177" t="str">
        <x:v>Kimi K2.5</x:v>
      </x:c>
      <x:c r="B177" t="str">
        <x:v>kimik2.5</x:v>
      </x:c>
      <x:c r="C177" t="str">
        <x:v>GB300</x:v>
      </x:c>
      <x:c r="D177" t="str">
        <x:v>direct</x:v>
      </x:c>
      <x:c r="E177" t="str">
        <x:v>long</x:v>
      </x:c>
      <x:c r="F177" s="19" t="n">
        <x:v>30</x:v>
      </x:c>
      <x:c r="G177" t="str">
        <x:v>dynamo-trt</x:v>
      </x:c>
      <x:c r="H177" s="23" t="str">
        <x:v>DIRECT_PREFERRED</x:v>
      </x:c>
      <x:c r="I177" s="20" t="n">
        <x:v>2177077.3601703513</x:v>
      </x:c>
      <x:c r="J177" s="20" t="n">
        <x:v>38.89427998821254</x:v>
      </x:c>
      <x:c r="K177" s="20" t="n">
        <x:v>2253</x:v>
      </x:c>
      <x:c r="L177" s="20" t="n">
        <x:v>40</x:v>
      </x:c>
      <x:c r="M177" s="20" t="n">
        <x:v>56.325</x:v>
      </x:c>
      <x:c r="N177" t="str">
        <x:v>fp4</x:v>
      </x:c>
      <x:c r="O177" t="str">
        <x:v>none</x:v>
      </x:c>
      <x:c r="P177" s="19" t="n">
        <x:v>426862</x:v>
      </x:c>
      <x:c r="Q177" s="21" t="n">
        <x:v>46195</x:v>
      </x:c>
      <x:c r="R177" s="22" t="n">
        <x:v>2177077.3601703513</x:v>
      </x:c>
      <x:c r="S177" t="str">
        <x:v>dynamo-trt</x:v>
      </x:c>
      <x:c r="T177" t="str">
        <x:v>dynamo-trt, dynamo-vllm</x:v>
      </x:c>
      <x:c r="U177" s="19" t="n">
        <x:v>11</x:v>
      </x:c>
      <x:c r="V177" s="19" t="n">
        <x:v>17</x:v>
      </x:c>
      <x:c r="W177" s="19" t="n">
        <x:v>11</x:v>
      </x:c>
      <x:c r="X177" t="str"/>
      <x:c r="Y177" s="23" t="str">
        <x:v>Preferred framework has a direct Pareto-eligible observation.</x:v>
      </x:c>
    </x:row>
    <x:row r="178">
      <x:c r="A178" t="str">
        <x:v>Kimi K2.5</x:v>
      </x:c>
      <x:c r="B178" t="str">
        <x:v>kimik2.5</x:v>
      </x:c>
      <x:c r="C178" t="str">
        <x:v>GB300</x:v>
      </x:c>
      <x:c r="D178" t="str">
        <x:v>direct</x:v>
      </x:c>
      <x:c r="E178" t="str">
        <x:v>long</x:v>
      </x:c>
      <x:c r="F178" s="19" t="n">
        <x:v>50</x:v>
      </x:c>
      <x:c r="G178" t="str">
        <x:v>dynamo-trt</x:v>
      </x:c>
      <x:c r="H178" s="23" t="str">
        <x:v>DIRECT_PREFERRED</x:v>
      </x:c>
      <x:c r="I178" s="20" t="n">
        <x:v>877936.3756566588</x:v>
      </x:c>
      <x:c r="J178" s="20" t="n">
        <x:v>62.54105973531456</x:v>
      </x:c>
      <x:c r="K178" s="20" t="n">
        <x:v>1229</x:v>
      </x:c>
      <x:c r="L178" s="20" t="n">
        <x:v>52</x:v>
      </x:c>
      <x:c r="M178" s="20" t="n">
        <x:v>23.634615384615383</x:v>
      </x:c>
      <x:c r="N178" t="str">
        <x:v>fp4</x:v>
      </x:c>
      <x:c r="O178" t="str">
        <x:v>none</x:v>
      </x:c>
      <x:c r="P178" s="19" t="n">
        <x:v>426851</x:v>
      </x:c>
      <x:c r="Q178" s="21" t="n">
        <x:v>46195</x:v>
      </x:c>
      <x:c r="R178" s="22" t="n">
        <x:v>877936.3756566588</x:v>
      </x:c>
      <x:c r="S178" t="str">
        <x:v>dynamo-trt</x:v>
      </x:c>
      <x:c r="T178" t="str">
        <x:v>dynamo-trt, dynamo-vllm</x:v>
      </x:c>
      <x:c r="U178" s="19" t="n">
        <x:v>9</x:v>
      </x:c>
      <x:c r="V178" s="19" t="n">
        <x:v>13</x:v>
      </x:c>
      <x:c r="W178" s="19" t="n">
        <x:v>11</x:v>
      </x:c>
      <x:c r="X178" t="str"/>
      <x:c r="Y178" s="23" t="str">
        <x:v>Preferred framework has a direct Pareto-eligible observation.</x:v>
      </x:c>
    </x:row>
    <x:row r="179">
      <x:c r="A179" t="str">
        <x:v>Kimi K2.5</x:v>
      </x:c>
      <x:c r="B179" t="str">
        <x:v>kimik2.5</x:v>
      </x:c>
      <x:c r="C179" t="str">
        <x:v>GB300</x:v>
      </x:c>
      <x:c r="D179" t="str">
        <x:v>direct</x:v>
      </x:c>
      <x:c r="E179" t="str">
        <x:v>long</x:v>
      </x:c>
      <x:c r="F179" s="19" t="n">
        <x:v>70</x:v>
      </x:c>
      <x:c r="G179" t="str">
        <x:v>dynamo-trt</x:v>
      </x:c>
      <x:c r="H179" s="23" t="str">
        <x:v>DIRECT_PREFERRED</x:v>
      </x:c>
      <x:c r="I179" s="20" t="n">
        <x:v>520354.8902738344</x:v>
      </x:c>
      <x:c r="J179" s="20" t="n">
        <x:v>74.84999796458177</x:v>
      </x:c>
      <x:c r="K179" s="20" t="n">
        <x:v>615</x:v>
      </x:c>
      <x:c r="L179" s="20" t="n">
        <x:v>44</x:v>
      </x:c>
      <x:c r="M179" s="20" t="n">
        <x:v>13.977272727272727</x:v>
      </x:c>
      <x:c r="N179" t="str">
        <x:v>fp4</x:v>
      </x:c>
      <x:c r="O179" t="str">
        <x:v>none</x:v>
      </x:c>
      <x:c r="P179" s="19" t="n">
        <x:v>426854</x:v>
      </x:c>
      <x:c r="Q179" s="21" t="n">
        <x:v>46195</x:v>
      </x:c>
      <x:c r="R179" s="22" t="n">
        <x:v>520354.8902738344</x:v>
      </x:c>
      <x:c r="S179" t="str">
        <x:v>dynamo-trt</x:v>
      </x:c>
      <x:c r="T179" t="str">
        <x:v>dynamo-trt, dynamo-vllm</x:v>
      </x:c>
      <x:c r="U179" s="19" t="n">
        <x:v>8</x:v>
      </x:c>
      <x:c r="V179" s="19" t="n">
        <x:v>11</x:v>
      </x:c>
      <x:c r="W179" s="19" t="n">
        <x:v>11</x:v>
      </x:c>
      <x:c r="X179" t="str"/>
      <x:c r="Y179" s="23" t="str">
        <x:v>Preferred framework has a direct Pareto-eligible observation.</x:v>
      </x:c>
    </x:row>
    <x:row r="180">
      <x:c r="A180" t="str">
        <x:v>Kimi K2.5</x:v>
      </x:c>
      <x:c r="B180" t="str">
        <x:v>kimik2.5</x:v>
      </x:c>
      <x:c r="C180" t="str">
        <x:v>GB300</x:v>
      </x:c>
      <x:c r="D180" t="str">
        <x:v>direct</x:v>
      </x:c>
      <x:c r="E180" t="str">
        <x:v>long</x:v>
      </x:c>
      <x:c r="F180" s="19" t="n">
        <x:v>100</x:v>
      </x:c>
      <x:c r="G180" t="str">
        <x:v>dynamo-trt</x:v>
      </x:c>
      <x:c r="H180" s="23" t="str">
        <x:v>DIRECT_PREFERRED</x:v>
      </x:c>
      <x:c r="I180" s="20" t="n">
        <x:v>97638.69731834931</x:v>
      </x:c>
      <x:c r="J180" s="20" t="n">
        <x:v>107.77234861599999</x:v>
      </x:c>
      <x:c r="K180" s="20" t="n">
        <x:v>60</x:v>
      </x:c>
      <x:c r="L180" s="20" t="n">
        <x:v>24</x:v>
      </x:c>
      <x:c r="M180" s="20" t="n">
        <x:v>2.5</x:v>
      </x:c>
      <x:c r="N180" t="str">
        <x:v>fp4</x:v>
      </x:c>
      <x:c r="O180" t="str">
        <x:v>none</x:v>
      </x:c>
      <x:c r="P180" s="19" t="n">
        <x:v>426850</x:v>
      </x:c>
      <x:c r="Q180" s="21" t="n">
        <x:v>46195</x:v>
      </x:c>
      <x:c r="R180" s="22" t="n">
        <x:v>97638.69731834931</x:v>
      </x:c>
      <x:c r="S180" t="str">
        <x:v>dynamo-trt</x:v>
      </x:c>
      <x:c r="T180" t="str">
        <x:v>dynamo-trt, dynamo-vllm</x:v>
      </x:c>
      <x:c r="U180" s="19" t="n">
        <x:v>5</x:v>
      </x:c>
      <x:c r="V180" s="19" t="n">
        <x:v>7</x:v>
      </x:c>
      <x:c r="W180" s="19" t="n">
        <x:v>11</x:v>
      </x:c>
      <x:c r="X180" t="str"/>
      <x:c r="Y180" s="23" t="str">
        <x:v>Preferred framework has a direct Pareto-eligible observation.</x:v>
      </x:c>
    </x:row>
    <x:row r="181">
      <x:c r="A181" t="str">
        <x:v>Kimi K2.5</x:v>
      </x:c>
      <x:c r="B181" t="str">
        <x:v>kimik2.5</x:v>
      </x:c>
      <x:c r="C181" t="str">
        <x:v>GB300</x:v>
      </x:c>
      <x:c r="D181" t="str">
        <x:v>direct</x:v>
      </x:c>
      <x:c r="E181" t="str">
        <x:v>agentic</x:v>
      </x:c>
      <x:c r="F181" s="19" t="n">
        <x:v>30</x:v>
      </x:c>
      <x:c r="G181" t="str">
        <x:v>dynamo-trt</x:v>
      </x:c>
      <x:c r="H181" s="23" t="str">
        <x:v>AGENTIC_RATIO_CANDIDATE</x:v>
      </x:c>
      <x:c r="I181" s="20"/>
      <x:c r="J181" s="20"/>
      <x:c r="K181" s="20"/>
      <x:c r="L181" s="20"/>
      <x:c r="M181" s="20"/>
      <x:c r="N181" t="str"/>
      <x:c r="O181" t="str"/>
      <x:c r="P181" s="19"/>
      <x:c r="Q181" s="21" t="str"/>
      <x:c r="R181" s="22"/>
      <x:c r="S181" t="str"/>
      <x:c r="T181" t="str"/>
      <x:c r="U181" s="19" t="n">
        <x:v>0</x:v>
      </x:c>
      <x:c r="V181" s="19" t="n">
        <x:v>0</x:v>
      </x:c>
      <x:c r="W181" s="19" t="n">
        <x:v>0</x:v>
      </x:c>
      <x:c r="X181" t="str">
        <x:v>short</x:v>
      </x:c>
      <x:c r="Y181" s="23" t="str">
        <x:v>Preferred framework lacks agentic; short can serve as the same-model anchor if a matched ratio is supported.</x:v>
      </x:c>
    </x:row>
    <x:row r="182">
      <x:c r="A182" t="str">
        <x:v>Kimi K2.5</x:v>
      </x:c>
      <x:c r="B182" t="str">
        <x:v>kimik2.5</x:v>
      </x:c>
      <x:c r="C182" t="str">
        <x:v>GB300</x:v>
      </x:c>
      <x:c r="D182" t="str">
        <x:v>direct</x:v>
      </x:c>
      <x:c r="E182" t="str">
        <x:v>agentic</x:v>
      </x:c>
      <x:c r="F182" s="19" t="n">
        <x:v>50</x:v>
      </x:c>
      <x:c r="G182" t="str">
        <x:v>dynamo-trt</x:v>
      </x:c>
      <x:c r="H182" s="23" t="str">
        <x:v>AGENTIC_RATIO_CANDIDATE</x:v>
      </x:c>
      <x:c r="I182" s="20"/>
      <x:c r="J182" s="20"/>
      <x:c r="K182" s="20"/>
      <x:c r="L182" s="20"/>
      <x:c r="M182" s="20"/>
      <x:c r="N182" t="str"/>
      <x:c r="O182" t="str"/>
      <x:c r="P182" s="19"/>
      <x:c r="Q182" s="21" t="str"/>
      <x:c r="R182" s="22"/>
      <x:c r="S182" t="str"/>
      <x:c r="T182" t="str"/>
      <x:c r="U182" s="19" t="n">
        <x:v>0</x:v>
      </x:c>
      <x:c r="V182" s="19" t="n">
        <x:v>0</x:v>
      </x:c>
      <x:c r="W182" s="19" t="n">
        <x:v>0</x:v>
      </x:c>
      <x:c r="X182" t="str">
        <x:v>short</x:v>
      </x:c>
      <x:c r="Y182" s="23" t="str">
        <x:v>Preferred framework lacks agentic; short can serve as the same-model anchor if a matched ratio is supported.</x:v>
      </x:c>
    </x:row>
    <x:row r="183">
      <x:c r="A183" t="str">
        <x:v>Kimi K2.5</x:v>
      </x:c>
      <x:c r="B183" t="str">
        <x:v>kimik2.5</x:v>
      </x:c>
      <x:c r="C183" t="str">
        <x:v>GB300</x:v>
      </x:c>
      <x:c r="D183" t="str">
        <x:v>direct</x:v>
      </x:c>
      <x:c r="E183" t="str">
        <x:v>agentic</x:v>
      </x:c>
      <x:c r="F183" s="19" t="n">
        <x:v>70</x:v>
      </x:c>
      <x:c r="G183" t="str">
        <x:v>dynamo-trt</x:v>
      </x:c>
      <x:c r="H183" s="23" t="str">
        <x:v>AGENTIC_RATIO_CANDIDATE</x:v>
      </x:c>
      <x:c r="I183" s="20"/>
      <x:c r="J183" s="20"/>
      <x:c r="K183" s="20"/>
      <x:c r="L183" s="20"/>
      <x:c r="M183" s="20"/>
      <x:c r="N183" t="str"/>
      <x:c r="O183" t="str"/>
      <x:c r="P183" s="19"/>
      <x:c r="Q183" s="21" t="str"/>
      <x:c r="R183" s="22"/>
      <x:c r="S183" t="str"/>
      <x:c r="T183" t="str"/>
      <x:c r="U183" s="19" t="n">
        <x:v>0</x:v>
      </x:c>
      <x:c r="V183" s="19" t="n">
        <x:v>0</x:v>
      </x:c>
      <x:c r="W183" s="19" t="n">
        <x:v>0</x:v>
      </x:c>
      <x:c r="X183" t="str">
        <x:v>short</x:v>
      </x:c>
      <x:c r="Y183" s="23" t="str">
        <x:v>Preferred framework lacks agentic; short can serve as the same-model anchor if a matched ratio is supported.</x:v>
      </x:c>
    </x:row>
    <x:row r="184">
      <x:c r="A184" t="str">
        <x:v>Kimi K2.5</x:v>
      </x:c>
      <x:c r="B184" t="str">
        <x:v>kimik2.5</x:v>
      </x:c>
      <x:c r="C184" t="str">
        <x:v>GB300</x:v>
      </x:c>
      <x:c r="D184" t="str">
        <x:v>direct</x:v>
      </x:c>
      <x:c r="E184" t="str">
        <x:v>agentic</x:v>
      </x:c>
      <x:c r="F184" s="19" t="n">
        <x:v>100</x:v>
      </x:c>
      <x:c r="G184" t="str">
        <x:v>dynamo-trt</x:v>
      </x:c>
      <x:c r="H184" s="23" t="str">
        <x:v>AGENTIC_RATIO_CANDIDATE</x:v>
      </x:c>
      <x:c r="I184" s="20"/>
      <x:c r="J184" s="20"/>
      <x:c r="K184" s="20"/>
      <x:c r="L184" s="20"/>
      <x:c r="M184" s="20"/>
      <x:c r="N184" t="str"/>
      <x:c r="O184" t="str"/>
      <x:c r="P184" s="19"/>
      <x:c r="Q184" s="21" t="str"/>
      <x:c r="R184" s="22"/>
      <x:c r="S184" t="str"/>
      <x:c r="T184" t="str"/>
      <x:c r="U184" s="19" t="n">
        <x:v>0</x:v>
      </x:c>
      <x:c r="V184" s="19" t="n">
        <x:v>0</x:v>
      </x:c>
      <x:c r="W184" s="19" t="n">
        <x:v>0</x:v>
      </x:c>
      <x:c r="X184" t="str">
        <x:v>short</x:v>
      </x:c>
      <x:c r="Y184" s="23" t="str">
        <x:v>Preferred framework lacks agentic; short can serve as the same-model anchor if a matched ratio is supported.</x:v>
      </x:c>
    </x:row>
    <x:row r="185">
      <x:c r="A185" t="str">
        <x:v>Kimi K2.5</x:v>
      </x:c>
      <x:c r="B185" t="str">
        <x:v>kimik2.5</x:v>
      </x:c>
      <x:c r="C185" t="str">
        <x:v>R200</x:v>
      </x:c>
      <x:c r="D185" t="str">
        <x:v>future_scenario</x:v>
      </x:c>
      <x:c r="E185" t="str">
        <x:v>short</x:v>
      </x:c>
      <x:c r="F185" s="19" t="n">
        <x:v>30</x:v>
      </x:c>
      <x:c r="G185" t="str"/>
      <x:c r="H185" s="23" t="str">
        <x:v>GPU_SCALING_REQUIRED</x:v>
      </x:c>
      <x:c r="I185" s="20"/>
      <x:c r="J185" s="20"/>
      <x:c r="K185" s="20"/>
      <x:c r="L185" s="20"/>
      <x:c r="M185" s="20"/>
      <x:c r="N185" t="str"/>
      <x:c r="O185" t="str"/>
      <x:c r="P185" s="19"/>
      <x:c r="Q185" s="21" t="str"/>
      <x:c r="R185" s="22"/>
      <x:c r="S185" t="str"/>
      <x:c r="T185" t="str"/>
      <x:c r="U185" s="19" t="n">
        <x:v>0</x:v>
      </x:c>
      <x:c r="V185" s="19" t="n">
        <x:v>0</x:v>
      </x:c>
      <x:c r="W185" s="19" t="n">
        <x:v>0</x:v>
      </x:c>
      <x:c r="X185" t="str"/>
      <x:c r="Y185" s="23" t="str">
        <x:v>No InferenceX benchmark; future GPU scenario requires a separate GPU scaling layer.</x:v>
      </x:c>
    </x:row>
    <x:row r="186">
      <x:c r="A186" t="str">
        <x:v>Kimi K2.5</x:v>
      </x:c>
      <x:c r="B186" t="str">
        <x:v>kimik2.5</x:v>
      </x:c>
      <x:c r="C186" t="str">
        <x:v>R200</x:v>
      </x:c>
      <x:c r="D186" t="str">
        <x:v>future_scenario</x:v>
      </x:c>
      <x:c r="E186" t="str">
        <x:v>short</x:v>
      </x:c>
      <x:c r="F186" s="19" t="n">
        <x:v>50</x:v>
      </x:c>
      <x:c r="G186" t="str"/>
      <x:c r="H186" s="23" t="str">
        <x:v>GPU_SCALING_REQUIRED</x:v>
      </x:c>
      <x:c r="I186" s="20"/>
      <x:c r="J186" s="20"/>
      <x:c r="K186" s="20"/>
      <x:c r="L186" s="20"/>
      <x:c r="M186" s="20"/>
      <x:c r="N186" t="str"/>
      <x:c r="O186" t="str"/>
      <x:c r="P186" s="19"/>
      <x:c r="Q186" s="21" t="str"/>
      <x:c r="R186" s="22"/>
      <x:c r="S186" t="str"/>
      <x:c r="T186" t="str"/>
      <x:c r="U186" s="19" t="n">
        <x:v>0</x:v>
      </x:c>
      <x:c r="V186" s="19" t="n">
        <x:v>0</x:v>
      </x:c>
      <x:c r="W186" s="19" t="n">
        <x:v>0</x:v>
      </x:c>
      <x:c r="X186" t="str"/>
      <x:c r="Y186" s="23" t="str">
        <x:v>No InferenceX benchmark; future GPU scenario requires a separate GPU scaling layer.</x:v>
      </x:c>
    </x:row>
    <x:row r="187">
      <x:c r="A187" t="str">
        <x:v>Kimi K2.5</x:v>
      </x:c>
      <x:c r="B187" t="str">
        <x:v>kimik2.5</x:v>
      </x:c>
      <x:c r="C187" t="str">
        <x:v>R200</x:v>
      </x:c>
      <x:c r="D187" t="str">
        <x:v>future_scenario</x:v>
      </x:c>
      <x:c r="E187" t="str">
        <x:v>short</x:v>
      </x:c>
      <x:c r="F187" s="19" t="n">
        <x:v>70</x:v>
      </x:c>
      <x:c r="G187" t="str"/>
      <x:c r="H187" s="23" t="str">
        <x:v>GPU_SCALING_REQUIRED</x:v>
      </x:c>
      <x:c r="I187" s="20"/>
      <x:c r="J187" s="20"/>
      <x:c r="K187" s="20"/>
      <x:c r="L187" s="20"/>
      <x:c r="M187" s="20"/>
      <x:c r="N187" t="str"/>
      <x:c r="O187" t="str"/>
      <x:c r="P187" s="19"/>
      <x:c r="Q187" s="21" t="str"/>
      <x:c r="R187" s="22"/>
      <x:c r="S187" t="str"/>
      <x:c r="T187" t="str"/>
      <x:c r="U187" s="19" t="n">
        <x:v>0</x:v>
      </x:c>
      <x:c r="V187" s="19" t="n">
        <x:v>0</x:v>
      </x:c>
      <x:c r="W187" s="19" t="n">
        <x:v>0</x:v>
      </x:c>
      <x:c r="X187" t="str"/>
      <x:c r="Y187" s="23" t="str">
        <x:v>No InferenceX benchmark; future GPU scenario requires a separate GPU scaling layer.</x:v>
      </x:c>
    </x:row>
    <x:row r="188">
      <x:c r="A188" t="str">
        <x:v>Kimi K2.5</x:v>
      </x:c>
      <x:c r="B188" t="str">
        <x:v>kimik2.5</x:v>
      </x:c>
      <x:c r="C188" t="str">
        <x:v>R200</x:v>
      </x:c>
      <x:c r="D188" t="str">
        <x:v>future_scenario</x:v>
      </x:c>
      <x:c r="E188" t="str">
        <x:v>short</x:v>
      </x:c>
      <x:c r="F188" s="19" t="n">
        <x:v>100</x:v>
      </x:c>
      <x:c r="G188" t="str"/>
      <x:c r="H188" s="23" t="str">
        <x:v>GPU_SCALING_REQUIRED</x:v>
      </x:c>
      <x:c r="I188" s="20"/>
      <x:c r="J188" s="20"/>
      <x:c r="K188" s="20"/>
      <x:c r="L188" s="20"/>
      <x:c r="M188" s="20"/>
      <x:c r="N188" t="str"/>
      <x:c r="O188" t="str"/>
      <x:c r="P188" s="19"/>
      <x:c r="Q188" s="21" t="str"/>
      <x:c r="R188" s="22"/>
      <x:c r="S188" t="str"/>
      <x:c r="T188" t="str"/>
      <x:c r="U188" s="19" t="n">
        <x:v>0</x:v>
      </x:c>
      <x:c r="V188" s="19" t="n">
        <x:v>0</x:v>
      </x:c>
      <x:c r="W188" s="19" t="n">
        <x:v>0</x:v>
      </x:c>
      <x:c r="X188" t="str"/>
      <x:c r="Y188" s="23" t="str">
        <x:v>No InferenceX benchmark; future GPU scenario requires a separate GPU scaling layer.</x:v>
      </x:c>
    </x:row>
    <x:row r="189">
      <x:c r="A189" t="str">
        <x:v>Kimi K2.5</x:v>
      </x:c>
      <x:c r="B189" t="str">
        <x:v>kimik2.5</x:v>
      </x:c>
      <x:c r="C189" t="str">
        <x:v>R200</x:v>
      </x:c>
      <x:c r="D189" t="str">
        <x:v>future_scenario</x:v>
      </x:c>
      <x:c r="E189" t="str">
        <x:v>long</x:v>
      </x:c>
      <x:c r="F189" s="19" t="n">
        <x:v>30</x:v>
      </x:c>
      <x:c r="G189" t="str"/>
      <x:c r="H189" s="23" t="str">
        <x:v>GPU_SCALING_REQUIRED</x:v>
      </x:c>
      <x:c r="I189" s="20"/>
      <x:c r="J189" s="20"/>
      <x:c r="K189" s="20"/>
      <x:c r="L189" s="20"/>
      <x:c r="M189" s="20"/>
      <x:c r="N189" t="str"/>
      <x:c r="O189" t="str"/>
      <x:c r="P189" s="19"/>
      <x:c r="Q189" s="21" t="str"/>
      <x:c r="R189" s="22"/>
      <x:c r="S189" t="str"/>
      <x:c r="T189" t="str"/>
      <x:c r="U189" s="19" t="n">
        <x:v>0</x:v>
      </x:c>
      <x:c r="V189" s="19" t="n">
        <x:v>0</x:v>
      </x:c>
      <x:c r="W189" s="19" t="n">
        <x:v>0</x:v>
      </x:c>
      <x:c r="X189" t="str"/>
      <x:c r="Y189" s="23" t="str">
        <x:v>No InferenceX benchmark; future GPU scenario requires a separate GPU scaling layer.</x:v>
      </x:c>
    </x:row>
    <x:row r="190">
      <x:c r="A190" t="str">
        <x:v>Kimi K2.5</x:v>
      </x:c>
      <x:c r="B190" t="str">
        <x:v>kimik2.5</x:v>
      </x:c>
      <x:c r="C190" t="str">
        <x:v>R200</x:v>
      </x:c>
      <x:c r="D190" t="str">
        <x:v>future_scenario</x:v>
      </x:c>
      <x:c r="E190" t="str">
        <x:v>long</x:v>
      </x:c>
      <x:c r="F190" s="19" t="n">
        <x:v>50</x:v>
      </x:c>
      <x:c r="G190" t="str"/>
      <x:c r="H190" s="23" t="str">
        <x:v>GPU_SCALING_REQUIRED</x:v>
      </x:c>
      <x:c r="I190" s="20"/>
      <x:c r="J190" s="20"/>
      <x:c r="K190" s="20"/>
      <x:c r="L190" s="20"/>
      <x:c r="M190" s="20"/>
      <x:c r="N190" t="str"/>
      <x:c r="O190" t="str"/>
      <x:c r="P190" s="19"/>
      <x:c r="Q190" s="21" t="str"/>
      <x:c r="R190" s="22"/>
      <x:c r="S190" t="str"/>
      <x:c r="T190" t="str"/>
      <x:c r="U190" s="19" t="n">
        <x:v>0</x:v>
      </x:c>
      <x:c r="V190" s="19" t="n">
        <x:v>0</x:v>
      </x:c>
      <x:c r="W190" s="19" t="n">
        <x:v>0</x:v>
      </x:c>
      <x:c r="X190" t="str"/>
      <x:c r="Y190" s="23" t="str">
        <x:v>No InferenceX benchmark; future GPU scenario requires a separate GPU scaling layer.</x:v>
      </x:c>
    </x:row>
    <x:row r="191">
      <x:c r="A191" t="str">
        <x:v>Kimi K2.5</x:v>
      </x:c>
      <x:c r="B191" t="str">
        <x:v>kimik2.5</x:v>
      </x:c>
      <x:c r="C191" t="str">
        <x:v>R200</x:v>
      </x:c>
      <x:c r="D191" t="str">
        <x:v>future_scenario</x:v>
      </x:c>
      <x:c r="E191" t="str">
        <x:v>long</x:v>
      </x:c>
      <x:c r="F191" s="19" t="n">
        <x:v>70</x:v>
      </x:c>
      <x:c r="G191" t="str"/>
      <x:c r="H191" s="23" t="str">
        <x:v>GPU_SCALING_REQUIRED</x:v>
      </x:c>
      <x:c r="I191" s="20"/>
      <x:c r="J191" s="20"/>
      <x:c r="K191" s="20"/>
      <x:c r="L191" s="20"/>
      <x:c r="M191" s="20"/>
      <x:c r="N191" t="str"/>
      <x:c r="O191" t="str"/>
      <x:c r="P191" s="19"/>
      <x:c r="Q191" s="21" t="str"/>
      <x:c r="R191" s="22"/>
      <x:c r="S191" t="str"/>
      <x:c r="T191" t="str"/>
      <x:c r="U191" s="19" t="n">
        <x:v>0</x:v>
      </x:c>
      <x:c r="V191" s="19" t="n">
        <x:v>0</x:v>
      </x:c>
      <x:c r="W191" s="19" t="n">
        <x:v>0</x:v>
      </x:c>
      <x:c r="X191" t="str"/>
      <x:c r="Y191" s="23" t="str">
        <x:v>No InferenceX benchmark; future GPU scenario requires a separate GPU scaling layer.</x:v>
      </x:c>
    </x:row>
    <x:row r="192">
      <x:c r="A192" t="str">
        <x:v>Kimi K2.5</x:v>
      </x:c>
      <x:c r="B192" t="str">
        <x:v>kimik2.5</x:v>
      </x:c>
      <x:c r="C192" t="str">
        <x:v>R200</x:v>
      </x:c>
      <x:c r="D192" t="str">
        <x:v>future_scenario</x:v>
      </x:c>
      <x:c r="E192" t="str">
        <x:v>long</x:v>
      </x:c>
      <x:c r="F192" s="19" t="n">
        <x:v>100</x:v>
      </x:c>
      <x:c r="G192" t="str"/>
      <x:c r="H192" s="23" t="str">
        <x:v>GPU_SCALING_REQUIRED</x:v>
      </x:c>
      <x:c r="I192" s="20"/>
      <x:c r="J192" s="20"/>
      <x:c r="K192" s="20"/>
      <x:c r="L192" s="20"/>
      <x:c r="M192" s="20"/>
      <x:c r="N192" t="str"/>
      <x:c r="O192" t="str"/>
      <x:c r="P192" s="19"/>
      <x:c r="Q192" s="21" t="str"/>
      <x:c r="R192" s="22"/>
      <x:c r="S192" t="str"/>
      <x:c r="T192" t="str"/>
      <x:c r="U192" s="19" t="n">
        <x:v>0</x:v>
      </x:c>
      <x:c r="V192" s="19" t="n">
        <x:v>0</x:v>
      </x:c>
      <x:c r="W192" s="19" t="n">
        <x:v>0</x:v>
      </x:c>
      <x:c r="X192" t="str"/>
      <x:c r="Y192" s="23" t="str">
        <x:v>No InferenceX benchmark; future GPU scenario requires a separate GPU scaling layer.</x:v>
      </x:c>
    </x:row>
    <x:row r="193">
      <x:c r="A193" t="str">
        <x:v>Kimi K2.5</x:v>
      </x:c>
      <x:c r="B193" t="str">
        <x:v>kimik2.5</x:v>
      </x:c>
      <x:c r="C193" t="str">
        <x:v>R200</x:v>
      </x:c>
      <x:c r="D193" t="str">
        <x:v>future_scenario</x:v>
      </x:c>
      <x:c r="E193" t="str">
        <x:v>agentic</x:v>
      </x:c>
      <x:c r="F193" s="19" t="n">
        <x:v>30</x:v>
      </x:c>
      <x:c r="G193" t="str"/>
      <x:c r="H193" s="23" t="str">
        <x:v>GPU_SCALING_REQUIRED</x:v>
      </x:c>
      <x:c r="I193" s="20"/>
      <x:c r="J193" s="20"/>
      <x:c r="K193" s="20"/>
      <x:c r="L193" s="20"/>
      <x:c r="M193" s="20"/>
      <x:c r="N193" t="str"/>
      <x:c r="O193" t="str"/>
      <x:c r="P193" s="19"/>
      <x:c r="Q193" s="21" t="str"/>
      <x:c r="R193" s="22"/>
      <x:c r="S193" t="str"/>
      <x:c r="T193" t="str"/>
      <x:c r="U193" s="19" t="n">
        <x:v>0</x:v>
      </x:c>
      <x:c r="V193" s="19" t="n">
        <x:v>0</x:v>
      </x:c>
      <x:c r="W193" s="19" t="n">
        <x:v>0</x:v>
      </x:c>
      <x:c r="X193" t="str"/>
      <x:c r="Y193" s="23" t="str">
        <x:v>No InferenceX benchmark; future GPU scenario requires a separate GPU scaling layer.</x:v>
      </x:c>
    </x:row>
    <x:row r="194">
      <x:c r="A194" t="str">
        <x:v>Kimi K2.5</x:v>
      </x:c>
      <x:c r="B194" t="str">
        <x:v>kimik2.5</x:v>
      </x:c>
      <x:c r="C194" t="str">
        <x:v>R200</x:v>
      </x:c>
      <x:c r="D194" t="str">
        <x:v>future_scenario</x:v>
      </x:c>
      <x:c r="E194" t="str">
        <x:v>agentic</x:v>
      </x:c>
      <x:c r="F194" s="19" t="n">
        <x:v>50</x:v>
      </x:c>
      <x:c r="G194" t="str"/>
      <x:c r="H194" s="23" t="str">
        <x:v>GPU_SCALING_REQUIRED</x:v>
      </x:c>
      <x:c r="I194" s="20"/>
      <x:c r="J194" s="20"/>
      <x:c r="K194" s="20"/>
      <x:c r="L194" s="20"/>
      <x:c r="M194" s="20"/>
      <x:c r="N194" t="str"/>
      <x:c r="O194" t="str"/>
      <x:c r="P194" s="19"/>
      <x:c r="Q194" s="21" t="str"/>
      <x:c r="R194" s="22"/>
      <x:c r="S194" t="str"/>
      <x:c r="T194" t="str"/>
      <x:c r="U194" s="19" t="n">
        <x:v>0</x:v>
      </x:c>
      <x:c r="V194" s="19" t="n">
        <x:v>0</x:v>
      </x:c>
      <x:c r="W194" s="19" t="n">
        <x:v>0</x:v>
      </x:c>
      <x:c r="X194" t="str"/>
      <x:c r="Y194" s="23" t="str">
        <x:v>No InferenceX benchmark; future GPU scenario requires a separate GPU scaling layer.</x:v>
      </x:c>
    </x:row>
    <x:row r="195">
      <x:c r="A195" t="str">
        <x:v>Kimi K2.5</x:v>
      </x:c>
      <x:c r="B195" t="str">
        <x:v>kimik2.5</x:v>
      </x:c>
      <x:c r="C195" t="str">
        <x:v>R200</x:v>
      </x:c>
      <x:c r="D195" t="str">
        <x:v>future_scenario</x:v>
      </x:c>
      <x:c r="E195" t="str">
        <x:v>agentic</x:v>
      </x:c>
      <x:c r="F195" s="19" t="n">
        <x:v>70</x:v>
      </x:c>
      <x:c r="G195" t="str"/>
      <x:c r="H195" s="23" t="str">
        <x:v>GPU_SCALING_REQUIRED</x:v>
      </x:c>
      <x:c r="I195" s="20"/>
      <x:c r="J195" s="20"/>
      <x:c r="K195" s="20"/>
      <x:c r="L195" s="20"/>
      <x:c r="M195" s="20"/>
      <x:c r="N195" t="str"/>
      <x:c r="O195" t="str"/>
      <x:c r="P195" s="19"/>
      <x:c r="Q195" s="21" t="str"/>
      <x:c r="R195" s="22"/>
      <x:c r="S195" t="str"/>
      <x:c r="T195" t="str"/>
      <x:c r="U195" s="19" t="n">
        <x:v>0</x:v>
      </x:c>
      <x:c r="V195" s="19" t="n">
        <x:v>0</x:v>
      </x:c>
      <x:c r="W195" s="19" t="n">
        <x:v>0</x:v>
      </x:c>
      <x:c r="X195" t="str"/>
      <x:c r="Y195" s="23" t="str">
        <x:v>No InferenceX benchmark; future GPU scenario requires a separate GPU scaling layer.</x:v>
      </x:c>
    </x:row>
    <x:row r="196">
      <x:c r="A196" t="str">
        <x:v>Kimi K2.5</x:v>
      </x:c>
      <x:c r="B196" t="str">
        <x:v>kimik2.5</x:v>
      </x:c>
      <x:c r="C196" t="str">
        <x:v>R200</x:v>
      </x:c>
      <x:c r="D196" t="str">
        <x:v>future_scenario</x:v>
      </x:c>
      <x:c r="E196" t="str">
        <x:v>agentic</x:v>
      </x:c>
      <x:c r="F196" s="19" t="n">
        <x:v>100</x:v>
      </x:c>
      <x:c r="G196" t="str"/>
      <x:c r="H196" s="23" t="str">
        <x:v>GPU_SCALING_REQUIRED</x:v>
      </x:c>
      <x:c r="I196" s="20"/>
      <x:c r="J196" s="20"/>
      <x:c r="K196" s="20"/>
      <x:c r="L196" s="20"/>
      <x:c r="M196" s="20"/>
      <x:c r="N196" t="str"/>
      <x:c r="O196" t="str"/>
      <x:c r="P196" s="19"/>
      <x:c r="Q196" s="21" t="str"/>
      <x:c r="R196" s="22"/>
      <x:c r="S196" t="str"/>
      <x:c r="T196" t="str"/>
      <x:c r="U196" s="19" t="n">
        <x:v>0</x:v>
      </x:c>
      <x:c r="V196" s="19" t="n">
        <x:v>0</x:v>
      </x:c>
      <x:c r="W196" s="19" t="n">
        <x:v>0</x:v>
      </x:c>
      <x:c r="X196" t="str"/>
      <x:c r="Y196" s="23" t="str">
        <x:v>No InferenceX benchmark; future GPU scenario requires a separate GPU scaling layer.</x:v>
      </x:c>
    </x:row>
    <x:row r="197">
      <x:c r="A197" t="str">
        <x:v>Kimi K2.5</x:v>
      </x:c>
      <x:c r="B197" t="str">
        <x:v>kimik2.5</x:v>
      </x:c>
      <x:c r="C197" t="str">
        <x:v>VR200</x:v>
      </x:c>
      <x:c r="D197" t="str">
        <x:v>future_scenario</x:v>
      </x:c>
      <x:c r="E197" t="str">
        <x:v>short</x:v>
      </x:c>
      <x:c r="F197" s="19" t="n">
        <x:v>30</x:v>
      </x:c>
      <x:c r="G197" t="str"/>
      <x:c r="H197" s="23" t="str">
        <x:v>GPU_SCALING_REQUIRED</x:v>
      </x:c>
      <x:c r="I197" s="20"/>
      <x:c r="J197" s="20"/>
      <x:c r="K197" s="20"/>
      <x:c r="L197" s="20"/>
      <x:c r="M197" s="20"/>
      <x:c r="N197" t="str"/>
      <x:c r="O197" t="str"/>
      <x:c r="P197" s="19"/>
      <x:c r="Q197" s="21" t="str"/>
      <x:c r="R197" s="22"/>
      <x:c r="S197" t="str"/>
      <x:c r="T197" t="str"/>
      <x:c r="U197" s="19" t="n">
        <x:v>0</x:v>
      </x:c>
      <x:c r="V197" s="19" t="n">
        <x:v>0</x:v>
      </x:c>
      <x:c r="W197" s="19" t="n">
        <x:v>0</x:v>
      </x:c>
      <x:c r="X197" t="str"/>
      <x:c r="Y197" s="23" t="str">
        <x:v>No InferenceX benchmark; future GPU scenario requires a separate GPU scaling layer.</x:v>
      </x:c>
    </x:row>
    <x:row r="198">
      <x:c r="A198" t="str">
        <x:v>Kimi K2.5</x:v>
      </x:c>
      <x:c r="B198" t="str">
        <x:v>kimik2.5</x:v>
      </x:c>
      <x:c r="C198" t="str">
        <x:v>VR200</x:v>
      </x:c>
      <x:c r="D198" t="str">
        <x:v>future_scenario</x:v>
      </x:c>
      <x:c r="E198" t="str">
        <x:v>short</x:v>
      </x:c>
      <x:c r="F198" s="19" t="n">
        <x:v>50</x:v>
      </x:c>
      <x:c r="G198" t="str"/>
      <x:c r="H198" s="23" t="str">
        <x:v>GPU_SCALING_REQUIRED</x:v>
      </x:c>
      <x:c r="I198" s="20"/>
      <x:c r="J198" s="20"/>
      <x:c r="K198" s="20"/>
      <x:c r="L198" s="20"/>
      <x:c r="M198" s="20"/>
      <x:c r="N198" t="str"/>
      <x:c r="O198" t="str"/>
      <x:c r="P198" s="19"/>
      <x:c r="Q198" s="21" t="str"/>
      <x:c r="R198" s="22"/>
      <x:c r="S198" t="str"/>
      <x:c r="T198" t="str"/>
      <x:c r="U198" s="19" t="n">
        <x:v>0</x:v>
      </x:c>
      <x:c r="V198" s="19" t="n">
        <x:v>0</x:v>
      </x:c>
      <x:c r="W198" s="19" t="n">
        <x:v>0</x:v>
      </x:c>
      <x:c r="X198" t="str"/>
      <x:c r="Y198" s="23" t="str">
        <x:v>No InferenceX benchmark; future GPU scenario requires a separate GPU scaling layer.</x:v>
      </x:c>
    </x:row>
    <x:row r="199">
      <x:c r="A199" t="str">
        <x:v>Kimi K2.5</x:v>
      </x:c>
      <x:c r="B199" t="str">
        <x:v>kimik2.5</x:v>
      </x:c>
      <x:c r="C199" t="str">
        <x:v>VR200</x:v>
      </x:c>
      <x:c r="D199" t="str">
        <x:v>future_scenario</x:v>
      </x:c>
      <x:c r="E199" t="str">
        <x:v>short</x:v>
      </x:c>
      <x:c r="F199" s="19" t="n">
        <x:v>70</x:v>
      </x:c>
      <x:c r="G199" t="str"/>
      <x:c r="H199" s="23" t="str">
        <x:v>GPU_SCALING_REQUIRED</x:v>
      </x:c>
      <x:c r="I199" s="20"/>
      <x:c r="J199" s="20"/>
      <x:c r="K199" s="20"/>
      <x:c r="L199" s="20"/>
      <x:c r="M199" s="20"/>
      <x:c r="N199" t="str"/>
      <x:c r="O199" t="str"/>
      <x:c r="P199" s="19"/>
      <x:c r="Q199" s="21" t="str"/>
      <x:c r="R199" s="22"/>
      <x:c r="S199" t="str"/>
      <x:c r="T199" t="str"/>
      <x:c r="U199" s="19" t="n">
        <x:v>0</x:v>
      </x:c>
      <x:c r="V199" s="19" t="n">
        <x:v>0</x:v>
      </x:c>
      <x:c r="W199" s="19" t="n">
        <x:v>0</x:v>
      </x:c>
      <x:c r="X199" t="str"/>
      <x:c r="Y199" s="23" t="str">
        <x:v>No InferenceX benchmark; future GPU scenario requires a separate GPU scaling layer.</x:v>
      </x:c>
    </x:row>
    <x:row r="200">
      <x:c r="A200" t="str">
        <x:v>Kimi K2.5</x:v>
      </x:c>
      <x:c r="B200" t="str">
        <x:v>kimik2.5</x:v>
      </x:c>
      <x:c r="C200" t="str">
        <x:v>VR200</x:v>
      </x:c>
      <x:c r="D200" t="str">
        <x:v>future_scenario</x:v>
      </x:c>
      <x:c r="E200" t="str">
        <x:v>short</x:v>
      </x:c>
      <x:c r="F200" s="19" t="n">
        <x:v>100</x:v>
      </x:c>
      <x:c r="G200" t="str"/>
      <x:c r="H200" s="23" t="str">
        <x:v>GPU_SCALING_REQUIRED</x:v>
      </x:c>
      <x:c r="I200" s="20"/>
      <x:c r="J200" s="20"/>
      <x:c r="K200" s="20"/>
      <x:c r="L200" s="20"/>
      <x:c r="M200" s="20"/>
      <x:c r="N200" t="str"/>
      <x:c r="O200" t="str"/>
      <x:c r="P200" s="19"/>
      <x:c r="Q200" s="21" t="str"/>
      <x:c r="R200" s="22"/>
      <x:c r="S200" t="str"/>
      <x:c r="T200" t="str"/>
      <x:c r="U200" s="19" t="n">
        <x:v>0</x:v>
      </x:c>
      <x:c r="V200" s="19" t="n">
        <x:v>0</x:v>
      </x:c>
      <x:c r="W200" s="19" t="n">
        <x:v>0</x:v>
      </x:c>
      <x:c r="X200" t="str"/>
      <x:c r="Y200" s="23" t="str">
        <x:v>No InferenceX benchmark; future GPU scenario requires a separate GPU scaling layer.</x:v>
      </x:c>
    </x:row>
    <x:row r="201">
      <x:c r="A201" t="str">
        <x:v>Kimi K2.5</x:v>
      </x:c>
      <x:c r="B201" t="str">
        <x:v>kimik2.5</x:v>
      </x:c>
      <x:c r="C201" t="str">
        <x:v>VR200</x:v>
      </x:c>
      <x:c r="D201" t="str">
        <x:v>future_scenario</x:v>
      </x:c>
      <x:c r="E201" t="str">
        <x:v>long</x:v>
      </x:c>
      <x:c r="F201" s="19" t="n">
        <x:v>30</x:v>
      </x:c>
      <x:c r="G201" t="str"/>
      <x:c r="H201" s="23" t="str">
        <x:v>GPU_SCALING_REQUIRED</x:v>
      </x:c>
      <x:c r="I201" s="20"/>
      <x:c r="J201" s="20"/>
      <x:c r="K201" s="20"/>
      <x:c r="L201" s="20"/>
      <x:c r="M201" s="20"/>
      <x:c r="N201" t="str"/>
      <x:c r="O201" t="str"/>
      <x:c r="P201" s="19"/>
      <x:c r="Q201" s="21" t="str"/>
      <x:c r="R201" s="22"/>
      <x:c r="S201" t="str"/>
      <x:c r="T201" t="str"/>
      <x:c r="U201" s="19" t="n">
        <x:v>0</x:v>
      </x:c>
      <x:c r="V201" s="19" t="n">
        <x:v>0</x:v>
      </x:c>
      <x:c r="W201" s="19" t="n">
        <x:v>0</x:v>
      </x:c>
      <x:c r="X201" t="str"/>
      <x:c r="Y201" s="23" t="str">
        <x:v>No InferenceX benchmark; future GPU scenario requires a separate GPU scaling layer.</x:v>
      </x:c>
    </x:row>
    <x:row r="202">
      <x:c r="A202" t="str">
        <x:v>Kimi K2.5</x:v>
      </x:c>
      <x:c r="B202" t="str">
        <x:v>kimik2.5</x:v>
      </x:c>
      <x:c r="C202" t="str">
        <x:v>VR200</x:v>
      </x:c>
      <x:c r="D202" t="str">
        <x:v>future_scenario</x:v>
      </x:c>
      <x:c r="E202" t="str">
        <x:v>long</x:v>
      </x:c>
      <x:c r="F202" s="19" t="n">
        <x:v>50</x:v>
      </x:c>
      <x:c r="G202" t="str"/>
      <x:c r="H202" s="23" t="str">
        <x:v>GPU_SCALING_REQUIRED</x:v>
      </x:c>
      <x:c r="I202" s="20"/>
      <x:c r="J202" s="20"/>
      <x:c r="K202" s="20"/>
      <x:c r="L202" s="20"/>
      <x:c r="M202" s="20"/>
      <x:c r="N202" t="str"/>
      <x:c r="O202" t="str"/>
      <x:c r="P202" s="19"/>
      <x:c r="Q202" s="21" t="str"/>
      <x:c r="R202" s="22"/>
      <x:c r="S202" t="str"/>
      <x:c r="T202" t="str"/>
      <x:c r="U202" s="19" t="n">
        <x:v>0</x:v>
      </x:c>
      <x:c r="V202" s="19" t="n">
        <x:v>0</x:v>
      </x:c>
      <x:c r="W202" s="19" t="n">
        <x:v>0</x:v>
      </x:c>
      <x:c r="X202" t="str"/>
      <x:c r="Y202" s="23" t="str">
        <x:v>No InferenceX benchmark; future GPU scenario requires a separate GPU scaling layer.</x:v>
      </x:c>
    </x:row>
    <x:row r="203">
      <x:c r="A203" t="str">
        <x:v>Kimi K2.5</x:v>
      </x:c>
      <x:c r="B203" t="str">
        <x:v>kimik2.5</x:v>
      </x:c>
      <x:c r="C203" t="str">
        <x:v>VR200</x:v>
      </x:c>
      <x:c r="D203" t="str">
        <x:v>future_scenario</x:v>
      </x:c>
      <x:c r="E203" t="str">
        <x:v>long</x:v>
      </x:c>
      <x:c r="F203" s="19" t="n">
        <x:v>70</x:v>
      </x:c>
      <x:c r="G203" t="str"/>
      <x:c r="H203" s="23" t="str">
        <x:v>GPU_SCALING_REQUIRED</x:v>
      </x:c>
      <x:c r="I203" s="20"/>
      <x:c r="J203" s="20"/>
      <x:c r="K203" s="20"/>
      <x:c r="L203" s="20"/>
      <x:c r="M203" s="20"/>
      <x:c r="N203" t="str"/>
      <x:c r="O203" t="str"/>
      <x:c r="P203" s="19"/>
      <x:c r="Q203" s="21" t="str"/>
      <x:c r="R203" s="22"/>
      <x:c r="S203" t="str"/>
      <x:c r="T203" t="str"/>
      <x:c r="U203" s="19" t="n">
        <x:v>0</x:v>
      </x:c>
      <x:c r="V203" s="19" t="n">
        <x:v>0</x:v>
      </x:c>
      <x:c r="W203" s="19" t="n">
        <x:v>0</x:v>
      </x:c>
      <x:c r="X203" t="str"/>
      <x:c r="Y203" s="23" t="str">
        <x:v>No InferenceX benchmark; future GPU scenario requires a separate GPU scaling layer.</x:v>
      </x:c>
    </x:row>
    <x:row r="204">
      <x:c r="A204" t="str">
        <x:v>Kimi K2.5</x:v>
      </x:c>
      <x:c r="B204" t="str">
        <x:v>kimik2.5</x:v>
      </x:c>
      <x:c r="C204" t="str">
        <x:v>VR200</x:v>
      </x:c>
      <x:c r="D204" t="str">
        <x:v>future_scenario</x:v>
      </x:c>
      <x:c r="E204" t="str">
        <x:v>long</x:v>
      </x:c>
      <x:c r="F204" s="19" t="n">
        <x:v>100</x:v>
      </x:c>
      <x:c r="G204" t="str"/>
      <x:c r="H204" s="23" t="str">
        <x:v>GPU_SCALING_REQUIRED</x:v>
      </x:c>
      <x:c r="I204" s="20"/>
      <x:c r="J204" s="20"/>
      <x:c r="K204" s="20"/>
      <x:c r="L204" s="20"/>
      <x:c r="M204" s="20"/>
      <x:c r="N204" t="str"/>
      <x:c r="O204" t="str"/>
      <x:c r="P204" s="19"/>
      <x:c r="Q204" s="21" t="str"/>
      <x:c r="R204" s="22"/>
      <x:c r="S204" t="str"/>
      <x:c r="T204" t="str"/>
      <x:c r="U204" s="19" t="n">
        <x:v>0</x:v>
      </x:c>
      <x:c r="V204" s="19" t="n">
        <x:v>0</x:v>
      </x:c>
      <x:c r="W204" s="19" t="n">
        <x:v>0</x:v>
      </x:c>
      <x:c r="X204" t="str"/>
      <x:c r="Y204" s="23" t="str">
        <x:v>No InferenceX benchmark; future GPU scenario requires a separate GPU scaling layer.</x:v>
      </x:c>
    </x:row>
    <x:row r="205">
      <x:c r="A205" t="str">
        <x:v>Kimi K2.5</x:v>
      </x:c>
      <x:c r="B205" t="str">
        <x:v>kimik2.5</x:v>
      </x:c>
      <x:c r="C205" t="str">
        <x:v>VR200</x:v>
      </x:c>
      <x:c r="D205" t="str">
        <x:v>future_scenario</x:v>
      </x:c>
      <x:c r="E205" t="str">
        <x:v>agentic</x:v>
      </x:c>
      <x:c r="F205" s="19" t="n">
        <x:v>30</x:v>
      </x:c>
      <x:c r="G205" t="str"/>
      <x:c r="H205" s="23" t="str">
        <x:v>GPU_SCALING_REQUIRED</x:v>
      </x:c>
      <x:c r="I205" s="20"/>
      <x:c r="J205" s="20"/>
      <x:c r="K205" s="20"/>
      <x:c r="L205" s="20"/>
      <x:c r="M205" s="20"/>
      <x:c r="N205" t="str"/>
      <x:c r="O205" t="str"/>
      <x:c r="P205" s="19"/>
      <x:c r="Q205" s="21" t="str"/>
      <x:c r="R205" s="22"/>
      <x:c r="S205" t="str"/>
      <x:c r="T205" t="str"/>
      <x:c r="U205" s="19" t="n">
        <x:v>0</x:v>
      </x:c>
      <x:c r="V205" s="19" t="n">
        <x:v>0</x:v>
      </x:c>
      <x:c r="W205" s="19" t="n">
        <x:v>0</x:v>
      </x:c>
      <x:c r="X205" t="str"/>
      <x:c r="Y205" s="23" t="str">
        <x:v>No InferenceX benchmark; future GPU scenario requires a separate GPU scaling layer.</x:v>
      </x:c>
    </x:row>
    <x:row r="206">
      <x:c r="A206" t="str">
        <x:v>Kimi K2.5</x:v>
      </x:c>
      <x:c r="B206" t="str">
        <x:v>kimik2.5</x:v>
      </x:c>
      <x:c r="C206" t="str">
        <x:v>VR200</x:v>
      </x:c>
      <x:c r="D206" t="str">
        <x:v>future_scenario</x:v>
      </x:c>
      <x:c r="E206" t="str">
        <x:v>agentic</x:v>
      </x:c>
      <x:c r="F206" s="19" t="n">
        <x:v>50</x:v>
      </x:c>
      <x:c r="G206" t="str"/>
      <x:c r="H206" s="23" t="str">
        <x:v>GPU_SCALING_REQUIRED</x:v>
      </x:c>
      <x:c r="I206" s="20"/>
      <x:c r="J206" s="20"/>
      <x:c r="K206" s="20"/>
      <x:c r="L206" s="20"/>
      <x:c r="M206" s="20"/>
      <x:c r="N206" t="str"/>
      <x:c r="O206" t="str"/>
      <x:c r="P206" s="19"/>
      <x:c r="Q206" s="21" t="str"/>
      <x:c r="R206" s="22"/>
      <x:c r="S206" t="str"/>
      <x:c r="T206" t="str"/>
      <x:c r="U206" s="19" t="n">
        <x:v>0</x:v>
      </x:c>
      <x:c r="V206" s="19" t="n">
        <x:v>0</x:v>
      </x:c>
      <x:c r="W206" s="19" t="n">
        <x:v>0</x:v>
      </x:c>
      <x:c r="X206" t="str"/>
      <x:c r="Y206" s="23" t="str">
        <x:v>No InferenceX benchmark; future GPU scenario requires a separate GPU scaling layer.</x:v>
      </x:c>
    </x:row>
    <x:row r="207">
      <x:c r="A207" t="str">
        <x:v>Kimi K2.5</x:v>
      </x:c>
      <x:c r="B207" t="str">
        <x:v>kimik2.5</x:v>
      </x:c>
      <x:c r="C207" t="str">
        <x:v>VR200</x:v>
      </x:c>
      <x:c r="D207" t="str">
        <x:v>future_scenario</x:v>
      </x:c>
      <x:c r="E207" t="str">
        <x:v>agentic</x:v>
      </x:c>
      <x:c r="F207" s="19" t="n">
        <x:v>70</x:v>
      </x:c>
      <x:c r="G207" t="str"/>
      <x:c r="H207" s="23" t="str">
        <x:v>GPU_SCALING_REQUIRED</x:v>
      </x:c>
      <x:c r="I207" s="20"/>
      <x:c r="J207" s="20"/>
      <x:c r="K207" s="20"/>
      <x:c r="L207" s="20"/>
      <x:c r="M207" s="20"/>
      <x:c r="N207" t="str"/>
      <x:c r="O207" t="str"/>
      <x:c r="P207" s="19"/>
      <x:c r="Q207" s="21" t="str"/>
      <x:c r="R207" s="22"/>
      <x:c r="S207" t="str"/>
      <x:c r="T207" t="str"/>
      <x:c r="U207" s="19" t="n">
        <x:v>0</x:v>
      </x:c>
      <x:c r="V207" s="19" t="n">
        <x:v>0</x:v>
      </x:c>
      <x:c r="W207" s="19" t="n">
        <x:v>0</x:v>
      </x:c>
      <x:c r="X207" t="str"/>
      <x:c r="Y207" s="23" t="str">
        <x:v>No InferenceX benchmark; future GPU scenario requires a separate GPU scaling layer.</x:v>
      </x:c>
    </x:row>
    <x:row r="208">
      <x:c r="A208" t="str">
        <x:v>Kimi K2.5</x:v>
      </x:c>
      <x:c r="B208" t="str">
        <x:v>kimik2.5</x:v>
      </x:c>
      <x:c r="C208" t="str">
        <x:v>VR200</x:v>
      </x:c>
      <x:c r="D208" t="str">
        <x:v>future_scenario</x:v>
      </x:c>
      <x:c r="E208" t="str">
        <x:v>agentic</x:v>
      </x:c>
      <x:c r="F208" s="19" t="n">
        <x:v>100</x:v>
      </x:c>
      <x:c r="G208" t="str"/>
      <x:c r="H208" s="23" t="str">
        <x:v>GPU_SCALING_REQUIRED</x:v>
      </x:c>
      <x:c r="I208" s="20"/>
      <x:c r="J208" s="20"/>
      <x:c r="K208" s="20"/>
      <x:c r="L208" s="20"/>
      <x:c r="M208" s="20"/>
      <x:c r="N208" t="str"/>
      <x:c r="O208" t="str"/>
      <x:c r="P208" s="19"/>
      <x:c r="Q208" s="21" t="str"/>
      <x:c r="R208" s="22"/>
      <x:c r="S208" t="str"/>
      <x:c r="T208" t="str"/>
      <x:c r="U208" s="19" t="n">
        <x:v>0</x:v>
      </x:c>
      <x:c r="V208" s="19" t="n">
        <x:v>0</x:v>
      </x:c>
      <x:c r="W208" s="19" t="n">
        <x:v>0</x:v>
      </x:c>
      <x:c r="X208" t="str"/>
      <x:c r="Y208" s="23" t="str">
        <x:v>No InferenceX benchmark; future GPU scenario requires a separate GPU scaling layer.</x:v>
      </x:c>
    </x:row>
    <x:row r="209">
      <x:c r="A209" t="str">
        <x:v>Kimi K2.5</x:v>
      </x:c>
      <x:c r="B209" t="str">
        <x:v>kimik2.5</x:v>
      </x:c>
      <x:c r="C209" t="str">
        <x:v>R300</x:v>
      </x:c>
      <x:c r="D209" t="str">
        <x:v>future_scenario</x:v>
      </x:c>
      <x:c r="E209" t="str">
        <x:v>short</x:v>
      </x:c>
      <x:c r="F209" s="19" t="n">
        <x:v>30</x:v>
      </x:c>
      <x:c r="G209" t="str"/>
      <x:c r="H209" s="23" t="str">
        <x:v>GPU_SCALING_REQUIRED</x:v>
      </x:c>
      <x:c r="I209" s="20"/>
      <x:c r="J209" s="20"/>
      <x:c r="K209" s="20"/>
      <x:c r="L209" s="20"/>
      <x:c r="M209" s="20"/>
      <x:c r="N209" t="str"/>
      <x:c r="O209" t="str"/>
      <x:c r="P209" s="19"/>
      <x:c r="Q209" s="21" t="str"/>
      <x:c r="R209" s="22"/>
      <x:c r="S209" t="str"/>
      <x:c r="T209" t="str"/>
      <x:c r="U209" s="19" t="n">
        <x:v>0</x:v>
      </x:c>
      <x:c r="V209" s="19" t="n">
        <x:v>0</x:v>
      </x:c>
      <x:c r="W209" s="19" t="n">
        <x:v>0</x:v>
      </x:c>
      <x:c r="X209" t="str"/>
      <x:c r="Y209" s="23" t="str">
        <x:v>No InferenceX benchmark; future GPU scenario requires a separate GPU scaling layer.</x:v>
      </x:c>
    </x:row>
    <x:row r="210">
      <x:c r="A210" t="str">
        <x:v>Kimi K2.5</x:v>
      </x:c>
      <x:c r="B210" t="str">
        <x:v>kimik2.5</x:v>
      </x:c>
      <x:c r="C210" t="str">
        <x:v>R300</x:v>
      </x:c>
      <x:c r="D210" t="str">
        <x:v>future_scenario</x:v>
      </x:c>
      <x:c r="E210" t="str">
        <x:v>short</x:v>
      </x:c>
      <x:c r="F210" s="19" t="n">
        <x:v>50</x:v>
      </x:c>
      <x:c r="G210" t="str"/>
      <x:c r="H210" s="23" t="str">
        <x:v>GPU_SCALING_REQUIRED</x:v>
      </x:c>
      <x:c r="I210" s="20"/>
      <x:c r="J210" s="20"/>
      <x:c r="K210" s="20"/>
      <x:c r="L210" s="20"/>
      <x:c r="M210" s="20"/>
      <x:c r="N210" t="str"/>
      <x:c r="O210" t="str"/>
      <x:c r="P210" s="19"/>
      <x:c r="Q210" s="21" t="str"/>
      <x:c r="R210" s="22"/>
      <x:c r="S210" t="str"/>
      <x:c r="T210" t="str"/>
      <x:c r="U210" s="19" t="n">
        <x:v>0</x:v>
      </x:c>
      <x:c r="V210" s="19" t="n">
        <x:v>0</x:v>
      </x:c>
      <x:c r="W210" s="19" t="n">
        <x:v>0</x:v>
      </x:c>
      <x:c r="X210" t="str"/>
      <x:c r="Y210" s="23" t="str">
        <x:v>No InferenceX benchmark; future GPU scenario requires a separate GPU scaling layer.</x:v>
      </x:c>
    </x:row>
    <x:row r="211">
      <x:c r="A211" t="str">
        <x:v>Kimi K2.5</x:v>
      </x:c>
      <x:c r="B211" t="str">
        <x:v>kimik2.5</x:v>
      </x:c>
      <x:c r="C211" t="str">
        <x:v>R300</x:v>
      </x:c>
      <x:c r="D211" t="str">
        <x:v>future_scenario</x:v>
      </x:c>
      <x:c r="E211" t="str">
        <x:v>short</x:v>
      </x:c>
      <x:c r="F211" s="19" t="n">
        <x:v>70</x:v>
      </x:c>
      <x:c r="G211" t="str"/>
      <x:c r="H211" s="23" t="str">
        <x:v>GPU_SCALING_REQUIRED</x:v>
      </x:c>
      <x:c r="I211" s="20"/>
      <x:c r="J211" s="20"/>
      <x:c r="K211" s="20"/>
      <x:c r="L211" s="20"/>
      <x:c r="M211" s="20"/>
      <x:c r="N211" t="str"/>
      <x:c r="O211" t="str"/>
      <x:c r="P211" s="19"/>
      <x:c r="Q211" s="21" t="str"/>
      <x:c r="R211" s="22"/>
      <x:c r="S211" t="str"/>
      <x:c r="T211" t="str"/>
      <x:c r="U211" s="19" t="n">
        <x:v>0</x:v>
      </x:c>
      <x:c r="V211" s="19" t="n">
        <x:v>0</x:v>
      </x:c>
      <x:c r="W211" s="19" t="n">
        <x:v>0</x:v>
      </x:c>
      <x:c r="X211" t="str"/>
      <x:c r="Y211" s="23" t="str">
        <x:v>No InferenceX benchmark; future GPU scenario requires a separate GPU scaling layer.</x:v>
      </x:c>
    </x:row>
    <x:row r="212">
      <x:c r="A212" t="str">
        <x:v>Kimi K2.5</x:v>
      </x:c>
      <x:c r="B212" t="str">
        <x:v>kimik2.5</x:v>
      </x:c>
      <x:c r="C212" t="str">
        <x:v>R300</x:v>
      </x:c>
      <x:c r="D212" t="str">
        <x:v>future_scenario</x:v>
      </x:c>
      <x:c r="E212" t="str">
        <x:v>short</x:v>
      </x:c>
      <x:c r="F212" s="19" t="n">
        <x:v>100</x:v>
      </x:c>
      <x:c r="G212" t="str"/>
      <x:c r="H212" s="23" t="str">
        <x:v>GPU_SCALING_REQUIRED</x:v>
      </x:c>
      <x:c r="I212" s="20"/>
      <x:c r="J212" s="20"/>
      <x:c r="K212" s="20"/>
      <x:c r="L212" s="20"/>
      <x:c r="M212" s="20"/>
      <x:c r="N212" t="str"/>
      <x:c r="O212" t="str"/>
      <x:c r="P212" s="19"/>
      <x:c r="Q212" s="21" t="str"/>
      <x:c r="R212" s="22"/>
      <x:c r="S212" t="str"/>
      <x:c r="T212" t="str"/>
      <x:c r="U212" s="19" t="n">
        <x:v>0</x:v>
      </x:c>
      <x:c r="V212" s="19" t="n">
        <x:v>0</x:v>
      </x:c>
      <x:c r="W212" s="19" t="n">
        <x:v>0</x:v>
      </x:c>
      <x:c r="X212" t="str"/>
      <x:c r="Y212" s="23" t="str">
        <x:v>No InferenceX benchmark; future GPU scenario requires a separate GPU scaling layer.</x:v>
      </x:c>
    </x:row>
    <x:row r="213">
      <x:c r="A213" t="str">
        <x:v>Kimi K2.5</x:v>
      </x:c>
      <x:c r="B213" t="str">
        <x:v>kimik2.5</x:v>
      </x:c>
      <x:c r="C213" t="str">
        <x:v>R300</x:v>
      </x:c>
      <x:c r="D213" t="str">
        <x:v>future_scenario</x:v>
      </x:c>
      <x:c r="E213" t="str">
        <x:v>long</x:v>
      </x:c>
      <x:c r="F213" s="19" t="n">
        <x:v>30</x:v>
      </x:c>
      <x:c r="G213" t="str"/>
      <x:c r="H213" s="23" t="str">
        <x:v>GPU_SCALING_REQUIRED</x:v>
      </x:c>
      <x:c r="I213" s="20"/>
      <x:c r="J213" s="20"/>
      <x:c r="K213" s="20"/>
      <x:c r="L213" s="20"/>
      <x:c r="M213" s="20"/>
      <x:c r="N213" t="str"/>
      <x:c r="O213" t="str"/>
      <x:c r="P213" s="19"/>
      <x:c r="Q213" s="21" t="str"/>
      <x:c r="R213" s="22"/>
      <x:c r="S213" t="str"/>
      <x:c r="T213" t="str"/>
      <x:c r="U213" s="19" t="n">
        <x:v>0</x:v>
      </x:c>
      <x:c r="V213" s="19" t="n">
        <x:v>0</x:v>
      </x:c>
      <x:c r="W213" s="19" t="n">
        <x:v>0</x:v>
      </x:c>
      <x:c r="X213" t="str"/>
      <x:c r="Y213" s="23" t="str">
        <x:v>No InferenceX benchmark; future GPU scenario requires a separate GPU scaling layer.</x:v>
      </x:c>
    </x:row>
    <x:row r="214">
      <x:c r="A214" t="str">
        <x:v>Kimi K2.5</x:v>
      </x:c>
      <x:c r="B214" t="str">
        <x:v>kimik2.5</x:v>
      </x:c>
      <x:c r="C214" t="str">
        <x:v>R300</x:v>
      </x:c>
      <x:c r="D214" t="str">
        <x:v>future_scenario</x:v>
      </x:c>
      <x:c r="E214" t="str">
        <x:v>long</x:v>
      </x:c>
      <x:c r="F214" s="19" t="n">
        <x:v>50</x:v>
      </x:c>
      <x:c r="G214" t="str"/>
      <x:c r="H214" s="23" t="str">
        <x:v>GPU_SCALING_REQUIRED</x:v>
      </x:c>
      <x:c r="I214" s="20"/>
      <x:c r="J214" s="20"/>
      <x:c r="K214" s="20"/>
      <x:c r="L214" s="20"/>
      <x:c r="M214" s="20"/>
      <x:c r="N214" t="str"/>
      <x:c r="O214" t="str"/>
      <x:c r="P214" s="19"/>
      <x:c r="Q214" s="21" t="str"/>
      <x:c r="R214" s="22"/>
      <x:c r="S214" t="str"/>
      <x:c r="T214" t="str"/>
      <x:c r="U214" s="19" t="n">
        <x:v>0</x:v>
      </x:c>
      <x:c r="V214" s="19" t="n">
        <x:v>0</x:v>
      </x:c>
      <x:c r="W214" s="19" t="n">
        <x:v>0</x:v>
      </x:c>
      <x:c r="X214" t="str"/>
      <x:c r="Y214" s="23" t="str">
        <x:v>No InferenceX benchmark; future GPU scenario requires a separate GPU scaling layer.</x:v>
      </x:c>
    </x:row>
    <x:row r="215">
      <x:c r="A215" t="str">
        <x:v>Kimi K2.5</x:v>
      </x:c>
      <x:c r="B215" t="str">
        <x:v>kimik2.5</x:v>
      </x:c>
      <x:c r="C215" t="str">
        <x:v>R300</x:v>
      </x:c>
      <x:c r="D215" t="str">
        <x:v>future_scenario</x:v>
      </x:c>
      <x:c r="E215" t="str">
        <x:v>long</x:v>
      </x:c>
      <x:c r="F215" s="19" t="n">
        <x:v>70</x:v>
      </x:c>
      <x:c r="G215" t="str"/>
      <x:c r="H215" s="23" t="str">
        <x:v>GPU_SCALING_REQUIRED</x:v>
      </x:c>
      <x:c r="I215" s="20"/>
      <x:c r="J215" s="20"/>
      <x:c r="K215" s="20"/>
      <x:c r="L215" s="20"/>
      <x:c r="M215" s="20"/>
      <x:c r="N215" t="str"/>
      <x:c r="O215" t="str"/>
      <x:c r="P215" s="19"/>
      <x:c r="Q215" s="21" t="str"/>
      <x:c r="R215" s="22"/>
      <x:c r="S215" t="str"/>
      <x:c r="T215" t="str"/>
      <x:c r="U215" s="19" t="n">
        <x:v>0</x:v>
      </x:c>
      <x:c r="V215" s="19" t="n">
        <x:v>0</x:v>
      </x:c>
      <x:c r="W215" s="19" t="n">
        <x:v>0</x:v>
      </x:c>
      <x:c r="X215" t="str"/>
      <x:c r="Y215" s="23" t="str">
        <x:v>No InferenceX benchmark; future GPU scenario requires a separate GPU scaling layer.</x:v>
      </x:c>
    </x:row>
    <x:row r="216">
      <x:c r="A216" t="str">
        <x:v>Kimi K2.5</x:v>
      </x:c>
      <x:c r="B216" t="str">
        <x:v>kimik2.5</x:v>
      </x:c>
      <x:c r="C216" t="str">
        <x:v>R300</x:v>
      </x:c>
      <x:c r="D216" t="str">
        <x:v>future_scenario</x:v>
      </x:c>
      <x:c r="E216" t="str">
        <x:v>long</x:v>
      </x:c>
      <x:c r="F216" s="19" t="n">
        <x:v>100</x:v>
      </x:c>
      <x:c r="G216" t="str"/>
      <x:c r="H216" s="23" t="str">
        <x:v>GPU_SCALING_REQUIRED</x:v>
      </x:c>
      <x:c r="I216" s="20"/>
      <x:c r="J216" s="20"/>
      <x:c r="K216" s="20"/>
      <x:c r="L216" s="20"/>
      <x:c r="M216" s="20"/>
      <x:c r="N216" t="str"/>
      <x:c r="O216" t="str"/>
      <x:c r="P216" s="19"/>
      <x:c r="Q216" s="21" t="str"/>
      <x:c r="R216" s="22"/>
      <x:c r="S216" t="str"/>
      <x:c r="T216" t="str"/>
      <x:c r="U216" s="19" t="n">
        <x:v>0</x:v>
      </x:c>
      <x:c r="V216" s="19" t="n">
        <x:v>0</x:v>
      </x:c>
      <x:c r="W216" s="19" t="n">
        <x:v>0</x:v>
      </x:c>
      <x:c r="X216" t="str"/>
      <x:c r="Y216" s="23" t="str">
        <x:v>No InferenceX benchmark; future GPU scenario requires a separate GPU scaling layer.</x:v>
      </x:c>
    </x:row>
    <x:row r="217">
      <x:c r="A217" t="str">
        <x:v>Kimi K2.5</x:v>
      </x:c>
      <x:c r="B217" t="str">
        <x:v>kimik2.5</x:v>
      </x:c>
      <x:c r="C217" t="str">
        <x:v>R300</x:v>
      </x:c>
      <x:c r="D217" t="str">
        <x:v>future_scenario</x:v>
      </x:c>
      <x:c r="E217" t="str">
        <x:v>agentic</x:v>
      </x:c>
      <x:c r="F217" s="19" t="n">
        <x:v>30</x:v>
      </x:c>
      <x:c r="G217" t="str"/>
      <x:c r="H217" s="23" t="str">
        <x:v>GPU_SCALING_REQUIRED</x:v>
      </x:c>
      <x:c r="I217" s="20"/>
      <x:c r="J217" s="20"/>
      <x:c r="K217" s="20"/>
      <x:c r="L217" s="20"/>
      <x:c r="M217" s="20"/>
      <x:c r="N217" t="str"/>
      <x:c r="O217" t="str"/>
      <x:c r="P217" s="19"/>
      <x:c r="Q217" s="21" t="str"/>
      <x:c r="R217" s="22"/>
      <x:c r="S217" t="str"/>
      <x:c r="T217" t="str"/>
      <x:c r="U217" s="19" t="n">
        <x:v>0</x:v>
      </x:c>
      <x:c r="V217" s="19" t="n">
        <x:v>0</x:v>
      </x:c>
      <x:c r="W217" s="19" t="n">
        <x:v>0</x:v>
      </x:c>
      <x:c r="X217" t="str"/>
      <x:c r="Y217" s="23" t="str">
        <x:v>No InferenceX benchmark; future GPU scenario requires a separate GPU scaling layer.</x:v>
      </x:c>
    </x:row>
    <x:row r="218">
      <x:c r="A218" t="str">
        <x:v>Kimi K2.5</x:v>
      </x:c>
      <x:c r="B218" t="str">
        <x:v>kimik2.5</x:v>
      </x:c>
      <x:c r="C218" t="str">
        <x:v>R300</x:v>
      </x:c>
      <x:c r="D218" t="str">
        <x:v>future_scenario</x:v>
      </x:c>
      <x:c r="E218" t="str">
        <x:v>agentic</x:v>
      </x:c>
      <x:c r="F218" s="19" t="n">
        <x:v>50</x:v>
      </x:c>
      <x:c r="G218" t="str"/>
      <x:c r="H218" s="23" t="str">
        <x:v>GPU_SCALING_REQUIRED</x:v>
      </x:c>
      <x:c r="I218" s="20"/>
      <x:c r="J218" s="20"/>
      <x:c r="K218" s="20"/>
      <x:c r="L218" s="20"/>
      <x:c r="M218" s="20"/>
      <x:c r="N218" t="str"/>
      <x:c r="O218" t="str"/>
      <x:c r="P218" s="19"/>
      <x:c r="Q218" s="21" t="str"/>
      <x:c r="R218" s="22"/>
      <x:c r="S218" t="str"/>
      <x:c r="T218" t="str"/>
      <x:c r="U218" s="19" t="n">
        <x:v>0</x:v>
      </x:c>
      <x:c r="V218" s="19" t="n">
        <x:v>0</x:v>
      </x:c>
      <x:c r="W218" s="19" t="n">
        <x:v>0</x:v>
      </x:c>
      <x:c r="X218" t="str"/>
      <x:c r="Y218" s="23" t="str">
        <x:v>No InferenceX benchmark; future GPU scenario requires a separate GPU scaling layer.</x:v>
      </x:c>
    </x:row>
    <x:row r="219">
      <x:c r="A219" t="str">
        <x:v>Kimi K2.5</x:v>
      </x:c>
      <x:c r="B219" t="str">
        <x:v>kimik2.5</x:v>
      </x:c>
      <x:c r="C219" t="str">
        <x:v>R300</x:v>
      </x:c>
      <x:c r="D219" t="str">
        <x:v>future_scenario</x:v>
      </x:c>
      <x:c r="E219" t="str">
        <x:v>agentic</x:v>
      </x:c>
      <x:c r="F219" s="19" t="n">
        <x:v>70</x:v>
      </x:c>
      <x:c r="G219" t="str"/>
      <x:c r="H219" s="23" t="str">
        <x:v>GPU_SCALING_REQUIRED</x:v>
      </x:c>
      <x:c r="I219" s="20"/>
      <x:c r="J219" s="20"/>
      <x:c r="K219" s="20"/>
      <x:c r="L219" s="20"/>
      <x:c r="M219" s="20"/>
      <x:c r="N219" t="str"/>
      <x:c r="O219" t="str"/>
      <x:c r="P219" s="19"/>
      <x:c r="Q219" s="21" t="str"/>
      <x:c r="R219" s="22"/>
      <x:c r="S219" t="str"/>
      <x:c r="T219" t="str"/>
      <x:c r="U219" s="19" t="n">
        <x:v>0</x:v>
      </x:c>
      <x:c r="V219" s="19" t="n">
        <x:v>0</x:v>
      </x:c>
      <x:c r="W219" s="19" t="n">
        <x:v>0</x:v>
      </x:c>
      <x:c r="X219" t="str"/>
      <x:c r="Y219" s="23" t="str">
        <x:v>No InferenceX benchmark; future GPU scenario requires a separate GPU scaling layer.</x:v>
      </x:c>
    </x:row>
    <x:row r="220">
      <x:c r="A220" t="str">
        <x:v>Kimi K2.5</x:v>
      </x:c>
      <x:c r="B220" t="str">
        <x:v>kimik2.5</x:v>
      </x:c>
      <x:c r="C220" t="str">
        <x:v>R300</x:v>
      </x:c>
      <x:c r="D220" t="str">
        <x:v>future_scenario</x:v>
      </x:c>
      <x:c r="E220" t="str">
        <x:v>agentic</x:v>
      </x:c>
      <x:c r="F220" s="19" t="n">
        <x:v>100</x:v>
      </x:c>
      <x:c r="G220" t="str"/>
      <x:c r="H220" s="23" t="str">
        <x:v>GPU_SCALING_REQUIRED</x:v>
      </x:c>
      <x:c r="I220" s="20"/>
      <x:c r="J220" s="20"/>
      <x:c r="K220" s="20"/>
      <x:c r="L220" s="20"/>
      <x:c r="M220" s="20"/>
      <x:c r="N220" t="str"/>
      <x:c r="O220" t="str"/>
      <x:c r="P220" s="19"/>
      <x:c r="Q220" s="21" t="str"/>
      <x:c r="R220" s="22"/>
      <x:c r="S220" t="str"/>
      <x:c r="T220" t="str"/>
      <x:c r="U220" s="19" t="n">
        <x:v>0</x:v>
      </x:c>
      <x:c r="V220" s="19" t="n">
        <x:v>0</x:v>
      </x:c>
      <x:c r="W220" s="19" t="n">
        <x:v>0</x:v>
      </x:c>
      <x:c r="X220" t="str"/>
      <x:c r="Y220" s="23" t="str">
        <x:v>No InferenceX benchmark; future GPU scenario requires a separate GPU scaling layer.</x:v>
      </x:c>
    </x:row>
    <x:row r="221">
      <x:c r="A221" t="str">
        <x:v>Kimi K2.5</x:v>
      </x:c>
      <x:c r="B221" t="str">
        <x:v>kimik2.5</x:v>
      </x:c>
      <x:c r="C221" t="str">
        <x:v>VR300</x:v>
      </x:c>
      <x:c r="D221" t="str">
        <x:v>future_scenario</x:v>
      </x:c>
      <x:c r="E221" t="str">
        <x:v>short</x:v>
      </x:c>
      <x:c r="F221" s="19" t="n">
        <x:v>30</x:v>
      </x:c>
      <x:c r="G221" t="str"/>
      <x:c r="H221" s="23" t="str">
        <x:v>GPU_SCALING_REQUIRED</x:v>
      </x:c>
      <x:c r="I221" s="20"/>
      <x:c r="J221" s="20"/>
      <x:c r="K221" s="20"/>
      <x:c r="L221" s="20"/>
      <x:c r="M221" s="20"/>
      <x:c r="N221" t="str"/>
      <x:c r="O221" t="str"/>
      <x:c r="P221" s="19"/>
      <x:c r="Q221" s="21" t="str"/>
      <x:c r="R221" s="22"/>
      <x:c r="S221" t="str"/>
      <x:c r="T221" t="str"/>
      <x:c r="U221" s="19" t="n">
        <x:v>0</x:v>
      </x:c>
      <x:c r="V221" s="19" t="n">
        <x:v>0</x:v>
      </x:c>
      <x:c r="W221" s="19" t="n">
        <x:v>0</x:v>
      </x:c>
      <x:c r="X221" t="str"/>
      <x:c r="Y221" s="23" t="str">
        <x:v>No InferenceX benchmark; future GPU scenario requires a separate GPU scaling layer.</x:v>
      </x:c>
    </x:row>
    <x:row r="222">
      <x:c r="A222" t="str">
        <x:v>Kimi K2.5</x:v>
      </x:c>
      <x:c r="B222" t="str">
        <x:v>kimik2.5</x:v>
      </x:c>
      <x:c r="C222" t="str">
        <x:v>VR300</x:v>
      </x:c>
      <x:c r="D222" t="str">
        <x:v>future_scenario</x:v>
      </x:c>
      <x:c r="E222" t="str">
        <x:v>short</x:v>
      </x:c>
      <x:c r="F222" s="19" t="n">
        <x:v>50</x:v>
      </x:c>
      <x:c r="G222" t="str"/>
      <x:c r="H222" s="23" t="str">
        <x:v>GPU_SCALING_REQUIRED</x:v>
      </x:c>
      <x:c r="I222" s="20"/>
      <x:c r="J222" s="20"/>
      <x:c r="K222" s="20"/>
      <x:c r="L222" s="20"/>
      <x:c r="M222" s="20"/>
      <x:c r="N222" t="str"/>
      <x:c r="O222" t="str"/>
      <x:c r="P222" s="19"/>
      <x:c r="Q222" s="21" t="str"/>
      <x:c r="R222" s="22"/>
      <x:c r="S222" t="str"/>
      <x:c r="T222" t="str"/>
      <x:c r="U222" s="19" t="n">
        <x:v>0</x:v>
      </x:c>
      <x:c r="V222" s="19" t="n">
        <x:v>0</x:v>
      </x:c>
      <x:c r="W222" s="19" t="n">
        <x:v>0</x:v>
      </x:c>
      <x:c r="X222" t="str"/>
      <x:c r="Y222" s="23" t="str">
        <x:v>No InferenceX benchmark; future GPU scenario requires a separate GPU scaling layer.</x:v>
      </x:c>
    </x:row>
    <x:row r="223">
      <x:c r="A223" t="str">
        <x:v>Kimi K2.5</x:v>
      </x:c>
      <x:c r="B223" t="str">
        <x:v>kimik2.5</x:v>
      </x:c>
      <x:c r="C223" t="str">
        <x:v>VR300</x:v>
      </x:c>
      <x:c r="D223" t="str">
        <x:v>future_scenario</x:v>
      </x:c>
      <x:c r="E223" t="str">
        <x:v>short</x:v>
      </x:c>
      <x:c r="F223" s="19" t="n">
        <x:v>70</x:v>
      </x:c>
      <x:c r="G223" t="str"/>
      <x:c r="H223" s="23" t="str">
        <x:v>GPU_SCALING_REQUIRED</x:v>
      </x:c>
      <x:c r="I223" s="20"/>
      <x:c r="J223" s="20"/>
      <x:c r="K223" s="20"/>
      <x:c r="L223" s="20"/>
      <x:c r="M223" s="20"/>
      <x:c r="N223" t="str"/>
      <x:c r="O223" t="str"/>
      <x:c r="P223" s="19"/>
      <x:c r="Q223" s="21" t="str"/>
      <x:c r="R223" s="22"/>
      <x:c r="S223" t="str"/>
      <x:c r="T223" t="str"/>
      <x:c r="U223" s="19" t="n">
        <x:v>0</x:v>
      </x:c>
      <x:c r="V223" s="19" t="n">
        <x:v>0</x:v>
      </x:c>
      <x:c r="W223" s="19" t="n">
        <x:v>0</x:v>
      </x:c>
      <x:c r="X223" t="str"/>
      <x:c r="Y223" s="23" t="str">
        <x:v>No InferenceX benchmark; future GPU scenario requires a separate GPU scaling layer.</x:v>
      </x:c>
    </x:row>
    <x:row r="224">
      <x:c r="A224" t="str">
        <x:v>Kimi K2.5</x:v>
      </x:c>
      <x:c r="B224" t="str">
        <x:v>kimik2.5</x:v>
      </x:c>
      <x:c r="C224" t="str">
        <x:v>VR300</x:v>
      </x:c>
      <x:c r="D224" t="str">
        <x:v>future_scenario</x:v>
      </x:c>
      <x:c r="E224" t="str">
        <x:v>short</x:v>
      </x:c>
      <x:c r="F224" s="19" t="n">
        <x:v>100</x:v>
      </x:c>
      <x:c r="G224" t="str"/>
      <x:c r="H224" s="23" t="str">
        <x:v>GPU_SCALING_REQUIRED</x:v>
      </x:c>
      <x:c r="I224" s="20"/>
      <x:c r="J224" s="20"/>
      <x:c r="K224" s="20"/>
      <x:c r="L224" s="20"/>
      <x:c r="M224" s="20"/>
      <x:c r="N224" t="str"/>
      <x:c r="O224" t="str"/>
      <x:c r="P224" s="19"/>
      <x:c r="Q224" s="21" t="str"/>
      <x:c r="R224" s="22"/>
      <x:c r="S224" t="str"/>
      <x:c r="T224" t="str"/>
      <x:c r="U224" s="19" t="n">
        <x:v>0</x:v>
      </x:c>
      <x:c r="V224" s="19" t="n">
        <x:v>0</x:v>
      </x:c>
      <x:c r="W224" s="19" t="n">
        <x:v>0</x:v>
      </x:c>
      <x:c r="X224" t="str"/>
      <x:c r="Y224" s="23" t="str">
        <x:v>No InferenceX benchmark; future GPU scenario requires a separate GPU scaling layer.</x:v>
      </x:c>
    </x:row>
    <x:row r="225">
      <x:c r="A225" t="str">
        <x:v>Kimi K2.5</x:v>
      </x:c>
      <x:c r="B225" t="str">
        <x:v>kimik2.5</x:v>
      </x:c>
      <x:c r="C225" t="str">
        <x:v>VR300</x:v>
      </x:c>
      <x:c r="D225" t="str">
        <x:v>future_scenario</x:v>
      </x:c>
      <x:c r="E225" t="str">
        <x:v>long</x:v>
      </x:c>
      <x:c r="F225" s="19" t="n">
        <x:v>30</x:v>
      </x:c>
      <x:c r="G225" t="str"/>
      <x:c r="H225" s="23" t="str">
        <x:v>GPU_SCALING_REQUIRED</x:v>
      </x:c>
      <x:c r="I225" s="20"/>
      <x:c r="J225" s="20"/>
      <x:c r="K225" s="20"/>
      <x:c r="L225" s="20"/>
      <x:c r="M225" s="20"/>
      <x:c r="N225" t="str"/>
      <x:c r="O225" t="str"/>
      <x:c r="P225" s="19"/>
      <x:c r="Q225" s="21" t="str"/>
      <x:c r="R225" s="22"/>
      <x:c r="S225" t="str"/>
      <x:c r="T225" t="str"/>
      <x:c r="U225" s="19" t="n">
        <x:v>0</x:v>
      </x:c>
      <x:c r="V225" s="19" t="n">
        <x:v>0</x:v>
      </x:c>
      <x:c r="W225" s="19" t="n">
        <x:v>0</x:v>
      </x:c>
      <x:c r="X225" t="str"/>
      <x:c r="Y225" s="23" t="str">
        <x:v>No InferenceX benchmark; future GPU scenario requires a separate GPU scaling layer.</x:v>
      </x:c>
    </x:row>
    <x:row r="226">
      <x:c r="A226" t="str">
        <x:v>Kimi K2.5</x:v>
      </x:c>
      <x:c r="B226" t="str">
        <x:v>kimik2.5</x:v>
      </x:c>
      <x:c r="C226" t="str">
        <x:v>VR300</x:v>
      </x:c>
      <x:c r="D226" t="str">
        <x:v>future_scenario</x:v>
      </x:c>
      <x:c r="E226" t="str">
        <x:v>long</x:v>
      </x:c>
      <x:c r="F226" s="19" t="n">
        <x:v>50</x:v>
      </x:c>
      <x:c r="G226" t="str"/>
      <x:c r="H226" s="23" t="str">
        <x:v>GPU_SCALING_REQUIRED</x:v>
      </x:c>
      <x:c r="I226" s="20"/>
      <x:c r="J226" s="20"/>
      <x:c r="K226" s="20"/>
      <x:c r="L226" s="20"/>
      <x:c r="M226" s="20"/>
      <x:c r="N226" t="str"/>
      <x:c r="O226" t="str"/>
      <x:c r="P226" s="19"/>
      <x:c r="Q226" s="21" t="str"/>
      <x:c r="R226" s="22"/>
      <x:c r="S226" t="str"/>
      <x:c r="T226" t="str"/>
      <x:c r="U226" s="19" t="n">
        <x:v>0</x:v>
      </x:c>
      <x:c r="V226" s="19" t="n">
        <x:v>0</x:v>
      </x:c>
      <x:c r="W226" s="19" t="n">
        <x:v>0</x:v>
      </x:c>
      <x:c r="X226" t="str"/>
      <x:c r="Y226" s="23" t="str">
        <x:v>No InferenceX benchmark; future GPU scenario requires a separate GPU scaling layer.</x:v>
      </x:c>
    </x:row>
    <x:row r="227">
      <x:c r="A227" t="str">
        <x:v>Kimi K2.5</x:v>
      </x:c>
      <x:c r="B227" t="str">
        <x:v>kimik2.5</x:v>
      </x:c>
      <x:c r="C227" t="str">
        <x:v>VR300</x:v>
      </x:c>
      <x:c r="D227" t="str">
        <x:v>future_scenario</x:v>
      </x:c>
      <x:c r="E227" t="str">
        <x:v>long</x:v>
      </x:c>
      <x:c r="F227" s="19" t="n">
        <x:v>70</x:v>
      </x:c>
      <x:c r="G227" t="str"/>
      <x:c r="H227" s="23" t="str">
        <x:v>GPU_SCALING_REQUIRED</x:v>
      </x:c>
      <x:c r="I227" s="20"/>
      <x:c r="J227" s="20"/>
      <x:c r="K227" s="20"/>
      <x:c r="L227" s="20"/>
      <x:c r="M227" s="20"/>
      <x:c r="N227" t="str"/>
      <x:c r="O227" t="str"/>
      <x:c r="P227" s="19"/>
      <x:c r="Q227" s="21" t="str"/>
      <x:c r="R227" s="22"/>
      <x:c r="S227" t="str"/>
      <x:c r="T227" t="str"/>
      <x:c r="U227" s="19" t="n">
        <x:v>0</x:v>
      </x:c>
      <x:c r="V227" s="19" t="n">
        <x:v>0</x:v>
      </x:c>
      <x:c r="W227" s="19" t="n">
        <x:v>0</x:v>
      </x:c>
      <x:c r="X227" t="str"/>
      <x:c r="Y227" s="23" t="str">
        <x:v>No InferenceX benchmark; future GPU scenario requires a separate GPU scaling layer.</x:v>
      </x:c>
    </x:row>
    <x:row r="228">
      <x:c r="A228" t="str">
        <x:v>Kimi K2.5</x:v>
      </x:c>
      <x:c r="B228" t="str">
        <x:v>kimik2.5</x:v>
      </x:c>
      <x:c r="C228" t="str">
        <x:v>VR300</x:v>
      </x:c>
      <x:c r="D228" t="str">
        <x:v>future_scenario</x:v>
      </x:c>
      <x:c r="E228" t="str">
        <x:v>long</x:v>
      </x:c>
      <x:c r="F228" s="19" t="n">
        <x:v>100</x:v>
      </x:c>
      <x:c r="G228" t="str"/>
      <x:c r="H228" s="23" t="str">
        <x:v>GPU_SCALING_REQUIRED</x:v>
      </x:c>
      <x:c r="I228" s="20"/>
      <x:c r="J228" s="20"/>
      <x:c r="K228" s="20"/>
      <x:c r="L228" s="20"/>
      <x:c r="M228" s="20"/>
      <x:c r="N228" t="str"/>
      <x:c r="O228" t="str"/>
      <x:c r="P228" s="19"/>
      <x:c r="Q228" s="21" t="str"/>
      <x:c r="R228" s="22"/>
      <x:c r="S228" t="str"/>
      <x:c r="T228" t="str"/>
      <x:c r="U228" s="19" t="n">
        <x:v>0</x:v>
      </x:c>
      <x:c r="V228" s="19" t="n">
        <x:v>0</x:v>
      </x:c>
      <x:c r="W228" s="19" t="n">
        <x:v>0</x:v>
      </x:c>
      <x:c r="X228" t="str"/>
      <x:c r="Y228" s="23" t="str">
        <x:v>No InferenceX benchmark; future GPU scenario requires a separate GPU scaling layer.</x:v>
      </x:c>
    </x:row>
    <x:row r="229">
      <x:c r="A229" t="str">
        <x:v>Kimi K2.5</x:v>
      </x:c>
      <x:c r="B229" t="str">
        <x:v>kimik2.5</x:v>
      </x:c>
      <x:c r="C229" t="str">
        <x:v>VR300</x:v>
      </x:c>
      <x:c r="D229" t="str">
        <x:v>future_scenario</x:v>
      </x:c>
      <x:c r="E229" t="str">
        <x:v>agentic</x:v>
      </x:c>
      <x:c r="F229" s="19" t="n">
        <x:v>30</x:v>
      </x:c>
      <x:c r="G229" t="str"/>
      <x:c r="H229" s="23" t="str">
        <x:v>GPU_SCALING_REQUIRED</x:v>
      </x:c>
      <x:c r="I229" s="20"/>
      <x:c r="J229" s="20"/>
      <x:c r="K229" s="20"/>
      <x:c r="L229" s="20"/>
      <x:c r="M229" s="20"/>
      <x:c r="N229" t="str"/>
      <x:c r="O229" t="str"/>
      <x:c r="P229" s="19"/>
      <x:c r="Q229" s="21" t="str"/>
      <x:c r="R229" s="22"/>
      <x:c r="S229" t="str"/>
      <x:c r="T229" t="str"/>
      <x:c r="U229" s="19" t="n">
        <x:v>0</x:v>
      </x:c>
      <x:c r="V229" s="19" t="n">
        <x:v>0</x:v>
      </x:c>
      <x:c r="W229" s="19" t="n">
        <x:v>0</x:v>
      </x:c>
      <x:c r="X229" t="str"/>
      <x:c r="Y229" s="23" t="str">
        <x:v>No InferenceX benchmark; future GPU scenario requires a separate GPU scaling layer.</x:v>
      </x:c>
    </x:row>
    <x:row r="230">
      <x:c r="A230" t="str">
        <x:v>Kimi K2.5</x:v>
      </x:c>
      <x:c r="B230" t="str">
        <x:v>kimik2.5</x:v>
      </x:c>
      <x:c r="C230" t="str">
        <x:v>VR300</x:v>
      </x:c>
      <x:c r="D230" t="str">
        <x:v>future_scenario</x:v>
      </x:c>
      <x:c r="E230" t="str">
        <x:v>agentic</x:v>
      </x:c>
      <x:c r="F230" s="19" t="n">
        <x:v>50</x:v>
      </x:c>
      <x:c r="G230" t="str"/>
      <x:c r="H230" s="23" t="str">
        <x:v>GPU_SCALING_REQUIRED</x:v>
      </x:c>
      <x:c r="I230" s="20"/>
      <x:c r="J230" s="20"/>
      <x:c r="K230" s="20"/>
      <x:c r="L230" s="20"/>
      <x:c r="M230" s="20"/>
      <x:c r="N230" t="str"/>
      <x:c r="O230" t="str"/>
      <x:c r="P230" s="19"/>
      <x:c r="Q230" s="21" t="str"/>
      <x:c r="R230" s="22"/>
      <x:c r="S230" t="str"/>
      <x:c r="T230" t="str"/>
      <x:c r="U230" s="19" t="n">
        <x:v>0</x:v>
      </x:c>
      <x:c r="V230" s="19" t="n">
        <x:v>0</x:v>
      </x:c>
      <x:c r="W230" s="19" t="n">
        <x:v>0</x:v>
      </x:c>
      <x:c r="X230" t="str"/>
      <x:c r="Y230" s="23" t="str">
        <x:v>No InferenceX benchmark; future GPU scenario requires a separate GPU scaling layer.</x:v>
      </x:c>
    </x:row>
    <x:row r="231">
      <x:c r="A231" t="str">
        <x:v>Kimi K2.5</x:v>
      </x:c>
      <x:c r="B231" t="str">
        <x:v>kimik2.5</x:v>
      </x:c>
      <x:c r="C231" t="str">
        <x:v>VR300</x:v>
      </x:c>
      <x:c r="D231" t="str">
        <x:v>future_scenario</x:v>
      </x:c>
      <x:c r="E231" t="str">
        <x:v>agentic</x:v>
      </x:c>
      <x:c r="F231" s="19" t="n">
        <x:v>70</x:v>
      </x:c>
      <x:c r="G231" t="str"/>
      <x:c r="H231" s="23" t="str">
        <x:v>GPU_SCALING_REQUIRED</x:v>
      </x:c>
      <x:c r="I231" s="20"/>
      <x:c r="J231" s="20"/>
      <x:c r="K231" s="20"/>
      <x:c r="L231" s="20"/>
      <x:c r="M231" s="20"/>
      <x:c r="N231" t="str"/>
      <x:c r="O231" t="str"/>
      <x:c r="P231" s="19"/>
      <x:c r="Q231" s="21" t="str"/>
      <x:c r="R231" s="22"/>
      <x:c r="S231" t="str"/>
      <x:c r="T231" t="str"/>
      <x:c r="U231" s="19" t="n">
        <x:v>0</x:v>
      </x:c>
      <x:c r="V231" s="19" t="n">
        <x:v>0</x:v>
      </x:c>
      <x:c r="W231" s="19" t="n">
        <x:v>0</x:v>
      </x:c>
      <x:c r="X231" t="str"/>
      <x:c r="Y231" s="23" t="str">
        <x:v>No InferenceX benchmark; future GPU scenario requires a separate GPU scaling layer.</x:v>
      </x:c>
    </x:row>
    <x:row r="232">
      <x:c r="A232" t="str">
        <x:v>Kimi K2.5</x:v>
      </x:c>
      <x:c r="B232" t="str">
        <x:v>kimik2.5</x:v>
      </x:c>
      <x:c r="C232" t="str">
        <x:v>VR300</x:v>
      </x:c>
      <x:c r="D232" t="str">
        <x:v>future_scenario</x:v>
      </x:c>
      <x:c r="E232" t="str">
        <x:v>agentic</x:v>
      </x:c>
      <x:c r="F232" s="19" t="n">
        <x:v>100</x:v>
      </x:c>
      <x:c r="G232" t="str"/>
      <x:c r="H232" s="23" t="str">
        <x:v>GPU_SCALING_REQUIRED</x:v>
      </x:c>
      <x:c r="I232" s="20"/>
      <x:c r="J232" s="20"/>
      <x:c r="K232" s="20"/>
      <x:c r="L232" s="20"/>
      <x:c r="M232" s="20"/>
      <x:c r="N232" t="str"/>
      <x:c r="O232" t="str"/>
      <x:c r="P232" s="19"/>
      <x:c r="Q232" s="21" t="str"/>
      <x:c r="R232" s="22"/>
      <x:c r="S232" t="str"/>
      <x:c r="T232" t="str"/>
      <x:c r="U232" s="19" t="n">
        <x:v>0</x:v>
      </x:c>
      <x:c r="V232" s="19" t="n">
        <x:v>0</x:v>
      </x:c>
      <x:c r="W232" s="19" t="n">
        <x:v>0</x:v>
      </x:c>
      <x:c r="X232" t="str"/>
      <x:c r="Y232" s="23" t="str">
        <x:v>No InferenceX benchmark; future GPU scenario requires a separate GPU scaling layer.</x:v>
      </x:c>
    </x:row>
    <x:row r="233">
      <x:c r="A233" t="str">
        <x:v>Kimi K2.5</x:v>
      </x:c>
      <x:c r="B233" t="str">
        <x:v>kimik2.5</x:v>
      </x:c>
      <x:c r="C233" t="str">
        <x:v>Post Rubin</x:v>
      </x:c>
      <x:c r="D233" t="str">
        <x:v>future_scenario</x:v>
      </x:c>
      <x:c r="E233" t="str">
        <x:v>short</x:v>
      </x:c>
      <x:c r="F233" s="19" t="n">
        <x:v>30</x:v>
      </x:c>
      <x:c r="G233" t="str"/>
      <x:c r="H233" s="23" t="str">
        <x:v>GPU_SCALING_REQUIRED</x:v>
      </x:c>
      <x:c r="I233" s="20"/>
      <x:c r="J233" s="20"/>
      <x:c r="K233" s="20"/>
      <x:c r="L233" s="20"/>
      <x:c r="M233" s="20"/>
      <x:c r="N233" t="str"/>
      <x:c r="O233" t="str"/>
      <x:c r="P233" s="19"/>
      <x:c r="Q233" s="21" t="str"/>
      <x:c r="R233" s="22"/>
      <x:c r="S233" t="str"/>
      <x:c r="T233" t="str"/>
      <x:c r="U233" s="19" t="n">
        <x:v>0</x:v>
      </x:c>
      <x:c r="V233" s="19" t="n">
        <x:v>0</x:v>
      </x:c>
      <x:c r="W233" s="19" t="n">
        <x:v>0</x:v>
      </x:c>
      <x:c r="X233" t="str"/>
      <x:c r="Y233" s="23" t="str">
        <x:v>No InferenceX benchmark; future GPU scenario requires a separate GPU scaling layer.</x:v>
      </x:c>
    </x:row>
    <x:row r="234">
      <x:c r="A234" t="str">
        <x:v>Kimi K2.5</x:v>
      </x:c>
      <x:c r="B234" t="str">
        <x:v>kimik2.5</x:v>
      </x:c>
      <x:c r="C234" t="str">
        <x:v>Post Rubin</x:v>
      </x:c>
      <x:c r="D234" t="str">
        <x:v>future_scenario</x:v>
      </x:c>
      <x:c r="E234" t="str">
        <x:v>short</x:v>
      </x:c>
      <x:c r="F234" s="19" t="n">
        <x:v>50</x:v>
      </x:c>
      <x:c r="G234" t="str"/>
      <x:c r="H234" s="23" t="str">
        <x:v>GPU_SCALING_REQUIRED</x:v>
      </x:c>
      <x:c r="I234" s="20"/>
      <x:c r="J234" s="20"/>
      <x:c r="K234" s="20"/>
      <x:c r="L234" s="20"/>
      <x:c r="M234" s="20"/>
      <x:c r="N234" t="str"/>
      <x:c r="O234" t="str"/>
      <x:c r="P234" s="19"/>
      <x:c r="Q234" s="21" t="str"/>
      <x:c r="R234" s="22"/>
      <x:c r="S234" t="str"/>
      <x:c r="T234" t="str"/>
      <x:c r="U234" s="19" t="n">
        <x:v>0</x:v>
      </x:c>
      <x:c r="V234" s="19" t="n">
        <x:v>0</x:v>
      </x:c>
      <x:c r="W234" s="19" t="n">
        <x:v>0</x:v>
      </x:c>
      <x:c r="X234" t="str"/>
      <x:c r="Y234" s="23" t="str">
        <x:v>No InferenceX benchmark; future GPU scenario requires a separate GPU scaling layer.</x:v>
      </x:c>
    </x:row>
    <x:row r="235">
      <x:c r="A235" t="str">
        <x:v>Kimi K2.5</x:v>
      </x:c>
      <x:c r="B235" t="str">
        <x:v>kimik2.5</x:v>
      </x:c>
      <x:c r="C235" t="str">
        <x:v>Post Rubin</x:v>
      </x:c>
      <x:c r="D235" t="str">
        <x:v>future_scenario</x:v>
      </x:c>
      <x:c r="E235" t="str">
        <x:v>short</x:v>
      </x:c>
      <x:c r="F235" s="19" t="n">
        <x:v>70</x:v>
      </x:c>
      <x:c r="G235" t="str"/>
      <x:c r="H235" s="23" t="str">
        <x:v>GPU_SCALING_REQUIRED</x:v>
      </x:c>
      <x:c r="I235" s="20"/>
      <x:c r="J235" s="20"/>
      <x:c r="K235" s="20"/>
      <x:c r="L235" s="20"/>
      <x:c r="M235" s="20"/>
      <x:c r="N235" t="str"/>
      <x:c r="O235" t="str"/>
      <x:c r="P235" s="19"/>
      <x:c r="Q235" s="21" t="str"/>
      <x:c r="R235" s="22"/>
      <x:c r="S235" t="str"/>
      <x:c r="T235" t="str"/>
      <x:c r="U235" s="19" t="n">
        <x:v>0</x:v>
      </x:c>
      <x:c r="V235" s="19" t="n">
        <x:v>0</x:v>
      </x:c>
      <x:c r="W235" s="19" t="n">
        <x:v>0</x:v>
      </x:c>
      <x:c r="X235" t="str"/>
      <x:c r="Y235" s="23" t="str">
        <x:v>No InferenceX benchmark; future GPU scenario requires a separate GPU scaling layer.</x:v>
      </x:c>
    </x:row>
    <x:row r="236">
      <x:c r="A236" t="str">
        <x:v>Kimi K2.5</x:v>
      </x:c>
      <x:c r="B236" t="str">
        <x:v>kimik2.5</x:v>
      </x:c>
      <x:c r="C236" t="str">
        <x:v>Post Rubin</x:v>
      </x:c>
      <x:c r="D236" t="str">
        <x:v>future_scenario</x:v>
      </x:c>
      <x:c r="E236" t="str">
        <x:v>short</x:v>
      </x:c>
      <x:c r="F236" s="19" t="n">
        <x:v>100</x:v>
      </x:c>
      <x:c r="G236" t="str"/>
      <x:c r="H236" s="23" t="str">
        <x:v>GPU_SCALING_REQUIRED</x:v>
      </x:c>
      <x:c r="I236" s="20"/>
      <x:c r="J236" s="20"/>
      <x:c r="K236" s="20"/>
      <x:c r="L236" s="20"/>
      <x:c r="M236" s="20"/>
      <x:c r="N236" t="str"/>
      <x:c r="O236" t="str"/>
      <x:c r="P236" s="19"/>
      <x:c r="Q236" s="21" t="str"/>
      <x:c r="R236" s="22"/>
      <x:c r="S236" t="str"/>
      <x:c r="T236" t="str"/>
      <x:c r="U236" s="19" t="n">
        <x:v>0</x:v>
      </x:c>
      <x:c r="V236" s="19" t="n">
        <x:v>0</x:v>
      </x:c>
      <x:c r="W236" s="19" t="n">
        <x:v>0</x:v>
      </x:c>
      <x:c r="X236" t="str"/>
      <x:c r="Y236" s="23" t="str">
        <x:v>No InferenceX benchmark; future GPU scenario requires a separate GPU scaling layer.</x:v>
      </x:c>
    </x:row>
    <x:row r="237">
      <x:c r="A237" t="str">
        <x:v>Kimi K2.5</x:v>
      </x:c>
      <x:c r="B237" t="str">
        <x:v>kimik2.5</x:v>
      </x:c>
      <x:c r="C237" t="str">
        <x:v>Post Rubin</x:v>
      </x:c>
      <x:c r="D237" t="str">
        <x:v>future_scenario</x:v>
      </x:c>
      <x:c r="E237" t="str">
        <x:v>long</x:v>
      </x:c>
      <x:c r="F237" s="19" t="n">
        <x:v>30</x:v>
      </x:c>
      <x:c r="G237" t="str"/>
      <x:c r="H237" s="23" t="str">
        <x:v>GPU_SCALING_REQUIRED</x:v>
      </x:c>
      <x:c r="I237" s="20"/>
      <x:c r="J237" s="20"/>
      <x:c r="K237" s="20"/>
      <x:c r="L237" s="20"/>
      <x:c r="M237" s="20"/>
      <x:c r="N237" t="str"/>
      <x:c r="O237" t="str"/>
      <x:c r="P237" s="19"/>
      <x:c r="Q237" s="21" t="str"/>
      <x:c r="R237" s="22"/>
      <x:c r="S237" t="str"/>
      <x:c r="T237" t="str"/>
      <x:c r="U237" s="19" t="n">
        <x:v>0</x:v>
      </x:c>
      <x:c r="V237" s="19" t="n">
        <x:v>0</x:v>
      </x:c>
      <x:c r="W237" s="19" t="n">
        <x:v>0</x:v>
      </x:c>
      <x:c r="X237" t="str"/>
      <x:c r="Y237" s="23" t="str">
        <x:v>No InferenceX benchmark; future GPU scenario requires a separate GPU scaling layer.</x:v>
      </x:c>
    </x:row>
    <x:row r="238">
      <x:c r="A238" t="str">
        <x:v>Kimi K2.5</x:v>
      </x:c>
      <x:c r="B238" t="str">
        <x:v>kimik2.5</x:v>
      </x:c>
      <x:c r="C238" t="str">
        <x:v>Post Rubin</x:v>
      </x:c>
      <x:c r="D238" t="str">
        <x:v>future_scenario</x:v>
      </x:c>
      <x:c r="E238" t="str">
        <x:v>long</x:v>
      </x:c>
      <x:c r="F238" s="19" t="n">
        <x:v>50</x:v>
      </x:c>
      <x:c r="G238" t="str"/>
      <x:c r="H238" s="23" t="str">
        <x:v>GPU_SCALING_REQUIRED</x:v>
      </x:c>
      <x:c r="I238" s="20"/>
      <x:c r="J238" s="20"/>
      <x:c r="K238" s="20"/>
      <x:c r="L238" s="20"/>
      <x:c r="M238" s="20"/>
      <x:c r="N238" t="str"/>
      <x:c r="O238" t="str"/>
      <x:c r="P238" s="19"/>
      <x:c r="Q238" s="21" t="str"/>
      <x:c r="R238" s="22"/>
      <x:c r="S238" t="str"/>
      <x:c r="T238" t="str"/>
      <x:c r="U238" s="19" t="n">
        <x:v>0</x:v>
      </x:c>
      <x:c r="V238" s="19" t="n">
        <x:v>0</x:v>
      </x:c>
      <x:c r="W238" s="19" t="n">
        <x:v>0</x:v>
      </x:c>
      <x:c r="X238" t="str"/>
      <x:c r="Y238" s="23" t="str">
        <x:v>No InferenceX benchmark; future GPU scenario requires a separate GPU scaling layer.</x:v>
      </x:c>
    </x:row>
    <x:row r="239">
      <x:c r="A239" t="str">
        <x:v>Kimi K2.5</x:v>
      </x:c>
      <x:c r="B239" t="str">
        <x:v>kimik2.5</x:v>
      </x:c>
      <x:c r="C239" t="str">
        <x:v>Post Rubin</x:v>
      </x:c>
      <x:c r="D239" t="str">
        <x:v>future_scenario</x:v>
      </x:c>
      <x:c r="E239" t="str">
        <x:v>long</x:v>
      </x:c>
      <x:c r="F239" s="19" t="n">
        <x:v>70</x:v>
      </x:c>
      <x:c r="G239" t="str"/>
      <x:c r="H239" s="23" t="str">
        <x:v>GPU_SCALING_REQUIRED</x:v>
      </x:c>
      <x:c r="I239" s="20"/>
      <x:c r="J239" s="20"/>
      <x:c r="K239" s="20"/>
      <x:c r="L239" s="20"/>
      <x:c r="M239" s="20"/>
      <x:c r="N239" t="str"/>
      <x:c r="O239" t="str"/>
      <x:c r="P239" s="19"/>
      <x:c r="Q239" s="21" t="str"/>
      <x:c r="R239" s="22"/>
      <x:c r="S239" t="str"/>
      <x:c r="T239" t="str"/>
      <x:c r="U239" s="19" t="n">
        <x:v>0</x:v>
      </x:c>
      <x:c r="V239" s="19" t="n">
        <x:v>0</x:v>
      </x:c>
      <x:c r="W239" s="19" t="n">
        <x:v>0</x:v>
      </x:c>
      <x:c r="X239" t="str"/>
      <x:c r="Y239" s="23" t="str">
        <x:v>No InferenceX benchmark; future GPU scenario requires a separate GPU scaling layer.</x:v>
      </x:c>
    </x:row>
    <x:row r="240">
      <x:c r="A240" t="str">
        <x:v>Kimi K2.5</x:v>
      </x:c>
      <x:c r="B240" t="str">
        <x:v>kimik2.5</x:v>
      </x:c>
      <x:c r="C240" t="str">
        <x:v>Post Rubin</x:v>
      </x:c>
      <x:c r="D240" t="str">
        <x:v>future_scenario</x:v>
      </x:c>
      <x:c r="E240" t="str">
        <x:v>long</x:v>
      </x:c>
      <x:c r="F240" s="19" t="n">
        <x:v>100</x:v>
      </x:c>
      <x:c r="G240" t="str"/>
      <x:c r="H240" s="23" t="str">
        <x:v>GPU_SCALING_REQUIRED</x:v>
      </x:c>
      <x:c r="I240" s="20"/>
      <x:c r="J240" s="20"/>
      <x:c r="K240" s="20"/>
      <x:c r="L240" s="20"/>
      <x:c r="M240" s="20"/>
      <x:c r="N240" t="str"/>
      <x:c r="O240" t="str"/>
      <x:c r="P240" s="19"/>
      <x:c r="Q240" s="21" t="str"/>
      <x:c r="R240" s="22"/>
      <x:c r="S240" t="str"/>
      <x:c r="T240" t="str"/>
      <x:c r="U240" s="19" t="n">
        <x:v>0</x:v>
      </x:c>
      <x:c r="V240" s="19" t="n">
        <x:v>0</x:v>
      </x:c>
      <x:c r="W240" s="19" t="n">
        <x:v>0</x:v>
      </x:c>
      <x:c r="X240" t="str"/>
      <x:c r="Y240" s="23" t="str">
        <x:v>No InferenceX benchmark; future GPU scenario requires a separate GPU scaling layer.</x:v>
      </x:c>
    </x:row>
    <x:row r="241">
      <x:c r="A241" t="str">
        <x:v>Kimi K2.5</x:v>
      </x:c>
      <x:c r="B241" t="str">
        <x:v>kimik2.5</x:v>
      </x:c>
      <x:c r="C241" t="str">
        <x:v>Post Rubin</x:v>
      </x:c>
      <x:c r="D241" t="str">
        <x:v>future_scenario</x:v>
      </x:c>
      <x:c r="E241" t="str">
        <x:v>agentic</x:v>
      </x:c>
      <x:c r="F241" s="19" t="n">
        <x:v>30</x:v>
      </x:c>
      <x:c r="G241" t="str"/>
      <x:c r="H241" s="23" t="str">
        <x:v>GPU_SCALING_REQUIRED</x:v>
      </x:c>
      <x:c r="I241" s="20"/>
      <x:c r="J241" s="20"/>
      <x:c r="K241" s="20"/>
      <x:c r="L241" s="20"/>
      <x:c r="M241" s="20"/>
      <x:c r="N241" t="str"/>
      <x:c r="O241" t="str"/>
      <x:c r="P241" s="19"/>
      <x:c r="Q241" s="21" t="str"/>
      <x:c r="R241" s="22"/>
      <x:c r="S241" t="str"/>
      <x:c r="T241" t="str"/>
      <x:c r="U241" s="19" t="n">
        <x:v>0</x:v>
      </x:c>
      <x:c r="V241" s="19" t="n">
        <x:v>0</x:v>
      </x:c>
      <x:c r="W241" s="19" t="n">
        <x:v>0</x:v>
      </x:c>
      <x:c r="X241" t="str"/>
      <x:c r="Y241" s="23" t="str">
        <x:v>No InferenceX benchmark; future GPU scenario requires a separate GPU scaling layer.</x:v>
      </x:c>
    </x:row>
    <x:row r="242">
      <x:c r="A242" t="str">
        <x:v>Kimi K2.5</x:v>
      </x:c>
      <x:c r="B242" t="str">
        <x:v>kimik2.5</x:v>
      </x:c>
      <x:c r="C242" t="str">
        <x:v>Post Rubin</x:v>
      </x:c>
      <x:c r="D242" t="str">
        <x:v>future_scenario</x:v>
      </x:c>
      <x:c r="E242" t="str">
        <x:v>agentic</x:v>
      </x:c>
      <x:c r="F242" s="19" t="n">
        <x:v>50</x:v>
      </x:c>
      <x:c r="G242" t="str"/>
      <x:c r="H242" s="23" t="str">
        <x:v>GPU_SCALING_REQUIRED</x:v>
      </x:c>
      <x:c r="I242" s="20"/>
      <x:c r="J242" s="20"/>
      <x:c r="K242" s="20"/>
      <x:c r="L242" s="20"/>
      <x:c r="M242" s="20"/>
      <x:c r="N242" t="str"/>
      <x:c r="O242" t="str"/>
      <x:c r="P242" s="19"/>
      <x:c r="Q242" s="21" t="str"/>
      <x:c r="R242" s="22"/>
      <x:c r="S242" t="str"/>
      <x:c r="T242" t="str"/>
      <x:c r="U242" s="19" t="n">
        <x:v>0</x:v>
      </x:c>
      <x:c r="V242" s="19" t="n">
        <x:v>0</x:v>
      </x:c>
      <x:c r="W242" s="19" t="n">
        <x:v>0</x:v>
      </x:c>
      <x:c r="X242" t="str"/>
      <x:c r="Y242" s="23" t="str">
        <x:v>No InferenceX benchmark; future GPU scenario requires a separate GPU scaling layer.</x:v>
      </x:c>
    </x:row>
    <x:row r="243">
      <x:c r="A243" t="str">
        <x:v>Kimi K2.5</x:v>
      </x:c>
      <x:c r="B243" t="str">
        <x:v>kimik2.5</x:v>
      </x:c>
      <x:c r="C243" t="str">
        <x:v>Post Rubin</x:v>
      </x:c>
      <x:c r="D243" t="str">
        <x:v>future_scenario</x:v>
      </x:c>
      <x:c r="E243" t="str">
        <x:v>agentic</x:v>
      </x:c>
      <x:c r="F243" s="19" t="n">
        <x:v>70</x:v>
      </x:c>
      <x:c r="G243" t="str"/>
      <x:c r="H243" s="23" t="str">
        <x:v>GPU_SCALING_REQUIRED</x:v>
      </x:c>
      <x:c r="I243" s="20"/>
      <x:c r="J243" s="20"/>
      <x:c r="K243" s="20"/>
      <x:c r="L243" s="20"/>
      <x:c r="M243" s="20"/>
      <x:c r="N243" t="str"/>
      <x:c r="O243" t="str"/>
      <x:c r="P243" s="19"/>
      <x:c r="Q243" s="21" t="str"/>
      <x:c r="R243" s="22"/>
      <x:c r="S243" t="str"/>
      <x:c r="T243" t="str"/>
      <x:c r="U243" s="19" t="n">
        <x:v>0</x:v>
      </x:c>
      <x:c r="V243" s="19" t="n">
        <x:v>0</x:v>
      </x:c>
      <x:c r="W243" s="19" t="n">
        <x:v>0</x:v>
      </x:c>
      <x:c r="X243" t="str"/>
      <x:c r="Y243" s="23" t="str">
        <x:v>No InferenceX benchmark; future GPU scenario requires a separate GPU scaling layer.</x:v>
      </x:c>
    </x:row>
    <x:row r="244">
      <x:c r="A244" t="str">
        <x:v>Kimi K2.5</x:v>
      </x:c>
      <x:c r="B244" t="str">
        <x:v>kimik2.5</x:v>
      </x:c>
      <x:c r="C244" t="str">
        <x:v>Post Rubin</x:v>
      </x:c>
      <x:c r="D244" t="str">
        <x:v>future_scenario</x:v>
      </x:c>
      <x:c r="E244" t="str">
        <x:v>agentic</x:v>
      </x:c>
      <x:c r="F244" s="19" t="n">
        <x:v>100</x:v>
      </x:c>
      <x:c r="G244" t="str"/>
      <x:c r="H244" s="23" t="str">
        <x:v>GPU_SCALING_REQUIRED</x:v>
      </x:c>
      <x:c r="I244" s="20"/>
      <x:c r="J244" s="20"/>
      <x:c r="K244" s="20"/>
      <x:c r="L244" s="20"/>
      <x:c r="M244" s="20"/>
      <x:c r="N244" t="str"/>
      <x:c r="O244" t="str"/>
      <x:c r="P244" s="19"/>
      <x:c r="Q244" s="21" t="str"/>
      <x:c r="R244" s="22"/>
      <x:c r="S244" t="str"/>
      <x:c r="T244" t="str"/>
      <x:c r="U244" s="19" t="n">
        <x:v>0</x:v>
      </x:c>
      <x:c r="V244" s="19" t="n">
        <x:v>0</x:v>
      </x:c>
      <x:c r="W244" s="19" t="n">
        <x:v>0</x:v>
      </x:c>
      <x:c r="X244" t="str"/>
      <x:c r="Y244" s="23" t="str">
        <x:v>No InferenceX benchmark; future GPU scenario requires a separate GPU scaling layer.</x:v>
      </x:c>
    </x:row>
    <x:row r="245">
      <x:c r="A245" t="str">
        <x:v>MiniMax M3</x:v>
      </x:c>
      <x:c r="B245" t="str">
        <x:v>minimaxm3</x:v>
      </x:c>
      <x:c r="C245" t="str">
        <x:v>H200</x:v>
      </x:c>
      <x:c r="D245" t="str">
        <x:v>direct</x:v>
      </x:c>
      <x:c r="E245" t="str">
        <x:v>short</x:v>
      </x:c>
      <x:c r="F245" s="19" t="n">
        <x:v>30</x:v>
      </x:c>
      <x:c r="G245" t="str">
        <x:v>vllm</x:v>
      </x:c>
      <x:c r="H245" s="23" t="str">
        <x:v>DIRECT_PREFERRED</x:v>
      </x:c>
      <x:c r="I245" s="20" t="n">
        <x:v>454496.7203190041</x:v>
      </x:c>
      <x:c r="J245" s="20" t="n">
        <x:v>42.52109024625867</x:v>
      </x:c>
      <x:c r="K245" s="20" t="n">
        <x:v>64</x:v>
      </x:c>
      <x:c r="L245" s="20" t="n">
        <x:v>4</x:v>
      </x:c>
      <x:c r="M245" s="20" t="n">
        <x:v>16</x:v>
      </x:c>
      <x:c r="N245" t="str">
        <x:v>fp8</x:v>
      </x:c>
      <x:c r="O245" t="str">
        <x:v>mtp</x:v>
      </x:c>
      <x:c r="P245" s="19" t="n">
        <x:v>421694</x:v>
      </x:c>
      <x:c r="Q245" s="21" t="n">
        <x:v>46186</x:v>
      </x:c>
      <x:c r="R245" s="22" t="n">
        <x:v>454496.7203190041</x:v>
      </x:c>
      <x:c r="S245" t="str">
        <x:v>vllm</x:v>
      </x:c>
      <x:c r="T245" t="str">
        <x:v>vllm</x:v>
      </x:c>
      <x:c r="U245" s="19" t="n">
        <x:v>61</x:v>
      </x:c>
      <x:c r="V245" s="19" t="n">
        <x:v>61</x:v>
      </x:c>
      <x:c r="W245" s="19" t="n">
        <x:v>11</x:v>
      </x:c>
      <x:c r="X245" t="str"/>
      <x:c r="Y245" s="23" t="str">
        <x:v>Preferred framework has a direct Pareto-eligible observation.</x:v>
      </x:c>
    </x:row>
    <x:row r="246">
      <x:c r="A246" t="str">
        <x:v>MiniMax M3</x:v>
      </x:c>
      <x:c r="B246" t="str">
        <x:v>minimaxm3</x:v>
      </x:c>
      <x:c r="C246" t="str">
        <x:v>H200</x:v>
      </x:c>
      <x:c r="D246" t="str">
        <x:v>direct</x:v>
      </x:c>
      <x:c r="E246" t="str">
        <x:v>short</x:v>
      </x:c>
      <x:c r="F246" s="19" t="n">
        <x:v>50</x:v>
      </x:c>
      <x:c r="G246" t="str">
        <x:v>vllm</x:v>
      </x:c>
      <x:c r="H246" s="23" t="str">
        <x:v>DIRECT_PREFERRED</x:v>
      </x:c>
      <x:c r="I246" s="20" t="n">
        <x:v>323124.9343077992</x:v>
      </x:c>
      <x:c r="J246" s="20" t="n">
        <x:v>61.08321226438997</x:v>
      </x:c>
      <x:c r="K246" s="20" t="n">
        <x:v>32</x:v>
      </x:c>
      <x:c r="L246" s="20" t="n">
        <x:v>4</x:v>
      </x:c>
      <x:c r="M246" s="20" t="n">
        <x:v>8</x:v>
      </x:c>
      <x:c r="N246" t="str">
        <x:v>fp8</x:v>
      </x:c>
      <x:c r="O246" t="str">
        <x:v>mtp</x:v>
      </x:c>
      <x:c r="P246" s="19" t="n">
        <x:v>421722</x:v>
      </x:c>
      <x:c r="Q246" s="21" t="n">
        <x:v>46186</x:v>
      </x:c>
      <x:c r="R246" s="22" t="n">
        <x:v>323124.9343077992</x:v>
      </x:c>
      <x:c r="S246" t="str">
        <x:v>vllm</x:v>
      </x:c>
      <x:c r="T246" t="str">
        <x:v>vllm</x:v>
      </x:c>
      <x:c r="U246" s="19" t="n">
        <x:v>51</x:v>
      </x:c>
      <x:c r="V246" s="19" t="n">
        <x:v>51</x:v>
      </x:c>
      <x:c r="W246" s="19" t="n">
        <x:v>11</x:v>
      </x:c>
      <x:c r="X246" t="str"/>
      <x:c r="Y246" s="23" t="str">
        <x:v>Preferred framework has a direct Pareto-eligible observation.</x:v>
      </x:c>
    </x:row>
    <x:row r="247">
      <x:c r="A247" t="str">
        <x:v>MiniMax M3</x:v>
      </x:c>
      <x:c r="B247" t="str">
        <x:v>minimaxm3</x:v>
      </x:c>
      <x:c r="C247" t="str">
        <x:v>H200</x:v>
      </x:c>
      <x:c r="D247" t="str">
        <x:v>direct</x:v>
      </x:c>
      <x:c r="E247" t="str">
        <x:v>short</x:v>
      </x:c>
      <x:c r="F247" s="19" t="n">
        <x:v>70</x:v>
      </x:c>
      <x:c r="G247" t="str">
        <x:v>vllm</x:v>
      </x:c>
      <x:c r="H247" s="23" t="str">
        <x:v>DIRECT_PREFERRED</x:v>
      </x:c>
      <x:c r="I247" s="20" t="n">
        <x:v>230135.55607479438</x:v>
      </x:c>
      <x:c r="J247" s="20" t="n">
        <x:v>86.7381656201302</x:v>
      </x:c>
      <x:c r="K247" s="20" t="n">
        <x:v>16</x:v>
      </x:c>
      <x:c r="L247" s="20" t="n">
        <x:v>4</x:v>
      </x:c>
      <x:c r="M247" s="20" t="n">
        <x:v>4</x:v>
      </x:c>
      <x:c r="N247" t="str">
        <x:v>fp8</x:v>
      </x:c>
      <x:c r="O247" t="str">
        <x:v>mtp</x:v>
      </x:c>
      <x:c r="P247" s="19" t="n">
        <x:v>422469</x:v>
      </x:c>
      <x:c r="Q247" s="21" t="n">
        <x:v>46186</x:v>
      </x:c>
      <x:c r="R247" s="22" t="n">
        <x:v>230135.55607479438</x:v>
      </x:c>
      <x:c r="S247" t="str">
        <x:v>vllm</x:v>
      </x:c>
      <x:c r="T247" t="str">
        <x:v>vllm</x:v>
      </x:c>
      <x:c r="U247" s="19" t="n">
        <x:v>39</x:v>
      </x:c>
      <x:c r="V247" s="19" t="n">
        <x:v>39</x:v>
      </x:c>
      <x:c r="W247" s="19" t="n">
        <x:v>11</x:v>
      </x:c>
      <x:c r="X247" t="str"/>
      <x:c r="Y247" s="23" t="str">
        <x:v>Preferred framework has a direct Pareto-eligible observation.</x:v>
      </x:c>
    </x:row>
    <x:row r="248">
      <x:c r="A248" t="str">
        <x:v>MiniMax M3</x:v>
      </x:c>
      <x:c r="B248" t="str">
        <x:v>minimaxm3</x:v>
      </x:c>
      <x:c r="C248" t="str">
        <x:v>H200</x:v>
      </x:c>
      <x:c r="D248" t="str">
        <x:v>direct</x:v>
      </x:c>
      <x:c r="E248" t="str">
        <x:v>short</x:v>
      </x:c>
      <x:c r="F248" s="19" t="n">
        <x:v>100</x:v>
      </x:c>
      <x:c r="G248" t="str">
        <x:v>vllm</x:v>
      </x:c>
      <x:c r="H248" s="23" t="str">
        <x:v>DIRECT_PREFERRED</x:v>
      </x:c>
      <x:c r="I248" s="20" t="n">
        <x:v>162560.94443088118</x:v>
      </x:c>
      <x:c r="J248" s="20" t="n">
        <x:v>123.49661676314955</x:v>
      </x:c>
      <x:c r="K248" s="20" t="n">
        <x:v>8</x:v>
      </x:c>
      <x:c r="L248" s="20" t="n">
        <x:v>4</x:v>
      </x:c>
      <x:c r="M248" s="20" t="n">
        <x:v>2</x:v>
      </x:c>
      <x:c r="N248" t="str">
        <x:v>fp8</x:v>
      </x:c>
      <x:c r="O248" t="str">
        <x:v>mtp</x:v>
      </x:c>
      <x:c r="P248" s="19" t="n">
        <x:v>421713</x:v>
      </x:c>
      <x:c r="Q248" s="21" t="n">
        <x:v>46186</x:v>
      </x:c>
      <x:c r="R248" s="22" t="n">
        <x:v>162560.94443088118</x:v>
      </x:c>
      <x:c r="S248" t="str">
        <x:v>vllm</x:v>
      </x:c>
      <x:c r="T248" t="str">
        <x:v>vllm</x:v>
      </x:c>
      <x:c r="U248" s="19" t="n">
        <x:v>26</x:v>
      </x:c>
      <x:c r="V248" s="19" t="n">
        <x:v>26</x:v>
      </x:c>
      <x:c r="W248" s="19" t="n">
        <x:v>11</x:v>
      </x:c>
      <x:c r="X248" t="str"/>
      <x:c r="Y248" s="23" t="str">
        <x:v>Preferred framework has a direct Pareto-eligible observation.</x:v>
      </x:c>
    </x:row>
    <x:row r="249">
      <x:c r="A249" t="str">
        <x:v>MiniMax M3</x:v>
      </x:c>
      <x:c r="B249" t="str">
        <x:v>minimaxm3</x:v>
      </x:c>
      <x:c r="C249" t="str">
        <x:v>H200</x:v>
      </x:c>
      <x:c r="D249" t="str">
        <x:v>direct</x:v>
      </x:c>
      <x:c r="E249" t="str">
        <x:v>long</x:v>
      </x:c>
      <x:c r="F249" s="19" t="n">
        <x:v>30</x:v>
      </x:c>
      <x:c r="G249" t="str">
        <x:v>vllm</x:v>
      </x:c>
      <x:c r="H249" s="23" t="str">
        <x:v>DIRECT_PREFERRED</x:v>
      </x:c>
      <x:c r="I249" s="20" t="n">
        <x:v>156306.5718042608</x:v>
      </x:c>
      <x:c r="J249" s="20" t="n">
        <x:v>32.20059453082749</x:v>
      </x:c>
      <x:c r="K249" s="20" t="n">
        <x:v>32</x:v>
      </x:c>
      <x:c r="L249" s="20" t="n">
        <x:v>4</x:v>
      </x:c>
      <x:c r="M249" s="20" t="n">
        <x:v>8</x:v>
      </x:c>
      <x:c r="N249" t="str">
        <x:v>fp8</x:v>
      </x:c>
      <x:c r="O249" t="str">
        <x:v>mtp</x:v>
      </x:c>
      <x:c r="P249" s="19" t="n">
        <x:v>421726</x:v>
      </x:c>
      <x:c r="Q249" s="21" t="n">
        <x:v>46186</x:v>
      </x:c>
      <x:c r="R249" s="22" t="n">
        <x:v>156306.5718042608</x:v>
      </x:c>
      <x:c r="S249" t="str">
        <x:v>vllm</x:v>
      </x:c>
      <x:c r="T249" t="str">
        <x:v>vllm</x:v>
      </x:c>
      <x:c r="U249" s="19" t="n">
        <x:v>49</x:v>
      </x:c>
      <x:c r="V249" s="19" t="n">
        <x:v>49</x:v>
      </x:c>
      <x:c r="W249" s="19" t="n">
        <x:v>10</x:v>
      </x:c>
      <x:c r="X249" t="str"/>
      <x:c r="Y249" s="23" t="str">
        <x:v>Preferred framework has a direct Pareto-eligible observation.</x:v>
      </x:c>
    </x:row>
    <x:row r="250">
      <x:c r="A250" t="str">
        <x:v>MiniMax M3</x:v>
      </x:c>
      <x:c r="B250" t="str">
        <x:v>minimaxm3</x:v>
      </x:c>
      <x:c r="C250" t="str">
        <x:v>H200</x:v>
      </x:c>
      <x:c r="D250" t="str">
        <x:v>direct</x:v>
      </x:c>
      <x:c r="E250" t="str">
        <x:v>long</x:v>
      </x:c>
      <x:c r="F250" s="19" t="n">
        <x:v>50</x:v>
      </x:c>
      <x:c r="G250" t="str">
        <x:v>vllm</x:v>
      </x:c>
      <x:c r="H250" s="23" t="str">
        <x:v>DIRECT_PREFERRED</x:v>
      </x:c>
      <x:c r="I250" s="20" t="n">
        <x:v>135691.46902447086</x:v>
      </x:c>
      <x:c r="J250" s="20" t="n">
        <x:v>53.34880354693073</x:v>
      </x:c>
      <x:c r="K250" s="20" t="n">
        <x:v>16</x:v>
      </x:c>
      <x:c r="L250" s="20" t="n">
        <x:v>4</x:v>
      </x:c>
      <x:c r="M250" s="20" t="n">
        <x:v>4</x:v>
      </x:c>
      <x:c r="N250" t="str">
        <x:v>fp8</x:v>
      </x:c>
      <x:c r="O250" t="str">
        <x:v>mtp</x:v>
      </x:c>
      <x:c r="P250" s="19" t="n">
        <x:v>422475</x:v>
      </x:c>
      <x:c r="Q250" s="21" t="n">
        <x:v>46186</x:v>
      </x:c>
      <x:c r="R250" s="22" t="n">
        <x:v>135691.46902447086</x:v>
      </x:c>
      <x:c r="S250" t="str">
        <x:v>vllm</x:v>
      </x:c>
      <x:c r="T250" t="str">
        <x:v>vllm</x:v>
      </x:c>
      <x:c r="U250" s="19" t="n">
        <x:v>38</x:v>
      </x:c>
      <x:c r="V250" s="19" t="n">
        <x:v>38</x:v>
      </x:c>
      <x:c r="W250" s="19" t="n">
        <x:v>10</x:v>
      </x:c>
      <x:c r="X250" t="str"/>
      <x:c r="Y250" s="23" t="str">
        <x:v>Preferred framework has a direct Pareto-eligible observation.</x:v>
      </x:c>
    </x:row>
    <x:row r="251">
      <x:c r="A251" t="str">
        <x:v>MiniMax M3</x:v>
      </x:c>
      <x:c r="B251" t="str">
        <x:v>minimaxm3</x:v>
      </x:c>
      <x:c r="C251" t="str">
        <x:v>H200</x:v>
      </x:c>
      <x:c r="D251" t="str">
        <x:v>direct</x:v>
      </x:c>
      <x:c r="E251" t="str">
        <x:v>long</x:v>
      </x:c>
      <x:c r="F251" s="19" t="n">
        <x:v>70</x:v>
      </x:c>
      <x:c r="G251" t="str">
        <x:v>vllm</x:v>
      </x:c>
      <x:c r="H251" s="23" t="str">
        <x:v>DIRECT_PREFERRED</x:v>
      </x:c>
      <x:c r="I251" s="20" t="n">
        <x:v>109869.17019902046</x:v>
      </x:c>
      <x:c r="J251" s="20" t="n">
        <x:v>92.07672851175478</x:v>
      </x:c>
      <x:c r="K251" s="20" t="n">
        <x:v>8</x:v>
      </x:c>
      <x:c r="L251" s="20" t="n">
        <x:v>4</x:v>
      </x:c>
      <x:c r="M251" s="20" t="n">
        <x:v>2</x:v>
      </x:c>
      <x:c r="N251" t="str">
        <x:v>fp8</x:v>
      </x:c>
      <x:c r="O251" t="str">
        <x:v>mtp</x:v>
      </x:c>
      <x:c r="P251" s="19" t="n">
        <x:v>421721</x:v>
      </x:c>
      <x:c r="Q251" s="21" t="n">
        <x:v>46186</x:v>
      </x:c>
      <x:c r="R251" s="22" t="n">
        <x:v>109869.17019902046</x:v>
      </x:c>
      <x:c r="S251" t="str">
        <x:v>vllm</x:v>
      </x:c>
      <x:c r="T251" t="str">
        <x:v>vllm</x:v>
      </x:c>
      <x:c r="U251" s="19" t="n">
        <x:v>30</x:v>
      </x:c>
      <x:c r="V251" s="19" t="n">
        <x:v>30</x:v>
      </x:c>
      <x:c r="W251" s="19" t="n">
        <x:v>10</x:v>
      </x:c>
      <x:c r="X251" t="str"/>
      <x:c r="Y251" s="23" t="str">
        <x:v>Preferred framework has a direct Pareto-eligible observation.</x:v>
      </x:c>
    </x:row>
    <x:row r="252">
      <x:c r="A252" t="str">
        <x:v>MiniMax M3</x:v>
      </x:c>
      <x:c r="B252" t="str">
        <x:v>minimaxm3</x:v>
      </x:c>
      <x:c r="C252" t="str">
        <x:v>H200</x:v>
      </x:c>
      <x:c r="D252" t="str">
        <x:v>direct</x:v>
      </x:c>
      <x:c r="E252" t="str">
        <x:v>long</x:v>
      </x:c>
      <x:c r="F252" s="19" t="n">
        <x:v>100</x:v>
      </x:c>
      <x:c r="G252" t="str">
        <x:v>vllm</x:v>
      </x:c>
      <x:c r="H252" s="23" t="str">
        <x:v>DIRECT_PREFERRED</x:v>
      </x:c>
      <x:c r="I252" s="20" t="n">
        <x:v>80311.56773162515</x:v>
      </x:c>
      <x:c r="J252" s="20" t="n">
        <x:v>139.42867431761172</x:v>
      </x:c>
      <x:c r="K252" s="20" t="n">
        <x:v>4</x:v>
      </x:c>
      <x:c r="L252" s="20" t="n">
        <x:v>4</x:v>
      </x:c>
      <x:c r="M252" s="20" t="n">
        <x:v>1</x:v>
      </x:c>
      <x:c r="N252" t="str">
        <x:v>fp8</x:v>
      </x:c>
      <x:c r="O252" t="str">
        <x:v>mtp</x:v>
      </x:c>
      <x:c r="P252" s="19" t="n">
        <x:v>421700</x:v>
      </x:c>
      <x:c r="Q252" s="21" t="n">
        <x:v>46186</x:v>
      </x:c>
      <x:c r="R252" s="22" t="n">
        <x:v>80311.56773162515</x:v>
      </x:c>
      <x:c r="S252" t="str">
        <x:v>vllm</x:v>
      </x:c>
      <x:c r="T252" t="str">
        <x:v>vllm</x:v>
      </x:c>
      <x:c r="U252" s="19" t="n">
        <x:v>19</x:v>
      </x:c>
      <x:c r="V252" s="19" t="n">
        <x:v>19</x:v>
      </x:c>
      <x:c r="W252" s="19" t="n">
        <x:v>10</x:v>
      </x:c>
      <x:c r="X252" t="str"/>
      <x:c r="Y252" s="23" t="str">
        <x:v>Preferred framework has a direct Pareto-eligible observation.</x:v>
      </x:c>
    </x:row>
    <x:row r="253">
      <x:c r="A253" t="str">
        <x:v>MiniMax M3</x:v>
      </x:c>
      <x:c r="B253" t="str">
        <x:v>minimaxm3</x:v>
      </x:c>
      <x:c r="C253" t="str">
        <x:v>H200</x:v>
      </x:c>
      <x:c r="D253" t="str">
        <x:v>direct</x:v>
      </x:c>
      <x:c r="E253" t="str">
        <x:v>agentic</x:v>
      </x:c>
      <x:c r="F253" s="19" t="n">
        <x:v>30</x:v>
      </x:c>
      <x:c r="G253" t="str">
        <x:v>vllm</x:v>
      </x:c>
      <x:c r="H253" s="23" t="str">
        <x:v>DIRECT_PREFERRED</x:v>
      </x:c>
      <x:c r="I253" s="20" t="n">
        <x:v>26884.240875912405</x:v>
      </x:c>
      <x:c r="J253" s="20" t="n">
        <x:v>30.902348578491967</x:v>
      </x:c>
      <x:c r="K253" s="20" t="n">
        <x:v>14</x:v>
      </x:c>
      <x:c r="L253" s="20" t="n">
        <x:v>8</x:v>
      </x:c>
      <x:c r="M253" s="20" t="n">
        <x:v>1.75</x:v>
      </x:c>
      <x:c r="N253" t="str">
        <x:v>fp8</x:v>
      </x:c>
      <x:c r="O253" t="str">
        <x:v>mtp</x:v>
      </x:c>
      <x:c r="P253" s="19" t="n">
        <x:v>439641</x:v>
      </x:c>
      <x:c r="Q253" s="21" t="n">
        <x:v>46246</x:v>
      </x:c>
      <x:c r="R253" s="22" t="n">
        <x:v>26884.240875912405</x:v>
      </x:c>
      <x:c r="S253" t="str">
        <x:v>vllm</x:v>
      </x:c>
      <x:c r="T253" t="str">
        <x:v>vllm</x:v>
      </x:c>
      <x:c r="U253" s="19" t="n">
        <x:v>8</x:v>
      </x:c>
      <x:c r="V253" s="19" t="n">
        <x:v>8</x:v>
      </x:c>
      <x:c r="W253" s="19" t="n">
        <x:v>8</x:v>
      </x:c>
      <x:c r="X253" t="str"/>
      <x:c r="Y253" s="23" t="str">
        <x:v>Preferred framework has a direct Pareto-eligible observation.</x:v>
      </x:c>
    </x:row>
    <x:row r="254">
      <x:c r="A254" t="str">
        <x:v>MiniMax M3</x:v>
      </x:c>
      <x:c r="B254" t="str">
        <x:v>minimaxm3</x:v>
      </x:c>
      <x:c r="C254" t="str">
        <x:v>H200</x:v>
      </x:c>
      <x:c r="D254" t="str">
        <x:v>direct</x:v>
      </x:c>
      <x:c r="E254" t="str">
        <x:v>agentic</x:v>
      </x:c>
      <x:c r="F254" s="19" t="n">
        <x:v>50</x:v>
      </x:c>
      <x:c r="G254" t="str">
        <x:v>vllm</x:v>
      </x:c>
      <x:c r="H254" s="23" t="str">
        <x:v>DIRECT_PREFERRED</x:v>
      </x:c>
      <x:c r="I254" s="20" t="n">
        <x:v>9404.255474452553</x:v>
      </x:c>
      <x:c r="J254" s="20" t="n">
        <x:v>63.37135614702155</x:v>
      </x:c>
      <x:c r="K254" s="20" t="n">
        <x:v>4</x:v>
      </x:c>
      <x:c r="L254" s="20" t="n">
        <x:v>8</x:v>
      </x:c>
      <x:c r="M254" s="20" t="n">
        <x:v>0.5</x:v>
      </x:c>
      <x:c r="N254" t="str">
        <x:v>fp8</x:v>
      </x:c>
      <x:c r="O254" t="str">
        <x:v>mtp</x:v>
      </x:c>
      <x:c r="P254" s="19" t="n">
        <x:v>439635</x:v>
      </x:c>
      <x:c r="Q254" s="21" t="n">
        <x:v>46246</x:v>
      </x:c>
      <x:c r="R254" s="22" t="n">
        <x:v>9404.255474452553</x:v>
      </x:c>
      <x:c r="S254" t="str">
        <x:v>vllm</x:v>
      </x:c>
      <x:c r="T254" t="str">
        <x:v>vllm</x:v>
      </x:c>
      <x:c r="U254" s="19" t="n">
        <x:v>3</x:v>
      </x:c>
      <x:c r="V254" s="19" t="n">
        <x:v>3</x:v>
      </x:c>
      <x:c r="W254" s="19" t="n">
        <x:v>8</x:v>
      </x:c>
      <x:c r="X254" t="str"/>
      <x:c r="Y254" s="23" t="str">
        <x:v>Preferred framework has a direct Pareto-eligible observation.</x:v>
      </x:c>
    </x:row>
    <x:row r="255">
      <x:c r="A255" t="str">
        <x:v>MiniMax M3</x:v>
      </x:c>
      <x:c r="B255" t="str">
        <x:v>minimaxm3</x:v>
      </x:c>
      <x:c r="C255" t="str">
        <x:v>H200</x:v>
      </x:c>
      <x:c r="D255" t="str">
        <x:v>direct</x:v>
      </x:c>
      <x:c r="E255" t="str">
        <x:v>agentic</x:v>
      </x:c>
      <x:c r="F255" s="19" t="n">
        <x:v>70</x:v>
      </x:c>
      <x:c r="G255" t="str">
        <x:v>vllm</x:v>
      </x:c>
      <x:c r="H255" s="23" t="str">
        <x:v>DIRECT_PREFERRED</x:v>
      </x:c>
      <x:c r="I255" s="20" t="n">
        <x:v>7841.63503649635</x:v>
      </x:c>
      <x:c r="J255" s="20" t="n">
        <x:v>105.9322033898305</x:v>
      </x:c>
      <x:c r="K255" s="20" t="n">
        <x:v>2</x:v>
      </x:c>
      <x:c r="L255" s="20" t="n">
        <x:v>8</x:v>
      </x:c>
      <x:c r="M255" s="20" t="n">
        <x:v>0.25</x:v>
      </x:c>
      <x:c r="N255" t="str">
        <x:v>fp8</x:v>
      </x:c>
      <x:c r="O255" t="str">
        <x:v>mtp</x:v>
      </x:c>
      <x:c r="P255" s="19" t="n">
        <x:v>439634</x:v>
      </x:c>
      <x:c r="Q255" s="21" t="n">
        <x:v>46246</x:v>
      </x:c>
      <x:c r="R255" s="22" t="n">
        <x:v>7841.63503649635</x:v>
      </x:c>
      <x:c r="S255" t="str">
        <x:v>vllm</x:v>
      </x:c>
      <x:c r="T255" t="str">
        <x:v>vllm</x:v>
      </x:c>
      <x:c r="U255" s="19" t="n">
        <x:v>2</x:v>
      </x:c>
      <x:c r="V255" s="19" t="n">
        <x:v>2</x:v>
      </x:c>
      <x:c r="W255" s="19" t="n">
        <x:v>8</x:v>
      </x:c>
      <x:c r="X255" t="str"/>
      <x:c r="Y255" s="23" t="str">
        <x:v>Preferred framework has a direct Pareto-eligible observation.</x:v>
      </x:c>
    </x:row>
    <x:row r="256">
      <x:c r="A256" t="str">
        <x:v>MiniMax M3</x:v>
      </x:c>
      <x:c r="B256" t="str">
        <x:v>minimaxm3</x:v>
      </x:c>
      <x:c r="C256" t="str">
        <x:v>H200</x:v>
      </x:c>
      <x:c r="D256" t="str">
        <x:v>direct</x:v>
      </x:c>
      <x:c r="E256" t="str">
        <x:v>agentic</x:v>
      </x:c>
      <x:c r="F256" s="19" t="n">
        <x:v>100</x:v>
      </x:c>
      <x:c r="G256" t="str">
        <x:v>vllm</x:v>
      </x:c>
      <x:c r="H256" s="23" t="str">
        <x:v>DIRECT_PREFERRED</x:v>
      </x:c>
      <x:c r="I256" s="20" t="n">
        <x:v>7841.63503649635</x:v>
      </x:c>
      <x:c r="J256" s="20" t="n">
        <x:v>105.9322033898305</x:v>
      </x:c>
      <x:c r="K256" s="20" t="n">
        <x:v>2</x:v>
      </x:c>
      <x:c r="L256" s="20" t="n">
        <x:v>8</x:v>
      </x:c>
      <x:c r="M256" s="20" t="n">
        <x:v>0.25</x:v>
      </x:c>
      <x:c r="N256" t="str">
        <x:v>fp8</x:v>
      </x:c>
      <x:c r="O256" t="str">
        <x:v>mtp</x:v>
      </x:c>
      <x:c r="P256" s="19" t="n">
        <x:v>439634</x:v>
      </x:c>
      <x:c r="Q256" s="21" t="n">
        <x:v>46246</x:v>
      </x:c>
      <x:c r="R256" s="22" t="n">
        <x:v>7841.63503649635</x:v>
      </x:c>
      <x:c r="S256" t="str">
        <x:v>vllm</x:v>
      </x:c>
      <x:c r="T256" t="str">
        <x:v>vllm</x:v>
      </x:c>
      <x:c r="U256" s="19" t="n">
        <x:v>1</x:v>
      </x:c>
      <x:c r="V256" s="19" t="n">
        <x:v>1</x:v>
      </x:c>
      <x:c r="W256" s="19" t="n">
        <x:v>8</x:v>
      </x:c>
      <x:c r="X256" t="str"/>
      <x:c r="Y256" s="23" t="str">
        <x:v>Preferred framework has a direct Pareto-eligible observation.</x:v>
      </x:c>
    </x:row>
    <x:row r="257">
      <x:c r="A257" t="str">
        <x:v>MiniMax M3</x:v>
      </x:c>
      <x:c r="B257" t="str">
        <x:v>minimaxm3</x:v>
      </x:c>
      <x:c r="C257" t="str">
        <x:v>B200</x:v>
      </x:c>
      <x:c r="D257" t="str">
        <x:v>direct</x:v>
      </x:c>
      <x:c r="E257" t="str">
        <x:v>short</x:v>
      </x:c>
      <x:c r="F257" s="19" t="n">
        <x:v>30</x:v>
      </x:c>
      <x:c r="G257" t="str">
        <x:v>vllm</x:v>
      </x:c>
      <x:c r="H257" s="23" t="str">
        <x:v>DIRECT_PREFERRED</x:v>
      </x:c>
      <x:c r="I257" s="20" t="n">
        <x:v>2094081.0429462646</x:v>
      </x:c>
      <x:c r="J257" s="20" t="n">
        <x:v>34.40400418276333</x:v>
      </x:c>
      <x:c r="K257" s="20" t="n">
        <x:v>512</x:v>
      </x:c>
      <x:c r="L257" s="20" t="n">
        <x:v>2</x:v>
      </x:c>
      <x:c r="M257" s="20" t="n">
        <x:v>256</x:v>
      </x:c>
      <x:c r="N257" t="str">
        <x:v>fp4</x:v>
      </x:c>
      <x:c r="O257" t="str">
        <x:v>mtp</x:v>
      </x:c>
      <x:c r="P257" s="19" t="n">
        <x:v>433136</x:v>
      </x:c>
      <x:c r="Q257" s="21" t="n">
        <x:v>46209</x:v>
      </x:c>
      <x:c r="R257" s="22" t="n">
        <x:v>2094081.0429462646</x:v>
      </x:c>
      <x:c r="S257" t="str">
        <x:v>vllm</x:v>
      </x:c>
      <x:c r="T257" t="str">
        <x:v>vllm</x:v>
      </x:c>
      <x:c r="U257" s="19" t="n">
        <x:v>294</x:v>
      </x:c>
      <x:c r="V257" s="19" t="n">
        <x:v>294</x:v>
      </x:c>
      <x:c r="W257" s="19" t="n">
        <x:v>12</x:v>
      </x:c>
      <x:c r="X257" t="str"/>
      <x:c r="Y257" s="23" t="str">
        <x:v>Preferred framework has a direct Pareto-eligible observation.</x:v>
      </x:c>
    </x:row>
    <x:row r="258">
      <x:c r="A258" t="str">
        <x:v>MiniMax M3</x:v>
      </x:c>
      <x:c r="B258" t="str">
        <x:v>minimaxm3</x:v>
      </x:c>
      <x:c r="C258" t="str">
        <x:v>B200</x:v>
      </x:c>
      <x:c r="D258" t="str">
        <x:v>direct</x:v>
      </x:c>
      <x:c r="E258" t="str">
        <x:v>short</x:v>
      </x:c>
      <x:c r="F258" s="19" t="n">
        <x:v>50</x:v>
      </x:c>
      <x:c r="G258" t="str">
        <x:v>vllm</x:v>
      </x:c>
      <x:c r="H258" s="23" t="str">
        <x:v>DIRECT_PREFERRED</x:v>
      </x:c>
      <x:c r="I258" s="20" t="n">
        <x:v>1443591.0711243898</x:v>
      </x:c>
      <x:c r="J258" s="20" t="n">
        <x:v>53.70078207998812</x:v>
      </x:c>
      <x:c r="K258" s="20" t="n">
        <x:v>128</x:v>
      </x:c>
      <x:c r="L258" s="20" t="n">
        <x:v>2</x:v>
      </x:c>
      <x:c r="M258" s="20" t="n">
        <x:v>64</x:v>
      </x:c>
      <x:c r="N258" t="str">
        <x:v>fp4</x:v>
      </x:c>
      <x:c r="O258" t="str">
        <x:v>mtp</x:v>
      </x:c>
      <x:c r="P258" s="19" t="n">
        <x:v>433160</x:v>
      </x:c>
      <x:c r="Q258" s="21" t="n">
        <x:v>46209</x:v>
      </x:c>
      <x:c r="R258" s="22" t="n">
        <x:v>1443591.0711243898</x:v>
      </x:c>
      <x:c r="S258" t="str">
        <x:v>vllm</x:v>
      </x:c>
      <x:c r="T258" t="str">
        <x:v>vllm</x:v>
      </x:c>
      <x:c r="U258" s="19" t="n">
        <x:v>234</x:v>
      </x:c>
      <x:c r="V258" s="19" t="n">
        <x:v>234</x:v>
      </x:c>
      <x:c r="W258" s="19" t="n">
        <x:v>12</x:v>
      </x:c>
      <x:c r="X258" t="str"/>
      <x:c r="Y258" s="23" t="str">
        <x:v>Preferred framework has a direct Pareto-eligible observation.</x:v>
      </x:c>
    </x:row>
    <x:row r="259">
      <x:c r="A259" t="str">
        <x:v>MiniMax M3</x:v>
      </x:c>
      <x:c r="B259" t="str">
        <x:v>minimaxm3</x:v>
      </x:c>
      <x:c r="C259" t="str">
        <x:v>B200</x:v>
      </x:c>
      <x:c r="D259" t="str">
        <x:v>direct</x:v>
      </x:c>
      <x:c r="E259" t="str">
        <x:v>short</x:v>
      </x:c>
      <x:c r="F259" s="19" t="n">
        <x:v>70</x:v>
      </x:c>
      <x:c r="G259" t="str">
        <x:v>vllm</x:v>
      </x:c>
      <x:c r="H259" s="23" t="str">
        <x:v>DIRECT_PREFERRED</x:v>
      </x:c>
      <x:c r="I259" s="20" t="n">
        <x:v>907838.8143251016</x:v>
      </x:c>
      <x:c r="J259" s="20" t="n">
        <x:v>73.12424806103711</x:v>
      </x:c>
      <x:c r="K259" s="20" t="n">
        <x:v>128</x:v>
      </x:c>
      <x:c r="L259" s="20" t="n">
        <x:v>16</x:v>
      </x:c>
      <x:c r="M259" s="20" t="n">
        <x:v>8</x:v>
      </x:c>
      <x:c r="N259" t="str">
        <x:v>fp4</x:v>
      </x:c>
      <x:c r="O259" t="str">
        <x:v>mtp</x:v>
      </x:c>
      <x:c r="P259" s="19" t="n">
        <x:v>431102</x:v>
      </x:c>
      <x:c r="Q259" s="21" t="n">
        <x:v>46204</x:v>
      </x:c>
      <x:c r="R259" s="22" t="n">
        <x:v>907838.8143251016</x:v>
      </x:c>
      <x:c r="S259" t="str">
        <x:v>vllm</x:v>
      </x:c>
      <x:c r="T259" t="str">
        <x:v>vllm</x:v>
      </x:c>
      <x:c r="U259" s="19" t="n">
        <x:v>193</x:v>
      </x:c>
      <x:c r="V259" s="19" t="n">
        <x:v>193</x:v>
      </x:c>
      <x:c r="W259" s="19" t="n">
        <x:v>12</x:v>
      </x:c>
      <x:c r="X259" t="str"/>
      <x:c r="Y259" s="23" t="str">
        <x:v>Preferred framework has a direct Pareto-eligible observation.</x:v>
      </x:c>
    </x:row>
    <x:row r="260">
      <x:c r="A260" t="str">
        <x:v>MiniMax M3</x:v>
      </x:c>
      <x:c r="B260" t="str">
        <x:v>minimaxm3</x:v>
      </x:c>
      <x:c r="C260" t="str">
        <x:v>B200</x:v>
      </x:c>
      <x:c r="D260" t="str">
        <x:v>direct</x:v>
      </x:c>
      <x:c r="E260" t="str">
        <x:v>short</x:v>
      </x:c>
      <x:c r="F260" s="19" t="n">
        <x:v>100</x:v>
      </x:c>
      <x:c r="G260" t="str">
        <x:v>vllm</x:v>
      </x:c>
      <x:c r="H260" s="23" t="str">
        <x:v>DIRECT_PREFERRED</x:v>
      </x:c>
      <x:c r="I260" s="20" t="n">
        <x:v>597850.9079367494</x:v>
      </x:c>
      <x:c r="J260" s="20" t="n">
        <x:v>107.9987163724529</x:v>
      </x:c>
      <x:c r="K260" s="20" t="n">
        <x:v>64</x:v>
      </x:c>
      <x:c r="L260" s="20" t="n">
        <x:v>16</x:v>
      </x:c>
      <x:c r="M260" s="20" t="n">
        <x:v>4</x:v>
      </x:c>
      <x:c r="N260" t="str">
        <x:v>fp4</x:v>
      </x:c>
      <x:c r="O260" t="str">
        <x:v>mtp</x:v>
      </x:c>
      <x:c r="P260" s="19" t="n">
        <x:v>431075</x:v>
      </x:c>
      <x:c r="Q260" s="21" t="n">
        <x:v>46204</x:v>
      </x:c>
      <x:c r="R260" s="22" t="n">
        <x:v>597850.9079367494</x:v>
      </x:c>
      <x:c r="S260" t="str">
        <x:v>vllm</x:v>
      </x:c>
      <x:c r="T260" t="str">
        <x:v>vllm</x:v>
      </x:c>
      <x:c r="U260" s="19" t="n">
        <x:v>146</x:v>
      </x:c>
      <x:c r="V260" s="19" t="n">
        <x:v>146</x:v>
      </x:c>
      <x:c r="W260" s="19" t="n">
        <x:v>12</x:v>
      </x:c>
      <x:c r="X260" t="str"/>
      <x:c r="Y260" s="23" t="str">
        <x:v>Preferred framework has a direct Pareto-eligible observation.</x:v>
      </x:c>
    </x:row>
    <x:row r="261">
      <x:c r="A261" t="str">
        <x:v>MiniMax M3</x:v>
      </x:c>
      <x:c r="B261" t="str">
        <x:v>minimaxm3</x:v>
      </x:c>
      <x:c r="C261" t="str">
        <x:v>B200</x:v>
      </x:c>
      <x:c r="D261" t="str">
        <x:v>direct</x:v>
      </x:c>
      <x:c r="E261" t="str">
        <x:v>long</x:v>
      </x:c>
      <x:c r="F261" s="19" t="n">
        <x:v>30</x:v>
      </x:c>
      <x:c r="G261" t="str">
        <x:v>vllm</x:v>
      </x:c>
      <x:c r="H261" s="23" t="str">
        <x:v>DIRECT_PREFERRED</x:v>
      </x:c>
      <x:c r="I261" s="20" t="n">
        <x:v>611741.036793819</x:v>
      </x:c>
      <x:c r="J261" s="20" t="n">
        <x:v>52.26747670578867</x:v>
      </x:c>
      <x:c r="K261" s="20" t="n">
        <x:v>512</x:v>
      </x:c>
      <x:c r="L261" s="20" t="n">
        <x:v>4</x:v>
      </x:c>
      <x:c r="M261" s="20" t="n">
        <x:v>128</x:v>
      </x:c>
      <x:c r="N261" t="str">
        <x:v>fp4</x:v>
      </x:c>
      <x:c r="O261" t="str">
        <x:v>mtp</x:v>
      </x:c>
      <x:c r="P261" s="19" t="n">
        <x:v>433162</x:v>
      </x:c>
      <x:c r="Q261" s="21" t="n">
        <x:v>46209</x:v>
      </x:c>
      <x:c r="R261" s="22" t="n">
        <x:v>1286379.917054085</x:v>
      </x:c>
      <x:c r="S261" t="str">
        <x:v>dynamo-vllm</x:v>
      </x:c>
      <x:c r="T261" t="str">
        <x:v>dynamo-vllm, vllm</x:v>
      </x:c>
      <x:c r="U261" s="19" t="n">
        <x:v>361</x:v>
      </x:c>
      <x:c r="V261" s="19" t="n">
        <x:v>396</x:v>
      </x:c>
      <x:c r="W261" s="19" t="n">
        <x:v>11</x:v>
      </x:c>
      <x:c r="X261" t="str"/>
      <x:c r="Y261" s="23" t="str">
        <x:v>Preferred framework has a direct Pareto-eligible observation.</x:v>
      </x:c>
    </x:row>
    <x:row r="262">
      <x:c r="A262" t="str">
        <x:v>MiniMax M3</x:v>
      </x:c>
      <x:c r="B262" t="str">
        <x:v>minimaxm3</x:v>
      </x:c>
      <x:c r="C262" t="str">
        <x:v>B200</x:v>
      </x:c>
      <x:c r="D262" t="str">
        <x:v>direct</x:v>
      </x:c>
      <x:c r="E262" t="str">
        <x:v>long</x:v>
      </x:c>
      <x:c r="F262" s="19" t="n">
        <x:v>50</x:v>
      </x:c>
      <x:c r="G262" t="str">
        <x:v>vllm</x:v>
      </x:c>
      <x:c r="H262" s="23" t="str">
        <x:v>DIRECT_PREFERRED</x:v>
      </x:c>
      <x:c r="I262" s="20" t="n">
        <x:v>611741.036793819</x:v>
      </x:c>
      <x:c r="J262" s="20" t="n">
        <x:v>52.26747670578867</x:v>
      </x:c>
      <x:c r="K262" s="20" t="n">
        <x:v>512</x:v>
      </x:c>
      <x:c r="L262" s="20" t="n">
        <x:v>4</x:v>
      </x:c>
      <x:c r="M262" s="20" t="n">
        <x:v>128</x:v>
      </x:c>
      <x:c r="N262" t="str">
        <x:v>fp4</x:v>
      </x:c>
      <x:c r="O262" t="str">
        <x:v>mtp</x:v>
      </x:c>
      <x:c r="P262" s="19" t="n">
        <x:v>433162</x:v>
      </x:c>
      <x:c r="Q262" s="21" t="n">
        <x:v>46209</x:v>
      </x:c>
      <x:c r="R262" s="22" t="n">
        <x:v>1286379.917054085</x:v>
      </x:c>
      <x:c r="S262" t="str">
        <x:v>dynamo-vllm</x:v>
      </x:c>
      <x:c r="T262" t="str">
        <x:v>dynamo-vllm, vllm</x:v>
      </x:c>
      <x:c r="U262" s="19" t="n">
        <x:v>296</x:v>
      </x:c>
      <x:c r="V262" s="19" t="n">
        <x:v>329</x:v>
      </x:c>
      <x:c r="W262" s="19" t="n">
        <x:v>11</x:v>
      </x:c>
      <x:c r="X262" t="str"/>
      <x:c r="Y262" s="23" t="str">
        <x:v>Preferred framework has a direct Pareto-eligible observation.</x:v>
      </x:c>
    </x:row>
    <x:row r="263">
      <x:c r="A263" t="str">
        <x:v>MiniMax M3</x:v>
      </x:c>
      <x:c r="B263" t="str">
        <x:v>minimaxm3</x:v>
      </x:c>
      <x:c r="C263" t="str">
        <x:v>B200</x:v>
      </x:c>
      <x:c r="D263" t="str">
        <x:v>direct</x:v>
      </x:c>
      <x:c r="E263" t="str">
        <x:v>long</x:v>
      </x:c>
      <x:c r="F263" s="19" t="n">
        <x:v>70</x:v>
      </x:c>
      <x:c r="G263" t="str">
        <x:v>vllm</x:v>
      </x:c>
      <x:c r="H263" s="23" t="str">
        <x:v>DIRECT_PREFERRED</x:v>
      </x:c>
      <x:c r="I263" s="20" t="n">
        <x:v>576674.2171668543</x:v>
      </x:c>
      <x:c r="J263" s="20" t="n">
        <x:v>70.804066498719</x:v>
      </x:c>
      <x:c r="K263" s="20" t="n">
        <x:v>32</x:v>
      </x:c>
      <x:c r="L263" s="20" t="n">
        <x:v>2</x:v>
      </x:c>
      <x:c r="M263" s="20" t="n">
        <x:v>16</x:v>
      </x:c>
      <x:c r="N263" t="str">
        <x:v>fp4</x:v>
      </x:c>
      <x:c r="O263" t="str">
        <x:v>mtp</x:v>
      </x:c>
      <x:c r="P263" s="19" t="n">
        <x:v>437396</x:v>
      </x:c>
      <x:c r="Q263" s="21" t="n">
        <x:v>46232</x:v>
      </x:c>
      <x:c r="R263" s="22" t="n">
        <x:v>981729.157947311</x:v>
      </x:c>
      <x:c r="S263" t="str">
        <x:v>dynamo-vllm</x:v>
      </x:c>
      <x:c r="T263" t="str">
        <x:v>dynamo-vllm, vllm</x:v>
      </x:c>
      <x:c r="U263" s="19" t="n">
        <x:v>236</x:v>
      </x:c>
      <x:c r="V263" s="19" t="n">
        <x:v>263</x:v>
      </x:c>
      <x:c r="W263" s="19" t="n">
        <x:v>11</x:v>
      </x:c>
      <x:c r="X263" t="str"/>
      <x:c r="Y263" s="23" t="str">
        <x:v>Preferred framework has a direct Pareto-eligible observation.</x:v>
      </x:c>
    </x:row>
    <x:row r="264">
      <x:c r="A264" t="str">
        <x:v>MiniMax M3</x:v>
      </x:c>
      <x:c r="B264" t="str">
        <x:v>minimaxm3</x:v>
      </x:c>
      <x:c r="C264" t="str">
        <x:v>B200</x:v>
      </x:c>
      <x:c r="D264" t="str">
        <x:v>direct</x:v>
      </x:c>
      <x:c r="E264" t="str">
        <x:v>long</x:v>
      </x:c>
      <x:c r="F264" s="19" t="n">
        <x:v>100</x:v>
      </x:c>
      <x:c r="G264" t="str">
        <x:v>vllm</x:v>
      </x:c>
      <x:c r="H264" s="23" t="str">
        <x:v>DIRECT_PREFERRED</x:v>
      </x:c>
      <x:c r="I264" s="20" t="n">
        <x:v>413227.55727701646</x:v>
      </x:c>
      <x:c r="J264" s="20" t="n">
        <x:v>101.74699806646636</x:v>
      </x:c>
      <x:c r="K264" s="20" t="n">
        <x:v>16</x:v>
      </x:c>
      <x:c r="L264" s="20" t="n">
        <x:v>2</x:v>
      </x:c>
      <x:c r="M264" s="20" t="n">
        <x:v>8</x:v>
      </x:c>
      <x:c r="N264" t="str">
        <x:v>fp4</x:v>
      </x:c>
      <x:c r="O264" t="str">
        <x:v>mtp</x:v>
      </x:c>
      <x:c r="P264" s="19" t="n">
        <x:v>437438</x:v>
      </x:c>
      <x:c r="Q264" s="21" t="n">
        <x:v>46232</x:v>
      </x:c>
      <x:c r="R264" s="22" t="n">
        <x:v>471919.176318393</x:v>
      </x:c>
      <x:c r="S264" t="str">
        <x:v>dynamo-vllm</x:v>
      </x:c>
      <x:c r="T264" t="str">
        <x:v>dynamo-vllm, vllm</x:v>
      </x:c>
      <x:c r="U264" s="19" t="n">
        <x:v>188</x:v>
      </x:c>
      <x:c r="V264" s="19" t="n">
        <x:v>210</x:v>
      </x:c>
      <x:c r="W264" s="19" t="n">
        <x:v>11</x:v>
      </x:c>
      <x:c r="X264" t="str"/>
      <x:c r="Y264" s="23" t="str">
        <x:v>Preferred framework has a direct Pareto-eligible observation.</x:v>
      </x:c>
    </x:row>
    <x:row r="265">
      <x:c r="A265" t="str">
        <x:v>MiniMax M3</x:v>
      </x:c>
      <x:c r="B265" t="str">
        <x:v>minimaxm3</x:v>
      </x:c>
      <x:c r="C265" t="str">
        <x:v>B200</x:v>
      </x:c>
      <x:c r="D265" t="str">
        <x:v>direct</x:v>
      </x:c>
      <x:c r="E265" t="str">
        <x:v>agentic</x:v>
      </x:c>
      <x:c r="F265" s="19" t="n">
        <x:v>30</x:v>
      </x:c>
      <x:c r="G265" t="str">
        <x:v>vllm</x:v>
      </x:c>
      <x:c r="H265" s="23" t="str">
        <x:v>DIRECT_PREFERRED</x:v>
      </x:c>
      <x:c r="I265" s="20" t="n">
        <x:v>171556.3216374269</x:v>
      </x:c>
      <x:c r="J265" s="20" t="n">
        <x:v>74.73841554559044</x:v>
      </x:c>
      <x:c r="K265" s="20" t="n">
        <x:v>40</x:v>
      </x:c>
      <x:c r="L265" s="20" t="n">
        <x:v>4</x:v>
      </x:c>
      <x:c r="M265" s="20" t="n">
        <x:v>10</x:v>
      </x:c>
      <x:c r="N265" t="str">
        <x:v>fp4</x:v>
      </x:c>
      <x:c r="O265" t="str">
        <x:v>mtp</x:v>
      </x:c>
      <x:c r="P265" s="19" t="n">
        <x:v>439239</x:v>
      </x:c>
      <x:c r="Q265" s="21" t="n">
        <x:v>46242</x:v>
      </x:c>
      <x:c r="R265" s="22" t="n">
        <x:v>171556.3216374269</x:v>
      </x:c>
      <x:c r="S265" t="str">
        <x:v>vllm</x:v>
      </x:c>
      <x:c r="T265" t="str">
        <x:v>vllm</x:v>
      </x:c>
      <x:c r="U265" s="19" t="n">
        <x:v>11</x:v>
      </x:c>
      <x:c r="V265" s="19" t="n">
        <x:v>11</x:v>
      </x:c>
      <x:c r="W265" s="19" t="n">
        <x:v>10</x:v>
      </x:c>
      <x:c r="X265" t="str"/>
      <x:c r="Y265" s="23" t="str">
        <x:v>Preferred framework has a direct Pareto-eligible observation.</x:v>
      </x:c>
    </x:row>
    <x:row r="266">
      <x:c r="A266" t="str">
        <x:v>MiniMax M3</x:v>
      </x:c>
      <x:c r="B266" t="str">
        <x:v>minimaxm3</x:v>
      </x:c>
      <x:c r="C266" t="str">
        <x:v>B200</x:v>
      </x:c>
      <x:c r="D266" t="str">
        <x:v>direct</x:v>
      </x:c>
      <x:c r="E266" t="str">
        <x:v>agentic</x:v>
      </x:c>
      <x:c r="F266" s="19" t="n">
        <x:v>50</x:v>
      </x:c>
      <x:c r="G266" t="str">
        <x:v>vllm</x:v>
      </x:c>
      <x:c r="H266" s="23" t="str">
        <x:v>DIRECT_PREFERRED</x:v>
      </x:c>
      <x:c r="I266" s="20" t="n">
        <x:v>171556.3216374269</x:v>
      </x:c>
      <x:c r="J266" s="20" t="n">
        <x:v>74.73841554559044</x:v>
      </x:c>
      <x:c r="K266" s="20" t="n">
        <x:v>40</x:v>
      </x:c>
      <x:c r="L266" s="20" t="n">
        <x:v>4</x:v>
      </x:c>
      <x:c r="M266" s="20" t="n">
        <x:v>10</x:v>
      </x:c>
      <x:c r="N266" t="str">
        <x:v>fp4</x:v>
      </x:c>
      <x:c r="O266" t="str">
        <x:v>mtp</x:v>
      </x:c>
      <x:c r="P266" s="19" t="n">
        <x:v>439239</x:v>
      </x:c>
      <x:c r="Q266" s="21" t="n">
        <x:v>46242</x:v>
      </x:c>
      <x:c r="R266" s="22" t="n">
        <x:v>171556.3216374269</x:v>
      </x:c>
      <x:c r="S266" t="str">
        <x:v>vllm</x:v>
      </x:c>
      <x:c r="T266" t="str">
        <x:v>vllm</x:v>
      </x:c>
      <x:c r="U266" s="19" t="n">
        <x:v>11</x:v>
      </x:c>
      <x:c r="V266" s="19" t="n">
        <x:v>11</x:v>
      </x:c>
      <x:c r="W266" s="19" t="n">
        <x:v>10</x:v>
      </x:c>
      <x:c r="X266" t="str"/>
      <x:c r="Y266" s="23" t="str">
        <x:v>Preferred framework has a direct Pareto-eligible observation.</x:v>
      </x:c>
    </x:row>
    <x:row r="267">
      <x:c r="A267" t="str">
        <x:v>MiniMax M3</x:v>
      </x:c>
      <x:c r="B267" t="str">
        <x:v>minimaxm3</x:v>
      </x:c>
      <x:c r="C267" t="str">
        <x:v>B200</x:v>
      </x:c>
      <x:c r="D267" t="str">
        <x:v>direct</x:v>
      </x:c>
      <x:c r="E267" t="str">
        <x:v>agentic</x:v>
      </x:c>
      <x:c r="F267" s="19" t="n">
        <x:v>70</x:v>
      </x:c>
      <x:c r="G267" t="str">
        <x:v>vllm</x:v>
      </x:c>
      <x:c r="H267" s="23" t="str">
        <x:v>DIRECT_PREFERRED</x:v>
      </x:c>
      <x:c r="I267" s="20" t="n">
        <x:v>171556.3216374269</x:v>
      </x:c>
      <x:c r="J267" s="20" t="n">
        <x:v>74.73841554559044</x:v>
      </x:c>
      <x:c r="K267" s="20" t="n">
        <x:v>40</x:v>
      </x:c>
      <x:c r="L267" s="20" t="n">
        <x:v>4</x:v>
      </x:c>
      <x:c r="M267" s="20" t="n">
        <x:v>10</x:v>
      </x:c>
      <x:c r="N267" t="str">
        <x:v>fp4</x:v>
      </x:c>
      <x:c r="O267" t="str">
        <x:v>mtp</x:v>
      </x:c>
      <x:c r="P267" s="19" t="n">
        <x:v>439239</x:v>
      </x:c>
      <x:c r="Q267" s="21" t="n">
        <x:v>46242</x:v>
      </x:c>
      <x:c r="R267" s="22" t="n">
        <x:v>171556.3216374269</x:v>
      </x:c>
      <x:c r="S267" t="str">
        <x:v>vllm</x:v>
      </x:c>
      <x:c r="T267" t="str">
        <x:v>vllm</x:v>
      </x:c>
      <x:c r="U267" s="19" t="n">
        <x:v>11</x:v>
      </x:c>
      <x:c r="V267" s="19" t="n">
        <x:v>11</x:v>
      </x:c>
      <x:c r="W267" s="19" t="n">
        <x:v>10</x:v>
      </x:c>
      <x:c r="X267" t="str"/>
      <x:c r="Y267" s="23" t="str">
        <x:v>Preferred framework has a direct Pareto-eligible observation.</x:v>
      </x:c>
    </x:row>
    <x:row r="268">
      <x:c r="A268" t="str">
        <x:v>MiniMax M3</x:v>
      </x:c>
      <x:c r="B268" t="str">
        <x:v>minimaxm3</x:v>
      </x:c>
      <x:c r="C268" t="str">
        <x:v>B200</x:v>
      </x:c>
      <x:c r="D268" t="str">
        <x:v>direct</x:v>
      </x:c>
      <x:c r="E268" t="str">
        <x:v>agentic</x:v>
      </x:c>
      <x:c r="F268" s="19" t="n">
        <x:v>100</x:v>
      </x:c>
      <x:c r="G268" t="str">
        <x:v>vllm</x:v>
      </x:c>
      <x:c r="H268" s="23" t="str">
        <x:v>DIRECT_PREFERRED</x:v>
      </x:c>
      <x:c r="I268" s="20" t="n">
        <x:v>160702.14619883045</x:v>
      </x:c>
      <x:c r="J268" s="20" t="n">
        <x:v>136.79890560875515</x:v>
      </x:c>
      <x:c r="K268" s="20" t="n">
        <x:v>30</x:v>
      </x:c>
      <x:c r="L268" s="20" t="n">
        <x:v>4</x:v>
      </x:c>
      <x:c r="M268" s="20" t="n">
        <x:v>7.5</x:v>
      </x:c>
      <x:c r="N268" t="str">
        <x:v>fp4</x:v>
      </x:c>
      <x:c r="O268" t="str">
        <x:v>mtp</x:v>
      </x:c>
      <x:c r="P268" s="19" t="n">
        <x:v>439235</x:v>
      </x:c>
      <x:c r="Q268" s="21" t="n">
        <x:v>46242</x:v>
      </x:c>
      <x:c r="R268" s="22" t="n">
        <x:v>160702.14619883045</x:v>
      </x:c>
      <x:c r="S268" t="str">
        <x:v>vllm</x:v>
      </x:c>
      <x:c r="T268" t="str">
        <x:v>vllm</x:v>
      </x:c>
      <x:c r="U268" s="19" t="n">
        <x:v>10</x:v>
      </x:c>
      <x:c r="V268" s="19" t="n">
        <x:v>10</x:v>
      </x:c>
      <x:c r="W268" s="19" t="n">
        <x:v>10</x:v>
      </x:c>
      <x:c r="X268" t="str"/>
      <x:c r="Y268" s="23" t="str">
        <x:v>Preferred framework has a direct Pareto-eligible observation.</x:v>
      </x:c>
    </x:row>
    <x:row r="269">
      <x:c r="A269" t="str">
        <x:v>MiniMax M3</x:v>
      </x:c>
      <x:c r="B269" t="str">
        <x:v>minimaxm3</x:v>
      </x:c>
      <x:c r="C269" t="str">
        <x:v>B300</x:v>
      </x:c>
      <x:c r="D269" t="str">
        <x:v>direct</x:v>
      </x:c>
      <x:c r="E269" t="str">
        <x:v>short</x:v>
      </x:c>
      <x:c r="F269" s="19" t="n">
        <x:v>30</x:v>
      </x:c>
      <x:c r="G269" t="str">
        <x:v>vllm</x:v>
      </x:c>
      <x:c r="H269" s="23" t="str">
        <x:v>DIRECT_PREFERRED</x:v>
      </x:c>
      <x:c r="I269" s="20" t="n">
        <x:v>2064777.1889773903</x:v>
      </x:c>
      <x:c r="J269" s="20" t="n">
        <x:v>37.83260429846509</x:v>
      </x:c>
      <x:c r="K269" s="20" t="n">
        <x:v>256</x:v>
      </x:c>
      <x:c r="L269" s="20" t="n">
        <x:v>4</x:v>
      </x:c>
      <x:c r="M269" s="20" t="n">
        <x:v>64</x:v>
      </x:c>
      <x:c r="N269" t="str">
        <x:v>fp4</x:v>
      </x:c>
      <x:c r="O269" t="str">
        <x:v>mtp</x:v>
      </x:c>
      <x:c r="P269" s="19" t="n">
        <x:v>433328</x:v>
      </x:c>
      <x:c r="Q269" s="21" t="n">
        <x:v>46209</x:v>
      </x:c>
      <x:c r="R269" s="22" t="n">
        <x:v>3127503.890492961</x:v>
      </x:c>
      <x:c r="S269" t="str">
        <x:v>dynamo-vllm</x:v>
      </x:c>
      <x:c r="T269" t="str">
        <x:v>dynamo-vllm, vllm</x:v>
      </x:c>
      <x:c r="U269" s="19" t="n">
        <x:v>330</x:v>
      </x:c>
      <x:c r="V269" s="19" t="n">
        <x:v>367</x:v>
      </x:c>
      <x:c r="W269" s="19" t="n">
        <x:v>12</x:v>
      </x:c>
      <x:c r="X269" t="str"/>
      <x:c r="Y269" s="23" t="str">
        <x:v>Preferred framework has a direct Pareto-eligible observation.</x:v>
      </x:c>
    </x:row>
    <x:row r="270">
      <x:c r="A270" t="str">
        <x:v>MiniMax M3</x:v>
      </x:c>
      <x:c r="B270" t="str">
        <x:v>minimaxm3</x:v>
      </x:c>
      <x:c r="C270" t="str">
        <x:v>B300</x:v>
      </x:c>
      <x:c r="D270" t="str">
        <x:v>direct</x:v>
      </x:c>
      <x:c r="E270" t="str">
        <x:v>short</x:v>
      </x:c>
      <x:c r="F270" s="19" t="n">
        <x:v>50</x:v>
      </x:c>
      <x:c r="G270" t="str">
        <x:v>vllm</x:v>
      </x:c>
      <x:c r="H270" s="23" t="str">
        <x:v>DIRECT_PREFERRED</x:v>
      </x:c>
      <x:c r="I270" s="20" t="n">
        <x:v>1717686.2112416143</x:v>
      </x:c>
      <x:c r="J270" s="20" t="n">
        <x:v>56.844371434312485</x:v>
      </x:c>
      <x:c r="K270" s="20" t="n">
        <x:v>128</x:v>
      </x:c>
      <x:c r="L270" s="20" t="n">
        <x:v>4</x:v>
      </x:c>
      <x:c r="M270" s="20" t="n">
        <x:v>32</x:v>
      </x:c>
      <x:c r="N270" t="str">
        <x:v>fp4</x:v>
      </x:c>
      <x:c r="O270" t="str">
        <x:v>mtp</x:v>
      </x:c>
      <x:c r="P270" s="19" t="n">
        <x:v>433287</x:v>
      </x:c>
      <x:c r="Q270" s="21" t="n">
        <x:v>46209</x:v>
      </x:c>
      <x:c r="R270" s="22" t="n">
        <x:v>1717686.2112416143</x:v>
      </x:c>
      <x:c r="S270" t="str">
        <x:v>vllm</x:v>
      </x:c>
      <x:c r="T270" t="str">
        <x:v>dynamo-vllm, vllm</x:v>
      </x:c>
      <x:c r="U270" s="19" t="n">
        <x:v>266</x:v>
      </x:c>
      <x:c r="V270" s="19" t="n">
        <x:v>299</x:v>
      </x:c>
      <x:c r="W270" s="19" t="n">
        <x:v>12</x:v>
      </x:c>
      <x:c r="X270" t="str"/>
      <x:c r="Y270" s="23" t="str">
        <x:v>Preferred framework has a direct Pareto-eligible observation.</x:v>
      </x:c>
    </x:row>
    <x:row r="271">
      <x:c r="A271" t="str">
        <x:v>MiniMax M3</x:v>
      </x:c>
      <x:c r="B271" t="str">
        <x:v>minimaxm3</x:v>
      </x:c>
      <x:c r="C271" t="str">
        <x:v>B300</x:v>
      </x:c>
      <x:c r="D271" t="str">
        <x:v>direct</x:v>
      </x:c>
      <x:c r="E271" t="str">
        <x:v>short</x:v>
      </x:c>
      <x:c r="F271" s="19" t="n">
        <x:v>70</x:v>
      </x:c>
      <x:c r="G271" t="str">
        <x:v>vllm</x:v>
      </x:c>
      <x:c r="H271" s="23" t="str">
        <x:v>DIRECT_PREFERRED</x:v>
      </x:c>
      <x:c r="I271" s="20" t="n">
        <x:v>906817.410000257</x:v>
      </x:c>
      <x:c r="J271" s="20" t="n">
        <x:v>74.0678725716551</x:v>
      </x:c>
      <x:c r="K271" s="20" t="n">
        <x:v>128</x:v>
      </x:c>
      <x:c r="L271" s="20" t="n">
        <x:v>16</x:v>
      </x:c>
      <x:c r="M271" s="20" t="n">
        <x:v>8</x:v>
      </x:c>
      <x:c r="N271" t="str">
        <x:v>fp4</x:v>
      </x:c>
      <x:c r="O271" t="str">
        <x:v>mtp</x:v>
      </x:c>
      <x:c r="P271" s="19" t="n">
        <x:v>429058</x:v>
      </x:c>
      <x:c r="Q271" s="21" t="n">
        <x:v>46199</x:v>
      </x:c>
      <x:c r="R271" s="22" t="n">
        <x:v>906817.410000257</x:v>
      </x:c>
      <x:c r="S271" t="str">
        <x:v>vllm</x:v>
      </x:c>
      <x:c r="T271" t="str">
        <x:v>dynamo-vllm, vllm</x:v>
      </x:c>
      <x:c r="U271" s="19" t="n">
        <x:v>206</x:v>
      </x:c>
      <x:c r="V271" s="19" t="n">
        <x:v>236</x:v>
      </x:c>
      <x:c r="W271" s="19" t="n">
        <x:v>12</x:v>
      </x:c>
      <x:c r="X271" t="str"/>
      <x:c r="Y271" s="23" t="str">
        <x:v>Preferred framework has a direct Pareto-eligible observation.</x:v>
      </x:c>
    </x:row>
    <x:row r="272">
      <x:c r="A272" t="str">
        <x:v>MiniMax M3</x:v>
      </x:c>
      <x:c r="B272" t="str">
        <x:v>minimaxm3</x:v>
      </x:c>
      <x:c r="C272" t="str">
        <x:v>B300</x:v>
      </x:c>
      <x:c r="D272" t="str">
        <x:v>direct</x:v>
      </x:c>
      <x:c r="E272" t="str">
        <x:v>short</x:v>
      </x:c>
      <x:c r="F272" s="19" t="n">
        <x:v>100</x:v>
      </x:c>
      <x:c r="G272" t="str">
        <x:v>vllm</x:v>
      </x:c>
      <x:c r="H272" s="23" t="str">
        <x:v>DIRECT_PREFERRED</x:v>
      </x:c>
      <x:c r="I272" s="20" t="n">
        <x:v>593030.2806777509</x:v>
      </x:c>
      <x:c r="J272" s="20" t="n">
        <x:v>107.2355242432026</x:v>
      </x:c>
      <x:c r="K272" s="20" t="n">
        <x:v>64</x:v>
      </x:c>
      <x:c r="L272" s="20" t="n">
        <x:v>4</x:v>
      </x:c>
      <x:c r="M272" s="20" t="n">
        <x:v>16</x:v>
      </x:c>
      <x:c r="N272" t="str">
        <x:v>fp4</x:v>
      </x:c>
      <x:c r="O272" t="str">
        <x:v>mtp</x:v>
      </x:c>
      <x:c r="P272" s="19" t="n">
        <x:v>429006</x:v>
      </x:c>
      <x:c r="Q272" s="21" t="n">
        <x:v>46199</x:v>
      </x:c>
      <x:c r="R272" s="22" t="n">
        <x:v>593030.2806777509</x:v>
      </x:c>
      <x:c r="S272" t="str">
        <x:v>vllm</x:v>
      </x:c>
      <x:c r="T272" t="str">
        <x:v>dynamo-vllm, vllm</x:v>
      </x:c>
      <x:c r="U272" s="19" t="n">
        <x:v>161</x:v>
      </x:c>
      <x:c r="V272" s="19" t="n">
        <x:v>184</x:v>
      </x:c>
      <x:c r="W272" s="19" t="n">
        <x:v>12</x:v>
      </x:c>
      <x:c r="X272" t="str"/>
      <x:c r="Y272" s="23" t="str">
        <x:v>Preferred framework has a direct Pareto-eligible observation.</x:v>
      </x:c>
    </x:row>
    <x:row r="273">
      <x:c r="A273" t="str">
        <x:v>MiniMax M3</x:v>
      </x:c>
      <x:c r="B273" t="str">
        <x:v>minimaxm3</x:v>
      </x:c>
      <x:c r="C273" t="str">
        <x:v>B300</x:v>
      </x:c>
      <x:c r="D273" t="str">
        <x:v>direct</x:v>
      </x:c>
      <x:c r="E273" t="str">
        <x:v>long</x:v>
      </x:c>
      <x:c r="F273" s="19" t="n">
        <x:v>30</x:v>
      </x:c>
      <x:c r="G273" t="str">
        <x:v>vllm</x:v>
      </x:c>
      <x:c r="H273" s="23" t="str">
        <x:v>DIRECT_PREFERRED</x:v>
      </x:c>
      <x:c r="I273" s="20" t="n">
        <x:v>679336.7819563848</x:v>
      </x:c>
      <x:c r="J273" s="20" t="n">
        <x:v>46.41213564397088</x:v>
      </x:c>
      <x:c r="K273" s="20" t="n">
        <x:v>64</x:v>
      </x:c>
      <x:c r="L273" s="20" t="n">
        <x:v>4</x:v>
      </x:c>
      <x:c r="M273" s="20" t="n">
        <x:v>16</x:v>
      </x:c>
      <x:c r="N273" t="str">
        <x:v>fp4</x:v>
      </x:c>
      <x:c r="O273" t="str">
        <x:v>mtp</x:v>
      </x:c>
      <x:c r="P273" s="19" t="n">
        <x:v>437442</x:v>
      </x:c>
      <x:c r="Q273" s="21" t="n">
        <x:v>46232</x:v>
      </x:c>
      <x:c r="R273" s="22" t="n">
        <x:v>1632147.2336187123</x:v>
      </x:c>
      <x:c r="S273" t="str">
        <x:v>dynamo-vllm</x:v>
      </x:c>
      <x:c r="T273" t="str">
        <x:v>dynamo-vllm, vllm</x:v>
      </x:c>
      <x:c r="U273" s="19" t="n">
        <x:v>356</x:v>
      </x:c>
      <x:c r="V273" s="19" t="n">
        <x:v>499</x:v>
      </x:c>
      <x:c r="W273" s="19" t="n">
        <x:v>11</x:v>
      </x:c>
      <x:c r="X273" t="str"/>
      <x:c r="Y273" s="23" t="str">
        <x:v>Preferred framework has a direct Pareto-eligible observation.</x:v>
      </x:c>
    </x:row>
    <x:row r="274">
      <x:c r="A274" t="str">
        <x:v>MiniMax M3</x:v>
      </x:c>
      <x:c r="B274" t="str">
        <x:v>minimaxm3</x:v>
      </x:c>
      <x:c r="C274" t="str">
        <x:v>B300</x:v>
      </x:c>
      <x:c r="D274" t="str">
        <x:v>direct</x:v>
      </x:c>
      <x:c r="E274" t="str">
        <x:v>long</x:v>
      </x:c>
      <x:c r="F274" s="19" t="n">
        <x:v>50</x:v>
      </x:c>
      <x:c r="G274" t="str">
        <x:v>vllm</x:v>
      </x:c>
      <x:c r="H274" s="23" t="str">
        <x:v>DIRECT_PREFERRED</x:v>
      </x:c>
      <x:c r="I274" s="20" t="n">
        <x:v>526773.4454730384</x:v>
      </x:c>
      <x:c r="J274" s="20" t="n">
        <x:v>70.69480145635725</x:v>
      </x:c>
      <x:c r="K274" s="20" t="n">
        <x:v>32</x:v>
      </x:c>
      <x:c r="L274" s="20" t="n">
        <x:v>2</x:v>
      </x:c>
      <x:c r="M274" s="20" t="n">
        <x:v>16</x:v>
      </x:c>
      <x:c r="N274" t="str">
        <x:v>fp4</x:v>
      </x:c>
      <x:c r="O274" t="str">
        <x:v>mtp</x:v>
      </x:c>
      <x:c r="P274" s="19" t="n">
        <x:v>433302</x:v>
      </x:c>
      <x:c r="Q274" s="21" t="n">
        <x:v>46209</x:v>
      </x:c>
      <x:c r="R274" s="22" t="n">
        <x:v>1592439.579537808</x:v>
      </x:c>
      <x:c r="S274" t="str">
        <x:v>dynamo-vllm</x:v>
      </x:c>
      <x:c r="T274" t="str">
        <x:v>dynamo-vllm, vllm</x:v>
      </x:c>
      <x:c r="U274" s="19" t="n">
        <x:v>292</x:v>
      </x:c>
      <x:c r="V274" s="19" t="n">
        <x:v>425</x:v>
      </x:c>
      <x:c r="W274" s="19" t="n">
        <x:v>11</x:v>
      </x:c>
      <x:c r="X274" t="str"/>
      <x:c r="Y274" s="23" t="str">
        <x:v>Preferred framework has a direct Pareto-eligible observation.</x:v>
      </x:c>
    </x:row>
    <x:row r="275">
      <x:c r="A275" t="str">
        <x:v>MiniMax M3</x:v>
      </x:c>
      <x:c r="B275" t="str">
        <x:v>minimaxm3</x:v>
      </x:c>
      <x:c r="C275" t="str">
        <x:v>B300</x:v>
      </x:c>
      <x:c r="D275" t="str">
        <x:v>direct</x:v>
      </x:c>
      <x:c r="E275" t="str">
        <x:v>long</x:v>
      </x:c>
      <x:c r="F275" s="19" t="n">
        <x:v>70</x:v>
      </x:c>
      <x:c r="G275" t="str">
        <x:v>vllm</x:v>
      </x:c>
      <x:c r="H275" s="23" t="str">
        <x:v>DIRECT_PREFERRED</x:v>
      </x:c>
      <x:c r="I275" s="20" t="n">
        <x:v>526773.4454730384</x:v>
      </x:c>
      <x:c r="J275" s="20" t="n">
        <x:v>70.69480145635725</x:v>
      </x:c>
      <x:c r="K275" s="20" t="n">
        <x:v>32</x:v>
      </x:c>
      <x:c r="L275" s="20" t="n">
        <x:v>2</x:v>
      </x:c>
      <x:c r="M275" s="20" t="n">
        <x:v>16</x:v>
      </x:c>
      <x:c r="N275" t="str">
        <x:v>fp4</x:v>
      </x:c>
      <x:c r="O275" t="str">
        <x:v>mtp</x:v>
      </x:c>
      <x:c r="P275" s="19" t="n">
        <x:v>433302</x:v>
      </x:c>
      <x:c r="Q275" s="21" t="n">
        <x:v>46209</x:v>
      </x:c>
      <x:c r="R275" s="22" t="n">
        <x:v>1592439.579537808</x:v>
      </x:c>
      <x:c r="S275" t="str">
        <x:v>dynamo-vllm</x:v>
      </x:c>
      <x:c r="T275" t="str">
        <x:v>dynamo-vllm, vllm</x:v>
      </x:c>
      <x:c r="U275" s="19" t="n">
        <x:v>245</x:v>
      </x:c>
      <x:c r="V275" s="19" t="n">
        <x:v>361</x:v>
      </x:c>
      <x:c r="W275" s="19" t="n">
        <x:v>11</x:v>
      </x:c>
      <x:c r="X275" t="str"/>
      <x:c r="Y275" s="23" t="str">
        <x:v>Preferred framework has a direct Pareto-eligible observation.</x:v>
      </x:c>
    </x:row>
    <x:row r="276">
      <x:c r="A276" t="str">
        <x:v>MiniMax M3</x:v>
      </x:c>
      <x:c r="B276" t="str">
        <x:v>minimaxm3</x:v>
      </x:c>
      <x:c r="C276" t="str">
        <x:v>B300</x:v>
      </x:c>
      <x:c r="D276" t="str">
        <x:v>direct</x:v>
      </x:c>
      <x:c r="E276" t="str">
        <x:v>long</x:v>
      </x:c>
      <x:c r="F276" s="19" t="n">
        <x:v>100</x:v>
      </x:c>
      <x:c r="G276" t="str">
        <x:v>vllm</x:v>
      </x:c>
      <x:c r="H276" s="23" t="str">
        <x:v>DIRECT_PREFERRED</x:v>
      </x:c>
      <x:c r="I276" s="20" t="n">
        <x:v>394757.3277384294</x:v>
      </x:c>
      <x:c r="J276" s="20" t="n">
        <x:v>107.63851930900849</x:v>
      </x:c>
      <x:c r="K276" s="20" t="n">
        <x:v>16</x:v>
      </x:c>
      <x:c r="L276" s="20" t="n">
        <x:v>2</x:v>
      </x:c>
      <x:c r="M276" s="20" t="n">
        <x:v>8</x:v>
      </x:c>
      <x:c r="N276" t="str">
        <x:v>fp4</x:v>
      </x:c>
      <x:c r="O276" t="str">
        <x:v>mtp</x:v>
      </x:c>
      <x:c r="P276" s="19" t="n">
        <x:v>433307</x:v>
      </x:c>
      <x:c r="Q276" s="21" t="n">
        <x:v>46209</x:v>
      </x:c>
      <x:c r="R276" s="22" t="n">
        <x:v>1488755.9769078298</x:v>
      </x:c>
      <x:c r="S276" t="str">
        <x:v>dynamo-vllm</x:v>
      </x:c>
      <x:c r="T276" t="str">
        <x:v>dynamo-vllm, vllm</x:v>
      </x:c>
      <x:c r="U276" s="19" t="n">
        <x:v>193</x:v>
      </x:c>
      <x:c r="V276" s="19" t="n">
        <x:v>275</x:v>
      </x:c>
      <x:c r="W276" s="19" t="n">
        <x:v>11</x:v>
      </x:c>
      <x:c r="X276" t="str"/>
      <x:c r="Y276" s="23" t="str">
        <x:v>Preferred framework has a direct Pareto-eligible observation.</x:v>
      </x:c>
    </x:row>
    <x:row r="277">
      <x:c r="A277" t="str">
        <x:v>MiniMax M3</x:v>
      </x:c>
      <x:c r="B277" t="str">
        <x:v>minimaxm3</x:v>
      </x:c>
      <x:c r="C277" t="str">
        <x:v>B300</x:v>
      </x:c>
      <x:c r="D277" t="str">
        <x:v>direct</x:v>
      </x:c>
      <x:c r="E277" t="str">
        <x:v>agentic</x:v>
      </x:c>
      <x:c r="F277" s="19" t="n">
        <x:v>30</x:v>
      </x:c>
      <x:c r="G277" t="str">
        <x:v>vllm</x:v>
      </x:c>
      <x:c r="H277" s="23" t="str">
        <x:v>DIRECT_PREFERRED</x:v>
      </x:c>
      <x:c r="I277" s="20" t="n">
        <x:v>205917.62105263158</x:v>
      </x:c>
      <x:c r="J277" s="20" t="n">
        <x:v>78.23275916119864</x:v>
      </x:c>
      <x:c r="K277" s="20" t="n">
        <x:v>50</x:v>
      </x:c>
      <x:c r="L277" s="20" t="n">
        <x:v>4</x:v>
      </x:c>
      <x:c r="M277" s="20" t="n">
        <x:v>12.5</x:v>
      </x:c>
      <x:c r="N277" t="str">
        <x:v>fp4</x:v>
      </x:c>
      <x:c r="O277" t="str">
        <x:v>mtp</x:v>
      </x:c>
      <x:c r="P277" s="19" t="n">
        <x:v>438644</x:v>
      </x:c>
      <x:c r="Q277" s="21" t="n">
        <x:v>46239</x:v>
      </x:c>
      <x:c r="R277" s="22" t="n">
        <x:v>205917.62105263158</x:v>
      </x:c>
      <x:c r="S277" t="str">
        <x:v>vllm</x:v>
      </x:c>
      <x:c r="T277" t="str">
        <x:v>vllm</x:v>
      </x:c>
      <x:c r="U277" s="19" t="n">
        <x:v>13</x:v>
      </x:c>
      <x:c r="V277" s="19" t="n">
        <x:v>13</x:v>
      </x:c>
      <x:c r="W277" s="19" t="n">
        <x:v>13</x:v>
      </x:c>
      <x:c r="X277" t="str"/>
      <x:c r="Y277" s="23" t="str">
        <x:v>Preferred framework has a direct Pareto-eligible observation.</x:v>
      </x:c>
    </x:row>
    <x:row r="278">
      <x:c r="A278" t="str">
        <x:v>MiniMax M3</x:v>
      </x:c>
      <x:c r="B278" t="str">
        <x:v>minimaxm3</x:v>
      </x:c>
      <x:c r="C278" t="str">
        <x:v>B300</x:v>
      </x:c>
      <x:c r="D278" t="str">
        <x:v>direct</x:v>
      </x:c>
      <x:c r="E278" t="str">
        <x:v>agentic</x:v>
      </x:c>
      <x:c r="F278" s="19" t="n">
        <x:v>50</x:v>
      </x:c>
      <x:c r="G278" t="str">
        <x:v>vllm</x:v>
      </x:c>
      <x:c r="H278" s="23" t="str">
        <x:v>DIRECT_PREFERRED</x:v>
      </x:c>
      <x:c r="I278" s="20" t="n">
        <x:v>205917.62105263158</x:v>
      </x:c>
      <x:c r="J278" s="20" t="n">
        <x:v>78.23275916119864</x:v>
      </x:c>
      <x:c r="K278" s="20" t="n">
        <x:v>50</x:v>
      </x:c>
      <x:c r="L278" s="20" t="n">
        <x:v>4</x:v>
      </x:c>
      <x:c r="M278" s="20" t="n">
        <x:v>12.5</x:v>
      </x:c>
      <x:c r="N278" t="str">
        <x:v>fp4</x:v>
      </x:c>
      <x:c r="O278" t="str">
        <x:v>mtp</x:v>
      </x:c>
      <x:c r="P278" s="19" t="n">
        <x:v>438644</x:v>
      </x:c>
      <x:c r="Q278" s="21" t="n">
        <x:v>46239</x:v>
      </x:c>
      <x:c r="R278" s="22" t="n">
        <x:v>205917.62105263158</x:v>
      </x:c>
      <x:c r="S278" t="str">
        <x:v>vllm</x:v>
      </x:c>
      <x:c r="T278" t="str">
        <x:v>vllm</x:v>
      </x:c>
      <x:c r="U278" s="19" t="n">
        <x:v>12</x:v>
      </x:c>
      <x:c r="V278" s="19" t="n">
        <x:v>12</x:v>
      </x:c>
      <x:c r="W278" s="19" t="n">
        <x:v>13</x:v>
      </x:c>
      <x:c r="X278" t="str"/>
      <x:c r="Y278" s="23" t="str">
        <x:v>Preferred framework has a direct Pareto-eligible observation.</x:v>
      </x:c>
    </x:row>
    <x:row r="279">
      <x:c r="A279" t="str">
        <x:v>MiniMax M3</x:v>
      </x:c>
      <x:c r="B279" t="str">
        <x:v>minimaxm3</x:v>
      </x:c>
      <x:c r="C279" t="str">
        <x:v>B300</x:v>
      </x:c>
      <x:c r="D279" t="str">
        <x:v>direct</x:v>
      </x:c>
      <x:c r="E279" t="str">
        <x:v>agentic</x:v>
      </x:c>
      <x:c r="F279" s="19" t="n">
        <x:v>70</x:v>
      </x:c>
      <x:c r="G279" t="str">
        <x:v>vllm</x:v>
      </x:c>
      <x:c r="H279" s="23" t="str">
        <x:v>DIRECT_PREFERRED</x:v>
      </x:c>
      <x:c r="I279" s="20" t="n">
        <x:v>205917.62105263158</x:v>
      </x:c>
      <x:c r="J279" s="20" t="n">
        <x:v>78.23275916119864</x:v>
      </x:c>
      <x:c r="K279" s="20" t="n">
        <x:v>50</x:v>
      </x:c>
      <x:c r="L279" s="20" t="n">
        <x:v>4</x:v>
      </x:c>
      <x:c r="M279" s="20" t="n">
        <x:v>12.5</x:v>
      </x:c>
      <x:c r="N279" t="str">
        <x:v>fp4</x:v>
      </x:c>
      <x:c r="O279" t="str">
        <x:v>mtp</x:v>
      </x:c>
      <x:c r="P279" s="19" t="n">
        <x:v>438644</x:v>
      </x:c>
      <x:c r="Q279" s="21" t="n">
        <x:v>46239</x:v>
      </x:c>
      <x:c r="R279" s="22" t="n">
        <x:v>205917.62105263158</x:v>
      </x:c>
      <x:c r="S279" t="str">
        <x:v>vllm</x:v>
      </x:c>
      <x:c r="T279" t="str">
        <x:v>vllm</x:v>
      </x:c>
      <x:c r="U279" s="19" t="n">
        <x:v>12</x:v>
      </x:c>
      <x:c r="V279" s="19" t="n">
        <x:v>12</x:v>
      </x:c>
      <x:c r="W279" s="19" t="n">
        <x:v>13</x:v>
      </x:c>
      <x:c r="X279" t="str"/>
      <x:c r="Y279" s="23" t="str">
        <x:v>Preferred framework has a direct Pareto-eligible observation.</x:v>
      </x:c>
    </x:row>
    <x:row r="280">
      <x:c r="A280" t="str">
        <x:v>MiniMax M3</x:v>
      </x:c>
      <x:c r="B280" t="str">
        <x:v>minimaxm3</x:v>
      </x:c>
      <x:c r="C280" t="str">
        <x:v>B300</x:v>
      </x:c>
      <x:c r="D280" t="str">
        <x:v>direct</x:v>
      </x:c>
      <x:c r="E280" t="str">
        <x:v>agentic</x:v>
      </x:c>
      <x:c r="F280" s="19" t="n">
        <x:v>100</x:v>
      </x:c>
      <x:c r="G280" t="str">
        <x:v>vllm</x:v>
      </x:c>
      <x:c r="H280" s="23" t="str">
        <x:v>DIRECT_PREFERRED</x:v>
      </x:c>
      <x:c r="I280" s="20" t="n">
        <x:v>194740.46315789476</x:v>
      </x:c>
      <x:c r="J280" s="20" t="n">
        <x:v>119.50613059613066</x:v>
      </x:c>
      <x:c r="K280" s="20" t="n">
        <x:v>40</x:v>
      </x:c>
      <x:c r="L280" s="20" t="n">
        <x:v>4</x:v>
      </x:c>
      <x:c r="M280" s="20" t="n">
        <x:v>10</x:v>
      </x:c>
      <x:c r="N280" t="str">
        <x:v>fp4</x:v>
      </x:c>
      <x:c r="O280" t="str">
        <x:v>mtp</x:v>
      </x:c>
      <x:c r="P280" s="19" t="n">
        <x:v>438638</x:v>
      </x:c>
      <x:c r="Q280" s="21" t="n">
        <x:v>46239</x:v>
      </x:c>
      <x:c r="R280" s="22" t="n">
        <x:v>194740.46315789476</x:v>
      </x:c>
      <x:c r="S280" t="str">
        <x:v>vllm</x:v>
      </x:c>
      <x:c r="T280" t="str">
        <x:v>vllm</x:v>
      </x:c>
      <x:c r="U280" s="19" t="n">
        <x:v>11</x:v>
      </x:c>
      <x:c r="V280" s="19" t="n">
        <x:v>11</x:v>
      </x:c>
      <x:c r="W280" s="19" t="n">
        <x:v>13</x:v>
      </x:c>
      <x:c r="X280" t="str"/>
      <x:c r="Y280" s="23" t="str">
        <x:v>Preferred framework has a direct Pareto-eligible observation.</x:v>
      </x:c>
    </x:row>
    <x:row r="281">
      <x:c r="A281" t="str">
        <x:v>MiniMax M3</x:v>
      </x:c>
      <x:c r="B281" t="str">
        <x:v>minimaxm3</x:v>
      </x:c>
      <x:c r="C281" t="str">
        <x:v>GB200</x:v>
      </x:c>
      <x:c r="D281" t="str">
        <x:v>direct</x:v>
      </x:c>
      <x:c r="E281" t="str">
        <x:v>short</x:v>
      </x:c>
      <x:c r="F281" s="19" t="n">
        <x:v>30</x:v>
      </x:c>
      <x:c r="G281" t="str">
        <x:v>dynamo-vllm</x:v>
      </x:c>
      <x:c r="H281" s="23" t="str">
        <x:v>DIRECT_PREFERRED</x:v>
      </x:c>
      <x:c r="I281" s="20" t="n">
        <x:v>1869224.5349697685</x:v>
      </x:c>
      <x:c r="J281" s="20" t="n">
        <x:v>32.59476985004982</x:v>
      </x:c>
      <x:c r="K281" s="20" t="n">
        <x:v>1024</x:v>
      </x:c>
      <x:c r="L281" s="20" t="n">
        <x:v>12</x:v>
      </x:c>
      <x:c r="M281" s="20" t="n">
        <x:v>85.33333333333333</x:v>
      </x:c>
      <x:c r="N281" t="str">
        <x:v>fp8</x:v>
      </x:c>
      <x:c r="O281" t="str">
        <x:v>none</x:v>
      </x:c>
      <x:c r="P281" s="19" t="n">
        <x:v>430298</x:v>
      </x:c>
      <x:c r="Q281" s="21" t="n">
        <x:v>46202</x:v>
      </x:c>
      <x:c r="R281" s="22" t="n">
        <x:v>1869224.5349697685</x:v>
      </x:c>
      <x:c r="S281" t="str">
        <x:v>dynamo-vllm</x:v>
      </x:c>
      <x:c r="T281" t="str">
        <x:v>dynamo-vllm</x:v>
      </x:c>
      <x:c r="U281" s="19" t="n">
        <x:v>8</x:v>
      </x:c>
      <x:c r="V281" s="19" t="n">
        <x:v>8</x:v>
      </x:c>
      <x:c r="W281" s="19" t="n">
        <x:v>8</x:v>
      </x:c>
      <x:c r="X281" t="str"/>
      <x:c r="Y281" s="23" t="str">
        <x:v>Preferred framework has a direct Pareto-eligible observation.</x:v>
      </x:c>
    </x:row>
    <x:row r="282">
      <x:c r="A282" t="str">
        <x:v>MiniMax M3</x:v>
      </x:c>
      <x:c r="B282" t="str">
        <x:v>minimaxm3</x:v>
      </x:c>
      <x:c r="C282" t="str">
        <x:v>GB200</x:v>
      </x:c>
      <x:c r="D282" t="str">
        <x:v>direct</x:v>
      </x:c>
      <x:c r="E282" t="str">
        <x:v>short</x:v>
      </x:c>
      <x:c r="F282" s="19" t="n">
        <x:v>50</x:v>
      </x:c>
      <x:c r="G282" t="str">
        <x:v>dynamo-vllm</x:v>
      </x:c>
      <x:c r="H282" s="23" t="str">
        <x:v>DIRECT_PREFERRED</x:v>
      </x:c>
      <x:c r="I282" s="20" t="n">
        <x:v>473214.46614500636</x:v>
      </x:c>
      <x:c r="J282" s="20" t="n">
        <x:v>57.89773404338346</x:v>
      </x:c>
      <x:c r="K282" s="20" t="n">
        <x:v>128</x:v>
      </x:c>
      <x:c r="L282" s="20" t="n">
        <x:v>12</x:v>
      </x:c>
      <x:c r="M282" s="20" t="n">
        <x:v>10.666666666666666</x:v>
      </x:c>
      <x:c r="N282" t="str">
        <x:v>fp8</x:v>
      </x:c>
      <x:c r="O282" t="str">
        <x:v>none</x:v>
      </x:c>
      <x:c r="P282" s="19" t="n">
        <x:v>430305</x:v>
      </x:c>
      <x:c r="Q282" s="21" t="n">
        <x:v>46202</x:v>
      </x:c>
      <x:c r="R282" s="22" t="n">
        <x:v>473214.46614500636</x:v>
      </x:c>
      <x:c r="S282" t="str">
        <x:v>dynamo-vllm</x:v>
      </x:c>
      <x:c r="T282" t="str">
        <x:v>dynamo-vllm</x:v>
      </x:c>
      <x:c r="U282" s="19" t="n">
        <x:v>5</x:v>
      </x:c>
      <x:c r="V282" s="19" t="n">
        <x:v>5</x:v>
      </x:c>
      <x:c r="W282" s="19" t="n">
        <x:v>8</x:v>
      </x:c>
      <x:c r="X282" t="str"/>
      <x:c r="Y282" s="23" t="str">
        <x:v>Preferred framework has a direct Pareto-eligible observation.</x:v>
      </x:c>
    </x:row>
    <x:row r="283">
      <x:c r="A283" t="str">
        <x:v>MiniMax M3</x:v>
      </x:c>
      <x:c r="B283" t="str">
        <x:v>minimaxm3</x:v>
      </x:c>
      <x:c r="C283" t="str">
        <x:v>GB200</x:v>
      </x:c>
      <x:c r="D283" t="str">
        <x:v>direct</x:v>
      </x:c>
      <x:c r="E283" t="str">
        <x:v>short</x:v>
      </x:c>
      <x:c r="F283" s="19" t="n">
        <x:v>70</x:v>
      </x:c>
      <x:c r="G283" t="str">
        <x:v>dynamo-vllm</x:v>
      </x:c>
      <x:c r="H283" s="23" t="str">
        <x:v>DIRECT_PREFERRED</x:v>
      </x:c>
      <x:c r="I283" s="20" t="n">
        <x:v>183554.62487697136</x:v>
      </x:c>
      <x:c r="J283" s="20" t="n">
        <x:v>90.34526803808563</x:v>
      </x:c>
      <x:c r="K283" s="20" t="n">
        <x:v>64</x:v>
      </x:c>
      <x:c r="L283" s="20" t="n">
        <x:v>20</x:v>
      </x:c>
      <x:c r="M283" s="20" t="n">
        <x:v>3.2</x:v>
      </x:c>
      <x:c r="N283" t="str">
        <x:v>fp8</x:v>
      </x:c>
      <x:c r="O283" t="str">
        <x:v>none</x:v>
      </x:c>
      <x:c r="P283" s="19" t="n">
        <x:v>430312</x:v>
      </x:c>
      <x:c r="Q283" s="21" t="n">
        <x:v>46202</x:v>
      </x:c>
      <x:c r="R283" s="22" t="n">
        <x:v>183554.62487697136</x:v>
      </x:c>
      <x:c r="S283" t="str">
        <x:v>dynamo-vllm</x:v>
      </x:c>
      <x:c r="T283" t="str">
        <x:v>dynamo-vllm</x:v>
      </x:c>
      <x:c r="U283" s="19" t="n">
        <x:v>4</x:v>
      </x:c>
      <x:c r="V283" s="19" t="n">
        <x:v>4</x:v>
      </x:c>
      <x:c r="W283" s="19" t="n">
        <x:v>8</x:v>
      </x:c>
      <x:c r="X283" t="str"/>
      <x:c r="Y283" s="23" t="str">
        <x:v>Preferred framework has a direct Pareto-eligible observation.</x:v>
      </x:c>
    </x:row>
    <x:row r="284">
      <x:c r="A284" t="str">
        <x:v>MiniMax M3</x:v>
      </x:c>
      <x:c r="B284" t="str">
        <x:v>minimaxm3</x:v>
      </x:c>
      <x:c r="C284" t="str">
        <x:v>GB200</x:v>
      </x:c>
      <x:c r="D284" t="str">
        <x:v>direct</x:v>
      </x:c>
      <x:c r="E284" t="str">
        <x:v>short</x:v>
      </x:c>
      <x:c r="F284" s="19" t="n">
        <x:v>100</x:v>
      </x:c>
      <x:c r="G284" t="str">
        <x:v>dynamo-vllm</x:v>
      </x:c>
      <x:c r="H284" s="23" t="str">
        <x:v>DIRECT_PREFERRED</x:v>
      </x:c>
      <x:c r="I284" s="20" t="n">
        <x:v>64184.93638583474</x:v>
      </x:c>
      <x:c r="J284" s="20" t="n">
        <x:v>126.9560378364632</x:v>
      </x:c>
      <x:c r="K284" s="20" t="n">
        <x:v>16</x:v>
      </x:c>
      <x:c r="L284" s="20" t="n">
        <x:v>20</x:v>
      </x:c>
      <x:c r="M284" s="20" t="n">
        <x:v>0.8</x:v>
      </x:c>
      <x:c r="N284" t="str">
        <x:v>fp8</x:v>
      </x:c>
      <x:c r="O284" t="str">
        <x:v>none</x:v>
      </x:c>
      <x:c r="P284" s="19" t="n">
        <x:v>430313</x:v>
      </x:c>
      <x:c r="Q284" s="21" t="n">
        <x:v>46202</x:v>
      </x:c>
      <x:c r="R284" s="22" t="n">
        <x:v>64184.93638583474</x:v>
      </x:c>
      <x:c r="S284" t="str">
        <x:v>dynamo-vllm</x:v>
      </x:c>
      <x:c r="T284" t="str">
        <x:v>dynamo-vllm</x:v>
      </x:c>
      <x:c r="U284" s="19" t="n">
        <x:v>2</x:v>
      </x:c>
      <x:c r="V284" s="19" t="n">
        <x:v>2</x:v>
      </x:c>
      <x:c r="W284" s="19" t="n">
        <x:v>8</x:v>
      </x:c>
      <x:c r="X284" t="str"/>
      <x:c r="Y284" s="23" t="str">
        <x:v>Preferred framework has a direct Pareto-eligible observation.</x:v>
      </x:c>
    </x:row>
    <x:row r="285">
      <x:c r="A285" t="str">
        <x:v>MiniMax M3</x:v>
      </x:c>
      <x:c r="B285" t="str">
        <x:v>minimaxm3</x:v>
      </x:c>
      <x:c r="C285" t="str">
        <x:v>GB200</x:v>
      </x:c>
      <x:c r="D285" t="str">
        <x:v>direct</x:v>
      </x:c>
      <x:c r="E285" t="str">
        <x:v>long</x:v>
      </x:c>
      <x:c r="F285" s="19" t="n">
        <x:v>30</x:v>
      </x:c>
      <x:c r="G285" t="str">
        <x:v>dynamo-vllm</x:v>
      </x:c>
      <x:c r="H285" s="23" t="str">
        <x:v>DIRECT_PREFERRED</x:v>
      </x:c>
      <x:c r="I285" s="20" t="n">
        <x:v>1845708.3551975165</x:v>
      </x:c>
      <x:c r="J285" s="20" t="n">
        <x:v>30.702438325768878</x:v>
      </x:c>
      <x:c r="K285" s="20" t="n">
        <x:v>4096</x:v>
      </x:c>
      <x:c r="L285" s="20" t="n">
        <x:v>36</x:v>
      </x:c>
      <x:c r="M285" s="20" t="n">
        <x:v>113.77777777777777</x:v>
      </x:c>
      <x:c r="N285" t="str">
        <x:v>fp8</x:v>
      </x:c>
      <x:c r="O285" t="str">
        <x:v>none</x:v>
      </x:c>
      <x:c r="P285" s="19" t="n">
        <x:v>430301</x:v>
      </x:c>
      <x:c r="Q285" s="21" t="n">
        <x:v>46202</x:v>
      </x:c>
      <x:c r="R285" s="22" t="n">
        <x:v>1845708.3551975165</x:v>
      </x:c>
      <x:c r="S285" t="str">
        <x:v>dynamo-vllm</x:v>
      </x:c>
      <x:c r="T285" t="str">
        <x:v>dynamo-vllm</x:v>
      </x:c>
      <x:c r="U285" s="19" t="n">
        <x:v>21</x:v>
      </x:c>
      <x:c r="V285" s="19" t="n">
        <x:v>21</x:v>
      </x:c>
      <x:c r="W285" s="19" t="n">
        <x:v>8</x:v>
      </x:c>
      <x:c r="X285" t="str"/>
      <x:c r="Y285" s="23" t="str">
        <x:v>Preferred framework has a direct Pareto-eligible observation.</x:v>
      </x:c>
    </x:row>
    <x:row r="286">
      <x:c r="A286" t="str">
        <x:v>MiniMax M3</x:v>
      </x:c>
      <x:c r="B286" t="str">
        <x:v>minimaxm3</x:v>
      </x:c>
      <x:c r="C286" t="str">
        <x:v>GB200</x:v>
      </x:c>
      <x:c r="D286" t="str">
        <x:v>direct</x:v>
      </x:c>
      <x:c r="E286" t="str">
        <x:v>long</x:v>
      </x:c>
      <x:c r="F286" s="19" t="n">
        <x:v>50</x:v>
      </x:c>
      <x:c r="G286" t="str">
        <x:v>dynamo-vllm</x:v>
      </x:c>
      <x:c r="H286" s="23" t="str">
        <x:v>DIRECT_PREFERRED</x:v>
      </x:c>
      <x:c r="I286" s="20" t="n">
        <x:v>373792.81640791026</x:v>
      </x:c>
      <x:c r="J286" s="20" t="n">
        <x:v>57.32132770220165</x:v>
      </x:c>
      <x:c r="K286" s="20" t="n">
        <x:v>512</x:v>
      </x:c>
      <x:c r="L286" s="20" t="n">
        <x:v>20</x:v>
      </x:c>
      <x:c r="M286" s="20" t="n">
        <x:v>25.6</x:v>
      </x:c>
      <x:c r="N286" t="str">
        <x:v>fp8</x:v>
      </x:c>
      <x:c r="O286" t="str">
        <x:v>none</x:v>
      </x:c>
      <x:c r="P286" s="19" t="n">
        <x:v>430316</x:v>
      </x:c>
      <x:c r="Q286" s="21" t="n">
        <x:v>46202</x:v>
      </x:c>
      <x:c r="R286" s="22" t="n">
        <x:v>373792.81640791026</x:v>
      </x:c>
      <x:c r="S286" t="str">
        <x:v>dynamo-vllm</x:v>
      </x:c>
      <x:c r="T286" t="str">
        <x:v>dynamo-vllm</x:v>
      </x:c>
      <x:c r="U286" s="19" t="n">
        <x:v>14</x:v>
      </x:c>
      <x:c r="V286" s="19" t="n">
        <x:v>14</x:v>
      </x:c>
      <x:c r="W286" s="19" t="n">
        <x:v>8</x:v>
      </x:c>
      <x:c r="X286" t="str"/>
      <x:c r="Y286" s="23" t="str">
        <x:v>Preferred framework has a direct Pareto-eligible observation.</x:v>
      </x:c>
    </x:row>
    <x:row r="287">
      <x:c r="A287" t="str">
        <x:v>MiniMax M3</x:v>
      </x:c>
      <x:c r="B287" t="str">
        <x:v>minimaxm3</x:v>
      </x:c>
      <x:c r="C287" t="str">
        <x:v>GB200</x:v>
      </x:c>
      <x:c r="D287" t="str">
        <x:v>direct</x:v>
      </x:c>
      <x:c r="E287" t="str">
        <x:v>long</x:v>
      </x:c>
      <x:c r="F287" s="19" t="n">
        <x:v>70</x:v>
      </x:c>
      <x:c r="G287" t="str">
        <x:v>dynamo-vllm</x:v>
      </x:c>
      <x:c r="H287" s="23" t="str">
        <x:v>DIRECT_PREFERRED</x:v>
      </x:c>
      <x:c r="I287" s="20" t="n">
        <x:v>264585.7051998967</x:v>
      </x:c>
      <x:c r="J287" s="20" t="n">
        <x:v>73.40500080091627</x:v>
      </x:c>
      <x:c r="K287" s="20" t="n">
        <x:v>128</x:v>
      </x:c>
      <x:c r="L287" s="20" t="n">
        <x:v>20</x:v>
      </x:c>
      <x:c r="M287" s="20" t="n">
        <x:v>6.4</x:v>
      </x:c>
      <x:c r="N287" t="str">
        <x:v>fp8</x:v>
      </x:c>
      <x:c r="O287" t="str">
        <x:v>none</x:v>
      </x:c>
      <x:c r="P287" s="19" t="n">
        <x:v>437724</x:v>
      </x:c>
      <x:c r="Q287" s="21" t="n">
        <x:v>46232</x:v>
      </x:c>
      <x:c r="R287" s="22" t="n">
        <x:v>264585.7051998967</x:v>
      </x:c>
      <x:c r="S287" t="str">
        <x:v>dynamo-vllm</x:v>
      </x:c>
      <x:c r="T287" t="str">
        <x:v>dynamo-vllm</x:v>
      </x:c>
      <x:c r="U287" s="19" t="n">
        <x:v>11</x:v>
      </x:c>
      <x:c r="V287" s="19" t="n">
        <x:v>11</x:v>
      </x:c>
      <x:c r="W287" s="19" t="n">
        <x:v>8</x:v>
      </x:c>
      <x:c r="X287" t="str"/>
      <x:c r="Y287" s="23" t="str">
        <x:v>Preferred framework has a direct Pareto-eligible observation.</x:v>
      </x:c>
    </x:row>
    <x:row r="288">
      <x:c r="A288" t="str">
        <x:v>MiniMax M3</x:v>
      </x:c>
      <x:c r="B288" t="str">
        <x:v>minimaxm3</x:v>
      </x:c>
      <x:c r="C288" t="str">
        <x:v>GB200</x:v>
      </x:c>
      <x:c r="D288" t="str">
        <x:v>direct</x:v>
      </x:c>
      <x:c r="E288" t="str">
        <x:v>long</x:v>
      </x:c>
      <x:c r="F288" s="19" t="n">
        <x:v>100</x:v>
      </x:c>
      <x:c r="G288" t="str">
        <x:v>dynamo-vllm</x:v>
      </x:c>
      <x:c r="H288" s="23" t="str">
        <x:v>DIRECT_PREFERRED</x:v>
      </x:c>
      <x:c r="I288" s="20" t="n">
        <x:v>110364.0974467621</x:v>
      </x:c>
      <x:c r="J288" s="20" t="n">
        <x:v>116.96792220532551</x:v>
      </x:c>
      <x:c r="K288" s="20" t="n">
        <x:v>32</x:v>
      </x:c>
      <x:c r="L288" s="20" t="n">
        <x:v>20</x:v>
      </x:c>
      <x:c r="M288" s="20" t="n">
        <x:v>1.6</x:v>
      </x:c>
      <x:c r="N288" t="str">
        <x:v>fp8</x:v>
      </x:c>
      <x:c r="O288" t="str">
        <x:v>none</x:v>
      </x:c>
      <x:c r="P288" s="19" t="n">
        <x:v>437722</x:v>
      </x:c>
      <x:c r="Q288" s="21" t="n">
        <x:v>46232</x:v>
      </x:c>
      <x:c r="R288" s="22" t="n">
        <x:v>110364.0974467621</x:v>
      </x:c>
      <x:c r="S288" t="str">
        <x:v>dynamo-vllm</x:v>
      </x:c>
      <x:c r="T288" t="str">
        <x:v>dynamo-vllm</x:v>
      </x:c>
      <x:c r="U288" s="19" t="n">
        <x:v>8</x:v>
      </x:c>
      <x:c r="V288" s="19" t="n">
        <x:v>8</x:v>
      </x:c>
      <x:c r="W288" s="19" t="n">
        <x:v>8</x:v>
      </x:c>
      <x:c r="X288" t="str"/>
      <x:c r="Y288" s="23" t="str">
        <x:v>Preferred framework has a direct Pareto-eligible observation.</x:v>
      </x:c>
    </x:row>
    <x:row r="289">
      <x:c r="A289" t="str">
        <x:v>MiniMax M3</x:v>
      </x:c>
      <x:c r="B289" t="str">
        <x:v>minimaxm3</x:v>
      </x:c>
      <x:c r="C289" t="str">
        <x:v>GB200</x:v>
      </x:c>
      <x:c r="D289" t="str">
        <x:v>direct</x:v>
      </x:c>
      <x:c r="E289" t="str">
        <x:v>agentic</x:v>
      </x:c>
      <x:c r="F289" s="19" t="n">
        <x:v>30</x:v>
      </x:c>
      <x:c r="G289" t="str">
        <x:v>dynamo-vllm</x:v>
      </x:c>
      <x:c r="H289" s="23" t="str">
        <x:v>AGENTIC_RATIO_CANDIDATE</x:v>
      </x:c>
      <x:c r="I289" s="20"/>
      <x:c r="J289" s="20"/>
      <x:c r="K289" s="20"/>
      <x:c r="L289" s="20"/>
      <x:c r="M289" s="20"/>
      <x:c r="N289" t="str"/>
      <x:c r="O289" t="str"/>
      <x:c r="P289" s="19"/>
      <x:c r="Q289" s="21" t="str"/>
      <x:c r="R289" s="22"/>
      <x:c r="S289" t="str"/>
      <x:c r="T289" t="str"/>
      <x:c r="U289" s="19" t="n">
        <x:v>0</x:v>
      </x:c>
      <x:c r="V289" s="19" t="n">
        <x:v>0</x:v>
      </x:c>
      <x:c r="W289" s="19" t="n">
        <x:v>0</x:v>
      </x:c>
      <x:c r="X289" t="str">
        <x:v>long</x:v>
      </x:c>
      <x:c r="Y289" s="23" t="str">
        <x:v>Preferred framework lacks agentic; long can serve as the same-model anchor if a matched ratio is supported.</x:v>
      </x:c>
    </x:row>
    <x:row r="290">
      <x:c r="A290" t="str">
        <x:v>MiniMax M3</x:v>
      </x:c>
      <x:c r="B290" t="str">
        <x:v>minimaxm3</x:v>
      </x:c>
      <x:c r="C290" t="str">
        <x:v>GB200</x:v>
      </x:c>
      <x:c r="D290" t="str">
        <x:v>direct</x:v>
      </x:c>
      <x:c r="E290" t="str">
        <x:v>agentic</x:v>
      </x:c>
      <x:c r="F290" s="19" t="n">
        <x:v>50</x:v>
      </x:c>
      <x:c r="G290" t="str">
        <x:v>dynamo-vllm</x:v>
      </x:c>
      <x:c r="H290" s="23" t="str">
        <x:v>AGENTIC_RATIO_CANDIDATE</x:v>
      </x:c>
      <x:c r="I290" s="20"/>
      <x:c r="J290" s="20"/>
      <x:c r="K290" s="20"/>
      <x:c r="L290" s="20"/>
      <x:c r="M290" s="20"/>
      <x:c r="N290" t="str"/>
      <x:c r="O290" t="str"/>
      <x:c r="P290" s="19"/>
      <x:c r="Q290" s="21" t="str"/>
      <x:c r="R290" s="22"/>
      <x:c r="S290" t="str"/>
      <x:c r="T290" t="str"/>
      <x:c r="U290" s="19" t="n">
        <x:v>0</x:v>
      </x:c>
      <x:c r="V290" s="19" t="n">
        <x:v>0</x:v>
      </x:c>
      <x:c r="W290" s="19" t="n">
        <x:v>0</x:v>
      </x:c>
      <x:c r="X290" t="str">
        <x:v>long</x:v>
      </x:c>
      <x:c r="Y290" s="23" t="str">
        <x:v>Preferred framework lacks agentic; long can serve as the same-model anchor if a matched ratio is supported.</x:v>
      </x:c>
    </x:row>
    <x:row r="291">
      <x:c r="A291" t="str">
        <x:v>MiniMax M3</x:v>
      </x:c>
      <x:c r="B291" t="str">
        <x:v>minimaxm3</x:v>
      </x:c>
      <x:c r="C291" t="str">
        <x:v>GB200</x:v>
      </x:c>
      <x:c r="D291" t="str">
        <x:v>direct</x:v>
      </x:c>
      <x:c r="E291" t="str">
        <x:v>agentic</x:v>
      </x:c>
      <x:c r="F291" s="19" t="n">
        <x:v>70</x:v>
      </x:c>
      <x:c r="G291" t="str">
        <x:v>dynamo-vllm</x:v>
      </x:c>
      <x:c r="H291" s="23" t="str">
        <x:v>AGENTIC_RATIO_CANDIDATE</x:v>
      </x:c>
      <x:c r="I291" s="20"/>
      <x:c r="J291" s="20"/>
      <x:c r="K291" s="20"/>
      <x:c r="L291" s="20"/>
      <x:c r="M291" s="20"/>
      <x:c r="N291" t="str"/>
      <x:c r="O291" t="str"/>
      <x:c r="P291" s="19"/>
      <x:c r="Q291" s="21" t="str"/>
      <x:c r="R291" s="22"/>
      <x:c r="S291" t="str"/>
      <x:c r="T291" t="str"/>
      <x:c r="U291" s="19" t="n">
        <x:v>0</x:v>
      </x:c>
      <x:c r="V291" s="19" t="n">
        <x:v>0</x:v>
      </x:c>
      <x:c r="W291" s="19" t="n">
        <x:v>0</x:v>
      </x:c>
      <x:c r="X291" t="str">
        <x:v>long</x:v>
      </x:c>
      <x:c r="Y291" s="23" t="str">
        <x:v>Preferred framework lacks agentic; long can serve as the same-model anchor if a matched ratio is supported.</x:v>
      </x:c>
    </x:row>
    <x:row r="292">
      <x:c r="A292" t="str">
        <x:v>MiniMax M3</x:v>
      </x:c>
      <x:c r="B292" t="str">
        <x:v>minimaxm3</x:v>
      </x:c>
      <x:c r="C292" t="str">
        <x:v>GB200</x:v>
      </x:c>
      <x:c r="D292" t="str">
        <x:v>direct</x:v>
      </x:c>
      <x:c r="E292" t="str">
        <x:v>agentic</x:v>
      </x:c>
      <x:c r="F292" s="19" t="n">
        <x:v>100</x:v>
      </x:c>
      <x:c r="G292" t="str">
        <x:v>dynamo-vllm</x:v>
      </x:c>
      <x:c r="H292" s="23" t="str">
        <x:v>AGENTIC_RATIO_CANDIDATE</x:v>
      </x:c>
      <x:c r="I292" s="20"/>
      <x:c r="J292" s="20"/>
      <x:c r="K292" s="20"/>
      <x:c r="L292" s="20"/>
      <x:c r="M292" s="20"/>
      <x:c r="N292" t="str"/>
      <x:c r="O292" t="str"/>
      <x:c r="P292" s="19"/>
      <x:c r="Q292" s="21" t="str"/>
      <x:c r="R292" s="22"/>
      <x:c r="S292" t="str"/>
      <x:c r="T292" t="str"/>
      <x:c r="U292" s="19" t="n">
        <x:v>0</x:v>
      </x:c>
      <x:c r="V292" s="19" t="n">
        <x:v>0</x:v>
      </x:c>
      <x:c r="W292" s="19" t="n">
        <x:v>0</x:v>
      </x:c>
      <x:c r="X292" t="str">
        <x:v>long</x:v>
      </x:c>
      <x:c r="Y292" s="23" t="str">
        <x:v>Preferred framework lacks agentic; long can serve as the same-model anchor if a matched ratio is supported.</x:v>
      </x:c>
    </x:row>
    <x:row r="293">
      <x:c r="A293" t="str">
        <x:v>MiniMax M3</x:v>
      </x:c>
      <x:c r="B293" t="str">
        <x:v>minimaxm3</x:v>
      </x:c>
      <x:c r="C293" t="str">
        <x:v>GB300</x:v>
      </x:c>
      <x:c r="D293" t="str">
        <x:v>direct</x:v>
      </x:c>
      <x:c r="E293" t="str">
        <x:v>short</x:v>
      </x:c>
      <x:c r="F293" s="19" t="n">
        <x:v>30</x:v>
      </x:c>
      <x:c r="G293" t="str">
        <x:v>dynamo-vllm</x:v>
      </x:c>
      <x:c r="H293" s="23" t="str">
        <x:v>DIRECT_PREFERRED</x:v>
      </x:c>
      <x:c r="I293" s="20" t="n">
        <x:v>1174704.6773323065</x:v>
      </x:c>
      <x:c r="J293" s="20" t="n">
        <x:v>41.123587670723644</x:v>
      </x:c>
      <x:c r="K293" s="20" t="n">
        <x:v>1024</x:v>
      </x:c>
      <x:c r="L293" s="20" t="n">
        <x:v>24</x:v>
      </x:c>
      <x:c r="M293" s="20" t="n">
        <x:v>42.666666666666664</x:v>
      </x:c>
      <x:c r="N293" t="str">
        <x:v>fp8</x:v>
      </x:c>
      <x:c r="O293" t="str">
        <x:v>none</x:v>
      </x:c>
      <x:c r="P293" s="19" t="n">
        <x:v>429573</x:v>
      </x:c>
      <x:c r="Q293" s="21" t="n">
        <x:v>46199</x:v>
      </x:c>
      <x:c r="R293" s="22" t="n">
        <x:v>1174704.6773323065</x:v>
      </x:c>
      <x:c r="S293" t="str">
        <x:v>dynamo-vllm</x:v>
      </x:c>
      <x:c r="T293" t="str">
        <x:v>dynamo-vllm</x:v>
      </x:c>
      <x:c r="U293" s="19" t="n">
        <x:v>31</x:v>
      </x:c>
      <x:c r="V293" s="19" t="n">
        <x:v>31</x:v>
      </x:c>
      <x:c r="W293" s="19" t="n">
        <x:v>13</x:v>
      </x:c>
      <x:c r="X293" t="str"/>
      <x:c r="Y293" s="23" t="str">
        <x:v>Preferred framework has a direct Pareto-eligible observation.</x:v>
      </x:c>
    </x:row>
    <x:row r="294">
      <x:c r="A294" t="str">
        <x:v>MiniMax M3</x:v>
      </x:c>
      <x:c r="B294" t="str">
        <x:v>minimaxm3</x:v>
      </x:c>
      <x:c r="C294" t="str">
        <x:v>GB300</x:v>
      </x:c>
      <x:c r="D294" t="str">
        <x:v>direct</x:v>
      </x:c>
      <x:c r="E294" t="str">
        <x:v>short</x:v>
      </x:c>
      <x:c r="F294" s="19" t="n">
        <x:v>50</x:v>
      </x:c>
      <x:c r="G294" t="str">
        <x:v>dynamo-vllm</x:v>
      </x:c>
      <x:c r="H294" s="23" t="str">
        <x:v>DIRECT_PREFERRED</x:v>
      </x:c>
      <x:c r="I294" s="20" t="n">
        <x:v>419788.86709359</x:v>
      </x:c>
      <x:c r="J294" s="20" t="n">
        <x:v>60.13319171539267</x:v>
      </x:c>
      <x:c r="K294" s="20" t="n">
        <x:v>256</x:v>
      </x:c>
      <x:c r="L294" s="20" t="n">
        <x:v>18</x:v>
      </x:c>
      <x:c r="M294" s="20" t="n">
        <x:v>14.222222222222221</x:v>
      </x:c>
      <x:c r="N294" t="str">
        <x:v>fp8</x:v>
      </x:c>
      <x:c r="O294" t="str">
        <x:v>none</x:v>
      </x:c>
      <x:c r="P294" s="19" t="n">
        <x:v>429563</x:v>
      </x:c>
      <x:c r="Q294" s="21" t="n">
        <x:v>46199</x:v>
      </x:c>
      <x:c r="R294" s="22" t="n">
        <x:v>419788.86709359</x:v>
      </x:c>
      <x:c r="S294" t="str">
        <x:v>dynamo-vllm</x:v>
      </x:c>
      <x:c r="T294" t="str">
        <x:v>dynamo-vllm</x:v>
      </x:c>
      <x:c r="U294" s="19" t="n">
        <x:v>27</x:v>
      </x:c>
      <x:c r="V294" s="19" t="n">
        <x:v>27</x:v>
      </x:c>
      <x:c r="W294" s="19" t="n">
        <x:v>13</x:v>
      </x:c>
      <x:c r="X294" t="str"/>
      <x:c r="Y294" s="23" t="str">
        <x:v>Preferred framework has a direct Pareto-eligible observation.</x:v>
      </x:c>
    </x:row>
    <x:row r="295">
      <x:c r="A295" t="str">
        <x:v>MiniMax M3</x:v>
      </x:c>
      <x:c r="B295" t="str">
        <x:v>minimaxm3</x:v>
      </x:c>
      <x:c r="C295" t="str">
        <x:v>GB300</x:v>
      </x:c>
      <x:c r="D295" t="str">
        <x:v>direct</x:v>
      </x:c>
      <x:c r="E295" t="str">
        <x:v>short</x:v>
      </x:c>
      <x:c r="F295" s="19" t="n">
        <x:v>70</x:v>
      </x:c>
      <x:c r="G295" t="str">
        <x:v>dynamo-vllm</x:v>
      </x:c>
      <x:c r="H295" s="23" t="str">
        <x:v>DIRECT_PREFERRED</x:v>
      </x:c>
      <x:c r="I295" s="20" t="n">
        <x:v>258703.59499585294</x:v>
      </x:c>
      <x:c r="J295" s="20" t="n">
        <x:v>71.75048064492266</x:v>
      </x:c>
      <x:c r="K295" s="20" t="n">
        <x:v>64</x:v>
      </x:c>
      <x:c r="L295" s="20" t="n">
        <x:v>10</x:v>
      </x:c>
      <x:c r="M295" s="20" t="n">
        <x:v>6.4</x:v>
      </x:c>
      <x:c r="N295" t="str">
        <x:v>fp8</x:v>
      </x:c>
      <x:c r="O295" t="str">
        <x:v>none</x:v>
      </x:c>
      <x:c r="P295" s="19" t="n">
        <x:v>427857</x:v>
      </x:c>
      <x:c r="Q295" s="21" t="n">
        <x:v>46196</x:v>
      </x:c>
      <x:c r="R295" s="22" t="n">
        <x:v>258703.59499585294</x:v>
      </x:c>
      <x:c r="S295" t="str">
        <x:v>dynamo-vllm</x:v>
      </x:c>
      <x:c r="T295" t="str">
        <x:v>dynamo-vllm</x:v>
      </x:c>
      <x:c r="U295" s="19" t="n">
        <x:v>22</x:v>
      </x:c>
      <x:c r="V295" s="19" t="n">
        <x:v>22</x:v>
      </x:c>
      <x:c r="W295" s="19" t="n">
        <x:v>13</x:v>
      </x:c>
      <x:c r="X295" t="str"/>
      <x:c r="Y295" s="23" t="str">
        <x:v>Preferred framework has a direct Pareto-eligible observation.</x:v>
      </x:c>
    </x:row>
    <x:row r="296">
      <x:c r="A296" t="str">
        <x:v>MiniMax M3</x:v>
      </x:c>
      <x:c r="B296" t="str">
        <x:v>minimaxm3</x:v>
      </x:c>
      <x:c r="C296" t="str">
        <x:v>GB300</x:v>
      </x:c>
      <x:c r="D296" t="str">
        <x:v>direct</x:v>
      </x:c>
      <x:c r="E296" t="str">
        <x:v>short</x:v>
      </x:c>
      <x:c r="F296" s="19" t="n">
        <x:v>100</x:v>
      </x:c>
      <x:c r="G296" t="str">
        <x:v>dynamo-vllm</x:v>
      </x:c>
      <x:c r="H296" s="23" t="str">
        <x:v>DIRECT_PREFERRED</x:v>
      </x:c>
      <x:c r="I296" s="20" t="n">
        <x:v>98311.57541416216</x:v>
      </x:c>
      <x:c r="J296" s="20" t="n">
        <x:v>108.98645220966617</x:v>
      </x:c>
      <x:c r="K296" s="20" t="n">
        <x:v>16</x:v>
      </x:c>
      <x:c r="L296" s="20" t="n">
        <x:v>10</x:v>
      </x:c>
      <x:c r="M296" s="20" t="n">
        <x:v>1.6</x:v>
      </x:c>
      <x:c r="N296" t="str">
        <x:v>fp8</x:v>
      </x:c>
      <x:c r="O296" t="str">
        <x:v>none</x:v>
      </x:c>
      <x:c r="P296" s="19" t="n">
        <x:v>427859</x:v>
      </x:c>
      <x:c r="Q296" s="21" t="n">
        <x:v>46196</x:v>
      </x:c>
      <x:c r="R296" s="22" t="n">
        <x:v>98311.57541416216</x:v>
      </x:c>
      <x:c r="S296" t="str">
        <x:v>dynamo-vllm</x:v>
      </x:c>
      <x:c r="T296" t="str">
        <x:v>dynamo-vllm</x:v>
      </x:c>
      <x:c r="U296" s="19" t="n">
        <x:v>12</x:v>
      </x:c>
      <x:c r="V296" s="19" t="n">
        <x:v>12</x:v>
      </x:c>
      <x:c r="W296" s="19" t="n">
        <x:v>13</x:v>
      </x:c>
      <x:c r="X296" t="str"/>
      <x:c r="Y296" s="23" t="str">
        <x:v>Preferred framework has a direct Pareto-eligible observation.</x:v>
      </x:c>
    </x:row>
    <x:row r="297">
      <x:c r="A297" t="str">
        <x:v>MiniMax M3</x:v>
      </x:c>
      <x:c r="B297" t="str">
        <x:v>minimaxm3</x:v>
      </x:c>
      <x:c r="C297" t="str">
        <x:v>GB300</x:v>
      </x:c>
      <x:c r="D297" t="str">
        <x:v>direct</x:v>
      </x:c>
      <x:c r="E297" t="str">
        <x:v>long</x:v>
      </x:c>
      <x:c r="F297" s="19" t="n">
        <x:v>30</x:v>
      </x:c>
      <x:c r="G297" t="str">
        <x:v>dynamo-vllm</x:v>
      </x:c>
      <x:c r="H297" s="23" t="str">
        <x:v>DIRECT_PREFERRED</x:v>
      </x:c>
      <x:c r="I297" s="20" t="n">
        <x:v>2103130.536846894</x:v>
      </x:c>
      <x:c r="J297" s="20" t="n">
        <x:v>61.586580922789175</x:v>
      </x:c>
      <x:c r="K297" s="20" t="n">
        <x:v>2048</x:v>
      </x:c>
      <x:c r="L297" s="20" t="n">
        <x:v>20</x:v>
      </x:c>
      <x:c r="M297" s="20" t="n">
        <x:v>102.4</x:v>
      </x:c>
      <x:c r="N297" t="str">
        <x:v>fp8</x:v>
      </x:c>
      <x:c r="O297" t="str">
        <x:v>mtp</x:v>
      </x:c>
      <x:c r="P297" s="19" t="n">
        <x:v>438580</x:v>
      </x:c>
      <x:c r="Q297" s="21" t="n">
        <x:v>46238</x:v>
      </x:c>
      <x:c r="R297" s="22" t="n">
        <x:v>2103130.536846894</x:v>
      </x:c>
      <x:c r="S297" t="str">
        <x:v>dynamo-vllm</x:v>
      </x:c>
      <x:c r="T297" t="str">
        <x:v>dynamo-vllm</x:v>
      </x:c>
      <x:c r="U297" s="19" t="n">
        <x:v>57</x:v>
      </x:c>
      <x:c r="V297" s="19" t="n">
        <x:v>57</x:v>
      </x:c>
      <x:c r="W297" s="19" t="n">
        <x:v>12</x:v>
      </x:c>
      <x:c r="X297" t="str"/>
      <x:c r="Y297" s="23" t="str">
        <x:v>Preferred framework has a direct Pareto-eligible observation.</x:v>
      </x:c>
    </x:row>
    <x:row r="298">
      <x:c r="A298" t="str">
        <x:v>MiniMax M3</x:v>
      </x:c>
      <x:c r="B298" t="str">
        <x:v>minimaxm3</x:v>
      </x:c>
      <x:c r="C298" t="str">
        <x:v>GB300</x:v>
      </x:c>
      <x:c r="D298" t="str">
        <x:v>direct</x:v>
      </x:c>
      <x:c r="E298" t="str">
        <x:v>long</x:v>
      </x:c>
      <x:c r="F298" s="19" t="n">
        <x:v>50</x:v>
      </x:c>
      <x:c r="G298" t="str">
        <x:v>dynamo-vllm</x:v>
      </x:c>
      <x:c r="H298" s="23" t="str">
        <x:v>DIRECT_PREFERRED</x:v>
      </x:c>
      <x:c r="I298" s="20" t="n">
        <x:v>2103130.536846894</x:v>
      </x:c>
      <x:c r="J298" s="20" t="n">
        <x:v>61.586580922789175</x:v>
      </x:c>
      <x:c r="K298" s="20" t="n">
        <x:v>2048</x:v>
      </x:c>
      <x:c r="L298" s="20" t="n">
        <x:v>20</x:v>
      </x:c>
      <x:c r="M298" s="20" t="n">
        <x:v>102.4</x:v>
      </x:c>
      <x:c r="N298" t="str">
        <x:v>fp8</x:v>
      </x:c>
      <x:c r="O298" t="str">
        <x:v>mtp</x:v>
      </x:c>
      <x:c r="P298" s="19" t="n">
        <x:v>438580</x:v>
      </x:c>
      <x:c r="Q298" s="21" t="n">
        <x:v>46238</x:v>
      </x:c>
      <x:c r="R298" s="22" t="n">
        <x:v>2103130.536846894</x:v>
      </x:c>
      <x:c r="S298" t="str">
        <x:v>dynamo-vllm</x:v>
      </x:c>
      <x:c r="T298" t="str">
        <x:v>dynamo-vllm</x:v>
      </x:c>
      <x:c r="U298" s="19" t="n">
        <x:v>45</x:v>
      </x:c>
      <x:c r="V298" s="19" t="n">
        <x:v>45</x:v>
      </x:c>
      <x:c r="W298" s="19" t="n">
        <x:v>12</x:v>
      </x:c>
      <x:c r="X298" t="str"/>
      <x:c r="Y298" s="23" t="str">
        <x:v>Preferred framework has a direct Pareto-eligible observation.</x:v>
      </x:c>
    </x:row>
    <x:row r="299">
      <x:c r="A299" t="str">
        <x:v>MiniMax M3</x:v>
      </x:c>
      <x:c r="B299" t="str">
        <x:v>minimaxm3</x:v>
      </x:c>
      <x:c r="C299" t="str">
        <x:v>GB300</x:v>
      </x:c>
      <x:c r="D299" t="str">
        <x:v>direct</x:v>
      </x:c>
      <x:c r="E299" t="str">
        <x:v>long</x:v>
      </x:c>
      <x:c r="F299" s="19" t="n">
        <x:v>70</x:v>
      </x:c>
      <x:c r="G299" t="str">
        <x:v>dynamo-vllm</x:v>
      </x:c>
      <x:c r="H299" s="23" t="str">
        <x:v>DIRECT_PREFERRED</x:v>
      </x:c>
      <x:c r="I299" s="20" t="n">
        <x:v>1431262.7261677831</x:v>
      </x:c>
      <x:c r="J299" s="20" t="n">
        <x:v>89.34784982268488</x:v>
      </x:c>
      <x:c r="K299" s="20" t="n">
        <x:v>2048</x:v>
      </x:c>
      <x:c r="L299" s="20" t="n">
        <x:v>16</x:v>
      </x:c>
      <x:c r="M299" s="20" t="n">
        <x:v>128</x:v>
      </x:c>
      <x:c r="N299" t="str">
        <x:v>fp8</x:v>
      </x:c>
      <x:c r="O299" t="str">
        <x:v>mtp</x:v>
      </x:c>
      <x:c r="P299" s="19" t="n">
        <x:v>438575</x:v>
      </x:c>
      <x:c r="Q299" s="21" t="n">
        <x:v>46238</x:v>
      </x:c>
      <x:c r="R299" s="22" t="n">
        <x:v>1431262.7261677831</x:v>
      </x:c>
      <x:c r="S299" t="str">
        <x:v>dynamo-vllm</x:v>
      </x:c>
      <x:c r="T299" t="str">
        <x:v>dynamo-vllm</x:v>
      </x:c>
      <x:c r="U299" s="19" t="n">
        <x:v>34</x:v>
      </x:c>
      <x:c r="V299" s="19" t="n">
        <x:v>34</x:v>
      </x:c>
      <x:c r="W299" s="19" t="n">
        <x:v>12</x:v>
      </x:c>
      <x:c r="X299" t="str"/>
      <x:c r="Y299" s="23" t="str">
        <x:v>Preferred framework has a direct Pareto-eligible observation.</x:v>
      </x:c>
    </x:row>
    <x:row r="300">
      <x:c r="A300" t="str">
        <x:v>MiniMax M3</x:v>
      </x:c>
      <x:c r="B300" t="str">
        <x:v>minimaxm3</x:v>
      </x:c>
      <x:c r="C300" t="str">
        <x:v>GB300</x:v>
      </x:c>
      <x:c r="D300" t="str">
        <x:v>direct</x:v>
      </x:c>
      <x:c r="E300" t="str">
        <x:v>long</x:v>
      </x:c>
      <x:c r="F300" s="19" t="n">
        <x:v>100</x:v>
      </x:c>
      <x:c r="G300" t="str">
        <x:v>dynamo-vllm</x:v>
      </x:c>
      <x:c r="H300" s="23" t="str">
        <x:v>DIRECT_PREFERRED</x:v>
      </x:c>
      <x:c r="I300" s="20" t="n">
        <x:v>985339.7128012906</x:v>
      </x:c>
      <x:c r="J300" s="20" t="n">
        <x:v>101.46400662671147</x:v>
      </x:c>
      <x:c r="K300" s="20" t="n">
        <x:v>256</x:v>
      </x:c>
      <x:c r="L300" s="20" t="n">
        <x:v>14</x:v>
      </x:c>
      <x:c r="M300" s="20" t="n">
        <x:v>18.285714285714285</x:v>
      </x:c>
      <x:c r="N300" t="str">
        <x:v>fp8</x:v>
      </x:c>
      <x:c r="O300" t="str">
        <x:v>mtp</x:v>
      </x:c>
      <x:c r="P300" s="19" t="n">
        <x:v>438581</x:v>
      </x:c>
      <x:c r="Q300" s="21" t="n">
        <x:v>46238</x:v>
      </x:c>
      <x:c r="R300" s="22" t="n">
        <x:v>985339.7128012906</x:v>
      </x:c>
      <x:c r="S300" t="str">
        <x:v>dynamo-vllm</x:v>
      </x:c>
      <x:c r="T300" t="str">
        <x:v>dynamo-vllm</x:v>
      </x:c>
      <x:c r="U300" s="19" t="n">
        <x:v>21</x:v>
      </x:c>
      <x:c r="V300" s="19" t="n">
        <x:v>21</x:v>
      </x:c>
      <x:c r="W300" s="19" t="n">
        <x:v>12</x:v>
      </x:c>
      <x:c r="X300" t="str"/>
      <x:c r="Y300" s="23" t="str">
        <x:v>Preferred framework has a direct Pareto-eligible observation.</x:v>
      </x:c>
    </x:row>
    <x:row r="301">
      <x:c r="A301" t="str">
        <x:v>MiniMax M3</x:v>
      </x:c>
      <x:c r="B301" t="str">
        <x:v>minimaxm3</x:v>
      </x:c>
      <x:c r="C301" t="str">
        <x:v>GB300</x:v>
      </x:c>
      <x:c r="D301" t="str">
        <x:v>direct</x:v>
      </x:c>
      <x:c r="E301" t="str">
        <x:v>agentic</x:v>
      </x:c>
      <x:c r="F301" s="19" t="n">
        <x:v>30</x:v>
      </x:c>
      <x:c r="G301" t="str">
        <x:v>dynamo-vllm</x:v>
      </x:c>
      <x:c r="H301" s="23" t="str">
        <x:v>AGENTIC_RATIO_CANDIDATE</x:v>
      </x:c>
      <x:c r="I301" s="20"/>
      <x:c r="J301" s="20"/>
      <x:c r="K301" s="20"/>
      <x:c r="L301" s="20"/>
      <x:c r="M301" s="20"/>
      <x:c r="N301" t="str"/>
      <x:c r="O301" t="str"/>
      <x:c r="P301" s="19"/>
      <x:c r="Q301" s="21" t="str"/>
      <x:c r="R301" s="22"/>
      <x:c r="S301" t="str"/>
      <x:c r="T301" t="str"/>
      <x:c r="U301" s="19" t="n">
        <x:v>0</x:v>
      </x:c>
      <x:c r="V301" s="19" t="n">
        <x:v>0</x:v>
      </x:c>
      <x:c r="W301" s="19" t="n">
        <x:v>0</x:v>
      </x:c>
      <x:c r="X301" t="str">
        <x:v>long</x:v>
      </x:c>
      <x:c r="Y301" s="23" t="str">
        <x:v>Preferred framework lacks agentic; long can serve as the same-model anchor if a matched ratio is supported.</x:v>
      </x:c>
    </x:row>
    <x:row r="302">
      <x:c r="A302" t="str">
        <x:v>MiniMax M3</x:v>
      </x:c>
      <x:c r="B302" t="str">
        <x:v>minimaxm3</x:v>
      </x:c>
      <x:c r="C302" t="str">
        <x:v>GB300</x:v>
      </x:c>
      <x:c r="D302" t="str">
        <x:v>direct</x:v>
      </x:c>
      <x:c r="E302" t="str">
        <x:v>agentic</x:v>
      </x:c>
      <x:c r="F302" s="19" t="n">
        <x:v>50</x:v>
      </x:c>
      <x:c r="G302" t="str">
        <x:v>dynamo-vllm</x:v>
      </x:c>
      <x:c r="H302" s="23" t="str">
        <x:v>AGENTIC_RATIO_CANDIDATE</x:v>
      </x:c>
      <x:c r="I302" s="20"/>
      <x:c r="J302" s="20"/>
      <x:c r="K302" s="20"/>
      <x:c r="L302" s="20"/>
      <x:c r="M302" s="20"/>
      <x:c r="N302" t="str"/>
      <x:c r="O302" t="str"/>
      <x:c r="P302" s="19"/>
      <x:c r="Q302" s="21" t="str"/>
      <x:c r="R302" s="22"/>
      <x:c r="S302" t="str"/>
      <x:c r="T302" t="str"/>
      <x:c r="U302" s="19" t="n">
        <x:v>0</x:v>
      </x:c>
      <x:c r="V302" s="19" t="n">
        <x:v>0</x:v>
      </x:c>
      <x:c r="W302" s="19" t="n">
        <x:v>0</x:v>
      </x:c>
      <x:c r="X302" t="str">
        <x:v>long</x:v>
      </x:c>
      <x:c r="Y302" s="23" t="str">
        <x:v>Preferred framework lacks agentic; long can serve as the same-model anchor if a matched ratio is supported.</x:v>
      </x:c>
    </x:row>
    <x:row r="303">
      <x:c r="A303" t="str">
        <x:v>MiniMax M3</x:v>
      </x:c>
      <x:c r="B303" t="str">
        <x:v>minimaxm3</x:v>
      </x:c>
      <x:c r="C303" t="str">
        <x:v>GB300</x:v>
      </x:c>
      <x:c r="D303" t="str">
        <x:v>direct</x:v>
      </x:c>
      <x:c r="E303" t="str">
        <x:v>agentic</x:v>
      </x:c>
      <x:c r="F303" s="19" t="n">
        <x:v>70</x:v>
      </x:c>
      <x:c r="G303" t="str">
        <x:v>dynamo-vllm</x:v>
      </x:c>
      <x:c r="H303" s="23" t="str">
        <x:v>AGENTIC_RATIO_CANDIDATE</x:v>
      </x:c>
      <x:c r="I303" s="20"/>
      <x:c r="J303" s="20"/>
      <x:c r="K303" s="20"/>
      <x:c r="L303" s="20"/>
      <x:c r="M303" s="20"/>
      <x:c r="N303" t="str"/>
      <x:c r="O303" t="str"/>
      <x:c r="P303" s="19"/>
      <x:c r="Q303" s="21" t="str"/>
      <x:c r="R303" s="22"/>
      <x:c r="S303" t="str"/>
      <x:c r="T303" t="str"/>
      <x:c r="U303" s="19" t="n">
        <x:v>0</x:v>
      </x:c>
      <x:c r="V303" s="19" t="n">
        <x:v>0</x:v>
      </x:c>
      <x:c r="W303" s="19" t="n">
        <x:v>0</x:v>
      </x:c>
      <x:c r="X303" t="str">
        <x:v>long</x:v>
      </x:c>
      <x:c r="Y303" s="23" t="str">
        <x:v>Preferred framework lacks agentic; long can serve as the same-model anchor if a matched ratio is supported.</x:v>
      </x:c>
    </x:row>
    <x:row r="304">
      <x:c r="A304" t="str">
        <x:v>MiniMax M3</x:v>
      </x:c>
      <x:c r="B304" t="str">
        <x:v>minimaxm3</x:v>
      </x:c>
      <x:c r="C304" t="str">
        <x:v>GB300</x:v>
      </x:c>
      <x:c r="D304" t="str">
        <x:v>direct</x:v>
      </x:c>
      <x:c r="E304" t="str">
        <x:v>agentic</x:v>
      </x:c>
      <x:c r="F304" s="19" t="n">
        <x:v>100</x:v>
      </x:c>
      <x:c r="G304" t="str">
        <x:v>dynamo-vllm</x:v>
      </x:c>
      <x:c r="H304" s="23" t="str">
        <x:v>AGENTIC_RATIO_CANDIDATE</x:v>
      </x:c>
      <x:c r="I304" s="20"/>
      <x:c r="J304" s="20"/>
      <x:c r="K304" s="20"/>
      <x:c r="L304" s="20"/>
      <x:c r="M304" s="20"/>
      <x:c r="N304" t="str"/>
      <x:c r="O304" t="str"/>
      <x:c r="P304" s="19"/>
      <x:c r="Q304" s="21" t="str"/>
      <x:c r="R304" s="22"/>
      <x:c r="S304" t="str"/>
      <x:c r="T304" t="str"/>
      <x:c r="U304" s="19" t="n">
        <x:v>0</x:v>
      </x:c>
      <x:c r="V304" s="19" t="n">
        <x:v>0</x:v>
      </x:c>
      <x:c r="W304" s="19" t="n">
        <x:v>0</x:v>
      </x:c>
      <x:c r="X304" t="str">
        <x:v>long</x:v>
      </x:c>
      <x:c r="Y304" s="23" t="str">
        <x:v>Preferred framework lacks agentic; long can serve as the same-model anchor if a matched ratio is supported.</x:v>
      </x:c>
    </x:row>
    <x:row r="305">
      <x:c r="A305" t="str">
        <x:v>MiniMax M3</x:v>
      </x:c>
      <x:c r="B305" t="str">
        <x:v>minimaxm3</x:v>
      </x:c>
      <x:c r="C305" t="str">
        <x:v>R200</x:v>
      </x:c>
      <x:c r="D305" t="str">
        <x:v>future_scenario</x:v>
      </x:c>
      <x:c r="E305" t="str">
        <x:v>short</x:v>
      </x:c>
      <x:c r="F305" s="19" t="n">
        <x:v>30</x:v>
      </x:c>
      <x:c r="G305" t="str"/>
      <x:c r="H305" s="23" t="str">
        <x:v>GPU_SCALING_REQUIRED</x:v>
      </x:c>
      <x:c r="I305" s="20"/>
      <x:c r="J305" s="20"/>
      <x:c r="K305" s="20"/>
      <x:c r="L305" s="20"/>
      <x:c r="M305" s="20"/>
      <x:c r="N305" t="str"/>
      <x:c r="O305" t="str"/>
      <x:c r="P305" s="19"/>
      <x:c r="Q305" s="21" t="str"/>
      <x:c r="R305" s="22"/>
      <x:c r="S305" t="str"/>
      <x:c r="T305" t="str"/>
      <x:c r="U305" s="19" t="n">
        <x:v>0</x:v>
      </x:c>
      <x:c r="V305" s="19" t="n">
        <x:v>0</x:v>
      </x:c>
      <x:c r="W305" s="19" t="n">
        <x:v>0</x:v>
      </x:c>
      <x:c r="X305" t="str"/>
      <x:c r="Y305" s="23" t="str">
        <x:v>No InferenceX benchmark; future GPU scenario requires a separate GPU scaling layer.</x:v>
      </x:c>
    </x:row>
    <x:row r="306">
      <x:c r="A306" t="str">
        <x:v>MiniMax M3</x:v>
      </x:c>
      <x:c r="B306" t="str">
        <x:v>minimaxm3</x:v>
      </x:c>
      <x:c r="C306" t="str">
        <x:v>R200</x:v>
      </x:c>
      <x:c r="D306" t="str">
        <x:v>future_scenario</x:v>
      </x:c>
      <x:c r="E306" t="str">
        <x:v>short</x:v>
      </x:c>
      <x:c r="F306" s="19" t="n">
        <x:v>50</x:v>
      </x:c>
      <x:c r="G306" t="str"/>
      <x:c r="H306" s="23" t="str">
        <x:v>GPU_SCALING_REQUIRED</x:v>
      </x:c>
      <x:c r="I306" s="20"/>
      <x:c r="J306" s="20"/>
      <x:c r="K306" s="20"/>
      <x:c r="L306" s="20"/>
      <x:c r="M306" s="20"/>
      <x:c r="N306" t="str"/>
      <x:c r="O306" t="str"/>
      <x:c r="P306" s="19"/>
      <x:c r="Q306" s="21" t="str"/>
      <x:c r="R306" s="22"/>
      <x:c r="S306" t="str"/>
      <x:c r="T306" t="str"/>
      <x:c r="U306" s="19" t="n">
        <x:v>0</x:v>
      </x:c>
      <x:c r="V306" s="19" t="n">
        <x:v>0</x:v>
      </x:c>
      <x:c r="W306" s="19" t="n">
        <x:v>0</x:v>
      </x:c>
      <x:c r="X306" t="str"/>
      <x:c r="Y306" s="23" t="str">
        <x:v>No InferenceX benchmark; future GPU scenario requires a separate GPU scaling layer.</x:v>
      </x:c>
    </x:row>
    <x:row r="307">
      <x:c r="A307" t="str">
        <x:v>MiniMax M3</x:v>
      </x:c>
      <x:c r="B307" t="str">
        <x:v>minimaxm3</x:v>
      </x:c>
      <x:c r="C307" t="str">
        <x:v>R200</x:v>
      </x:c>
      <x:c r="D307" t="str">
        <x:v>future_scenario</x:v>
      </x:c>
      <x:c r="E307" t="str">
        <x:v>short</x:v>
      </x:c>
      <x:c r="F307" s="19" t="n">
        <x:v>70</x:v>
      </x:c>
      <x:c r="G307" t="str"/>
      <x:c r="H307" s="23" t="str">
        <x:v>GPU_SCALING_REQUIRED</x:v>
      </x:c>
      <x:c r="I307" s="20"/>
      <x:c r="J307" s="20"/>
      <x:c r="K307" s="20"/>
      <x:c r="L307" s="20"/>
      <x:c r="M307" s="20"/>
      <x:c r="N307" t="str"/>
      <x:c r="O307" t="str"/>
      <x:c r="P307" s="19"/>
      <x:c r="Q307" s="21" t="str"/>
      <x:c r="R307" s="22"/>
      <x:c r="S307" t="str"/>
      <x:c r="T307" t="str"/>
      <x:c r="U307" s="19" t="n">
        <x:v>0</x:v>
      </x:c>
      <x:c r="V307" s="19" t="n">
        <x:v>0</x:v>
      </x:c>
      <x:c r="W307" s="19" t="n">
        <x:v>0</x:v>
      </x:c>
      <x:c r="X307" t="str"/>
      <x:c r="Y307" s="23" t="str">
        <x:v>No InferenceX benchmark; future GPU scenario requires a separate GPU scaling layer.</x:v>
      </x:c>
    </x:row>
    <x:row r="308">
      <x:c r="A308" t="str">
        <x:v>MiniMax M3</x:v>
      </x:c>
      <x:c r="B308" t="str">
        <x:v>minimaxm3</x:v>
      </x:c>
      <x:c r="C308" t="str">
        <x:v>R200</x:v>
      </x:c>
      <x:c r="D308" t="str">
        <x:v>future_scenario</x:v>
      </x:c>
      <x:c r="E308" t="str">
        <x:v>short</x:v>
      </x:c>
      <x:c r="F308" s="19" t="n">
        <x:v>100</x:v>
      </x:c>
      <x:c r="G308" t="str"/>
      <x:c r="H308" s="23" t="str">
        <x:v>GPU_SCALING_REQUIRED</x:v>
      </x:c>
      <x:c r="I308" s="20"/>
      <x:c r="J308" s="20"/>
      <x:c r="K308" s="20"/>
      <x:c r="L308" s="20"/>
      <x:c r="M308" s="20"/>
      <x:c r="N308" t="str"/>
      <x:c r="O308" t="str"/>
      <x:c r="P308" s="19"/>
      <x:c r="Q308" s="21" t="str"/>
      <x:c r="R308" s="22"/>
      <x:c r="S308" t="str"/>
      <x:c r="T308" t="str"/>
      <x:c r="U308" s="19" t="n">
        <x:v>0</x:v>
      </x:c>
      <x:c r="V308" s="19" t="n">
        <x:v>0</x:v>
      </x:c>
      <x:c r="W308" s="19" t="n">
        <x:v>0</x:v>
      </x:c>
      <x:c r="X308" t="str"/>
      <x:c r="Y308" s="23" t="str">
        <x:v>No InferenceX benchmark; future GPU scenario requires a separate GPU scaling layer.</x:v>
      </x:c>
    </x:row>
    <x:row r="309">
      <x:c r="A309" t="str">
        <x:v>MiniMax M3</x:v>
      </x:c>
      <x:c r="B309" t="str">
        <x:v>minimaxm3</x:v>
      </x:c>
      <x:c r="C309" t="str">
        <x:v>R200</x:v>
      </x:c>
      <x:c r="D309" t="str">
        <x:v>future_scenario</x:v>
      </x:c>
      <x:c r="E309" t="str">
        <x:v>long</x:v>
      </x:c>
      <x:c r="F309" s="19" t="n">
        <x:v>30</x:v>
      </x:c>
      <x:c r="G309" t="str"/>
      <x:c r="H309" s="23" t="str">
        <x:v>GPU_SCALING_REQUIRED</x:v>
      </x:c>
      <x:c r="I309" s="20"/>
      <x:c r="J309" s="20"/>
      <x:c r="K309" s="20"/>
      <x:c r="L309" s="20"/>
      <x:c r="M309" s="20"/>
      <x:c r="N309" t="str"/>
      <x:c r="O309" t="str"/>
      <x:c r="P309" s="19"/>
      <x:c r="Q309" s="21" t="str"/>
      <x:c r="R309" s="22"/>
      <x:c r="S309" t="str"/>
      <x:c r="T309" t="str"/>
      <x:c r="U309" s="19" t="n">
        <x:v>0</x:v>
      </x:c>
      <x:c r="V309" s="19" t="n">
        <x:v>0</x:v>
      </x:c>
      <x:c r="W309" s="19" t="n">
        <x:v>0</x:v>
      </x:c>
      <x:c r="X309" t="str"/>
      <x:c r="Y309" s="23" t="str">
        <x:v>No InferenceX benchmark; future GPU scenario requires a separate GPU scaling layer.</x:v>
      </x:c>
    </x:row>
    <x:row r="310">
      <x:c r="A310" t="str">
        <x:v>MiniMax M3</x:v>
      </x:c>
      <x:c r="B310" t="str">
        <x:v>minimaxm3</x:v>
      </x:c>
      <x:c r="C310" t="str">
        <x:v>R200</x:v>
      </x:c>
      <x:c r="D310" t="str">
        <x:v>future_scenario</x:v>
      </x:c>
      <x:c r="E310" t="str">
        <x:v>long</x:v>
      </x:c>
      <x:c r="F310" s="19" t="n">
        <x:v>50</x:v>
      </x:c>
      <x:c r="G310" t="str"/>
      <x:c r="H310" s="23" t="str">
        <x:v>GPU_SCALING_REQUIRED</x:v>
      </x:c>
      <x:c r="I310" s="20"/>
      <x:c r="J310" s="20"/>
      <x:c r="K310" s="20"/>
      <x:c r="L310" s="20"/>
      <x:c r="M310" s="20"/>
      <x:c r="N310" t="str"/>
      <x:c r="O310" t="str"/>
      <x:c r="P310" s="19"/>
      <x:c r="Q310" s="21" t="str"/>
      <x:c r="R310" s="22"/>
      <x:c r="S310" t="str"/>
      <x:c r="T310" t="str"/>
      <x:c r="U310" s="19" t="n">
        <x:v>0</x:v>
      </x:c>
      <x:c r="V310" s="19" t="n">
        <x:v>0</x:v>
      </x:c>
      <x:c r="W310" s="19" t="n">
        <x:v>0</x:v>
      </x:c>
      <x:c r="X310" t="str"/>
      <x:c r="Y310" s="23" t="str">
        <x:v>No InferenceX benchmark; future GPU scenario requires a separate GPU scaling layer.</x:v>
      </x:c>
    </x:row>
    <x:row r="311">
      <x:c r="A311" t="str">
        <x:v>MiniMax M3</x:v>
      </x:c>
      <x:c r="B311" t="str">
        <x:v>minimaxm3</x:v>
      </x:c>
      <x:c r="C311" t="str">
        <x:v>R200</x:v>
      </x:c>
      <x:c r="D311" t="str">
        <x:v>future_scenario</x:v>
      </x:c>
      <x:c r="E311" t="str">
        <x:v>long</x:v>
      </x:c>
      <x:c r="F311" s="19" t="n">
        <x:v>70</x:v>
      </x:c>
      <x:c r="G311" t="str"/>
      <x:c r="H311" s="23" t="str">
        <x:v>GPU_SCALING_REQUIRED</x:v>
      </x:c>
      <x:c r="I311" s="20"/>
      <x:c r="J311" s="20"/>
      <x:c r="K311" s="20"/>
      <x:c r="L311" s="20"/>
      <x:c r="M311" s="20"/>
      <x:c r="N311" t="str"/>
      <x:c r="O311" t="str"/>
      <x:c r="P311" s="19"/>
      <x:c r="Q311" s="21" t="str"/>
      <x:c r="R311" s="22"/>
      <x:c r="S311" t="str"/>
      <x:c r="T311" t="str"/>
      <x:c r="U311" s="19" t="n">
        <x:v>0</x:v>
      </x:c>
      <x:c r="V311" s="19" t="n">
        <x:v>0</x:v>
      </x:c>
      <x:c r="W311" s="19" t="n">
        <x:v>0</x:v>
      </x:c>
      <x:c r="X311" t="str"/>
      <x:c r="Y311" s="23" t="str">
        <x:v>No InferenceX benchmark; future GPU scenario requires a separate GPU scaling layer.</x:v>
      </x:c>
    </x:row>
    <x:row r="312">
      <x:c r="A312" t="str">
        <x:v>MiniMax M3</x:v>
      </x:c>
      <x:c r="B312" t="str">
        <x:v>minimaxm3</x:v>
      </x:c>
      <x:c r="C312" t="str">
        <x:v>R200</x:v>
      </x:c>
      <x:c r="D312" t="str">
        <x:v>future_scenario</x:v>
      </x:c>
      <x:c r="E312" t="str">
        <x:v>long</x:v>
      </x:c>
      <x:c r="F312" s="19" t="n">
        <x:v>100</x:v>
      </x:c>
      <x:c r="G312" t="str"/>
      <x:c r="H312" s="23" t="str">
        <x:v>GPU_SCALING_REQUIRED</x:v>
      </x:c>
      <x:c r="I312" s="20"/>
      <x:c r="J312" s="20"/>
      <x:c r="K312" s="20"/>
      <x:c r="L312" s="20"/>
      <x:c r="M312" s="20"/>
      <x:c r="N312" t="str"/>
      <x:c r="O312" t="str"/>
      <x:c r="P312" s="19"/>
      <x:c r="Q312" s="21" t="str"/>
      <x:c r="R312" s="22"/>
      <x:c r="S312" t="str"/>
      <x:c r="T312" t="str"/>
      <x:c r="U312" s="19" t="n">
        <x:v>0</x:v>
      </x:c>
      <x:c r="V312" s="19" t="n">
        <x:v>0</x:v>
      </x:c>
      <x:c r="W312" s="19" t="n">
        <x:v>0</x:v>
      </x:c>
      <x:c r="X312" t="str"/>
      <x:c r="Y312" s="23" t="str">
        <x:v>No InferenceX benchmark; future GPU scenario requires a separate GPU scaling layer.</x:v>
      </x:c>
    </x:row>
    <x:row r="313">
      <x:c r="A313" t="str">
        <x:v>MiniMax M3</x:v>
      </x:c>
      <x:c r="B313" t="str">
        <x:v>minimaxm3</x:v>
      </x:c>
      <x:c r="C313" t="str">
        <x:v>R200</x:v>
      </x:c>
      <x:c r="D313" t="str">
        <x:v>future_scenario</x:v>
      </x:c>
      <x:c r="E313" t="str">
        <x:v>agentic</x:v>
      </x:c>
      <x:c r="F313" s="19" t="n">
        <x:v>30</x:v>
      </x:c>
      <x:c r="G313" t="str"/>
      <x:c r="H313" s="23" t="str">
        <x:v>GPU_SCALING_REQUIRED</x:v>
      </x:c>
      <x:c r="I313" s="20"/>
      <x:c r="J313" s="20"/>
      <x:c r="K313" s="20"/>
      <x:c r="L313" s="20"/>
      <x:c r="M313" s="20"/>
      <x:c r="N313" t="str"/>
      <x:c r="O313" t="str"/>
      <x:c r="P313" s="19"/>
      <x:c r="Q313" s="21" t="str"/>
      <x:c r="R313" s="22"/>
      <x:c r="S313" t="str"/>
      <x:c r="T313" t="str"/>
      <x:c r="U313" s="19" t="n">
        <x:v>0</x:v>
      </x:c>
      <x:c r="V313" s="19" t="n">
        <x:v>0</x:v>
      </x:c>
      <x:c r="W313" s="19" t="n">
        <x:v>0</x:v>
      </x:c>
      <x:c r="X313" t="str"/>
      <x:c r="Y313" s="23" t="str">
        <x:v>No InferenceX benchmark; future GPU scenario requires a separate GPU scaling layer.</x:v>
      </x:c>
    </x:row>
    <x:row r="314">
      <x:c r="A314" t="str">
        <x:v>MiniMax M3</x:v>
      </x:c>
      <x:c r="B314" t="str">
        <x:v>minimaxm3</x:v>
      </x:c>
      <x:c r="C314" t="str">
        <x:v>R200</x:v>
      </x:c>
      <x:c r="D314" t="str">
        <x:v>future_scenario</x:v>
      </x:c>
      <x:c r="E314" t="str">
        <x:v>agentic</x:v>
      </x:c>
      <x:c r="F314" s="19" t="n">
        <x:v>50</x:v>
      </x:c>
      <x:c r="G314" t="str"/>
      <x:c r="H314" s="23" t="str">
        <x:v>GPU_SCALING_REQUIRED</x:v>
      </x:c>
      <x:c r="I314" s="20"/>
      <x:c r="J314" s="20"/>
      <x:c r="K314" s="20"/>
      <x:c r="L314" s="20"/>
      <x:c r="M314" s="20"/>
      <x:c r="N314" t="str"/>
      <x:c r="O314" t="str"/>
      <x:c r="P314" s="19"/>
      <x:c r="Q314" s="21" t="str"/>
      <x:c r="R314" s="22"/>
      <x:c r="S314" t="str"/>
      <x:c r="T314" t="str"/>
      <x:c r="U314" s="19" t="n">
        <x:v>0</x:v>
      </x:c>
      <x:c r="V314" s="19" t="n">
        <x:v>0</x:v>
      </x:c>
      <x:c r="W314" s="19" t="n">
        <x:v>0</x:v>
      </x:c>
      <x:c r="X314" t="str"/>
      <x:c r="Y314" s="23" t="str">
        <x:v>No InferenceX benchmark; future GPU scenario requires a separate GPU scaling layer.</x:v>
      </x:c>
    </x:row>
    <x:row r="315">
      <x:c r="A315" t="str">
        <x:v>MiniMax M3</x:v>
      </x:c>
      <x:c r="B315" t="str">
        <x:v>minimaxm3</x:v>
      </x:c>
      <x:c r="C315" t="str">
        <x:v>R200</x:v>
      </x:c>
      <x:c r="D315" t="str">
        <x:v>future_scenario</x:v>
      </x:c>
      <x:c r="E315" t="str">
        <x:v>agentic</x:v>
      </x:c>
      <x:c r="F315" s="19" t="n">
        <x:v>70</x:v>
      </x:c>
      <x:c r="G315" t="str"/>
      <x:c r="H315" s="23" t="str">
        <x:v>GPU_SCALING_REQUIRED</x:v>
      </x:c>
      <x:c r="I315" s="20"/>
      <x:c r="J315" s="20"/>
      <x:c r="K315" s="20"/>
      <x:c r="L315" s="20"/>
      <x:c r="M315" s="20"/>
      <x:c r="N315" t="str"/>
      <x:c r="O315" t="str"/>
      <x:c r="P315" s="19"/>
      <x:c r="Q315" s="21" t="str"/>
      <x:c r="R315" s="22"/>
      <x:c r="S315" t="str"/>
      <x:c r="T315" t="str"/>
      <x:c r="U315" s="19" t="n">
        <x:v>0</x:v>
      </x:c>
      <x:c r="V315" s="19" t="n">
        <x:v>0</x:v>
      </x:c>
      <x:c r="W315" s="19" t="n">
        <x:v>0</x:v>
      </x:c>
      <x:c r="X315" t="str"/>
      <x:c r="Y315" s="23" t="str">
        <x:v>No InferenceX benchmark; future GPU scenario requires a separate GPU scaling layer.</x:v>
      </x:c>
    </x:row>
    <x:row r="316">
      <x:c r="A316" t="str">
        <x:v>MiniMax M3</x:v>
      </x:c>
      <x:c r="B316" t="str">
        <x:v>minimaxm3</x:v>
      </x:c>
      <x:c r="C316" t="str">
        <x:v>R200</x:v>
      </x:c>
      <x:c r="D316" t="str">
        <x:v>future_scenario</x:v>
      </x:c>
      <x:c r="E316" t="str">
        <x:v>agentic</x:v>
      </x:c>
      <x:c r="F316" s="19" t="n">
        <x:v>100</x:v>
      </x:c>
      <x:c r="G316" t="str"/>
      <x:c r="H316" s="23" t="str">
        <x:v>GPU_SCALING_REQUIRED</x:v>
      </x:c>
      <x:c r="I316" s="20"/>
      <x:c r="J316" s="20"/>
      <x:c r="K316" s="20"/>
      <x:c r="L316" s="20"/>
      <x:c r="M316" s="20"/>
      <x:c r="N316" t="str"/>
      <x:c r="O316" t="str"/>
      <x:c r="P316" s="19"/>
      <x:c r="Q316" s="21" t="str"/>
      <x:c r="R316" s="22"/>
      <x:c r="S316" t="str"/>
      <x:c r="T316" t="str"/>
      <x:c r="U316" s="19" t="n">
        <x:v>0</x:v>
      </x:c>
      <x:c r="V316" s="19" t="n">
        <x:v>0</x:v>
      </x:c>
      <x:c r="W316" s="19" t="n">
        <x:v>0</x:v>
      </x:c>
      <x:c r="X316" t="str"/>
      <x:c r="Y316" s="23" t="str">
        <x:v>No InferenceX benchmark; future GPU scenario requires a separate GPU scaling layer.</x:v>
      </x:c>
    </x:row>
    <x:row r="317">
      <x:c r="A317" t="str">
        <x:v>MiniMax M3</x:v>
      </x:c>
      <x:c r="B317" t="str">
        <x:v>minimaxm3</x:v>
      </x:c>
      <x:c r="C317" t="str">
        <x:v>VR200</x:v>
      </x:c>
      <x:c r="D317" t="str">
        <x:v>future_scenario</x:v>
      </x:c>
      <x:c r="E317" t="str">
        <x:v>short</x:v>
      </x:c>
      <x:c r="F317" s="19" t="n">
        <x:v>30</x:v>
      </x:c>
      <x:c r="G317" t="str"/>
      <x:c r="H317" s="23" t="str">
        <x:v>GPU_SCALING_REQUIRED</x:v>
      </x:c>
      <x:c r="I317" s="20"/>
      <x:c r="J317" s="20"/>
      <x:c r="K317" s="20"/>
      <x:c r="L317" s="20"/>
      <x:c r="M317" s="20"/>
      <x:c r="N317" t="str"/>
      <x:c r="O317" t="str"/>
      <x:c r="P317" s="19"/>
      <x:c r="Q317" s="21" t="str"/>
      <x:c r="R317" s="22"/>
      <x:c r="S317" t="str"/>
      <x:c r="T317" t="str"/>
      <x:c r="U317" s="19" t="n">
        <x:v>0</x:v>
      </x:c>
      <x:c r="V317" s="19" t="n">
        <x:v>0</x:v>
      </x:c>
      <x:c r="W317" s="19" t="n">
        <x:v>0</x:v>
      </x:c>
      <x:c r="X317" t="str"/>
      <x:c r="Y317" s="23" t="str">
        <x:v>No InferenceX benchmark; future GPU scenario requires a separate GPU scaling layer.</x:v>
      </x:c>
    </x:row>
    <x:row r="318">
      <x:c r="A318" t="str">
        <x:v>MiniMax M3</x:v>
      </x:c>
      <x:c r="B318" t="str">
        <x:v>minimaxm3</x:v>
      </x:c>
      <x:c r="C318" t="str">
        <x:v>VR200</x:v>
      </x:c>
      <x:c r="D318" t="str">
        <x:v>future_scenario</x:v>
      </x:c>
      <x:c r="E318" t="str">
        <x:v>short</x:v>
      </x:c>
      <x:c r="F318" s="19" t="n">
        <x:v>50</x:v>
      </x:c>
      <x:c r="G318" t="str"/>
      <x:c r="H318" s="23" t="str">
        <x:v>GPU_SCALING_REQUIRED</x:v>
      </x:c>
      <x:c r="I318" s="20"/>
      <x:c r="J318" s="20"/>
      <x:c r="K318" s="20"/>
      <x:c r="L318" s="20"/>
      <x:c r="M318" s="20"/>
      <x:c r="N318" t="str"/>
      <x:c r="O318" t="str"/>
      <x:c r="P318" s="19"/>
      <x:c r="Q318" s="21" t="str"/>
      <x:c r="R318" s="22"/>
      <x:c r="S318" t="str"/>
      <x:c r="T318" t="str"/>
      <x:c r="U318" s="19" t="n">
        <x:v>0</x:v>
      </x:c>
      <x:c r="V318" s="19" t="n">
        <x:v>0</x:v>
      </x:c>
      <x:c r="W318" s="19" t="n">
        <x:v>0</x:v>
      </x:c>
      <x:c r="X318" t="str"/>
      <x:c r="Y318" s="23" t="str">
        <x:v>No InferenceX benchmark; future GPU scenario requires a separate GPU scaling layer.</x:v>
      </x:c>
    </x:row>
    <x:row r="319">
      <x:c r="A319" t="str">
        <x:v>MiniMax M3</x:v>
      </x:c>
      <x:c r="B319" t="str">
        <x:v>minimaxm3</x:v>
      </x:c>
      <x:c r="C319" t="str">
        <x:v>VR200</x:v>
      </x:c>
      <x:c r="D319" t="str">
        <x:v>future_scenario</x:v>
      </x:c>
      <x:c r="E319" t="str">
        <x:v>short</x:v>
      </x:c>
      <x:c r="F319" s="19" t="n">
        <x:v>70</x:v>
      </x:c>
      <x:c r="G319" t="str"/>
      <x:c r="H319" s="23" t="str">
        <x:v>GPU_SCALING_REQUIRED</x:v>
      </x:c>
      <x:c r="I319" s="20"/>
      <x:c r="J319" s="20"/>
      <x:c r="K319" s="20"/>
      <x:c r="L319" s="20"/>
      <x:c r="M319" s="20"/>
      <x:c r="N319" t="str"/>
      <x:c r="O319" t="str"/>
      <x:c r="P319" s="19"/>
      <x:c r="Q319" s="21" t="str"/>
      <x:c r="R319" s="22"/>
      <x:c r="S319" t="str"/>
      <x:c r="T319" t="str"/>
      <x:c r="U319" s="19" t="n">
        <x:v>0</x:v>
      </x:c>
      <x:c r="V319" s="19" t="n">
        <x:v>0</x:v>
      </x:c>
      <x:c r="W319" s="19" t="n">
        <x:v>0</x:v>
      </x:c>
      <x:c r="X319" t="str"/>
      <x:c r="Y319" s="23" t="str">
        <x:v>No InferenceX benchmark; future GPU scenario requires a separate GPU scaling layer.</x:v>
      </x:c>
    </x:row>
    <x:row r="320">
      <x:c r="A320" t="str">
        <x:v>MiniMax M3</x:v>
      </x:c>
      <x:c r="B320" t="str">
        <x:v>minimaxm3</x:v>
      </x:c>
      <x:c r="C320" t="str">
        <x:v>VR200</x:v>
      </x:c>
      <x:c r="D320" t="str">
        <x:v>future_scenario</x:v>
      </x:c>
      <x:c r="E320" t="str">
        <x:v>short</x:v>
      </x:c>
      <x:c r="F320" s="19" t="n">
        <x:v>100</x:v>
      </x:c>
      <x:c r="G320" t="str"/>
      <x:c r="H320" s="23" t="str">
        <x:v>GPU_SCALING_REQUIRED</x:v>
      </x:c>
      <x:c r="I320" s="20"/>
      <x:c r="J320" s="20"/>
      <x:c r="K320" s="20"/>
      <x:c r="L320" s="20"/>
      <x:c r="M320" s="20"/>
      <x:c r="N320" t="str"/>
      <x:c r="O320" t="str"/>
      <x:c r="P320" s="19"/>
      <x:c r="Q320" s="21" t="str"/>
      <x:c r="R320" s="22"/>
      <x:c r="S320" t="str"/>
      <x:c r="T320" t="str"/>
      <x:c r="U320" s="19" t="n">
        <x:v>0</x:v>
      </x:c>
      <x:c r="V320" s="19" t="n">
        <x:v>0</x:v>
      </x:c>
      <x:c r="W320" s="19" t="n">
        <x:v>0</x:v>
      </x:c>
      <x:c r="X320" t="str"/>
      <x:c r="Y320" s="23" t="str">
        <x:v>No InferenceX benchmark; future GPU scenario requires a separate GPU scaling layer.</x:v>
      </x:c>
    </x:row>
    <x:row r="321">
      <x:c r="A321" t="str">
        <x:v>MiniMax M3</x:v>
      </x:c>
      <x:c r="B321" t="str">
        <x:v>minimaxm3</x:v>
      </x:c>
      <x:c r="C321" t="str">
        <x:v>VR200</x:v>
      </x:c>
      <x:c r="D321" t="str">
        <x:v>future_scenario</x:v>
      </x:c>
      <x:c r="E321" t="str">
        <x:v>long</x:v>
      </x:c>
      <x:c r="F321" s="19" t="n">
        <x:v>30</x:v>
      </x:c>
      <x:c r="G321" t="str"/>
      <x:c r="H321" s="23" t="str">
        <x:v>GPU_SCALING_REQUIRED</x:v>
      </x:c>
      <x:c r="I321" s="20"/>
      <x:c r="J321" s="20"/>
      <x:c r="K321" s="20"/>
      <x:c r="L321" s="20"/>
      <x:c r="M321" s="20"/>
      <x:c r="N321" t="str"/>
      <x:c r="O321" t="str"/>
      <x:c r="P321" s="19"/>
      <x:c r="Q321" s="21" t="str"/>
      <x:c r="R321" s="22"/>
      <x:c r="S321" t="str"/>
      <x:c r="T321" t="str"/>
      <x:c r="U321" s="19" t="n">
        <x:v>0</x:v>
      </x:c>
      <x:c r="V321" s="19" t="n">
        <x:v>0</x:v>
      </x:c>
      <x:c r="W321" s="19" t="n">
        <x:v>0</x:v>
      </x:c>
      <x:c r="X321" t="str"/>
      <x:c r="Y321" s="23" t="str">
        <x:v>No InferenceX benchmark; future GPU scenario requires a separate GPU scaling layer.</x:v>
      </x:c>
    </x:row>
    <x:row r="322">
      <x:c r="A322" t="str">
        <x:v>MiniMax M3</x:v>
      </x:c>
      <x:c r="B322" t="str">
        <x:v>minimaxm3</x:v>
      </x:c>
      <x:c r="C322" t="str">
        <x:v>VR200</x:v>
      </x:c>
      <x:c r="D322" t="str">
        <x:v>future_scenario</x:v>
      </x:c>
      <x:c r="E322" t="str">
        <x:v>long</x:v>
      </x:c>
      <x:c r="F322" s="19" t="n">
        <x:v>50</x:v>
      </x:c>
      <x:c r="G322" t="str"/>
      <x:c r="H322" s="23" t="str">
        <x:v>GPU_SCALING_REQUIRED</x:v>
      </x:c>
      <x:c r="I322" s="20"/>
      <x:c r="J322" s="20"/>
      <x:c r="K322" s="20"/>
      <x:c r="L322" s="20"/>
      <x:c r="M322" s="20"/>
      <x:c r="N322" t="str"/>
      <x:c r="O322" t="str"/>
      <x:c r="P322" s="19"/>
      <x:c r="Q322" s="21" t="str"/>
      <x:c r="R322" s="22"/>
      <x:c r="S322" t="str"/>
      <x:c r="T322" t="str"/>
      <x:c r="U322" s="19" t="n">
        <x:v>0</x:v>
      </x:c>
      <x:c r="V322" s="19" t="n">
        <x:v>0</x:v>
      </x:c>
      <x:c r="W322" s="19" t="n">
        <x:v>0</x:v>
      </x:c>
      <x:c r="X322" t="str"/>
      <x:c r="Y322" s="23" t="str">
        <x:v>No InferenceX benchmark; future GPU scenario requires a separate GPU scaling layer.</x:v>
      </x:c>
    </x:row>
    <x:row r="323">
      <x:c r="A323" t="str">
        <x:v>MiniMax M3</x:v>
      </x:c>
      <x:c r="B323" t="str">
        <x:v>minimaxm3</x:v>
      </x:c>
      <x:c r="C323" t="str">
        <x:v>VR200</x:v>
      </x:c>
      <x:c r="D323" t="str">
        <x:v>future_scenario</x:v>
      </x:c>
      <x:c r="E323" t="str">
        <x:v>long</x:v>
      </x:c>
      <x:c r="F323" s="19" t="n">
        <x:v>70</x:v>
      </x:c>
      <x:c r="G323" t="str"/>
      <x:c r="H323" s="23" t="str">
        <x:v>GPU_SCALING_REQUIRED</x:v>
      </x:c>
      <x:c r="I323" s="20"/>
      <x:c r="J323" s="20"/>
      <x:c r="K323" s="20"/>
      <x:c r="L323" s="20"/>
      <x:c r="M323" s="20"/>
      <x:c r="N323" t="str"/>
      <x:c r="O323" t="str"/>
      <x:c r="P323" s="19"/>
      <x:c r="Q323" s="21" t="str"/>
      <x:c r="R323" s="22"/>
      <x:c r="S323" t="str"/>
      <x:c r="T323" t="str"/>
      <x:c r="U323" s="19" t="n">
        <x:v>0</x:v>
      </x:c>
      <x:c r="V323" s="19" t="n">
        <x:v>0</x:v>
      </x:c>
      <x:c r="W323" s="19" t="n">
        <x:v>0</x:v>
      </x:c>
      <x:c r="X323" t="str"/>
      <x:c r="Y323" s="23" t="str">
        <x:v>No InferenceX benchmark; future GPU scenario requires a separate GPU scaling layer.</x:v>
      </x:c>
    </x:row>
    <x:row r="324">
      <x:c r="A324" t="str">
        <x:v>MiniMax M3</x:v>
      </x:c>
      <x:c r="B324" t="str">
        <x:v>minimaxm3</x:v>
      </x:c>
      <x:c r="C324" t="str">
        <x:v>VR200</x:v>
      </x:c>
      <x:c r="D324" t="str">
        <x:v>future_scenario</x:v>
      </x:c>
      <x:c r="E324" t="str">
        <x:v>long</x:v>
      </x:c>
      <x:c r="F324" s="19" t="n">
        <x:v>100</x:v>
      </x:c>
      <x:c r="G324" t="str"/>
      <x:c r="H324" s="23" t="str">
        <x:v>GPU_SCALING_REQUIRED</x:v>
      </x:c>
      <x:c r="I324" s="20"/>
      <x:c r="J324" s="20"/>
      <x:c r="K324" s="20"/>
      <x:c r="L324" s="20"/>
      <x:c r="M324" s="20"/>
      <x:c r="N324" t="str"/>
      <x:c r="O324" t="str"/>
      <x:c r="P324" s="19"/>
      <x:c r="Q324" s="21" t="str"/>
      <x:c r="R324" s="22"/>
      <x:c r="S324" t="str"/>
      <x:c r="T324" t="str"/>
      <x:c r="U324" s="19" t="n">
        <x:v>0</x:v>
      </x:c>
      <x:c r="V324" s="19" t="n">
        <x:v>0</x:v>
      </x:c>
      <x:c r="W324" s="19" t="n">
        <x:v>0</x:v>
      </x:c>
      <x:c r="X324" t="str"/>
      <x:c r="Y324" s="23" t="str">
        <x:v>No InferenceX benchmark; future GPU scenario requires a separate GPU scaling layer.</x:v>
      </x:c>
    </x:row>
    <x:row r="325">
      <x:c r="A325" t="str">
        <x:v>MiniMax M3</x:v>
      </x:c>
      <x:c r="B325" t="str">
        <x:v>minimaxm3</x:v>
      </x:c>
      <x:c r="C325" t="str">
        <x:v>VR200</x:v>
      </x:c>
      <x:c r="D325" t="str">
        <x:v>future_scenario</x:v>
      </x:c>
      <x:c r="E325" t="str">
        <x:v>agentic</x:v>
      </x:c>
      <x:c r="F325" s="19" t="n">
        <x:v>30</x:v>
      </x:c>
      <x:c r="G325" t="str"/>
      <x:c r="H325" s="23" t="str">
        <x:v>GPU_SCALING_REQUIRED</x:v>
      </x:c>
      <x:c r="I325" s="20"/>
      <x:c r="J325" s="20"/>
      <x:c r="K325" s="20"/>
      <x:c r="L325" s="20"/>
      <x:c r="M325" s="20"/>
      <x:c r="N325" t="str"/>
      <x:c r="O325" t="str"/>
      <x:c r="P325" s="19"/>
      <x:c r="Q325" s="21" t="str"/>
      <x:c r="R325" s="22"/>
      <x:c r="S325" t="str"/>
      <x:c r="T325" t="str"/>
      <x:c r="U325" s="19" t="n">
        <x:v>0</x:v>
      </x:c>
      <x:c r="V325" s="19" t="n">
        <x:v>0</x:v>
      </x:c>
      <x:c r="W325" s="19" t="n">
        <x:v>0</x:v>
      </x:c>
      <x:c r="X325" t="str"/>
      <x:c r="Y325" s="23" t="str">
        <x:v>No InferenceX benchmark; future GPU scenario requires a separate GPU scaling layer.</x:v>
      </x:c>
    </x:row>
    <x:row r="326">
      <x:c r="A326" t="str">
        <x:v>MiniMax M3</x:v>
      </x:c>
      <x:c r="B326" t="str">
        <x:v>minimaxm3</x:v>
      </x:c>
      <x:c r="C326" t="str">
        <x:v>VR200</x:v>
      </x:c>
      <x:c r="D326" t="str">
        <x:v>future_scenario</x:v>
      </x:c>
      <x:c r="E326" t="str">
        <x:v>agentic</x:v>
      </x:c>
      <x:c r="F326" s="19" t="n">
        <x:v>50</x:v>
      </x:c>
      <x:c r="G326" t="str"/>
      <x:c r="H326" s="23" t="str">
        <x:v>GPU_SCALING_REQUIRED</x:v>
      </x:c>
      <x:c r="I326" s="20"/>
      <x:c r="J326" s="20"/>
      <x:c r="K326" s="20"/>
      <x:c r="L326" s="20"/>
      <x:c r="M326" s="20"/>
      <x:c r="N326" t="str"/>
      <x:c r="O326" t="str"/>
      <x:c r="P326" s="19"/>
      <x:c r="Q326" s="21" t="str"/>
      <x:c r="R326" s="22"/>
      <x:c r="S326" t="str"/>
      <x:c r="T326" t="str"/>
      <x:c r="U326" s="19" t="n">
        <x:v>0</x:v>
      </x:c>
      <x:c r="V326" s="19" t="n">
        <x:v>0</x:v>
      </x:c>
      <x:c r="W326" s="19" t="n">
        <x:v>0</x:v>
      </x:c>
      <x:c r="X326" t="str"/>
      <x:c r="Y326" s="23" t="str">
        <x:v>No InferenceX benchmark; future GPU scenario requires a separate GPU scaling layer.</x:v>
      </x:c>
    </x:row>
    <x:row r="327">
      <x:c r="A327" t="str">
        <x:v>MiniMax M3</x:v>
      </x:c>
      <x:c r="B327" t="str">
        <x:v>minimaxm3</x:v>
      </x:c>
      <x:c r="C327" t="str">
        <x:v>VR200</x:v>
      </x:c>
      <x:c r="D327" t="str">
        <x:v>future_scenario</x:v>
      </x:c>
      <x:c r="E327" t="str">
        <x:v>agentic</x:v>
      </x:c>
      <x:c r="F327" s="19" t="n">
        <x:v>70</x:v>
      </x:c>
      <x:c r="G327" t="str"/>
      <x:c r="H327" s="23" t="str">
        <x:v>GPU_SCALING_REQUIRED</x:v>
      </x:c>
      <x:c r="I327" s="20"/>
      <x:c r="J327" s="20"/>
      <x:c r="K327" s="20"/>
      <x:c r="L327" s="20"/>
      <x:c r="M327" s="20"/>
      <x:c r="N327" t="str"/>
      <x:c r="O327" t="str"/>
      <x:c r="P327" s="19"/>
      <x:c r="Q327" s="21" t="str"/>
      <x:c r="R327" s="22"/>
      <x:c r="S327" t="str"/>
      <x:c r="T327" t="str"/>
      <x:c r="U327" s="19" t="n">
        <x:v>0</x:v>
      </x:c>
      <x:c r="V327" s="19" t="n">
        <x:v>0</x:v>
      </x:c>
      <x:c r="W327" s="19" t="n">
        <x:v>0</x:v>
      </x:c>
      <x:c r="X327" t="str"/>
      <x:c r="Y327" s="23" t="str">
        <x:v>No InferenceX benchmark; future GPU scenario requires a separate GPU scaling layer.</x:v>
      </x:c>
    </x:row>
    <x:row r="328">
      <x:c r="A328" t="str">
        <x:v>MiniMax M3</x:v>
      </x:c>
      <x:c r="B328" t="str">
        <x:v>minimaxm3</x:v>
      </x:c>
      <x:c r="C328" t="str">
        <x:v>VR200</x:v>
      </x:c>
      <x:c r="D328" t="str">
        <x:v>future_scenario</x:v>
      </x:c>
      <x:c r="E328" t="str">
        <x:v>agentic</x:v>
      </x:c>
      <x:c r="F328" s="19" t="n">
        <x:v>100</x:v>
      </x:c>
      <x:c r="G328" t="str"/>
      <x:c r="H328" s="23" t="str">
        <x:v>GPU_SCALING_REQUIRED</x:v>
      </x:c>
      <x:c r="I328" s="20"/>
      <x:c r="J328" s="20"/>
      <x:c r="K328" s="20"/>
      <x:c r="L328" s="20"/>
      <x:c r="M328" s="20"/>
      <x:c r="N328" t="str"/>
      <x:c r="O328" t="str"/>
      <x:c r="P328" s="19"/>
      <x:c r="Q328" s="21" t="str"/>
      <x:c r="R328" s="22"/>
      <x:c r="S328" t="str"/>
      <x:c r="T328" t="str"/>
      <x:c r="U328" s="19" t="n">
        <x:v>0</x:v>
      </x:c>
      <x:c r="V328" s="19" t="n">
        <x:v>0</x:v>
      </x:c>
      <x:c r="W328" s="19" t="n">
        <x:v>0</x:v>
      </x:c>
      <x:c r="X328" t="str"/>
      <x:c r="Y328" s="23" t="str">
        <x:v>No InferenceX benchmark; future GPU scenario requires a separate GPU scaling layer.</x:v>
      </x:c>
    </x:row>
    <x:row r="329">
      <x:c r="A329" t="str">
        <x:v>MiniMax M3</x:v>
      </x:c>
      <x:c r="B329" t="str">
        <x:v>minimaxm3</x:v>
      </x:c>
      <x:c r="C329" t="str">
        <x:v>R300</x:v>
      </x:c>
      <x:c r="D329" t="str">
        <x:v>future_scenario</x:v>
      </x:c>
      <x:c r="E329" t="str">
        <x:v>short</x:v>
      </x:c>
      <x:c r="F329" s="19" t="n">
        <x:v>30</x:v>
      </x:c>
      <x:c r="G329" t="str"/>
      <x:c r="H329" s="23" t="str">
        <x:v>GPU_SCALING_REQUIRED</x:v>
      </x:c>
      <x:c r="I329" s="20"/>
      <x:c r="J329" s="20"/>
      <x:c r="K329" s="20"/>
      <x:c r="L329" s="20"/>
      <x:c r="M329" s="20"/>
      <x:c r="N329" t="str"/>
      <x:c r="O329" t="str"/>
      <x:c r="P329" s="19"/>
      <x:c r="Q329" s="21" t="str"/>
      <x:c r="R329" s="22"/>
      <x:c r="S329" t="str"/>
      <x:c r="T329" t="str"/>
      <x:c r="U329" s="19" t="n">
        <x:v>0</x:v>
      </x:c>
      <x:c r="V329" s="19" t="n">
        <x:v>0</x:v>
      </x:c>
      <x:c r="W329" s="19" t="n">
        <x:v>0</x:v>
      </x:c>
      <x:c r="X329" t="str"/>
      <x:c r="Y329" s="23" t="str">
        <x:v>No InferenceX benchmark; future GPU scenario requires a separate GPU scaling layer.</x:v>
      </x:c>
    </x:row>
    <x:row r="330">
      <x:c r="A330" t="str">
        <x:v>MiniMax M3</x:v>
      </x:c>
      <x:c r="B330" t="str">
        <x:v>minimaxm3</x:v>
      </x:c>
      <x:c r="C330" t="str">
        <x:v>R300</x:v>
      </x:c>
      <x:c r="D330" t="str">
        <x:v>future_scenario</x:v>
      </x:c>
      <x:c r="E330" t="str">
        <x:v>short</x:v>
      </x:c>
      <x:c r="F330" s="19" t="n">
        <x:v>50</x:v>
      </x:c>
      <x:c r="G330" t="str"/>
      <x:c r="H330" s="23" t="str">
        <x:v>GPU_SCALING_REQUIRED</x:v>
      </x:c>
      <x:c r="I330" s="20"/>
      <x:c r="J330" s="20"/>
      <x:c r="K330" s="20"/>
      <x:c r="L330" s="20"/>
      <x:c r="M330" s="20"/>
      <x:c r="N330" t="str"/>
      <x:c r="O330" t="str"/>
      <x:c r="P330" s="19"/>
      <x:c r="Q330" s="21" t="str"/>
      <x:c r="R330" s="22"/>
      <x:c r="S330" t="str"/>
      <x:c r="T330" t="str"/>
      <x:c r="U330" s="19" t="n">
        <x:v>0</x:v>
      </x:c>
      <x:c r="V330" s="19" t="n">
        <x:v>0</x:v>
      </x:c>
      <x:c r="W330" s="19" t="n">
        <x:v>0</x:v>
      </x:c>
      <x:c r="X330" t="str"/>
      <x:c r="Y330" s="23" t="str">
        <x:v>No InferenceX benchmark; future GPU scenario requires a separate GPU scaling layer.</x:v>
      </x:c>
    </x:row>
    <x:row r="331">
      <x:c r="A331" t="str">
        <x:v>MiniMax M3</x:v>
      </x:c>
      <x:c r="B331" t="str">
        <x:v>minimaxm3</x:v>
      </x:c>
      <x:c r="C331" t="str">
        <x:v>R300</x:v>
      </x:c>
      <x:c r="D331" t="str">
        <x:v>future_scenario</x:v>
      </x:c>
      <x:c r="E331" t="str">
        <x:v>short</x:v>
      </x:c>
      <x:c r="F331" s="19" t="n">
        <x:v>70</x:v>
      </x:c>
      <x:c r="G331" t="str"/>
      <x:c r="H331" s="23" t="str">
        <x:v>GPU_SCALING_REQUIRED</x:v>
      </x:c>
      <x:c r="I331" s="20"/>
      <x:c r="J331" s="20"/>
      <x:c r="K331" s="20"/>
      <x:c r="L331" s="20"/>
      <x:c r="M331" s="20"/>
      <x:c r="N331" t="str"/>
      <x:c r="O331" t="str"/>
      <x:c r="P331" s="19"/>
      <x:c r="Q331" s="21" t="str"/>
      <x:c r="R331" s="22"/>
      <x:c r="S331" t="str"/>
      <x:c r="T331" t="str"/>
      <x:c r="U331" s="19" t="n">
        <x:v>0</x:v>
      </x:c>
      <x:c r="V331" s="19" t="n">
        <x:v>0</x:v>
      </x:c>
      <x:c r="W331" s="19" t="n">
        <x:v>0</x:v>
      </x:c>
      <x:c r="X331" t="str"/>
      <x:c r="Y331" s="23" t="str">
        <x:v>No InferenceX benchmark; future GPU scenario requires a separate GPU scaling layer.</x:v>
      </x:c>
    </x:row>
    <x:row r="332">
      <x:c r="A332" t="str">
        <x:v>MiniMax M3</x:v>
      </x:c>
      <x:c r="B332" t="str">
        <x:v>minimaxm3</x:v>
      </x:c>
      <x:c r="C332" t="str">
        <x:v>R300</x:v>
      </x:c>
      <x:c r="D332" t="str">
        <x:v>future_scenario</x:v>
      </x:c>
      <x:c r="E332" t="str">
        <x:v>short</x:v>
      </x:c>
      <x:c r="F332" s="19" t="n">
        <x:v>100</x:v>
      </x:c>
      <x:c r="G332" t="str"/>
      <x:c r="H332" s="23" t="str">
        <x:v>GPU_SCALING_REQUIRED</x:v>
      </x:c>
      <x:c r="I332" s="20"/>
      <x:c r="J332" s="20"/>
      <x:c r="K332" s="20"/>
      <x:c r="L332" s="20"/>
      <x:c r="M332" s="20"/>
      <x:c r="N332" t="str"/>
      <x:c r="O332" t="str"/>
      <x:c r="P332" s="19"/>
      <x:c r="Q332" s="21" t="str"/>
      <x:c r="R332" s="22"/>
      <x:c r="S332" t="str"/>
      <x:c r="T332" t="str"/>
      <x:c r="U332" s="19" t="n">
        <x:v>0</x:v>
      </x:c>
      <x:c r="V332" s="19" t="n">
        <x:v>0</x:v>
      </x:c>
      <x:c r="W332" s="19" t="n">
        <x:v>0</x:v>
      </x:c>
      <x:c r="X332" t="str"/>
      <x:c r="Y332" s="23" t="str">
        <x:v>No InferenceX benchmark; future GPU scenario requires a separate GPU scaling layer.</x:v>
      </x:c>
    </x:row>
    <x:row r="333">
      <x:c r="A333" t="str">
        <x:v>MiniMax M3</x:v>
      </x:c>
      <x:c r="B333" t="str">
        <x:v>minimaxm3</x:v>
      </x:c>
      <x:c r="C333" t="str">
        <x:v>R300</x:v>
      </x:c>
      <x:c r="D333" t="str">
        <x:v>future_scenario</x:v>
      </x:c>
      <x:c r="E333" t="str">
        <x:v>long</x:v>
      </x:c>
      <x:c r="F333" s="19" t="n">
        <x:v>30</x:v>
      </x:c>
      <x:c r="G333" t="str"/>
      <x:c r="H333" s="23" t="str">
        <x:v>GPU_SCALING_REQUIRED</x:v>
      </x:c>
      <x:c r="I333" s="20"/>
      <x:c r="J333" s="20"/>
      <x:c r="K333" s="20"/>
      <x:c r="L333" s="20"/>
      <x:c r="M333" s="20"/>
      <x:c r="N333" t="str"/>
      <x:c r="O333" t="str"/>
      <x:c r="P333" s="19"/>
      <x:c r="Q333" s="21" t="str"/>
      <x:c r="R333" s="22"/>
      <x:c r="S333" t="str"/>
      <x:c r="T333" t="str"/>
      <x:c r="U333" s="19" t="n">
        <x:v>0</x:v>
      </x:c>
      <x:c r="V333" s="19" t="n">
        <x:v>0</x:v>
      </x:c>
      <x:c r="W333" s="19" t="n">
        <x:v>0</x:v>
      </x:c>
      <x:c r="X333" t="str"/>
      <x:c r="Y333" s="23" t="str">
        <x:v>No InferenceX benchmark; future GPU scenario requires a separate GPU scaling layer.</x:v>
      </x:c>
    </x:row>
    <x:row r="334">
      <x:c r="A334" t="str">
        <x:v>MiniMax M3</x:v>
      </x:c>
      <x:c r="B334" t="str">
        <x:v>minimaxm3</x:v>
      </x:c>
      <x:c r="C334" t="str">
        <x:v>R300</x:v>
      </x:c>
      <x:c r="D334" t="str">
        <x:v>future_scenario</x:v>
      </x:c>
      <x:c r="E334" t="str">
        <x:v>long</x:v>
      </x:c>
      <x:c r="F334" s="19" t="n">
        <x:v>50</x:v>
      </x:c>
      <x:c r="G334" t="str"/>
      <x:c r="H334" s="23" t="str">
        <x:v>GPU_SCALING_REQUIRED</x:v>
      </x:c>
      <x:c r="I334" s="20"/>
      <x:c r="J334" s="20"/>
      <x:c r="K334" s="20"/>
      <x:c r="L334" s="20"/>
      <x:c r="M334" s="20"/>
      <x:c r="N334" t="str"/>
      <x:c r="O334" t="str"/>
      <x:c r="P334" s="19"/>
      <x:c r="Q334" s="21" t="str"/>
      <x:c r="R334" s="22"/>
      <x:c r="S334" t="str"/>
      <x:c r="T334" t="str"/>
      <x:c r="U334" s="19" t="n">
        <x:v>0</x:v>
      </x:c>
      <x:c r="V334" s="19" t="n">
        <x:v>0</x:v>
      </x:c>
      <x:c r="W334" s="19" t="n">
        <x:v>0</x:v>
      </x:c>
      <x:c r="X334" t="str"/>
      <x:c r="Y334" s="23" t="str">
        <x:v>No InferenceX benchmark; future GPU scenario requires a separate GPU scaling layer.</x:v>
      </x:c>
    </x:row>
    <x:row r="335">
      <x:c r="A335" t="str">
        <x:v>MiniMax M3</x:v>
      </x:c>
      <x:c r="B335" t="str">
        <x:v>minimaxm3</x:v>
      </x:c>
      <x:c r="C335" t="str">
        <x:v>R300</x:v>
      </x:c>
      <x:c r="D335" t="str">
        <x:v>future_scenario</x:v>
      </x:c>
      <x:c r="E335" t="str">
        <x:v>long</x:v>
      </x:c>
      <x:c r="F335" s="19" t="n">
        <x:v>70</x:v>
      </x:c>
      <x:c r="G335" t="str"/>
      <x:c r="H335" s="23" t="str">
        <x:v>GPU_SCALING_REQUIRED</x:v>
      </x:c>
      <x:c r="I335" s="20"/>
      <x:c r="J335" s="20"/>
      <x:c r="K335" s="20"/>
      <x:c r="L335" s="20"/>
      <x:c r="M335" s="20"/>
      <x:c r="N335" t="str"/>
      <x:c r="O335" t="str"/>
      <x:c r="P335" s="19"/>
      <x:c r="Q335" s="21" t="str"/>
      <x:c r="R335" s="22"/>
      <x:c r="S335" t="str"/>
      <x:c r="T335" t="str"/>
      <x:c r="U335" s="19" t="n">
        <x:v>0</x:v>
      </x:c>
      <x:c r="V335" s="19" t="n">
        <x:v>0</x:v>
      </x:c>
      <x:c r="W335" s="19" t="n">
        <x:v>0</x:v>
      </x:c>
      <x:c r="X335" t="str"/>
      <x:c r="Y335" s="23" t="str">
        <x:v>No InferenceX benchmark; future GPU scenario requires a separate GPU scaling layer.</x:v>
      </x:c>
    </x:row>
    <x:row r="336">
      <x:c r="A336" t="str">
        <x:v>MiniMax M3</x:v>
      </x:c>
      <x:c r="B336" t="str">
        <x:v>minimaxm3</x:v>
      </x:c>
      <x:c r="C336" t="str">
        <x:v>R300</x:v>
      </x:c>
      <x:c r="D336" t="str">
        <x:v>future_scenario</x:v>
      </x:c>
      <x:c r="E336" t="str">
        <x:v>long</x:v>
      </x:c>
      <x:c r="F336" s="19" t="n">
        <x:v>100</x:v>
      </x:c>
      <x:c r="G336" t="str"/>
      <x:c r="H336" s="23" t="str">
        <x:v>GPU_SCALING_REQUIRED</x:v>
      </x:c>
      <x:c r="I336" s="20"/>
      <x:c r="J336" s="20"/>
      <x:c r="K336" s="20"/>
      <x:c r="L336" s="20"/>
      <x:c r="M336" s="20"/>
      <x:c r="N336" t="str"/>
      <x:c r="O336" t="str"/>
      <x:c r="P336" s="19"/>
      <x:c r="Q336" s="21" t="str"/>
      <x:c r="R336" s="22"/>
      <x:c r="S336" t="str"/>
      <x:c r="T336" t="str"/>
      <x:c r="U336" s="19" t="n">
        <x:v>0</x:v>
      </x:c>
      <x:c r="V336" s="19" t="n">
        <x:v>0</x:v>
      </x:c>
      <x:c r="W336" s="19" t="n">
        <x:v>0</x:v>
      </x:c>
      <x:c r="X336" t="str"/>
      <x:c r="Y336" s="23" t="str">
        <x:v>No InferenceX benchmark; future GPU scenario requires a separate GPU scaling layer.</x:v>
      </x:c>
    </x:row>
    <x:row r="337">
      <x:c r="A337" t="str">
        <x:v>MiniMax M3</x:v>
      </x:c>
      <x:c r="B337" t="str">
        <x:v>minimaxm3</x:v>
      </x:c>
      <x:c r="C337" t="str">
        <x:v>R300</x:v>
      </x:c>
      <x:c r="D337" t="str">
        <x:v>future_scenario</x:v>
      </x:c>
      <x:c r="E337" t="str">
        <x:v>agentic</x:v>
      </x:c>
      <x:c r="F337" s="19" t="n">
        <x:v>30</x:v>
      </x:c>
      <x:c r="G337" t="str"/>
      <x:c r="H337" s="23" t="str">
        <x:v>GPU_SCALING_REQUIRED</x:v>
      </x:c>
      <x:c r="I337" s="20"/>
      <x:c r="J337" s="20"/>
      <x:c r="K337" s="20"/>
      <x:c r="L337" s="20"/>
      <x:c r="M337" s="20"/>
      <x:c r="N337" t="str"/>
      <x:c r="O337" t="str"/>
      <x:c r="P337" s="19"/>
      <x:c r="Q337" s="21" t="str"/>
      <x:c r="R337" s="22"/>
      <x:c r="S337" t="str"/>
      <x:c r="T337" t="str"/>
      <x:c r="U337" s="19" t="n">
        <x:v>0</x:v>
      </x:c>
      <x:c r="V337" s="19" t="n">
        <x:v>0</x:v>
      </x:c>
      <x:c r="W337" s="19" t="n">
        <x:v>0</x:v>
      </x:c>
      <x:c r="X337" t="str"/>
      <x:c r="Y337" s="23" t="str">
        <x:v>No InferenceX benchmark; future GPU scenario requires a separate GPU scaling layer.</x:v>
      </x:c>
    </x:row>
    <x:row r="338">
      <x:c r="A338" t="str">
        <x:v>MiniMax M3</x:v>
      </x:c>
      <x:c r="B338" t="str">
        <x:v>minimaxm3</x:v>
      </x:c>
      <x:c r="C338" t="str">
        <x:v>R300</x:v>
      </x:c>
      <x:c r="D338" t="str">
        <x:v>future_scenario</x:v>
      </x:c>
      <x:c r="E338" t="str">
        <x:v>agentic</x:v>
      </x:c>
      <x:c r="F338" s="19" t="n">
        <x:v>50</x:v>
      </x:c>
      <x:c r="G338" t="str"/>
      <x:c r="H338" s="23" t="str">
        <x:v>GPU_SCALING_REQUIRED</x:v>
      </x:c>
      <x:c r="I338" s="20"/>
      <x:c r="J338" s="20"/>
      <x:c r="K338" s="20"/>
      <x:c r="L338" s="20"/>
      <x:c r="M338" s="20"/>
      <x:c r="N338" t="str"/>
      <x:c r="O338" t="str"/>
      <x:c r="P338" s="19"/>
      <x:c r="Q338" s="21" t="str"/>
      <x:c r="R338" s="22"/>
      <x:c r="S338" t="str"/>
      <x:c r="T338" t="str"/>
      <x:c r="U338" s="19" t="n">
        <x:v>0</x:v>
      </x:c>
      <x:c r="V338" s="19" t="n">
        <x:v>0</x:v>
      </x:c>
      <x:c r="W338" s="19" t="n">
        <x:v>0</x:v>
      </x:c>
      <x:c r="X338" t="str"/>
      <x:c r="Y338" s="23" t="str">
        <x:v>No InferenceX benchmark; future GPU scenario requires a separate GPU scaling layer.</x:v>
      </x:c>
    </x:row>
    <x:row r="339">
      <x:c r="A339" t="str">
        <x:v>MiniMax M3</x:v>
      </x:c>
      <x:c r="B339" t="str">
        <x:v>minimaxm3</x:v>
      </x:c>
      <x:c r="C339" t="str">
        <x:v>R300</x:v>
      </x:c>
      <x:c r="D339" t="str">
        <x:v>future_scenario</x:v>
      </x:c>
      <x:c r="E339" t="str">
        <x:v>agentic</x:v>
      </x:c>
      <x:c r="F339" s="19" t="n">
        <x:v>70</x:v>
      </x:c>
      <x:c r="G339" t="str"/>
      <x:c r="H339" s="23" t="str">
        <x:v>GPU_SCALING_REQUIRED</x:v>
      </x:c>
      <x:c r="I339" s="20"/>
      <x:c r="J339" s="20"/>
      <x:c r="K339" s="20"/>
      <x:c r="L339" s="20"/>
      <x:c r="M339" s="20"/>
      <x:c r="N339" t="str"/>
      <x:c r="O339" t="str"/>
      <x:c r="P339" s="19"/>
      <x:c r="Q339" s="21" t="str"/>
      <x:c r="R339" s="22"/>
      <x:c r="S339" t="str"/>
      <x:c r="T339" t="str"/>
      <x:c r="U339" s="19" t="n">
        <x:v>0</x:v>
      </x:c>
      <x:c r="V339" s="19" t="n">
        <x:v>0</x:v>
      </x:c>
      <x:c r="W339" s="19" t="n">
        <x:v>0</x:v>
      </x:c>
      <x:c r="X339" t="str"/>
      <x:c r="Y339" s="23" t="str">
        <x:v>No InferenceX benchmark; future GPU scenario requires a separate GPU scaling layer.</x:v>
      </x:c>
    </x:row>
    <x:row r="340">
      <x:c r="A340" t="str">
        <x:v>MiniMax M3</x:v>
      </x:c>
      <x:c r="B340" t="str">
        <x:v>minimaxm3</x:v>
      </x:c>
      <x:c r="C340" t="str">
        <x:v>R300</x:v>
      </x:c>
      <x:c r="D340" t="str">
        <x:v>future_scenario</x:v>
      </x:c>
      <x:c r="E340" t="str">
        <x:v>agentic</x:v>
      </x:c>
      <x:c r="F340" s="19" t="n">
        <x:v>100</x:v>
      </x:c>
      <x:c r="G340" t="str"/>
      <x:c r="H340" s="23" t="str">
        <x:v>GPU_SCALING_REQUIRED</x:v>
      </x:c>
      <x:c r="I340" s="20"/>
      <x:c r="J340" s="20"/>
      <x:c r="K340" s="20"/>
      <x:c r="L340" s="20"/>
      <x:c r="M340" s="20"/>
      <x:c r="N340" t="str"/>
      <x:c r="O340" t="str"/>
      <x:c r="P340" s="19"/>
      <x:c r="Q340" s="21" t="str"/>
      <x:c r="R340" s="22"/>
      <x:c r="S340" t="str"/>
      <x:c r="T340" t="str"/>
      <x:c r="U340" s="19" t="n">
        <x:v>0</x:v>
      </x:c>
      <x:c r="V340" s="19" t="n">
        <x:v>0</x:v>
      </x:c>
      <x:c r="W340" s="19" t="n">
        <x:v>0</x:v>
      </x:c>
      <x:c r="X340" t="str"/>
      <x:c r="Y340" s="23" t="str">
        <x:v>No InferenceX benchmark; future GPU scenario requires a separate GPU scaling layer.</x:v>
      </x:c>
    </x:row>
    <x:row r="341">
      <x:c r="A341" t="str">
        <x:v>MiniMax M3</x:v>
      </x:c>
      <x:c r="B341" t="str">
        <x:v>minimaxm3</x:v>
      </x:c>
      <x:c r="C341" t="str">
        <x:v>VR300</x:v>
      </x:c>
      <x:c r="D341" t="str">
        <x:v>future_scenario</x:v>
      </x:c>
      <x:c r="E341" t="str">
        <x:v>short</x:v>
      </x:c>
      <x:c r="F341" s="19" t="n">
        <x:v>30</x:v>
      </x:c>
      <x:c r="G341" t="str"/>
      <x:c r="H341" s="23" t="str">
        <x:v>GPU_SCALING_REQUIRED</x:v>
      </x:c>
      <x:c r="I341" s="20"/>
      <x:c r="J341" s="20"/>
      <x:c r="K341" s="20"/>
      <x:c r="L341" s="20"/>
      <x:c r="M341" s="20"/>
      <x:c r="N341" t="str"/>
      <x:c r="O341" t="str"/>
      <x:c r="P341" s="19"/>
      <x:c r="Q341" s="21" t="str"/>
      <x:c r="R341" s="22"/>
      <x:c r="S341" t="str"/>
      <x:c r="T341" t="str"/>
      <x:c r="U341" s="19" t="n">
        <x:v>0</x:v>
      </x:c>
      <x:c r="V341" s="19" t="n">
        <x:v>0</x:v>
      </x:c>
      <x:c r="W341" s="19" t="n">
        <x:v>0</x:v>
      </x:c>
      <x:c r="X341" t="str"/>
      <x:c r="Y341" s="23" t="str">
        <x:v>No InferenceX benchmark; future GPU scenario requires a separate GPU scaling layer.</x:v>
      </x:c>
    </x:row>
    <x:row r="342">
      <x:c r="A342" t="str">
        <x:v>MiniMax M3</x:v>
      </x:c>
      <x:c r="B342" t="str">
        <x:v>minimaxm3</x:v>
      </x:c>
      <x:c r="C342" t="str">
        <x:v>VR300</x:v>
      </x:c>
      <x:c r="D342" t="str">
        <x:v>future_scenario</x:v>
      </x:c>
      <x:c r="E342" t="str">
        <x:v>short</x:v>
      </x:c>
      <x:c r="F342" s="19" t="n">
        <x:v>50</x:v>
      </x:c>
      <x:c r="G342" t="str"/>
      <x:c r="H342" s="23" t="str">
        <x:v>GPU_SCALING_REQUIRED</x:v>
      </x:c>
      <x:c r="I342" s="20"/>
      <x:c r="J342" s="20"/>
      <x:c r="K342" s="20"/>
      <x:c r="L342" s="20"/>
      <x:c r="M342" s="20"/>
      <x:c r="N342" t="str"/>
      <x:c r="O342" t="str"/>
      <x:c r="P342" s="19"/>
      <x:c r="Q342" s="21" t="str"/>
      <x:c r="R342" s="22"/>
      <x:c r="S342" t="str"/>
      <x:c r="T342" t="str"/>
      <x:c r="U342" s="19" t="n">
        <x:v>0</x:v>
      </x:c>
      <x:c r="V342" s="19" t="n">
        <x:v>0</x:v>
      </x:c>
      <x:c r="W342" s="19" t="n">
        <x:v>0</x:v>
      </x:c>
      <x:c r="X342" t="str"/>
      <x:c r="Y342" s="23" t="str">
        <x:v>No InferenceX benchmark; future GPU scenario requires a separate GPU scaling layer.</x:v>
      </x:c>
    </x:row>
    <x:row r="343">
      <x:c r="A343" t="str">
        <x:v>MiniMax M3</x:v>
      </x:c>
      <x:c r="B343" t="str">
        <x:v>minimaxm3</x:v>
      </x:c>
      <x:c r="C343" t="str">
        <x:v>VR300</x:v>
      </x:c>
      <x:c r="D343" t="str">
        <x:v>future_scenario</x:v>
      </x:c>
      <x:c r="E343" t="str">
        <x:v>short</x:v>
      </x:c>
      <x:c r="F343" s="19" t="n">
        <x:v>70</x:v>
      </x:c>
      <x:c r="G343" t="str"/>
      <x:c r="H343" s="23" t="str">
        <x:v>GPU_SCALING_REQUIRED</x:v>
      </x:c>
      <x:c r="I343" s="20"/>
      <x:c r="J343" s="20"/>
      <x:c r="K343" s="20"/>
      <x:c r="L343" s="20"/>
      <x:c r="M343" s="20"/>
      <x:c r="N343" t="str"/>
      <x:c r="O343" t="str"/>
      <x:c r="P343" s="19"/>
      <x:c r="Q343" s="21" t="str"/>
      <x:c r="R343" s="22"/>
      <x:c r="S343" t="str"/>
      <x:c r="T343" t="str"/>
      <x:c r="U343" s="19" t="n">
        <x:v>0</x:v>
      </x:c>
      <x:c r="V343" s="19" t="n">
        <x:v>0</x:v>
      </x:c>
      <x:c r="W343" s="19" t="n">
        <x:v>0</x:v>
      </x:c>
      <x:c r="X343" t="str"/>
      <x:c r="Y343" s="23" t="str">
        <x:v>No InferenceX benchmark; future GPU scenario requires a separate GPU scaling layer.</x:v>
      </x:c>
    </x:row>
    <x:row r="344">
      <x:c r="A344" t="str">
        <x:v>MiniMax M3</x:v>
      </x:c>
      <x:c r="B344" t="str">
        <x:v>minimaxm3</x:v>
      </x:c>
      <x:c r="C344" t="str">
        <x:v>VR300</x:v>
      </x:c>
      <x:c r="D344" t="str">
        <x:v>future_scenario</x:v>
      </x:c>
      <x:c r="E344" t="str">
        <x:v>short</x:v>
      </x:c>
      <x:c r="F344" s="19" t="n">
        <x:v>100</x:v>
      </x:c>
      <x:c r="G344" t="str"/>
      <x:c r="H344" s="23" t="str">
        <x:v>GPU_SCALING_REQUIRED</x:v>
      </x:c>
      <x:c r="I344" s="20"/>
      <x:c r="J344" s="20"/>
      <x:c r="K344" s="20"/>
      <x:c r="L344" s="20"/>
      <x:c r="M344" s="20"/>
      <x:c r="N344" t="str"/>
      <x:c r="O344" t="str"/>
      <x:c r="P344" s="19"/>
      <x:c r="Q344" s="21" t="str"/>
      <x:c r="R344" s="22"/>
      <x:c r="S344" t="str"/>
      <x:c r="T344" t="str"/>
      <x:c r="U344" s="19" t="n">
        <x:v>0</x:v>
      </x:c>
      <x:c r="V344" s="19" t="n">
        <x:v>0</x:v>
      </x:c>
      <x:c r="W344" s="19" t="n">
        <x:v>0</x:v>
      </x:c>
      <x:c r="X344" t="str"/>
      <x:c r="Y344" s="23" t="str">
        <x:v>No InferenceX benchmark; future GPU scenario requires a separate GPU scaling layer.</x:v>
      </x:c>
    </x:row>
    <x:row r="345">
      <x:c r="A345" t="str">
        <x:v>MiniMax M3</x:v>
      </x:c>
      <x:c r="B345" t="str">
        <x:v>minimaxm3</x:v>
      </x:c>
      <x:c r="C345" t="str">
        <x:v>VR300</x:v>
      </x:c>
      <x:c r="D345" t="str">
        <x:v>future_scenario</x:v>
      </x:c>
      <x:c r="E345" t="str">
        <x:v>long</x:v>
      </x:c>
      <x:c r="F345" s="19" t="n">
        <x:v>30</x:v>
      </x:c>
      <x:c r="G345" t="str"/>
      <x:c r="H345" s="23" t="str">
        <x:v>GPU_SCALING_REQUIRED</x:v>
      </x:c>
      <x:c r="I345" s="20"/>
      <x:c r="J345" s="20"/>
      <x:c r="K345" s="20"/>
      <x:c r="L345" s="20"/>
      <x:c r="M345" s="20"/>
      <x:c r="N345" t="str"/>
      <x:c r="O345" t="str"/>
      <x:c r="P345" s="19"/>
      <x:c r="Q345" s="21" t="str"/>
      <x:c r="R345" s="22"/>
      <x:c r="S345" t="str"/>
      <x:c r="T345" t="str"/>
      <x:c r="U345" s="19" t="n">
        <x:v>0</x:v>
      </x:c>
      <x:c r="V345" s="19" t="n">
        <x:v>0</x:v>
      </x:c>
      <x:c r="W345" s="19" t="n">
        <x:v>0</x:v>
      </x:c>
      <x:c r="X345" t="str"/>
      <x:c r="Y345" s="23" t="str">
        <x:v>No InferenceX benchmark; future GPU scenario requires a separate GPU scaling layer.</x:v>
      </x:c>
    </x:row>
    <x:row r="346">
      <x:c r="A346" t="str">
        <x:v>MiniMax M3</x:v>
      </x:c>
      <x:c r="B346" t="str">
        <x:v>minimaxm3</x:v>
      </x:c>
      <x:c r="C346" t="str">
        <x:v>VR300</x:v>
      </x:c>
      <x:c r="D346" t="str">
        <x:v>future_scenario</x:v>
      </x:c>
      <x:c r="E346" t="str">
        <x:v>long</x:v>
      </x:c>
      <x:c r="F346" s="19" t="n">
        <x:v>50</x:v>
      </x:c>
      <x:c r="G346" t="str"/>
      <x:c r="H346" s="23" t="str">
        <x:v>GPU_SCALING_REQUIRED</x:v>
      </x:c>
      <x:c r="I346" s="20"/>
      <x:c r="J346" s="20"/>
      <x:c r="K346" s="20"/>
      <x:c r="L346" s="20"/>
      <x:c r="M346" s="20"/>
      <x:c r="N346" t="str"/>
      <x:c r="O346" t="str"/>
      <x:c r="P346" s="19"/>
      <x:c r="Q346" s="21" t="str"/>
      <x:c r="R346" s="22"/>
      <x:c r="S346" t="str"/>
      <x:c r="T346" t="str"/>
      <x:c r="U346" s="19" t="n">
        <x:v>0</x:v>
      </x:c>
      <x:c r="V346" s="19" t="n">
        <x:v>0</x:v>
      </x:c>
      <x:c r="W346" s="19" t="n">
        <x:v>0</x:v>
      </x:c>
      <x:c r="X346" t="str"/>
      <x:c r="Y346" s="23" t="str">
        <x:v>No InferenceX benchmark; future GPU scenario requires a separate GPU scaling layer.</x:v>
      </x:c>
    </x:row>
    <x:row r="347">
      <x:c r="A347" t="str">
        <x:v>MiniMax M3</x:v>
      </x:c>
      <x:c r="B347" t="str">
        <x:v>minimaxm3</x:v>
      </x:c>
      <x:c r="C347" t="str">
        <x:v>VR300</x:v>
      </x:c>
      <x:c r="D347" t="str">
        <x:v>future_scenario</x:v>
      </x:c>
      <x:c r="E347" t="str">
        <x:v>long</x:v>
      </x:c>
      <x:c r="F347" s="19" t="n">
        <x:v>70</x:v>
      </x:c>
      <x:c r="G347" t="str"/>
      <x:c r="H347" s="23" t="str">
        <x:v>GPU_SCALING_REQUIRED</x:v>
      </x:c>
      <x:c r="I347" s="20"/>
      <x:c r="J347" s="20"/>
      <x:c r="K347" s="20"/>
      <x:c r="L347" s="20"/>
      <x:c r="M347" s="20"/>
      <x:c r="N347" t="str"/>
      <x:c r="O347" t="str"/>
      <x:c r="P347" s="19"/>
      <x:c r="Q347" s="21" t="str"/>
      <x:c r="R347" s="22"/>
      <x:c r="S347" t="str"/>
      <x:c r="T347" t="str"/>
      <x:c r="U347" s="19" t="n">
        <x:v>0</x:v>
      </x:c>
      <x:c r="V347" s="19" t="n">
        <x:v>0</x:v>
      </x:c>
      <x:c r="W347" s="19" t="n">
        <x:v>0</x:v>
      </x:c>
      <x:c r="X347" t="str"/>
      <x:c r="Y347" s="23" t="str">
        <x:v>No InferenceX benchmark; future GPU scenario requires a separate GPU scaling layer.</x:v>
      </x:c>
    </x:row>
    <x:row r="348">
      <x:c r="A348" t="str">
        <x:v>MiniMax M3</x:v>
      </x:c>
      <x:c r="B348" t="str">
        <x:v>minimaxm3</x:v>
      </x:c>
      <x:c r="C348" t="str">
        <x:v>VR300</x:v>
      </x:c>
      <x:c r="D348" t="str">
        <x:v>future_scenario</x:v>
      </x:c>
      <x:c r="E348" t="str">
        <x:v>long</x:v>
      </x:c>
      <x:c r="F348" s="19" t="n">
        <x:v>100</x:v>
      </x:c>
      <x:c r="G348" t="str"/>
      <x:c r="H348" s="23" t="str">
        <x:v>GPU_SCALING_REQUIRED</x:v>
      </x:c>
      <x:c r="I348" s="20"/>
      <x:c r="J348" s="20"/>
      <x:c r="K348" s="20"/>
      <x:c r="L348" s="20"/>
      <x:c r="M348" s="20"/>
      <x:c r="N348" t="str"/>
      <x:c r="O348" t="str"/>
      <x:c r="P348" s="19"/>
      <x:c r="Q348" s="21" t="str"/>
      <x:c r="R348" s="22"/>
      <x:c r="S348" t="str"/>
      <x:c r="T348" t="str"/>
      <x:c r="U348" s="19" t="n">
        <x:v>0</x:v>
      </x:c>
      <x:c r="V348" s="19" t="n">
        <x:v>0</x:v>
      </x:c>
      <x:c r="W348" s="19" t="n">
        <x:v>0</x:v>
      </x:c>
      <x:c r="X348" t="str"/>
      <x:c r="Y348" s="23" t="str">
        <x:v>No InferenceX benchmark; future GPU scenario requires a separate GPU scaling layer.</x:v>
      </x:c>
    </x:row>
    <x:row r="349">
      <x:c r="A349" t="str">
        <x:v>MiniMax M3</x:v>
      </x:c>
      <x:c r="B349" t="str">
        <x:v>minimaxm3</x:v>
      </x:c>
      <x:c r="C349" t="str">
        <x:v>VR300</x:v>
      </x:c>
      <x:c r="D349" t="str">
        <x:v>future_scenario</x:v>
      </x:c>
      <x:c r="E349" t="str">
        <x:v>agentic</x:v>
      </x:c>
      <x:c r="F349" s="19" t="n">
        <x:v>30</x:v>
      </x:c>
      <x:c r="G349" t="str"/>
      <x:c r="H349" s="23" t="str">
        <x:v>GPU_SCALING_REQUIRED</x:v>
      </x:c>
      <x:c r="I349" s="20"/>
      <x:c r="J349" s="20"/>
      <x:c r="K349" s="20"/>
      <x:c r="L349" s="20"/>
      <x:c r="M349" s="20"/>
      <x:c r="N349" t="str"/>
      <x:c r="O349" t="str"/>
      <x:c r="P349" s="19"/>
      <x:c r="Q349" s="21" t="str"/>
      <x:c r="R349" s="22"/>
      <x:c r="S349" t="str"/>
      <x:c r="T349" t="str"/>
      <x:c r="U349" s="19" t="n">
        <x:v>0</x:v>
      </x:c>
      <x:c r="V349" s="19" t="n">
        <x:v>0</x:v>
      </x:c>
      <x:c r="W349" s="19" t="n">
        <x:v>0</x:v>
      </x:c>
      <x:c r="X349" t="str"/>
      <x:c r="Y349" s="23" t="str">
        <x:v>No InferenceX benchmark; future GPU scenario requires a separate GPU scaling layer.</x:v>
      </x:c>
    </x:row>
    <x:row r="350">
      <x:c r="A350" t="str">
        <x:v>MiniMax M3</x:v>
      </x:c>
      <x:c r="B350" t="str">
        <x:v>minimaxm3</x:v>
      </x:c>
      <x:c r="C350" t="str">
        <x:v>VR300</x:v>
      </x:c>
      <x:c r="D350" t="str">
        <x:v>future_scenario</x:v>
      </x:c>
      <x:c r="E350" t="str">
        <x:v>agentic</x:v>
      </x:c>
      <x:c r="F350" s="19" t="n">
        <x:v>50</x:v>
      </x:c>
      <x:c r="G350" t="str"/>
      <x:c r="H350" s="23" t="str">
        <x:v>GPU_SCALING_REQUIRED</x:v>
      </x:c>
      <x:c r="I350" s="20"/>
      <x:c r="J350" s="20"/>
      <x:c r="K350" s="20"/>
      <x:c r="L350" s="20"/>
      <x:c r="M350" s="20"/>
      <x:c r="N350" t="str"/>
      <x:c r="O350" t="str"/>
      <x:c r="P350" s="19"/>
      <x:c r="Q350" s="21" t="str"/>
      <x:c r="R350" s="22"/>
      <x:c r="S350" t="str"/>
      <x:c r="T350" t="str"/>
      <x:c r="U350" s="19" t="n">
        <x:v>0</x:v>
      </x:c>
      <x:c r="V350" s="19" t="n">
        <x:v>0</x:v>
      </x:c>
      <x:c r="W350" s="19" t="n">
        <x:v>0</x:v>
      </x:c>
      <x:c r="X350" t="str"/>
      <x:c r="Y350" s="23" t="str">
        <x:v>No InferenceX benchmark; future GPU scenario requires a separate GPU scaling layer.</x:v>
      </x:c>
    </x:row>
    <x:row r="351">
      <x:c r="A351" t="str">
        <x:v>MiniMax M3</x:v>
      </x:c>
      <x:c r="B351" t="str">
        <x:v>minimaxm3</x:v>
      </x:c>
      <x:c r="C351" t="str">
        <x:v>VR300</x:v>
      </x:c>
      <x:c r="D351" t="str">
        <x:v>future_scenario</x:v>
      </x:c>
      <x:c r="E351" t="str">
        <x:v>agentic</x:v>
      </x:c>
      <x:c r="F351" s="19" t="n">
        <x:v>70</x:v>
      </x:c>
      <x:c r="G351" t="str"/>
      <x:c r="H351" s="23" t="str">
        <x:v>GPU_SCALING_REQUIRED</x:v>
      </x:c>
      <x:c r="I351" s="20"/>
      <x:c r="J351" s="20"/>
      <x:c r="K351" s="20"/>
      <x:c r="L351" s="20"/>
      <x:c r="M351" s="20"/>
      <x:c r="N351" t="str"/>
      <x:c r="O351" t="str"/>
      <x:c r="P351" s="19"/>
      <x:c r="Q351" s="21" t="str"/>
      <x:c r="R351" s="22"/>
      <x:c r="S351" t="str"/>
      <x:c r="T351" t="str"/>
      <x:c r="U351" s="19" t="n">
        <x:v>0</x:v>
      </x:c>
      <x:c r="V351" s="19" t="n">
        <x:v>0</x:v>
      </x:c>
      <x:c r="W351" s="19" t="n">
        <x:v>0</x:v>
      </x:c>
      <x:c r="X351" t="str"/>
      <x:c r="Y351" s="23" t="str">
        <x:v>No InferenceX benchmark; future GPU scenario requires a separate GPU scaling layer.</x:v>
      </x:c>
    </x:row>
    <x:row r="352">
      <x:c r="A352" t="str">
        <x:v>MiniMax M3</x:v>
      </x:c>
      <x:c r="B352" t="str">
        <x:v>minimaxm3</x:v>
      </x:c>
      <x:c r="C352" t="str">
        <x:v>VR300</x:v>
      </x:c>
      <x:c r="D352" t="str">
        <x:v>future_scenario</x:v>
      </x:c>
      <x:c r="E352" t="str">
        <x:v>agentic</x:v>
      </x:c>
      <x:c r="F352" s="19" t="n">
        <x:v>100</x:v>
      </x:c>
      <x:c r="G352" t="str"/>
      <x:c r="H352" s="23" t="str">
        <x:v>GPU_SCALING_REQUIRED</x:v>
      </x:c>
      <x:c r="I352" s="20"/>
      <x:c r="J352" s="20"/>
      <x:c r="K352" s="20"/>
      <x:c r="L352" s="20"/>
      <x:c r="M352" s="20"/>
      <x:c r="N352" t="str"/>
      <x:c r="O352" t="str"/>
      <x:c r="P352" s="19"/>
      <x:c r="Q352" s="21" t="str"/>
      <x:c r="R352" s="22"/>
      <x:c r="S352" t="str"/>
      <x:c r="T352" t="str"/>
      <x:c r="U352" s="19" t="n">
        <x:v>0</x:v>
      </x:c>
      <x:c r="V352" s="19" t="n">
        <x:v>0</x:v>
      </x:c>
      <x:c r="W352" s="19" t="n">
        <x:v>0</x:v>
      </x:c>
      <x:c r="X352" t="str"/>
      <x:c r="Y352" s="23" t="str">
        <x:v>No InferenceX benchmark; future GPU scenario requires a separate GPU scaling layer.</x:v>
      </x:c>
    </x:row>
    <x:row r="353">
      <x:c r="A353" t="str">
        <x:v>MiniMax M3</x:v>
      </x:c>
      <x:c r="B353" t="str">
        <x:v>minimaxm3</x:v>
      </x:c>
      <x:c r="C353" t="str">
        <x:v>Post Rubin</x:v>
      </x:c>
      <x:c r="D353" t="str">
        <x:v>future_scenario</x:v>
      </x:c>
      <x:c r="E353" t="str">
        <x:v>short</x:v>
      </x:c>
      <x:c r="F353" s="19" t="n">
        <x:v>30</x:v>
      </x:c>
      <x:c r="G353" t="str"/>
      <x:c r="H353" s="23" t="str">
        <x:v>GPU_SCALING_REQUIRED</x:v>
      </x:c>
      <x:c r="I353" s="20"/>
      <x:c r="J353" s="20"/>
      <x:c r="K353" s="20"/>
      <x:c r="L353" s="20"/>
      <x:c r="M353" s="20"/>
      <x:c r="N353" t="str"/>
      <x:c r="O353" t="str"/>
      <x:c r="P353" s="19"/>
      <x:c r="Q353" s="21" t="str"/>
      <x:c r="R353" s="22"/>
      <x:c r="S353" t="str"/>
      <x:c r="T353" t="str"/>
      <x:c r="U353" s="19" t="n">
        <x:v>0</x:v>
      </x:c>
      <x:c r="V353" s="19" t="n">
        <x:v>0</x:v>
      </x:c>
      <x:c r="W353" s="19" t="n">
        <x:v>0</x:v>
      </x:c>
      <x:c r="X353" t="str"/>
      <x:c r="Y353" s="23" t="str">
        <x:v>No InferenceX benchmark; future GPU scenario requires a separate GPU scaling layer.</x:v>
      </x:c>
    </x:row>
    <x:row r="354">
      <x:c r="A354" t="str">
        <x:v>MiniMax M3</x:v>
      </x:c>
      <x:c r="B354" t="str">
        <x:v>minimaxm3</x:v>
      </x:c>
      <x:c r="C354" t="str">
        <x:v>Post Rubin</x:v>
      </x:c>
      <x:c r="D354" t="str">
        <x:v>future_scenario</x:v>
      </x:c>
      <x:c r="E354" t="str">
        <x:v>short</x:v>
      </x:c>
      <x:c r="F354" s="19" t="n">
        <x:v>50</x:v>
      </x:c>
      <x:c r="G354" t="str"/>
      <x:c r="H354" s="23" t="str">
        <x:v>GPU_SCALING_REQUIRED</x:v>
      </x:c>
      <x:c r="I354" s="20"/>
      <x:c r="J354" s="20"/>
      <x:c r="K354" s="20"/>
      <x:c r="L354" s="20"/>
      <x:c r="M354" s="20"/>
      <x:c r="N354" t="str"/>
      <x:c r="O354" t="str"/>
      <x:c r="P354" s="19"/>
      <x:c r="Q354" s="21" t="str"/>
      <x:c r="R354" s="22"/>
      <x:c r="S354" t="str"/>
      <x:c r="T354" t="str"/>
      <x:c r="U354" s="19" t="n">
        <x:v>0</x:v>
      </x:c>
      <x:c r="V354" s="19" t="n">
        <x:v>0</x:v>
      </x:c>
      <x:c r="W354" s="19" t="n">
        <x:v>0</x:v>
      </x:c>
      <x:c r="X354" t="str"/>
      <x:c r="Y354" s="23" t="str">
        <x:v>No InferenceX benchmark; future GPU scenario requires a separate GPU scaling layer.</x:v>
      </x:c>
    </x:row>
    <x:row r="355">
      <x:c r="A355" t="str">
        <x:v>MiniMax M3</x:v>
      </x:c>
      <x:c r="B355" t="str">
        <x:v>minimaxm3</x:v>
      </x:c>
      <x:c r="C355" t="str">
        <x:v>Post Rubin</x:v>
      </x:c>
      <x:c r="D355" t="str">
        <x:v>future_scenario</x:v>
      </x:c>
      <x:c r="E355" t="str">
        <x:v>short</x:v>
      </x:c>
      <x:c r="F355" s="19" t="n">
        <x:v>70</x:v>
      </x:c>
      <x:c r="G355" t="str"/>
      <x:c r="H355" s="23" t="str">
        <x:v>GPU_SCALING_REQUIRED</x:v>
      </x:c>
      <x:c r="I355" s="20"/>
      <x:c r="J355" s="20"/>
      <x:c r="K355" s="20"/>
      <x:c r="L355" s="20"/>
      <x:c r="M355" s="20"/>
      <x:c r="N355" t="str"/>
      <x:c r="O355" t="str"/>
      <x:c r="P355" s="19"/>
      <x:c r="Q355" s="21" t="str"/>
      <x:c r="R355" s="22"/>
      <x:c r="S355" t="str"/>
      <x:c r="T355" t="str"/>
      <x:c r="U355" s="19" t="n">
        <x:v>0</x:v>
      </x:c>
      <x:c r="V355" s="19" t="n">
        <x:v>0</x:v>
      </x:c>
      <x:c r="W355" s="19" t="n">
        <x:v>0</x:v>
      </x:c>
      <x:c r="X355" t="str"/>
      <x:c r="Y355" s="23" t="str">
        <x:v>No InferenceX benchmark; future GPU scenario requires a separate GPU scaling layer.</x:v>
      </x:c>
    </x:row>
    <x:row r="356">
      <x:c r="A356" t="str">
        <x:v>MiniMax M3</x:v>
      </x:c>
      <x:c r="B356" t="str">
        <x:v>minimaxm3</x:v>
      </x:c>
      <x:c r="C356" t="str">
        <x:v>Post Rubin</x:v>
      </x:c>
      <x:c r="D356" t="str">
        <x:v>future_scenario</x:v>
      </x:c>
      <x:c r="E356" t="str">
        <x:v>short</x:v>
      </x:c>
      <x:c r="F356" s="19" t="n">
        <x:v>100</x:v>
      </x:c>
      <x:c r="G356" t="str"/>
      <x:c r="H356" s="23" t="str">
        <x:v>GPU_SCALING_REQUIRED</x:v>
      </x:c>
      <x:c r="I356" s="20"/>
      <x:c r="J356" s="20"/>
      <x:c r="K356" s="20"/>
      <x:c r="L356" s="20"/>
      <x:c r="M356" s="20"/>
      <x:c r="N356" t="str"/>
      <x:c r="O356" t="str"/>
      <x:c r="P356" s="19"/>
      <x:c r="Q356" s="21" t="str"/>
      <x:c r="R356" s="22"/>
      <x:c r="S356" t="str"/>
      <x:c r="T356" t="str"/>
      <x:c r="U356" s="19" t="n">
        <x:v>0</x:v>
      </x:c>
      <x:c r="V356" s="19" t="n">
        <x:v>0</x:v>
      </x:c>
      <x:c r="W356" s="19" t="n">
        <x:v>0</x:v>
      </x:c>
      <x:c r="X356" t="str"/>
      <x:c r="Y356" s="23" t="str">
        <x:v>No InferenceX benchmark; future GPU scenario requires a separate GPU scaling layer.</x:v>
      </x:c>
    </x:row>
    <x:row r="357">
      <x:c r="A357" t="str">
        <x:v>MiniMax M3</x:v>
      </x:c>
      <x:c r="B357" t="str">
        <x:v>minimaxm3</x:v>
      </x:c>
      <x:c r="C357" t="str">
        <x:v>Post Rubin</x:v>
      </x:c>
      <x:c r="D357" t="str">
        <x:v>future_scenario</x:v>
      </x:c>
      <x:c r="E357" t="str">
        <x:v>long</x:v>
      </x:c>
      <x:c r="F357" s="19" t="n">
        <x:v>30</x:v>
      </x:c>
      <x:c r="G357" t="str"/>
      <x:c r="H357" s="23" t="str">
        <x:v>GPU_SCALING_REQUIRED</x:v>
      </x:c>
      <x:c r="I357" s="20"/>
      <x:c r="J357" s="20"/>
      <x:c r="K357" s="20"/>
      <x:c r="L357" s="20"/>
      <x:c r="M357" s="20"/>
      <x:c r="N357" t="str"/>
      <x:c r="O357" t="str"/>
      <x:c r="P357" s="19"/>
      <x:c r="Q357" s="21" t="str"/>
      <x:c r="R357" s="22"/>
      <x:c r="S357" t="str"/>
      <x:c r="T357" t="str"/>
      <x:c r="U357" s="19" t="n">
        <x:v>0</x:v>
      </x:c>
      <x:c r="V357" s="19" t="n">
        <x:v>0</x:v>
      </x:c>
      <x:c r="W357" s="19" t="n">
        <x:v>0</x:v>
      </x:c>
      <x:c r="X357" t="str"/>
      <x:c r="Y357" s="23" t="str">
        <x:v>No InferenceX benchmark; future GPU scenario requires a separate GPU scaling layer.</x:v>
      </x:c>
    </x:row>
    <x:row r="358">
      <x:c r="A358" t="str">
        <x:v>MiniMax M3</x:v>
      </x:c>
      <x:c r="B358" t="str">
        <x:v>minimaxm3</x:v>
      </x:c>
      <x:c r="C358" t="str">
        <x:v>Post Rubin</x:v>
      </x:c>
      <x:c r="D358" t="str">
        <x:v>future_scenario</x:v>
      </x:c>
      <x:c r="E358" t="str">
        <x:v>long</x:v>
      </x:c>
      <x:c r="F358" s="19" t="n">
        <x:v>50</x:v>
      </x:c>
      <x:c r="G358" t="str"/>
      <x:c r="H358" s="23" t="str">
        <x:v>GPU_SCALING_REQUIRED</x:v>
      </x:c>
      <x:c r="I358" s="20"/>
      <x:c r="J358" s="20"/>
      <x:c r="K358" s="20"/>
      <x:c r="L358" s="20"/>
      <x:c r="M358" s="20"/>
      <x:c r="N358" t="str"/>
      <x:c r="O358" t="str"/>
      <x:c r="P358" s="19"/>
      <x:c r="Q358" s="21" t="str"/>
      <x:c r="R358" s="22"/>
      <x:c r="S358" t="str"/>
      <x:c r="T358" t="str"/>
      <x:c r="U358" s="19" t="n">
        <x:v>0</x:v>
      </x:c>
      <x:c r="V358" s="19" t="n">
        <x:v>0</x:v>
      </x:c>
      <x:c r="W358" s="19" t="n">
        <x:v>0</x:v>
      </x:c>
      <x:c r="X358" t="str"/>
      <x:c r="Y358" s="23" t="str">
        <x:v>No InferenceX benchmark; future GPU scenario requires a separate GPU scaling layer.</x:v>
      </x:c>
    </x:row>
    <x:row r="359">
      <x:c r="A359" t="str">
        <x:v>MiniMax M3</x:v>
      </x:c>
      <x:c r="B359" t="str">
        <x:v>minimaxm3</x:v>
      </x:c>
      <x:c r="C359" t="str">
        <x:v>Post Rubin</x:v>
      </x:c>
      <x:c r="D359" t="str">
        <x:v>future_scenario</x:v>
      </x:c>
      <x:c r="E359" t="str">
        <x:v>long</x:v>
      </x:c>
      <x:c r="F359" s="19" t="n">
        <x:v>70</x:v>
      </x:c>
      <x:c r="G359" t="str"/>
      <x:c r="H359" s="23" t="str">
        <x:v>GPU_SCALING_REQUIRED</x:v>
      </x:c>
      <x:c r="I359" s="20"/>
      <x:c r="J359" s="20"/>
      <x:c r="K359" s="20"/>
      <x:c r="L359" s="20"/>
      <x:c r="M359" s="20"/>
      <x:c r="N359" t="str"/>
      <x:c r="O359" t="str"/>
      <x:c r="P359" s="19"/>
      <x:c r="Q359" s="21" t="str"/>
      <x:c r="R359" s="22"/>
      <x:c r="S359" t="str"/>
      <x:c r="T359" t="str"/>
      <x:c r="U359" s="19" t="n">
        <x:v>0</x:v>
      </x:c>
      <x:c r="V359" s="19" t="n">
        <x:v>0</x:v>
      </x:c>
      <x:c r="W359" s="19" t="n">
        <x:v>0</x:v>
      </x:c>
      <x:c r="X359" t="str"/>
      <x:c r="Y359" s="23" t="str">
        <x:v>No InferenceX benchmark; future GPU scenario requires a separate GPU scaling layer.</x:v>
      </x:c>
    </x:row>
    <x:row r="360">
      <x:c r="A360" t="str">
        <x:v>MiniMax M3</x:v>
      </x:c>
      <x:c r="B360" t="str">
        <x:v>minimaxm3</x:v>
      </x:c>
      <x:c r="C360" t="str">
        <x:v>Post Rubin</x:v>
      </x:c>
      <x:c r="D360" t="str">
        <x:v>future_scenario</x:v>
      </x:c>
      <x:c r="E360" t="str">
        <x:v>long</x:v>
      </x:c>
      <x:c r="F360" s="19" t="n">
        <x:v>100</x:v>
      </x:c>
      <x:c r="G360" t="str"/>
      <x:c r="H360" s="23" t="str">
        <x:v>GPU_SCALING_REQUIRED</x:v>
      </x:c>
      <x:c r="I360" s="20"/>
      <x:c r="J360" s="20"/>
      <x:c r="K360" s="20"/>
      <x:c r="L360" s="20"/>
      <x:c r="M360" s="20"/>
      <x:c r="N360" t="str"/>
      <x:c r="O360" t="str"/>
      <x:c r="P360" s="19"/>
      <x:c r="Q360" s="21" t="str"/>
      <x:c r="R360" s="22"/>
      <x:c r="S360" t="str"/>
      <x:c r="T360" t="str"/>
      <x:c r="U360" s="19" t="n">
        <x:v>0</x:v>
      </x:c>
      <x:c r="V360" s="19" t="n">
        <x:v>0</x:v>
      </x:c>
      <x:c r="W360" s="19" t="n">
        <x:v>0</x:v>
      </x:c>
      <x:c r="X360" t="str"/>
      <x:c r="Y360" s="23" t="str">
        <x:v>No InferenceX benchmark; future GPU scenario requires a separate GPU scaling layer.</x:v>
      </x:c>
    </x:row>
    <x:row r="361">
      <x:c r="A361" t="str">
        <x:v>MiniMax M3</x:v>
      </x:c>
      <x:c r="B361" t="str">
        <x:v>minimaxm3</x:v>
      </x:c>
      <x:c r="C361" t="str">
        <x:v>Post Rubin</x:v>
      </x:c>
      <x:c r="D361" t="str">
        <x:v>future_scenario</x:v>
      </x:c>
      <x:c r="E361" t="str">
        <x:v>agentic</x:v>
      </x:c>
      <x:c r="F361" s="19" t="n">
        <x:v>30</x:v>
      </x:c>
      <x:c r="G361" t="str"/>
      <x:c r="H361" s="23" t="str">
        <x:v>GPU_SCALING_REQUIRED</x:v>
      </x:c>
      <x:c r="I361" s="20"/>
      <x:c r="J361" s="20"/>
      <x:c r="K361" s="20"/>
      <x:c r="L361" s="20"/>
      <x:c r="M361" s="20"/>
      <x:c r="N361" t="str"/>
      <x:c r="O361" t="str"/>
      <x:c r="P361" s="19"/>
      <x:c r="Q361" s="21" t="str"/>
      <x:c r="R361" s="22"/>
      <x:c r="S361" t="str"/>
      <x:c r="T361" t="str"/>
      <x:c r="U361" s="19" t="n">
        <x:v>0</x:v>
      </x:c>
      <x:c r="V361" s="19" t="n">
        <x:v>0</x:v>
      </x:c>
      <x:c r="W361" s="19" t="n">
        <x:v>0</x:v>
      </x:c>
      <x:c r="X361" t="str"/>
      <x:c r="Y361" s="23" t="str">
        <x:v>No InferenceX benchmark; future GPU scenario requires a separate GPU scaling layer.</x:v>
      </x:c>
    </x:row>
    <x:row r="362">
      <x:c r="A362" t="str">
        <x:v>MiniMax M3</x:v>
      </x:c>
      <x:c r="B362" t="str">
        <x:v>minimaxm3</x:v>
      </x:c>
      <x:c r="C362" t="str">
        <x:v>Post Rubin</x:v>
      </x:c>
      <x:c r="D362" t="str">
        <x:v>future_scenario</x:v>
      </x:c>
      <x:c r="E362" t="str">
        <x:v>agentic</x:v>
      </x:c>
      <x:c r="F362" s="19" t="n">
        <x:v>50</x:v>
      </x:c>
      <x:c r="G362" t="str"/>
      <x:c r="H362" s="23" t="str">
        <x:v>GPU_SCALING_REQUIRED</x:v>
      </x:c>
      <x:c r="I362" s="20"/>
      <x:c r="J362" s="20"/>
      <x:c r="K362" s="20"/>
      <x:c r="L362" s="20"/>
      <x:c r="M362" s="20"/>
      <x:c r="N362" t="str"/>
      <x:c r="O362" t="str"/>
      <x:c r="P362" s="19"/>
      <x:c r="Q362" s="21" t="str"/>
      <x:c r="R362" s="22"/>
      <x:c r="S362" t="str"/>
      <x:c r="T362" t="str"/>
      <x:c r="U362" s="19" t="n">
        <x:v>0</x:v>
      </x:c>
      <x:c r="V362" s="19" t="n">
        <x:v>0</x:v>
      </x:c>
      <x:c r="W362" s="19" t="n">
        <x:v>0</x:v>
      </x:c>
      <x:c r="X362" t="str"/>
      <x:c r="Y362" s="23" t="str">
        <x:v>No InferenceX benchmark; future GPU scenario requires a separate GPU scaling layer.</x:v>
      </x:c>
    </x:row>
    <x:row r="363">
      <x:c r="A363" t="str">
        <x:v>MiniMax M3</x:v>
      </x:c>
      <x:c r="B363" t="str">
        <x:v>minimaxm3</x:v>
      </x:c>
      <x:c r="C363" t="str">
        <x:v>Post Rubin</x:v>
      </x:c>
      <x:c r="D363" t="str">
        <x:v>future_scenario</x:v>
      </x:c>
      <x:c r="E363" t="str">
        <x:v>agentic</x:v>
      </x:c>
      <x:c r="F363" s="19" t="n">
        <x:v>70</x:v>
      </x:c>
      <x:c r="G363" t="str"/>
      <x:c r="H363" s="23" t="str">
        <x:v>GPU_SCALING_REQUIRED</x:v>
      </x:c>
      <x:c r="I363" s="20"/>
      <x:c r="J363" s="20"/>
      <x:c r="K363" s="20"/>
      <x:c r="L363" s="20"/>
      <x:c r="M363" s="20"/>
      <x:c r="N363" t="str"/>
      <x:c r="O363" t="str"/>
      <x:c r="P363" s="19"/>
      <x:c r="Q363" s="21" t="str"/>
      <x:c r="R363" s="22"/>
      <x:c r="S363" t="str"/>
      <x:c r="T363" t="str"/>
      <x:c r="U363" s="19" t="n">
        <x:v>0</x:v>
      </x:c>
      <x:c r="V363" s="19" t="n">
        <x:v>0</x:v>
      </x:c>
      <x:c r="W363" s="19" t="n">
        <x:v>0</x:v>
      </x:c>
      <x:c r="X363" t="str"/>
      <x:c r="Y363" s="23" t="str">
        <x:v>No InferenceX benchmark; future GPU scenario requires a separate GPU scaling layer.</x:v>
      </x:c>
    </x:row>
    <x:row r="364">
      <x:c r="A364" t="str">
        <x:v>MiniMax M3</x:v>
      </x:c>
      <x:c r="B364" t="str">
        <x:v>minimaxm3</x:v>
      </x:c>
      <x:c r="C364" t="str">
        <x:v>Post Rubin</x:v>
      </x:c>
      <x:c r="D364" t="str">
        <x:v>future_scenario</x:v>
      </x:c>
      <x:c r="E364" t="str">
        <x:v>agentic</x:v>
      </x:c>
      <x:c r="F364" s="19" t="n">
        <x:v>100</x:v>
      </x:c>
      <x:c r="G364" t="str"/>
      <x:c r="H364" s="23" t="str">
        <x:v>GPU_SCALING_REQUIRED</x:v>
      </x:c>
      <x:c r="I364" s="20"/>
      <x:c r="J364" s="20"/>
      <x:c r="K364" s="20"/>
      <x:c r="L364" s="20"/>
      <x:c r="M364" s="20"/>
      <x:c r="N364" t="str"/>
      <x:c r="O364" t="str"/>
      <x:c r="P364" s="19"/>
      <x:c r="Q364" s="21" t="str"/>
      <x:c r="R364" s="22"/>
      <x:c r="S364" t="str"/>
      <x:c r="T364" t="str"/>
      <x:c r="U364" s="19" t="n">
        <x:v>0</x:v>
      </x:c>
      <x:c r="V364" s="19" t="n">
        <x:v>0</x:v>
      </x:c>
      <x:c r="W364" s="19" t="n">
        <x:v>0</x:v>
      </x:c>
      <x:c r="X364" t="str"/>
      <x:c r="Y364" s="23" t="str">
        <x:v>No InferenceX benchmark; future GPU scenario requires a separate GPU scaling layer.</x:v>
      </x:c>
    </x:row>
    <x:row r="365">
      <x:c r="A365" t="str">
        <x:v>GLM 5.2</x:v>
      </x:c>
      <x:c r="B365" t="str">
        <x:v>glm5.2</x:v>
      </x:c>
      <x:c r="C365" t="str">
        <x:v>H200</x:v>
      </x:c>
      <x:c r="D365" t="str">
        <x:v>direct</x:v>
      </x:c>
      <x:c r="E365" t="str">
        <x:v>short</x:v>
      </x:c>
      <x:c r="F365" s="19" t="n">
        <x:v>30</x:v>
      </x:c>
      <x:c r="G365" t="str">
        <x:v>dynamo-sglang</x:v>
      </x:c>
      <x:c r="H365" s="23" t="str">
        <x:v>CROSS_WORKLOAD_RATIO_REQUIRED</x:v>
      </x:c>
      <x:c r="I365" s="20"/>
      <x:c r="J365" s="20"/>
      <x:c r="K365" s="20"/>
      <x:c r="L365" s="20"/>
      <x:c r="M365" s="20"/>
      <x:c r="N365" t="str"/>
      <x:c r="O365" t="str"/>
      <x:c r="P365" s="19"/>
      <x:c r="Q365" s="21" t="str"/>
      <x:c r="R365" s="22"/>
      <x:c r="S365" t="str"/>
      <x:c r="T365" t="str"/>
      <x:c r="U365" s="19" t="n">
        <x:v>0</x:v>
      </x:c>
      <x:c r="V365" s="19" t="n">
        <x:v>0</x:v>
      </x:c>
      <x:c r="W365" s="19" t="n">
        <x:v>0</x:v>
      </x:c>
      <x:c r="X365" t="str">
        <x:v>agentic</x:v>
      </x:c>
      <x:c r="Y365" s="23" t="str">
        <x:v>Preferred framework lacks short; agentic can serve as the same-model anchor if a matched ratio is supported.</x:v>
      </x:c>
    </x:row>
    <x:row r="366">
      <x:c r="A366" t="str">
        <x:v>GLM 5.2</x:v>
      </x:c>
      <x:c r="B366" t="str">
        <x:v>glm5.2</x:v>
      </x:c>
      <x:c r="C366" t="str">
        <x:v>H200</x:v>
      </x:c>
      <x:c r="D366" t="str">
        <x:v>direct</x:v>
      </x:c>
      <x:c r="E366" t="str">
        <x:v>short</x:v>
      </x:c>
      <x:c r="F366" s="19" t="n">
        <x:v>50</x:v>
      </x:c>
      <x:c r="G366" t="str">
        <x:v>dynamo-sglang</x:v>
      </x:c>
      <x:c r="H366" s="23" t="str">
        <x:v>CROSS_WORKLOAD_RATIO_REQUIRED</x:v>
      </x:c>
      <x:c r="I366" s="20"/>
      <x:c r="J366" s="20"/>
      <x:c r="K366" s="20"/>
      <x:c r="L366" s="20"/>
      <x:c r="M366" s="20"/>
      <x:c r="N366" t="str"/>
      <x:c r="O366" t="str"/>
      <x:c r="P366" s="19"/>
      <x:c r="Q366" s="21" t="str"/>
      <x:c r="R366" s="22"/>
      <x:c r="S366" t="str"/>
      <x:c r="T366" t="str"/>
      <x:c r="U366" s="19" t="n">
        <x:v>0</x:v>
      </x:c>
      <x:c r="V366" s="19" t="n">
        <x:v>0</x:v>
      </x:c>
      <x:c r="W366" s="19" t="n">
        <x:v>0</x:v>
      </x:c>
      <x:c r="X366" t="str">
        <x:v>agentic</x:v>
      </x:c>
      <x:c r="Y366" s="23" t="str">
        <x:v>Preferred framework lacks short; agentic can serve as the same-model anchor if a matched ratio is supported.</x:v>
      </x:c>
    </x:row>
    <x:row r="367">
      <x:c r="A367" t="str">
        <x:v>GLM 5.2</x:v>
      </x:c>
      <x:c r="B367" t="str">
        <x:v>glm5.2</x:v>
      </x:c>
      <x:c r="C367" t="str">
        <x:v>H200</x:v>
      </x:c>
      <x:c r="D367" t="str">
        <x:v>direct</x:v>
      </x:c>
      <x:c r="E367" t="str">
        <x:v>short</x:v>
      </x:c>
      <x:c r="F367" s="19" t="n">
        <x:v>70</x:v>
      </x:c>
      <x:c r="G367" t="str">
        <x:v>dynamo-sglang</x:v>
      </x:c>
      <x:c r="H367" s="23" t="str">
        <x:v>CROSS_WORKLOAD_RATIO_REQUIRED</x:v>
      </x:c>
      <x:c r="I367" s="20"/>
      <x:c r="J367" s="20"/>
      <x:c r="K367" s="20"/>
      <x:c r="L367" s="20"/>
      <x:c r="M367" s="20"/>
      <x:c r="N367" t="str"/>
      <x:c r="O367" t="str"/>
      <x:c r="P367" s="19"/>
      <x:c r="Q367" s="21" t="str"/>
      <x:c r="R367" s="22"/>
      <x:c r="S367" t="str"/>
      <x:c r="T367" t="str"/>
      <x:c r="U367" s="19" t="n">
        <x:v>0</x:v>
      </x:c>
      <x:c r="V367" s="19" t="n">
        <x:v>0</x:v>
      </x:c>
      <x:c r="W367" s="19" t="n">
        <x:v>0</x:v>
      </x:c>
      <x:c r="X367" t="str">
        <x:v>agentic</x:v>
      </x:c>
      <x:c r="Y367" s="23" t="str">
        <x:v>Preferred framework lacks short; agentic can serve as the same-model anchor if a matched ratio is supported.</x:v>
      </x:c>
    </x:row>
    <x:row r="368">
      <x:c r="A368" t="str">
        <x:v>GLM 5.2</x:v>
      </x:c>
      <x:c r="B368" t="str">
        <x:v>glm5.2</x:v>
      </x:c>
      <x:c r="C368" t="str">
        <x:v>H200</x:v>
      </x:c>
      <x:c r="D368" t="str">
        <x:v>direct</x:v>
      </x:c>
      <x:c r="E368" t="str">
        <x:v>short</x:v>
      </x:c>
      <x:c r="F368" s="19" t="n">
        <x:v>100</x:v>
      </x:c>
      <x:c r="G368" t="str">
        <x:v>dynamo-sglang</x:v>
      </x:c>
      <x:c r="H368" s="23" t="str">
        <x:v>CROSS_MODEL_RATIO_REQUIRED</x:v>
      </x:c>
      <x:c r="I368" s="20"/>
      <x:c r="J368" s="20"/>
      <x:c r="K368" s="20"/>
      <x:c r="L368" s="20"/>
      <x:c r="M368" s="20"/>
      <x:c r="N368" t="str"/>
      <x:c r="O368" t="str"/>
      <x:c r="P368" s="19"/>
      <x:c r="Q368" s="21" t="str"/>
      <x:c r="R368" s="22"/>
      <x:c r="S368" t="str"/>
      <x:c r="T368" t="str"/>
      <x:c r="U368" s="19" t="n">
        <x:v>0</x:v>
      </x:c>
      <x:c r="V368" s="19" t="n">
        <x:v>0</x:v>
      </x:c>
      <x:c r="W368" s="19" t="n">
        <x:v>0</x:v>
      </x:c>
      <x:c r="X368" t="str"/>
      <x:c r="Y368" s="23" t="str">
        <x:v>Preferred framework has no eligible same-model workload anchor at this interactivity.</x:v>
      </x:c>
    </x:row>
    <x:row r="369">
      <x:c r="A369" t="str">
        <x:v>GLM 5.2</x:v>
      </x:c>
      <x:c r="B369" t="str">
        <x:v>glm5.2</x:v>
      </x:c>
      <x:c r="C369" t="str">
        <x:v>H200</x:v>
      </x:c>
      <x:c r="D369" t="str">
        <x:v>direct</x:v>
      </x:c>
      <x:c r="E369" t="str">
        <x:v>long</x:v>
      </x:c>
      <x:c r="F369" s="19" t="n">
        <x:v>30</x:v>
      </x:c>
      <x:c r="G369" t="str">
        <x:v>dynamo-sglang</x:v>
      </x:c>
      <x:c r="H369" s="23" t="str">
        <x:v>CROSS_WORKLOAD_RATIO_REQUIRED</x:v>
      </x:c>
      <x:c r="I369" s="20"/>
      <x:c r="J369" s="20"/>
      <x:c r="K369" s="20"/>
      <x:c r="L369" s="20"/>
      <x:c r="M369" s="20"/>
      <x:c r="N369" t="str"/>
      <x:c r="O369" t="str"/>
      <x:c r="P369" s="19"/>
      <x:c r="Q369" s="21" t="str"/>
      <x:c r="R369" s="22"/>
      <x:c r="S369" t="str"/>
      <x:c r="T369" t="str"/>
      <x:c r="U369" s="19" t="n">
        <x:v>0</x:v>
      </x:c>
      <x:c r="V369" s="19" t="n">
        <x:v>0</x:v>
      </x:c>
      <x:c r="W369" s="19" t="n">
        <x:v>0</x:v>
      </x:c>
      <x:c r="X369" t="str">
        <x:v>agentic</x:v>
      </x:c>
      <x:c r="Y369" s="23" t="str">
        <x:v>Preferred framework lacks long; agentic can serve as the same-model anchor if a matched ratio is supported.</x:v>
      </x:c>
    </x:row>
    <x:row r="370">
      <x:c r="A370" t="str">
        <x:v>GLM 5.2</x:v>
      </x:c>
      <x:c r="B370" t="str">
        <x:v>glm5.2</x:v>
      </x:c>
      <x:c r="C370" t="str">
        <x:v>H200</x:v>
      </x:c>
      <x:c r="D370" t="str">
        <x:v>direct</x:v>
      </x:c>
      <x:c r="E370" t="str">
        <x:v>long</x:v>
      </x:c>
      <x:c r="F370" s="19" t="n">
        <x:v>50</x:v>
      </x:c>
      <x:c r="G370" t="str">
        <x:v>dynamo-sglang</x:v>
      </x:c>
      <x:c r="H370" s="23" t="str">
        <x:v>CROSS_WORKLOAD_RATIO_REQUIRED</x:v>
      </x:c>
      <x:c r="I370" s="20"/>
      <x:c r="J370" s="20"/>
      <x:c r="K370" s="20"/>
      <x:c r="L370" s="20"/>
      <x:c r="M370" s="20"/>
      <x:c r="N370" t="str"/>
      <x:c r="O370" t="str"/>
      <x:c r="P370" s="19"/>
      <x:c r="Q370" s="21" t="str"/>
      <x:c r="R370" s="22"/>
      <x:c r="S370" t="str"/>
      <x:c r="T370" t="str"/>
      <x:c r="U370" s="19" t="n">
        <x:v>0</x:v>
      </x:c>
      <x:c r="V370" s="19" t="n">
        <x:v>0</x:v>
      </x:c>
      <x:c r="W370" s="19" t="n">
        <x:v>0</x:v>
      </x:c>
      <x:c r="X370" t="str">
        <x:v>agentic</x:v>
      </x:c>
      <x:c r="Y370" s="23" t="str">
        <x:v>Preferred framework lacks long; agentic can serve as the same-model anchor if a matched ratio is supported.</x:v>
      </x:c>
    </x:row>
    <x:row r="371">
      <x:c r="A371" t="str">
        <x:v>GLM 5.2</x:v>
      </x:c>
      <x:c r="B371" t="str">
        <x:v>glm5.2</x:v>
      </x:c>
      <x:c r="C371" t="str">
        <x:v>H200</x:v>
      </x:c>
      <x:c r="D371" t="str">
        <x:v>direct</x:v>
      </x:c>
      <x:c r="E371" t="str">
        <x:v>long</x:v>
      </x:c>
      <x:c r="F371" s="19" t="n">
        <x:v>70</x:v>
      </x:c>
      <x:c r="G371" t="str">
        <x:v>dynamo-sglang</x:v>
      </x:c>
      <x:c r="H371" s="23" t="str">
        <x:v>CROSS_WORKLOAD_RATIO_REQUIRED</x:v>
      </x:c>
      <x:c r="I371" s="20"/>
      <x:c r="J371" s="20"/>
      <x:c r="K371" s="20"/>
      <x:c r="L371" s="20"/>
      <x:c r="M371" s="20"/>
      <x:c r="N371" t="str"/>
      <x:c r="O371" t="str"/>
      <x:c r="P371" s="19"/>
      <x:c r="Q371" s="21" t="str"/>
      <x:c r="R371" s="22"/>
      <x:c r="S371" t="str"/>
      <x:c r="T371" t="str"/>
      <x:c r="U371" s="19" t="n">
        <x:v>0</x:v>
      </x:c>
      <x:c r="V371" s="19" t="n">
        <x:v>0</x:v>
      </x:c>
      <x:c r="W371" s="19" t="n">
        <x:v>0</x:v>
      </x:c>
      <x:c r="X371" t="str">
        <x:v>agentic</x:v>
      </x:c>
      <x:c r="Y371" s="23" t="str">
        <x:v>Preferred framework lacks long; agentic can serve as the same-model anchor if a matched ratio is supported.</x:v>
      </x:c>
    </x:row>
    <x:row r="372">
      <x:c r="A372" t="str">
        <x:v>GLM 5.2</x:v>
      </x:c>
      <x:c r="B372" t="str">
        <x:v>glm5.2</x:v>
      </x:c>
      <x:c r="C372" t="str">
        <x:v>H200</x:v>
      </x:c>
      <x:c r="D372" t="str">
        <x:v>direct</x:v>
      </x:c>
      <x:c r="E372" t="str">
        <x:v>long</x:v>
      </x:c>
      <x:c r="F372" s="19" t="n">
        <x:v>100</x:v>
      </x:c>
      <x:c r="G372" t="str">
        <x:v>dynamo-sglang</x:v>
      </x:c>
      <x:c r="H372" s="23" t="str">
        <x:v>CROSS_MODEL_RATIO_REQUIRED</x:v>
      </x:c>
      <x:c r="I372" s="20"/>
      <x:c r="J372" s="20"/>
      <x:c r="K372" s="20"/>
      <x:c r="L372" s="20"/>
      <x:c r="M372" s="20"/>
      <x:c r="N372" t="str"/>
      <x:c r="O372" t="str"/>
      <x:c r="P372" s="19"/>
      <x:c r="Q372" s="21" t="str"/>
      <x:c r="R372" s="22"/>
      <x:c r="S372" t="str"/>
      <x:c r="T372" t="str"/>
      <x:c r="U372" s="19" t="n">
        <x:v>0</x:v>
      </x:c>
      <x:c r="V372" s="19" t="n">
        <x:v>0</x:v>
      </x:c>
      <x:c r="W372" s="19" t="n">
        <x:v>0</x:v>
      </x:c>
      <x:c r="X372" t="str"/>
      <x:c r="Y372" s="23" t="str">
        <x:v>Preferred framework has no eligible same-model workload anchor at this interactivity.</x:v>
      </x:c>
    </x:row>
    <x:row r="373">
      <x:c r="A373" t="str">
        <x:v>GLM 5.2</x:v>
      </x:c>
      <x:c r="B373" t="str">
        <x:v>glm5.2</x:v>
      </x:c>
      <x:c r="C373" t="str">
        <x:v>H200</x:v>
      </x:c>
      <x:c r="D373" t="str">
        <x:v>direct</x:v>
      </x:c>
      <x:c r="E373" t="str">
        <x:v>agentic</x:v>
      </x:c>
      <x:c r="F373" s="19" t="n">
        <x:v>30</x:v>
      </x:c>
      <x:c r="G373" t="str">
        <x:v>dynamo-sglang</x:v>
      </x:c>
      <x:c r="H373" s="23" t="str">
        <x:v>DIRECT_PREFERRED</x:v>
      </x:c>
      <x:c r="I373" s="20" t="n">
        <x:v>5541.729927007299</x:v>
      </x:c>
      <x:c r="J373" s="20" t="n">
        <x:v>92.67840593141798</x:v>
      </x:c>
      <x:c r="K373" s="20" t="n">
        <x:v>12</x:v>
      </x:c>
      <x:c r="L373" s="20" t="n">
        <x:v>32</x:v>
      </x:c>
      <x:c r="M373" s="20" t="n">
        <x:v>0.375</x:v>
      </x:c>
      <x:c r="N373" t="str">
        <x:v>fp8</x:v>
      </x:c>
      <x:c r="O373" t="str">
        <x:v>mtp</x:v>
      </x:c>
      <x:c r="P373" s="19" t="n">
        <x:v>439294</x:v>
      </x:c>
      <x:c r="Q373" s="21" t="n">
        <x:v>46242</x:v>
      </x:c>
      <x:c r="R373" s="22" t="n">
        <x:v>5541.729927007299</x:v>
      </x:c>
      <x:c r="S373" t="str">
        <x:v>dynamo-sglang</x:v>
      </x:c>
      <x:c r="T373" t="str">
        <x:v>dynamo-sglang</x:v>
      </x:c>
      <x:c r="U373" s="19" t="n">
        <x:v>3</x:v>
      </x:c>
      <x:c r="V373" s="19" t="n">
        <x:v>3</x:v>
      </x:c>
      <x:c r="W373" s="19" t="n">
        <x:v>3</x:v>
      </x:c>
      <x:c r="X373" t="str"/>
      <x:c r="Y373" s="23" t="str">
        <x:v>Preferred framework has a direct Pareto-eligible observation.</x:v>
      </x:c>
    </x:row>
    <x:row r="374">
      <x:c r="A374" t="str">
        <x:v>GLM 5.2</x:v>
      </x:c>
      <x:c r="B374" t="str">
        <x:v>glm5.2</x:v>
      </x:c>
      <x:c r="C374" t="str">
        <x:v>H200</x:v>
      </x:c>
      <x:c r="D374" t="str">
        <x:v>direct</x:v>
      </x:c>
      <x:c r="E374" t="str">
        <x:v>agentic</x:v>
      </x:c>
      <x:c r="F374" s="19" t="n">
        <x:v>50</x:v>
      </x:c>
      <x:c r="G374" t="str">
        <x:v>dynamo-sglang</x:v>
      </x:c>
      <x:c r="H374" s="23" t="str">
        <x:v>DIRECT_PREFERRED</x:v>
      </x:c>
      <x:c r="I374" s="20" t="n">
        <x:v>5541.729927007299</x:v>
      </x:c>
      <x:c r="J374" s="20" t="n">
        <x:v>92.67840593141798</x:v>
      </x:c>
      <x:c r="K374" s="20" t="n">
        <x:v>12</x:v>
      </x:c>
      <x:c r="L374" s="20" t="n">
        <x:v>32</x:v>
      </x:c>
      <x:c r="M374" s="20" t="n">
        <x:v>0.375</x:v>
      </x:c>
      <x:c r="N374" t="str">
        <x:v>fp8</x:v>
      </x:c>
      <x:c r="O374" t="str">
        <x:v>mtp</x:v>
      </x:c>
      <x:c r="P374" s="19" t="n">
        <x:v>439294</x:v>
      </x:c>
      <x:c r="Q374" s="21" t="n">
        <x:v>46242</x:v>
      </x:c>
      <x:c r="R374" s="22" t="n">
        <x:v>5541.729927007299</x:v>
      </x:c>
      <x:c r="S374" t="str">
        <x:v>dynamo-sglang</x:v>
      </x:c>
      <x:c r="T374" t="str">
        <x:v>dynamo-sglang</x:v>
      </x:c>
      <x:c r="U374" s="19" t="n">
        <x:v>3</x:v>
      </x:c>
      <x:c r="V374" s="19" t="n">
        <x:v>3</x:v>
      </x:c>
      <x:c r="W374" s="19" t="n">
        <x:v>3</x:v>
      </x:c>
      <x:c r="X374" t="str"/>
      <x:c r="Y374" s="23" t="str">
        <x:v>Preferred framework has a direct Pareto-eligible observation.</x:v>
      </x:c>
    </x:row>
    <x:row r="375">
      <x:c r="A375" t="str">
        <x:v>GLM 5.2</x:v>
      </x:c>
      <x:c r="B375" t="str">
        <x:v>glm5.2</x:v>
      </x:c>
      <x:c r="C375" t="str">
        <x:v>H200</x:v>
      </x:c>
      <x:c r="D375" t="str">
        <x:v>direct</x:v>
      </x:c>
      <x:c r="E375" t="str">
        <x:v>agentic</x:v>
      </x:c>
      <x:c r="F375" s="19" t="n">
        <x:v>70</x:v>
      </x:c>
      <x:c r="G375" t="str">
        <x:v>dynamo-sglang</x:v>
      </x:c>
      <x:c r="H375" s="23" t="str">
        <x:v>DIRECT_PREFERRED</x:v>
      </x:c>
      <x:c r="I375" s="20" t="n">
        <x:v>5541.729927007299</x:v>
      </x:c>
      <x:c r="J375" s="20" t="n">
        <x:v>92.67840593141798</x:v>
      </x:c>
      <x:c r="K375" s="20" t="n">
        <x:v>12</x:v>
      </x:c>
      <x:c r="L375" s="20" t="n">
        <x:v>32</x:v>
      </x:c>
      <x:c r="M375" s="20" t="n">
        <x:v>0.375</x:v>
      </x:c>
      <x:c r="N375" t="str">
        <x:v>fp8</x:v>
      </x:c>
      <x:c r="O375" t="str">
        <x:v>mtp</x:v>
      </x:c>
      <x:c r="P375" s="19" t="n">
        <x:v>439294</x:v>
      </x:c>
      <x:c r="Q375" s="21" t="n">
        <x:v>46242</x:v>
      </x:c>
      <x:c r="R375" s="22" t="n">
        <x:v>5541.729927007299</x:v>
      </x:c>
      <x:c r="S375" t="str">
        <x:v>dynamo-sglang</x:v>
      </x:c>
      <x:c r="T375" t="str">
        <x:v>dynamo-sglang</x:v>
      </x:c>
      <x:c r="U375" s="19" t="n">
        <x:v>3</x:v>
      </x:c>
      <x:c r="V375" s="19" t="n">
        <x:v>3</x:v>
      </x:c>
      <x:c r="W375" s="19" t="n">
        <x:v>3</x:v>
      </x:c>
      <x:c r="X375" t="str"/>
      <x:c r="Y375" s="23" t="str">
        <x:v>Preferred framework has a direct Pareto-eligible observation.</x:v>
      </x:c>
    </x:row>
    <x:row r="376">
      <x:c r="A376" t="str">
        <x:v>GLM 5.2</x:v>
      </x:c>
      <x:c r="B376" t="str">
        <x:v>glm5.2</x:v>
      </x:c>
      <x:c r="C376" t="str">
        <x:v>H200</x:v>
      </x:c>
      <x:c r="D376" t="str">
        <x:v>direct</x:v>
      </x:c>
      <x:c r="E376" t="str">
        <x:v>agentic</x:v>
      </x:c>
      <x:c r="F376" s="19" t="n">
        <x:v>100</x:v>
      </x:c>
      <x:c r="G376" t="str">
        <x:v>dynamo-sglang</x:v>
      </x:c>
      <x:c r="H376" s="23" t="str">
        <x:v>CROSS_MODEL_RATIO_REQUIRED</x:v>
      </x:c>
      <x:c r="I376" s="20"/>
      <x:c r="J376" s="20"/>
      <x:c r="K376" s="20"/>
      <x:c r="L376" s="20"/>
      <x:c r="M376" s="20"/>
      <x:c r="N376" t="str"/>
      <x:c r="O376" t="str"/>
      <x:c r="P376" s="19"/>
      <x:c r="Q376" s="21" t="str"/>
      <x:c r="R376" s="22"/>
      <x:c r="S376" t="str"/>
      <x:c r="T376" t="str">
        <x:v>dynamo-sglang</x:v>
      </x:c>
      <x:c r="U376" s="19" t="n">
        <x:v>0</x:v>
      </x:c>
      <x:c r="V376" s="19" t="n">
        <x:v>0</x:v>
      </x:c>
      <x:c r="W376" s="19" t="n">
        <x:v>3</x:v>
      </x:c>
      <x:c r="X376" t="str"/>
      <x:c r="Y376" s="23" t="str">
        <x:v>Preferred framework has no eligible same-model workload anchor at this interactivity.</x:v>
      </x:c>
    </x:row>
    <x:row r="377">
      <x:c r="A377" t="str">
        <x:v>GLM 5.2</x:v>
      </x:c>
      <x:c r="B377" t="str">
        <x:v>glm5.2</x:v>
      </x:c>
      <x:c r="C377" t="str">
        <x:v>B200</x:v>
      </x:c>
      <x:c r="D377" t="str">
        <x:v>direct</x:v>
      </x:c>
      <x:c r="E377" t="str">
        <x:v>short</x:v>
      </x:c>
      <x:c r="F377" s="19" t="n">
        <x:v>30</x:v>
      </x:c>
      <x:c r="G377" t="str">
        <x:v>sglang</x:v>
      </x:c>
      <x:c r="H377" s="23" t="str">
        <x:v>CROSS_WORKLOAD_RATIO_REQUIRED</x:v>
      </x:c>
      <x:c r="I377" s="20"/>
      <x:c r="J377" s="20"/>
      <x:c r="K377" s="20"/>
      <x:c r="L377" s="20"/>
      <x:c r="M377" s="20"/>
      <x:c r="N377" t="str"/>
      <x:c r="O377" t="str"/>
      <x:c r="P377" s="19"/>
      <x:c r="Q377" s="21" t="str"/>
      <x:c r="R377" s="22"/>
      <x:c r="S377" t="str"/>
      <x:c r="T377" t="str"/>
      <x:c r="U377" s="19" t="n">
        <x:v>0</x:v>
      </x:c>
      <x:c r="V377" s="19" t="n">
        <x:v>0</x:v>
      </x:c>
      <x:c r="W377" s="19" t="n">
        <x:v>0</x:v>
      </x:c>
      <x:c r="X377" t="str">
        <x:v>agentic</x:v>
      </x:c>
      <x:c r="Y377" s="23" t="str">
        <x:v>Preferred framework lacks short; agentic can serve as the same-model anchor if a matched ratio is supported.</x:v>
      </x:c>
    </x:row>
    <x:row r="378">
      <x:c r="A378" t="str">
        <x:v>GLM 5.2</x:v>
      </x:c>
      <x:c r="B378" t="str">
        <x:v>glm5.2</x:v>
      </x:c>
      <x:c r="C378" t="str">
        <x:v>B200</x:v>
      </x:c>
      <x:c r="D378" t="str">
        <x:v>direct</x:v>
      </x:c>
      <x:c r="E378" t="str">
        <x:v>short</x:v>
      </x:c>
      <x:c r="F378" s="19" t="n">
        <x:v>50</x:v>
      </x:c>
      <x:c r="G378" t="str">
        <x:v>sglang</x:v>
      </x:c>
      <x:c r="H378" s="23" t="str">
        <x:v>CROSS_WORKLOAD_RATIO_REQUIRED</x:v>
      </x:c>
      <x:c r="I378" s="20"/>
      <x:c r="J378" s="20"/>
      <x:c r="K378" s="20"/>
      <x:c r="L378" s="20"/>
      <x:c r="M378" s="20"/>
      <x:c r="N378" t="str"/>
      <x:c r="O378" t="str"/>
      <x:c r="P378" s="19"/>
      <x:c r="Q378" s="21" t="str"/>
      <x:c r="R378" s="22"/>
      <x:c r="S378" t="str"/>
      <x:c r="T378" t="str"/>
      <x:c r="U378" s="19" t="n">
        <x:v>0</x:v>
      </x:c>
      <x:c r="V378" s="19" t="n">
        <x:v>0</x:v>
      </x:c>
      <x:c r="W378" s="19" t="n">
        <x:v>0</x:v>
      </x:c>
      <x:c r="X378" t="str">
        <x:v>agentic</x:v>
      </x:c>
      <x:c r="Y378" s="23" t="str">
        <x:v>Preferred framework lacks short; agentic can serve as the same-model anchor if a matched ratio is supported.</x:v>
      </x:c>
    </x:row>
    <x:row r="379">
      <x:c r="A379" t="str">
        <x:v>GLM 5.2</x:v>
      </x:c>
      <x:c r="B379" t="str">
        <x:v>glm5.2</x:v>
      </x:c>
      <x:c r="C379" t="str">
        <x:v>B200</x:v>
      </x:c>
      <x:c r="D379" t="str">
        <x:v>direct</x:v>
      </x:c>
      <x:c r="E379" t="str">
        <x:v>short</x:v>
      </x:c>
      <x:c r="F379" s="19" t="n">
        <x:v>70</x:v>
      </x:c>
      <x:c r="G379" t="str">
        <x:v>sglang</x:v>
      </x:c>
      <x:c r="H379" s="23" t="str">
        <x:v>CROSS_WORKLOAD_RATIO_REQUIRED</x:v>
      </x:c>
      <x:c r="I379" s="20"/>
      <x:c r="J379" s="20"/>
      <x:c r="K379" s="20"/>
      <x:c r="L379" s="20"/>
      <x:c r="M379" s="20"/>
      <x:c r="N379" t="str"/>
      <x:c r="O379" t="str"/>
      <x:c r="P379" s="19"/>
      <x:c r="Q379" s="21" t="str"/>
      <x:c r="R379" s="22"/>
      <x:c r="S379" t="str"/>
      <x:c r="T379" t="str"/>
      <x:c r="U379" s="19" t="n">
        <x:v>0</x:v>
      </x:c>
      <x:c r="V379" s="19" t="n">
        <x:v>0</x:v>
      </x:c>
      <x:c r="W379" s="19" t="n">
        <x:v>0</x:v>
      </x:c>
      <x:c r="X379" t="str">
        <x:v>agentic</x:v>
      </x:c>
      <x:c r="Y379" s="23" t="str">
        <x:v>Preferred framework lacks short; agentic can serve as the same-model anchor if a matched ratio is supported.</x:v>
      </x:c>
    </x:row>
    <x:row r="380">
      <x:c r="A380" t="str">
        <x:v>GLM 5.2</x:v>
      </x:c>
      <x:c r="B380" t="str">
        <x:v>glm5.2</x:v>
      </x:c>
      <x:c r="C380" t="str">
        <x:v>B200</x:v>
      </x:c>
      <x:c r="D380" t="str">
        <x:v>direct</x:v>
      </x:c>
      <x:c r="E380" t="str">
        <x:v>short</x:v>
      </x:c>
      <x:c r="F380" s="19" t="n">
        <x:v>100</x:v>
      </x:c>
      <x:c r="G380" t="str">
        <x:v>sglang</x:v>
      </x:c>
      <x:c r="H380" s="23" t="str">
        <x:v>CROSS_WORKLOAD_RATIO_REQUIRED</x:v>
      </x:c>
      <x:c r="I380" s="20"/>
      <x:c r="J380" s="20"/>
      <x:c r="K380" s="20"/>
      <x:c r="L380" s="20"/>
      <x:c r="M380" s="20"/>
      <x:c r="N380" t="str"/>
      <x:c r="O380" t="str"/>
      <x:c r="P380" s="19"/>
      <x:c r="Q380" s="21" t="str"/>
      <x:c r="R380" s="22"/>
      <x:c r="S380" t="str"/>
      <x:c r="T380" t="str"/>
      <x:c r="U380" s="19" t="n">
        <x:v>0</x:v>
      </x:c>
      <x:c r="V380" s="19" t="n">
        <x:v>0</x:v>
      </x:c>
      <x:c r="W380" s="19" t="n">
        <x:v>0</x:v>
      </x:c>
      <x:c r="X380" t="str">
        <x:v>agentic</x:v>
      </x:c>
      <x:c r="Y380" s="23" t="str">
        <x:v>Preferred framework lacks short; agentic can serve as the same-model anchor if a matched ratio is supported.</x:v>
      </x:c>
    </x:row>
    <x:row r="381">
      <x:c r="A381" t="str">
        <x:v>GLM 5.2</x:v>
      </x:c>
      <x:c r="B381" t="str">
        <x:v>glm5.2</x:v>
      </x:c>
      <x:c r="C381" t="str">
        <x:v>B200</x:v>
      </x:c>
      <x:c r="D381" t="str">
        <x:v>direct</x:v>
      </x:c>
      <x:c r="E381" t="str">
        <x:v>long</x:v>
      </x:c>
      <x:c r="F381" s="19" t="n">
        <x:v>30</x:v>
      </x:c>
      <x:c r="G381" t="str">
        <x:v>sglang</x:v>
      </x:c>
      <x:c r="H381" s="23" t="str">
        <x:v>CROSS_WORKLOAD_RATIO_REQUIRED</x:v>
      </x:c>
      <x:c r="I381" s="20"/>
      <x:c r="J381" s="20"/>
      <x:c r="K381" s="20"/>
      <x:c r="L381" s="20"/>
      <x:c r="M381" s="20"/>
      <x:c r="N381" t="str"/>
      <x:c r="O381" t="str"/>
      <x:c r="P381" s="19"/>
      <x:c r="Q381" s="21" t="str"/>
      <x:c r="R381" s="22"/>
      <x:c r="S381" t="str"/>
      <x:c r="T381" t="str"/>
      <x:c r="U381" s="19" t="n">
        <x:v>0</x:v>
      </x:c>
      <x:c r="V381" s="19" t="n">
        <x:v>0</x:v>
      </x:c>
      <x:c r="W381" s="19" t="n">
        <x:v>0</x:v>
      </x:c>
      <x:c r="X381" t="str">
        <x:v>agentic</x:v>
      </x:c>
      <x:c r="Y381" s="23" t="str">
        <x:v>Preferred framework lacks long; agentic can serve as the same-model anchor if a matched ratio is supported.</x:v>
      </x:c>
    </x:row>
    <x:row r="382">
      <x:c r="A382" t="str">
        <x:v>GLM 5.2</x:v>
      </x:c>
      <x:c r="B382" t="str">
        <x:v>glm5.2</x:v>
      </x:c>
      <x:c r="C382" t="str">
        <x:v>B200</x:v>
      </x:c>
      <x:c r="D382" t="str">
        <x:v>direct</x:v>
      </x:c>
      <x:c r="E382" t="str">
        <x:v>long</x:v>
      </x:c>
      <x:c r="F382" s="19" t="n">
        <x:v>50</x:v>
      </x:c>
      <x:c r="G382" t="str">
        <x:v>sglang</x:v>
      </x:c>
      <x:c r="H382" s="23" t="str">
        <x:v>CROSS_WORKLOAD_RATIO_REQUIRED</x:v>
      </x:c>
      <x:c r="I382" s="20"/>
      <x:c r="J382" s="20"/>
      <x:c r="K382" s="20"/>
      <x:c r="L382" s="20"/>
      <x:c r="M382" s="20"/>
      <x:c r="N382" t="str"/>
      <x:c r="O382" t="str"/>
      <x:c r="P382" s="19"/>
      <x:c r="Q382" s="21" t="str"/>
      <x:c r="R382" s="22"/>
      <x:c r="S382" t="str"/>
      <x:c r="T382" t="str"/>
      <x:c r="U382" s="19" t="n">
        <x:v>0</x:v>
      </x:c>
      <x:c r="V382" s="19" t="n">
        <x:v>0</x:v>
      </x:c>
      <x:c r="W382" s="19" t="n">
        <x:v>0</x:v>
      </x:c>
      <x:c r="X382" t="str">
        <x:v>agentic</x:v>
      </x:c>
      <x:c r="Y382" s="23" t="str">
        <x:v>Preferred framework lacks long; agentic can serve as the same-model anchor if a matched ratio is supported.</x:v>
      </x:c>
    </x:row>
    <x:row r="383">
      <x:c r="A383" t="str">
        <x:v>GLM 5.2</x:v>
      </x:c>
      <x:c r="B383" t="str">
        <x:v>glm5.2</x:v>
      </x:c>
      <x:c r="C383" t="str">
        <x:v>B200</x:v>
      </x:c>
      <x:c r="D383" t="str">
        <x:v>direct</x:v>
      </x:c>
      <x:c r="E383" t="str">
        <x:v>long</x:v>
      </x:c>
      <x:c r="F383" s="19" t="n">
        <x:v>70</x:v>
      </x:c>
      <x:c r="G383" t="str">
        <x:v>sglang</x:v>
      </x:c>
      <x:c r="H383" s="23" t="str">
        <x:v>CROSS_WORKLOAD_RATIO_REQUIRED</x:v>
      </x:c>
      <x:c r="I383" s="20"/>
      <x:c r="J383" s="20"/>
      <x:c r="K383" s="20"/>
      <x:c r="L383" s="20"/>
      <x:c r="M383" s="20"/>
      <x:c r="N383" t="str"/>
      <x:c r="O383" t="str"/>
      <x:c r="P383" s="19"/>
      <x:c r="Q383" s="21" t="str"/>
      <x:c r="R383" s="22"/>
      <x:c r="S383" t="str"/>
      <x:c r="T383" t="str"/>
      <x:c r="U383" s="19" t="n">
        <x:v>0</x:v>
      </x:c>
      <x:c r="V383" s="19" t="n">
        <x:v>0</x:v>
      </x:c>
      <x:c r="W383" s="19" t="n">
        <x:v>0</x:v>
      </x:c>
      <x:c r="X383" t="str">
        <x:v>agentic</x:v>
      </x:c>
      <x:c r="Y383" s="23" t="str">
        <x:v>Preferred framework lacks long; agentic can serve as the same-model anchor if a matched ratio is supported.</x:v>
      </x:c>
    </x:row>
    <x:row r="384">
      <x:c r="A384" t="str">
        <x:v>GLM 5.2</x:v>
      </x:c>
      <x:c r="B384" t="str">
        <x:v>glm5.2</x:v>
      </x:c>
      <x:c r="C384" t="str">
        <x:v>B200</x:v>
      </x:c>
      <x:c r="D384" t="str">
        <x:v>direct</x:v>
      </x:c>
      <x:c r="E384" t="str">
        <x:v>long</x:v>
      </x:c>
      <x:c r="F384" s="19" t="n">
        <x:v>100</x:v>
      </x:c>
      <x:c r="G384" t="str">
        <x:v>sglang</x:v>
      </x:c>
      <x:c r="H384" s="23" t="str">
        <x:v>CROSS_WORKLOAD_RATIO_REQUIRED</x:v>
      </x:c>
      <x:c r="I384" s="20"/>
      <x:c r="J384" s="20"/>
      <x:c r="K384" s="20"/>
      <x:c r="L384" s="20"/>
      <x:c r="M384" s="20"/>
      <x:c r="N384" t="str"/>
      <x:c r="O384" t="str"/>
      <x:c r="P384" s="19"/>
      <x:c r="Q384" s="21" t="str"/>
      <x:c r="R384" s="22"/>
      <x:c r="S384" t="str"/>
      <x:c r="T384" t="str"/>
      <x:c r="U384" s="19" t="n">
        <x:v>0</x:v>
      </x:c>
      <x:c r="V384" s="19" t="n">
        <x:v>0</x:v>
      </x:c>
      <x:c r="W384" s="19" t="n">
        <x:v>0</x:v>
      </x:c>
      <x:c r="X384" t="str">
        <x:v>agentic</x:v>
      </x:c>
      <x:c r="Y384" s="23" t="str">
        <x:v>Preferred framework lacks long; agentic can serve as the same-model anchor if a matched ratio is supported.</x:v>
      </x:c>
    </x:row>
    <x:row r="385">
      <x:c r="A385" t="str">
        <x:v>GLM 5.2</x:v>
      </x:c>
      <x:c r="B385" t="str">
        <x:v>glm5.2</x:v>
      </x:c>
      <x:c r="C385" t="str">
        <x:v>B200</x:v>
      </x:c>
      <x:c r="D385" t="str">
        <x:v>direct</x:v>
      </x:c>
      <x:c r="E385" t="str">
        <x:v>agentic</x:v>
      </x:c>
      <x:c r="F385" s="19" t="n">
        <x:v>30</x:v>
      </x:c>
      <x:c r="G385" t="str">
        <x:v>sglang</x:v>
      </x:c>
      <x:c r="H385" s="23" t="str">
        <x:v>DIRECT_PREFERRED</x:v>
      </x:c>
      <x:c r="I385" s="20" t="n">
        <x:v>30934.690058479533</x:v>
      </x:c>
      <x:c r="J385" s="20" t="n">
        <x:v>204.54218115794308</x:v>
      </x:c>
      <x:c r="K385" s="20" t="n">
        <x:v>12</x:v>
      </x:c>
      <x:c r="L385" s="20" t="n">
        <x:v>8</x:v>
      </x:c>
      <x:c r="M385" s="20" t="n">
        <x:v>1.5</x:v>
      </x:c>
      <x:c r="N385" t="str">
        <x:v>fp4</x:v>
      </x:c>
      <x:c r="O385" t="str">
        <x:v>mtp</x:v>
      </x:c>
      <x:c r="P385" s="19" t="n">
        <x:v>439243</x:v>
      </x:c>
      <x:c r="Q385" s="21" t="n">
        <x:v>46242</x:v>
      </x:c>
      <x:c r="R385" s="22" t="n">
        <x:v>30934.690058479533</x:v>
      </x:c>
      <x:c r="S385" t="str">
        <x:v>sglang</x:v>
      </x:c>
      <x:c r="T385" t="str">
        <x:v>sglang</x:v>
      </x:c>
      <x:c r="U385" s="19" t="n">
        <x:v>5</x:v>
      </x:c>
      <x:c r="V385" s="19" t="n">
        <x:v>5</x:v>
      </x:c>
      <x:c r="W385" s="19" t="n">
        <x:v>5</x:v>
      </x:c>
      <x:c r="X385" t="str"/>
      <x:c r="Y385" s="23" t="str">
        <x:v>Preferred framework has a direct Pareto-eligible observation.</x:v>
      </x:c>
    </x:row>
    <x:row r="386">
      <x:c r="A386" t="str">
        <x:v>GLM 5.2</x:v>
      </x:c>
      <x:c r="B386" t="str">
        <x:v>glm5.2</x:v>
      </x:c>
      <x:c r="C386" t="str">
        <x:v>B200</x:v>
      </x:c>
      <x:c r="D386" t="str">
        <x:v>direct</x:v>
      </x:c>
      <x:c r="E386" t="str">
        <x:v>agentic</x:v>
      </x:c>
      <x:c r="F386" s="19" t="n">
        <x:v>50</x:v>
      </x:c>
      <x:c r="G386" t="str">
        <x:v>sglang</x:v>
      </x:c>
      <x:c r="H386" s="23" t="str">
        <x:v>DIRECT_PREFERRED</x:v>
      </x:c>
      <x:c r="I386" s="20" t="n">
        <x:v>30934.690058479533</x:v>
      </x:c>
      <x:c r="J386" s="20" t="n">
        <x:v>204.54218115794308</x:v>
      </x:c>
      <x:c r="K386" s="20" t="n">
        <x:v>12</x:v>
      </x:c>
      <x:c r="L386" s="20" t="n">
        <x:v>8</x:v>
      </x:c>
      <x:c r="M386" s="20" t="n">
        <x:v>1.5</x:v>
      </x:c>
      <x:c r="N386" t="str">
        <x:v>fp4</x:v>
      </x:c>
      <x:c r="O386" t="str">
        <x:v>mtp</x:v>
      </x:c>
      <x:c r="P386" s="19" t="n">
        <x:v>439243</x:v>
      </x:c>
      <x:c r="Q386" s="21" t="n">
        <x:v>46242</x:v>
      </x:c>
      <x:c r="R386" s="22" t="n">
        <x:v>30934.690058479533</x:v>
      </x:c>
      <x:c r="S386" t="str">
        <x:v>sglang</x:v>
      </x:c>
      <x:c r="T386" t="str">
        <x:v>sglang</x:v>
      </x:c>
      <x:c r="U386" s="19" t="n">
        <x:v>5</x:v>
      </x:c>
      <x:c r="V386" s="19" t="n">
        <x:v>5</x:v>
      </x:c>
      <x:c r="W386" s="19" t="n">
        <x:v>5</x:v>
      </x:c>
      <x:c r="X386" t="str"/>
      <x:c r="Y386" s="23" t="str">
        <x:v>Preferred framework has a direct Pareto-eligible observation.</x:v>
      </x:c>
    </x:row>
    <x:row r="387">
      <x:c r="A387" t="str">
        <x:v>GLM 5.2</x:v>
      </x:c>
      <x:c r="B387" t="str">
        <x:v>glm5.2</x:v>
      </x:c>
      <x:c r="C387" t="str">
        <x:v>B200</x:v>
      </x:c>
      <x:c r="D387" t="str">
        <x:v>direct</x:v>
      </x:c>
      <x:c r="E387" t="str">
        <x:v>agentic</x:v>
      </x:c>
      <x:c r="F387" s="19" t="n">
        <x:v>70</x:v>
      </x:c>
      <x:c r="G387" t="str">
        <x:v>sglang</x:v>
      </x:c>
      <x:c r="H387" s="23" t="str">
        <x:v>DIRECT_PREFERRED</x:v>
      </x:c>
      <x:c r="I387" s="20" t="n">
        <x:v>30934.690058479533</x:v>
      </x:c>
      <x:c r="J387" s="20" t="n">
        <x:v>204.54218115794308</x:v>
      </x:c>
      <x:c r="K387" s="20" t="n">
        <x:v>12</x:v>
      </x:c>
      <x:c r="L387" s="20" t="n">
        <x:v>8</x:v>
      </x:c>
      <x:c r="M387" s="20" t="n">
        <x:v>1.5</x:v>
      </x:c>
      <x:c r="N387" t="str">
        <x:v>fp4</x:v>
      </x:c>
      <x:c r="O387" t="str">
        <x:v>mtp</x:v>
      </x:c>
      <x:c r="P387" s="19" t="n">
        <x:v>439243</x:v>
      </x:c>
      <x:c r="Q387" s="21" t="n">
        <x:v>46242</x:v>
      </x:c>
      <x:c r="R387" s="22" t="n">
        <x:v>30934.690058479533</x:v>
      </x:c>
      <x:c r="S387" t="str">
        <x:v>sglang</x:v>
      </x:c>
      <x:c r="T387" t="str">
        <x:v>sglang</x:v>
      </x:c>
      <x:c r="U387" s="19" t="n">
        <x:v>4</x:v>
      </x:c>
      <x:c r="V387" s="19" t="n">
        <x:v>4</x:v>
      </x:c>
      <x:c r="W387" s="19" t="n">
        <x:v>5</x:v>
      </x:c>
      <x:c r="X387" t="str"/>
      <x:c r="Y387" s="23" t="str">
        <x:v>Preferred framework has a direct Pareto-eligible observation.</x:v>
      </x:c>
    </x:row>
    <x:row r="388">
      <x:c r="A388" t="str">
        <x:v>GLM 5.2</x:v>
      </x:c>
      <x:c r="B388" t="str">
        <x:v>glm5.2</x:v>
      </x:c>
      <x:c r="C388" t="str">
        <x:v>B200</x:v>
      </x:c>
      <x:c r="D388" t="str">
        <x:v>direct</x:v>
      </x:c>
      <x:c r="E388" t="str">
        <x:v>agentic</x:v>
      </x:c>
      <x:c r="F388" s="19" t="n">
        <x:v>100</x:v>
      </x:c>
      <x:c r="G388" t="str">
        <x:v>sglang</x:v>
      </x:c>
      <x:c r="H388" s="23" t="str">
        <x:v>DIRECT_PREFERRED</x:v>
      </x:c>
      <x:c r="I388" s="20" t="n">
        <x:v>30934.690058479533</x:v>
      </x:c>
      <x:c r="J388" s="20" t="n">
        <x:v>204.54218115794308</x:v>
      </x:c>
      <x:c r="K388" s="20" t="n">
        <x:v>12</x:v>
      </x:c>
      <x:c r="L388" s="20" t="n">
        <x:v>8</x:v>
      </x:c>
      <x:c r="M388" s="20" t="n">
        <x:v>1.5</x:v>
      </x:c>
      <x:c r="N388" t="str">
        <x:v>fp4</x:v>
      </x:c>
      <x:c r="O388" t="str">
        <x:v>mtp</x:v>
      </x:c>
      <x:c r="P388" s="19" t="n">
        <x:v>439243</x:v>
      </x:c>
      <x:c r="Q388" s="21" t="n">
        <x:v>46242</x:v>
      </x:c>
      <x:c r="R388" s="22" t="n">
        <x:v>30934.690058479533</x:v>
      </x:c>
      <x:c r="S388" t="str">
        <x:v>sglang</x:v>
      </x:c>
      <x:c r="T388" t="str">
        <x:v>sglang</x:v>
      </x:c>
      <x:c r="U388" s="19" t="n">
        <x:v>4</x:v>
      </x:c>
      <x:c r="V388" s="19" t="n">
        <x:v>4</x:v>
      </x:c>
      <x:c r="W388" s="19" t="n">
        <x:v>5</x:v>
      </x:c>
      <x:c r="X388" t="str"/>
      <x:c r="Y388" s="23" t="str">
        <x:v>Preferred framework has a direct Pareto-eligible observation.</x:v>
      </x:c>
    </x:row>
    <x:row r="389">
      <x:c r="A389" t="str">
        <x:v>GLM 5.2</x:v>
      </x:c>
      <x:c r="B389" t="str">
        <x:v>glm5.2</x:v>
      </x:c>
      <x:c r="C389" t="str">
        <x:v>B300</x:v>
      </x:c>
      <x:c r="D389" t="str">
        <x:v>direct</x:v>
      </x:c>
      <x:c r="E389" t="str">
        <x:v>short</x:v>
      </x:c>
      <x:c r="F389" s="19" t="n">
        <x:v>30</x:v>
      </x:c>
      <x:c r="G389" t="str">
        <x:v>sglang</x:v>
      </x:c>
      <x:c r="H389" s="23" t="str">
        <x:v>CROSS_WORKLOAD_RATIO_REQUIRED</x:v>
      </x:c>
      <x:c r="I389" s="20"/>
      <x:c r="J389" s="20"/>
      <x:c r="K389" s="20"/>
      <x:c r="L389" s="20"/>
      <x:c r="M389" s="20"/>
      <x:c r="N389" t="str"/>
      <x:c r="O389" t="str"/>
      <x:c r="P389" s="19"/>
      <x:c r="Q389" s="21" t="str"/>
      <x:c r="R389" s="22"/>
      <x:c r="S389" t="str"/>
      <x:c r="T389" t="str"/>
      <x:c r="U389" s="19" t="n">
        <x:v>0</x:v>
      </x:c>
      <x:c r="V389" s="19" t="n">
        <x:v>0</x:v>
      </x:c>
      <x:c r="W389" s="19" t="n">
        <x:v>0</x:v>
      </x:c>
      <x:c r="X389" t="str">
        <x:v>agentic</x:v>
      </x:c>
      <x:c r="Y389" s="23" t="str">
        <x:v>Preferred framework lacks short; agentic can serve as the same-model anchor if a matched ratio is supported.</x:v>
      </x:c>
    </x:row>
    <x:row r="390">
      <x:c r="A390" t="str">
        <x:v>GLM 5.2</x:v>
      </x:c>
      <x:c r="B390" t="str">
        <x:v>glm5.2</x:v>
      </x:c>
      <x:c r="C390" t="str">
        <x:v>B300</x:v>
      </x:c>
      <x:c r="D390" t="str">
        <x:v>direct</x:v>
      </x:c>
      <x:c r="E390" t="str">
        <x:v>short</x:v>
      </x:c>
      <x:c r="F390" s="19" t="n">
        <x:v>50</x:v>
      </x:c>
      <x:c r="G390" t="str">
        <x:v>sglang</x:v>
      </x:c>
      <x:c r="H390" s="23" t="str">
        <x:v>CROSS_WORKLOAD_RATIO_REQUIRED</x:v>
      </x:c>
      <x:c r="I390" s="20"/>
      <x:c r="J390" s="20"/>
      <x:c r="K390" s="20"/>
      <x:c r="L390" s="20"/>
      <x:c r="M390" s="20"/>
      <x:c r="N390" t="str"/>
      <x:c r="O390" t="str"/>
      <x:c r="P390" s="19"/>
      <x:c r="Q390" s="21" t="str"/>
      <x:c r="R390" s="22"/>
      <x:c r="S390" t="str"/>
      <x:c r="T390" t="str"/>
      <x:c r="U390" s="19" t="n">
        <x:v>0</x:v>
      </x:c>
      <x:c r="V390" s="19" t="n">
        <x:v>0</x:v>
      </x:c>
      <x:c r="W390" s="19" t="n">
        <x:v>0</x:v>
      </x:c>
      <x:c r="X390" t="str">
        <x:v>agentic</x:v>
      </x:c>
      <x:c r="Y390" s="23" t="str">
        <x:v>Preferred framework lacks short; agentic can serve as the same-model anchor if a matched ratio is supported.</x:v>
      </x:c>
    </x:row>
    <x:row r="391">
      <x:c r="A391" t="str">
        <x:v>GLM 5.2</x:v>
      </x:c>
      <x:c r="B391" t="str">
        <x:v>glm5.2</x:v>
      </x:c>
      <x:c r="C391" t="str">
        <x:v>B300</x:v>
      </x:c>
      <x:c r="D391" t="str">
        <x:v>direct</x:v>
      </x:c>
      <x:c r="E391" t="str">
        <x:v>short</x:v>
      </x:c>
      <x:c r="F391" s="19" t="n">
        <x:v>70</x:v>
      </x:c>
      <x:c r="G391" t="str">
        <x:v>sglang</x:v>
      </x:c>
      <x:c r="H391" s="23" t="str">
        <x:v>CROSS_WORKLOAD_RATIO_REQUIRED</x:v>
      </x:c>
      <x:c r="I391" s="20"/>
      <x:c r="J391" s="20"/>
      <x:c r="K391" s="20"/>
      <x:c r="L391" s="20"/>
      <x:c r="M391" s="20"/>
      <x:c r="N391" t="str"/>
      <x:c r="O391" t="str"/>
      <x:c r="P391" s="19"/>
      <x:c r="Q391" s="21" t="str"/>
      <x:c r="R391" s="22"/>
      <x:c r="S391" t="str"/>
      <x:c r="T391" t="str"/>
      <x:c r="U391" s="19" t="n">
        <x:v>0</x:v>
      </x:c>
      <x:c r="V391" s="19" t="n">
        <x:v>0</x:v>
      </x:c>
      <x:c r="W391" s="19" t="n">
        <x:v>0</x:v>
      </x:c>
      <x:c r="X391" t="str">
        <x:v>agentic</x:v>
      </x:c>
      <x:c r="Y391" s="23" t="str">
        <x:v>Preferred framework lacks short; agentic can serve as the same-model anchor if a matched ratio is supported.</x:v>
      </x:c>
    </x:row>
    <x:row r="392">
      <x:c r="A392" t="str">
        <x:v>GLM 5.2</x:v>
      </x:c>
      <x:c r="B392" t="str">
        <x:v>glm5.2</x:v>
      </x:c>
      <x:c r="C392" t="str">
        <x:v>B300</x:v>
      </x:c>
      <x:c r="D392" t="str">
        <x:v>direct</x:v>
      </x:c>
      <x:c r="E392" t="str">
        <x:v>short</x:v>
      </x:c>
      <x:c r="F392" s="19" t="n">
        <x:v>100</x:v>
      </x:c>
      <x:c r="G392" t="str">
        <x:v>sglang</x:v>
      </x:c>
      <x:c r="H392" s="23" t="str">
        <x:v>CROSS_WORKLOAD_RATIO_REQUIRED</x:v>
      </x:c>
      <x:c r="I392" s="20"/>
      <x:c r="J392" s="20"/>
      <x:c r="K392" s="20"/>
      <x:c r="L392" s="20"/>
      <x:c r="M392" s="20"/>
      <x:c r="N392" t="str"/>
      <x:c r="O392" t="str"/>
      <x:c r="P392" s="19"/>
      <x:c r="Q392" s="21" t="str"/>
      <x:c r="R392" s="22"/>
      <x:c r="S392" t="str"/>
      <x:c r="T392" t="str"/>
      <x:c r="U392" s="19" t="n">
        <x:v>0</x:v>
      </x:c>
      <x:c r="V392" s="19" t="n">
        <x:v>0</x:v>
      </x:c>
      <x:c r="W392" s="19" t="n">
        <x:v>0</x:v>
      </x:c>
      <x:c r="X392" t="str">
        <x:v>agentic</x:v>
      </x:c>
      <x:c r="Y392" s="23" t="str">
        <x:v>Preferred framework lacks short; agentic can serve as the same-model anchor if a matched ratio is supported.</x:v>
      </x:c>
    </x:row>
    <x:row r="393">
      <x:c r="A393" t="str">
        <x:v>GLM 5.2</x:v>
      </x:c>
      <x:c r="B393" t="str">
        <x:v>glm5.2</x:v>
      </x:c>
      <x:c r="C393" t="str">
        <x:v>B300</x:v>
      </x:c>
      <x:c r="D393" t="str">
        <x:v>direct</x:v>
      </x:c>
      <x:c r="E393" t="str">
        <x:v>long</x:v>
      </x:c>
      <x:c r="F393" s="19" t="n">
        <x:v>30</x:v>
      </x:c>
      <x:c r="G393" t="str">
        <x:v>sglang</x:v>
      </x:c>
      <x:c r="H393" s="23" t="str">
        <x:v>CROSS_WORKLOAD_RATIO_REQUIRED</x:v>
      </x:c>
      <x:c r="I393" s="20"/>
      <x:c r="J393" s="20"/>
      <x:c r="K393" s="20"/>
      <x:c r="L393" s="20"/>
      <x:c r="M393" s="20"/>
      <x:c r="N393" t="str"/>
      <x:c r="O393" t="str"/>
      <x:c r="P393" s="19"/>
      <x:c r="Q393" s="21" t="str"/>
      <x:c r="R393" s="22"/>
      <x:c r="S393" t="str"/>
      <x:c r="T393" t="str"/>
      <x:c r="U393" s="19" t="n">
        <x:v>0</x:v>
      </x:c>
      <x:c r="V393" s="19" t="n">
        <x:v>0</x:v>
      </x:c>
      <x:c r="W393" s="19" t="n">
        <x:v>0</x:v>
      </x:c>
      <x:c r="X393" t="str">
        <x:v>agentic</x:v>
      </x:c>
      <x:c r="Y393" s="23" t="str">
        <x:v>Preferred framework lacks long; agentic can serve as the same-model anchor if a matched ratio is supported.</x:v>
      </x:c>
    </x:row>
    <x:row r="394">
      <x:c r="A394" t="str">
        <x:v>GLM 5.2</x:v>
      </x:c>
      <x:c r="B394" t="str">
        <x:v>glm5.2</x:v>
      </x:c>
      <x:c r="C394" t="str">
        <x:v>B300</x:v>
      </x:c>
      <x:c r="D394" t="str">
        <x:v>direct</x:v>
      </x:c>
      <x:c r="E394" t="str">
        <x:v>long</x:v>
      </x:c>
      <x:c r="F394" s="19" t="n">
        <x:v>50</x:v>
      </x:c>
      <x:c r="G394" t="str">
        <x:v>sglang</x:v>
      </x:c>
      <x:c r="H394" s="23" t="str">
        <x:v>CROSS_WORKLOAD_RATIO_REQUIRED</x:v>
      </x:c>
      <x:c r="I394" s="20"/>
      <x:c r="J394" s="20"/>
      <x:c r="K394" s="20"/>
      <x:c r="L394" s="20"/>
      <x:c r="M394" s="20"/>
      <x:c r="N394" t="str"/>
      <x:c r="O394" t="str"/>
      <x:c r="P394" s="19"/>
      <x:c r="Q394" s="21" t="str"/>
      <x:c r="R394" s="22"/>
      <x:c r="S394" t="str"/>
      <x:c r="T394" t="str"/>
      <x:c r="U394" s="19" t="n">
        <x:v>0</x:v>
      </x:c>
      <x:c r="V394" s="19" t="n">
        <x:v>0</x:v>
      </x:c>
      <x:c r="W394" s="19" t="n">
        <x:v>0</x:v>
      </x:c>
      <x:c r="X394" t="str">
        <x:v>agentic</x:v>
      </x:c>
      <x:c r="Y394" s="23" t="str">
        <x:v>Preferred framework lacks long; agentic can serve as the same-model anchor if a matched ratio is supported.</x:v>
      </x:c>
    </x:row>
    <x:row r="395">
      <x:c r="A395" t="str">
        <x:v>GLM 5.2</x:v>
      </x:c>
      <x:c r="B395" t="str">
        <x:v>glm5.2</x:v>
      </x:c>
      <x:c r="C395" t="str">
        <x:v>B300</x:v>
      </x:c>
      <x:c r="D395" t="str">
        <x:v>direct</x:v>
      </x:c>
      <x:c r="E395" t="str">
        <x:v>long</x:v>
      </x:c>
      <x:c r="F395" s="19" t="n">
        <x:v>70</x:v>
      </x:c>
      <x:c r="G395" t="str">
        <x:v>sglang</x:v>
      </x:c>
      <x:c r="H395" s="23" t="str">
        <x:v>CROSS_WORKLOAD_RATIO_REQUIRED</x:v>
      </x:c>
      <x:c r="I395" s="20"/>
      <x:c r="J395" s="20"/>
      <x:c r="K395" s="20"/>
      <x:c r="L395" s="20"/>
      <x:c r="M395" s="20"/>
      <x:c r="N395" t="str"/>
      <x:c r="O395" t="str"/>
      <x:c r="P395" s="19"/>
      <x:c r="Q395" s="21" t="str"/>
      <x:c r="R395" s="22"/>
      <x:c r="S395" t="str"/>
      <x:c r="T395" t="str"/>
      <x:c r="U395" s="19" t="n">
        <x:v>0</x:v>
      </x:c>
      <x:c r="V395" s="19" t="n">
        <x:v>0</x:v>
      </x:c>
      <x:c r="W395" s="19" t="n">
        <x:v>0</x:v>
      </x:c>
      <x:c r="X395" t="str">
        <x:v>agentic</x:v>
      </x:c>
      <x:c r="Y395" s="23" t="str">
        <x:v>Preferred framework lacks long; agentic can serve as the same-model anchor if a matched ratio is supported.</x:v>
      </x:c>
    </x:row>
    <x:row r="396">
      <x:c r="A396" t="str">
        <x:v>GLM 5.2</x:v>
      </x:c>
      <x:c r="B396" t="str">
        <x:v>glm5.2</x:v>
      </x:c>
      <x:c r="C396" t="str">
        <x:v>B300</x:v>
      </x:c>
      <x:c r="D396" t="str">
        <x:v>direct</x:v>
      </x:c>
      <x:c r="E396" t="str">
        <x:v>long</x:v>
      </x:c>
      <x:c r="F396" s="19" t="n">
        <x:v>100</x:v>
      </x:c>
      <x:c r="G396" t="str">
        <x:v>sglang</x:v>
      </x:c>
      <x:c r="H396" s="23" t="str">
        <x:v>CROSS_WORKLOAD_RATIO_REQUIRED</x:v>
      </x:c>
      <x:c r="I396" s="20"/>
      <x:c r="J396" s="20"/>
      <x:c r="K396" s="20"/>
      <x:c r="L396" s="20"/>
      <x:c r="M396" s="20"/>
      <x:c r="N396" t="str"/>
      <x:c r="O396" t="str"/>
      <x:c r="P396" s="19"/>
      <x:c r="Q396" s="21" t="str"/>
      <x:c r="R396" s="22"/>
      <x:c r="S396" t="str"/>
      <x:c r="T396" t="str"/>
      <x:c r="U396" s="19" t="n">
        <x:v>0</x:v>
      </x:c>
      <x:c r="V396" s="19" t="n">
        <x:v>0</x:v>
      </x:c>
      <x:c r="W396" s="19" t="n">
        <x:v>0</x:v>
      </x:c>
      <x:c r="X396" t="str">
        <x:v>agentic</x:v>
      </x:c>
      <x:c r="Y396" s="23" t="str">
        <x:v>Preferred framework lacks long; agentic can serve as the same-model anchor if a matched ratio is supported.</x:v>
      </x:c>
    </x:row>
    <x:row r="397">
      <x:c r="A397" t="str">
        <x:v>GLM 5.2</x:v>
      </x:c>
      <x:c r="B397" t="str">
        <x:v>glm5.2</x:v>
      </x:c>
      <x:c r="C397" t="str">
        <x:v>B300</x:v>
      </x:c>
      <x:c r="D397" t="str">
        <x:v>direct</x:v>
      </x:c>
      <x:c r="E397" t="str">
        <x:v>agentic</x:v>
      </x:c>
      <x:c r="F397" s="19" t="n">
        <x:v>30</x:v>
      </x:c>
      <x:c r="G397" t="str">
        <x:v>sglang</x:v>
      </x:c>
      <x:c r="H397" s="23" t="str">
        <x:v>DIRECT_PREFERRED</x:v>
      </x:c>
      <x:c r="I397" s="20" t="n">
        <x:v>40645.12105263158</x:v>
      </x:c>
      <x:c r="J397" s="20" t="n">
        <x:v>185.16842331933978</x:v>
      </x:c>
      <x:c r="K397" s="20" t="n">
        <x:v>16</x:v>
      </x:c>
      <x:c r="L397" s="20" t="n">
        <x:v>8</x:v>
      </x:c>
      <x:c r="M397" s="20" t="n">
        <x:v>2</x:v>
      </x:c>
      <x:c r="N397" t="str">
        <x:v>fp4</x:v>
      </x:c>
      <x:c r="O397" t="str">
        <x:v>mtp</x:v>
      </x:c>
      <x:c r="P397" s="19" t="n">
        <x:v>439194</x:v>
      </x:c>
      <x:c r="Q397" s="21" t="n">
        <x:v>46241</x:v>
      </x:c>
      <x:c r="R397" s="22" t="n">
        <x:v>40645.12105263158</x:v>
      </x:c>
      <x:c r="S397" t="str">
        <x:v>sglang</x:v>
      </x:c>
      <x:c r="T397" t="str">
        <x:v>sglang</x:v>
      </x:c>
      <x:c r="U397" s="19" t="n">
        <x:v>5</x:v>
      </x:c>
      <x:c r="V397" s="19" t="n">
        <x:v>5</x:v>
      </x:c>
      <x:c r="W397" s="19" t="n">
        <x:v>5</x:v>
      </x:c>
      <x:c r="X397" t="str"/>
      <x:c r="Y397" s="23" t="str">
        <x:v>Preferred framework has a direct Pareto-eligible observation.</x:v>
      </x:c>
    </x:row>
    <x:row r="398">
      <x:c r="A398" t="str">
        <x:v>GLM 5.2</x:v>
      </x:c>
      <x:c r="B398" t="str">
        <x:v>glm5.2</x:v>
      </x:c>
      <x:c r="C398" t="str">
        <x:v>B300</x:v>
      </x:c>
      <x:c r="D398" t="str">
        <x:v>direct</x:v>
      </x:c>
      <x:c r="E398" t="str">
        <x:v>agentic</x:v>
      </x:c>
      <x:c r="F398" s="19" t="n">
        <x:v>50</x:v>
      </x:c>
      <x:c r="G398" t="str">
        <x:v>sglang</x:v>
      </x:c>
      <x:c r="H398" s="23" t="str">
        <x:v>DIRECT_PREFERRED</x:v>
      </x:c>
      <x:c r="I398" s="20" t="n">
        <x:v>40645.12105263158</x:v>
      </x:c>
      <x:c r="J398" s="20" t="n">
        <x:v>185.16842331933978</x:v>
      </x:c>
      <x:c r="K398" s="20" t="n">
        <x:v>16</x:v>
      </x:c>
      <x:c r="L398" s="20" t="n">
        <x:v>8</x:v>
      </x:c>
      <x:c r="M398" s="20" t="n">
        <x:v>2</x:v>
      </x:c>
      <x:c r="N398" t="str">
        <x:v>fp4</x:v>
      </x:c>
      <x:c r="O398" t="str">
        <x:v>mtp</x:v>
      </x:c>
      <x:c r="P398" s="19" t="n">
        <x:v>439194</x:v>
      </x:c>
      <x:c r="Q398" s="21" t="n">
        <x:v>46241</x:v>
      </x:c>
      <x:c r="R398" s="22" t="n">
        <x:v>40645.12105263158</x:v>
      </x:c>
      <x:c r="S398" t="str">
        <x:v>sglang</x:v>
      </x:c>
      <x:c r="T398" t="str">
        <x:v>sglang</x:v>
      </x:c>
      <x:c r="U398" s="19" t="n">
        <x:v>5</x:v>
      </x:c>
      <x:c r="V398" s="19" t="n">
        <x:v>5</x:v>
      </x:c>
      <x:c r="W398" s="19" t="n">
        <x:v>5</x:v>
      </x:c>
      <x:c r="X398" t="str"/>
      <x:c r="Y398" s="23" t="str">
        <x:v>Preferred framework has a direct Pareto-eligible observation.</x:v>
      </x:c>
    </x:row>
    <x:row r="399">
      <x:c r="A399" t="str">
        <x:v>GLM 5.2</x:v>
      </x:c>
      <x:c r="B399" t="str">
        <x:v>glm5.2</x:v>
      </x:c>
      <x:c r="C399" t="str">
        <x:v>B300</x:v>
      </x:c>
      <x:c r="D399" t="str">
        <x:v>direct</x:v>
      </x:c>
      <x:c r="E399" t="str">
        <x:v>agentic</x:v>
      </x:c>
      <x:c r="F399" s="19" t="n">
        <x:v>70</x:v>
      </x:c>
      <x:c r="G399" t="str">
        <x:v>sglang</x:v>
      </x:c>
      <x:c r="H399" s="23" t="str">
        <x:v>DIRECT_PREFERRED</x:v>
      </x:c>
      <x:c r="I399" s="20" t="n">
        <x:v>40645.12105263158</x:v>
      </x:c>
      <x:c r="J399" s="20" t="n">
        <x:v>185.16842331933978</x:v>
      </x:c>
      <x:c r="K399" s="20" t="n">
        <x:v>16</x:v>
      </x:c>
      <x:c r="L399" s="20" t="n">
        <x:v>8</x:v>
      </x:c>
      <x:c r="M399" s="20" t="n">
        <x:v>2</x:v>
      </x:c>
      <x:c r="N399" t="str">
        <x:v>fp4</x:v>
      </x:c>
      <x:c r="O399" t="str">
        <x:v>mtp</x:v>
      </x:c>
      <x:c r="P399" s="19" t="n">
        <x:v>439194</x:v>
      </x:c>
      <x:c r="Q399" s="21" t="n">
        <x:v>46241</x:v>
      </x:c>
      <x:c r="R399" s="22" t="n">
        <x:v>40645.12105263158</x:v>
      </x:c>
      <x:c r="S399" t="str">
        <x:v>sglang</x:v>
      </x:c>
      <x:c r="T399" t="str">
        <x:v>sglang</x:v>
      </x:c>
      <x:c r="U399" s="19" t="n">
        <x:v>5</x:v>
      </x:c>
      <x:c r="V399" s="19" t="n">
        <x:v>5</x:v>
      </x:c>
      <x:c r="W399" s="19" t="n">
        <x:v>5</x:v>
      </x:c>
      <x:c r="X399" t="str"/>
      <x:c r="Y399" s="23" t="str">
        <x:v>Preferred framework has a direct Pareto-eligible observation.</x:v>
      </x:c>
    </x:row>
    <x:row r="400">
      <x:c r="A400" t="str">
        <x:v>GLM 5.2</x:v>
      </x:c>
      <x:c r="B400" t="str">
        <x:v>glm5.2</x:v>
      </x:c>
      <x:c r="C400" t="str">
        <x:v>B300</x:v>
      </x:c>
      <x:c r="D400" t="str">
        <x:v>direct</x:v>
      </x:c>
      <x:c r="E400" t="str">
        <x:v>agentic</x:v>
      </x:c>
      <x:c r="F400" s="19" t="n">
        <x:v>100</x:v>
      </x:c>
      <x:c r="G400" t="str">
        <x:v>sglang</x:v>
      </x:c>
      <x:c r="H400" s="23" t="str">
        <x:v>DIRECT_PREFERRED</x:v>
      </x:c>
      <x:c r="I400" s="20" t="n">
        <x:v>40645.12105263158</x:v>
      </x:c>
      <x:c r="J400" s="20" t="n">
        <x:v>185.16842331933978</x:v>
      </x:c>
      <x:c r="K400" s="20" t="n">
        <x:v>16</x:v>
      </x:c>
      <x:c r="L400" s="20" t="n">
        <x:v>8</x:v>
      </x:c>
      <x:c r="M400" s="20" t="n">
        <x:v>2</x:v>
      </x:c>
      <x:c r="N400" t="str">
        <x:v>fp4</x:v>
      </x:c>
      <x:c r="O400" t="str">
        <x:v>mtp</x:v>
      </x:c>
      <x:c r="P400" s="19" t="n">
        <x:v>439194</x:v>
      </x:c>
      <x:c r="Q400" s="21" t="n">
        <x:v>46241</x:v>
      </x:c>
      <x:c r="R400" s="22" t="n">
        <x:v>40645.12105263158</x:v>
      </x:c>
      <x:c r="S400" t="str">
        <x:v>sglang</x:v>
      </x:c>
      <x:c r="T400" t="str">
        <x:v>sglang</x:v>
      </x:c>
      <x:c r="U400" s="19" t="n">
        <x:v>5</x:v>
      </x:c>
      <x:c r="V400" s="19" t="n">
        <x:v>5</x:v>
      </x:c>
      <x:c r="W400" s="19" t="n">
        <x:v>5</x:v>
      </x:c>
      <x:c r="X400" t="str"/>
      <x:c r="Y400" s="23" t="str">
        <x:v>Preferred framework has a direct Pareto-eligible observation.</x:v>
      </x:c>
    </x:row>
    <x:row r="401">
      <x:c r="A401" t="str">
        <x:v>GLM 5.2</x:v>
      </x:c>
      <x:c r="B401" t="str">
        <x:v>glm5.2</x:v>
      </x:c>
      <x:c r="C401" t="str">
        <x:v>GB200</x:v>
      </x:c>
      <x:c r="D401" t="str">
        <x:v>direct</x:v>
      </x:c>
      <x:c r="E401" t="str">
        <x:v>short</x:v>
      </x:c>
      <x:c r="F401" s="19" t="n">
        <x:v>30</x:v>
      </x:c>
      <x:c r="G401" t="str"/>
      <x:c r="H401" s="23" t="str">
        <x:v>CROSS_MODEL_RATIO_REQUIRED</x:v>
      </x:c>
      <x:c r="I401" s="20"/>
      <x:c r="J401" s="20"/>
      <x:c r="K401" s="20"/>
      <x:c r="L401" s="20"/>
      <x:c r="M401" s="20"/>
      <x:c r="N401" t="str"/>
      <x:c r="O401" t="str"/>
      <x:c r="P401" s="19"/>
      <x:c r="Q401" s="21" t="str"/>
      <x:c r="R401" s="22"/>
      <x:c r="S401" t="str"/>
      <x:c r="T401" t="str"/>
      <x:c r="U401" s="19" t="n">
        <x:v>0</x:v>
      </x:c>
      <x:c r="V401" s="19" t="n">
        <x:v>0</x:v>
      </x:c>
      <x:c r="W401" s="19" t="n">
        <x:v>0</x:v>
      </x:c>
      <x:c r="X401" t="str"/>
      <x:c r="Y401" s="23" t="str">
        <x:v>No direct proxy benchmark on this GPU; cross-model evidence is required.</x:v>
      </x:c>
    </x:row>
    <x:row r="402">
      <x:c r="A402" t="str">
        <x:v>GLM 5.2</x:v>
      </x:c>
      <x:c r="B402" t="str">
        <x:v>glm5.2</x:v>
      </x:c>
      <x:c r="C402" t="str">
        <x:v>GB200</x:v>
      </x:c>
      <x:c r="D402" t="str">
        <x:v>direct</x:v>
      </x:c>
      <x:c r="E402" t="str">
        <x:v>short</x:v>
      </x:c>
      <x:c r="F402" s="19" t="n">
        <x:v>50</x:v>
      </x:c>
      <x:c r="G402" t="str"/>
      <x:c r="H402" s="23" t="str">
        <x:v>CROSS_MODEL_RATIO_REQUIRED</x:v>
      </x:c>
      <x:c r="I402" s="20"/>
      <x:c r="J402" s="20"/>
      <x:c r="K402" s="20"/>
      <x:c r="L402" s="20"/>
      <x:c r="M402" s="20"/>
      <x:c r="N402" t="str"/>
      <x:c r="O402" t="str"/>
      <x:c r="P402" s="19"/>
      <x:c r="Q402" s="21" t="str"/>
      <x:c r="R402" s="22"/>
      <x:c r="S402" t="str"/>
      <x:c r="T402" t="str"/>
      <x:c r="U402" s="19" t="n">
        <x:v>0</x:v>
      </x:c>
      <x:c r="V402" s="19" t="n">
        <x:v>0</x:v>
      </x:c>
      <x:c r="W402" s="19" t="n">
        <x:v>0</x:v>
      </x:c>
      <x:c r="X402" t="str"/>
      <x:c r="Y402" s="23" t="str">
        <x:v>No direct proxy benchmark on this GPU; cross-model evidence is required.</x:v>
      </x:c>
    </x:row>
    <x:row r="403">
      <x:c r="A403" t="str">
        <x:v>GLM 5.2</x:v>
      </x:c>
      <x:c r="B403" t="str">
        <x:v>glm5.2</x:v>
      </x:c>
      <x:c r="C403" t="str">
        <x:v>GB200</x:v>
      </x:c>
      <x:c r="D403" t="str">
        <x:v>direct</x:v>
      </x:c>
      <x:c r="E403" t="str">
        <x:v>short</x:v>
      </x:c>
      <x:c r="F403" s="19" t="n">
        <x:v>70</x:v>
      </x:c>
      <x:c r="G403" t="str"/>
      <x:c r="H403" s="23" t="str">
        <x:v>CROSS_MODEL_RATIO_REQUIRED</x:v>
      </x:c>
      <x:c r="I403" s="20"/>
      <x:c r="J403" s="20"/>
      <x:c r="K403" s="20"/>
      <x:c r="L403" s="20"/>
      <x:c r="M403" s="20"/>
      <x:c r="N403" t="str"/>
      <x:c r="O403" t="str"/>
      <x:c r="P403" s="19"/>
      <x:c r="Q403" s="21" t="str"/>
      <x:c r="R403" s="22"/>
      <x:c r="S403" t="str"/>
      <x:c r="T403" t="str"/>
      <x:c r="U403" s="19" t="n">
        <x:v>0</x:v>
      </x:c>
      <x:c r="V403" s="19" t="n">
        <x:v>0</x:v>
      </x:c>
      <x:c r="W403" s="19" t="n">
        <x:v>0</x:v>
      </x:c>
      <x:c r="X403" t="str"/>
      <x:c r="Y403" s="23" t="str">
        <x:v>No direct proxy benchmark on this GPU; cross-model evidence is required.</x:v>
      </x:c>
    </x:row>
    <x:row r="404">
      <x:c r="A404" t="str">
        <x:v>GLM 5.2</x:v>
      </x:c>
      <x:c r="B404" t="str">
        <x:v>glm5.2</x:v>
      </x:c>
      <x:c r="C404" t="str">
        <x:v>GB200</x:v>
      </x:c>
      <x:c r="D404" t="str">
        <x:v>direct</x:v>
      </x:c>
      <x:c r="E404" t="str">
        <x:v>short</x:v>
      </x:c>
      <x:c r="F404" s="19" t="n">
        <x:v>100</x:v>
      </x:c>
      <x:c r="G404" t="str"/>
      <x:c r="H404" s="23" t="str">
        <x:v>CROSS_MODEL_RATIO_REQUIRED</x:v>
      </x:c>
      <x:c r="I404" s="20"/>
      <x:c r="J404" s="20"/>
      <x:c r="K404" s="20"/>
      <x:c r="L404" s="20"/>
      <x:c r="M404" s="20"/>
      <x:c r="N404" t="str"/>
      <x:c r="O404" t="str"/>
      <x:c r="P404" s="19"/>
      <x:c r="Q404" s="21" t="str"/>
      <x:c r="R404" s="22"/>
      <x:c r="S404" t="str"/>
      <x:c r="T404" t="str"/>
      <x:c r="U404" s="19" t="n">
        <x:v>0</x:v>
      </x:c>
      <x:c r="V404" s="19" t="n">
        <x:v>0</x:v>
      </x:c>
      <x:c r="W404" s="19" t="n">
        <x:v>0</x:v>
      </x:c>
      <x:c r="X404" t="str"/>
      <x:c r="Y404" s="23" t="str">
        <x:v>No direct proxy benchmark on this GPU; cross-model evidence is required.</x:v>
      </x:c>
    </x:row>
    <x:row r="405">
      <x:c r="A405" t="str">
        <x:v>GLM 5.2</x:v>
      </x:c>
      <x:c r="B405" t="str">
        <x:v>glm5.2</x:v>
      </x:c>
      <x:c r="C405" t="str">
        <x:v>GB200</x:v>
      </x:c>
      <x:c r="D405" t="str">
        <x:v>direct</x:v>
      </x:c>
      <x:c r="E405" t="str">
        <x:v>long</x:v>
      </x:c>
      <x:c r="F405" s="19" t="n">
        <x:v>30</x:v>
      </x:c>
      <x:c r="G405" t="str"/>
      <x:c r="H405" s="23" t="str">
        <x:v>CROSS_MODEL_RATIO_REQUIRED</x:v>
      </x:c>
      <x:c r="I405" s="20"/>
      <x:c r="J405" s="20"/>
      <x:c r="K405" s="20"/>
      <x:c r="L405" s="20"/>
      <x:c r="M405" s="20"/>
      <x:c r="N405" t="str"/>
      <x:c r="O405" t="str"/>
      <x:c r="P405" s="19"/>
      <x:c r="Q405" s="21" t="str"/>
      <x:c r="R405" s="22"/>
      <x:c r="S405" t="str"/>
      <x:c r="T405" t="str"/>
      <x:c r="U405" s="19" t="n">
        <x:v>0</x:v>
      </x:c>
      <x:c r="V405" s="19" t="n">
        <x:v>0</x:v>
      </x:c>
      <x:c r="W405" s="19" t="n">
        <x:v>0</x:v>
      </x:c>
      <x:c r="X405" t="str"/>
      <x:c r="Y405" s="23" t="str">
        <x:v>No direct proxy benchmark on this GPU; cross-model evidence is required.</x:v>
      </x:c>
    </x:row>
    <x:row r="406">
      <x:c r="A406" t="str">
        <x:v>GLM 5.2</x:v>
      </x:c>
      <x:c r="B406" t="str">
        <x:v>glm5.2</x:v>
      </x:c>
      <x:c r="C406" t="str">
        <x:v>GB200</x:v>
      </x:c>
      <x:c r="D406" t="str">
        <x:v>direct</x:v>
      </x:c>
      <x:c r="E406" t="str">
        <x:v>long</x:v>
      </x:c>
      <x:c r="F406" s="19" t="n">
        <x:v>50</x:v>
      </x:c>
      <x:c r="G406" t="str"/>
      <x:c r="H406" s="23" t="str">
        <x:v>CROSS_MODEL_RATIO_REQUIRED</x:v>
      </x:c>
      <x:c r="I406" s="20"/>
      <x:c r="J406" s="20"/>
      <x:c r="K406" s="20"/>
      <x:c r="L406" s="20"/>
      <x:c r="M406" s="20"/>
      <x:c r="N406" t="str"/>
      <x:c r="O406" t="str"/>
      <x:c r="P406" s="19"/>
      <x:c r="Q406" s="21" t="str"/>
      <x:c r="R406" s="22"/>
      <x:c r="S406" t="str"/>
      <x:c r="T406" t="str"/>
      <x:c r="U406" s="19" t="n">
        <x:v>0</x:v>
      </x:c>
      <x:c r="V406" s="19" t="n">
        <x:v>0</x:v>
      </x:c>
      <x:c r="W406" s="19" t="n">
        <x:v>0</x:v>
      </x:c>
      <x:c r="X406" t="str"/>
      <x:c r="Y406" s="23" t="str">
        <x:v>No direct proxy benchmark on this GPU; cross-model evidence is required.</x:v>
      </x:c>
    </x:row>
    <x:row r="407">
      <x:c r="A407" t="str">
        <x:v>GLM 5.2</x:v>
      </x:c>
      <x:c r="B407" t="str">
        <x:v>glm5.2</x:v>
      </x:c>
      <x:c r="C407" t="str">
        <x:v>GB200</x:v>
      </x:c>
      <x:c r="D407" t="str">
        <x:v>direct</x:v>
      </x:c>
      <x:c r="E407" t="str">
        <x:v>long</x:v>
      </x:c>
      <x:c r="F407" s="19" t="n">
        <x:v>70</x:v>
      </x:c>
      <x:c r="G407" t="str"/>
      <x:c r="H407" s="23" t="str">
        <x:v>CROSS_MODEL_RATIO_REQUIRED</x:v>
      </x:c>
      <x:c r="I407" s="20"/>
      <x:c r="J407" s="20"/>
      <x:c r="K407" s="20"/>
      <x:c r="L407" s="20"/>
      <x:c r="M407" s="20"/>
      <x:c r="N407" t="str"/>
      <x:c r="O407" t="str"/>
      <x:c r="P407" s="19"/>
      <x:c r="Q407" s="21" t="str"/>
      <x:c r="R407" s="22"/>
      <x:c r="S407" t="str"/>
      <x:c r="T407" t="str"/>
      <x:c r="U407" s="19" t="n">
        <x:v>0</x:v>
      </x:c>
      <x:c r="V407" s="19" t="n">
        <x:v>0</x:v>
      </x:c>
      <x:c r="W407" s="19" t="n">
        <x:v>0</x:v>
      </x:c>
      <x:c r="X407" t="str"/>
      <x:c r="Y407" s="23" t="str">
        <x:v>No direct proxy benchmark on this GPU; cross-model evidence is required.</x:v>
      </x:c>
    </x:row>
    <x:row r="408">
      <x:c r="A408" t="str">
        <x:v>GLM 5.2</x:v>
      </x:c>
      <x:c r="B408" t="str">
        <x:v>glm5.2</x:v>
      </x:c>
      <x:c r="C408" t="str">
        <x:v>GB200</x:v>
      </x:c>
      <x:c r="D408" t="str">
        <x:v>direct</x:v>
      </x:c>
      <x:c r="E408" t="str">
        <x:v>long</x:v>
      </x:c>
      <x:c r="F408" s="19" t="n">
        <x:v>100</x:v>
      </x:c>
      <x:c r="G408" t="str"/>
      <x:c r="H408" s="23" t="str">
        <x:v>CROSS_MODEL_RATIO_REQUIRED</x:v>
      </x:c>
      <x:c r="I408" s="20"/>
      <x:c r="J408" s="20"/>
      <x:c r="K408" s="20"/>
      <x:c r="L408" s="20"/>
      <x:c r="M408" s="20"/>
      <x:c r="N408" t="str"/>
      <x:c r="O408" t="str"/>
      <x:c r="P408" s="19"/>
      <x:c r="Q408" s="21" t="str"/>
      <x:c r="R408" s="22"/>
      <x:c r="S408" t="str"/>
      <x:c r="T408" t="str"/>
      <x:c r="U408" s="19" t="n">
        <x:v>0</x:v>
      </x:c>
      <x:c r="V408" s="19" t="n">
        <x:v>0</x:v>
      </x:c>
      <x:c r="W408" s="19" t="n">
        <x:v>0</x:v>
      </x:c>
      <x:c r="X408" t="str"/>
      <x:c r="Y408" s="23" t="str">
        <x:v>No direct proxy benchmark on this GPU; cross-model evidence is required.</x:v>
      </x:c>
    </x:row>
    <x:row r="409">
      <x:c r="A409" t="str">
        <x:v>GLM 5.2</x:v>
      </x:c>
      <x:c r="B409" t="str">
        <x:v>glm5.2</x:v>
      </x:c>
      <x:c r="C409" t="str">
        <x:v>GB200</x:v>
      </x:c>
      <x:c r="D409" t="str">
        <x:v>direct</x:v>
      </x:c>
      <x:c r="E409" t="str">
        <x:v>agentic</x:v>
      </x:c>
      <x:c r="F409" s="19" t="n">
        <x:v>30</x:v>
      </x:c>
      <x:c r="G409" t="str"/>
      <x:c r="H409" s="23" t="str">
        <x:v>CROSS_MODEL_RATIO_REQUIRED</x:v>
      </x:c>
      <x:c r="I409" s="20"/>
      <x:c r="J409" s="20"/>
      <x:c r="K409" s="20"/>
      <x:c r="L409" s="20"/>
      <x:c r="M409" s="20"/>
      <x:c r="N409" t="str"/>
      <x:c r="O409" t="str"/>
      <x:c r="P409" s="19"/>
      <x:c r="Q409" s="21" t="str"/>
      <x:c r="R409" s="22"/>
      <x:c r="S409" t="str"/>
      <x:c r="T409" t="str"/>
      <x:c r="U409" s="19" t="n">
        <x:v>0</x:v>
      </x:c>
      <x:c r="V409" s="19" t="n">
        <x:v>0</x:v>
      </x:c>
      <x:c r="W409" s="19" t="n">
        <x:v>0</x:v>
      </x:c>
      <x:c r="X409" t="str"/>
      <x:c r="Y409" s="23" t="str">
        <x:v>No direct proxy benchmark on this GPU; cross-model evidence is required.</x:v>
      </x:c>
    </x:row>
    <x:row r="410">
      <x:c r="A410" t="str">
        <x:v>GLM 5.2</x:v>
      </x:c>
      <x:c r="B410" t="str">
        <x:v>glm5.2</x:v>
      </x:c>
      <x:c r="C410" t="str">
        <x:v>GB200</x:v>
      </x:c>
      <x:c r="D410" t="str">
        <x:v>direct</x:v>
      </x:c>
      <x:c r="E410" t="str">
        <x:v>agentic</x:v>
      </x:c>
      <x:c r="F410" s="19" t="n">
        <x:v>50</x:v>
      </x:c>
      <x:c r="G410" t="str"/>
      <x:c r="H410" s="23" t="str">
        <x:v>CROSS_MODEL_RATIO_REQUIRED</x:v>
      </x:c>
      <x:c r="I410" s="20"/>
      <x:c r="J410" s="20"/>
      <x:c r="K410" s="20"/>
      <x:c r="L410" s="20"/>
      <x:c r="M410" s="20"/>
      <x:c r="N410" t="str"/>
      <x:c r="O410" t="str"/>
      <x:c r="P410" s="19"/>
      <x:c r="Q410" s="21" t="str"/>
      <x:c r="R410" s="22"/>
      <x:c r="S410" t="str"/>
      <x:c r="T410" t="str"/>
      <x:c r="U410" s="19" t="n">
        <x:v>0</x:v>
      </x:c>
      <x:c r="V410" s="19" t="n">
        <x:v>0</x:v>
      </x:c>
      <x:c r="W410" s="19" t="n">
        <x:v>0</x:v>
      </x:c>
      <x:c r="X410" t="str"/>
      <x:c r="Y410" s="23" t="str">
        <x:v>No direct proxy benchmark on this GPU; cross-model evidence is required.</x:v>
      </x:c>
    </x:row>
    <x:row r="411">
      <x:c r="A411" t="str">
        <x:v>GLM 5.2</x:v>
      </x:c>
      <x:c r="B411" t="str">
        <x:v>glm5.2</x:v>
      </x:c>
      <x:c r="C411" t="str">
        <x:v>GB200</x:v>
      </x:c>
      <x:c r="D411" t="str">
        <x:v>direct</x:v>
      </x:c>
      <x:c r="E411" t="str">
        <x:v>agentic</x:v>
      </x:c>
      <x:c r="F411" s="19" t="n">
        <x:v>70</x:v>
      </x:c>
      <x:c r="G411" t="str"/>
      <x:c r="H411" s="23" t="str">
        <x:v>CROSS_MODEL_RATIO_REQUIRED</x:v>
      </x:c>
      <x:c r="I411" s="20"/>
      <x:c r="J411" s="20"/>
      <x:c r="K411" s="20"/>
      <x:c r="L411" s="20"/>
      <x:c r="M411" s="20"/>
      <x:c r="N411" t="str"/>
      <x:c r="O411" t="str"/>
      <x:c r="P411" s="19"/>
      <x:c r="Q411" s="21" t="str"/>
      <x:c r="R411" s="22"/>
      <x:c r="S411" t="str"/>
      <x:c r="T411" t="str"/>
      <x:c r="U411" s="19" t="n">
        <x:v>0</x:v>
      </x:c>
      <x:c r="V411" s="19" t="n">
        <x:v>0</x:v>
      </x:c>
      <x:c r="W411" s="19" t="n">
        <x:v>0</x:v>
      </x:c>
      <x:c r="X411" t="str"/>
      <x:c r="Y411" s="23" t="str">
        <x:v>No direct proxy benchmark on this GPU; cross-model evidence is required.</x:v>
      </x:c>
    </x:row>
    <x:row r="412">
      <x:c r="A412" t="str">
        <x:v>GLM 5.2</x:v>
      </x:c>
      <x:c r="B412" t="str">
        <x:v>glm5.2</x:v>
      </x:c>
      <x:c r="C412" t="str">
        <x:v>GB200</x:v>
      </x:c>
      <x:c r="D412" t="str">
        <x:v>direct</x:v>
      </x:c>
      <x:c r="E412" t="str">
        <x:v>agentic</x:v>
      </x:c>
      <x:c r="F412" s="19" t="n">
        <x:v>100</x:v>
      </x:c>
      <x:c r="G412" t="str"/>
      <x:c r="H412" s="23" t="str">
        <x:v>CROSS_MODEL_RATIO_REQUIRED</x:v>
      </x:c>
      <x:c r="I412" s="20"/>
      <x:c r="J412" s="20"/>
      <x:c r="K412" s="20"/>
      <x:c r="L412" s="20"/>
      <x:c r="M412" s="20"/>
      <x:c r="N412" t="str"/>
      <x:c r="O412" t="str"/>
      <x:c r="P412" s="19"/>
      <x:c r="Q412" s="21" t="str"/>
      <x:c r="R412" s="22"/>
      <x:c r="S412" t="str"/>
      <x:c r="T412" t="str"/>
      <x:c r="U412" s="19" t="n">
        <x:v>0</x:v>
      </x:c>
      <x:c r="V412" s="19" t="n">
        <x:v>0</x:v>
      </x:c>
      <x:c r="W412" s="19" t="n">
        <x:v>0</x:v>
      </x:c>
      <x:c r="X412" t="str"/>
      <x:c r="Y412" s="23" t="str">
        <x:v>No direct proxy benchmark on this GPU; cross-model evidence is required.</x:v>
      </x:c>
    </x:row>
    <x:row r="413">
      <x:c r="A413" t="str">
        <x:v>GLM 5.2</x:v>
      </x:c>
      <x:c r="B413" t="str">
        <x:v>glm5.2</x:v>
      </x:c>
      <x:c r="C413" t="str">
        <x:v>GB300</x:v>
      </x:c>
      <x:c r="D413" t="str">
        <x:v>direct</x:v>
      </x:c>
      <x:c r="E413" t="str">
        <x:v>short</x:v>
      </x:c>
      <x:c r="F413" s="19" t="n">
        <x:v>30</x:v>
      </x:c>
      <x:c r="G413" t="str"/>
      <x:c r="H413" s="23" t="str">
        <x:v>CROSS_MODEL_RATIO_REQUIRED</x:v>
      </x:c>
      <x:c r="I413" s="20"/>
      <x:c r="J413" s="20"/>
      <x:c r="K413" s="20"/>
      <x:c r="L413" s="20"/>
      <x:c r="M413" s="20"/>
      <x:c r="N413" t="str"/>
      <x:c r="O413" t="str"/>
      <x:c r="P413" s="19"/>
      <x:c r="Q413" s="21" t="str"/>
      <x:c r="R413" s="22"/>
      <x:c r="S413" t="str"/>
      <x:c r="T413" t="str"/>
      <x:c r="U413" s="19" t="n">
        <x:v>0</x:v>
      </x:c>
      <x:c r="V413" s="19" t="n">
        <x:v>0</x:v>
      </x:c>
      <x:c r="W413" s="19" t="n">
        <x:v>0</x:v>
      </x:c>
      <x:c r="X413" t="str"/>
      <x:c r="Y413" s="23" t="str">
        <x:v>No direct proxy benchmark on this GPU; cross-model evidence is required.</x:v>
      </x:c>
    </x:row>
    <x:row r="414">
      <x:c r="A414" t="str">
        <x:v>GLM 5.2</x:v>
      </x:c>
      <x:c r="B414" t="str">
        <x:v>glm5.2</x:v>
      </x:c>
      <x:c r="C414" t="str">
        <x:v>GB300</x:v>
      </x:c>
      <x:c r="D414" t="str">
        <x:v>direct</x:v>
      </x:c>
      <x:c r="E414" t="str">
        <x:v>short</x:v>
      </x:c>
      <x:c r="F414" s="19" t="n">
        <x:v>50</x:v>
      </x:c>
      <x:c r="G414" t="str"/>
      <x:c r="H414" s="23" t="str">
        <x:v>CROSS_MODEL_RATIO_REQUIRED</x:v>
      </x:c>
      <x:c r="I414" s="20"/>
      <x:c r="J414" s="20"/>
      <x:c r="K414" s="20"/>
      <x:c r="L414" s="20"/>
      <x:c r="M414" s="20"/>
      <x:c r="N414" t="str"/>
      <x:c r="O414" t="str"/>
      <x:c r="P414" s="19"/>
      <x:c r="Q414" s="21" t="str"/>
      <x:c r="R414" s="22"/>
      <x:c r="S414" t="str"/>
      <x:c r="T414" t="str"/>
      <x:c r="U414" s="19" t="n">
        <x:v>0</x:v>
      </x:c>
      <x:c r="V414" s="19" t="n">
        <x:v>0</x:v>
      </x:c>
      <x:c r="W414" s="19" t="n">
        <x:v>0</x:v>
      </x:c>
      <x:c r="X414" t="str"/>
      <x:c r="Y414" s="23" t="str">
        <x:v>No direct proxy benchmark on this GPU; cross-model evidence is required.</x:v>
      </x:c>
    </x:row>
    <x:row r="415">
      <x:c r="A415" t="str">
        <x:v>GLM 5.2</x:v>
      </x:c>
      <x:c r="B415" t="str">
        <x:v>glm5.2</x:v>
      </x:c>
      <x:c r="C415" t="str">
        <x:v>GB300</x:v>
      </x:c>
      <x:c r="D415" t="str">
        <x:v>direct</x:v>
      </x:c>
      <x:c r="E415" t="str">
        <x:v>short</x:v>
      </x:c>
      <x:c r="F415" s="19" t="n">
        <x:v>70</x:v>
      </x:c>
      <x:c r="G415" t="str"/>
      <x:c r="H415" s="23" t="str">
        <x:v>CROSS_MODEL_RATIO_REQUIRED</x:v>
      </x:c>
      <x:c r="I415" s="20"/>
      <x:c r="J415" s="20"/>
      <x:c r="K415" s="20"/>
      <x:c r="L415" s="20"/>
      <x:c r="M415" s="20"/>
      <x:c r="N415" t="str"/>
      <x:c r="O415" t="str"/>
      <x:c r="P415" s="19"/>
      <x:c r="Q415" s="21" t="str"/>
      <x:c r="R415" s="22"/>
      <x:c r="S415" t="str"/>
      <x:c r="T415" t="str"/>
      <x:c r="U415" s="19" t="n">
        <x:v>0</x:v>
      </x:c>
      <x:c r="V415" s="19" t="n">
        <x:v>0</x:v>
      </x:c>
      <x:c r="W415" s="19" t="n">
        <x:v>0</x:v>
      </x:c>
      <x:c r="X415" t="str"/>
      <x:c r="Y415" s="23" t="str">
        <x:v>No direct proxy benchmark on this GPU; cross-model evidence is required.</x:v>
      </x:c>
    </x:row>
    <x:row r="416">
      <x:c r="A416" t="str">
        <x:v>GLM 5.2</x:v>
      </x:c>
      <x:c r="B416" t="str">
        <x:v>glm5.2</x:v>
      </x:c>
      <x:c r="C416" t="str">
        <x:v>GB300</x:v>
      </x:c>
      <x:c r="D416" t="str">
        <x:v>direct</x:v>
      </x:c>
      <x:c r="E416" t="str">
        <x:v>short</x:v>
      </x:c>
      <x:c r="F416" s="19" t="n">
        <x:v>100</x:v>
      </x:c>
      <x:c r="G416" t="str"/>
      <x:c r="H416" s="23" t="str">
        <x:v>CROSS_MODEL_RATIO_REQUIRED</x:v>
      </x:c>
      <x:c r="I416" s="20"/>
      <x:c r="J416" s="20"/>
      <x:c r="K416" s="20"/>
      <x:c r="L416" s="20"/>
      <x:c r="M416" s="20"/>
      <x:c r="N416" t="str"/>
      <x:c r="O416" t="str"/>
      <x:c r="P416" s="19"/>
      <x:c r="Q416" s="21" t="str"/>
      <x:c r="R416" s="22"/>
      <x:c r="S416" t="str"/>
      <x:c r="T416" t="str"/>
      <x:c r="U416" s="19" t="n">
        <x:v>0</x:v>
      </x:c>
      <x:c r="V416" s="19" t="n">
        <x:v>0</x:v>
      </x:c>
      <x:c r="W416" s="19" t="n">
        <x:v>0</x:v>
      </x:c>
      <x:c r="X416" t="str"/>
      <x:c r="Y416" s="23" t="str">
        <x:v>No direct proxy benchmark on this GPU; cross-model evidence is required.</x:v>
      </x:c>
    </x:row>
    <x:row r="417">
      <x:c r="A417" t="str">
        <x:v>GLM 5.2</x:v>
      </x:c>
      <x:c r="B417" t="str">
        <x:v>glm5.2</x:v>
      </x:c>
      <x:c r="C417" t="str">
        <x:v>GB300</x:v>
      </x:c>
      <x:c r="D417" t="str">
        <x:v>direct</x:v>
      </x:c>
      <x:c r="E417" t="str">
        <x:v>long</x:v>
      </x:c>
      <x:c r="F417" s="19" t="n">
        <x:v>30</x:v>
      </x:c>
      <x:c r="G417" t="str"/>
      <x:c r="H417" s="23" t="str">
        <x:v>CROSS_MODEL_RATIO_REQUIRED</x:v>
      </x:c>
      <x:c r="I417" s="20"/>
      <x:c r="J417" s="20"/>
      <x:c r="K417" s="20"/>
      <x:c r="L417" s="20"/>
      <x:c r="M417" s="20"/>
      <x:c r="N417" t="str"/>
      <x:c r="O417" t="str"/>
      <x:c r="P417" s="19"/>
      <x:c r="Q417" s="21" t="str"/>
      <x:c r="R417" s="22"/>
      <x:c r="S417" t="str"/>
      <x:c r="T417" t="str"/>
      <x:c r="U417" s="19" t="n">
        <x:v>0</x:v>
      </x:c>
      <x:c r="V417" s="19" t="n">
        <x:v>0</x:v>
      </x:c>
      <x:c r="W417" s="19" t="n">
        <x:v>0</x:v>
      </x:c>
      <x:c r="X417" t="str"/>
      <x:c r="Y417" s="23" t="str">
        <x:v>No direct proxy benchmark on this GPU; cross-model evidence is required.</x:v>
      </x:c>
    </x:row>
    <x:row r="418">
      <x:c r="A418" t="str">
        <x:v>GLM 5.2</x:v>
      </x:c>
      <x:c r="B418" t="str">
        <x:v>glm5.2</x:v>
      </x:c>
      <x:c r="C418" t="str">
        <x:v>GB300</x:v>
      </x:c>
      <x:c r="D418" t="str">
        <x:v>direct</x:v>
      </x:c>
      <x:c r="E418" t="str">
        <x:v>long</x:v>
      </x:c>
      <x:c r="F418" s="19" t="n">
        <x:v>50</x:v>
      </x:c>
      <x:c r="G418" t="str"/>
      <x:c r="H418" s="23" t="str">
        <x:v>CROSS_MODEL_RATIO_REQUIRED</x:v>
      </x:c>
      <x:c r="I418" s="20"/>
      <x:c r="J418" s="20"/>
      <x:c r="K418" s="20"/>
      <x:c r="L418" s="20"/>
      <x:c r="M418" s="20"/>
      <x:c r="N418" t="str"/>
      <x:c r="O418" t="str"/>
      <x:c r="P418" s="19"/>
      <x:c r="Q418" s="21" t="str"/>
      <x:c r="R418" s="22"/>
      <x:c r="S418" t="str"/>
      <x:c r="T418" t="str"/>
      <x:c r="U418" s="19" t="n">
        <x:v>0</x:v>
      </x:c>
      <x:c r="V418" s="19" t="n">
        <x:v>0</x:v>
      </x:c>
      <x:c r="W418" s="19" t="n">
        <x:v>0</x:v>
      </x:c>
      <x:c r="X418" t="str"/>
      <x:c r="Y418" s="23" t="str">
        <x:v>No direct proxy benchmark on this GPU; cross-model evidence is required.</x:v>
      </x:c>
    </x:row>
    <x:row r="419">
      <x:c r="A419" t="str">
        <x:v>GLM 5.2</x:v>
      </x:c>
      <x:c r="B419" t="str">
        <x:v>glm5.2</x:v>
      </x:c>
      <x:c r="C419" t="str">
        <x:v>GB300</x:v>
      </x:c>
      <x:c r="D419" t="str">
        <x:v>direct</x:v>
      </x:c>
      <x:c r="E419" t="str">
        <x:v>long</x:v>
      </x:c>
      <x:c r="F419" s="19" t="n">
        <x:v>70</x:v>
      </x:c>
      <x:c r="G419" t="str"/>
      <x:c r="H419" s="23" t="str">
        <x:v>CROSS_MODEL_RATIO_REQUIRED</x:v>
      </x:c>
      <x:c r="I419" s="20"/>
      <x:c r="J419" s="20"/>
      <x:c r="K419" s="20"/>
      <x:c r="L419" s="20"/>
      <x:c r="M419" s="20"/>
      <x:c r="N419" t="str"/>
      <x:c r="O419" t="str"/>
      <x:c r="P419" s="19"/>
      <x:c r="Q419" s="21" t="str"/>
      <x:c r="R419" s="22"/>
      <x:c r="S419" t="str"/>
      <x:c r="T419" t="str"/>
      <x:c r="U419" s="19" t="n">
        <x:v>0</x:v>
      </x:c>
      <x:c r="V419" s="19" t="n">
        <x:v>0</x:v>
      </x:c>
      <x:c r="W419" s="19" t="n">
        <x:v>0</x:v>
      </x:c>
      <x:c r="X419" t="str"/>
      <x:c r="Y419" s="23" t="str">
        <x:v>No direct proxy benchmark on this GPU; cross-model evidence is required.</x:v>
      </x:c>
    </x:row>
    <x:row r="420">
      <x:c r="A420" t="str">
        <x:v>GLM 5.2</x:v>
      </x:c>
      <x:c r="B420" t="str">
        <x:v>glm5.2</x:v>
      </x:c>
      <x:c r="C420" t="str">
        <x:v>GB300</x:v>
      </x:c>
      <x:c r="D420" t="str">
        <x:v>direct</x:v>
      </x:c>
      <x:c r="E420" t="str">
        <x:v>long</x:v>
      </x:c>
      <x:c r="F420" s="19" t="n">
        <x:v>100</x:v>
      </x:c>
      <x:c r="G420" t="str"/>
      <x:c r="H420" s="23" t="str">
        <x:v>CROSS_MODEL_RATIO_REQUIRED</x:v>
      </x:c>
      <x:c r="I420" s="20"/>
      <x:c r="J420" s="20"/>
      <x:c r="K420" s="20"/>
      <x:c r="L420" s="20"/>
      <x:c r="M420" s="20"/>
      <x:c r="N420" t="str"/>
      <x:c r="O420" t="str"/>
      <x:c r="P420" s="19"/>
      <x:c r="Q420" s="21" t="str"/>
      <x:c r="R420" s="22"/>
      <x:c r="S420" t="str"/>
      <x:c r="T420" t="str"/>
      <x:c r="U420" s="19" t="n">
        <x:v>0</x:v>
      </x:c>
      <x:c r="V420" s="19" t="n">
        <x:v>0</x:v>
      </x:c>
      <x:c r="W420" s="19" t="n">
        <x:v>0</x:v>
      </x:c>
      <x:c r="X420" t="str"/>
      <x:c r="Y420" s="23" t="str">
        <x:v>No direct proxy benchmark on this GPU; cross-model evidence is required.</x:v>
      </x:c>
    </x:row>
    <x:row r="421">
      <x:c r="A421" t="str">
        <x:v>GLM 5.2</x:v>
      </x:c>
      <x:c r="B421" t="str">
        <x:v>glm5.2</x:v>
      </x:c>
      <x:c r="C421" t="str">
        <x:v>GB300</x:v>
      </x:c>
      <x:c r="D421" t="str">
        <x:v>direct</x:v>
      </x:c>
      <x:c r="E421" t="str">
        <x:v>agentic</x:v>
      </x:c>
      <x:c r="F421" s="19" t="n">
        <x:v>30</x:v>
      </x:c>
      <x:c r="G421" t="str"/>
      <x:c r="H421" s="23" t="str">
        <x:v>CROSS_MODEL_RATIO_REQUIRED</x:v>
      </x:c>
      <x:c r="I421" s="20"/>
      <x:c r="J421" s="20"/>
      <x:c r="K421" s="20"/>
      <x:c r="L421" s="20"/>
      <x:c r="M421" s="20"/>
      <x:c r="N421" t="str"/>
      <x:c r="O421" t="str"/>
      <x:c r="P421" s="19"/>
      <x:c r="Q421" s="21" t="str"/>
      <x:c r="R421" s="22"/>
      <x:c r="S421" t="str"/>
      <x:c r="T421" t="str"/>
      <x:c r="U421" s="19" t="n">
        <x:v>0</x:v>
      </x:c>
      <x:c r="V421" s="19" t="n">
        <x:v>0</x:v>
      </x:c>
      <x:c r="W421" s="19" t="n">
        <x:v>0</x:v>
      </x:c>
      <x:c r="X421" t="str"/>
      <x:c r="Y421" s="23" t="str">
        <x:v>No direct proxy benchmark on this GPU; cross-model evidence is required.</x:v>
      </x:c>
    </x:row>
    <x:row r="422">
      <x:c r="A422" t="str">
        <x:v>GLM 5.2</x:v>
      </x:c>
      <x:c r="B422" t="str">
        <x:v>glm5.2</x:v>
      </x:c>
      <x:c r="C422" t="str">
        <x:v>GB300</x:v>
      </x:c>
      <x:c r="D422" t="str">
        <x:v>direct</x:v>
      </x:c>
      <x:c r="E422" t="str">
        <x:v>agentic</x:v>
      </x:c>
      <x:c r="F422" s="19" t="n">
        <x:v>50</x:v>
      </x:c>
      <x:c r="G422" t="str"/>
      <x:c r="H422" s="23" t="str">
        <x:v>CROSS_MODEL_RATIO_REQUIRED</x:v>
      </x:c>
      <x:c r="I422" s="20"/>
      <x:c r="J422" s="20"/>
      <x:c r="K422" s="20"/>
      <x:c r="L422" s="20"/>
      <x:c r="M422" s="20"/>
      <x:c r="N422" t="str"/>
      <x:c r="O422" t="str"/>
      <x:c r="P422" s="19"/>
      <x:c r="Q422" s="21" t="str"/>
      <x:c r="R422" s="22"/>
      <x:c r="S422" t="str"/>
      <x:c r="T422" t="str"/>
      <x:c r="U422" s="19" t="n">
        <x:v>0</x:v>
      </x:c>
      <x:c r="V422" s="19" t="n">
        <x:v>0</x:v>
      </x:c>
      <x:c r="W422" s="19" t="n">
        <x:v>0</x:v>
      </x:c>
      <x:c r="X422" t="str"/>
      <x:c r="Y422" s="23" t="str">
        <x:v>No direct proxy benchmark on this GPU; cross-model evidence is required.</x:v>
      </x:c>
    </x:row>
    <x:row r="423">
      <x:c r="A423" t="str">
        <x:v>GLM 5.2</x:v>
      </x:c>
      <x:c r="B423" t="str">
        <x:v>glm5.2</x:v>
      </x:c>
      <x:c r="C423" t="str">
        <x:v>GB300</x:v>
      </x:c>
      <x:c r="D423" t="str">
        <x:v>direct</x:v>
      </x:c>
      <x:c r="E423" t="str">
        <x:v>agentic</x:v>
      </x:c>
      <x:c r="F423" s="19" t="n">
        <x:v>70</x:v>
      </x:c>
      <x:c r="G423" t="str"/>
      <x:c r="H423" s="23" t="str">
        <x:v>CROSS_MODEL_RATIO_REQUIRED</x:v>
      </x:c>
      <x:c r="I423" s="20"/>
      <x:c r="J423" s="20"/>
      <x:c r="K423" s="20"/>
      <x:c r="L423" s="20"/>
      <x:c r="M423" s="20"/>
      <x:c r="N423" t="str"/>
      <x:c r="O423" t="str"/>
      <x:c r="P423" s="19"/>
      <x:c r="Q423" s="21" t="str"/>
      <x:c r="R423" s="22"/>
      <x:c r="S423" t="str"/>
      <x:c r="T423" t="str"/>
      <x:c r="U423" s="19" t="n">
        <x:v>0</x:v>
      </x:c>
      <x:c r="V423" s="19" t="n">
        <x:v>0</x:v>
      </x:c>
      <x:c r="W423" s="19" t="n">
        <x:v>0</x:v>
      </x:c>
      <x:c r="X423" t="str"/>
      <x:c r="Y423" s="23" t="str">
        <x:v>No direct proxy benchmark on this GPU; cross-model evidence is required.</x:v>
      </x:c>
    </x:row>
    <x:row r="424">
      <x:c r="A424" t="str">
        <x:v>GLM 5.2</x:v>
      </x:c>
      <x:c r="B424" t="str">
        <x:v>glm5.2</x:v>
      </x:c>
      <x:c r="C424" t="str">
        <x:v>GB300</x:v>
      </x:c>
      <x:c r="D424" t="str">
        <x:v>direct</x:v>
      </x:c>
      <x:c r="E424" t="str">
        <x:v>agentic</x:v>
      </x:c>
      <x:c r="F424" s="19" t="n">
        <x:v>100</x:v>
      </x:c>
      <x:c r="G424" t="str"/>
      <x:c r="H424" s="23" t="str">
        <x:v>CROSS_MODEL_RATIO_REQUIRED</x:v>
      </x:c>
      <x:c r="I424" s="20"/>
      <x:c r="J424" s="20"/>
      <x:c r="K424" s="20"/>
      <x:c r="L424" s="20"/>
      <x:c r="M424" s="20"/>
      <x:c r="N424" t="str"/>
      <x:c r="O424" t="str"/>
      <x:c r="P424" s="19"/>
      <x:c r="Q424" s="21" t="str"/>
      <x:c r="R424" s="22"/>
      <x:c r="S424" t="str"/>
      <x:c r="T424" t="str"/>
      <x:c r="U424" s="19" t="n">
        <x:v>0</x:v>
      </x:c>
      <x:c r="V424" s="19" t="n">
        <x:v>0</x:v>
      </x:c>
      <x:c r="W424" s="19" t="n">
        <x:v>0</x:v>
      </x:c>
      <x:c r="X424" t="str"/>
      <x:c r="Y424" s="23" t="str">
        <x:v>No direct proxy benchmark on this GPU; cross-model evidence is required.</x:v>
      </x:c>
    </x:row>
    <x:row r="425">
      <x:c r="A425" t="str">
        <x:v>GLM 5.2</x:v>
      </x:c>
      <x:c r="B425" t="str">
        <x:v>glm5.2</x:v>
      </x:c>
      <x:c r="C425" t="str">
        <x:v>R200</x:v>
      </x:c>
      <x:c r="D425" t="str">
        <x:v>future_scenario</x:v>
      </x:c>
      <x:c r="E425" t="str">
        <x:v>short</x:v>
      </x:c>
      <x:c r="F425" s="19" t="n">
        <x:v>30</x:v>
      </x:c>
      <x:c r="G425" t="str"/>
      <x:c r="H425" s="23" t="str">
        <x:v>GPU_SCALING_REQUIRED</x:v>
      </x:c>
      <x:c r="I425" s="20"/>
      <x:c r="J425" s="20"/>
      <x:c r="K425" s="20"/>
      <x:c r="L425" s="20"/>
      <x:c r="M425" s="20"/>
      <x:c r="N425" t="str"/>
      <x:c r="O425" t="str"/>
      <x:c r="P425" s="19"/>
      <x:c r="Q425" s="21" t="str"/>
      <x:c r="R425" s="22"/>
      <x:c r="S425" t="str"/>
      <x:c r="T425" t="str"/>
      <x:c r="U425" s="19" t="n">
        <x:v>0</x:v>
      </x:c>
      <x:c r="V425" s="19" t="n">
        <x:v>0</x:v>
      </x:c>
      <x:c r="W425" s="19" t="n">
        <x:v>0</x:v>
      </x:c>
      <x:c r="X425" t="str"/>
      <x:c r="Y425" s="23" t="str">
        <x:v>No InferenceX benchmark; future GPU scenario requires a separate GPU scaling layer.</x:v>
      </x:c>
    </x:row>
    <x:row r="426">
      <x:c r="A426" t="str">
        <x:v>GLM 5.2</x:v>
      </x:c>
      <x:c r="B426" t="str">
        <x:v>glm5.2</x:v>
      </x:c>
      <x:c r="C426" t="str">
        <x:v>R200</x:v>
      </x:c>
      <x:c r="D426" t="str">
        <x:v>future_scenario</x:v>
      </x:c>
      <x:c r="E426" t="str">
        <x:v>short</x:v>
      </x:c>
      <x:c r="F426" s="19" t="n">
        <x:v>50</x:v>
      </x:c>
      <x:c r="G426" t="str"/>
      <x:c r="H426" s="23" t="str">
        <x:v>GPU_SCALING_REQUIRED</x:v>
      </x:c>
      <x:c r="I426" s="20"/>
      <x:c r="J426" s="20"/>
      <x:c r="K426" s="20"/>
      <x:c r="L426" s="20"/>
      <x:c r="M426" s="20"/>
      <x:c r="N426" t="str"/>
      <x:c r="O426" t="str"/>
      <x:c r="P426" s="19"/>
      <x:c r="Q426" s="21" t="str"/>
      <x:c r="R426" s="22"/>
      <x:c r="S426" t="str"/>
      <x:c r="T426" t="str"/>
      <x:c r="U426" s="19" t="n">
        <x:v>0</x:v>
      </x:c>
      <x:c r="V426" s="19" t="n">
        <x:v>0</x:v>
      </x:c>
      <x:c r="W426" s="19" t="n">
        <x:v>0</x:v>
      </x:c>
      <x:c r="X426" t="str"/>
      <x:c r="Y426" s="23" t="str">
        <x:v>No InferenceX benchmark; future GPU scenario requires a separate GPU scaling layer.</x:v>
      </x:c>
    </x:row>
    <x:row r="427">
      <x:c r="A427" t="str">
        <x:v>GLM 5.2</x:v>
      </x:c>
      <x:c r="B427" t="str">
        <x:v>glm5.2</x:v>
      </x:c>
      <x:c r="C427" t="str">
        <x:v>R200</x:v>
      </x:c>
      <x:c r="D427" t="str">
        <x:v>future_scenario</x:v>
      </x:c>
      <x:c r="E427" t="str">
        <x:v>short</x:v>
      </x:c>
      <x:c r="F427" s="19" t="n">
        <x:v>70</x:v>
      </x:c>
      <x:c r="G427" t="str"/>
      <x:c r="H427" s="23" t="str">
        <x:v>GPU_SCALING_REQUIRED</x:v>
      </x:c>
      <x:c r="I427" s="20"/>
      <x:c r="J427" s="20"/>
      <x:c r="K427" s="20"/>
      <x:c r="L427" s="20"/>
      <x:c r="M427" s="20"/>
      <x:c r="N427" t="str"/>
      <x:c r="O427" t="str"/>
      <x:c r="P427" s="19"/>
      <x:c r="Q427" s="21" t="str"/>
      <x:c r="R427" s="22"/>
      <x:c r="S427" t="str"/>
      <x:c r="T427" t="str"/>
      <x:c r="U427" s="19" t="n">
        <x:v>0</x:v>
      </x:c>
      <x:c r="V427" s="19" t="n">
        <x:v>0</x:v>
      </x:c>
      <x:c r="W427" s="19" t="n">
        <x:v>0</x:v>
      </x:c>
      <x:c r="X427" t="str"/>
      <x:c r="Y427" s="23" t="str">
        <x:v>No InferenceX benchmark; future GPU scenario requires a separate GPU scaling layer.</x:v>
      </x:c>
    </x:row>
    <x:row r="428">
      <x:c r="A428" t="str">
        <x:v>GLM 5.2</x:v>
      </x:c>
      <x:c r="B428" t="str">
        <x:v>glm5.2</x:v>
      </x:c>
      <x:c r="C428" t="str">
        <x:v>R200</x:v>
      </x:c>
      <x:c r="D428" t="str">
        <x:v>future_scenario</x:v>
      </x:c>
      <x:c r="E428" t="str">
        <x:v>short</x:v>
      </x:c>
      <x:c r="F428" s="19" t="n">
        <x:v>100</x:v>
      </x:c>
      <x:c r="G428" t="str"/>
      <x:c r="H428" s="23" t="str">
        <x:v>GPU_SCALING_REQUIRED</x:v>
      </x:c>
      <x:c r="I428" s="20"/>
      <x:c r="J428" s="20"/>
      <x:c r="K428" s="20"/>
      <x:c r="L428" s="20"/>
      <x:c r="M428" s="20"/>
      <x:c r="N428" t="str"/>
      <x:c r="O428" t="str"/>
      <x:c r="P428" s="19"/>
      <x:c r="Q428" s="21" t="str"/>
      <x:c r="R428" s="22"/>
      <x:c r="S428" t="str"/>
      <x:c r="T428" t="str"/>
      <x:c r="U428" s="19" t="n">
        <x:v>0</x:v>
      </x:c>
      <x:c r="V428" s="19" t="n">
        <x:v>0</x:v>
      </x:c>
      <x:c r="W428" s="19" t="n">
        <x:v>0</x:v>
      </x:c>
      <x:c r="X428" t="str"/>
      <x:c r="Y428" s="23" t="str">
        <x:v>No InferenceX benchmark; future GPU scenario requires a separate GPU scaling layer.</x:v>
      </x:c>
    </x:row>
    <x:row r="429">
      <x:c r="A429" t="str">
        <x:v>GLM 5.2</x:v>
      </x:c>
      <x:c r="B429" t="str">
        <x:v>glm5.2</x:v>
      </x:c>
      <x:c r="C429" t="str">
        <x:v>R200</x:v>
      </x:c>
      <x:c r="D429" t="str">
        <x:v>future_scenario</x:v>
      </x:c>
      <x:c r="E429" t="str">
        <x:v>long</x:v>
      </x:c>
      <x:c r="F429" s="19" t="n">
        <x:v>30</x:v>
      </x:c>
      <x:c r="G429" t="str"/>
      <x:c r="H429" s="23" t="str">
        <x:v>GPU_SCALING_REQUIRED</x:v>
      </x:c>
      <x:c r="I429" s="20"/>
      <x:c r="J429" s="20"/>
      <x:c r="K429" s="20"/>
      <x:c r="L429" s="20"/>
      <x:c r="M429" s="20"/>
      <x:c r="N429" t="str"/>
      <x:c r="O429" t="str"/>
      <x:c r="P429" s="19"/>
      <x:c r="Q429" s="21" t="str"/>
      <x:c r="R429" s="22"/>
      <x:c r="S429" t="str"/>
      <x:c r="T429" t="str"/>
      <x:c r="U429" s="19" t="n">
        <x:v>0</x:v>
      </x:c>
      <x:c r="V429" s="19" t="n">
        <x:v>0</x:v>
      </x:c>
      <x:c r="W429" s="19" t="n">
        <x:v>0</x:v>
      </x:c>
      <x:c r="X429" t="str"/>
      <x:c r="Y429" s="23" t="str">
        <x:v>No InferenceX benchmark; future GPU scenario requires a separate GPU scaling layer.</x:v>
      </x:c>
    </x:row>
    <x:row r="430">
      <x:c r="A430" t="str">
        <x:v>GLM 5.2</x:v>
      </x:c>
      <x:c r="B430" t="str">
        <x:v>glm5.2</x:v>
      </x:c>
      <x:c r="C430" t="str">
        <x:v>R200</x:v>
      </x:c>
      <x:c r="D430" t="str">
        <x:v>future_scenario</x:v>
      </x:c>
      <x:c r="E430" t="str">
        <x:v>long</x:v>
      </x:c>
      <x:c r="F430" s="19" t="n">
        <x:v>50</x:v>
      </x:c>
      <x:c r="G430" t="str"/>
      <x:c r="H430" s="23" t="str">
        <x:v>GPU_SCALING_REQUIRED</x:v>
      </x:c>
      <x:c r="I430" s="20"/>
      <x:c r="J430" s="20"/>
      <x:c r="K430" s="20"/>
      <x:c r="L430" s="20"/>
      <x:c r="M430" s="20"/>
      <x:c r="N430" t="str"/>
      <x:c r="O430" t="str"/>
      <x:c r="P430" s="19"/>
      <x:c r="Q430" s="21" t="str"/>
      <x:c r="R430" s="22"/>
      <x:c r="S430" t="str"/>
      <x:c r="T430" t="str"/>
      <x:c r="U430" s="19" t="n">
        <x:v>0</x:v>
      </x:c>
      <x:c r="V430" s="19" t="n">
        <x:v>0</x:v>
      </x:c>
      <x:c r="W430" s="19" t="n">
        <x:v>0</x:v>
      </x:c>
      <x:c r="X430" t="str"/>
      <x:c r="Y430" s="23" t="str">
        <x:v>No InferenceX benchmark; future GPU scenario requires a separate GPU scaling layer.</x:v>
      </x:c>
    </x:row>
    <x:row r="431">
      <x:c r="A431" t="str">
        <x:v>GLM 5.2</x:v>
      </x:c>
      <x:c r="B431" t="str">
        <x:v>glm5.2</x:v>
      </x:c>
      <x:c r="C431" t="str">
        <x:v>R200</x:v>
      </x:c>
      <x:c r="D431" t="str">
        <x:v>future_scenario</x:v>
      </x:c>
      <x:c r="E431" t="str">
        <x:v>long</x:v>
      </x:c>
      <x:c r="F431" s="19" t="n">
        <x:v>70</x:v>
      </x:c>
      <x:c r="G431" t="str"/>
      <x:c r="H431" s="23" t="str">
        <x:v>GPU_SCALING_REQUIRED</x:v>
      </x:c>
      <x:c r="I431" s="20"/>
      <x:c r="J431" s="20"/>
      <x:c r="K431" s="20"/>
      <x:c r="L431" s="20"/>
      <x:c r="M431" s="20"/>
      <x:c r="N431" t="str"/>
      <x:c r="O431" t="str"/>
      <x:c r="P431" s="19"/>
      <x:c r="Q431" s="21" t="str"/>
      <x:c r="R431" s="22"/>
      <x:c r="S431" t="str"/>
      <x:c r="T431" t="str"/>
      <x:c r="U431" s="19" t="n">
        <x:v>0</x:v>
      </x:c>
      <x:c r="V431" s="19" t="n">
        <x:v>0</x:v>
      </x:c>
      <x:c r="W431" s="19" t="n">
        <x:v>0</x:v>
      </x:c>
      <x:c r="X431" t="str"/>
      <x:c r="Y431" s="23" t="str">
        <x:v>No InferenceX benchmark; future GPU scenario requires a separate GPU scaling layer.</x:v>
      </x:c>
    </x:row>
    <x:row r="432">
      <x:c r="A432" t="str">
        <x:v>GLM 5.2</x:v>
      </x:c>
      <x:c r="B432" t="str">
        <x:v>glm5.2</x:v>
      </x:c>
      <x:c r="C432" t="str">
        <x:v>R200</x:v>
      </x:c>
      <x:c r="D432" t="str">
        <x:v>future_scenario</x:v>
      </x:c>
      <x:c r="E432" t="str">
        <x:v>long</x:v>
      </x:c>
      <x:c r="F432" s="19" t="n">
        <x:v>100</x:v>
      </x:c>
      <x:c r="G432" t="str"/>
      <x:c r="H432" s="23" t="str">
        <x:v>GPU_SCALING_REQUIRED</x:v>
      </x:c>
      <x:c r="I432" s="20"/>
      <x:c r="J432" s="20"/>
      <x:c r="K432" s="20"/>
      <x:c r="L432" s="20"/>
      <x:c r="M432" s="20"/>
      <x:c r="N432" t="str"/>
      <x:c r="O432" t="str"/>
      <x:c r="P432" s="19"/>
      <x:c r="Q432" s="21" t="str"/>
      <x:c r="R432" s="22"/>
      <x:c r="S432" t="str"/>
      <x:c r="T432" t="str"/>
      <x:c r="U432" s="19" t="n">
        <x:v>0</x:v>
      </x:c>
      <x:c r="V432" s="19" t="n">
        <x:v>0</x:v>
      </x:c>
      <x:c r="W432" s="19" t="n">
        <x:v>0</x:v>
      </x:c>
      <x:c r="X432" t="str"/>
      <x:c r="Y432" s="23" t="str">
        <x:v>No InferenceX benchmark; future GPU scenario requires a separate GPU scaling layer.</x:v>
      </x:c>
    </x:row>
    <x:row r="433">
      <x:c r="A433" t="str">
        <x:v>GLM 5.2</x:v>
      </x:c>
      <x:c r="B433" t="str">
        <x:v>glm5.2</x:v>
      </x:c>
      <x:c r="C433" t="str">
        <x:v>R200</x:v>
      </x:c>
      <x:c r="D433" t="str">
        <x:v>future_scenario</x:v>
      </x:c>
      <x:c r="E433" t="str">
        <x:v>agentic</x:v>
      </x:c>
      <x:c r="F433" s="19" t="n">
        <x:v>30</x:v>
      </x:c>
      <x:c r="G433" t="str"/>
      <x:c r="H433" s="23" t="str">
        <x:v>GPU_SCALING_REQUIRED</x:v>
      </x:c>
      <x:c r="I433" s="20"/>
      <x:c r="J433" s="20"/>
      <x:c r="K433" s="20"/>
      <x:c r="L433" s="20"/>
      <x:c r="M433" s="20"/>
      <x:c r="N433" t="str"/>
      <x:c r="O433" t="str"/>
      <x:c r="P433" s="19"/>
      <x:c r="Q433" s="21" t="str"/>
      <x:c r="R433" s="22"/>
      <x:c r="S433" t="str"/>
      <x:c r="T433" t="str"/>
      <x:c r="U433" s="19" t="n">
        <x:v>0</x:v>
      </x:c>
      <x:c r="V433" s="19" t="n">
        <x:v>0</x:v>
      </x:c>
      <x:c r="W433" s="19" t="n">
        <x:v>0</x:v>
      </x:c>
      <x:c r="X433" t="str"/>
      <x:c r="Y433" s="23" t="str">
        <x:v>No InferenceX benchmark; future GPU scenario requires a separate GPU scaling layer.</x:v>
      </x:c>
    </x:row>
    <x:row r="434">
      <x:c r="A434" t="str">
        <x:v>GLM 5.2</x:v>
      </x:c>
      <x:c r="B434" t="str">
        <x:v>glm5.2</x:v>
      </x:c>
      <x:c r="C434" t="str">
        <x:v>R200</x:v>
      </x:c>
      <x:c r="D434" t="str">
        <x:v>future_scenario</x:v>
      </x:c>
      <x:c r="E434" t="str">
        <x:v>agentic</x:v>
      </x:c>
      <x:c r="F434" s="19" t="n">
        <x:v>50</x:v>
      </x:c>
      <x:c r="G434" t="str"/>
      <x:c r="H434" s="23" t="str">
        <x:v>GPU_SCALING_REQUIRED</x:v>
      </x:c>
      <x:c r="I434" s="20"/>
      <x:c r="J434" s="20"/>
      <x:c r="K434" s="20"/>
      <x:c r="L434" s="20"/>
      <x:c r="M434" s="20"/>
      <x:c r="N434" t="str"/>
      <x:c r="O434" t="str"/>
      <x:c r="P434" s="19"/>
      <x:c r="Q434" s="21" t="str"/>
      <x:c r="R434" s="22"/>
      <x:c r="S434" t="str"/>
      <x:c r="T434" t="str"/>
      <x:c r="U434" s="19" t="n">
        <x:v>0</x:v>
      </x:c>
      <x:c r="V434" s="19" t="n">
        <x:v>0</x:v>
      </x:c>
      <x:c r="W434" s="19" t="n">
        <x:v>0</x:v>
      </x:c>
      <x:c r="X434" t="str"/>
      <x:c r="Y434" s="23" t="str">
        <x:v>No InferenceX benchmark; future GPU scenario requires a separate GPU scaling layer.</x:v>
      </x:c>
    </x:row>
    <x:row r="435">
      <x:c r="A435" t="str">
        <x:v>GLM 5.2</x:v>
      </x:c>
      <x:c r="B435" t="str">
        <x:v>glm5.2</x:v>
      </x:c>
      <x:c r="C435" t="str">
        <x:v>R200</x:v>
      </x:c>
      <x:c r="D435" t="str">
        <x:v>future_scenario</x:v>
      </x:c>
      <x:c r="E435" t="str">
        <x:v>agentic</x:v>
      </x:c>
      <x:c r="F435" s="19" t="n">
        <x:v>70</x:v>
      </x:c>
      <x:c r="G435" t="str"/>
      <x:c r="H435" s="23" t="str">
        <x:v>GPU_SCALING_REQUIRED</x:v>
      </x:c>
      <x:c r="I435" s="20"/>
      <x:c r="J435" s="20"/>
      <x:c r="K435" s="20"/>
      <x:c r="L435" s="20"/>
      <x:c r="M435" s="20"/>
      <x:c r="N435" t="str"/>
      <x:c r="O435" t="str"/>
      <x:c r="P435" s="19"/>
      <x:c r="Q435" s="21" t="str"/>
      <x:c r="R435" s="22"/>
      <x:c r="S435" t="str"/>
      <x:c r="T435" t="str"/>
      <x:c r="U435" s="19" t="n">
        <x:v>0</x:v>
      </x:c>
      <x:c r="V435" s="19" t="n">
        <x:v>0</x:v>
      </x:c>
      <x:c r="W435" s="19" t="n">
        <x:v>0</x:v>
      </x:c>
      <x:c r="X435" t="str"/>
      <x:c r="Y435" s="23" t="str">
        <x:v>No InferenceX benchmark; future GPU scenario requires a separate GPU scaling layer.</x:v>
      </x:c>
    </x:row>
    <x:row r="436">
      <x:c r="A436" t="str">
        <x:v>GLM 5.2</x:v>
      </x:c>
      <x:c r="B436" t="str">
        <x:v>glm5.2</x:v>
      </x:c>
      <x:c r="C436" t="str">
        <x:v>R200</x:v>
      </x:c>
      <x:c r="D436" t="str">
        <x:v>future_scenario</x:v>
      </x:c>
      <x:c r="E436" t="str">
        <x:v>agentic</x:v>
      </x:c>
      <x:c r="F436" s="19" t="n">
        <x:v>100</x:v>
      </x:c>
      <x:c r="G436" t="str"/>
      <x:c r="H436" s="23" t="str">
        <x:v>GPU_SCALING_REQUIRED</x:v>
      </x:c>
      <x:c r="I436" s="20"/>
      <x:c r="J436" s="20"/>
      <x:c r="K436" s="20"/>
      <x:c r="L436" s="20"/>
      <x:c r="M436" s="20"/>
      <x:c r="N436" t="str"/>
      <x:c r="O436" t="str"/>
      <x:c r="P436" s="19"/>
      <x:c r="Q436" s="21" t="str"/>
      <x:c r="R436" s="22"/>
      <x:c r="S436" t="str"/>
      <x:c r="T436" t="str"/>
      <x:c r="U436" s="19" t="n">
        <x:v>0</x:v>
      </x:c>
      <x:c r="V436" s="19" t="n">
        <x:v>0</x:v>
      </x:c>
      <x:c r="W436" s="19" t="n">
        <x:v>0</x:v>
      </x:c>
      <x:c r="X436" t="str"/>
      <x:c r="Y436" s="23" t="str">
        <x:v>No InferenceX benchmark; future GPU scenario requires a separate GPU scaling layer.</x:v>
      </x:c>
    </x:row>
    <x:row r="437">
      <x:c r="A437" t="str">
        <x:v>GLM 5.2</x:v>
      </x:c>
      <x:c r="B437" t="str">
        <x:v>glm5.2</x:v>
      </x:c>
      <x:c r="C437" t="str">
        <x:v>VR200</x:v>
      </x:c>
      <x:c r="D437" t="str">
        <x:v>future_scenario</x:v>
      </x:c>
      <x:c r="E437" t="str">
        <x:v>short</x:v>
      </x:c>
      <x:c r="F437" s="19" t="n">
        <x:v>30</x:v>
      </x:c>
      <x:c r="G437" t="str"/>
      <x:c r="H437" s="23" t="str">
        <x:v>GPU_SCALING_REQUIRED</x:v>
      </x:c>
      <x:c r="I437" s="20"/>
      <x:c r="J437" s="20"/>
      <x:c r="K437" s="20"/>
      <x:c r="L437" s="20"/>
      <x:c r="M437" s="20"/>
      <x:c r="N437" t="str"/>
      <x:c r="O437" t="str"/>
      <x:c r="P437" s="19"/>
      <x:c r="Q437" s="21" t="str"/>
      <x:c r="R437" s="22"/>
      <x:c r="S437" t="str"/>
      <x:c r="T437" t="str"/>
      <x:c r="U437" s="19" t="n">
        <x:v>0</x:v>
      </x:c>
      <x:c r="V437" s="19" t="n">
        <x:v>0</x:v>
      </x:c>
      <x:c r="W437" s="19" t="n">
        <x:v>0</x:v>
      </x:c>
      <x:c r="X437" t="str"/>
      <x:c r="Y437" s="23" t="str">
        <x:v>No InferenceX benchmark; future GPU scenario requires a separate GPU scaling layer.</x:v>
      </x:c>
    </x:row>
    <x:row r="438">
      <x:c r="A438" t="str">
        <x:v>GLM 5.2</x:v>
      </x:c>
      <x:c r="B438" t="str">
        <x:v>glm5.2</x:v>
      </x:c>
      <x:c r="C438" t="str">
        <x:v>VR200</x:v>
      </x:c>
      <x:c r="D438" t="str">
        <x:v>future_scenario</x:v>
      </x:c>
      <x:c r="E438" t="str">
        <x:v>short</x:v>
      </x:c>
      <x:c r="F438" s="19" t="n">
        <x:v>50</x:v>
      </x:c>
      <x:c r="G438" t="str"/>
      <x:c r="H438" s="23" t="str">
        <x:v>GPU_SCALING_REQUIRED</x:v>
      </x:c>
      <x:c r="I438" s="20"/>
      <x:c r="J438" s="20"/>
      <x:c r="K438" s="20"/>
      <x:c r="L438" s="20"/>
      <x:c r="M438" s="20"/>
      <x:c r="N438" t="str"/>
      <x:c r="O438" t="str"/>
      <x:c r="P438" s="19"/>
      <x:c r="Q438" s="21" t="str"/>
      <x:c r="R438" s="22"/>
      <x:c r="S438" t="str"/>
      <x:c r="T438" t="str"/>
      <x:c r="U438" s="19" t="n">
        <x:v>0</x:v>
      </x:c>
      <x:c r="V438" s="19" t="n">
        <x:v>0</x:v>
      </x:c>
      <x:c r="W438" s="19" t="n">
        <x:v>0</x:v>
      </x:c>
      <x:c r="X438" t="str"/>
      <x:c r="Y438" s="23" t="str">
        <x:v>No InferenceX benchmark; future GPU scenario requires a separate GPU scaling layer.</x:v>
      </x:c>
    </x:row>
    <x:row r="439">
      <x:c r="A439" t="str">
        <x:v>GLM 5.2</x:v>
      </x:c>
      <x:c r="B439" t="str">
        <x:v>glm5.2</x:v>
      </x:c>
      <x:c r="C439" t="str">
        <x:v>VR200</x:v>
      </x:c>
      <x:c r="D439" t="str">
        <x:v>future_scenario</x:v>
      </x:c>
      <x:c r="E439" t="str">
        <x:v>short</x:v>
      </x:c>
      <x:c r="F439" s="19" t="n">
        <x:v>70</x:v>
      </x:c>
      <x:c r="G439" t="str"/>
      <x:c r="H439" s="23" t="str">
        <x:v>GPU_SCALING_REQUIRED</x:v>
      </x:c>
      <x:c r="I439" s="20"/>
      <x:c r="J439" s="20"/>
      <x:c r="K439" s="20"/>
      <x:c r="L439" s="20"/>
      <x:c r="M439" s="20"/>
      <x:c r="N439" t="str"/>
      <x:c r="O439" t="str"/>
      <x:c r="P439" s="19"/>
      <x:c r="Q439" s="21" t="str"/>
      <x:c r="R439" s="22"/>
      <x:c r="S439" t="str"/>
      <x:c r="T439" t="str"/>
      <x:c r="U439" s="19" t="n">
        <x:v>0</x:v>
      </x:c>
      <x:c r="V439" s="19" t="n">
        <x:v>0</x:v>
      </x:c>
      <x:c r="W439" s="19" t="n">
        <x:v>0</x:v>
      </x:c>
      <x:c r="X439" t="str"/>
      <x:c r="Y439" s="23" t="str">
        <x:v>No InferenceX benchmark; future GPU scenario requires a separate GPU scaling layer.</x:v>
      </x:c>
    </x:row>
    <x:row r="440">
      <x:c r="A440" t="str">
        <x:v>GLM 5.2</x:v>
      </x:c>
      <x:c r="B440" t="str">
        <x:v>glm5.2</x:v>
      </x:c>
      <x:c r="C440" t="str">
        <x:v>VR200</x:v>
      </x:c>
      <x:c r="D440" t="str">
        <x:v>future_scenario</x:v>
      </x:c>
      <x:c r="E440" t="str">
        <x:v>short</x:v>
      </x:c>
      <x:c r="F440" s="19" t="n">
        <x:v>100</x:v>
      </x:c>
      <x:c r="G440" t="str"/>
      <x:c r="H440" s="23" t="str">
        <x:v>GPU_SCALING_REQUIRED</x:v>
      </x:c>
      <x:c r="I440" s="20"/>
      <x:c r="J440" s="20"/>
      <x:c r="K440" s="20"/>
      <x:c r="L440" s="20"/>
      <x:c r="M440" s="20"/>
      <x:c r="N440" t="str"/>
      <x:c r="O440" t="str"/>
      <x:c r="P440" s="19"/>
      <x:c r="Q440" s="21" t="str"/>
      <x:c r="R440" s="22"/>
      <x:c r="S440" t="str"/>
      <x:c r="T440" t="str"/>
      <x:c r="U440" s="19" t="n">
        <x:v>0</x:v>
      </x:c>
      <x:c r="V440" s="19" t="n">
        <x:v>0</x:v>
      </x:c>
      <x:c r="W440" s="19" t="n">
        <x:v>0</x:v>
      </x:c>
      <x:c r="X440" t="str"/>
      <x:c r="Y440" s="23" t="str">
        <x:v>No InferenceX benchmark; future GPU scenario requires a separate GPU scaling layer.</x:v>
      </x:c>
    </x:row>
    <x:row r="441">
      <x:c r="A441" t="str">
        <x:v>GLM 5.2</x:v>
      </x:c>
      <x:c r="B441" t="str">
        <x:v>glm5.2</x:v>
      </x:c>
      <x:c r="C441" t="str">
        <x:v>VR200</x:v>
      </x:c>
      <x:c r="D441" t="str">
        <x:v>future_scenario</x:v>
      </x:c>
      <x:c r="E441" t="str">
        <x:v>long</x:v>
      </x:c>
      <x:c r="F441" s="19" t="n">
        <x:v>30</x:v>
      </x:c>
      <x:c r="G441" t="str"/>
      <x:c r="H441" s="23" t="str">
        <x:v>GPU_SCALING_REQUIRED</x:v>
      </x:c>
      <x:c r="I441" s="20"/>
      <x:c r="J441" s="20"/>
      <x:c r="K441" s="20"/>
      <x:c r="L441" s="20"/>
      <x:c r="M441" s="20"/>
      <x:c r="N441" t="str"/>
      <x:c r="O441" t="str"/>
      <x:c r="P441" s="19"/>
      <x:c r="Q441" s="21" t="str"/>
      <x:c r="R441" s="22"/>
      <x:c r="S441" t="str"/>
      <x:c r="T441" t="str"/>
      <x:c r="U441" s="19" t="n">
        <x:v>0</x:v>
      </x:c>
      <x:c r="V441" s="19" t="n">
        <x:v>0</x:v>
      </x:c>
      <x:c r="W441" s="19" t="n">
        <x:v>0</x:v>
      </x:c>
      <x:c r="X441" t="str"/>
      <x:c r="Y441" s="23" t="str">
        <x:v>No InferenceX benchmark; future GPU scenario requires a separate GPU scaling layer.</x:v>
      </x:c>
    </x:row>
    <x:row r="442">
      <x:c r="A442" t="str">
        <x:v>GLM 5.2</x:v>
      </x:c>
      <x:c r="B442" t="str">
        <x:v>glm5.2</x:v>
      </x:c>
      <x:c r="C442" t="str">
        <x:v>VR200</x:v>
      </x:c>
      <x:c r="D442" t="str">
        <x:v>future_scenario</x:v>
      </x:c>
      <x:c r="E442" t="str">
        <x:v>long</x:v>
      </x:c>
      <x:c r="F442" s="19" t="n">
        <x:v>50</x:v>
      </x:c>
      <x:c r="G442" t="str"/>
      <x:c r="H442" s="23" t="str">
        <x:v>GPU_SCALING_REQUIRED</x:v>
      </x:c>
      <x:c r="I442" s="20"/>
      <x:c r="J442" s="20"/>
      <x:c r="K442" s="20"/>
      <x:c r="L442" s="20"/>
      <x:c r="M442" s="20"/>
      <x:c r="N442" t="str"/>
      <x:c r="O442" t="str"/>
      <x:c r="P442" s="19"/>
      <x:c r="Q442" s="21" t="str"/>
      <x:c r="R442" s="22"/>
      <x:c r="S442" t="str"/>
      <x:c r="T442" t="str"/>
      <x:c r="U442" s="19" t="n">
        <x:v>0</x:v>
      </x:c>
      <x:c r="V442" s="19" t="n">
        <x:v>0</x:v>
      </x:c>
      <x:c r="W442" s="19" t="n">
        <x:v>0</x:v>
      </x:c>
      <x:c r="X442" t="str"/>
      <x:c r="Y442" s="23" t="str">
        <x:v>No InferenceX benchmark; future GPU scenario requires a separate GPU scaling layer.</x:v>
      </x:c>
    </x:row>
    <x:row r="443">
      <x:c r="A443" t="str">
        <x:v>GLM 5.2</x:v>
      </x:c>
      <x:c r="B443" t="str">
        <x:v>glm5.2</x:v>
      </x:c>
      <x:c r="C443" t="str">
        <x:v>VR200</x:v>
      </x:c>
      <x:c r="D443" t="str">
        <x:v>future_scenario</x:v>
      </x:c>
      <x:c r="E443" t="str">
        <x:v>long</x:v>
      </x:c>
      <x:c r="F443" s="19" t="n">
        <x:v>70</x:v>
      </x:c>
      <x:c r="G443" t="str"/>
      <x:c r="H443" s="23" t="str">
        <x:v>GPU_SCALING_REQUIRED</x:v>
      </x:c>
      <x:c r="I443" s="20"/>
      <x:c r="J443" s="20"/>
      <x:c r="K443" s="20"/>
      <x:c r="L443" s="20"/>
      <x:c r="M443" s="20"/>
      <x:c r="N443" t="str"/>
      <x:c r="O443" t="str"/>
      <x:c r="P443" s="19"/>
      <x:c r="Q443" s="21" t="str"/>
      <x:c r="R443" s="22"/>
      <x:c r="S443" t="str"/>
      <x:c r="T443" t="str"/>
      <x:c r="U443" s="19" t="n">
        <x:v>0</x:v>
      </x:c>
      <x:c r="V443" s="19" t="n">
        <x:v>0</x:v>
      </x:c>
      <x:c r="W443" s="19" t="n">
        <x:v>0</x:v>
      </x:c>
      <x:c r="X443" t="str"/>
      <x:c r="Y443" s="23" t="str">
        <x:v>No InferenceX benchmark; future GPU scenario requires a separate GPU scaling layer.</x:v>
      </x:c>
    </x:row>
    <x:row r="444">
      <x:c r="A444" t="str">
        <x:v>GLM 5.2</x:v>
      </x:c>
      <x:c r="B444" t="str">
        <x:v>glm5.2</x:v>
      </x:c>
      <x:c r="C444" t="str">
        <x:v>VR200</x:v>
      </x:c>
      <x:c r="D444" t="str">
        <x:v>future_scenario</x:v>
      </x:c>
      <x:c r="E444" t="str">
        <x:v>long</x:v>
      </x:c>
      <x:c r="F444" s="19" t="n">
        <x:v>100</x:v>
      </x:c>
      <x:c r="G444" t="str"/>
      <x:c r="H444" s="23" t="str">
        <x:v>GPU_SCALING_REQUIRED</x:v>
      </x:c>
      <x:c r="I444" s="20"/>
      <x:c r="J444" s="20"/>
      <x:c r="K444" s="20"/>
      <x:c r="L444" s="20"/>
      <x:c r="M444" s="20"/>
      <x:c r="N444" t="str"/>
      <x:c r="O444" t="str"/>
      <x:c r="P444" s="19"/>
      <x:c r="Q444" s="21" t="str"/>
      <x:c r="R444" s="22"/>
      <x:c r="S444" t="str"/>
      <x:c r="T444" t="str"/>
      <x:c r="U444" s="19" t="n">
        <x:v>0</x:v>
      </x:c>
      <x:c r="V444" s="19" t="n">
        <x:v>0</x:v>
      </x:c>
      <x:c r="W444" s="19" t="n">
        <x:v>0</x:v>
      </x:c>
      <x:c r="X444" t="str"/>
      <x:c r="Y444" s="23" t="str">
        <x:v>No InferenceX benchmark; future GPU scenario requires a separate GPU scaling layer.</x:v>
      </x:c>
    </x:row>
    <x:row r="445">
      <x:c r="A445" t="str">
        <x:v>GLM 5.2</x:v>
      </x:c>
      <x:c r="B445" t="str">
        <x:v>glm5.2</x:v>
      </x:c>
      <x:c r="C445" t="str">
        <x:v>VR200</x:v>
      </x:c>
      <x:c r="D445" t="str">
        <x:v>future_scenario</x:v>
      </x:c>
      <x:c r="E445" t="str">
        <x:v>agentic</x:v>
      </x:c>
      <x:c r="F445" s="19" t="n">
        <x:v>30</x:v>
      </x:c>
      <x:c r="G445" t="str"/>
      <x:c r="H445" s="23" t="str">
        <x:v>GPU_SCALING_REQUIRED</x:v>
      </x:c>
      <x:c r="I445" s="20"/>
      <x:c r="J445" s="20"/>
      <x:c r="K445" s="20"/>
      <x:c r="L445" s="20"/>
      <x:c r="M445" s="20"/>
      <x:c r="N445" t="str"/>
      <x:c r="O445" t="str"/>
      <x:c r="P445" s="19"/>
      <x:c r="Q445" s="21" t="str"/>
      <x:c r="R445" s="22"/>
      <x:c r="S445" t="str"/>
      <x:c r="T445" t="str"/>
      <x:c r="U445" s="19" t="n">
        <x:v>0</x:v>
      </x:c>
      <x:c r="V445" s="19" t="n">
        <x:v>0</x:v>
      </x:c>
      <x:c r="W445" s="19" t="n">
        <x:v>0</x:v>
      </x:c>
      <x:c r="X445" t="str"/>
      <x:c r="Y445" s="23" t="str">
        <x:v>No InferenceX benchmark; future GPU scenario requires a separate GPU scaling layer.</x:v>
      </x:c>
    </x:row>
    <x:row r="446">
      <x:c r="A446" t="str">
        <x:v>GLM 5.2</x:v>
      </x:c>
      <x:c r="B446" t="str">
        <x:v>glm5.2</x:v>
      </x:c>
      <x:c r="C446" t="str">
        <x:v>VR200</x:v>
      </x:c>
      <x:c r="D446" t="str">
        <x:v>future_scenario</x:v>
      </x:c>
      <x:c r="E446" t="str">
        <x:v>agentic</x:v>
      </x:c>
      <x:c r="F446" s="19" t="n">
        <x:v>50</x:v>
      </x:c>
      <x:c r="G446" t="str"/>
      <x:c r="H446" s="23" t="str">
        <x:v>GPU_SCALING_REQUIRED</x:v>
      </x:c>
      <x:c r="I446" s="20"/>
      <x:c r="J446" s="20"/>
      <x:c r="K446" s="20"/>
      <x:c r="L446" s="20"/>
      <x:c r="M446" s="20"/>
      <x:c r="N446" t="str"/>
      <x:c r="O446" t="str"/>
      <x:c r="P446" s="19"/>
      <x:c r="Q446" s="21" t="str"/>
      <x:c r="R446" s="22"/>
      <x:c r="S446" t="str"/>
      <x:c r="T446" t="str"/>
      <x:c r="U446" s="19" t="n">
        <x:v>0</x:v>
      </x:c>
      <x:c r="V446" s="19" t="n">
        <x:v>0</x:v>
      </x:c>
      <x:c r="W446" s="19" t="n">
        <x:v>0</x:v>
      </x:c>
      <x:c r="X446" t="str"/>
      <x:c r="Y446" s="23" t="str">
        <x:v>No InferenceX benchmark; future GPU scenario requires a separate GPU scaling layer.</x:v>
      </x:c>
    </x:row>
    <x:row r="447">
      <x:c r="A447" t="str">
        <x:v>GLM 5.2</x:v>
      </x:c>
      <x:c r="B447" t="str">
        <x:v>glm5.2</x:v>
      </x:c>
      <x:c r="C447" t="str">
        <x:v>VR200</x:v>
      </x:c>
      <x:c r="D447" t="str">
        <x:v>future_scenario</x:v>
      </x:c>
      <x:c r="E447" t="str">
        <x:v>agentic</x:v>
      </x:c>
      <x:c r="F447" s="19" t="n">
        <x:v>70</x:v>
      </x:c>
      <x:c r="G447" t="str"/>
      <x:c r="H447" s="23" t="str">
        <x:v>GPU_SCALING_REQUIRED</x:v>
      </x:c>
      <x:c r="I447" s="20"/>
      <x:c r="J447" s="20"/>
      <x:c r="K447" s="20"/>
      <x:c r="L447" s="20"/>
      <x:c r="M447" s="20"/>
      <x:c r="N447" t="str"/>
      <x:c r="O447" t="str"/>
      <x:c r="P447" s="19"/>
      <x:c r="Q447" s="21" t="str"/>
      <x:c r="R447" s="22"/>
      <x:c r="S447" t="str"/>
      <x:c r="T447" t="str"/>
      <x:c r="U447" s="19" t="n">
        <x:v>0</x:v>
      </x:c>
      <x:c r="V447" s="19" t="n">
        <x:v>0</x:v>
      </x:c>
      <x:c r="W447" s="19" t="n">
        <x:v>0</x:v>
      </x:c>
      <x:c r="X447" t="str"/>
      <x:c r="Y447" s="23" t="str">
        <x:v>No InferenceX benchmark; future GPU scenario requires a separate GPU scaling layer.</x:v>
      </x:c>
    </x:row>
    <x:row r="448">
      <x:c r="A448" t="str">
        <x:v>GLM 5.2</x:v>
      </x:c>
      <x:c r="B448" t="str">
        <x:v>glm5.2</x:v>
      </x:c>
      <x:c r="C448" t="str">
        <x:v>VR200</x:v>
      </x:c>
      <x:c r="D448" t="str">
        <x:v>future_scenario</x:v>
      </x:c>
      <x:c r="E448" t="str">
        <x:v>agentic</x:v>
      </x:c>
      <x:c r="F448" s="19" t="n">
        <x:v>100</x:v>
      </x:c>
      <x:c r="G448" t="str"/>
      <x:c r="H448" s="23" t="str">
        <x:v>GPU_SCALING_REQUIRED</x:v>
      </x:c>
      <x:c r="I448" s="20"/>
      <x:c r="J448" s="20"/>
      <x:c r="K448" s="20"/>
      <x:c r="L448" s="20"/>
      <x:c r="M448" s="20"/>
      <x:c r="N448" t="str"/>
      <x:c r="O448" t="str"/>
      <x:c r="P448" s="19"/>
      <x:c r="Q448" s="21" t="str"/>
      <x:c r="R448" s="22"/>
      <x:c r="S448" t="str"/>
      <x:c r="T448" t="str"/>
      <x:c r="U448" s="19" t="n">
        <x:v>0</x:v>
      </x:c>
      <x:c r="V448" s="19" t="n">
        <x:v>0</x:v>
      </x:c>
      <x:c r="W448" s="19" t="n">
        <x:v>0</x:v>
      </x:c>
      <x:c r="X448" t="str"/>
      <x:c r="Y448" s="23" t="str">
        <x:v>No InferenceX benchmark; future GPU scenario requires a separate GPU scaling layer.</x:v>
      </x:c>
    </x:row>
    <x:row r="449">
      <x:c r="A449" t="str">
        <x:v>GLM 5.2</x:v>
      </x:c>
      <x:c r="B449" t="str">
        <x:v>glm5.2</x:v>
      </x:c>
      <x:c r="C449" t="str">
        <x:v>R300</x:v>
      </x:c>
      <x:c r="D449" t="str">
        <x:v>future_scenario</x:v>
      </x:c>
      <x:c r="E449" t="str">
        <x:v>short</x:v>
      </x:c>
      <x:c r="F449" s="19" t="n">
        <x:v>30</x:v>
      </x:c>
      <x:c r="G449" t="str"/>
      <x:c r="H449" s="23" t="str">
        <x:v>GPU_SCALING_REQUIRED</x:v>
      </x:c>
      <x:c r="I449" s="20"/>
      <x:c r="J449" s="20"/>
      <x:c r="K449" s="20"/>
      <x:c r="L449" s="20"/>
      <x:c r="M449" s="20"/>
      <x:c r="N449" t="str"/>
      <x:c r="O449" t="str"/>
      <x:c r="P449" s="19"/>
      <x:c r="Q449" s="21" t="str"/>
      <x:c r="R449" s="22"/>
      <x:c r="S449" t="str"/>
      <x:c r="T449" t="str"/>
      <x:c r="U449" s="19" t="n">
        <x:v>0</x:v>
      </x:c>
      <x:c r="V449" s="19" t="n">
        <x:v>0</x:v>
      </x:c>
      <x:c r="W449" s="19" t="n">
        <x:v>0</x:v>
      </x:c>
      <x:c r="X449" t="str"/>
      <x:c r="Y449" s="23" t="str">
        <x:v>No InferenceX benchmark; future GPU scenario requires a separate GPU scaling layer.</x:v>
      </x:c>
    </x:row>
    <x:row r="450">
      <x:c r="A450" t="str">
        <x:v>GLM 5.2</x:v>
      </x:c>
      <x:c r="B450" t="str">
        <x:v>glm5.2</x:v>
      </x:c>
      <x:c r="C450" t="str">
        <x:v>R300</x:v>
      </x:c>
      <x:c r="D450" t="str">
        <x:v>future_scenario</x:v>
      </x:c>
      <x:c r="E450" t="str">
        <x:v>short</x:v>
      </x:c>
      <x:c r="F450" s="19" t="n">
        <x:v>50</x:v>
      </x:c>
      <x:c r="G450" t="str"/>
      <x:c r="H450" s="23" t="str">
        <x:v>GPU_SCALING_REQUIRED</x:v>
      </x:c>
      <x:c r="I450" s="20"/>
      <x:c r="J450" s="20"/>
      <x:c r="K450" s="20"/>
      <x:c r="L450" s="20"/>
      <x:c r="M450" s="20"/>
      <x:c r="N450" t="str"/>
      <x:c r="O450" t="str"/>
      <x:c r="P450" s="19"/>
      <x:c r="Q450" s="21" t="str"/>
      <x:c r="R450" s="22"/>
      <x:c r="S450" t="str"/>
      <x:c r="T450" t="str"/>
      <x:c r="U450" s="19" t="n">
        <x:v>0</x:v>
      </x:c>
      <x:c r="V450" s="19" t="n">
        <x:v>0</x:v>
      </x:c>
      <x:c r="W450" s="19" t="n">
        <x:v>0</x:v>
      </x:c>
      <x:c r="X450" t="str"/>
      <x:c r="Y450" s="23" t="str">
        <x:v>No InferenceX benchmark; future GPU scenario requires a separate GPU scaling layer.</x:v>
      </x:c>
    </x:row>
    <x:row r="451">
      <x:c r="A451" t="str">
        <x:v>GLM 5.2</x:v>
      </x:c>
      <x:c r="B451" t="str">
        <x:v>glm5.2</x:v>
      </x:c>
      <x:c r="C451" t="str">
        <x:v>R300</x:v>
      </x:c>
      <x:c r="D451" t="str">
        <x:v>future_scenario</x:v>
      </x:c>
      <x:c r="E451" t="str">
        <x:v>short</x:v>
      </x:c>
      <x:c r="F451" s="19" t="n">
        <x:v>70</x:v>
      </x:c>
      <x:c r="G451" t="str"/>
      <x:c r="H451" s="23" t="str">
        <x:v>GPU_SCALING_REQUIRED</x:v>
      </x:c>
      <x:c r="I451" s="20"/>
      <x:c r="J451" s="20"/>
      <x:c r="K451" s="20"/>
      <x:c r="L451" s="20"/>
      <x:c r="M451" s="20"/>
      <x:c r="N451" t="str"/>
      <x:c r="O451" t="str"/>
      <x:c r="P451" s="19"/>
      <x:c r="Q451" s="21" t="str"/>
      <x:c r="R451" s="22"/>
      <x:c r="S451" t="str"/>
      <x:c r="T451" t="str"/>
      <x:c r="U451" s="19" t="n">
        <x:v>0</x:v>
      </x:c>
      <x:c r="V451" s="19" t="n">
        <x:v>0</x:v>
      </x:c>
      <x:c r="W451" s="19" t="n">
        <x:v>0</x:v>
      </x:c>
      <x:c r="X451" t="str"/>
      <x:c r="Y451" s="23" t="str">
        <x:v>No InferenceX benchmark; future GPU scenario requires a separate GPU scaling layer.</x:v>
      </x:c>
    </x:row>
    <x:row r="452">
      <x:c r="A452" t="str">
        <x:v>GLM 5.2</x:v>
      </x:c>
      <x:c r="B452" t="str">
        <x:v>glm5.2</x:v>
      </x:c>
      <x:c r="C452" t="str">
        <x:v>R300</x:v>
      </x:c>
      <x:c r="D452" t="str">
        <x:v>future_scenario</x:v>
      </x:c>
      <x:c r="E452" t="str">
        <x:v>short</x:v>
      </x:c>
      <x:c r="F452" s="19" t="n">
        <x:v>100</x:v>
      </x:c>
      <x:c r="G452" t="str"/>
      <x:c r="H452" s="23" t="str">
        <x:v>GPU_SCALING_REQUIRED</x:v>
      </x:c>
      <x:c r="I452" s="20"/>
      <x:c r="J452" s="20"/>
      <x:c r="K452" s="20"/>
      <x:c r="L452" s="20"/>
      <x:c r="M452" s="20"/>
      <x:c r="N452" t="str"/>
      <x:c r="O452" t="str"/>
      <x:c r="P452" s="19"/>
      <x:c r="Q452" s="21" t="str"/>
      <x:c r="R452" s="22"/>
      <x:c r="S452" t="str"/>
      <x:c r="T452" t="str"/>
      <x:c r="U452" s="19" t="n">
        <x:v>0</x:v>
      </x:c>
      <x:c r="V452" s="19" t="n">
        <x:v>0</x:v>
      </x:c>
      <x:c r="W452" s="19" t="n">
        <x:v>0</x:v>
      </x:c>
      <x:c r="X452" t="str"/>
      <x:c r="Y452" s="23" t="str">
        <x:v>No InferenceX benchmark; future GPU scenario requires a separate GPU scaling layer.</x:v>
      </x:c>
    </x:row>
    <x:row r="453">
      <x:c r="A453" t="str">
        <x:v>GLM 5.2</x:v>
      </x:c>
      <x:c r="B453" t="str">
        <x:v>glm5.2</x:v>
      </x:c>
      <x:c r="C453" t="str">
        <x:v>R300</x:v>
      </x:c>
      <x:c r="D453" t="str">
        <x:v>future_scenario</x:v>
      </x:c>
      <x:c r="E453" t="str">
        <x:v>long</x:v>
      </x:c>
      <x:c r="F453" s="19" t="n">
        <x:v>30</x:v>
      </x:c>
      <x:c r="G453" t="str"/>
      <x:c r="H453" s="23" t="str">
        <x:v>GPU_SCALING_REQUIRED</x:v>
      </x:c>
      <x:c r="I453" s="20"/>
      <x:c r="J453" s="20"/>
      <x:c r="K453" s="20"/>
      <x:c r="L453" s="20"/>
      <x:c r="M453" s="20"/>
      <x:c r="N453" t="str"/>
      <x:c r="O453" t="str"/>
      <x:c r="P453" s="19"/>
      <x:c r="Q453" s="21" t="str"/>
      <x:c r="R453" s="22"/>
      <x:c r="S453" t="str"/>
      <x:c r="T453" t="str"/>
      <x:c r="U453" s="19" t="n">
        <x:v>0</x:v>
      </x:c>
      <x:c r="V453" s="19" t="n">
        <x:v>0</x:v>
      </x:c>
      <x:c r="W453" s="19" t="n">
        <x:v>0</x:v>
      </x:c>
      <x:c r="X453" t="str"/>
      <x:c r="Y453" s="23" t="str">
        <x:v>No InferenceX benchmark; future GPU scenario requires a separate GPU scaling layer.</x:v>
      </x:c>
    </x:row>
    <x:row r="454">
      <x:c r="A454" t="str">
        <x:v>GLM 5.2</x:v>
      </x:c>
      <x:c r="B454" t="str">
        <x:v>glm5.2</x:v>
      </x:c>
      <x:c r="C454" t="str">
        <x:v>R300</x:v>
      </x:c>
      <x:c r="D454" t="str">
        <x:v>future_scenario</x:v>
      </x:c>
      <x:c r="E454" t="str">
        <x:v>long</x:v>
      </x:c>
      <x:c r="F454" s="19" t="n">
        <x:v>50</x:v>
      </x:c>
      <x:c r="G454" t="str"/>
      <x:c r="H454" s="23" t="str">
        <x:v>GPU_SCALING_REQUIRED</x:v>
      </x:c>
      <x:c r="I454" s="20"/>
      <x:c r="J454" s="20"/>
      <x:c r="K454" s="20"/>
      <x:c r="L454" s="20"/>
      <x:c r="M454" s="20"/>
      <x:c r="N454" t="str"/>
      <x:c r="O454" t="str"/>
      <x:c r="P454" s="19"/>
      <x:c r="Q454" s="21" t="str"/>
      <x:c r="R454" s="22"/>
      <x:c r="S454" t="str"/>
      <x:c r="T454" t="str"/>
      <x:c r="U454" s="19" t="n">
        <x:v>0</x:v>
      </x:c>
      <x:c r="V454" s="19" t="n">
        <x:v>0</x:v>
      </x:c>
      <x:c r="W454" s="19" t="n">
        <x:v>0</x:v>
      </x:c>
      <x:c r="X454" t="str"/>
      <x:c r="Y454" s="23" t="str">
        <x:v>No InferenceX benchmark; future GPU scenario requires a separate GPU scaling layer.</x:v>
      </x:c>
    </x:row>
    <x:row r="455">
      <x:c r="A455" t="str">
        <x:v>GLM 5.2</x:v>
      </x:c>
      <x:c r="B455" t="str">
        <x:v>glm5.2</x:v>
      </x:c>
      <x:c r="C455" t="str">
        <x:v>R300</x:v>
      </x:c>
      <x:c r="D455" t="str">
        <x:v>future_scenario</x:v>
      </x:c>
      <x:c r="E455" t="str">
        <x:v>long</x:v>
      </x:c>
      <x:c r="F455" s="19" t="n">
        <x:v>70</x:v>
      </x:c>
      <x:c r="G455" t="str"/>
      <x:c r="H455" s="23" t="str">
        <x:v>GPU_SCALING_REQUIRED</x:v>
      </x:c>
      <x:c r="I455" s="20"/>
      <x:c r="J455" s="20"/>
      <x:c r="K455" s="20"/>
      <x:c r="L455" s="20"/>
      <x:c r="M455" s="20"/>
      <x:c r="N455" t="str"/>
      <x:c r="O455" t="str"/>
      <x:c r="P455" s="19"/>
      <x:c r="Q455" s="21" t="str"/>
      <x:c r="R455" s="22"/>
      <x:c r="S455" t="str"/>
      <x:c r="T455" t="str"/>
      <x:c r="U455" s="19" t="n">
        <x:v>0</x:v>
      </x:c>
      <x:c r="V455" s="19" t="n">
        <x:v>0</x:v>
      </x:c>
      <x:c r="W455" s="19" t="n">
        <x:v>0</x:v>
      </x:c>
      <x:c r="X455" t="str"/>
      <x:c r="Y455" s="23" t="str">
        <x:v>No InferenceX benchmark; future GPU scenario requires a separate GPU scaling layer.</x:v>
      </x:c>
    </x:row>
    <x:row r="456">
      <x:c r="A456" t="str">
        <x:v>GLM 5.2</x:v>
      </x:c>
      <x:c r="B456" t="str">
        <x:v>glm5.2</x:v>
      </x:c>
      <x:c r="C456" t="str">
        <x:v>R300</x:v>
      </x:c>
      <x:c r="D456" t="str">
        <x:v>future_scenario</x:v>
      </x:c>
      <x:c r="E456" t="str">
        <x:v>long</x:v>
      </x:c>
      <x:c r="F456" s="19" t="n">
        <x:v>100</x:v>
      </x:c>
      <x:c r="G456" t="str"/>
      <x:c r="H456" s="23" t="str">
        <x:v>GPU_SCALING_REQUIRED</x:v>
      </x:c>
      <x:c r="I456" s="20"/>
      <x:c r="J456" s="20"/>
      <x:c r="K456" s="20"/>
      <x:c r="L456" s="20"/>
      <x:c r="M456" s="20"/>
      <x:c r="N456" t="str"/>
      <x:c r="O456" t="str"/>
      <x:c r="P456" s="19"/>
      <x:c r="Q456" s="21" t="str"/>
      <x:c r="R456" s="22"/>
      <x:c r="S456" t="str"/>
      <x:c r="T456" t="str"/>
      <x:c r="U456" s="19" t="n">
        <x:v>0</x:v>
      </x:c>
      <x:c r="V456" s="19" t="n">
        <x:v>0</x:v>
      </x:c>
      <x:c r="W456" s="19" t="n">
        <x:v>0</x:v>
      </x:c>
      <x:c r="X456" t="str"/>
      <x:c r="Y456" s="23" t="str">
        <x:v>No InferenceX benchmark; future GPU scenario requires a separate GPU scaling layer.</x:v>
      </x:c>
    </x:row>
    <x:row r="457">
      <x:c r="A457" t="str">
        <x:v>GLM 5.2</x:v>
      </x:c>
      <x:c r="B457" t="str">
        <x:v>glm5.2</x:v>
      </x:c>
      <x:c r="C457" t="str">
        <x:v>R300</x:v>
      </x:c>
      <x:c r="D457" t="str">
        <x:v>future_scenario</x:v>
      </x:c>
      <x:c r="E457" t="str">
        <x:v>agentic</x:v>
      </x:c>
      <x:c r="F457" s="19" t="n">
        <x:v>30</x:v>
      </x:c>
      <x:c r="G457" t="str"/>
      <x:c r="H457" s="23" t="str">
        <x:v>GPU_SCALING_REQUIRED</x:v>
      </x:c>
      <x:c r="I457" s="20"/>
      <x:c r="J457" s="20"/>
      <x:c r="K457" s="20"/>
      <x:c r="L457" s="20"/>
      <x:c r="M457" s="20"/>
      <x:c r="N457" t="str"/>
      <x:c r="O457" t="str"/>
      <x:c r="P457" s="19"/>
      <x:c r="Q457" s="21" t="str"/>
      <x:c r="R457" s="22"/>
      <x:c r="S457" t="str"/>
      <x:c r="T457" t="str"/>
      <x:c r="U457" s="19" t="n">
        <x:v>0</x:v>
      </x:c>
      <x:c r="V457" s="19" t="n">
        <x:v>0</x:v>
      </x:c>
      <x:c r="W457" s="19" t="n">
        <x:v>0</x:v>
      </x:c>
      <x:c r="X457" t="str"/>
      <x:c r="Y457" s="23" t="str">
        <x:v>No InferenceX benchmark; future GPU scenario requires a separate GPU scaling layer.</x:v>
      </x:c>
    </x:row>
    <x:row r="458">
      <x:c r="A458" t="str">
        <x:v>GLM 5.2</x:v>
      </x:c>
      <x:c r="B458" t="str">
        <x:v>glm5.2</x:v>
      </x:c>
      <x:c r="C458" t="str">
        <x:v>R300</x:v>
      </x:c>
      <x:c r="D458" t="str">
        <x:v>future_scenario</x:v>
      </x:c>
      <x:c r="E458" t="str">
        <x:v>agentic</x:v>
      </x:c>
      <x:c r="F458" s="19" t="n">
        <x:v>50</x:v>
      </x:c>
      <x:c r="G458" t="str"/>
      <x:c r="H458" s="23" t="str">
        <x:v>GPU_SCALING_REQUIRED</x:v>
      </x:c>
      <x:c r="I458" s="20"/>
      <x:c r="J458" s="20"/>
      <x:c r="K458" s="20"/>
      <x:c r="L458" s="20"/>
      <x:c r="M458" s="20"/>
      <x:c r="N458" t="str"/>
      <x:c r="O458" t="str"/>
      <x:c r="P458" s="19"/>
      <x:c r="Q458" s="21" t="str"/>
      <x:c r="R458" s="22"/>
      <x:c r="S458" t="str"/>
      <x:c r="T458" t="str"/>
      <x:c r="U458" s="19" t="n">
        <x:v>0</x:v>
      </x:c>
      <x:c r="V458" s="19" t="n">
        <x:v>0</x:v>
      </x:c>
      <x:c r="W458" s="19" t="n">
        <x:v>0</x:v>
      </x:c>
      <x:c r="X458" t="str"/>
      <x:c r="Y458" s="23" t="str">
        <x:v>No InferenceX benchmark; future GPU scenario requires a separate GPU scaling layer.</x:v>
      </x:c>
    </x:row>
    <x:row r="459">
      <x:c r="A459" t="str">
        <x:v>GLM 5.2</x:v>
      </x:c>
      <x:c r="B459" t="str">
        <x:v>glm5.2</x:v>
      </x:c>
      <x:c r="C459" t="str">
        <x:v>R300</x:v>
      </x:c>
      <x:c r="D459" t="str">
        <x:v>future_scenario</x:v>
      </x:c>
      <x:c r="E459" t="str">
        <x:v>agentic</x:v>
      </x:c>
      <x:c r="F459" s="19" t="n">
        <x:v>70</x:v>
      </x:c>
      <x:c r="G459" t="str"/>
      <x:c r="H459" s="23" t="str">
        <x:v>GPU_SCALING_REQUIRED</x:v>
      </x:c>
      <x:c r="I459" s="20"/>
      <x:c r="J459" s="20"/>
      <x:c r="K459" s="20"/>
      <x:c r="L459" s="20"/>
      <x:c r="M459" s="20"/>
      <x:c r="N459" t="str"/>
      <x:c r="O459" t="str"/>
      <x:c r="P459" s="19"/>
      <x:c r="Q459" s="21" t="str"/>
      <x:c r="R459" s="22"/>
      <x:c r="S459" t="str"/>
      <x:c r="T459" t="str"/>
      <x:c r="U459" s="19" t="n">
        <x:v>0</x:v>
      </x:c>
      <x:c r="V459" s="19" t="n">
        <x:v>0</x:v>
      </x:c>
      <x:c r="W459" s="19" t="n">
        <x:v>0</x:v>
      </x:c>
      <x:c r="X459" t="str"/>
      <x:c r="Y459" s="23" t="str">
        <x:v>No InferenceX benchmark; future GPU scenario requires a separate GPU scaling layer.</x:v>
      </x:c>
    </x:row>
    <x:row r="460">
      <x:c r="A460" t="str">
        <x:v>GLM 5.2</x:v>
      </x:c>
      <x:c r="B460" t="str">
        <x:v>glm5.2</x:v>
      </x:c>
      <x:c r="C460" t="str">
        <x:v>R300</x:v>
      </x:c>
      <x:c r="D460" t="str">
        <x:v>future_scenario</x:v>
      </x:c>
      <x:c r="E460" t="str">
        <x:v>agentic</x:v>
      </x:c>
      <x:c r="F460" s="19" t="n">
        <x:v>100</x:v>
      </x:c>
      <x:c r="G460" t="str"/>
      <x:c r="H460" s="23" t="str">
        <x:v>GPU_SCALING_REQUIRED</x:v>
      </x:c>
      <x:c r="I460" s="20"/>
      <x:c r="J460" s="20"/>
      <x:c r="K460" s="20"/>
      <x:c r="L460" s="20"/>
      <x:c r="M460" s="20"/>
      <x:c r="N460" t="str"/>
      <x:c r="O460" t="str"/>
      <x:c r="P460" s="19"/>
      <x:c r="Q460" s="21" t="str"/>
      <x:c r="R460" s="22"/>
      <x:c r="S460" t="str"/>
      <x:c r="T460" t="str"/>
      <x:c r="U460" s="19" t="n">
        <x:v>0</x:v>
      </x:c>
      <x:c r="V460" s="19" t="n">
        <x:v>0</x:v>
      </x:c>
      <x:c r="W460" s="19" t="n">
        <x:v>0</x:v>
      </x:c>
      <x:c r="X460" t="str"/>
      <x:c r="Y460" s="23" t="str">
        <x:v>No InferenceX benchmark; future GPU scenario requires a separate GPU scaling layer.</x:v>
      </x:c>
    </x:row>
    <x:row r="461">
      <x:c r="A461" t="str">
        <x:v>GLM 5.2</x:v>
      </x:c>
      <x:c r="B461" t="str">
        <x:v>glm5.2</x:v>
      </x:c>
      <x:c r="C461" t="str">
        <x:v>VR300</x:v>
      </x:c>
      <x:c r="D461" t="str">
        <x:v>future_scenario</x:v>
      </x:c>
      <x:c r="E461" t="str">
        <x:v>short</x:v>
      </x:c>
      <x:c r="F461" s="19" t="n">
        <x:v>30</x:v>
      </x:c>
      <x:c r="G461" t="str"/>
      <x:c r="H461" s="23" t="str">
        <x:v>GPU_SCALING_REQUIRED</x:v>
      </x:c>
      <x:c r="I461" s="20"/>
      <x:c r="J461" s="20"/>
      <x:c r="K461" s="20"/>
      <x:c r="L461" s="20"/>
      <x:c r="M461" s="20"/>
      <x:c r="N461" t="str"/>
      <x:c r="O461" t="str"/>
      <x:c r="P461" s="19"/>
      <x:c r="Q461" s="21" t="str"/>
      <x:c r="R461" s="22"/>
      <x:c r="S461" t="str"/>
      <x:c r="T461" t="str"/>
      <x:c r="U461" s="19" t="n">
        <x:v>0</x:v>
      </x:c>
      <x:c r="V461" s="19" t="n">
        <x:v>0</x:v>
      </x:c>
      <x:c r="W461" s="19" t="n">
        <x:v>0</x:v>
      </x:c>
      <x:c r="X461" t="str"/>
      <x:c r="Y461" s="23" t="str">
        <x:v>No InferenceX benchmark; future GPU scenario requires a separate GPU scaling layer.</x:v>
      </x:c>
    </x:row>
    <x:row r="462">
      <x:c r="A462" t="str">
        <x:v>GLM 5.2</x:v>
      </x:c>
      <x:c r="B462" t="str">
        <x:v>glm5.2</x:v>
      </x:c>
      <x:c r="C462" t="str">
        <x:v>VR300</x:v>
      </x:c>
      <x:c r="D462" t="str">
        <x:v>future_scenario</x:v>
      </x:c>
      <x:c r="E462" t="str">
        <x:v>short</x:v>
      </x:c>
      <x:c r="F462" s="19" t="n">
        <x:v>50</x:v>
      </x:c>
      <x:c r="G462" t="str"/>
      <x:c r="H462" s="23" t="str">
        <x:v>GPU_SCALING_REQUIRED</x:v>
      </x:c>
      <x:c r="I462" s="20"/>
      <x:c r="J462" s="20"/>
      <x:c r="K462" s="20"/>
      <x:c r="L462" s="20"/>
      <x:c r="M462" s="20"/>
      <x:c r="N462" t="str"/>
      <x:c r="O462" t="str"/>
      <x:c r="P462" s="19"/>
      <x:c r="Q462" s="21" t="str"/>
      <x:c r="R462" s="22"/>
      <x:c r="S462" t="str"/>
      <x:c r="T462" t="str"/>
      <x:c r="U462" s="19" t="n">
        <x:v>0</x:v>
      </x:c>
      <x:c r="V462" s="19" t="n">
        <x:v>0</x:v>
      </x:c>
      <x:c r="W462" s="19" t="n">
        <x:v>0</x:v>
      </x:c>
      <x:c r="X462" t="str"/>
      <x:c r="Y462" s="23" t="str">
        <x:v>No InferenceX benchmark; future GPU scenario requires a separate GPU scaling layer.</x:v>
      </x:c>
    </x:row>
    <x:row r="463">
      <x:c r="A463" t="str">
        <x:v>GLM 5.2</x:v>
      </x:c>
      <x:c r="B463" t="str">
        <x:v>glm5.2</x:v>
      </x:c>
      <x:c r="C463" t="str">
        <x:v>VR300</x:v>
      </x:c>
      <x:c r="D463" t="str">
        <x:v>future_scenario</x:v>
      </x:c>
      <x:c r="E463" t="str">
        <x:v>short</x:v>
      </x:c>
      <x:c r="F463" s="19" t="n">
        <x:v>70</x:v>
      </x:c>
      <x:c r="G463" t="str"/>
      <x:c r="H463" s="23" t="str">
        <x:v>GPU_SCALING_REQUIRED</x:v>
      </x:c>
      <x:c r="I463" s="20"/>
      <x:c r="J463" s="20"/>
      <x:c r="K463" s="20"/>
      <x:c r="L463" s="20"/>
      <x:c r="M463" s="20"/>
      <x:c r="N463" t="str"/>
      <x:c r="O463" t="str"/>
      <x:c r="P463" s="19"/>
      <x:c r="Q463" s="21" t="str"/>
      <x:c r="R463" s="22"/>
      <x:c r="S463" t="str"/>
      <x:c r="T463" t="str"/>
      <x:c r="U463" s="19" t="n">
        <x:v>0</x:v>
      </x:c>
      <x:c r="V463" s="19" t="n">
        <x:v>0</x:v>
      </x:c>
      <x:c r="W463" s="19" t="n">
        <x:v>0</x:v>
      </x:c>
      <x:c r="X463" t="str"/>
      <x:c r="Y463" s="23" t="str">
        <x:v>No InferenceX benchmark; future GPU scenario requires a separate GPU scaling layer.</x:v>
      </x:c>
    </x:row>
    <x:row r="464">
      <x:c r="A464" t="str">
        <x:v>GLM 5.2</x:v>
      </x:c>
      <x:c r="B464" t="str">
        <x:v>glm5.2</x:v>
      </x:c>
      <x:c r="C464" t="str">
        <x:v>VR300</x:v>
      </x:c>
      <x:c r="D464" t="str">
        <x:v>future_scenario</x:v>
      </x:c>
      <x:c r="E464" t="str">
        <x:v>short</x:v>
      </x:c>
      <x:c r="F464" s="19" t="n">
        <x:v>100</x:v>
      </x:c>
      <x:c r="G464" t="str"/>
      <x:c r="H464" s="23" t="str">
        <x:v>GPU_SCALING_REQUIRED</x:v>
      </x:c>
      <x:c r="I464" s="20"/>
      <x:c r="J464" s="20"/>
      <x:c r="K464" s="20"/>
      <x:c r="L464" s="20"/>
      <x:c r="M464" s="20"/>
      <x:c r="N464" t="str"/>
      <x:c r="O464" t="str"/>
      <x:c r="P464" s="19"/>
      <x:c r="Q464" s="21" t="str"/>
      <x:c r="R464" s="22"/>
      <x:c r="S464" t="str"/>
      <x:c r="T464" t="str"/>
      <x:c r="U464" s="19" t="n">
        <x:v>0</x:v>
      </x:c>
      <x:c r="V464" s="19" t="n">
        <x:v>0</x:v>
      </x:c>
      <x:c r="W464" s="19" t="n">
        <x:v>0</x:v>
      </x:c>
      <x:c r="X464" t="str"/>
      <x:c r="Y464" s="23" t="str">
        <x:v>No InferenceX benchmark; future GPU scenario requires a separate GPU scaling layer.</x:v>
      </x:c>
    </x:row>
    <x:row r="465">
      <x:c r="A465" t="str">
        <x:v>GLM 5.2</x:v>
      </x:c>
      <x:c r="B465" t="str">
        <x:v>glm5.2</x:v>
      </x:c>
      <x:c r="C465" t="str">
        <x:v>VR300</x:v>
      </x:c>
      <x:c r="D465" t="str">
        <x:v>future_scenario</x:v>
      </x:c>
      <x:c r="E465" t="str">
        <x:v>long</x:v>
      </x:c>
      <x:c r="F465" s="19" t="n">
        <x:v>30</x:v>
      </x:c>
      <x:c r="G465" t="str"/>
      <x:c r="H465" s="23" t="str">
        <x:v>GPU_SCALING_REQUIRED</x:v>
      </x:c>
      <x:c r="I465" s="20"/>
      <x:c r="J465" s="20"/>
      <x:c r="K465" s="20"/>
      <x:c r="L465" s="20"/>
      <x:c r="M465" s="20"/>
      <x:c r="N465" t="str"/>
      <x:c r="O465" t="str"/>
      <x:c r="P465" s="19"/>
      <x:c r="Q465" s="21" t="str"/>
      <x:c r="R465" s="22"/>
      <x:c r="S465" t="str"/>
      <x:c r="T465" t="str"/>
      <x:c r="U465" s="19" t="n">
        <x:v>0</x:v>
      </x:c>
      <x:c r="V465" s="19" t="n">
        <x:v>0</x:v>
      </x:c>
      <x:c r="W465" s="19" t="n">
        <x:v>0</x:v>
      </x:c>
      <x:c r="X465" t="str"/>
      <x:c r="Y465" s="23" t="str">
        <x:v>No InferenceX benchmark; future GPU scenario requires a separate GPU scaling layer.</x:v>
      </x:c>
    </x:row>
    <x:row r="466">
      <x:c r="A466" t="str">
        <x:v>GLM 5.2</x:v>
      </x:c>
      <x:c r="B466" t="str">
        <x:v>glm5.2</x:v>
      </x:c>
      <x:c r="C466" t="str">
        <x:v>VR300</x:v>
      </x:c>
      <x:c r="D466" t="str">
        <x:v>future_scenario</x:v>
      </x:c>
      <x:c r="E466" t="str">
        <x:v>long</x:v>
      </x:c>
      <x:c r="F466" s="19" t="n">
        <x:v>50</x:v>
      </x:c>
      <x:c r="G466" t="str"/>
      <x:c r="H466" s="23" t="str">
        <x:v>GPU_SCALING_REQUIRED</x:v>
      </x:c>
      <x:c r="I466" s="20"/>
      <x:c r="J466" s="20"/>
      <x:c r="K466" s="20"/>
      <x:c r="L466" s="20"/>
      <x:c r="M466" s="20"/>
      <x:c r="N466" t="str"/>
      <x:c r="O466" t="str"/>
      <x:c r="P466" s="19"/>
      <x:c r="Q466" s="21" t="str"/>
      <x:c r="R466" s="22"/>
      <x:c r="S466" t="str"/>
      <x:c r="T466" t="str"/>
      <x:c r="U466" s="19" t="n">
        <x:v>0</x:v>
      </x:c>
      <x:c r="V466" s="19" t="n">
        <x:v>0</x:v>
      </x:c>
      <x:c r="W466" s="19" t="n">
        <x:v>0</x:v>
      </x:c>
      <x:c r="X466" t="str"/>
      <x:c r="Y466" s="23" t="str">
        <x:v>No InferenceX benchmark; future GPU scenario requires a separate GPU scaling layer.</x:v>
      </x:c>
    </x:row>
    <x:row r="467">
      <x:c r="A467" t="str">
        <x:v>GLM 5.2</x:v>
      </x:c>
      <x:c r="B467" t="str">
        <x:v>glm5.2</x:v>
      </x:c>
      <x:c r="C467" t="str">
        <x:v>VR300</x:v>
      </x:c>
      <x:c r="D467" t="str">
        <x:v>future_scenario</x:v>
      </x:c>
      <x:c r="E467" t="str">
        <x:v>long</x:v>
      </x:c>
      <x:c r="F467" s="19" t="n">
        <x:v>70</x:v>
      </x:c>
      <x:c r="G467" t="str"/>
      <x:c r="H467" s="23" t="str">
        <x:v>GPU_SCALING_REQUIRED</x:v>
      </x:c>
      <x:c r="I467" s="20"/>
      <x:c r="J467" s="20"/>
      <x:c r="K467" s="20"/>
      <x:c r="L467" s="20"/>
      <x:c r="M467" s="20"/>
      <x:c r="N467" t="str"/>
      <x:c r="O467" t="str"/>
      <x:c r="P467" s="19"/>
      <x:c r="Q467" s="21" t="str"/>
      <x:c r="R467" s="22"/>
      <x:c r="S467" t="str"/>
      <x:c r="T467" t="str"/>
      <x:c r="U467" s="19" t="n">
        <x:v>0</x:v>
      </x:c>
      <x:c r="V467" s="19" t="n">
        <x:v>0</x:v>
      </x:c>
      <x:c r="W467" s="19" t="n">
        <x:v>0</x:v>
      </x:c>
      <x:c r="X467" t="str"/>
      <x:c r="Y467" s="23" t="str">
        <x:v>No InferenceX benchmark; future GPU scenario requires a separate GPU scaling layer.</x:v>
      </x:c>
    </x:row>
    <x:row r="468">
      <x:c r="A468" t="str">
        <x:v>GLM 5.2</x:v>
      </x:c>
      <x:c r="B468" t="str">
        <x:v>glm5.2</x:v>
      </x:c>
      <x:c r="C468" t="str">
        <x:v>VR300</x:v>
      </x:c>
      <x:c r="D468" t="str">
        <x:v>future_scenario</x:v>
      </x:c>
      <x:c r="E468" t="str">
        <x:v>long</x:v>
      </x:c>
      <x:c r="F468" s="19" t="n">
        <x:v>100</x:v>
      </x:c>
      <x:c r="G468" t="str"/>
      <x:c r="H468" s="23" t="str">
        <x:v>GPU_SCALING_REQUIRED</x:v>
      </x:c>
      <x:c r="I468" s="20"/>
      <x:c r="J468" s="20"/>
      <x:c r="K468" s="20"/>
      <x:c r="L468" s="20"/>
      <x:c r="M468" s="20"/>
      <x:c r="N468" t="str"/>
      <x:c r="O468" t="str"/>
      <x:c r="P468" s="19"/>
      <x:c r="Q468" s="21" t="str"/>
      <x:c r="R468" s="22"/>
      <x:c r="S468" t="str"/>
      <x:c r="T468" t="str"/>
      <x:c r="U468" s="19" t="n">
        <x:v>0</x:v>
      </x:c>
      <x:c r="V468" s="19" t="n">
        <x:v>0</x:v>
      </x:c>
      <x:c r="W468" s="19" t="n">
        <x:v>0</x:v>
      </x:c>
      <x:c r="X468" t="str"/>
      <x:c r="Y468" s="23" t="str">
        <x:v>No InferenceX benchmark; future GPU scenario requires a separate GPU scaling layer.</x:v>
      </x:c>
    </x:row>
    <x:row r="469">
      <x:c r="A469" t="str">
        <x:v>GLM 5.2</x:v>
      </x:c>
      <x:c r="B469" t="str">
        <x:v>glm5.2</x:v>
      </x:c>
      <x:c r="C469" t="str">
        <x:v>VR300</x:v>
      </x:c>
      <x:c r="D469" t="str">
        <x:v>future_scenario</x:v>
      </x:c>
      <x:c r="E469" t="str">
        <x:v>agentic</x:v>
      </x:c>
      <x:c r="F469" s="19" t="n">
        <x:v>30</x:v>
      </x:c>
      <x:c r="G469" t="str"/>
      <x:c r="H469" s="23" t="str">
        <x:v>GPU_SCALING_REQUIRED</x:v>
      </x:c>
      <x:c r="I469" s="20"/>
      <x:c r="J469" s="20"/>
      <x:c r="K469" s="20"/>
      <x:c r="L469" s="20"/>
      <x:c r="M469" s="20"/>
      <x:c r="N469" t="str"/>
      <x:c r="O469" t="str"/>
      <x:c r="P469" s="19"/>
      <x:c r="Q469" s="21" t="str"/>
      <x:c r="R469" s="22"/>
      <x:c r="S469" t="str"/>
      <x:c r="T469" t="str"/>
      <x:c r="U469" s="19" t="n">
        <x:v>0</x:v>
      </x:c>
      <x:c r="V469" s="19" t="n">
        <x:v>0</x:v>
      </x:c>
      <x:c r="W469" s="19" t="n">
        <x:v>0</x:v>
      </x:c>
      <x:c r="X469" t="str"/>
      <x:c r="Y469" s="23" t="str">
        <x:v>No InferenceX benchmark; future GPU scenario requires a separate GPU scaling layer.</x:v>
      </x:c>
    </x:row>
    <x:row r="470">
      <x:c r="A470" t="str">
        <x:v>GLM 5.2</x:v>
      </x:c>
      <x:c r="B470" t="str">
        <x:v>glm5.2</x:v>
      </x:c>
      <x:c r="C470" t="str">
        <x:v>VR300</x:v>
      </x:c>
      <x:c r="D470" t="str">
        <x:v>future_scenario</x:v>
      </x:c>
      <x:c r="E470" t="str">
        <x:v>agentic</x:v>
      </x:c>
      <x:c r="F470" s="19" t="n">
        <x:v>50</x:v>
      </x:c>
      <x:c r="G470" t="str"/>
      <x:c r="H470" s="23" t="str">
        <x:v>GPU_SCALING_REQUIRED</x:v>
      </x:c>
      <x:c r="I470" s="20"/>
      <x:c r="J470" s="20"/>
      <x:c r="K470" s="20"/>
      <x:c r="L470" s="20"/>
      <x:c r="M470" s="20"/>
      <x:c r="N470" t="str"/>
      <x:c r="O470" t="str"/>
      <x:c r="P470" s="19"/>
      <x:c r="Q470" s="21" t="str"/>
      <x:c r="R470" s="22"/>
      <x:c r="S470" t="str"/>
      <x:c r="T470" t="str"/>
      <x:c r="U470" s="19" t="n">
        <x:v>0</x:v>
      </x:c>
      <x:c r="V470" s="19" t="n">
        <x:v>0</x:v>
      </x:c>
      <x:c r="W470" s="19" t="n">
        <x:v>0</x:v>
      </x:c>
      <x:c r="X470" t="str"/>
      <x:c r="Y470" s="23" t="str">
        <x:v>No InferenceX benchmark; future GPU scenario requires a separate GPU scaling layer.</x:v>
      </x:c>
    </x:row>
    <x:row r="471">
      <x:c r="A471" t="str">
        <x:v>GLM 5.2</x:v>
      </x:c>
      <x:c r="B471" t="str">
        <x:v>glm5.2</x:v>
      </x:c>
      <x:c r="C471" t="str">
        <x:v>VR300</x:v>
      </x:c>
      <x:c r="D471" t="str">
        <x:v>future_scenario</x:v>
      </x:c>
      <x:c r="E471" t="str">
        <x:v>agentic</x:v>
      </x:c>
      <x:c r="F471" s="19" t="n">
        <x:v>70</x:v>
      </x:c>
      <x:c r="G471" t="str"/>
      <x:c r="H471" s="23" t="str">
        <x:v>GPU_SCALING_REQUIRED</x:v>
      </x:c>
      <x:c r="I471" s="20"/>
      <x:c r="J471" s="20"/>
      <x:c r="K471" s="20"/>
      <x:c r="L471" s="20"/>
      <x:c r="M471" s="20"/>
      <x:c r="N471" t="str"/>
      <x:c r="O471" t="str"/>
      <x:c r="P471" s="19"/>
      <x:c r="Q471" s="21" t="str"/>
      <x:c r="R471" s="22"/>
      <x:c r="S471" t="str"/>
      <x:c r="T471" t="str"/>
      <x:c r="U471" s="19" t="n">
        <x:v>0</x:v>
      </x:c>
      <x:c r="V471" s="19" t="n">
        <x:v>0</x:v>
      </x:c>
      <x:c r="W471" s="19" t="n">
        <x:v>0</x:v>
      </x:c>
      <x:c r="X471" t="str"/>
      <x:c r="Y471" s="23" t="str">
        <x:v>No InferenceX benchmark; future GPU scenario requires a separate GPU scaling layer.</x:v>
      </x:c>
    </x:row>
    <x:row r="472">
      <x:c r="A472" t="str">
        <x:v>GLM 5.2</x:v>
      </x:c>
      <x:c r="B472" t="str">
        <x:v>glm5.2</x:v>
      </x:c>
      <x:c r="C472" t="str">
        <x:v>VR300</x:v>
      </x:c>
      <x:c r="D472" t="str">
        <x:v>future_scenario</x:v>
      </x:c>
      <x:c r="E472" t="str">
        <x:v>agentic</x:v>
      </x:c>
      <x:c r="F472" s="19" t="n">
        <x:v>100</x:v>
      </x:c>
      <x:c r="G472" t="str"/>
      <x:c r="H472" s="23" t="str">
        <x:v>GPU_SCALING_REQUIRED</x:v>
      </x:c>
      <x:c r="I472" s="20"/>
      <x:c r="J472" s="20"/>
      <x:c r="K472" s="20"/>
      <x:c r="L472" s="20"/>
      <x:c r="M472" s="20"/>
      <x:c r="N472" t="str"/>
      <x:c r="O472" t="str"/>
      <x:c r="P472" s="19"/>
      <x:c r="Q472" s="21" t="str"/>
      <x:c r="R472" s="22"/>
      <x:c r="S472" t="str"/>
      <x:c r="T472" t="str"/>
      <x:c r="U472" s="19" t="n">
        <x:v>0</x:v>
      </x:c>
      <x:c r="V472" s="19" t="n">
        <x:v>0</x:v>
      </x:c>
      <x:c r="W472" s="19" t="n">
        <x:v>0</x:v>
      </x:c>
      <x:c r="X472" t="str"/>
      <x:c r="Y472" s="23" t="str">
        <x:v>No InferenceX benchmark; future GPU scenario requires a separate GPU scaling layer.</x:v>
      </x:c>
    </x:row>
    <x:row r="473">
      <x:c r="A473" t="str">
        <x:v>GLM 5.2</x:v>
      </x:c>
      <x:c r="B473" t="str">
        <x:v>glm5.2</x:v>
      </x:c>
      <x:c r="C473" t="str">
        <x:v>Post Rubin</x:v>
      </x:c>
      <x:c r="D473" t="str">
        <x:v>future_scenario</x:v>
      </x:c>
      <x:c r="E473" t="str">
        <x:v>short</x:v>
      </x:c>
      <x:c r="F473" s="19" t="n">
        <x:v>30</x:v>
      </x:c>
      <x:c r="G473" t="str"/>
      <x:c r="H473" s="23" t="str">
        <x:v>GPU_SCALING_REQUIRED</x:v>
      </x:c>
      <x:c r="I473" s="20"/>
      <x:c r="J473" s="20"/>
      <x:c r="K473" s="20"/>
      <x:c r="L473" s="20"/>
      <x:c r="M473" s="20"/>
      <x:c r="N473" t="str"/>
      <x:c r="O473" t="str"/>
      <x:c r="P473" s="19"/>
      <x:c r="Q473" s="21" t="str"/>
      <x:c r="R473" s="22"/>
      <x:c r="S473" t="str"/>
      <x:c r="T473" t="str"/>
      <x:c r="U473" s="19" t="n">
        <x:v>0</x:v>
      </x:c>
      <x:c r="V473" s="19" t="n">
        <x:v>0</x:v>
      </x:c>
      <x:c r="W473" s="19" t="n">
        <x:v>0</x:v>
      </x:c>
      <x:c r="X473" t="str"/>
      <x:c r="Y473" s="23" t="str">
        <x:v>No InferenceX benchmark; future GPU scenario requires a separate GPU scaling layer.</x:v>
      </x:c>
    </x:row>
    <x:row r="474">
      <x:c r="A474" t="str">
        <x:v>GLM 5.2</x:v>
      </x:c>
      <x:c r="B474" t="str">
        <x:v>glm5.2</x:v>
      </x:c>
      <x:c r="C474" t="str">
        <x:v>Post Rubin</x:v>
      </x:c>
      <x:c r="D474" t="str">
        <x:v>future_scenario</x:v>
      </x:c>
      <x:c r="E474" t="str">
        <x:v>short</x:v>
      </x:c>
      <x:c r="F474" s="19" t="n">
        <x:v>50</x:v>
      </x:c>
      <x:c r="G474" t="str"/>
      <x:c r="H474" s="23" t="str">
        <x:v>GPU_SCALING_REQUIRED</x:v>
      </x:c>
      <x:c r="I474" s="20"/>
      <x:c r="J474" s="20"/>
      <x:c r="K474" s="20"/>
      <x:c r="L474" s="20"/>
      <x:c r="M474" s="20"/>
      <x:c r="N474" t="str"/>
      <x:c r="O474" t="str"/>
      <x:c r="P474" s="19"/>
      <x:c r="Q474" s="21" t="str"/>
      <x:c r="R474" s="22"/>
      <x:c r="S474" t="str"/>
      <x:c r="T474" t="str"/>
      <x:c r="U474" s="19" t="n">
        <x:v>0</x:v>
      </x:c>
      <x:c r="V474" s="19" t="n">
        <x:v>0</x:v>
      </x:c>
      <x:c r="W474" s="19" t="n">
        <x:v>0</x:v>
      </x:c>
      <x:c r="X474" t="str"/>
      <x:c r="Y474" s="23" t="str">
        <x:v>No InferenceX benchmark; future GPU scenario requires a separate GPU scaling layer.</x:v>
      </x:c>
    </x:row>
    <x:row r="475">
      <x:c r="A475" t="str">
        <x:v>GLM 5.2</x:v>
      </x:c>
      <x:c r="B475" t="str">
        <x:v>glm5.2</x:v>
      </x:c>
      <x:c r="C475" t="str">
        <x:v>Post Rubin</x:v>
      </x:c>
      <x:c r="D475" t="str">
        <x:v>future_scenario</x:v>
      </x:c>
      <x:c r="E475" t="str">
        <x:v>short</x:v>
      </x:c>
      <x:c r="F475" s="19" t="n">
        <x:v>70</x:v>
      </x:c>
      <x:c r="G475" t="str"/>
      <x:c r="H475" s="23" t="str">
        <x:v>GPU_SCALING_REQUIRED</x:v>
      </x:c>
      <x:c r="I475" s="20"/>
      <x:c r="J475" s="20"/>
      <x:c r="K475" s="20"/>
      <x:c r="L475" s="20"/>
      <x:c r="M475" s="20"/>
      <x:c r="N475" t="str"/>
      <x:c r="O475" t="str"/>
      <x:c r="P475" s="19"/>
      <x:c r="Q475" s="21" t="str"/>
      <x:c r="R475" s="22"/>
      <x:c r="S475" t="str"/>
      <x:c r="T475" t="str"/>
      <x:c r="U475" s="19" t="n">
        <x:v>0</x:v>
      </x:c>
      <x:c r="V475" s="19" t="n">
        <x:v>0</x:v>
      </x:c>
      <x:c r="W475" s="19" t="n">
        <x:v>0</x:v>
      </x:c>
      <x:c r="X475" t="str"/>
      <x:c r="Y475" s="23" t="str">
        <x:v>No InferenceX benchmark; future GPU scenario requires a separate GPU scaling layer.</x:v>
      </x:c>
    </x:row>
    <x:row r="476">
      <x:c r="A476" t="str">
        <x:v>GLM 5.2</x:v>
      </x:c>
      <x:c r="B476" t="str">
        <x:v>glm5.2</x:v>
      </x:c>
      <x:c r="C476" t="str">
        <x:v>Post Rubin</x:v>
      </x:c>
      <x:c r="D476" t="str">
        <x:v>future_scenario</x:v>
      </x:c>
      <x:c r="E476" t="str">
        <x:v>short</x:v>
      </x:c>
      <x:c r="F476" s="19" t="n">
        <x:v>100</x:v>
      </x:c>
      <x:c r="G476" t="str"/>
      <x:c r="H476" s="23" t="str">
        <x:v>GPU_SCALING_REQUIRED</x:v>
      </x:c>
      <x:c r="I476" s="20"/>
      <x:c r="J476" s="20"/>
      <x:c r="K476" s="20"/>
      <x:c r="L476" s="20"/>
      <x:c r="M476" s="20"/>
      <x:c r="N476" t="str"/>
      <x:c r="O476" t="str"/>
      <x:c r="P476" s="19"/>
      <x:c r="Q476" s="21" t="str"/>
      <x:c r="R476" s="22"/>
      <x:c r="S476" t="str"/>
      <x:c r="T476" t="str"/>
      <x:c r="U476" s="19" t="n">
        <x:v>0</x:v>
      </x:c>
      <x:c r="V476" s="19" t="n">
        <x:v>0</x:v>
      </x:c>
      <x:c r="W476" s="19" t="n">
        <x:v>0</x:v>
      </x:c>
      <x:c r="X476" t="str"/>
      <x:c r="Y476" s="23" t="str">
        <x:v>No InferenceX benchmark; future GPU scenario requires a separate GPU scaling layer.</x:v>
      </x:c>
    </x:row>
    <x:row r="477">
      <x:c r="A477" t="str">
        <x:v>GLM 5.2</x:v>
      </x:c>
      <x:c r="B477" t="str">
        <x:v>glm5.2</x:v>
      </x:c>
      <x:c r="C477" t="str">
        <x:v>Post Rubin</x:v>
      </x:c>
      <x:c r="D477" t="str">
        <x:v>future_scenario</x:v>
      </x:c>
      <x:c r="E477" t="str">
        <x:v>long</x:v>
      </x:c>
      <x:c r="F477" s="19" t="n">
        <x:v>30</x:v>
      </x:c>
      <x:c r="G477" t="str"/>
      <x:c r="H477" s="23" t="str">
        <x:v>GPU_SCALING_REQUIRED</x:v>
      </x:c>
      <x:c r="I477" s="20"/>
      <x:c r="J477" s="20"/>
      <x:c r="K477" s="20"/>
      <x:c r="L477" s="20"/>
      <x:c r="M477" s="20"/>
      <x:c r="N477" t="str"/>
      <x:c r="O477" t="str"/>
      <x:c r="P477" s="19"/>
      <x:c r="Q477" s="21" t="str"/>
      <x:c r="R477" s="22"/>
      <x:c r="S477" t="str"/>
      <x:c r="T477" t="str"/>
      <x:c r="U477" s="19" t="n">
        <x:v>0</x:v>
      </x:c>
      <x:c r="V477" s="19" t="n">
        <x:v>0</x:v>
      </x:c>
      <x:c r="W477" s="19" t="n">
        <x:v>0</x:v>
      </x:c>
      <x:c r="X477" t="str"/>
      <x:c r="Y477" s="23" t="str">
        <x:v>No InferenceX benchmark; future GPU scenario requires a separate GPU scaling layer.</x:v>
      </x:c>
    </x:row>
    <x:row r="478">
      <x:c r="A478" t="str">
        <x:v>GLM 5.2</x:v>
      </x:c>
      <x:c r="B478" t="str">
        <x:v>glm5.2</x:v>
      </x:c>
      <x:c r="C478" t="str">
        <x:v>Post Rubin</x:v>
      </x:c>
      <x:c r="D478" t="str">
        <x:v>future_scenario</x:v>
      </x:c>
      <x:c r="E478" t="str">
        <x:v>long</x:v>
      </x:c>
      <x:c r="F478" s="19" t="n">
        <x:v>50</x:v>
      </x:c>
      <x:c r="G478" t="str"/>
      <x:c r="H478" s="23" t="str">
        <x:v>GPU_SCALING_REQUIRED</x:v>
      </x:c>
      <x:c r="I478" s="20"/>
      <x:c r="J478" s="20"/>
      <x:c r="K478" s="20"/>
      <x:c r="L478" s="20"/>
      <x:c r="M478" s="20"/>
      <x:c r="N478" t="str"/>
      <x:c r="O478" t="str"/>
      <x:c r="P478" s="19"/>
      <x:c r="Q478" s="21" t="str"/>
      <x:c r="R478" s="22"/>
      <x:c r="S478" t="str"/>
      <x:c r="T478" t="str"/>
      <x:c r="U478" s="19" t="n">
        <x:v>0</x:v>
      </x:c>
      <x:c r="V478" s="19" t="n">
        <x:v>0</x:v>
      </x:c>
      <x:c r="W478" s="19" t="n">
        <x:v>0</x:v>
      </x:c>
      <x:c r="X478" t="str"/>
      <x:c r="Y478" s="23" t="str">
        <x:v>No InferenceX benchmark; future GPU scenario requires a separate GPU scaling layer.</x:v>
      </x:c>
    </x:row>
    <x:row r="479">
      <x:c r="A479" t="str">
        <x:v>GLM 5.2</x:v>
      </x:c>
      <x:c r="B479" t="str">
        <x:v>glm5.2</x:v>
      </x:c>
      <x:c r="C479" t="str">
        <x:v>Post Rubin</x:v>
      </x:c>
      <x:c r="D479" t="str">
        <x:v>future_scenario</x:v>
      </x:c>
      <x:c r="E479" t="str">
        <x:v>long</x:v>
      </x:c>
      <x:c r="F479" s="19" t="n">
        <x:v>70</x:v>
      </x:c>
      <x:c r="G479" t="str"/>
      <x:c r="H479" s="23" t="str">
        <x:v>GPU_SCALING_REQUIRED</x:v>
      </x:c>
      <x:c r="I479" s="20"/>
      <x:c r="J479" s="20"/>
      <x:c r="K479" s="20"/>
      <x:c r="L479" s="20"/>
      <x:c r="M479" s="20"/>
      <x:c r="N479" t="str"/>
      <x:c r="O479" t="str"/>
      <x:c r="P479" s="19"/>
      <x:c r="Q479" s="21" t="str"/>
      <x:c r="R479" s="22"/>
      <x:c r="S479" t="str"/>
      <x:c r="T479" t="str"/>
      <x:c r="U479" s="19" t="n">
        <x:v>0</x:v>
      </x:c>
      <x:c r="V479" s="19" t="n">
        <x:v>0</x:v>
      </x:c>
      <x:c r="W479" s="19" t="n">
        <x:v>0</x:v>
      </x:c>
      <x:c r="X479" t="str"/>
      <x:c r="Y479" s="23" t="str">
        <x:v>No InferenceX benchmark; future GPU scenario requires a separate GPU scaling layer.</x:v>
      </x:c>
    </x:row>
    <x:row r="480">
      <x:c r="A480" t="str">
        <x:v>GLM 5.2</x:v>
      </x:c>
      <x:c r="B480" t="str">
        <x:v>glm5.2</x:v>
      </x:c>
      <x:c r="C480" t="str">
        <x:v>Post Rubin</x:v>
      </x:c>
      <x:c r="D480" t="str">
        <x:v>future_scenario</x:v>
      </x:c>
      <x:c r="E480" t="str">
        <x:v>long</x:v>
      </x:c>
      <x:c r="F480" s="19" t="n">
        <x:v>100</x:v>
      </x:c>
      <x:c r="G480" t="str"/>
      <x:c r="H480" s="23" t="str">
        <x:v>GPU_SCALING_REQUIRED</x:v>
      </x:c>
      <x:c r="I480" s="20"/>
      <x:c r="J480" s="20"/>
      <x:c r="K480" s="20"/>
      <x:c r="L480" s="20"/>
      <x:c r="M480" s="20"/>
      <x:c r="N480" t="str"/>
      <x:c r="O480" t="str"/>
      <x:c r="P480" s="19"/>
      <x:c r="Q480" s="21" t="str"/>
      <x:c r="R480" s="22"/>
      <x:c r="S480" t="str"/>
      <x:c r="T480" t="str"/>
      <x:c r="U480" s="19" t="n">
        <x:v>0</x:v>
      </x:c>
      <x:c r="V480" s="19" t="n">
        <x:v>0</x:v>
      </x:c>
      <x:c r="W480" s="19" t="n">
        <x:v>0</x:v>
      </x:c>
      <x:c r="X480" t="str"/>
      <x:c r="Y480" s="23" t="str">
        <x:v>No InferenceX benchmark; future GPU scenario requires a separate GPU scaling layer.</x:v>
      </x:c>
    </x:row>
    <x:row r="481">
      <x:c r="A481" t="str">
        <x:v>GLM 5.2</x:v>
      </x:c>
      <x:c r="B481" t="str">
        <x:v>glm5.2</x:v>
      </x:c>
      <x:c r="C481" t="str">
        <x:v>Post Rubin</x:v>
      </x:c>
      <x:c r="D481" t="str">
        <x:v>future_scenario</x:v>
      </x:c>
      <x:c r="E481" t="str">
        <x:v>agentic</x:v>
      </x:c>
      <x:c r="F481" s="19" t="n">
        <x:v>30</x:v>
      </x:c>
      <x:c r="G481" t="str"/>
      <x:c r="H481" s="23" t="str">
        <x:v>GPU_SCALING_REQUIRED</x:v>
      </x:c>
      <x:c r="I481" s="20"/>
      <x:c r="J481" s="20"/>
      <x:c r="K481" s="20"/>
      <x:c r="L481" s="20"/>
      <x:c r="M481" s="20"/>
      <x:c r="N481" t="str"/>
      <x:c r="O481" t="str"/>
      <x:c r="P481" s="19"/>
      <x:c r="Q481" s="21" t="str"/>
      <x:c r="R481" s="22"/>
      <x:c r="S481" t="str"/>
      <x:c r="T481" t="str"/>
      <x:c r="U481" s="19" t="n">
        <x:v>0</x:v>
      </x:c>
      <x:c r="V481" s="19" t="n">
        <x:v>0</x:v>
      </x:c>
      <x:c r="W481" s="19" t="n">
        <x:v>0</x:v>
      </x:c>
      <x:c r="X481" t="str"/>
      <x:c r="Y481" s="23" t="str">
        <x:v>No InferenceX benchmark; future GPU scenario requires a separate GPU scaling layer.</x:v>
      </x:c>
    </x:row>
    <x:row r="482">
      <x:c r="A482" t="str">
        <x:v>GLM 5.2</x:v>
      </x:c>
      <x:c r="B482" t="str">
        <x:v>glm5.2</x:v>
      </x:c>
      <x:c r="C482" t="str">
        <x:v>Post Rubin</x:v>
      </x:c>
      <x:c r="D482" t="str">
        <x:v>future_scenario</x:v>
      </x:c>
      <x:c r="E482" t="str">
        <x:v>agentic</x:v>
      </x:c>
      <x:c r="F482" s="19" t="n">
        <x:v>50</x:v>
      </x:c>
      <x:c r="G482" t="str"/>
      <x:c r="H482" s="23" t="str">
        <x:v>GPU_SCALING_REQUIRED</x:v>
      </x:c>
      <x:c r="I482" s="20"/>
      <x:c r="J482" s="20"/>
      <x:c r="K482" s="20"/>
      <x:c r="L482" s="20"/>
      <x:c r="M482" s="20"/>
      <x:c r="N482" t="str"/>
      <x:c r="O482" t="str"/>
      <x:c r="P482" s="19"/>
      <x:c r="Q482" s="21" t="str"/>
      <x:c r="R482" s="22"/>
      <x:c r="S482" t="str"/>
      <x:c r="T482" t="str"/>
      <x:c r="U482" s="19" t="n">
        <x:v>0</x:v>
      </x:c>
      <x:c r="V482" s="19" t="n">
        <x:v>0</x:v>
      </x:c>
      <x:c r="W482" s="19" t="n">
        <x:v>0</x:v>
      </x:c>
      <x:c r="X482" t="str"/>
      <x:c r="Y482" s="23" t="str">
        <x:v>No InferenceX benchmark; future GPU scenario requires a separate GPU scaling layer.</x:v>
      </x:c>
    </x:row>
    <x:row r="483">
      <x:c r="A483" t="str">
        <x:v>GLM 5.2</x:v>
      </x:c>
      <x:c r="B483" t="str">
        <x:v>glm5.2</x:v>
      </x:c>
      <x:c r="C483" t="str">
        <x:v>Post Rubin</x:v>
      </x:c>
      <x:c r="D483" t="str">
        <x:v>future_scenario</x:v>
      </x:c>
      <x:c r="E483" t="str">
        <x:v>agentic</x:v>
      </x:c>
      <x:c r="F483" s="19" t="n">
        <x:v>70</x:v>
      </x:c>
      <x:c r="G483" t="str"/>
      <x:c r="H483" s="23" t="str">
        <x:v>GPU_SCALING_REQUIRED</x:v>
      </x:c>
      <x:c r="I483" s="20"/>
      <x:c r="J483" s="20"/>
      <x:c r="K483" s="20"/>
      <x:c r="L483" s="20"/>
      <x:c r="M483" s="20"/>
      <x:c r="N483" t="str"/>
      <x:c r="O483" t="str"/>
      <x:c r="P483" s="19"/>
      <x:c r="Q483" s="21" t="str"/>
      <x:c r="R483" s="22"/>
      <x:c r="S483" t="str"/>
      <x:c r="T483" t="str"/>
      <x:c r="U483" s="19" t="n">
        <x:v>0</x:v>
      </x:c>
      <x:c r="V483" s="19" t="n">
        <x:v>0</x:v>
      </x:c>
      <x:c r="W483" s="19" t="n">
        <x:v>0</x:v>
      </x:c>
      <x:c r="X483" t="str"/>
      <x:c r="Y483" s="23" t="str">
        <x:v>No InferenceX benchmark; future GPU scenario requires a separate GPU scaling layer.</x:v>
      </x:c>
    </x:row>
    <x:row r="484">
      <x:c r="A484" t="str">
        <x:v>GLM 5.2</x:v>
      </x:c>
      <x:c r="B484" t="str">
        <x:v>glm5.2</x:v>
      </x:c>
      <x:c r="C484" t="str">
        <x:v>Post Rubin</x:v>
      </x:c>
      <x:c r="D484" t="str">
        <x:v>future_scenario</x:v>
      </x:c>
      <x:c r="E484" t="str">
        <x:v>agentic</x:v>
      </x:c>
      <x:c r="F484" s="19" t="n">
        <x:v>100</x:v>
      </x:c>
      <x:c r="G484" t="str"/>
      <x:c r="H484" s="23" t="str">
        <x:v>GPU_SCALING_REQUIRED</x:v>
      </x:c>
      <x:c r="I484" s="20"/>
      <x:c r="J484" s="20"/>
      <x:c r="K484" s="20"/>
      <x:c r="L484" s="20"/>
      <x:c r="M484" s="20"/>
      <x:c r="N484" t="str"/>
      <x:c r="O484" t="str"/>
      <x:c r="P484" s="19"/>
      <x:c r="Q484" s="21" t="str"/>
      <x:c r="R484" s="22"/>
      <x:c r="S484" t="str"/>
      <x:c r="T484" t="str"/>
      <x:c r="U484" s="19" t="n">
        <x:v>0</x:v>
      </x:c>
      <x:c r="V484" s="19" t="n">
        <x:v>0</x:v>
      </x:c>
      <x:c r="W484" s="19" t="n">
        <x:v>0</x:v>
      </x:c>
      <x:c r="X484" t="str"/>
      <x:c r="Y484" s="23" t="str">
        <x:v>No InferenceX benchmark; future GPU scenario requires a separate GPU scaling layer.</x:v>
      </x:c>
    </x:row>
    <x:row r="485">
      <x:c r="A485" t="str">
        <x:v>Qwen 3.5</x:v>
      </x:c>
      <x:c r="B485" t="str">
        <x:v>qwen3.5</x:v>
      </x:c>
      <x:c r="C485" t="str">
        <x:v>H200</x:v>
      </x:c>
      <x:c r="D485" t="str">
        <x:v>direct</x:v>
      </x:c>
      <x:c r="E485" t="str">
        <x:v>short</x:v>
      </x:c>
      <x:c r="F485" s="19" t="n">
        <x:v>30</x:v>
      </x:c>
      <x:c r="G485" t="str">
        <x:v>sglang</x:v>
      </x:c>
      <x:c r="H485" s="23" t="str">
        <x:v>DIRECT_PREFERRED</x:v>
      </x:c>
      <x:c r="I485" s="20" t="n">
        <x:v>237432.62675018952</x:v>
      </x:c>
      <x:c r="J485" s="20" t="n">
        <x:v>40.67375832272341</x:v>
      </x:c>
      <x:c r="K485" s="20" t="n">
        <x:v>64</x:v>
      </x:c>
      <x:c r="L485" s="20" t="n">
        <x:v>64</x:v>
      </x:c>
      <x:c r="M485" s="20" t="n">
        <x:v>1</x:v>
      </x:c>
      <x:c r="N485" t="str">
        <x:v>fp8</x:v>
      </x:c>
      <x:c r="O485" t="str">
        <x:v>mtp</x:v>
      </x:c>
      <x:c r="P485" s="19" t="n">
        <x:v>432217</x:v>
      </x:c>
      <x:c r="Q485" s="21" t="n">
        <x:v>46207</x:v>
      </x:c>
      <x:c r="R485" s="22" t="n">
        <x:v>237432.62675018952</x:v>
      </x:c>
      <x:c r="S485" t="str">
        <x:v>sglang</x:v>
      </x:c>
      <x:c r="T485" t="str">
        <x:v>sglang</x:v>
      </x:c>
      <x:c r="U485" s="19" t="n">
        <x:v>45</x:v>
      </x:c>
      <x:c r="V485" s="19" t="n">
        <x:v>45</x:v>
      </x:c>
      <x:c r="W485" s="19" t="n">
        <x:v>6</x:v>
      </x:c>
      <x:c r="X485" t="str"/>
      <x:c r="Y485" s="23" t="str">
        <x:v>Preferred framework has a direct Pareto-eligible observation.</x:v>
      </x:c>
    </x:row>
    <x:row r="486">
      <x:c r="A486" t="str">
        <x:v>Qwen 3.5</x:v>
      </x:c>
      <x:c r="B486" t="str">
        <x:v>qwen3.5</x:v>
      </x:c>
      <x:c r="C486" t="str">
        <x:v>H200</x:v>
      </x:c>
      <x:c r="D486" t="str">
        <x:v>direct</x:v>
      </x:c>
      <x:c r="E486" t="str">
        <x:v>short</x:v>
      </x:c>
      <x:c r="F486" s="19" t="n">
        <x:v>50</x:v>
      </x:c>
      <x:c r="G486" t="str">
        <x:v>sglang</x:v>
      </x:c>
      <x:c r="H486" s="23" t="str">
        <x:v>DIRECT_PREFERRED</x:v>
      </x:c>
      <x:c r="I486" s="20" t="n">
        <x:v>185973.39860772155</x:v>
      </x:c>
      <x:c r="J486" s="20" t="n">
        <x:v>64.32066727131976</x:v>
      </x:c>
      <x:c r="K486" s="20" t="n">
        <x:v>32</x:v>
      </x:c>
      <x:c r="L486" s="20" t="n">
        <x:v>64</x:v>
      </x:c>
      <x:c r="M486" s="20" t="n">
        <x:v>0.5</x:v>
      </x:c>
      <x:c r="N486" t="str">
        <x:v>fp8</x:v>
      </x:c>
      <x:c r="O486" t="str">
        <x:v>mtp</x:v>
      </x:c>
      <x:c r="P486" s="19" t="n">
        <x:v>432214</x:v>
      </x:c>
      <x:c r="Q486" s="21" t="n">
        <x:v>46207</x:v>
      </x:c>
      <x:c r="R486" s="22" t="n">
        <x:v>185973.39860772155</x:v>
      </x:c>
      <x:c r="S486" t="str">
        <x:v>sglang</x:v>
      </x:c>
      <x:c r="T486" t="str">
        <x:v>sglang</x:v>
      </x:c>
      <x:c r="U486" s="19" t="n">
        <x:v>31</x:v>
      </x:c>
      <x:c r="V486" s="19" t="n">
        <x:v>31</x:v>
      </x:c>
      <x:c r="W486" s="19" t="n">
        <x:v>6</x:v>
      </x:c>
      <x:c r="X486" t="str"/>
      <x:c r="Y486" s="23" t="str">
        <x:v>Preferred framework has a direct Pareto-eligible observation.</x:v>
      </x:c>
    </x:row>
    <x:row r="487">
      <x:c r="A487" t="str">
        <x:v>Qwen 3.5</x:v>
      </x:c>
      <x:c r="B487" t="str">
        <x:v>qwen3.5</x:v>
      </x:c>
      <x:c r="C487" t="str">
        <x:v>H200</x:v>
      </x:c>
      <x:c r="D487" t="str">
        <x:v>direct</x:v>
      </x:c>
      <x:c r="E487" t="str">
        <x:v>short</x:v>
      </x:c>
      <x:c r="F487" s="19" t="n">
        <x:v>70</x:v>
      </x:c>
      <x:c r="G487" t="str">
        <x:v>sglang</x:v>
      </x:c>
      <x:c r="H487" s="23" t="str">
        <x:v>DIRECT_PREFERRED</x:v>
      </x:c>
      <x:c r="I487" s="20" t="n">
        <x:v>136754.57498503264</x:v>
      </x:c>
      <x:c r="J487" s="20" t="n">
        <x:v>96.58757357062822</x:v>
      </x:c>
      <x:c r="K487" s="20" t="n">
        <x:v>16</x:v>
      </x:c>
      <x:c r="L487" s="20" t="n">
        <x:v>64</x:v>
      </x:c>
      <x:c r="M487" s="20" t="n">
        <x:v>0.25</x:v>
      </x:c>
      <x:c r="N487" t="str">
        <x:v>fp8</x:v>
      </x:c>
      <x:c r="O487" t="str">
        <x:v>mtp</x:v>
      </x:c>
      <x:c r="P487" s="19" t="n">
        <x:v>432223</x:v>
      </x:c>
      <x:c r="Q487" s="21" t="n">
        <x:v>46207</x:v>
      </x:c>
      <x:c r="R487" s="22" t="n">
        <x:v>136754.57498503264</x:v>
      </x:c>
      <x:c r="S487" t="str">
        <x:v>sglang</x:v>
      </x:c>
      <x:c r="T487" t="str">
        <x:v>sglang</x:v>
      </x:c>
      <x:c r="U487" s="19" t="n">
        <x:v>23</x:v>
      </x:c>
      <x:c r="V487" s="19" t="n">
        <x:v>23</x:v>
      </x:c>
      <x:c r="W487" s="19" t="n">
        <x:v>6</x:v>
      </x:c>
      <x:c r="X487" t="str"/>
      <x:c r="Y487" s="23" t="str">
        <x:v>Preferred framework has a direct Pareto-eligible observation.</x:v>
      </x:c>
    </x:row>
    <x:row r="488">
      <x:c r="A488" t="str">
        <x:v>Qwen 3.5</x:v>
      </x:c>
      <x:c r="B488" t="str">
        <x:v>qwen3.5</x:v>
      </x:c>
      <x:c r="C488" t="str">
        <x:v>H200</x:v>
      </x:c>
      <x:c r="D488" t="str">
        <x:v>direct</x:v>
      </x:c>
      <x:c r="E488" t="str">
        <x:v>short</x:v>
      </x:c>
      <x:c r="F488" s="19" t="n">
        <x:v>100</x:v>
      </x:c>
      <x:c r="G488" t="str">
        <x:v>sglang</x:v>
      </x:c>
      <x:c r="H488" s="23" t="str">
        <x:v>DIRECT_PREFERRED</x:v>
      </x:c>
      <x:c r="I488" s="20" t="n">
        <x:v>102472.88433457416</x:v>
      </x:c>
      <x:c r="J488" s="20" t="n">
        <x:v>145.77120119241377</x:v>
      </x:c>
      <x:c r="K488" s="20" t="n">
        <x:v>8</x:v>
      </x:c>
      <x:c r="L488" s="20" t="n">
        <x:v>64</x:v>
      </x:c>
      <x:c r="M488" s="20" t="n">
        <x:v>0.125</x:v>
      </x:c>
      <x:c r="N488" t="str">
        <x:v>fp8</x:v>
      </x:c>
      <x:c r="O488" t="str">
        <x:v>mtp</x:v>
      </x:c>
      <x:c r="P488" s="19" t="n">
        <x:v>432228</x:v>
      </x:c>
      <x:c r="Q488" s="21" t="n">
        <x:v>46207</x:v>
      </x:c>
      <x:c r="R488" s="22" t="n">
        <x:v>102472.88433457416</x:v>
      </x:c>
      <x:c r="S488" t="str">
        <x:v>sglang</x:v>
      </x:c>
      <x:c r="T488" t="str">
        <x:v>sglang</x:v>
      </x:c>
      <x:c r="U488" s="19" t="n">
        <x:v>13</x:v>
      </x:c>
      <x:c r="V488" s="19" t="n">
        <x:v>13</x:v>
      </x:c>
      <x:c r="W488" s="19" t="n">
        <x:v>6</x:v>
      </x:c>
      <x:c r="X488" t="str"/>
      <x:c r="Y488" s="23" t="str">
        <x:v>Preferred framework has a direct Pareto-eligible observation.</x:v>
      </x:c>
    </x:row>
    <x:row r="489">
      <x:c r="A489" t="str">
        <x:v>Qwen 3.5</x:v>
      </x:c>
      <x:c r="B489" t="str">
        <x:v>qwen3.5</x:v>
      </x:c>
      <x:c r="C489" t="str">
        <x:v>H200</x:v>
      </x:c>
      <x:c r="D489" t="str">
        <x:v>direct</x:v>
      </x:c>
      <x:c r="E489" t="str">
        <x:v>long</x:v>
      </x:c>
      <x:c r="F489" s="19" t="n">
        <x:v>30</x:v>
      </x:c>
      <x:c r="G489" t="str">
        <x:v>sglang</x:v>
      </x:c>
      <x:c r="H489" s="23" t="str">
        <x:v>DIRECT_PREFERRED</x:v>
      </x:c>
      <x:c r="I489" s="20" t="n">
        <x:v>146202.63112368208</x:v>
      </x:c>
      <x:c r="J489" s="20" t="n">
        <x:v>51.50005737266151</x:v>
      </x:c>
      <x:c r="K489" s="20" t="n">
        <x:v>32</x:v>
      </x:c>
      <x:c r="L489" s="20" t="n">
        <x:v>64</x:v>
      </x:c>
      <x:c r="M489" s="20" t="n">
        <x:v>0.5</x:v>
      </x:c>
      <x:c r="N489" t="str">
        <x:v>fp8</x:v>
      </x:c>
      <x:c r="O489" t="str">
        <x:v>mtp</x:v>
      </x:c>
      <x:c r="P489" s="19" t="n">
        <x:v>432221</x:v>
      </x:c>
      <x:c r="Q489" s="21" t="n">
        <x:v>46207</x:v>
      </x:c>
      <x:c r="R489" s="22" t="n">
        <x:v>146202.63112368208</x:v>
      </x:c>
      <x:c r="S489" t="str">
        <x:v>sglang</x:v>
      </x:c>
      <x:c r="T489" t="str">
        <x:v>sglang</x:v>
      </x:c>
      <x:c r="U489" s="19" t="n">
        <x:v>36</x:v>
      </x:c>
      <x:c r="V489" s="19" t="n">
        <x:v>36</x:v>
      </x:c>
      <x:c r="W489" s="19" t="n">
        <x:v>6</x:v>
      </x:c>
      <x:c r="X489" t="str"/>
      <x:c r="Y489" s="23" t="str">
        <x:v>Preferred framework has a direct Pareto-eligible observation.</x:v>
      </x:c>
    </x:row>
    <x:row r="490">
      <x:c r="A490" t="str">
        <x:v>Qwen 3.5</x:v>
      </x:c>
      <x:c r="B490" t="str">
        <x:v>qwen3.5</x:v>
      </x:c>
      <x:c r="C490" t="str">
        <x:v>H200</x:v>
      </x:c>
      <x:c r="D490" t="str">
        <x:v>direct</x:v>
      </x:c>
      <x:c r="E490" t="str">
        <x:v>long</x:v>
      </x:c>
      <x:c r="F490" s="19" t="n">
        <x:v>50</x:v>
      </x:c>
      <x:c r="G490" t="str">
        <x:v>sglang</x:v>
      </x:c>
      <x:c r="H490" s="23" t="str">
        <x:v>DIRECT_PREFERRED</x:v>
      </x:c>
      <x:c r="I490" s="20" t="n">
        <x:v>146202.63112368208</x:v>
      </x:c>
      <x:c r="J490" s="20" t="n">
        <x:v>51.50005737266151</x:v>
      </x:c>
      <x:c r="K490" s="20" t="n">
        <x:v>32</x:v>
      </x:c>
      <x:c r="L490" s="20" t="n">
        <x:v>64</x:v>
      </x:c>
      <x:c r="M490" s="20" t="n">
        <x:v>0.5</x:v>
      </x:c>
      <x:c r="N490" t="str">
        <x:v>fp8</x:v>
      </x:c>
      <x:c r="O490" t="str">
        <x:v>mtp</x:v>
      </x:c>
      <x:c r="P490" s="19" t="n">
        <x:v>432221</x:v>
      </x:c>
      <x:c r="Q490" s="21" t="n">
        <x:v>46207</x:v>
      </x:c>
      <x:c r="R490" s="22" t="n">
        <x:v>146202.63112368208</x:v>
      </x:c>
      <x:c r="S490" t="str">
        <x:v>sglang</x:v>
      </x:c>
      <x:c r="T490" t="str">
        <x:v>sglang</x:v>
      </x:c>
      <x:c r="U490" s="19" t="n">
        <x:v>28</x:v>
      </x:c>
      <x:c r="V490" s="19" t="n">
        <x:v>28</x:v>
      </x:c>
      <x:c r="W490" s="19" t="n">
        <x:v>6</x:v>
      </x:c>
      <x:c r="X490" t="str"/>
      <x:c r="Y490" s="23" t="str">
        <x:v>Preferred framework has a direct Pareto-eligible observation.</x:v>
      </x:c>
    </x:row>
    <x:row r="491">
      <x:c r="A491" t="str">
        <x:v>Qwen 3.5</x:v>
      </x:c>
      <x:c r="B491" t="str">
        <x:v>qwen3.5</x:v>
      </x:c>
      <x:c r="C491" t="str">
        <x:v>H200</x:v>
      </x:c>
      <x:c r="D491" t="str">
        <x:v>direct</x:v>
      </x:c>
      <x:c r="E491" t="str">
        <x:v>long</x:v>
      </x:c>
      <x:c r="F491" s="19" t="n">
        <x:v>70</x:v>
      </x:c>
      <x:c r="G491" t="str">
        <x:v>sglang</x:v>
      </x:c>
      <x:c r="H491" s="23" t="str">
        <x:v>DIRECT_PREFERRED</x:v>
      </x:c>
      <x:c r="I491" s="20" t="n">
        <x:v>116502.74887032364</x:v>
      </x:c>
      <x:c r="J491" s="20" t="n">
        <x:v>84.06410244020306</x:v>
      </x:c>
      <x:c r="K491" s="20" t="n">
        <x:v>16</x:v>
      </x:c>
      <x:c r="L491" s="20" t="n">
        <x:v>64</x:v>
      </x:c>
      <x:c r="M491" s="20" t="n">
        <x:v>0.25</x:v>
      </x:c>
      <x:c r="N491" t="str">
        <x:v>fp8</x:v>
      </x:c>
      <x:c r="O491" t="str">
        <x:v>mtp</x:v>
      </x:c>
      <x:c r="P491" s="19" t="n">
        <x:v>432233</x:v>
      </x:c>
      <x:c r="Q491" s="21" t="n">
        <x:v>46207</x:v>
      </x:c>
      <x:c r="R491" s="22" t="n">
        <x:v>116502.74887032364</x:v>
      </x:c>
      <x:c r="S491" t="str">
        <x:v>sglang</x:v>
      </x:c>
      <x:c r="T491" t="str">
        <x:v>sglang</x:v>
      </x:c>
      <x:c r="U491" s="19" t="n">
        <x:v>21</x:v>
      </x:c>
      <x:c r="V491" s="19" t="n">
        <x:v>21</x:v>
      </x:c>
      <x:c r="W491" s="19" t="n">
        <x:v>6</x:v>
      </x:c>
      <x:c r="X491" t="str"/>
      <x:c r="Y491" s="23" t="str">
        <x:v>Preferred framework has a direct Pareto-eligible observation.</x:v>
      </x:c>
    </x:row>
    <x:row r="492">
      <x:c r="A492" t="str">
        <x:v>Qwen 3.5</x:v>
      </x:c>
      <x:c r="B492" t="str">
        <x:v>qwen3.5</x:v>
      </x:c>
      <x:c r="C492" t="str">
        <x:v>H200</x:v>
      </x:c>
      <x:c r="D492" t="str">
        <x:v>direct</x:v>
      </x:c>
      <x:c r="E492" t="str">
        <x:v>long</x:v>
      </x:c>
      <x:c r="F492" s="19" t="n">
        <x:v>100</x:v>
      </x:c>
      <x:c r="G492" t="str">
        <x:v>sglang</x:v>
      </x:c>
      <x:c r="H492" s="23" t="str">
        <x:v>DIRECT_PREFERRED</x:v>
      </x:c>
      <x:c r="I492" s="20" t="n">
        <x:v>87161.07528679568</x:v>
      </x:c>
      <x:c r="J492" s="20" t="n">
        <x:v>129.0685964020961</x:v>
      </x:c>
      <x:c r="K492" s="20" t="n">
        <x:v>8</x:v>
      </x:c>
      <x:c r="L492" s="20" t="n">
        <x:v>64</x:v>
      </x:c>
      <x:c r="M492" s="20" t="n">
        <x:v>0.125</x:v>
      </x:c>
      <x:c r="N492" t="str">
        <x:v>fp8</x:v>
      </x:c>
      <x:c r="O492" t="str">
        <x:v>mtp</x:v>
      </x:c>
      <x:c r="P492" s="19" t="n">
        <x:v>432225</x:v>
      </x:c>
      <x:c r="Q492" s="21" t="n">
        <x:v>46207</x:v>
      </x:c>
      <x:c r="R492" s="22" t="n">
        <x:v>87161.07528679568</x:v>
      </x:c>
      <x:c r="S492" t="str">
        <x:v>sglang</x:v>
      </x:c>
      <x:c r="T492" t="str">
        <x:v>sglang</x:v>
      </x:c>
      <x:c r="U492" s="19" t="n">
        <x:v>9</x:v>
      </x:c>
      <x:c r="V492" s="19" t="n">
        <x:v>9</x:v>
      </x:c>
      <x:c r="W492" s="19" t="n">
        <x:v>6</x:v>
      </x:c>
      <x:c r="X492" t="str"/>
      <x:c r="Y492" s="23" t="str">
        <x:v>Preferred framework has a direct Pareto-eligible observation.</x:v>
      </x:c>
    </x:row>
    <x:row r="493">
      <x:c r="A493" t="str">
        <x:v>Qwen 3.5</x:v>
      </x:c>
      <x:c r="B493" t="str">
        <x:v>qwen3.5</x:v>
      </x:c>
      <x:c r="C493" t="str">
        <x:v>H200</x:v>
      </x:c>
      <x:c r="D493" t="str">
        <x:v>direct</x:v>
      </x:c>
      <x:c r="E493" t="str">
        <x:v>agentic</x:v>
      </x:c>
      <x:c r="F493" s="19" t="n">
        <x:v>30</x:v>
      </x:c>
      <x:c r="G493" t="str">
        <x:v>sglang</x:v>
      </x:c>
      <x:c r="H493" s="23" t="str">
        <x:v>DIRECT_PREFERRED</x:v>
      </x:c>
      <x:c r="I493" s="20" t="n">
        <x:v>61095.40875912409</x:v>
      </x:c>
      <x:c r="J493" s="20" t="n">
        <x:v>123.00123001230013</x:v>
      </x:c>
      <x:c r="K493" s="20" t="n">
        <x:v>16</x:v>
      </x:c>
      <x:c r="L493" s="20" t="n">
        <x:v>64</x:v>
      </x:c>
      <x:c r="M493" s="20" t="n">
        <x:v>0.25</x:v>
      </x:c>
      <x:c r="N493" t="str">
        <x:v>fp8</x:v>
      </x:c>
      <x:c r="O493" t="str">
        <x:v>mtp</x:v>
      </x:c>
      <x:c r="P493" s="19" t="n">
        <x:v>439251</x:v>
      </x:c>
      <x:c r="Q493" s="21" t="n">
        <x:v>46242</x:v>
      </x:c>
      <x:c r="R493" s="22" t="n">
        <x:v>61095.40875912409</x:v>
      </x:c>
      <x:c r="S493" t="str">
        <x:v>sglang</x:v>
      </x:c>
      <x:c r="T493" t="str">
        <x:v>sglang</x:v>
      </x:c>
      <x:c r="U493" s="19" t="n">
        <x:v>8</x:v>
      </x:c>
      <x:c r="V493" s="19" t="n">
        <x:v>8</x:v>
      </x:c>
      <x:c r="W493" s="19" t="n">
        <x:v>4</x:v>
      </x:c>
      <x:c r="X493" t="str"/>
      <x:c r="Y493" s="23" t="str">
        <x:v>Preferred framework has a direct Pareto-eligible observation.</x:v>
      </x:c>
    </x:row>
    <x:row r="494">
      <x:c r="A494" t="str">
        <x:v>Qwen 3.5</x:v>
      </x:c>
      <x:c r="B494" t="str">
        <x:v>qwen3.5</x:v>
      </x:c>
      <x:c r="C494" t="str">
        <x:v>H200</x:v>
      </x:c>
      <x:c r="D494" t="str">
        <x:v>direct</x:v>
      </x:c>
      <x:c r="E494" t="str">
        <x:v>agentic</x:v>
      </x:c>
      <x:c r="F494" s="19" t="n">
        <x:v>50</x:v>
      </x:c>
      <x:c r="G494" t="str">
        <x:v>sglang</x:v>
      </x:c>
      <x:c r="H494" s="23" t="str">
        <x:v>DIRECT_PREFERRED</x:v>
      </x:c>
      <x:c r="I494" s="20" t="n">
        <x:v>61095.40875912409</x:v>
      </x:c>
      <x:c r="J494" s="20" t="n">
        <x:v>123.00123001230013</x:v>
      </x:c>
      <x:c r="K494" s="20" t="n">
        <x:v>16</x:v>
      </x:c>
      <x:c r="L494" s="20" t="n">
        <x:v>64</x:v>
      </x:c>
      <x:c r="M494" s="20" t="n">
        <x:v>0.25</x:v>
      </x:c>
      <x:c r="N494" t="str">
        <x:v>fp8</x:v>
      </x:c>
      <x:c r="O494" t="str">
        <x:v>mtp</x:v>
      </x:c>
      <x:c r="P494" s="19" t="n">
        <x:v>439251</x:v>
      </x:c>
      <x:c r="Q494" s="21" t="n">
        <x:v>46242</x:v>
      </x:c>
      <x:c r="R494" s="22" t="n">
        <x:v>61095.40875912409</x:v>
      </x:c>
      <x:c r="S494" t="str">
        <x:v>sglang</x:v>
      </x:c>
      <x:c r="T494" t="str">
        <x:v>sglang</x:v>
      </x:c>
      <x:c r="U494" s="19" t="n">
        <x:v>8</x:v>
      </x:c>
      <x:c r="V494" s="19" t="n">
        <x:v>8</x:v>
      </x:c>
      <x:c r="W494" s="19" t="n">
        <x:v>4</x:v>
      </x:c>
      <x:c r="X494" t="str"/>
      <x:c r="Y494" s="23" t="str">
        <x:v>Preferred framework has a direct Pareto-eligible observation.</x:v>
      </x:c>
    </x:row>
    <x:row r="495">
      <x:c r="A495" t="str">
        <x:v>Qwen 3.5</x:v>
      </x:c>
      <x:c r="B495" t="str">
        <x:v>qwen3.5</x:v>
      </x:c>
      <x:c r="C495" t="str">
        <x:v>H200</x:v>
      </x:c>
      <x:c r="D495" t="str">
        <x:v>direct</x:v>
      </x:c>
      <x:c r="E495" t="str">
        <x:v>agentic</x:v>
      </x:c>
      <x:c r="F495" s="19" t="n">
        <x:v>70</x:v>
      </x:c>
      <x:c r="G495" t="str">
        <x:v>sglang</x:v>
      </x:c>
      <x:c r="H495" s="23" t="str">
        <x:v>DIRECT_PREFERRED</x:v>
      </x:c>
      <x:c r="I495" s="20" t="n">
        <x:v>61095.40875912409</x:v>
      </x:c>
      <x:c r="J495" s="20" t="n">
        <x:v>123.00123001230013</x:v>
      </x:c>
      <x:c r="K495" s="20" t="n">
        <x:v>16</x:v>
      </x:c>
      <x:c r="L495" s="20" t="n">
        <x:v>64</x:v>
      </x:c>
      <x:c r="M495" s="20" t="n">
        <x:v>0.25</x:v>
      </x:c>
      <x:c r="N495" t="str">
        <x:v>fp8</x:v>
      </x:c>
      <x:c r="O495" t="str">
        <x:v>mtp</x:v>
      </x:c>
      <x:c r="P495" s="19" t="n">
        <x:v>439251</x:v>
      </x:c>
      <x:c r="Q495" s="21" t="n">
        <x:v>46242</x:v>
      </x:c>
      <x:c r="R495" s="22" t="n">
        <x:v>61095.40875912409</x:v>
      </x:c>
      <x:c r="S495" t="str">
        <x:v>sglang</x:v>
      </x:c>
      <x:c r="T495" t="str">
        <x:v>sglang</x:v>
      </x:c>
      <x:c r="U495" s="19" t="n">
        <x:v>8</x:v>
      </x:c>
      <x:c r="V495" s="19" t="n">
        <x:v>8</x:v>
      </x:c>
      <x:c r="W495" s="19" t="n">
        <x:v>4</x:v>
      </x:c>
      <x:c r="X495" t="str"/>
      <x:c r="Y495" s="23" t="str">
        <x:v>Preferred framework has a direct Pareto-eligible observation.</x:v>
      </x:c>
    </x:row>
    <x:row r="496">
      <x:c r="A496" t="str">
        <x:v>Qwen 3.5</x:v>
      </x:c>
      <x:c r="B496" t="str">
        <x:v>qwen3.5</x:v>
      </x:c>
      <x:c r="C496" t="str">
        <x:v>H200</x:v>
      </x:c>
      <x:c r="D496" t="str">
        <x:v>direct</x:v>
      </x:c>
      <x:c r="E496" t="str">
        <x:v>agentic</x:v>
      </x:c>
      <x:c r="F496" s="19" t="n">
        <x:v>100</x:v>
      </x:c>
      <x:c r="G496" t="str">
        <x:v>sglang</x:v>
      </x:c>
      <x:c r="H496" s="23" t="str">
        <x:v>DIRECT_PREFERRED</x:v>
      </x:c>
      <x:c r="I496" s="20" t="n">
        <x:v>61095.40875912409</x:v>
      </x:c>
      <x:c r="J496" s="20" t="n">
        <x:v>123.00123001230013</x:v>
      </x:c>
      <x:c r="K496" s="20" t="n">
        <x:v>16</x:v>
      </x:c>
      <x:c r="L496" s="20" t="n">
        <x:v>64</x:v>
      </x:c>
      <x:c r="M496" s="20" t="n">
        <x:v>0.25</x:v>
      </x:c>
      <x:c r="N496" t="str">
        <x:v>fp8</x:v>
      </x:c>
      <x:c r="O496" t="str">
        <x:v>mtp</x:v>
      </x:c>
      <x:c r="P496" s="19" t="n">
        <x:v>439251</x:v>
      </x:c>
      <x:c r="Q496" s="21" t="n">
        <x:v>46242</x:v>
      </x:c>
      <x:c r="R496" s="22" t="n">
        <x:v>61095.40875912409</x:v>
      </x:c>
      <x:c r="S496" t="str">
        <x:v>sglang</x:v>
      </x:c>
      <x:c r="T496" t="str">
        <x:v>sglang</x:v>
      </x:c>
      <x:c r="U496" s="19" t="n">
        <x:v>8</x:v>
      </x:c>
      <x:c r="V496" s="19" t="n">
        <x:v>8</x:v>
      </x:c>
      <x:c r="W496" s="19" t="n">
        <x:v>4</x:v>
      </x:c>
      <x:c r="X496" t="str"/>
      <x:c r="Y496" s="23" t="str">
        <x:v>Preferred framework has a direct Pareto-eligible observation.</x:v>
      </x:c>
    </x:row>
    <x:row r="497">
      <x:c r="A497" t="str">
        <x:v>Qwen 3.5</x:v>
      </x:c>
      <x:c r="B497" t="str">
        <x:v>qwen3.5</x:v>
      </x:c>
      <x:c r="C497" t="str">
        <x:v>B200</x:v>
      </x:c>
      <x:c r="D497" t="str">
        <x:v>direct</x:v>
      </x:c>
      <x:c r="E497" t="str">
        <x:v>short</x:v>
      </x:c>
      <x:c r="F497" s="19" t="n">
        <x:v>30</x:v>
      </x:c>
      <x:c r="G497" t="str">
        <x:v>sglang</x:v>
      </x:c>
      <x:c r="H497" s="23" t="str">
        <x:v>DIRECT_PREFERRED</x:v>
      </x:c>
      <x:c r="I497" s="20" t="n">
        <x:v>1424367.6220981658</x:v>
      </x:c>
      <x:c r="J497" s="20" t="n">
        <x:v>41.46318789690114</x:v>
      </x:c>
      <x:c r="K497" s="20" t="n">
        <x:v>256</x:v>
      </x:c>
      <x:c r="L497" s="20" t="n">
        <x:v>4</x:v>
      </x:c>
      <x:c r="M497" s="20" t="n">
        <x:v>64</x:v>
      </x:c>
      <x:c r="N497" t="str">
        <x:v>fp8</x:v>
      </x:c>
      <x:c r="O497" t="str">
        <x:v>mtp</x:v>
      </x:c>
      <x:c r="P497" s="19" t="n">
        <x:v>432679</x:v>
      </x:c>
      <x:c r="Q497" s="21" t="n">
        <x:v>46208</x:v>
      </x:c>
      <x:c r="R497" s="22" t="n">
        <x:v>2795628.2975034164</x:v>
      </x:c>
      <x:c r="S497" t="str">
        <x:v>trt</x:v>
      </x:c>
      <x:c r="T497" t="str">
        <x:v>sglang, trt</x:v>
      </x:c>
      <x:c r="U497" s="19" t="n">
        <x:v>151</x:v>
      </x:c>
      <x:c r="V497" s="19" t="n">
        <x:v>167</x:v>
      </x:c>
      <x:c r="W497" s="19" t="n">
        <x:v>7</x:v>
      </x:c>
      <x:c r="X497" t="str"/>
      <x:c r="Y497" s="23" t="str">
        <x:v>Preferred framework has a direct Pareto-eligible observation.</x:v>
      </x:c>
    </x:row>
    <x:row r="498">
      <x:c r="A498" t="str">
        <x:v>Qwen 3.5</x:v>
      </x:c>
      <x:c r="B498" t="str">
        <x:v>qwen3.5</x:v>
      </x:c>
      <x:c r="C498" t="str">
        <x:v>B200</x:v>
      </x:c>
      <x:c r="D498" t="str">
        <x:v>direct</x:v>
      </x:c>
      <x:c r="E498" t="str">
        <x:v>short</x:v>
      </x:c>
      <x:c r="F498" s="19" t="n">
        <x:v>50</x:v>
      </x:c>
      <x:c r="G498" t="str">
        <x:v>sglang</x:v>
      </x:c>
      <x:c r="H498" s="23" t="str">
        <x:v>DIRECT_PREFERRED</x:v>
      </x:c>
      <x:c r="I498" s="20" t="n">
        <x:v>1346344.7372807602</x:v>
      </x:c>
      <x:c r="J498" s="20" t="n">
        <x:v>78.77073804029969</x:v>
      </x:c>
      <x:c r="K498" s="20" t="n">
        <x:v>64</x:v>
      </x:c>
      <x:c r="L498" s="20" t="n">
        <x:v>2</x:v>
      </x:c>
      <x:c r="M498" s="20" t="n">
        <x:v>32</x:v>
      </x:c>
      <x:c r="N498" t="str">
        <x:v>fp4</x:v>
      </x:c>
      <x:c r="O498" t="str">
        <x:v>mtp</x:v>
      </x:c>
      <x:c r="P498" s="19" t="n">
        <x:v>432798</x:v>
      </x:c>
      <x:c r="Q498" s="21" t="n">
        <x:v>46208</x:v>
      </x:c>
      <x:c r="R498" s="22" t="n">
        <x:v>2323600.2813688274</x:v>
      </x:c>
      <x:c r="S498" t="str">
        <x:v>trt</x:v>
      </x:c>
      <x:c r="T498" t="str">
        <x:v>sglang, trt</x:v>
      </x:c>
      <x:c r="U498" s="19" t="n">
        <x:v>130</x:v>
      </x:c>
      <x:c r="V498" s="19" t="n">
        <x:v>144</x:v>
      </x:c>
      <x:c r="W498" s="19" t="n">
        <x:v>7</x:v>
      </x:c>
      <x:c r="X498" t="str"/>
      <x:c r="Y498" s="23" t="str">
        <x:v>Preferred framework has a direct Pareto-eligible observation.</x:v>
      </x:c>
    </x:row>
    <x:row r="499">
      <x:c r="A499" t="str">
        <x:v>Qwen 3.5</x:v>
      </x:c>
      <x:c r="B499" t="str">
        <x:v>qwen3.5</x:v>
      </x:c>
      <x:c r="C499" t="str">
        <x:v>B200</x:v>
      </x:c>
      <x:c r="D499" t="str">
        <x:v>direct</x:v>
      </x:c>
      <x:c r="E499" t="str">
        <x:v>short</x:v>
      </x:c>
      <x:c r="F499" s="19" t="n">
        <x:v>70</x:v>
      </x:c>
      <x:c r="G499" t="str">
        <x:v>sglang</x:v>
      </x:c>
      <x:c r="H499" s="23" t="str">
        <x:v>DIRECT_PREFERRED</x:v>
      </x:c>
      <x:c r="I499" s="20" t="n">
        <x:v>1346344.7372807602</x:v>
      </x:c>
      <x:c r="J499" s="20" t="n">
        <x:v>78.77073804029969</x:v>
      </x:c>
      <x:c r="K499" s="20" t="n">
        <x:v>64</x:v>
      </x:c>
      <x:c r="L499" s="20" t="n">
        <x:v>2</x:v>
      </x:c>
      <x:c r="M499" s="20" t="n">
        <x:v>32</x:v>
      </x:c>
      <x:c r="N499" t="str">
        <x:v>fp4</x:v>
      </x:c>
      <x:c r="O499" t="str">
        <x:v>mtp</x:v>
      </x:c>
      <x:c r="P499" s="19" t="n">
        <x:v>432798</x:v>
      </x:c>
      <x:c r="Q499" s="21" t="n">
        <x:v>46208</x:v>
      </x:c>
      <x:c r="R499" s="22" t="n">
        <x:v>1598940.9755255806</x:v>
      </x:c>
      <x:c r="S499" t="str">
        <x:v>trt</x:v>
      </x:c>
      <x:c r="T499" t="str">
        <x:v>sglang, trt</x:v>
      </x:c>
      <x:c r="U499" s="19" t="n">
        <x:v>103</x:v>
      </x:c>
      <x:c r="V499" s="19" t="n">
        <x:v>114</x:v>
      </x:c>
      <x:c r="W499" s="19" t="n">
        <x:v>7</x:v>
      </x:c>
      <x:c r="X499" t="str"/>
      <x:c r="Y499" s="23" t="str">
        <x:v>Preferred framework has a direct Pareto-eligible observation.</x:v>
      </x:c>
    </x:row>
    <x:row r="500">
      <x:c r="A500" t="str">
        <x:v>Qwen 3.5</x:v>
      </x:c>
      <x:c r="B500" t="str">
        <x:v>qwen3.5</x:v>
      </x:c>
      <x:c r="C500" t="str">
        <x:v>B200</x:v>
      </x:c>
      <x:c r="D500" t="str">
        <x:v>direct</x:v>
      </x:c>
      <x:c r="E500" t="str">
        <x:v>short</x:v>
      </x:c>
      <x:c r="F500" s="19" t="n">
        <x:v>100</x:v>
      </x:c>
      <x:c r="G500" t="str">
        <x:v>sglang</x:v>
      </x:c>
      <x:c r="H500" s="23" t="str">
        <x:v>DIRECT_PREFERRED</x:v>
      </x:c>
      <x:c r="I500" s="20" t="n">
        <x:v>886027.9481635394</x:v>
      </x:c>
      <x:c r="J500" s="20" t="n">
        <x:v>104.2718613697122</x:v>
      </x:c>
      <x:c r="K500" s="20" t="n">
        <x:v>32</x:v>
      </x:c>
      <x:c r="L500" s="20" t="n">
        <x:v>2</x:v>
      </x:c>
      <x:c r="M500" s="20" t="n">
        <x:v>16</x:v>
      </x:c>
      <x:c r="N500" t="str">
        <x:v>fp4</x:v>
      </x:c>
      <x:c r="O500" t="str">
        <x:v>mtp</x:v>
      </x:c>
      <x:c r="P500" s="19" t="n">
        <x:v>432796</x:v>
      </x:c>
      <x:c r="Q500" s="21" t="n">
        <x:v>46208</x:v>
      </x:c>
      <x:c r="R500" s="22" t="n">
        <x:v>1598940.9755255806</x:v>
      </x:c>
      <x:c r="S500" t="str">
        <x:v>trt</x:v>
      </x:c>
      <x:c r="T500" t="str">
        <x:v>sglang, trt</x:v>
      </x:c>
      <x:c r="U500" s="19" t="n">
        <x:v>73</x:v>
      </x:c>
      <x:c r="V500" s="19" t="n">
        <x:v>82</x:v>
      </x:c>
      <x:c r="W500" s="19" t="n">
        <x:v>7</x:v>
      </x:c>
      <x:c r="X500" t="str"/>
      <x:c r="Y500" s="23" t="str">
        <x:v>Preferred framework has a direct Pareto-eligible observation.</x:v>
      </x:c>
    </x:row>
    <x:row r="501">
      <x:c r="A501" t="str">
        <x:v>Qwen 3.5</x:v>
      </x:c>
      <x:c r="B501" t="str">
        <x:v>qwen3.5</x:v>
      </x:c>
      <x:c r="C501" t="str">
        <x:v>B200</x:v>
      </x:c>
      <x:c r="D501" t="str">
        <x:v>direct</x:v>
      </x:c>
      <x:c r="E501" t="str">
        <x:v>long</x:v>
      </x:c>
      <x:c r="F501" s="19" t="n">
        <x:v>30</x:v>
      </x:c>
      <x:c r="G501" t="str">
        <x:v>sglang</x:v>
      </x:c>
      <x:c r="H501" s="23" t="str">
        <x:v>DIRECT_PREFERRED</x:v>
      </x:c>
      <x:c r="I501" s="20" t="n">
        <x:v>805168.9275585035</x:v>
      </x:c>
      <x:c r="J501" s="20" t="n">
        <x:v>46.40818574798546</x:v>
      </x:c>
      <x:c r="K501" s="20" t="n">
        <x:v>64</x:v>
      </x:c>
      <x:c r="L501" s="20" t="n">
        <x:v>2</x:v>
      </x:c>
      <x:c r="M501" s="20" t="n">
        <x:v>32</x:v>
      </x:c>
      <x:c r="N501" t="str">
        <x:v>fp4</x:v>
      </x:c>
      <x:c r="O501" t="str">
        <x:v>mtp</x:v>
      </x:c>
      <x:c r="P501" s="19" t="n">
        <x:v>439371</x:v>
      </x:c>
      <x:c r="Q501" s="21" t="n">
        <x:v>46244</x:v>
      </x:c>
      <x:c r="R501" s="22" t="n">
        <x:v>856935.883404865</x:v>
      </x:c>
      <x:c r="S501" t="str">
        <x:v>trt</x:v>
      </x:c>
      <x:c r="T501" t="str">
        <x:v>sglang, trt</x:v>
      </x:c>
      <x:c r="U501" s="19" t="n">
        <x:v>149</x:v>
      </x:c>
      <x:c r="V501" s="19" t="n">
        <x:v>163</x:v>
      </x:c>
      <x:c r="W501" s="19" t="n">
        <x:v>7</x:v>
      </x:c>
      <x:c r="X501" t="str"/>
      <x:c r="Y501" s="23" t="str">
        <x:v>Preferred framework has a direct Pareto-eligible observation.</x:v>
      </x:c>
    </x:row>
    <x:row r="502">
      <x:c r="A502" t="str">
        <x:v>Qwen 3.5</x:v>
      </x:c>
      <x:c r="B502" t="str">
        <x:v>qwen3.5</x:v>
      </x:c>
      <x:c r="C502" t="str">
        <x:v>B200</x:v>
      </x:c>
      <x:c r="D502" t="str">
        <x:v>direct</x:v>
      </x:c>
      <x:c r="E502" t="str">
        <x:v>long</x:v>
      </x:c>
      <x:c r="F502" s="19" t="n">
        <x:v>50</x:v>
      </x:c>
      <x:c r="G502" t="str">
        <x:v>sglang</x:v>
      </x:c>
      <x:c r="H502" s="23" t="str">
        <x:v>DIRECT_PREFERRED</x:v>
      </x:c>
      <x:c r="I502" s="20" t="n">
        <x:v>624721.0375802866</x:v>
      </x:c>
      <x:c r="J502" s="20" t="n">
        <x:v>74.18770810035346</x:v>
      </x:c>
      <x:c r="K502" s="20" t="n">
        <x:v>32</x:v>
      </x:c>
      <x:c r="L502" s="20" t="n">
        <x:v>2</x:v>
      </x:c>
      <x:c r="M502" s="20" t="n">
        <x:v>16</x:v>
      </x:c>
      <x:c r="N502" t="str">
        <x:v>fp4</x:v>
      </x:c>
      <x:c r="O502" t="str">
        <x:v>mtp</x:v>
      </x:c>
      <x:c r="P502" s="19" t="n">
        <x:v>411373</x:v>
      </x:c>
      <x:c r="Q502" s="21" t="n">
        <x:v>46160</x:v>
      </x:c>
      <x:c r="R502" s="22" t="n">
        <x:v>856935.883404865</x:v>
      </x:c>
      <x:c r="S502" t="str">
        <x:v>trt</x:v>
      </x:c>
      <x:c r="T502" t="str">
        <x:v>sglang, trt</x:v>
      </x:c>
      <x:c r="U502" s="19" t="n">
        <x:v>119</x:v>
      </x:c>
      <x:c r="V502" s="19" t="n">
        <x:v>132</x:v>
      </x:c>
      <x:c r="W502" s="19" t="n">
        <x:v>7</x:v>
      </x:c>
      <x:c r="X502" t="str"/>
      <x:c r="Y502" s="23" t="str">
        <x:v>Preferred framework has a direct Pareto-eligible observation.</x:v>
      </x:c>
    </x:row>
    <x:row r="503">
      <x:c r="A503" t="str">
        <x:v>Qwen 3.5</x:v>
      </x:c>
      <x:c r="B503" t="str">
        <x:v>qwen3.5</x:v>
      </x:c>
      <x:c r="C503" t="str">
        <x:v>B200</x:v>
      </x:c>
      <x:c r="D503" t="str">
        <x:v>direct</x:v>
      </x:c>
      <x:c r="E503" t="str">
        <x:v>long</x:v>
      </x:c>
      <x:c r="F503" s="19" t="n">
        <x:v>70</x:v>
      </x:c>
      <x:c r="G503" t="str">
        <x:v>sglang</x:v>
      </x:c>
      <x:c r="H503" s="23" t="str">
        <x:v>DIRECT_PREFERRED</x:v>
      </x:c>
      <x:c r="I503" s="20" t="n">
        <x:v>624721.0375802866</x:v>
      </x:c>
      <x:c r="J503" s="20" t="n">
        <x:v>74.18770810035346</x:v>
      </x:c>
      <x:c r="K503" s="20" t="n">
        <x:v>32</x:v>
      </x:c>
      <x:c r="L503" s="20" t="n">
        <x:v>2</x:v>
      </x:c>
      <x:c r="M503" s="20" t="n">
        <x:v>16</x:v>
      </x:c>
      <x:c r="N503" t="str">
        <x:v>fp4</x:v>
      </x:c>
      <x:c r="O503" t="str">
        <x:v>mtp</x:v>
      </x:c>
      <x:c r="P503" s="19" t="n">
        <x:v>411373</x:v>
      </x:c>
      <x:c r="Q503" s="21" t="n">
        <x:v>46160</x:v>
      </x:c>
      <x:c r="R503" s="22" t="n">
        <x:v>643417.2517351693</x:v>
      </x:c>
      <x:c r="S503" t="str">
        <x:v>trt</x:v>
      </x:c>
      <x:c r="T503" t="str">
        <x:v>sglang, trt</x:v>
      </x:c>
      <x:c r="U503" s="19" t="n">
        <x:v>97</x:v>
      </x:c>
      <x:c r="V503" s="19" t="n">
        <x:v>108</x:v>
      </x:c>
      <x:c r="W503" s="19" t="n">
        <x:v>7</x:v>
      </x:c>
      <x:c r="X503" t="str"/>
      <x:c r="Y503" s="23" t="str">
        <x:v>Preferred framework has a direct Pareto-eligible observation.</x:v>
      </x:c>
    </x:row>
    <x:row r="504">
      <x:c r="A504" t="str">
        <x:v>Qwen 3.5</x:v>
      </x:c>
      <x:c r="B504" t="str">
        <x:v>qwen3.5</x:v>
      </x:c>
      <x:c r="C504" t="str">
        <x:v>B200</x:v>
      </x:c>
      <x:c r="D504" t="str">
        <x:v>direct</x:v>
      </x:c>
      <x:c r="E504" t="str">
        <x:v>long</x:v>
      </x:c>
      <x:c r="F504" s="19" t="n">
        <x:v>100</x:v>
      </x:c>
      <x:c r="G504" t="str">
        <x:v>sglang</x:v>
      </x:c>
      <x:c r="H504" s="23" t="str">
        <x:v>DIRECT_PREFERRED</x:v>
      </x:c>
      <x:c r="I504" s="20" t="n">
        <x:v>463316.3596581231</x:v>
      </x:c>
      <x:c r="J504" s="20" t="n">
        <x:v>111.03009737876467</x:v>
      </x:c>
      <x:c r="K504" s="20" t="n">
        <x:v>16</x:v>
      </x:c>
      <x:c r="L504" s="20" t="n">
        <x:v>2</x:v>
      </x:c>
      <x:c r="M504" s="20" t="n">
        <x:v>8</x:v>
      </x:c>
      <x:c r="N504" t="str">
        <x:v>fp4</x:v>
      </x:c>
      <x:c r="O504" t="str">
        <x:v>mtp</x:v>
      </x:c>
      <x:c r="P504" s="19" t="n">
        <x:v>439363</x:v>
      </x:c>
      <x:c r="Q504" s="21" t="n">
        <x:v>46244</x:v>
      </x:c>
      <x:c r="R504" s="22" t="n">
        <x:v>488749.3952244866</x:v>
      </x:c>
      <x:c r="S504" t="str">
        <x:v>trt</x:v>
      </x:c>
      <x:c r="T504" t="str">
        <x:v>sglang, trt</x:v>
      </x:c>
      <x:c r="U504" s="19" t="n">
        <x:v>71</x:v>
      </x:c>
      <x:c r="V504" s="19" t="n">
        <x:v>80</x:v>
      </x:c>
      <x:c r="W504" s="19" t="n">
        <x:v>7</x:v>
      </x:c>
      <x:c r="X504" t="str"/>
      <x:c r="Y504" s="23" t="str">
        <x:v>Preferred framework has a direct Pareto-eligible observation.</x:v>
      </x:c>
    </x:row>
    <x:row r="505">
      <x:c r="A505" t="str">
        <x:v>Qwen 3.5</x:v>
      </x:c>
      <x:c r="B505" t="str">
        <x:v>qwen3.5</x:v>
      </x:c>
      <x:c r="C505" t="str">
        <x:v>B200</x:v>
      </x:c>
      <x:c r="D505" t="str">
        <x:v>direct</x:v>
      </x:c>
      <x:c r="E505" t="str">
        <x:v>agentic</x:v>
      </x:c>
      <x:c r="F505" s="19" t="n">
        <x:v>30</x:v>
      </x:c>
      <x:c r="G505" t="str">
        <x:v>sglang</x:v>
      </x:c>
      <x:c r="H505" s="23" t="str">
        <x:v>DIRECT_PREFERRED</x:v>
      </x:c>
      <x:c r="I505" s="20" t="n">
        <x:v>369845.2865497076</x:v>
      </x:c>
      <x:c r="J505" s="20" t="n">
        <x:v>147.4736329198227</x:v>
      </x:c>
      <x:c r="K505" s="20" t="n">
        <x:v>32</x:v>
      </x:c>
      <x:c r="L505" s="20" t="n">
        <x:v>2</x:v>
      </x:c>
      <x:c r="M505" s="20" t="n">
        <x:v>16</x:v>
      </x:c>
      <x:c r="N505" t="str">
        <x:v>fp4</x:v>
      </x:c>
      <x:c r="O505" t="str">
        <x:v>mtp</x:v>
      </x:c>
      <x:c r="P505" s="19" t="n">
        <x:v>438230</x:v>
      </x:c>
      <x:c r="Q505" s="21" t="n">
        <x:v>46237</x:v>
      </x:c>
      <x:c r="R505" s="22" t="n">
        <x:v>369845.2865497076</x:v>
      </x:c>
      <x:c r="S505" t="str">
        <x:v>sglang</x:v>
      </x:c>
      <x:c r="T505" t="str">
        <x:v>sglang</x:v>
      </x:c>
      <x:c r="U505" s="19" t="n">
        <x:v>59</x:v>
      </x:c>
      <x:c r="V505" s="19" t="n">
        <x:v>59</x:v>
      </x:c>
      <x:c r="W505" s="19" t="n">
        <x:v>23</x:v>
      </x:c>
      <x:c r="X505" t="str"/>
      <x:c r="Y505" s="23" t="str">
        <x:v>Preferred framework has a direct Pareto-eligible observation.</x:v>
      </x:c>
    </x:row>
    <x:row r="506">
      <x:c r="A506" t="str">
        <x:v>Qwen 3.5</x:v>
      </x:c>
      <x:c r="B506" t="str">
        <x:v>qwen3.5</x:v>
      </x:c>
      <x:c r="C506" t="str">
        <x:v>B200</x:v>
      </x:c>
      <x:c r="D506" t="str">
        <x:v>direct</x:v>
      </x:c>
      <x:c r="E506" t="str">
        <x:v>agentic</x:v>
      </x:c>
      <x:c r="F506" s="19" t="n">
        <x:v>50</x:v>
      </x:c>
      <x:c r="G506" t="str">
        <x:v>sglang</x:v>
      </x:c>
      <x:c r="H506" s="23" t="str">
        <x:v>DIRECT_PREFERRED</x:v>
      </x:c>
      <x:c r="I506" s="20" t="n">
        <x:v>369845.2865497076</x:v>
      </x:c>
      <x:c r="J506" s="20" t="n">
        <x:v>147.4736329198227</x:v>
      </x:c>
      <x:c r="K506" s="20" t="n">
        <x:v>32</x:v>
      </x:c>
      <x:c r="L506" s="20" t="n">
        <x:v>2</x:v>
      </x:c>
      <x:c r="M506" s="20" t="n">
        <x:v>16</x:v>
      </x:c>
      <x:c r="N506" t="str">
        <x:v>fp4</x:v>
      </x:c>
      <x:c r="O506" t="str">
        <x:v>mtp</x:v>
      </x:c>
      <x:c r="P506" s="19" t="n">
        <x:v>438230</x:v>
      </x:c>
      <x:c r="Q506" s="21" t="n">
        <x:v>46237</x:v>
      </x:c>
      <x:c r="R506" s="22" t="n">
        <x:v>369845.2865497076</x:v>
      </x:c>
      <x:c r="S506" t="str">
        <x:v>sglang</x:v>
      </x:c>
      <x:c r="T506" t="str">
        <x:v>sglang</x:v>
      </x:c>
      <x:c r="U506" s="19" t="n">
        <x:v>59</x:v>
      </x:c>
      <x:c r="V506" s="19" t="n">
        <x:v>59</x:v>
      </x:c>
      <x:c r="W506" s="19" t="n">
        <x:v>23</x:v>
      </x:c>
      <x:c r="X506" t="str"/>
      <x:c r="Y506" s="23" t="str">
        <x:v>Preferred framework has a direct Pareto-eligible observation.</x:v>
      </x:c>
    </x:row>
    <x:row r="507">
      <x:c r="A507" t="str">
        <x:v>Qwen 3.5</x:v>
      </x:c>
      <x:c r="B507" t="str">
        <x:v>qwen3.5</x:v>
      </x:c>
      <x:c r="C507" t="str">
        <x:v>B200</x:v>
      </x:c>
      <x:c r="D507" t="str">
        <x:v>direct</x:v>
      </x:c>
      <x:c r="E507" t="str">
        <x:v>agentic</x:v>
      </x:c>
      <x:c r="F507" s="19" t="n">
        <x:v>70</x:v>
      </x:c>
      <x:c r="G507" t="str">
        <x:v>sglang</x:v>
      </x:c>
      <x:c r="H507" s="23" t="str">
        <x:v>DIRECT_PREFERRED</x:v>
      </x:c>
      <x:c r="I507" s="20" t="n">
        <x:v>369845.2865497076</x:v>
      </x:c>
      <x:c r="J507" s="20" t="n">
        <x:v>147.4736329198227</x:v>
      </x:c>
      <x:c r="K507" s="20" t="n">
        <x:v>32</x:v>
      </x:c>
      <x:c r="L507" s="20" t="n">
        <x:v>2</x:v>
      </x:c>
      <x:c r="M507" s="20" t="n">
        <x:v>16</x:v>
      </x:c>
      <x:c r="N507" t="str">
        <x:v>fp4</x:v>
      </x:c>
      <x:c r="O507" t="str">
        <x:v>mtp</x:v>
      </x:c>
      <x:c r="P507" s="19" t="n">
        <x:v>438230</x:v>
      </x:c>
      <x:c r="Q507" s="21" t="n">
        <x:v>46237</x:v>
      </x:c>
      <x:c r="R507" s="22" t="n">
        <x:v>369845.2865497076</x:v>
      </x:c>
      <x:c r="S507" t="str">
        <x:v>sglang</x:v>
      </x:c>
      <x:c r="T507" t="str">
        <x:v>sglang</x:v>
      </x:c>
      <x:c r="U507" s="19" t="n">
        <x:v>56</x:v>
      </x:c>
      <x:c r="V507" s="19" t="n">
        <x:v>56</x:v>
      </x:c>
      <x:c r="W507" s="19" t="n">
        <x:v>23</x:v>
      </x:c>
      <x:c r="X507" t="str"/>
      <x:c r="Y507" s="23" t="str">
        <x:v>Preferred framework has a direct Pareto-eligible observation.</x:v>
      </x:c>
    </x:row>
    <x:row r="508">
      <x:c r="A508" t="str">
        <x:v>Qwen 3.5</x:v>
      </x:c>
      <x:c r="B508" t="str">
        <x:v>qwen3.5</x:v>
      </x:c>
      <x:c r="C508" t="str">
        <x:v>B200</x:v>
      </x:c>
      <x:c r="D508" t="str">
        <x:v>direct</x:v>
      </x:c>
      <x:c r="E508" t="str">
        <x:v>agentic</x:v>
      </x:c>
      <x:c r="F508" s="19" t="n">
        <x:v>100</x:v>
      </x:c>
      <x:c r="G508" t="str">
        <x:v>sglang</x:v>
      </x:c>
      <x:c r="H508" s="23" t="str">
        <x:v>DIRECT_PREFERRED</x:v>
      </x:c>
      <x:c r="I508" s="20" t="n">
        <x:v>369845.2865497076</x:v>
      </x:c>
      <x:c r="J508" s="20" t="n">
        <x:v>147.4736329198227</x:v>
      </x:c>
      <x:c r="K508" s="20" t="n">
        <x:v>32</x:v>
      </x:c>
      <x:c r="L508" s="20" t="n">
        <x:v>2</x:v>
      </x:c>
      <x:c r="M508" s="20" t="n">
        <x:v>16</x:v>
      </x:c>
      <x:c r="N508" t="str">
        <x:v>fp4</x:v>
      </x:c>
      <x:c r="O508" t="str">
        <x:v>mtp</x:v>
      </x:c>
      <x:c r="P508" s="19" t="n">
        <x:v>438230</x:v>
      </x:c>
      <x:c r="Q508" s="21" t="n">
        <x:v>46237</x:v>
      </x:c>
      <x:c r="R508" s="22" t="n">
        <x:v>369845.2865497076</x:v>
      </x:c>
      <x:c r="S508" t="str">
        <x:v>sglang</x:v>
      </x:c>
      <x:c r="T508" t="str">
        <x:v>sglang</x:v>
      </x:c>
      <x:c r="U508" s="19" t="n">
        <x:v>47</x:v>
      </x:c>
      <x:c r="V508" s="19" t="n">
        <x:v>47</x:v>
      </x:c>
      <x:c r="W508" s="19" t="n">
        <x:v>23</x:v>
      </x:c>
      <x:c r="X508" t="str"/>
      <x:c r="Y508" s="23" t="str">
        <x:v>Preferred framework has a direct Pareto-eligible observation.</x:v>
      </x:c>
    </x:row>
    <x:row r="509">
      <x:c r="A509" t="str">
        <x:v>Qwen 3.5</x:v>
      </x:c>
      <x:c r="B509" t="str">
        <x:v>qwen3.5</x:v>
      </x:c>
      <x:c r="C509" t="str">
        <x:v>B300</x:v>
      </x:c>
      <x:c r="D509" t="str">
        <x:v>direct</x:v>
      </x:c>
      <x:c r="E509" t="str">
        <x:v>short</x:v>
      </x:c>
      <x:c r="F509" s="19" t="n">
        <x:v>30</x:v>
      </x:c>
      <x:c r="G509" t="str">
        <x:v>sglang</x:v>
      </x:c>
      <x:c r="H509" s="23" t="str">
        <x:v>DIRECT_PREFERRED</x:v>
      </x:c>
      <x:c r="I509" s="20" t="n">
        <x:v>1929110.5470635567</x:v>
      </x:c>
      <x:c r="J509" s="20" t="n">
        <x:v>62.32764156171756</x:v>
      </x:c>
      <x:c r="K509" s="20" t="n">
        <x:v>128</x:v>
      </x:c>
      <x:c r="L509" s="20" t="n">
        <x:v>4</x:v>
      </x:c>
      <x:c r="M509" s="20" t="n">
        <x:v>32</x:v>
      </x:c>
      <x:c r="N509" t="str">
        <x:v>fp4</x:v>
      </x:c>
      <x:c r="O509" t="str">
        <x:v>mtp</x:v>
      </x:c>
      <x:c r="P509" s="19" t="n">
        <x:v>432359</x:v>
      </x:c>
      <x:c r="Q509" s="21" t="n">
        <x:v>46207</x:v>
      </x:c>
      <x:c r="R509" s="22" t="n">
        <x:v>1929110.5470635567</x:v>
      </x:c>
      <x:c r="S509" t="str">
        <x:v>sglang</x:v>
      </x:c>
      <x:c r="T509" t="str">
        <x:v>sglang</x:v>
      </x:c>
      <x:c r="U509" s="19" t="n">
        <x:v>189</x:v>
      </x:c>
      <x:c r="V509" s="19" t="n">
        <x:v>189</x:v>
      </x:c>
      <x:c r="W509" s="19" t="n">
        <x:v>7</x:v>
      </x:c>
      <x:c r="X509" t="str"/>
      <x:c r="Y509" s="23" t="str">
        <x:v>Preferred framework has a direct Pareto-eligible observation.</x:v>
      </x:c>
    </x:row>
    <x:row r="510">
      <x:c r="A510" t="str">
        <x:v>Qwen 3.5</x:v>
      </x:c>
      <x:c r="B510" t="str">
        <x:v>qwen3.5</x:v>
      </x:c>
      <x:c r="C510" t="str">
        <x:v>B300</x:v>
      </x:c>
      <x:c r="D510" t="str">
        <x:v>direct</x:v>
      </x:c>
      <x:c r="E510" t="str">
        <x:v>short</x:v>
      </x:c>
      <x:c r="F510" s="19" t="n">
        <x:v>50</x:v>
      </x:c>
      <x:c r="G510" t="str">
        <x:v>sglang</x:v>
      </x:c>
      <x:c r="H510" s="23" t="str">
        <x:v>DIRECT_PREFERRED</x:v>
      </x:c>
      <x:c r="I510" s="20" t="n">
        <x:v>1929110.5470635567</x:v>
      </x:c>
      <x:c r="J510" s="20" t="n">
        <x:v>62.32764156171756</x:v>
      </x:c>
      <x:c r="K510" s="20" t="n">
        <x:v>128</x:v>
      </x:c>
      <x:c r="L510" s="20" t="n">
        <x:v>4</x:v>
      </x:c>
      <x:c r="M510" s="20" t="n">
        <x:v>32</x:v>
      </x:c>
      <x:c r="N510" t="str">
        <x:v>fp4</x:v>
      </x:c>
      <x:c r="O510" t="str">
        <x:v>mtp</x:v>
      </x:c>
      <x:c r="P510" s="19" t="n">
        <x:v>432359</x:v>
      </x:c>
      <x:c r="Q510" s="21" t="n">
        <x:v>46207</x:v>
      </x:c>
      <x:c r="R510" s="22" t="n">
        <x:v>1929110.5470635567</x:v>
      </x:c>
      <x:c r="S510" t="str">
        <x:v>sglang</x:v>
      </x:c>
      <x:c r="T510" t="str">
        <x:v>sglang</x:v>
      </x:c>
      <x:c r="U510" s="19" t="n">
        <x:v>176</x:v>
      </x:c>
      <x:c r="V510" s="19" t="n">
        <x:v>176</x:v>
      </x:c>
      <x:c r="W510" s="19" t="n">
        <x:v>7</x:v>
      </x:c>
      <x:c r="X510" t="str"/>
      <x:c r="Y510" s="23" t="str">
        <x:v>Preferred framework has a direct Pareto-eligible observation.</x:v>
      </x:c>
    </x:row>
    <x:row r="511">
      <x:c r="A511" t="str">
        <x:v>Qwen 3.5</x:v>
      </x:c>
      <x:c r="B511" t="str">
        <x:v>qwen3.5</x:v>
      </x:c>
      <x:c r="C511" t="str">
        <x:v>B300</x:v>
      </x:c>
      <x:c r="D511" t="str">
        <x:v>direct</x:v>
      </x:c>
      <x:c r="E511" t="str">
        <x:v>short</x:v>
      </x:c>
      <x:c r="F511" s="19" t="n">
        <x:v>70</x:v>
      </x:c>
      <x:c r="G511" t="str">
        <x:v>sglang</x:v>
      </x:c>
      <x:c r="H511" s="23" t="str">
        <x:v>DIRECT_PREFERRED</x:v>
      </x:c>
      <x:c r="I511" s="20" t="n">
        <x:v>1342686.9331289537</x:v>
      </x:c>
      <x:c r="J511" s="20" t="n">
        <x:v>87.4156736653828</x:v>
      </x:c>
      <x:c r="K511" s="20" t="n">
        <x:v>64</x:v>
      </x:c>
      <x:c r="L511" s="20" t="n">
        <x:v>4</x:v>
      </x:c>
      <x:c r="M511" s="20" t="n">
        <x:v>16</x:v>
      </x:c>
      <x:c r="N511" t="str">
        <x:v>fp4</x:v>
      </x:c>
      <x:c r="O511" t="str">
        <x:v>mtp</x:v>
      </x:c>
      <x:c r="P511" s="19" t="n">
        <x:v>432375</x:v>
      </x:c>
      <x:c r="Q511" s="21" t="n">
        <x:v>46207</x:v>
      </x:c>
      <x:c r="R511" s="22" t="n">
        <x:v>1342686.9331289537</x:v>
      </x:c>
      <x:c r="S511" t="str">
        <x:v>sglang</x:v>
      </x:c>
      <x:c r="T511" t="str">
        <x:v>sglang</x:v>
      </x:c>
      <x:c r="U511" s="19" t="n">
        <x:v>150</x:v>
      </x:c>
      <x:c r="V511" s="19" t="n">
        <x:v>150</x:v>
      </x:c>
      <x:c r="W511" s="19" t="n">
        <x:v>7</x:v>
      </x:c>
      <x:c r="X511" t="str"/>
      <x:c r="Y511" s="23" t="str">
        <x:v>Preferred framework has a direct Pareto-eligible observation.</x:v>
      </x:c>
    </x:row>
    <x:row r="512">
      <x:c r="A512" t="str">
        <x:v>Qwen 3.5</x:v>
      </x:c>
      <x:c r="B512" t="str">
        <x:v>qwen3.5</x:v>
      </x:c>
      <x:c r="C512" t="str">
        <x:v>B300</x:v>
      </x:c>
      <x:c r="D512" t="str">
        <x:v>direct</x:v>
      </x:c>
      <x:c r="E512" t="str">
        <x:v>short</x:v>
      </x:c>
      <x:c r="F512" s="19" t="n">
        <x:v>100</x:v>
      </x:c>
      <x:c r="G512" t="str">
        <x:v>sglang</x:v>
      </x:c>
      <x:c r="H512" s="23" t="str">
        <x:v>DIRECT_PREFERRED</x:v>
      </x:c>
      <x:c r="I512" s="20" t="n">
        <x:v>902488.1725080613</x:v>
      </x:c>
      <x:c r="J512" s="20" t="n">
        <x:v>118.81528772465403</x:v>
      </x:c>
      <x:c r="K512" s="20" t="n">
        <x:v>64</x:v>
      </x:c>
      <x:c r="L512" s="20" t="n">
        <x:v>4</x:v>
      </x:c>
      <x:c r="M512" s="20" t="n">
        <x:v>16</x:v>
      </x:c>
      <x:c r="N512" t="str">
        <x:v>fp4</x:v>
      </x:c>
      <x:c r="O512" t="str">
        <x:v>mtp</x:v>
      </x:c>
      <x:c r="P512" s="19" t="n">
        <x:v>432360</x:v>
      </x:c>
      <x:c r="Q512" s="21" t="n">
        <x:v>46207</x:v>
      </x:c>
      <x:c r="R512" s="22" t="n">
        <x:v>902488.1725080613</x:v>
      </x:c>
      <x:c r="S512" t="str">
        <x:v>sglang</x:v>
      </x:c>
      <x:c r="T512" t="str">
        <x:v>sglang</x:v>
      </x:c>
      <x:c r="U512" s="19" t="n">
        <x:v>106</x:v>
      </x:c>
      <x:c r="V512" s="19" t="n">
        <x:v>106</x:v>
      </x:c>
      <x:c r="W512" s="19" t="n">
        <x:v>7</x:v>
      </x:c>
      <x:c r="X512" t="str"/>
      <x:c r="Y512" s="23" t="str">
        <x:v>Preferred framework has a direct Pareto-eligible observation.</x:v>
      </x:c>
    </x:row>
    <x:row r="513">
      <x:c r="A513" t="str">
        <x:v>Qwen 3.5</x:v>
      </x:c>
      <x:c r="B513" t="str">
        <x:v>qwen3.5</x:v>
      </x:c>
      <x:c r="C513" t="str">
        <x:v>B300</x:v>
      </x:c>
      <x:c r="D513" t="str">
        <x:v>direct</x:v>
      </x:c>
      <x:c r="E513" t="str">
        <x:v>long</x:v>
      </x:c>
      <x:c r="F513" s="19" t="n">
        <x:v>30</x:v>
      </x:c>
      <x:c r="G513" t="str">
        <x:v>sglang</x:v>
      </x:c>
      <x:c r="H513" s="23" t="str">
        <x:v>DIRECT_PREFERRED</x:v>
      </x:c>
      <x:c r="I513" s="20" t="n">
        <x:v>1071155.438704616</x:v>
      </x:c>
      <x:c r="J513" s="20" t="n">
        <x:v>34.48336090329786</x:v>
      </x:c>
      <x:c r="K513" s="20" t="n">
        <x:v>128</x:v>
      </x:c>
      <x:c r="L513" s="20" t="n">
        <x:v>4</x:v>
      </x:c>
      <x:c r="M513" s="20" t="n">
        <x:v>32</x:v>
      </x:c>
      <x:c r="N513" t="str">
        <x:v>fp4</x:v>
      </x:c>
      <x:c r="O513" t="str">
        <x:v>mtp</x:v>
      </x:c>
      <x:c r="P513" s="19" t="n">
        <x:v>439368</x:v>
      </x:c>
      <x:c r="Q513" s="21" t="n">
        <x:v>46244</x:v>
      </x:c>
      <x:c r="R513" s="22" t="n">
        <x:v>1071155.438704616</x:v>
      </x:c>
      <x:c r="S513" t="str">
        <x:v>sglang</x:v>
      </x:c>
      <x:c r="T513" t="str">
        <x:v>sglang</x:v>
      </x:c>
      <x:c r="U513" s="19" t="n">
        <x:v>201</x:v>
      </x:c>
      <x:c r="V513" s="19" t="n">
        <x:v>201</x:v>
      </x:c>
      <x:c r="W513" s="19" t="n">
        <x:v>7</x:v>
      </x:c>
      <x:c r="X513" t="str"/>
      <x:c r="Y513" s="23" t="str">
        <x:v>Preferred framework has a direct Pareto-eligible observation.</x:v>
      </x:c>
    </x:row>
    <x:row r="514">
      <x:c r="A514" t="str">
        <x:v>Qwen 3.5</x:v>
      </x:c>
      <x:c r="B514" t="str">
        <x:v>qwen3.5</x:v>
      </x:c>
      <x:c r="C514" t="str">
        <x:v>B300</x:v>
      </x:c>
      <x:c r="D514" t="str">
        <x:v>direct</x:v>
      </x:c>
      <x:c r="E514" t="str">
        <x:v>long</x:v>
      </x:c>
      <x:c r="F514" s="19" t="n">
        <x:v>50</x:v>
      </x:c>
      <x:c r="G514" t="str">
        <x:v>sglang</x:v>
      </x:c>
      <x:c r="H514" s="23" t="str">
        <x:v>DIRECT_PREFERRED</x:v>
      </x:c>
      <x:c r="I514" s="20" t="n">
        <x:v>862894.0534016363</x:v>
      </x:c>
      <x:c r="J514" s="20" t="n">
        <x:v>57.00207188674442</x:v>
      </x:c>
      <x:c r="K514" s="20" t="n">
        <x:v>64</x:v>
      </x:c>
      <x:c r="L514" s="20" t="n">
        <x:v>4</x:v>
      </x:c>
      <x:c r="M514" s="20" t="n">
        <x:v>16</x:v>
      </x:c>
      <x:c r="N514" t="str">
        <x:v>fp4</x:v>
      </x:c>
      <x:c r="O514" t="str">
        <x:v>mtp</x:v>
      </x:c>
      <x:c r="P514" s="19" t="n">
        <x:v>439359</x:v>
      </x:c>
      <x:c r="Q514" s="21" t="n">
        <x:v>46244</x:v>
      </x:c>
      <x:c r="R514" s="22" t="n">
        <x:v>862894.0534016363</x:v>
      </x:c>
      <x:c r="S514" t="str">
        <x:v>sglang</x:v>
      </x:c>
      <x:c r="T514" t="str">
        <x:v>sglang</x:v>
      </x:c>
      <x:c r="U514" s="19" t="n">
        <x:v>169</x:v>
      </x:c>
      <x:c r="V514" s="19" t="n">
        <x:v>169</x:v>
      </x:c>
      <x:c r="W514" s="19" t="n">
        <x:v>7</x:v>
      </x:c>
      <x:c r="X514" t="str"/>
      <x:c r="Y514" s="23" t="str">
        <x:v>Preferred framework has a direct Pareto-eligible observation.</x:v>
      </x:c>
    </x:row>
    <x:row r="515">
      <x:c r="A515" t="str">
        <x:v>Qwen 3.5</x:v>
      </x:c>
      <x:c r="B515" t="str">
        <x:v>qwen3.5</x:v>
      </x:c>
      <x:c r="C515" t="str">
        <x:v>B300</x:v>
      </x:c>
      <x:c r="D515" t="str">
        <x:v>direct</x:v>
      </x:c>
      <x:c r="E515" t="str">
        <x:v>long</x:v>
      </x:c>
      <x:c r="F515" s="19" t="n">
        <x:v>70</x:v>
      </x:c>
      <x:c r="G515" t="str">
        <x:v>sglang</x:v>
      </x:c>
      <x:c r="H515" s="23" t="str">
        <x:v>DIRECT_PREFERRED</x:v>
      </x:c>
      <x:c r="I515" s="20" t="n">
        <x:v>668917.0348414151</x:v>
      </x:c>
      <x:c r="J515" s="20" t="n">
        <x:v>88.14954401710547</x:v>
      </x:c>
      <x:c r="K515" s="20" t="n">
        <x:v>32</x:v>
      </x:c>
      <x:c r="L515" s="20" t="n">
        <x:v>4</x:v>
      </x:c>
      <x:c r="M515" s="20" t="n">
        <x:v>8</x:v>
      </x:c>
      <x:c r="N515" t="str">
        <x:v>fp4</x:v>
      </x:c>
      <x:c r="O515" t="str">
        <x:v>mtp</x:v>
      </x:c>
      <x:c r="P515" s="19" t="n">
        <x:v>439373</x:v>
      </x:c>
      <x:c r="Q515" s="21" t="n">
        <x:v>46244</x:v>
      </x:c>
      <x:c r="R515" s="22" t="n">
        <x:v>668917.0348414151</x:v>
      </x:c>
      <x:c r="S515" t="str">
        <x:v>sglang</x:v>
      </x:c>
      <x:c r="T515" t="str">
        <x:v>sglang</x:v>
      </x:c>
      <x:c r="U515" s="19" t="n">
        <x:v>137</x:v>
      </x:c>
      <x:c r="V515" s="19" t="n">
        <x:v>137</x:v>
      </x:c>
      <x:c r="W515" s="19" t="n">
        <x:v>7</x:v>
      </x:c>
      <x:c r="X515" t="str"/>
      <x:c r="Y515" s="23" t="str">
        <x:v>Preferred framework has a direct Pareto-eligible observation.</x:v>
      </x:c>
    </x:row>
    <x:row r="516">
      <x:c r="A516" t="str">
        <x:v>Qwen 3.5</x:v>
      </x:c>
      <x:c r="B516" t="str">
        <x:v>qwen3.5</x:v>
      </x:c>
      <x:c r="C516" t="str">
        <x:v>B300</x:v>
      </x:c>
      <x:c r="D516" t="str">
        <x:v>direct</x:v>
      </x:c>
      <x:c r="E516" t="str">
        <x:v>long</x:v>
      </x:c>
      <x:c r="F516" s="19" t="n">
        <x:v>100</x:v>
      </x:c>
      <x:c r="G516" t="str">
        <x:v>sglang</x:v>
      </x:c>
      <x:c r="H516" s="23" t="str">
        <x:v>DIRECT_PREFERRED</x:v>
      </x:c>
      <x:c r="I516" s="20" t="n">
        <x:v>486372.0963880674</x:v>
      </x:c>
      <x:c r="J516" s="20" t="n">
        <x:v>128.6385460435337</x:v>
      </x:c>
      <x:c r="K516" s="20" t="n">
        <x:v>16</x:v>
      </x:c>
      <x:c r="L516" s="20" t="n">
        <x:v>4</x:v>
      </x:c>
      <x:c r="M516" s="20" t="n">
        <x:v>4</x:v>
      </x:c>
      <x:c r="N516" t="str">
        <x:v>fp4</x:v>
      </x:c>
      <x:c r="O516" t="str">
        <x:v>mtp</x:v>
      </x:c>
      <x:c r="P516" s="19" t="n">
        <x:v>439370</x:v>
      </x:c>
      <x:c r="Q516" s="21" t="n">
        <x:v>46244</x:v>
      </x:c>
      <x:c r="R516" s="22" t="n">
        <x:v>486372.0963880674</x:v>
      </x:c>
      <x:c r="S516" t="str">
        <x:v>sglang</x:v>
      </x:c>
      <x:c r="T516" t="str">
        <x:v>sglang</x:v>
      </x:c>
      <x:c r="U516" s="19" t="n">
        <x:v>99</x:v>
      </x:c>
      <x:c r="V516" s="19" t="n">
        <x:v>99</x:v>
      </x:c>
      <x:c r="W516" s="19" t="n">
        <x:v>7</x:v>
      </x:c>
      <x:c r="X516" t="str"/>
      <x:c r="Y516" s="23" t="str">
        <x:v>Preferred framework has a direct Pareto-eligible observation.</x:v>
      </x:c>
    </x:row>
    <x:row r="517">
      <x:c r="A517" t="str">
        <x:v>Qwen 3.5</x:v>
      </x:c>
      <x:c r="B517" t="str">
        <x:v>qwen3.5</x:v>
      </x:c>
      <x:c r="C517" t="str">
        <x:v>B300</x:v>
      </x:c>
      <x:c r="D517" t="str">
        <x:v>direct</x:v>
      </x:c>
      <x:c r="E517" t="str">
        <x:v>agentic</x:v>
      </x:c>
      <x:c r="F517" s="19" t="n">
        <x:v>30</x:v>
      </x:c>
      <x:c r="G517" t="str">
        <x:v>sglang</x:v>
      </x:c>
      <x:c r="H517" s="23" t="str">
        <x:v>DIRECT_PREFERRED</x:v>
      </x:c>
      <x:c r="I517" s="20" t="n">
        <x:v>532687.9315789475</x:v>
      </x:c>
      <x:c r="J517" s="20" t="n">
        <x:v>78.90497151845837</x:v>
      </x:c>
      <x:c r="K517" s="20" t="n">
        <x:v>56</x:v>
      </x:c>
      <x:c r="L517" s="20" t="n">
        <x:v>4</x:v>
      </x:c>
      <x:c r="M517" s="20" t="n">
        <x:v>14</x:v>
      </x:c>
      <x:c r="N517" t="str">
        <x:v>fp4</x:v>
      </x:c>
      <x:c r="O517" t="str">
        <x:v>mtp</x:v>
      </x:c>
      <x:c r="P517" s="19" t="n">
        <x:v>438211</x:v>
      </x:c>
      <x:c r="Q517" s="21" t="n">
        <x:v>46237</x:v>
      </x:c>
      <x:c r="R517" s="22" t="n">
        <x:v>532687.9315789475</x:v>
      </x:c>
      <x:c r="S517" t="str">
        <x:v>sglang</x:v>
      </x:c>
      <x:c r="T517" t="str">
        <x:v>sglang</x:v>
      </x:c>
      <x:c r="U517" s="19" t="n">
        <x:v>62</x:v>
      </x:c>
      <x:c r="V517" s="19" t="n">
        <x:v>62</x:v>
      </x:c>
      <x:c r="W517" s="19" t="n">
        <x:v>21</x:v>
      </x:c>
      <x:c r="X517" t="str"/>
      <x:c r="Y517" s="23" t="str">
        <x:v>Preferred framework has a direct Pareto-eligible observation.</x:v>
      </x:c>
    </x:row>
    <x:row r="518">
      <x:c r="A518" t="str">
        <x:v>Qwen 3.5</x:v>
      </x:c>
      <x:c r="B518" t="str">
        <x:v>qwen3.5</x:v>
      </x:c>
      <x:c r="C518" t="str">
        <x:v>B300</x:v>
      </x:c>
      <x:c r="D518" t="str">
        <x:v>direct</x:v>
      </x:c>
      <x:c r="E518" t="str">
        <x:v>agentic</x:v>
      </x:c>
      <x:c r="F518" s="19" t="n">
        <x:v>50</x:v>
      </x:c>
      <x:c r="G518" t="str">
        <x:v>sglang</x:v>
      </x:c>
      <x:c r="H518" s="23" t="str">
        <x:v>DIRECT_PREFERRED</x:v>
      </x:c>
      <x:c r="I518" s="20" t="n">
        <x:v>532687.9315789475</x:v>
      </x:c>
      <x:c r="J518" s="20" t="n">
        <x:v>78.90497151845837</x:v>
      </x:c>
      <x:c r="K518" s="20" t="n">
        <x:v>56</x:v>
      </x:c>
      <x:c r="L518" s="20" t="n">
        <x:v>4</x:v>
      </x:c>
      <x:c r="M518" s="20" t="n">
        <x:v>14</x:v>
      </x:c>
      <x:c r="N518" t="str">
        <x:v>fp4</x:v>
      </x:c>
      <x:c r="O518" t="str">
        <x:v>mtp</x:v>
      </x:c>
      <x:c r="P518" s="19" t="n">
        <x:v>438211</x:v>
      </x:c>
      <x:c r="Q518" s="21" t="n">
        <x:v>46237</x:v>
      </x:c>
      <x:c r="R518" s="22" t="n">
        <x:v>532687.9315789475</x:v>
      </x:c>
      <x:c r="S518" t="str">
        <x:v>sglang</x:v>
      </x:c>
      <x:c r="T518" t="str">
        <x:v>sglang</x:v>
      </x:c>
      <x:c r="U518" s="19" t="n">
        <x:v>59</x:v>
      </x:c>
      <x:c r="V518" s="19" t="n">
        <x:v>59</x:v>
      </x:c>
      <x:c r="W518" s="19" t="n">
        <x:v>21</x:v>
      </x:c>
      <x:c r="X518" t="str"/>
      <x:c r="Y518" s="23" t="str">
        <x:v>Preferred framework has a direct Pareto-eligible observation.</x:v>
      </x:c>
    </x:row>
    <x:row r="519">
      <x:c r="A519" t="str">
        <x:v>Qwen 3.5</x:v>
      </x:c>
      <x:c r="B519" t="str">
        <x:v>qwen3.5</x:v>
      </x:c>
      <x:c r="C519" t="str">
        <x:v>B300</x:v>
      </x:c>
      <x:c r="D519" t="str">
        <x:v>direct</x:v>
      </x:c>
      <x:c r="E519" t="str">
        <x:v>agentic</x:v>
      </x:c>
      <x:c r="F519" s="19" t="n">
        <x:v>70</x:v>
      </x:c>
      <x:c r="G519" t="str">
        <x:v>sglang</x:v>
      </x:c>
      <x:c r="H519" s="23" t="str">
        <x:v>DIRECT_PREFERRED</x:v>
      </x:c>
      <x:c r="I519" s="20" t="n">
        <x:v>532687.9315789475</x:v>
      </x:c>
      <x:c r="J519" s="20" t="n">
        <x:v>78.90497151845837</x:v>
      </x:c>
      <x:c r="K519" s="20" t="n">
        <x:v>56</x:v>
      </x:c>
      <x:c r="L519" s="20" t="n">
        <x:v>4</x:v>
      </x:c>
      <x:c r="M519" s="20" t="n">
        <x:v>14</x:v>
      </x:c>
      <x:c r="N519" t="str">
        <x:v>fp4</x:v>
      </x:c>
      <x:c r="O519" t="str">
        <x:v>mtp</x:v>
      </x:c>
      <x:c r="P519" s="19" t="n">
        <x:v>438211</x:v>
      </x:c>
      <x:c r="Q519" s="21" t="n">
        <x:v>46237</x:v>
      </x:c>
      <x:c r="R519" s="22" t="n">
        <x:v>532687.9315789475</x:v>
      </x:c>
      <x:c r="S519" t="str">
        <x:v>sglang</x:v>
      </x:c>
      <x:c r="T519" t="str">
        <x:v>sglang</x:v>
      </x:c>
      <x:c r="U519" s="19" t="n">
        <x:v>57</x:v>
      </x:c>
      <x:c r="V519" s="19" t="n">
        <x:v>57</x:v>
      </x:c>
      <x:c r="W519" s="19" t="n">
        <x:v>21</x:v>
      </x:c>
      <x:c r="X519" t="str"/>
      <x:c r="Y519" s="23" t="str">
        <x:v>Preferred framework has a direct Pareto-eligible observation.</x:v>
      </x:c>
    </x:row>
    <x:row r="520">
      <x:c r="A520" t="str">
        <x:v>Qwen 3.5</x:v>
      </x:c>
      <x:c r="B520" t="str">
        <x:v>qwen3.5</x:v>
      </x:c>
      <x:c r="C520" t="str">
        <x:v>B300</x:v>
      </x:c>
      <x:c r="D520" t="str">
        <x:v>direct</x:v>
      </x:c>
      <x:c r="E520" t="str">
        <x:v>agentic</x:v>
      </x:c>
      <x:c r="F520" s="19" t="n">
        <x:v>100</x:v>
      </x:c>
      <x:c r="G520" t="str">
        <x:v>sglang</x:v>
      </x:c>
      <x:c r="H520" s="23" t="str">
        <x:v>DIRECT_PREFERRED</x:v>
      </x:c>
      <x:c r="I520" s="20" t="n">
        <x:v>457441.0842105263</x:v>
      </x:c>
      <x:c r="J520" s="20" t="n">
        <x:v>111.40803583619612</x:v>
      </x:c>
      <x:c r="K520" s="20" t="n">
        <x:v>44</x:v>
      </x:c>
      <x:c r="L520" s="20" t="n">
        <x:v>4</x:v>
      </x:c>
      <x:c r="M520" s="20" t="n">
        <x:v>11</x:v>
      </x:c>
      <x:c r="N520" t="str">
        <x:v>fp4</x:v>
      </x:c>
      <x:c r="O520" t="str">
        <x:v>mtp</x:v>
      </x:c>
      <x:c r="P520" s="19" t="n">
        <x:v>438191</x:v>
      </x:c>
      <x:c r="Q520" s="21" t="n">
        <x:v>46237</x:v>
      </x:c>
      <x:c r="R520" s="22" t="n">
        <x:v>457441.0842105263</x:v>
      </x:c>
      <x:c r="S520" t="str">
        <x:v>sglang</x:v>
      </x:c>
      <x:c r="T520" t="str">
        <x:v>sglang</x:v>
      </x:c>
      <x:c r="U520" s="19" t="n">
        <x:v>46</x:v>
      </x:c>
      <x:c r="V520" s="19" t="n">
        <x:v>46</x:v>
      </x:c>
      <x:c r="W520" s="19" t="n">
        <x:v>21</x:v>
      </x:c>
      <x:c r="X520" t="str"/>
      <x:c r="Y520" s="23" t="str">
        <x:v>Preferred framework has a direct Pareto-eligible observation.</x:v>
      </x:c>
    </x:row>
    <x:row r="521">
      <x:c r="A521" t="str">
        <x:v>Qwen 3.5</x:v>
      </x:c>
      <x:c r="B521" t="str">
        <x:v>qwen3.5</x:v>
      </x:c>
      <x:c r="C521" t="str">
        <x:v>GB200</x:v>
      </x:c>
      <x:c r="D521" t="str">
        <x:v>direct</x:v>
      </x:c>
      <x:c r="E521" t="str">
        <x:v>short</x:v>
      </x:c>
      <x:c r="F521" s="19" t="n">
        <x:v>30</x:v>
      </x:c>
      <x:c r="G521" t="str">
        <x:v>dynamo-sglang</x:v>
      </x:c>
      <x:c r="H521" s="23" t="str">
        <x:v>DIRECT_PREFERRED</x:v>
      </x:c>
      <x:c r="I521" s="20" t="n">
        <x:v>2030856.4846729343</x:v>
      </x:c>
      <x:c r="J521" s="20" t="n">
        <x:v>39.7193486418403</x:v>
      </x:c>
      <x:c r="K521" s="20" t="n">
        <x:v>2048</x:v>
      </x:c>
      <x:c r="L521" s="20" t="n">
        <x:v>20</x:v>
      </x:c>
      <x:c r="M521" s="20" t="n">
        <x:v>102.4</x:v>
      </x:c>
      <x:c r="N521" t="str">
        <x:v>fp8</x:v>
      </x:c>
      <x:c r="O521" t="str">
        <x:v>none</x:v>
      </x:c>
      <x:c r="P521" s="19" t="n">
        <x:v>426935</x:v>
      </x:c>
      <x:c r="Q521" s="21" t="n">
        <x:v>46195</x:v>
      </x:c>
      <x:c r="R521" s="22" t="n">
        <x:v>2030856.4846729343</x:v>
      </x:c>
      <x:c r="S521" t="str">
        <x:v>dynamo-sglang</x:v>
      </x:c>
      <x:c r="T521" t="str">
        <x:v>dynamo-sglang</x:v>
      </x:c>
      <x:c r="U521" s="19" t="n">
        <x:v>10</x:v>
      </x:c>
      <x:c r="V521" s="19" t="n">
        <x:v>10</x:v>
      </x:c>
      <x:c r="W521" s="19" t="n">
        <x:v>11</x:v>
      </x:c>
      <x:c r="X521" t="str"/>
      <x:c r="Y521" s="23" t="str">
        <x:v>Preferred framework has a direct Pareto-eligible observation.</x:v>
      </x:c>
    </x:row>
    <x:row r="522">
      <x:c r="A522" t="str">
        <x:v>Qwen 3.5</x:v>
      </x:c>
      <x:c r="B522" t="str">
        <x:v>qwen3.5</x:v>
      </x:c>
      <x:c r="C522" t="str">
        <x:v>GB200</x:v>
      </x:c>
      <x:c r="D522" t="str">
        <x:v>direct</x:v>
      </x:c>
      <x:c r="E522" t="str">
        <x:v>short</x:v>
      </x:c>
      <x:c r="F522" s="19" t="n">
        <x:v>50</x:v>
      </x:c>
      <x:c r="G522" t="str">
        <x:v>dynamo-sglang</x:v>
      </x:c>
      <x:c r="H522" s="23" t="str">
        <x:v>DIRECT_PREFERRED</x:v>
      </x:c>
      <x:c r="I522" s="20" t="n">
        <x:v>744451.7261566577</x:v>
      </x:c>
      <x:c r="J522" s="20" t="n">
        <x:v>50.878051395962565</x:v>
      </x:c>
      <x:c r="K522" s="20" t="n">
        <x:v>512</x:v>
      </x:c>
      <x:c r="L522" s="20" t="n">
        <x:v>20</x:v>
      </x:c>
      <x:c r="M522" s="20" t="n">
        <x:v>25.6</x:v>
      </x:c>
      <x:c r="N522" t="str">
        <x:v>fp8</x:v>
      </x:c>
      <x:c r="O522" t="str">
        <x:v>none</x:v>
      </x:c>
      <x:c r="P522" s="19" t="n">
        <x:v>426933</x:v>
      </x:c>
      <x:c r="Q522" s="21" t="n">
        <x:v>46195</x:v>
      </x:c>
      <x:c r="R522" s="22" t="n">
        <x:v>744451.7261566577</x:v>
      </x:c>
      <x:c r="S522" t="str">
        <x:v>dynamo-sglang</x:v>
      </x:c>
      <x:c r="T522" t="str">
        <x:v>dynamo-sglang</x:v>
      </x:c>
      <x:c r="U522" s="19" t="n">
        <x:v>8</x:v>
      </x:c>
      <x:c r="V522" s="19" t="n">
        <x:v>8</x:v>
      </x:c>
      <x:c r="W522" s="19" t="n">
        <x:v>11</x:v>
      </x:c>
      <x:c r="X522" t="str"/>
      <x:c r="Y522" s="23" t="str">
        <x:v>Preferred framework has a direct Pareto-eligible observation.</x:v>
      </x:c>
    </x:row>
    <x:row r="523">
      <x:c r="A523" t="str">
        <x:v>Qwen 3.5</x:v>
      </x:c>
      <x:c r="B523" t="str">
        <x:v>qwen3.5</x:v>
      </x:c>
      <x:c r="C523" t="str">
        <x:v>GB200</x:v>
      </x:c>
      <x:c r="D523" t="str">
        <x:v>direct</x:v>
      </x:c>
      <x:c r="E523" t="str">
        <x:v>short</x:v>
      </x:c>
      <x:c r="F523" s="19" t="n">
        <x:v>70</x:v>
      </x:c>
      <x:c r="G523" t="str">
        <x:v>dynamo-sglang</x:v>
      </x:c>
      <x:c r="H523" s="23" t="str">
        <x:v>DIRECT_PREFERRED</x:v>
      </x:c>
      <x:c r="I523" s="20" t="n">
        <x:v>339483.34478086175</x:v>
      </x:c>
      <x:c r="J523" s="20" t="n">
        <x:v>86.43967907829445</x:v>
      </x:c>
      <x:c r="K523" s="20" t="n">
        <x:v>32</x:v>
      </x:c>
      <x:c r="L523" s="20" t="n">
        <x:v>8</x:v>
      </x:c>
      <x:c r="M523" s="20" t="n">
        <x:v>4</x:v>
      </x:c>
      <x:c r="N523" t="str">
        <x:v>fp8</x:v>
      </x:c>
      <x:c r="O523" t="str">
        <x:v>none</x:v>
      </x:c>
      <x:c r="P523" s="19" t="n">
        <x:v>426925</x:v>
      </x:c>
      <x:c r="Q523" s="21" t="n">
        <x:v>46195</x:v>
      </x:c>
      <x:c r="R523" s="22" t="n">
        <x:v>339483.34478086175</x:v>
      </x:c>
      <x:c r="S523" t="str">
        <x:v>dynamo-sglang</x:v>
      </x:c>
      <x:c r="T523" t="str">
        <x:v>dynamo-sglang</x:v>
      </x:c>
      <x:c r="U523" s="19" t="n">
        <x:v>6</x:v>
      </x:c>
      <x:c r="V523" s="19" t="n">
        <x:v>6</x:v>
      </x:c>
      <x:c r="W523" s="19" t="n">
        <x:v>11</x:v>
      </x:c>
      <x:c r="X523" t="str"/>
      <x:c r="Y523" s="23" t="str">
        <x:v>Preferred framework has a direct Pareto-eligible observation.</x:v>
      </x:c>
    </x:row>
    <x:row r="524">
      <x:c r="A524" t="str">
        <x:v>Qwen 3.5</x:v>
      </x:c>
      <x:c r="B524" t="str">
        <x:v>qwen3.5</x:v>
      </x:c>
      <x:c r="C524" t="str">
        <x:v>GB200</x:v>
      </x:c>
      <x:c r="D524" t="str">
        <x:v>direct</x:v>
      </x:c>
      <x:c r="E524" t="str">
        <x:v>short</x:v>
      </x:c>
      <x:c r="F524" s="19" t="n">
        <x:v>100</x:v>
      </x:c>
      <x:c r="G524" t="str">
        <x:v>dynamo-sglang</x:v>
      </x:c>
      <x:c r="H524" s="23" t="str">
        <x:v>DIRECT_PREFERRED</x:v>
      </x:c>
      <x:c r="I524" s="20" t="n">
        <x:v>211172.37485753544</x:v>
      </x:c>
      <x:c r="J524" s="20" t="n">
        <x:v>109.25575391449551</x:v>
      </x:c>
      <x:c r="K524" s="20" t="n">
        <x:v>16</x:v>
      </x:c>
      <x:c r="L524" s="20" t="n">
        <x:v>8</x:v>
      </x:c>
      <x:c r="M524" s="20" t="n">
        <x:v>2</x:v>
      </x:c>
      <x:c r="N524" t="str">
        <x:v>fp8</x:v>
      </x:c>
      <x:c r="O524" t="str">
        <x:v>none</x:v>
      </x:c>
      <x:c r="P524" s="19" t="n">
        <x:v>426928</x:v>
      </x:c>
      <x:c r="Q524" s="21" t="n">
        <x:v>46195</x:v>
      </x:c>
      <x:c r="R524" s="22" t="n">
        <x:v>211172.37485753544</x:v>
      </x:c>
      <x:c r="S524" t="str">
        <x:v>dynamo-sglang</x:v>
      </x:c>
      <x:c r="T524" t="str">
        <x:v>dynamo-sglang</x:v>
      </x:c>
      <x:c r="U524" s="19" t="n">
        <x:v>5</x:v>
      </x:c>
      <x:c r="V524" s="19" t="n">
        <x:v>5</x:v>
      </x:c>
      <x:c r="W524" s="19" t="n">
        <x:v>11</x:v>
      </x:c>
      <x:c r="X524" t="str"/>
      <x:c r="Y524" s="23" t="str">
        <x:v>Preferred framework has a direct Pareto-eligible observation.</x:v>
      </x:c>
    </x:row>
    <x:row r="525">
      <x:c r="A525" t="str">
        <x:v>Qwen 3.5</x:v>
      </x:c>
      <x:c r="B525" t="str">
        <x:v>qwen3.5</x:v>
      </x:c>
      <x:c r="C525" t="str">
        <x:v>GB200</x:v>
      </x:c>
      <x:c r="D525" t="str">
        <x:v>direct</x:v>
      </x:c>
      <x:c r="E525" t="str">
        <x:v>long</x:v>
      </x:c>
      <x:c r="F525" s="19" t="n">
        <x:v>30</x:v>
      </x:c>
      <x:c r="G525" t="str">
        <x:v>dynamo-sglang</x:v>
      </x:c>
      <x:c r="H525" s="23" t="str">
        <x:v>DIRECT_PREFERRED</x:v>
      </x:c>
      <x:c r="I525" s="20" t="n">
        <x:v>2262307.439340352</x:v>
      </x:c>
      <x:c r="J525" s="20" t="n">
        <x:v>48.36059251043132</x:v>
      </x:c>
      <x:c r="K525" s="20" t="n">
        <x:v>2304</x:v>
      </x:c>
      <x:c r="L525" s="20" t="n">
        <x:v>48</x:v>
      </x:c>
      <x:c r="M525" s="20" t="n">
        <x:v>48</x:v>
      </x:c>
      <x:c r="N525" t="str">
        <x:v>fp8</x:v>
      </x:c>
      <x:c r="O525" t="str">
        <x:v>mtp</x:v>
      </x:c>
      <x:c r="P525" s="19" t="n">
        <x:v>436792</x:v>
      </x:c>
      <x:c r="Q525" s="21" t="n">
        <x:v>46229</x:v>
      </x:c>
      <x:c r="R525" s="22" t="n">
        <x:v>2262307.439340352</x:v>
      </x:c>
      <x:c r="S525" t="str">
        <x:v>dynamo-sglang</x:v>
      </x:c>
      <x:c r="T525" t="str">
        <x:v>dynamo-sglang</x:v>
      </x:c>
      <x:c r="U525" s="19" t="n">
        <x:v>23</x:v>
      </x:c>
      <x:c r="V525" s="19" t="n">
        <x:v>23</x:v>
      </x:c>
      <x:c r="W525" s="19" t="n">
        <x:v>19</x:v>
      </x:c>
      <x:c r="X525" t="str"/>
      <x:c r="Y525" s="23" t="str">
        <x:v>Preferred framework has a direct Pareto-eligible observation.</x:v>
      </x:c>
    </x:row>
    <x:row r="526">
      <x:c r="A526" t="str">
        <x:v>Qwen 3.5</x:v>
      </x:c>
      <x:c r="B526" t="str">
        <x:v>qwen3.5</x:v>
      </x:c>
      <x:c r="C526" t="str">
        <x:v>GB200</x:v>
      </x:c>
      <x:c r="D526" t="str">
        <x:v>direct</x:v>
      </x:c>
      <x:c r="E526" t="str">
        <x:v>long</x:v>
      </x:c>
      <x:c r="F526" s="19" t="n">
        <x:v>50</x:v>
      </x:c>
      <x:c r="G526" t="str">
        <x:v>dynamo-sglang</x:v>
      </x:c>
      <x:c r="H526" s="23" t="str">
        <x:v>DIRECT_PREFERRED</x:v>
      </x:c>
      <x:c r="I526" s="20" t="n">
        <x:v>2182337.3149260944</x:v>
      </x:c>
      <x:c r="J526" s="20" t="n">
        <x:v>51.532746943025536</x:v>
      </x:c>
      <x:c r="K526" s="20" t="n">
        <x:v>1920</x:v>
      </x:c>
      <x:c r="L526" s="20" t="n">
        <x:v>48</x:v>
      </x:c>
      <x:c r="M526" s="20" t="n">
        <x:v>40</x:v>
      </x:c>
      <x:c r="N526" t="str">
        <x:v>fp8</x:v>
      </x:c>
      <x:c r="O526" t="str">
        <x:v>mtp</x:v>
      </x:c>
      <x:c r="P526" s="19" t="n">
        <x:v>436791</x:v>
      </x:c>
      <x:c r="Q526" s="21" t="n">
        <x:v>46229</x:v>
      </x:c>
      <x:c r="R526" s="22" t="n">
        <x:v>2182337.3149260944</x:v>
      </x:c>
      <x:c r="S526" t="str">
        <x:v>dynamo-sglang</x:v>
      </x:c>
      <x:c r="T526" t="str">
        <x:v>dynamo-sglang</x:v>
      </x:c>
      <x:c r="U526" s="19" t="n">
        <x:v>19</x:v>
      </x:c>
      <x:c r="V526" s="19" t="n">
        <x:v>19</x:v>
      </x:c>
      <x:c r="W526" s="19" t="n">
        <x:v>19</x:v>
      </x:c>
      <x:c r="X526" t="str"/>
      <x:c r="Y526" s="23" t="str">
        <x:v>Preferred framework has a direct Pareto-eligible observation.</x:v>
      </x:c>
    </x:row>
    <x:row r="527">
      <x:c r="A527" t="str">
        <x:v>Qwen 3.5</x:v>
      </x:c>
      <x:c r="B527" t="str">
        <x:v>qwen3.5</x:v>
      </x:c>
      <x:c r="C527" t="str">
        <x:v>GB200</x:v>
      </x:c>
      <x:c r="D527" t="str">
        <x:v>direct</x:v>
      </x:c>
      <x:c r="E527" t="str">
        <x:v>long</x:v>
      </x:c>
      <x:c r="F527" s="19" t="n">
        <x:v>70</x:v>
      </x:c>
      <x:c r="G527" t="str">
        <x:v>dynamo-sglang</x:v>
      </x:c>
      <x:c r="H527" s="23" t="str">
        <x:v>DIRECT_PREFERRED</x:v>
      </x:c>
      <x:c r="I527" s="20" t="n">
        <x:v>1635282.5484396322</x:v>
      </x:c>
      <x:c r="J527" s="20" t="n">
        <x:v>72.92687329119552</x:v>
      </x:c>
      <x:c r="K527" s="20" t="n">
        <x:v>1280</x:v>
      </x:c>
      <x:c r="L527" s="20" t="n">
        <x:v>40</x:v>
      </x:c>
      <x:c r="M527" s="20" t="n">
        <x:v>32</x:v>
      </x:c>
      <x:c r="N527" t="str">
        <x:v>fp8</x:v>
      </x:c>
      <x:c r="O527" t="str">
        <x:v>mtp</x:v>
      </x:c>
      <x:c r="P527" s="19" t="n">
        <x:v>436784</x:v>
      </x:c>
      <x:c r="Q527" s="21" t="n">
        <x:v>46229</x:v>
      </x:c>
      <x:c r="R527" s="22" t="n">
        <x:v>1635282.5484396322</x:v>
      </x:c>
      <x:c r="S527" t="str">
        <x:v>dynamo-sglang</x:v>
      </x:c>
      <x:c r="T527" t="str">
        <x:v>dynamo-sglang</x:v>
      </x:c>
      <x:c r="U527" s="19" t="n">
        <x:v>15</x:v>
      </x:c>
      <x:c r="V527" s="19" t="n">
        <x:v>15</x:v>
      </x:c>
      <x:c r="W527" s="19" t="n">
        <x:v>19</x:v>
      </x:c>
      <x:c r="X527" t="str"/>
      <x:c r="Y527" s="23" t="str">
        <x:v>Preferred framework has a direct Pareto-eligible observation.</x:v>
      </x:c>
    </x:row>
    <x:row r="528">
      <x:c r="A528" t="str">
        <x:v>Qwen 3.5</x:v>
      </x:c>
      <x:c r="B528" t="str">
        <x:v>qwen3.5</x:v>
      </x:c>
      <x:c r="C528" t="str">
        <x:v>GB200</x:v>
      </x:c>
      <x:c r="D528" t="str">
        <x:v>direct</x:v>
      </x:c>
      <x:c r="E528" t="str">
        <x:v>long</x:v>
      </x:c>
      <x:c r="F528" s="19" t="n">
        <x:v>100</x:v>
      </x:c>
      <x:c r="G528" t="str">
        <x:v>dynamo-sglang</x:v>
      </x:c>
      <x:c r="H528" s="23" t="str">
        <x:v>DIRECT_PREFERRED</x:v>
      </x:c>
      <x:c r="I528" s="20" t="n">
        <x:v>817479.8557964701</x:v>
      </x:c>
      <x:c r="J528" s="20" t="n">
        <x:v>104.130590132106</x:v>
      </x:c>
      <x:c r="K528" s="20" t="n">
        <x:v>480</x:v>
      </x:c>
      <x:c r="L528" s="20" t="n">
        <x:v>28</x:v>
      </x:c>
      <x:c r="M528" s="20" t="n">
        <x:v>17.142857142857142</x:v>
      </x:c>
      <x:c r="N528" t="str">
        <x:v>fp8</x:v>
      </x:c>
      <x:c r="O528" t="str">
        <x:v>mtp</x:v>
      </x:c>
      <x:c r="P528" s="19" t="n">
        <x:v>436786</x:v>
      </x:c>
      <x:c r="Q528" s="21" t="n">
        <x:v>46229</x:v>
      </x:c>
      <x:c r="R528" s="22" t="n">
        <x:v>817479.8557964701</x:v>
      </x:c>
      <x:c r="S528" t="str">
        <x:v>dynamo-sglang</x:v>
      </x:c>
      <x:c r="T528" t="str">
        <x:v>dynamo-sglang</x:v>
      </x:c>
      <x:c r="U528" s="19" t="n">
        <x:v>12</x:v>
      </x:c>
      <x:c r="V528" s="19" t="n">
        <x:v>12</x:v>
      </x:c>
      <x:c r="W528" s="19" t="n">
        <x:v>19</x:v>
      </x:c>
      <x:c r="X528" t="str"/>
      <x:c r="Y528" s="23" t="str">
        <x:v>Preferred framework has a direct Pareto-eligible observation.</x:v>
      </x:c>
    </x:row>
    <x:row r="529">
      <x:c r="A529" t="str">
        <x:v>Qwen 3.5</x:v>
      </x:c>
      <x:c r="B529" t="str">
        <x:v>qwen3.5</x:v>
      </x:c>
      <x:c r="C529" t="str">
        <x:v>GB200</x:v>
      </x:c>
      <x:c r="D529" t="str">
        <x:v>direct</x:v>
      </x:c>
      <x:c r="E529" t="str">
        <x:v>agentic</x:v>
      </x:c>
      <x:c r="F529" s="19" t="n">
        <x:v>30</x:v>
      </x:c>
      <x:c r="G529" t="str">
        <x:v>dynamo-sglang</x:v>
      </x:c>
      <x:c r="H529" s="23" t="str">
        <x:v>DIRECT_PREFERRED</x:v>
      </x:c>
      <x:c r="I529" s="20" t="n">
        <x:v>294547.32085561496</x:v>
      </x:c>
      <x:c r="J529" s="20" t="n">
        <x:v>111.73184357541899</x:v>
      </x:c>
      <x:c r="K529" s="20" t="n">
        <x:v>56</x:v>
      </x:c>
      <x:c r="L529" s="20" t="n">
        <x:v>4</x:v>
      </x:c>
      <x:c r="M529" s="20" t="n">
        <x:v>14</x:v>
      </x:c>
      <x:c r="N529" t="str">
        <x:v>fp4</x:v>
      </x:c>
      <x:c r="O529" t="str">
        <x:v>mtp</x:v>
      </x:c>
      <x:c r="P529" s="19" t="n">
        <x:v>439587</x:v>
      </x:c>
      <x:c r="Q529" s="21" t="n">
        <x:v>46246</x:v>
      </x:c>
      <x:c r="R529" s="22" t="n">
        <x:v>294547.32085561496</x:v>
      </x:c>
      <x:c r="S529" t="str">
        <x:v>dynamo-sglang</x:v>
      </x:c>
      <x:c r="T529" t="str">
        <x:v>dynamo-sglang</x:v>
      </x:c>
      <x:c r="U529" s="19" t="n">
        <x:v>16</x:v>
      </x:c>
      <x:c r="V529" s="19" t="n">
        <x:v>16</x:v>
      </x:c>
      <x:c r="W529" s="19" t="n">
        <x:v>13</x:v>
      </x:c>
      <x:c r="X529" t="str"/>
      <x:c r="Y529" s="23" t="str">
        <x:v>Preferred framework has a direct Pareto-eligible observation.</x:v>
      </x:c>
    </x:row>
    <x:row r="530">
      <x:c r="A530" t="str">
        <x:v>Qwen 3.5</x:v>
      </x:c>
      <x:c r="B530" t="str">
        <x:v>qwen3.5</x:v>
      </x:c>
      <x:c r="C530" t="str">
        <x:v>GB200</x:v>
      </x:c>
      <x:c r="D530" t="str">
        <x:v>direct</x:v>
      </x:c>
      <x:c r="E530" t="str">
        <x:v>agentic</x:v>
      </x:c>
      <x:c r="F530" s="19" t="n">
        <x:v>50</x:v>
      </x:c>
      <x:c r="G530" t="str">
        <x:v>dynamo-sglang</x:v>
      </x:c>
      <x:c r="H530" s="23" t="str">
        <x:v>DIRECT_PREFERRED</x:v>
      </x:c>
      <x:c r="I530" s="20" t="n">
        <x:v>294547.32085561496</x:v>
      </x:c>
      <x:c r="J530" s="20" t="n">
        <x:v>111.73184357541899</x:v>
      </x:c>
      <x:c r="K530" s="20" t="n">
        <x:v>56</x:v>
      </x:c>
      <x:c r="L530" s="20" t="n">
        <x:v>4</x:v>
      </x:c>
      <x:c r="M530" s="20" t="n">
        <x:v>14</x:v>
      </x:c>
      <x:c r="N530" t="str">
        <x:v>fp4</x:v>
      </x:c>
      <x:c r="O530" t="str">
        <x:v>mtp</x:v>
      </x:c>
      <x:c r="P530" s="19" t="n">
        <x:v>439587</x:v>
      </x:c>
      <x:c r="Q530" s="21" t="n">
        <x:v>46246</x:v>
      </x:c>
      <x:c r="R530" s="22" t="n">
        <x:v>294547.32085561496</x:v>
      </x:c>
      <x:c r="S530" t="str">
        <x:v>dynamo-sglang</x:v>
      </x:c>
      <x:c r="T530" t="str">
        <x:v>dynamo-sglang</x:v>
      </x:c>
      <x:c r="U530" s="19" t="n">
        <x:v>16</x:v>
      </x:c>
      <x:c r="V530" s="19" t="n">
        <x:v>16</x:v>
      </x:c>
      <x:c r="W530" s="19" t="n">
        <x:v>13</x:v>
      </x:c>
      <x:c r="X530" t="str"/>
      <x:c r="Y530" s="23" t="str">
        <x:v>Preferred framework has a direct Pareto-eligible observation.</x:v>
      </x:c>
    </x:row>
    <x:row r="531">
      <x:c r="A531" t="str">
        <x:v>Qwen 3.5</x:v>
      </x:c>
      <x:c r="B531" t="str">
        <x:v>qwen3.5</x:v>
      </x:c>
      <x:c r="C531" t="str">
        <x:v>GB200</x:v>
      </x:c>
      <x:c r="D531" t="str">
        <x:v>direct</x:v>
      </x:c>
      <x:c r="E531" t="str">
        <x:v>agentic</x:v>
      </x:c>
      <x:c r="F531" s="19" t="n">
        <x:v>70</x:v>
      </x:c>
      <x:c r="G531" t="str">
        <x:v>dynamo-sglang</x:v>
      </x:c>
      <x:c r="H531" s="23" t="str">
        <x:v>DIRECT_PREFERRED</x:v>
      </x:c>
      <x:c r="I531" s="20" t="n">
        <x:v>294547.32085561496</x:v>
      </x:c>
      <x:c r="J531" s="20" t="n">
        <x:v>111.73184357541899</x:v>
      </x:c>
      <x:c r="K531" s="20" t="n">
        <x:v>56</x:v>
      </x:c>
      <x:c r="L531" s="20" t="n">
        <x:v>4</x:v>
      </x:c>
      <x:c r="M531" s="20" t="n">
        <x:v>14</x:v>
      </x:c>
      <x:c r="N531" t="str">
        <x:v>fp4</x:v>
      </x:c>
      <x:c r="O531" t="str">
        <x:v>mtp</x:v>
      </x:c>
      <x:c r="P531" s="19" t="n">
        <x:v>439587</x:v>
      </x:c>
      <x:c r="Q531" s="21" t="n">
        <x:v>46246</x:v>
      </x:c>
      <x:c r="R531" s="22" t="n">
        <x:v>294547.32085561496</x:v>
      </x:c>
      <x:c r="S531" t="str">
        <x:v>dynamo-sglang</x:v>
      </x:c>
      <x:c r="T531" t="str">
        <x:v>dynamo-sglang</x:v>
      </x:c>
      <x:c r="U531" s="19" t="n">
        <x:v>15</x:v>
      </x:c>
      <x:c r="V531" s="19" t="n">
        <x:v>15</x:v>
      </x:c>
      <x:c r="W531" s="19" t="n">
        <x:v>13</x:v>
      </x:c>
      <x:c r="X531" t="str"/>
      <x:c r="Y531" s="23" t="str">
        <x:v>Preferred framework has a direct Pareto-eligible observation.</x:v>
      </x:c>
    </x:row>
    <x:row r="532">
      <x:c r="A532" t="str">
        <x:v>Qwen 3.5</x:v>
      </x:c>
      <x:c r="B532" t="str">
        <x:v>qwen3.5</x:v>
      </x:c>
      <x:c r="C532" t="str">
        <x:v>GB200</x:v>
      </x:c>
      <x:c r="D532" t="str">
        <x:v>direct</x:v>
      </x:c>
      <x:c r="E532" t="str">
        <x:v>agentic</x:v>
      </x:c>
      <x:c r="F532" s="19" t="n">
        <x:v>100</x:v>
      </x:c>
      <x:c r="G532" t="str">
        <x:v>dynamo-sglang</x:v>
      </x:c>
      <x:c r="H532" s="23" t="str">
        <x:v>DIRECT_PREFERRED</x:v>
      </x:c>
      <x:c r="I532" s="20" t="n">
        <x:v>294547.32085561496</x:v>
      </x:c>
      <x:c r="J532" s="20" t="n">
        <x:v>111.73184357541899</x:v>
      </x:c>
      <x:c r="K532" s="20" t="n">
        <x:v>56</x:v>
      </x:c>
      <x:c r="L532" s="20" t="n">
        <x:v>4</x:v>
      </x:c>
      <x:c r="M532" s="20" t="n">
        <x:v>14</x:v>
      </x:c>
      <x:c r="N532" t="str">
        <x:v>fp4</x:v>
      </x:c>
      <x:c r="O532" t="str">
        <x:v>mtp</x:v>
      </x:c>
      <x:c r="P532" s="19" t="n">
        <x:v>439587</x:v>
      </x:c>
      <x:c r="Q532" s="21" t="n">
        <x:v>46246</x:v>
      </x:c>
      <x:c r="R532" s="22" t="n">
        <x:v>294547.32085561496</x:v>
      </x:c>
      <x:c r="S532" t="str">
        <x:v>dynamo-sglang</x:v>
      </x:c>
      <x:c r="T532" t="str">
        <x:v>dynamo-sglang</x:v>
      </x:c>
      <x:c r="U532" s="19" t="n">
        <x:v>15</x:v>
      </x:c>
      <x:c r="V532" s="19" t="n">
        <x:v>15</x:v>
      </x:c>
      <x:c r="W532" s="19" t="n">
        <x:v>13</x:v>
      </x:c>
      <x:c r="X532" t="str"/>
      <x:c r="Y532" s="23" t="str">
        <x:v>Preferred framework has a direct Pareto-eligible observation.</x:v>
      </x:c>
    </x:row>
    <x:row r="533">
      <x:c r="A533" t="str">
        <x:v>Qwen 3.5</x:v>
      </x:c>
      <x:c r="B533" t="str">
        <x:v>qwen3.5</x:v>
      </x:c>
      <x:c r="C533" t="str">
        <x:v>GB300</x:v>
      </x:c>
      <x:c r="D533" t="str">
        <x:v>direct</x:v>
      </x:c>
      <x:c r="E533" t="str">
        <x:v>short</x:v>
      </x:c>
      <x:c r="F533" s="19" t="n">
        <x:v>30</x:v>
      </x:c>
      <x:c r="G533" t="str">
        <x:v>dynamo-sglang</x:v>
      </x:c>
      <x:c r="H533" s="23" t="str">
        <x:v>DIRECT_PREFERRED</x:v>
      </x:c>
      <x:c r="I533" s="20" t="n">
        <x:v>3197283.650938009</x:v>
      </x:c>
      <x:c r="J533" s="20" t="n">
        <x:v>31.21987953344391</x:v>
      </x:c>
      <x:c r="K533" s="20" t="n">
        <x:v>4096</x:v>
      </x:c>
      <x:c r="L533" s="20" t="n">
        <x:v>24</x:v>
      </x:c>
      <x:c r="M533" s="20" t="n">
        <x:v>170.66666666666666</x:v>
      </x:c>
      <x:c r="N533" t="str">
        <x:v>fp8</x:v>
      </x:c>
      <x:c r="O533" t="str">
        <x:v>none</x:v>
      </x:c>
      <x:c r="P533" s="19" t="n">
        <x:v>434941</x:v>
      </x:c>
      <x:c r="Q533" s="21" t="n">
        <x:v>46216</x:v>
      </x:c>
      <x:c r="R533" s="22" t="n">
        <x:v>3197283.650938009</x:v>
      </x:c>
      <x:c r="S533" t="str">
        <x:v>dynamo-sglang</x:v>
      </x:c>
      <x:c r="T533" t="str">
        <x:v>dynamo-sglang</x:v>
      </x:c>
      <x:c r="U533" s="19" t="n">
        <x:v>11</x:v>
      </x:c>
      <x:c r="V533" s="19" t="n">
        <x:v>11</x:v>
      </x:c>
      <x:c r="W533" s="19" t="n">
        <x:v>11</x:v>
      </x:c>
      <x:c r="X533" t="str"/>
      <x:c r="Y533" s="23" t="str">
        <x:v>Preferred framework has a direct Pareto-eligible observation.</x:v>
      </x:c>
    </x:row>
    <x:row r="534">
      <x:c r="A534" t="str">
        <x:v>Qwen 3.5</x:v>
      </x:c>
      <x:c r="B534" t="str">
        <x:v>qwen3.5</x:v>
      </x:c>
      <x:c r="C534" t="str">
        <x:v>GB300</x:v>
      </x:c>
      <x:c r="D534" t="str">
        <x:v>direct</x:v>
      </x:c>
      <x:c r="E534" t="str">
        <x:v>short</x:v>
      </x:c>
      <x:c r="F534" s="19" t="n">
        <x:v>50</x:v>
      </x:c>
      <x:c r="G534" t="str">
        <x:v>dynamo-sglang</x:v>
      </x:c>
      <x:c r="H534" s="23" t="str">
        <x:v>DIRECT_PREFERRED</x:v>
      </x:c>
      <x:c r="I534" s="20" t="n">
        <x:v>699591.7683639271</x:v>
      </x:c>
      <x:c r="J534" s="20" t="n">
        <x:v>55.874532850828736</x:v>
      </x:c>
      <x:c r="K534" s="20" t="n">
        <x:v>512</x:v>
      </x:c>
      <x:c r="L534" s="20" t="n">
        <x:v>20</x:v>
      </x:c>
      <x:c r="M534" s="20" t="n">
        <x:v>25.6</x:v>
      </x:c>
      <x:c r="N534" t="str">
        <x:v>fp8</x:v>
      </x:c>
      <x:c r="O534" t="str">
        <x:v>none</x:v>
      </x:c>
      <x:c r="P534" s="19" t="n">
        <x:v>434937</x:v>
      </x:c>
      <x:c r="Q534" s="21" t="n">
        <x:v>46216</x:v>
      </x:c>
      <x:c r="R534" s="22" t="n">
        <x:v>699591.7683639271</x:v>
      </x:c>
      <x:c r="S534" t="str">
        <x:v>dynamo-sglang</x:v>
      </x:c>
      <x:c r="T534" t="str">
        <x:v>dynamo-sglang</x:v>
      </x:c>
      <x:c r="U534" s="19" t="n">
        <x:v>8</x:v>
      </x:c>
      <x:c r="V534" s="19" t="n">
        <x:v>8</x:v>
      </x:c>
      <x:c r="W534" s="19" t="n">
        <x:v>11</x:v>
      </x:c>
      <x:c r="X534" t="str"/>
      <x:c r="Y534" s="23" t="str">
        <x:v>Preferred framework has a direct Pareto-eligible observation.</x:v>
      </x:c>
    </x:row>
    <x:row r="535">
      <x:c r="A535" t="str">
        <x:v>Qwen 3.5</x:v>
      </x:c>
      <x:c r="B535" t="str">
        <x:v>qwen3.5</x:v>
      </x:c>
      <x:c r="C535" t="str">
        <x:v>GB300</x:v>
      </x:c>
      <x:c r="D535" t="str">
        <x:v>direct</x:v>
      </x:c>
      <x:c r="E535" t="str">
        <x:v>short</x:v>
      </x:c>
      <x:c r="F535" s="19" t="n">
        <x:v>70</x:v>
      </x:c>
      <x:c r="G535" t="str">
        <x:v>dynamo-sglang</x:v>
      </x:c>
      <x:c r="H535" s="23" t="str">
        <x:v>DIRECT_PREFERRED</x:v>
      </x:c>
      <x:c r="I535" s="20" t="n">
        <x:v>519033.26205177285</x:v>
      </x:c>
      <x:c r="J535" s="20" t="n">
        <x:v>74.58899702457559</x:v>
      </x:c>
      <x:c r="K535" s="20" t="n">
        <x:v>64</x:v>
      </x:c>
      <x:c r="L535" s="20" t="n">
        <x:v>8</x:v>
      </x:c>
      <x:c r="M535" s="20" t="n">
        <x:v>8</x:v>
      </x:c>
      <x:c r="N535" t="str">
        <x:v>fp8</x:v>
      </x:c>
      <x:c r="O535" t="str">
        <x:v>none</x:v>
      </x:c>
      <x:c r="P535" s="19" t="n">
        <x:v>434928</x:v>
      </x:c>
      <x:c r="Q535" s="21" t="n">
        <x:v>46216</x:v>
      </x:c>
      <x:c r="R535" s="22" t="n">
        <x:v>519033.26205177285</x:v>
      </x:c>
      <x:c r="S535" t="str">
        <x:v>dynamo-sglang</x:v>
      </x:c>
      <x:c r="T535" t="str">
        <x:v>dynamo-sglang</x:v>
      </x:c>
      <x:c r="U535" s="19" t="n">
        <x:v>7</x:v>
      </x:c>
      <x:c r="V535" s="19" t="n">
        <x:v>7</x:v>
      </x:c>
      <x:c r="W535" s="19" t="n">
        <x:v>11</x:v>
      </x:c>
      <x:c r="X535" t="str"/>
      <x:c r="Y535" s="23" t="str">
        <x:v>Preferred framework has a direct Pareto-eligible observation.</x:v>
      </x:c>
    </x:row>
    <x:row r="536">
      <x:c r="A536" t="str">
        <x:v>Qwen 3.5</x:v>
      </x:c>
      <x:c r="B536" t="str">
        <x:v>qwen3.5</x:v>
      </x:c>
      <x:c r="C536" t="str">
        <x:v>GB300</x:v>
      </x:c>
      <x:c r="D536" t="str">
        <x:v>direct</x:v>
      </x:c>
      <x:c r="E536" t="str">
        <x:v>short</x:v>
      </x:c>
      <x:c r="F536" s="19" t="n">
        <x:v>100</x:v>
      </x:c>
      <x:c r="G536" t="str">
        <x:v>dynamo-sglang</x:v>
      </x:c>
      <x:c r="H536" s="23" t="str">
        <x:v>DIRECT_PREFERRED</x:v>
      </x:c>
      <x:c r="I536" s="20" t="n">
        <x:v>206083.3274423789</x:v>
      </x:c>
      <x:c r="J536" s="20" t="n">
        <x:v>120.0332664827156</x:v>
      </x:c>
      <x:c r="K536" s="20" t="n">
        <x:v>16</x:v>
      </x:c>
      <x:c r="L536" s="20" t="n">
        <x:v>8</x:v>
      </x:c>
      <x:c r="M536" s="20" t="n">
        <x:v>2</x:v>
      </x:c>
      <x:c r="N536" t="str">
        <x:v>fp8</x:v>
      </x:c>
      <x:c r="O536" t="str">
        <x:v>none</x:v>
      </x:c>
      <x:c r="P536" s="19" t="n">
        <x:v>434922</x:v>
      </x:c>
      <x:c r="Q536" s="21" t="n">
        <x:v>46216</x:v>
      </x:c>
      <x:c r="R536" s="22" t="n">
        <x:v>206083.3274423789</x:v>
      </x:c>
      <x:c r="S536" t="str">
        <x:v>dynamo-sglang</x:v>
      </x:c>
      <x:c r="T536" t="str">
        <x:v>dynamo-sglang</x:v>
      </x:c>
      <x:c r="U536" s="19" t="n">
        <x:v>5</x:v>
      </x:c>
      <x:c r="V536" s="19" t="n">
        <x:v>5</x:v>
      </x:c>
      <x:c r="W536" s="19" t="n">
        <x:v>11</x:v>
      </x:c>
      <x:c r="X536" t="str"/>
      <x:c r="Y536" s="23" t="str">
        <x:v>Preferred framework has a direct Pareto-eligible observation.</x:v>
      </x:c>
    </x:row>
    <x:row r="537">
      <x:c r="A537" t="str">
        <x:v>Qwen 3.5</x:v>
      </x:c>
      <x:c r="B537" t="str">
        <x:v>qwen3.5</x:v>
      </x:c>
      <x:c r="C537" t="str">
        <x:v>GB300</x:v>
      </x:c>
      <x:c r="D537" t="str">
        <x:v>direct</x:v>
      </x:c>
      <x:c r="E537" t="str">
        <x:v>long</x:v>
      </x:c>
      <x:c r="F537" s="19" t="n">
        <x:v>30</x:v>
      </x:c>
      <x:c r="G537" t="str">
        <x:v>dynamo-sglang</x:v>
      </x:c>
      <x:c r="H537" s="23" t="str">
        <x:v>DIRECT_PREFERRED</x:v>
      </x:c>
      <x:c r="I537" s="20" t="n">
        <x:v>2646524.9799063005</x:v>
      </x:c>
      <x:c r="J537" s="20" t="n">
        <x:v>46.41677613056976</x:v>
      </x:c>
      <x:c r="K537" s="20" t="n">
        <x:v>5120</x:v>
      </x:c>
      <x:c r="L537" s="20" t="n">
        <x:v>44</x:v>
      </x:c>
      <x:c r="M537" s="20" t="n">
        <x:v>116.36363636363636</x:v>
      </x:c>
      <x:c r="N537" t="str">
        <x:v>fp4</x:v>
      </x:c>
      <x:c r="O537" t="str">
        <x:v>none</x:v>
      </x:c>
      <x:c r="P537" s="19" t="n">
        <x:v>439480</x:v>
      </x:c>
      <x:c r="Q537" s="21" t="n">
        <x:v>46244</x:v>
      </x:c>
      <x:c r="R537" s="22" t="n">
        <x:v>3251808.168414765</x:v>
      </x:c>
      <x:c r="S537" t="str">
        <x:v>dynamo-trt</x:v>
      </x:c>
      <x:c r="T537" t="str">
        <x:v>dynamo-sglang, dynamo-trt</x:v>
      </x:c>
      <x:c r="U537" s="19" t="n">
        <x:v>43</x:v>
      </x:c>
      <x:c r="V537" s="19" t="n">
        <x:v>61</x:v>
      </x:c>
      <x:c r="W537" s="19" t="n">
        <x:v>21</x:v>
      </x:c>
      <x:c r="X537" t="str"/>
      <x:c r="Y537" s="23" t="str">
        <x:v>Preferred framework has a direct Pareto-eligible observation.</x:v>
      </x:c>
    </x:row>
    <x:row r="538">
      <x:c r="A538" t="str">
        <x:v>Qwen 3.5</x:v>
      </x:c>
      <x:c r="B538" t="str">
        <x:v>qwen3.5</x:v>
      </x:c>
      <x:c r="C538" t="str">
        <x:v>GB300</x:v>
      </x:c>
      <x:c r="D538" t="str">
        <x:v>direct</x:v>
      </x:c>
      <x:c r="E538" t="str">
        <x:v>long</x:v>
      </x:c>
      <x:c r="F538" s="19" t="n">
        <x:v>50</x:v>
      </x:c>
      <x:c r="G538" t="str">
        <x:v>dynamo-sglang</x:v>
      </x:c>
      <x:c r="H538" s="23" t="str">
        <x:v>DIRECT_PREFERRED</x:v>
      </x:c>
      <x:c r="I538" s="20" t="n">
        <x:v>2265921.8477672483</x:v>
      </x:c>
      <x:c r="J538" s="20" t="n">
        <x:v>52.63713677551999</x:v>
      </x:c>
      <x:c r="K538" s="20" t="n">
        <x:v>5120</x:v>
      </x:c>
      <x:c r="L538" s="20" t="n">
        <x:v>40</x:v>
      </x:c>
      <x:c r="M538" s="20" t="n">
        <x:v>128</x:v>
      </x:c>
      <x:c r="N538" t="str">
        <x:v>fp4</x:v>
      </x:c>
      <x:c r="O538" t="str">
        <x:v>none</x:v>
      </x:c>
      <x:c r="P538" s="19" t="n">
        <x:v>439478</x:v>
      </x:c>
      <x:c r="Q538" s="21" t="n">
        <x:v>46244</x:v>
      </x:c>
      <x:c r="R538" s="22" t="n">
        <x:v>2366497.256439927</x:v>
      </x:c>
      <x:c r="S538" t="str">
        <x:v>dynamo-trt</x:v>
      </x:c>
      <x:c r="T538" t="str">
        <x:v>dynamo-sglang, dynamo-trt</x:v>
      </x:c>
      <x:c r="U538" s="19" t="n">
        <x:v>37</x:v>
      </x:c>
      <x:c r="V538" s="19" t="n">
        <x:v>53</x:v>
      </x:c>
      <x:c r="W538" s="19" t="n">
        <x:v>21</x:v>
      </x:c>
      <x:c r="X538" t="str"/>
      <x:c r="Y538" s="23" t="str">
        <x:v>Preferred framework has a direct Pareto-eligible observation.</x:v>
      </x:c>
    </x:row>
    <x:row r="539">
      <x:c r="A539" t="str">
        <x:v>Qwen 3.5</x:v>
      </x:c>
      <x:c r="B539" t="str">
        <x:v>qwen3.5</x:v>
      </x:c>
      <x:c r="C539" t="str">
        <x:v>GB300</x:v>
      </x:c>
      <x:c r="D539" t="str">
        <x:v>direct</x:v>
      </x:c>
      <x:c r="E539" t="str">
        <x:v>long</x:v>
      </x:c>
      <x:c r="F539" s="19" t="n">
        <x:v>70</x:v>
      </x:c>
      <x:c r="G539" t="str">
        <x:v>dynamo-sglang</x:v>
      </x:c>
      <x:c r="H539" s="23" t="str">
        <x:v>DIRECT_PREFERRED</x:v>
      </x:c>
      <x:c r="I539" s="20" t="n">
        <x:v>1506223.2702611673</x:v>
      </x:c>
      <x:c r="J539" s="20" t="n">
        <x:v>79.11552922001424</x:v>
      </x:c>
      <x:c r="K539" s="20" t="n">
        <x:v>1280</x:v>
      </x:c>
      <x:c r="L539" s="20" t="n">
        <x:v>40</x:v>
      </x:c>
      <x:c r="M539" s="20" t="n">
        <x:v>32</x:v>
      </x:c>
      <x:c r="N539" t="str">
        <x:v>fp8</x:v>
      </x:c>
      <x:c r="O539" t="str">
        <x:v>mtp</x:v>
      </x:c>
      <x:c r="P539" s="19" t="n">
        <x:v>437962</x:v>
      </x:c>
      <x:c r="Q539" s="21" t="n">
        <x:v>46233</x:v>
      </x:c>
      <x:c r="R539" s="22" t="n">
        <x:v>2366497.256439927</x:v>
      </x:c>
      <x:c r="S539" t="str">
        <x:v>dynamo-trt</x:v>
      </x:c>
      <x:c r="T539" t="str">
        <x:v>dynamo-sglang, dynamo-trt</x:v>
      </x:c>
      <x:c r="U539" s="19" t="n">
        <x:v>30</x:v>
      </x:c>
      <x:c r="V539" s="19" t="n">
        <x:v>46</x:v>
      </x:c>
      <x:c r="W539" s="19" t="n">
        <x:v>21</x:v>
      </x:c>
      <x:c r="X539" t="str"/>
      <x:c r="Y539" s="23" t="str">
        <x:v>Preferred framework has a direct Pareto-eligible observation.</x:v>
      </x:c>
    </x:row>
    <x:row r="540">
      <x:c r="A540" t="str">
        <x:v>Qwen 3.5</x:v>
      </x:c>
      <x:c r="B540" t="str">
        <x:v>qwen3.5</x:v>
      </x:c>
      <x:c r="C540" t="str">
        <x:v>GB300</x:v>
      </x:c>
      <x:c r="D540" t="str">
        <x:v>direct</x:v>
      </x:c>
      <x:c r="E540" t="str">
        <x:v>long</x:v>
      </x:c>
      <x:c r="F540" s="19" t="n">
        <x:v>100</x:v>
      </x:c>
      <x:c r="G540" t="str">
        <x:v>dynamo-sglang</x:v>
      </x:c>
      <x:c r="H540" s="23" t="str">
        <x:v>DIRECT_PREFERRED</x:v>
      </x:c>
      <x:c r="I540" s="20" t="n">
        <x:v>746263.2062461639</x:v>
      </x:c>
      <x:c r="J540" s="20" t="n">
        <x:v>108.53577309467994</x:v>
      </x:c>
      <x:c r="K540" s="20" t="n">
        <x:v>480</x:v>
      </x:c>
      <x:c r="L540" s="20" t="n">
        <x:v>28</x:v>
      </x:c>
      <x:c r="M540" s="20" t="n">
        <x:v>17.142857142857142</x:v>
      </x:c>
      <x:c r="N540" t="str">
        <x:v>fp8</x:v>
      </x:c>
      <x:c r="O540" t="str">
        <x:v>mtp</x:v>
      </x:c>
      <x:c r="P540" s="19" t="n">
        <x:v>437958</x:v>
      </x:c>
      <x:c r="Q540" s="21" t="n">
        <x:v>46233</x:v>
      </x:c>
      <x:c r="R540" s="22" t="n">
        <x:v>1046468.561132683</x:v>
      </x:c>
      <x:c r="S540" t="str">
        <x:v>dynamo-trt</x:v>
      </x:c>
      <x:c r="T540" t="str">
        <x:v>dynamo-sglang, dynamo-trt</x:v>
      </x:c>
      <x:c r="U540" s="19" t="n">
        <x:v>22</x:v>
      </x:c>
      <x:c r="V540" s="19" t="n">
        <x:v>35</x:v>
      </x:c>
      <x:c r="W540" s="19" t="n">
        <x:v>21</x:v>
      </x:c>
      <x:c r="X540" t="str"/>
      <x:c r="Y540" s="23" t="str">
        <x:v>Preferred framework has a direct Pareto-eligible observation.</x:v>
      </x:c>
    </x:row>
    <x:row r="541">
      <x:c r="A541" t="str">
        <x:v>Qwen 3.5</x:v>
      </x:c>
      <x:c r="B541" t="str">
        <x:v>qwen3.5</x:v>
      </x:c>
      <x:c r="C541" t="str">
        <x:v>GB300</x:v>
      </x:c>
      <x:c r="D541" t="str">
        <x:v>direct</x:v>
      </x:c>
      <x:c r="E541" t="str">
        <x:v>agentic</x:v>
      </x:c>
      <x:c r="F541" s="19" t="n">
        <x:v>30</x:v>
      </x:c>
      <x:c r="G541" t="str">
        <x:v>dynamo-sglang</x:v>
      </x:c>
      <x:c r="H541" s="23" t="str">
        <x:v>DIRECT_PREFERRED</x:v>
      </x:c>
      <x:c r="I541" s="20" t="n">
        <x:v>458490.3820754717</x:v>
      </x:c>
      <x:c r="J541" s="20" t="n">
        <x:v>49.35834155972359</x:v>
      </x:c>
      <x:c r="K541" s="20" t="n">
        <x:v>64</x:v>
      </x:c>
      <x:c r="L541" s="20" t="n">
        <x:v>2</x:v>
      </x:c>
      <x:c r="M541" s="20" t="n">
        <x:v>32</x:v>
      </x:c>
      <x:c r="N541" t="str">
        <x:v>fp4</x:v>
      </x:c>
      <x:c r="O541" t="str">
        <x:v>mtp</x:v>
      </x:c>
      <x:c r="P541" s="19" t="n">
        <x:v>438853</x:v>
      </x:c>
      <x:c r="Q541" s="21" t="n">
        <x:v>46241</x:v>
      </x:c>
      <x:c r="R541" s="22" t="n">
        <x:v>458490.3820754717</x:v>
      </x:c>
      <x:c r="S541" t="str">
        <x:v>dynamo-sglang</x:v>
      </x:c>
      <x:c r="T541" t="str">
        <x:v>dynamo-sglang</x:v>
      </x:c>
      <x:c r="U541" s="19" t="n">
        <x:v>14</x:v>
      </x:c>
      <x:c r="V541" s="19" t="n">
        <x:v>14</x:v>
      </x:c>
      <x:c r="W541" s="19" t="n">
        <x:v>12</x:v>
      </x:c>
      <x:c r="X541" t="str"/>
      <x:c r="Y541" s="23" t="str">
        <x:v>Preferred framework has a direct Pareto-eligible observation.</x:v>
      </x:c>
    </x:row>
    <x:row r="542">
      <x:c r="A542" t="str">
        <x:v>Qwen 3.5</x:v>
      </x:c>
      <x:c r="B542" t="str">
        <x:v>qwen3.5</x:v>
      </x:c>
      <x:c r="C542" t="str">
        <x:v>GB300</x:v>
      </x:c>
      <x:c r="D542" t="str">
        <x:v>direct</x:v>
      </x:c>
      <x:c r="E542" t="str">
        <x:v>agentic</x:v>
      </x:c>
      <x:c r="F542" s="19" t="n">
        <x:v>50</x:v>
      </x:c>
      <x:c r="G542" t="str">
        <x:v>dynamo-sglang</x:v>
      </x:c>
      <x:c r="H542" s="23" t="str">
        <x:v>DIRECT_PREFERRED</x:v>
      </x:c>
      <x:c r="I542" s="20" t="n">
        <x:v>448277.03773584904</x:v>
      </x:c>
      <x:c r="J542" s="20" t="n">
        <x:v>78.49293563579278</x:v>
      </x:c>
      <x:c r="K542" s="20" t="n">
        <x:v>52</x:v>
      </x:c>
      <x:c r="L542" s="20" t="n">
        <x:v>2</x:v>
      </x:c>
      <x:c r="M542" s="20" t="n">
        <x:v>26</x:v>
      </x:c>
      <x:c r="N542" t="str">
        <x:v>fp4</x:v>
      </x:c>
      <x:c r="O542" t="str">
        <x:v>mtp</x:v>
      </x:c>
      <x:c r="P542" s="19" t="n">
        <x:v>438856</x:v>
      </x:c>
      <x:c r="Q542" s="21" t="n">
        <x:v>46241</x:v>
      </x:c>
      <x:c r="R542" s="22" t="n">
        <x:v>448277.03773584904</x:v>
      </x:c>
      <x:c r="S542" t="str">
        <x:v>dynamo-sglang</x:v>
      </x:c>
      <x:c r="T542" t="str">
        <x:v>dynamo-sglang</x:v>
      </x:c>
      <x:c r="U542" s="19" t="n">
        <x:v>13</x:v>
      </x:c>
      <x:c r="V542" s="19" t="n">
        <x:v>13</x:v>
      </x:c>
      <x:c r="W542" s="19" t="n">
        <x:v>12</x:v>
      </x:c>
      <x:c r="X542" t="str"/>
      <x:c r="Y542" s="23" t="str">
        <x:v>Preferred framework has a direct Pareto-eligible observation.</x:v>
      </x:c>
    </x:row>
    <x:row r="543">
      <x:c r="A543" t="str">
        <x:v>Qwen 3.5</x:v>
      </x:c>
      <x:c r="B543" t="str">
        <x:v>qwen3.5</x:v>
      </x:c>
      <x:c r="C543" t="str">
        <x:v>GB300</x:v>
      </x:c>
      <x:c r="D543" t="str">
        <x:v>direct</x:v>
      </x:c>
      <x:c r="E543" t="str">
        <x:v>agentic</x:v>
      </x:c>
      <x:c r="F543" s="19" t="n">
        <x:v>70</x:v>
      </x:c>
      <x:c r="G543" t="str">
        <x:v>dynamo-sglang</x:v>
      </x:c>
      <x:c r="H543" s="23" t="str">
        <x:v>DIRECT_PREFERRED</x:v>
      </x:c>
      <x:c r="I543" s="20" t="n">
        <x:v>448277.03773584904</x:v>
      </x:c>
      <x:c r="J543" s="20" t="n">
        <x:v>78.49293563579278</x:v>
      </x:c>
      <x:c r="K543" s="20" t="n">
        <x:v>52</x:v>
      </x:c>
      <x:c r="L543" s="20" t="n">
        <x:v>2</x:v>
      </x:c>
      <x:c r="M543" s="20" t="n">
        <x:v>26</x:v>
      </x:c>
      <x:c r="N543" t="str">
        <x:v>fp4</x:v>
      </x:c>
      <x:c r="O543" t="str">
        <x:v>mtp</x:v>
      </x:c>
      <x:c r="P543" s="19" t="n">
        <x:v>438856</x:v>
      </x:c>
      <x:c r="Q543" s="21" t="n">
        <x:v>46241</x:v>
      </x:c>
      <x:c r="R543" s="22" t="n">
        <x:v>448277.03773584904</x:v>
      </x:c>
      <x:c r="S543" t="str">
        <x:v>dynamo-sglang</x:v>
      </x:c>
      <x:c r="T543" t="str">
        <x:v>dynamo-sglang</x:v>
      </x:c>
      <x:c r="U543" s="19" t="n">
        <x:v>13</x:v>
      </x:c>
      <x:c r="V543" s="19" t="n">
        <x:v>13</x:v>
      </x:c>
      <x:c r="W543" s="19" t="n">
        <x:v>12</x:v>
      </x:c>
      <x:c r="X543" t="str"/>
      <x:c r="Y543" s="23" t="str">
        <x:v>Preferred framework has a direct Pareto-eligible observation.</x:v>
      </x:c>
    </x:row>
    <x:row r="544">
      <x:c r="A544" t="str">
        <x:v>Qwen 3.5</x:v>
      </x:c>
      <x:c r="B544" t="str">
        <x:v>qwen3.5</x:v>
      </x:c>
      <x:c r="C544" t="str">
        <x:v>GB300</x:v>
      </x:c>
      <x:c r="D544" t="str">
        <x:v>direct</x:v>
      </x:c>
      <x:c r="E544" t="str">
        <x:v>agentic</x:v>
      </x:c>
      <x:c r="F544" s="19" t="n">
        <x:v>100</x:v>
      </x:c>
      <x:c r="G544" t="str">
        <x:v>dynamo-sglang</x:v>
      </x:c>
      <x:c r="H544" s="23" t="str">
        <x:v>DIRECT_PREFERRED</x:v>
      </x:c>
      <x:c r="I544" s="20" t="n">
        <x:v>386529.9339622641</x:v>
      </x:c>
      <x:c r="J544" s="20" t="n">
        <x:v>103.84215991692628</x:v>
      </x:c>
      <x:c r="K544" s="20" t="n">
        <x:v>72</x:v>
      </x:c>
      <x:c r="L544" s="20" t="n">
        <x:v>4</x:v>
      </x:c>
      <x:c r="M544" s="20" t="n">
        <x:v>18</x:v>
      </x:c>
      <x:c r="N544" t="str">
        <x:v>fp4</x:v>
      </x:c>
      <x:c r="O544" t="str">
        <x:v>mtp</x:v>
      </x:c>
      <x:c r="P544" s="19" t="n">
        <x:v>438852</x:v>
      </x:c>
      <x:c r="Q544" s="21" t="n">
        <x:v>46241</x:v>
      </x:c>
      <x:c r="R544" s="22" t="n">
        <x:v>386529.9339622641</x:v>
      </x:c>
      <x:c r="S544" t="str">
        <x:v>dynamo-sglang</x:v>
      </x:c>
      <x:c r="T544" t="str">
        <x:v>dynamo-sglang</x:v>
      </x:c>
      <x:c r="U544" s="19" t="n">
        <x:v>11</x:v>
      </x:c>
      <x:c r="V544" s="19" t="n">
        <x:v>11</x:v>
      </x:c>
      <x:c r="W544" s="19" t="n">
        <x:v>12</x:v>
      </x:c>
      <x:c r="X544" t="str"/>
      <x:c r="Y544" s="23" t="str">
        <x:v>Preferred framework has a direct Pareto-eligible observation.</x:v>
      </x:c>
    </x:row>
    <x:row r="545">
      <x:c r="A545" t="str">
        <x:v>Qwen 3.5</x:v>
      </x:c>
      <x:c r="B545" t="str">
        <x:v>qwen3.5</x:v>
      </x:c>
      <x:c r="C545" t="str">
        <x:v>R200</x:v>
      </x:c>
      <x:c r="D545" t="str">
        <x:v>future_scenario</x:v>
      </x:c>
      <x:c r="E545" t="str">
        <x:v>short</x:v>
      </x:c>
      <x:c r="F545" s="19" t="n">
        <x:v>30</x:v>
      </x:c>
      <x:c r="G545" t="str"/>
      <x:c r="H545" s="23" t="str">
        <x:v>GPU_SCALING_REQUIRED</x:v>
      </x:c>
      <x:c r="I545" s="20"/>
      <x:c r="J545" s="20"/>
      <x:c r="K545" s="20"/>
      <x:c r="L545" s="20"/>
      <x:c r="M545" s="20"/>
      <x:c r="N545" t="str"/>
      <x:c r="O545" t="str"/>
      <x:c r="P545" s="19"/>
      <x:c r="Q545" s="21" t="str"/>
      <x:c r="R545" s="22"/>
      <x:c r="S545" t="str"/>
      <x:c r="T545" t="str"/>
      <x:c r="U545" s="19" t="n">
        <x:v>0</x:v>
      </x:c>
      <x:c r="V545" s="19" t="n">
        <x:v>0</x:v>
      </x:c>
      <x:c r="W545" s="19" t="n">
        <x:v>0</x:v>
      </x:c>
      <x:c r="X545" t="str"/>
      <x:c r="Y545" s="23" t="str">
        <x:v>No InferenceX benchmark; future GPU scenario requires a separate GPU scaling layer.</x:v>
      </x:c>
    </x:row>
    <x:row r="546">
      <x:c r="A546" t="str">
        <x:v>Qwen 3.5</x:v>
      </x:c>
      <x:c r="B546" t="str">
        <x:v>qwen3.5</x:v>
      </x:c>
      <x:c r="C546" t="str">
        <x:v>R200</x:v>
      </x:c>
      <x:c r="D546" t="str">
        <x:v>future_scenario</x:v>
      </x:c>
      <x:c r="E546" t="str">
        <x:v>short</x:v>
      </x:c>
      <x:c r="F546" s="19" t="n">
        <x:v>50</x:v>
      </x:c>
      <x:c r="G546" t="str"/>
      <x:c r="H546" s="23" t="str">
        <x:v>GPU_SCALING_REQUIRED</x:v>
      </x:c>
      <x:c r="I546" s="20"/>
      <x:c r="J546" s="20"/>
      <x:c r="K546" s="20"/>
      <x:c r="L546" s="20"/>
      <x:c r="M546" s="20"/>
      <x:c r="N546" t="str"/>
      <x:c r="O546" t="str"/>
      <x:c r="P546" s="19"/>
      <x:c r="Q546" s="21" t="str"/>
      <x:c r="R546" s="22"/>
      <x:c r="S546" t="str"/>
      <x:c r="T546" t="str"/>
      <x:c r="U546" s="19" t="n">
        <x:v>0</x:v>
      </x:c>
      <x:c r="V546" s="19" t="n">
        <x:v>0</x:v>
      </x:c>
      <x:c r="W546" s="19" t="n">
        <x:v>0</x:v>
      </x:c>
      <x:c r="X546" t="str"/>
      <x:c r="Y546" s="23" t="str">
        <x:v>No InferenceX benchmark; future GPU scenario requires a separate GPU scaling layer.</x:v>
      </x:c>
    </x:row>
    <x:row r="547">
      <x:c r="A547" t="str">
        <x:v>Qwen 3.5</x:v>
      </x:c>
      <x:c r="B547" t="str">
        <x:v>qwen3.5</x:v>
      </x:c>
      <x:c r="C547" t="str">
        <x:v>R200</x:v>
      </x:c>
      <x:c r="D547" t="str">
        <x:v>future_scenario</x:v>
      </x:c>
      <x:c r="E547" t="str">
        <x:v>short</x:v>
      </x:c>
      <x:c r="F547" s="19" t="n">
        <x:v>70</x:v>
      </x:c>
      <x:c r="G547" t="str"/>
      <x:c r="H547" s="23" t="str">
        <x:v>GPU_SCALING_REQUIRED</x:v>
      </x:c>
      <x:c r="I547" s="20"/>
      <x:c r="J547" s="20"/>
      <x:c r="K547" s="20"/>
      <x:c r="L547" s="20"/>
      <x:c r="M547" s="20"/>
      <x:c r="N547" t="str"/>
      <x:c r="O547" t="str"/>
      <x:c r="P547" s="19"/>
      <x:c r="Q547" s="21" t="str"/>
      <x:c r="R547" s="22"/>
      <x:c r="S547" t="str"/>
      <x:c r="T547" t="str"/>
      <x:c r="U547" s="19" t="n">
        <x:v>0</x:v>
      </x:c>
      <x:c r="V547" s="19" t="n">
        <x:v>0</x:v>
      </x:c>
      <x:c r="W547" s="19" t="n">
        <x:v>0</x:v>
      </x:c>
      <x:c r="X547" t="str"/>
      <x:c r="Y547" s="23" t="str">
        <x:v>No InferenceX benchmark; future GPU scenario requires a separate GPU scaling layer.</x:v>
      </x:c>
    </x:row>
    <x:row r="548">
      <x:c r="A548" t="str">
        <x:v>Qwen 3.5</x:v>
      </x:c>
      <x:c r="B548" t="str">
        <x:v>qwen3.5</x:v>
      </x:c>
      <x:c r="C548" t="str">
        <x:v>R200</x:v>
      </x:c>
      <x:c r="D548" t="str">
        <x:v>future_scenario</x:v>
      </x:c>
      <x:c r="E548" t="str">
        <x:v>short</x:v>
      </x:c>
      <x:c r="F548" s="19" t="n">
        <x:v>100</x:v>
      </x:c>
      <x:c r="G548" t="str"/>
      <x:c r="H548" s="23" t="str">
        <x:v>GPU_SCALING_REQUIRED</x:v>
      </x:c>
      <x:c r="I548" s="20"/>
      <x:c r="J548" s="20"/>
      <x:c r="K548" s="20"/>
      <x:c r="L548" s="20"/>
      <x:c r="M548" s="20"/>
      <x:c r="N548" t="str"/>
      <x:c r="O548" t="str"/>
      <x:c r="P548" s="19"/>
      <x:c r="Q548" s="21" t="str"/>
      <x:c r="R548" s="22"/>
      <x:c r="S548" t="str"/>
      <x:c r="T548" t="str"/>
      <x:c r="U548" s="19" t="n">
        <x:v>0</x:v>
      </x:c>
      <x:c r="V548" s="19" t="n">
        <x:v>0</x:v>
      </x:c>
      <x:c r="W548" s="19" t="n">
        <x:v>0</x:v>
      </x:c>
      <x:c r="X548" t="str"/>
      <x:c r="Y548" s="23" t="str">
        <x:v>No InferenceX benchmark; future GPU scenario requires a separate GPU scaling layer.</x:v>
      </x:c>
    </x:row>
    <x:row r="549">
      <x:c r="A549" t="str">
        <x:v>Qwen 3.5</x:v>
      </x:c>
      <x:c r="B549" t="str">
        <x:v>qwen3.5</x:v>
      </x:c>
      <x:c r="C549" t="str">
        <x:v>R200</x:v>
      </x:c>
      <x:c r="D549" t="str">
        <x:v>future_scenario</x:v>
      </x:c>
      <x:c r="E549" t="str">
        <x:v>long</x:v>
      </x:c>
      <x:c r="F549" s="19" t="n">
        <x:v>30</x:v>
      </x:c>
      <x:c r="G549" t="str"/>
      <x:c r="H549" s="23" t="str">
        <x:v>GPU_SCALING_REQUIRED</x:v>
      </x:c>
      <x:c r="I549" s="20"/>
      <x:c r="J549" s="20"/>
      <x:c r="K549" s="20"/>
      <x:c r="L549" s="20"/>
      <x:c r="M549" s="20"/>
      <x:c r="N549" t="str"/>
      <x:c r="O549" t="str"/>
      <x:c r="P549" s="19"/>
      <x:c r="Q549" s="21" t="str"/>
      <x:c r="R549" s="22"/>
      <x:c r="S549" t="str"/>
      <x:c r="T549" t="str"/>
      <x:c r="U549" s="19" t="n">
        <x:v>0</x:v>
      </x:c>
      <x:c r="V549" s="19" t="n">
        <x:v>0</x:v>
      </x:c>
      <x:c r="W549" s="19" t="n">
        <x:v>0</x:v>
      </x:c>
      <x:c r="X549" t="str"/>
      <x:c r="Y549" s="23" t="str">
        <x:v>No InferenceX benchmark; future GPU scenario requires a separate GPU scaling layer.</x:v>
      </x:c>
    </x:row>
    <x:row r="550">
      <x:c r="A550" t="str">
        <x:v>Qwen 3.5</x:v>
      </x:c>
      <x:c r="B550" t="str">
        <x:v>qwen3.5</x:v>
      </x:c>
      <x:c r="C550" t="str">
        <x:v>R200</x:v>
      </x:c>
      <x:c r="D550" t="str">
        <x:v>future_scenario</x:v>
      </x:c>
      <x:c r="E550" t="str">
        <x:v>long</x:v>
      </x:c>
      <x:c r="F550" s="19" t="n">
        <x:v>50</x:v>
      </x:c>
      <x:c r="G550" t="str"/>
      <x:c r="H550" s="23" t="str">
        <x:v>GPU_SCALING_REQUIRED</x:v>
      </x:c>
      <x:c r="I550" s="20"/>
      <x:c r="J550" s="20"/>
      <x:c r="K550" s="20"/>
      <x:c r="L550" s="20"/>
      <x:c r="M550" s="20"/>
      <x:c r="N550" t="str"/>
      <x:c r="O550" t="str"/>
      <x:c r="P550" s="19"/>
      <x:c r="Q550" s="21" t="str"/>
      <x:c r="R550" s="22"/>
      <x:c r="S550" t="str"/>
      <x:c r="T550" t="str"/>
      <x:c r="U550" s="19" t="n">
        <x:v>0</x:v>
      </x:c>
      <x:c r="V550" s="19" t="n">
        <x:v>0</x:v>
      </x:c>
      <x:c r="W550" s="19" t="n">
        <x:v>0</x:v>
      </x:c>
      <x:c r="X550" t="str"/>
      <x:c r="Y550" s="23" t="str">
        <x:v>No InferenceX benchmark; future GPU scenario requires a separate GPU scaling layer.</x:v>
      </x:c>
    </x:row>
    <x:row r="551">
      <x:c r="A551" t="str">
        <x:v>Qwen 3.5</x:v>
      </x:c>
      <x:c r="B551" t="str">
        <x:v>qwen3.5</x:v>
      </x:c>
      <x:c r="C551" t="str">
        <x:v>R200</x:v>
      </x:c>
      <x:c r="D551" t="str">
        <x:v>future_scenario</x:v>
      </x:c>
      <x:c r="E551" t="str">
        <x:v>long</x:v>
      </x:c>
      <x:c r="F551" s="19" t="n">
        <x:v>70</x:v>
      </x:c>
      <x:c r="G551" t="str"/>
      <x:c r="H551" s="23" t="str">
        <x:v>GPU_SCALING_REQUIRED</x:v>
      </x:c>
      <x:c r="I551" s="20"/>
      <x:c r="J551" s="20"/>
      <x:c r="K551" s="20"/>
      <x:c r="L551" s="20"/>
      <x:c r="M551" s="20"/>
      <x:c r="N551" t="str"/>
      <x:c r="O551" t="str"/>
      <x:c r="P551" s="19"/>
      <x:c r="Q551" s="21" t="str"/>
      <x:c r="R551" s="22"/>
      <x:c r="S551" t="str"/>
      <x:c r="T551" t="str"/>
      <x:c r="U551" s="19" t="n">
        <x:v>0</x:v>
      </x:c>
      <x:c r="V551" s="19" t="n">
        <x:v>0</x:v>
      </x:c>
      <x:c r="W551" s="19" t="n">
        <x:v>0</x:v>
      </x:c>
      <x:c r="X551" t="str"/>
      <x:c r="Y551" s="23" t="str">
        <x:v>No InferenceX benchmark; future GPU scenario requires a separate GPU scaling layer.</x:v>
      </x:c>
    </x:row>
    <x:row r="552">
      <x:c r="A552" t="str">
        <x:v>Qwen 3.5</x:v>
      </x:c>
      <x:c r="B552" t="str">
        <x:v>qwen3.5</x:v>
      </x:c>
      <x:c r="C552" t="str">
        <x:v>R200</x:v>
      </x:c>
      <x:c r="D552" t="str">
        <x:v>future_scenario</x:v>
      </x:c>
      <x:c r="E552" t="str">
        <x:v>long</x:v>
      </x:c>
      <x:c r="F552" s="19" t="n">
        <x:v>100</x:v>
      </x:c>
      <x:c r="G552" t="str"/>
      <x:c r="H552" s="23" t="str">
        <x:v>GPU_SCALING_REQUIRED</x:v>
      </x:c>
      <x:c r="I552" s="20"/>
      <x:c r="J552" s="20"/>
      <x:c r="K552" s="20"/>
      <x:c r="L552" s="20"/>
      <x:c r="M552" s="20"/>
      <x:c r="N552" t="str"/>
      <x:c r="O552" t="str"/>
      <x:c r="P552" s="19"/>
      <x:c r="Q552" s="21" t="str"/>
      <x:c r="R552" s="22"/>
      <x:c r="S552" t="str"/>
      <x:c r="T552" t="str"/>
      <x:c r="U552" s="19" t="n">
        <x:v>0</x:v>
      </x:c>
      <x:c r="V552" s="19" t="n">
        <x:v>0</x:v>
      </x:c>
      <x:c r="W552" s="19" t="n">
        <x:v>0</x:v>
      </x:c>
      <x:c r="X552" t="str"/>
      <x:c r="Y552" s="23" t="str">
        <x:v>No InferenceX benchmark; future GPU scenario requires a separate GPU scaling layer.</x:v>
      </x:c>
    </x:row>
    <x:row r="553">
      <x:c r="A553" t="str">
        <x:v>Qwen 3.5</x:v>
      </x:c>
      <x:c r="B553" t="str">
        <x:v>qwen3.5</x:v>
      </x:c>
      <x:c r="C553" t="str">
        <x:v>R200</x:v>
      </x:c>
      <x:c r="D553" t="str">
        <x:v>future_scenario</x:v>
      </x:c>
      <x:c r="E553" t="str">
        <x:v>agentic</x:v>
      </x:c>
      <x:c r="F553" s="19" t="n">
        <x:v>30</x:v>
      </x:c>
      <x:c r="G553" t="str"/>
      <x:c r="H553" s="23" t="str">
        <x:v>GPU_SCALING_REQUIRED</x:v>
      </x:c>
      <x:c r="I553" s="20"/>
      <x:c r="J553" s="20"/>
      <x:c r="K553" s="20"/>
      <x:c r="L553" s="20"/>
      <x:c r="M553" s="20"/>
      <x:c r="N553" t="str"/>
      <x:c r="O553" t="str"/>
      <x:c r="P553" s="19"/>
      <x:c r="Q553" s="21" t="str"/>
      <x:c r="R553" s="22"/>
      <x:c r="S553" t="str"/>
      <x:c r="T553" t="str"/>
      <x:c r="U553" s="19" t="n">
        <x:v>0</x:v>
      </x:c>
      <x:c r="V553" s="19" t="n">
        <x:v>0</x:v>
      </x:c>
      <x:c r="W553" s="19" t="n">
        <x:v>0</x:v>
      </x:c>
      <x:c r="X553" t="str"/>
      <x:c r="Y553" s="23" t="str">
        <x:v>No InferenceX benchmark; future GPU scenario requires a separate GPU scaling layer.</x:v>
      </x:c>
    </x:row>
    <x:row r="554">
      <x:c r="A554" t="str">
        <x:v>Qwen 3.5</x:v>
      </x:c>
      <x:c r="B554" t="str">
        <x:v>qwen3.5</x:v>
      </x:c>
      <x:c r="C554" t="str">
        <x:v>R200</x:v>
      </x:c>
      <x:c r="D554" t="str">
        <x:v>future_scenario</x:v>
      </x:c>
      <x:c r="E554" t="str">
        <x:v>agentic</x:v>
      </x:c>
      <x:c r="F554" s="19" t="n">
        <x:v>50</x:v>
      </x:c>
      <x:c r="G554" t="str"/>
      <x:c r="H554" s="23" t="str">
        <x:v>GPU_SCALING_REQUIRED</x:v>
      </x:c>
      <x:c r="I554" s="20"/>
      <x:c r="J554" s="20"/>
      <x:c r="K554" s="20"/>
      <x:c r="L554" s="20"/>
      <x:c r="M554" s="20"/>
      <x:c r="N554" t="str"/>
      <x:c r="O554" t="str"/>
      <x:c r="P554" s="19"/>
      <x:c r="Q554" s="21" t="str"/>
      <x:c r="R554" s="22"/>
      <x:c r="S554" t="str"/>
      <x:c r="T554" t="str"/>
      <x:c r="U554" s="19" t="n">
        <x:v>0</x:v>
      </x:c>
      <x:c r="V554" s="19" t="n">
        <x:v>0</x:v>
      </x:c>
      <x:c r="W554" s="19" t="n">
        <x:v>0</x:v>
      </x:c>
      <x:c r="X554" t="str"/>
      <x:c r="Y554" s="23" t="str">
        <x:v>No InferenceX benchmark; future GPU scenario requires a separate GPU scaling layer.</x:v>
      </x:c>
    </x:row>
    <x:row r="555">
      <x:c r="A555" t="str">
        <x:v>Qwen 3.5</x:v>
      </x:c>
      <x:c r="B555" t="str">
        <x:v>qwen3.5</x:v>
      </x:c>
      <x:c r="C555" t="str">
        <x:v>R200</x:v>
      </x:c>
      <x:c r="D555" t="str">
        <x:v>future_scenario</x:v>
      </x:c>
      <x:c r="E555" t="str">
        <x:v>agentic</x:v>
      </x:c>
      <x:c r="F555" s="19" t="n">
        <x:v>70</x:v>
      </x:c>
      <x:c r="G555" t="str"/>
      <x:c r="H555" s="23" t="str">
        <x:v>GPU_SCALING_REQUIRED</x:v>
      </x:c>
      <x:c r="I555" s="20"/>
      <x:c r="J555" s="20"/>
      <x:c r="K555" s="20"/>
      <x:c r="L555" s="20"/>
      <x:c r="M555" s="20"/>
      <x:c r="N555" t="str"/>
      <x:c r="O555" t="str"/>
      <x:c r="P555" s="19"/>
      <x:c r="Q555" s="21" t="str"/>
      <x:c r="R555" s="22"/>
      <x:c r="S555" t="str"/>
      <x:c r="T555" t="str"/>
      <x:c r="U555" s="19" t="n">
        <x:v>0</x:v>
      </x:c>
      <x:c r="V555" s="19" t="n">
        <x:v>0</x:v>
      </x:c>
      <x:c r="W555" s="19" t="n">
        <x:v>0</x:v>
      </x:c>
      <x:c r="X555" t="str"/>
      <x:c r="Y555" s="23" t="str">
        <x:v>No InferenceX benchmark; future GPU scenario requires a separate GPU scaling layer.</x:v>
      </x:c>
    </x:row>
    <x:row r="556">
      <x:c r="A556" t="str">
        <x:v>Qwen 3.5</x:v>
      </x:c>
      <x:c r="B556" t="str">
        <x:v>qwen3.5</x:v>
      </x:c>
      <x:c r="C556" t="str">
        <x:v>R200</x:v>
      </x:c>
      <x:c r="D556" t="str">
        <x:v>future_scenario</x:v>
      </x:c>
      <x:c r="E556" t="str">
        <x:v>agentic</x:v>
      </x:c>
      <x:c r="F556" s="19" t="n">
        <x:v>100</x:v>
      </x:c>
      <x:c r="G556" t="str"/>
      <x:c r="H556" s="23" t="str">
        <x:v>GPU_SCALING_REQUIRED</x:v>
      </x:c>
      <x:c r="I556" s="20"/>
      <x:c r="J556" s="20"/>
      <x:c r="K556" s="20"/>
      <x:c r="L556" s="20"/>
      <x:c r="M556" s="20"/>
      <x:c r="N556" t="str"/>
      <x:c r="O556" t="str"/>
      <x:c r="P556" s="19"/>
      <x:c r="Q556" s="21" t="str"/>
      <x:c r="R556" s="22"/>
      <x:c r="S556" t="str"/>
      <x:c r="T556" t="str"/>
      <x:c r="U556" s="19" t="n">
        <x:v>0</x:v>
      </x:c>
      <x:c r="V556" s="19" t="n">
        <x:v>0</x:v>
      </x:c>
      <x:c r="W556" s="19" t="n">
        <x:v>0</x:v>
      </x:c>
      <x:c r="X556" t="str"/>
      <x:c r="Y556" s="23" t="str">
        <x:v>No InferenceX benchmark; future GPU scenario requires a separate GPU scaling layer.</x:v>
      </x:c>
    </x:row>
    <x:row r="557">
      <x:c r="A557" t="str">
        <x:v>Qwen 3.5</x:v>
      </x:c>
      <x:c r="B557" t="str">
        <x:v>qwen3.5</x:v>
      </x:c>
      <x:c r="C557" t="str">
        <x:v>VR200</x:v>
      </x:c>
      <x:c r="D557" t="str">
        <x:v>future_scenario</x:v>
      </x:c>
      <x:c r="E557" t="str">
        <x:v>short</x:v>
      </x:c>
      <x:c r="F557" s="19" t="n">
        <x:v>30</x:v>
      </x:c>
      <x:c r="G557" t="str"/>
      <x:c r="H557" s="23" t="str">
        <x:v>GPU_SCALING_REQUIRED</x:v>
      </x:c>
      <x:c r="I557" s="20"/>
      <x:c r="J557" s="20"/>
      <x:c r="K557" s="20"/>
      <x:c r="L557" s="20"/>
      <x:c r="M557" s="20"/>
      <x:c r="N557" t="str"/>
      <x:c r="O557" t="str"/>
      <x:c r="P557" s="19"/>
      <x:c r="Q557" s="21" t="str"/>
      <x:c r="R557" s="22"/>
      <x:c r="S557" t="str"/>
      <x:c r="T557" t="str"/>
      <x:c r="U557" s="19" t="n">
        <x:v>0</x:v>
      </x:c>
      <x:c r="V557" s="19" t="n">
        <x:v>0</x:v>
      </x:c>
      <x:c r="W557" s="19" t="n">
        <x:v>0</x:v>
      </x:c>
      <x:c r="X557" t="str"/>
      <x:c r="Y557" s="23" t="str">
        <x:v>No InferenceX benchmark; future GPU scenario requires a separate GPU scaling layer.</x:v>
      </x:c>
    </x:row>
    <x:row r="558">
      <x:c r="A558" t="str">
        <x:v>Qwen 3.5</x:v>
      </x:c>
      <x:c r="B558" t="str">
        <x:v>qwen3.5</x:v>
      </x:c>
      <x:c r="C558" t="str">
        <x:v>VR200</x:v>
      </x:c>
      <x:c r="D558" t="str">
        <x:v>future_scenario</x:v>
      </x:c>
      <x:c r="E558" t="str">
        <x:v>short</x:v>
      </x:c>
      <x:c r="F558" s="19" t="n">
        <x:v>50</x:v>
      </x:c>
      <x:c r="G558" t="str"/>
      <x:c r="H558" s="23" t="str">
        <x:v>GPU_SCALING_REQUIRED</x:v>
      </x:c>
      <x:c r="I558" s="20"/>
      <x:c r="J558" s="20"/>
      <x:c r="K558" s="20"/>
      <x:c r="L558" s="20"/>
      <x:c r="M558" s="20"/>
      <x:c r="N558" t="str"/>
      <x:c r="O558" t="str"/>
      <x:c r="P558" s="19"/>
      <x:c r="Q558" s="21" t="str"/>
      <x:c r="R558" s="22"/>
      <x:c r="S558" t="str"/>
      <x:c r="T558" t="str"/>
      <x:c r="U558" s="19" t="n">
        <x:v>0</x:v>
      </x:c>
      <x:c r="V558" s="19" t="n">
        <x:v>0</x:v>
      </x:c>
      <x:c r="W558" s="19" t="n">
        <x:v>0</x:v>
      </x:c>
      <x:c r="X558" t="str"/>
      <x:c r="Y558" s="23" t="str">
        <x:v>No InferenceX benchmark; future GPU scenario requires a separate GPU scaling layer.</x:v>
      </x:c>
    </x:row>
    <x:row r="559">
      <x:c r="A559" t="str">
        <x:v>Qwen 3.5</x:v>
      </x:c>
      <x:c r="B559" t="str">
        <x:v>qwen3.5</x:v>
      </x:c>
      <x:c r="C559" t="str">
        <x:v>VR200</x:v>
      </x:c>
      <x:c r="D559" t="str">
        <x:v>future_scenario</x:v>
      </x:c>
      <x:c r="E559" t="str">
        <x:v>short</x:v>
      </x:c>
      <x:c r="F559" s="19" t="n">
        <x:v>70</x:v>
      </x:c>
      <x:c r="G559" t="str"/>
      <x:c r="H559" s="23" t="str">
        <x:v>GPU_SCALING_REQUIRED</x:v>
      </x:c>
      <x:c r="I559" s="20"/>
      <x:c r="J559" s="20"/>
      <x:c r="K559" s="20"/>
      <x:c r="L559" s="20"/>
      <x:c r="M559" s="20"/>
      <x:c r="N559" t="str"/>
      <x:c r="O559" t="str"/>
      <x:c r="P559" s="19"/>
      <x:c r="Q559" s="21" t="str"/>
      <x:c r="R559" s="22"/>
      <x:c r="S559" t="str"/>
      <x:c r="T559" t="str"/>
      <x:c r="U559" s="19" t="n">
        <x:v>0</x:v>
      </x:c>
      <x:c r="V559" s="19" t="n">
        <x:v>0</x:v>
      </x:c>
      <x:c r="W559" s="19" t="n">
        <x:v>0</x:v>
      </x:c>
      <x:c r="X559" t="str"/>
      <x:c r="Y559" s="23" t="str">
        <x:v>No InferenceX benchmark; future GPU scenario requires a separate GPU scaling layer.</x:v>
      </x:c>
    </x:row>
    <x:row r="560">
      <x:c r="A560" t="str">
        <x:v>Qwen 3.5</x:v>
      </x:c>
      <x:c r="B560" t="str">
        <x:v>qwen3.5</x:v>
      </x:c>
      <x:c r="C560" t="str">
        <x:v>VR200</x:v>
      </x:c>
      <x:c r="D560" t="str">
        <x:v>future_scenario</x:v>
      </x:c>
      <x:c r="E560" t="str">
        <x:v>short</x:v>
      </x:c>
      <x:c r="F560" s="19" t="n">
        <x:v>100</x:v>
      </x:c>
      <x:c r="G560" t="str"/>
      <x:c r="H560" s="23" t="str">
        <x:v>GPU_SCALING_REQUIRED</x:v>
      </x:c>
      <x:c r="I560" s="20"/>
      <x:c r="J560" s="20"/>
      <x:c r="K560" s="20"/>
      <x:c r="L560" s="20"/>
      <x:c r="M560" s="20"/>
      <x:c r="N560" t="str"/>
      <x:c r="O560" t="str"/>
      <x:c r="P560" s="19"/>
      <x:c r="Q560" s="21" t="str"/>
      <x:c r="R560" s="22"/>
      <x:c r="S560" t="str"/>
      <x:c r="T560" t="str"/>
      <x:c r="U560" s="19" t="n">
        <x:v>0</x:v>
      </x:c>
      <x:c r="V560" s="19" t="n">
        <x:v>0</x:v>
      </x:c>
      <x:c r="W560" s="19" t="n">
        <x:v>0</x:v>
      </x:c>
      <x:c r="X560" t="str"/>
      <x:c r="Y560" s="23" t="str">
        <x:v>No InferenceX benchmark; future GPU scenario requires a separate GPU scaling layer.</x:v>
      </x:c>
    </x:row>
    <x:row r="561">
      <x:c r="A561" t="str">
        <x:v>Qwen 3.5</x:v>
      </x:c>
      <x:c r="B561" t="str">
        <x:v>qwen3.5</x:v>
      </x:c>
      <x:c r="C561" t="str">
        <x:v>VR200</x:v>
      </x:c>
      <x:c r="D561" t="str">
        <x:v>future_scenario</x:v>
      </x:c>
      <x:c r="E561" t="str">
        <x:v>long</x:v>
      </x:c>
      <x:c r="F561" s="19" t="n">
        <x:v>30</x:v>
      </x:c>
      <x:c r="G561" t="str"/>
      <x:c r="H561" s="23" t="str">
        <x:v>GPU_SCALING_REQUIRED</x:v>
      </x:c>
      <x:c r="I561" s="20"/>
      <x:c r="J561" s="20"/>
      <x:c r="K561" s="20"/>
      <x:c r="L561" s="20"/>
      <x:c r="M561" s="20"/>
      <x:c r="N561" t="str"/>
      <x:c r="O561" t="str"/>
      <x:c r="P561" s="19"/>
      <x:c r="Q561" s="21" t="str"/>
      <x:c r="R561" s="22"/>
      <x:c r="S561" t="str"/>
      <x:c r="T561" t="str"/>
      <x:c r="U561" s="19" t="n">
        <x:v>0</x:v>
      </x:c>
      <x:c r="V561" s="19" t="n">
        <x:v>0</x:v>
      </x:c>
      <x:c r="W561" s="19" t="n">
        <x:v>0</x:v>
      </x:c>
      <x:c r="X561" t="str"/>
      <x:c r="Y561" s="23" t="str">
        <x:v>No InferenceX benchmark; future GPU scenario requires a separate GPU scaling layer.</x:v>
      </x:c>
    </x:row>
    <x:row r="562">
      <x:c r="A562" t="str">
        <x:v>Qwen 3.5</x:v>
      </x:c>
      <x:c r="B562" t="str">
        <x:v>qwen3.5</x:v>
      </x:c>
      <x:c r="C562" t="str">
        <x:v>VR200</x:v>
      </x:c>
      <x:c r="D562" t="str">
        <x:v>future_scenario</x:v>
      </x:c>
      <x:c r="E562" t="str">
        <x:v>long</x:v>
      </x:c>
      <x:c r="F562" s="19" t="n">
        <x:v>50</x:v>
      </x:c>
      <x:c r="G562" t="str"/>
      <x:c r="H562" s="23" t="str">
        <x:v>GPU_SCALING_REQUIRED</x:v>
      </x:c>
      <x:c r="I562" s="20"/>
      <x:c r="J562" s="20"/>
      <x:c r="K562" s="20"/>
      <x:c r="L562" s="20"/>
      <x:c r="M562" s="20"/>
      <x:c r="N562" t="str"/>
      <x:c r="O562" t="str"/>
      <x:c r="P562" s="19"/>
      <x:c r="Q562" s="21" t="str"/>
      <x:c r="R562" s="22"/>
      <x:c r="S562" t="str"/>
      <x:c r="T562" t="str"/>
      <x:c r="U562" s="19" t="n">
        <x:v>0</x:v>
      </x:c>
      <x:c r="V562" s="19" t="n">
        <x:v>0</x:v>
      </x:c>
      <x:c r="W562" s="19" t="n">
        <x:v>0</x:v>
      </x:c>
      <x:c r="X562" t="str"/>
      <x:c r="Y562" s="23" t="str">
        <x:v>No InferenceX benchmark; future GPU scenario requires a separate GPU scaling layer.</x:v>
      </x:c>
    </x:row>
    <x:row r="563">
      <x:c r="A563" t="str">
        <x:v>Qwen 3.5</x:v>
      </x:c>
      <x:c r="B563" t="str">
        <x:v>qwen3.5</x:v>
      </x:c>
      <x:c r="C563" t="str">
        <x:v>VR200</x:v>
      </x:c>
      <x:c r="D563" t="str">
        <x:v>future_scenario</x:v>
      </x:c>
      <x:c r="E563" t="str">
        <x:v>long</x:v>
      </x:c>
      <x:c r="F563" s="19" t="n">
        <x:v>70</x:v>
      </x:c>
      <x:c r="G563" t="str"/>
      <x:c r="H563" s="23" t="str">
        <x:v>GPU_SCALING_REQUIRED</x:v>
      </x:c>
      <x:c r="I563" s="20"/>
      <x:c r="J563" s="20"/>
      <x:c r="K563" s="20"/>
      <x:c r="L563" s="20"/>
      <x:c r="M563" s="20"/>
      <x:c r="N563" t="str"/>
      <x:c r="O563" t="str"/>
      <x:c r="P563" s="19"/>
      <x:c r="Q563" s="21" t="str"/>
      <x:c r="R563" s="22"/>
      <x:c r="S563" t="str"/>
      <x:c r="T563" t="str"/>
      <x:c r="U563" s="19" t="n">
        <x:v>0</x:v>
      </x:c>
      <x:c r="V563" s="19" t="n">
        <x:v>0</x:v>
      </x:c>
      <x:c r="W563" s="19" t="n">
        <x:v>0</x:v>
      </x:c>
      <x:c r="X563" t="str"/>
      <x:c r="Y563" s="23" t="str">
        <x:v>No InferenceX benchmark; future GPU scenario requires a separate GPU scaling layer.</x:v>
      </x:c>
    </x:row>
    <x:row r="564">
      <x:c r="A564" t="str">
        <x:v>Qwen 3.5</x:v>
      </x:c>
      <x:c r="B564" t="str">
        <x:v>qwen3.5</x:v>
      </x:c>
      <x:c r="C564" t="str">
        <x:v>VR200</x:v>
      </x:c>
      <x:c r="D564" t="str">
        <x:v>future_scenario</x:v>
      </x:c>
      <x:c r="E564" t="str">
        <x:v>long</x:v>
      </x:c>
      <x:c r="F564" s="19" t="n">
        <x:v>100</x:v>
      </x:c>
      <x:c r="G564" t="str"/>
      <x:c r="H564" s="23" t="str">
        <x:v>GPU_SCALING_REQUIRED</x:v>
      </x:c>
      <x:c r="I564" s="20"/>
      <x:c r="J564" s="20"/>
      <x:c r="K564" s="20"/>
      <x:c r="L564" s="20"/>
      <x:c r="M564" s="20"/>
      <x:c r="N564" t="str"/>
      <x:c r="O564" t="str"/>
      <x:c r="P564" s="19"/>
      <x:c r="Q564" s="21" t="str"/>
      <x:c r="R564" s="22"/>
      <x:c r="S564" t="str"/>
      <x:c r="T564" t="str"/>
      <x:c r="U564" s="19" t="n">
        <x:v>0</x:v>
      </x:c>
      <x:c r="V564" s="19" t="n">
        <x:v>0</x:v>
      </x:c>
      <x:c r="W564" s="19" t="n">
        <x:v>0</x:v>
      </x:c>
      <x:c r="X564" t="str"/>
      <x:c r="Y564" s="23" t="str">
        <x:v>No InferenceX benchmark; future GPU scenario requires a separate GPU scaling layer.</x:v>
      </x:c>
    </x:row>
    <x:row r="565">
      <x:c r="A565" t="str">
        <x:v>Qwen 3.5</x:v>
      </x:c>
      <x:c r="B565" t="str">
        <x:v>qwen3.5</x:v>
      </x:c>
      <x:c r="C565" t="str">
        <x:v>VR200</x:v>
      </x:c>
      <x:c r="D565" t="str">
        <x:v>future_scenario</x:v>
      </x:c>
      <x:c r="E565" t="str">
        <x:v>agentic</x:v>
      </x:c>
      <x:c r="F565" s="19" t="n">
        <x:v>30</x:v>
      </x:c>
      <x:c r="G565" t="str"/>
      <x:c r="H565" s="23" t="str">
        <x:v>GPU_SCALING_REQUIRED</x:v>
      </x:c>
      <x:c r="I565" s="20"/>
      <x:c r="J565" s="20"/>
      <x:c r="K565" s="20"/>
      <x:c r="L565" s="20"/>
      <x:c r="M565" s="20"/>
      <x:c r="N565" t="str"/>
      <x:c r="O565" t="str"/>
      <x:c r="P565" s="19"/>
      <x:c r="Q565" s="21" t="str"/>
      <x:c r="R565" s="22"/>
      <x:c r="S565" t="str"/>
      <x:c r="T565" t="str"/>
      <x:c r="U565" s="19" t="n">
        <x:v>0</x:v>
      </x:c>
      <x:c r="V565" s="19" t="n">
        <x:v>0</x:v>
      </x:c>
      <x:c r="W565" s="19" t="n">
        <x:v>0</x:v>
      </x:c>
      <x:c r="X565" t="str"/>
      <x:c r="Y565" s="23" t="str">
        <x:v>No InferenceX benchmark; future GPU scenario requires a separate GPU scaling layer.</x:v>
      </x:c>
    </x:row>
    <x:row r="566">
      <x:c r="A566" t="str">
        <x:v>Qwen 3.5</x:v>
      </x:c>
      <x:c r="B566" t="str">
        <x:v>qwen3.5</x:v>
      </x:c>
      <x:c r="C566" t="str">
        <x:v>VR200</x:v>
      </x:c>
      <x:c r="D566" t="str">
        <x:v>future_scenario</x:v>
      </x:c>
      <x:c r="E566" t="str">
        <x:v>agentic</x:v>
      </x:c>
      <x:c r="F566" s="19" t="n">
        <x:v>50</x:v>
      </x:c>
      <x:c r="G566" t="str"/>
      <x:c r="H566" s="23" t="str">
        <x:v>GPU_SCALING_REQUIRED</x:v>
      </x:c>
      <x:c r="I566" s="20"/>
      <x:c r="J566" s="20"/>
      <x:c r="K566" s="20"/>
      <x:c r="L566" s="20"/>
      <x:c r="M566" s="20"/>
      <x:c r="N566" t="str"/>
      <x:c r="O566" t="str"/>
      <x:c r="P566" s="19"/>
      <x:c r="Q566" s="21" t="str"/>
      <x:c r="R566" s="22"/>
      <x:c r="S566" t="str"/>
      <x:c r="T566" t="str"/>
      <x:c r="U566" s="19" t="n">
        <x:v>0</x:v>
      </x:c>
      <x:c r="V566" s="19" t="n">
        <x:v>0</x:v>
      </x:c>
      <x:c r="W566" s="19" t="n">
        <x:v>0</x:v>
      </x:c>
      <x:c r="X566" t="str"/>
      <x:c r="Y566" s="23" t="str">
        <x:v>No InferenceX benchmark; future GPU scenario requires a separate GPU scaling layer.</x:v>
      </x:c>
    </x:row>
    <x:row r="567">
      <x:c r="A567" t="str">
        <x:v>Qwen 3.5</x:v>
      </x:c>
      <x:c r="B567" t="str">
        <x:v>qwen3.5</x:v>
      </x:c>
      <x:c r="C567" t="str">
        <x:v>VR200</x:v>
      </x:c>
      <x:c r="D567" t="str">
        <x:v>future_scenario</x:v>
      </x:c>
      <x:c r="E567" t="str">
        <x:v>agentic</x:v>
      </x:c>
      <x:c r="F567" s="19" t="n">
        <x:v>70</x:v>
      </x:c>
      <x:c r="G567" t="str"/>
      <x:c r="H567" s="23" t="str">
        <x:v>GPU_SCALING_REQUIRED</x:v>
      </x:c>
      <x:c r="I567" s="20"/>
      <x:c r="J567" s="20"/>
      <x:c r="K567" s="20"/>
      <x:c r="L567" s="20"/>
      <x:c r="M567" s="20"/>
      <x:c r="N567" t="str"/>
      <x:c r="O567" t="str"/>
      <x:c r="P567" s="19"/>
      <x:c r="Q567" s="21" t="str"/>
      <x:c r="R567" s="22"/>
      <x:c r="S567" t="str"/>
      <x:c r="T567" t="str"/>
      <x:c r="U567" s="19" t="n">
        <x:v>0</x:v>
      </x:c>
      <x:c r="V567" s="19" t="n">
        <x:v>0</x:v>
      </x:c>
      <x:c r="W567" s="19" t="n">
        <x:v>0</x:v>
      </x:c>
      <x:c r="X567" t="str"/>
      <x:c r="Y567" s="23" t="str">
        <x:v>No InferenceX benchmark; future GPU scenario requires a separate GPU scaling layer.</x:v>
      </x:c>
    </x:row>
    <x:row r="568">
      <x:c r="A568" t="str">
        <x:v>Qwen 3.5</x:v>
      </x:c>
      <x:c r="B568" t="str">
        <x:v>qwen3.5</x:v>
      </x:c>
      <x:c r="C568" t="str">
        <x:v>VR200</x:v>
      </x:c>
      <x:c r="D568" t="str">
        <x:v>future_scenario</x:v>
      </x:c>
      <x:c r="E568" t="str">
        <x:v>agentic</x:v>
      </x:c>
      <x:c r="F568" s="19" t="n">
        <x:v>100</x:v>
      </x:c>
      <x:c r="G568" t="str"/>
      <x:c r="H568" s="23" t="str">
        <x:v>GPU_SCALING_REQUIRED</x:v>
      </x:c>
      <x:c r="I568" s="20"/>
      <x:c r="J568" s="20"/>
      <x:c r="K568" s="20"/>
      <x:c r="L568" s="20"/>
      <x:c r="M568" s="20"/>
      <x:c r="N568" t="str"/>
      <x:c r="O568" t="str"/>
      <x:c r="P568" s="19"/>
      <x:c r="Q568" s="21" t="str"/>
      <x:c r="R568" s="22"/>
      <x:c r="S568" t="str"/>
      <x:c r="T568" t="str"/>
      <x:c r="U568" s="19" t="n">
        <x:v>0</x:v>
      </x:c>
      <x:c r="V568" s="19" t="n">
        <x:v>0</x:v>
      </x:c>
      <x:c r="W568" s="19" t="n">
        <x:v>0</x:v>
      </x:c>
      <x:c r="X568" t="str"/>
      <x:c r="Y568" s="23" t="str">
        <x:v>No InferenceX benchmark; future GPU scenario requires a separate GPU scaling layer.</x:v>
      </x:c>
    </x:row>
    <x:row r="569">
      <x:c r="A569" t="str">
        <x:v>Qwen 3.5</x:v>
      </x:c>
      <x:c r="B569" t="str">
        <x:v>qwen3.5</x:v>
      </x:c>
      <x:c r="C569" t="str">
        <x:v>R300</x:v>
      </x:c>
      <x:c r="D569" t="str">
        <x:v>future_scenario</x:v>
      </x:c>
      <x:c r="E569" t="str">
        <x:v>short</x:v>
      </x:c>
      <x:c r="F569" s="19" t="n">
        <x:v>30</x:v>
      </x:c>
      <x:c r="G569" t="str"/>
      <x:c r="H569" s="23" t="str">
        <x:v>GPU_SCALING_REQUIRED</x:v>
      </x:c>
      <x:c r="I569" s="20"/>
      <x:c r="J569" s="20"/>
      <x:c r="K569" s="20"/>
      <x:c r="L569" s="20"/>
      <x:c r="M569" s="20"/>
      <x:c r="N569" t="str"/>
      <x:c r="O569" t="str"/>
      <x:c r="P569" s="19"/>
      <x:c r="Q569" s="21" t="str"/>
      <x:c r="R569" s="22"/>
      <x:c r="S569" t="str"/>
      <x:c r="T569" t="str"/>
      <x:c r="U569" s="19" t="n">
        <x:v>0</x:v>
      </x:c>
      <x:c r="V569" s="19" t="n">
        <x:v>0</x:v>
      </x:c>
      <x:c r="W569" s="19" t="n">
        <x:v>0</x:v>
      </x:c>
      <x:c r="X569" t="str"/>
      <x:c r="Y569" s="23" t="str">
        <x:v>No InferenceX benchmark; future GPU scenario requires a separate GPU scaling layer.</x:v>
      </x:c>
    </x:row>
    <x:row r="570">
      <x:c r="A570" t="str">
        <x:v>Qwen 3.5</x:v>
      </x:c>
      <x:c r="B570" t="str">
        <x:v>qwen3.5</x:v>
      </x:c>
      <x:c r="C570" t="str">
        <x:v>R300</x:v>
      </x:c>
      <x:c r="D570" t="str">
        <x:v>future_scenario</x:v>
      </x:c>
      <x:c r="E570" t="str">
        <x:v>short</x:v>
      </x:c>
      <x:c r="F570" s="19" t="n">
        <x:v>50</x:v>
      </x:c>
      <x:c r="G570" t="str"/>
      <x:c r="H570" s="23" t="str">
        <x:v>GPU_SCALING_REQUIRED</x:v>
      </x:c>
      <x:c r="I570" s="20"/>
      <x:c r="J570" s="20"/>
      <x:c r="K570" s="20"/>
      <x:c r="L570" s="20"/>
      <x:c r="M570" s="20"/>
      <x:c r="N570" t="str"/>
      <x:c r="O570" t="str"/>
      <x:c r="P570" s="19"/>
      <x:c r="Q570" s="21" t="str"/>
      <x:c r="R570" s="22"/>
      <x:c r="S570" t="str"/>
      <x:c r="T570" t="str"/>
      <x:c r="U570" s="19" t="n">
        <x:v>0</x:v>
      </x:c>
      <x:c r="V570" s="19" t="n">
        <x:v>0</x:v>
      </x:c>
      <x:c r="W570" s="19" t="n">
        <x:v>0</x:v>
      </x:c>
      <x:c r="X570" t="str"/>
      <x:c r="Y570" s="23" t="str">
        <x:v>No InferenceX benchmark; future GPU scenario requires a separate GPU scaling layer.</x:v>
      </x:c>
    </x:row>
    <x:row r="571">
      <x:c r="A571" t="str">
        <x:v>Qwen 3.5</x:v>
      </x:c>
      <x:c r="B571" t="str">
        <x:v>qwen3.5</x:v>
      </x:c>
      <x:c r="C571" t="str">
        <x:v>R300</x:v>
      </x:c>
      <x:c r="D571" t="str">
        <x:v>future_scenario</x:v>
      </x:c>
      <x:c r="E571" t="str">
        <x:v>short</x:v>
      </x:c>
      <x:c r="F571" s="19" t="n">
        <x:v>70</x:v>
      </x:c>
      <x:c r="G571" t="str"/>
      <x:c r="H571" s="23" t="str">
        <x:v>GPU_SCALING_REQUIRED</x:v>
      </x:c>
      <x:c r="I571" s="20"/>
      <x:c r="J571" s="20"/>
      <x:c r="K571" s="20"/>
      <x:c r="L571" s="20"/>
      <x:c r="M571" s="20"/>
      <x:c r="N571" t="str"/>
      <x:c r="O571" t="str"/>
      <x:c r="P571" s="19"/>
      <x:c r="Q571" s="21" t="str"/>
      <x:c r="R571" s="22"/>
      <x:c r="S571" t="str"/>
      <x:c r="T571" t="str"/>
      <x:c r="U571" s="19" t="n">
        <x:v>0</x:v>
      </x:c>
      <x:c r="V571" s="19" t="n">
        <x:v>0</x:v>
      </x:c>
      <x:c r="W571" s="19" t="n">
        <x:v>0</x:v>
      </x:c>
      <x:c r="X571" t="str"/>
      <x:c r="Y571" s="23" t="str">
        <x:v>No InferenceX benchmark; future GPU scenario requires a separate GPU scaling layer.</x:v>
      </x:c>
    </x:row>
    <x:row r="572">
      <x:c r="A572" t="str">
        <x:v>Qwen 3.5</x:v>
      </x:c>
      <x:c r="B572" t="str">
        <x:v>qwen3.5</x:v>
      </x:c>
      <x:c r="C572" t="str">
        <x:v>R300</x:v>
      </x:c>
      <x:c r="D572" t="str">
        <x:v>future_scenario</x:v>
      </x:c>
      <x:c r="E572" t="str">
        <x:v>short</x:v>
      </x:c>
      <x:c r="F572" s="19" t="n">
        <x:v>100</x:v>
      </x:c>
      <x:c r="G572" t="str"/>
      <x:c r="H572" s="23" t="str">
        <x:v>GPU_SCALING_REQUIRED</x:v>
      </x:c>
      <x:c r="I572" s="20"/>
      <x:c r="J572" s="20"/>
      <x:c r="K572" s="20"/>
      <x:c r="L572" s="20"/>
      <x:c r="M572" s="20"/>
      <x:c r="N572" t="str"/>
      <x:c r="O572" t="str"/>
      <x:c r="P572" s="19"/>
      <x:c r="Q572" s="21" t="str"/>
      <x:c r="R572" s="22"/>
      <x:c r="S572" t="str"/>
      <x:c r="T572" t="str"/>
      <x:c r="U572" s="19" t="n">
        <x:v>0</x:v>
      </x:c>
      <x:c r="V572" s="19" t="n">
        <x:v>0</x:v>
      </x:c>
      <x:c r="W572" s="19" t="n">
        <x:v>0</x:v>
      </x:c>
      <x:c r="X572" t="str"/>
      <x:c r="Y572" s="23" t="str">
        <x:v>No InferenceX benchmark; future GPU scenario requires a separate GPU scaling layer.</x:v>
      </x:c>
    </x:row>
    <x:row r="573">
      <x:c r="A573" t="str">
        <x:v>Qwen 3.5</x:v>
      </x:c>
      <x:c r="B573" t="str">
        <x:v>qwen3.5</x:v>
      </x:c>
      <x:c r="C573" t="str">
        <x:v>R300</x:v>
      </x:c>
      <x:c r="D573" t="str">
        <x:v>future_scenario</x:v>
      </x:c>
      <x:c r="E573" t="str">
        <x:v>long</x:v>
      </x:c>
      <x:c r="F573" s="19" t="n">
        <x:v>30</x:v>
      </x:c>
      <x:c r="G573" t="str"/>
      <x:c r="H573" s="23" t="str">
        <x:v>GPU_SCALING_REQUIRED</x:v>
      </x:c>
      <x:c r="I573" s="20"/>
      <x:c r="J573" s="20"/>
      <x:c r="K573" s="20"/>
      <x:c r="L573" s="20"/>
      <x:c r="M573" s="20"/>
      <x:c r="N573" t="str"/>
      <x:c r="O573" t="str"/>
      <x:c r="P573" s="19"/>
      <x:c r="Q573" s="21" t="str"/>
      <x:c r="R573" s="22"/>
      <x:c r="S573" t="str"/>
      <x:c r="T573" t="str"/>
      <x:c r="U573" s="19" t="n">
        <x:v>0</x:v>
      </x:c>
      <x:c r="V573" s="19" t="n">
        <x:v>0</x:v>
      </x:c>
      <x:c r="W573" s="19" t="n">
        <x:v>0</x:v>
      </x:c>
      <x:c r="X573" t="str"/>
      <x:c r="Y573" s="23" t="str">
        <x:v>No InferenceX benchmark; future GPU scenario requires a separate GPU scaling layer.</x:v>
      </x:c>
    </x:row>
    <x:row r="574">
      <x:c r="A574" t="str">
        <x:v>Qwen 3.5</x:v>
      </x:c>
      <x:c r="B574" t="str">
        <x:v>qwen3.5</x:v>
      </x:c>
      <x:c r="C574" t="str">
        <x:v>R300</x:v>
      </x:c>
      <x:c r="D574" t="str">
        <x:v>future_scenario</x:v>
      </x:c>
      <x:c r="E574" t="str">
        <x:v>long</x:v>
      </x:c>
      <x:c r="F574" s="19" t="n">
        <x:v>50</x:v>
      </x:c>
      <x:c r="G574" t="str"/>
      <x:c r="H574" s="23" t="str">
        <x:v>GPU_SCALING_REQUIRED</x:v>
      </x:c>
      <x:c r="I574" s="20"/>
      <x:c r="J574" s="20"/>
      <x:c r="K574" s="20"/>
      <x:c r="L574" s="20"/>
      <x:c r="M574" s="20"/>
      <x:c r="N574" t="str"/>
      <x:c r="O574" t="str"/>
      <x:c r="P574" s="19"/>
      <x:c r="Q574" s="21" t="str"/>
      <x:c r="R574" s="22"/>
      <x:c r="S574" t="str"/>
      <x:c r="T574" t="str"/>
      <x:c r="U574" s="19" t="n">
        <x:v>0</x:v>
      </x:c>
      <x:c r="V574" s="19" t="n">
        <x:v>0</x:v>
      </x:c>
      <x:c r="W574" s="19" t="n">
        <x:v>0</x:v>
      </x:c>
      <x:c r="X574" t="str"/>
      <x:c r="Y574" s="23" t="str">
        <x:v>No InferenceX benchmark; future GPU scenario requires a separate GPU scaling layer.</x:v>
      </x:c>
    </x:row>
    <x:row r="575">
      <x:c r="A575" t="str">
        <x:v>Qwen 3.5</x:v>
      </x:c>
      <x:c r="B575" t="str">
        <x:v>qwen3.5</x:v>
      </x:c>
      <x:c r="C575" t="str">
        <x:v>R300</x:v>
      </x:c>
      <x:c r="D575" t="str">
        <x:v>future_scenario</x:v>
      </x:c>
      <x:c r="E575" t="str">
        <x:v>long</x:v>
      </x:c>
      <x:c r="F575" s="19" t="n">
        <x:v>70</x:v>
      </x:c>
      <x:c r="G575" t="str"/>
      <x:c r="H575" s="23" t="str">
        <x:v>GPU_SCALING_REQUIRED</x:v>
      </x:c>
      <x:c r="I575" s="20"/>
      <x:c r="J575" s="20"/>
      <x:c r="K575" s="20"/>
      <x:c r="L575" s="20"/>
      <x:c r="M575" s="20"/>
      <x:c r="N575" t="str"/>
      <x:c r="O575" t="str"/>
      <x:c r="P575" s="19"/>
      <x:c r="Q575" s="21" t="str"/>
      <x:c r="R575" s="22"/>
      <x:c r="S575" t="str"/>
      <x:c r="T575" t="str"/>
      <x:c r="U575" s="19" t="n">
        <x:v>0</x:v>
      </x:c>
      <x:c r="V575" s="19" t="n">
        <x:v>0</x:v>
      </x:c>
      <x:c r="W575" s="19" t="n">
        <x:v>0</x:v>
      </x:c>
      <x:c r="X575" t="str"/>
      <x:c r="Y575" s="23" t="str">
        <x:v>No InferenceX benchmark; future GPU scenario requires a separate GPU scaling layer.</x:v>
      </x:c>
    </x:row>
    <x:row r="576">
      <x:c r="A576" t="str">
        <x:v>Qwen 3.5</x:v>
      </x:c>
      <x:c r="B576" t="str">
        <x:v>qwen3.5</x:v>
      </x:c>
      <x:c r="C576" t="str">
        <x:v>R300</x:v>
      </x:c>
      <x:c r="D576" t="str">
        <x:v>future_scenario</x:v>
      </x:c>
      <x:c r="E576" t="str">
        <x:v>long</x:v>
      </x:c>
      <x:c r="F576" s="19" t="n">
        <x:v>100</x:v>
      </x:c>
      <x:c r="G576" t="str"/>
      <x:c r="H576" s="23" t="str">
        <x:v>GPU_SCALING_REQUIRED</x:v>
      </x:c>
      <x:c r="I576" s="20"/>
      <x:c r="J576" s="20"/>
      <x:c r="K576" s="20"/>
      <x:c r="L576" s="20"/>
      <x:c r="M576" s="20"/>
      <x:c r="N576" t="str"/>
      <x:c r="O576" t="str"/>
      <x:c r="P576" s="19"/>
      <x:c r="Q576" s="21" t="str"/>
      <x:c r="R576" s="22"/>
      <x:c r="S576" t="str"/>
      <x:c r="T576" t="str"/>
      <x:c r="U576" s="19" t="n">
        <x:v>0</x:v>
      </x:c>
      <x:c r="V576" s="19" t="n">
        <x:v>0</x:v>
      </x:c>
      <x:c r="W576" s="19" t="n">
        <x:v>0</x:v>
      </x:c>
      <x:c r="X576" t="str"/>
      <x:c r="Y576" s="23" t="str">
        <x:v>No InferenceX benchmark; future GPU scenario requires a separate GPU scaling layer.</x:v>
      </x:c>
    </x:row>
    <x:row r="577">
      <x:c r="A577" t="str">
        <x:v>Qwen 3.5</x:v>
      </x:c>
      <x:c r="B577" t="str">
        <x:v>qwen3.5</x:v>
      </x:c>
      <x:c r="C577" t="str">
        <x:v>R300</x:v>
      </x:c>
      <x:c r="D577" t="str">
        <x:v>future_scenario</x:v>
      </x:c>
      <x:c r="E577" t="str">
        <x:v>agentic</x:v>
      </x:c>
      <x:c r="F577" s="19" t="n">
        <x:v>30</x:v>
      </x:c>
      <x:c r="G577" t="str"/>
      <x:c r="H577" s="23" t="str">
        <x:v>GPU_SCALING_REQUIRED</x:v>
      </x:c>
      <x:c r="I577" s="20"/>
      <x:c r="J577" s="20"/>
      <x:c r="K577" s="20"/>
      <x:c r="L577" s="20"/>
      <x:c r="M577" s="20"/>
      <x:c r="N577" t="str"/>
      <x:c r="O577" t="str"/>
      <x:c r="P577" s="19"/>
      <x:c r="Q577" s="21" t="str"/>
      <x:c r="R577" s="22"/>
      <x:c r="S577" t="str"/>
      <x:c r="T577" t="str"/>
      <x:c r="U577" s="19" t="n">
        <x:v>0</x:v>
      </x:c>
      <x:c r="V577" s="19" t="n">
        <x:v>0</x:v>
      </x:c>
      <x:c r="W577" s="19" t="n">
        <x:v>0</x:v>
      </x:c>
      <x:c r="X577" t="str"/>
      <x:c r="Y577" s="23" t="str">
        <x:v>No InferenceX benchmark; future GPU scenario requires a separate GPU scaling layer.</x:v>
      </x:c>
    </x:row>
    <x:row r="578">
      <x:c r="A578" t="str">
        <x:v>Qwen 3.5</x:v>
      </x:c>
      <x:c r="B578" t="str">
        <x:v>qwen3.5</x:v>
      </x:c>
      <x:c r="C578" t="str">
        <x:v>R300</x:v>
      </x:c>
      <x:c r="D578" t="str">
        <x:v>future_scenario</x:v>
      </x:c>
      <x:c r="E578" t="str">
        <x:v>agentic</x:v>
      </x:c>
      <x:c r="F578" s="19" t="n">
        <x:v>50</x:v>
      </x:c>
      <x:c r="G578" t="str"/>
      <x:c r="H578" s="23" t="str">
        <x:v>GPU_SCALING_REQUIRED</x:v>
      </x:c>
      <x:c r="I578" s="20"/>
      <x:c r="J578" s="20"/>
      <x:c r="K578" s="20"/>
      <x:c r="L578" s="20"/>
      <x:c r="M578" s="20"/>
      <x:c r="N578" t="str"/>
      <x:c r="O578" t="str"/>
      <x:c r="P578" s="19"/>
      <x:c r="Q578" s="21" t="str"/>
      <x:c r="R578" s="22"/>
      <x:c r="S578" t="str"/>
      <x:c r="T578" t="str"/>
      <x:c r="U578" s="19" t="n">
        <x:v>0</x:v>
      </x:c>
      <x:c r="V578" s="19" t="n">
        <x:v>0</x:v>
      </x:c>
      <x:c r="W578" s="19" t="n">
        <x:v>0</x:v>
      </x:c>
      <x:c r="X578" t="str"/>
      <x:c r="Y578" s="23" t="str">
        <x:v>No InferenceX benchmark; future GPU scenario requires a separate GPU scaling layer.</x:v>
      </x:c>
    </x:row>
    <x:row r="579">
      <x:c r="A579" t="str">
        <x:v>Qwen 3.5</x:v>
      </x:c>
      <x:c r="B579" t="str">
        <x:v>qwen3.5</x:v>
      </x:c>
      <x:c r="C579" t="str">
        <x:v>R300</x:v>
      </x:c>
      <x:c r="D579" t="str">
        <x:v>future_scenario</x:v>
      </x:c>
      <x:c r="E579" t="str">
        <x:v>agentic</x:v>
      </x:c>
      <x:c r="F579" s="19" t="n">
        <x:v>70</x:v>
      </x:c>
      <x:c r="G579" t="str"/>
      <x:c r="H579" s="23" t="str">
        <x:v>GPU_SCALING_REQUIRED</x:v>
      </x:c>
      <x:c r="I579" s="20"/>
      <x:c r="J579" s="20"/>
      <x:c r="K579" s="20"/>
      <x:c r="L579" s="20"/>
      <x:c r="M579" s="20"/>
      <x:c r="N579" t="str"/>
      <x:c r="O579" t="str"/>
      <x:c r="P579" s="19"/>
      <x:c r="Q579" s="21" t="str"/>
      <x:c r="R579" s="22"/>
      <x:c r="S579" t="str"/>
      <x:c r="T579" t="str"/>
      <x:c r="U579" s="19" t="n">
        <x:v>0</x:v>
      </x:c>
      <x:c r="V579" s="19" t="n">
        <x:v>0</x:v>
      </x:c>
      <x:c r="W579" s="19" t="n">
        <x:v>0</x:v>
      </x:c>
      <x:c r="X579" t="str"/>
      <x:c r="Y579" s="23" t="str">
        <x:v>No InferenceX benchmark; future GPU scenario requires a separate GPU scaling layer.</x:v>
      </x:c>
    </x:row>
    <x:row r="580">
      <x:c r="A580" t="str">
        <x:v>Qwen 3.5</x:v>
      </x:c>
      <x:c r="B580" t="str">
        <x:v>qwen3.5</x:v>
      </x:c>
      <x:c r="C580" t="str">
        <x:v>R300</x:v>
      </x:c>
      <x:c r="D580" t="str">
        <x:v>future_scenario</x:v>
      </x:c>
      <x:c r="E580" t="str">
        <x:v>agentic</x:v>
      </x:c>
      <x:c r="F580" s="19" t="n">
        <x:v>100</x:v>
      </x:c>
      <x:c r="G580" t="str"/>
      <x:c r="H580" s="23" t="str">
        <x:v>GPU_SCALING_REQUIRED</x:v>
      </x:c>
      <x:c r="I580" s="20"/>
      <x:c r="J580" s="20"/>
      <x:c r="K580" s="20"/>
      <x:c r="L580" s="20"/>
      <x:c r="M580" s="20"/>
      <x:c r="N580" t="str"/>
      <x:c r="O580" t="str"/>
      <x:c r="P580" s="19"/>
      <x:c r="Q580" s="21" t="str"/>
      <x:c r="R580" s="22"/>
      <x:c r="S580" t="str"/>
      <x:c r="T580" t="str"/>
      <x:c r="U580" s="19" t="n">
        <x:v>0</x:v>
      </x:c>
      <x:c r="V580" s="19" t="n">
        <x:v>0</x:v>
      </x:c>
      <x:c r="W580" s="19" t="n">
        <x:v>0</x:v>
      </x:c>
      <x:c r="X580" t="str"/>
      <x:c r="Y580" s="23" t="str">
        <x:v>No InferenceX benchmark; future GPU scenario requires a separate GPU scaling layer.</x:v>
      </x:c>
    </x:row>
    <x:row r="581">
      <x:c r="A581" t="str">
        <x:v>Qwen 3.5</x:v>
      </x:c>
      <x:c r="B581" t="str">
        <x:v>qwen3.5</x:v>
      </x:c>
      <x:c r="C581" t="str">
        <x:v>VR300</x:v>
      </x:c>
      <x:c r="D581" t="str">
        <x:v>future_scenario</x:v>
      </x:c>
      <x:c r="E581" t="str">
        <x:v>short</x:v>
      </x:c>
      <x:c r="F581" s="19" t="n">
        <x:v>30</x:v>
      </x:c>
      <x:c r="G581" t="str"/>
      <x:c r="H581" s="23" t="str">
        <x:v>GPU_SCALING_REQUIRED</x:v>
      </x:c>
      <x:c r="I581" s="20"/>
      <x:c r="J581" s="20"/>
      <x:c r="K581" s="20"/>
      <x:c r="L581" s="20"/>
      <x:c r="M581" s="20"/>
      <x:c r="N581" t="str"/>
      <x:c r="O581" t="str"/>
      <x:c r="P581" s="19"/>
      <x:c r="Q581" s="21" t="str"/>
      <x:c r="R581" s="22"/>
      <x:c r="S581" t="str"/>
      <x:c r="T581" t="str"/>
      <x:c r="U581" s="19" t="n">
        <x:v>0</x:v>
      </x:c>
      <x:c r="V581" s="19" t="n">
        <x:v>0</x:v>
      </x:c>
      <x:c r="W581" s="19" t="n">
        <x:v>0</x:v>
      </x:c>
      <x:c r="X581" t="str"/>
      <x:c r="Y581" s="23" t="str">
        <x:v>No InferenceX benchmark; future GPU scenario requires a separate GPU scaling layer.</x:v>
      </x:c>
    </x:row>
    <x:row r="582">
      <x:c r="A582" t="str">
        <x:v>Qwen 3.5</x:v>
      </x:c>
      <x:c r="B582" t="str">
        <x:v>qwen3.5</x:v>
      </x:c>
      <x:c r="C582" t="str">
        <x:v>VR300</x:v>
      </x:c>
      <x:c r="D582" t="str">
        <x:v>future_scenario</x:v>
      </x:c>
      <x:c r="E582" t="str">
        <x:v>short</x:v>
      </x:c>
      <x:c r="F582" s="19" t="n">
        <x:v>50</x:v>
      </x:c>
      <x:c r="G582" t="str"/>
      <x:c r="H582" s="23" t="str">
        <x:v>GPU_SCALING_REQUIRED</x:v>
      </x:c>
      <x:c r="I582" s="20"/>
      <x:c r="J582" s="20"/>
      <x:c r="K582" s="20"/>
      <x:c r="L582" s="20"/>
      <x:c r="M582" s="20"/>
      <x:c r="N582" t="str"/>
      <x:c r="O582" t="str"/>
      <x:c r="P582" s="19"/>
      <x:c r="Q582" s="21" t="str"/>
      <x:c r="R582" s="22"/>
      <x:c r="S582" t="str"/>
      <x:c r="T582" t="str"/>
      <x:c r="U582" s="19" t="n">
        <x:v>0</x:v>
      </x:c>
      <x:c r="V582" s="19" t="n">
        <x:v>0</x:v>
      </x:c>
      <x:c r="W582" s="19" t="n">
        <x:v>0</x:v>
      </x:c>
      <x:c r="X582" t="str"/>
      <x:c r="Y582" s="23" t="str">
        <x:v>No InferenceX benchmark; future GPU scenario requires a separate GPU scaling layer.</x:v>
      </x:c>
    </x:row>
    <x:row r="583">
      <x:c r="A583" t="str">
        <x:v>Qwen 3.5</x:v>
      </x:c>
      <x:c r="B583" t="str">
        <x:v>qwen3.5</x:v>
      </x:c>
      <x:c r="C583" t="str">
        <x:v>VR300</x:v>
      </x:c>
      <x:c r="D583" t="str">
        <x:v>future_scenario</x:v>
      </x:c>
      <x:c r="E583" t="str">
        <x:v>short</x:v>
      </x:c>
      <x:c r="F583" s="19" t="n">
        <x:v>70</x:v>
      </x:c>
      <x:c r="G583" t="str"/>
      <x:c r="H583" s="23" t="str">
        <x:v>GPU_SCALING_REQUIRED</x:v>
      </x:c>
      <x:c r="I583" s="20"/>
      <x:c r="J583" s="20"/>
      <x:c r="K583" s="20"/>
      <x:c r="L583" s="20"/>
      <x:c r="M583" s="20"/>
      <x:c r="N583" t="str"/>
      <x:c r="O583" t="str"/>
      <x:c r="P583" s="19"/>
      <x:c r="Q583" s="21" t="str"/>
      <x:c r="R583" s="22"/>
      <x:c r="S583" t="str"/>
      <x:c r="T583" t="str"/>
      <x:c r="U583" s="19" t="n">
        <x:v>0</x:v>
      </x:c>
      <x:c r="V583" s="19" t="n">
        <x:v>0</x:v>
      </x:c>
      <x:c r="W583" s="19" t="n">
        <x:v>0</x:v>
      </x:c>
      <x:c r="X583" t="str"/>
      <x:c r="Y583" s="23" t="str">
        <x:v>No InferenceX benchmark; future GPU scenario requires a separate GPU scaling layer.</x:v>
      </x:c>
    </x:row>
    <x:row r="584">
      <x:c r="A584" t="str">
        <x:v>Qwen 3.5</x:v>
      </x:c>
      <x:c r="B584" t="str">
        <x:v>qwen3.5</x:v>
      </x:c>
      <x:c r="C584" t="str">
        <x:v>VR300</x:v>
      </x:c>
      <x:c r="D584" t="str">
        <x:v>future_scenario</x:v>
      </x:c>
      <x:c r="E584" t="str">
        <x:v>short</x:v>
      </x:c>
      <x:c r="F584" s="19" t="n">
        <x:v>100</x:v>
      </x:c>
      <x:c r="G584" t="str"/>
      <x:c r="H584" s="23" t="str">
        <x:v>GPU_SCALING_REQUIRED</x:v>
      </x:c>
      <x:c r="I584" s="20"/>
      <x:c r="J584" s="20"/>
      <x:c r="K584" s="20"/>
      <x:c r="L584" s="20"/>
      <x:c r="M584" s="20"/>
      <x:c r="N584" t="str"/>
      <x:c r="O584" t="str"/>
      <x:c r="P584" s="19"/>
      <x:c r="Q584" s="21" t="str"/>
      <x:c r="R584" s="22"/>
      <x:c r="S584" t="str"/>
      <x:c r="T584" t="str"/>
      <x:c r="U584" s="19" t="n">
        <x:v>0</x:v>
      </x:c>
      <x:c r="V584" s="19" t="n">
        <x:v>0</x:v>
      </x:c>
      <x:c r="W584" s="19" t="n">
        <x:v>0</x:v>
      </x:c>
      <x:c r="X584" t="str"/>
      <x:c r="Y584" s="23" t="str">
        <x:v>No InferenceX benchmark; future GPU scenario requires a separate GPU scaling layer.</x:v>
      </x:c>
    </x:row>
    <x:row r="585">
      <x:c r="A585" t="str">
        <x:v>Qwen 3.5</x:v>
      </x:c>
      <x:c r="B585" t="str">
        <x:v>qwen3.5</x:v>
      </x:c>
      <x:c r="C585" t="str">
        <x:v>VR300</x:v>
      </x:c>
      <x:c r="D585" t="str">
        <x:v>future_scenario</x:v>
      </x:c>
      <x:c r="E585" t="str">
        <x:v>long</x:v>
      </x:c>
      <x:c r="F585" s="19" t="n">
        <x:v>30</x:v>
      </x:c>
      <x:c r="G585" t="str"/>
      <x:c r="H585" s="23" t="str">
        <x:v>GPU_SCALING_REQUIRED</x:v>
      </x:c>
      <x:c r="I585" s="20"/>
      <x:c r="J585" s="20"/>
      <x:c r="K585" s="20"/>
      <x:c r="L585" s="20"/>
      <x:c r="M585" s="20"/>
      <x:c r="N585" t="str"/>
      <x:c r="O585" t="str"/>
      <x:c r="P585" s="19"/>
      <x:c r="Q585" s="21" t="str"/>
      <x:c r="R585" s="22"/>
      <x:c r="S585" t="str"/>
      <x:c r="T585" t="str"/>
      <x:c r="U585" s="19" t="n">
        <x:v>0</x:v>
      </x:c>
      <x:c r="V585" s="19" t="n">
        <x:v>0</x:v>
      </x:c>
      <x:c r="W585" s="19" t="n">
        <x:v>0</x:v>
      </x:c>
      <x:c r="X585" t="str"/>
      <x:c r="Y585" s="23" t="str">
        <x:v>No InferenceX benchmark; future GPU scenario requires a separate GPU scaling layer.</x:v>
      </x:c>
    </x:row>
    <x:row r="586">
      <x:c r="A586" t="str">
        <x:v>Qwen 3.5</x:v>
      </x:c>
      <x:c r="B586" t="str">
        <x:v>qwen3.5</x:v>
      </x:c>
      <x:c r="C586" t="str">
        <x:v>VR300</x:v>
      </x:c>
      <x:c r="D586" t="str">
        <x:v>future_scenario</x:v>
      </x:c>
      <x:c r="E586" t="str">
        <x:v>long</x:v>
      </x:c>
      <x:c r="F586" s="19" t="n">
        <x:v>50</x:v>
      </x:c>
      <x:c r="G586" t="str"/>
      <x:c r="H586" s="23" t="str">
        <x:v>GPU_SCALING_REQUIRED</x:v>
      </x:c>
      <x:c r="I586" s="20"/>
      <x:c r="J586" s="20"/>
      <x:c r="K586" s="20"/>
      <x:c r="L586" s="20"/>
      <x:c r="M586" s="20"/>
      <x:c r="N586" t="str"/>
      <x:c r="O586" t="str"/>
      <x:c r="P586" s="19"/>
      <x:c r="Q586" s="21" t="str"/>
      <x:c r="R586" s="22"/>
      <x:c r="S586" t="str"/>
      <x:c r="T586" t="str"/>
      <x:c r="U586" s="19" t="n">
        <x:v>0</x:v>
      </x:c>
      <x:c r="V586" s="19" t="n">
        <x:v>0</x:v>
      </x:c>
      <x:c r="W586" s="19" t="n">
        <x:v>0</x:v>
      </x:c>
      <x:c r="X586" t="str"/>
      <x:c r="Y586" s="23" t="str">
        <x:v>No InferenceX benchmark; future GPU scenario requires a separate GPU scaling layer.</x:v>
      </x:c>
    </x:row>
    <x:row r="587">
      <x:c r="A587" t="str">
        <x:v>Qwen 3.5</x:v>
      </x:c>
      <x:c r="B587" t="str">
        <x:v>qwen3.5</x:v>
      </x:c>
      <x:c r="C587" t="str">
        <x:v>VR300</x:v>
      </x:c>
      <x:c r="D587" t="str">
        <x:v>future_scenario</x:v>
      </x:c>
      <x:c r="E587" t="str">
        <x:v>long</x:v>
      </x:c>
      <x:c r="F587" s="19" t="n">
        <x:v>70</x:v>
      </x:c>
      <x:c r="G587" t="str"/>
      <x:c r="H587" s="23" t="str">
        <x:v>GPU_SCALING_REQUIRED</x:v>
      </x:c>
      <x:c r="I587" s="20"/>
      <x:c r="J587" s="20"/>
      <x:c r="K587" s="20"/>
      <x:c r="L587" s="20"/>
      <x:c r="M587" s="20"/>
      <x:c r="N587" t="str"/>
      <x:c r="O587" t="str"/>
      <x:c r="P587" s="19"/>
      <x:c r="Q587" s="21" t="str"/>
      <x:c r="R587" s="22"/>
      <x:c r="S587" t="str"/>
      <x:c r="T587" t="str"/>
      <x:c r="U587" s="19" t="n">
        <x:v>0</x:v>
      </x:c>
      <x:c r="V587" s="19" t="n">
        <x:v>0</x:v>
      </x:c>
      <x:c r="W587" s="19" t="n">
        <x:v>0</x:v>
      </x:c>
      <x:c r="X587" t="str"/>
      <x:c r="Y587" s="23" t="str">
        <x:v>No InferenceX benchmark; future GPU scenario requires a separate GPU scaling layer.</x:v>
      </x:c>
    </x:row>
    <x:row r="588">
      <x:c r="A588" t="str">
        <x:v>Qwen 3.5</x:v>
      </x:c>
      <x:c r="B588" t="str">
        <x:v>qwen3.5</x:v>
      </x:c>
      <x:c r="C588" t="str">
        <x:v>VR300</x:v>
      </x:c>
      <x:c r="D588" t="str">
        <x:v>future_scenario</x:v>
      </x:c>
      <x:c r="E588" t="str">
        <x:v>long</x:v>
      </x:c>
      <x:c r="F588" s="19" t="n">
        <x:v>100</x:v>
      </x:c>
      <x:c r="G588" t="str"/>
      <x:c r="H588" s="23" t="str">
        <x:v>GPU_SCALING_REQUIRED</x:v>
      </x:c>
      <x:c r="I588" s="20"/>
      <x:c r="J588" s="20"/>
      <x:c r="K588" s="20"/>
      <x:c r="L588" s="20"/>
      <x:c r="M588" s="20"/>
      <x:c r="N588" t="str"/>
      <x:c r="O588" t="str"/>
      <x:c r="P588" s="19"/>
      <x:c r="Q588" s="21" t="str"/>
      <x:c r="R588" s="22"/>
      <x:c r="S588" t="str"/>
      <x:c r="T588" t="str"/>
      <x:c r="U588" s="19" t="n">
        <x:v>0</x:v>
      </x:c>
      <x:c r="V588" s="19" t="n">
        <x:v>0</x:v>
      </x:c>
      <x:c r="W588" s="19" t="n">
        <x:v>0</x:v>
      </x:c>
      <x:c r="X588" t="str"/>
      <x:c r="Y588" s="23" t="str">
        <x:v>No InferenceX benchmark; future GPU scenario requires a separate GPU scaling layer.</x:v>
      </x:c>
    </x:row>
    <x:row r="589">
      <x:c r="A589" t="str">
        <x:v>Qwen 3.5</x:v>
      </x:c>
      <x:c r="B589" t="str">
        <x:v>qwen3.5</x:v>
      </x:c>
      <x:c r="C589" t="str">
        <x:v>VR300</x:v>
      </x:c>
      <x:c r="D589" t="str">
        <x:v>future_scenario</x:v>
      </x:c>
      <x:c r="E589" t="str">
        <x:v>agentic</x:v>
      </x:c>
      <x:c r="F589" s="19" t="n">
        <x:v>30</x:v>
      </x:c>
      <x:c r="G589" t="str"/>
      <x:c r="H589" s="23" t="str">
        <x:v>GPU_SCALING_REQUIRED</x:v>
      </x:c>
      <x:c r="I589" s="20"/>
      <x:c r="J589" s="20"/>
      <x:c r="K589" s="20"/>
      <x:c r="L589" s="20"/>
      <x:c r="M589" s="20"/>
      <x:c r="N589" t="str"/>
      <x:c r="O589" t="str"/>
      <x:c r="P589" s="19"/>
      <x:c r="Q589" s="21" t="str"/>
      <x:c r="R589" s="22"/>
      <x:c r="S589" t="str"/>
      <x:c r="T589" t="str"/>
      <x:c r="U589" s="19" t="n">
        <x:v>0</x:v>
      </x:c>
      <x:c r="V589" s="19" t="n">
        <x:v>0</x:v>
      </x:c>
      <x:c r="W589" s="19" t="n">
        <x:v>0</x:v>
      </x:c>
      <x:c r="X589" t="str"/>
      <x:c r="Y589" s="23" t="str">
        <x:v>No InferenceX benchmark; future GPU scenario requires a separate GPU scaling layer.</x:v>
      </x:c>
    </x:row>
    <x:row r="590">
      <x:c r="A590" t="str">
        <x:v>Qwen 3.5</x:v>
      </x:c>
      <x:c r="B590" t="str">
        <x:v>qwen3.5</x:v>
      </x:c>
      <x:c r="C590" t="str">
        <x:v>VR300</x:v>
      </x:c>
      <x:c r="D590" t="str">
        <x:v>future_scenario</x:v>
      </x:c>
      <x:c r="E590" t="str">
        <x:v>agentic</x:v>
      </x:c>
      <x:c r="F590" s="19" t="n">
        <x:v>50</x:v>
      </x:c>
      <x:c r="G590" t="str"/>
      <x:c r="H590" s="23" t="str">
        <x:v>GPU_SCALING_REQUIRED</x:v>
      </x:c>
      <x:c r="I590" s="20"/>
      <x:c r="J590" s="20"/>
      <x:c r="K590" s="20"/>
      <x:c r="L590" s="20"/>
      <x:c r="M590" s="20"/>
      <x:c r="N590" t="str"/>
      <x:c r="O590" t="str"/>
      <x:c r="P590" s="19"/>
      <x:c r="Q590" s="21" t="str"/>
      <x:c r="R590" s="22"/>
      <x:c r="S590" t="str"/>
      <x:c r="T590" t="str"/>
      <x:c r="U590" s="19" t="n">
        <x:v>0</x:v>
      </x:c>
      <x:c r="V590" s="19" t="n">
        <x:v>0</x:v>
      </x:c>
      <x:c r="W590" s="19" t="n">
        <x:v>0</x:v>
      </x:c>
      <x:c r="X590" t="str"/>
      <x:c r="Y590" s="23" t="str">
        <x:v>No InferenceX benchmark; future GPU scenario requires a separate GPU scaling layer.</x:v>
      </x:c>
    </x:row>
    <x:row r="591">
      <x:c r="A591" t="str">
        <x:v>Qwen 3.5</x:v>
      </x:c>
      <x:c r="B591" t="str">
        <x:v>qwen3.5</x:v>
      </x:c>
      <x:c r="C591" t="str">
        <x:v>VR300</x:v>
      </x:c>
      <x:c r="D591" t="str">
        <x:v>future_scenario</x:v>
      </x:c>
      <x:c r="E591" t="str">
        <x:v>agentic</x:v>
      </x:c>
      <x:c r="F591" s="19" t="n">
        <x:v>70</x:v>
      </x:c>
      <x:c r="G591" t="str"/>
      <x:c r="H591" s="23" t="str">
        <x:v>GPU_SCALING_REQUIRED</x:v>
      </x:c>
      <x:c r="I591" s="20"/>
      <x:c r="J591" s="20"/>
      <x:c r="K591" s="20"/>
      <x:c r="L591" s="20"/>
      <x:c r="M591" s="20"/>
      <x:c r="N591" t="str"/>
      <x:c r="O591" t="str"/>
      <x:c r="P591" s="19"/>
      <x:c r="Q591" s="21" t="str"/>
      <x:c r="R591" s="22"/>
      <x:c r="S591" t="str"/>
      <x:c r="T591" t="str"/>
      <x:c r="U591" s="19" t="n">
        <x:v>0</x:v>
      </x:c>
      <x:c r="V591" s="19" t="n">
        <x:v>0</x:v>
      </x:c>
      <x:c r="W591" s="19" t="n">
        <x:v>0</x:v>
      </x:c>
      <x:c r="X591" t="str"/>
      <x:c r="Y591" s="23" t="str">
        <x:v>No InferenceX benchmark; future GPU scenario requires a separate GPU scaling layer.</x:v>
      </x:c>
    </x:row>
    <x:row r="592">
      <x:c r="A592" t="str">
        <x:v>Qwen 3.5</x:v>
      </x:c>
      <x:c r="B592" t="str">
        <x:v>qwen3.5</x:v>
      </x:c>
      <x:c r="C592" t="str">
        <x:v>VR300</x:v>
      </x:c>
      <x:c r="D592" t="str">
        <x:v>future_scenario</x:v>
      </x:c>
      <x:c r="E592" t="str">
        <x:v>agentic</x:v>
      </x:c>
      <x:c r="F592" s="19" t="n">
        <x:v>100</x:v>
      </x:c>
      <x:c r="G592" t="str"/>
      <x:c r="H592" s="23" t="str">
        <x:v>GPU_SCALING_REQUIRED</x:v>
      </x:c>
      <x:c r="I592" s="20"/>
      <x:c r="J592" s="20"/>
      <x:c r="K592" s="20"/>
      <x:c r="L592" s="20"/>
      <x:c r="M592" s="20"/>
      <x:c r="N592" t="str"/>
      <x:c r="O592" t="str"/>
      <x:c r="P592" s="19"/>
      <x:c r="Q592" s="21" t="str"/>
      <x:c r="R592" s="22"/>
      <x:c r="S592" t="str"/>
      <x:c r="T592" t="str"/>
      <x:c r="U592" s="19" t="n">
        <x:v>0</x:v>
      </x:c>
      <x:c r="V592" s="19" t="n">
        <x:v>0</x:v>
      </x:c>
      <x:c r="W592" s="19" t="n">
        <x:v>0</x:v>
      </x:c>
      <x:c r="X592" t="str"/>
      <x:c r="Y592" s="23" t="str">
        <x:v>No InferenceX benchmark; future GPU scenario requires a separate GPU scaling layer.</x:v>
      </x:c>
    </x:row>
    <x:row r="593">
      <x:c r="A593" t="str">
        <x:v>Qwen 3.5</x:v>
      </x:c>
      <x:c r="B593" t="str">
        <x:v>qwen3.5</x:v>
      </x:c>
      <x:c r="C593" t="str">
        <x:v>Post Rubin</x:v>
      </x:c>
      <x:c r="D593" t="str">
        <x:v>future_scenario</x:v>
      </x:c>
      <x:c r="E593" t="str">
        <x:v>short</x:v>
      </x:c>
      <x:c r="F593" s="19" t="n">
        <x:v>30</x:v>
      </x:c>
      <x:c r="G593" t="str"/>
      <x:c r="H593" s="23" t="str">
        <x:v>GPU_SCALING_REQUIRED</x:v>
      </x:c>
      <x:c r="I593" s="20"/>
      <x:c r="J593" s="20"/>
      <x:c r="K593" s="20"/>
      <x:c r="L593" s="20"/>
      <x:c r="M593" s="20"/>
      <x:c r="N593" t="str"/>
      <x:c r="O593" t="str"/>
      <x:c r="P593" s="19"/>
      <x:c r="Q593" s="21" t="str"/>
      <x:c r="R593" s="22"/>
      <x:c r="S593" t="str"/>
      <x:c r="T593" t="str"/>
      <x:c r="U593" s="19" t="n">
        <x:v>0</x:v>
      </x:c>
      <x:c r="V593" s="19" t="n">
        <x:v>0</x:v>
      </x:c>
      <x:c r="W593" s="19" t="n">
        <x:v>0</x:v>
      </x:c>
      <x:c r="X593" t="str"/>
      <x:c r="Y593" s="23" t="str">
        <x:v>No InferenceX benchmark; future GPU scenario requires a separate GPU scaling layer.</x:v>
      </x:c>
    </x:row>
    <x:row r="594">
      <x:c r="A594" t="str">
        <x:v>Qwen 3.5</x:v>
      </x:c>
      <x:c r="B594" t="str">
        <x:v>qwen3.5</x:v>
      </x:c>
      <x:c r="C594" t="str">
        <x:v>Post Rubin</x:v>
      </x:c>
      <x:c r="D594" t="str">
        <x:v>future_scenario</x:v>
      </x:c>
      <x:c r="E594" t="str">
        <x:v>short</x:v>
      </x:c>
      <x:c r="F594" s="19" t="n">
        <x:v>50</x:v>
      </x:c>
      <x:c r="G594" t="str"/>
      <x:c r="H594" s="23" t="str">
        <x:v>GPU_SCALING_REQUIRED</x:v>
      </x:c>
      <x:c r="I594" s="20"/>
      <x:c r="J594" s="20"/>
      <x:c r="K594" s="20"/>
      <x:c r="L594" s="20"/>
      <x:c r="M594" s="20"/>
      <x:c r="N594" t="str"/>
      <x:c r="O594" t="str"/>
      <x:c r="P594" s="19"/>
      <x:c r="Q594" s="21" t="str"/>
      <x:c r="R594" s="22"/>
      <x:c r="S594" t="str"/>
      <x:c r="T594" t="str"/>
      <x:c r="U594" s="19" t="n">
        <x:v>0</x:v>
      </x:c>
      <x:c r="V594" s="19" t="n">
        <x:v>0</x:v>
      </x:c>
      <x:c r="W594" s="19" t="n">
        <x:v>0</x:v>
      </x:c>
      <x:c r="X594" t="str"/>
      <x:c r="Y594" s="23" t="str">
        <x:v>No InferenceX benchmark; future GPU scenario requires a separate GPU scaling layer.</x:v>
      </x:c>
    </x:row>
    <x:row r="595">
      <x:c r="A595" t="str">
        <x:v>Qwen 3.5</x:v>
      </x:c>
      <x:c r="B595" t="str">
        <x:v>qwen3.5</x:v>
      </x:c>
      <x:c r="C595" t="str">
        <x:v>Post Rubin</x:v>
      </x:c>
      <x:c r="D595" t="str">
        <x:v>future_scenario</x:v>
      </x:c>
      <x:c r="E595" t="str">
        <x:v>short</x:v>
      </x:c>
      <x:c r="F595" s="19" t="n">
        <x:v>70</x:v>
      </x:c>
      <x:c r="G595" t="str"/>
      <x:c r="H595" s="23" t="str">
        <x:v>GPU_SCALING_REQUIRED</x:v>
      </x:c>
      <x:c r="I595" s="20"/>
      <x:c r="J595" s="20"/>
      <x:c r="K595" s="20"/>
      <x:c r="L595" s="20"/>
      <x:c r="M595" s="20"/>
      <x:c r="N595" t="str"/>
      <x:c r="O595" t="str"/>
      <x:c r="P595" s="19"/>
      <x:c r="Q595" s="21" t="str"/>
      <x:c r="R595" s="22"/>
      <x:c r="S595" t="str"/>
      <x:c r="T595" t="str"/>
      <x:c r="U595" s="19" t="n">
        <x:v>0</x:v>
      </x:c>
      <x:c r="V595" s="19" t="n">
        <x:v>0</x:v>
      </x:c>
      <x:c r="W595" s="19" t="n">
        <x:v>0</x:v>
      </x:c>
      <x:c r="X595" t="str"/>
      <x:c r="Y595" s="23" t="str">
        <x:v>No InferenceX benchmark; future GPU scenario requires a separate GPU scaling layer.</x:v>
      </x:c>
    </x:row>
    <x:row r="596">
      <x:c r="A596" t="str">
        <x:v>Qwen 3.5</x:v>
      </x:c>
      <x:c r="B596" t="str">
        <x:v>qwen3.5</x:v>
      </x:c>
      <x:c r="C596" t="str">
        <x:v>Post Rubin</x:v>
      </x:c>
      <x:c r="D596" t="str">
        <x:v>future_scenario</x:v>
      </x:c>
      <x:c r="E596" t="str">
        <x:v>short</x:v>
      </x:c>
      <x:c r="F596" s="19" t="n">
        <x:v>100</x:v>
      </x:c>
      <x:c r="G596" t="str"/>
      <x:c r="H596" s="23" t="str">
        <x:v>GPU_SCALING_REQUIRED</x:v>
      </x:c>
      <x:c r="I596" s="20"/>
      <x:c r="J596" s="20"/>
      <x:c r="K596" s="20"/>
      <x:c r="L596" s="20"/>
      <x:c r="M596" s="20"/>
      <x:c r="N596" t="str"/>
      <x:c r="O596" t="str"/>
      <x:c r="P596" s="19"/>
      <x:c r="Q596" s="21" t="str"/>
      <x:c r="R596" s="22"/>
      <x:c r="S596" t="str"/>
      <x:c r="T596" t="str"/>
      <x:c r="U596" s="19" t="n">
        <x:v>0</x:v>
      </x:c>
      <x:c r="V596" s="19" t="n">
        <x:v>0</x:v>
      </x:c>
      <x:c r="W596" s="19" t="n">
        <x:v>0</x:v>
      </x:c>
      <x:c r="X596" t="str"/>
      <x:c r="Y596" s="23" t="str">
        <x:v>No InferenceX benchmark; future GPU scenario requires a separate GPU scaling layer.</x:v>
      </x:c>
    </x:row>
    <x:row r="597">
      <x:c r="A597" t="str">
        <x:v>Qwen 3.5</x:v>
      </x:c>
      <x:c r="B597" t="str">
        <x:v>qwen3.5</x:v>
      </x:c>
      <x:c r="C597" t="str">
        <x:v>Post Rubin</x:v>
      </x:c>
      <x:c r="D597" t="str">
        <x:v>future_scenario</x:v>
      </x:c>
      <x:c r="E597" t="str">
        <x:v>long</x:v>
      </x:c>
      <x:c r="F597" s="19" t="n">
        <x:v>30</x:v>
      </x:c>
      <x:c r="G597" t="str"/>
      <x:c r="H597" s="23" t="str">
        <x:v>GPU_SCALING_REQUIRED</x:v>
      </x:c>
      <x:c r="I597" s="20"/>
      <x:c r="J597" s="20"/>
      <x:c r="K597" s="20"/>
      <x:c r="L597" s="20"/>
      <x:c r="M597" s="20"/>
      <x:c r="N597" t="str"/>
      <x:c r="O597" t="str"/>
      <x:c r="P597" s="19"/>
      <x:c r="Q597" s="21" t="str"/>
      <x:c r="R597" s="22"/>
      <x:c r="S597" t="str"/>
      <x:c r="T597" t="str"/>
      <x:c r="U597" s="19" t="n">
        <x:v>0</x:v>
      </x:c>
      <x:c r="V597" s="19" t="n">
        <x:v>0</x:v>
      </x:c>
      <x:c r="W597" s="19" t="n">
        <x:v>0</x:v>
      </x:c>
      <x:c r="X597" t="str"/>
      <x:c r="Y597" s="23" t="str">
        <x:v>No InferenceX benchmark; future GPU scenario requires a separate GPU scaling layer.</x:v>
      </x:c>
    </x:row>
    <x:row r="598">
      <x:c r="A598" t="str">
        <x:v>Qwen 3.5</x:v>
      </x:c>
      <x:c r="B598" t="str">
        <x:v>qwen3.5</x:v>
      </x:c>
      <x:c r="C598" t="str">
        <x:v>Post Rubin</x:v>
      </x:c>
      <x:c r="D598" t="str">
        <x:v>future_scenario</x:v>
      </x:c>
      <x:c r="E598" t="str">
        <x:v>long</x:v>
      </x:c>
      <x:c r="F598" s="19" t="n">
        <x:v>50</x:v>
      </x:c>
      <x:c r="G598" t="str"/>
      <x:c r="H598" s="23" t="str">
        <x:v>GPU_SCALING_REQUIRED</x:v>
      </x:c>
      <x:c r="I598" s="20"/>
      <x:c r="J598" s="20"/>
      <x:c r="K598" s="20"/>
      <x:c r="L598" s="20"/>
      <x:c r="M598" s="20"/>
      <x:c r="N598" t="str"/>
      <x:c r="O598" t="str"/>
      <x:c r="P598" s="19"/>
      <x:c r="Q598" s="21" t="str"/>
      <x:c r="R598" s="22"/>
      <x:c r="S598" t="str"/>
      <x:c r="T598" t="str"/>
      <x:c r="U598" s="19" t="n">
        <x:v>0</x:v>
      </x:c>
      <x:c r="V598" s="19" t="n">
        <x:v>0</x:v>
      </x:c>
      <x:c r="W598" s="19" t="n">
        <x:v>0</x:v>
      </x:c>
      <x:c r="X598" t="str"/>
      <x:c r="Y598" s="23" t="str">
        <x:v>No InferenceX benchmark; future GPU scenario requires a separate GPU scaling layer.</x:v>
      </x:c>
    </x:row>
    <x:row r="599">
      <x:c r="A599" t="str">
        <x:v>Qwen 3.5</x:v>
      </x:c>
      <x:c r="B599" t="str">
        <x:v>qwen3.5</x:v>
      </x:c>
      <x:c r="C599" t="str">
        <x:v>Post Rubin</x:v>
      </x:c>
      <x:c r="D599" t="str">
        <x:v>future_scenario</x:v>
      </x:c>
      <x:c r="E599" t="str">
        <x:v>long</x:v>
      </x:c>
      <x:c r="F599" s="19" t="n">
        <x:v>70</x:v>
      </x:c>
      <x:c r="G599" t="str"/>
      <x:c r="H599" s="23" t="str">
        <x:v>GPU_SCALING_REQUIRED</x:v>
      </x:c>
      <x:c r="I599" s="20"/>
      <x:c r="J599" s="20"/>
      <x:c r="K599" s="20"/>
      <x:c r="L599" s="20"/>
      <x:c r="M599" s="20"/>
      <x:c r="N599" t="str"/>
      <x:c r="O599" t="str"/>
      <x:c r="P599" s="19"/>
      <x:c r="Q599" s="21" t="str"/>
      <x:c r="R599" s="22"/>
      <x:c r="S599" t="str"/>
      <x:c r="T599" t="str"/>
      <x:c r="U599" s="19" t="n">
        <x:v>0</x:v>
      </x:c>
      <x:c r="V599" s="19" t="n">
        <x:v>0</x:v>
      </x:c>
      <x:c r="W599" s="19" t="n">
        <x:v>0</x:v>
      </x:c>
      <x:c r="X599" t="str"/>
      <x:c r="Y599" s="23" t="str">
        <x:v>No InferenceX benchmark; future GPU scenario requires a separate GPU scaling layer.</x:v>
      </x:c>
    </x:row>
    <x:row r="600">
      <x:c r="A600" t="str">
        <x:v>Qwen 3.5</x:v>
      </x:c>
      <x:c r="B600" t="str">
        <x:v>qwen3.5</x:v>
      </x:c>
      <x:c r="C600" t="str">
        <x:v>Post Rubin</x:v>
      </x:c>
      <x:c r="D600" t="str">
        <x:v>future_scenario</x:v>
      </x:c>
      <x:c r="E600" t="str">
        <x:v>long</x:v>
      </x:c>
      <x:c r="F600" s="19" t="n">
        <x:v>100</x:v>
      </x:c>
      <x:c r="G600" t="str"/>
      <x:c r="H600" s="23" t="str">
        <x:v>GPU_SCALING_REQUIRED</x:v>
      </x:c>
      <x:c r="I600" s="20"/>
      <x:c r="J600" s="20"/>
      <x:c r="K600" s="20"/>
      <x:c r="L600" s="20"/>
      <x:c r="M600" s="20"/>
      <x:c r="N600" t="str"/>
      <x:c r="O600" t="str"/>
      <x:c r="P600" s="19"/>
      <x:c r="Q600" s="21" t="str"/>
      <x:c r="R600" s="22"/>
      <x:c r="S600" t="str"/>
      <x:c r="T600" t="str"/>
      <x:c r="U600" s="19" t="n">
        <x:v>0</x:v>
      </x:c>
      <x:c r="V600" s="19" t="n">
        <x:v>0</x:v>
      </x:c>
      <x:c r="W600" s="19" t="n">
        <x:v>0</x:v>
      </x:c>
      <x:c r="X600" t="str"/>
      <x:c r="Y600" s="23" t="str">
        <x:v>No InferenceX benchmark; future GPU scenario requires a separate GPU scaling layer.</x:v>
      </x:c>
    </x:row>
    <x:row r="601">
      <x:c r="A601" t="str">
        <x:v>Qwen 3.5</x:v>
      </x:c>
      <x:c r="B601" t="str">
        <x:v>qwen3.5</x:v>
      </x:c>
      <x:c r="C601" t="str">
        <x:v>Post Rubin</x:v>
      </x:c>
      <x:c r="D601" t="str">
        <x:v>future_scenario</x:v>
      </x:c>
      <x:c r="E601" t="str">
        <x:v>agentic</x:v>
      </x:c>
      <x:c r="F601" s="19" t="n">
        <x:v>30</x:v>
      </x:c>
      <x:c r="G601" t="str"/>
      <x:c r="H601" s="23" t="str">
        <x:v>GPU_SCALING_REQUIRED</x:v>
      </x:c>
      <x:c r="I601" s="20"/>
      <x:c r="J601" s="20"/>
      <x:c r="K601" s="20"/>
      <x:c r="L601" s="20"/>
      <x:c r="M601" s="20"/>
      <x:c r="N601" t="str"/>
      <x:c r="O601" t="str"/>
      <x:c r="P601" s="19"/>
      <x:c r="Q601" s="21" t="str"/>
      <x:c r="R601" s="22"/>
      <x:c r="S601" t="str"/>
      <x:c r="T601" t="str"/>
      <x:c r="U601" s="19" t="n">
        <x:v>0</x:v>
      </x:c>
      <x:c r="V601" s="19" t="n">
        <x:v>0</x:v>
      </x:c>
      <x:c r="W601" s="19" t="n">
        <x:v>0</x:v>
      </x:c>
      <x:c r="X601" t="str"/>
      <x:c r="Y601" s="23" t="str">
        <x:v>No InferenceX benchmark; future GPU scenario requires a separate GPU scaling layer.</x:v>
      </x:c>
    </x:row>
    <x:row r="602">
      <x:c r="A602" t="str">
        <x:v>Qwen 3.5</x:v>
      </x:c>
      <x:c r="B602" t="str">
        <x:v>qwen3.5</x:v>
      </x:c>
      <x:c r="C602" t="str">
        <x:v>Post Rubin</x:v>
      </x:c>
      <x:c r="D602" t="str">
        <x:v>future_scenario</x:v>
      </x:c>
      <x:c r="E602" t="str">
        <x:v>agentic</x:v>
      </x:c>
      <x:c r="F602" s="19" t="n">
        <x:v>50</x:v>
      </x:c>
      <x:c r="G602" t="str"/>
      <x:c r="H602" s="23" t="str">
        <x:v>GPU_SCALING_REQUIRED</x:v>
      </x:c>
      <x:c r="I602" s="20"/>
      <x:c r="J602" s="20"/>
      <x:c r="K602" s="20"/>
      <x:c r="L602" s="20"/>
      <x:c r="M602" s="20"/>
      <x:c r="N602" t="str"/>
      <x:c r="O602" t="str"/>
      <x:c r="P602" s="19"/>
      <x:c r="Q602" s="21" t="str"/>
      <x:c r="R602" s="22"/>
      <x:c r="S602" t="str"/>
      <x:c r="T602" t="str"/>
      <x:c r="U602" s="19" t="n">
        <x:v>0</x:v>
      </x:c>
      <x:c r="V602" s="19" t="n">
        <x:v>0</x:v>
      </x:c>
      <x:c r="W602" s="19" t="n">
        <x:v>0</x:v>
      </x:c>
      <x:c r="X602" t="str"/>
      <x:c r="Y602" s="23" t="str">
        <x:v>No InferenceX benchmark; future GPU scenario requires a separate GPU scaling layer.</x:v>
      </x:c>
    </x:row>
    <x:row r="603">
      <x:c r="A603" t="str">
        <x:v>Qwen 3.5</x:v>
      </x:c>
      <x:c r="B603" t="str">
        <x:v>qwen3.5</x:v>
      </x:c>
      <x:c r="C603" t="str">
        <x:v>Post Rubin</x:v>
      </x:c>
      <x:c r="D603" t="str">
        <x:v>future_scenario</x:v>
      </x:c>
      <x:c r="E603" t="str">
        <x:v>agentic</x:v>
      </x:c>
      <x:c r="F603" s="19" t="n">
        <x:v>70</x:v>
      </x:c>
      <x:c r="G603" t="str"/>
      <x:c r="H603" s="23" t="str">
        <x:v>GPU_SCALING_REQUIRED</x:v>
      </x:c>
      <x:c r="I603" s="20"/>
      <x:c r="J603" s="20"/>
      <x:c r="K603" s="20"/>
      <x:c r="L603" s="20"/>
      <x:c r="M603" s="20"/>
      <x:c r="N603" t="str"/>
      <x:c r="O603" t="str"/>
      <x:c r="P603" s="19"/>
      <x:c r="Q603" s="21" t="str"/>
      <x:c r="R603" s="22"/>
      <x:c r="S603" t="str"/>
      <x:c r="T603" t="str"/>
      <x:c r="U603" s="19" t="n">
        <x:v>0</x:v>
      </x:c>
      <x:c r="V603" s="19" t="n">
        <x:v>0</x:v>
      </x:c>
      <x:c r="W603" s="19" t="n">
        <x:v>0</x:v>
      </x:c>
      <x:c r="X603" t="str"/>
      <x:c r="Y603" s="23" t="str">
        <x:v>No InferenceX benchmark; future GPU scenario requires a separate GPU scaling layer.</x:v>
      </x:c>
    </x:row>
    <x:row r="604">
      <x:c r="A604" t="str">
        <x:v>Qwen 3.5</x:v>
      </x:c>
      <x:c r="B604" t="str">
        <x:v>qwen3.5</x:v>
      </x:c>
      <x:c r="C604" t="str">
        <x:v>Post Rubin</x:v>
      </x:c>
      <x:c r="D604" t="str">
        <x:v>future_scenario</x:v>
      </x:c>
      <x:c r="E604" t="str">
        <x:v>agentic</x:v>
      </x:c>
      <x:c r="F604" s="19" t="n">
        <x:v>100</x:v>
      </x:c>
      <x:c r="G604" t="str"/>
      <x:c r="H604" s="23" t="str">
        <x:v>GPU_SCALING_REQUIRED</x:v>
      </x:c>
      <x:c r="I604" s="20"/>
      <x:c r="J604" s="20"/>
      <x:c r="K604" s="20"/>
      <x:c r="L604" s="20"/>
      <x:c r="M604" s="20"/>
      <x:c r="N604" t="str"/>
      <x:c r="O604" t="str"/>
      <x:c r="P604" s="19"/>
      <x:c r="Q604" s="21" t="str"/>
      <x:c r="R604" s="22"/>
      <x:c r="S604" t="str"/>
      <x:c r="T604" t="str"/>
      <x:c r="U604" s="19" t="n">
        <x:v>0</x:v>
      </x:c>
      <x:c r="V604" s="19" t="n">
        <x:v>0</x:v>
      </x:c>
      <x:c r="W604" s="19" t="n">
        <x:v>0</x:v>
      </x:c>
      <x:c r="X604" t="str"/>
      <x:c r="Y604" s="23" t="str">
        <x:v>No InferenceX benchmark; future GPU scenario requires a separate GPU scaling layer.</x:v>
      </x:c>
    </x:row>
  </x:sheetData>
  <x:mergeCells>
    <x:mergeCell ref="A1:Y1"/>
    <x:mergeCell ref="A2:Y2"/>
  </x:mergeCells>
  <x:conditionalFormatting sqref="H5:H604">
    <x:cfRule type="containsText" dxfId="0" priority="1" operator="containsText" text="DIRECT_PREFERRED"/>
    <x:cfRule type="containsText" dxfId="1" priority="2" operator="containsText" text="DIRECT_OTHER"/>
    <x:cfRule type="containsText" dxfId="2" priority="3" operator="containsText" text="CANDIDATE"/>
    <x:cfRule type="containsText" dxfId="3" priority="4" operator="containsText" text="REQUIRED"/>
    <x:cfRule type="containsText" dxfId="4" priority="5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6db8c603ebad43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2" hidden="0" customWidth="1"/>
    <x:col min="3" max="3" width="11" hidden="0" customWidth="1"/>
    <x:col min="4" max="4" width="11" hidden="0" customWidth="1"/>
    <x:col min="5" max="5" width="20" hidden="0" customWidth="1"/>
    <x:col min="6" max="6" width="9" hidden="0" customWidth="1"/>
    <x:col min="7" max="7" width="16" hidden="0" customWidth="1"/>
    <x:col min="8" max="8" width="14" hidden="0" customWidth="1"/>
    <x:col min="9" max="9" width="14" hidden="0" customWidth="1"/>
    <x:col min="10" max="10" width="18" hidden="0" customWidth="1"/>
    <x:col min="11" max="11" width="16" hidden="0" customWidth="1"/>
    <x:col min="12" max="12" width="15" hidden="0" customWidth="1"/>
    <x:col min="13" max="13" width="18" hidden="0" customWidth="1"/>
    <x:col min="14" max="14" width="22" hidden="0" customWidth="1"/>
    <x:col min="15" max="15" width="22" hidden="0" customWidth="1"/>
  </x:cols>
  <x:sheetData>
    <x:row r="1" ht="30" customHeight="1">
      <x:c r="A1" s="3" t="str">
        <x:v>Framework Coverage Audit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Direct InferenceX coverage for the five proxy models. Supported targets show which common interactivity thresholds have at least one observation.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0" customHeight="1">
      <x:c r="A4" s="16" t="str">
        <x:v>Proxy Model</x:v>
      </x:c>
      <x:c r="B4" s="17" t="str">
        <x:v>Model Code</x:v>
      </x:c>
      <x:c r="C4" s="17" t="str">
        <x:v>GPU</x:v>
      </x:c>
      <x:c r="D4" s="17" t="str">
        <x:v>Workload</x:v>
      </x:c>
      <x:c r="E4" s="17" t="str">
        <x:v>Framework</x:v>
      </x:c>
      <x:c r="F4" s="17" t="str">
        <x:v>Rows</x:v>
      </x:c>
      <x:c r="G4" s="17" t="str">
        <x:v>Distinct Concurrency</x:v>
      </x:c>
      <x:c r="H4" s="17" t="str">
        <x:v>Min Interactivity</x:v>
      </x:c>
      <x:c r="I4" s="17" t="str">
        <x:v>Max Interactivity</x:v>
      </x:c>
      <x:c r="J4" s="17" t="str">
        <x:v>Supported Targets</x:v>
      </x:c>
      <x:c r="K4" s="17" t="str">
        <x:v>Max TPS/MW</x:v>
      </x:c>
      <x:c r="L4" s="17" t="str">
        <x:v>Precisions</x:v>
      </x:c>
      <x:c r="M4" s="17" t="str">
        <x:v>Spec Methods</x:v>
      </x:c>
      <x:c r="N4" s="17" t="str">
        <x:v>First Date</x:v>
      </x:c>
      <x:c r="O4" s="18" t="str">
        <x:v>Last Date</x:v>
      </x:c>
    </x:row>
    <x:row r="5">
      <x:c r="A5" t="str">
        <x:v>DeepSeek V4 Pro</x:v>
      </x:c>
      <x:c r="B5" t="str">
        <x:v>dsv4</x:v>
      </x:c>
      <x:c r="C5" t="str">
        <x:v>B200</x:v>
      </x:c>
      <x:c r="D5" t="str">
        <x:v>agentic</x:v>
      </x:c>
      <x:c r="E5" t="str">
        <x:v>vllm</x:v>
      </x:c>
      <x:c r="F5" s="19" t="n">
        <x:v>27</x:v>
      </x:c>
      <x:c r="G5" s="19" t="n">
        <x:v>23</x:v>
      </x:c>
      <x:c r="H5" s="24" t="n">
        <x:v>21.905805038335156</x:v>
      </x:c>
      <x:c r="I5" s="24" t="n">
        <x:v>195.69471624266146</x:v>
      </x:c>
      <x:c r="J5" t="str">
        <x:v>30,50,70,100</x:v>
      </x:c>
      <x:c r="K5" s="22" t="n">
        <x:v>131230.7894736842</x:v>
      </x:c>
      <x:c r="L5" t="str">
        <x:v>fp4</x:v>
      </x:c>
      <x:c r="M5" t="str">
        <x:v>mtp</x:v>
      </x:c>
      <x:c r="N5" s="21" t="n">
        <x:v>46242</x:v>
      </x:c>
      <x:c r="O5" s="21" t="n">
        <x:v>46242</x:v>
      </x:c>
    </x:row>
    <x:row r="6">
      <x:c r="A6" t="str">
        <x:v>DeepSeek V4 Pro</x:v>
      </x:c>
      <x:c r="B6" t="str">
        <x:v>dsv4</x:v>
      </x:c>
      <x:c r="C6" t="str">
        <x:v>B200</x:v>
      </x:c>
      <x:c r="D6" t="str">
        <x:v>long</x:v>
      </x:c>
      <x:c r="E6" t="str">
        <x:v>dynamo-sglang</x:v>
      </x:c>
      <x:c r="F6" s="19" t="n">
        <x:v>8</x:v>
      </x:c>
      <x:c r="G6" s="19" t="n">
        <x:v>7</x:v>
      </x:c>
      <x:c r="H6" s="24" t="n">
        <x:v>54.96152232803442</x:v>
      </x:c>
      <x:c r="I6" s="24" t="n">
        <x:v>212.6328788230515</x:v>
      </x:c>
      <x:c r="J6" t="str">
        <x:v>30,50,70,100</x:v>
      </x:c>
      <x:c r="K6" s="22" t="n">
        <x:v>1382872.0088385954</x:v>
      </x:c>
      <x:c r="L6" t="str">
        <x:v>fp4</x:v>
      </x:c>
      <x:c r="M6" t="str">
        <x:v>mtp</x:v>
      </x:c>
      <x:c r="N6" s="21" t="n">
        <x:v>46246</x:v>
      </x:c>
      <x:c r="O6" s="21" t="n">
        <x:v>46246</x:v>
      </x:c>
    </x:row>
    <x:row r="7">
      <x:c r="A7" t="str">
        <x:v>DeepSeek V4 Pro</x:v>
      </x:c>
      <x:c r="B7" t="str">
        <x:v>dsv4</x:v>
      </x:c>
      <x:c r="C7" t="str">
        <x:v>B200</x:v>
      </x:c>
      <x:c r="D7" t="str">
        <x:v>long</x:v>
      </x:c>
      <x:c r="E7" t="str">
        <x:v>dynamo-vllm</x:v>
      </x:c>
      <x:c r="F7" s="19" t="n">
        <x:v>34</x:v>
      </x:c>
      <x:c r="G7" s="19" t="n">
        <x:v>12</x:v>
      </x:c>
      <x:c r="H7" s="24" t="n">
        <x:v>14.82375939498948</x:v>
      </x:c>
      <x:c r="I7" s="24" t="n">
        <x:v>189.4444312160347</x:v>
      </x:c>
      <x:c r="J7" t="str">
        <x:v>30,50,70,100</x:v>
      </x:c>
      <x:c r="K7" s="22" t="n">
        <x:v>2666084.3830249854</x:v>
      </x:c>
      <x:c r="L7" t="str">
        <x:v>fp4</x:v>
      </x:c>
      <x:c r="M7" t="str">
        <x:v>mtp, none</x:v>
      </x:c>
      <x:c r="N7" s="21" t="n">
        <x:v>46152</x:v>
      </x:c>
      <x:c r="O7" s="21" t="n">
        <x:v>46241</x:v>
      </x:c>
    </x:row>
    <x:row r="8">
      <x:c r="A8" t="str">
        <x:v>DeepSeek V4 Pro</x:v>
      </x:c>
      <x:c r="B8" t="str">
        <x:v>dsv4</x:v>
      </x:c>
      <x:c r="C8" t="str">
        <x:v>B200</x:v>
      </x:c>
      <x:c r="D8" t="str">
        <x:v>long</x:v>
      </x:c>
      <x:c r="E8" t="str">
        <x:v>sglang</x:v>
      </x:c>
      <x:c r="F8" s="19" t="n">
        <x:v>28</x:v>
      </x:c>
      <x:c r="G8" s="19" t="n">
        <x:v>11</x:v>
      </x:c>
      <x:c r="H8" s="24" t="n">
        <x:v>6.065550760611857</x:v>
      </x:c>
      <x:c r="I8" s="24" t="n">
        <x:v>101.59682696975959</x:v>
      </x:c>
      <x:c r="J8" t="str">
        <x:v>30,50,70,100</x:v>
      </x:c>
      <x:c r="K8" s="22" t="n">
        <x:v>530886.1546263403</x:v>
      </x:c>
      <x:c r="L8" t="str">
        <x:v>fp4</x:v>
      </x:c>
      <x:c r="M8" t="str">
        <x:v>none</x:v>
      </x:c>
      <x:c r="N8" s="21" t="n">
        <x:v>46136</x:v>
      </x:c>
      <x:c r="O8" s="21" t="n">
        <x:v>46204</x:v>
      </x:c>
    </x:row>
    <x:row r="9">
      <x:c r="A9" t="str">
        <x:v>DeepSeek V4 Pro</x:v>
      </x:c>
      <x:c r="B9" t="str">
        <x:v>dsv4</x:v>
      </x:c>
      <x:c r="C9" t="str">
        <x:v>B200</x:v>
      </x:c>
      <x:c r="D9" t="str">
        <x:v>long</x:v>
      </x:c>
      <x:c r="E9" t="str">
        <x:v>trt</x:v>
      </x:c>
      <x:c r="F9" s="19" t="n">
        <x:v>40</x:v>
      </x:c>
      <x:c r="G9" s="19" t="n">
        <x:v>10</x:v>
      </x:c>
      <x:c r="H9" s="24" t="n">
        <x:v>15.22086022137473</x:v>
      </x:c>
      <x:c r="I9" s="24" t="n">
        <x:v>226.3558998441542</x:v>
      </x:c>
      <x:c r="J9" t="str">
        <x:v>30,50,70,100</x:v>
      </x:c>
      <x:c r="K9" s="22" t="n">
        <x:v>339910.5619793023</x:v>
      </x:c>
      <x:c r="L9" t="str">
        <x:v>fp4</x:v>
      </x:c>
      <x:c r="M9" t="str">
        <x:v>mtp, none</x:v>
      </x:c>
      <x:c r="N9" s="21" t="n">
        <x:v>46148</x:v>
      </x:c>
      <x:c r="O9" s="21" t="n">
        <x:v>46185</x:v>
      </x:c>
    </x:row>
    <x:row r="10">
      <x:c r="A10" t="str">
        <x:v>DeepSeek V4 Pro</x:v>
      </x:c>
      <x:c r="B10" t="str">
        <x:v>dsv4</x:v>
      </x:c>
      <x:c r="C10" t="str">
        <x:v>B200</x:v>
      </x:c>
      <x:c r="D10" t="str">
        <x:v>long</x:v>
      </x:c>
      <x:c r="E10" t="str">
        <x:v>vllm</x:v>
      </x:c>
      <x:c r="F10" s="19" t="n">
        <x:v>97</x:v>
      </x:c>
      <x:c r="G10" s="19" t="n">
        <x:v>11</x:v>
      </x:c>
      <x:c r="H10" s="24" t="n">
        <x:v>4.3554359643024245</x:v>
      </x:c>
      <x:c r="I10" s="24" t="n">
        <x:v>206.57857559295388</x:v>
      </x:c>
      <x:c r="J10" t="str">
        <x:v>30,50,70,100</x:v>
      </x:c>
      <x:c r="K10" s="22" t="n">
        <x:v>452314.70191325655</x:v>
      </x:c>
      <x:c r="L10" t="str">
        <x:v>fp4</x:v>
      </x:c>
      <x:c r="M10" t="str">
        <x:v>mtp, none</x:v>
      </x:c>
      <x:c r="N10" s="21" t="n">
        <x:v>46139</x:v>
      </x:c>
      <x:c r="O10" s="21" t="n">
        <x:v>46215</x:v>
      </x:c>
    </x:row>
    <x:row r="11">
      <x:c r="A11" t="str">
        <x:v>DeepSeek V4 Pro</x:v>
      </x:c>
      <x:c r="B11" t="str">
        <x:v>dsv4</x:v>
      </x:c>
      <x:c r="C11" t="str">
        <x:v>B200</x:v>
      </x:c>
      <x:c r="D11" t="str">
        <x:v>short</x:v>
      </x:c>
      <x:c r="E11" t="str">
        <x:v>sglang</x:v>
      </x:c>
      <x:c r="F11" s="19" t="n">
        <x:v>30</x:v>
      </x:c>
      <x:c r="G11" s="19" t="n">
        <x:v>11</x:v>
      </x:c>
      <x:c r="H11" s="24" t="n">
        <x:v>12.771970826478467</x:v>
      </x:c>
      <x:c r="I11" s="24" t="n">
        <x:v>103.37669714081146</x:v>
      </x:c>
      <x:c r="J11" t="str">
        <x:v>30,50,70,100</x:v>
      </x:c>
      <x:c r="K11" s="22" t="n">
        <x:v>1317862.5048140653</x:v>
      </x:c>
      <x:c r="L11" t="str">
        <x:v>fp4</x:v>
      </x:c>
      <x:c r="M11" t="str">
        <x:v>none</x:v>
      </x:c>
      <x:c r="N11" s="21" t="n">
        <x:v>46136</x:v>
      </x:c>
      <x:c r="O11" s="21" t="n">
        <x:v>46204</x:v>
      </x:c>
    </x:row>
    <x:row r="12">
      <x:c r="A12" t="str">
        <x:v>DeepSeek V4 Pro</x:v>
      </x:c>
      <x:c r="B12" t="str">
        <x:v>dsv4</x:v>
      </x:c>
      <x:c r="C12" t="str">
        <x:v>B200</x:v>
      </x:c>
      <x:c r="D12" t="str">
        <x:v>short</x:v>
      </x:c>
      <x:c r="E12" t="str">
        <x:v>trt</x:v>
      </x:c>
      <x:c r="F12" s="19" t="n">
        <x:v>40</x:v>
      </x:c>
      <x:c r="G12" s="19" t="n">
        <x:v>10</x:v>
      </x:c>
      <x:c r="H12" s="24" t="n">
        <x:v>23.76598550438225</x:v>
      </x:c>
      <x:c r="I12" s="24" t="n">
        <x:v>191.91575690407697</x:v>
      </x:c>
      <x:c r="J12" t="str">
        <x:v>30,50,70,100</x:v>
      </x:c>
      <x:c r="K12" s="22" t="n">
        <x:v>878606.0389253648</x:v>
      </x:c>
      <x:c r="L12" t="str">
        <x:v>fp4</x:v>
      </x:c>
      <x:c r="M12" t="str">
        <x:v>mtp, none</x:v>
      </x:c>
      <x:c r="N12" s="21" t="n">
        <x:v>46148</x:v>
      </x:c>
      <x:c r="O12" s="21" t="n">
        <x:v>46185</x:v>
      </x:c>
    </x:row>
    <x:row r="13">
      <x:c r="A13" t="str">
        <x:v>DeepSeek V4 Pro</x:v>
      </x:c>
      <x:c r="B13" t="str">
        <x:v>dsv4</x:v>
      </x:c>
      <x:c r="C13" t="str">
        <x:v>B200</x:v>
      </x:c>
      <x:c r="D13" t="str">
        <x:v>short</x:v>
      </x:c>
      <x:c r="E13" t="str">
        <x:v>vllm</x:v>
      </x:c>
      <x:c r="F13" s="19" t="n">
        <x:v>116</x:v>
      </x:c>
      <x:c r="G13" s="19" t="n">
        <x:v>13</x:v>
      </x:c>
      <x:c r="H13" s="24" t="n">
        <x:v>2.704426989400852</x:v>
      </x:c>
      <x:c r="I13" s="24" t="n">
        <x:v>193.73934797057365</x:v>
      </x:c>
      <x:c r="J13" t="str">
        <x:v>30,50,70,100</x:v>
      </x:c>
      <x:c r="K13" s="22" t="n">
        <x:v>2382608.7879922986</x:v>
      </x:c>
      <x:c r="L13" t="str">
        <x:v>fp4</x:v>
      </x:c>
      <x:c r="M13" t="str">
        <x:v>mtp, none</x:v>
      </x:c>
      <x:c r="N13" s="21" t="n">
        <x:v>46139</x:v>
      </x:c>
      <x:c r="O13" s="21" t="n">
        <x:v>46215</x:v>
      </x:c>
    </x:row>
    <x:row r="14">
      <x:c r="A14" t="str">
        <x:v>DeepSeek V4 Pro</x:v>
      </x:c>
      <x:c r="B14" t="str">
        <x:v>dsv4</x:v>
      </x:c>
      <x:c r="C14" t="str">
        <x:v>B300</x:v>
      </x:c>
      <x:c r="D14" t="str">
        <x:v>agentic</x:v>
      </x:c>
      <x:c r="E14" t="str">
        <x:v>vllm</x:v>
      </x:c>
      <x:c r="F14" s="19" t="n">
        <x:v>43</x:v>
      </x:c>
      <x:c r="G14" s="19" t="n">
        <x:v>28</x:v>
      </x:c>
      <x:c r="H14" s="24" t="n">
        <x:v>14.310246136233543</x:v>
      </x:c>
      <x:c r="I14" s="24" t="n">
        <x:v>204.49897750511246</x:v>
      </x:c>
      <x:c r="J14" t="str">
        <x:v>30,50,70,100</x:v>
      </x:c>
      <x:c r="K14" s="22" t="n">
        <x:v>428235.3631578948</x:v>
      </x:c>
      <x:c r="L14" t="str">
        <x:v>fp4</x:v>
      </x:c>
      <x:c r="M14" t="str">
        <x:v>mtp</x:v>
      </x:c>
      <x:c r="N14" s="21" t="n">
        <x:v>46241</x:v>
      </x:c>
      <x:c r="O14" s="21" t="n">
        <x:v>46245</x:v>
      </x:c>
    </x:row>
    <x:row r="15">
      <x:c r="A15" t="str">
        <x:v>DeepSeek V4 Pro</x:v>
      </x:c>
      <x:c r="B15" t="str">
        <x:v>dsv4</x:v>
      </x:c>
      <x:c r="C15" t="str">
        <x:v>B300</x:v>
      </x:c>
      <x:c r="D15" t="str">
        <x:v>long</x:v>
      </x:c>
      <x:c r="E15" t="str">
        <x:v>dynamo-sglang</x:v>
      </x:c>
      <x:c r="F15" s="19" t="n">
        <x:v>18</x:v>
      </x:c>
      <x:c r="G15" s="19" t="n">
        <x:v>11</x:v>
      </x:c>
      <x:c r="H15" s="24" t="n">
        <x:v>21.579568619474756</x:v>
      </x:c>
      <x:c r="I15" s="24" t="n">
        <x:v>192.0859193735955</x:v>
      </x:c>
      <x:c r="J15" t="str">
        <x:v>30,50,70,100</x:v>
      </x:c>
      <x:c r="K15" s="22" t="n">
        <x:v>2837835.016764473</x:v>
      </x:c>
      <x:c r="L15" t="str">
        <x:v>fp4</x:v>
      </x:c>
      <x:c r="M15" t="str">
        <x:v>mtp, none</x:v>
      </x:c>
      <x:c r="N15" s="21" t="n">
        <x:v>46233</x:v>
      </x:c>
      <x:c r="O15" s="21" t="n">
        <x:v>46233</x:v>
      </x:c>
    </x:row>
    <x:row r="16">
      <x:c r="A16" t="str">
        <x:v>DeepSeek V4 Pro</x:v>
      </x:c>
      <x:c r="B16" t="str">
        <x:v>dsv4</x:v>
      </x:c>
      <x:c r="C16" t="str">
        <x:v>B300</x:v>
      </x:c>
      <x:c r="D16" t="str">
        <x:v>long</x:v>
      </x:c>
      <x:c r="E16" t="str">
        <x:v>dynamo-vllm</x:v>
      </x:c>
      <x:c r="F16" s="19" t="n">
        <x:v>14</x:v>
      </x:c>
      <x:c r="G16" s="19" t="n">
        <x:v>7</x:v>
      </x:c>
      <x:c r="H16" s="24" t="n">
        <x:v>16.774990561247</x:v>
      </x:c>
      <x:c r="I16" s="24" t="n">
        <x:v>91.37827741413341</x:v>
      </x:c>
      <x:c r="J16" t="str">
        <x:v>30,50,70</x:v>
      </x:c>
      <x:c r="K16" s="22" t="n">
        <x:v>1379303.0064813425</x:v>
      </x:c>
      <x:c r="L16" t="str">
        <x:v>fp4</x:v>
      </x:c>
      <x:c r="M16" t="str">
        <x:v>none</x:v>
      </x:c>
      <x:c r="N16" s="21" t="n">
        <x:v>46151</x:v>
      </x:c>
      <x:c r="O16" s="21" t="n">
        <x:v>46202</x:v>
      </x:c>
    </x:row>
    <x:row r="17">
      <x:c r="A17" t="str">
        <x:v>DeepSeek V4 Pro</x:v>
      </x:c>
      <x:c r="B17" t="str">
        <x:v>dsv4</x:v>
      </x:c>
      <x:c r="C17" t="str">
        <x:v>B300</x:v>
      </x:c>
      <x:c r="D17" t="str">
        <x:v>long</x:v>
      </x:c>
      <x:c r="E17" t="str">
        <x:v>sglang</x:v>
      </x:c>
      <x:c r="F17" s="19" t="n">
        <x:v>55</x:v>
      </x:c>
      <x:c r="G17" s="19" t="n">
        <x:v>12</x:v>
      </x:c>
      <x:c r="H17" s="24" t="n">
        <x:v>2.018483573592382</x:v>
      </x:c>
      <x:c r="I17" s="24" t="n">
        <x:v>270.08681860870337</x:v>
      </x:c>
      <x:c r="J17" t="str">
        <x:v>30,50,70,100</x:v>
      </x:c>
      <x:c r="K17" s="22" t="n">
        <x:v>623982.643226619</x:v>
      </x:c>
      <x:c r="L17" t="str">
        <x:v>fp4</x:v>
      </x:c>
      <x:c r="M17" t="str">
        <x:v>mtp, none</x:v>
      </x:c>
      <x:c r="N17" s="21" t="n">
        <x:v>46136</x:v>
      </x:c>
      <x:c r="O17" s="21" t="n">
        <x:v>46199</x:v>
      </x:c>
    </x:row>
    <x:row r="18">
      <x:c r="A18" t="str">
        <x:v>DeepSeek V4 Pro</x:v>
      </x:c>
      <x:c r="B18" t="str">
        <x:v>dsv4</x:v>
      </x:c>
      <x:c r="C18" t="str">
        <x:v>B300</x:v>
      </x:c>
      <x:c r="D18" t="str">
        <x:v>long</x:v>
      </x:c>
      <x:c r="E18" t="str">
        <x:v>trt</x:v>
      </x:c>
      <x:c r="F18" s="19" t="n">
        <x:v>49</x:v>
      </x:c>
      <x:c r="G18" s="19" t="n">
        <x:v>10</x:v>
      </x:c>
      <x:c r="H18" s="24" t="n">
        <x:v>6.195952151083269</x:v>
      </x:c>
      <x:c r="I18" s="24" t="n">
        <x:v>204.36651625216385</x:v>
      </x:c>
      <x:c r="J18" t="str">
        <x:v>30,50,70,100</x:v>
      </x:c>
      <x:c r="K18" s="22" t="n">
        <x:v>445818.01695949986</x:v>
      </x:c>
      <x:c r="L18" t="str">
        <x:v>fp4</x:v>
      </x:c>
      <x:c r="M18" t="str">
        <x:v>mtp, none</x:v>
      </x:c>
      <x:c r="N18" s="21" t="n">
        <x:v>46145</x:v>
      </x:c>
      <x:c r="O18" s="21" t="n">
        <x:v>46185</x:v>
      </x:c>
    </x:row>
    <x:row r="19">
      <x:c r="A19" t="str">
        <x:v>DeepSeek V4 Pro</x:v>
      </x:c>
      <x:c r="B19" t="str">
        <x:v>dsv4</x:v>
      </x:c>
      <x:c r="C19" t="str">
        <x:v>B300</x:v>
      </x:c>
      <x:c r="D19" t="str">
        <x:v>long</x:v>
      </x:c>
      <x:c r="E19" t="str">
        <x:v>vllm</x:v>
      </x:c>
      <x:c r="F19" s="19" t="n">
        <x:v>157</x:v>
      </x:c>
      <x:c r="G19" s="19" t="n">
        <x:v>13</x:v>
      </x:c>
      <x:c r="H19" s="24" t="n">
        <x:v>4.034954087462055</x:v>
      </x:c>
      <x:c r="I19" s="24" t="n">
        <x:v>198.92806055405083</x:v>
      </x:c>
      <x:c r="J19" t="str">
        <x:v>30,50,70,100</x:v>
      </x:c>
      <x:c r="K19" s="22" t="n">
        <x:v>636312.7664129469</x:v>
      </x:c>
      <x:c r="L19" t="str">
        <x:v>fp4</x:v>
      </x:c>
      <x:c r="M19" t="str">
        <x:v>mtp, none</x:v>
      </x:c>
      <x:c r="N19" s="21" t="n">
        <x:v>46137</x:v>
      </x:c>
      <x:c r="O19" s="21" t="n">
        <x:v>46215</x:v>
      </x:c>
    </x:row>
    <x:row r="20">
      <x:c r="A20" t="str">
        <x:v>DeepSeek V4 Pro</x:v>
      </x:c>
      <x:c r="B20" t="str">
        <x:v>dsv4</x:v>
      </x:c>
      <x:c r="C20" t="str">
        <x:v>B300</x:v>
      </x:c>
      <x:c r="D20" t="str">
        <x:v>short</x:v>
      </x:c>
      <x:c r="E20" t="str">
        <x:v>sglang</x:v>
      </x:c>
      <x:c r="F20" s="19" t="n">
        <x:v>51</x:v>
      </x:c>
      <x:c r="G20" s="19" t="n">
        <x:v>12</x:v>
      </x:c>
      <x:c r="H20" s="24" t="n">
        <x:v>4.219738229309031</x:v>
      </x:c>
      <x:c r="I20" s="24" t="n">
        <x:v>182.2658059271248</x:v>
      </x:c>
      <x:c r="J20" t="str">
        <x:v>30,50,70,100</x:v>
      </x:c>
      <x:c r="K20" s="22" t="n">
        <x:v>2766742.4283511247</x:v>
      </x:c>
      <x:c r="L20" t="str">
        <x:v>fp4</x:v>
      </x:c>
      <x:c r="M20" t="str">
        <x:v>mtp, none</x:v>
      </x:c>
      <x:c r="N20" s="21" t="n">
        <x:v>46136</x:v>
      </x:c>
      <x:c r="O20" s="21" t="n">
        <x:v>46199</x:v>
      </x:c>
    </x:row>
    <x:row r="21">
      <x:c r="A21" t="str">
        <x:v>DeepSeek V4 Pro</x:v>
      </x:c>
      <x:c r="B21" t="str">
        <x:v>dsv4</x:v>
      </x:c>
      <x:c r="C21" t="str">
        <x:v>B300</x:v>
      </x:c>
      <x:c r="D21" t="str">
        <x:v>short</x:v>
      </x:c>
      <x:c r="E21" t="str">
        <x:v>trt</x:v>
      </x:c>
      <x:c r="F21" s="19" t="n">
        <x:v>61</x:v>
      </x:c>
      <x:c r="G21" s="19" t="n">
        <x:v>12</x:v>
      </x:c>
      <x:c r="H21" s="24" t="n">
        <x:v>9.397145377457674</x:v>
      </x:c>
      <x:c r="I21" s="24" t="n">
        <x:v>172.55536898695087</x:v>
      </x:c>
      <x:c r="J21" t="str">
        <x:v>30,50,70,100</x:v>
      </x:c>
      <x:c r="K21" s="22" t="n">
        <x:v>1538008.8976419386</x:v>
      </x:c>
      <x:c r="L21" t="str">
        <x:v>fp4</x:v>
      </x:c>
      <x:c r="M21" t="str">
        <x:v>mtp, none</x:v>
      </x:c>
      <x:c r="N21" s="21" t="n">
        <x:v>46145</x:v>
      </x:c>
      <x:c r="O21" s="21" t="n">
        <x:v>46185</x:v>
      </x:c>
    </x:row>
    <x:row r="22">
      <x:c r="A22" t="str">
        <x:v>DeepSeek V4 Pro</x:v>
      </x:c>
      <x:c r="B22" t="str">
        <x:v>dsv4</x:v>
      </x:c>
      <x:c r="C22" t="str">
        <x:v>B300</x:v>
      </x:c>
      <x:c r="D22" t="str">
        <x:v>short</x:v>
      </x:c>
      <x:c r="E22" t="str">
        <x:v>vllm</x:v>
      </x:c>
      <x:c r="F22" s="19" t="n">
        <x:v>173</x:v>
      </x:c>
      <x:c r="G22" s="19" t="n">
        <x:v>14</x:v>
      </x:c>
      <x:c r="H22" s="24" t="n">
        <x:v>4.16020350872589</x:v>
      </x:c>
      <x:c r="I22" s="24" t="n">
        <x:v>197.9302344509918</x:v>
      </x:c>
      <x:c r="J22" t="str">
        <x:v>30,50,70,100</x:v>
      </x:c>
      <x:c r="K22" s="22" t="n">
        <x:v>2808713.7680294286</x:v>
      </x:c>
      <x:c r="L22" t="str">
        <x:v>fp4</x:v>
      </x:c>
      <x:c r="M22" t="str">
        <x:v>mtp, none</x:v>
      </x:c>
      <x:c r="N22" s="21" t="n">
        <x:v>46137</x:v>
      </x:c>
      <x:c r="O22" s="21" t="n">
        <x:v>46215</x:v>
      </x:c>
    </x:row>
    <x:row r="23">
      <x:c r="A23" t="str">
        <x:v>DeepSeek V4 Pro</x:v>
      </x:c>
      <x:c r="B23" t="str">
        <x:v>dsv4</x:v>
      </x:c>
      <x:c r="C23" t="str">
        <x:v>GB200</x:v>
      </x:c>
      <x:c r="D23" t="str">
        <x:v>long</x:v>
      </x:c>
      <x:c r="E23" t="str">
        <x:v>dynamo-sglang</x:v>
      </x:c>
      <x:c r="F23" s="19" t="n">
        <x:v>18</x:v>
      </x:c>
      <x:c r="G23" s="19" t="n">
        <x:v>14</x:v>
      </x:c>
      <x:c r="H23" s="24" t="n">
        <x:v>19.64480845590113</x:v>
      </x:c>
      <x:c r="I23" s="24" t="n">
        <x:v>203.85053036112</x:v>
      </x:c>
      <x:c r="J23" t="str">
        <x:v>30,50,70,100</x:v>
      </x:c>
      <x:c r="K23" s="22" t="n">
        <x:v>2868181.764818649</x:v>
      </x:c>
      <x:c r="L23" t="str">
        <x:v>fp4</x:v>
      </x:c>
      <x:c r="M23" t="str">
        <x:v>mtp, none</x:v>
      </x:c>
      <x:c r="N23" s="21" t="n">
        <x:v>46185</x:v>
      </x:c>
      <x:c r="O23" s="21" t="n">
        <x:v>46197</x:v>
      </x:c>
    </x:row>
    <x:row r="24">
      <x:c r="A24" t="str">
        <x:v>DeepSeek V4 Pro</x:v>
      </x:c>
      <x:c r="B24" t="str">
        <x:v>dsv4</x:v>
      </x:c>
      <x:c r="C24" t="str">
        <x:v>GB200</x:v>
      </x:c>
      <x:c r="D24" t="str">
        <x:v>long</x:v>
      </x:c>
      <x:c r="E24" t="str">
        <x:v>dynamo-vllm</x:v>
      </x:c>
      <x:c r="F24" s="19" t="n">
        <x:v>47</x:v>
      </x:c>
      <x:c r="G24" s="19" t="n">
        <x:v>12</x:v>
      </x:c>
      <x:c r="H24" s="24" t="n">
        <x:v>5.818157983331878</x:v>
      </x:c>
      <x:c r="I24" s="24" t="n">
        <x:v>152.95573768135054</x:v>
      </x:c>
      <x:c r="J24" t="str">
        <x:v>30,50,70,100</x:v>
      </x:c>
      <x:c r="K24" s="22" t="n">
        <x:v>2231895.136988307</x:v>
      </x:c>
      <x:c r="L24" t="str">
        <x:v>fp4</x:v>
      </x:c>
      <x:c r="M24" t="str">
        <x:v>mtp, none</x:v>
      </x:c>
      <x:c r="N24" s="21" t="n">
        <x:v>46137</x:v>
      </x:c>
      <x:c r="O24" s="21" t="n">
        <x:v>46233</x:v>
      </x:c>
    </x:row>
    <x:row r="25">
      <x:c r="A25" t="str">
        <x:v>DeepSeek V4 Pro</x:v>
      </x:c>
      <x:c r="B25" t="str">
        <x:v>dsv4</x:v>
      </x:c>
      <x:c r="C25" t="str">
        <x:v>GB200</x:v>
      </x:c>
      <x:c r="D25" t="str">
        <x:v>long</x:v>
      </x:c>
      <x:c r="E25" t="str">
        <x:v>llmd-vllm</x:v>
      </x:c>
      <x:c r="F25" s="19" t="n">
        <x:v>12</x:v>
      </x:c>
      <x:c r="G25" s="19" t="n">
        <x:v>5</x:v>
      </x:c>
      <x:c r="H25" s="24" t="n">
        <x:v>15.071811154823866</x:v>
      </x:c>
      <x:c r="I25" s="24" t="n">
        <x:v>93.29603530707621</x:v>
      </x:c>
      <x:c r="J25" t="str">
        <x:v>30,50,70</x:v>
      </x:c>
      <x:c r="K25" s="22" t="n">
        <x:v>2255097.5069371974</x:v>
      </x:c>
      <x:c r="L25" t="str">
        <x:v>fp4</x:v>
      </x:c>
      <x:c r="M25" t="str">
        <x:v>none</x:v>
      </x:c>
      <x:c r="N25" s="21" t="n">
        <x:v>46212</x:v>
      </x:c>
      <x:c r="O25" s="21" t="n">
        <x:v>46244</x:v>
      </x:c>
    </x:row>
    <x:row r="26">
      <x:c r="A26" t="str">
        <x:v>DeepSeek V4 Pro</x:v>
      </x:c>
      <x:c r="B26" t="str">
        <x:v>dsv4</x:v>
      </x:c>
      <x:c r="C26" t="str">
        <x:v>GB200</x:v>
      </x:c>
      <x:c r="D26" t="str">
        <x:v>short</x:v>
      </x:c>
      <x:c r="E26" t="str">
        <x:v>dynamo-vllm</x:v>
      </x:c>
      <x:c r="F26" s="19" t="n">
        <x:v>9</x:v>
      </x:c>
      <x:c r="G26" s="19" t="n">
        <x:v>9</x:v>
      </x:c>
      <x:c r="H26" s="24" t="n">
        <x:v>10.145082944085855</x:v>
      </x:c>
      <x:c r="I26" s="24" t="n">
        <x:v>76.11483677466592</x:v>
      </x:c>
      <x:c r="J26" t="str">
        <x:v>30,50,70</x:v>
      </x:c>
      <x:c r="K26" s="22" t="n">
        <x:v>1922850.6588180473</x:v>
      </x:c>
      <x:c r="L26" t="str">
        <x:v>fp4</x:v>
      </x:c>
      <x:c r="M26" t="str">
        <x:v>none</x:v>
      </x:c>
      <x:c r="N26" s="21" t="n">
        <x:v>46137</x:v>
      </x:c>
      <x:c r="O26" s="21" t="n">
        <x:v>46137</x:v>
      </x:c>
    </x:row>
    <x:row r="27">
      <x:c r="A27" t="str">
        <x:v>DeepSeek V4 Pro</x:v>
      </x:c>
      <x:c r="B27" t="str">
        <x:v>dsv4</x:v>
      </x:c>
      <x:c r="C27" t="str">
        <x:v>GB300</x:v>
      </x:c>
      <x:c r="D27" t="str">
        <x:v>agentic</x:v>
      </x:c>
      <x:c r="E27" t="str">
        <x:v>dynamo-sglang</x:v>
      </x:c>
      <x:c r="F27" s="19" t="n">
        <x:v>17</x:v>
      </x:c>
      <x:c r="G27" s="19" t="n">
        <x:v>10</x:v>
      </x:c>
      <x:c r="H27" s="24" t="n">
        <x:v>40.551500405515</x:v>
      </x:c>
      <x:c r="I27" s="24" t="n">
        <x:v>172.1170395869191</x:v>
      </x:c>
      <x:c r="J27" t="str">
        <x:v>30,50,70,100</x:v>
      </x:c>
      <x:c r="K27" s="22" t="n">
        <x:v>259761.23584905657</x:v>
      </x:c>
      <x:c r="L27" t="str">
        <x:v>fp4</x:v>
      </x:c>
      <x:c r="M27" t="str">
        <x:v>mtp</x:v>
      </x:c>
      <x:c r="N27" s="21" t="n">
        <x:v>46243</x:v>
      </x:c>
      <x:c r="O27" s="21" t="n">
        <x:v>46244</x:v>
      </x:c>
    </x:row>
    <x:row r="28">
      <x:c r="A28" t="str">
        <x:v>DeepSeek V4 Pro</x:v>
      </x:c>
      <x:c r="B28" t="str">
        <x:v>dsv4</x:v>
      </x:c>
      <x:c r="C28" t="str">
        <x:v>GB300</x:v>
      </x:c>
      <x:c r="D28" t="str">
        <x:v>long</x:v>
      </x:c>
      <x:c r="E28" t="str">
        <x:v>dynamo-sglang</x:v>
      </x:c>
      <x:c r="F28" s="19" t="n">
        <x:v>78</x:v>
      </x:c>
      <x:c r="G28" s="19" t="n">
        <x:v>15</x:v>
      </x:c>
      <x:c r="H28" s="24" t="n">
        <x:v>11.03226835016271</x:v>
      </x:c>
      <x:c r="I28" s="24" t="n">
        <x:v>244.67941864419228</x:v>
      </x:c>
      <x:c r="J28" t="str">
        <x:v>30,50,70,100</x:v>
      </x:c>
      <x:c r="K28" s="22" t="n">
        <x:v>4313028.891916903</x:v>
      </x:c>
      <x:c r="L28" t="str">
        <x:v>fp4</x:v>
      </x:c>
      <x:c r="M28" t="str">
        <x:v>mtp, none</x:v>
      </x:c>
      <x:c r="N28" s="21" t="n">
        <x:v>46142</x:v>
      </x:c>
      <x:c r="O28" s="21" t="n">
        <x:v>46241</x:v>
      </x:c>
    </x:row>
    <x:row r="29">
      <x:c r="A29" t="str">
        <x:v>DeepSeek V4 Pro</x:v>
      </x:c>
      <x:c r="B29" t="str">
        <x:v>dsv4</x:v>
      </x:c>
      <x:c r="C29" t="str">
        <x:v>GB300</x:v>
      </x:c>
      <x:c r="D29" t="str">
        <x:v>long</x:v>
      </x:c>
      <x:c r="E29" t="str">
        <x:v>dynamo-trt</x:v>
      </x:c>
      <x:c r="F29" s="19" t="n">
        <x:v>26</x:v>
      </x:c>
      <x:c r="G29" s="19" t="n">
        <x:v>19</x:v>
      </x:c>
      <x:c r="H29" s="24" t="n">
        <x:v>17.367063346754133</x:v>
      </x:c>
      <x:c r="I29" s="24" t="n">
        <x:v>205.95206342376147</x:v>
      </x:c>
      <x:c r="J29" t="str">
        <x:v>30,50,70,100</x:v>
      </x:c>
      <x:c r="K29" s="22" t="n">
        <x:v>4569214.841962881</x:v>
      </x:c>
      <x:c r="L29" t="str">
        <x:v>fp4</x:v>
      </x:c>
      <x:c r="M29" t="str">
        <x:v>mtp, none</x:v>
      </x:c>
      <x:c r="N29" s="21" t="n">
        <x:v>46188</x:v>
      </x:c>
      <x:c r="O29" s="21" t="n">
        <x:v>46188</x:v>
      </x:c>
    </x:row>
    <x:row r="30">
      <x:c r="A30" t="str">
        <x:v>DeepSeek V4 Pro</x:v>
      </x:c>
      <x:c r="B30" t="str">
        <x:v>dsv4</x:v>
      </x:c>
      <x:c r="C30" t="str">
        <x:v>GB300</x:v>
      </x:c>
      <x:c r="D30" t="str">
        <x:v>long</x:v>
      </x:c>
      <x:c r="E30" t="str">
        <x:v>dynamo-vllm</x:v>
      </x:c>
      <x:c r="F30" s="19" t="n">
        <x:v>12</x:v>
      </x:c>
      <x:c r="G30" s="19" t="n">
        <x:v>4</x:v>
      </x:c>
      <x:c r="H30" s="24" t="n">
        <x:v>12.848274257481956</x:v>
      </x:c>
      <x:c r="I30" s="24" t="n">
        <x:v>86.57366423268786</x:v>
      </x:c>
      <x:c r="J30" t="str">
        <x:v>30,50,70</x:v>
      </x:c>
      <x:c r="K30" s="22" t="n">
        <x:v>2652749.281081877</x:v>
      </x:c>
      <x:c r="L30" t="str">
        <x:v>fp4</x:v>
      </x:c>
      <x:c r="M30" t="str">
        <x:v>none</x:v>
      </x:c>
      <x:c r="N30" s="21" t="n">
        <x:v>46143</x:v>
      </x:c>
      <x:c r="O30" s="21" t="n">
        <x:v>46209</x:v>
      </x:c>
    </x:row>
    <x:row r="31">
      <x:c r="A31" t="str">
        <x:v>DeepSeek V4 Pro</x:v>
      </x:c>
      <x:c r="B31" t="str">
        <x:v>dsv4</x:v>
      </x:c>
      <x:c r="C31" t="str">
        <x:v>GB300</x:v>
      </x:c>
      <x:c r="D31" t="str">
        <x:v>short</x:v>
      </x:c>
      <x:c r="E31" t="str">
        <x:v>dynamo-trt</x:v>
      </x:c>
      <x:c r="F31" s="19" t="n">
        <x:v>28</x:v>
      </x:c>
      <x:c r="G31" s="19" t="n">
        <x:v>17</x:v>
      </x:c>
      <x:c r="H31" s="24" t="n">
        <x:v>12.987083662210242</x:v>
      </x:c>
      <x:c r="I31" s="24" t="n">
        <x:v>223.13774123724158</x:v>
      </x:c>
      <x:c r="J31" t="str">
        <x:v>30,50,70,100</x:v>
      </x:c>
      <x:c r="K31" s="22" t="n">
        <x:v>5585467.654955904</x:v>
      </x:c>
      <x:c r="L31" t="str">
        <x:v>fp4</x:v>
      </x:c>
      <x:c r="M31" t="str">
        <x:v>mtp, none</x:v>
      </x:c>
      <x:c r="N31" s="21" t="n">
        <x:v>46188</x:v>
      </x:c>
      <x:c r="O31" s="21" t="n">
        <x:v>46188</x:v>
      </x:c>
    </x:row>
    <x:row r="32">
      <x:c r="A32" t="str">
        <x:v>DeepSeek V4 Pro</x:v>
      </x:c>
      <x:c r="B32" t="str">
        <x:v>dsv4</x:v>
      </x:c>
      <x:c r="C32" t="str">
        <x:v>H200</x:v>
      </x:c>
      <x:c r="D32" t="str">
        <x:v>agentic</x:v>
      </x:c>
      <x:c r="E32" t="str">
        <x:v>dynamo-sglang</x:v>
      </x:c>
      <x:c r="F32" s="19" t="n">
        <x:v>5</x:v>
      </x:c>
      <x:c r="G32" s="19" t="n">
        <x:v>5</x:v>
      </x:c>
      <x:c r="H32" s="24" t="n">
        <x:v>64.80881399870383</x:v>
      </x:c>
      <x:c r="I32" s="24" t="n">
        <x:v>156.00624024961</x:v>
      </x:c>
      <x:c r="J32" t="str">
        <x:v>30,50,70,100</x:v>
      </x:c>
      <x:c r="K32" s="22" t="n">
        <x:v>25811.93430656934</x:v>
      </x:c>
      <x:c r="L32" t="str">
        <x:v>fp8</x:v>
      </x:c>
      <x:c r="M32" t="str">
        <x:v>mtp</x:v>
      </x:c>
      <x:c r="N32" s="21" t="n">
        <x:v>46245</x:v>
      </x:c>
      <x:c r="O32" s="21" t="n">
        <x:v>46245</x:v>
      </x:c>
    </x:row>
    <x:row r="33">
      <x:c r="A33" t="str">
        <x:v>DeepSeek V4 Pro</x:v>
      </x:c>
      <x:c r="B33" t="str">
        <x:v>dsv4</x:v>
      </x:c>
      <x:c r="C33" t="str">
        <x:v>H200</x:v>
      </x:c>
      <x:c r="D33" t="str">
        <x:v>long</x:v>
      </x:c>
      <x:c r="E33" t="str">
        <x:v>sglang</x:v>
      </x:c>
      <x:c r="F33" s="19" t="n">
        <x:v>24</x:v>
      </x:c>
      <x:c r="G33" s="19" t="n">
        <x:v>6</x:v>
      </x:c>
      <x:c r="H33" s="24" t="n">
        <x:v>6.444183592030511</x:v>
      </x:c>
      <x:c r="I33" s="24" t="n">
        <x:v>166.07983465351165</x:v>
      </x:c>
      <x:c r="J33" t="str">
        <x:v>30,50,70,100</x:v>
      </x:c>
      <x:c r="K33" s="22" t="n">
        <x:v>57238.85572972516</x:v>
      </x:c>
      <x:c r="L33" t="str">
        <x:v>fp8</x:v>
      </x:c>
      <x:c r="M33" t="str">
        <x:v>mtp, none</x:v>
      </x:c>
      <x:c r="N33" s="21" t="n">
        <x:v>46144</x:v>
      </x:c>
      <x:c r="O33" s="21" t="n">
        <x:v>46217</x:v>
      </x:c>
    </x:row>
    <x:row r="34">
      <x:c r="A34" t="str">
        <x:v>DeepSeek V4 Pro</x:v>
      </x:c>
      <x:c r="B34" t="str">
        <x:v>dsv4</x:v>
      </x:c>
      <x:c r="C34" t="str">
        <x:v>H200</x:v>
      </x:c>
      <x:c r="D34" t="str">
        <x:v>long</x:v>
      </x:c>
      <x:c r="E34" t="str">
        <x:v>vllm</x:v>
      </x:c>
      <x:c r="F34" s="19" t="n">
        <x:v>119</x:v>
      </x:c>
      <x:c r="G34" s="19" t="n">
        <x:v>9</x:v>
      </x:c>
      <x:c r="H34" s="24" t="n">
        <x:v>3.9475849228370143</x:v>
      </x:c>
      <x:c r="I34" s="24" t="n">
        <x:v>189.7820429698736</x:v>
      </x:c>
      <x:c r="J34" t="str">
        <x:v>30,50,70,100</x:v>
      </x:c>
      <x:c r="K34" s="22" t="n">
        <x:v>115758.02207570813</x:v>
      </x:c>
      <x:c r="L34" t="str">
        <x:v>fp8</x:v>
      </x:c>
      <x:c r="M34" t="str">
        <x:v>mtp, none</x:v>
      </x:c>
      <x:c r="N34" s="21" t="n">
        <x:v>46136</x:v>
      </x:c>
      <x:c r="O34" s="21" t="n">
        <x:v>46217</x:v>
      </x:c>
    </x:row>
    <x:row r="35">
      <x:c r="A35" t="str">
        <x:v>DeepSeek V4 Pro</x:v>
      </x:c>
      <x:c r="B35" t="str">
        <x:v>dsv4</x:v>
      </x:c>
      <x:c r="C35" t="str">
        <x:v>H200</x:v>
      </x:c>
      <x:c r="D35" t="str">
        <x:v>short</x:v>
      </x:c>
      <x:c r="E35" t="str">
        <x:v>sglang</x:v>
      </x:c>
      <x:c r="F35" s="19" t="n">
        <x:v>24</x:v>
      </x:c>
      <x:c r="G35" s="19" t="n">
        <x:v>6</x:v>
      </x:c>
      <x:c r="H35" s="24" t="n">
        <x:v>19.36274710083889</x:v>
      </x:c>
      <x:c r="I35" s="24" t="n">
        <x:v>154.35892340031953</x:v>
      </x:c>
      <x:c r="J35" t="str">
        <x:v>30,50,70,100</x:v>
      </x:c>
      <x:c r="K35" s="22" t="n">
        <x:v>121260.18474889592</x:v>
      </x:c>
      <x:c r="L35" t="str">
        <x:v>fp8</x:v>
      </x:c>
      <x:c r="M35" t="str">
        <x:v>mtp, none</x:v>
      </x:c>
      <x:c r="N35" s="21" t="n">
        <x:v>46144</x:v>
      </x:c>
      <x:c r="O35" s="21" t="n">
        <x:v>46217</x:v>
      </x:c>
    </x:row>
    <x:row r="36">
      <x:c r="A36" t="str">
        <x:v>DeepSeek V4 Pro</x:v>
      </x:c>
      <x:c r="B36" t="str">
        <x:v>dsv4</x:v>
      </x:c>
      <x:c r="C36" t="str">
        <x:v>H200</x:v>
      </x:c>
      <x:c r="D36" t="str">
        <x:v>short</x:v>
      </x:c>
      <x:c r="E36" t="str">
        <x:v>vllm</x:v>
      </x:c>
      <x:c r="F36" s="19" t="n">
        <x:v>116</x:v>
      </x:c>
      <x:c r="G36" s="19" t="n">
        <x:v>9</x:v>
      </x:c>
      <x:c r="H36" s="24" t="n">
        <x:v>4.409648492714657</x:v>
      </x:c>
      <x:c r="I36" s="24" t="n">
        <x:v>181.58198781956696</x:v>
      </x:c>
      <x:c r="J36" t="str">
        <x:v>30,50,70,100</x:v>
      </x:c>
      <x:c r="K36" s="22" t="n">
        <x:v>223541.2442046087</x:v>
      </x:c>
      <x:c r="L36" t="str">
        <x:v>fp8</x:v>
      </x:c>
      <x:c r="M36" t="str">
        <x:v>mtp, none</x:v>
      </x:c>
      <x:c r="N36" s="21" t="n">
        <x:v>46136</x:v>
      </x:c>
      <x:c r="O36" s="21" t="n">
        <x:v>46217</x:v>
      </x:c>
    </x:row>
    <x:row r="37">
      <x:c r="A37" t="str">
        <x:v>GLM 5.2</x:v>
      </x:c>
      <x:c r="B37" t="str">
        <x:v>glm5.2</x:v>
      </x:c>
      <x:c r="C37" t="str">
        <x:v>B200</x:v>
      </x:c>
      <x:c r="D37" t="str">
        <x:v>agentic</x:v>
      </x:c>
      <x:c r="E37" t="str">
        <x:v>sglang</x:v>
      </x:c>
      <x:c r="F37" s="19" t="n">
        <x:v>5</x:v>
      </x:c>
      <x:c r="G37" s="19" t="n">
        <x:v>5</x:v>
      </x:c>
      <x:c r="H37" s="24" t="n">
        <x:v>61.39944604588152</x:v>
      </x:c>
      <x:c r="I37" s="24" t="n">
        <x:v>337.1353689234451</x:v>
      </x:c>
      <x:c r="J37" t="str">
        <x:v>30,50,70,100</x:v>
      </x:c>
      <x:c r="K37" s="22" t="n">
        <x:v>30934.690058479533</x:v>
      </x:c>
      <x:c r="L37" t="str">
        <x:v>fp4</x:v>
      </x:c>
      <x:c r="M37" t="str">
        <x:v>mtp</x:v>
      </x:c>
      <x:c r="N37" s="21" t="n">
        <x:v>46242</x:v>
      </x:c>
      <x:c r="O37" s="21" t="n">
        <x:v>46242</x:v>
      </x:c>
    </x:row>
    <x:row r="38">
      <x:c r="A38" t="str">
        <x:v>GLM 5.2</x:v>
      </x:c>
      <x:c r="B38" t="str">
        <x:v>glm5.2</x:v>
      </x:c>
      <x:c r="C38" t="str">
        <x:v>B300</x:v>
      </x:c>
      <x:c r="D38" t="str">
        <x:v>agentic</x:v>
      </x:c>
      <x:c r="E38" t="str">
        <x:v>sglang</x:v>
      </x:c>
      <x:c r="F38" s="19" t="n">
        <x:v>5</x:v>
      </x:c>
      <x:c r="G38" s="19" t="n">
        <x:v>5</x:v>
      </x:c>
      <x:c r="H38" s="24" t="n">
        <x:v>185.16842331933978</x:v>
      </x:c>
      <x:c r="I38" s="24" t="n">
        <x:v>343.4712966977968</x:v>
      </x:c>
      <x:c r="J38" t="str">
        <x:v>30,50,70,100</x:v>
      </x:c>
      <x:c r="K38" s="22" t="n">
        <x:v>40645.12105263158</x:v>
      </x:c>
      <x:c r="L38" t="str">
        <x:v>fp4</x:v>
      </x:c>
      <x:c r="M38" t="str">
        <x:v>mtp</x:v>
      </x:c>
      <x:c r="N38" s="21" t="n">
        <x:v>46241</x:v>
      </x:c>
      <x:c r="O38" s="21" t="n">
        <x:v>46241</x:v>
      </x:c>
    </x:row>
    <x:row r="39">
      <x:c r="A39" t="str">
        <x:v>GLM 5.2</x:v>
      </x:c>
      <x:c r="B39" t="str">
        <x:v>glm5.2</x:v>
      </x:c>
      <x:c r="C39" t="str">
        <x:v>H200</x:v>
      </x:c>
      <x:c r="D39" t="str">
        <x:v>agentic</x:v>
      </x:c>
      <x:c r="E39" t="str">
        <x:v>dynamo-sglang</x:v>
      </x:c>
      <x:c r="F39" s="19" t="n">
        <x:v>3</x:v>
      </x:c>
      <x:c r="G39" s="19" t="n">
        <x:v>3</x:v>
      </x:c>
      <x:c r="H39" s="24" t="n">
        <x:v>92.67840593141798</x:v>
      </x:c>
      <x:c r="I39" s="24" t="n">
        <x:v>93.28358208955224</x:v>
      </x:c>
      <x:c r="J39" t="str">
        <x:v>30,50,70</x:v>
      </x:c>
      <x:c r="K39" s="22" t="n">
        <x:v>5541.729927007299</x:v>
      </x:c>
      <x:c r="L39" t="str">
        <x:v>fp8</x:v>
      </x:c>
      <x:c r="M39" t="str">
        <x:v>mtp</x:v>
      </x:c>
      <x:c r="N39" s="21" t="n">
        <x:v>46242</x:v>
      </x:c>
      <x:c r="O39" s="21" t="n">
        <x:v>46242</x:v>
      </x:c>
    </x:row>
    <x:row r="40">
      <x:c r="A40" t="str">
        <x:v>Kimi K2.5</x:v>
      </x:c>
      <x:c r="B40" t="str">
        <x:v>kimik2.5</x:v>
      </x:c>
      <x:c r="C40" t="str">
        <x:v>B200</x:v>
      </x:c>
      <x:c r="D40" t="str">
        <x:v>long</x:v>
      </x:c>
      <x:c r="E40" t="str">
        <x:v>dynamo-trt</x:v>
      </x:c>
      <x:c r="F40" s="19" t="n">
        <x:v>11</x:v>
      </x:c>
      <x:c r="G40" s="19" t="n">
        <x:v>11</x:v>
      </x:c>
      <x:c r="H40" s="24" t="n">
        <x:v>22.362001119211715</x:v>
      </x:c>
      <x:c r="I40" s="24" t="n">
        <x:v>184.2210399128829</x:v>
      </x:c>
      <x:c r="J40" t="str">
        <x:v>30,50,70,100</x:v>
      </x:c>
      <x:c r="K40" s="22" t="n">
        <x:v>3234319.4758694484</x:v>
      </x:c>
      <x:c r="L40" t="str">
        <x:v>fp4</x:v>
      </x:c>
      <x:c r="M40" t="str">
        <x:v>none</x:v>
      </x:c>
      <x:c r="N40" s="21" t="n">
        <x:v>46225</x:v>
      </x:c>
      <x:c r="O40" s="21" t="n">
        <x:v>46225</x:v>
      </x:c>
    </x:row>
    <x:row r="41">
      <x:c r="A41" t="str">
        <x:v>Kimi K2.5</x:v>
      </x:c>
      <x:c r="B41" t="str">
        <x:v>kimik2.5</x:v>
      </x:c>
      <x:c r="C41" t="str">
        <x:v>B200</x:v>
      </x:c>
      <x:c r="D41" t="str">
        <x:v>long</x:v>
      </x:c>
      <x:c r="E41" t="str">
        <x:v>vllm</x:v>
      </x:c>
      <x:c r="F41" s="19" t="n">
        <x:v>124</x:v>
      </x:c>
      <x:c r="G41" s="19" t="n">
        <x:v>11</x:v>
      </x:c>
      <x:c r="H41" s="24" t="n">
        <x:v>2.105382306358625</x:v>
      </x:c>
      <x:c r="I41" s="24" t="n">
        <x:v>170.62007394312576</x:v>
      </x:c>
      <x:c r="J41" t="str">
        <x:v>30,50,70,100</x:v>
      </x:c>
      <x:c r="K41" s="22" t="n">
        <x:v>498016.1186713022</x:v>
      </x:c>
      <x:c r="L41" t="str">
        <x:v>fp4, int4</x:v>
      </x:c>
      <x:c r="M41" t="str">
        <x:v>none</x:v>
      </x:c>
      <x:c r="N41" s="21" t="n">
        <x:v>46077</x:v>
      </x:c>
      <x:c r="O41" s="21" t="n">
        <x:v>46241</x:v>
      </x:c>
    </x:row>
    <x:row r="42">
      <x:c r="A42" t="str">
        <x:v>Kimi K2.5</x:v>
      </x:c>
      <x:c r="B42" t="str">
        <x:v>kimik2.5</x:v>
      </x:c>
      <x:c r="C42" t="str">
        <x:v>B200</x:v>
      </x:c>
      <x:c r="D42" t="str">
        <x:v>short</x:v>
      </x:c>
      <x:c r="E42" t="str">
        <x:v>vllm</x:v>
      </x:c>
      <x:c r="F42" s="19" t="n">
        <x:v>77</x:v>
      </x:c>
      <x:c r="G42" s="19" t="n">
        <x:v>8</x:v>
      </x:c>
      <x:c r="H42" s="24" t="n">
        <x:v>26.907391377777238</x:v>
      </x:c>
      <x:c r="I42" s="24" t="n">
        <x:v>169.37775794522284</x:v>
      </x:c>
      <x:c r="J42" t="str">
        <x:v>30,50,70,100</x:v>
      </x:c>
      <x:c r="K42" s="22" t="n">
        <x:v>607272.2836243667</x:v>
      </x:c>
      <x:c r="L42" t="str">
        <x:v>fp4, int4</x:v>
      </x:c>
      <x:c r="M42" t="str">
        <x:v>none</x:v>
      </x:c>
      <x:c r="N42" s="21" t="n">
        <x:v>46077</x:v>
      </x:c>
      <x:c r="O42" s="21" t="n">
        <x:v>46208</x:v>
      </x:c>
    </x:row>
    <x:row r="43">
      <x:c r="A43" t="str">
        <x:v>Kimi K2.5</x:v>
      </x:c>
      <x:c r="B43" t="str">
        <x:v>kimik2.5</x:v>
      </x:c>
      <x:c r="C43" t="str">
        <x:v>B300</x:v>
      </x:c>
      <x:c r="D43" t="str">
        <x:v>long</x:v>
      </x:c>
      <x:c r="E43" t="str">
        <x:v>vllm</x:v>
      </x:c>
      <x:c r="F43" s="19" t="n">
        <x:v>98</x:v>
      </x:c>
      <x:c r="G43" s="19" t="n">
        <x:v>10</x:v>
      </x:c>
      <x:c r="H43" s="24" t="n">
        <x:v>8.816657685758909</x:v>
      </x:c>
      <x:c r="I43" s="24" t="n">
        <x:v>173.27358035194965</x:v>
      </x:c>
      <x:c r="J43" t="str">
        <x:v>30,50,70,100</x:v>
      </x:c>
      <x:c r="K43" s="22" t="n">
        <x:v>587871.4150175066</x:v>
      </x:c>
      <x:c r="L43" t="str">
        <x:v>fp4, int4</x:v>
      </x:c>
      <x:c r="M43" t="str">
        <x:v>none</x:v>
      </x:c>
      <x:c r="N43" s="21" t="n">
        <x:v>46132</x:v>
      </x:c>
      <x:c r="O43" s="21" t="n">
        <x:v>46241</x:v>
      </x:c>
    </x:row>
    <x:row r="44">
      <x:c r="A44" t="str">
        <x:v>Kimi K2.5</x:v>
      </x:c>
      <x:c r="B44" t="str">
        <x:v>kimik2.5</x:v>
      </x:c>
      <x:c r="C44" t="str">
        <x:v>B300</x:v>
      </x:c>
      <x:c r="D44" t="str">
        <x:v>short</x:v>
      </x:c>
      <x:c r="E44" t="str">
        <x:v>vllm</x:v>
      </x:c>
      <x:c r="F44" s="19" t="n">
        <x:v>63</x:v>
      </x:c>
      <x:c r="G44" s="19" t="n">
        <x:v>8</x:v>
      </x:c>
      <x:c r="H44" s="24" t="n">
        <x:v>27.268864906235777</x:v>
      </x:c>
      <x:c r="I44" s="24" t="n">
        <x:v>172.6677091786509</x:v>
      </x:c>
      <x:c r="J44" t="str">
        <x:v>30,50,70,100</x:v>
      </x:c>
      <x:c r="K44" s="22" t="n">
        <x:v>558962.1900343957</x:v>
      </x:c>
      <x:c r="L44" t="str">
        <x:v>fp4, int4</x:v>
      </x:c>
      <x:c r="M44" t="str">
        <x:v>none</x:v>
      </x:c>
      <x:c r="N44" s="21" t="n">
        <x:v>46132</x:v>
      </x:c>
      <x:c r="O44" s="21" t="n">
        <x:v>46207</x:v>
      </x:c>
    </x:row>
    <x:row r="45">
      <x:c r="A45" t="str">
        <x:v>Kimi K2.5</x:v>
      </x:c>
      <x:c r="B45" t="str">
        <x:v>kimik2.5</x:v>
      </x:c>
      <x:c r="C45" t="str">
        <x:v>GB200</x:v>
      </x:c>
      <x:c r="D45" t="str">
        <x:v>long</x:v>
      </x:c>
      <x:c r="E45" t="str">
        <x:v>dynamo-trt</x:v>
      </x:c>
      <x:c r="F45" s="19" t="n">
        <x:v>23</x:v>
      </x:c>
      <x:c r="G45" s="19" t="n">
        <x:v>16</x:v>
      </x:c>
      <x:c r="H45" s="24" t="n">
        <x:v>23.121320655896827</x:v>
      </x:c>
      <x:c r="I45" s="24" t="n">
        <x:v>183.38461049729605</x:v>
      </x:c>
      <x:c r="J45" t="str">
        <x:v>30,50,70,100</x:v>
      </x:c>
      <x:c r="K45" s="22" t="n">
        <x:v>3234581.421725332</x:v>
      </x:c>
      <x:c r="L45" t="str">
        <x:v>fp4</x:v>
      </x:c>
      <x:c r="M45" t="str">
        <x:v>none</x:v>
      </x:c>
      <x:c r="N45" s="21" t="n">
        <x:v>46130</x:v>
      </x:c>
      <x:c r="O45" s="21" t="n">
        <x:v>46193</x:v>
      </x:c>
    </x:row>
    <x:row r="46">
      <x:c r="A46" t="str">
        <x:v>Kimi K2.5</x:v>
      </x:c>
      <x:c r="B46" t="str">
        <x:v>kimik2.5</x:v>
      </x:c>
      <x:c r="C46" t="str">
        <x:v>GB200</x:v>
      </x:c>
      <x:c r="D46" t="str">
        <x:v>long</x:v>
      </x:c>
      <x:c r="E46" t="str">
        <x:v>dynamo-vllm</x:v>
      </x:c>
      <x:c r="F46" s="19" t="n">
        <x:v>19</x:v>
      </x:c>
      <x:c r="G46" s="19" t="n">
        <x:v>12</x:v>
      </x:c>
      <x:c r="H46" s="24" t="n">
        <x:v>23.178048305946888</x:v>
      </x:c>
      <x:c r="I46" s="24" t="n">
        <x:v>162.22634258008404</x:v>
      </x:c>
      <x:c r="J46" t="str">
        <x:v>30,50,70,100</x:v>
      </x:c>
      <x:c r="K46" s="22" t="n">
        <x:v>2612328.4186831606</x:v>
      </x:c>
      <x:c r="L46" t="str">
        <x:v>fp4</x:v>
      </x:c>
      <x:c r="M46" t="str">
        <x:v>none</x:v>
      </x:c>
      <x:c r="N46" s="21" t="n">
        <x:v>46119</x:v>
      </x:c>
      <x:c r="O46" s="21" t="n">
        <x:v>46194</x:v>
      </x:c>
    </x:row>
    <x:row r="47">
      <x:c r="A47" t="str">
        <x:v>Kimi K2.5</x:v>
      </x:c>
      <x:c r="B47" t="str">
        <x:v>kimik2.5</x:v>
      </x:c>
      <x:c r="C47" t="str">
        <x:v>GB200</x:v>
      </x:c>
      <x:c r="D47" t="str">
        <x:v>short</x:v>
      </x:c>
      <x:c r="E47" t="str">
        <x:v>dynamo-trt</x:v>
      </x:c>
      <x:c r="F47" s="19" t="n">
        <x:v>27</x:v>
      </x:c>
      <x:c r="G47" s="19" t="n">
        <x:v>19</x:v>
      </x:c>
      <x:c r="H47" s="24" t="n">
        <x:v>17.57708250058056</x:v>
      </x:c>
      <x:c r="I47" s="24" t="n">
        <x:v>188.37762834045745</x:v>
      </x:c>
      <x:c r="J47" t="str">
        <x:v>30,50,70,100</x:v>
      </x:c>
      <x:c r="K47" s="22" t="n">
        <x:v>6328866.976098694</x:v>
      </x:c>
      <x:c r="L47" t="str">
        <x:v>fp4</x:v>
      </x:c>
      <x:c r="M47" t="str">
        <x:v>none</x:v>
      </x:c>
      <x:c r="N47" s="21" t="n">
        <x:v>46130</x:v>
      </x:c>
      <x:c r="O47" s="21" t="n">
        <x:v>46193</x:v>
      </x:c>
    </x:row>
    <x:row r="48">
      <x:c r="A48" t="str">
        <x:v>Kimi K2.5</x:v>
      </x:c>
      <x:c r="B48" t="str">
        <x:v>kimik2.5</x:v>
      </x:c>
      <x:c r="C48" t="str">
        <x:v>GB200</x:v>
      </x:c>
      <x:c r="D48" t="str">
        <x:v>short</x:v>
      </x:c>
      <x:c r="E48" t="str">
        <x:v>dynamo-vllm</x:v>
      </x:c>
      <x:c r="F48" s="19" t="n">
        <x:v>20</x:v>
      </x:c>
      <x:c r="G48" s="19" t="n">
        <x:v>14</x:v>
      </x:c>
      <x:c r="H48" s="24" t="n">
        <x:v>17.22081284584014</x:v>
      </x:c>
      <x:c r="I48" s="24" t="n">
        <x:v>167.90809790186591</x:v>
      </x:c>
      <x:c r="J48" t="str">
        <x:v>30,50,70,100</x:v>
      </x:c>
      <x:c r="K48" s="22" t="n">
        <x:v>5303921.439007118</x:v>
      </x:c>
      <x:c r="L48" t="str">
        <x:v>fp4</x:v>
      </x:c>
      <x:c r="M48" t="str">
        <x:v>none</x:v>
      </x:c>
      <x:c r="N48" s="21" t="n">
        <x:v>46119</x:v>
      </x:c>
      <x:c r="O48" s="21" t="n">
        <x:v>46194</x:v>
      </x:c>
    </x:row>
    <x:row r="49">
      <x:c r="A49" t="str">
        <x:v>Kimi K2.5</x:v>
      </x:c>
      <x:c r="B49" t="str">
        <x:v>kimik2.5</x:v>
      </x:c>
      <x:c r="C49" t="str">
        <x:v>GB300</x:v>
      </x:c>
      <x:c r="D49" t="str">
        <x:v>long</x:v>
      </x:c>
      <x:c r="E49" t="str">
        <x:v>dynamo-trt</x:v>
      </x:c>
      <x:c r="F49" s="19" t="n">
        <x:v>11</x:v>
      </x:c>
      <x:c r="G49" s="19" t="n">
        <x:v>11</x:v>
      </x:c>
      <x:c r="H49" s="24" t="n">
        <x:v>38.89427998821254</x:v>
      </x:c>
      <x:c r="I49" s="24" t="n">
        <x:v>182.459805532158</x:v>
      </x:c>
      <x:c r="J49" t="str">
        <x:v>30,50,70,100</x:v>
      </x:c>
      <x:c r="K49" s="22" t="n">
        <x:v>2177077.3601703513</x:v>
      </x:c>
      <x:c r="L49" t="str">
        <x:v>fp4</x:v>
      </x:c>
      <x:c r="M49" t="str">
        <x:v>none</x:v>
      </x:c>
      <x:c r="N49" s="21" t="n">
        <x:v>46195</x:v>
      </x:c>
      <x:c r="O49" s="21" t="n">
        <x:v>46195</x:v>
      </x:c>
    </x:row>
    <x:row r="50">
      <x:c r="A50" t="str">
        <x:v>Kimi K2.5</x:v>
      </x:c>
      <x:c r="B50" t="str">
        <x:v>kimik2.5</x:v>
      </x:c>
      <x:c r="C50" t="str">
        <x:v>GB300</x:v>
      </x:c>
      <x:c r="D50" t="str">
        <x:v>long</x:v>
      </x:c>
      <x:c r="E50" t="str">
        <x:v>dynamo-vllm</x:v>
      </x:c>
      <x:c r="F50" s="19" t="n">
        <x:v>7</x:v>
      </x:c>
      <x:c r="G50" s="19" t="n">
        <x:v>6</x:v>
      </x:c>
      <x:c r="H50" s="24" t="n">
        <x:v>23.841881676465782</x:v>
      </x:c>
      <x:c r="I50" s="24" t="n">
        <x:v>165.37089224989904</x:v>
      </x:c>
      <x:c r="J50" t="str">
        <x:v>30,50,70,100</x:v>
      </x:c>
      <x:c r="K50" s="22" t="n">
        <x:v>2594294.9476674404</x:v>
      </x:c>
      <x:c r="L50" t="str">
        <x:v>fp4</x:v>
      </x:c>
      <x:c r="M50" t="str">
        <x:v>none</x:v>
      </x:c>
      <x:c r="N50" s="21" t="n">
        <x:v>46193</x:v>
      </x:c>
      <x:c r="O50" s="21" t="n">
        <x:v>46193</x:v>
      </x:c>
    </x:row>
    <x:row r="51">
      <x:c r="A51" t="str">
        <x:v>Kimi K2.5</x:v>
      </x:c>
      <x:c r="B51" t="str">
        <x:v>kimik2.5</x:v>
      </x:c>
      <x:c r="C51" t="str">
        <x:v>GB300</x:v>
      </x:c>
      <x:c r="D51" t="str">
        <x:v>short</x:v>
      </x:c>
      <x:c r="E51" t="str">
        <x:v>dynamo-trt</x:v>
      </x:c>
      <x:c r="F51" s="19" t="n">
        <x:v>12</x:v>
      </x:c>
      <x:c r="G51" s="19" t="n">
        <x:v>11</x:v>
      </x:c>
      <x:c r="H51" s="24" t="n">
        <x:v>25.57671767014466</x:v>
      </x:c>
      <x:c r="I51" s="24" t="n">
        <x:v>191.79162340465018</x:v>
      </x:c>
      <x:c r="J51" t="str">
        <x:v>30,50,70,100</x:v>
      </x:c>
      <x:c r="K51" s="22" t="n">
        <x:v>5690641.475465389</x:v>
      </x:c>
      <x:c r="L51" t="str">
        <x:v>fp4</x:v>
      </x:c>
      <x:c r="M51" t="str">
        <x:v>none</x:v>
      </x:c>
      <x:c r="N51" s="21" t="n">
        <x:v>46195</x:v>
      </x:c>
      <x:c r="O51" s="21" t="n">
        <x:v>46195</x:v>
      </x:c>
    </x:row>
    <x:row r="52">
      <x:c r="A52" t="str">
        <x:v>Kimi K2.5</x:v>
      </x:c>
      <x:c r="B52" t="str">
        <x:v>kimik2.5</x:v>
      </x:c>
      <x:c r="C52" t="str">
        <x:v>GB300</x:v>
      </x:c>
      <x:c r="D52" t="str">
        <x:v>short</x:v>
      </x:c>
      <x:c r="E52" t="str">
        <x:v>dynamo-vllm</x:v>
      </x:c>
      <x:c r="F52" s="19" t="n">
        <x:v>10</x:v>
      </x:c>
      <x:c r="G52" s="19" t="n">
        <x:v>10</x:v>
      </x:c>
      <x:c r="H52" s="24" t="n">
        <x:v>15.413973204727961</x:v>
      </x:c>
      <x:c r="I52" s="24" t="n">
        <x:v>153.6691867326921</x:v>
      </x:c>
      <x:c r="J52" t="str">
        <x:v>30,50,70,100</x:v>
      </x:c>
      <x:c r="K52" s="22" t="n">
        <x:v>4962146.166089729</x:v>
      </x:c>
      <x:c r="L52" t="str">
        <x:v>fp4</x:v>
      </x:c>
      <x:c r="M52" t="str">
        <x:v>none</x:v>
      </x:c>
      <x:c r="N52" s="21" t="n">
        <x:v>46193</x:v>
      </x:c>
      <x:c r="O52" s="21" t="n">
        <x:v>46193</x:v>
      </x:c>
    </x:row>
    <x:row r="53">
      <x:c r="A53" t="str">
        <x:v>Kimi K2.5</x:v>
      </x:c>
      <x:c r="B53" t="str">
        <x:v>kimik2.5</x:v>
      </x:c>
      <x:c r="C53" t="str">
        <x:v>H200</x:v>
      </x:c>
      <x:c r="D53" t="str">
        <x:v>long</x:v>
      </x:c>
      <x:c r="E53" t="str">
        <x:v>vllm</x:v>
      </x:c>
      <x:c r="F53" s="19" t="n">
        <x:v>25</x:v>
      </x:c>
      <x:c r="G53" s="19" t="n">
        <x:v>5</x:v>
      </x:c>
      <x:c r="H53" s="24" t="n">
        <x:v>16.287908540303338</x:v>
      </x:c>
      <x:c r="I53" s="24" t="n">
        <x:v>92.54843139573492</x:v>
      </x:c>
      <x:c r="J53" t="str">
        <x:v>30,50,70</x:v>
      </x:c>
      <x:c r="K53" s="22" t="n">
        <x:v>95220.6449494611</x:v>
      </x:c>
      <x:c r="L53" t="str">
        <x:v>int4</x:v>
      </x:c>
      <x:c r="M53" t="str">
        <x:v>none</x:v>
      </x:c>
      <x:c r="N53" s="21" t="n">
        <x:v>46083</x:v>
      </x:c>
      <x:c r="O53" s="21" t="n">
        <x:v>46172</x:v>
      </x:c>
    </x:row>
    <x:row r="54">
      <x:c r="A54" t="str">
        <x:v>Kimi K2.5</x:v>
      </x:c>
      <x:c r="B54" t="str">
        <x:v>kimik2.5</x:v>
      </x:c>
      <x:c r="C54" t="str">
        <x:v>H200</x:v>
      </x:c>
      <x:c r="D54" t="str">
        <x:v>short</x:v>
      </x:c>
      <x:c r="E54" t="str">
        <x:v>vllm</x:v>
      </x:c>
      <x:c r="F54" s="19" t="n">
        <x:v>25</x:v>
      </x:c>
      <x:c r="G54" s="19" t="n">
        <x:v>5</x:v>
      </x:c>
      <x:c r="H54" s="24" t="n">
        <x:v>31.572550030218693</x:v>
      </x:c>
      <x:c r="I54" s="24" t="n">
        <x:v>106.5865314026403</x:v>
      </x:c>
      <x:c r="J54" t="str">
        <x:v>30,50,70,100</x:v>
      </x:c>
      <x:c r="K54" s="22" t="n">
        <x:v>190201.65440073734</x:v>
      </x:c>
      <x:c r="L54" t="str">
        <x:v>int4</x:v>
      </x:c>
      <x:c r="M54" t="str">
        <x:v>none</x:v>
      </x:c>
      <x:c r="N54" s="21" t="n">
        <x:v>46083</x:v>
      </x:c>
      <x:c r="O54" s="21" t="n">
        <x:v>46172</x:v>
      </x:c>
    </x:row>
    <x:row r="55">
      <x:c r="A55" t="str">
        <x:v>MiniMax M3</x:v>
      </x:c>
      <x:c r="B55" t="str">
        <x:v>minimaxm3</x:v>
      </x:c>
      <x:c r="C55" t="str">
        <x:v>B200</x:v>
      </x:c>
      <x:c r="D55" t="str">
        <x:v>agentic</x:v>
      </x:c>
      <x:c r="E55" t="str">
        <x:v>vllm</x:v>
      </x:c>
      <x:c r="F55" s="19" t="n">
        <x:v>11</x:v>
      </x:c>
      <x:c r="G55" s="19" t="n">
        <x:v>10</x:v>
      </x:c>
      <x:c r="H55" s="24" t="n">
        <x:v>74.73841554559044</x:v>
      </x:c>
      <x:c r="I55" s="24" t="n">
        <x:v>359.71223021582733</x:v>
      </x:c>
      <x:c r="J55" t="str">
        <x:v>30,50,70,100</x:v>
      </x:c>
      <x:c r="K55" s="22" t="n">
        <x:v>171556.3216374269</x:v>
      </x:c>
      <x:c r="L55" t="str">
        <x:v>fp4</x:v>
      </x:c>
      <x:c r="M55" t="str">
        <x:v>mtp</x:v>
      </x:c>
      <x:c r="N55" s="21" t="n">
        <x:v>46242</x:v>
      </x:c>
      <x:c r="O55" s="21" t="n">
        <x:v>46242</x:v>
      </x:c>
    </x:row>
    <x:row r="56">
      <x:c r="A56" t="str">
        <x:v>MiniMax M3</x:v>
      </x:c>
      <x:c r="B56" t="str">
        <x:v>minimaxm3</x:v>
      </x:c>
      <x:c r="C56" t="str">
        <x:v>B200</x:v>
      </x:c>
      <x:c r="D56" t="str">
        <x:v>long</x:v>
      </x:c>
      <x:c r="E56" t="str">
        <x:v>dynamo-vllm</x:v>
      </x:c>
      <x:c r="F56" s="19" t="n">
        <x:v>35</x:v>
      </x:c>
      <x:c r="G56" s="19" t="n">
        <x:v>15</x:v>
      </x:c>
      <x:c r="H56" s="24" t="n">
        <x:v>43.19884829548571</x:v>
      </x:c>
      <x:c r="I56" s="24" t="n">
        <x:v>390.5025574095412</x:v>
      </x:c>
      <x:c r="J56" t="str">
        <x:v>30,50,70,100</x:v>
      </x:c>
      <x:c r="K56" s="22" t="n">
        <x:v>1286379.917054085</x:v>
      </x:c>
      <x:c r="L56" t="str">
        <x:v>fp4</x:v>
      </x:c>
      <x:c r="M56" t="str">
        <x:v>mtp, none</x:v>
      </x:c>
      <x:c r="N56" s="21" t="n">
        <x:v>46232</x:v>
      </x:c>
      <x:c r="O56" s="21" t="n">
        <x:v>46238</x:v>
      </x:c>
    </x:row>
    <x:row r="57">
      <x:c r="A57" t="str">
        <x:v>MiniMax M3</x:v>
      </x:c>
      <x:c r="B57" t="str">
        <x:v>minimaxm3</x:v>
      </x:c>
      <x:c r="C57" t="str">
        <x:v>B200</x:v>
      </x:c>
      <x:c r="D57" t="str">
        <x:v>long</x:v>
      </x:c>
      <x:c r="E57" t="str">
        <x:v>vllm</x:v>
      </x:c>
      <x:c r="F57" s="19" t="n">
        <x:v>462</x:v>
      </x:c>
      <x:c r="G57" s="19" t="n">
        <x:v>11</x:v>
      </x:c>
      <x:c r="H57" s="24" t="n">
        <x:v>6.051515546571944</x:v>
      </x:c>
      <x:c r="I57" s="24" t="n">
        <x:v>573.3619872276706</x:v>
      </x:c>
      <x:c r="J57" t="str">
        <x:v>30,50,70,100</x:v>
      </x:c>
      <x:c r="K57" s="22" t="n">
        <x:v>755997.7108730321</x:v>
      </x:c>
      <x:c r="L57" t="str">
        <x:v>fp4, fp8</x:v>
      </x:c>
      <x:c r="M57" t="str">
        <x:v>mtp, none</x:v>
      </x:c>
      <x:c r="N57" s="21" t="n">
        <x:v>46186</x:v>
      </x:c>
      <x:c r="O57" s="21" t="n">
        <x:v>46238</x:v>
      </x:c>
    </x:row>
    <x:row r="58">
      <x:c r="A58" t="str">
        <x:v>MiniMax M3</x:v>
      </x:c>
      <x:c r="B58" t="str">
        <x:v>minimaxm3</x:v>
      </x:c>
      <x:c r="C58" t="str">
        <x:v>B200</x:v>
      </x:c>
      <x:c r="D58" t="str">
        <x:v>short</x:v>
      </x:c>
      <x:c r="E58" t="str">
        <x:v>vllm</x:v>
      </x:c>
      <x:c r="F58" s="19" t="n">
        <x:v>358</x:v>
      </x:c>
      <x:c r="G58" s="19" t="n">
        <x:v>12</x:v>
      </x:c>
      <x:c r="H58" s="24" t="n">
        <x:v>8.212316934515966</x:v>
      </x:c>
      <x:c r="I58" s="24" t="n">
        <x:v>399.94720243813714</x:v>
      </x:c>
      <x:c r="J58" t="str">
        <x:v>30,50,70,100</x:v>
      </x:c>
      <x:c r="K58" s="22" t="n">
        <x:v>2722255.659779287</x:v>
      </x:c>
      <x:c r="L58" t="str">
        <x:v>fp4, fp8</x:v>
      </x:c>
      <x:c r="M58" t="str">
        <x:v>mtp, none</x:v>
      </x:c>
      <x:c r="N58" s="21" t="n">
        <x:v>46186</x:v>
      </x:c>
      <x:c r="O58" s="21" t="n">
        <x:v>46209</x:v>
      </x:c>
    </x:row>
    <x:row r="59">
      <x:c r="A59" t="str">
        <x:v>MiniMax M3</x:v>
      </x:c>
      <x:c r="B59" t="str">
        <x:v>minimaxm3</x:v>
      </x:c>
      <x:c r="C59" t="str">
        <x:v>B300</x:v>
      </x:c>
      <x:c r="D59" t="str">
        <x:v>agentic</x:v>
      </x:c>
      <x:c r="E59" t="str">
        <x:v>vllm</x:v>
      </x:c>
      <x:c r="F59" s="19" t="n">
        <x:v>16</x:v>
      </x:c>
      <x:c r="G59" s="19" t="n">
        <x:v>13</x:v>
      </x:c>
      <x:c r="H59" s="24" t="n">
        <x:v>21.32393092749857</x:v>
      </x:c>
      <x:c r="I59" s="24" t="n">
        <x:v>379.44828694451456</x:v>
      </x:c>
      <x:c r="J59" t="str">
        <x:v>30,50,70,100</x:v>
      </x:c>
      <x:c r="K59" s="22" t="n">
        <x:v>205917.62105263158</x:v>
      </x:c>
      <x:c r="L59" t="str">
        <x:v>fp4</x:v>
      </x:c>
      <x:c r="M59" t="str">
        <x:v>mtp</x:v>
      </x:c>
      <x:c r="N59" s="21" t="n">
        <x:v>46239</x:v>
      </x:c>
      <x:c r="O59" s="21" t="n">
        <x:v>46239</x:v>
      </x:c>
    </x:row>
    <x:row r="60">
      <x:c r="A60" t="str">
        <x:v>MiniMax M3</x:v>
      </x:c>
      <x:c r="B60" t="str">
        <x:v>minimaxm3</x:v>
      </x:c>
      <x:c r="C60" t="str">
        <x:v>B300</x:v>
      </x:c>
      <x:c r="D60" t="str">
        <x:v>long</x:v>
      </x:c>
      <x:c r="E60" t="str">
        <x:v>dynamo-vllm</x:v>
      </x:c>
      <x:c r="F60" s="19" t="n">
        <x:v>147</x:v>
      </x:c>
      <x:c r="G60" s="19" t="n">
        <x:v>17</x:v>
      </x:c>
      <x:c r="H60" s="24" t="n">
        <x:v>24.386753241945673</x:v>
      </x:c>
      <x:c r="I60" s="24" t="n">
        <x:v>416.0021611124563</x:v>
      </x:c>
      <x:c r="J60" t="str">
        <x:v>30,50,70,100</x:v>
      </x:c>
      <x:c r="K60" s="22" t="n">
        <x:v>1821235.2266357737</x:v>
      </x:c>
      <x:c r="L60" t="str">
        <x:v>fp4, fp8</x:v>
      </x:c>
      <x:c r="M60" t="str">
        <x:v>mtp, none</x:v>
      </x:c>
      <x:c r="N60" s="21" t="n">
        <x:v>46196</x:v>
      </x:c>
      <x:c r="O60" s="21" t="n">
        <x:v>46238</x:v>
      </x:c>
    </x:row>
    <x:row r="61">
      <x:c r="A61" t="str">
        <x:v>MiniMax M3</x:v>
      </x:c>
      <x:c r="B61" t="str">
        <x:v>minimaxm3</x:v>
      </x:c>
      <x:c r="C61" t="str">
        <x:v>B300</x:v>
      </x:c>
      <x:c r="D61" t="str">
        <x:v>long</x:v>
      </x:c>
      <x:c r="E61" t="str">
        <x:v>vllm</x:v>
      </x:c>
      <x:c r="F61" s="19" t="n">
        <x:v>469</x:v>
      </x:c>
      <x:c r="G61" s="19" t="n">
        <x:v>11</x:v>
      </x:c>
      <x:c r="H61" s="24" t="n">
        <x:v>6.153314579292196</x:v>
      </x:c>
      <x:c r="I61" s="24" t="n">
        <x:v>471.818229249671</x:v>
      </x:c>
      <x:c r="J61" t="str">
        <x:v>30,50,70,100</x:v>
      </x:c>
      <x:c r="K61" s="22" t="n">
        <x:v>879428.4137069951</x:v>
      </x:c>
      <x:c r="L61" t="str">
        <x:v>fp4, fp8</x:v>
      </x:c>
      <x:c r="M61" t="str">
        <x:v>mtp, none</x:v>
      </x:c>
      <x:c r="N61" s="21" t="n">
        <x:v>46185</x:v>
      </x:c>
      <x:c r="O61" s="21" t="n">
        <x:v>46238</x:v>
      </x:c>
    </x:row>
    <x:row r="62">
      <x:c r="A62" t="str">
        <x:v>MiniMax M3</x:v>
      </x:c>
      <x:c r="B62" t="str">
        <x:v>minimaxm3</x:v>
      </x:c>
      <x:c r="C62" t="str">
        <x:v>B300</x:v>
      </x:c>
      <x:c r="D62" t="str">
        <x:v>short</x:v>
      </x:c>
      <x:c r="E62" t="str">
        <x:v>dynamo-vllm</x:v>
      </x:c>
      <x:c r="F62" s="19" t="n">
        <x:v>45</x:v>
      </x:c>
      <x:c r="G62" s="19" t="n">
        <x:v>10</x:v>
      </x:c>
      <x:c r="H62" s="24" t="n">
        <x:v>3.354893957939678</x:v>
      </x:c>
      <x:c r="I62" s="24" t="n">
        <x:v>163.06482611985575</x:v>
      </x:c>
      <x:c r="J62" t="str">
        <x:v>30,50,70,100</x:v>
      </x:c>
      <x:c r="K62" s="22" t="n">
        <x:v>4569635.469635775</x:v>
      </x:c>
      <x:c r="L62" t="str">
        <x:v>fp4, fp8</x:v>
      </x:c>
      <x:c r="M62" t="str">
        <x:v>none</x:v>
      </x:c>
      <x:c r="N62" s="21" t="n">
        <x:v>46196</x:v>
      </x:c>
      <x:c r="O62" s="21" t="n">
        <x:v>46204</x:v>
      </x:c>
    </x:row>
    <x:row r="63">
      <x:c r="A63" t="str">
        <x:v>MiniMax M3</x:v>
      </x:c>
      <x:c r="B63" t="str">
        <x:v>minimaxm3</x:v>
      </x:c>
      <x:c r="C63" t="str">
        <x:v>B300</x:v>
      </x:c>
      <x:c r="D63" t="str">
        <x:v>short</x:v>
      </x:c>
      <x:c r="E63" t="str">
        <x:v>vllm</x:v>
      </x:c>
      <x:c r="F63" s="19" t="n">
        <x:v>403</x:v>
      </x:c>
      <x:c r="G63" s="19" t="n">
        <x:v>12</x:v>
      </x:c>
      <x:c r="H63" s="24" t="n">
        <x:v>8.36382046409317</x:v>
      </x:c>
      <x:c r="I63" s="24" t="n">
        <x:v>473.8579303873404</x:v>
      </x:c>
      <x:c r="J63" t="str">
        <x:v>30,50,70,100</x:v>
      </x:c>
      <x:c r="K63" s="22" t="n">
        <x:v>4208343.996261467</x:v>
      </x:c>
      <x:c r="L63" t="str">
        <x:v>fp4, fp8</x:v>
      </x:c>
      <x:c r="M63" t="str">
        <x:v>mtp, none</x:v>
      </x:c>
      <x:c r="N63" s="21" t="n">
        <x:v>46185</x:v>
      </x:c>
      <x:c r="O63" s="21" t="n">
        <x:v>46209</x:v>
      </x:c>
    </x:row>
    <x:row r="64">
      <x:c r="A64" t="str">
        <x:v>MiniMax M3</x:v>
      </x:c>
      <x:c r="B64" t="str">
        <x:v>minimaxm3</x:v>
      </x:c>
      <x:c r="C64" t="str">
        <x:v>GB200</x:v>
      </x:c>
      <x:c r="D64" t="str">
        <x:v>long</x:v>
      </x:c>
      <x:c r="E64" t="str">
        <x:v>dynamo-vllm</x:v>
      </x:c>
      <x:c r="F64" s="19" t="n">
        <x:v>22</x:v>
      </x:c>
      <x:c r="G64" s="19" t="n">
        <x:v>8</x:v>
      </x:c>
      <x:c r="H64" s="24" t="n">
        <x:v>26.14394681786278</x:v>
      </x:c>
      <x:c r="I64" s="24" t="n">
        <x:v>186.72341169576077</x:v>
      </x:c>
      <x:c r="J64" t="str">
        <x:v>30,50,70,100</x:v>
      </x:c>
      <x:c r="K64" s="22" t="n">
        <x:v>1845708.3551975165</x:v>
      </x:c>
      <x:c r="L64" t="str">
        <x:v>fp8</x:v>
      </x:c>
      <x:c r="M64" t="str">
        <x:v>none</x:v>
      </x:c>
      <x:c r="N64" s="21" t="n">
        <x:v>46202</x:v>
      </x:c>
      <x:c r="O64" s="21" t="n">
        <x:v>46232</x:v>
      </x:c>
    </x:row>
    <x:row r="65">
      <x:c r="A65" t="str">
        <x:v>MiniMax M3</x:v>
      </x:c>
      <x:c r="B65" t="str">
        <x:v>minimaxm3</x:v>
      </x:c>
      <x:c r="C65" t="str">
        <x:v>GB200</x:v>
      </x:c>
      <x:c r="D65" t="str">
        <x:v>short</x:v>
      </x:c>
      <x:c r="E65" t="str">
        <x:v>dynamo-vllm</x:v>
      </x:c>
      <x:c r="F65" s="19" t="n">
        <x:v>10</x:v>
      </x:c>
      <x:c r="G65" s="19" t="n">
        <x:v>8</x:v>
      </x:c>
      <x:c r="H65" s="24" t="n">
        <x:v>16.849074433207782</x:v>
      </x:c>
      <x:c r="I65" s="24" t="n">
        <x:v>157.04637745899853</x:v>
      </x:c>
      <x:c r="J65" t="str">
        <x:v>30,50,70,100</x:v>
      </x:c>
      <x:c r="K65" s="22" t="n">
        <x:v>3391607.8269903045</x:v>
      </x:c>
      <x:c r="L65" t="str">
        <x:v>fp8</x:v>
      </x:c>
      <x:c r="M65" t="str">
        <x:v>none</x:v>
      </x:c>
      <x:c r="N65" s="21" t="n">
        <x:v>46202</x:v>
      </x:c>
      <x:c r="O65" s="21" t="n">
        <x:v>46202</x:v>
      </x:c>
    </x:row>
    <x:row r="66">
      <x:c r="A66" t="str">
        <x:v>MiniMax M3</x:v>
      </x:c>
      <x:c r="B66" t="str">
        <x:v>minimaxm3</x:v>
      </x:c>
      <x:c r="C66" t="str">
        <x:v>GB300</x:v>
      </x:c>
      <x:c r="D66" t="str">
        <x:v>long</x:v>
      </x:c>
      <x:c r="E66" t="str">
        <x:v>dynamo-vllm</x:v>
      </x:c>
      <x:c r="F66" s="19" t="n">
        <x:v>59</x:v>
      </x:c>
      <x:c r="G66" s="19" t="n">
        <x:v>12</x:v>
      </x:c>
      <x:c r="H66" s="24" t="n">
        <x:v>21.028209723103984</x:v>
      </x:c>
      <x:c r="I66" s="24" t="n">
        <x:v>436.7152291161562</x:v>
      </x:c>
      <x:c r="J66" t="str">
        <x:v>30,50,70,100</x:v>
      </x:c>
      <x:c r="K66" s="22" t="n">
        <x:v>2413760.655384282</x:v>
      </x:c>
      <x:c r="L66" t="str">
        <x:v>fp8</x:v>
      </x:c>
      <x:c r="M66" t="str">
        <x:v>mtp, none</x:v>
      </x:c>
      <x:c r="N66" s="21" t="n">
        <x:v>46193</x:v>
      </x:c>
      <x:c r="O66" s="21" t="n">
        <x:v>46238</x:v>
      </x:c>
    </x:row>
    <x:row r="67">
      <x:c r="A67" t="str">
        <x:v>MiniMax M3</x:v>
      </x:c>
      <x:c r="B67" t="str">
        <x:v>minimaxm3</x:v>
      </x:c>
      <x:c r="C67" t="str">
        <x:v>GB300</x:v>
      </x:c>
      <x:c r="D67" t="str">
        <x:v>short</x:v>
      </x:c>
      <x:c r="E67" t="str">
        <x:v>dynamo-vllm</x:v>
      </x:c>
      <x:c r="F67" s="19" t="n">
        <x:v>41</x:v>
      </x:c>
      <x:c r="G67" s="19" t="n">
        <x:v>13</x:v>
      </x:c>
      <x:c r="H67" s="24" t="n">
        <x:v>4.082469835296037</x:v>
      </x:c>
      <x:c r="I67" s="24" t="n">
        <x:v>158.27813742221346</x:v>
      </x:c>
      <x:c r="J67" t="str">
        <x:v>30,50,70,100</x:v>
      </x:c>
      <x:c r="K67" s="22" t="n">
        <x:v>5026666.6954898</x:v>
      </x:c>
      <x:c r="L67" t="str">
        <x:v>fp8</x:v>
      </x:c>
      <x:c r="M67" t="str">
        <x:v>none</x:v>
      </x:c>
      <x:c r="N67" s="21" t="n">
        <x:v>46193</x:v>
      </x:c>
      <x:c r="O67" s="21" t="n">
        <x:v>46199</x:v>
      </x:c>
    </x:row>
    <x:row r="68">
      <x:c r="A68" t="str">
        <x:v>MiniMax M3</x:v>
      </x:c>
      <x:c r="B68" t="str">
        <x:v>minimaxm3</x:v>
      </x:c>
      <x:c r="C68" t="str">
        <x:v>H200</x:v>
      </x:c>
      <x:c r="D68" t="str">
        <x:v>agentic</x:v>
      </x:c>
      <x:c r="E68" t="str">
        <x:v>vllm</x:v>
      </x:c>
      <x:c r="F68" s="19" t="n">
        <x:v>8</x:v>
      </x:c>
      <x:c r="G68" s="19" t="n">
        <x:v>8</x:v>
      </x:c>
      <x:c r="H68" s="24" t="n">
        <x:v>30.902348578491967</x:v>
      </x:c>
      <x:c r="I68" s="24" t="n">
        <x:v>105.9322033898305</x:v>
      </x:c>
      <x:c r="J68" t="str">
        <x:v>30,50,70,100</x:v>
      </x:c>
      <x:c r="K68" s="22" t="n">
        <x:v>26884.240875912405</x:v>
      </x:c>
      <x:c r="L68" t="str">
        <x:v>fp8</x:v>
      </x:c>
      <x:c r="M68" t="str">
        <x:v>mtp</x:v>
      </x:c>
      <x:c r="N68" s="21" t="n">
        <x:v>46246</x:v>
      </x:c>
      <x:c r="O68" s="21" t="n">
        <x:v>46246</x:v>
      </x:c>
    </x:row>
    <x:row r="69">
      <x:c r="A69" t="str">
        <x:v>MiniMax M3</x:v>
      </x:c>
      <x:c r="B69" t="str">
        <x:v>minimaxm3</x:v>
      </x:c>
      <x:c r="C69" t="str">
        <x:v>H200</x:v>
      </x:c>
      <x:c r="D69" t="str">
        <x:v>long</x:v>
      </x:c>
      <x:c r="E69" t="str">
        <x:v>vllm</x:v>
      </x:c>
      <x:c r="F69" s="19" t="n">
        <x:v>75</x:v>
      </x:c>
      <x:c r="G69" s="19" t="n">
        <x:v>10</x:v>
      </x:c>
      <x:c r="H69" s="24" t="n">
        <x:v>2.3767442280531013</x:v>
      </x:c>
      <x:c r="I69" s="24" t="n">
        <x:v>339.47795484497135</x:v>
      </x:c>
      <x:c r="J69" t="str">
        <x:v>30,50,70,100</x:v>
      </x:c>
      <x:c r="K69" s="22" t="n">
        <x:v>157157.26019303044</x:v>
      </x:c>
      <x:c r="L69" t="str">
        <x:v>fp8</x:v>
      </x:c>
      <x:c r="M69" t="str">
        <x:v>mtp, none</x:v>
      </x:c>
      <x:c r="N69" s="21" t="n">
        <x:v>46186</x:v>
      </x:c>
      <x:c r="O69" s="21" t="n">
        <x:v>46188</x:v>
      </x:c>
    </x:row>
    <x:row r="70">
      <x:c r="A70" t="str">
        <x:v>MiniMax M3</x:v>
      </x:c>
      <x:c r="B70" t="str">
        <x:v>minimaxm3</x:v>
      </x:c>
      <x:c r="C70" t="str">
        <x:v>H200</x:v>
      </x:c>
      <x:c r="D70" t="str">
        <x:v>short</x:v>
      </x:c>
      <x:c r="E70" t="str">
        <x:v>vllm</x:v>
      </x:c>
      <x:c r="F70" s="19" t="n">
        <x:v>90</x:v>
      </x:c>
      <x:c r="G70" s="19" t="n">
        <x:v>11</x:v>
      </x:c>
      <x:c r="H70" s="24" t="n">
        <x:v>4.326486454294525</x:v>
      </x:c>
      <x:c r="I70" s="24" t="n">
        <x:v>294.2446722926347</x:v>
      </x:c>
      <x:c r="J70" t="str">
        <x:v>30,50,70,100</x:v>
      </x:c>
      <x:c r="K70" s="22" t="n">
        <x:v>540241.0089391381</x:v>
      </x:c>
      <x:c r="L70" t="str">
        <x:v>fp8</x:v>
      </x:c>
      <x:c r="M70" t="str">
        <x:v>mtp, none</x:v>
      </x:c>
      <x:c r="N70" s="21" t="n">
        <x:v>46186</x:v>
      </x:c>
      <x:c r="O70" s="21" t="n">
        <x:v>46188</x:v>
      </x:c>
    </x:row>
    <x:row r="71">
      <x:c r="A71" t="str">
        <x:v>Qwen 3.5</x:v>
      </x:c>
      <x:c r="B71" t="str">
        <x:v>qwen3.5</x:v>
      </x:c>
      <x:c r="C71" t="str">
        <x:v>B200</x:v>
      </x:c>
      <x:c r="D71" t="str">
        <x:v>agentic</x:v>
      </x:c>
      <x:c r="E71" t="str">
        <x:v>sglang</x:v>
      </x:c>
      <x:c r="F71" s="19" t="n">
        <x:v>65</x:v>
      </x:c>
      <x:c r="G71" s="19" t="n">
        <x:v>23</x:v>
      </x:c>
      <x:c r="H71" s="24" t="n">
        <x:v>2.1331058020477816</x:v>
      </x:c>
      <x:c r="I71" s="24" t="n">
        <x:v>485.43689320388347</x:v>
      </x:c>
      <x:c r="J71" t="str">
        <x:v>30,50,70,100</x:v>
      </x:c>
      <x:c r="K71" s="22" t="n">
        <x:v>369845.2865497076</x:v>
      </x:c>
      <x:c r="L71" t="str">
        <x:v>fp4, fp8</x:v>
      </x:c>
      <x:c r="M71" t="str">
        <x:v>mtp</x:v>
      </x:c>
      <x:c r="N71" s="21" t="n">
        <x:v>46237</x:v>
      </x:c>
      <x:c r="O71" s="21" t="n">
        <x:v>46241</x:v>
      </x:c>
    </x:row>
    <x:row r="72">
      <x:c r="A72" t="str">
        <x:v>Qwen 3.5</x:v>
      </x:c>
      <x:c r="B72" t="str">
        <x:v>qwen3.5</x:v>
      </x:c>
      <x:c r="C72" t="str">
        <x:v>B200</x:v>
      </x:c>
      <x:c r="D72" t="str">
        <x:v>long</x:v>
      </x:c>
      <x:c r="E72" t="str">
        <x:v>sglang</x:v>
      </x:c>
      <x:c r="F72" s="19" t="n">
        <x:v>167</x:v>
      </x:c>
      <x:c r="G72" s="19" t="n">
        <x:v>7</x:v>
      </x:c>
      <x:c r="H72" s="24" t="n">
        <x:v>10.61078616323517</x:v>
      </x:c>
      <x:c r="I72" s="24" t="n">
        <x:v>301.15415059911254</x:v>
      </x:c>
      <x:c r="J72" t="str">
        <x:v>30,50,70,100</x:v>
      </x:c>
      <x:c r="K72" s="22" t="n">
        <x:v>884513.564650684</x:v>
      </x:c>
      <x:c r="L72" t="str">
        <x:v>bf16, fp4, fp8</x:v>
      </x:c>
      <x:c r="M72" t="str">
        <x:v>mtp, none</x:v>
      </x:c>
      <x:c r="N72" s="21" t="n">
        <x:v>46070</x:v>
      </x:c>
      <x:c r="O72" s="21" t="n">
        <x:v>46244</x:v>
      </x:c>
    </x:row>
    <x:row r="73">
      <x:c r="A73" t="str">
        <x:v>Qwen 3.5</x:v>
      </x:c>
      <x:c r="B73" t="str">
        <x:v>qwen3.5</x:v>
      </x:c>
      <x:c r="C73" t="str">
        <x:v>B200</x:v>
      </x:c>
      <x:c r="D73" t="str">
        <x:v>long</x:v>
      </x:c>
      <x:c r="E73" t="str">
        <x:v>trt</x:v>
      </x:c>
      <x:c r="F73" s="19" t="n">
        <x:v>18</x:v>
      </x:c>
      <x:c r="G73" s="19" t="n">
        <x:v>8</x:v>
      </x:c>
      <x:c r="H73" s="24" t="n">
        <x:v>9.346156478430071</x:v>
      </x:c>
      <x:c r="I73" s="24" t="n">
        <x:v>320.9240383460105</x:v>
      </x:c>
      <x:c r="J73" t="str">
        <x:v>30,50,70,100</x:v>
      </x:c>
      <x:c r="K73" s="22" t="n">
        <x:v>1336915.5433072534</x:v>
      </x:c>
      <x:c r="L73" t="str">
        <x:v>fp4</x:v>
      </x:c>
      <x:c r="M73" t="str">
        <x:v>mtp, none</x:v>
      </x:c>
      <x:c r="N73" s="21" t="n">
        <x:v>46189</x:v>
      </x:c>
      <x:c r="O73" s="21" t="n">
        <x:v>46197</x:v>
      </x:c>
    </x:row>
    <x:row r="74">
      <x:c r="A74" t="str">
        <x:v>Qwen 3.5</x:v>
      </x:c>
      <x:c r="B74" t="str">
        <x:v>qwen3.5</x:v>
      </x:c>
      <x:c r="C74" t="str">
        <x:v>B200</x:v>
      </x:c>
      <x:c r="D74" t="str">
        <x:v>short</x:v>
      </x:c>
      <x:c r="E74" t="str">
        <x:v>sglang</x:v>
      </x:c>
      <x:c r="F74" s="19" t="n">
        <x:v>154</x:v>
      </x:c>
      <x:c r="G74" s="19" t="n">
        <x:v>7</x:v>
      </x:c>
      <x:c r="H74" s="24" t="n">
        <x:v>20.513039343935155</x:v>
      </x:c>
      <x:c r="I74" s="24" t="n">
        <x:v>296.4476205210209</x:v>
      </x:c>
      <x:c r="J74" t="str">
        <x:v>30,50,70,100</x:v>
      </x:c>
      <x:c r="K74" s="22" t="n">
        <x:v>1424367.6220981658</x:v>
      </x:c>
      <x:c r="L74" t="str">
        <x:v>bf16, fp4, fp8</x:v>
      </x:c>
      <x:c r="M74" t="str">
        <x:v>mtp, none</x:v>
      </x:c>
      <x:c r="N74" s="21" t="n">
        <x:v>46070</x:v>
      </x:c>
      <x:c r="O74" s="21" t="n">
        <x:v>46208</x:v>
      </x:c>
    </x:row>
    <x:row r="75">
      <x:c r="A75" t="str">
        <x:v>Qwen 3.5</x:v>
      </x:c>
      <x:c r="B75" t="str">
        <x:v>qwen3.5</x:v>
      </x:c>
      <x:c r="C75" t="str">
        <x:v>B200</x:v>
      </x:c>
      <x:c r="D75" t="str">
        <x:v>short</x:v>
      </x:c>
      <x:c r="E75" t="str">
        <x:v>trt</x:v>
      </x:c>
      <x:c r="F75" s="19" t="n">
        <x:v>17</x:v>
      </x:c>
      <x:c r="G75" s="19" t="n">
        <x:v>8</x:v>
      </x:c>
      <x:c r="H75" s="24" t="n">
        <x:v>22.359262877302122</x:v>
      </x:c>
      <x:c r="I75" s="24" t="n">
        <x:v>318.52317827760055</x:v>
      </x:c>
      <x:c r="J75" t="str">
        <x:v>30,50,70,100</x:v>
      </x:c>
      <x:c r="K75" s="22" t="n">
        <x:v>3197920.9506924106</x:v>
      </x:c>
      <x:c r="L75" t="str">
        <x:v>fp4</x:v>
      </x:c>
      <x:c r="M75" t="str">
        <x:v>mtp, none</x:v>
      </x:c>
      <x:c r="N75" s="21" t="n">
        <x:v>46189</x:v>
      </x:c>
      <x:c r="O75" s="21" t="n">
        <x:v>46197</x:v>
      </x:c>
    </x:row>
    <x:row r="76">
      <x:c r="A76" t="str">
        <x:v>Qwen 3.5</x:v>
      </x:c>
      <x:c r="B76" t="str">
        <x:v>qwen3.5</x:v>
      </x:c>
      <x:c r="C76" t="str">
        <x:v>B300</x:v>
      </x:c>
      <x:c r="D76" t="str">
        <x:v>agentic</x:v>
      </x:c>
      <x:c r="E76" t="str">
        <x:v>sglang</x:v>
      </x:c>
      <x:c r="F76" s="19" t="n">
        <x:v>68</x:v>
      </x:c>
      <x:c r="G76" s="19" t="n">
        <x:v>21</x:v>
      </x:c>
      <x:c r="H76" s="24" t="n">
        <x:v>19.204916458613404</x:v>
      </x:c>
      <x:c r="I76" s="24" t="n">
        <x:v>494.93713246892054</x:v>
      </x:c>
      <x:c r="J76" t="str">
        <x:v>30,50,70,100</x:v>
      </x:c>
      <x:c r="K76" s="22" t="n">
        <x:v>532687.9315789475</x:v>
      </x:c>
      <x:c r="L76" t="str">
        <x:v>fp4, fp8</x:v>
      </x:c>
      <x:c r="M76" t="str">
        <x:v>mtp</x:v>
      </x:c>
      <x:c r="N76" s="21" t="n">
        <x:v>46237</x:v>
      </x:c>
      <x:c r="O76" s="21" t="n">
        <x:v>46241</x:v>
      </x:c>
    </x:row>
    <x:row r="77">
      <x:c r="A77" t="str">
        <x:v>Qwen 3.5</x:v>
      </x:c>
      <x:c r="B77" t="str">
        <x:v>qwen3.5</x:v>
      </x:c>
      <x:c r="C77" t="str">
        <x:v>B300</x:v>
      </x:c>
      <x:c r="D77" t="str">
        <x:v>long</x:v>
      </x:c>
      <x:c r="E77" t="str">
        <x:v>sglang</x:v>
      </x:c>
      <x:c r="F77" s="19" t="n">
        <x:v>215</x:v>
      </x:c>
      <x:c r="G77" s="19" t="n">
        <x:v>7</x:v>
      </x:c>
      <x:c r="H77" s="24" t="n">
        <x:v>14.965463436796531</x:v>
      </x:c>
      <x:c r="I77" s="24" t="n">
        <x:v>310.34550526454376</x:v>
      </x:c>
      <x:c r="J77" t="str">
        <x:v>30,50,70,100</x:v>
      </x:c>
      <x:c r="K77" s="22" t="n">
        <x:v>1071155.438704616</x:v>
      </x:c>
      <x:c r="L77" t="str">
        <x:v>bf16, fp4, fp8</x:v>
      </x:c>
      <x:c r="M77" t="str">
        <x:v>mtp, none</x:v>
      </x:c>
      <x:c r="N77" s="21" t="n">
        <x:v>46129</x:v>
      </x:c>
      <x:c r="O77" s="21" t="n">
        <x:v>46244</x:v>
      </x:c>
    </x:row>
    <x:row r="78">
      <x:c r="A78" t="str">
        <x:v>Qwen 3.5</x:v>
      </x:c>
      <x:c r="B78" t="str">
        <x:v>qwen3.5</x:v>
      </x:c>
      <x:c r="C78" t="str">
        <x:v>B300</x:v>
      </x:c>
      <x:c r="D78" t="str">
        <x:v>short</x:v>
      </x:c>
      <x:c r="E78" t="str">
        <x:v>sglang</x:v>
      </x:c>
      <x:c r="F78" s="19" t="n">
        <x:v>191</x:v>
      </x:c>
      <x:c r="G78" s="19" t="n">
        <x:v>7</x:v>
      </x:c>
      <x:c r="H78" s="24" t="n">
        <x:v>27.716504288303206</x:v>
      </x:c>
      <x:c r="I78" s="24" t="n">
        <x:v>327.48720267277844</x:v>
      </x:c>
      <x:c r="J78" t="str">
        <x:v>30,50,70,100</x:v>
      </x:c>
      <x:c r="K78" s="22" t="n">
        <x:v>1929110.5470635567</x:v>
      </x:c>
      <x:c r="L78" t="str">
        <x:v>bf16, fp4, fp8</x:v>
      </x:c>
      <x:c r="M78" t="str">
        <x:v>mtp, none</x:v>
      </x:c>
      <x:c r="N78" s="21" t="n">
        <x:v>46129</x:v>
      </x:c>
      <x:c r="O78" s="21" t="n">
        <x:v>46207</x:v>
      </x:c>
    </x:row>
    <x:row r="79">
      <x:c r="A79" t="str">
        <x:v>Qwen 3.5</x:v>
      </x:c>
      <x:c r="B79" t="str">
        <x:v>qwen3.5</x:v>
      </x:c>
      <x:c r="C79" t="str">
        <x:v>GB200</x:v>
      </x:c>
      <x:c r="D79" t="str">
        <x:v>agentic</x:v>
      </x:c>
      <x:c r="E79" t="str">
        <x:v>dynamo-sglang</x:v>
      </x:c>
      <x:c r="F79" s="19" t="n">
        <x:v>17</x:v>
      </x:c>
      <x:c r="G79" s="19" t="n">
        <x:v>13</x:v>
      </x:c>
      <x:c r="H79" s="24" t="n">
        <x:v>11.610356437942645</x:v>
      </x:c>
      <x:c r="I79" s="24" t="n">
        <x:v>505.0505050505051</x:v>
      </x:c>
      <x:c r="J79" t="str">
        <x:v>30,50,70,100</x:v>
      </x:c>
      <x:c r="K79" s="22" t="n">
        <x:v>294547.32085561496</x:v>
      </x:c>
      <x:c r="L79" t="str">
        <x:v>fp4</x:v>
      </x:c>
      <x:c r="M79" t="str">
        <x:v>mtp</x:v>
      </x:c>
      <x:c r="N79" s="21" t="n">
        <x:v>46246</x:v>
      </x:c>
      <x:c r="O79" s="21" t="n">
        <x:v>46246</x:v>
      </x:c>
    </x:row>
    <x:row r="80">
      <x:c r="A80" t="str">
        <x:v>Qwen 3.5</x:v>
      </x:c>
      <x:c r="B80" t="str">
        <x:v>qwen3.5</x:v>
      </x:c>
      <x:c r="C80" t="str">
        <x:v>GB200</x:v>
      </x:c>
      <x:c r="D80" t="str">
        <x:v>long</x:v>
      </x:c>
      <x:c r="E80" t="str">
        <x:v>dynamo-sglang</x:v>
      </x:c>
      <x:c r="F80" s="19" t="n">
        <x:v>23</x:v>
      </x:c>
      <x:c r="G80" s="19" t="n">
        <x:v>19</x:v>
      </x:c>
      <x:c r="H80" s="24" t="n">
        <x:v>35.45754477676604</x:v>
      </x:c>
      <x:c r="I80" s="24" t="n">
        <x:v>365.6800447619049</x:v>
      </x:c>
      <x:c r="J80" t="str">
        <x:v>30,50,70,100</x:v>
      </x:c>
      <x:c r="K80" s="22" t="n">
        <x:v>2262307.439340352</x:v>
      </x:c>
      <x:c r="L80" t="str">
        <x:v>fp8</x:v>
      </x:c>
      <x:c r="M80" t="str">
        <x:v>mtp, none</x:v>
      </x:c>
      <x:c r="N80" s="21" t="n">
        <x:v>46195</x:v>
      </x:c>
      <x:c r="O80" s="21" t="n">
        <x:v>46229</x:v>
      </x:c>
    </x:row>
    <x:row r="81">
      <x:c r="A81" t="str">
        <x:v>Qwen 3.5</x:v>
      </x:c>
      <x:c r="B81" t="str">
        <x:v>qwen3.5</x:v>
      </x:c>
      <x:c r="C81" t="str">
        <x:v>GB200</x:v>
      </x:c>
      <x:c r="D81" t="str">
        <x:v>short</x:v>
      </x:c>
      <x:c r="E81" t="str">
        <x:v>dynamo-sglang</x:v>
      </x:c>
      <x:c r="F81" s="19" t="n">
        <x:v>11</x:v>
      </x:c>
      <x:c r="G81" s="19" t="n">
        <x:v>11</x:v>
      </x:c>
      <x:c r="H81" s="24" t="n">
        <x:v>27.458068562222607</x:v>
      </x:c>
      <x:c r="I81" s="24" t="n">
        <x:v>173.8866562262614</x:v>
      </x:c>
      <x:c r="J81" t="str">
        <x:v>30,50,70,100</x:v>
      </x:c>
      <x:c r="K81" s="22" t="n">
        <x:v>3238364.4497062867</x:v>
      </x:c>
      <x:c r="L81" t="str">
        <x:v>fp8</x:v>
      </x:c>
      <x:c r="M81" t="str">
        <x:v>none</x:v>
      </x:c>
      <x:c r="N81" s="21" t="n">
        <x:v>46195</x:v>
      </x:c>
      <x:c r="O81" s="21" t="n">
        <x:v>46195</x:v>
      </x:c>
    </x:row>
    <x:row r="82">
      <x:c r="A82" t="str">
        <x:v>Qwen 3.5</x:v>
      </x:c>
      <x:c r="B82" t="str">
        <x:v>qwen3.5</x:v>
      </x:c>
      <x:c r="C82" t="str">
        <x:v>GB300</x:v>
      </x:c>
      <x:c r="D82" t="str">
        <x:v>agentic</x:v>
      </x:c>
      <x:c r="E82" t="str">
        <x:v>dynamo-sglang</x:v>
      </x:c>
      <x:c r="F82" s="19" t="n">
        <x:v>14</x:v>
      </x:c>
      <x:c r="G82" s="19" t="n">
        <x:v>12</x:v>
      </x:c>
      <x:c r="H82" s="24" t="n">
        <x:v>49.35834155972359</x:v>
      </x:c>
      <x:c r="I82" s="24" t="n">
        <x:v>520.8333333333334</x:v>
      </x:c>
      <x:c r="J82" t="str">
        <x:v>30,50,70,100</x:v>
      </x:c>
      <x:c r="K82" s="22" t="n">
        <x:v>458490.3820754717</x:v>
      </x:c>
      <x:c r="L82" t="str">
        <x:v>fp4</x:v>
      </x:c>
      <x:c r="M82" t="str">
        <x:v>mtp</x:v>
      </x:c>
      <x:c r="N82" s="21" t="n">
        <x:v>46241</x:v>
      </x:c>
      <x:c r="O82" s="21" t="n">
        <x:v>46241</x:v>
      </x:c>
    </x:row>
    <x:row r="83">
      <x:c r="A83" t="str">
        <x:v>Qwen 3.5</x:v>
      </x:c>
      <x:c r="B83" t="str">
        <x:v>qwen3.5</x:v>
      </x:c>
      <x:c r="C83" t="str">
        <x:v>GB300</x:v>
      </x:c>
      <x:c r="D83" t="str">
        <x:v>long</x:v>
      </x:c>
      <x:c r="E83" t="str">
        <x:v>dynamo-sglang</x:v>
      </x:c>
      <x:c r="F83" s="19" t="n">
        <x:v>43</x:v>
      </x:c>
      <x:c r="G83" s="19" t="n">
        <x:v>21</x:v>
      </x:c>
      <x:c r="H83" s="24" t="n">
        <x:v>39.599973129083125</x:v>
      </x:c>
      <x:c r="I83" s="24" t="n">
        <x:v>374.20257516265576</x:v>
      </x:c>
      <x:c r="J83" t="str">
        <x:v>30,50,70,100</x:v>
      </x:c>
      <x:c r="K83" s="22" t="n">
        <x:v>2646524.9799063005</x:v>
      </x:c>
      <x:c r="L83" t="str">
        <x:v>fp4, fp8</x:v>
      </x:c>
      <x:c r="M83" t="str">
        <x:v>mtp, none</x:v>
      </x:c>
      <x:c r="N83" s="21" t="n">
        <x:v>46198</x:v>
      </x:c>
      <x:c r="O83" s="21" t="n">
        <x:v>46244</x:v>
      </x:c>
    </x:row>
    <x:row r="84">
      <x:c r="A84" t="str">
        <x:v>Qwen 3.5</x:v>
      </x:c>
      <x:c r="B84" t="str">
        <x:v>qwen3.5</x:v>
      </x:c>
      <x:c r="C84" t="str">
        <x:v>GB300</x:v>
      </x:c>
      <x:c r="D84" t="str">
        <x:v>long</x:v>
      </x:c>
      <x:c r="E84" t="str">
        <x:v>dynamo-trt</x:v>
      </x:c>
      <x:c r="F84" s="19" t="n">
        <x:v>18</x:v>
      </x:c>
      <x:c r="G84" s="19" t="n">
        <x:v>16</x:v>
      </x:c>
      <x:c r="H84" s="24" t="n">
        <x:v>30.74127290244914</x:v>
      </x:c>
      <x:c r="I84" s="24" t="n">
        <x:v>434.99739309323985</x:v>
      </x:c>
      <x:c r="J84" t="str">
        <x:v>30,50,70,100</x:v>
      </x:c>
      <x:c r="K84" s="22" t="n">
        <x:v>3251808.168414765</x:v>
      </x:c>
      <x:c r="L84" t="str">
        <x:v>fp4</x:v>
      </x:c>
      <x:c r="M84" t="str">
        <x:v>mtp, none</x:v>
      </x:c>
      <x:c r="N84" s="21" t="n">
        <x:v>46233</x:v>
      </x:c>
      <x:c r="O84" s="21" t="n">
        <x:v>46244</x:v>
      </x:c>
    </x:row>
    <x:row r="85">
      <x:c r="A85" t="str">
        <x:v>Qwen 3.5</x:v>
      </x:c>
      <x:c r="B85" t="str">
        <x:v>qwen3.5</x:v>
      </x:c>
      <x:c r="C85" t="str">
        <x:v>GB300</x:v>
      </x:c>
      <x:c r="D85" t="str">
        <x:v>short</x:v>
      </x:c>
      <x:c r="E85" t="str">
        <x:v>dynamo-sglang</x:v>
      </x:c>
      <x:c r="F85" s="19" t="n">
        <x:v>11</x:v>
      </x:c>
      <x:c r="G85" s="19" t="n">
        <x:v>11</x:v>
      </x:c>
      <x:c r="H85" s="24" t="n">
        <x:v>31.21987953344391</x:v>
      </x:c>
      <x:c r="I85" s="24" t="n">
        <x:v>206.8290870418503</x:v>
      </x:c>
      <x:c r="J85" t="str">
        <x:v>30,50,70,100</x:v>
      </x:c>
      <x:c r="K85" s="22" t="n">
        <x:v>3197283.650938009</x:v>
      </x:c>
      <x:c r="L85" t="str">
        <x:v>fp8</x:v>
      </x:c>
      <x:c r="M85" t="str">
        <x:v>none</x:v>
      </x:c>
      <x:c r="N85" s="21" t="n">
        <x:v>46216</x:v>
      </x:c>
      <x:c r="O85" s="21" t="n">
        <x:v>46216</x:v>
      </x:c>
    </x:row>
    <x:row r="86">
      <x:c r="A86" t="str">
        <x:v>Qwen 3.5</x:v>
      </x:c>
      <x:c r="B86" t="str">
        <x:v>qwen3.5</x:v>
      </x:c>
      <x:c r="C86" t="str">
        <x:v>H200</x:v>
      </x:c>
      <x:c r="D86" t="str">
        <x:v>agentic</x:v>
      </x:c>
      <x:c r="E86" t="str">
        <x:v>sglang</x:v>
      </x:c>
      <x:c r="F86" s="19" t="n">
        <x:v>8</x:v>
      </x:c>
      <x:c r="G86" s="19" t="n">
        <x:v>4</x:v>
      </x:c>
      <x:c r="H86" s="24" t="n">
        <x:v>122.1001221001221</x:v>
      </x:c>
      <x:c r="I86" s="24" t="n">
        <x:v>255.7544757033248</x:v>
      </x:c>
      <x:c r="J86" t="str">
        <x:v>30,50,70,100</x:v>
      </x:c>
      <x:c r="K86" s="22" t="n">
        <x:v>61095.40875912409</x:v>
      </x:c>
      <x:c r="L86" t="str">
        <x:v>fp8</x:v>
      </x:c>
      <x:c r="M86" t="str">
        <x:v>mtp</x:v>
      </x:c>
      <x:c r="N86" s="21" t="n">
        <x:v>46242</x:v>
      </x:c>
      <x:c r="O86" s="21" t="n">
        <x:v>46242</x:v>
      </x:c>
    </x:row>
    <x:row r="87">
      <x:c r="A87" t="str">
        <x:v>Qwen 3.5</x:v>
      </x:c>
      <x:c r="B87" t="str">
        <x:v>qwen3.5</x:v>
      </x:c>
      <x:c r="C87" t="str">
        <x:v>H200</x:v>
      </x:c>
      <x:c r="D87" t="str">
        <x:v>long</x:v>
      </x:c>
      <x:c r="E87" t="str">
        <x:v>sglang</x:v>
      </x:c>
      <x:c r="F87" s="19" t="n">
        <x:v>50</x:v>
      </x:c>
      <x:c r="G87" s="19" t="n">
        <x:v>6</x:v>
      </x:c>
      <x:c r="H87" s="24" t="n">
        <x:v>14.393629184740035</x:v>
      </x:c>
      <x:c r="I87" s="24" t="n">
        <x:v>187.9455668324905</x:v>
      </x:c>
      <x:c r="J87" t="str">
        <x:v>30,50,70,100</x:v>
      </x:c>
      <x:c r="K87" s="22" t="n">
        <x:v>200115.8417946935</x:v>
      </x:c>
      <x:c r="L87" t="str">
        <x:v>fp8</x:v>
      </x:c>
      <x:c r="M87" t="str">
        <x:v>mtp, none</x:v>
      </x:c>
      <x:c r="N87" s="21" t="n">
        <x:v>46085</x:v>
      </x:c>
      <x:c r="O87" s="21" t="n">
        <x:v>46207</x:v>
      </x:c>
    </x:row>
    <x:row r="88">
      <x:c r="A88" t="str">
        <x:v>Qwen 3.5</x:v>
      </x:c>
      <x:c r="B88" t="str">
        <x:v>qwen3.5</x:v>
      </x:c>
      <x:c r="C88" t="str">
        <x:v>H200</x:v>
      </x:c>
      <x:c r="D88" t="str">
        <x:v>short</x:v>
      </x:c>
      <x:c r="E88" t="str">
        <x:v>sglang</x:v>
      </x:c>
      <x:c r="F88" s="19" t="n">
        <x:v>50</x:v>
      </x:c>
      <x:c r="G88" s="19" t="n">
        <x:v>6</x:v>
      </x:c>
      <x:c r="H88" s="24" t="n">
        <x:v>22.08561920492583</x:v>
      </x:c>
      <x:c r="I88" s="24" t="n">
        <x:v>182.65273998110723</x:v>
      </x:c>
      <x:c r="J88" t="str">
        <x:v>30,50,70,100</x:v>
      </x:c>
      <x:c r="K88" s="22" t="n">
        <x:v>316361.64020233916</x:v>
      </x:c>
      <x:c r="L88" t="str">
        <x:v>fp8</x:v>
      </x:c>
      <x:c r="M88" t="str">
        <x:v>mtp, none</x:v>
      </x:c>
      <x:c r="N88" s="21" t="n">
        <x:v>46085</x:v>
      </x:c>
      <x:c r="O88" s="21" t="n">
        <x:v>46207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ae80368de27940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11" hidden="0" customWidth="1"/>
    <x:col min="4" max="4" width="13" hidden="0" customWidth="1"/>
    <x:col min="5" max="5" width="12" hidden="0" customWidth="1"/>
    <x:col min="6" max="6" width="16" hidden="0" customWidth="1"/>
    <x:col min="7" max="7" width="44" hidden="0" customWidth="1"/>
    <x:col min="8" max="8" width="11" hidden="0" customWidth="1"/>
    <x:col min="9" max="9" width="11" hidden="0" customWidth="1"/>
    <x:col min="10" max="10" width="11" hidden="0" customWidth="1"/>
    <x:col min="11" max="11" width="19" hidden="0" customWidth="1"/>
    <x:col min="12" max="12" width="12" hidden="0" customWidth="1"/>
  </x:cols>
  <x:sheetData>
    <x:row r="1" ht="30" customHeight="1">
      <x:c r="A1" s="3" t="str">
        <x:v>Matched Short ÷ Long Ratios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Ratios are calculated only from identical configuration pairs, reduced to one median per model, then aggregated with equal model weight.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16" t="str">
        <x:v>GPU</x:v>
      </x:c>
      <x:c r="B4" s="17" t="str">
        <x:v>Framework</x:v>
      </x:c>
      <x:c r="C4" s="17" t="str">
        <x:v>Precision</x:v>
      </x:c>
      <x:c r="D4" s="17" t="str">
        <x:v>Spec Method</x:v>
      </x:c>
      <x:c r="E4" s="17" t="str">
        <x:v>Model Count</x:v>
      </x:c>
      <x:c r="F4" s="17" t="str">
        <x:v>Matched Pair Count</x:v>
      </x:c>
      <x:c r="G4" s="17" t="str">
        <x:v>Models</x:v>
      </x:c>
      <x:c r="H4" s="17" t="str">
        <x:v>Ratio P10</x:v>
      </x:c>
      <x:c r="I4" s="17" t="str">
        <x:v>Ratio P50</x:v>
      </x:c>
      <x:c r="J4" s="17" t="str">
        <x:v>Ratio P90</x:v>
      </x:c>
      <x:c r="K4" s="17" t="str">
        <x:v>Interactivity Ratio P50</x:v>
      </x:c>
      <x:c r="L4" s="18" t="str">
        <x:v>Confidence</x:v>
      </x:c>
    </x:row>
    <x:row r="5">
      <x:c r="A5" t="str">
        <x:v>B200</x:v>
      </x:c>
      <x:c r="B5" t="str">
        <x:v>dynamo-sglang</x:v>
      </x:c>
      <x:c r="C5" t="str">
        <x:v>fp4</x:v>
      </x:c>
      <x:c r="D5" t="str">
        <x:v>mtp</x:v>
      </x:c>
      <x:c r="E5" s="19" t="n">
        <x:v>1</x:v>
      </x:c>
      <x:c r="F5" s="19" t="n">
        <x:v>1</x:v>
      </x:c>
      <x:c r="G5" t="str">
        <x:v>dsr1</x:v>
      </x:c>
      <x:c r="H5" s="25" t="n">
        <x:v>4.907899701073576</x:v>
      </x:c>
      <x:c r="I5" s="25" t="n">
        <x:v>4.907899701073576</x:v>
      </x:c>
      <x:c r="J5" s="25" t="n">
        <x:v>4.907899701073576</x:v>
      </x:c>
      <x:c r="K5" s="25" t="n">
        <x:v>0.606029997522179</x:v>
      </x:c>
      <x:c r="L5" t="str">
        <x:v>Low</x:v>
      </x:c>
    </x:row>
    <x:row r="6">
      <x:c r="A6" t="str">
        <x:v>B200</x:v>
      </x:c>
      <x:c r="B6" t="str">
        <x:v>dynamo-sglang</x:v>
      </x:c>
      <x:c r="C6" t="str">
        <x:v>fp8</x:v>
      </x:c>
      <x:c r="D6" t="str">
        <x:v>mtp</x:v>
      </x:c>
      <x:c r="E6" s="19" t="n">
        <x:v>1</x:v>
      </x:c>
      <x:c r="F6" s="19" t="n">
        <x:v>3</x:v>
      </x:c>
      <x:c r="G6" t="str">
        <x:v>dsr1</x:v>
      </x:c>
      <x:c r="H6" s="25" t="n">
        <x:v>1.5708415125415445</x:v>
      </x:c>
      <x:c r="I6" s="25" t="n">
        <x:v>1.5708415125415445</x:v>
      </x:c>
      <x:c r="J6" s="25" t="n">
        <x:v>1.5708415125415445</x:v>
      </x:c>
      <x:c r="K6" s="25" t="n">
        <x:v>1.0116770476523693</x:v>
      </x:c>
      <x:c r="L6" t="str">
        <x:v>Low</x:v>
      </x:c>
    </x:row>
    <x:row r="7">
      <x:c r="A7" t="str">
        <x:v>B200</x:v>
      </x:c>
      <x:c r="B7" t="str">
        <x:v>dynamo-sglang</x:v>
      </x:c>
      <x:c r="C7" t="str">
        <x:v>fp8</x:v>
      </x:c>
      <x:c r="D7" t="str">
        <x:v>none</x:v>
      </x:c>
      <x:c r="E7" s="19" t="n">
        <x:v>1</x:v>
      </x:c>
      <x:c r="F7" s="19" t="n">
        <x:v>1</x:v>
      </x:c>
      <x:c r="G7" t="str">
        <x:v>dsr1</x:v>
      </x:c>
      <x:c r="H7" s="25" t="n">
        <x:v>1.0830174149507377</x:v>
      </x:c>
      <x:c r="I7" s="25" t="n">
        <x:v>1.0830174149507377</x:v>
      </x:c>
      <x:c r="J7" s="25" t="n">
        <x:v>1.0830174149507377</x:v>
      </x:c>
      <x:c r="K7" s="25" t="n">
        <x:v>1.0446299007762638</x:v>
      </x:c>
      <x:c r="L7" t="str">
        <x:v>Low</x:v>
      </x:c>
    </x:row>
    <x:row r="8">
      <x:c r="A8" t="str">
        <x:v>B200</x:v>
      </x:c>
      <x:c r="B8" t="str">
        <x:v>dynamo-trt</x:v>
      </x:c>
      <x:c r="C8" t="str">
        <x:v>fp4</x:v>
      </x:c>
      <x:c r="D8" t="str">
        <x:v>mtp</x:v>
      </x:c>
      <x:c r="E8" s="19" t="n">
        <x:v>1</x:v>
      </x:c>
      <x:c r="F8" s="19" t="n">
        <x:v>3</x:v>
      </x:c>
      <x:c r="G8" t="str">
        <x:v>dsr1</x:v>
      </x:c>
      <x:c r="H8" s="25" t="n">
        <x:v>1.1449248246543215</x:v>
      </x:c>
      <x:c r="I8" s="25" t="n">
        <x:v>1.1449248246543215</x:v>
      </x:c>
      <x:c r="J8" s="25" t="n">
        <x:v>1.1449248246543215</x:v>
      </x:c>
      <x:c r="K8" s="25" t="n">
        <x:v>1.0244360766577951</x:v>
      </x:c>
      <x:c r="L8" t="str">
        <x:v>Low</x:v>
      </x:c>
    </x:row>
    <x:row r="9">
      <x:c r="A9" t="str">
        <x:v>B200</x:v>
      </x:c>
      <x:c r="B9" t="str">
        <x:v>dynamo-trt</x:v>
      </x:c>
      <x:c r="C9" t="str">
        <x:v>fp4</x:v>
      </x:c>
      <x:c r="D9" t="str">
        <x:v>none</x:v>
      </x:c>
      <x:c r="E9" s="19" t="n">
        <x:v>1</x:v>
      </x:c>
      <x:c r="F9" s="19" t="n">
        <x:v>4</x:v>
      </x:c>
      <x:c r="G9" t="str">
        <x:v>dsr1</x:v>
      </x:c>
      <x:c r="H9" s="25" t="n">
        <x:v>1.1524728839350014</x:v>
      </x:c>
      <x:c r="I9" s="25" t="n">
        <x:v>1.1524728839350014</x:v>
      </x:c>
      <x:c r="J9" s="25" t="n">
        <x:v>1.1524728839350014</x:v>
      </x:c>
      <x:c r="K9" s="25" t="n">
        <x:v>1.0767264871989264</x:v>
      </x:c>
      <x:c r="L9" t="str">
        <x:v>Low</x:v>
      </x:c>
    </x:row>
    <x:row r="10">
      <x:c r="A10" t="str">
        <x:v>B200</x:v>
      </x:c>
      <x:c r="B10" t="str">
        <x:v>dynamo-vllm</x:v>
      </x:c>
      <x:c r="C10" t="str">
        <x:v>fp4</x:v>
      </x:c>
      <x:c r="D10" t="str">
        <x:v>none</x:v>
      </x:c>
      <x:c r="E10" s="19" t="n">
        <x:v>1</x:v>
      </x:c>
      <x:c r="F10" s="19" t="n">
        <x:v>4</x:v>
      </x:c>
      <x:c r="G10" t="str">
        <x:v>minimaxm2.5</x:v>
      </x:c>
      <x:c r="H10" s="25" t="n">
        <x:v>1.2360293596464373</x:v>
      </x:c>
      <x:c r="I10" s="25" t="n">
        <x:v>1.2360293596464373</x:v>
      </x:c>
      <x:c r="J10" s="25" t="n">
        <x:v>1.2360293596464373</x:v>
      </x:c>
      <x:c r="K10" s="25" t="n">
        <x:v>1.0964082620315012</x:v>
      </x:c>
      <x:c r="L10" t="str">
        <x:v>Low</x:v>
      </x:c>
    </x:row>
    <x:row r="11">
      <x:c r="A11" t="str">
        <x:v>B200</x:v>
      </x:c>
      <x:c r="B11" t="str">
        <x:v>dynamo-vllm</x:v>
      </x:c>
      <x:c r="C11" t="str">
        <x:v>fp8</x:v>
      </x:c>
      <x:c r="D11" t="str">
        <x:v>none</x:v>
      </x:c>
      <x:c r="E11" s="19" t="n">
        <x:v>1</x:v>
      </x:c>
      <x:c r="F11" s="19" t="n">
        <x:v>3</x:v>
      </x:c>
      <x:c r="G11" t="str">
        <x:v>minimaxm2.5</x:v>
      </x:c>
      <x:c r="H11" s="25" t="n">
        <x:v>1.1787232178827107</x:v>
      </x:c>
      <x:c r="I11" s="25" t="n">
        <x:v>1.1787232178827107</x:v>
      </x:c>
      <x:c r="J11" s="25" t="n">
        <x:v>1.1787232178827107</x:v>
      </x:c>
      <x:c r="K11" s="25" t="n">
        <x:v>1.1309378297115342</x:v>
      </x:c>
      <x:c r="L11" t="str">
        <x:v>Low</x:v>
      </x:c>
    </x:row>
    <x:row r="12">
      <x:c r="A12" t="str">
        <x:v>B200</x:v>
      </x:c>
      <x:c r="B12" t="str">
        <x:v>sglang</x:v>
      </x:c>
      <x:c r="C12" t="str">
        <x:v>bf16</x:v>
      </x:c>
      <x:c r="D12" t="str">
        <x:v>mtp</x:v>
      </x:c>
      <x:c r="E12" s="19" t="n">
        <x:v>1</x:v>
      </x:c>
      <x:c r="F12" s="19" t="n">
        <x:v>15</x:v>
      </x:c>
      <x:c r="G12" t="str">
        <x:v>qwen3.5</x:v>
      </x:c>
      <x:c r="H12" s="25" t="n">
        <x:v>1.1777833359274936</x:v>
      </x:c>
      <x:c r="I12" s="25" t="n">
        <x:v>1.1777833359274936</x:v>
      </x:c>
      <x:c r="J12" s="25" t="n">
        <x:v>1.1777833359274936</x:v>
      </x:c>
      <x:c r="K12" s="25" t="n">
        <x:v>1.1259178369994096</x:v>
      </x:c>
      <x:c r="L12" t="str">
        <x:v>Low</x:v>
      </x:c>
    </x:row>
    <x:row r="13">
      <x:c r="A13" t="str">
        <x:v>B200</x:v>
      </x:c>
      <x:c r="B13" t="str">
        <x:v>sglang</x:v>
      </x:c>
      <x:c r="C13" t="str">
        <x:v>bf16</x:v>
      </x:c>
      <x:c r="D13" t="str">
        <x:v>none</x:v>
      </x:c>
      <x:c r="E13" s="19" t="n">
        <x:v>1</x:v>
      </x:c>
      <x:c r="F13" s="19" t="n">
        <x:v>20</x:v>
      </x:c>
      <x:c r="G13" t="str">
        <x:v>qwen3.5</x:v>
      </x:c>
      <x:c r="H13" s="25" t="n">
        <x:v>1.1306135259138754</x:v>
      </x:c>
      <x:c r="I13" s="25" t="n">
        <x:v>1.1306135259138754</x:v>
      </x:c>
      <x:c r="J13" s="25" t="n">
        <x:v>1.1306135259138754</x:v>
      </x:c>
      <x:c r="K13" s="25" t="n">
        <x:v>1.1199583287495467</x:v>
      </x:c>
      <x:c r="L13" t="str">
        <x:v>Low</x:v>
      </x:c>
    </x:row>
    <x:row r="14">
      <x:c r="A14" t="str">
        <x:v>B200</x:v>
      </x:c>
      <x:c r="B14" t="str">
        <x:v>sglang</x:v>
      </x:c>
      <x:c r="C14" t="str">
        <x:v>fp4</x:v>
      </x:c>
      <x:c r="D14" t="str">
        <x:v>mtp</x:v>
      </x:c>
      <x:c r="E14" s="19" t="n">
        <x:v>3</x:v>
      </x:c>
      <x:c r="F14" s="19" t="n">
        <x:v>70</x:v>
      </x:c>
      <x:c r="G14" t="str">
        <x:v>dsr1, glm5, qwen3.5</x:v>
      </x:c>
      <x:c r="H14" s="25" t="n">
        <x:v>1.2535600477016828</x:v>
      </x:c>
      <x:c r="I14" s="25" t="n">
        <x:v>1.2904024225468773</x:v>
      </x:c>
      <x:c r="J14" s="25" t="n">
        <x:v>1.3367976925624692</x:v>
      </x:c>
      <x:c r="K14" s="25" t="n">
        <x:v>1.2078224257063161</x:v>
      </x:c>
      <x:c r="L14" t="str">
        <x:v>High</x:v>
      </x:c>
    </x:row>
    <x:row r="15">
      <x:c r="A15" t="str">
        <x:v>B200</x:v>
      </x:c>
      <x:c r="B15" t="str">
        <x:v>sglang</x:v>
      </x:c>
      <x:c r="C15" t="str">
        <x:v>fp4</x:v>
      </x:c>
      <x:c r="D15" t="str">
        <x:v>none</x:v>
      </x:c>
      <x:c r="E15" s="19" t="n">
        <x:v>4</x:v>
      </x:c>
      <x:c r="F15" s="19" t="n">
        <x:v>656</x:v>
      </x:c>
      <x:c r="G15" t="str">
        <x:v>dsr1, dsv4, glm5, qwen3.5</x:v>
      </x:c>
      <x:c r="H15" s="25" t="n">
        <x:v>1.1843424266085052</x:v>
      </x:c>
      <x:c r="I15" s="25" t="n">
        <x:v>1.377382890285622</x:v>
      </x:c>
      <x:c r="J15" s="25" t="n">
        <x:v>1.6483238443890942</x:v>
      </x:c>
      <x:c r="K15" s="25" t="n">
        <x:v>1.2983554933655654</x:v>
      </x:c>
      <x:c r="L15" t="str">
        <x:v>High</x:v>
      </x:c>
    </x:row>
    <x:row r="16">
      <x:c r="A16" t="str">
        <x:v>B200</x:v>
      </x:c>
      <x:c r="B16" t="str">
        <x:v>sglang</x:v>
      </x:c>
      <x:c r="C16" t="str">
        <x:v>fp8</x:v>
      </x:c>
      <x:c r="D16" t="str">
        <x:v>mtp</x:v>
      </x:c>
      <x:c r="E16" s="19" t="n">
        <x:v>3</x:v>
      </x:c>
      <x:c r="F16" s="19" t="n">
        <x:v>100</x:v>
      </x:c>
      <x:c r="G16" t="str">
        <x:v>dsr1, glm5, qwen3.5</x:v>
      </x:c>
      <x:c r="H16" s="25" t="n">
        <x:v>1.2906778179684628</x:v>
      </x:c>
      <x:c r="I16" s="25" t="n">
        <x:v>1.3165827237463963</x:v>
      </x:c>
      <x:c r="J16" s="25" t="n">
        <x:v>1.7903151304818268</x:v>
      </x:c>
      <x:c r="K16" s="25" t="n">
        <x:v>1.2931081358976269</x:v>
      </x:c>
      <x:c r="L16" t="str">
        <x:v>High</x:v>
      </x:c>
    </x:row>
    <x:row r="17">
      <x:c r="A17" t="str">
        <x:v>B200</x:v>
      </x:c>
      <x:c r="B17" t="str">
        <x:v>sglang</x:v>
      </x:c>
      <x:c r="C17" t="str">
        <x:v>fp8</x:v>
      </x:c>
      <x:c r="D17" t="str">
        <x:v>none</x:v>
      </x:c>
      <x:c r="E17" s="19" t="n">
        <x:v>3</x:v>
      </x:c>
      <x:c r="F17" s="19" t="n">
        <x:v>325</x:v>
      </x:c>
      <x:c r="G17" t="str">
        <x:v>dsr1, glm5, qwen3.5</x:v>
      </x:c>
      <x:c r="H17" s="25" t="n">
        <x:v>1.1843842751474891</x:v>
      </x:c>
      <x:c r="I17" s="25" t="n">
        <x:v>1.3448109126653662</x:v>
      </x:c>
      <x:c r="J17" s="25" t="n">
        <x:v>1.5030969266824579</x:v>
      </x:c>
      <x:c r="K17" s="25" t="n">
        <x:v>1.2207809743656701</x:v>
      </x:c>
      <x:c r="L17" t="str">
        <x:v>High</x:v>
      </x:c>
    </x:row>
    <x:row r="18">
      <x:c r="A18" t="str">
        <x:v>B200</x:v>
      </x:c>
      <x:c r="B18" t="str">
        <x:v>tilert</x:v>
      </x:c>
      <x:c r="C18" t="str">
        <x:v>fp8</x:v>
      </x:c>
      <x:c r="D18" t="str">
        <x:v>mtp</x:v>
      </x:c>
      <x:c r="E18" s="19" t="n">
        <x:v>1</x:v>
      </x:c>
      <x:c r="F18" s="19" t="n">
        <x:v>1</x:v>
      </x:c>
      <x:c r="G18" t="str">
        <x:v>glm5.1</x:v>
      </x:c>
      <x:c r="H18" s="25" t="n">
        <x:v>1.4891709596711273</x:v>
      </x:c>
      <x:c r="I18" s="25" t="n">
        <x:v>1.4891709596711273</x:v>
      </x:c>
      <x:c r="J18" s="25" t="n">
        <x:v>1.4891709596711273</x:v>
      </x:c>
      <x:c r="K18" s="25" t="n">
        <x:v>1.4535741848232828</x:v>
      </x:c>
      <x:c r="L18" t="str">
        <x:v>Low</x:v>
      </x:c>
    </x:row>
    <x:row r="19">
      <x:c r="A19" t="str">
        <x:v>B200</x:v>
      </x:c>
      <x:c r="B19" t="str">
        <x:v>trt</x:v>
      </x:c>
      <x:c r="C19" t="str">
        <x:v>fp4</x:v>
      </x:c>
      <x:c r="D19" t="str">
        <x:v>mtp</x:v>
      </x:c>
      <x:c r="E19" s="19" t="n">
        <x:v>3</x:v>
      </x:c>
      <x:c r="F19" s="19" t="n">
        <x:v>42</x:v>
      </x:c>
      <x:c r="G19" t="str">
        <x:v>dsr1, dsv4, qwen3.5</x:v>
      </x:c>
      <x:c r="H19" s="25" t="n">
        <x:v>1.0686841644004141</x:v>
      </x:c>
      <x:c r="I19" s="25" t="n">
        <x:v>1.1753833512081837</x:v>
      </x:c>
      <x:c r="J19" s="25" t="n">
        <x:v>1.615907167624622</x:v>
      </x:c>
      <x:c r="K19" s="25" t="n">
        <x:v>1.172750961586864</x:v>
      </x:c>
      <x:c r="L19" t="str">
        <x:v>Medium</x:v>
      </x:c>
    </x:row>
    <x:row r="20">
      <x:c r="A20" t="str">
        <x:v>B200</x:v>
      </x:c>
      <x:c r="B20" t="str">
        <x:v>trt</x:v>
      </x:c>
      <x:c r="C20" t="str">
        <x:v>fp4</x:v>
      </x:c>
      <x:c r="D20" t="str">
        <x:v>none</x:v>
      </x:c>
      <x:c r="E20" s="19" t="n">
        <x:v>6</x:v>
      </x:c>
      <x:c r="F20" s="19" t="n">
        <x:v>1426</x:v>
      </x:c>
      <x:c r="G20" t="str">
        <x:v>dsr1, dsv4, gptoss120b, llama70b, minimaxm2.5, qwen3.5</x:v>
      </x:c>
      <x:c r="H20" s="25" t="n">
        <x:v>1.1228508445835055</x:v>
      </x:c>
      <x:c r="I20" s="25" t="n">
        <x:v>1.2317001606525722</x:v>
      </x:c>
      <x:c r="J20" s="25" t="n">
        <x:v>1.8066123481096292</x:v>
      </x:c>
      <x:c r="K20" s="25" t="n">
        <x:v>1.2176084106977378</x:v>
      </x:c>
      <x:c r="L20" t="str">
        <x:v>Medium</x:v>
      </x:c>
    </x:row>
    <x:row r="21">
      <x:c r="A21" t="str">
        <x:v>B200</x:v>
      </x:c>
      <x:c r="B21" t="str">
        <x:v>trt</x:v>
      </x:c>
      <x:c r="C21" t="str">
        <x:v>fp8</x:v>
      </x:c>
      <x:c r="D21" t="str">
        <x:v>mtp</x:v>
      </x:c>
      <x:c r="E21" s="19" t="n">
        <x:v>1</x:v>
      </x:c>
      <x:c r="F21" s="19" t="n">
        <x:v>16</x:v>
      </x:c>
      <x:c r="G21" t="str">
        <x:v>dsr1</x:v>
      </x:c>
      <x:c r="H21" s="25" t="n">
        <x:v>1.3004960442369837</x:v>
      </x:c>
      <x:c r="I21" s="25" t="n">
        <x:v>1.3004960442369837</x:v>
      </x:c>
      <x:c r="J21" s="25" t="n">
        <x:v>1.3004960442369837</x:v>
      </x:c>
      <x:c r="K21" s="25" t="n">
        <x:v>1.3198996833070842</x:v>
      </x:c>
      <x:c r="L21" t="str">
        <x:v>Low</x:v>
      </x:c>
    </x:row>
    <x:row r="22">
      <x:c r="A22" t="str">
        <x:v>B200</x:v>
      </x:c>
      <x:c r="B22" t="str">
        <x:v>trt</x:v>
      </x:c>
      <x:c r="C22" t="str">
        <x:v>fp8</x:v>
      </x:c>
      <x:c r="D22" t="str">
        <x:v>none</x:v>
      </x:c>
      <x:c r="E22" s="19" t="n">
        <x:v>2</x:v>
      </x:c>
      <x:c r="F22" s="19" t="n">
        <x:v>444</x:v>
      </x:c>
      <x:c r="G22" t="str">
        <x:v>dsr1, llama70b</x:v>
      </x:c>
      <x:c r="H22" s="25" t="n">
        <x:v>1.2228585676373573</x:v>
      </x:c>
      <x:c r="I22" s="25" t="n">
        <x:v>1.4168888111918916</x:v>
      </x:c>
      <x:c r="J22" s="25" t="n">
        <x:v>1.610919054746426</x:v>
      </x:c>
      <x:c r="K22" s="25" t="n">
        <x:v>1.400805307791039</x:v>
      </x:c>
      <x:c r="L22" t="str">
        <x:v>Medium</x:v>
      </x:c>
    </x:row>
    <x:row r="23">
      <x:c r="A23" t="str">
        <x:v>B200</x:v>
      </x:c>
      <x:c r="B23" t="str">
        <x:v>vllm</x:v>
      </x:c>
      <x:c r="C23" t="str">
        <x:v>fp4</x:v>
      </x:c>
      <x:c r="D23" t="str">
        <x:v>mtp</x:v>
      </x:c>
      <x:c r="E23" s="19" t="n">
        <x:v>2</x:v>
      </x:c>
      <x:c r="F23" s="19" t="n">
        <x:v>69</x:v>
      </x:c>
      <x:c r="G23" t="str">
        <x:v>dsv4, minimaxm3</x:v>
      </x:c>
      <x:c r="H23" s="25" t="n">
        <x:v>1.2353529349372374</x:v>
      </x:c>
      <x:c r="I23" s="25" t="n">
        <x:v>1.2428082104330704</x:v>
      </x:c>
      <x:c r="J23" s="25" t="n">
        <x:v>1.2502634859289035</x:v>
      </x:c>
      <x:c r="K23" s="25" t="n">
        <x:v>1.1910237876657188</x:v>
      </x:c>
      <x:c r="L23" t="str">
        <x:v>Medium</x:v>
      </x:c>
    </x:row>
    <x:row r="24">
      <x:c r="A24" t="str">
        <x:v>B200</x:v>
      </x:c>
      <x:c r="B24" t="str">
        <x:v>vllm</x:v>
      </x:c>
      <x:c r="C24" t="str">
        <x:v>fp4</x:v>
      </x:c>
      <x:c r="D24" t="str">
        <x:v>none</x:v>
      </x:c>
      <x:c r="E24" s="19" t="n">
        <x:v>6</x:v>
      </x:c>
      <x:c r="F24" s="19" t="n">
        <x:v>1393</x:v>
      </x:c>
      <x:c r="G24" t="str">
        <x:v>dsv4, gptoss120b, kimik2.5, llama70b, minimaxm2.5, minimaxm3</x:v>
      </x:c>
      <x:c r="H24" s="25" t="n">
        <x:v>1.1693881170037157</x:v>
      </x:c>
      <x:c r="I24" s="25" t="n">
        <x:v>1.211012116693268</x:v>
      </x:c>
      <x:c r="J24" s="25" t="n">
        <x:v>1.3361937924566218</x:v>
      </x:c>
      <x:c r="K24" s="25" t="n">
        <x:v>1.20540701573567</x:v>
      </x:c>
      <x:c r="L24" t="str">
        <x:v>High</x:v>
      </x:c>
    </x:row>
    <x:row r="25">
      <x:c r="A25" t="str">
        <x:v>B200</x:v>
      </x:c>
      <x:c r="B25" t="str">
        <x:v>vllm</x:v>
      </x:c>
      <x:c r="C25" t="str">
        <x:v>fp8</x:v>
      </x:c>
      <x:c r="D25" t="str">
        <x:v>mtp</x:v>
      </x:c>
      <x:c r="E25" s="19" t="n">
        <x:v>1</x:v>
      </x:c>
      <x:c r="F25" s="19" t="n">
        <x:v>80</x:v>
      </x:c>
      <x:c r="G25" t="str">
        <x:v>minimaxm3</x:v>
      </x:c>
      <x:c r="H25" s="25" t="n">
        <x:v>1.2146851124391027</x:v>
      </x:c>
      <x:c r="I25" s="25" t="n">
        <x:v>1.2146851124391027</x:v>
      </x:c>
      <x:c r="J25" s="25" t="n">
        <x:v>1.2146851124391027</x:v>
      </x:c>
      <x:c r="K25" s="25" t="n">
        <x:v>1.1583299012552368</x:v>
      </x:c>
      <x:c r="L25" t="str">
        <x:v>Low</x:v>
      </x:c>
    </x:row>
    <x:row r="26">
      <x:c r="A26" t="str">
        <x:v>B200</x:v>
      </x:c>
      <x:c r="B26" t="str">
        <x:v>vllm</x:v>
      </x:c>
      <x:c r="C26" t="str">
        <x:v>fp8</x:v>
      </x:c>
      <x:c r="D26" t="str">
        <x:v>none</x:v>
      </x:c>
      <x:c r="E26" s="19" t="n">
        <x:v>3</x:v>
      </x:c>
      <x:c r="F26" s="19" t="n">
        <x:v>374</x:v>
      </x:c>
      <x:c r="G26" t="str">
        <x:v>llama70b, minimaxm2.5, minimaxm3</x:v>
      </x:c>
      <x:c r="H26" s="25" t="n">
        <x:v>1.1645893539110335</x:v>
      </x:c>
      <x:c r="I26" s="25" t="n">
        <x:v>1.309814467686187</x:v>
      </x:c>
      <x:c r="J26" s="25" t="n">
        <x:v>1.4290539360188876</x:v>
      </x:c>
      <x:c r="K26" s="25" t="n">
        <x:v>1.2524434891383849</x:v>
      </x:c>
      <x:c r="L26" t="str">
        <x:v>High</x:v>
      </x:c>
    </x:row>
    <x:row r="27">
      <x:c r="A27" t="str">
        <x:v>B200</x:v>
      </x:c>
      <x:c r="B27" t="str">
        <x:v>vllm</x:v>
      </x:c>
      <x:c r="C27" t="str">
        <x:v>int4</x:v>
      </x:c>
      <x:c r="D27" t="str">
        <x:v>none</x:v>
      </x:c>
      <x:c r="E27" s="19" t="n">
        <x:v>1</x:v>
      </x:c>
      <x:c r="F27" s="19" t="n">
        <x:v>30</x:v>
      </x:c>
      <x:c r="G27" t="str">
        <x:v>kimik2.5</x:v>
      </x:c>
      <x:c r="H27" s="25" t="n">
        <x:v>1.2556368402275147</x:v>
      </x:c>
      <x:c r="I27" s="25" t="n">
        <x:v>1.2556368402275147</x:v>
      </x:c>
      <x:c r="J27" s="25" t="n">
        <x:v>1.2556368402275147</x:v>
      </x:c>
      <x:c r="K27" s="25" t="n">
        <x:v>1.1773345077373145</x:v>
      </x:c>
      <x:c r="L27" t="str">
        <x:v>Low</x:v>
      </x:c>
    </x:row>
    <x:row r="28">
      <x:c r="A28" t="str">
        <x:v>B300</x:v>
      </x:c>
      <x:c r="B28" t="str">
        <x:v>dynamo-trt</x:v>
      </x:c>
      <x:c r="C28" t="str">
        <x:v>fp8</x:v>
      </x:c>
      <x:c r="D28" t="str">
        <x:v>none</x:v>
      </x:c>
      <x:c r="E28" s="19" t="n">
        <x:v>1</x:v>
      </x:c>
      <x:c r="F28" s="19" t="n">
        <x:v>1</x:v>
      </x:c>
      <x:c r="G28" t="str">
        <x:v>dsr1</x:v>
      </x:c>
      <x:c r="H28" s="25" t="n">
        <x:v>1.058307812426283</x:v>
      </x:c>
      <x:c r="I28" s="25" t="n">
        <x:v>1.058307812426283</x:v>
      </x:c>
      <x:c r="J28" s="25" t="n">
        <x:v>1.058307812426283</x:v>
      </x:c>
      <x:c r="K28" s="25" t="n">
        <x:v>1.046857548466042</x:v>
      </x:c>
      <x:c r="L28" t="str">
        <x:v>Low</x:v>
      </x:c>
    </x:row>
    <x:row r="29">
      <x:c r="A29" t="str">
        <x:v>B300</x:v>
      </x:c>
      <x:c r="B29" t="str">
        <x:v>dynamo-vllm</x:v>
      </x:c>
      <x:c r="C29" t="str">
        <x:v>fp4</x:v>
      </x:c>
      <x:c r="D29" t="str">
        <x:v>none</x:v>
      </x:c>
      <x:c r="E29" s="19" t="n">
        <x:v>2</x:v>
      </x:c>
      <x:c r="F29" s="19" t="n">
        <x:v>10</x:v>
      </x:c>
      <x:c r="G29" t="str">
        <x:v>minimaxm2.5, minimaxm3</x:v>
      </x:c>
      <x:c r="H29" s="25" t="n">
        <x:v>1.06538904138682</x:v>
      </x:c>
      <x:c r="I29" s="25" t="n">
        <x:v>1.0939642582569733</x:v>
      </x:c>
      <x:c r="J29" s="25" t="n">
        <x:v>1.1225394751271265</x:v>
      </x:c>
      <x:c r="K29" s="25" t="n">
        <x:v>1.0536576250312768</x:v>
      </x:c>
      <x:c r="L29" t="str">
        <x:v>Medium</x:v>
      </x:c>
    </x:row>
    <x:row r="30">
      <x:c r="A30" t="str">
        <x:v>B300</x:v>
      </x:c>
      <x:c r="B30" t="str">
        <x:v>dynamo-vllm</x:v>
      </x:c>
      <x:c r="C30" t="str">
        <x:v>fp8</x:v>
      </x:c>
      <x:c r="D30" t="str">
        <x:v>none</x:v>
      </x:c>
      <x:c r="E30" s="19" t="n">
        <x:v>1</x:v>
      </x:c>
      <x:c r="F30" s="19" t="n">
        <x:v>10</x:v>
      </x:c>
      <x:c r="G30" t="str">
        <x:v>minimaxm3</x:v>
      </x:c>
      <x:c r="H30" s="25" t="n">
        <x:v>1.074965799210847</x:v>
      </x:c>
      <x:c r="I30" s="25" t="n">
        <x:v>1.074965799210847</x:v>
      </x:c>
      <x:c r="J30" s="25" t="n">
        <x:v>1.074965799210847</x:v>
      </x:c>
      <x:c r="K30" s="25" t="n">
        <x:v>1.0339405371585764</x:v>
      </x:c>
      <x:c r="L30" t="str">
        <x:v>Low</x:v>
      </x:c>
    </x:row>
    <x:row r="31">
      <x:c r="A31" t="str">
        <x:v>B300</x:v>
      </x:c>
      <x:c r="B31" t="str">
        <x:v>sglang</x:v>
      </x:c>
      <x:c r="C31" t="str">
        <x:v>bf16</x:v>
      </x:c>
      <x:c r="D31" t="str">
        <x:v>mtp</x:v>
      </x:c>
      <x:c r="E31" s="19" t="n">
        <x:v>1</x:v>
      </x:c>
      <x:c r="F31" s="19" t="n">
        <x:v>30</x:v>
      </x:c>
      <x:c r="G31" t="str">
        <x:v>qwen3.5</x:v>
      </x:c>
      <x:c r="H31" s="25" t="n">
        <x:v>1.2075798270694167</x:v>
      </x:c>
      <x:c r="I31" s="25" t="n">
        <x:v>1.2075798270694167</x:v>
      </x:c>
      <x:c r="J31" s="25" t="n">
        <x:v>1.2075798270694167</x:v>
      </x:c>
      <x:c r="K31" s="25" t="n">
        <x:v>1.182405369713703</x:v>
      </x:c>
      <x:c r="L31" t="str">
        <x:v>Low</x:v>
      </x:c>
    </x:row>
    <x:row r="32">
      <x:c r="A32" t="str">
        <x:v>B300</x:v>
      </x:c>
      <x:c r="B32" t="str">
        <x:v>sglang</x:v>
      </x:c>
      <x:c r="C32" t="str">
        <x:v>bf16</x:v>
      </x:c>
      <x:c r="D32" t="str">
        <x:v>none</x:v>
      </x:c>
      <x:c r="E32" s="19" t="n">
        <x:v>1</x:v>
      </x:c>
      <x:c r="F32" s="19" t="n">
        <x:v>30</x:v>
      </x:c>
      <x:c r="G32" t="str">
        <x:v>qwen3.5</x:v>
      </x:c>
      <x:c r="H32" s="25" t="n">
        <x:v>1.1182566669606742</x:v>
      </x:c>
      <x:c r="I32" s="25" t="n">
        <x:v>1.1182566669606742</x:v>
      </x:c>
      <x:c r="J32" s="25" t="n">
        <x:v>1.1182566669606742</x:v>
      </x:c>
      <x:c r="K32" s="25" t="n">
        <x:v>1.1018583775772772</x:v>
      </x:c>
      <x:c r="L32" t="str">
        <x:v>Low</x:v>
      </x:c>
    </x:row>
    <x:row r="33">
      <x:c r="A33" t="str">
        <x:v>B300</x:v>
      </x:c>
      <x:c r="B33" t="str">
        <x:v>sglang</x:v>
      </x:c>
      <x:c r="C33" t="str">
        <x:v>fp4</x:v>
      </x:c>
      <x:c r="D33" t="str">
        <x:v>mtp</x:v>
      </x:c>
      <x:c r="E33" s="19" t="n">
        <x:v>3</x:v>
      </x:c>
      <x:c r="F33" s="19" t="n">
        <x:v>87</x:v>
      </x:c>
      <x:c r="G33" t="str">
        <x:v>dsv4, glm5, qwen3.5</x:v>
      </x:c>
      <x:c r="H33" s="25" t="n">
        <x:v>1.0208037146154605</x:v>
      </x:c>
      <x:c r="I33" s="25" t="n">
        <x:v>1.3475287266709315</x:v>
      </x:c>
      <x:c r="J33" s="25" t="n">
        <x:v>1.4431793221636386</x:v>
      </x:c>
      <x:c r="K33" s="25" t="n">
        <x:v>1.332242745392109</x:v>
      </x:c>
      <x:c r="L33" t="str">
        <x:v>High</x:v>
      </x:c>
    </x:row>
    <x:row r="34">
      <x:c r="A34" t="str">
        <x:v>B300</x:v>
      </x:c>
      <x:c r="B34" t="str">
        <x:v>sglang</x:v>
      </x:c>
      <x:c r="C34" t="str">
        <x:v>fp4</x:v>
      </x:c>
      <x:c r="D34" t="str">
        <x:v>none</x:v>
      </x:c>
      <x:c r="E34" s="19" t="n">
        <x:v>4</x:v>
      </x:c>
      <x:c r="F34" s="19" t="n">
        <x:v>148</x:v>
      </x:c>
      <x:c r="G34" t="str">
        <x:v>dsr1, dsv4, glm5, qwen3.5</x:v>
      </x:c>
      <x:c r="H34" s="25" t="n">
        <x:v>1.2557589443998443</x:v>
      </x:c>
      <x:c r="I34" s="25" t="n">
        <x:v>1.3892685354647833</x:v>
      </x:c>
      <x:c r="J34" s="25" t="n">
        <x:v>1.4091991818381575</x:v>
      </x:c>
      <x:c r="K34" s="25" t="n">
        <x:v>1.3819883322272355</x:v>
      </x:c>
      <x:c r="L34" t="str">
        <x:v>High</x:v>
      </x:c>
    </x:row>
    <x:row r="35">
      <x:c r="A35" t="str">
        <x:v>B300</x:v>
      </x:c>
      <x:c r="B35" t="str">
        <x:v>sglang</x:v>
      </x:c>
      <x:c r="C35" t="str">
        <x:v>fp8</x:v>
      </x:c>
      <x:c r="D35" t="str">
        <x:v>mtp</x:v>
      </x:c>
      <x:c r="E35" s="19" t="n">
        <x:v>3</x:v>
      </x:c>
      <x:c r="F35" s="19" t="n">
        <x:v>75</x:v>
      </x:c>
      <x:c r="G35" t="str">
        <x:v>dsr1, glm5, qwen3.5</x:v>
      </x:c>
      <x:c r="H35" s="25" t="n">
        <x:v>1.400427015047155</x:v>
      </x:c>
      <x:c r="I35" s="25" t="n">
        <x:v>1.6858853175850679</x:v>
      </x:c>
      <x:c r="J35" s="25" t="n">
        <x:v>1.9600928889034606</x:v>
      </x:c>
      <x:c r="K35" s="25" t="n">
        <x:v>1.6830341237047717</x:v>
      </x:c>
      <x:c r="L35" t="str">
        <x:v>High</x:v>
      </x:c>
    </x:row>
    <x:row r="36">
      <x:c r="A36" t="str">
        <x:v>B300</x:v>
      </x:c>
      <x:c r="B36" t="str">
        <x:v>sglang</x:v>
      </x:c>
      <x:c r="C36" t="str">
        <x:v>fp8</x:v>
      </x:c>
      <x:c r="D36" t="str">
        <x:v>none</x:v>
      </x:c>
      <x:c r="E36" s="19" t="n">
        <x:v>3</x:v>
      </x:c>
      <x:c r="F36" s="19" t="n">
        <x:v>42</x:v>
      </x:c>
      <x:c r="G36" t="str">
        <x:v>dsr1, glm5, qwen3.5</x:v>
      </x:c>
      <x:c r="H36" s="25" t="n">
        <x:v>1.1481344562408715</x:v>
      </x:c>
      <x:c r="I36" s="25" t="n">
        <x:v>1.2259423100939784</x:v>
      </x:c>
      <x:c r="J36" s="25" t="n">
        <x:v>1.4054915551933211</x:v>
      </x:c>
      <x:c r="K36" s="25" t="n">
        <x:v>1.2167264604711505</x:v>
      </x:c>
      <x:c r="L36" t="str">
        <x:v>High</x:v>
      </x:c>
    </x:row>
    <x:row r="37">
      <x:c r="A37" t="str">
        <x:v>B300</x:v>
      </x:c>
      <x:c r="B37" t="str">
        <x:v>trt</x:v>
      </x:c>
      <x:c r="C37" t="str">
        <x:v>fp4</x:v>
      </x:c>
      <x:c r="D37" t="str">
        <x:v>mtp</x:v>
      </x:c>
      <x:c r="E37" s="19" t="n">
        <x:v>1</x:v>
      </x:c>
      <x:c r="F37" s="19" t="n">
        <x:v>18</x:v>
      </x:c>
      <x:c r="G37" t="str">
        <x:v>dsv4</x:v>
      </x:c>
      <x:c r="H37" s="25" t="n">
        <x:v>1.1703297450339387</x:v>
      </x:c>
      <x:c r="I37" s="25" t="n">
        <x:v>1.1703297450339387</x:v>
      </x:c>
      <x:c r="J37" s="25" t="n">
        <x:v>1.1703297450339387</x:v>
      </x:c>
      <x:c r="K37" s="25" t="n">
        <x:v>1.032485523024926</x:v>
      </x:c>
      <x:c r="L37" t="str">
        <x:v>Low</x:v>
      </x:c>
    </x:row>
    <x:row r="38">
      <x:c r="A38" t="str">
        <x:v>B300</x:v>
      </x:c>
      <x:c r="B38" t="str">
        <x:v>trt</x:v>
      </x:c>
      <x:c r="C38" t="str">
        <x:v>fp4</x:v>
      </x:c>
      <x:c r="D38" t="str">
        <x:v>none</x:v>
      </x:c>
      <x:c r="E38" s="19" t="n">
        <x:v>2</x:v>
      </x:c>
      <x:c r="F38" s="19" t="n">
        <x:v>29</x:v>
      </x:c>
      <x:c r="G38" t="str">
        <x:v>dsv4, minimaxm2.5</x:v>
      </x:c>
      <x:c r="H38" s="25" t="n">
        <x:v>1.1231187548267891</x:v>
      </x:c>
      <x:c r="I38" s="25" t="n">
        <x:v>1.1448144970340564</x:v>
      </x:c>
      <x:c r="J38" s="25" t="n">
        <x:v>1.1665102392413238</x:v>
      </x:c>
      <x:c r="K38" s="25" t="n">
        <x:v>1.1065418642022777</x:v>
      </x:c>
      <x:c r="L38" t="str">
        <x:v>Medium</x:v>
      </x:c>
    </x:row>
    <x:row r="39">
      <x:c r="A39" t="str">
        <x:v>B300</x:v>
      </x:c>
      <x:c r="B39" t="str">
        <x:v>vllm</x:v>
      </x:c>
      <x:c r="C39" t="str">
        <x:v>fp4</x:v>
      </x:c>
      <x:c r="D39" t="str">
        <x:v>mtp</x:v>
      </x:c>
      <x:c r="E39" s="19" t="n">
        <x:v>2</x:v>
      </x:c>
      <x:c r="F39" s="19" t="n">
        <x:v>102</x:v>
      </x:c>
      <x:c r="G39" t="str">
        <x:v>dsv4, minimaxm3</x:v>
      </x:c>
      <x:c r="H39" s="25" t="n">
        <x:v>1.1660649078357581</x:v>
      </x:c>
      <x:c r="I39" s="25" t="n">
        <x:v>1.1739582049026915</x:v>
      </x:c>
      <x:c r="J39" s="25" t="n">
        <x:v>1.181851501969625</x:v>
      </x:c>
      <x:c r="K39" s="25" t="n">
        <x:v>1.1393766001698813</x:v>
      </x:c>
      <x:c r="L39" t="str">
        <x:v>Medium</x:v>
      </x:c>
    </x:row>
    <x:row r="40">
      <x:c r="A40" t="str">
        <x:v>B300</x:v>
      </x:c>
      <x:c r="B40" t="str">
        <x:v>vllm</x:v>
      </x:c>
      <x:c r="C40" t="str">
        <x:v>fp4</x:v>
      </x:c>
      <x:c r="D40" t="str">
        <x:v>none</x:v>
      </x:c>
      <x:c r="E40" s="19" t="n">
        <x:v>4</x:v>
      </x:c>
      <x:c r="F40" s="19" t="n">
        <x:v>195</x:v>
      </x:c>
      <x:c r="G40" t="str">
        <x:v>dsv4, kimik2.5, minimaxm2.5, minimaxm3</x:v>
      </x:c>
      <x:c r="H40" s="25" t="n">
        <x:v>1.1627505054901088</x:v>
      </x:c>
      <x:c r="I40" s="25" t="n">
        <x:v>1.198608015897115</x:v>
      </x:c>
      <x:c r="J40" s="25" t="n">
        <x:v>1.2274216536790492</x:v>
      </x:c>
      <x:c r="K40" s="25" t="n">
        <x:v>1.1761548729820777</x:v>
      </x:c>
      <x:c r="L40" t="str">
        <x:v>High</x:v>
      </x:c>
    </x:row>
    <x:row r="41">
      <x:c r="A41" t="str">
        <x:v>B300</x:v>
      </x:c>
      <x:c r="B41" t="str">
        <x:v>vllm</x:v>
      </x:c>
      <x:c r="C41" t="str">
        <x:v>fp8</x:v>
      </x:c>
      <x:c r="D41" t="str">
        <x:v>mtp</x:v>
      </x:c>
      <x:c r="E41" s="19" t="n">
        <x:v>1</x:v>
      </x:c>
      <x:c r="F41" s="19" t="n">
        <x:v>80</x:v>
      </x:c>
      <x:c r="G41" t="str">
        <x:v>minimaxm3</x:v>
      </x:c>
      <x:c r="H41" s="25" t="n">
        <x:v>1.2578144857961218</x:v>
      </x:c>
      <x:c r="I41" s="25" t="n">
        <x:v>1.2578144857961218</x:v>
      </x:c>
      <x:c r="J41" s="25" t="n">
        <x:v>1.2578144857961218</x:v>
      </x:c>
      <x:c r="K41" s="25" t="n">
        <x:v>1.2237983751144899</x:v>
      </x:c>
      <x:c r="L41" t="str">
        <x:v>Low</x:v>
      </x:c>
    </x:row>
    <x:row r="42">
      <x:c r="A42" t="str">
        <x:v>B300</x:v>
      </x:c>
      <x:c r="B42" t="str">
        <x:v>vllm</x:v>
      </x:c>
      <x:c r="C42" t="str">
        <x:v>fp8</x:v>
      </x:c>
      <x:c r="D42" t="str">
        <x:v>none</x:v>
      </x:c>
      <x:c r="E42" s="19" t="n">
        <x:v>2</x:v>
      </x:c>
      <x:c r="F42" s="19" t="n">
        <x:v>106</x:v>
      </x:c>
      <x:c r="G42" t="str">
        <x:v>minimaxm2.5, minimaxm3</x:v>
      </x:c>
      <x:c r="H42" s="25" t="n">
        <x:v>1.2068356825240347</x:v>
      </x:c>
      <x:c r="I42" s="25" t="n">
        <x:v>1.2271545382341544</x:v>
      </x:c>
      <x:c r="J42" s="25" t="n">
        <x:v>1.2474733939442741</x:v>
      </x:c>
      <x:c r="K42" s="25" t="n">
        <x:v>1.208133341059214</x:v>
      </x:c>
      <x:c r="L42" t="str">
        <x:v>Medium</x:v>
      </x:c>
    </x:row>
    <x:row r="43">
      <x:c r="A43" t="str">
        <x:v>B300</x:v>
      </x:c>
      <x:c r="B43" t="str">
        <x:v>vllm</x:v>
      </x:c>
      <x:c r="C43" t="str">
        <x:v>int4</x:v>
      </x:c>
      <x:c r="D43" t="str">
        <x:v>none</x:v>
      </x:c>
      <x:c r="E43" s="19" t="n">
        <x:v>1</x:v>
      </x:c>
      <x:c r="F43" s="19" t="n">
        <x:v>30</x:v>
      </x:c>
      <x:c r="G43" t="str">
        <x:v>kimik2.5</x:v>
      </x:c>
      <x:c r="H43" s="25" t="n">
        <x:v>1.2576455286086858</x:v>
      </x:c>
      <x:c r="I43" s="25" t="n">
        <x:v>1.2576455286086858</x:v>
      </x:c>
      <x:c r="J43" s="25" t="n">
        <x:v>1.2576455286086858</x:v>
      </x:c>
      <x:c r="K43" s="25" t="n">
        <x:v>1.2115361166132619</x:v>
      </x:c>
      <x:c r="L43" t="str">
        <x:v>Low</x:v>
      </x:c>
    </x:row>
    <x:row r="44">
      <x:c r="A44" t="str">
        <x:v>GB200</x:v>
      </x:c>
      <x:c r="B44" t="str">
        <x:v>dynamo-sglang</x:v>
      </x:c>
      <x:c r="C44" t="str">
        <x:v>fp4</x:v>
      </x:c>
      <x:c r="D44" t="str">
        <x:v>mtp</x:v>
      </x:c>
      <x:c r="E44" s="19" t="n">
        <x:v>1</x:v>
      </x:c>
      <x:c r="F44" s="19" t="n">
        <x:v>1</x:v>
      </x:c>
      <x:c r="G44" t="str">
        <x:v>glm5.1</x:v>
      </x:c>
      <x:c r="H44" s="25" t="n">
        <x:v>1.090143294882365</x:v>
      </x:c>
      <x:c r="I44" s="25" t="n">
        <x:v>1.090143294882365</x:v>
      </x:c>
      <x:c r="J44" s="25" t="n">
        <x:v>1.090143294882365</x:v>
      </x:c>
      <x:c r="K44" s="25" t="n">
        <x:v>1.0529900123584777</x:v>
      </x:c>
      <x:c r="L44" t="str">
        <x:v>Low</x:v>
      </x:c>
    </x:row>
    <x:row r="45">
      <x:c r="A45" t="str">
        <x:v>GB200</x:v>
      </x:c>
      <x:c r="B45" t="str">
        <x:v>dynamo-sglang</x:v>
      </x:c>
      <x:c r="C45" t="str">
        <x:v>fp4</x:v>
      </x:c>
      <x:c r="D45" t="str">
        <x:v>none</x:v>
      </x:c>
      <x:c r="E45" s="19" t="n">
        <x:v>1</x:v>
      </x:c>
      <x:c r="F45" s="19" t="n">
        <x:v>1</x:v>
      </x:c>
      <x:c r="G45" t="str">
        <x:v>glm5.1</x:v>
      </x:c>
      <x:c r="H45" s="25" t="n">
        <x:v>1.118591420602743</x:v>
      </x:c>
      <x:c r="I45" s="25" t="n">
        <x:v>1.118591420602743</x:v>
      </x:c>
      <x:c r="J45" s="25" t="n">
        <x:v>1.118591420602743</x:v>
      </x:c>
      <x:c r="K45" s="25" t="n">
        <x:v>1.0516831179492419</x:v>
      </x:c>
      <x:c r="L45" t="str">
        <x:v>Low</x:v>
      </x:c>
    </x:row>
    <x:row r="46">
      <x:c r="A46" t="str">
        <x:v>GB200</x:v>
      </x:c>
      <x:c r="B46" t="str">
        <x:v>dynamo-sglang</x:v>
      </x:c>
      <x:c r="C46" t="str">
        <x:v>fp8</x:v>
      </x:c>
      <x:c r="D46" t="str">
        <x:v>none</x:v>
      </x:c>
      <x:c r="E46" s="19" t="n">
        <x:v>2</x:v>
      </x:c>
      <x:c r="F46" s="19" t="n">
        <x:v>117</x:v>
      </x:c>
      <x:c r="G46" t="str">
        <x:v>dsr1, qwen3.5</x:v>
      </x:c>
      <x:c r="H46" s="25" t="n">
        <x:v>1.2464234809600196</x:v>
      </x:c>
      <x:c r="I46" s="25" t="n">
        <x:v>1.7545912798745973</x:v>
      </x:c>
      <x:c r="J46" s="25" t="n">
        <x:v>2.2627590787891747</x:v>
      </x:c>
      <x:c r="K46" s="25" t="n">
        <x:v>1.144239892373852</x:v>
      </x:c>
      <x:c r="L46" t="str">
        <x:v>Medium</x:v>
      </x:c>
    </x:row>
    <x:row r="47">
      <x:c r="A47" t="str">
        <x:v>GB200</x:v>
      </x:c>
      <x:c r="B47" t="str">
        <x:v>dynamo-trt</x:v>
      </x:c>
      <x:c r="C47" t="str">
        <x:v>fp4</x:v>
      </x:c>
      <x:c r="D47" t="str">
        <x:v>mtp</x:v>
      </x:c>
      <x:c r="E47" s="19" t="n">
        <x:v>1</x:v>
      </x:c>
      <x:c r="F47" s="19" t="n">
        <x:v>10</x:v>
      </x:c>
      <x:c r="G47" t="str">
        <x:v>dsr1</x:v>
      </x:c>
      <x:c r="H47" s="25" t="n">
        <x:v>1.0550973990644579</x:v>
      </x:c>
      <x:c r="I47" s="25" t="n">
        <x:v>1.0550973990644579</x:v>
      </x:c>
      <x:c r="J47" s="25" t="n">
        <x:v>1.0550973990644579</x:v>
      </x:c>
      <x:c r="K47" s="25" t="n">
        <x:v>1.0087037231079323</x:v>
      </x:c>
      <x:c r="L47" t="str">
        <x:v>Low</x:v>
      </x:c>
    </x:row>
    <x:row r="48">
      <x:c r="A48" t="str">
        <x:v>GB200</x:v>
      </x:c>
      <x:c r="B48" t="str">
        <x:v>dynamo-trt</x:v>
      </x:c>
      <x:c r="C48" t="str">
        <x:v>fp4</x:v>
      </x:c>
      <x:c r="D48" t="str">
        <x:v>none</x:v>
      </x:c>
      <x:c r="E48" s="19" t="n">
        <x:v>4</x:v>
      </x:c>
      <x:c r="F48" s="19" t="n">
        <x:v>17</x:v>
      </x:c>
      <x:c r="G48" t="str">
        <x:v>dsr1, glm5, gptoss120b, kimik2.5</x:v>
      </x:c>
      <x:c r="H48" s="25" t="n">
        <x:v>1.058605613735014</x:v>
      </x:c>
      <x:c r="I48" s="25" t="n">
        <x:v>1.08016139663156</x:v>
      </x:c>
      <x:c r="J48" s="25" t="n">
        <x:v>1.1162171226063964</x:v>
      </x:c>
      <x:c r="K48" s="25" t="n">
        <x:v>1.0423512119167895</x:v>
      </x:c>
      <x:c r="L48" t="str">
        <x:v>Medium</x:v>
      </x:c>
    </x:row>
    <x:row r="49">
      <x:c r="A49" t="str">
        <x:v>GB200</x:v>
      </x:c>
      <x:c r="B49" t="str">
        <x:v>dynamo-vllm</x:v>
      </x:c>
      <x:c r="C49" t="str">
        <x:v>fp4</x:v>
      </x:c>
      <x:c r="D49" t="str">
        <x:v>none</x:v>
      </x:c>
      <x:c r="E49" s="19" t="n">
        <x:v>3</x:v>
      </x:c>
      <x:c r="F49" s="19" t="n">
        <x:v>18</x:v>
      </x:c>
      <x:c r="G49" t="str">
        <x:v>dsv4, kimik2.5, minimaxm2.5</x:v>
      </x:c>
      <x:c r="H49" s="25" t="n">
        <x:v>0.9978048861176777</x:v>
      </x:c>
      <x:c r="I49" s="25" t="n">
        <x:v>1.0689354992293036</x:v>
      </x:c>
      <x:c r="J49" s="25" t="n">
        <x:v>1.1953609345589447</x:v>
      </x:c>
      <x:c r="K49" s="25" t="n">
        <x:v>1.043821993869443</x:v>
      </x:c>
      <x:c r="L49" t="str">
        <x:v>Medium</x:v>
      </x:c>
    </x:row>
    <x:row r="50">
      <x:c r="A50" t="str">
        <x:v>GB200</x:v>
      </x:c>
      <x:c r="B50" t="str">
        <x:v>dynamo-vllm</x:v>
      </x:c>
      <x:c r="C50" t="str">
        <x:v>fp8</x:v>
      </x:c>
      <x:c r="D50" t="str">
        <x:v>none</x:v>
      </x:c>
      <x:c r="E50" s="19" t="n">
        <x:v>2</x:v>
      </x:c>
      <x:c r="F50" s="19" t="n">
        <x:v>9</x:v>
      </x:c>
      <x:c r="G50" t="str">
        <x:v>minimaxm2.5, minimaxm3</x:v>
      </x:c>
      <x:c r="H50" s="25" t="n">
        <x:v>1.0705002235350976</x:v>
      </x:c>
      <x:c r="I50" s="25" t="n">
        <x:v>1.0775212469162225</x:v>
      </x:c>
      <x:c r="J50" s="25" t="n">
        <x:v>1.0845422702973475</x:v>
      </x:c>
      <x:c r="K50" s="25" t="n">
        <x:v>1.0359490237036058</x:v>
      </x:c>
      <x:c r="L50" t="str">
        <x:v>Medium</x:v>
      </x:c>
    </x:row>
    <x:row r="51">
      <x:c r="A51" t="str">
        <x:v>GB300</x:v>
      </x:c>
      <x:c r="B51" t="str">
        <x:v>dynamo-sglang</x:v>
      </x:c>
      <x:c r="C51" t="str">
        <x:v>fp4</x:v>
      </x:c>
      <x:c r="D51" t="str">
        <x:v>mtp</x:v>
      </x:c>
      <x:c r="E51" s="19" t="n">
        <x:v>1</x:v>
      </x:c>
      <x:c r="F51" s="19" t="n">
        <x:v>1</x:v>
      </x:c>
      <x:c r="G51" t="str">
        <x:v>glm5.1</x:v>
      </x:c>
      <x:c r="H51" s="25" t="n">
        <x:v>1.1552156202069581</x:v>
      </x:c>
      <x:c r="I51" s="25" t="n">
        <x:v>1.1552156202069581</x:v>
      </x:c>
      <x:c r="J51" s="25" t="n">
        <x:v>1.1552156202069581</x:v>
      </x:c>
      <x:c r="K51" s="25" t="n">
        <x:v>1.0985935871780155</x:v>
      </x:c>
      <x:c r="L51" t="str">
        <x:v>Low</x:v>
      </x:c>
    </x:row>
    <x:row r="52">
      <x:c r="A52" t="str">
        <x:v>GB300</x:v>
      </x:c>
      <x:c r="B52" t="str">
        <x:v>dynamo-sglang</x:v>
      </x:c>
      <x:c r="C52" t="str">
        <x:v>fp8</x:v>
      </x:c>
      <x:c r="D52" t="str">
        <x:v>mtp</x:v>
      </x:c>
      <x:c r="E52" s="19" t="n">
        <x:v>1</x:v>
      </x:c>
      <x:c r="F52" s="19" t="n">
        <x:v>3</x:v>
      </x:c>
      <x:c r="G52" t="str">
        <x:v>glm5.1</x:v>
      </x:c>
      <x:c r="H52" s="25" t="n">
        <x:v>1.3876694125223716</x:v>
      </x:c>
      <x:c r="I52" s="25" t="n">
        <x:v>1.3876694125223716</x:v>
      </x:c>
      <x:c r="J52" s="25" t="n">
        <x:v>1.3876694125223716</x:v>
      </x:c>
      <x:c r="K52" s="25" t="n">
        <x:v>1.0267625758835042</x:v>
      </x:c>
      <x:c r="L52" t="str">
        <x:v>Low</x:v>
      </x:c>
    </x:row>
    <x:row r="53">
      <x:c r="A53" t="str">
        <x:v>GB300</x:v>
      </x:c>
      <x:c r="B53" t="str">
        <x:v>dynamo-sglang</x:v>
      </x:c>
      <x:c r="C53" t="str">
        <x:v>fp8</x:v>
      </x:c>
      <x:c r="D53" t="str">
        <x:v>none</x:v>
      </x:c>
      <x:c r="E53" s="19" t="n">
        <x:v>2</x:v>
      </x:c>
      <x:c r="F53" s="19" t="n">
        <x:v>10</x:v>
      </x:c>
      <x:c r="G53" t="str">
        <x:v>glm5, qwen3.5</x:v>
      </x:c>
      <x:c r="H53" s="25" t="n">
        <x:v>1.0573677294784634</x:v>
      </x:c>
      <x:c r="I53" s="25" t="n">
        <x:v>1.100027304882229</x:v>
      </x:c>
      <x:c r="J53" s="25" t="n">
        <x:v>1.1426868802859949</x:v>
      </x:c>
      <x:c r="K53" s="25" t="n">
        <x:v>1.0212901741676377</x:v>
      </x:c>
      <x:c r="L53" t="str">
        <x:v>Medium</x:v>
      </x:c>
    </x:row>
    <x:row r="54">
      <x:c r="A54" t="str">
        <x:v>GB300</x:v>
      </x:c>
      <x:c r="B54" t="str">
        <x:v>dynamo-trt</x:v>
      </x:c>
      <x:c r="C54" t="str">
        <x:v>fp4</x:v>
      </x:c>
      <x:c r="D54" t="str">
        <x:v>mtp</x:v>
      </x:c>
      <x:c r="E54" s="19" t="n">
        <x:v>2</x:v>
      </x:c>
      <x:c r="F54" s="19" t="n">
        <x:v>6</x:v>
      </x:c>
      <x:c r="G54" t="str">
        <x:v>dsr1, dsv4</x:v>
      </x:c>
      <x:c r="H54" s="25" t="n">
        <x:v>1.04457264791706</x:v>
      </x:c>
      <x:c r="I54" s="25" t="n">
        <x:v>1.0538302469956782</x:v>
      </x:c>
      <x:c r="J54" s="25" t="n">
        <x:v>1.0630878460742963</x:v>
      </x:c>
      <x:c r="K54" s="25" t="n">
        <x:v>1.0044993192539442</x:v>
      </x:c>
      <x:c r="L54" t="str">
        <x:v>Low</x:v>
      </x:c>
    </x:row>
    <x:row r="55">
      <x:c r="A55" t="str">
        <x:v>GB300</x:v>
      </x:c>
      <x:c r="B55" t="str">
        <x:v>dynamo-trt</x:v>
      </x:c>
      <x:c r="C55" t="str">
        <x:v>fp4</x:v>
      </x:c>
      <x:c r="D55" t="str">
        <x:v>none</x:v>
      </x:c>
      <x:c r="E55" s="19" t="n">
        <x:v>3</x:v>
      </x:c>
      <x:c r="F55" s="19" t="n">
        <x:v>11</x:v>
      </x:c>
      <x:c r="G55" t="str">
        <x:v>dsr1, dsv4, kimik2.5</x:v>
      </x:c>
      <x:c r="H55" s="25" t="n">
        <x:v>1.0337481477416455</x:v>
      </x:c>
      <x:c r="I55" s="25" t="n">
        <x:v>1.0605326366203083</x:v>
      </x:c>
      <x:c r="J55" s="25" t="n">
        <x:v>1.211083237717741</x:v>
      </x:c>
      <x:c r="K55" s="25" t="n">
        <x:v>1.0191149975422078</x:v>
      </x:c>
      <x:c r="L55" t="str">
        <x:v>Medium</x:v>
      </x:c>
    </x:row>
    <x:row r="56">
      <x:c r="A56" t="str">
        <x:v>GB300</x:v>
      </x:c>
      <x:c r="B56" t="str">
        <x:v>dynamo-trt</x:v>
      </x:c>
      <x:c r="C56" t="str">
        <x:v>fp8</x:v>
      </x:c>
      <x:c r="D56" t="str">
        <x:v>mtp</x:v>
      </x:c>
      <x:c r="E56" s="19" t="n">
        <x:v>1</x:v>
      </x:c>
      <x:c r="F56" s="19" t="n">
        <x:v>6</x:v>
      </x:c>
      <x:c r="G56" t="str">
        <x:v>dsr1</x:v>
      </x:c>
      <x:c r="H56" s="25" t="n">
        <x:v>0.9683343333628378</x:v>
      </x:c>
      <x:c r="I56" s="25" t="n">
        <x:v>0.9683343333628378</x:v>
      </x:c>
      <x:c r="J56" s="25" t="n">
        <x:v>0.9683343333628378</x:v>
      </x:c>
      <x:c r="K56" s="25" t="n">
        <x:v>1.0068665554795584</x:v>
      </x:c>
      <x:c r="L56" t="str">
        <x:v>Low</x:v>
      </x:c>
    </x:row>
    <x:row r="57">
      <x:c r="A57" t="str">
        <x:v>GB300</x:v>
      </x:c>
      <x:c r="B57" t="str">
        <x:v>dynamo-trt</x:v>
      </x:c>
      <x:c r="C57" t="str">
        <x:v>fp8</x:v>
      </x:c>
      <x:c r="D57" t="str">
        <x:v>none</x:v>
      </x:c>
      <x:c r="E57" s="19" t="n">
        <x:v>1</x:v>
      </x:c>
      <x:c r="F57" s="19" t="n">
        <x:v>6</x:v>
      </x:c>
      <x:c r="G57" t="str">
        <x:v>dsr1</x:v>
      </x:c>
      <x:c r="H57" s="25" t="n">
        <x:v>1.0627186128206096</x:v>
      </x:c>
      <x:c r="I57" s="25" t="n">
        <x:v>1.0627186128206096</x:v>
      </x:c>
      <x:c r="J57" s="25" t="n">
        <x:v>1.0627186128206096</x:v>
      </x:c>
      <x:c r="K57" s="25" t="n">
        <x:v>1.0358193083786569</x:v>
      </x:c>
      <x:c r="L57" t="str">
        <x:v>Low</x:v>
      </x:c>
    </x:row>
    <x:row r="58">
      <x:c r="A58" t="str">
        <x:v>GB300</x:v>
      </x:c>
      <x:c r="B58" t="str">
        <x:v>dynamo-vllm</x:v>
      </x:c>
      <x:c r="C58" t="str">
        <x:v>fp4</x:v>
      </x:c>
      <x:c r="D58" t="str">
        <x:v>none</x:v>
      </x:c>
      <x:c r="E58" s="19" t="n">
        <x:v>1</x:v>
      </x:c>
      <x:c r="F58" s="19" t="n">
        <x:v>6</x:v>
      </x:c>
      <x:c r="G58" t="str">
        <x:v>minimaxm2.5</x:v>
      </x:c>
      <x:c r="H58" s="25" t="n">
        <x:v>1.1513385353818237</x:v>
      </x:c>
      <x:c r="I58" s="25" t="n">
        <x:v>1.1513385353818237</x:v>
      </x:c>
      <x:c r="J58" s="25" t="n">
        <x:v>1.1513385353818237</x:v>
      </x:c>
      <x:c r="K58" s="25" t="n">
        <x:v>1.1002283697273703</x:v>
      </x:c>
      <x:c r="L58" t="str">
        <x:v>Low</x:v>
      </x:c>
    </x:row>
    <x:row r="59">
      <x:c r="A59" t="str">
        <x:v>GB300</x:v>
      </x:c>
      <x:c r="B59" t="str">
        <x:v>dynamo-vllm</x:v>
      </x:c>
      <x:c r="C59" t="str">
        <x:v>fp8</x:v>
      </x:c>
      <x:c r="D59" t="str">
        <x:v>none</x:v>
      </x:c>
      <x:c r="E59" s="19" t="n">
        <x:v>1</x:v>
      </x:c>
      <x:c r="F59" s="19" t="n">
        <x:v>12</x:v>
      </x:c>
      <x:c r="G59" t="str">
        <x:v>minimaxm3</x:v>
      </x:c>
      <x:c r="H59" s="25" t="n">
        <x:v>1.0597715765001712</x:v>
      </x:c>
      <x:c r="I59" s="25" t="n">
        <x:v>1.0597715765001712</x:v>
      </x:c>
      <x:c r="J59" s="25" t="n">
        <x:v>1.0597715765001712</x:v>
      </x:c>
      <x:c r="K59" s="25" t="n">
        <x:v>1.021772698264213</x:v>
      </x:c>
      <x:c r="L59" t="str">
        <x:v>Low</x:v>
      </x:c>
    </x:row>
    <x:row r="60">
      <x:c r="A60" t="str">
        <x:v>h100</x:v>
      </x:c>
      <x:c r="B60" t="str">
        <x:v>dynamo-sglang</x:v>
      </x:c>
      <x:c r="C60" t="str">
        <x:v>fp8</x:v>
      </x:c>
      <x:c r="D60" t="str">
        <x:v>mtp</x:v>
      </x:c>
      <x:c r="E60" s="19" t="n">
        <x:v>1</x:v>
      </x:c>
      <x:c r="F60" s="19" t="n">
        <x:v>7</x:v>
      </x:c>
      <x:c r="G60" t="str">
        <x:v>dsr1</x:v>
      </x:c>
      <x:c r="H60" s="25" t="n">
        <x:v>1.012498259616027</x:v>
      </x:c>
      <x:c r="I60" s="25" t="n">
        <x:v>1.012498259616027</x:v>
      </x:c>
      <x:c r="J60" s="25" t="n">
        <x:v>1.012498259616027</x:v>
      </x:c>
      <x:c r="K60" s="25" t="n">
        <x:v>0.9552127254642317</x:v>
      </x:c>
      <x:c r="L60" t="str">
        <x:v>Low</x:v>
      </x:c>
    </x:row>
    <x:row r="61">
      <x:c r="A61" t="str">
        <x:v>h100</x:v>
      </x:c>
      <x:c r="B61" t="str">
        <x:v>dynamo-trt</x:v>
      </x:c>
      <x:c r="C61" t="str">
        <x:v>fp8</x:v>
      </x:c>
      <x:c r="D61" t="str">
        <x:v>mtp</x:v>
      </x:c>
      <x:c r="E61" s="19" t="n">
        <x:v>1</x:v>
      </x:c>
      <x:c r="F61" s="19" t="n">
        <x:v>3</x:v>
      </x:c>
      <x:c r="G61" t="str">
        <x:v>dsr1</x:v>
      </x:c>
      <x:c r="H61" s="25" t="n">
        <x:v>1.058989306204579</x:v>
      </x:c>
      <x:c r="I61" s="25" t="n">
        <x:v>1.058989306204579</x:v>
      </x:c>
      <x:c r="J61" s="25" t="n">
        <x:v>1.058989306204579</x:v>
      </x:c>
      <x:c r="K61" s="25" t="n">
        <x:v>1.0044935173499878</x:v>
      </x:c>
      <x:c r="L61" t="str">
        <x:v>Low</x:v>
      </x:c>
    </x:row>
    <x:row r="62">
      <x:c r="A62" t="str">
        <x:v>h100</x:v>
      </x:c>
      <x:c r="B62" t="str">
        <x:v>dynamo-trt</x:v>
      </x:c>
      <x:c r="C62" t="str">
        <x:v>fp8</x:v>
      </x:c>
      <x:c r="D62" t="str">
        <x:v>none</x:v>
      </x:c>
      <x:c r="E62" s="19" t="n">
        <x:v>1</x:v>
      </x:c>
      <x:c r="F62" s="19" t="n">
        <x:v>3</x:v>
      </x:c>
      <x:c r="G62" t="str">
        <x:v>dsr1</x:v>
      </x:c>
      <x:c r="H62" s="25" t="n">
        <x:v>1.0898103257984668</x:v>
      </x:c>
      <x:c r="I62" s="25" t="n">
        <x:v>1.0898103257984668</x:v>
      </x:c>
      <x:c r="J62" s="25" t="n">
        <x:v>1.0898103257984668</x:v>
      </x:c>
      <x:c r="K62" s="25" t="n">
        <x:v>1.0488403984244752</x:v>
      </x:c>
      <x:c r="L62" t="str">
        <x:v>Low</x:v>
      </x:c>
    </x:row>
    <x:row r="63">
      <x:c r="A63" t="str">
        <x:v>h100</x:v>
      </x:c>
      <x:c r="B63" t="str">
        <x:v>sglang</x:v>
      </x:c>
      <x:c r="C63" t="str">
        <x:v>fp8</x:v>
      </x:c>
      <x:c r="D63" t="str">
        <x:v>mtp</x:v>
      </x:c>
      <x:c r="E63" s="19" t="n">
        <x:v>1</x:v>
      </x:c>
      <x:c r="F63" s="19" t="n">
        <x:v>8</x:v>
      </x:c>
      <x:c r="G63" t="str">
        <x:v>qwen3.5</x:v>
      </x:c>
      <x:c r="H63" s="25" t="n">
        <x:v>1.156958878998796</x:v>
      </x:c>
      <x:c r="I63" s="25" t="n">
        <x:v>1.156958878998796</x:v>
      </x:c>
      <x:c r="J63" s="25" t="n">
        <x:v>1.156958878998796</x:v>
      </x:c>
      <x:c r="K63" s="25" t="n">
        <x:v>1.1453700616392144</x:v>
      </x:c>
      <x:c r="L63" t="str">
        <x:v>Low</x:v>
      </x:c>
    </x:row>
    <x:row r="64">
      <x:c r="A64" t="str">
        <x:v>h100</x:v>
      </x:c>
      <x:c r="B64" t="str">
        <x:v>sglang</x:v>
      </x:c>
      <x:c r="C64" t="str">
        <x:v>fp8</x:v>
      </x:c>
      <x:c r="D64" t="str">
        <x:v>none</x:v>
      </x:c>
      <x:c r="E64" s="19" t="n">
        <x:v>1</x:v>
      </x:c>
      <x:c r="F64" s="19" t="n">
        <x:v>22</x:v>
      </x:c>
      <x:c r="G64" t="str">
        <x:v>qwen3.5</x:v>
      </x:c>
      <x:c r="H64" s="25" t="n">
        <x:v>1.1193276487466606</x:v>
      </x:c>
      <x:c r="I64" s="25" t="n">
        <x:v>1.1193276487466606</x:v>
      </x:c>
      <x:c r="J64" s="25" t="n">
        <x:v>1.1193276487466606</x:v>
      </x:c>
      <x:c r="K64" s="25" t="n">
        <x:v>1.1052210596141068</x:v>
      </x:c>
      <x:c r="L64" t="str">
        <x:v>Low</x:v>
      </x:c>
    </x:row>
    <x:row r="65">
      <x:c r="A65" t="str">
        <x:v>h100</x:v>
      </x:c>
      <x:c r="B65" t="str">
        <x:v>vllm</x:v>
      </x:c>
      <x:c r="C65" t="str">
        <x:v>fp4</x:v>
      </x:c>
      <x:c r="D65" t="str">
        <x:v>none</x:v>
      </x:c>
      <x:c r="E65" s="19" t="n">
        <x:v>1</x:v>
      </x:c>
      <x:c r="F65" s="19" t="n">
        <x:v>717</x:v>
      </x:c>
      <x:c r="G65" t="str">
        <x:v>gptoss120b</x:v>
      </x:c>
      <x:c r="H65" s="25" t="n">
        <x:v>1.2549345611068412</x:v>
      </x:c>
      <x:c r="I65" s="25" t="n">
        <x:v>1.2549345611068412</x:v>
      </x:c>
      <x:c r="J65" s="25" t="n">
        <x:v>1.2549345611068412</x:v>
      </x:c>
      <x:c r="K65" s="25" t="n">
        <x:v>1.2232697108263666</x:v>
      </x:c>
      <x:c r="L65" t="str">
        <x:v>Low</x:v>
      </x:c>
    </x:row>
    <x:row r="66">
      <x:c r="A66" t="str">
        <x:v>h100</x:v>
      </x:c>
      <x:c r="B66" t="str">
        <x:v>vllm</x:v>
      </x:c>
      <x:c r="C66" t="str">
        <x:v>fp8</x:v>
      </x:c>
      <x:c r="D66" t="str">
        <x:v>mtp</x:v>
      </x:c>
      <x:c r="E66" s="19" t="n">
        <x:v>1</x:v>
      </x:c>
      <x:c r="F66" s="19" t="n">
        <x:v>8</x:v>
      </x:c>
      <x:c r="G66" t="str">
        <x:v>minimaxm3</x:v>
      </x:c>
      <x:c r="H66" s="25" t="n">
        <x:v>1.4436140328464475</x:v>
      </x:c>
      <x:c r="I66" s="25" t="n">
        <x:v>1.4436140328464475</x:v>
      </x:c>
      <x:c r="J66" s="25" t="n">
        <x:v>1.4436140328464475</x:v>
      </x:c>
      <x:c r="K66" s="25" t="n">
        <x:v>1.169466737669608</x:v>
      </x:c>
      <x:c r="L66" t="str">
        <x:v>Low</x:v>
      </x:c>
    </x:row>
    <x:row r="67">
      <x:c r="A67" t="str">
        <x:v>h100</x:v>
      </x:c>
      <x:c r="B67" t="str">
        <x:v>vllm</x:v>
      </x:c>
      <x:c r="C67" t="str">
        <x:v>fp8</x:v>
      </x:c>
      <x:c r="D67" t="str">
        <x:v>none</x:v>
      </x:c>
      <x:c r="E67" s="19" t="n">
        <x:v>3</x:v>
      </x:c>
      <x:c r="F67" s="19" t="n">
        <x:v>258</x:v>
      </x:c>
      <x:c r="G67" t="str">
        <x:v>llama70b, minimaxm2.5, minimaxm3</x:v>
      </x:c>
      <x:c r="H67" s="25" t="n">
        <x:v>1.3496992004120827</x:v>
      </x:c>
      <x:c r="I67" s="25" t="n">
        <x:v>1.3809424706522604</x:v>
      </x:c>
      <x:c r="J67" s="25" t="n">
        <x:v>1.5937812494966161</x:v>
      </x:c>
      <x:c r="K67" s="25" t="n">
        <x:v>1.2264286599651073</x:v>
      </x:c>
      <x:c r="L67" t="str">
        <x:v>High</x:v>
      </x:c>
    </x:row>
    <x:row r="68">
      <x:c r="A68" t="str">
        <x:v>H200</x:v>
      </x:c>
      <x:c r="B68" t="str">
        <x:v>sglang</x:v>
      </x:c>
      <x:c r="C68" t="str">
        <x:v>fp8</x:v>
      </x:c>
      <x:c r="D68" t="str">
        <x:v>mtp</x:v>
      </x:c>
      <x:c r="E68" s="19" t="n">
        <x:v>4</x:v>
      </x:c>
      <x:c r="F68" s="19" t="n">
        <x:v>52</x:v>
      </x:c>
      <x:c r="G68" t="str">
        <x:v>dsr1, dsv4, glm5, qwen3.5</x:v>
      </x:c>
      <x:c r="H68" s="25" t="n">
        <x:v>1.1835183747025115</x:v>
      </x:c>
      <x:c r="I68" s="25" t="n">
        <x:v>1.3666372145908143</x:v>
      </x:c>
      <x:c r="J68" s="25" t="n">
        <x:v>1.7407843517415638</x:v>
      </x:c>
      <x:c r="K68" s="25" t="n">
        <x:v>1.3521799949420608</x:v>
      </x:c>
      <x:c r="L68" t="str">
        <x:v>High</x:v>
      </x:c>
    </x:row>
    <x:row r="69">
      <x:c r="A69" t="str">
        <x:v>H200</x:v>
      </x:c>
      <x:c r="B69" t="str">
        <x:v>sglang</x:v>
      </x:c>
      <x:c r="C69" t="str">
        <x:v>fp8</x:v>
      </x:c>
      <x:c r="D69" t="str">
        <x:v>none</x:v>
      </x:c>
      <x:c r="E69" s="19" t="n">
        <x:v>4</x:v>
      </x:c>
      <x:c r="F69" s="19" t="n">
        <x:v>347</x:v>
      </x:c>
      <x:c r="G69" t="str">
        <x:v>dsr1, dsv4, glm5, qwen3.5</x:v>
      </x:c>
      <x:c r="H69" s="25" t="n">
        <x:v>1.1632988950581162</x:v>
      </x:c>
      <x:c r="I69" s="25" t="n">
        <x:v>1.3487861913217136</x:v>
      </x:c>
      <x:c r="J69" s="25" t="n">
        <x:v>1.6090545549385267</x:v>
      </x:c>
      <x:c r="K69" s="25" t="n">
        <x:v>1.286958319688039</x:v>
      </x:c>
      <x:c r="L69" t="str">
        <x:v>High</x:v>
      </x:c>
    </x:row>
    <x:row r="70">
      <x:c r="A70" t="str">
        <x:v>H200</x:v>
      </x:c>
      <x:c r="B70" t="str">
        <x:v>trt</x:v>
      </x:c>
      <x:c r="C70" t="str">
        <x:v>fp4</x:v>
      </x:c>
      <x:c r="D70" t="str">
        <x:v>none</x:v>
      </x:c>
      <x:c r="E70" s="19" t="n">
        <x:v>1</x:v>
      </x:c>
      <x:c r="F70" s="19" t="n">
        <x:v>920</x:v>
      </x:c>
      <x:c r="G70" t="str">
        <x:v>gptoss120b</x:v>
      </x:c>
      <x:c r="H70" s="25" t="n">
        <x:v>1.1803074202608288</x:v>
      </x:c>
      <x:c r="I70" s="25" t="n">
        <x:v>1.1803074202608288</x:v>
      </x:c>
      <x:c r="J70" s="25" t="n">
        <x:v>1.1803074202608288</x:v>
      </x:c>
      <x:c r="K70" s="25" t="n">
        <x:v>1.1546565345890354</x:v>
      </x:c>
      <x:c r="L70" t="str">
        <x:v>Low</x:v>
      </x:c>
    </x:row>
    <x:row r="71">
      <x:c r="A71" t="str">
        <x:v>H200</x:v>
      </x:c>
      <x:c r="B71" t="str">
        <x:v>trt</x:v>
      </x:c>
      <x:c r="C71" t="str">
        <x:v>fp8</x:v>
      </x:c>
      <x:c r="D71" t="str">
        <x:v>mtp</x:v>
      </x:c>
      <x:c r="E71" s="19" t="n">
        <x:v>1</x:v>
      </x:c>
      <x:c r="F71" s="19" t="n">
        <x:v>12</x:v>
      </x:c>
      <x:c r="G71" t="str">
        <x:v>dsr1</x:v>
      </x:c>
      <x:c r="H71" s="25" t="n">
        <x:v>1.3061562994435643</x:v>
      </x:c>
      <x:c r="I71" s="25" t="n">
        <x:v>1.3061562994435643</x:v>
      </x:c>
      <x:c r="J71" s="25" t="n">
        <x:v>1.3061562994435643</x:v>
      </x:c>
      <x:c r="K71" s="25" t="n">
        <x:v>1.3420019955699962</x:v>
      </x:c>
      <x:c r="L71" t="str">
        <x:v>Low</x:v>
      </x:c>
    </x:row>
    <x:row r="72">
      <x:c r="A72" t="str">
        <x:v>H200</x:v>
      </x:c>
      <x:c r="B72" t="str">
        <x:v>trt</x:v>
      </x:c>
      <x:c r="C72" t="str">
        <x:v>fp8</x:v>
      </x:c>
      <x:c r="D72" t="str">
        <x:v>none</x:v>
      </x:c>
      <x:c r="E72" s="19" t="n">
        <x:v>2</x:v>
      </x:c>
      <x:c r="F72" s="19" t="n">
        <x:v>482</x:v>
      </x:c>
      <x:c r="G72" t="str">
        <x:v>dsr1, llama70b</x:v>
      </x:c>
      <x:c r="H72" s="25" t="n">
        <x:v>1.3043053016907666</x:v>
      </x:c>
      <x:c r="I72" s="25" t="n">
        <x:v>1.5181432265238417</x:v>
      </x:c>
      <x:c r="J72" s="25" t="n">
        <x:v>1.7319811513569168</x:v>
      </x:c>
      <x:c r="K72" s="25" t="n">
        <x:v>1.500752175020855</x:v>
      </x:c>
      <x:c r="L72" t="str">
        <x:v>Medium</x:v>
      </x:c>
    </x:row>
    <x:row r="73">
      <x:c r="A73" t="str">
        <x:v>H200</x:v>
      </x:c>
      <x:c r="B73" t="str">
        <x:v>vllm</x:v>
      </x:c>
      <x:c r="C73" t="str">
        <x:v>fp4</x:v>
      </x:c>
      <x:c r="D73" t="str">
        <x:v>none</x:v>
      </x:c>
      <x:c r="E73" s="19" t="n">
        <x:v>1</x:v>
      </x:c>
      <x:c r="F73" s="19" t="n">
        <x:v>941</x:v>
      </x:c>
      <x:c r="G73" t="str">
        <x:v>gptoss120b</x:v>
      </x:c>
      <x:c r="H73" s="25" t="n">
        <x:v>1.281711713566645</x:v>
      </x:c>
      <x:c r="I73" s="25" t="n">
        <x:v>1.281711713566645</x:v>
      </x:c>
      <x:c r="J73" s="25" t="n">
        <x:v>1.281711713566645</x:v>
      </x:c>
      <x:c r="K73" s="25" t="n">
        <x:v>1.2477232353379157</x:v>
      </x:c>
      <x:c r="L73" t="str">
        <x:v>Low</x:v>
      </x:c>
    </x:row>
    <x:row r="74">
      <x:c r="A74" t="str">
        <x:v>H200</x:v>
      </x:c>
      <x:c r="B74" t="str">
        <x:v>vllm</x:v>
      </x:c>
      <x:c r="C74" t="str">
        <x:v>fp8</x:v>
      </x:c>
      <x:c r="D74" t="str">
        <x:v>mtp</x:v>
      </x:c>
      <x:c r="E74" s="19" t="n">
        <x:v>2</x:v>
      </x:c>
      <x:c r="F74" s="19" t="n">
        <x:v>75</x:v>
      </x:c>
      <x:c r="G74" t="str">
        <x:v>dsv4, minimaxm3</x:v>
      </x:c>
      <x:c r="H74" s="25" t="n">
        <x:v>1.5310926526153925</x:v>
      </x:c>
      <x:c r="I74" s="25" t="n">
        <x:v>1.6786025418927522</x:v>
      </x:c>
      <x:c r="J74" s="25" t="n">
        <x:v>1.826112431170112</x:v>
      </x:c>
      <x:c r="K74" s="25" t="n">
        <x:v>1.453875144381315</x:v>
      </x:c>
      <x:c r="L74" t="str">
        <x:v>Medium</x:v>
      </x:c>
    </x:row>
    <x:row r="75">
      <x:c r="A75" t="str">
        <x:v>H200</x:v>
      </x:c>
      <x:c r="B75" t="str">
        <x:v>vllm</x:v>
      </x:c>
      <x:c r="C75" t="str">
        <x:v>fp8</x:v>
      </x:c>
      <x:c r="D75" t="str">
        <x:v>none</x:v>
      </x:c>
      <x:c r="E75" s="19" t="n">
        <x:v>4</x:v>
      </x:c>
      <x:c r="F75" s="19" t="n">
        <x:v>388</x:v>
      </x:c>
      <x:c r="G75" t="str">
        <x:v>dsv4, llama70b, minimaxm2.5, minimaxm3</x:v>
      </x:c>
      <x:c r="H75" s="25" t="n">
        <x:v>1.3347847303845037</x:v>
      </x:c>
      <x:c r="I75" s="25" t="n">
        <x:v>1.5549128133551942</x:v>
      </x:c>
      <x:c r="J75" s="25" t="n">
        <x:v>1.7452135537302018</x:v>
      </x:c>
      <x:c r="K75" s="25" t="n">
        <x:v>1.4630276712794519</x:v>
      </x:c>
      <x:c r="L75" t="str">
        <x:v>High</x:v>
      </x:c>
    </x:row>
    <x:row r="76">
      <x:c r="A76" t="str">
        <x:v>H200</x:v>
      </x:c>
      <x:c r="B76" t="str">
        <x:v>vllm</x:v>
      </x:c>
      <x:c r="C76" t="str">
        <x:v>int4</x:v>
      </x:c>
      <x:c r="D76" t="str">
        <x:v>none</x:v>
      </x:c>
      <x:c r="E76" s="19" t="n">
        <x:v>1</x:v>
      </x:c>
      <x:c r="F76" s="19" t="n">
        <x:v>25</x:v>
      </x:c>
      <x:c r="G76" t="str">
        <x:v>kimik2.5</x:v>
      </x:c>
      <x:c r="H76" s="25" t="n">
        <x:v>1.3832842064308501</x:v>
      </x:c>
      <x:c r="I76" s="25" t="n">
        <x:v>1.3832842064308501</x:v>
      </x:c>
      <x:c r="J76" s="25" t="n">
        <x:v>1.3832842064308501</x:v>
      </x:c>
      <x:c r="K76" s="25" t="n">
        <x:v>1.3543079082651552</x:v>
      </x:c>
      <x:c r="L76" t="str">
        <x:v>Low</x:v>
      </x:c>
    </x:row>
    <x:row r="77">
      <x:c r="A77" t="str">
        <x:v>mi300x</x:v>
      </x:c>
      <x:c r="B77" t="str">
        <x:v>sglang</x:v>
      </x:c>
      <x:c r="C77" t="str">
        <x:v>bf16</x:v>
      </x:c>
      <x:c r="D77" t="str">
        <x:v>none</x:v>
      </x:c>
      <x:c r="E77" s="19" t="n">
        <x:v>1</x:v>
      </x:c>
      <x:c r="F77" s="19" t="n">
        <x:v>20</x:v>
      </x:c>
      <x:c r="G77" t="str">
        <x:v>qwen3.5</x:v>
      </x:c>
      <x:c r="H77" s="25" t="n">
        <x:v>1.182358890667929</x:v>
      </x:c>
      <x:c r="I77" s="25" t="n">
        <x:v>1.182358890667929</x:v>
      </x:c>
      <x:c r="J77" s="25" t="n">
        <x:v>1.182358890667929</x:v>
      </x:c>
      <x:c r="K77" s="25" t="n">
        <x:v>1.16191103537406</x:v>
      </x:c>
      <x:c r="L77" t="str">
        <x:v>Low</x:v>
      </x:c>
    </x:row>
    <x:row r="78">
      <x:c r="A78" t="str">
        <x:v>mi300x</x:v>
      </x:c>
      <x:c r="B78" t="str">
        <x:v>sglang</x:v>
      </x:c>
      <x:c r="C78" t="str">
        <x:v>fp8</x:v>
      </x:c>
      <x:c r="D78" t="str">
        <x:v>none</x:v>
      </x:c>
      <x:c r="E78" s="19" t="n">
        <x:v>2</x:v>
      </x:c>
      <x:c r="F78" s="19" t="n">
        <x:v>319</x:v>
      </x:c>
      <x:c r="G78" t="str">
        <x:v>dsr1, qwen3.5</x:v>
      </x:c>
      <x:c r="H78" s="25" t="n">
        <x:v>1.212703699142232</x:v>
      </x:c>
      <x:c r="I78" s="25" t="n">
        <x:v>1.2739685106007657</x:v>
      </x:c>
      <x:c r="J78" s="25" t="n">
        <x:v>1.3352333220592991</x:v>
      </x:c>
      <x:c r="K78" s="25" t="n">
        <x:v>1.2348294345771211</x:v>
      </x:c>
      <x:c r="L78" t="str">
        <x:v>Medium</x:v>
      </x:c>
    </x:row>
    <x:row r="79">
      <x:c r="A79" t="str">
        <x:v>mi300x</x:v>
      </x:c>
      <x:c r="B79" t="str">
        <x:v>vllm</x:v>
      </x:c>
      <x:c r="C79" t="str">
        <x:v>fp4</x:v>
      </x:c>
      <x:c r="D79" t="str">
        <x:v>none</x:v>
      </x:c>
      <x:c r="E79" s="19" t="n">
        <x:v>1</x:v>
      </x:c>
      <x:c r="F79" s="19" t="n">
        <x:v>945</x:v>
      </x:c>
      <x:c r="G79" t="str">
        <x:v>gptoss120b</x:v>
      </x:c>
      <x:c r="H79" s="25" t="n">
        <x:v>1.2156244772043996</x:v>
      </x:c>
      <x:c r="I79" s="25" t="n">
        <x:v>1.2156244772043996</x:v>
      </x:c>
      <x:c r="J79" s="25" t="n">
        <x:v>1.2156244772043996</x:v>
      </x:c>
      <x:c r="K79" s="25" t="n">
        <x:v>1.1955774592750834</x:v>
      </x:c>
      <x:c r="L79" t="str">
        <x:v>Low</x:v>
      </x:c>
    </x:row>
    <x:row r="80">
      <x:c r="A80" t="str">
        <x:v>mi300x</x:v>
      </x:c>
      <x:c r="B80" t="str">
        <x:v>vllm</x:v>
      </x:c>
      <x:c r="C80" t="str">
        <x:v>fp8</x:v>
      </x:c>
      <x:c r="D80" t="str">
        <x:v>mtp</x:v>
      </x:c>
      <x:c r="E80" s="19" t="n">
        <x:v>2</x:v>
      </x:c>
      <x:c r="F80" s="19" t="n">
        <x:v>22</x:v>
      </x:c>
      <x:c r="G80" t="str">
        <x:v>dsv4, minimaxm3</x:v>
      </x:c>
      <x:c r="H80" s="25" t="n">
        <x:v>1.3936121569920166</x:v>
      </x:c>
      <x:c r="I80" s="25" t="n">
        <x:v>1.4644939248946909</x:v>
      </x:c>
      <x:c r="J80" s="25" t="n">
        <x:v>1.5353756927973652</x:v>
      </x:c>
      <x:c r="K80" s="25" t="n">
        <x:v>1.4317755035099098</x:v>
      </x:c>
      <x:c r="L80" t="str">
        <x:v>Medium</x:v>
      </x:c>
    </x:row>
    <x:row r="81">
      <x:c r="A81" t="str">
        <x:v>mi300x</x:v>
      </x:c>
      <x:c r="B81" t="str">
        <x:v>vllm</x:v>
      </x:c>
      <x:c r="C81" t="str">
        <x:v>fp8</x:v>
      </x:c>
      <x:c r="D81" t="str">
        <x:v>none</x:v>
      </x:c>
      <x:c r="E81" s="19" t="n">
        <x:v>4</x:v>
      </x:c>
      <x:c r="F81" s="19" t="n">
        <x:v>331</x:v>
      </x:c>
      <x:c r="G81" t="str">
        <x:v>dsv4, llama70b, minimaxm2.5, minimaxm3</x:v>
      </x:c>
      <x:c r="H81" s="25" t="n">
        <x:v>1.3132065119351553</x:v>
      </x:c>
      <x:c r="I81" s="25" t="n">
        <x:v>1.5384449232495125</x:v>
      </x:c>
      <x:c r="J81" s="25" t="n">
        <x:v>1.7044528195262958</x:v>
      </x:c>
      <x:c r="K81" s="25" t="n">
        <x:v>1.5129861757259941</x:v>
      </x:c>
      <x:c r="L81" t="str">
        <x:v>High</x:v>
      </x:c>
    </x:row>
    <x:row r="82">
      <x:c r="A82" t="str">
        <x:v>mi300x</x:v>
      </x:c>
      <x:c r="B82" t="str">
        <x:v>vllm</x:v>
      </x:c>
      <x:c r="C82" t="str">
        <x:v>int4</x:v>
      </x:c>
      <x:c r="D82" t="str">
        <x:v>none</x:v>
      </x:c>
      <x:c r="E82" s="19" t="n">
        <x:v>1</x:v>
      </x:c>
      <x:c r="F82" s="19" t="n">
        <x:v>10</x:v>
      </x:c>
      <x:c r="G82" t="str">
        <x:v>kimik2.5</x:v>
      </x:c>
      <x:c r="H82" s="25" t="n">
        <x:v>1.1856847739370229</x:v>
      </x:c>
      <x:c r="I82" s="25" t="n">
        <x:v>1.1856847739370229</x:v>
      </x:c>
      <x:c r="J82" s="25" t="n">
        <x:v>1.1856847739370229</x:v>
      </x:c>
      <x:c r="K82" s="25" t="n">
        <x:v>1.1757892686429896</x:v>
      </x:c>
      <x:c r="L82" t="str">
        <x:v>Low</x:v>
      </x:c>
    </x:row>
    <x:row r="83">
      <x:c r="A83" t="str">
        <x:v>mi325x</x:v>
      </x:c>
      <x:c r="B83" t="str">
        <x:v>sglang</x:v>
      </x:c>
      <x:c r="C83" t="str">
        <x:v>bf16</x:v>
      </x:c>
      <x:c r="D83" t="str">
        <x:v>mtp</x:v>
      </x:c>
      <x:c r="E83" s="19" t="n">
        <x:v>1</x:v>
      </x:c>
      <x:c r="F83" s="19" t="n">
        <x:v>5</x:v>
      </x:c>
      <x:c r="G83" t="str">
        <x:v>qwen3.5</x:v>
      </x:c>
      <x:c r="H83" s="25" t="n">
        <x:v>1.2120512055800123</x:v>
      </x:c>
      <x:c r="I83" s="25" t="n">
        <x:v>1.2120512055800123</x:v>
      </x:c>
      <x:c r="J83" s="25" t="n">
        <x:v>1.2120512055800123</x:v>
      </x:c>
      <x:c r="K83" s="25" t="n">
        <x:v>1.1759101904911236</x:v>
      </x:c>
      <x:c r="L83" t="str">
        <x:v>Low</x:v>
      </x:c>
    </x:row>
    <x:row r="84">
      <x:c r="A84" t="str">
        <x:v>mi325x</x:v>
      </x:c>
      <x:c r="B84" t="str">
        <x:v>sglang</x:v>
      </x:c>
      <x:c r="C84" t="str">
        <x:v>bf16</x:v>
      </x:c>
      <x:c r="D84" t="str">
        <x:v>none</x:v>
      </x:c>
      <x:c r="E84" s="19" t="n">
        <x:v>1</x:v>
      </x:c>
      <x:c r="F84" s="19" t="n">
        <x:v>20</x:v>
      </x:c>
      <x:c r="G84" t="str">
        <x:v>qwen3.5</x:v>
      </x:c>
      <x:c r="H84" s="25" t="n">
        <x:v>1.2001392462825742</x:v>
      </x:c>
      <x:c r="I84" s="25" t="n">
        <x:v>1.2001392462825742</x:v>
      </x:c>
      <x:c r="J84" s="25" t="n">
        <x:v>1.2001392462825742</x:v>
      </x:c>
      <x:c r="K84" s="25" t="n">
        <x:v>1.1734708729386294</x:v>
      </x:c>
      <x:c r="L84" t="str">
        <x:v>Low</x:v>
      </x:c>
    </x:row>
    <x:row r="85">
      <x:c r="A85" t="str">
        <x:v>mi325x</x:v>
      </x:c>
      <x:c r="B85" t="str">
        <x:v>sglang</x:v>
      </x:c>
      <x:c r="C85" t="str">
        <x:v>fp8</x:v>
      </x:c>
      <x:c r="D85" t="str">
        <x:v>mtp</x:v>
      </x:c>
      <x:c r="E85" s="19" t="n">
        <x:v>3</x:v>
      </x:c>
      <x:c r="F85" s="19" t="n">
        <x:v>15</x:v>
      </x:c>
      <x:c r="G85" t="str">
        <x:v>dsr1, glm5, qwen3.5</x:v>
      </x:c>
      <x:c r="H85" s="25" t="n">
        <x:v>1.2496858931002215</x:v>
      </x:c>
      <x:c r="I85" s="25" t="n">
        <x:v>1.3969834459786254</x:v>
      </x:c>
      <x:c r="J85" s="25" t="n">
        <x:v>1.4359551784970381</x:v>
      </x:c>
      <x:c r="K85" s="25" t="n">
        <x:v>1.3794636310992103</x:v>
      </x:c>
      <x:c r="L85" t="str">
        <x:v>Medium</x:v>
      </x:c>
    </x:row>
    <x:row r="86">
      <x:c r="A86" t="str">
        <x:v>mi325x</x:v>
      </x:c>
      <x:c r="B86" t="str">
        <x:v>sglang</x:v>
      </x:c>
      <x:c r="C86" t="str">
        <x:v>fp8</x:v>
      </x:c>
      <x:c r="D86" t="str">
        <x:v>none</x:v>
      </x:c>
      <x:c r="E86" s="19" t="n">
        <x:v>3</x:v>
      </x:c>
      <x:c r="F86" s="19" t="n">
        <x:v>326</x:v>
      </x:c>
      <x:c r="G86" t="str">
        <x:v>dsr1, glm5, qwen3.5</x:v>
      </x:c>
      <x:c r="H86" s="25" t="n">
        <x:v>1.225409524901825</x:v>
      </x:c>
      <x:c r="I86" s="25" t="n">
        <x:v>1.3212217603358254</x:v>
      </x:c>
      <x:c r="J86" s="25" t="n">
        <x:v>1.3857171394773486</x:v>
      </x:c>
      <x:c r="K86" s="25" t="n">
        <x:v>1.2872474254498654</x:v>
      </x:c>
      <x:c r="L86" t="str">
        <x:v>High</x:v>
      </x:c>
    </x:row>
    <x:row r="87">
      <x:c r="A87" t="str">
        <x:v>mi325x</x:v>
      </x:c>
      <x:c r="B87" t="str">
        <x:v>vllm</x:v>
      </x:c>
      <x:c r="C87" t="str">
        <x:v>fp4</x:v>
      </x:c>
      <x:c r="D87" t="str">
        <x:v>none</x:v>
      </x:c>
      <x:c r="E87" s="19" t="n">
        <x:v>1</x:v>
      </x:c>
      <x:c r="F87" s="19" t="n">
        <x:v>867</x:v>
      </x:c>
      <x:c r="G87" t="str">
        <x:v>gptoss120b</x:v>
      </x:c>
      <x:c r="H87" s="25" t="n">
        <x:v>1.1831681438600596</x:v>
      </x:c>
      <x:c r="I87" s="25" t="n">
        <x:v>1.1831681438600596</x:v>
      </x:c>
      <x:c r="J87" s="25" t="n">
        <x:v>1.1831681438600596</x:v>
      </x:c>
      <x:c r="K87" s="25" t="n">
        <x:v>1.1608658815488109</x:v>
      </x:c>
      <x:c r="L87" t="str">
        <x:v>Low</x:v>
      </x:c>
    </x:row>
    <x:row r="88">
      <x:c r="A88" t="str">
        <x:v>mi325x</x:v>
      </x:c>
      <x:c r="B88" t="str">
        <x:v>vllm</x:v>
      </x:c>
      <x:c r="C88" t="str">
        <x:v>fp8</x:v>
      </x:c>
      <x:c r="D88" t="str">
        <x:v>mtp</x:v>
      </x:c>
      <x:c r="E88" s="19" t="n">
        <x:v>2</x:v>
      </x:c>
      <x:c r="F88" s="19" t="n">
        <x:v>22</x:v>
      </x:c>
      <x:c r="G88" t="str">
        <x:v>dsv4, minimaxm3</x:v>
      </x:c>
      <x:c r="H88" s="25" t="n">
        <x:v>1.4735985313561812</x:v>
      </x:c>
      <x:c r="I88" s="25" t="n">
        <x:v>1.5031611585520648</x:v>
      </x:c>
      <x:c r="J88" s="25" t="n">
        <x:v>1.532723785747948</x:v>
      </x:c>
      <x:c r="K88" s="25" t="n">
        <x:v>1.4242614890008611</x:v>
      </x:c>
      <x:c r="L88" t="str">
        <x:v>Medium</x:v>
      </x:c>
    </x:row>
    <x:row r="89">
      <x:c r="A89" t="str">
        <x:v>mi325x</x:v>
      </x:c>
      <x:c r="B89" t="str">
        <x:v>vllm</x:v>
      </x:c>
      <x:c r="C89" t="str">
        <x:v>fp8</x:v>
      </x:c>
      <x:c r="D89" t="str">
        <x:v>none</x:v>
      </x:c>
      <x:c r="E89" s="19" t="n">
        <x:v>4</x:v>
      </x:c>
      <x:c r="F89" s="19" t="n">
        <x:v>339</x:v>
      </x:c>
      <x:c r="G89" t="str">
        <x:v>dsv4, llama70b, minimaxm2.5, minimaxm3</x:v>
      </x:c>
      <x:c r="H89" s="25" t="n">
        <x:v>1.3367626732689792</x:v>
      </x:c>
      <x:c r="I89" s="25" t="n">
        <x:v>1.5540934828922102</x:v>
      </x:c>
      <x:c r="J89" s="25" t="n">
        <x:v>1.7915560277040734</x:v>
      </x:c>
      <x:c r="K89" s="25" t="n">
        <x:v>1.5289863576235116</x:v>
      </x:c>
      <x:c r="L89" t="str">
        <x:v>High</x:v>
      </x:c>
    </x:row>
    <x:row r="90">
      <x:c r="A90" t="str">
        <x:v>mi325x</x:v>
      </x:c>
      <x:c r="B90" t="str">
        <x:v>vllm</x:v>
      </x:c>
      <x:c r="C90" t="str">
        <x:v>int4</x:v>
      </x:c>
      <x:c r="D90" t="str">
        <x:v>none</x:v>
      </x:c>
      <x:c r="E90" s="19" t="n">
        <x:v>1</x:v>
      </x:c>
      <x:c r="F90" s="19" t="n">
        <x:v>20</x:v>
      </x:c>
      <x:c r="G90" t="str">
        <x:v>kimik2.5</x:v>
      </x:c>
      <x:c r="H90" s="25" t="n">
        <x:v>1.296194978890715</x:v>
      </x:c>
      <x:c r="I90" s="25" t="n">
        <x:v>1.296194978890715</x:v>
      </x:c>
      <x:c r="J90" s="25" t="n">
        <x:v>1.296194978890715</x:v>
      </x:c>
      <x:c r="K90" s="25" t="n">
        <x:v>1.2683932813996386</x:v>
      </x:c>
      <x:c r="L90" t="str">
        <x:v>Low</x:v>
      </x:c>
    </x:row>
    <x:row r="91">
      <x:c r="A91" t="str">
        <x:v>mi355x</x:v>
      </x:c>
      <x:c r="B91" t="str">
        <x:v>atom</x:v>
      </x:c>
      <x:c r="C91" t="str">
        <x:v>fp4</x:v>
      </x:c>
      <x:c r="D91" t="str">
        <x:v>mtp</x:v>
      </x:c>
      <x:c r="E91" s="19" t="n">
        <x:v>3</x:v>
      </x:c>
      <x:c r="F91" s="19" t="n">
        <x:v>50</x:v>
      </x:c>
      <x:c r="G91" t="str">
        <x:v>dsr1, dsv4, minimaxm3</x:v>
      </x:c>
      <x:c r="H91" s="25" t="n">
        <x:v>1.251865549834497</x:v>
      </x:c>
      <x:c r="I91" s="25" t="n">
        <x:v>1.2949985494343883</x:v>
      </x:c>
      <x:c r="J91" s="25" t="n">
        <x:v>1.4886521007727962</x:v>
      </x:c>
      <x:c r="K91" s="25" t="n">
        <x:v>1.3311378830643037</x:v>
      </x:c>
      <x:c r="L91" t="str">
        <x:v>High</x:v>
      </x:c>
    </x:row>
    <x:row r="92">
      <x:c r="A92" t="str">
        <x:v>mi355x</x:v>
      </x:c>
      <x:c r="B92" t="str">
        <x:v>atom</x:v>
      </x:c>
      <x:c r="C92" t="str">
        <x:v>fp4</x:v>
      </x:c>
      <x:c r="D92" t="str">
        <x:v>none</x:v>
      </x:c>
      <x:c r="E92" s="19" t="n">
        <x:v>8</x:v>
      </x:c>
      <x:c r="F92" s="19" t="n">
        <x:v>178</x:v>
      </x:c>
      <x:c r="G92" t="str">
        <x:v>dsr1, dsv4, glm5.1, gptoss120b, kimik2.5, minimaxm2.5, minimaxm3, qwen3.5</x:v>
      </x:c>
      <x:c r="H92" s="25" t="n">
        <x:v>1.2123213533294146</x:v>
      </x:c>
      <x:c r="I92" s="25" t="n">
        <x:v>1.2745713957893998</x:v>
      </x:c>
      <x:c r="J92" s="25" t="n">
        <x:v>1.60008839735009</x:v>
      </x:c>
      <x:c r="K92" s="25" t="n">
        <x:v>1.2511214072131964</x:v>
      </x:c>
      <x:c r="L92" t="str">
        <x:v>High</x:v>
      </x:c>
    </x:row>
    <x:row r="93">
      <x:c r="A93" t="str">
        <x:v>mi355x</x:v>
      </x:c>
      <x:c r="B93" t="str">
        <x:v>atom</x:v>
      </x:c>
      <x:c r="C93" t="str">
        <x:v>fp8</x:v>
      </x:c>
      <x:c r="D93" t="str">
        <x:v>mtp</x:v>
      </x:c>
      <x:c r="E93" s="19" t="n">
        <x:v>3</x:v>
      </x:c>
      <x:c r="F93" s="19" t="n">
        <x:v>83</x:v>
      </x:c>
      <x:c r="G93" t="str">
        <x:v>dsr1, minimaxm3, qwen3.5</x:v>
      </x:c>
      <x:c r="H93" s="25" t="n">
        <x:v>1.3459592200285782</x:v>
      </x:c>
      <x:c r="I93" s="25" t="n">
        <x:v>1.4098983233819449</x:v>
      </x:c>
      <x:c r="J93" s="25" t="n">
        <x:v>1.4204953488620062</x:v>
      </x:c>
      <x:c r="K93" s="25" t="n">
        <x:v>1.30664329864956</x:v>
      </x:c>
      <x:c r="L93" t="str">
        <x:v>High</x:v>
      </x:c>
    </x:row>
    <x:row r="94">
      <x:c r="A94" t="str">
        <x:v>mi355x</x:v>
      </x:c>
      <x:c r="B94" t="str">
        <x:v>atom</x:v>
      </x:c>
      <x:c r="C94" t="str">
        <x:v>fp8</x:v>
      </x:c>
      <x:c r="D94" t="str">
        <x:v>none</x:v>
      </x:c>
      <x:c r="E94" s="19" t="n">
        <x:v>5</x:v>
      </x:c>
      <x:c r="F94" s="19" t="n">
        <x:v>121</x:v>
      </x:c>
      <x:c r="G94" t="str">
        <x:v>dsr1, glm5, minimaxm2.5, minimaxm3, qwen3.5</x:v>
      </x:c>
      <x:c r="H94" s="25" t="n">
        <x:v>1.2167562742465206</x:v>
      </x:c>
      <x:c r="I94" s="25" t="n">
        <x:v>1.3466079800028474</x:v>
      </x:c>
      <x:c r="J94" s="25" t="n">
        <x:v>1.3951574716166988</x:v>
      </x:c>
      <x:c r="K94" s="25" t="n">
        <x:v>1.3306261813081885</x:v>
      </x:c>
      <x:c r="L94" t="str">
        <x:v>High</x:v>
      </x:c>
    </x:row>
    <x:row r="95">
      <x:c r="A95" t="str">
        <x:v>mi355x</x:v>
      </x:c>
      <x:c r="B95" t="str">
        <x:v>atom-disagg</x:v>
      </x:c>
      <x:c r="C95" t="str">
        <x:v>fp4</x:v>
      </x:c>
      <x:c r="D95" t="str">
        <x:v>none</x:v>
      </x:c>
      <x:c r="E95" s="19" t="n">
        <x:v>1</x:v>
      </x:c>
      <x:c r="F95" s="19" t="n">
        <x:v>6</x:v>
      </x:c>
      <x:c r="G95" t="str">
        <x:v>dsv4</x:v>
      </x:c>
      <x:c r="H95" s="25" t="n">
        <x:v>1.1285373063059252</x:v>
      </x:c>
      <x:c r="I95" s="25" t="n">
        <x:v>1.1285373063059252</x:v>
      </x:c>
      <x:c r="J95" s="25" t="n">
        <x:v>1.1285373063059252</x:v>
      </x:c>
      <x:c r="K95" s="25" t="n">
        <x:v>1.0709580299966368</x:v>
      </x:c>
      <x:c r="L95" t="str">
        <x:v>Low</x:v>
      </x:c>
    </x:row>
    <x:row r="96">
      <x:c r="A96" t="str">
        <x:v>mi355x</x:v>
      </x:c>
      <x:c r="B96" t="str">
        <x:v>mooncake-atom</x:v>
      </x:c>
      <x:c r="C96" t="str">
        <x:v>fp4</x:v>
      </x:c>
      <x:c r="D96" t="str">
        <x:v>none</x:v>
      </x:c>
      <x:c r="E96" s="19" t="n">
        <x:v>1</x:v>
      </x:c>
      <x:c r="F96" s="19" t="n">
        <x:v>19</x:v>
      </x:c>
      <x:c r="G96" t="str">
        <x:v>minimaxm3</x:v>
      </x:c>
      <x:c r="H96" s="25" t="n">
        <x:v>1.05320314362105</x:v>
      </x:c>
      <x:c r="I96" s="25" t="n">
        <x:v>1.05320314362105</x:v>
      </x:c>
      <x:c r="J96" s="25" t="n">
        <x:v>1.05320314362105</x:v>
      </x:c>
      <x:c r="K96" s="25" t="n">
        <x:v>1.0075407324249275</x:v>
      </x:c>
      <x:c r="L96" t="str">
        <x:v>Low</x:v>
      </x:c>
    </x:row>
    <x:row r="97">
      <x:c r="A97" t="str">
        <x:v>mi355x</x:v>
      </x:c>
      <x:c r="B97" t="str">
        <x:v>mooncake-atom</x:v>
      </x:c>
      <x:c r="C97" t="str">
        <x:v>fp8</x:v>
      </x:c>
      <x:c r="D97" t="str">
        <x:v>none</x:v>
      </x:c>
      <x:c r="E97" s="19" t="n">
        <x:v>1</x:v>
      </x:c>
      <x:c r="F97" s="19" t="n">
        <x:v>19</x:v>
      </x:c>
      <x:c r="G97" t="str">
        <x:v>minimaxm3</x:v>
      </x:c>
      <x:c r="H97" s="25" t="n">
        <x:v>1.045901219779468</x:v>
      </x:c>
      <x:c r="I97" s="25" t="n">
        <x:v>1.045901219779468</x:v>
      </x:c>
      <x:c r="J97" s="25" t="n">
        <x:v>1.045901219779468</x:v>
      </x:c>
      <x:c r="K97" s="25" t="n">
        <x:v>1.0045686700770164</x:v>
      </x:c>
      <x:c r="L97" t="str">
        <x:v>Low</x:v>
      </x:c>
    </x:row>
    <x:row r="98">
      <x:c r="A98" t="str">
        <x:v>mi355x</x:v>
      </x:c>
      <x:c r="B98" t="str">
        <x:v>mori-sglang</x:v>
      </x:c>
      <x:c r="C98" t="str">
        <x:v>fp4</x:v>
      </x:c>
      <x:c r="D98" t="str">
        <x:v>mtp</x:v>
      </x:c>
      <x:c r="E98" s="19" t="n">
        <x:v>1</x:v>
      </x:c>
      <x:c r="F98" s="19" t="n">
        <x:v>75</x:v>
      </x:c>
      <x:c r="G98" t="str">
        <x:v>dsr1</x:v>
      </x:c>
      <x:c r="H98" s="25" t="n">
        <x:v>1.100644634960637</x:v>
      </x:c>
      <x:c r="I98" s="25" t="n">
        <x:v>1.100644634960637</x:v>
      </x:c>
      <x:c r="J98" s="25" t="n">
        <x:v>1.100644634960637</x:v>
      </x:c>
      <x:c r="K98" s="25" t="n">
        <x:v>0.9207878927229471</x:v>
      </x:c>
      <x:c r="L98" t="str">
        <x:v>Low</x:v>
      </x:c>
    </x:row>
    <x:row r="99">
      <x:c r="A99" t="str">
        <x:v>mi355x</x:v>
      </x:c>
      <x:c r="B99" t="str">
        <x:v>mori-sglang</x:v>
      </x:c>
      <x:c r="C99" t="str">
        <x:v>fp4</x:v>
      </x:c>
      <x:c r="D99" t="str">
        <x:v>none</x:v>
      </x:c>
      <x:c r="E99" s="19" t="n">
        <x:v>2</x:v>
      </x:c>
      <x:c r="F99" s="19" t="n">
        <x:v>85</x:v>
      </x:c>
      <x:c r="G99" t="str">
        <x:v>dsr1, qwen3.5</x:v>
      </x:c>
      <x:c r="H99" s="25" t="n">
        <x:v>1.0652253448892899</x:v>
      </x:c>
      <x:c r="I99" s="25" t="n">
        <x:v>1.118738862544661</x:v>
      </x:c>
      <x:c r="J99" s="25" t="n">
        <x:v>1.1722523802000322</x:v>
      </x:c>
      <x:c r="K99" s="25" t="n">
        <x:v>1.0604653434368945</x:v>
      </x:c>
      <x:c r="L99" t="str">
        <x:v>Medium</x:v>
      </x:c>
    </x:row>
    <x:row r="100">
      <x:c r="A100" t="str">
        <x:v>mi355x</x:v>
      </x:c>
      <x:c r="B100" t="str">
        <x:v>mori-sglang</x:v>
      </x:c>
      <x:c r="C100" t="str">
        <x:v>fp8</x:v>
      </x:c>
      <x:c r="D100" t="str">
        <x:v>mtp</x:v>
      </x:c>
      <x:c r="E100" s="19" t="n">
        <x:v>1</x:v>
      </x:c>
      <x:c r="F100" s="19" t="n">
        <x:v>70</x:v>
      </x:c>
      <x:c r="G100" t="str">
        <x:v>dsr1</x:v>
      </x:c>
      <x:c r="H100" s="25" t="n">
        <x:v>1.3918547820461407</x:v>
      </x:c>
      <x:c r="I100" s="25" t="n">
        <x:v>1.3918547820461407</x:v>
      </x:c>
      <x:c r="J100" s="25" t="n">
        <x:v>1.3918547820461407</x:v>
      </x:c>
      <x:c r="K100" s="25" t="n">
        <x:v>0.9772406016365511</x:v>
      </x:c>
      <x:c r="L100" t="str">
        <x:v>Low</x:v>
      </x:c>
    </x:row>
    <x:row r="101">
      <x:c r="A101" t="str">
        <x:v>mi355x</x:v>
      </x:c>
      <x:c r="B101" t="str">
        <x:v>mori-sglang</x:v>
      </x:c>
      <x:c r="C101" t="str">
        <x:v>fp8</x:v>
      </x:c>
      <x:c r="D101" t="str">
        <x:v>none</x:v>
      </x:c>
      <x:c r="E101" s="19" t="n">
        <x:v>3</x:v>
      </x:c>
      <x:c r="F101" s="19" t="n">
        <x:v>68</x:v>
      </x:c>
      <x:c r="G101" t="str">
        <x:v>dsr1, glm5, qwen3.5</x:v>
      </x:c>
      <x:c r="H101" s="25" t="n">
        <x:v>1.1027915557769303</x:v>
      </x:c>
      <x:c r="I101" s="25" t="n">
        <x:v>1.290395111277466</x:v>
      </x:c>
      <x:c r="J101" s="25" t="n">
        <x:v>1.3833762080474377</x:v>
      </x:c>
      <x:c r="K101" s="25" t="n">
        <x:v>1.0582231307653287</x:v>
      </x:c>
      <x:c r="L101" t="str">
        <x:v>High</x:v>
      </x:c>
    </x:row>
    <x:row r="102">
      <x:c r="A102" t="str">
        <x:v>mi355x</x:v>
      </x:c>
      <x:c r="B102" t="str">
        <x:v>sglang</x:v>
      </x:c>
      <x:c r="C102" t="str">
        <x:v>bf16</x:v>
      </x:c>
      <x:c r="D102" t="str">
        <x:v>mtp</x:v>
      </x:c>
      <x:c r="E102" s="19" t="n">
        <x:v>1</x:v>
      </x:c>
      <x:c r="F102" s="19" t="n">
        <x:v>14</x:v>
      </x:c>
      <x:c r="G102" t="str">
        <x:v>qwen3.5</x:v>
      </x:c>
      <x:c r="H102" s="25" t="n">
        <x:v>1.6151756161740591</x:v>
      </x:c>
      <x:c r="I102" s="25" t="n">
        <x:v>1.6151756161740591</x:v>
      </x:c>
      <x:c r="J102" s="25" t="n">
        <x:v>1.6151756161740591</x:v>
      </x:c>
      <x:c r="K102" s="25" t="n">
        <x:v>1.57292184208306</x:v>
      </x:c>
      <x:c r="L102" t="str">
        <x:v>Low</x:v>
      </x:c>
    </x:row>
    <x:row r="103">
      <x:c r="A103" t="str">
        <x:v>mi355x</x:v>
      </x:c>
      <x:c r="B103" t="str">
        <x:v>sglang</x:v>
      </x:c>
      <x:c r="C103" t="str">
        <x:v>bf16</x:v>
      </x:c>
      <x:c r="D103" t="str">
        <x:v>none</x:v>
      </x:c>
      <x:c r="E103" s="19" t="n">
        <x:v>1</x:v>
      </x:c>
      <x:c r="F103" s="19" t="n">
        <x:v>19</x:v>
      </x:c>
      <x:c r="G103" t="str">
        <x:v>qwen3.5</x:v>
      </x:c>
      <x:c r="H103" s="25" t="n">
        <x:v>1.2270979254478958</x:v>
      </x:c>
      <x:c r="I103" s="25" t="n">
        <x:v>1.2270979254478958</x:v>
      </x:c>
      <x:c r="J103" s="25" t="n">
        <x:v>1.2270979254478958</x:v>
      </x:c>
      <x:c r="K103" s="25" t="n">
        <x:v>1.2145211511513334</x:v>
      </x:c>
      <x:c r="L103" t="str">
        <x:v>Low</x:v>
      </x:c>
    </x:row>
    <x:row r="104">
      <x:c r="A104" t="str">
        <x:v>mi355x</x:v>
      </x:c>
      <x:c r="B104" t="str">
        <x:v>sglang</x:v>
      </x:c>
      <x:c r="C104" t="str">
        <x:v>fp4</x:v>
      </x:c>
      <x:c r="D104" t="str">
        <x:v>mtp</x:v>
      </x:c>
      <x:c r="E104" s="19" t="n">
        <x:v>3</x:v>
      </x:c>
      <x:c r="F104" s="19" t="n">
        <x:v>76</x:v>
      </x:c>
      <x:c r="G104" t="str">
        <x:v>dsr1, dsv4, qwen3.5</x:v>
      </x:c>
      <x:c r="H104" s="25" t="n">
        <x:v>1.2141150484137417</x:v>
      </x:c>
      <x:c r="I104" s="25" t="n">
        <x:v>1.4782573385144255</x:v>
      </x:c>
      <x:c r="J104" s="25" t="n">
        <x:v>1.53890926833715</x:v>
      </x:c>
      <x:c r="K104" s="25" t="n">
        <x:v>1.3051484277447423</x:v>
      </x:c>
      <x:c r="L104" t="str">
        <x:v>High</x:v>
      </x:c>
    </x:row>
    <x:row r="105">
      <x:c r="A105" t="str">
        <x:v>mi355x</x:v>
      </x:c>
      <x:c r="B105" t="str">
        <x:v>sglang</x:v>
      </x:c>
      <x:c r="C105" t="str">
        <x:v>fp4</x:v>
      </x:c>
      <x:c r="D105" t="str">
        <x:v>none</x:v>
      </x:c>
      <x:c r="E105" s="19" t="n">
        <x:v>4</x:v>
      </x:c>
      <x:c r="F105" s="19" t="n">
        <x:v>523</x:v>
      </x:c>
      <x:c r="G105" t="str">
        <x:v>dsr1, dsv4, glm5.1, qwen3.5</x:v>
      </x:c>
      <x:c r="H105" s="25" t="n">
        <x:v>1.2857731687463143</x:v>
      </x:c>
      <x:c r="I105" s="25" t="n">
        <x:v>1.3832922497900282</x:v>
      </x:c>
      <x:c r="J105" s="25" t="n">
        <x:v>1.452479159404683</x:v>
      </x:c>
      <x:c r="K105" s="25" t="n">
        <x:v>1.3416893332169308</x:v>
      </x:c>
      <x:c r="L105" t="str">
        <x:v>High</x:v>
      </x:c>
    </x:row>
    <x:row r="106">
      <x:c r="A106" t="str">
        <x:v>mi355x</x:v>
      </x:c>
      <x:c r="B106" t="str">
        <x:v>sglang</x:v>
      </x:c>
      <x:c r="C106" t="str">
        <x:v>fp8</x:v>
      </x:c>
      <x:c r="D106" t="str">
        <x:v>mtp</x:v>
      </x:c>
      <x:c r="E106" s="19" t="n">
        <x:v>3</x:v>
      </x:c>
      <x:c r="F106" s="19" t="n">
        <x:v>40</x:v>
      </x:c>
      <x:c r="G106" t="str">
        <x:v>dsr1, glm5, qwen3.5</x:v>
      </x:c>
      <x:c r="H106" s="25" t="n">
        <x:v>1.3198567381963817</x:v>
      </x:c>
      <x:c r="I106" s="25" t="n">
        <x:v>1.448936409458643</x:v>
      </x:c>
      <x:c r="J106" s="25" t="n">
        <x:v>1.5398231706695389</x:v>
      </x:c>
      <x:c r="K106" s="25" t="n">
        <x:v>1.4140326708890991</x:v>
      </x:c>
      <x:c r="L106" t="str">
        <x:v>High</x:v>
      </x:c>
    </x:row>
    <x:row r="107">
      <x:c r="A107" t="str">
        <x:v>mi355x</x:v>
      </x:c>
      <x:c r="B107" t="str">
        <x:v>sglang</x:v>
      </x:c>
      <x:c r="C107" t="str">
        <x:v>fp8</x:v>
      </x:c>
      <x:c r="D107" t="str">
        <x:v>none</x:v>
      </x:c>
      <x:c r="E107" s="19" t="n">
        <x:v>4</x:v>
      </x:c>
      <x:c r="F107" s="19" t="n">
        <x:v>329</x:v>
      </x:c>
      <x:c r="G107" t="str">
        <x:v>dsr1, dsv4, glm5, qwen3.5</x:v>
      </x:c>
      <x:c r="H107" s="25" t="n">
        <x:v>1.24078151825671</x:v>
      </x:c>
      <x:c r="I107" s="25" t="n">
        <x:v>1.3511468543913125</x:v>
      </x:c>
      <x:c r="J107" s="25" t="n">
        <x:v>2.089791771390241</x:v>
      </x:c>
      <x:c r="K107" s="25" t="n">
        <x:v>1.3315297302065818</x:v>
      </x:c>
      <x:c r="L107" t="str">
        <x:v>Medium</x:v>
      </x:c>
    </x:row>
    <x:row r="108">
      <x:c r="A108" t="str">
        <x:v>mi355x</x:v>
      </x:c>
      <x:c r="B108" t="str">
        <x:v>vllm</x:v>
      </x:c>
      <x:c r="C108" t="str">
        <x:v>fp4</x:v>
      </x:c>
      <x:c r="D108" t="str">
        <x:v>mtp</x:v>
      </x:c>
      <x:c r="E108" s="19" t="n">
        <x:v>2</x:v>
      </x:c>
      <x:c r="F108" s="19" t="n">
        <x:v>63</x:v>
      </x:c>
      <x:c r="G108" t="str">
        <x:v>dsv4, minimaxm3</x:v>
      </x:c>
      <x:c r="H108" s="25" t="n">
        <x:v>1.3366530779476162</x:v>
      </x:c>
      <x:c r="I108" s="25" t="n">
        <x:v>1.3857659925310832</x:v>
      </x:c>
      <x:c r="J108" s="25" t="n">
        <x:v>1.4348789071145505</x:v>
      </x:c>
      <x:c r="K108" s="25" t="n">
        <x:v>1.3668409342173935</x:v>
      </x:c>
      <x:c r="L108" t="str">
        <x:v>Medium</x:v>
      </x:c>
    </x:row>
    <x:row r="109">
      <x:c r="A109" t="str">
        <x:v>mi355x</x:v>
      </x:c>
      <x:c r="B109" t="str">
        <x:v>vllm</x:v>
      </x:c>
      <x:c r="C109" t="str">
        <x:v>fp4</x:v>
      </x:c>
      <x:c r="D109" t="str">
        <x:v>none</x:v>
      </x:c>
      <x:c r="E109" s="19" t="n">
        <x:v>6</x:v>
      </x:c>
      <x:c r="F109" s="19" t="n">
        <x:v>976</x:v>
      </x:c>
      <x:c r="G109" t="str">
        <x:v>dsv4, gptoss120b, kimik2.5, llama70b, minimaxm2.5, minimaxm3</x:v>
      </x:c>
      <x:c r="H109" s="25" t="n">
        <x:v>1.1909125234966738</x:v>
      </x:c>
      <x:c r="I109" s="25" t="n">
        <x:v>1.2393685384508863</x:v>
      </x:c>
      <x:c r="J109" s="25" t="n">
        <x:v>1.4629886841178739</x:v>
      </x:c>
      <x:c r="K109" s="25" t="n">
        <x:v>1.2087237936071644</x:v>
      </x:c>
      <x:c r="L109" t="str">
        <x:v>High</x:v>
      </x:c>
    </x:row>
    <x:row r="110">
      <x:c r="A110" t="str">
        <x:v>mi355x</x:v>
      </x:c>
      <x:c r="B110" t="str">
        <x:v>vllm</x:v>
      </x:c>
      <x:c r="C110" t="str">
        <x:v>fp8</x:v>
      </x:c>
      <x:c r="D110" t="str">
        <x:v>mtp</x:v>
      </x:c>
      <x:c r="E110" s="19" t="n">
        <x:v>1</x:v>
      </x:c>
      <x:c r="F110" s="19" t="n">
        <x:v>98</x:v>
      </x:c>
      <x:c r="G110" t="str">
        <x:v>minimaxm3</x:v>
      </x:c>
      <x:c r="H110" s="25" t="n">
        <x:v>1.3060603017146888</x:v>
      </x:c>
      <x:c r="I110" s="25" t="n">
        <x:v>1.3060603017146888</x:v>
      </x:c>
      <x:c r="J110" s="25" t="n">
        <x:v>1.3060603017146888</x:v>
      </x:c>
      <x:c r="K110" s="25" t="n">
        <x:v>1.2831238827339866</x:v>
      </x:c>
      <x:c r="L110" t="str">
        <x:v>Low</x:v>
      </x:c>
    </x:row>
    <x:row r="111">
      <x:c r="A111" t="str">
        <x:v>mi355x</x:v>
      </x:c>
      <x:c r="B111" t="str">
        <x:v>vllm</x:v>
      </x:c>
      <x:c r="C111" t="str">
        <x:v>fp8</x:v>
      </x:c>
      <x:c r="D111" t="str">
        <x:v>none</x:v>
      </x:c>
      <x:c r="E111" s="19" t="n">
        <x:v>3</x:v>
      </x:c>
      <x:c r="F111" s="19" t="n">
        <x:v>426</x:v>
      </x:c>
      <x:c r="G111" t="str">
        <x:v>llama70b, minimaxm2.5, minimaxm3</x:v>
      </x:c>
      <x:c r="H111" s="25" t="n">
        <x:v>1.1699815918465364</x:v>
      </x:c>
      <x:c r="I111" s="25" t="n">
        <x:v>1.338916048810969</x:v>
      </x:c>
      <x:c r="J111" s="25" t="n">
        <x:v>1.5157409508692468</x:v>
      </x:c>
      <x:c r="K111" s="25" t="n">
        <x:v>1.3027374956272815</x:v>
      </x:c>
      <x:c r="L111" t="str">
        <x:v>High</x:v>
      </x:c>
    </x:row>
    <x:row r="112">
      <x:c r="A112" t="str">
        <x:v>mi355x</x:v>
      </x:c>
      <x:c r="B112" t="str">
        <x:v>vllm</x:v>
      </x:c>
      <x:c r="C112" t="str">
        <x:v>int4</x:v>
      </x:c>
      <x:c r="D112" t="str">
        <x:v>none</x:v>
      </x:c>
      <x:c r="E112" s="19" t="n">
        <x:v>1</x:v>
      </x:c>
      <x:c r="F112" s="19" t="n">
        <x:v>39</x:v>
      </x:c>
      <x:c r="G112" t="str">
        <x:v>kimik2.5</x:v>
      </x:c>
      <x:c r="H112" s="25" t="n">
        <x:v>1.2770534976981958</x:v>
      </x:c>
      <x:c r="I112" s="25" t="n">
        <x:v>1.2770534976981958</x:v>
      </x:c>
      <x:c r="J112" s="25" t="n">
        <x:v>1.2770534976981958</x:v>
      </x:c>
      <x:c r="K112" s="25" t="n">
        <x:v>1.2465728854220095</x:v>
      </x:c>
      <x:c r="L112" t="str">
        <x:v>Low</x:v>
      </x:c>
    </x:row>
    <x:row r="113">
      <x:c r="A113" t="str">
        <x:v>mi355x</x:v>
      </x:c>
      <x:c r="B113" t="str">
        <x:v>vllm-disagg</x:v>
      </x:c>
      <x:c r="C113" t="str">
        <x:v>fp4</x:v>
      </x:c>
      <x:c r="D113" t="str">
        <x:v>none</x:v>
      </x:c>
      <x:c r="E113" s="19" t="n">
        <x:v>1</x:v>
      </x:c>
      <x:c r="F113" s="19" t="n">
        <x:v>14</x:v>
      </x:c>
      <x:c r="G113" t="str">
        <x:v>kimik2.5</x:v>
      </x:c>
      <x:c r="H113" s="25" t="n">
        <x:v>1.4562931684131417</x:v>
      </x:c>
      <x:c r="I113" s="25" t="n">
        <x:v>1.4562931684131417</x:v>
      </x:c>
      <x:c r="J113" s="25" t="n">
        <x:v>1.4562931684131417</x:v>
      </x:c>
      <x:c r="K113" s="25" t="n">
        <x:v>1.4206614536375226</x:v>
      </x:c>
      <x:c r="L113" t="str">
        <x:v>Low</x:v>
      </x:c>
    </x:row>
    <x:row r="114">
      <x:c r="A114" t="str">
        <x:v>mi355x</x:v>
      </x:c>
      <x:c r="B114" t="str">
        <x:v>vllm-disagg</x:v>
      </x:c>
      <x:c r="C114" t="str">
        <x:v>fp8</x:v>
      </x:c>
      <x:c r="D114" t="str">
        <x:v>none</x:v>
      </x:c>
      <x:c r="E114" s="19" t="n">
        <x:v>2</x:v>
      </x:c>
      <x:c r="F114" s="19" t="n">
        <x:v>46</x:v>
      </x:c>
      <x:c r="G114" t="str">
        <x:v>minimaxm2.5, minimaxm3</x:v>
      </x:c>
      <x:c r="H114" s="25" t="n">
        <x:v>1.2417880890356738</x:v>
      </x:c>
      <x:c r="I114" s="25" t="n">
        <x:v>1.7172343384145832</x:v>
      </x:c>
      <x:c r="J114" s="25" t="n">
        <x:v>2.1926805877934923</x:v>
      </x:c>
      <x:c r="K114" s="25" t="n">
        <x:v>1.5710214884429945</x:v>
      </x:c>
      <x:c r="L114" t="str">
        <x:v>Medium</x:v>
      </x:c>
    </x:row>
  </x:sheetData>
  <x:mergeCells>
    <x:mergeCell ref="A1:L1"/>
    <x:mergeCell ref="A2:L2"/>
  </x:mergeCells>
  <x:conditionalFormatting sqref="L5:L114">
    <x:cfRule type="containsText" dxfId="5" priority="1" operator="containsText" text="High"/>
    <x:cfRule type="containsText" dxfId="6" priority="2" operator="containsText" text="Medium"/>
    <x:cfRule type="containsText" dxfId="7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06fbb8d343c40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3" hidden="0" customWidth="1"/>
    <x:col min="5" max="5" width="21" hidden="0" customWidth="1"/>
    <x:col min="6" max="6" width="21" hidden="0" customWidth="1"/>
    <x:col min="7" max="7" width="12" hidden="0" customWidth="1"/>
    <x:col min="8" max="8" width="16" hidden="0" customWidth="1"/>
    <x:col min="9" max="9" width="44" hidden="0" customWidth="1"/>
    <x:col min="10" max="10" width="11" hidden="0" customWidth="1"/>
    <x:col min="11" max="11" width="11" hidden="0" customWidth="1"/>
    <x:col min="12" max="12" width="11" hidden="0" customWidth="1"/>
    <x:col min="13" max="13" width="12" hidden="0" customWidth="1"/>
  </x:cols>
  <x:sheetData>
    <x:row r="1" ht="30" customHeight="1">
      <x:c r="A1" s="3" t="str">
        <x:v>Matched Framework Ratios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Ratio is Framework To ÷ Framework From under identical model, GPU, workload, precision/spec, concurrency, topology, and date. Models receive equal weight.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0" customHeight="1">
      <x:c r="A4" s="16" t="str">
        <x:v>GPU</x:v>
      </x:c>
      <x:c r="B4" s="17" t="str">
        <x:v>Workload</x:v>
      </x:c>
      <x:c r="C4" s="17" t="str">
        <x:v>Precision</x:v>
      </x:c>
      <x:c r="D4" s="17" t="str">
        <x:v>Spec Method</x:v>
      </x:c>
      <x:c r="E4" s="17" t="str">
        <x:v>Framework From</x:v>
      </x:c>
      <x:c r="F4" s="17" t="str">
        <x:v>Framework To</x:v>
      </x:c>
      <x:c r="G4" s="17" t="str">
        <x:v>Model Count</x:v>
      </x:c>
      <x:c r="H4" s="17" t="str">
        <x:v>Matched Pair Count</x:v>
      </x:c>
      <x:c r="I4" s="17" t="str">
        <x:v>Models</x:v>
      </x:c>
      <x:c r="J4" s="17" t="str">
        <x:v>Ratio P10</x:v>
      </x:c>
      <x:c r="K4" s="17" t="str">
        <x:v>Ratio P50</x:v>
      </x:c>
      <x:c r="L4" s="17" t="str">
        <x:v>Ratio P90</x:v>
      </x:c>
      <x:c r="M4" s="18" t="str">
        <x:v>Confidence</x:v>
      </x:c>
    </x:row>
    <x:row r="5">
      <x:c r="A5" t="str">
        <x:v>B200</x:v>
      </x:c>
      <x:c r="B5" t="str">
        <x:v>long</x:v>
      </x:c>
      <x:c r="C5" t="str">
        <x:v>fp4</x:v>
      </x:c>
      <x:c r="D5" t="str">
        <x:v>none</x:v>
      </x:c>
      <x:c r="E5" t="str">
        <x:v>sglang</x:v>
      </x:c>
      <x:c r="F5" t="str">
        <x:v>trt</x:v>
      </x:c>
      <x:c r="G5" s="19" t="n">
        <x:v>1</x:v>
      </x:c>
      <x:c r="H5" s="19" t="n">
        <x:v>300</x:v>
      </x:c>
      <x:c r="I5" t="str">
        <x:v>dsr1</x:v>
      </x:c>
      <x:c r="J5" s="25" t="n">
        <x:v>1.3454431103849318</x:v>
      </x:c>
      <x:c r="K5" s="25" t="n">
        <x:v>1.3454431103849318</x:v>
      </x:c>
      <x:c r="L5" s="25" t="n">
        <x:v>1.3454431103849318</x:v>
      </x:c>
      <x:c r="M5" t="str">
        <x:v>Low</x:v>
      </x:c>
    </x:row>
    <x:row r="6">
      <x:c r="A6" t="str">
        <x:v>B200</x:v>
      </x:c>
      <x:c r="B6" t="str">
        <x:v>long</x:v>
      </x:c>
      <x:c r="C6" t="str">
        <x:v>fp8</x:v>
      </x:c>
      <x:c r="D6" t="str">
        <x:v>none</x:v>
      </x:c>
      <x:c r="E6" t="str">
        <x:v>sglang</x:v>
      </x:c>
      <x:c r="F6" t="str">
        <x:v>trt</x:v>
      </x:c>
      <x:c r="G6" s="19" t="n">
        <x:v>1</x:v>
      </x:c>
      <x:c r="H6" s="19" t="n">
        <x:v>103</x:v>
      </x:c>
      <x:c r="I6" t="str">
        <x:v>dsr1</x:v>
      </x:c>
      <x:c r="J6" s="25" t="n">
        <x:v>1.0345219525694587</x:v>
      </x:c>
      <x:c r="K6" s="25" t="n">
        <x:v>1.0345219525694587</x:v>
      </x:c>
      <x:c r="L6" s="25" t="n">
        <x:v>1.0345219525694587</x:v>
      </x:c>
      <x:c r="M6" t="str">
        <x:v>Low</x:v>
      </x:c>
    </x:row>
    <x:row r="7">
      <x:c r="A7" t="str">
        <x:v>B200</x:v>
      </x:c>
      <x:c r="B7" t="str">
        <x:v>long</x:v>
      </x:c>
      <x:c r="C7" t="str">
        <x:v>fp8</x:v>
      </x:c>
      <x:c r="D7" t="str">
        <x:v>none</x:v>
      </x:c>
      <x:c r="E7" t="str">
        <x:v>trt</x:v>
      </x:c>
      <x:c r="F7" t="str">
        <x:v>vllm</x:v>
      </x:c>
      <x:c r="G7" s="19" t="n">
        <x:v>1</x:v>
      </x:c>
      <x:c r="H7" s="19" t="n">
        <x:v>183</x:v>
      </x:c>
      <x:c r="I7" t="str">
        <x:v>llama70b</x:v>
      </x:c>
      <x:c r="J7" s="25" t="n">
        <x:v>0.8747298875897525</x:v>
      </x:c>
      <x:c r="K7" s="25" t="n">
        <x:v>0.8747298875897525</x:v>
      </x:c>
      <x:c r="L7" s="25" t="n">
        <x:v>0.8747298875897525</x:v>
      </x:c>
      <x:c r="M7" t="str">
        <x:v>Low</x:v>
      </x:c>
    </x:row>
    <x:row r="8">
      <x:c r="A8" t="str">
        <x:v>B200</x:v>
      </x:c>
      <x:c r="B8" t="str">
        <x:v>long</x:v>
      </x:c>
      <x:c r="C8" t="str">
        <x:v>fp4</x:v>
      </x:c>
      <x:c r="D8" t="str">
        <x:v>none</x:v>
      </x:c>
      <x:c r="E8" t="str">
        <x:v>trt</x:v>
      </x:c>
      <x:c r="F8" t="str">
        <x:v>vllm</x:v>
      </x:c>
      <x:c r="G8" s="19" t="n">
        <x:v>2</x:v>
      </x:c>
      <x:c r="H8" s="19" t="n">
        <x:v>963</x:v>
      </x:c>
      <x:c r="I8" t="str">
        <x:v>gptoss120b, llama70b</x:v>
      </x:c>
      <x:c r="J8" s="25" t="n">
        <x:v>0.8172964217377534</x:v>
      </x:c>
      <x:c r="K8" s="25" t="n">
        <x:v>0.85887818598427</x:v>
      </x:c>
      <x:c r="L8" s="25" t="n">
        <x:v>0.9004599502307866</x:v>
      </x:c>
      <x:c r="M8" t="str">
        <x:v>Medium</x:v>
      </x:c>
    </x:row>
    <x:row r="9">
      <x:c r="A9" t="str">
        <x:v>B200</x:v>
      </x:c>
      <x:c r="B9" t="str">
        <x:v>short</x:v>
      </x:c>
      <x:c r="C9" t="str">
        <x:v>fp4</x:v>
      </x:c>
      <x:c r="D9" t="str">
        <x:v>none</x:v>
      </x:c>
      <x:c r="E9" t="str">
        <x:v>sglang</x:v>
      </x:c>
      <x:c r="F9" t="str">
        <x:v>trt</x:v>
      </x:c>
      <x:c r="G9" s="19" t="n">
        <x:v>1</x:v>
      </x:c>
      <x:c r="H9" s="19" t="n">
        <x:v>397</x:v>
      </x:c>
      <x:c r="I9" t="str">
        <x:v>dsr1</x:v>
      </x:c>
      <x:c r="J9" s="25" t="n">
        <x:v>1.147149938010028</x:v>
      </x:c>
      <x:c r="K9" s="25" t="n">
        <x:v>1.147149938010028</x:v>
      </x:c>
      <x:c r="L9" s="25" t="n">
        <x:v>1.147149938010028</x:v>
      </x:c>
      <x:c r="M9" t="str">
        <x:v>Low</x:v>
      </x:c>
    </x:row>
    <x:row r="10">
      <x:c r="A10" t="str">
        <x:v>B200</x:v>
      </x:c>
      <x:c r="B10" t="str">
        <x:v>short</x:v>
      </x:c>
      <x:c r="C10" t="str">
        <x:v>fp8</x:v>
      </x:c>
      <x:c r="D10" t="str">
        <x:v>none</x:v>
      </x:c>
      <x:c r="E10" t="str">
        <x:v>sglang</x:v>
      </x:c>
      <x:c r="F10" t="str">
        <x:v>trt</x:v>
      </x:c>
      <x:c r="G10" s="19" t="n">
        <x:v>1</x:v>
      </x:c>
      <x:c r="H10" s="19" t="n">
        <x:v>108</x:v>
      </x:c>
      <x:c r="I10" t="str">
        <x:v>dsr1</x:v>
      </x:c>
      <x:c r="J10" s="25" t="n">
        <x:v>0.7831290906962052</x:v>
      </x:c>
      <x:c r="K10" s="25" t="n">
        <x:v>0.7831290906962052</x:v>
      </x:c>
      <x:c r="L10" s="25" t="n">
        <x:v>0.7831290906962052</x:v>
      </x:c>
      <x:c r="M10" t="str">
        <x:v>Low</x:v>
      </x:c>
    </x:row>
    <x:row r="11">
      <x:c r="A11" t="str">
        <x:v>B200</x:v>
      </x:c>
      <x:c r="B11" t="str">
        <x:v>short</x:v>
      </x:c>
      <x:c r="C11" t="str">
        <x:v>fp8</x:v>
      </x:c>
      <x:c r="D11" t="str">
        <x:v>none</x:v>
      </x:c>
      <x:c r="E11" t="str">
        <x:v>trt</x:v>
      </x:c>
      <x:c r="F11" t="str">
        <x:v>vllm</x:v>
      </x:c>
      <x:c r="G11" s="19" t="n">
        <x:v>1</x:v>
      </x:c>
      <x:c r="H11" s="19" t="n">
        <x:v>230</x:v>
      </x:c>
      <x:c r="I11" t="str">
        <x:v>llama70b</x:v>
      </x:c>
      <x:c r="J11" s="25" t="n">
        <x:v>0.8711096716153752</x:v>
      </x:c>
      <x:c r="K11" s="25" t="n">
        <x:v>0.8711096716153752</x:v>
      </x:c>
      <x:c r="L11" s="25" t="n">
        <x:v>0.8711096716153752</x:v>
      </x:c>
      <x:c r="M11" t="str">
        <x:v>Low</x:v>
      </x:c>
    </x:row>
    <x:row r="12">
      <x:c r="A12" t="str">
        <x:v>B200</x:v>
      </x:c>
      <x:c r="B12" t="str">
        <x:v>short</x:v>
      </x:c>
      <x:c r="C12" t="str">
        <x:v>fp4</x:v>
      </x:c>
      <x:c r="D12" t="str">
        <x:v>none</x:v>
      </x:c>
      <x:c r="E12" t="str">
        <x:v>trt</x:v>
      </x:c>
      <x:c r="F12" t="str">
        <x:v>vllm</x:v>
      </x:c>
      <x:c r="G12" s="19" t="n">
        <x:v>2</x:v>
      </x:c>
      <x:c r="H12" s="19" t="n">
        <x:v>1019</x:v>
      </x:c>
      <x:c r="I12" t="str">
        <x:v>gptoss120b, llama70b</x:v>
      </x:c>
      <x:c r="J12" s="25" t="n">
        <x:v>0.8837901187533116</x:v>
      </x:c>
      <x:c r="K12" s="25" t="n">
        <x:v>0.8970442191619984</x:v>
      </x:c>
      <x:c r="L12" s="25" t="n">
        <x:v>0.9102983195706852</x:v>
      </x:c>
      <x:c r="M12" t="str">
        <x:v>Medium</x:v>
      </x:c>
    </x:row>
    <x:row r="13">
      <x:c r="A13" t="str">
        <x:v>B300</x:v>
      </x:c>
      <x:c r="B13" t="str">
        <x:v>long</x:v>
      </x:c>
      <x:c r="C13" t="str">
        <x:v>fp4</x:v>
      </x:c>
      <x:c r="D13" t="str">
        <x:v>none</x:v>
      </x:c>
      <x:c r="E13" t="str">
        <x:v>sglang</x:v>
      </x:c>
      <x:c r="F13" t="str">
        <x:v>vllm</x:v>
      </x:c>
      <x:c r="G13" s="19" t="n">
        <x:v>1</x:v>
      </x:c>
      <x:c r="H13" s="19" t="n">
        <x:v>7</x:v>
      </x:c>
      <x:c r="I13" t="str">
        <x:v>dsv4</x:v>
      </x:c>
      <x:c r="J13" s="25" t="n">
        <x:v>1.038992998795135</x:v>
      </x:c>
      <x:c r="K13" s="25" t="n">
        <x:v>1.038992998795135</x:v>
      </x:c>
      <x:c r="L13" s="25" t="n">
        <x:v>1.038992998795135</x:v>
      </x:c>
      <x:c r="M13" t="str">
        <x:v>Low</x:v>
      </x:c>
    </x:row>
    <x:row r="14">
      <x:c r="A14" t="str">
        <x:v>B300</x:v>
      </x:c>
      <x:c r="B14" t="str">
        <x:v>short</x:v>
      </x:c>
      <x:c r="C14" t="str">
        <x:v>fp4</x:v>
      </x:c>
      <x:c r="D14" t="str">
        <x:v>none</x:v>
      </x:c>
      <x:c r="E14" t="str">
        <x:v>sglang</x:v>
      </x:c>
      <x:c r="F14" t="str">
        <x:v>vllm</x:v>
      </x:c>
      <x:c r="G14" s="19" t="n">
        <x:v>1</x:v>
      </x:c>
      <x:c r="H14" s="19" t="n">
        <x:v>7</x:v>
      </x:c>
      <x:c r="I14" t="str">
        <x:v>dsv4</x:v>
      </x:c>
      <x:c r="J14" s="25" t="n">
        <x:v>1.0487802693742316</x:v>
      </x:c>
      <x:c r="K14" s="25" t="n">
        <x:v>1.0487802693742316</x:v>
      </x:c>
      <x:c r="L14" s="25" t="n">
        <x:v>1.0487802693742316</x:v>
      </x:c>
      <x:c r="M14" t="str">
        <x:v>Low</x:v>
      </x:c>
    </x:row>
    <x:row r="15">
      <x:c r="A15" t="str">
        <x:v>H200</x:v>
      </x:c>
      <x:c r="B15" t="str">
        <x:v>long</x:v>
      </x:c>
      <x:c r="C15" t="str">
        <x:v>fp8</x:v>
      </x:c>
      <x:c r="D15" t="str">
        <x:v>none</x:v>
      </x:c>
      <x:c r="E15" t="str">
        <x:v>sglang</x:v>
      </x:c>
      <x:c r="F15" t="str">
        <x:v>trt</x:v>
      </x:c>
      <x:c r="G15" s="19" t="n">
        <x:v>1</x:v>
      </x:c>
      <x:c r="H15" s="19" t="n">
        <x:v>74</x:v>
      </x:c>
      <x:c r="I15" t="str">
        <x:v>dsr1</x:v>
      </x:c>
      <x:c r="J15" s="25" t="n">
        <x:v>0.9234536658021335</x:v>
      </x:c>
      <x:c r="K15" s="25" t="n">
        <x:v>0.9234536658021335</x:v>
      </x:c>
      <x:c r="L15" s="25" t="n">
        <x:v>0.9234536658021335</x:v>
      </x:c>
      <x:c r="M15" t="str">
        <x:v>Low</x:v>
      </x:c>
    </x:row>
    <x:row r="16">
      <x:c r="A16" t="str">
        <x:v>H200</x:v>
      </x:c>
      <x:c r="B16" t="str">
        <x:v>long</x:v>
      </x:c>
      <x:c r="C16" t="str">
        <x:v>fp8</x:v>
      </x:c>
      <x:c r="D16" t="str">
        <x:v>none</x:v>
      </x:c>
      <x:c r="E16" t="str">
        <x:v>sglang</x:v>
      </x:c>
      <x:c r="F16" t="str">
        <x:v>vllm</x:v>
      </x:c>
      <x:c r="G16" s="19" t="n">
        <x:v>1</x:v>
      </x:c>
      <x:c r="H16" s="19" t="n">
        <x:v>6</x:v>
      </x:c>
      <x:c r="I16" t="str">
        <x:v>dsv4</x:v>
      </x:c>
      <x:c r="J16" s="25" t="n">
        <x:v>0.839507180640222</x:v>
      </x:c>
      <x:c r="K16" s="25" t="n">
        <x:v>0.839507180640222</x:v>
      </x:c>
      <x:c r="L16" s="25" t="n">
        <x:v>0.839507180640222</x:v>
      </x:c>
      <x:c r="M16" t="str">
        <x:v>Low</x:v>
      </x:c>
    </x:row>
    <x:row r="17">
      <x:c r="A17" t="str">
        <x:v>H200</x:v>
      </x:c>
      <x:c r="B17" t="str">
        <x:v>long</x:v>
      </x:c>
      <x:c r="C17" t="str">
        <x:v>fp8</x:v>
      </x:c>
      <x:c r="D17" t="str">
        <x:v>mtp</x:v>
      </x:c>
      <x:c r="E17" t="str">
        <x:v>sglang</x:v>
      </x:c>
      <x:c r="F17" t="str">
        <x:v>vllm</x:v>
      </x:c>
      <x:c r="G17" s="19" t="n">
        <x:v>1</x:v>
      </x:c>
      <x:c r="H17" s="19" t="n">
        <x:v>6</x:v>
      </x:c>
      <x:c r="I17" t="str">
        <x:v>dsv4</x:v>
      </x:c>
      <x:c r="J17" s="25" t="n">
        <x:v>0.7280493098182148</x:v>
      </x:c>
      <x:c r="K17" s="25" t="n">
        <x:v>0.7280493098182148</x:v>
      </x:c>
      <x:c r="L17" s="25" t="n">
        <x:v>0.7280493098182148</x:v>
      </x:c>
      <x:c r="M17" t="str">
        <x:v>Low</x:v>
      </x:c>
    </x:row>
    <x:row r="18">
      <x:c r="A18" t="str">
        <x:v>H200</x:v>
      </x:c>
      <x:c r="B18" t="str">
        <x:v>long</x:v>
      </x:c>
      <x:c r="C18" t="str">
        <x:v>fp8</x:v>
      </x:c>
      <x:c r="D18" t="str">
        <x:v>none</x:v>
      </x:c>
      <x:c r="E18" t="str">
        <x:v>trt</x:v>
      </x:c>
      <x:c r="F18" t="str">
        <x:v>vllm</x:v>
      </x:c>
      <x:c r="G18" s="19" t="n">
        <x:v>1</x:v>
      </x:c>
      <x:c r="H18" s="19" t="n">
        <x:v>206</x:v>
      </x:c>
      <x:c r="I18" t="str">
        <x:v>llama70b</x:v>
      </x:c>
      <x:c r="J18" s="25" t="n">
        <x:v>0.8385710760534675</x:v>
      </x:c>
      <x:c r="K18" s="25" t="n">
        <x:v>0.8385710760534675</x:v>
      </x:c>
      <x:c r="L18" s="25" t="n">
        <x:v>0.8385710760534675</x:v>
      </x:c>
      <x:c r="M18" t="str">
        <x:v>Low</x:v>
      </x:c>
    </x:row>
    <x:row r="19">
      <x:c r="A19" t="str">
        <x:v>H200</x:v>
      </x:c>
      <x:c r="B19" t="str">
        <x:v>long</x:v>
      </x:c>
      <x:c r="C19" t="str">
        <x:v>fp4</x:v>
      </x:c>
      <x:c r="D19" t="str">
        <x:v>none</x:v>
      </x:c>
      <x:c r="E19" t="str">
        <x:v>trt</x:v>
      </x:c>
      <x:c r="F19" t="str">
        <x:v>vllm</x:v>
      </x:c>
      <x:c r="G19" s="19" t="n">
        <x:v>1</x:v>
      </x:c>
      <x:c r="H19" s="19" t="n">
        <x:v>494</x:v>
      </x:c>
      <x:c r="I19" t="str">
        <x:v>gptoss120b</x:v>
      </x:c>
      <x:c r="J19" s="25" t="n">
        <x:v>0.9344265653807575</x:v>
      </x:c>
      <x:c r="K19" s="25" t="n">
        <x:v>0.9344265653807575</x:v>
      </x:c>
      <x:c r="L19" s="25" t="n">
        <x:v>0.9344265653807575</x:v>
      </x:c>
      <x:c r="M19" t="str">
        <x:v>Low</x:v>
      </x:c>
    </x:row>
    <x:row r="20">
      <x:c r="A20" t="str">
        <x:v>H200</x:v>
      </x:c>
      <x:c r="B20" t="str">
        <x:v>short</x:v>
      </x:c>
      <x:c r="C20" t="str">
        <x:v>fp8</x:v>
      </x:c>
      <x:c r="D20" t="str">
        <x:v>none</x:v>
      </x:c>
      <x:c r="E20" t="str">
        <x:v>sglang</x:v>
      </x:c>
      <x:c r="F20" t="str">
        <x:v>trt</x:v>
      </x:c>
      <x:c r="G20" s="19" t="n">
        <x:v>1</x:v>
      </x:c>
      <x:c r="H20" s="19" t="n">
        <x:v>75</x:v>
      </x:c>
      <x:c r="I20" t="str">
        <x:v>dsr1</x:v>
      </x:c>
      <x:c r="J20" s="25" t="n">
        <x:v>0.9039402118248876</x:v>
      </x:c>
      <x:c r="K20" s="25" t="n">
        <x:v>0.9039402118248876</x:v>
      </x:c>
      <x:c r="L20" s="25" t="n">
        <x:v>0.9039402118248876</x:v>
      </x:c>
      <x:c r="M20" t="str">
        <x:v>Low</x:v>
      </x:c>
    </x:row>
    <x:row r="21">
      <x:c r="A21" t="str">
        <x:v>H200</x:v>
      </x:c>
      <x:c r="B21" t="str">
        <x:v>short</x:v>
      </x:c>
      <x:c r="C21" t="str">
        <x:v>fp8</x:v>
      </x:c>
      <x:c r="D21" t="str">
        <x:v>none</x:v>
      </x:c>
      <x:c r="E21" t="str">
        <x:v>sglang</x:v>
      </x:c>
      <x:c r="F21" t="str">
        <x:v>vllm</x:v>
      </x:c>
      <x:c r="G21" s="19" t="n">
        <x:v>1</x:v>
      </x:c>
      <x:c r="H21" s="19" t="n">
        <x:v>6</x:v>
      </x:c>
      <x:c r="I21" t="str">
        <x:v>dsv4</x:v>
      </x:c>
      <x:c r="J21" s="25" t="n">
        <x:v>1.0508843659323275</x:v>
      </x:c>
      <x:c r="K21" s="25" t="n">
        <x:v>1.0508843659323275</x:v>
      </x:c>
      <x:c r="L21" s="25" t="n">
        <x:v>1.0508843659323275</x:v>
      </x:c>
      <x:c r="M21" t="str">
        <x:v>Low</x:v>
      </x:c>
    </x:row>
    <x:row r="22">
      <x:c r="A22" t="str">
        <x:v>H200</x:v>
      </x:c>
      <x:c r="B22" t="str">
        <x:v>short</x:v>
      </x:c>
      <x:c r="C22" t="str">
        <x:v>fp8</x:v>
      </x:c>
      <x:c r="D22" t="str">
        <x:v>mtp</x:v>
      </x:c>
      <x:c r="E22" t="str">
        <x:v>sglang</x:v>
      </x:c>
      <x:c r="F22" t="str">
        <x:v>vllm</x:v>
      </x:c>
      <x:c r="G22" s="19" t="n">
        <x:v>1</x:v>
      </x:c>
      <x:c r="H22" s="19" t="n">
        <x:v>6</x:v>
      </x:c>
      <x:c r="I22" t="str">
        <x:v>dsv4</x:v>
      </x:c>
      <x:c r="J22" s="25" t="n">
        <x:v>0.9879886727484803</x:v>
      </x:c>
      <x:c r="K22" s="25" t="n">
        <x:v>0.9879886727484803</x:v>
      </x:c>
      <x:c r="L22" s="25" t="n">
        <x:v>0.9879886727484803</x:v>
      </x:c>
      <x:c r="M22" t="str">
        <x:v>Low</x:v>
      </x:c>
    </x:row>
    <x:row r="23">
      <x:c r="A23" t="str">
        <x:v>H200</x:v>
      </x:c>
      <x:c r="B23" t="str">
        <x:v>short</x:v>
      </x:c>
      <x:c r="C23" t="str">
        <x:v>fp8</x:v>
      </x:c>
      <x:c r="D23" t="str">
        <x:v>none</x:v>
      </x:c>
      <x:c r="E23" t="str">
        <x:v>trt</x:v>
      </x:c>
      <x:c r="F23" t="str">
        <x:v>vllm</x:v>
      </x:c>
      <x:c r="G23" s="19" t="n">
        <x:v>1</x:v>
      </x:c>
      <x:c r="H23" s="19" t="n">
        <x:v>229</x:v>
      </x:c>
      <x:c r="I23" t="str">
        <x:v>llama70b</x:v>
      </x:c>
      <x:c r="J23" s="25" t="n">
        <x:v>0.8463534218508687</x:v>
      </x:c>
      <x:c r="K23" s="25" t="n">
        <x:v>0.8463534218508687</x:v>
      </x:c>
      <x:c r="L23" s="25" t="n">
        <x:v>0.8463534218508687</x:v>
      </x:c>
      <x:c r="M23" t="str">
        <x:v>Low</x:v>
      </x:c>
    </x:row>
    <x:row r="24">
      <x:c r="A24" t="str">
        <x:v>H200</x:v>
      </x:c>
      <x:c r="B24" t="str">
        <x:v>short</x:v>
      </x:c>
      <x:c r="C24" t="str">
        <x:v>fp4</x:v>
      </x:c>
      <x:c r="D24" t="str">
        <x:v>none</x:v>
      </x:c>
      <x:c r="E24" t="str">
        <x:v>trt</x:v>
      </x:c>
      <x:c r="F24" t="str">
        <x:v>vllm</x:v>
      </x:c>
      <x:c r="G24" s="19" t="n">
        <x:v>1</x:v>
      </x:c>
      <x:c r="H24" s="19" t="n">
        <x:v>334</x:v>
      </x:c>
      <x:c r="I24" t="str">
        <x:v>gptoss120b</x:v>
      </x:c>
      <x:c r="J24" s="25" t="n">
        <x:v>1.0724436598635785</x:v>
      </x:c>
      <x:c r="K24" s="25" t="n">
        <x:v>1.0724436598635785</x:v>
      </x:c>
      <x:c r="L24" s="25" t="n">
        <x:v>1.0724436598635785</x:v>
      </x:c>
      <x:c r="M24" t="str">
        <x:v>Low</x:v>
      </x:c>
    </x:row>
    <x:row r="25">
      <x:c r="A25" t="str">
        <x:v>mi355x</x:v>
      </x:c>
      <x:c r="B25" t="str">
        <x:v>long</x:v>
      </x:c>
      <x:c r="C25" t="str">
        <x:v>fp4</x:v>
      </x:c>
      <x:c r="D25" t="str">
        <x:v>mtp</x:v>
      </x:c>
      <x:c r="E25" t="str">
        <x:v>atom</x:v>
      </x:c>
      <x:c r="F25" t="str">
        <x:v>sglang</x:v>
      </x:c>
      <x:c r="G25" s="19" t="n">
        <x:v>2</x:v>
      </x:c>
      <x:c r="H25" s="19" t="n">
        <x:v>11</x:v>
      </x:c>
      <x:c r="I25" t="str">
        <x:v>dsr1, dsv4</x:v>
      </x:c>
      <x:c r="J25" s="25" t="n">
        <x:v>0.752345067470554</x:v>
      </x:c>
      <x:c r="K25" s="25" t="n">
        <x:v>0.8945185408716223</x:v>
      </x:c>
      <x:c r="L25" s="25" t="n">
        <x:v>1.0366920142726905</x:v>
      </x:c>
      <x:c r="M25" t="str">
        <x:v>Medium</x:v>
      </x:c>
    </x:row>
    <x:row r="26">
      <x:c r="A26" t="str">
        <x:v>mi355x</x:v>
      </x:c>
      <x:c r="B26" t="str">
        <x:v>long</x:v>
      </x:c>
      <x:c r="C26" t="str">
        <x:v>fp4</x:v>
      </x:c>
      <x:c r="D26" t="str">
        <x:v>mtp</x:v>
      </x:c>
      <x:c r="E26" t="str">
        <x:v>atom</x:v>
      </x:c>
      <x:c r="F26" t="str">
        <x:v>vllm</x:v>
      </x:c>
      <x:c r="G26" s="19" t="n">
        <x:v>1</x:v>
      </x:c>
      <x:c r="H26" s="19" t="n">
        <x:v>7</x:v>
      </x:c>
      <x:c r="I26" t="str">
        <x:v>minimaxm3</x:v>
      </x:c>
      <x:c r="J26" s="25" t="n">
        <x:v>0.3991137962721801</x:v>
      </x:c>
      <x:c r="K26" s="25" t="n">
        <x:v>0.3991137962721801</x:v>
      </x:c>
      <x:c r="L26" s="25" t="n">
        <x:v>0.3991137962721801</x:v>
      </x:c>
      <x:c r="M26" t="str">
        <x:v>Low</x:v>
      </x:c>
    </x:row>
    <x:row r="27">
      <x:c r="A27" t="str">
        <x:v>mi355x</x:v>
      </x:c>
      <x:c r="B27" t="str">
        <x:v>long</x:v>
      </x:c>
      <x:c r="C27" t="str">
        <x:v>fp8</x:v>
      </x:c>
      <x:c r="D27" t="str">
        <x:v>mtp</x:v>
      </x:c>
      <x:c r="E27" t="str">
        <x:v>atom</x:v>
      </x:c>
      <x:c r="F27" t="str">
        <x:v>vllm</x:v>
      </x:c>
      <x:c r="G27" s="19" t="n">
        <x:v>1</x:v>
      </x:c>
      <x:c r="H27" s="19" t="n">
        <x:v>7</x:v>
      </x:c>
      <x:c r="I27" t="str">
        <x:v>minimaxm3</x:v>
      </x:c>
      <x:c r="J27" s="25" t="n">
        <x:v>0.47321721404600736</x:v>
      </x:c>
      <x:c r="K27" s="25" t="n">
        <x:v>0.47321721404600736</x:v>
      </x:c>
      <x:c r="L27" s="25" t="n">
        <x:v>0.47321721404600736</x:v>
      </x:c>
      <x:c r="M27" t="str">
        <x:v>Low</x:v>
      </x:c>
    </x:row>
    <x:row r="28">
      <x:c r="A28" t="str">
        <x:v>mi355x</x:v>
      </x:c>
      <x:c r="B28" t="str">
        <x:v>long</x:v>
      </x:c>
      <x:c r="C28" t="str">
        <x:v>fp8</x:v>
      </x:c>
      <x:c r="D28" t="str">
        <x:v>none</x:v>
      </x:c>
      <x:c r="E28" t="str">
        <x:v>atom</x:v>
      </x:c>
      <x:c r="F28" t="str">
        <x:v>vllm</x:v>
      </x:c>
      <x:c r="G28" s="19" t="n">
        <x:v>1</x:v>
      </x:c>
      <x:c r="H28" s="19" t="n">
        <x:v>8</x:v>
      </x:c>
      <x:c r="I28" t="str">
        <x:v>minimaxm3</x:v>
      </x:c>
      <x:c r="J28" s="25" t="n">
        <x:v>0.5220171560650932</x:v>
      </x:c>
      <x:c r="K28" s="25" t="n">
        <x:v>0.5220171560650932</x:v>
      </x:c>
      <x:c r="L28" s="25" t="n">
        <x:v>0.5220171560650932</x:v>
      </x:c>
      <x:c r="M28" t="str">
        <x:v>Low</x:v>
      </x:c>
    </x:row>
    <x:row r="29">
      <x:c r="A29" t="str">
        <x:v>mi355x</x:v>
      </x:c>
      <x:c r="B29" t="str">
        <x:v>long</x:v>
      </x:c>
      <x:c r="C29" t="str">
        <x:v>fp4</x:v>
      </x:c>
      <x:c r="D29" t="str">
        <x:v>none</x:v>
      </x:c>
      <x:c r="E29" t="str">
        <x:v>atom</x:v>
      </x:c>
      <x:c r="F29" t="str">
        <x:v>vllm</x:v>
      </x:c>
      <x:c r="G29" s="19" t="n">
        <x:v>1</x:v>
      </x:c>
      <x:c r="H29" s="19" t="n">
        <x:v>5</x:v>
      </x:c>
      <x:c r="I29" t="str">
        <x:v>dsv4</x:v>
      </x:c>
      <x:c r="J29" s="25" t="n">
        <x:v>0.6366139518621856</x:v>
      </x:c>
      <x:c r="K29" s="25" t="n">
        <x:v>0.6366139518621856</x:v>
      </x:c>
      <x:c r="L29" s="25" t="n">
        <x:v>0.6366139518621856</x:v>
      </x:c>
      <x:c r="M29" t="str">
        <x:v>Low</x:v>
      </x:c>
    </x:row>
    <x:row r="30">
      <x:c r="A30" t="str">
        <x:v>mi355x</x:v>
      </x:c>
      <x:c r="B30" t="str">
        <x:v>long</x:v>
      </x:c>
      <x:c r="C30" t="str">
        <x:v>fp4</x:v>
      </x:c>
      <x:c r="D30" t="str">
        <x:v>none</x:v>
      </x:c>
      <x:c r="E30" t="str">
        <x:v>sglang</x:v>
      </x:c>
      <x:c r="F30" t="str">
        <x:v>vllm</x:v>
      </x:c>
      <x:c r="G30" s="19" t="n">
        <x:v>1</x:v>
      </x:c>
      <x:c r="H30" s="19" t="n">
        <x:v>9</x:v>
      </x:c>
      <x:c r="I30" t="str">
        <x:v>dsv4</x:v>
      </x:c>
      <x:c r="J30" s="25" t="n">
        <x:v>0.21751181415167994</x:v>
      </x:c>
      <x:c r="K30" s="25" t="n">
        <x:v>0.21751181415167994</x:v>
      </x:c>
      <x:c r="L30" s="25" t="n">
        <x:v>0.21751181415167994</x:v>
      </x:c>
      <x:c r="M30" t="str">
        <x:v>Low</x:v>
      </x:c>
    </x:row>
    <x:row r="31">
      <x:c r="A31" t="str">
        <x:v>mi355x</x:v>
      </x:c>
      <x:c r="B31" t="str">
        <x:v>short</x:v>
      </x:c>
      <x:c r="C31" t="str">
        <x:v>fp4</x:v>
      </x:c>
      <x:c r="D31" t="str">
        <x:v>mtp</x:v>
      </x:c>
      <x:c r="E31" t="str">
        <x:v>atom</x:v>
      </x:c>
      <x:c r="F31" t="str">
        <x:v>sglang</x:v>
      </x:c>
      <x:c r="G31" s="19" t="n">
        <x:v>2</x:v>
      </x:c>
      <x:c r="H31" s="19" t="n">
        <x:v>11</x:v>
      </x:c>
      <x:c r="I31" t="str">
        <x:v>dsr1, dsv4</x:v>
      </x:c>
      <x:c r="J31" s="25" t="n">
        <x:v>0.7809565222457051</x:v>
      </x:c>
      <x:c r="K31" s="25" t="n">
        <x:v>0.8557509967687447</x:v>
      </x:c>
      <x:c r="L31" s="25" t="n">
        <x:v>0.9305454712917842</x:v>
      </x:c>
      <x:c r="M31" t="str">
        <x:v>Medium</x:v>
      </x:c>
    </x:row>
    <x:row r="32">
      <x:c r="A32" t="str">
        <x:v>mi355x</x:v>
      </x:c>
      <x:c r="B32" t="str">
        <x:v>short</x:v>
      </x:c>
      <x:c r="C32" t="str">
        <x:v>fp4</x:v>
      </x:c>
      <x:c r="D32" t="str">
        <x:v>mtp</x:v>
      </x:c>
      <x:c r="E32" t="str">
        <x:v>atom</x:v>
      </x:c>
      <x:c r="F32" t="str">
        <x:v>vllm</x:v>
      </x:c>
      <x:c r="G32" s="19" t="n">
        <x:v>1</x:v>
      </x:c>
      <x:c r="H32" s="19" t="n">
        <x:v>7</x:v>
      </x:c>
      <x:c r="I32" t="str">
        <x:v>minimaxm3</x:v>
      </x:c>
      <x:c r="J32" s="25" t="n">
        <x:v>0.45486572627344024</x:v>
      </x:c>
      <x:c r="K32" s="25" t="n">
        <x:v>0.45486572627344024</x:v>
      </x:c>
      <x:c r="L32" s="25" t="n">
        <x:v>0.45486572627344024</x:v>
      </x:c>
      <x:c r="M32" t="str">
        <x:v>Low</x:v>
      </x:c>
    </x:row>
    <x:row r="33">
      <x:c r="A33" t="str">
        <x:v>mi355x</x:v>
      </x:c>
      <x:c r="B33" t="str">
        <x:v>short</x:v>
      </x:c>
      <x:c r="C33" t="str">
        <x:v>fp8</x:v>
      </x:c>
      <x:c r="D33" t="str">
        <x:v>mtp</x:v>
      </x:c>
      <x:c r="E33" t="str">
        <x:v>atom</x:v>
      </x:c>
      <x:c r="F33" t="str">
        <x:v>vllm</x:v>
      </x:c>
      <x:c r="G33" s="19" t="n">
        <x:v>1</x:v>
      </x:c>
      <x:c r="H33" s="19" t="n">
        <x:v>7</x:v>
      </x:c>
      <x:c r="I33" t="str">
        <x:v>minimaxm3</x:v>
      </x:c>
      <x:c r="J33" s="25" t="n">
        <x:v>0.5581305719251956</x:v>
      </x:c>
      <x:c r="K33" s="25" t="n">
        <x:v>0.5581305719251956</x:v>
      </x:c>
      <x:c r="L33" s="25" t="n">
        <x:v>0.5581305719251956</x:v>
      </x:c>
      <x:c r="M33" t="str">
        <x:v>Low</x:v>
      </x:c>
    </x:row>
    <x:row r="34">
      <x:c r="A34" t="str">
        <x:v>mi355x</x:v>
      </x:c>
      <x:c r="B34" t="str">
        <x:v>short</x:v>
      </x:c>
      <x:c r="C34" t="str">
        <x:v>fp8</x:v>
      </x:c>
      <x:c r="D34" t="str">
        <x:v>none</x:v>
      </x:c>
      <x:c r="E34" t="str">
        <x:v>atom</x:v>
      </x:c>
      <x:c r="F34" t="str">
        <x:v>vllm</x:v>
      </x:c>
      <x:c r="G34" s="19" t="n">
        <x:v>1</x:v>
      </x:c>
      <x:c r="H34" s="19" t="n">
        <x:v>7</x:v>
      </x:c>
      <x:c r="I34" t="str">
        <x:v>minimaxm3</x:v>
      </x:c>
      <x:c r="J34" s="25" t="n">
        <x:v>0.5235643792651543</x:v>
      </x:c>
      <x:c r="K34" s="25" t="n">
        <x:v>0.5235643792651543</x:v>
      </x:c>
      <x:c r="L34" s="25" t="n">
        <x:v>0.5235643792651543</x:v>
      </x:c>
      <x:c r="M34" t="str">
        <x:v>Low</x:v>
      </x:c>
    </x:row>
    <x:row r="35">
      <x:c r="A35" t="str">
        <x:v>mi355x</x:v>
      </x:c>
      <x:c r="B35" t="str">
        <x:v>short</x:v>
      </x:c>
      <x:c r="C35" t="str">
        <x:v>fp4</x:v>
      </x:c>
      <x:c r="D35" t="str">
        <x:v>none</x:v>
      </x:c>
      <x:c r="E35" t="str">
        <x:v>atom</x:v>
      </x:c>
      <x:c r="F35" t="str">
        <x:v>vllm</x:v>
      </x:c>
      <x:c r="G35" s="19" t="n">
        <x:v>1</x:v>
      </x:c>
      <x:c r="H35" s="19" t="n">
        <x:v>5</x:v>
      </x:c>
      <x:c r="I35" t="str">
        <x:v>dsv4</x:v>
      </x:c>
      <x:c r="J35" s="25" t="n">
        <x:v>0.6241336343552607</x:v>
      </x:c>
      <x:c r="K35" s="25" t="n">
        <x:v>0.6241336343552607</x:v>
      </x:c>
      <x:c r="L35" s="25" t="n">
        <x:v>0.6241336343552607</x:v>
      </x:c>
      <x:c r="M35" t="str">
        <x:v>Low</x:v>
      </x:c>
    </x:row>
    <x:row r="36">
      <x:c r="A36" t="str">
        <x:v>mi355x</x:v>
      </x:c>
      <x:c r="B36" t="str">
        <x:v>short</x:v>
      </x:c>
      <x:c r="C36" t="str">
        <x:v>fp4</x:v>
      </x:c>
      <x:c r="D36" t="str">
        <x:v>none</x:v>
      </x:c>
      <x:c r="E36" t="str">
        <x:v>sglang</x:v>
      </x:c>
      <x:c r="F36" t="str">
        <x:v>vllm</x:v>
      </x:c>
      <x:c r="G36" s="19" t="n">
        <x:v>1</x:v>
      </x:c>
      <x:c r="H36" s="19" t="n">
        <x:v>9</x:v>
      </x:c>
      <x:c r="I36" t="str">
        <x:v>dsv4</x:v>
      </x:c>
      <x:c r="J36" s="25" t="n">
        <x:v>0.13669787240523928</x:v>
      </x:c>
      <x:c r="K36" s="25" t="n">
        <x:v>0.13669787240523928</x:v>
      </x:c>
      <x:c r="L36" s="25" t="n">
        <x:v>0.13669787240523928</x:v>
      </x:c>
      <x:c r="M36" t="str">
        <x:v>Low</x:v>
      </x:c>
    </x:row>
  </x:sheetData>
  <x:mergeCells>
    <x:mergeCell ref="A1:M1"/>
    <x:mergeCell ref="A2:M2"/>
  </x:mergeCells>
  <x:conditionalFormatting sqref="M5:M36">
    <x:cfRule type="containsText" dxfId="8" priority="1" operator="containsText" text="High"/>
    <x:cfRule type="containsText" dxfId="9" priority="2" operator="containsText" text="Medium"/>
    <x:cfRule type="containsText" dxfId="10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2fb93c7a7594d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  <x:col min="3" max="3" width="18" hidden="0" customWidth="1"/>
    <x:col min="4" max="4" width="46" hidden="0" customWidth="1"/>
  </x:cols>
  <x:sheetData>
    <x:row r="1" ht="30" customHeight="1">
      <x:c r="A1" s="3" t="str">
        <x:v>Definitions and Audit Rules</x:v>
      </x:c>
      <x:c r="B1" s="3"/>
      <x:c r="C1" s="3"/>
      <x:c r="D1" s="3"/>
    </x:row>
    <x:row r="2" ht="34" customHeight="1">
      <x:c r="A2" s="7" t="str">
        <x:v>The workbook is a review artifact only. No production workbook or generator was modified.</x:v>
      </x:c>
      <x:c r="B2" s="7"/>
      <x:c r="C2" s="7"/>
      <x:c r="D2" s="7"/>
    </x:row>
    <x:row r="4" ht="30" customHeight="1">
      <x:c r="A4" s="16" t="str">
        <x:v>Term</x:v>
      </x:c>
      <x:c r="B4" s="17" t="str">
        <x:v>Definition / Value</x:v>
      </x:c>
      <x:c r="C4" s="17" t="str">
        <x:v>Type</x:v>
      </x:c>
      <x:c r="D4" s="18" t="str">
        <x:v>Audit Note</x:v>
      </x:c>
    </x:row>
    <x:row r="5">
      <x:c r="A5" t="str">
        <x:v>Source DB</x:v>
      </x:c>
      <x:c r="B5" s="23" t="str">
        <x:v>/Users/idongseong/Documents/New project/llm_token_capacity_project/data/inferencex/inferencex_benchmark.sqlite</x:v>
      </x:c>
      <x:c r="C5" t="str">
        <x:v>Read-only</x:v>
      </x:c>
      <x:c r="D5" s="23" t="str">
        <x:v>InferenceX benchmark_results</x:v>
      </x:c>
    </x:row>
    <x:row r="6">
      <x:c r="A6" t="str">
        <x:v>Proxy models</x:v>
      </x:c>
      <x:c r="B6" s="23" t="str">
        <x:v>DeepSeek V4 Pro (dsv4), Kimi K2.5 (kimik2.5), MiniMax M3 (minimaxm3), GLM 5.2 (glm5.2), Qwen 3.5 (qwen3.5)</x:v>
      </x:c>
      <x:c r="C6" t="str">
        <x:v>Scope</x:v>
      </x:c>
      <x:c r="D6" s="23" t="str">
        <x:v>Five requested proxies</x:v>
      </x:c>
    </x:row>
    <x:row r="7">
      <x:c r="A7" t="str">
        <x:v>Target GPUs</x:v>
      </x:c>
      <x:c r="B7" s="23" t="str">
        <x:v>H200, B200, B300, GB200, GB300, R200, VR200, R300, VR300, Post Rubin</x:v>
      </x:c>
      <x:c r="C7" t="str">
        <x:v>Scope</x:v>
      </x:c>
      <x:c r="D7" s="23" t="str">
        <x:v>Five direct + five future scenarios</x:v>
      </x:c>
    </x:row>
    <x:row r="8">
      <x:c r="A8" t="str">
        <x:v>Short</x:v>
      </x:c>
      <x:c r="B8" s="23" t="str">
        <x:v>single_turn, ISL=1024, OSL=1024</x:v>
      </x:c>
      <x:c r="C8" t="str">
        <x:v>Workload</x:v>
      </x:c>
      <x:c r="D8" s="23" t="str">
        <x:v>Exact workload definition</x:v>
      </x:c>
    </x:row>
    <x:row r="9">
      <x:c r="A9" t="str">
        <x:v>Long</x:v>
      </x:c>
      <x:c r="B9" s="23" t="str">
        <x:v>single_turn, ISL=8192, OSL=1024</x:v>
      </x:c>
      <x:c r="C9" t="str">
        <x:v>Workload</x:v>
      </x:c>
      <x:c r="D9" s="23" t="str">
        <x:v>Exact workload definition</x:v>
      </x:c>
    </x:row>
    <x:row r="10">
      <x:c r="A10" t="str">
        <x:v>Agentic</x:v>
      </x:c>
      <x:c r="B10" s="23" t="str">
        <x:v>benchmark_type=agentic_traces</x:v>
      </x:c>
      <x:c r="C10" t="str">
        <x:v>Workload</x:v>
      </x:c>
      <x:c r="D10" s="23" t="str">
        <x:v>Direct agentic traces only</x:v>
      </x:c>
    </x:row>
    <x:row r="11">
      <x:c r="A11" t="str">
        <x:v>Pareto-eligible</x:v>
      </x:c>
      <x:c r="B11" s="23" t="str">
        <x:v>tok_s_user &gt;= target</x:v>
      </x:c>
      <x:c r="C11" t="str">
        <x:v>Selection</x:v>
      </x:c>
      <x:c r="D11" s="23" t="str">
        <x:v>Highest output_tok_s_mw among eligible observations</x:v>
      </x:c>
    </x:row>
    <x:row r="12">
      <x:c r="A12" t="str">
        <x:v>Preferred framework</x:v>
      </x:c>
      <x:c r="B12" s="23" t="str">
        <x:v>Max workload coverage → target coverage → distinct concurrency → row count</x:v>
      </x:c>
      <x:c r="C12" t="str">
        <x:v>Review heuristic</x:v>
      </x:c>
      <x:c r="D12" s="23" t="str">
        <x:v>Not yet a production decision</x:v>
      </x:c>
    </x:row>
    <x:row r="13">
      <x:c r="A13" t="str">
        <x:v>DIRECT_PREFERRED</x:v>
      </x:c>
      <x:c r="B13" s="23" t="str">
        <x:v>Direct observation exists in the provisional preferred framework</x:v>
      </x:c>
      <x:c r="C13" t="str">
        <x:v>Status</x:v>
      </x:c>
      <x:c r="D13" s="23" t="str">
        <x:v>Highest direct confidence</x:v>
      </x:c>
    </x:row>
    <x:row r="14">
      <x:c r="A14" t="str">
        <x:v>DIRECT_OTHER_FRAMEWORK</x:v>
      </x:c>
      <x:c r="B14" s="23" t="str">
        <x:v>Direct observation exists only in another framework</x:v>
      </x:c>
      <x:c r="C14" t="str">
        <x:v>Status</x:v>
      </x:c>
      <x:c r="D14" s="23" t="str">
        <x:v>Framework selection needs review</x:v>
      </x:c>
    </x:row>
    <x:row r="15">
      <x:c r="A15" t="str">
        <x:v>*_CANDIDATE</x:v>
      </x:c>
      <x:c r="B15" s="23" t="str">
        <x:v>Same-model workload anchor exists</x:v>
      </x:c>
      <x:c r="C15" t="str">
        <x:v>Status</x:v>
      </x:c>
      <x:c r="D15" s="23" t="str">
        <x:v>Matched workload coefficient may fill the gap</x:v>
      </x:c>
    </x:row>
    <x:row r="16">
      <x:c r="A16" t="str">
        <x:v>CROSS_MODEL_RATIO_REQUIRED</x:v>
      </x:c>
      <x:c r="B16" s="23" t="str">
        <x:v>No same-model eligible anchor</x:v>
      </x:c>
      <x:c r="C16" t="str">
        <x:v>Status</x:v>
      </x:c>
      <x:c r="D16" s="23" t="str">
        <x:v>Requires model-balanced external evidence</x:v>
      </x:c>
    </x:row>
    <x:row r="17">
      <x:c r="A17" t="str">
        <x:v>GPU_SCALING_REQUIRED</x:v>
      </x:c>
      <x:c r="B17" s="23" t="str">
        <x:v>No direct InferenceX benchmark for future GPU</x:v>
      </x:c>
      <x:c r="C17" t="str">
        <x:v>Status</x:v>
      </x:c>
      <x:c r="D17" s="23" t="str">
        <x:v>Separate HBM/power scaling layer</x:v>
      </x:c>
    </x:row>
    <x:row r="18">
      <x:c r="A18" t="str">
        <x:v>Workload ratio</x:v>
      </x:c>
      <x:c r="B18" s="23" t="str">
        <x:v>short TPS/MW ÷ long TPS/MW</x:v>
      </x:c>
      <x:c r="C18" t="str">
        <x:v>Coefficient</x:v>
      </x:c>
      <x:c r="D18" s="23" t="str">
        <x:v>Only identical configuration pairs</x:v>
      </x:c>
    </x:row>
    <x:row r="19">
      <x:c r="A19" t="str">
        <x:v>Framework ratio</x:v>
      </x:c>
      <x:c r="B19" s="23" t="str">
        <x:v>Framework To TPS/MW ÷ Framework From TPS/MW</x:v>
      </x:c>
      <x:c r="C19" t="str">
        <x:v>Coefficient</x:v>
      </x:c>
      <x:c r="D19" s="23" t="str">
        <x:v>Only identical configuration pairs</x:v>
      </x:c>
    </x:row>
    <x:row r="20">
      <x:c r="A20" t="str">
        <x:v>Model weighting</x:v>
      </x:c>
      <x:c r="B20" s="23" t="str">
        <x:v>One median per model before all-model P10/P50/P90</x:v>
      </x:c>
      <x:c r="C20" t="str">
        <x:v>Aggregation</x:v>
      </x:c>
      <x:c r="D20" s="23" t="str">
        <x:v>Prevents dense benchmark sweeps from dominating</x:v>
      </x:c>
    </x:row>
    <x:row r="21">
      <x:c r="A21" t="str">
        <x:v>Confidence High</x:v>
      </x:c>
      <x:c r="B21" s="23" t="str">
        <x:v>≥3 models, ≥20 pairs, P90/P10 ≤1.5</x:v>
      </x:c>
      <x:c r="C21" t="str">
        <x:v>Ratio audit</x:v>
      </x:c>
      <x:c r="D21" s="23" t="str">
        <x:v>Provisional review threshold</x:v>
      </x:c>
    </x:row>
    <x:row r="22">
      <x:c r="A22" t="str">
        <x:v>Confidence Medium</x:v>
      </x:c>
      <x:c r="B22" s="23" t="str">
        <x:v>≥2 models, ≥8 pairs, P90/P10 ≤2.0</x:v>
      </x:c>
      <x:c r="C22" t="str">
        <x:v>Ratio audit</x:v>
      </x:c>
      <x:c r="D22" s="23" t="str">
        <x:v>Provisional review threshold</x:v>
      </x:c>
    </x:row>
    <x:row r="23">
      <x:c r="A23" t="str">
        <x:v>Confidence Low</x:v>
      </x:c>
      <x:c r="B23" s="23" t="str">
        <x:v>Anything below Medium</x:v>
      </x:c>
      <x:c r="C23" t="str">
        <x:v>Ratio audit</x:v>
      </x:c>
      <x:c r="D23" s="23" t="str">
        <x:v>Do not use without review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c795171277d466d"/>
  </x:tableParts>
</x:worksheet>
</file>