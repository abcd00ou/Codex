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xmlns:r="http://schemas.openxmlformats.org/officeDocument/2006/relationships" name="00_Logic" sheetId="1" state="visible" r:id="rId1"/>
    <sheet xmlns:r="http://schemas.openxmlformats.org/officeDocument/2006/relationships" name="01_Benchmark_Input" sheetId="2" state="visible" r:id="rId2"/>
    <sheet xmlns:r="http://schemas.openxmlformats.org/officeDocument/2006/relationships" name="02_Inputs" sheetId="3" state="visible" r:id="rId3"/>
    <sheet xmlns:r="http://schemas.openxmlformats.org/officeDocument/2006/relationships" name="02_GPU_Mix_Input" sheetId="4" state="visible" r:id="rId4"/>
    <sheet xmlns:r="http://schemas.openxmlformats.org/officeDocument/2006/relationships" name="03_Calculation" sheetId="5" state="visible" r:id="rId5"/>
    <sheet xmlns:r="http://schemas.openxmlformats.org/officeDocument/2006/relationships" name="04_Output" sheetId="6" state="visible" r:id="rId6"/>
    <sheet xmlns:r="http://schemas.openxmlformats.org/officeDocument/2006/relationships" name="05_Checks" sheetId="7" state="visible" r:id="rId7"/>
    <sheet xmlns:r="http://schemas.openxmlformats.org/officeDocument/2006/relationships" name="06_Aggressive_View" sheetId="8" state="visible" r:id="rId8"/>
  </sheets>
  <definedNames>
    <definedName name="_xlnm._FilterDatabase" localSheetId="1" hidden="1">'01_Benchmark_Input'!$A$1:$M$10</definedName>
    <definedName name="_xlnm._FilterDatabase" localSheetId="2" hidden="1">'02_Inputs'!$A$1:$K$181</definedName>
    <definedName name="_xlnm._FilterDatabase" localSheetId="3" hidden="1">'02_GPU_Mix_Input'!$A$1:$H$181</definedName>
    <definedName name="_xlnm._FilterDatabase" localSheetId="4" hidden="1">'03_Calculation'!$A$1:$Z$181</definedName>
    <definedName name="_xlnm._FilterDatabase" localSheetId="6" hidden="1">'05_Checks'!$A$1:$C$8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00"/>
  </numFmts>
  <fonts count="7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14213D"/>
    </font>
    <font>
      <b val="1"/>
      <color rgb="00FFFFFF"/>
    </font>
    <font>
      <color rgb="000000FF"/>
    </font>
    <font>
      <b val="1"/>
      <color rgb="0014213D"/>
      <sz val="12"/>
    </font>
    <font>
      <b val="1"/>
      <color rgb="00006100"/>
    </font>
  </fonts>
  <fills count="7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EAF0F7"/>
      </patternFill>
    </fill>
    <fill>
      <patternFill patternType="solid">
        <fgColor rgb="00FFF2CC"/>
      </patternFill>
    </fill>
    <fill>
      <patternFill patternType="solid">
        <fgColor rgb="00E2F0D9"/>
      </patternFill>
    </fill>
    <fill>
      <patternFill patternType="solid">
        <fgColor rgb="00D9EAF7"/>
      </patternFill>
    </fill>
  </fills>
  <borders count="2">
    <border>
      <left/>
      <right/>
      <top/>
      <bottom/>
      <diagonal/>
    </border>
    <border>
      <bottom style="thin">
        <color rgb="00D9E2E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pivotButton="0" quotePrefix="0" xfId="0"/>
    <xf numFmtId="0" fontId="2" fillId="3" borderId="0" pivotButton="0" quotePrefix="0" xfId="0"/>
    <xf numFmtId="0" fontId="0" fillId="0" borderId="0" applyAlignment="1" pivotButton="0" quotePrefix="0" xfId="0">
      <alignment vertical="top" wrapText="1"/>
    </xf>
    <xf numFmtId="0" fontId="3" fillId="2" borderId="1" applyAlignment="1" pivotButton="0" quotePrefix="0" xfId="0">
      <alignment vertical="top" wrapText="1"/>
    </xf>
    <xf numFmtId="0" fontId="4" fillId="4" borderId="0" applyAlignment="1" pivotButton="0" quotePrefix="0" xfId="0">
      <alignment vertical="top" wrapText="1"/>
    </xf>
    <xf numFmtId="164" fontId="4" fillId="4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164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164" fontId="0" fillId="5" borderId="0" applyAlignment="1" pivotButton="0" quotePrefix="0" xfId="0">
      <alignment vertical="top" wrapText="1"/>
    </xf>
    <xf numFmtId="165" fontId="0" fillId="5" borderId="0" applyAlignment="1" pivotButton="0" quotePrefix="0" xfId="0">
      <alignment vertical="top" wrapText="1"/>
    </xf>
    <xf numFmtId="3" fontId="0" fillId="5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2" fillId="6" borderId="0" applyAlignment="1" pivotButton="0" quotePrefix="0" xfId="0">
      <alignment vertical="top" wrapText="1"/>
    </xf>
    <xf numFmtId="165" fontId="2" fillId="6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3" fillId="2" borderId="0" pivotButton="0" quotePrefix="0" xfId="0"/>
    <xf numFmtId="0" fontId="0" fillId="5" borderId="0" pivotButton="0" quotePrefix="0" xfId="0"/>
    <xf numFmtId="165" fontId="0" fillId="5" borderId="0" pivotButton="0" quotePrefix="0" xfId="0"/>
    <xf numFmtId="164" fontId="0" fillId="5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Provider Token Capacity (Q tokens/day)</a:t>
            </a:r>
          </a:p>
        </rich>
      </tx>
    </title>
    <plotArea>
      <lineChart>
        <grouping val="standard"/>
        <ser>
          <idx val="0"/>
          <order val="0"/>
          <tx>
            <v>Microsoft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'04_Output'!$B$6:$F$6</f>
            </numRef>
          </val>
        </ser>
        <ser>
          <idx val="1"/>
          <order val="1"/>
          <tx>
            <v>Google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'04_Output'!$B$7:$F$7</f>
            </numRef>
          </val>
        </ser>
        <ser>
          <idx val="2"/>
          <order val="2"/>
          <tx>
            <v>Meta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'04_Output'!$B$8:$F$8</f>
            </numRef>
          </val>
        </ser>
        <ser>
          <idx val="3"/>
          <order val="3"/>
          <tx>
            <v>xAI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'04_Output'!$B$9:$F$9</f>
            </numRef>
          </val>
        </ser>
        <ser>
          <idx val="4"/>
          <order val="4"/>
          <tx>
            <v>OpenAI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'04_Output'!$B$10:$F$10</f>
            </numRef>
          </val>
        </ser>
        <ser>
          <idx val="5"/>
          <order val="5"/>
          <tx>
            <v>Anthropic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'04_Output'!$B$11:$F$11</f>
            </numRef>
          </val>
        </ser>
        <ser>
          <idx val="6"/>
          <order val="6"/>
          <tx>
            <v>DeepSeek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'04_Output'!$B$12:$F$12</f>
            </numRef>
          </val>
        </ser>
        <ser>
          <idx val="7"/>
          <order val="7"/>
          <tx>
            <v>Alibaba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'04_Output'!$B$13:$F$13</f>
            </numRef>
          </val>
        </ser>
        <ser>
          <idx val="8"/>
          <order val="8"/>
          <tx>
            <v>Tencent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'04_Output'!$B$5:$F$5</f>
            </numRef>
          </cat>
          <val>
            <numRef>
              <f>'04_Output'!$B$14:$F$14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Scenario Total Token Capacity (Q tokens/day)</a:t>
            </a:r>
          </a:p>
        </rich>
      </tx>
    </title>
    <plotArea>
      <lineChart>
        <grouping val="standard"/>
        <ser>
          <idx val="0"/>
          <order val="0"/>
          <tx>
            <v>Bear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'04_Output'!$B$32:$F$32</f>
            </numRef>
          </val>
        </ser>
        <ser>
          <idx val="1"/>
          <order val="1"/>
          <tx>
            <v>Base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'04_Output'!$B$33:$F$33</f>
            </numRef>
          </val>
        </ser>
        <ser>
          <idx val="2"/>
          <order val="2"/>
          <tx>
            <v>Bull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'04_Output'!$B$34:$F$34</f>
            </numRef>
          </val>
        </ser>
        <ser>
          <idx val="3"/>
          <order val="3"/>
          <tx>
            <v>Grid-Constrained / Efficiency-Upside</v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'04_Output'!$B$31:$F$31</f>
            </numRef>
          </cat>
          <val>
            <numRef>
              <f>'04_Output'!$B$35:$F$35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numFmt formatCode="0.00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Aggressive Token Supply Range (Q output tokens/day)</a:t>
            </a:r>
          </a:p>
        </rich>
      </tx>
    </title>
    <plotArea>
      <lineChart>
        <grouping val="standard"/>
        <ser>
          <idx val="0"/>
          <order val="0"/>
          <tx>
            <strRef>
              <f>'06_Aggressive_View'!B13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'06_Aggressive_View'!$B$14:$B$18</f>
            </numRef>
          </val>
        </ser>
        <ser>
          <idx val="1"/>
          <order val="1"/>
          <tx>
            <strRef>
              <f>'06_Aggressive_View'!C13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'06_Aggressive_View'!$C$14:$C$18</f>
            </numRef>
          </val>
        </ser>
        <ser>
          <idx val="2"/>
          <order val="2"/>
          <tx>
            <strRef>
              <f>'06_Aggressive_View'!D13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'06_Aggressive_View'!$A$14:$A$18</f>
            </numRef>
          </cat>
          <val>
            <numRef>
              <f>'06_Aggressive_View'!$D$14:$D$18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Q tokens/day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648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9</col>
      <colOff>0</colOff>
      <row>2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26" customWidth="1" min="2" max="2"/>
  </cols>
  <sheetData>
    <row r="1">
      <c r="A1" s="1" t="inlineStr">
        <is>
          <t>AI LLM Token Capacity Simulation - Core Formula Model</t>
        </is>
      </c>
      <c r="B1" s="1" t="inlineStr"/>
    </row>
    <row r="2" ht="30" customHeight="1">
      <c r="A2" s="2" t="inlineStr">
        <is>
          <t>목적</t>
        </is>
      </c>
      <c r="B2" s="3" t="inlineStr">
        <is>
          <t>최종 generated output tokens/day를 설명 가능한 전력, GPU 세대 mix, commercial workload 가정으로 계산</t>
        </is>
      </c>
    </row>
    <row r="3" ht="30" customHeight="1">
      <c r="A3" s="2" t="inlineStr">
        <is>
          <t>입력 원칙</t>
        </is>
      </c>
      <c r="B3" s="3" t="inlineStr">
        <is>
          <t>노란색 셀만 직접 입력합니다. GPU mix는 `02_GPU_Mix_Input`에서 나중에 교체 가능합니다.</t>
        </is>
      </c>
    </row>
    <row r="4" ht="30" customHeight="1">
      <c r="A4" s="2" t="inlineStr">
        <is>
          <t>Step 1</t>
        </is>
      </c>
      <c r="B4" s="3" t="inlineStr">
        <is>
          <t>operational_power_gw = contracted_power_gw * operational_deployment_share</t>
        </is>
      </c>
    </row>
    <row r="5" ht="30" customHeight="1">
      <c r="A5" s="2" t="inlineStr">
        <is>
          <t>Step 2</t>
        </is>
      </c>
      <c r="B5" s="3" t="inlineStr">
        <is>
          <t>inference_gw = operational_power_gw / pue * ai_workload_share * inference_power_share</t>
        </is>
      </c>
    </row>
    <row r="6" ht="30" customHeight="1">
      <c r="A6" s="2" t="inlineStr">
        <is>
          <t>Step 3</t>
        </is>
      </c>
      <c r="B6" s="3" t="inlineStr">
        <is>
          <t>fleet_reference_tps_per_mw = H200_share*H200_ref + B200_share*B200_ref + GB200_share*GB200_ref + purpose_built_share*purpose_ref</t>
        </is>
      </c>
    </row>
    <row r="7" ht="30" customHeight="1">
      <c r="A7" s="2" t="inlineStr">
        <is>
          <t>Step 4</t>
        </is>
      </c>
      <c r="B7" s="3" t="inlineStr">
        <is>
          <t>serving_tps_per_mw = fleet_reference_tps_per_mw * commercial_workload_fit_factor</t>
        </is>
      </c>
    </row>
    <row r="8" ht="30" customHeight="1">
      <c r="A8" s="2" t="inlineStr">
        <is>
          <t>Step 5</t>
        </is>
      </c>
      <c r="B8" s="3" t="inlineStr">
        <is>
          <t>generated_output_tokens_per_day = inference_gw * 1,000 * serving_tps_per_mw * 86,400</t>
        </is>
      </c>
    </row>
    <row r="9" ht="30" customHeight="1">
      <c r="A9" s="2" t="inlineStr">
        <is>
          <t>GPU mix rule</t>
        </is>
      </c>
      <c r="B9" s="3" t="inlineStr">
        <is>
          <t>H200/B200/GB200/purpose-built share의 합은 100%이며, 같은 inference MW 내 구성 차이가 token capacity를 바꿉니다.</t>
        </is>
      </c>
    </row>
    <row r="10" ht="30" customHeight="1">
      <c r="A10" s="2" t="inlineStr">
        <is>
          <t>Benchmark rule</t>
        </is>
      </c>
      <c r="B10" s="3" t="inlineStr">
        <is>
          <t>InferenceX output_tok_s_mw p50; model별 main_framework/main_precision 고정 + single_turn / ISL 1024 / OSL 1024. 50행 미만/미존재 조합은 B200 placeholder로 시작합니다.</t>
        </is>
      </c>
    </row>
    <row r="11" ht="30" customHeight="1">
      <c r="A11" s="2" t="inlineStr">
        <is>
          <t>Purpose-built rule</t>
        </is>
      </c>
      <c r="B11" s="3" t="inlineStr">
        <is>
          <t>Comparable TPS/MW가 없으면 B200 placeholder를 사용하며 사용자 입력으로 교체합니다.</t>
        </is>
      </c>
    </row>
    <row r="12" ht="30" customHeight="1">
      <c r="A12" s="2" t="inlineStr">
        <is>
          <t>Excluded</t>
        </is>
      </c>
      <c r="B12" s="3" t="inlineStr">
        <is>
          <t>utilization, MoE uplift, software CAGR는 headline 계산에서 제외합니다.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3" customWidth="1" min="2" max="2"/>
    <col width="13" customWidth="1" min="3" max="3"/>
    <col width="24" customWidth="1" min="4" max="4"/>
    <col width="52" customWidth="1" min="5" max="5"/>
    <col width="24" customWidth="1" min="6" max="6"/>
    <col width="42" customWidth="1" min="7" max="7"/>
    <col width="25" customWidth="1" min="8" max="8"/>
    <col width="58" customWidth="1" min="9" max="9"/>
    <col width="30" customWidth="1" min="10" max="10"/>
    <col width="17" customWidth="1" min="11" max="11"/>
    <col width="17" customWidth="1" min="12" max="12"/>
    <col width="17" customWidth="1" min="13" max="13"/>
  </cols>
  <sheetData>
    <row r="1">
      <c r="A1" s="4" t="inlineStr">
        <is>
          <t>company</t>
        </is>
      </c>
      <c r="B1" s="4" t="inlineStr">
        <is>
          <t>commercial_workload_class</t>
        </is>
      </c>
      <c r="C1" s="4" t="inlineStr">
        <is>
          <t>proxy_model</t>
        </is>
      </c>
      <c r="D1" s="4" t="inlineStr">
        <is>
          <t>h200_reference_tps_per_mw</t>
        </is>
      </c>
      <c r="E1" s="4" t="inlineStr">
        <is>
          <t>h200_status</t>
        </is>
      </c>
      <c r="F1" s="4" t="inlineStr">
        <is>
          <t>b200_reference_tps_per_mw</t>
        </is>
      </c>
      <c r="G1" s="4" t="inlineStr">
        <is>
          <t>b200_status</t>
        </is>
      </c>
      <c r="H1" s="4" t="inlineStr">
        <is>
          <t>gb200_reference_tps_per_mw</t>
        </is>
      </c>
      <c r="I1" s="4" t="inlineStr">
        <is>
          <t>gb200_status</t>
        </is>
      </c>
      <c r="J1" s="4" t="inlineStr">
        <is>
          <t>purpose_built_reference_tps_per_mw</t>
        </is>
      </c>
      <c r="K1" s="4" t="inlineStr">
        <is>
          <t>bear_fit_factor</t>
        </is>
      </c>
      <c r="L1" s="4" t="inlineStr">
        <is>
          <t>base_fit_factor</t>
        </is>
      </c>
      <c r="M1" s="4" t="inlineStr">
        <is>
          <t>bull_fit_factor</t>
        </is>
      </c>
    </row>
    <row r="2">
      <c r="A2" s="3" t="inlineStr">
        <is>
          <t>Microsoft</t>
        </is>
      </c>
      <c r="B2" s="3" t="inlineStr">
        <is>
          <t>Copilot / routed closed-model assistant</t>
        </is>
      </c>
      <c r="C2" s="3" t="inlineStr">
        <is>
          <t>gptoss120b</t>
        </is>
      </c>
      <c r="D2" s="5" t="n">
        <v>369518</v>
      </c>
      <c r="E2" s="3" t="inlineStr">
        <is>
          <t>Public reference selected</t>
        </is>
      </c>
      <c r="F2" s="5" t="n">
        <v>723458</v>
      </c>
      <c r="G2" s="3" t="inlineStr">
        <is>
          <t>Public reference selected</t>
        </is>
      </c>
      <c r="H2" s="5" t="n">
        <v>723458</v>
      </c>
      <c r="I2" s="3" t="inlineStr">
        <is>
          <t>B200 placeholder - insufficient/missing matched rows; editable input</t>
        </is>
      </c>
      <c r="J2" s="5" t="n">
        <v>723458</v>
      </c>
      <c r="K2" s="6" t="n">
        <v>0.4</v>
      </c>
      <c r="L2" s="6" t="n">
        <v>0.6</v>
      </c>
      <c r="M2" s="6" t="n">
        <v>0.8</v>
      </c>
    </row>
    <row r="3">
      <c r="A3" s="3" t="inlineStr">
        <is>
          <t>Google</t>
        </is>
      </c>
      <c r="B3" s="3" t="inlineStr">
        <is>
          <t>Gemini product-integrated multimodal assistant</t>
        </is>
      </c>
      <c r="C3" s="3" t="inlineStr">
        <is>
          <t>gptoss120b</t>
        </is>
      </c>
      <c r="D3" s="5" t="n">
        <v>369518</v>
      </c>
      <c r="E3" s="3" t="inlineStr">
        <is>
          <t>Public reference selected</t>
        </is>
      </c>
      <c r="F3" s="5" t="n">
        <v>723458</v>
      </c>
      <c r="G3" s="3" t="inlineStr">
        <is>
          <t>Public reference selected</t>
        </is>
      </c>
      <c r="H3" s="5" t="n">
        <v>723458</v>
      </c>
      <c r="I3" s="3" t="inlineStr">
        <is>
          <t>B200 placeholder - insufficient/missing matched rows; editable input</t>
        </is>
      </c>
      <c r="J3" s="5" t="n">
        <v>723458</v>
      </c>
      <c r="K3" s="6" t="n">
        <v>0.4</v>
      </c>
      <c r="L3" s="6" t="n">
        <v>0.6</v>
      </c>
      <c r="M3" s="6" t="n">
        <v>0.8</v>
      </c>
    </row>
    <row r="4">
      <c r="A4" s="3" t="inlineStr">
        <is>
          <t>Meta</t>
        </is>
      </c>
      <c r="B4" s="3" t="inlineStr">
        <is>
          <t>Llama / Meta AI general assistant</t>
        </is>
      </c>
      <c r="C4" s="3" t="inlineStr">
        <is>
          <t>llama70b</t>
        </is>
      </c>
      <c r="D4" s="5" t="n">
        <v>202722</v>
      </c>
      <c r="E4" s="3" t="inlineStr">
        <is>
          <t>Public reference selected</t>
        </is>
      </c>
      <c r="F4" s="5" t="n">
        <v>200857</v>
      </c>
      <c r="G4" s="3" t="inlineStr">
        <is>
          <t>Public reference selected</t>
        </is>
      </c>
      <c r="H4" s="5" t="n">
        <v>200857</v>
      </c>
      <c r="I4" s="3" t="inlineStr">
        <is>
          <t>B200 placeholder - insufficient/missing matched rows; editable input</t>
        </is>
      </c>
      <c r="J4" s="5" t="n">
        <v>200857</v>
      </c>
      <c r="K4" s="6" t="n">
        <v>0.75</v>
      </c>
      <c r="L4" s="6" t="n">
        <v>0.9</v>
      </c>
      <c r="M4" s="6" t="n">
        <v>1</v>
      </c>
    </row>
    <row r="5">
      <c r="A5" s="3" t="inlineStr">
        <is>
          <t>xAI</t>
        </is>
      </c>
      <c r="B5" s="3" t="inlineStr">
        <is>
          <t>Grok interactive and reasoning assistant</t>
        </is>
      </c>
      <c r="C5" s="3" t="inlineStr">
        <is>
          <t>gptoss120b</t>
        </is>
      </c>
      <c r="D5" s="5" t="n">
        <v>369518</v>
      </c>
      <c r="E5" s="3" t="inlineStr">
        <is>
          <t>Public reference selected</t>
        </is>
      </c>
      <c r="F5" s="5" t="n">
        <v>723458</v>
      </c>
      <c r="G5" s="3" t="inlineStr">
        <is>
          <t>Public reference selected</t>
        </is>
      </c>
      <c r="H5" s="5" t="n">
        <v>723458</v>
      </c>
      <c r="I5" s="3" t="inlineStr">
        <is>
          <t>B200 placeholder - insufficient/missing matched rows; editable input</t>
        </is>
      </c>
      <c r="J5" s="5" t="n">
        <v>723458</v>
      </c>
      <c r="K5" s="6" t="n">
        <v>0.35</v>
      </c>
      <c r="L5" s="6" t="n">
        <v>0.55</v>
      </c>
      <c r="M5" s="6" t="n">
        <v>0.75</v>
      </c>
    </row>
    <row r="6">
      <c r="A6" s="3" t="inlineStr">
        <is>
          <t>OpenAI</t>
        </is>
      </c>
      <c r="B6" s="3" t="inlineStr">
        <is>
          <t>GPT / ChatGPT / API with reasoning mix</t>
        </is>
      </c>
      <c r="C6" s="3" t="inlineStr">
        <is>
          <t>gptoss120b</t>
        </is>
      </c>
      <c r="D6" s="5" t="n">
        <v>369518</v>
      </c>
      <c r="E6" s="3" t="inlineStr">
        <is>
          <t>Public reference selected</t>
        </is>
      </c>
      <c r="F6" s="5" t="n">
        <v>723458</v>
      </c>
      <c r="G6" s="3" t="inlineStr">
        <is>
          <t>Public reference selected</t>
        </is>
      </c>
      <c r="H6" s="5" t="n">
        <v>723458</v>
      </c>
      <c r="I6" s="3" t="inlineStr">
        <is>
          <t>B200 placeholder - insufficient/missing matched rows; editable input</t>
        </is>
      </c>
      <c r="J6" s="5" t="n">
        <v>723458</v>
      </c>
      <c r="K6" s="6" t="n">
        <v>0.3</v>
      </c>
      <c r="L6" s="6" t="n">
        <v>0.5</v>
      </c>
      <c r="M6" s="6" t="n">
        <v>0.7</v>
      </c>
    </row>
    <row r="7">
      <c r="A7" s="3" t="inlineStr">
        <is>
          <t>Anthropic</t>
        </is>
      </c>
      <c r="B7" s="3" t="inlineStr">
        <is>
          <t>Claude coding, agent and long-context enterprise</t>
        </is>
      </c>
      <c r="C7" s="3" t="inlineStr">
        <is>
          <t>gptoss120b</t>
        </is>
      </c>
      <c r="D7" s="5" t="n">
        <v>369518</v>
      </c>
      <c r="E7" s="3" t="inlineStr">
        <is>
          <t>Public reference selected</t>
        </is>
      </c>
      <c r="F7" s="5" t="n">
        <v>723458</v>
      </c>
      <c r="G7" s="3" t="inlineStr">
        <is>
          <t>Public reference selected</t>
        </is>
      </c>
      <c r="H7" s="5" t="n">
        <v>723458</v>
      </c>
      <c r="I7" s="3" t="inlineStr">
        <is>
          <t>B200 placeholder - insufficient/missing matched rows; editable input</t>
        </is>
      </c>
      <c r="J7" s="5" t="n">
        <v>723458</v>
      </c>
      <c r="K7" s="6" t="n">
        <v>0.3</v>
      </c>
      <c r="L7" s="6" t="n">
        <v>0.5</v>
      </c>
      <c r="M7" s="6" t="n">
        <v>0.7</v>
      </c>
    </row>
    <row r="8">
      <c r="A8" s="3" t="inlineStr">
        <is>
          <t>DeepSeek</t>
        </is>
      </c>
      <c r="B8" s="3" t="inlineStr">
        <is>
          <t>DeepSeek R1/V3 MoE with reasoning mix</t>
        </is>
      </c>
      <c r="C8" s="3" t="inlineStr">
        <is>
          <t>dsr1</t>
        </is>
      </c>
      <c r="D8" s="5" t="n">
        <v>62631</v>
      </c>
      <c r="E8" s="3" t="inlineStr">
        <is>
          <t>Public reference selected</t>
        </is>
      </c>
      <c r="F8" s="5" t="n">
        <v>65077</v>
      </c>
      <c r="G8" s="3" t="inlineStr">
        <is>
          <t>Public reference selected</t>
        </is>
      </c>
      <c r="H8" s="5" t="n">
        <v>65077</v>
      </c>
      <c r="I8" s="3" t="inlineStr">
        <is>
          <t>B200 placeholder - insufficient/missing matched rows; editable input</t>
        </is>
      </c>
      <c r="J8" s="5" t="n">
        <v>65077</v>
      </c>
      <c r="K8" s="6" t="n">
        <v>0.65</v>
      </c>
      <c r="L8" s="6" t="n">
        <v>0.85</v>
      </c>
      <c r="M8" s="6" t="n">
        <v>1</v>
      </c>
    </row>
    <row r="9">
      <c r="A9" s="3" t="inlineStr">
        <is>
          <t>Alibaba</t>
        </is>
      </c>
      <c r="B9" s="3" t="inlineStr">
        <is>
          <t>Qwen API / enterprise MoE assistant</t>
        </is>
      </c>
      <c r="C9" s="3" t="inlineStr">
        <is>
          <t>qwen3.5</t>
        </is>
      </c>
      <c r="D9" s="5" t="n">
        <v>89934</v>
      </c>
      <c r="E9" s="3" t="inlineStr">
        <is>
          <t>Public reference selected</t>
        </is>
      </c>
      <c r="F9" s="5" t="n">
        <v>178342</v>
      </c>
      <c r="G9" s="3" t="inlineStr">
        <is>
          <t>Public reference selected</t>
        </is>
      </c>
      <c r="H9" s="5" t="n">
        <v>178342</v>
      </c>
      <c r="I9" s="3" t="inlineStr">
        <is>
          <t>B200 placeholder - insufficient/missing matched rows; editable input</t>
        </is>
      </c>
      <c r="J9" s="5" t="n">
        <v>178342</v>
      </c>
      <c r="K9" s="6" t="n">
        <v>0.7</v>
      </c>
      <c r="L9" s="6" t="n">
        <v>0.9</v>
      </c>
      <c r="M9" s="6" t="n">
        <v>1</v>
      </c>
    </row>
    <row r="10">
      <c r="A10" s="3" t="inlineStr">
        <is>
          <t>Tencent</t>
        </is>
      </c>
      <c r="B10" s="3" t="inlineStr">
        <is>
          <t>Hunyuan consumer and enterprise assistant</t>
        </is>
      </c>
      <c r="C10" s="3" t="inlineStr">
        <is>
          <t>gptoss120b</t>
        </is>
      </c>
      <c r="D10" s="5" t="n">
        <v>369518</v>
      </c>
      <c r="E10" s="3" t="inlineStr">
        <is>
          <t>Public reference selected</t>
        </is>
      </c>
      <c r="F10" s="5" t="n">
        <v>723458</v>
      </c>
      <c r="G10" s="3" t="inlineStr">
        <is>
          <t>Public reference selected</t>
        </is>
      </c>
      <c r="H10" s="5" t="n">
        <v>723458</v>
      </c>
      <c r="I10" s="3" t="inlineStr">
        <is>
          <t>B200 placeholder - insufficient/missing matched rows; editable input</t>
        </is>
      </c>
      <c r="J10" s="5" t="n">
        <v>723458</v>
      </c>
      <c r="K10" s="6" t="n">
        <v>0.4</v>
      </c>
      <c r="L10" s="6" t="n">
        <v>0.6</v>
      </c>
      <c r="M10" s="6" t="n">
        <v>0.8</v>
      </c>
    </row>
  </sheetData>
  <autoFilter ref="A1:M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12" customWidth="1" min="2" max="2"/>
    <col width="12" customWidth="1" min="3" max="3"/>
    <col width="21" customWidth="1" min="4" max="4"/>
    <col width="30" customWidth="1" min="5" max="5"/>
    <col width="12" customWidth="1" min="6" max="6"/>
    <col width="19" customWidth="1" min="7" max="7"/>
    <col width="23" customWidth="1" min="8" max="8"/>
    <col width="45" customWidth="1" min="9" max="9"/>
    <col width="24" customWidth="1" min="10" max="10"/>
    <col width="29" customWidth="1" min="11" max="11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pue</t>
        </is>
      </c>
      <c r="G1" s="4" t="inlineStr">
        <is>
          <t>ai_workload_share</t>
        </is>
      </c>
      <c r="H1" s="4" t="inlineStr">
        <is>
          <t>inference_power_share</t>
        </is>
      </c>
      <c r="I1" s="4" t="inlineStr">
        <is>
          <t>commercial_workload_class</t>
        </is>
      </c>
      <c r="J1" s="4" t="inlineStr">
        <is>
          <t>benchmark_proxy_model</t>
        </is>
      </c>
      <c r="K1" s="4" t="inlineStr">
        <is>
          <t>commercial_workload_fit_factor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7" t="n">
        <v>4</v>
      </c>
      <c r="E2" s="8" t="n">
        <v>0.405</v>
      </c>
      <c r="F2" s="7" t="n">
        <v>1.2</v>
      </c>
      <c r="G2" s="8" t="n">
        <v>0.86</v>
      </c>
      <c r="H2" s="8" t="n">
        <v>0.47</v>
      </c>
      <c r="I2" s="9">
        <f>INDEX('01_Benchmark_Input'!$B$2:$B$10,MATCH(B2,'01_Benchmark_Input'!$A$2:$A$10,0))</f>
        <v/>
      </c>
      <c r="J2" s="9">
        <f>INDEX('01_Benchmark_Input'!$C$2:$C$10,MATCH(B2,'01_Benchmark_Input'!$A$2:$A$10,0))</f>
        <v/>
      </c>
      <c r="K2" s="10">
        <f>IF(A2="Bear",INDEX('01_Benchmark_Input'!$K$2:$K$10,MATCH(B2,'01_Benchmark_Input'!$A$2:$A$10,0)),IF(A2="Bull",INDEX('01_Benchmark_Input'!$M$2:$M$10,MATCH(B2,'01_Benchmark_Input'!$A$2:$A$10,0)),INDEX('01_Benchmark_Input'!$L$2:$L$10,MATCH(B2,'01_Benchmark_Input'!$A$2:$A$10,0))))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7" t="n">
        <v>5.25</v>
      </c>
      <c r="E3" s="8" t="n">
        <v>0.48609524</v>
      </c>
      <c r="F3" s="7" t="n">
        <v>1.2</v>
      </c>
      <c r="G3" s="8" t="n">
        <v>0.86</v>
      </c>
      <c r="H3" s="8" t="n">
        <v>0.515</v>
      </c>
      <c r="I3" s="9">
        <f>INDEX('01_Benchmark_Input'!$B$2:$B$10,MATCH(B3,'01_Benchmark_Input'!$A$2:$A$10,0))</f>
        <v/>
      </c>
      <c r="J3" s="9">
        <f>INDEX('01_Benchmark_Input'!$C$2:$C$10,MATCH(B3,'01_Benchmark_Input'!$A$2:$A$10,0))</f>
        <v/>
      </c>
      <c r="K3" s="10">
        <f>IF(A3="Bear",INDEX('01_Benchmark_Input'!$K$2:$K$10,MATCH(B3,'01_Benchmark_Input'!$A$2:$A$10,0)),IF(A3="Bull",INDEX('01_Benchmark_Input'!$M$2:$M$10,MATCH(B3,'01_Benchmark_Input'!$A$2:$A$10,0)),INDEX('01_Benchmark_Input'!$L$2:$L$10,MATCH(B3,'01_Benchmark_Input'!$A$2:$A$10,0))))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7" t="n">
        <v>6.5</v>
      </c>
      <c r="E4" s="8" t="n">
        <v>0.52923077</v>
      </c>
      <c r="F4" s="7" t="n">
        <v>1.2</v>
      </c>
      <c r="G4" s="8" t="n">
        <v>0.86</v>
      </c>
      <c r="H4" s="8" t="n">
        <v>0.5600000000000001</v>
      </c>
      <c r="I4" s="9">
        <f>INDEX('01_Benchmark_Input'!$B$2:$B$10,MATCH(B4,'01_Benchmark_Input'!$A$2:$A$10,0))</f>
        <v/>
      </c>
      <c r="J4" s="9">
        <f>INDEX('01_Benchmark_Input'!$C$2:$C$10,MATCH(B4,'01_Benchmark_Input'!$A$2:$A$10,0))</f>
        <v/>
      </c>
      <c r="K4" s="10">
        <f>IF(A4="Bear",INDEX('01_Benchmark_Input'!$K$2:$K$10,MATCH(B4,'01_Benchmark_Input'!$A$2:$A$10,0)),IF(A4="Bull",INDEX('01_Benchmark_Input'!$M$2:$M$10,MATCH(B4,'01_Benchmark_Input'!$A$2:$A$10,0)),INDEX('01_Benchmark_Input'!$L$2:$L$10,MATCH(B4,'01_Benchmark_Input'!$A$2:$A$10,0))))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7" t="n">
        <v>7.75</v>
      </c>
      <c r="E5" s="8" t="n">
        <v>0.5527741900000001</v>
      </c>
      <c r="F5" s="7" t="n">
        <v>1.2</v>
      </c>
      <c r="G5" s="8" t="n">
        <v>0.86</v>
      </c>
      <c r="H5" s="8" t="n">
        <v>0.605</v>
      </c>
      <c r="I5" s="9">
        <f>INDEX('01_Benchmark_Input'!$B$2:$B$10,MATCH(B5,'01_Benchmark_Input'!$A$2:$A$10,0))</f>
        <v/>
      </c>
      <c r="J5" s="9">
        <f>INDEX('01_Benchmark_Input'!$C$2:$C$10,MATCH(B5,'01_Benchmark_Input'!$A$2:$A$10,0))</f>
        <v/>
      </c>
      <c r="K5" s="10">
        <f>IF(A5="Bear",INDEX('01_Benchmark_Input'!$K$2:$K$10,MATCH(B5,'01_Benchmark_Input'!$A$2:$A$10,0)),IF(A5="Bull",INDEX('01_Benchmark_Input'!$M$2:$M$10,MATCH(B5,'01_Benchmark_Input'!$A$2:$A$10,0)),INDEX('01_Benchmark_Input'!$L$2:$L$10,MATCH(B5,'01_Benchmark_Input'!$A$2:$A$10,0))))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7" t="n">
        <v>9</v>
      </c>
      <c r="E6" s="8" t="n">
        <v>0.56488889</v>
      </c>
      <c r="F6" s="7" t="n">
        <v>1.2</v>
      </c>
      <c r="G6" s="8" t="n">
        <v>0.86</v>
      </c>
      <c r="H6" s="8" t="n">
        <v>0.65</v>
      </c>
      <c r="I6" s="9">
        <f>INDEX('01_Benchmark_Input'!$B$2:$B$10,MATCH(B6,'01_Benchmark_Input'!$A$2:$A$10,0))</f>
        <v/>
      </c>
      <c r="J6" s="9">
        <f>INDEX('01_Benchmark_Input'!$C$2:$C$10,MATCH(B6,'01_Benchmark_Input'!$A$2:$A$10,0))</f>
        <v/>
      </c>
      <c r="K6" s="10">
        <f>IF(A6="Bear",INDEX('01_Benchmark_Input'!$K$2:$K$10,MATCH(B6,'01_Benchmark_Input'!$A$2:$A$10,0)),IF(A6="Bull",INDEX('01_Benchmark_Input'!$M$2:$M$10,MATCH(B6,'01_Benchmark_Input'!$A$2:$A$10,0)),INDEX('01_Benchmark_Input'!$L$2:$L$10,MATCH(B6,'01_Benchmark_Input'!$A$2:$A$10,0))))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7" t="n">
        <v>4.5</v>
      </c>
      <c r="E7" s="8" t="n">
        <v>0.44</v>
      </c>
      <c r="F7" s="7" t="n">
        <v>1.18</v>
      </c>
      <c r="G7" s="8" t="n">
        <v>0.88</v>
      </c>
      <c r="H7" s="8" t="n">
        <v>0.47</v>
      </c>
      <c r="I7" s="9">
        <f>INDEX('01_Benchmark_Input'!$B$2:$B$10,MATCH(B7,'01_Benchmark_Input'!$A$2:$A$10,0))</f>
        <v/>
      </c>
      <c r="J7" s="9">
        <f>INDEX('01_Benchmark_Input'!$C$2:$C$10,MATCH(B7,'01_Benchmark_Input'!$A$2:$A$10,0))</f>
        <v/>
      </c>
      <c r="K7" s="10">
        <f>IF(A7="Bear",INDEX('01_Benchmark_Input'!$K$2:$K$10,MATCH(B7,'01_Benchmark_Input'!$A$2:$A$10,0)),IF(A7="Bull",INDEX('01_Benchmark_Input'!$M$2:$M$10,MATCH(B7,'01_Benchmark_Input'!$A$2:$A$10,0)),INDEX('01_Benchmark_Input'!$L$2:$L$10,MATCH(B7,'01_Benchmark_Input'!$A$2:$A$10,0))))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7" t="n">
        <v>5.375</v>
      </c>
      <c r="E8" s="8" t="n">
        <v>0.54846512</v>
      </c>
      <c r="F8" s="7" t="n">
        <v>1.18</v>
      </c>
      <c r="G8" s="8" t="n">
        <v>0.88</v>
      </c>
      <c r="H8" s="8" t="n">
        <v>0.508</v>
      </c>
      <c r="I8" s="9">
        <f>INDEX('01_Benchmark_Input'!$B$2:$B$10,MATCH(B8,'01_Benchmark_Input'!$A$2:$A$10,0))</f>
        <v/>
      </c>
      <c r="J8" s="9">
        <f>INDEX('01_Benchmark_Input'!$C$2:$C$10,MATCH(B8,'01_Benchmark_Input'!$A$2:$A$10,0))</f>
        <v/>
      </c>
      <c r="K8" s="10">
        <f>IF(A8="Bear",INDEX('01_Benchmark_Input'!$K$2:$K$10,MATCH(B8,'01_Benchmark_Input'!$A$2:$A$10,0)),IF(A8="Bull",INDEX('01_Benchmark_Input'!$M$2:$M$10,MATCH(B8,'01_Benchmark_Input'!$A$2:$A$10,0)),INDEX('01_Benchmark_Input'!$L$2:$L$10,MATCH(B8,'01_Benchmark_Input'!$A$2:$A$10,0))))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7" t="n">
        <v>6.25</v>
      </c>
      <c r="E9" s="8" t="n">
        <v>0.6192</v>
      </c>
      <c r="F9" s="7" t="n">
        <v>1.18</v>
      </c>
      <c r="G9" s="8" t="n">
        <v>0.88</v>
      </c>
      <c r="H9" s="8" t="n">
        <v>0.545</v>
      </c>
      <c r="I9" s="9">
        <f>INDEX('01_Benchmark_Input'!$B$2:$B$10,MATCH(B9,'01_Benchmark_Input'!$A$2:$A$10,0))</f>
        <v/>
      </c>
      <c r="J9" s="9">
        <f>INDEX('01_Benchmark_Input'!$C$2:$C$10,MATCH(B9,'01_Benchmark_Input'!$A$2:$A$10,0))</f>
        <v/>
      </c>
      <c r="K9" s="10">
        <f>IF(A9="Bear",INDEX('01_Benchmark_Input'!$K$2:$K$10,MATCH(B9,'01_Benchmark_Input'!$A$2:$A$10,0)),IF(A9="Bull",INDEX('01_Benchmark_Input'!$M$2:$M$10,MATCH(B9,'01_Benchmark_Input'!$A$2:$A$10,0)),INDEX('01_Benchmark_Input'!$L$2:$L$10,MATCH(B9,'01_Benchmark_Input'!$A$2:$A$10,0))))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7" t="n">
        <v>7.125</v>
      </c>
      <c r="E10" s="8" t="n">
        <v>0.66610526</v>
      </c>
      <c r="F10" s="7" t="n">
        <v>1.18</v>
      </c>
      <c r="G10" s="8" t="n">
        <v>0.88</v>
      </c>
      <c r="H10" s="8" t="n">
        <v>0.583</v>
      </c>
      <c r="I10" s="9">
        <f>INDEX('01_Benchmark_Input'!$B$2:$B$10,MATCH(B10,'01_Benchmark_Input'!$A$2:$A$10,0))</f>
        <v/>
      </c>
      <c r="J10" s="9">
        <f>INDEX('01_Benchmark_Input'!$C$2:$C$10,MATCH(B10,'01_Benchmark_Input'!$A$2:$A$10,0))</f>
        <v/>
      </c>
      <c r="K10" s="10">
        <f>IF(A10="Bear",INDEX('01_Benchmark_Input'!$K$2:$K$10,MATCH(B10,'01_Benchmark_Input'!$A$2:$A$10,0)),IF(A10="Bull",INDEX('01_Benchmark_Input'!$M$2:$M$10,MATCH(B10,'01_Benchmark_Input'!$A$2:$A$10,0)),INDEX('01_Benchmark_Input'!$L$2:$L$10,MATCH(B10,'01_Benchmark_Input'!$A$2:$A$10,0)))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7" t="n">
        <v>8</v>
      </c>
      <c r="E11" s="8" t="n">
        <v>0.697</v>
      </c>
      <c r="F11" s="7" t="n">
        <v>1.18</v>
      </c>
      <c r="G11" s="8" t="n">
        <v>0.88</v>
      </c>
      <c r="H11" s="8" t="n">
        <v>0.62</v>
      </c>
      <c r="I11" s="9">
        <f>INDEX('01_Benchmark_Input'!$B$2:$B$10,MATCH(B11,'01_Benchmark_Input'!$A$2:$A$10,0))</f>
        <v/>
      </c>
      <c r="J11" s="9">
        <f>INDEX('01_Benchmark_Input'!$C$2:$C$10,MATCH(B11,'01_Benchmark_Input'!$A$2:$A$10,0))</f>
        <v/>
      </c>
      <c r="K11" s="10">
        <f>IF(A11="Bear",INDEX('01_Benchmark_Input'!$K$2:$K$10,MATCH(B11,'01_Benchmark_Input'!$A$2:$A$10,0)),IF(A11="Bull",INDEX('01_Benchmark_Input'!$M$2:$M$10,MATCH(B11,'01_Benchmark_Input'!$A$2:$A$10,0)),INDEX('01_Benchmark_Input'!$L$2:$L$10,MATCH(B11,'01_Benchmark_Input'!$A$2:$A$10,0)))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7" t="n">
        <v>3.5</v>
      </c>
      <c r="E12" s="8" t="n">
        <v>0.41142857</v>
      </c>
      <c r="F12" s="7" t="n">
        <v>1.2</v>
      </c>
      <c r="G12" s="8" t="n">
        <v>0.87</v>
      </c>
      <c r="H12" s="8" t="n">
        <v>0.5</v>
      </c>
      <c r="I12" s="9">
        <f>INDEX('01_Benchmark_Input'!$B$2:$B$10,MATCH(B12,'01_Benchmark_Input'!$A$2:$A$10,0))</f>
        <v/>
      </c>
      <c r="J12" s="9">
        <f>INDEX('01_Benchmark_Input'!$C$2:$C$10,MATCH(B12,'01_Benchmark_Input'!$A$2:$A$10,0))</f>
        <v/>
      </c>
      <c r="K12" s="10">
        <f>IF(A12="Bear",INDEX('01_Benchmark_Input'!$K$2:$K$10,MATCH(B12,'01_Benchmark_Input'!$A$2:$A$10,0)),IF(A12="Bull",INDEX('01_Benchmark_Input'!$M$2:$M$10,MATCH(B12,'01_Benchmark_Input'!$A$2:$A$10,0)),INDEX('01_Benchmark_Input'!$L$2:$L$10,MATCH(B12,'01_Benchmark_Input'!$A$2:$A$10,0)))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7" t="n">
        <v>4.375</v>
      </c>
      <c r="E13" s="8" t="n">
        <v>0.53302857</v>
      </c>
      <c r="F13" s="7" t="n">
        <v>1.2</v>
      </c>
      <c r="G13" s="8" t="n">
        <v>0.87</v>
      </c>
      <c r="H13" s="8" t="n">
        <v>0.545</v>
      </c>
      <c r="I13" s="9">
        <f>INDEX('01_Benchmark_Input'!$B$2:$B$10,MATCH(B13,'01_Benchmark_Input'!$A$2:$A$10,0))</f>
        <v/>
      </c>
      <c r="J13" s="9">
        <f>INDEX('01_Benchmark_Input'!$C$2:$C$10,MATCH(B13,'01_Benchmark_Input'!$A$2:$A$10,0))</f>
        <v/>
      </c>
      <c r="K13" s="10">
        <f>IF(A13="Bear",INDEX('01_Benchmark_Input'!$K$2:$K$10,MATCH(B13,'01_Benchmark_Input'!$A$2:$A$10,0)),IF(A13="Bull",INDEX('01_Benchmark_Input'!$M$2:$M$10,MATCH(B13,'01_Benchmark_Input'!$A$2:$A$10,0)),INDEX('01_Benchmark_Input'!$L$2:$L$10,MATCH(B13,'01_Benchmark_Input'!$A$2:$A$10,0)))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7" t="n">
        <v>5.25</v>
      </c>
      <c r="E14" s="8" t="n">
        <v>0.60609524</v>
      </c>
      <c r="F14" s="7" t="n">
        <v>1.2</v>
      </c>
      <c r="G14" s="8" t="n">
        <v>0.87</v>
      </c>
      <c r="H14" s="8" t="n">
        <v>0.59</v>
      </c>
      <c r="I14" s="9">
        <f>INDEX('01_Benchmark_Input'!$B$2:$B$10,MATCH(B14,'01_Benchmark_Input'!$A$2:$A$10,0))</f>
        <v/>
      </c>
      <c r="J14" s="9">
        <f>INDEX('01_Benchmark_Input'!$C$2:$C$10,MATCH(B14,'01_Benchmark_Input'!$A$2:$A$10,0))</f>
        <v/>
      </c>
      <c r="K14" s="10">
        <f>IF(A14="Bear",INDEX('01_Benchmark_Input'!$K$2:$K$10,MATCH(B14,'01_Benchmark_Input'!$A$2:$A$10,0)),IF(A14="Bull",INDEX('01_Benchmark_Input'!$M$2:$M$10,MATCH(B14,'01_Benchmark_Input'!$A$2:$A$10,0)),INDEX('01_Benchmark_Input'!$L$2:$L$10,MATCH(B14,'01_Benchmark_Input'!$A$2:$A$10,0)))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7" t="n">
        <v>6.125</v>
      </c>
      <c r="E15" s="8" t="n">
        <v>0.65142857</v>
      </c>
      <c r="F15" s="7" t="n">
        <v>1.2</v>
      </c>
      <c r="G15" s="8" t="n">
        <v>0.87</v>
      </c>
      <c r="H15" s="8" t="n">
        <v>0.635</v>
      </c>
      <c r="I15" s="9">
        <f>INDEX('01_Benchmark_Input'!$B$2:$B$10,MATCH(B15,'01_Benchmark_Input'!$A$2:$A$10,0))</f>
        <v/>
      </c>
      <c r="J15" s="9">
        <f>INDEX('01_Benchmark_Input'!$C$2:$C$10,MATCH(B15,'01_Benchmark_Input'!$A$2:$A$10,0))</f>
        <v/>
      </c>
      <c r="K15" s="10">
        <f>IF(A15="Bear",INDEX('01_Benchmark_Input'!$K$2:$K$10,MATCH(B15,'01_Benchmark_Input'!$A$2:$A$10,0)),IF(A15="Bull",INDEX('01_Benchmark_Input'!$M$2:$M$10,MATCH(B15,'01_Benchmark_Input'!$A$2:$A$10,0)),INDEX('01_Benchmark_Input'!$L$2:$L$10,MATCH(B15,'01_Benchmark_Input'!$A$2:$A$10,0)))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7" t="n">
        <v>7</v>
      </c>
      <c r="E16" s="8" t="n">
        <v>0.67942857</v>
      </c>
      <c r="F16" s="7" t="n">
        <v>1.2</v>
      </c>
      <c r="G16" s="8" t="n">
        <v>0.87</v>
      </c>
      <c r="H16" s="8" t="n">
        <v>0.68</v>
      </c>
      <c r="I16" s="9">
        <f>INDEX('01_Benchmark_Input'!$B$2:$B$10,MATCH(B16,'01_Benchmark_Input'!$A$2:$A$10,0))</f>
        <v/>
      </c>
      <c r="J16" s="9">
        <f>INDEX('01_Benchmark_Input'!$C$2:$C$10,MATCH(B16,'01_Benchmark_Input'!$A$2:$A$10,0))</f>
        <v/>
      </c>
      <c r="K16" s="10">
        <f>IF(A16="Bear",INDEX('01_Benchmark_Input'!$K$2:$K$10,MATCH(B16,'01_Benchmark_Input'!$A$2:$A$10,0)),IF(A16="Bull",INDEX('01_Benchmark_Input'!$M$2:$M$10,MATCH(B16,'01_Benchmark_Input'!$A$2:$A$10,0)),INDEX('01_Benchmark_Input'!$L$2:$L$10,MATCH(B16,'01_Benchmark_Input'!$A$2:$A$10,0)))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7" t="n">
        <v>1</v>
      </c>
      <c r="E17" s="8" t="n">
        <v>0.315</v>
      </c>
      <c r="F17" s="7" t="n">
        <v>1.22</v>
      </c>
      <c r="G17" s="8" t="n">
        <v>0.85</v>
      </c>
      <c r="H17" s="8" t="n">
        <v>0.37</v>
      </c>
      <c r="I17" s="9">
        <f>INDEX('01_Benchmark_Input'!$B$2:$B$10,MATCH(B17,'01_Benchmark_Input'!$A$2:$A$10,0))</f>
        <v/>
      </c>
      <c r="J17" s="9">
        <f>INDEX('01_Benchmark_Input'!$C$2:$C$10,MATCH(B17,'01_Benchmark_Input'!$A$2:$A$10,0))</f>
        <v/>
      </c>
      <c r="K17" s="10">
        <f>IF(A17="Bear",INDEX('01_Benchmark_Input'!$K$2:$K$10,MATCH(B17,'01_Benchmark_Input'!$A$2:$A$10,0)),IF(A17="Bull",INDEX('01_Benchmark_Input'!$M$2:$M$10,MATCH(B17,'01_Benchmark_Input'!$A$2:$A$10,0)),INDEX('01_Benchmark_Input'!$L$2:$L$10,MATCH(B17,'01_Benchmark_Input'!$A$2:$A$10,0)))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7" t="n">
        <v>1.5</v>
      </c>
      <c r="E18" s="8" t="n">
        <v>0.52066667</v>
      </c>
      <c r="F18" s="7" t="n">
        <v>1.22</v>
      </c>
      <c r="G18" s="8" t="n">
        <v>0.85</v>
      </c>
      <c r="H18" s="8" t="n">
        <v>0.427</v>
      </c>
      <c r="I18" s="9">
        <f>INDEX('01_Benchmark_Input'!$B$2:$B$10,MATCH(B18,'01_Benchmark_Input'!$A$2:$A$10,0))</f>
        <v/>
      </c>
      <c r="J18" s="9">
        <f>INDEX('01_Benchmark_Input'!$C$2:$C$10,MATCH(B18,'01_Benchmark_Input'!$A$2:$A$10,0))</f>
        <v/>
      </c>
      <c r="K18" s="10">
        <f>IF(A18="Bear",INDEX('01_Benchmark_Input'!$K$2:$K$10,MATCH(B18,'01_Benchmark_Input'!$A$2:$A$10,0)),IF(A18="Bull",INDEX('01_Benchmark_Input'!$M$2:$M$10,MATCH(B18,'01_Benchmark_Input'!$A$2:$A$10,0)),INDEX('01_Benchmark_Input'!$L$2:$L$10,MATCH(B18,'01_Benchmark_Input'!$A$2:$A$10,0)))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7" t="n">
        <v>2</v>
      </c>
      <c r="E19" s="8" t="n">
        <v>0.6125</v>
      </c>
      <c r="F19" s="7" t="n">
        <v>1.22</v>
      </c>
      <c r="G19" s="8" t="n">
        <v>0.85</v>
      </c>
      <c r="H19" s="8" t="n">
        <v>0.485</v>
      </c>
      <c r="I19" s="9">
        <f>INDEX('01_Benchmark_Input'!$B$2:$B$10,MATCH(B19,'01_Benchmark_Input'!$A$2:$A$10,0))</f>
        <v/>
      </c>
      <c r="J19" s="9">
        <f>INDEX('01_Benchmark_Input'!$C$2:$C$10,MATCH(B19,'01_Benchmark_Input'!$A$2:$A$10,0))</f>
        <v/>
      </c>
      <c r="K19" s="10">
        <f>IF(A19="Bear",INDEX('01_Benchmark_Input'!$K$2:$K$10,MATCH(B19,'01_Benchmark_Input'!$A$2:$A$10,0)),IF(A19="Bull",INDEX('01_Benchmark_Input'!$M$2:$M$10,MATCH(B19,'01_Benchmark_Input'!$A$2:$A$10,0)),INDEX('01_Benchmark_Input'!$L$2:$L$10,MATCH(B19,'01_Benchmark_Input'!$A$2:$A$10,0)))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7" t="n">
        <v>2.5</v>
      </c>
      <c r="E20" s="8" t="n">
        <v>0.6592</v>
      </c>
      <c r="F20" s="7" t="n">
        <v>1.22</v>
      </c>
      <c r="G20" s="8" t="n">
        <v>0.85</v>
      </c>
      <c r="H20" s="8" t="n">
        <v>0.542</v>
      </c>
      <c r="I20" s="9">
        <f>INDEX('01_Benchmark_Input'!$B$2:$B$10,MATCH(B20,'01_Benchmark_Input'!$A$2:$A$10,0))</f>
        <v/>
      </c>
      <c r="J20" s="9">
        <f>INDEX('01_Benchmark_Input'!$C$2:$C$10,MATCH(B20,'01_Benchmark_Input'!$A$2:$A$10,0))</f>
        <v/>
      </c>
      <c r="K20" s="10">
        <f>IF(A20="Bear",INDEX('01_Benchmark_Input'!$K$2:$K$10,MATCH(B20,'01_Benchmark_Input'!$A$2:$A$10,0)),IF(A20="Bull",INDEX('01_Benchmark_Input'!$M$2:$M$10,MATCH(B20,'01_Benchmark_Input'!$A$2:$A$10,0)),INDEX('01_Benchmark_Input'!$L$2:$L$10,MATCH(B20,'01_Benchmark_Input'!$A$2:$A$10,0)))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7" t="n">
        <v>3</v>
      </c>
      <c r="E21" s="8" t="n">
        <v>0.68333333</v>
      </c>
      <c r="F21" s="7" t="n">
        <v>1.22</v>
      </c>
      <c r="G21" s="8" t="n">
        <v>0.85</v>
      </c>
      <c r="H21" s="8" t="n">
        <v>0.6</v>
      </c>
      <c r="I21" s="9">
        <f>INDEX('01_Benchmark_Input'!$B$2:$B$10,MATCH(B21,'01_Benchmark_Input'!$A$2:$A$10,0))</f>
        <v/>
      </c>
      <c r="J21" s="9">
        <f>INDEX('01_Benchmark_Input'!$C$2:$C$10,MATCH(B21,'01_Benchmark_Input'!$A$2:$A$10,0))</f>
        <v/>
      </c>
      <c r="K21" s="10">
        <f>IF(A21="Bear",INDEX('01_Benchmark_Input'!$K$2:$K$10,MATCH(B21,'01_Benchmark_Input'!$A$2:$A$10,0)),IF(A21="Bull",INDEX('01_Benchmark_Input'!$M$2:$M$10,MATCH(B21,'01_Benchmark_Input'!$A$2:$A$10,0)),INDEX('01_Benchmark_Input'!$L$2:$L$10,MATCH(B21,'01_Benchmark_Input'!$A$2:$A$10,0)))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7" t="n">
        <v>5</v>
      </c>
      <c r="E22" s="8" t="n">
        <v>0.252</v>
      </c>
      <c r="F22" s="7" t="n">
        <v>1.2</v>
      </c>
      <c r="G22" s="8" t="n">
        <v>0.88</v>
      </c>
      <c r="H22" s="8" t="n">
        <v>0.5</v>
      </c>
      <c r="I22" s="9">
        <f>INDEX('01_Benchmark_Input'!$B$2:$B$10,MATCH(B22,'01_Benchmark_Input'!$A$2:$A$10,0))</f>
        <v/>
      </c>
      <c r="J22" s="9">
        <f>INDEX('01_Benchmark_Input'!$C$2:$C$10,MATCH(B22,'01_Benchmark_Input'!$A$2:$A$10,0))</f>
        <v/>
      </c>
      <c r="K22" s="10">
        <f>IF(A22="Bear",INDEX('01_Benchmark_Input'!$K$2:$K$10,MATCH(B22,'01_Benchmark_Input'!$A$2:$A$10,0)),IF(A22="Bull",INDEX('01_Benchmark_Input'!$M$2:$M$10,MATCH(B22,'01_Benchmark_Input'!$A$2:$A$10,0)),INDEX('01_Benchmark_Input'!$L$2:$L$10,MATCH(B22,'01_Benchmark_Input'!$A$2:$A$10,0)))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7" t="n">
        <v>6.75</v>
      </c>
      <c r="E23" s="8" t="n">
        <v>0.41392593</v>
      </c>
      <c r="F23" s="7" t="n">
        <v>1.2</v>
      </c>
      <c r="G23" s="8" t="n">
        <v>0.88</v>
      </c>
      <c r="H23" s="8" t="n">
        <v>0.545</v>
      </c>
      <c r="I23" s="9">
        <f>INDEX('01_Benchmark_Input'!$B$2:$B$10,MATCH(B23,'01_Benchmark_Input'!$A$2:$A$10,0))</f>
        <v/>
      </c>
      <c r="J23" s="9">
        <f>INDEX('01_Benchmark_Input'!$C$2:$C$10,MATCH(B23,'01_Benchmark_Input'!$A$2:$A$10,0))</f>
        <v/>
      </c>
      <c r="K23" s="10">
        <f>IF(A23="Bear",INDEX('01_Benchmark_Input'!$K$2:$K$10,MATCH(B23,'01_Benchmark_Input'!$A$2:$A$10,0)),IF(A23="Bull",INDEX('01_Benchmark_Input'!$M$2:$M$10,MATCH(B23,'01_Benchmark_Input'!$A$2:$A$10,0)),INDEX('01_Benchmark_Input'!$L$2:$L$10,MATCH(B23,'01_Benchmark_Input'!$A$2:$A$10,0)))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7" t="n">
        <v>8.5</v>
      </c>
      <c r="E24" s="8" t="n">
        <v>0.50082353</v>
      </c>
      <c r="F24" s="7" t="n">
        <v>1.2</v>
      </c>
      <c r="G24" s="8" t="n">
        <v>0.88</v>
      </c>
      <c r="H24" s="8" t="n">
        <v>0.59</v>
      </c>
      <c r="I24" s="9">
        <f>INDEX('01_Benchmark_Input'!$B$2:$B$10,MATCH(B24,'01_Benchmark_Input'!$A$2:$A$10,0))</f>
        <v/>
      </c>
      <c r="J24" s="9">
        <f>INDEX('01_Benchmark_Input'!$C$2:$C$10,MATCH(B24,'01_Benchmark_Input'!$A$2:$A$10,0))</f>
        <v/>
      </c>
      <c r="K24" s="10">
        <f>IF(A24="Bear",INDEX('01_Benchmark_Input'!$K$2:$K$10,MATCH(B24,'01_Benchmark_Input'!$A$2:$A$10,0)),IF(A24="Bull",INDEX('01_Benchmark_Input'!$M$2:$M$10,MATCH(B24,'01_Benchmark_Input'!$A$2:$A$10,0)),INDEX('01_Benchmark_Input'!$L$2:$L$10,MATCH(B24,'01_Benchmark_Input'!$A$2:$A$10,0)))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7" t="n">
        <v>10.25</v>
      </c>
      <c r="E25" s="8" t="n">
        <v>0.55112195</v>
      </c>
      <c r="F25" s="7" t="n">
        <v>1.2</v>
      </c>
      <c r="G25" s="8" t="n">
        <v>0.88</v>
      </c>
      <c r="H25" s="8" t="n">
        <v>0.635</v>
      </c>
      <c r="I25" s="9">
        <f>INDEX('01_Benchmark_Input'!$B$2:$B$10,MATCH(B25,'01_Benchmark_Input'!$A$2:$A$10,0))</f>
        <v/>
      </c>
      <c r="J25" s="9">
        <f>INDEX('01_Benchmark_Input'!$C$2:$C$10,MATCH(B25,'01_Benchmark_Input'!$A$2:$A$10,0))</f>
        <v/>
      </c>
      <c r="K25" s="10">
        <f>IF(A25="Bear",INDEX('01_Benchmark_Input'!$K$2:$K$10,MATCH(B25,'01_Benchmark_Input'!$A$2:$A$10,0)),IF(A25="Bull",INDEX('01_Benchmark_Input'!$M$2:$M$10,MATCH(B25,'01_Benchmark_Input'!$A$2:$A$10,0)),INDEX('01_Benchmark_Input'!$L$2:$L$10,MATCH(B25,'01_Benchmark_Input'!$A$2:$A$10,0)))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7" t="n">
        <v>12</v>
      </c>
      <c r="E26" s="8" t="n">
        <v>0.58083333</v>
      </c>
      <c r="F26" s="7" t="n">
        <v>1.2</v>
      </c>
      <c r="G26" s="8" t="n">
        <v>0.88</v>
      </c>
      <c r="H26" s="8" t="n">
        <v>0.68</v>
      </c>
      <c r="I26" s="9">
        <f>INDEX('01_Benchmark_Input'!$B$2:$B$10,MATCH(B26,'01_Benchmark_Input'!$A$2:$A$10,0))</f>
        <v/>
      </c>
      <c r="J26" s="9">
        <f>INDEX('01_Benchmark_Input'!$C$2:$C$10,MATCH(B26,'01_Benchmark_Input'!$A$2:$A$10,0))</f>
        <v/>
      </c>
      <c r="K26" s="10">
        <f>IF(A26="Bear",INDEX('01_Benchmark_Input'!$K$2:$K$10,MATCH(B26,'01_Benchmark_Input'!$A$2:$A$10,0)),IF(A26="Bull",INDEX('01_Benchmark_Input'!$M$2:$M$10,MATCH(B26,'01_Benchmark_Input'!$A$2:$A$10,0)),INDEX('01_Benchmark_Input'!$L$2:$L$10,MATCH(B26,'01_Benchmark_Input'!$A$2:$A$10,0)))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7" t="n">
        <v>3.5</v>
      </c>
      <c r="E27" s="8" t="n">
        <v>0.25714286</v>
      </c>
      <c r="F27" s="7" t="n">
        <v>1.18</v>
      </c>
      <c r="G27" s="8" t="n">
        <v>0.86</v>
      </c>
      <c r="H27" s="8" t="n">
        <v>0.44</v>
      </c>
      <c r="I27" s="9">
        <f>INDEX('01_Benchmark_Input'!$B$2:$B$10,MATCH(B27,'01_Benchmark_Input'!$A$2:$A$10,0))</f>
        <v/>
      </c>
      <c r="J27" s="9">
        <f>INDEX('01_Benchmark_Input'!$C$2:$C$10,MATCH(B27,'01_Benchmark_Input'!$A$2:$A$10,0))</f>
        <v/>
      </c>
      <c r="K27" s="10">
        <f>IF(A27="Bear",INDEX('01_Benchmark_Input'!$K$2:$K$10,MATCH(B27,'01_Benchmark_Input'!$A$2:$A$10,0)),IF(A27="Bull",INDEX('01_Benchmark_Input'!$M$2:$M$10,MATCH(B27,'01_Benchmark_Input'!$A$2:$A$10,0)),INDEX('01_Benchmark_Input'!$L$2:$L$10,MATCH(B27,'01_Benchmark_Input'!$A$2:$A$10,0)))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7" t="n">
        <v>4.375</v>
      </c>
      <c r="E28" s="8" t="n">
        <v>0.42742857</v>
      </c>
      <c r="F28" s="7" t="n">
        <v>1.18</v>
      </c>
      <c r="G28" s="8" t="n">
        <v>0.86</v>
      </c>
      <c r="H28" s="8" t="n">
        <v>0.49</v>
      </c>
      <c r="I28" s="9">
        <f>INDEX('01_Benchmark_Input'!$B$2:$B$10,MATCH(B28,'01_Benchmark_Input'!$A$2:$A$10,0))</f>
        <v/>
      </c>
      <c r="J28" s="9">
        <f>INDEX('01_Benchmark_Input'!$C$2:$C$10,MATCH(B28,'01_Benchmark_Input'!$A$2:$A$10,0))</f>
        <v/>
      </c>
      <c r="K28" s="10">
        <f>IF(A28="Bear",INDEX('01_Benchmark_Input'!$K$2:$K$10,MATCH(B28,'01_Benchmark_Input'!$A$2:$A$10,0)),IF(A28="Bull",INDEX('01_Benchmark_Input'!$M$2:$M$10,MATCH(B28,'01_Benchmark_Input'!$A$2:$A$10,0)),INDEX('01_Benchmark_Input'!$L$2:$L$10,MATCH(B28,'01_Benchmark_Input'!$A$2:$A$10,0)))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7" t="n">
        <v>5.25</v>
      </c>
      <c r="E29" s="8" t="n">
        <v>0.53238095</v>
      </c>
      <c r="F29" s="7" t="n">
        <v>1.18</v>
      </c>
      <c r="G29" s="8" t="n">
        <v>0.86</v>
      </c>
      <c r="H29" s="8" t="n">
        <v>0.54</v>
      </c>
      <c r="I29" s="9">
        <f>INDEX('01_Benchmark_Input'!$B$2:$B$10,MATCH(B29,'01_Benchmark_Input'!$A$2:$A$10,0))</f>
        <v/>
      </c>
      <c r="J29" s="9">
        <f>INDEX('01_Benchmark_Input'!$C$2:$C$10,MATCH(B29,'01_Benchmark_Input'!$A$2:$A$10,0))</f>
        <v/>
      </c>
      <c r="K29" s="10">
        <f>IF(A29="Bear",INDEX('01_Benchmark_Input'!$K$2:$K$10,MATCH(B29,'01_Benchmark_Input'!$A$2:$A$10,0)),IF(A29="Bull",INDEX('01_Benchmark_Input'!$M$2:$M$10,MATCH(B29,'01_Benchmark_Input'!$A$2:$A$10,0)),INDEX('01_Benchmark_Input'!$L$2:$L$10,MATCH(B29,'01_Benchmark_Input'!$A$2:$A$10,0)))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7" t="n">
        <v>6.125</v>
      </c>
      <c r="E30" s="8" t="n">
        <v>0.6</v>
      </c>
      <c r="F30" s="7" t="n">
        <v>1.18</v>
      </c>
      <c r="G30" s="8" t="n">
        <v>0.86</v>
      </c>
      <c r="H30" s="8" t="n">
        <v>0.59</v>
      </c>
      <c r="I30" s="9">
        <f>INDEX('01_Benchmark_Input'!$B$2:$B$10,MATCH(B30,'01_Benchmark_Input'!$A$2:$A$10,0))</f>
        <v/>
      </c>
      <c r="J30" s="9">
        <f>INDEX('01_Benchmark_Input'!$C$2:$C$10,MATCH(B30,'01_Benchmark_Input'!$A$2:$A$10,0))</f>
        <v/>
      </c>
      <c r="K30" s="10">
        <f>IF(A30="Bear",INDEX('01_Benchmark_Input'!$K$2:$K$10,MATCH(B30,'01_Benchmark_Input'!$A$2:$A$10,0)),IF(A30="Bull",INDEX('01_Benchmark_Input'!$M$2:$M$10,MATCH(B30,'01_Benchmark_Input'!$A$2:$A$10,0)),INDEX('01_Benchmark_Input'!$L$2:$L$10,MATCH(B30,'01_Benchmark_Input'!$A$2:$A$10,0)))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7" t="n">
        <v>7</v>
      </c>
      <c r="E31" s="8" t="n">
        <v>0.64428571</v>
      </c>
      <c r="F31" s="7" t="n">
        <v>1.18</v>
      </c>
      <c r="G31" s="8" t="n">
        <v>0.86</v>
      </c>
      <c r="H31" s="8" t="n">
        <v>0.64</v>
      </c>
      <c r="I31" s="9">
        <f>INDEX('01_Benchmark_Input'!$B$2:$B$10,MATCH(B31,'01_Benchmark_Input'!$A$2:$A$10,0))</f>
        <v/>
      </c>
      <c r="J31" s="9">
        <f>INDEX('01_Benchmark_Input'!$C$2:$C$10,MATCH(B31,'01_Benchmark_Input'!$A$2:$A$10,0))</f>
        <v/>
      </c>
      <c r="K31" s="10">
        <f>IF(A31="Bear",INDEX('01_Benchmark_Input'!$K$2:$K$10,MATCH(B31,'01_Benchmark_Input'!$A$2:$A$10,0)),IF(A31="Bull",INDEX('01_Benchmark_Input'!$M$2:$M$10,MATCH(B31,'01_Benchmark_Input'!$A$2:$A$10,0)),INDEX('01_Benchmark_Input'!$L$2:$L$10,MATCH(B31,'01_Benchmark_Input'!$A$2:$A$10,0)))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7" t="n">
        <v>0.5</v>
      </c>
      <c r="E32" s="8" t="n">
        <v>0.27</v>
      </c>
      <c r="F32" s="7" t="n">
        <v>1.24</v>
      </c>
      <c r="G32" s="8" t="n">
        <v>0.82</v>
      </c>
      <c r="H32" s="8" t="n">
        <v>0.54</v>
      </c>
      <c r="I32" s="9">
        <f>INDEX('01_Benchmark_Input'!$B$2:$B$10,MATCH(B32,'01_Benchmark_Input'!$A$2:$A$10,0))</f>
        <v/>
      </c>
      <c r="J32" s="9">
        <f>INDEX('01_Benchmark_Input'!$C$2:$C$10,MATCH(B32,'01_Benchmark_Input'!$A$2:$A$10,0))</f>
        <v/>
      </c>
      <c r="K32" s="10">
        <f>IF(A32="Bear",INDEX('01_Benchmark_Input'!$K$2:$K$10,MATCH(B32,'01_Benchmark_Input'!$A$2:$A$10,0)),IF(A32="Bull",INDEX('01_Benchmark_Input'!$M$2:$M$10,MATCH(B32,'01_Benchmark_Input'!$A$2:$A$10,0)),INDEX('01_Benchmark_Input'!$L$2:$L$10,MATCH(B32,'01_Benchmark_Input'!$A$2:$A$10,0)))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7" t="n">
        <v>0.825</v>
      </c>
      <c r="E33" s="8" t="n">
        <v>0.44</v>
      </c>
      <c r="F33" s="7" t="n">
        <v>1.24</v>
      </c>
      <c r="G33" s="8" t="n">
        <v>0.82</v>
      </c>
      <c r="H33" s="8" t="n">
        <v>0.585</v>
      </c>
      <c r="I33" s="9">
        <f>INDEX('01_Benchmark_Input'!$B$2:$B$10,MATCH(B33,'01_Benchmark_Input'!$A$2:$A$10,0))</f>
        <v/>
      </c>
      <c r="J33" s="9">
        <f>INDEX('01_Benchmark_Input'!$C$2:$C$10,MATCH(B33,'01_Benchmark_Input'!$A$2:$A$10,0))</f>
        <v/>
      </c>
      <c r="K33" s="10">
        <f>IF(A33="Bear",INDEX('01_Benchmark_Input'!$K$2:$K$10,MATCH(B33,'01_Benchmark_Input'!$A$2:$A$10,0)),IF(A33="Bull",INDEX('01_Benchmark_Input'!$M$2:$M$10,MATCH(B33,'01_Benchmark_Input'!$A$2:$A$10,0)),INDEX('01_Benchmark_Input'!$L$2:$L$10,MATCH(B33,'01_Benchmark_Input'!$A$2:$A$10,0)))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7" t="n">
        <v>1.15</v>
      </c>
      <c r="E34" s="8" t="n">
        <v>0.50521739</v>
      </c>
      <c r="F34" s="7" t="n">
        <v>1.24</v>
      </c>
      <c r="G34" s="8" t="n">
        <v>0.82</v>
      </c>
      <c r="H34" s="8" t="n">
        <v>0.63</v>
      </c>
      <c r="I34" s="9">
        <f>INDEX('01_Benchmark_Input'!$B$2:$B$10,MATCH(B34,'01_Benchmark_Input'!$A$2:$A$10,0))</f>
        <v/>
      </c>
      <c r="J34" s="9">
        <f>INDEX('01_Benchmark_Input'!$C$2:$C$10,MATCH(B34,'01_Benchmark_Input'!$A$2:$A$10,0))</f>
        <v/>
      </c>
      <c r="K34" s="10">
        <f>IF(A34="Bear",INDEX('01_Benchmark_Input'!$K$2:$K$10,MATCH(B34,'01_Benchmark_Input'!$A$2:$A$10,0)),IF(A34="Bull",INDEX('01_Benchmark_Input'!$M$2:$M$10,MATCH(B34,'01_Benchmark_Input'!$A$2:$A$10,0)),INDEX('01_Benchmark_Input'!$L$2:$L$10,MATCH(B34,'01_Benchmark_Input'!$A$2:$A$10,0)))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7" t="n">
        <v>1.475</v>
      </c>
      <c r="E35" s="8" t="n">
        <v>0.53423729</v>
      </c>
      <c r="F35" s="7" t="n">
        <v>1.24</v>
      </c>
      <c r="G35" s="8" t="n">
        <v>0.82</v>
      </c>
      <c r="H35" s="8" t="n">
        <v>0.675</v>
      </c>
      <c r="I35" s="9">
        <f>INDEX('01_Benchmark_Input'!$B$2:$B$10,MATCH(B35,'01_Benchmark_Input'!$A$2:$A$10,0))</f>
        <v/>
      </c>
      <c r="J35" s="9">
        <f>INDEX('01_Benchmark_Input'!$C$2:$C$10,MATCH(B35,'01_Benchmark_Input'!$A$2:$A$10,0))</f>
        <v/>
      </c>
      <c r="K35" s="10">
        <f>IF(A35="Bear",INDEX('01_Benchmark_Input'!$K$2:$K$10,MATCH(B35,'01_Benchmark_Input'!$A$2:$A$10,0)),IF(A35="Bull",INDEX('01_Benchmark_Input'!$M$2:$M$10,MATCH(B35,'01_Benchmark_Input'!$A$2:$A$10,0)),INDEX('01_Benchmark_Input'!$L$2:$L$10,MATCH(B35,'01_Benchmark_Input'!$A$2:$A$10,0)))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7" t="n">
        <v>1.8</v>
      </c>
      <c r="E36" s="8" t="n">
        <v>0.54666667</v>
      </c>
      <c r="F36" s="7" t="n">
        <v>1.24</v>
      </c>
      <c r="G36" s="8" t="n">
        <v>0.82</v>
      </c>
      <c r="H36" s="8" t="n">
        <v>0.72</v>
      </c>
      <c r="I36" s="9">
        <f>INDEX('01_Benchmark_Input'!$B$2:$B$10,MATCH(B36,'01_Benchmark_Input'!$A$2:$A$10,0))</f>
        <v/>
      </c>
      <c r="J36" s="9">
        <f>INDEX('01_Benchmark_Input'!$C$2:$C$10,MATCH(B36,'01_Benchmark_Input'!$A$2:$A$10,0))</f>
        <v/>
      </c>
      <c r="K36" s="10">
        <f>IF(A36="Bear",INDEX('01_Benchmark_Input'!$K$2:$K$10,MATCH(B36,'01_Benchmark_Input'!$A$2:$A$10,0)),IF(A36="Bull",INDEX('01_Benchmark_Input'!$M$2:$M$10,MATCH(B36,'01_Benchmark_Input'!$A$2:$A$10,0)),INDEX('01_Benchmark_Input'!$L$2:$L$10,MATCH(B36,'01_Benchmark_Input'!$A$2:$A$10,0)))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7" t="n">
        <v>1.8</v>
      </c>
      <c r="E37" s="8" t="n">
        <v>0.325</v>
      </c>
      <c r="F37" s="7" t="n">
        <v>1.23</v>
      </c>
      <c r="G37" s="8" t="n">
        <v>0.84</v>
      </c>
      <c r="H37" s="8" t="n">
        <v>0.52</v>
      </c>
      <c r="I37" s="9">
        <f>INDEX('01_Benchmark_Input'!$B$2:$B$10,MATCH(B37,'01_Benchmark_Input'!$A$2:$A$10,0))</f>
        <v/>
      </c>
      <c r="J37" s="9">
        <f>INDEX('01_Benchmark_Input'!$C$2:$C$10,MATCH(B37,'01_Benchmark_Input'!$A$2:$A$10,0))</f>
        <v/>
      </c>
      <c r="K37" s="10">
        <f>IF(A37="Bear",INDEX('01_Benchmark_Input'!$K$2:$K$10,MATCH(B37,'01_Benchmark_Input'!$A$2:$A$10,0)),IF(A37="Bull",INDEX('01_Benchmark_Input'!$M$2:$M$10,MATCH(B37,'01_Benchmark_Input'!$A$2:$A$10,0)),INDEX('01_Benchmark_Input'!$L$2:$L$10,MATCH(B37,'01_Benchmark_Input'!$A$2:$A$10,0)))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7" t="n">
        <v>2.35</v>
      </c>
      <c r="E38" s="8" t="n">
        <v>0.48212766</v>
      </c>
      <c r="F38" s="7" t="n">
        <v>1.23</v>
      </c>
      <c r="G38" s="8" t="n">
        <v>0.84</v>
      </c>
      <c r="H38" s="8" t="n">
        <v>0.5649999999999999</v>
      </c>
      <c r="I38" s="9">
        <f>INDEX('01_Benchmark_Input'!$B$2:$B$10,MATCH(B38,'01_Benchmark_Input'!$A$2:$A$10,0))</f>
        <v/>
      </c>
      <c r="J38" s="9">
        <f>INDEX('01_Benchmark_Input'!$C$2:$C$10,MATCH(B38,'01_Benchmark_Input'!$A$2:$A$10,0))</f>
        <v/>
      </c>
      <c r="K38" s="10">
        <f>IF(A38="Bear",INDEX('01_Benchmark_Input'!$K$2:$K$10,MATCH(B38,'01_Benchmark_Input'!$A$2:$A$10,0)),IF(A38="Bull",INDEX('01_Benchmark_Input'!$M$2:$M$10,MATCH(B38,'01_Benchmark_Input'!$A$2:$A$10,0)),INDEX('01_Benchmark_Input'!$L$2:$L$10,MATCH(B38,'01_Benchmark_Input'!$A$2:$A$10,0)))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7" t="n">
        <v>2.9</v>
      </c>
      <c r="E39" s="8" t="n">
        <v>0.57103448</v>
      </c>
      <c r="F39" s="7" t="n">
        <v>1.23</v>
      </c>
      <c r="G39" s="8" t="n">
        <v>0.84</v>
      </c>
      <c r="H39" s="8" t="n">
        <v>0.61</v>
      </c>
      <c r="I39" s="9">
        <f>INDEX('01_Benchmark_Input'!$B$2:$B$10,MATCH(B39,'01_Benchmark_Input'!$A$2:$A$10,0))</f>
        <v/>
      </c>
      <c r="J39" s="9">
        <f>INDEX('01_Benchmark_Input'!$C$2:$C$10,MATCH(B39,'01_Benchmark_Input'!$A$2:$A$10,0))</f>
        <v/>
      </c>
      <c r="K39" s="10">
        <f>IF(A39="Bear",INDEX('01_Benchmark_Input'!$K$2:$K$10,MATCH(B39,'01_Benchmark_Input'!$A$2:$A$10,0)),IF(A39="Bull",INDEX('01_Benchmark_Input'!$M$2:$M$10,MATCH(B39,'01_Benchmark_Input'!$A$2:$A$10,0)),INDEX('01_Benchmark_Input'!$L$2:$L$10,MATCH(B39,'01_Benchmark_Input'!$A$2:$A$10,0)))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7" t="n">
        <v>3.45</v>
      </c>
      <c r="E40" s="8" t="n">
        <v>0.62376812</v>
      </c>
      <c r="F40" s="7" t="n">
        <v>1.23</v>
      </c>
      <c r="G40" s="8" t="n">
        <v>0.84</v>
      </c>
      <c r="H40" s="8" t="n">
        <v>0.655</v>
      </c>
      <c r="I40" s="9">
        <f>INDEX('01_Benchmark_Input'!$B$2:$B$10,MATCH(B40,'01_Benchmark_Input'!$A$2:$A$10,0))</f>
        <v/>
      </c>
      <c r="J40" s="9">
        <f>INDEX('01_Benchmark_Input'!$C$2:$C$10,MATCH(B40,'01_Benchmark_Input'!$A$2:$A$10,0))</f>
        <v/>
      </c>
      <c r="K40" s="10">
        <f>IF(A40="Bear",INDEX('01_Benchmark_Input'!$K$2:$K$10,MATCH(B40,'01_Benchmark_Input'!$A$2:$A$10,0)),IF(A40="Bull",INDEX('01_Benchmark_Input'!$M$2:$M$10,MATCH(B40,'01_Benchmark_Input'!$A$2:$A$10,0)),INDEX('01_Benchmark_Input'!$L$2:$L$10,MATCH(B40,'01_Benchmark_Input'!$A$2:$A$10,0)))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7" t="n">
        <v>4</v>
      </c>
      <c r="E41" s="8" t="n">
        <v>0.656</v>
      </c>
      <c r="F41" s="7" t="n">
        <v>1.23</v>
      </c>
      <c r="G41" s="8" t="n">
        <v>0.84</v>
      </c>
      <c r="H41" s="8" t="n">
        <v>0.7</v>
      </c>
      <c r="I41" s="9">
        <f>INDEX('01_Benchmark_Input'!$B$2:$B$10,MATCH(B41,'01_Benchmark_Input'!$A$2:$A$10,0))</f>
        <v/>
      </c>
      <c r="J41" s="9">
        <f>INDEX('01_Benchmark_Input'!$C$2:$C$10,MATCH(B41,'01_Benchmark_Input'!$A$2:$A$10,0))</f>
        <v/>
      </c>
      <c r="K41" s="10">
        <f>IF(A41="Bear",INDEX('01_Benchmark_Input'!$K$2:$K$10,MATCH(B41,'01_Benchmark_Input'!$A$2:$A$10,0)),IF(A41="Bull",INDEX('01_Benchmark_Input'!$M$2:$M$10,MATCH(B41,'01_Benchmark_Input'!$A$2:$A$10,0)),INDEX('01_Benchmark_Input'!$L$2:$L$10,MATCH(B41,'01_Benchmark_Input'!$A$2:$A$10,0)))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7" t="n">
        <v>1.2</v>
      </c>
      <c r="E42" s="8" t="n">
        <v>0.3375</v>
      </c>
      <c r="F42" s="7" t="n">
        <v>1.23</v>
      </c>
      <c r="G42" s="8" t="n">
        <v>0.84</v>
      </c>
      <c r="H42" s="8" t="n">
        <v>0.52</v>
      </c>
      <c r="I42" s="9">
        <f>INDEX('01_Benchmark_Input'!$B$2:$B$10,MATCH(B42,'01_Benchmark_Input'!$A$2:$A$10,0))</f>
        <v/>
      </c>
      <c r="J42" s="9">
        <f>INDEX('01_Benchmark_Input'!$C$2:$C$10,MATCH(B42,'01_Benchmark_Input'!$A$2:$A$10,0))</f>
        <v/>
      </c>
      <c r="K42" s="10">
        <f>IF(A42="Bear",INDEX('01_Benchmark_Input'!$K$2:$K$10,MATCH(B42,'01_Benchmark_Input'!$A$2:$A$10,0)),IF(A42="Bull",INDEX('01_Benchmark_Input'!$M$2:$M$10,MATCH(B42,'01_Benchmark_Input'!$A$2:$A$10,0)),INDEX('01_Benchmark_Input'!$L$2:$L$10,MATCH(B42,'01_Benchmark_Input'!$A$2:$A$10,0)))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7" t="n">
        <v>1.65</v>
      </c>
      <c r="E43" s="8" t="n">
        <v>0.5</v>
      </c>
      <c r="F43" s="7" t="n">
        <v>1.23</v>
      </c>
      <c r="G43" s="8" t="n">
        <v>0.84</v>
      </c>
      <c r="H43" s="8" t="n">
        <v>0.5649999999999999</v>
      </c>
      <c r="I43" s="9">
        <f>INDEX('01_Benchmark_Input'!$B$2:$B$10,MATCH(B43,'01_Benchmark_Input'!$A$2:$A$10,0))</f>
        <v/>
      </c>
      <c r="J43" s="9">
        <f>INDEX('01_Benchmark_Input'!$C$2:$C$10,MATCH(B43,'01_Benchmark_Input'!$A$2:$A$10,0))</f>
        <v/>
      </c>
      <c r="K43" s="10">
        <f>IF(A43="Bear",INDEX('01_Benchmark_Input'!$K$2:$K$10,MATCH(B43,'01_Benchmark_Input'!$A$2:$A$10,0)),IF(A43="Bull",INDEX('01_Benchmark_Input'!$M$2:$M$10,MATCH(B43,'01_Benchmark_Input'!$A$2:$A$10,0)),INDEX('01_Benchmark_Input'!$L$2:$L$10,MATCH(B43,'01_Benchmark_Input'!$A$2:$A$10,0)))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7" t="n">
        <v>2.1</v>
      </c>
      <c r="E44" s="8" t="n">
        <v>0.58380952</v>
      </c>
      <c r="F44" s="7" t="n">
        <v>1.23</v>
      </c>
      <c r="G44" s="8" t="n">
        <v>0.84</v>
      </c>
      <c r="H44" s="8" t="n">
        <v>0.61</v>
      </c>
      <c r="I44" s="9">
        <f>INDEX('01_Benchmark_Input'!$B$2:$B$10,MATCH(B44,'01_Benchmark_Input'!$A$2:$A$10,0))</f>
        <v/>
      </c>
      <c r="J44" s="9">
        <f>INDEX('01_Benchmark_Input'!$C$2:$C$10,MATCH(B44,'01_Benchmark_Input'!$A$2:$A$10,0))</f>
        <v/>
      </c>
      <c r="K44" s="10">
        <f>IF(A44="Bear",INDEX('01_Benchmark_Input'!$K$2:$K$10,MATCH(B44,'01_Benchmark_Input'!$A$2:$A$10,0)),IF(A44="Bull",INDEX('01_Benchmark_Input'!$M$2:$M$10,MATCH(B44,'01_Benchmark_Input'!$A$2:$A$10,0)),INDEX('01_Benchmark_Input'!$L$2:$L$10,MATCH(B44,'01_Benchmark_Input'!$A$2:$A$10,0)))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7" t="n">
        <v>2.55</v>
      </c>
      <c r="E45" s="8" t="n">
        <v>0.62980392</v>
      </c>
      <c r="F45" s="7" t="n">
        <v>1.23</v>
      </c>
      <c r="G45" s="8" t="n">
        <v>0.84</v>
      </c>
      <c r="H45" s="8" t="n">
        <v>0.655</v>
      </c>
      <c r="I45" s="9">
        <f>INDEX('01_Benchmark_Input'!$B$2:$B$10,MATCH(B45,'01_Benchmark_Input'!$A$2:$A$10,0))</f>
        <v/>
      </c>
      <c r="J45" s="9">
        <f>INDEX('01_Benchmark_Input'!$C$2:$C$10,MATCH(B45,'01_Benchmark_Input'!$A$2:$A$10,0))</f>
        <v/>
      </c>
      <c r="K45" s="10">
        <f>IF(A45="Bear",INDEX('01_Benchmark_Input'!$K$2:$K$10,MATCH(B45,'01_Benchmark_Input'!$A$2:$A$10,0)),IF(A45="Bull",INDEX('01_Benchmark_Input'!$M$2:$M$10,MATCH(B45,'01_Benchmark_Input'!$A$2:$A$10,0)),INDEX('01_Benchmark_Input'!$L$2:$L$10,MATCH(B45,'01_Benchmark_Input'!$A$2:$A$10,0)))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7" t="n">
        <v>3</v>
      </c>
      <c r="E46" s="8" t="n">
        <v>0.656</v>
      </c>
      <c r="F46" s="7" t="n">
        <v>1.23</v>
      </c>
      <c r="G46" s="8" t="n">
        <v>0.84</v>
      </c>
      <c r="H46" s="8" t="n">
        <v>0.7</v>
      </c>
      <c r="I46" s="9">
        <f>INDEX('01_Benchmark_Input'!$B$2:$B$10,MATCH(B46,'01_Benchmark_Input'!$A$2:$A$10,0))</f>
        <v/>
      </c>
      <c r="J46" s="9">
        <f>INDEX('01_Benchmark_Input'!$C$2:$C$10,MATCH(B46,'01_Benchmark_Input'!$A$2:$A$10,0))</f>
        <v/>
      </c>
      <c r="K46" s="10">
        <f>IF(A46="Bear",INDEX('01_Benchmark_Input'!$K$2:$K$10,MATCH(B46,'01_Benchmark_Input'!$A$2:$A$10,0)),IF(A46="Bull",INDEX('01_Benchmark_Input'!$M$2:$M$10,MATCH(B46,'01_Benchmark_Input'!$A$2:$A$10,0)),INDEX('01_Benchmark_Input'!$L$2:$L$10,MATCH(B46,'01_Benchmark_Input'!$A$2:$A$10,0)))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7" t="n">
        <v>4</v>
      </c>
      <c r="E47" s="8" t="n">
        <v>0.45</v>
      </c>
      <c r="F47" s="7" t="n">
        <v>1.2</v>
      </c>
      <c r="G47" s="8" t="n">
        <v>0.86</v>
      </c>
      <c r="H47" s="8" t="n">
        <v>0.55</v>
      </c>
      <c r="I47" s="9">
        <f>INDEX('01_Benchmark_Input'!$B$2:$B$10,MATCH(B47,'01_Benchmark_Input'!$A$2:$A$10,0))</f>
        <v/>
      </c>
      <c r="J47" s="9">
        <f>INDEX('01_Benchmark_Input'!$C$2:$C$10,MATCH(B47,'01_Benchmark_Input'!$A$2:$A$10,0))</f>
        <v/>
      </c>
      <c r="K47" s="10">
        <f>IF(A47="Bear",INDEX('01_Benchmark_Input'!$K$2:$K$10,MATCH(B47,'01_Benchmark_Input'!$A$2:$A$10,0)),IF(A47="Bull",INDEX('01_Benchmark_Input'!$M$2:$M$10,MATCH(B47,'01_Benchmark_Input'!$A$2:$A$10,0)),INDEX('01_Benchmark_Input'!$L$2:$L$10,MATCH(B47,'01_Benchmark_Input'!$A$2:$A$10,0)))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7" t="n">
        <v>5.25</v>
      </c>
      <c r="E48" s="8" t="n">
        <v>0.55238095</v>
      </c>
      <c r="F48" s="7" t="n">
        <v>1.2</v>
      </c>
      <c r="G48" s="8" t="n">
        <v>0.86</v>
      </c>
      <c r="H48" s="8" t="n">
        <v>0.6</v>
      </c>
      <c r="I48" s="9">
        <f>INDEX('01_Benchmark_Input'!$B$2:$B$10,MATCH(B48,'01_Benchmark_Input'!$A$2:$A$10,0))</f>
        <v/>
      </c>
      <c r="J48" s="9">
        <f>INDEX('01_Benchmark_Input'!$C$2:$C$10,MATCH(B48,'01_Benchmark_Input'!$A$2:$A$10,0))</f>
        <v/>
      </c>
      <c r="K48" s="10">
        <f>IF(A48="Bear",INDEX('01_Benchmark_Input'!$K$2:$K$10,MATCH(B48,'01_Benchmark_Input'!$A$2:$A$10,0)),IF(A48="Bull",INDEX('01_Benchmark_Input'!$M$2:$M$10,MATCH(B48,'01_Benchmark_Input'!$A$2:$A$10,0)),INDEX('01_Benchmark_Input'!$L$2:$L$10,MATCH(B48,'01_Benchmark_Input'!$A$2:$A$10,0)))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7" t="n">
        <v>6.5</v>
      </c>
      <c r="E49" s="8" t="n">
        <v>0.61538462</v>
      </c>
      <c r="F49" s="7" t="n">
        <v>1.2</v>
      </c>
      <c r="G49" s="8" t="n">
        <v>0.86</v>
      </c>
      <c r="H49" s="8" t="n">
        <v>0.65</v>
      </c>
      <c r="I49" s="9">
        <f>INDEX('01_Benchmark_Input'!$B$2:$B$10,MATCH(B49,'01_Benchmark_Input'!$A$2:$A$10,0))</f>
        <v/>
      </c>
      <c r="J49" s="9">
        <f>INDEX('01_Benchmark_Input'!$C$2:$C$10,MATCH(B49,'01_Benchmark_Input'!$A$2:$A$10,0))</f>
        <v/>
      </c>
      <c r="K49" s="10">
        <f>IF(A49="Bear",INDEX('01_Benchmark_Input'!$K$2:$K$10,MATCH(B49,'01_Benchmark_Input'!$A$2:$A$10,0)),IF(A49="Bull",INDEX('01_Benchmark_Input'!$M$2:$M$10,MATCH(B49,'01_Benchmark_Input'!$A$2:$A$10,0)),INDEX('01_Benchmark_Input'!$L$2:$L$10,MATCH(B49,'01_Benchmark_Input'!$A$2:$A$10,0)))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7" t="n">
        <v>7.75</v>
      </c>
      <c r="E50" s="8" t="n">
        <v>0.65806452</v>
      </c>
      <c r="F50" s="7" t="n">
        <v>1.2</v>
      </c>
      <c r="G50" s="8" t="n">
        <v>0.86</v>
      </c>
      <c r="H50" s="8" t="n">
        <v>0.7</v>
      </c>
      <c r="I50" s="9">
        <f>INDEX('01_Benchmark_Input'!$B$2:$B$10,MATCH(B50,'01_Benchmark_Input'!$A$2:$A$10,0))</f>
        <v/>
      </c>
      <c r="J50" s="9">
        <f>INDEX('01_Benchmark_Input'!$C$2:$C$10,MATCH(B50,'01_Benchmark_Input'!$A$2:$A$10,0))</f>
        <v/>
      </c>
      <c r="K50" s="10">
        <f>IF(A50="Bear",INDEX('01_Benchmark_Input'!$K$2:$K$10,MATCH(B50,'01_Benchmark_Input'!$A$2:$A$10,0)),IF(A50="Bull",INDEX('01_Benchmark_Input'!$M$2:$M$10,MATCH(B50,'01_Benchmark_Input'!$A$2:$A$10,0)),INDEX('01_Benchmark_Input'!$L$2:$L$10,MATCH(B50,'01_Benchmark_Input'!$A$2:$A$10,0)))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7" t="n">
        <v>9</v>
      </c>
      <c r="E51" s="8" t="n">
        <v>0.68888889</v>
      </c>
      <c r="F51" s="7" t="n">
        <v>1.2</v>
      </c>
      <c r="G51" s="8" t="n">
        <v>0.86</v>
      </c>
      <c r="H51" s="8" t="n">
        <v>0.75</v>
      </c>
      <c r="I51" s="9">
        <f>INDEX('01_Benchmark_Input'!$B$2:$B$10,MATCH(B51,'01_Benchmark_Input'!$A$2:$A$10,0))</f>
        <v/>
      </c>
      <c r="J51" s="9">
        <f>INDEX('01_Benchmark_Input'!$C$2:$C$10,MATCH(B51,'01_Benchmark_Input'!$A$2:$A$10,0))</f>
        <v/>
      </c>
      <c r="K51" s="10">
        <f>IF(A51="Bear",INDEX('01_Benchmark_Input'!$K$2:$K$10,MATCH(B51,'01_Benchmark_Input'!$A$2:$A$10,0)),IF(A51="Bull",INDEX('01_Benchmark_Input'!$M$2:$M$10,MATCH(B51,'01_Benchmark_Input'!$A$2:$A$10,0)),INDEX('01_Benchmark_Input'!$L$2:$L$10,MATCH(B51,'01_Benchmark_Input'!$A$2:$A$10,0)))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7" t="n">
        <v>4.5</v>
      </c>
      <c r="E52" s="8" t="n">
        <v>0.48888889</v>
      </c>
      <c r="F52" s="7" t="n">
        <v>1.18</v>
      </c>
      <c r="G52" s="8" t="n">
        <v>0.88</v>
      </c>
      <c r="H52" s="8" t="n">
        <v>0.55</v>
      </c>
      <c r="I52" s="9">
        <f>INDEX('01_Benchmark_Input'!$B$2:$B$10,MATCH(B52,'01_Benchmark_Input'!$A$2:$A$10,0))</f>
        <v/>
      </c>
      <c r="J52" s="9">
        <f>INDEX('01_Benchmark_Input'!$C$2:$C$10,MATCH(B52,'01_Benchmark_Input'!$A$2:$A$10,0))</f>
        <v/>
      </c>
      <c r="K52" s="10">
        <f>IF(A52="Bear",INDEX('01_Benchmark_Input'!$K$2:$K$10,MATCH(B52,'01_Benchmark_Input'!$A$2:$A$10,0)),IF(A52="Bull",INDEX('01_Benchmark_Input'!$M$2:$M$10,MATCH(B52,'01_Benchmark_Input'!$A$2:$A$10,0)),INDEX('01_Benchmark_Input'!$L$2:$L$10,MATCH(B52,'01_Benchmark_Input'!$A$2:$A$10,0)))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7" t="n">
        <v>5.375</v>
      </c>
      <c r="E53" s="8" t="n">
        <v>0.62325581</v>
      </c>
      <c r="F53" s="7" t="n">
        <v>1.18</v>
      </c>
      <c r="G53" s="8" t="n">
        <v>0.88</v>
      </c>
      <c r="H53" s="8" t="n">
        <v>0.593</v>
      </c>
      <c r="I53" s="9">
        <f>INDEX('01_Benchmark_Input'!$B$2:$B$10,MATCH(B53,'01_Benchmark_Input'!$A$2:$A$10,0))</f>
        <v/>
      </c>
      <c r="J53" s="9">
        <f>INDEX('01_Benchmark_Input'!$C$2:$C$10,MATCH(B53,'01_Benchmark_Input'!$A$2:$A$10,0))</f>
        <v/>
      </c>
      <c r="K53" s="10">
        <f>IF(A53="Bear",INDEX('01_Benchmark_Input'!$K$2:$K$10,MATCH(B53,'01_Benchmark_Input'!$A$2:$A$10,0)),IF(A53="Bull",INDEX('01_Benchmark_Input'!$M$2:$M$10,MATCH(B53,'01_Benchmark_Input'!$A$2:$A$10,0)),INDEX('01_Benchmark_Input'!$L$2:$L$10,MATCH(B53,'01_Benchmark_Input'!$A$2:$A$10,0)))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7" t="n">
        <v>6.25</v>
      </c>
      <c r="E54" s="8" t="n">
        <v>0.72</v>
      </c>
      <c r="F54" s="7" t="n">
        <v>1.18</v>
      </c>
      <c r="G54" s="8" t="n">
        <v>0.88</v>
      </c>
      <c r="H54" s="8" t="n">
        <v>0.635</v>
      </c>
      <c r="I54" s="9">
        <f>INDEX('01_Benchmark_Input'!$B$2:$B$10,MATCH(B54,'01_Benchmark_Input'!$A$2:$A$10,0))</f>
        <v/>
      </c>
      <c r="J54" s="9">
        <f>INDEX('01_Benchmark_Input'!$C$2:$C$10,MATCH(B54,'01_Benchmark_Input'!$A$2:$A$10,0))</f>
        <v/>
      </c>
      <c r="K54" s="10">
        <f>IF(A54="Bear",INDEX('01_Benchmark_Input'!$K$2:$K$10,MATCH(B54,'01_Benchmark_Input'!$A$2:$A$10,0)),IF(A54="Bull",INDEX('01_Benchmark_Input'!$M$2:$M$10,MATCH(B54,'01_Benchmark_Input'!$A$2:$A$10,0)),INDEX('01_Benchmark_Input'!$L$2:$L$10,MATCH(B54,'01_Benchmark_Input'!$A$2:$A$10,0)))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7" t="n">
        <v>7.125</v>
      </c>
      <c r="E55" s="8" t="n">
        <v>0.7929824599999999</v>
      </c>
      <c r="F55" s="7" t="n">
        <v>1.18</v>
      </c>
      <c r="G55" s="8" t="n">
        <v>0.88</v>
      </c>
      <c r="H55" s="8" t="n">
        <v>0.677</v>
      </c>
      <c r="I55" s="9">
        <f>INDEX('01_Benchmark_Input'!$B$2:$B$10,MATCH(B55,'01_Benchmark_Input'!$A$2:$A$10,0))</f>
        <v/>
      </c>
      <c r="J55" s="9">
        <f>INDEX('01_Benchmark_Input'!$C$2:$C$10,MATCH(B55,'01_Benchmark_Input'!$A$2:$A$10,0))</f>
        <v/>
      </c>
      <c r="K55" s="10">
        <f>IF(A55="Bear",INDEX('01_Benchmark_Input'!$K$2:$K$10,MATCH(B55,'01_Benchmark_Input'!$A$2:$A$10,0)),IF(A55="Bull",INDEX('01_Benchmark_Input'!$M$2:$M$10,MATCH(B55,'01_Benchmark_Input'!$A$2:$A$10,0)),INDEX('01_Benchmark_Input'!$L$2:$L$10,MATCH(B55,'01_Benchmark_Input'!$A$2:$A$10,0)))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7" t="n">
        <v>8</v>
      </c>
      <c r="E56" s="8" t="n">
        <v>0.85</v>
      </c>
      <c r="F56" s="7" t="n">
        <v>1.18</v>
      </c>
      <c r="G56" s="8" t="n">
        <v>0.88</v>
      </c>
      <c r="H56" s="8" t="n">
        <v>0.72</v>
      </c>
      <c r="I56" s="9">
        <f>INDEX('01_Benchmark_Input'!$B$2:$B$10,MATCH(B56,'01_Benchmark_Input'!$A$2:$A$10,0))</f>
        <v/>
      </c>
      <c r="J56" s="9">
        <f>INDEX('01_Benchmark_Input'!$C$2:$C$10,MATCH(B56,'01_Benchmark_Input'!$A$2:$A$10,0))</f>
        <v/>
      </c>
      <c r="K56" s="10">
        <f>IF(A56="Bear",INDEX('01_Benchmark_Input'!$K$2:$K$10,MATCH(B56,'01_Benchmark_Input'!$A$2:$A$10,0)),IF(A56="Bull",INDEX('01_Benchmark_Input'!$M$2:$M$10,MATCH(B56,'01_Benchmark_Input'!$A$2:$A$10,0)),INDEX('01_Benchmark_Input'!$L$2:$L$10,MATCH(B56,'01_Benchmark_Input'!$A$2:$A$10,0)))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7" t="n">
        <v>3.5</v>
      </c>
      <c r="E57" s="8" t="n">
        <v>0.45714286</v>
      </c>
      <c r="F57" s="7" t="n">
        <v>1.2</v>
      </c>
      <c r="G57" s="8" t="n">
        <v>0.87</v>
      </c>
      <c r="H57" s="8" t="n">
        <v>0.58</v>
      </c>
      <c r="I57" s="9">
        <f>INDEX('01_Benchmark_Input'!$B$2:$B$10,MATCH(B57,'01_Benchmark_Input'!$A$2:$A$10,0))</f>
        <v/>
      </c>
      <c r="J57" s="9">
        <f>INDEX('01_Benchmark_Input'!$C$2:$C$10,MATCH(B57,'01_Benchmark_Input'!$A$2:$A$10,0))</f>
        <v/>
      </c>
      <c r="K57" s="10">
        <f>IF(A57="Bear",INDEX('01_Benchmark_Input'!$K$2:$K$10,MATCH(B57,'01_Benchmark_Input'!$A$2:$A$10,0)),IF(A57="Bull",INDEX('01_Benchmark_Input'!$M$2:$M$10,MATCH(B57,'01_Benchmark_Input'!$A$2:$A$10,0)),INDEX('01_Benchmark_Input'!$L$2:$L$10,MATCH(B57,'01_Benchmark_Input'!$A$2:$A$10,0)))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7" t="n">
        <v>4.375</v>
      </c>
      <c r="E58" s="8" t="n">
        <v>0.60571429</v>
      </c>
      <c r="F58" s="7" t="n">
        <v>1.2</v>
      </c>
      <c r="G58" s="8" t="n">
        <v>0.87</v>
      </c>
      <c r="H58" s="8" t="n">
        <v>0.63</v>
      </c>
      <c r="I58" s="9">
        <f>INDEX('01_Benchmark_Input'!$B$2:$B$10,MATCH(B58,'01_Benchmark_Input'!$A$2:$A$10,0))</f>
        <v/>
      </c>
      <c r="J58" s="9">
        <f>INDEX('01_Benchmark_Input'!$C$2:$C$10,MATCH(B58,'01_Benchmark_Input'!$A$2:$A$10,0))</f>
        <v/>
      </c>
      <c r="K58" s="10">
        <f>IF(A58="Bear",INDEX('01_Benchmark_Input'!$K$2:$K$10,MATCH(B58,'01_Benchmark_Input'!$A$2:$A$10,0)),IF(A58="Bull",INDEX('01_Benchmark_Input'!$M$2:$M$10,MATCH(B58,'01_Benchmark_Input'!$A$2:$A$10,0)),INDEX('01_Benchmark_Input'!$L$2:$L$10,MATCH(B58,'01_Benchmark_Input'!$A$2:$A$10,0)))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7" t="n">
        <v>5.25</v>
      </c>
      <c r="E59" s="8" t="n">
        <v>0.7047619000000001</v>
      </c>
      <c r="F59" s="7" t="n">
        <v>1.2</v>
      </c>
      <c r="G59" s="8" t="n">
        <v>0.87</v>
      </c>
      <c r="H59" s="8" t="n">
        <v>0.68</v>
      </c>
      <c r="I59" s="9">
        <f>INDEX('01_Benchmark_Input'!$B$2:$B$10,MATCH(B59,'01_Benchmark_Input'!$A$2:$A$10,0))</f>
        <v/>
      </c>
      <c r="J59" s="9">
        <f>INDEX('01_Benchmark_Input'!$C$2:$C$10,MATCH(B59,'01_Benchmark_Input'!$A$2:$A$10,0))</f>
        <v/>
      </c>
      <c r="K59" s="10">
        <f>IF(A59="Bear",INDEX('01_Benchmark_Input'!$K$2:$K$10,MATCH(B59,'01_Benchmark_Input'!$A$2:$A$10,0)),IF(A59="Bull",INDEX('01_Benchmark_Input'!$M$2:$M$10,MATCH(B59,'01_Benchmark_Input'!$A$2:$A$10,0)),INDEX('01_Benchmark_Input'!$L$2:$L$10,MATCH(B59,'01_Benchmark_Input'!$A$2:$A$10,0)))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7" t="n">
        <v>6.125</v>
      </c>
      <c r="E60" s="8" t="n">
        <v>0.7755102</v>
      </c>
      <c r="F60" s="7" t="n">
        <v>1.2</v>
      </c>
      <c r="G60" s="8" t="n">
        <v>0.87</v>
      </c>
      <c r="H60" s="8" t="n">
        <v>0.73</v>
      </c>
      <c r="I60" s="9">
        <f>INDEX('01_Benchmark_Input'!$B$2:$B$10,MATCH(B60,'01_Benchmark_Input'!$A$2:$A$10,0))</f>
        <v/>
      </c>
      <c r="J60" s="9">
        <f>INDEX('01_Benchmark_Input'!$C$2:$C$10,MATCH(B60,'01_Benchmark_Input'!$A$2:$A$10,0))</f>
        <v/>
      </c>
      <c r="K60" s="10">
        <f>IF(A60="Bear",INDEX('01_Benchmark_Input'!$K$2:$K$10,MATCH(B60,'01_Benchmark_Input'!$A$2:$A$10,0)),IF(A60="Bull",INDEX('01_Benchmark_Input'!$M$2:$M$10,MATCH(B60,'01_Benchmark_Input'!$A$2:$A$10,0)),INDEX('01_Benchmark_Input'!$L$2:$L$10,MATCH(B60,'01_Benchmark_Input'!$A$2:$A$10,0)))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7" t="n">
        <v>7</v>
      </c>
      <c r="E61" s="8" t="n">
        <v>0.82857143</v>
      </c>
      <c r="F61" s="7" t="n">
        <v>1.2</v>
      </c>
      <c r="G61" s="8" t="n">
        <v>0.87</v>
      </c>
      <c r="H61" s="8" t="n">
        <v>0.78</v>
      </c>
      <c r="I61" s="9">
        <f>INDEX('01_Benchmark_Input'!$B$2:$B$10,MATCH(B61,'01_Benchmark_Input'!$A$2:$A$10,0))</f>
        <v/>
      </c>
      <c r="J61" s="9">
        <f>INDEX('01_Benchmark_Input'!$C$2:$C$10,MATCH(B61,'01_Benchmark_Input'!$A$2:$A$10,0))</f>
        <v/>
      </c>
      <c r="K61" s="10">
        <f>IF(A61="Bear",INDEX('01_Benchmark_Input'!$K$2:$K$10,MATCH(B61,'01_Benchmark_Input'!$A$2:$A$10,0)),IF(A61="Bull",INDEX('01_Benchmark_Input'!$M$2:$M$10,MATCH(B61,'01_Benchmark_Input'!$A$2:$A$10,0)),INDEX('01_Benchmark_Input'!$L$2:$L$10,MATCH(B61,'01_Benchmark_Input'!$A$2:$A$10,0)))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7" t="n">
        <v>1</v>
      </c>
      <c r="E62" s="8" t="n">
        <v>0.35</v>
      </c>
      <c r="F62" s="7" t="n">
        <v>1.22</v>
      </c>
      <c r="G62" s="8" t="n">
        <v>0.85</v>
      </c>
      <c r="H62" s="8" t="n">
        <v>0.45</v>
      </c>
      <c r="I62" s="9">
        <f>INDEX('01_Benchmark_Input'!$B$2:$B$10,MATCH(B62,'01_Benchmark_Input'!$A$2:$A$10,0))</f>
        <v/>
      </c>
      <c r="J62" s="9">
        <f>INDEX('01_Benchmark_Input'!$C$2:$C$10,MATCH(B62,'01_Benchmark_Input'!$A$2:$A$10,0))</f>
        <v/>
      </c>
      <c r="K62" s="10">
        <f>IF(A62="Bear",INDEX('01_Benchmark_Input'!$K$2:$K$10,MATCH(B62,'01_Benchmark_Input'!$A$2:$A$10,0)),IF(A62="Bull",INDEX('01_Benchmark_Input'!$M$2:$M$10,MATCH(B62,'01_Benchmark_Input'!$A$2:$A$10,0)),INDEX('01_Benchmark_Input'!$L$2:$L$10,MATCH(B62,'01_Benchmark_Input'!$A$2:$A$10,0)))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7" t="n">
        <v>1.5</v>
      </c>
      <c r="E63" s="8" t="n">
        <v>0.59133333</v>
      </c>
      <c r="F63" s="7" t="n">
        <v>1.22</v>
      </c>
      <c r="G63" s="8" t="n">
        <v>0.85</v>
      </c>
      <c r="H63" s="8" t="n">
        <v>0.512</v>
      </c>
      <c r="I63" s="9">
        <f>INDEX('01_Benchmark_Input'!$B$2:$B$10,MATCH(B63,'01_Benchmark_Input'!$A$2:$A$10,0))</f>
        <v/>
      </c>
      <c r="J63" s="9">
        <f>INDEX('01_Benchmark_Input'!$C$2:$C$10,MATCH(B63,'01_Benchmark_Input'!$A$2:$A$10,0))</f>
        <v/>
      </c>
      <c r="K63" s="10">
        <f>IF(A63="Bear",INDEX('01_Benchmark_Input'!$K$2:$K$10,MATCH(B63,'01_Benchmark_Input'!$A$2:$A$10,0)),IF(A63="Bull",INDEX('01_Benchmark_Input'!$M$2:$M$10,MATCH(B63,'01_Benchmark_Input'!$A$2:$A$10,0)),INDEX('01_Benchmark_Input'!$L$2:$L$10,MATCH(B63,'01_Benchmark_Input'!$A$2:$A$10,0)))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7" t="n">
        <v>2</v>
      </c>
      <c r="E64" s="8" t="n">
        <v>0.7125</v>
      </c>
      <c r="F64" s="7" t="n">
        <v>1.22</v>
      </c>
      <c r="G64" s="8" t="n">
        <v>0.85</v>
      </c>
      <c r="H64" s="8" t="n">
        <v>0.575</v>
      </c>
      <c r="I64" s="9">
        <f>INDEX('01_Benchmark_Input'!$B$2:$B$10,MATCH(B64,'01_Benchmark_Input'!$A$2:$A$10,0))</f>
        <v/>
      </c>
      <c r="J64" s="9">
        <f>INDEX('01_Benchmark_Input'!$C$2:$C$10,MATCH(B64,'01_Benchmark_Input'!$A$2:$A$10,0))</f>
        <v/>
      </c>
      <c r="K64" s="10">
        <f>IF(A64="Bear",INDEX('01_Benchmark_Input'!$K$2:$K$10,MATCH(B64,'01_Benchmark_Input'!$A$2:$A$10,0)),IF(A64="Bull",INDEX('01_Benchmark_Input'!$M$2:$M$10,MATCH(B64,'01_Benchmark_Input'!$A$2:$A$10,0)),INDEX('01_Benchmark_Input'!$L$2:$L$10,MATCH(B64,'01_Benchmark_Input'!$A$2:$A$10,0)))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7" t="n">
        <v>2.5</v>
      </c>
      <c r="E65" s="8" t="n">
        <v>0.7848000000000001</v>
      </c>
      <c r="F65" s="7" t="n">
        <v>1.22</v>
      </c>
      <c r="G65" s="8" t="n">
        <v>0.85</v>
      </c>
      <c r="H65" s="8" t="n">
        <v>0.637</v>
      </c>
      <c r="I65" s="9">
        <f>INDEX('01_Benchmark_Input'!$B$2:$B$10,MATCH(B65,'01_Benchmark_Input'!$A$2:$A$10,0))</f>
        <v/>
      </c>
      <c r="J65" s="9">
        <f>INDEX('01_Benchmark_Input'!$C$2:$C$10,MATCH(B65,'01_Benchmark_Input'!$A$2:$A$10,0))</f>
        <v/>
      </c>
      <c r="K65" s="10">
        <f>IF(A65="Bear",INDEX('01_Benchmark_Input'!$K$2:$K$10,MATCH(B65,'01_Benchmark_Input'!$A$2:$A$10,0)),IF(A65="Bull",INDEX('01_Benchmark_Input'!$M$2:$M$10,MATCH(B65,'01_Benchmark_Input'!$A$2:$A$10,0)),INDEX('01_Benchmark_Input'!$L$2:$L$10,MATCH(B65,'01_Benchmark_Input'!$A$2:$A$10,0)))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7" t="n">
        <v>3</v>
      </c>
      <c r="E66" s="8" t="n">
        <v>0.83333333</v>
      </c>
      <c r="F66" s="7" t="n">
        <v>1.22</v>
      </c>
      <c r="G66" s="8" t="n">
        <v>0.85</v>
      </c>
      <c r="H66" s="8" t="n">
        <v>0.7</v>
      </c>
      <c r="I66" s="9">
        <f>INDEX('01_Benchmark_Input'!$B$2:$B$10,MATCH(B66,'01_Benchmark_Input'!$A$2:$A$10,0))</f>
        <v/>
      </c>
      <c r="J66" s="9">
        <f>INDEX('01_Benchmark_Input'!$C$2:$C$10,MATCH(B66,'01_Benchmark_Input'!$A$2:$A$10,0))</f>
        <v/>
      </c>
      <c r="K66" s="10">
        <f>IF(A66="Bear",INDEX('01_Benchmark_Input'!$K$2:$K$10,MATCH(B66,'01_Benchmark_Input'!$A$2:$A$10,0)),IF(A66="Bull",INDEX('01_Benchmark_Input'!$M$2:$M$10,MATCH(B66,'01_Benchmark_Input'!$A$2:$A$10,0)),INDEX('01_Benchmark_Input'!$L$2:$L$10,MATCH(B66,'01_Benchmark_Input'!$A$2:$A$10,0)))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7" t="n">
        <v>5</v>
      </c>
      <c r="E67" s="8" t="n">
        <v>0.28</v>
      </c>
      <c r="F67" s="7" t="n">
        <v>1.2</v>
      </c>
      <c r="G67" s="8" t="n">
        <v>0.88</v>
      </c>
      <c r="H67" s="8" t="n">
        <v>0.58</v>
      </c>
      <c r="I67" s="9">
        <f>INDEX('01_Benchmark_Input'!$B$2:$B$10,MATCH(B67,'01_Benchmark_Input'!$A$2:$A$10,0))</f>
        <v/>
      </c>
      <c r="J67" s="9">
        <f>INDEX('01_Benchmark_Input'!$C$2:$C$10,MATCH(B67,'01_Benchmark_Input'!$A$2:$A$10,0))</f>
        <v/>
      </c>
      <c r="K67" s="10">
        <f>IF(A67="Bear",INDEX('01_Benchmark_Input'!$K$2:$K$10,MATCH(B67,'01_Benchmark_Input'!$A$2:$A$10,0)),IF(A67="Bull",INDEX('01_Benchmark_Input'!$M$2:$M$10,MATCH(B67,'01_Benchmark_Input'!$A$2:$A$10,0)),INDEX('01_Benchmark_Input'!$L$2:$L$10,MATCH(B67,'01_Benchmark_Input'!$A$2:$A$10,0)))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7" t="n">
        <v>6.75</v>
      </c>
      <c r="E68" s="8" t="n">
        <v>0.47037037</v>
      </c>
      <c r="F68" s="7" t="n">
        <v>1.2</v>
      </c>
      <c r="G68" s="8" t="n">
        <v>0.88</v>
      </c>
      <c r="H68" s="8" t="n">
        <v>0.63</v>
      </c>
      <c r="I68" s="9">
        <f>INDEX('01_Benchmark_Input'!$B$2:$B$10,MATCH(B68,'01_Benchmark_Input'!$A$2:$A$10,0))</f>
        <v/>
      </c>
      <c r="J68" s="9">
        <f>INDEX('01_Benchmark_Input'!$C$2:$C$10,MATCH(B68,'01_Benchmark_Input'!$A$2:$A$10,0))</f>
        <v/>
      </c>
      <c r="K68" s="10">
        <f>IF(A68="Bear",INDEX('01_Benchmark_Input'!$K$2:$K$10,MATCH(B68,'01_Benchmark_Input'!$A$2:$A$10,0)),IF(A68="Bull",INDEX('01_Benchmark_Input'!$M$2:$M$10,MATCH(B68,'01_Benchmark_Input'!$A$2:$A$10,0)),INDEX('01_Benchmark_Input'!$L$2:$L$10,MATCH(B68,'01_Benchmark_Input'!$A$2:$A$10,0)))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7" t="n">
        <v>8.5</v>
      </c>
      <c r="E69" s="8" t="n">
        <v>0.58235294</v>
      </c>
      <c r="F69" s="7" t="n">
        <v>1.2</v>
      </c>
      <c r="G69" s="8" t="n">
        <v>0.88</v>
      </c>
      <c r="H69" s="8" t="n">
        <v>0.68</v>
      </c>
      <c r="I69" s="9">
        <f>INDEX('01_Benchmark_Input'!$B$2:$B$10,MATCH(B69,'01_Benchmark_Input'!$A$2:$A$10,0))</f>
        <v/>
      </c>
      <c r="J69" s="9">
        <f>INDEX('01_Benchmark_Input'!$C$2:$C$10,MATCH(B69,'01_Benchmark_Input'!$A$2:$A$10,0))</f>
        <v/>
      </c>
      <c r="K69" s="10">
        <f>IF(A69="Bear",INDEX('01_Benchmark_Input'!$K$2:$K$10,MATCH(B69,'01_Benchmark_Input'!$A$2:$A$10,0)),IF(A69="Bull",INDEX('01_Benchmark_Input'!$M$2:$M$10,MATCH(B69,'01_Benchmark_Input'!$A$2:$A$10,0)),INDEX('01_Benchmark_Input'!$L$2:$L$10,MATCH(B69,'01_Benchmark_Input'!$A$2:$A$10,0)))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7" t="n">
        <v>10.25</v>
      </c>
      <c r="E70" s="8" t="n">
        <v>0.65609756</v>
      </c>
      <c r="F70" s="7" t="n">
        <v>1.2</v>
      </c>
      <c r="G70" s="8" t="n">
        <v>0.88</v>
      </c>
      <c r="H70" s="8" t="n">
        <v>0.73</v>
      </c>
      <c r="I70" s="9">
        <f>INDEX('01_Benchmark_Input'!$B$2:$B$10,MATCH(B70,'01_Benchmark_Input'!$A$2:$A$10,0))</f>
        <v/>
      </c>
      <c r="J70" s="9">
        <f>INDEX('01_Benchmark_Input'!$C$2:$C$10,MATCH(B70,'01_Benchmark_Input'!$A$2:$A$10,0))</f>
        <v/>
      </c>
      <c r="K70" s="10">
        <f>IF(A70="Bear",INDEX('01_Benchmark_Input'!$K$2:$K$10,MATCH(B70,'01_Benchmark_Input'!$A$2:$A$10,0)),IF(A70="Bull",INDEX('01_Benchmark_Input'!$M$2:$M$10,MATCH(B70,'01_Benchmark_Input'!$A$2:$A$10,0)),INDEX('01_Benchmark_Input'!$L$2:$L$10,MATCH(B70,'01_Benchmark_Input'!$A$2:$A$10,0)))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7" t="n">
        <v>12</v>
      </c>
      <c r="E71" s="8" t="n">
        <v>0.70833333</v>
      </c>
      <c r="F71" s="7" t="n">
        <v>1.2</v>
      </c>
      <c r="G71" s="8" t="n">
        <v>0.88</v>
      </c>
      <c r="H71" s="8" t="n">
        <v>0.78</v>
      </c>
      <c r="I71" s="9">
        <f>INDEX('01_Benchmark_Input'!$B$2:$B$10,MATCH(B71,'01_Benchmark_Input'!$A$2:$A$10,0))</f>
        <v/>
      </c>
      <c r="J71" s="9">
        <f>INDEX('01_Benchmark_Input'!$C$2:$C$10,MATCH(B71,'01_Benchmark_Input'!$A$2:$A$10,0))</f>
        <v/>
      </c>
      <c r="K71" s="10">
        <f>IF(A71="Bear",INDEX('01_Benchmark_Input'!$K$2:$K$10,MATCH(B71,'01_Benchmark_Input'!$A$2:$A$10,0)),IF(A71="Bull",INDEX('01_Benchmark_Input'!$M$2:$M$10,MATCH(B71,'01_Benchmark_Input'!$A$2:$A$10,0)),INDEX('01_Benchmark_Input'!$L$2:$L$10,MATCH(B71,'01_Benchmark_Input'!$A$2:$A$10,0)))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7" t="n">
        <v>3.5</v>
      </c>
      <c r="E72" s="8" t="n">
        <v>0.28571429</v>
      </c>
      <c r="F72" s="7" t="n">
        <v>1.18</v>
      </c>
      <c r="G72" s="8" t="n">
        <v>0.86</v>
      </c>
      <c r="H72" s="8" t="n">
        <v>0.52</v>
      </c>
      <c r="I72" s="9">
        <f>INDEX('01_Benchmark_Input'!$B$2:$B$10,MATCH(B72,'01_Benchmark_Input'!$A$2:$A$10,0))</f>
        <v/>
      </c>
      <c r="J72" s="9">
        <f>INDEX('01_Benchmark_Input'!$C$2:$C$10,MATCH(B72,'01_Benchmark_Input'!$A$2:$A$10,0))</f>
        <v/>
      </c>
      <c r="K72" s="10">
        <f>IF(A72="Bear",INDEX('01_Benchmark_Input'!$K$2:$K$10,MATCH(B72,'01_Benchmark_Input'!$A$2:$A$10,0)),IF(A72="Bull",INDEX('01_Benchmark_Input'!$M$2:$M$10,MATCH(B72,'01_Benchmark_Input'!$A$2:$A$10,0)),INDEX('01_Benchmark_Input'!$L$2:$L$10,MATCH(B72,'01_Benchmark_Input'!$A$2:$A$10,0)))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7" t="n">
        <v>4.375</v>
      </c>
      <c r="E73" s="8" t="n">
        <v>0.48571429</v>
      </c>
      <c r="F73" s="7" t="n">
        <v>1.18</v>
      </c>
      <c r="G73" s="8" t="n">
        <v>0.86</v>
      </c>
      <c r="H73" s="8" t="n">
        <v>0.575</v>
      </c>
      <c r="I73" s="9">
        <f>INDEX('01_Benchmark_Input'!$B$2:$B$10,MATCH(B73,'01_Benchmark_Input'!$A$2:$A$10,0))</f>
        <v/>
      </c>
      <c r="J73" s="9">
        <f>INDEX('01_Benchmark_Input'!$C$2:$C$10,MATCH(B73,'01_Benchmark_Input'!$A$2:$A$10,0))</f>
        <v/>
      </c>
      <c r="K73" s="10">
        <f>IF(A73="Bear",INDEX('01_Benchmark_Input'!$K$2:$K$10,MATCH(B73,'01_Benchmark_Input'!$A$2:$A$10,0)),IF(A73="Bull",INDEX('01_Benchmark_Input'!$M$2:$M$10,MATCH(B73,'01_Benchmark_Input'!$A$2:$A$10,0)),INDEX('01_Benchmark_Input'!$L$2:$L$10,MATCH(B73,'01_Benchmark_Input'!$A$2:$A$10,0)))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7" t="n">
        <v>5.25</v>
      </c>
      <c r="E74" s="8" t="n">
        <v>0.61904762</v>
      </c>
      <c r="F74" s="7" t="n">
        <v>1.18</v>
      </c>
      <c r="G74" s="8" t="n">
        <v>0.86</v>
      </c>
      <c r="H74" s="8" t="n">
        <v>0.63</v>
      </c>
      <c r="I74" s="9">
        <f>INDEX('01_Benchmark_Input'!$B$2:$B$10,MATCH(B74,'01_Benchmark_Input'!$A$2:$A$10,0))</f>
        <v/>
      </c>
      <c r="J74" s="9">
        <f>INDEX('01_Benchmark_Input'!$C$2:$C$10,MATCH(B74,'01_Benchmark_Input'!$A$2:$A$10,0))</f>
        <v/>
      </c>
      <c r="K74" s="10">
        <f>IF(A74="Bear",INDEX('01_Benchmark_Input'!$K$2:$K$10,MATCH(B74,'01_Benchmark_Input'!$A$2:$A$10,0)),IF(A74="Bull",INDEX('01_Benchmark_Input'!$M$2:$M$10,MATCH(B74,'01_Benchmark_Input'!$A$2:$A$10,0)),INDEX('01_Benchmark_Input'!$L$2:$L$10,MATCH(B74,'01_Benchmark_Input'!$A$2:$A$10,0)))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7" t="n">
        <v>6.125</v>
      </c>
      <c r="E75" s="8" t="n">
        <v>0.71428571</v>
      </c>
      <c r="F75" s="7" t="n">
        <v>1.18</v>
      </c>
      <c r="G75" s="8" t="n">
        <v>0.86</v>
      </c>
      <c r="H75" s="8" t="n">
        <v>0.6850000000000001</v>
      </c>
      <c r="I75" s="9">
        <f>INDEX('01_Benchmark_Input'!$B$2:$B$10,MATCH(B75,'01_Benchmark_Input'!$A$2:$A$10,0))</f>
        <v/>
      </c>
      <c r="J75" s="9">
        <f>INDEX('01_Benchmark_Input'!$C$2:$C$10,MATCH(B75,'01_Benchmark_Input'!$A$2:$A$10,0))</f>
        <v/>
      </c>
      <c r="K75" s="10">
        <f>IF(A75="Bear",INDEX('01_Benchmark_Input'!$K$2:$K$10,MATCH(B75,'01_Benchmark_Input'!$A$2:$A$10,0)),IF(A75="Bull",INDEX('01_Benchmark_Input'!$M$2:$M$10,MATCH(B75,'01_Benchmark_Input'!$A$2:$A$10,0)),INDEX('01_Benchmark_Input'!$L$2:$L$10,MATCH(B75,'01_Benchmark_Input'!$A$2:$A$10,0)))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7" t="n">
        <v>7</v>
      </c>
      <c r="E76" s="8" t="n">
        <v>0.78571429</v>
      </c>
      <c r="F76" s="7" t="n">
        <v>1.18</v>
      </c>
      <c r="G76" s="8" t="n">
        <v>0.86</v>
      </c>
      <c r="H76" s="8" t="n">
        <v>0.74</v>
      </c>
      <c r="I76" s="9">
        <f>INDEX('01_Benchmark_Input'!$B$2:$B$10,MATCH(B76,'01_Benchmark_Input'!$A$2:$A$10,0))</f>
        <v/>
      </c>
      <c r="J76" s="9">
        <f>INDEX('01_Benchmark_Input'!$C$2:$C$10,MATCH(B76,'01_Benchmark_Input'!$A$2:$A$10,0))</f>
        <v/>
      </c>
      <c r="K76" s="10">
        <f>IF(A76="Bear",INDEX('01_Benchmark_Input'!$K$2:$K$10,MATCH(B76,'01_Benchmark_Input'!$A$2:$A$10,0)),IF(A76="Bull",INDEX('01_Benchmark_Input'!$M$2:$M$10,MATCH(B76,'01_Benchmark_Input'!$A$2:$A$10,0)),INDEX('01_Benchmark_Input'!$L$2:$L$10,MATCH(B76,'01_Benchmark_Input'!$A$2:$A$10,0)))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7" t="n">
        <v>0.5</v>
      </c>
      <c r="E77" s="8" t="n">
        <v>0.3</v>
      </c>
      <c r="F77" s="7" t="n">
        <v>1.24</v>
      </c>
      <c r="G77" s="8" t="n">
        <v>0.82</v>
      </c>
      <c r="H77" s="8" t="n">
        <v>0.62</v>
      </c>
      <c r="I77" s="9">
        <f>INDEX('01_Benchmark_Input'!$B$2:$B$10,MATCH(B77,'01_Benchmark_Input'!$A$2:$A$10,0))</f>
        <v/>
      </c>
      <c r="J77" s="9">
        <f>INDEX('01_Benchmark_Input'!$C$2:$C$10,MATCH(B77,'01_Benchmark_Input'!$A$2:$A$10,0))</f>
        <v/>
      </c>
      <c r="K77" s="10">
        <f>IF(A77="Bear",INDEX('01_Benchmark_Input'!$K$2:$K$10,MATCH(B77,'01_Benchmark_Input'!$A$2:$A$10,0)),IF(A77="Bull",INDEX('01_Benchmark_Input'!$M$2:$M$10,MATCH(B77,'01_Benchmark_Input'!$A$2:$A$10,0)),INDEX('01_Benchmark_Input'!$L$2:$L$10,MATCH(B77,'01_Benchmark_Input'!$A$2:$A$10,0)))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7" t="n">
        <v>0.825</v>
      </c>
      <c r="E78" s="8" t="n">
        <v>0.49939394</v>
      </c>
      <c r="F78" s="7" t="n">
        <v>1.24</v>
      </c>
      <c r="G78" s="8" t="n">
        <v>0.82</v>
      </c>
      <c r="H78" s="8" t="n">
        <v>0.67</v>
      </c>
      <c r="I78" s="9">
        <f>INDEX('01_Benchmark_Input'!$B$2:$B$10,MATCH(B78,'01_Benchmark_Input'!$A$2:$A$10,0))</f>
        <v/>
      </c>
      <c r="J78" s="9">
        <f>INDEX('01_Benchmark_Input'!$C$2:$C$10,MATCH(B78,'01_Benchmark_Input'!$A$2:$A$10,0))</f>
        <v/>
      </c>
      <c r="K78" s="10">
        <f>IF(A78="Bear",INDEX('01_Benchmark_Input'!$K$2:$K$10,MATCH(B78,'01_Benchmark_Input'!$A$2:$A$10,0)),IF(A78="Bull",INDEX('01_Benchmark_Input'!$M$2:$M$10,MATCH(B78,'01_Benchmark_Input'!$A$2:$A$10,0)),INDEX('01_Benchmark_Input'!$L$2:$L$10,MATCH(B78,'01_Benchmark_Input'!$A$2:$A$10,0)))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7" t="n">
        <v>1.15</v>
      </c>
      <c r="E79" s="8" t="n">
        <v>0.58695652</v>
      </c>
      <c r="F79" s="7" t="n">
        <v>1.24</v>
      </c>
      <c r="G79" s="8" t="n">
        <v>0.82</v>
      </c>
      <c r="H79" s="8" t="n">
        <v>0.72</v>
      </c>
      <c r="I79" s="9">
        <f>INDEX('01_Benchmark_Input'!$B$2:$B$10,MATCH(B79,'01_Benchmark_Input'!$A$2:$A$10,0))</f>
        <v/>
      </c>
      <c r="J79" s="9">
        <f>INDEX('01_Benchmark_Input'!$C$2:$C$10,MATCH(B79,'01_Benchmark_Input'!$A$2:$A$10,0))</f>
        <v/>
      </c>
      <c r="K79" s="10">
        <f>IF(A79="Bear",INDEX('01_Benchmark_Input'!$K$2:$K$10,MATCH(B79,'01_Benchmark_Input'!$A$2:$A$10,0)),IF(A79="Bull",INDEX('01_Benchmark_Input'!$M$2:$M$10,MATCH(B79,'01_Benchmark_Input'!$A$2:$A$10,0)),INDEX('01_Benchmark_Input'!$L$2:$L$10,MATCH(B79,'01_Benchmark_Input'!$A$2:$A$10,0)))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7" t="n">
        <v>1.475</v>
      </c>
      <c r="E80" s="8" t="n">
        <v>0.6359321999999999</v>
      </c>
      <c r="F80" s="7" t="n">
        <v>1.24</v>
      </c>
      <c r="G80" s="8" t="n">
        <v>0.82</v>
      </c>
      <c r="H80" s="8" t="n">
        <v>0.77</v>
      </c>
      <c r="I80" s="9">
        <f>INDEX('01_Benchmark_Input'!$B$2:$B$10,MATCH(B80,'01_Benchmark_Input'!$A$2:$A$10,0))</f>
        <v/>
      </c>
      <c r="J80" s="9">
        <f>INDEX('01_Benchmark_Input'!$C$2:$C$10,MATCH(B80,'01_Benchmark_Input'!$A$2:$A$10,0))</f>
        <v/>
      </c>
      <c r="K80" s="10">
        <f>IF(A80="Bear",INDEX('01_Benchmark_Input'!$K$2:$K$10,MATCH(B80,'01_Benchmark_Input'!$A$2:$A$10,0)),IF(A80="Bull",INDEX('01_Benchmark_Input'!$M$2:$M$10,MATCH(B80,'01_Benchmark_Input'!$A$2:$A$10,0)),INDEX('01_Benchmark_Input'!$L$2:$L$10,MATCH(B80,'01_Benchmark_Input'!$A$2:$A$10,0)))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7" t="n">
        <v>1.8</v>
      </c>
      <c r="E81" s="8" t="n">
        <v>0.66666667</v>
      </c>
      <c r="F81" s="7" t="n">
        <v>1.24</v>
      </c>
      <c r="G81" s="8" t="n">
        <v>0.82</v>
      </c>
      <c r="H81" s="8" t="n">
        <v>0.82</v>
      </c>
      <c r="I81" s="9">
        <f>INDEX('01_Benchmark_Input'!$B$2:$B$10,MATCH(B81,'01_Benchmark_Input'!$A$2:$A$10,0))</f>
        <v/>
      </c>
      <c r="J81" s="9">
        <f>INDEX('01_Benchmark_Input'!$C$2:$C$10,MATCH(B81,'01_Benchmark_Input'!$A$2:$A$10,0))</f>
        <v/>
      </c>
      <c r="K81" s="10">
        <f>IF(A81="Bear",INDEX('01_Benchmark_Input'!$K$2:$K$10,MATCH(B81,'01_Benchmark_Input'!$A$2:$A$10,0)),IF(A81="Bull",INDEX('01_Benchmark_Input'!$M$2:$M$10,MATCH(B81,'01_Benchmark_Input'!$A$2:$A$10,0)),INDEX('01_Benchmark_Input'!$L$2:$L$10,MATCH(B81,'01_Benchmark_Input'!$A$2:$A$10,0)))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7" t="n">
        <v>1.8</v>
      </c>
      <c r="E82" s="8" t="n">
        <v>0.36111111</v>
      </c>
      <c r="F82" s="7" t="n">
        <v>1.23</v>
      </c>
      <c r="G82" s="8" t="n">
        <v>0.84</v>
      </c>
      <c r="H82" s="8" t="n">
        <v>0.6</v>
      </c>
      <c r="I82" s="9">
        <f>INDEX('01_Benchmark_Input'!$B$2:$B$10,MATCH(B82,'01_Benchmark_Input'!$A$2:$A$10,0))</f>
        <v/>
      </c>
      <c r="J82" s="9">
        <f>INDEX('01_Benchmark_Input'!$C$2:$C$10,MATCH(B82,'01_Benchmark_Input'!$A$2:$A$10,0))</f>
        <v/>
      </c>
      <c r="K82" s="10">
        <f>IF(A82="Bear",INDEX('01_Benchmark_Input'!$K$2:$K$10,MATCH(B82,'01_Benchmark_Input'!$A$2:$A$10,0)),IF(A82="Bull",INDEX('01_Benchmark_Input'!$M$2:$M$10,MATCH(B82,'01_Benchmark_Input'!$A$2:$A$10,0)),INDEX('01_Benchmark_Input'!$L$2:$L$10,MATCH(B82,'01_Benchmark_Input'!$A$2:$A$10,0)))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7" t="n">
        <v>2.35</v>
      </c>
      <c r="E83" s="8" t="n">
        <v>0.54808511</v>
      </c>
      <c r="F83" s="7" t="n">
        <v>1.23</v>
      </c>
      <c r="G83" s="8" t="n">
        <v>0.84</v>
      </c>
      <c r="H83" s="8" t="n">
        <v>0.65</v>
      </c>
      <c r="I83" s="9">
        <f>INDEX('01_Benchmark_Input'!$B$2:$B$10,MATCH(B83,'01_Benchmark_Input'!$A$2:$A$10,0))</f>
        <v/>
      </c>
      <c r="J83" s="9">
        <f>INDEX('01_Benchmark_Input'!$C$2:$C$10,MATCH(B83,'01_Benchmark_Input'!$A$2:$A$10,0))</f>
        <v/>
      </c>
      <c r="K83" s="10">
        <f>IF(A83="Bear",INDEX('01_Benchmark_Input'!$K$2:$K$10,MATCH(B83,'01_Benchmark_Input'!$A$2:$A$10,0)),IF(A83="Bull",INDEX('01_Benchmark_Input'!$M$2:$M$10,MATCH(B83,'01_Benchmark_Input'!$A$2:$A$10,0)),INDEX('01_Benchmark_Input'!$L$2:$L$10,MATCH(B83,'01_Benchmark_Input'!$A$2:$A$10,0)))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7" t="n">
        <v>2.9</v>
      </c>
      <c r="E84" s="8" t="n">
        <v>0.6637931</v>
      </c>
      <c r="F84" s="7" t="n">
        <v>1.23</v>
      </c>
      <c r="G84" s="8" t="n">
        <v>0.84</v>
      </c>
      <c r="H84" s="8" t="n">
        <v>0.7</v>
      </c>
      <c r="I84" s="9">
        <f>INDEX('01_Benchmark_Input'!$B$2:$B$10,MATCH(B84,'01_Benchmark_Input'!$A$2:$A$10,0))</f>
        <v/>
      </c>
      <c r="J84" s="9">
        <f>INDEX('01_Benchmark_Input'!$C$2:$C$10,MATCH(B84,'01_Benchmark_Input'!$A$2:$A$10,0))</f>
        <v/>
      </c>
      <c r="K84" s="10">
        <f>IF(A84="Bear",INDEX('01_Benchmark_Input'!$K$2:$K$10,MATCH(B84,'01_Benchmark_Input'!$A$2:$A$10,0)),IF(A84="Bull",INDEX('01_Benchmark_Input'!$M$2:$M$10,MATCH(B84,'01_Benchmark_Input'!$A$2:$A$10,0)),INDEX('01_Benchmark_Input'!$L$2:$L$10,MATCH(B84,'01_Benchmark_Input'!$A$2:$A$10,0)))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7" t="n">
        <v>3.45</v>
      </c>
      <c r="E85" s="8" t="n">
        <v>0.7426087</v>
      </c>
      <c r="F85" s="7" t="n">
        <v>1.23</v>
      </c>
      <c r="G85" s="8" t="n">
        <v>0.84</v>
      </c>
      <c r="H85" s="8" t="n">
        <v>0.75</v>
      </c>
      <c r="I85" s="9">
        <f>INDEX('01_Benchmark_Input'!$B$2:$B$10,MATCH(B85,'01_Benchmark_Input'!$A$2:$A$10,0))</f>
        <v/>
      </c>
      <c r="J85" s="9">
        <f>INDEX('01_Benchmark_Input'!$C$2:$C$10,MATCH(B85,'01_Benchmark_Input'!$A$2:$A$10,0))</f>
        <v/>
      </c>
      <c r="K85" s="10">
        <f>IF(A85="Bear",INDEX('01_Benchmark_Input'!$K$2:$K$10,MATCH(B85,'01_Benchmark_Input'!$A$2:$A$10,0)),IF(A85="Bull",INDEX('01_Benchmark_Input'!$M$2:$M$10,MATCH(B85,'01_Benchmark_Input'!$A$2:$A$10,0)),INDEX('01_Benchmark_Input'!$L$2:$L$10,MATCH(B85,'01_Benchmark_Input'!$A$2:$A$10,0)))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7" t="n">
        <v>4</v>
      </c>
      <c r="E86" s="8" t="n">
        <v>0.8</v>
      </c>
      <c r="F86" s="7" t="n">
        <v>1.23</v>
      </c>
      <c r="G86" s="8" t="n">
        <v>0.84</v>
      </c>
      <c r="H86" s="8" t="n">
        <v>0.8</v>
      </c>
      <c r="I86" s="9">
        <f>INDEX('01_Benchmark_Input'!$B$2:$B$10,MATCH(B86,'01_Benchmark_Input'!$A$2:$A$10,0))</f>
        <v/>
      </c>
      <c r="J86" s="9">
        <f>INDEX('01_Benchmark_Input'!$C$2:$C$10,MATCH(B86,'01_Benchmark_Input'!$A$2:$A$10,0))</f>
        <v/>
      </c>
      <c r="K86" s="10">
        <f>IF(A86="Bear",INDEX('01_Benchmark_Input'!$K$2:$K$10,MATCH(B86,'01_Benchmark_Input'!$A$2:$A$10,0)),IF(A86="Bull",INDEX('01_Benchmark_Input'!$M$2:$M$10,MATCH(B86,'01_Benchmark_Input'!$A$2:$A$10,0)),INDEX('01_Benchmark_Input'!$L$2:$L$10,MATCH(B86,'01_Benchmark_Input'!$A$2:$A$10,0)))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7" t="n">
        <v>1.2</v>
      </c>
      <c r="E87" s="8" t="n">
        <v>0.375</v>
      </c>
      <c r="F87" s="7" t="n">
        <v>1.23</v>
      </c>
      <c r="G87" s="8" t="n">
        <v>0.84</v>
      </c>
      <c r="H87" s="8" t="n">
        <v>0.6</v>
      </c>
      <c r="I87" s="9">
        <f>INDEX('01_Benchmark_Input'!$B$2:$B$10,MATCH(B87,'01_Benchmark_Input'!$A$2:$A$10,0))</f>
        <v/>
      </c>
      <c r="J87" s="9">
        <f>INDEX('01_Benchmark_Input'!$C$2:$C$10,MATCH(B87,'01_Benchmark_Input'!$A$2:$A$10,0))</f>
        <v/>
      </c>
      <c r="K87" s="10">
        <f>IF(A87="Bear",INDEX('01_Benchmark_Input'!$K$2:$K$10,MATCH(B87,'01_Benchmark_Input'!$A$2:$A$10,0)),IF(A87="Bull",INDEX('01_Benchmark_Input'!$M$2:$M$10,MATCH(B87,'01_Benchmark_Input'!$A$2:$A$10,0)),INDEX('01_Benchmark_Input'!$L$2:$L$10,MATCH(B87,'01_Benchmark_Input'!$A$2:$A$10,0)))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7" t="n">
        <v>1.65</v>
      </c>
      <c r="E88" s="8" t="n">
        <v>0.56848485</v>
      </c>
      <c r="F88" s="7" t="n">
        <v>1.23</v>
      </c>
      <c r="G88" s="8" t="n">
        <v>0.84</v>
      </c>
      <c r="H88" s="8" t="n">
        <v>0.65</v>
      </c>
      <c r="I88" s="9">
        <f>INDEX('01_Benchmark_Input'!$B$2:$B$10,MATCH(B88,'01_Benchmark_Input'!$A$2:$A$10,0))</f>
        <v/>
      </c>
      <c r="J88" s="9">
        <f>INDEX('01_Benchmark_Input'!$C$2:$C$10,MATCH(B88,'01_Benchmark_Input'!$A$2:$A$10,0))</f>
        <v/>
      </c>
      <c r="K88" s="10">
        <f>IF(A88="Bear",INDEX('01_Benchmark_Input'!$K$2:$K$10,MATCH(B88,'01_Benchmark_Input'!$A$2:$A$10,0)),IF(A88="Bull",INDEX('01_Benchmark_Input'!$M$2:$M$10,MATCH(B88,'01_Benchmark_Input'!$A$2:$A$10,0)),INDEX('01_Benchmark_Input'!$L$2:$L$10,MATCH(B88,'01_Benchmark_Input'!$A$2:$A$10,0)))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7" t="n">
        <v>2.1</v>
      </c>
      <c r="E89" s="8" t="n">
        <v>0.67857143</v>
      </c>
      <c r="F89" s="7" t="n">
        <v>1.23</v>
      </c>
      <c r="G89" s="8" t="n">
        <v>0.84</v>
      </c>
      <c r="H89" s="8" t="n">
        <v>0.7</v>
      </c>
      <c r="I89" s="9">
        <f>INDEX('01_Benchmark_Input'!$B$2:$B$10,MATCH(B89,'01_Benchmark_Input'!$A$2:$A$10,0))</f>
        <v/>
      </c>
      <c r="J89" s="9">
        <f>INDEX('01_Benchmark_Input'!$C$2:$C$10,MATCH(B89,'01_Benchmark_Input'!$A$2:$A$10,0))</f>
        <v/>
      </c>
      <c r="K89" s="10">
        <f>IF(A89="Bear",INDEX('01_Benchmark_Input'!$K$2:$K$10,MATCH(B89,'01_Benchmark_Input'!$A$2:$A$10,0)),IF(A89="Bull",INDEX('01_Benchmark_Input'!$M$2:$M$10,MATCH(B89,'01_Benchmark_Input'!$A$2:$A$10,0)),INDEX('01_Benchmark_Input'!$L$2:$L$10,MATCH(B89,'01_Benchmark_Input'!$A$2:$A$10,0)))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7" t="n">
        <v>2.55</v>
      </c>
      <c r="E90" s="8" t="n">
        <v>0.74980392</v>
      </c>
      <c r="F90" s="7" t="n">
        <v>1.23</v>
      </c>
      <c r="G90" s="8" t="n">
        <v>0.84</v>
      </c>
      <c r="H90" s="8" t="n">
        <v>0.75</v>
      </c>
      <c r="I90" s="9">
        <f>INDEX('01_Benchmark_Input'!$B$2:$B$10,MATCH(B90,'01_Benchmark_Input'!$A$2:$A$10,0))</f>
        <v/>
      </c>
      <c r="J90" s="9">
        <f>INDEX('01_Benchmark_Input'!$C$2:$C$10,MATCH(B90,'01_Benchmark_Input'!$A$2:$A$10,0))</f>
        <v/>
      </c>
      <c r="K90" s="10">
        <f>IF(A90="Bear",INDEX('01_Benchmark_Input'!$K$2:$K$10,MATCH(B90,'01_Benchmark_Input'!$A$2:$A$10,0)),IF(A90="Bull",INDEX('01_Benchmark_Input'!$M$2:$M$10,MATCH(B90,'01_Benchmark_Input'!$A$2:$A$10,0)),INDEX('01_Benchmark_Input'!$L$2:$L$10,MATCH(B90,'01_Benchmark_Input'!$A$2:$A$10,0)))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7" t="n">
        <v>3</v>
      </c>
      <c r="E91" s="8" t="n">
        <v>0.8</v>
      </c>
      <c r="F91" s="7" t="n">
        <v>1.23</v>
      </c>
      <c r="G91" s="8" t="n">
        <v>0.84</v>
      </c>
      <c r="H91" s="8" t="n">
        <v>0.8</v>
      </c>
      <c r="I91" s="9">
        <f>INDEX('01_Benchmark_Input'!$B$2:$B$10,MATCH(B91,'01_Benchmark_Input'!$A$2:$A$10,0))</f>
        <v/>
      </c>
      <c r="J91" s="9">
        <f>INDEX('01_Benchmark_Input'!$C$2:$C$10,MATCH(B91,'01_Benchmark_Input'!$A$2:$A$10,0))</f>
        <v/>
      </c>
      <c r="K91" s="10">
        <f>IF(A91="Bear",INDEX('01_Benchmark_Input'!$K$2:$K$10,MATCH(B91,'01_Benchmark_Input'!$A$2:$A$10,0)),IF(A91="Bull",INDEX('01_Benchmark_Input'!$M$2:$M$10,MATCH(B91,'01_Benchmark_Input'!$A$2:$A$10,0)),INDEX('01_Benchmark_Input'!$L$2:$L$10,MATCH(B91,'01_Benchmark_Input'!$A$2:$A$10,0)))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7" t="n">
        <v>4</v>
      </c>
      <c r="E92" s="8" t="n">
        <v>0.4725</v>
      </c>
      <c r="F92" s="7" t="n">
        <v>1.2</v>
      </c>
      <c r="G92" s="8" t="n">
        <v>0.86</v>
      </c>
      <c r="H92" s="8" t="n">
        <v>0.6</v>
      </c>
      <c r="I92" s="9">
        <f>INDEX('01_Benchmark_Input'!$B$2:$B$10,MATCH(B92,'01_Benchmark_Input'!$A$2:$A$10,0))</f>
        <v/>
      </c>
      <c r="J92" s="9">
        <f>INDEX('01_Benchmark_Input'!$C$2:$C$10,MATCH(B92,'01_Benchmark_Input'!$A$2:$A$10,0))</f>
        <v/>
      </c>
      <c r="K92" s="10">
        <f>IF(A92="Bear",INDEX('01_Benchmark_Input'!$K$2:$K$10,MATCH(B92,'01_Benchmark_Input'!$A$2:$A$10,0)),IF(A92="Bull",INDEX('01_Benchmark_Input'!$M$2:$M$10,MATCH(B92,'01_Benchmark_Input'!$A$2:$A$10,0)),INDEX('01_Benchmark_Input'!$L$2:$L$10,MATCH(B92,'01_Benchmark_Input'!$A$2:$A$10,0)))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7" t="n">
        <v>5.25</v>
      </c>
      <c r="E93" s="8" t="n">
        <v>0.59790476</v>
      </c>
      <c r="F93" s="7" t="n">
        <v>1.2</v>
      </c>
      <c r="G93" s="8" t="n">
        <v>0.86</v>
      </c>
      <c r="H93" s="8" t="n">
        <v>0.658</v>
      </c>
      <c r="I93" s="9">
        <f>INDEX('01_Benchmark_Input'!$B$2:$B$10,MATCH(B93,'01_Benchmark_Input'!$A$2:$A$10,0))</f>
        <v/>
      </c>
      <c r="J93" s="9">
        <f>INDEX('01_Benchmark_Input'!$C$2:$C$10,MATCH(B93,'01_Benchmark_Input'!$A$2:$A$10,0))</f>
        <v/>
      </c>
      <c r="K93" s="10">
        <f>IF(A93="Bear",INDEX('01_Benchmark_Input'!$K$2:$K$10,MATCH(B93,'01_Benchmark_Input'!$A$2:$A$10,0)),IF(A93="Bull",INDEX('01_Benchmark_Input'!$M$2:$M$10,MATCH(B93,'01_Benchmark_Input'!$A$2:$A$10,0)),INDEX('01_Benchmark_Input'!$L$2:$L$10,MATCH(B93,'01_Benchmark_Input'!$A$2:$A$10,0)))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7" t="n">
        <v>6.5</v>
      </c>
      <c r="E94" s="8" t="n">
        <v>0.68615385</v>
      </c>
      <c r="F94" s="7" t="n">
        <v>1.2</v>
      </c>
      <c r="G94" s="8" t="n">
        <v>0.86</v>
      </c>
      <c r="H94" s="8" t="n">
        <v>0.715</v>
      </c>
      <c r="I94" s="9">
        <f>INDEX('01_Benchmark_Input'!$B$2:$B$10,MATCH(B94,'01_Benchmark_Input'!$A$2:$A$10,0))</f>
        <v/>
      </c>
      <c r="J94" s="9">
        <f>INDEX('01_Benchmark_Input'!$C$2:$C$10,MATCH(B94,'01_Benchmark_Input'!$A$2:$A$10,0))</f>
        <v/>
      </c>
      <c r="K94" s="10">
        <f>IF(A94="Bear",INDEX('01_Benchmark_Input'!$K$2:$K$10,MATCH(B94,'01_Benchmark_Input'!$A$2:$A$10,0)),IF(A94="Bull",INDEX('01_Benchmark_Input'!$M$2:$M$10,MATCH(B94,'01_Benchmark_Input'!$A$2:$A$10,0)),INDEX('01_Benchmark_Input'!$L$2:$L$10,MATCH(B94,'01_Benchmark_Input'!$A$2:$A$10,0)))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7" t="n">
        <v>7.75</v>
      </c>
      <c r="E95" s="8" t="n">
        <v>0.75509677</v>
      </c>
      <c r="F95" s="7" t="n">
        <v>1.2</v>
      </c>
      <c r="G95" s="8" t="n">
        <v>0.86</v>
      </c>
      <c r="H95" s="8" t="n">
        <v>0.772</v>
      </c>
      <c r="I95" s="9">
        <f>INDEX('01_Benchmark_Input'!$B$2:$B$10,MATCH(B95,'01_Benchmark_Input'!$A$2:$A$10,0))</f>
        <v/>
      </c>
      <c r="J95" s="9">
        <f>INDEX('01_Benchmark_Input'!$C$2:$C$10,MATCH(B95,'01_Benchmark_Input'!$A$2:$A$10,0))</f>
        <v/>
      </c>
      <c r="K95" s="10">
        <f>IF(A95="Bear",INDEX('01_Benchmark_Input'!$K$2:$K$10,MATCH(B95,'01_Benchmark_Input'!$A$2:$A$10,0)),IF(A95="Bull",INDEX('01_Benchmark_Input'!$M$2:$M$10,MATCH(B95,'01_Benchmark_Input'!$A$2:$A$10,0)),INDEX('01_Benchmark_Input'!$L$2:$L$10,MATCH(B95,'01_Benchmark_Input'!$A$2:$A$10,0)))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7" t="n">
        <v>9</v>
      </c>
      <c r="E96" s="8" t="n">
        <v>0.81288889</v>
      </c>
      <c r="F96" s="7" t="n">
        <v>1.2</v>
      </c>
      <c r="G96" s="8" t="n">
        <v>0.86</v>
      </c>
      <c r="H96" s="8" t="n">
        <v>0.83</v>
      </c>
      <c r="I96" s="9">
        <f>INDEX('01_Benchmark_Input'!$B$2:$B$10,MATCH(B96,'01_Benchmark_Input'!$A$2:$A$10,0))</f>
        <v/>
      </c>
      <c r="J96" s="9">
        <f>INDEX('01_Benchmark_Input'!$C$2:$C$10,MATCH(B96,'01_Benchmark_Input'!$A$2:$A$10,0))</f>
        <v/>
      </c>
      <c r="K96" s="10">
        <f>IF(A96="Bear",INDEX('01_Benchmark_Input'!$K$2:$K$10,MATCH(B96,'01_Benchmark_Input'!$A$2:$A$10,0)),IF(A96="Bull",INDEX('01_Benchmark_Input'!$M$2:$M$10,MATCH(B96,'01_Benchmark_Input'!$A$2:$A$10,0)),INDEX('01_Benchmark_Input'!$L$2:$L$10,MATCH(B96,'01_Benchmark_Input'!$A$2:$A$10,0)))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7" t="n">
        <v>4.5</v>
      </c>
      <c r="E97" s="8" t="n">
        <v>0.51333333</v>
      </c>
      <c r="F97" s="7" t="n">
        <v>1.18</v>
      </c>
      <c r="G97" s="8" t="n">
        <v>0.88</v>
      </c>
      <c r="H97" s="8" t="n">
        <v>0.6</v>
      </c>
      <c r="I97" s="9">
        <f>INDEX('01_Benchmark_Input'!$B$2:$B$10,MATCH(B97,'01_Benchmark_Input'!$A$2:$A$10,0))</f>
        <v/>
      </c>
      <c r="J97" s="9">
        <f>INDEX('01_Benchmark_Input'!$C$2:$C$10,MATCH(B97,'01_Benchmark_Input'!$A$2:$A$10,0))</f>
        <v/>
      </c>
      <c r="K97" s="10">
        <f>IF(A97="Bear",INDEX('01_Benchmark_Input'!$K$2:$K$10,MATCH(B97,'01_Benchmark_Input'!$A$2:$A$10,0)),IF(A97="Bull",INDEX('01_Benchmark_Input'!$M$2:$M$10,MATCH(B97,'01_Benchmark_Input'!$A$2:$A$10,0)),INDEX('01_Benchmark_Input'!$L$2:$L$10,MATCH(B97,'01_Benchmark_Input'!$A$2:$A$10,0)))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7" t="n">
        <v>5.375</v>
      </c>
      <c r="E98" s="8" t="n">
        <v>0.67460465</v>
      </c>
      <c r="F98" s="7" t="n">
        <v>1.18</v>
      </c>
      <c r="G98" s="8" t="n">
        <v>0.88</v>
      </c>
      <c r="H98" s="8" t="n">
        <v>0.65</v>
      </c>
      <c r="I98" s="9">
        <f>INDEX('01_Benchmark_Input'!$B$2:$B$10,MATCH(B98,'01_Benchmark_Input'!$A$2:$A$10,0))</f>
        <v/>
      </c>
      <c r="J98" s="9">
        <f>INDEX('01_Benchmark_Input'!$C$2:$C$10,MATCH(B98,'01_Benchmark_Input'!$A$2:$A$10,0))</f>
        <v/>
      </c>
      <c r="K98" s="10">
        <f>IF(A98="Bear",INDEX('01_Benchmark_Input'!$K$2:$K$10,MATCH(B98,'01_Benchmark_Input'!$A$2:$A$10,0)),IF(A98="Bull",INDEX('01_Benchmark_Input'!$M$2:$M$10,MATCH(B98,'01_Benchmark_Input'!$A$2:$A$10,0)),INDEX('01_Benchmark_Input'!$L$2:$L$10,MATCH(B98,'01_Benchmark_Input'!$A$2:$A$10,0)))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7" t="n">
        <v>6.25</v>
      </c>
      <c r="E99" s="8" t="n">
        <v>0.80288</v>
      </c>
      <c r="F99" s="7" t="n">
        <v>1.18</v>
      </c>
      <c r="G99" s="8" t="n">
        <v>0.88</v>
      </c>
      <c r="H99" s="8" t="n">
        <v>0.7</v>
      </c>
      <c r="I99" s="9">
        <f>INDEX('01_Benchmark_Input'!$B$2:$B$10,MATCH(B99,'01_Benchmark_Input'!$A$2:$A$10,0))</f>
        <v/>
      </c>
      <c r="J99" s="9">
        <f>INDEX('01_Benchmark_Input'!$C$2:$C$10,MATCH(B99,'01_Benchmark_Input'!$A$2:$A$10,0))</f>
        <v/>
      </c>
      <c r="K99" s="10">
        <f>IF(A99="Bear",INDEX('01_Benchmark_Input'!$K$2:$K$10,MATCH(B99,'01_Benchmark_Input'!$A$2:$A$10,0)),IF(A99="Bull",INDEX('01_Benchmark_Input'!$M$2:$M$10,MATCH(B99,'01_Benchmark_Input'!$A$2:$A$10,0)),INDEX('01_Benchmark_Input'!$L$2:$L$10,MATCH(B99,'01_Benchmark_Input'!$A$2:$A$10,0)))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7" t="n">
        <v>7.125</v>
      </c>
      <c r="E100" s="8" t="n">
        <v>0.90989474</v>
      </c>
      <c r="F100" s="7" t="n">
        <v>1.18</v>
      </c>
      <c r="G100" s="8" t="n">
        <v>0.88</v>
      </c>
      <c r="H100" s="8" t="n">
        <v>0.75</v>
      </c>
      <c r="I100" s="9">
        <f>INDEX('01_Benchmark_Input'!$B$2:$B$10,MATCH(B100,'01_Benchmark_Input'!$A$2:$A$10,0))</f>
        <v/>
      </c>
      <c r="J100" s="9">
        <f>INDEX('01_Benchmark_Input'!$C$2:$C$10,MATCH(B100,'01_Benchmark_Input'!$A$2:$A$10,0))</f>
        <v/>
      </c>
      <c r="K100" s="10">
        <f>IF(A100="Bear",INDEX('01_Benchmark_Input'!$K$2:$K$10,MATCH(B100,'01_Benchmark_Input'!$A$2:$A$10,0)),IF(A100="Bull",INDEX('01_Benchmark_Input'!$M$2:$M$10,MATCH(B100,'01_Benchmark_Input'!$A$2:$A$10,0)),INDEX('01_Benchmark_Input'!$L$2:$L$10,MATCH(B100,'01_Benchmark_Input'!$A$2:$A$10,0)))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7" t="n">
        <v>8</v>
      </c>
      <c r="E101" s="8" t="n">
        <v>1</v>
      </c>
      <c r="F101" s="7" t="n">
        <v>1.18</v>
      </c>
      <c r="G101" s="8" t="n">
        <v>0.88</v>
      </c>
      <c r="H101" s="8" t="n">
        <v>0.8</v>
      </c>
      <c r="I101" s="9">
        <f>INDEX('01_Benchmark_Input'!$B$2:$B$10,MATCH(B101,'01_Benchmark_Input'!$A$2:$A$10,0))</f>
        <v/>
      </c>
      <c r="J101" s="9">
        <f>INDEX('01_Benchmark_Input'!$C$2:$C$10,MATCH(B101,'01_Benchmark_Input'!$A$2:$A$10,0))</f>
        <v/>
      </c>
      <c r="K101" s="10">
        <f>IF(A101="Bear",INDEX('01_Benchmark_Input'!$K$2:$K$10,MATCH(B101,'01_Benchmark_Input'!$A$2:$A$10,0)),IF(A101="Bull",INDEX('01_Benchmark_Input'!$M$2:$M$10,MATCH(B101,'01_Benchmark_Input'!$A$2:$A$10,0)),INDEX('01_Benchmark_Input'!$L$2:$L$10,MATCH(B101,'01_Benchmark_Input'!$A$2:$A$10,0)))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7" t="n">
        <v>3.5</v>
      </c>
      <c r="E102" s="8" t="n">
        <v>0.48</v>
      </c>
      <c r="F102" s="7" t="n">
        <v>1.2</v>
      </c>
      <c r="G102" s="8" t="n">
        <v>0.87</v>
      </c>
      <c r="H102" s="8" t="n">
        <v>0.63</v>
      </c>
      <c r="I102" s="9">
        <f>INDEX('01_Benchmark_Input'!$B$2:$B$10,MATCH(B102,'01_Benchmark_Input'!$A$2:$A$10,0))</f>
        <v/>
      </c>
      <c r="J102" s="9">
        <f>INDEX('01_Benchmark_Input'!$C$2:$C$10,MATCH(B102,'01_Benchmark_Input'!$A$2:$A$10,0))</f>
        <v/>
      </c>
      <c r="K102" s="10">
        <f>IF(A102="Bear",INDEX('01_Benchmark_Input'!$K$2:$K$10,MATCH(B102,'01_Benchmark_Input'!$A$2:$A$10,0)),IF(A102="Bull",INDEX('01_Benchmark_Input'!$M$2:$M$10,MATCH(B102,'01_Benchmark_Input'!$A$2:$A$10,0)),INDEX('01_Benchmark_Input'!$L$2:$L$10,MATCH(B102,'01_Benchmark_Input'!$A$2:$A$10,0)))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7" t="n">
        <v>4.375</v>
      </c>
      <c r="E103" s="8" t="n">
        <v>0.65577143</v>
      </c>
      <c r="F103" s="7" t="n">
        <v>1.2</v>
      </c>
      <c r="G103" s="8" t="n">
        <v>0.87</v>
      </c>
      <c r="H103" s="8" t="n">
        <v>0.6879999999999999</v>
      </c>
      <c r="I103" s="9">
        <f>INDEX('01_Benchmark_Input'!$B$2:$B$10,MATCH(B103,'01_Benchmark_Input'!$A$2:$A$10,0))</f>
        <v/>
      </c>
      <c r="J103" s="9">
        <f>INDEX('01_Benchmark_Input'!$C$2:$C$10,MATCH(B103,'01_Benchmark_Input'!$A$2:$A$10,0))</f>
        <v/>
      </c>
      <c r="K103" s="10">
        <f>IF(A103="Bear",INDEX('01_Benchmark_Input'!$K$2:$K$10,MATCH(B103,'01_Benchmark_Input'!$A$2:$A$10,0)),IF(A103="Bull",INDEX('01_Benchmark_Input'!$M$2:$M$10,MATCH(B103,'01_Benchmark_Input'!$A$2:$A$10,0)),INDEX('01_Benchmark_Input'!$L$2:$L$10,MATCH(B103,'01_Benchmark_Input'!$A$2:$A$10,0)))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7" t="n">
        <v>5.25</v>
      </c>
      <c r="E104" s="8" t="n">
        <v>0.78571429</v>
      </c>
      <c r="F104" s="7" t="n">
        <v>1.2</v>
      </c>
      <c r="G104" s="8" t="n">
        <v>0.87</v>
      </c>
      <c r="H104" s="8" t="n">
        <v>0.745</v>
      </c>
      <c r="I104" s="9">
        <f>INDEX('01_Benchmark_Input'!$B$2:$B$10,MATCH(B104,'01_Benchmark_Input'!$A$2:$A$10,0))</f>
        <v/>
      </c>
      <c r="J104" s="9">
        <f>INDEX('01_Benchmark_Input'!$C$2:$C$10,MATCH(B104,'01_Benchmark_Input'!$A$2:$A$10,0))</f>
        <v/>
      </c>
      <c r="K104" s="10">
        <f>IF(A104="Bear",INDEX('01_Benchmark_Input'!$K$2:$K$10,MATCH(B104,'01_Benchmark_Input'!$A$2:$A$10,0)),IF(A104="Bull",INDEX('01_Benchmark_Input'!$M$2:$M$10,MATCH(B104,'01_Benchmark_Input'!$A$2:$A$10,0)),INDEX('01_Benchmark_Input'!$L$2:$L$10,MATCH(B104,'01_Benchmark_Input'!$A$2:$A$10,0)))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7" t="n">
        <v>6.125</v>
      </c>
      <c r="E105" s="8" t="n">
        <v>0.88995918</v>
      </c>
      <c r="F105" s="7" t="n">
        <v>1.2</v>
      </c>
      <c r="G105" s="8" t="n">
        <v>0.87</v>
      </c>
      <c r="H105" s="8" t="n">
        <v>0.802</v>
      </c>
      <c r="I105" s="9">
        <f>INDEX('01_Benchmark_Input'!$B$2:$B$10,MATCH(B105,'01_Benchmark_Input'!$A$2:$A$10,0))</f>
        <v/>
      </c>
      <c r="J105" s="9">
        <f>INDEX('01_Benchmark_Input'!$C$2:$C$10,MATCH(B105,'01_Benchmark_Input'!$A$2:$A$10,0))</f>
        <v/>
      </c>
      <c r="K105" s="10">
        <f>IF(A105="Bear",INDEX('01_Benchmark_Input'!$K$2:$K$10,MATCH(B105,'01_Benchmark_Input'!$A$2:$A$10,0)),IF(A105="Bull",INDEX('01_Benchmark_Input'!$M$2:$M$10,MATCH(B105,'01_Benchmark_Input'!$A$2:$A$10,0)),INDEX('01_Benchmark_Input'!$L$2:$L$10,MATCH(B105,'01_Benchmark_Input'!$A$2:$A$10,0)))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7" t="n">
        <v>7</v>
      </c>
      <c r="E106" s="8" t="n">
        <v>0.97771429</v>
      </c>
      <c r="F106" s="7" t="n">
        <v>1.2</v>
      </c>
      <c r="G106" s="8" t="n">
        <v>0.87</v>
      </c>
      <c r="H106" s="8" t="n">
        <v>0.86</v>
      </c>
      <c r="I106" s="9">
        <f>INDEX('01_Benchmark_Input'!$B$2:$B$10,MATCH(B106,'01_Benchmark_Input'!$A$2:$A$10,0))</f>
        <v/>
      </c>
      <c r="J106" s="9">
        <f>INDEX('01_Benchmark_Input'!$C$2:$C$10,MATCH(B106,'01_Benchmark_Input'!$A$2:$A$10,0))</f>
        <v/>
      </c>
      <c r="K106" s="10">
        <f>IF(A106="Bear",INDEX('01_Benchmark_Input'!$K$2:$K$10,MATCH(B106,'01_Benchmark_Input'!$A$2:$A$10,0)),IF(A106="Bull",INDEX('01_Benchmark_Input'!$M$2:$M$10,MATCH(B106,'01_Benchmark_Input'!$A$2:$A$10,0)),INDEX('01_Benchmark_Input'!$L$2:$L$10,MATCH(B106,'01_Benchmark_Input'!$A$2:$A$10,0)))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7" t="n">
        <v>1</v>
      </c>
      <c r="E107" s="8" t="n">
        <v>0.367</v>
      </c>
      <c r="F107" s="7" t="n">
        <v>1.22</v>
      </c>
      <c r="G107" s="8" t="n">
        <v>0.85</v>
      </c>
      <c r="H107" s="8" t="n">
        <v>0.5</v>
      </c>
      <c r="I107" s="9">
        <f>INDEX('01_Benchmark_Input'!$B$2:$B$10,MATCH(B107,'01_Benchmark_Input'!$A$2:$A$10,0))</f>
        <v/>
      </c>
      <c r="J107" s="9">
        <f>INDEX('01_Benchmark_Input'!$C$2:$C$10,MATCH(B107,'01_Benchmark_Input'!$A$2:$A$10,0))</f>
        <v/>
      </c>
      <c r="K107" s="10">
        <f>IF(A107="Bear",INDEX('01_Benchmark_Input'!$K$2:$K$10,MATCH(B107,'01_Benchmark_Input'!$A$2:$A$10,0)),IF(A107="Bull",INDEX('01_Benchmark_Input'!$M$2:$M$10,MATCH(B107,'01_Benchmark_Input'!$A$2:$A$10,0)),INDEX('01_Benchmark_Input'!$L$2:$L$10,MATCH(B107,'01_Benchmark_Input'!$A$2:$A$10,0)))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7" t="n">
        <v>1.5</v>
      </c>
      <c r="E108" s="8" t="n">
        <v>0.64066667</v>
      </c>
      <c r="F108" s="7" t="n">
        <v>1.22</v>
      </c>
      <c r="G108" s="8" t="n">
        <v>0.85</v>
      </c>
      <c r="H108" s="8" t="n">
        <v>0.57</v>
      </c>
      <c r="I108" s="9">
        <f>INDEX('01_Benchmark_Input'!$B$2:$B$10,MATCH(B108,'01_Benchmark_Input'!$A$2:$A$10,0))</f>
        <v/>
      </c>
      <c r="J108" s="9">
        <f>INDEX('01_Benchmark_Input'!$C$2:$C$10,MATCH(B108,'01_Benchmark_Input'!$A$2:$A$10,0))</f>
        <v/>
      </c>
      <c r="K108" s="10">
        <f>IF(A108="Bear",INDEX('01_Benchmark_Input'!$K$2:$K$10,MATCH(B108,'01_Benchmark_Input'!$A$2:$A$10,0)),IF(A108="Bull",INDEX('01_Benchmark_Input'!$M$2:$M$10,MATCH(B108,'01_Benchmark_Input'!$A$2:$A$10,0)),INDEX('01_Benchmark_Input'!$L$2:$L$10,MATCH(B108,'01_Benchmark_Input'!$A$2:$A$10,0)))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7" t="n">
        <v>2</v>
      </c>
      <c r="E109" s="8" t="n">
        <v>0.7945</v>
      </c>
      <c r="F109" s="7" t="n">
        <v>1.22</v>
      </c>
      <c r="G109" s="8" t="n">
        <v>0.85</v>
      </c>
      <c r="H109" s="8" t="n">
        <v>0.64</v>
      </c>
      <c r="I109" s="9">
        <f>INDEX('01_Benchmark_Input'!$B$2:$B$10,MATCH(B109,'01_Benchmark_Input'!$A$2:$A$10,0))</f>
        <v/>
      </c>
      <c r="J109" s="9">
        <f>INDEX('01_Benchmark_Input'!$C$2:$C$10,MATCH(B109,'01_Benchmark_Input'!$A$2:$A$10,0))</f>
        <v/>
      </c>
      <c r="K109" s="10">
        <f>IF(A109="Bear",INDEX('01_Benchmark_Input'!$K$2:$K$10,MATCH(B109,'01_Benchmark_Input'!$A$2:$A$10,0)),IF(A109="Bull",INDEX('01_Benchmark_Input'!$M$2:$M$10,MATCH(B109,'01_Benchmark_Input'!$A$2:$A$10,0)),INDEX('01_Benchmark_Input'!$L$2:$L$10,MATCH(B109,'01_Benchmark_Input'!$A$2:$A$10,0)))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7" t="n">
        <v>2.5</v>
      </c>
      <c r="E110" s="8" t="n">
        <v>0.9008</v>
      </c>
      <c r="F110" s="7" t="n">
        <v>1.22</v>
      </c>
      <c r="G110" s="8" t="n">
        <v>0.85</v>
      </c>
      <c r="H110" s="8" t="n">
        <v>0.71</v>
      </c>
      <c r="I110" s="9">
        <f>INDEX('01_Benchmark_Input'!$B$2:$B$10,MATCH(B110,'01_Benchmark_Input'!$A$2:$A$10,0))</f>
        <v/>
      </c>
      <c r="J110" s="9">
        <f>INDEX('01_Benchmark_Input'!$C$2:$C$10,MATCH(B110,'01_Benchmark_Input'!$A$2:$A$10,0))</f>
        <v/>
      </c>
      <c r="K110" s="10">
        <f>IF(A110="Bear",INDEX('01_Benchmark_Input'!$K$2:$K$10,MATCH(B110,'01_Benchmark_Input'!$A$2:$A$10,0)),IF(A110="Bull",INDEX('01_Benchmark_Input'!$M$2:$M$10,MATCH(B110,'01_Benchmark_Input'!$A$2:$A$10,0)),INDEX('01_Benchmark_Input'!$L$2:$L$10,MATCH(B110,'01_Benchmark_Input'!$A$2:$A$10,0)))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7" t="n">
        <v>3</v>
      </c>
      <c r="E111" s="8" t="n">
        <v>0.98333333</v>
      </c>
      <c r="F111" s="7" t="n">
        <v>1.22</v>
      </c>
      <c r="G111" s="8" t="n">
        <v>0.85</v>
      </c>
      <c r="H111" s="8" t="n">
        <v>0.78</v>
      </c>
      <c r="I111" s="9">
        <f>INDEX('01_Benchmark_Input'!$B$2:$B$10,MATCH(B111,'01_Benchmark_Input'!$A$2:$A$10,0))</f>
        <v/>
      </c>
      <c r="J111" s="9">
        <f>INDEX('01_Benchmark_Input'!$C$2:$C$10,MATCH(B111,'01_Benchmark_Input'!$A$2:$A$10,0))</f>
        <v/>
      </c>
      <c r="K111" s="10">
        <f>IF(A111="Bear",INDEX('01_Benchmark_Input'!$K$2:$K$10,MATCH(B111,'01_Benchmark_Input'!$A$2:$A$10,0)),IF(A111="Bull",INDEX('01_Benchmark_Input'!$M$2:$M$10,MATCH(B111,'01_Benchmark_Input'!$A$2:$A$10,0)),INDEX('01_Benchmark_Input'!$L$2:$L$10,MATCH(B111,'01_Benchmark_Input'!$A$2:$A$10,0)))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7" t="n">
        <v>5</v>
      </c>
      <c r="E112" s="8" t="n">
        <v>0.294</v>
      </c>
      <c r="F112" s="7" t="n">
        <v>1.2</v>
      </c>
      <c r="G112" s="8" t="n">
        <v>0.88</v>
      </c>
      <c r="H112" s="8" t="n">
        <v>0.63</v>
      </c>
      <c r="I112" s="9">
        <f>INDEX('01_Benchmark_Input'!$B$2:$B$10,MATCH(B112,'01_Benchmark_Input'!$A$2:$A$10,0))</f>
        <v/>
      </c>
      <c r="J112" s="9">
        <f>INDEX('01_Benchmark_Input'!$C$2:$C$10,MATCH(B112,'01_Benchmark_Input'!$A$2:$A$10,0))</f>
        <v/>
      </c>
      <c r="K112" s="10">
        <f>IF(A112="Bear",INDEX('01_Benchmark_Input'!$K$2:$K$10,MATCH(B112,'01_Benchmark_Input'!$A$2:$A$10,0)),IF(A112="Bull",INDEX('01_Benchmark_Input'!$M$2:$M$10,MATCH(B112,'01_Benchmark_Input'!$A$2:$A$10,0)),INDEX('01_Benchmark_Input'!$L$2:$L$10,MATCH(B112,'01_Benchmark_Input'!$A$2:$A$10,0)))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7" t="n">
        <v>6.75</v>
      </c>
      <c r="E113" s="8" t="n">
        <v>0.50918519</v>
      </c>
      <c r="F113" s="7" t="n">
        <v>1.2</v>
      </c>
      <c r="G113" s="8" t="n">
        <v>0.88</v>
      </c>
      <c r="H113" s="8" t="n">
        <v>0.6879999999999999</v>
      </c>
      <c r="I113" s="9">
        <f>INDEX('01_Benchmark_Input'!$B$2:$B$10,MATCH(B113,'01_Benchmark_Input'!$A$2:$A$10,0))</f>
        <v/>
      </c>
      <c r="J113" s="9">
        <f>INDEX('01_Benchmark_Input'!$C$2:$C$10,MATCH(B113,'01_Benchmark_Input'!$A$2:$A$10,0))</f>
        <v/>
      </c>
      <c r="K113" s="10">
        <f>IF(A113="Bear",INDEX('01_Benchmark_Input'!$K$2:$K$10,MATCH(B113,'01_Benchmark_Input'!$A$2:$A$10,0)),IF(A113="Bull",INDEX('01_Benchmark_Input'!$M$2:$M$10,MATCH(B113,'01_Benchmark_Input'!$A$2:$A$10,0)),INDEX('01_Benchmark_Input'!$L$2:$L$10,MATCH(B113,'01_Benchmark_Input'!$A$2:$A$10,0)))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7" t="n">
        <v>8.5</v>
      </c>
      <c r="E114" s="8" t="n">
        <v>0.64929412</v>
      </c>
      <c r="F114" s="7" t="n">
        <v>1.2</v>
      </c>
      <c r="G114" s="8" t="n">
        <v>0.88</v>
      </c>
      <c r="H114" s="8" t="n">
        <v>0.745</v>
      </c>
      <c r="I114" s="9">
        <f>INDEX('01_Benchmark_Input'!$B$2:$B$10,MATCH(B114,'01_Benchmark_Input'!$A$2:$A$10,0))</f>
        <v/>
      </c>
      <c r="J114" s="9">
        <f>INDEX('01_Benchmark_Input'!$C$2:$C$10,MATCH(B114,'01_Benchmark_Input'!$A$2:$A$10,0))</f>
        <v/>
      </c>
      <c r="K114" s="10">
        <f>IF(A114="Bear",INDEX('01_Benchmark_Input'!$K$2:$K$10,MATCH(B114,'01_Benchmark_Input'!$A$2:$A$10,0)),IF(A114="Bull",INDEX('01_Benchmark_Input'!$M$2:$M$10,MATCH(B114,'01_Benchmark_Input'!$A$2:$A$10,0)),INDEX('01_Benchmark_Input'!$L$2:$L$10,MATCH(B114,'01_Benchmark_Input'!$A$2:$A$10,0)))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7" t="n">
        <v>10.25</v>
      </c>
      <c r="E115" s="8" t="n">
        <v>0.75287805</v>
      </c>
      <c r="F115" s="7" t="n">
        <v>1.2</v>
      </c>
      <c r="G115" s="8" t="n">
        <v>0.88</v>
      </c>
      <c r="H115" s="8" t="n">
        <v>0.802</v>
      </c>
      <c r="I115" s="9">
        <f>INDEX('01_Benchmark_Input'!$B$2:$B$10,MATCH(B115,'01_Benchmark_Input'!$A$2:$A$10,0))</f>
        <v/>
      </c>
      <c r="J115" s="9">
        <f>INDEX('01_Benchmark_Input'!$C$2:$C$10,MATCH(B115,'01_Benchmark_Input'!$A$2:$A$10,0))</f>
        <v/>
      </c>
      <c r="K115" s="10">
        <f>IF(A115="Bear",INDEX('01_Benchmark_Input'!$K$2:$K$10,MATCH(B115,'01_Benchmark_Input'!$A$2:$A$10,0)),IF(A115="Bull",INDEX('01_Benchmark_Input'!$M$2:$M$10,MATCH(B115,'01_Benchmark_Input'!$A$2:$A$10,0)),INDEX('01_Benchmark_Input'!$L$2:$L$10,MATCH(B115,'01_Benchmark_Input'!$A$2:$A$10,0)))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7" t="n">
        <v>12</v>
      </c>
      <c r="E116" s="8" t="n">
        <v>0.83583333</v>
      </c>
      <c r="F116" s="7" t="n">
        <v>1.2</v>
      </c>
      <c r="G116" s="8" t="n">
        <v>0.88</v>
      </c>
      <c r="H116" s="8" t="n">
        <v>0.86</v>
      </c>
      <c r="I116" s="9">
        <f>INDEX('01_Benchmark_Input'!$B$2:$B$10,MATCH(B116,'01_Benchmark_Input'!$A$2:$A$10,0))</f>
        <v/>
      </c>
      <c r="J116" s="9">
        <f>INDEX('01_Benchmark_Input'!$C$2:$C$10,MATCH(B116,'01_Benchmark_Input'!$A$2:$A$10,0))</f>
        <v/>
      </c>
      <c r="K116" s="10">
        <f>IF(A116="Bear",INDEX('01_Benchmark_Input'!$K$2:$K$10,MATCH(B116,'01_Benchmark_Input'!$A$2:$A$10,0)),IF(A116="Bull",INDEX('01_Benchmark_Input'!$M$2:$M$10,MATCH(B116,'01_Benchmark_Input'!$A$2:$A$10,0)),INDEX('01_Benchmark_Input'!$L$2:$L$10,MATCH(B116,'01_Benchmark_Input'!$A$2:$A$10,0)))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7" t="n">
        <v>3.5</v>
      </c>
      <c r="E117" s="8" t="n">
        <v>0.3</v>
      </c>
      <c r="F117" s="7" t="n">
        <v>1.18</v>
      </c>
      <c r="G117" s="8" t="n">
        <v>0.86</v>
      </c>
      <c r="H117" s="8" t="n">
        <v>0.57</v>
      </c>
      <c r="I117" s="9">
        <f>INDEX('01_Benchmark_Input'!$B$2:$B$10,MATCH(B117,'01_Benchmark_Input'!$A$2:$A$10,0))</f>
        <v/>
      </c>
      <c r="J117" s="9">
        <f>INDEX('01_Benchmark_Input'!$C$2:$C$10,MATCH(B117,'01_Benchmark_Input'!$A$2:$A$10,0))</f>
        <v/>
      </c>
      <c r="K117" s="10">
        <f>IF(A117="Bear",INDEX('01_Benchmark_Input'!$K$2:$K$10,MATCH(B117,'01_Benchmark_Input'!$A$2:$A$10,0)),IF(A117="Bull",INDEX('01_Benchmark_Input'!$M$2:$M$10,MATCH(B117,'01_Benchmark_Input'!$A$2:$A$10,0)),INDEX('01_Benchmark_Input'!$L$2:$L$10,MATCH(B117,'01_Benchmark_Input'!$A$2:$A$10,0)))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7" t="n">
        <v>4.375</v>
      </c>
      <c r="E118" s="8" t="n">
        <v>0.52571429</v>
      </c>
      <c r="F118" s="7" t="n">
        <v>1.18</v>
      </c>
      <c r="G118" s="8" t="n">
        <v>0.86</v>
      </c>
      <c r="H118" s="8" t="n">
        <v>0.632</v>
      </c>
      <c r="I118" s="9">
        <f>INDEX('01_Benchmark_Input'!$B$2:$B$10,MATCH(B118,'01_Benchmark_Input'!$A$2:$A$10,0))</f>
        <v/>
      </c>
      <c r="J118" s="9">
        <f>INDEX('01_Benchmark_Input'!$C$2:$C$10,MATCH(B118,'01_Benchmark_Input'!$A$2:$A$10,0))</f>
        <v/>
      </c>
      <c r="K118" s="10">
        <f>IF(A118="Bear",INDEX('01_Benchmark_Input'!$K$2:$K$10,MATCH(B118,'01_Benchmark_Input'!$A$2:$A$10,0)),IF(A118="Bull",INDEX('01_Benchmark_Input'!$M$2:$M$10,MATCH(B118,'01_Benchmark_Input'!$A$2:$A$10,0)),INDEX('01_Benchmark_Input'!$L$2:$L$10,MATCH(B118,'01_Benchmark_Input'!$A$2:$A$10,0)))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7" t="n">
        <v>5.25</v>
      </c>
      <c r="E119" s="8" t="n">
        <v>0.6902857100000001</v>
      </c>
      <c r="F119" s="7" t="n">
        <v>1.18</v>
      </c>
      <c r="G119" s="8" t="n">
        <v>0.86</v>
      </c>
      <c r="H119" s="8" t="n">
        <v>0.695</v>
      </c>
      <c r="I119" s="9">
        <f>INDEX('01_Benchmark_Input'!$B$2:$B$10,MATCH(B119,'01_Benchmark_Input'!$A$2:$A$10,0))</f>
        <v/>
      </c>
      <c r="J119" s="9">
        <f>INDEX('01_Benchmark_Input'!$C$2:$C$10,MATCH(B119,'01_Benchmark_Input'!$A$2:$A$10,0))</f>
        <v/>
      </c>
      <c r="K119" s="10">
        <f>IF(A119="Bear",INDEX('01_Benchmark_Input'!$K$2:$K$10,MATCH(B119,'01_Benchmark_Input'!$A$2:$A$10,0)),IF(A119="Bull",INDEX('01_Benchmark_Input'!$M$2:$M$10,MATCH(B119,'01_Benchmark_Input'!$A$2:$A$10,0)),INDEX('01_Benchmark_Input'!$L$2:$L$10,MATCH(B119,'01_Benchmark_Input'!$A$2:$A$10,0)))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7" t="n">
        <v>6.125</v>
      </c>
      <c r="E120" s="8" t="n">
        <v>0.81959184</v>
      </c>
      <c r="F120" s="7" t="n">
        <v>1.18</v>
      </c>
      <c r="G120" s="8" t="n">
        <v>0.86</v>
      </c>
      <c r="H120" s="8" t="n">
        <v>0.758</v>
      </c>
      <c r="I120" s="9">
        <f>INDEX('01_Benchmark_Input'!$B$2:$B$10,MATCH(B120,'01_Benchmark_Input'!$A$2:$A$10,0))</f>
        <v/>
      </c>
      <c r="J120" s="9">
        <f>INDEX('01_Benchmark_Input'!$C$2:$C$10,MATCH(B120,'01_Benchmark_Input'!$A$2:$A$10,0))</f>
        <v/>
      </c>
      <c r="K120" s="10">
        <f>IF(A120="Bear",INDEX('01_Benchmark_Input'!$K$2:$K$10,MATCH(B120,'01_Benchmark_Input'!$A$2:$A$10,0)),IF(A120="Bull",INDEX('01_Benchmark_Input'!$M$2:$M$10,MATCH(B120,'01_Benchmark_Input'!$A$2:$A$10,0)),INDEX('01_Benchmark_Input'!$L$2:$L$10,MATCH(B120,'01_Benchmark_Input'!$A$2:$A$10,0)))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7" t="n">
        <v>7</v>
      </c>
      <c r="E121" s="8" t="n">
        <v>0.92714286</v>
      </c>
      <c r="F121" s="7" t="n">
        <v>1.18</v>
      </c>
      <c r="G121" s="8" t="n">
        <v>0.86</v>
      </c>
      <c r="H121" s="8" t="n">
        <v>0.82</v>
      </c>
      <c r="I121" s="9">
        <f>INDEX('01_Benchmark_Input'!$B$2:$B$10,MATCH(B121,'01_Benchmark_Input'!$A$2:$A$10,0))</f>
        <v/>
      </c>
      <c r="J121" s="9">
        <f>INDEX('01_Benchmark_Input'!$C$2:$C$10,MATCH(B121,'01_Benchmark_Input'!$A$2:$A$10,0))</f>
        <v/>
      </c>
      <c r="K121" s="10">
        <f>IF(A121="Bear",INDEX('01_Benchmark_Input'!$K$2:$K$10,MATCH(B121,'01_Benchmark_Input'!$A$2:$A$10,0)),IF(A121="Bull",INDEX('01_Benchmark_Input'!$M$2:$M$10,MATCH(B121,'01_Benchmark_Input'!$A$2:$A$10,0)),INDEX('01_Benchmark_Input'!$L$2:$L$10,MATCH(B121,'01_Benchmark_Input'!$A$2:$A$10,0)))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7" t="n">
        <v>0.5</v>
      </c>
      <c r="E122" s="8" t="n">
        <v>0.316</v>
      </c>
      <c r="F122" s="7" t="n">
        <v>1.24</v>
      </c>
      <c r="G122" s="8" t="n">
        <v>0.82</v>
      </c>
      <c r="H122" s="8" t="n">
        <v>0.67</v>
      </c>
      <c r="I122" s="9">
        <f>INDEX('01_Benchmark_Input'!$B$2:$B$10,MATCH(B122,'01_Benchmark_Input'!$A$2:$A$10,0))</f>
        <v/>
      </c>
      <c r="J122" s="9">
        <f>INDEX('01_Benchmark_Input'!$C$2:$C$10,MATCH(B122,'01_Benchmark_Input'!$A$2:$A$10,0))</f>
        <v/>
      </c>
      <c r="K122" s="10">
        <f>IF(A122="Bear",INDEX('01_Benchmark_Input'!$K$2:$K$10,MATCH(B122,'01_Benchmark_Input'!$A$2:$A$10,0)),IF(A122="Bull",INDEX('01_Benchmark_Input'!$M$2:$M$10,MATCH(B122,'01_Benchmark_Input'!$A$2:$A$10,0)),INDEX('01_Benchmark_Input'!$L$2:$L$10,MATCH(B122,'01_Benchmark_Input'!$A$2:$A$10,0)))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7" t="n">
        <v>0.825</v>
      </c>
      <c r="E123" s="8" t="n">
        <v>0.54181818</v>
      </c>
      <c r="F123" s="7" t="n">
        <v>1.24</v>
      </c>
      <c r="G123" s="8" t="n">
        <v>0.82</v>
      </c>
      <c r="H123" s="8" t="n">
        <v>0.727</v>
      </c>
      <c r="I123" s="9">
        <f>INDEX('01_Benchmark_Input'!$B$2:$B$10,MATCH(B123,'01_Benchmark_Input'!$A$2:$A$10,0))</f>
        <v/>
      </c>
      <c r="J123" s="9">
        <f>INDEX('01_Benchmark_Input'!$C$2:$C$10,MATCH(B123,'01_Benchmark_Input'!$A$2:$A$10,0))</f>
        <v/>
      </c>
      <c r="K123" s="10">
        <f>IF(A123="Bear",INDEX('01_Benchmark_Input'!$K$2:$K$10,MATCH(B123,'01_Benchmark_Input'!$A$2:$A$10,0)),IF(A123="Bull",INDEX('01_Benchmark_Input'!$M$2:$M$10,MATCH(B123,'01_Benchmark_Input'!$A$2:$A$10,0)),INDEX('01_Benchmark_Input'!$L$2:$L$10,MATCH(B123,'01_Benchmark_Input'!$A$2:$A$10,0)))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7" t="n">
        <v>1.15</v>
      </c>
      <c r="E124" s="8" t="n">
        <v>0.65478261</v>
      </c>
      <c r="F124" s="7" t="n">
        <v>1.24</v>
      </c>
      <c r="G124" s="8" t="n">
        <v>0.82</v>
      </c>
      <c r="H124" s="8" t="n">
        <v>0.785</v>
      </c>
      <c r="I124" s="9">
        <f>INDEX('01_Benchmark_Input'!$B$2:$B$10,MATCH(B124,'01_Benchmark_Input'!$A$2:$A$10,0))</f>
        <v/>
      </c>
      <c r="J124" s="9">
        <f>INDEX('01_Benchmark_Input'!$C$2:$C$10,MATCH(B124,'01_Benchmark_Input'!$A$2:$A$10,0))</f>
        <v/>
      </c>
      <c r="K124" s="10">
        <f>IF(A124="Bear",INDEX('01_Benchmark_Input'!$K$2:$K$10,MATCH(B124,'01_Benchmark_Input'!$A$2:$A$10,0)),IF(A124="Bull",INDEX('01_Benchmark_Input'!$M$2:$M$10,MATCH(B124,'01_Benchmark_Input'!$A$2:$A$10,0)),INDEX('01_Benchmark_Input'!$L$2:$L$10,MATCH(B124,'01_Benchmark_Input'!$A$2:$A$10,0)))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7" t="n">
        <v>1.475</v>
      </c>
      <c r="E125" s="8" t="n">
        <v>0.72949153</v>
      </c>
      <c r="F125" s="7" t="n">
        <v>1.24</v>
      </c>
      <c r="G125" s="8" t="n">
        <v>0.82</v>
      </c>
      <c r="H125" s="8" t="n">
        <v>0.843</v>
      </c>
      <c r="I125" s="9">
        <f>INDEX('01_Benchmark_Input'!$B$2:$B$10,MATCH(B125,'01_Benchmark_Input'!$A$2:$A$10,0))</f>
        <v/>
      </c>
      <c r="J125" s="9">
        <f>INDEX('01_Benchmark_Input'!$C$2:$C$10,MATCH(B125,'01_Benchmark_Input'!$A$2:$A$10,0))</f>
        <v/>
      </c>
      <c r="K125" s="10">
        <f>IF(A125="Bear",INDEX('01_Benchmark_Input'!$K$2:$K$10,MATCH(B125,'01_Benchmark_Input'!$A$2:$A$10,0)),IF(A125="Bull",INDEX('01_Benchmark_Input'!$M$2:$M$10,MATCH(B125,'01_Benchmark_Input'!$A$2:$A$10,0)),INDEX('01_Benchmark_Input'!$L$2:$L$10,MATCH(B125,'01_Benchmark_Input'!$A$2:$A$10,0)))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7" t="n">
        <v>1.8</v>
      </c>
      <c r="E126" s="8" t="n">
        <v>0.78666667</v>
      </c>
      <c r="F126" s="7" t="n">
        <v>1.24</v>
      </c>
      <c r="G126" s="8" t="n">
        <v>0.82</v>
      </c>
      <c r="H126" s="8" t="n">
        <v>0.9</v>
      </c>
      <c r="I126" s="9">
        <f>INDEX('01_Benchmark_Input'!$B$2:$B$10,MATCH(B126,'01_Benchmark_Input'!$A$2:$A$10,0))</f>
        <v/>
      </c>
      <c r="J126" s="9">
        <f>INDEX('01_Benchmark_Input'!$C$2:$C$10,MATCH(B126,'01_Benchmark_Input'!$A$2:$A$10,0))</f>
        <v/>
      </c>
      <c r="K126" s="10">
        <f>IF(A126="Bear",INDEX('01_Benchmark_Input'!$K$2:$K$10,MATCH(B126,'01_Benchmark_Input'!$A$2:$A$10,0)),IF(A126="Bull",INDEX('01_Benchmark_Input'!$M$2:$M$10,MATCH(B126,'01_Benchmark_Input'!$A$2:$A$10,0)),INDEX('01_Benchmark_Input'!$L$2:$L$10,MATCH(B126,'01_Benchmark_Input'!$A$2:$A$10,0)))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7" t="n">
        <v>1.8</v>
      </c>
      <c r="E127" s="8" t="n">
        <v>0.37944444</v>
      </c>
      <c r="F127" s="7" t="n">
        <v>1.23</v>
      </c>
      <c r="G127" s="8" t="n">
        <v>0.84</v>
      </c>
      <c r="H127" s="8" t="n">
        <v>0.65</v>
      </c>
      <c r="I127" s="9">
        <f>INDEX('01_Benchmark_Input'!$B$2:$B$10,MATCH(B127,'01_Benchmark_Input'!$A$2:$A$10,0))</f>
        <v/>
      </c>
      <c r="J127" s="9">
        <f>INDEX('01_Benchmark_Input'!$C$2:$C$10,MATCH(B127,'01_Benchmark_Input'!$A$2:$A$10,0))</f>
        <v/>
      </c>
      <c r="K127" s="10">
        <f>IF(A127="Bear",INDEX('01_Benchmark_Input'!$K$2:$K$10,MATCH(B127,'01_Benchmark_Input'!$A$2:$A$10,0)),IF(A127="Bull",INDEX('01_Benchmark_Input'!$M$2:$M$10,MATCH(B127,'01_Benchmark_Input'!$A$2:$A$10,0)),INDEX('01_Benchmark_Input'!$L$2:$L$10,MATCH(B127,'01_Benchmark_Input'!$A$2:$A$10,0)))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7" t="n">
        <v>2.35</v>
      </c>
      <c r="E128" s="8" t="n">
        <v>0.59319149</v>
      </c>
      <c r="F128" s="7" t="n">
        <v>1.23</v>
      </c>
      <c r="G128" s="8" t="n">
        <v>0.84</v>
      </c>
      <c r="H128" s="8" t="n">
        <v>0.708</v>
      </c>
      <c r="I128" s="9">
        <f>INDEX('01_Benchmark_Input'!$B$2:$B$10,MATCH(B128,'01_Benchmark_Input'!$A$2:$A$10,0))</f>
        <v/>
      </c>
      <c r="J128" s="9">
        <f>INDEX('01_Benchmark_Input'!$C$2:$C$10,MATCH(B128,'01_Benchmark_Input'!$A$2:$A$10,0))</f>
        <v/>
      </c>
      <c r="K128" s="10">
        <f>IF(A128="Bear",INDEX('01_Benchmark_Input'!$K$2:$K$10,MATCH(B128,'01_Benchmark_Input'!$A$2:$A$10,0)),IF(A128="Bull",INDEX('01_Benchmark_Input'!$M$2:$M$10,MATCH(B128,'01_Benchmark_Input'!$A$2:$A$10,0)),INDEX('01_Benchmark_Input'!$L$2:$L$10,MATCH(B128,'01_Benchmark_Input'!$A$2:$A$10,0)))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7" t="n">
        <v>2.9</v>
      </c>
      <c r="E129" s="8" t="n">
        <v>0.74</v>
      </c>
      <c r="F129" s="7" t="n">
        <v>1.23</v>
      </c>
      <c r="G129" s="8" t="n">
        <v>0.84</v>
      </c>
      <c r="H129" s="8" t="n">
        <v>0.765</v>
      </c>
      <c r="I129" s="9">
        <f>INDEX('01_Benchmark_Input'!$B$2:$B$10,MATCH(B129,'01_Benchmark_Input'!$A$2:$A$10,0))</f>
        <v/>
      </c>
      <c r="J129" s="9">
        <f>INDEX('01_Benchmark_Input'!$C$2:$C$10,MATCH(B129,'01_Benchmark_Input'!$A$2:$A$10,0))</f>
        <v/>
      </c>
      <c r="K129" s="10">
        <f>IF(A129="Bear",INDEX('01_Benchmark_Input'!$K$2:$K$10,MATCH(B129,'01_Benchmark_Input'!$A$2:$A$10,0)),IF(A129="Bull",INDEX('01_Benchmark_Input'!$M$2:$M$10,MATCH(B129,'01_Benchmark_Input'!$A$2:$A$10,0)),INDEX('01_Benchmark_Input'!$L$2:$L$10,MATCH(B129,'01_Benchmark_Input'!$A$2:$A$10,0)))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7" t="n">
        <v>3.45</v>
      </c>
      <c r="E130" s="8" t="n">
        <v>0.85217391</v>
      </c>
      <c r="F130" s="7" t="n">
        <v>1.23</v>
      </c>
      <c r="G130" s="8" t="n">
        <v>0.84</v>
      </c>
      <c r="H130" s="8" t="n">
        <v>0.823</v>
      </c>
      <c r="I130" s="9">
        <f>INDEX('01_Benchmark_Input'!$B$2:$B$10,MATCH(B130,'01_Benchmark_Input'!$A$2:$A$10,0))</f>
        <v/>
      </c>
      <c r="J130" s="9">
        <f>INDEX('01_Benchmark_Input'!$C$2:$C$10,MATCH(B130,'01_Benchmark_Input'!$A$2:$A$10,0))</f>
        <v/>
      </c>
      <c r="K130" s="10">
        <f>IF(A130="Bear",INDEX('01_Benchmark_Input'!$K$2:$K$10,MATCH(B130,'01_Benchmark_Input'!$A$2:$A$10,0)),IF(A130="Bull",INDEX('01_Benchmark_Input'!$M$2:$M$10,MATCH(B130,'01_Benchmark_Input'!$A$2:$A$10,0)),INDEX('01_Benchmark_Input'!$L$2:$L$10,MATCH(B130,'01_Benchmark_Input'!$A$2:$A$10,0)))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7" t="n">
        <v>4</v>
      </c>
      <c r="E131" s="8" t="n">
        <v>0.944</v>
      </c>
      <c r="F131" s="7" t="n">
        <v>1.23</v>
      </c>
      <c r="G131" s="8" t="n">
        <v>0.84</v>
      </c>
      <c r="H131" s="8" t="n">
        <v>0.88</v>
      </c>
      <c r="I131" s="9">
        <f>INDEX('01_Benchmark_Input'!$B$2:$B$10,MATCH(B131,'01_Benchmark_Input'!$A$2:$A$10,0))</f>
        <v/>
      </c>
      <c r="J131" s="9">
        <f>INDEX('01_Benchmark_Input'!$C$2:$C$10,MATCH(B131,'01_Benchmark_Input'!$A$2:$A$10,0))</f>
        <v/>
      </c>
      <c r="K131" s="10">
        <f>IF(A131="Bear",INDEX('01_Benchmark_Input'!$K$2:$K$10,MATCH(B131,'01_Benchmark_Input'!$A$2:$A$10,0)),IF(A131="Bull",INDEX('01_Benchmark_Input'!$M$2:$M$10,MATCH(B131,'01_Benchmark_Input'!$A$2:$A$10,0)),INDEX('01_Benchmark_Input'!$L$2:$L$10,MATCH(B131,'01_Benchmark_Input'!$A$2:$A$10,0)))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7" t="n">
        <v>1.2</v>
      </c>
      <c r="E132" s="8" t="n">
        <v>0.39416667</v>
      </c>
      <c r="F132" s="7" t="n">
        <v>1.23</v>
      </c>
      <c r="G132" s="8" t="n">
        <v>0.84</v>
      </c>
      <c r="H132" s="8" t="n">
        <v>0.65</v>
      </c>
      <c r="I132" s="9">
        <f>INDEX('01_Benchmark_Input'!$B$2:$B$10,MATCH(B132,'01_Benchmark_Input'!$A$2:$A$10,0))</f>
        <v/>
      </c>
      <c r="J132" s="9">
        <f>INDEX('01_Benchmark_Input'!$C$2:$C$10,MATCH(B132,'01_Benchmark_Input'!$A$2:$A$10,0))</f>
        <v/>
      </c>
      <c r="K132" s="10">
        <f>IF(A132="Bear",INDEX('01_Benchmark_Input'!$K$2:$K$10,MATCH(B132,'01_Benchmark_Input'!$A$2:$A$10,0)),IF(A132="Bull",INDEX('01_Benchmark_Input'!$M$2:$M$10,MATCH(B132,'01_Benchmark_Input'!$A$2:$A$10,0)),INDEX('01_Benchmark_Input'!$L$2:$L$10,MATCH(B132,'01_Benchmark_Input'!$A$2:$A$10,0)))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7" t="n">
        <v>1.65</v>
      </c>
      <c r="E133" s="8" t="n">
        <v>0.61515152</v>
      </c>
      <c r="F133" s="7" t="n">
        <v>1.23</v>
      </c>
      <c r="G133" s="8" t="n">
        <v>0.84</v>
      </c>
      <c r="H133" s="8" t="n">
        <v>0.708</v>
      </c>
      <c r="I133" s="9">
        <f>INDEX('01_Benchmark_Input'!$B$2:$B$10,MATCH(B133,'01_Benchmark_Input'!$A$2:$A$10,0))</f>
        <v/>
      </c>
      <c r="J133" s="9">
        <f>INDEX('01_Benchmark_Input'!$C$2:$C$10,MATCH(B133,'01_Benchmark_Input'!$A$2:$A$10,0))</f>
        <v/>
      </c>
      <c r="K133" s="10">
        <f>IF(A133="Bear",INDEX('01_Benchmark_Input'!$K$2:$K$10,MATCH(B133,'01_Benchmark_Input'!$A$2:$A$10,0)),IF(A133="Bull",INDEX('01_Benchmark_Input'!$M$2:$M$10,MATCH(B133,'01_Benchmark_Input'!$A$2:$A$10,0)),INDEX('01_Benchmark_Input'!$L$2:$L$10,MATCH(B133,'01_Benchmark_Input'!$A$2:$A$10,0)))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7" t="n">
        <v>2.1</v>
      </c>
      <c r="E134" s="8" t="n">
        <v>0.75666667</v>
      </c>
      <c r="F134" s="7" t="n">
        <v>1.23</v>
      </c>
      <c r="G134" s="8" t="n">
        <v>0.84</v>
      </c>
      <c r="H134" s="8" t="n">
        <v>0.765</v>
      </c>
      <c r="I134" s="9">
        <f>INDEX('01_Benchmark_Input'!$B$2:$B$10,MATCH(B134,'01_Benchmark_Input'!$A$2:$A$10,0))</f>
        <v/>
      </c>
      <c r="J134" s="9">
        <f>INDEX('01_Benchmark_Input'!$C$2:$C$10,MATCH(B134,'01_Benchmark_Input'!$A$2:$A$10,0))</f>
        <v/>
      </c>
      <c r="K134" s="10">
        <f>IF(A134="Bear",INDEX('01_Benchmark_Input'!$K$2:$K$10,MATCH(B134,'01_Benchmark_Input'!$A$2:$A$10,0)),IF(A134="Bull",INDEX('01_Benchmark_Input'!$M$2:$M$10,MATCH(B134,'01_Benchmark_Input'!$A$2:$A$10,0)),INDEX('01_Benchmark_Input'!$L$2:$L$10,MATCH(B134,'01_Benchmark_Input'!$A$2:$A$10,0)))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7" t="n">
        <v>2.55</v>
      </c>
      <c r="E135" s="8" t="n">
        <v>0.86078431</v>
      </c>
      <c r="F135" s="7" t="n">
        <v>1.23</v>
      </c>
      <c r="G135" s="8" t="n">
        <v>0.84</v>
      </c>
      <c r="H135" s="8" t="n">
        <v>0.823</v>
      </c>
      <c r="I135" s="9">
        <f>INDEX('01_Benchmark_Input'!$B$2:$B$10,MATCH(B135,'01_Benchmark_Input'!$A$2:$A$10,0))</f>
        <v/>
      </c>
      <c r="J135" s="9">
        <f>INDEX('01_Benchmark_Input'!$C$2:$C$10,MATCH(B135,'01_Benchmark_Input'!$A$2:$A$10,0))</f>
        <v/>
      </c>
      <c r="K135" s="10">
        <f>IF(A135="Bear",INDEX('01_Benchmark_Input'!$K$2:$K$10,MATCH(B135,'01_Benchmark_Input'!$A$2:$A$10,0)),IF(A135="Bull",INDEX('01_Benchmark_Input'!$M$2:$M$10,MATCH(B135,'01_Benchmark_Input'!$A$2:$A$10,0)),INDEX('01_Benchmark_Input'!$L$2:$L$10,MATCH(B135,'01_Benchmark_Input'!$A$2:$A$10,0)))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7" t="n">
        <v>3</v>
      </c>
      <c r="E136" s="8" t="n">
        <v>0.944</v>
      </c>
      <c r="F136" s="7" t="n">
        <v>1.23</v>
      </c>
      <c r="G136" s="8" t="n">
        <v>0.84</v>
      </c>
      <c r="H136" s="8" t="n">
        <v>0.88</v>
      </c>
      <c r="I136" s="9">
        <f>INDEX('01_Benchmark_Input'!$B$2:$B$10,MATCH(B136,'01_Benchmark_Input'!$A$2:$A$10,0))</f>
        <v/>
      </c>
      <c r="J136" s="9">
        <f>INDEX('01_Benchmark_Input'!$C$2:$C$10,MATCH(B136,'01_Benchmark_Input'!$A$2:$A$10,0))</f>
        <v/>
      </c>
      <c r="K136" s="10">
        <f>IF(A136="Bear",INDEX('01_Benchmark_Input'!$K$2:$K$10,MATCH(B136,'01_Benchmark_Input'!$A$2:$A$10,0)),IF(A136="Bull",INDEX('01_Benchmark_Input'!$M$2:$M$10,MATCH(B136,'01_Benchmark_Input'!$A$2:$A$10,0)),INDEX('01_Benchmark_Input'!$L$2:$L$10,MATCH(B136,'01_Benchmark_Input'!$A$2:$A$10,0)))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7" t="n">
        <v>4</v>
      </c>
      <c r="E137" s="8" t="n">
        <v>0.396</v>
      </c>
      <c r="F137" s="7" t="n">
        <v>1.2</v>
      </c>
      <c r="G137" s="8" t="n">
        <v>0.86</v>
      </c>
      <c r="H137" s="8" t="n">
        <v>0.57</v>
      </c>
      <c r="I137" s="9">
        <f>INDEX('01_Benchmark_Input'!$B$2:$B$10,MATCH(B137,'01_Benchmark_Input'!$A$2:$A$10,0))</f>
        <v/>
      </c>
      <c r="J137" s="9">
        <f>INDEX('01_Benchmark_Input'!$C$2:$C$10,MATCH(B137,'01_Benchmark_Input'!$A$2:$A$10,0))</f>
        <v/>
      </c>
      <c r="K137" s="10">
        <f>IF(A137="Bear",INDEX('01_Benchmark_Input'!$K$2:$K$10,MATCH(B137,'01_Benchmark_Input'!$A$2:$A$10,0)),IF(A137="Bull",INDEX('01_Benchmark_Input'!$M$2:$M$10,MATCH(B137,'01_Benchmark_Input'!$A$2:$A$10,0)),INDEX('01_Benchmark_Input'!$L$2:$L$10,MATCH(B137,'01_Benchmark_Input'!$A$2:$A$10,0)))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7" t="n">
        <v>5.25</v>
      </c>
      <c r="E138" s="8" t="n">
        <v>0.464</v>
      </c>
      <c r="F138" s="7" t="n">
        <v>1.2</v>
      </c>
      <c r="G138" s="8" t="n">
        <v>0.86</v>
      </c>
      <c r="H138" s="8" t="n">
        <v>0.625</v>
      </c>
      <c r="I138" s="9">
        <f>INDEX('01_Benchmark_Input'!$B$2:$B$10,MATCH(B138,'01_Benchmark_Input'!$A$2:$A$10,0))</f>
        <v/>
      </c>
      <c r="J138" s="9">
        <f>INDEX('01_Benchmark_Input'!$C$2:$C$10,MATCH(B138,'01_Benchmark_Input'!$A$2:$A$10,0))</f>
        <v/>
      </c>
      <c r="K138" s="10">
        <f>IF(A138="Bear",INDEX('01_Benchmark_Input'!$K$2:$K$10,MATCH(B138,'01_Benchmark_Input'!$A$2:$A$10,0)),IF(A138="Bull",INDEX('01_Benchmark_Input'!$M$2:$M$10,MATCH(B138,'01_Benchmark_Input'!$A$2:$A$10,0)),INDEX('01_Benchmark_Input'!$L$2:$L$10,MATCH(B138,'01_Benchmark_Input'!$A$2:$A$10,0)))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7" t="n">
        <v>6.5</v>
      </c>
      <c r="E139" s="8" t="n">
        <v>0.49230769</v>
      </c>
      <c r="F139" s="7" t="n">
        <v>1.2</v>
      </c>
      <c r="G139" s="8" t="n">
        <v>0.86</v>
      </c>
      <c r="H139" s="8" t="n">
        <v>0.68</v>
      </c>
      <c r="I139" s="9">
        <f>INDEX('01_Benchmark_Input'!$B$2:$B$10,MATCH(B139,'01_Benchmark_Input'!$A$2:$A$10,0))</f>
        <v/>
      </c>
      <c r="J139" s="9">
        <f>INDEX('01_Benchmark_Input'!$C$2:$C$10,MATCH(B139,'01_Benchmark_Input'!$A$2:$A$10,0))</f>
        <v/>
      </c>
      <c r="K139" s="10">
        <f>IF(A139="Bear",INDEX('01_Benchmark_Input'!$K$2:$K$10,MATCH(B139,'01_Benchmark_Input'!$A$2:$A$10,0)),IF(A139="Bull",INDEX('01_Benchmark_Input'!$M$2:$M$10,MATCH(B139,'01_Benchmark_Input'!$A$2:$A$10,0)),INDEX('01_Benchmark_Input'!$L$2:$L$10,MATCH(B139,'01_Benchmark_Input'!$A$2:$A$10,0)))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7" t="n">
        <v>7.75</v>
      </c>
      <c r="E140" s="8" t="n">
        <v>0.50012903</v>
      </c>
      <c r="F140" s="7" t="n">
        <v>1.2</v>
      </c>
      <c r="G140" s="8" t="n">
        <v>0.86</v>
      </c>
      <c r="H140" s="8" t="n">
        <v>0.735</v>
      </c>
      <c r="I140" s="9">
        <f>INDEX('01_Benchmark_Input'!$B$2:$B$10,MATCH(B140,'01_Benchmark_Input'!$A$2:$A$10,0))</f>
        <v/>
      </c>
      <c r="J140" s="9">
        <f>INDEX('01_Benchmark_Input'!$C$2:$C$10,MATCH(B140,'01_Benchmark_Input'!$A$2:$A$10,0))</f>
        <v/>
      </c>
      <c r="K140" s="10">
        <f>IF(A140="Bear",INDEX('01_Benchmark_Input'!$K$2:$K$10,MATCH(B140,'01_Benchmark_Input'!$A$2:$A$10,0)),IF(A140="Bull",INDEX('01_Benchmark_Input'!$M$2:$M$10,MATCH(B140,'01_Benchmark_Input'!$A$2:$A$10,0)),INDEX('01_Benchmark_Input'!$L$2:$L$10,MATCH(B140,'01_Benchmark_Input'!$A$2:$A$10,0)))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7" t="n">
        <v>9</v>
      </c>
      <c r="E141" s="8" t="n">
        <v>0.496</v>
      </c>
      <c r="F141" s="7" t="n">
        <v>1.2</v>
      </c>
      <c r="G141" s="8" t="n">
        <v>0.86</v>
      </c>
      <c r="H141" s="8" t="n">
        <v>0.79</v>
      </c>
      <c r="I141" s="9">
        <f>INDEX('01_Benchmark_Input'!$B$2:$B$10,MATCH(B141,'01_Benchmark_Input'!$A$2:$A$10,0))</f>
        <v/>
      </c>
      <c r="J141" s="9">
        <f>INDEX('01_Benchmark_Input'!$C$2:$C$10,MATCH(B141,'01_Benchmark_Input'!$A$2:$A$10,0))</f>
        <v/>
      </c>
      <c r="K141" s="10">
        <f>IF(A141="Bear",INDEX('01_Benchmark_Input'!$K$2:$K$10,MATCH(B141,'01_Benchmark_Input'!$A$2:$A$10,0)),IF(A141="Bull",INDEX('01_Benchmark_Input'!$M$2:$M$10,MATCH(B141,'01_Benchmark_Input'!$A$2:$A$10,0)),INDEX('01_Benchmark_Input'!$L$2:$L$10,MATCH(B141,'01_Benchmark_Input'!$A$2:$A$10,0)))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7" t="n">
        <v>4.5</v>
      </c>
      <c r="E142" s="8" t="n">
        <v>0.43022222</v>
      </c>
      <c r="F142" s="7" t="n">
        <v>1.18</v>
      </c>
      <c r="G142" s="8" t="n">
        <v>0.88</v>
      </c>
      <c r="H142" s="8" t="n">
        <v>0.57</v>
      </c>
      <c r="I142" s="9">
        <f>INDEX('01_Benchmark_Input'!$B$2:$B$10,MATCH(B142,'01_Benchmark_Input'!$A$2:$A$10,0))</f>
        <v/>
      </c>
      <c r="J142" s="9">
        <f>INDEX('01_Benchmark_Input'!$C$2:$C$10,MATCH(B142,'01_Benchmark_Input'!$A$2:$A$10,0))</f>
        <v/>
      </c>
      <c r="K142" s="10">
        <f>IF(A142="Bear",INDEX('01_Benchmark_Input'!$K$2:$K$10,MATCH(B142,'01_Benchmark_Input'!$A$2:$A$10,0)),IF(A142="Bull",INDEX('01_Benchmark_Input'!$M$2:$M$10,MATCH(B142,'01_Benchmark_Input'!$A$2:$A$10,0)),INDEX('01_Benchmark_Input'!$L$2:$L$10,MATCH(B142,'01_Benchmark_Input'!$A$2:$A$10,0)))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7" t="n">
        <v>5.375</v>
      </c>
      <c r="E143" s="8" t="n">
        <v>0.52353488</v>
      </c>
      <c r="F143" s="7" t="n">
        <v>1.18</v>
      </c>
      <c r="G143" s="8" t="n">
        <v>0.88</v>
      </c>
      <c r="H143" s="8" t="n">
        <v>0.618</v>
      </c>
      <c r="I143" s="9">
        <f>INDEX('01_Benchmark_Input'!$B$2:$B$10,MATCH(B143,'01_Benchmark_Input'!$A$2:$A$10,0))</f>
        <v/>
      </c>
      <c r="J143" s="9">
        <f>INDEX('01_Benchmark_Input'!$C$2:$C$10,MATCH(B143,'01_Benchmark_Input'!$A$2:$A$10,0))</f>
        <v/>
      </c>
      <c r="K143" s="10">
        <f>IF(A143="Bear",INDEX('01_Benchmark_Input'!$K$2:$K$10,MATCH(B143,'01_Benchmark_Input'!$A$2:$A$10,0)),IF(A143="Bull",INDEX('01_Benchmark_Input'!$M$2:$M$10,MATCH(B143,'01_Benchmark_Input'!$A$2:$A$10,0)),INDEX('01_Benchmark_Input'!$L$2:$L$10,MATCH(B143,'01_Benchmark_Input'!$A$2:$A$10,0)))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7" t="n">
        <v>6.25</v>
      </c>
      <c r="E144" s="8" t="n">
        <v>0.576</v>
      </c>
      <c r="F144" s="7" t="n">
        <v>1.18</v>
      </c>
      <c r="G144" s="8" t="n">
        <v>0.88</v>
      </c>
      <c r="H144" s="8" t="n">
        <v>0.665</v>
      </c>
      <c r="I144" s="9">
        <f>INDEX('01_Benchmark_Input'!$B$2:$B$10,MATCH(B144,'01_Benchmark_Input'!$A$2:$A$10,0))</f>
        <v/>
      </c>
      <c r="J144" s="9">
        <f>INDEX('01_Benchmark_Input'!$C$2:$C$10,MATCH(B144,'01_Benchmark_Input'!$A$2:$A$10,0))</f>
        <v/>
      </c>
      <c r="K144" s="10">
        <f>IF(A144="Bear",INDEX('01_Benchmark_Input'!$K$2:$K$10,MATCH(B144,'01_Benchmark_Input'!$A$2:$A$10,0)),IF(A144="Bull",INDEX('01_Benchmark_Input'!$M$2:$M$10,MATCH(B144,'01_Benchmark_Input'!$A$2:$A$10,0)),INDEX('01_Benchmark_Input'!$L$2:$L$10,MATCH(B144,'01_Benchmark_Input'!$A$2:$A$10,0)))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7" t="n">
        <v>7.125</v>
      </c>
      <c r="E145" s="8" t="n">
        <v>0.60266667</v>
      </c>
      <c r="F145" s="7" t="n">
        <v>1.18</v>
      </c>
      <c r="G145" s="8" t="n">
        <v>0.88</v>
      </c>
      <c r="H145" s="8" t="n">
        <v>0.713</v>
      </c>
      <c r="I145" s="9">
        <f>INDEX('01_Benchmark_Input'!$B$2:$B$10,MATCH(B145,'01_Benchmark_Input'!$A$2:$A$10,0))</f>
        <v/>
      </c>
      <c r="J145" s="9">
        <f>INDEX('01_Benchmark_Input'!$C$2:$C$10,MATCH(B145,'01_Benchmark_Input'!$A$2:$A$10,0))</f>
        <v/>
      </c>
      <c r="K145" s="10">
        <f>IF(A145="Bear",INDEX('01_Benchmark_Input'!$K$2:$K$10,MATCH(B145,'01_Benchmark_Input'!$A$2:$A$10,0)),IF(A145="Bull",INDEX('01_Benchmark_Input'!$M$2:$M$10,MATCH(B145,'01_Benchmark_Input'!$A$2:$A$10,0)),INDEX('01_Benchmark_Input'!$L$2:$L$10,MATCH(B145,'01_Benchmark_Input'!$A$2:$A$10,0)))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7" t="n">
        <v>8</v>
      </c>
      <c r="E146" s="8" t="n">
        <v>0.612</v>
      </c>
      <c r="F146" s="7" t="n">
        <v>1.18</v>
      </c>
      <c r="G146" s="8" t="n">
        <v>0.88</v>
      </c>
      <c r="H146" s="8" t="n">
        <v>0.76</v>
      </c>
      <c r="I146" s="9">
        <f>INDEX('01_Benchmark_Input'!$B$2:$B$10,MATCH(B146,'01_Benchmark_Input'!$A$2:$A$10,0))</f>
        <v/>
      </c>
      <c r="J146" s="9">
        <f>INDEX('01_Benchmark_Input'!$C$2:$C$10,MATCH(B146,'01_Benchmark_Input'!$A$2:$A$10,0))</f>
        <v/>
      </c>
      <c r="K146" s="10">
        <f>IF(A146="Bear",INDEX('01_Benchmark_Input'!$K$2:$K$10,MATCH(B146,'01_Benchmark_Input'!$A$2:$A$10,0)),IF(A146="Bull",INDEX('01_Benchmark_Input'!$M$2:$M$10,MATCH(B146,'01_Benchmark_Input'!$A$2:$A$10,0)),INDEX('01_Benchmark_Input'!$L$2:$L$10,MATCH(B146,'01_Benchmark_Input'!$A$2:$A$10,0)))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7" t="n">
        <v>3.5</v>
      </c>
      <c r="E147" s="8" t="n">
        <v>0.40228571</v>
      </c>
      <c r="F147" s="7" t="n">
        <v>1.2</v>
      </c>
      <c r="G147" s="8" t="n">
        <v>0.87</v>
      </c>
      <c r="H147" s="8" t="n">
        <v>0.6</v>
      </c>
      <c r="I147" s="9">
        <f>INDEX('01_Benchmark_Input'!$B$2:$B$10,MATCH(B147,'01_Benchmark_Input'!$A$2:$A$10,0))</f>
        <v/>
      </c>
      <c r="J147" s="9">
        <f>INDEX('01_Benchmark_Input'!$C$2:$C$10,MATCH(B147,'01_Benchmark_Input'!$A$2:$A$10,0))</f>
        <v/>
      </c>
      <c r="K147" s="10">
        <f>IF(A147="Bear",INDEX('01_Benchmark_Input'!$K$2:$K$10,MATCH(B147,'01_Benchmark_Input'!$A$2:$A$10,0)),IF(A147="Bull",INDEX('01_Benchmark_Input'!$M$2:$M$10,MATCH(B147,'01_Benchmark_Input'!$A$2:$A$10,0)),INDEX('01_Benchmark_Input'!$L$2:$L$10,MATCH(B147,'01_Benchmark_Input'!$A$2:$A$10,0)))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7" t="n">
        <v>4.375</v>
      </c>
      <c r="E148" s="8" t="n">
        <v>0.5088</v>
      </c>
      <c r="F148" s="7" t="n">
        <v>1.2</v>
      </c>
      <c r="G148" s="8" t="n">
        <v>0.87</v>
      </c>
      <c r="H148" s="8" t="n">
        <v>0.655</v>
      </c>
      <c r="I148" s="9">
        <f>INDEX('01_Benchmark_Input'!$B$2:$B$10,MATCH(B148,'01_Benchmark_Input'!$A$2:$A$10,0))</f>
        <v/>
      </c>
      <c r="J148" s="9">
        <f>INDEX('01_Benchmark_Input'!$C$2:$C$10,MATCH(B148,'01_Benchmark_Input'!$A$2:$A$10,0))</f>
        <v/>
      </c>
      <c r="K148" s="10">
        <f>IF(A148="Bear",INDEX('01_Benchmark_Input'!$K$2:$K$10,MATCH(B148,'01_Benchmark_Input'!$A$2:$A$10,0)),IF(A148="Bull",INDEX('01_Benchmark_Input'!$M$2:$M$10,MATCH(B148,'01_Benchmark_Input'!$A$2:$A$10,0)),INDEX('01_Benchmark_Input'!$L$2:$L$10,MATCH(B148,'01_Benchmark_Input'!$A$2:$A$10,0)))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7" t="n">
        <v>5.25</v>
      </c>
      <c r="E149" s="8" t="n">
        <v>0.56380952</v>
      </c>
      <c r="F149" s="7" t="n">
        <v>1.2</v>
      </c>
      <c r="G149" s="8" t="n">
        <v>0.87</v>
      </c>
      <c r="H149" s="8" t="n">
        <v>0.71</v>
      </c>
      <c r="I149" s="9">
        <f>INDEX('01_Benchmark_Input'!$B$2:$B$10,MATCH(B149,'01_Benchmark_Input'!$A$2:$A$10,0))</f>
        <v/>
      </c>
      <c r="J149" s="9">
        <f>INDEX('01_Benchmark_Input'!$C$2:$C$10,MATCH(B149,'01_Benchmark_Input'!$A$2:$A$10,0))</f>
        <v/>
      </c>
      <c r="K149" s="10">
        <f>IF(A149="Bear",INDEX('01_Benchmark_Input'!$K$2:$K$10,MATCH(B149,'01_Benchmark_Input'!$A$2:$A$10,0)),IF(A149="Bull",INDEX('01_Benchmark_Input'!$M$2:$M$10,MATCH(B149,'01_Benchmark_Input'!$A$2:$A$10,0)),INDEX('01_Benchmark_Input'!$L$2:$L$10,MATCH(B149,'01_Benchmark_Input'!$A$2:$A$10,0)))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7" t="n">
        <v>6.125</v>
      </c>
      <c r="E150" s="8" t="n">
        <v>0.58938776</v>
      </c>
      <c r="F150" s="7" t="n">
        <v>1.2</v>
      </c>
      <c r="G150" s="8" t="n">
        <v>0.87</v>
      </c>
      <c r="H150" s="8" t="n">
        <v>0.765</v>
      </c>
      <c r="I150" s="9">
        <f>INDEX('01_Benchmark_Input'!$B$2:$B$10,MATCH(B150,'01_Benchmark_Input'!$A$2:$A$10,0))</f>
        <v/>
      </c>
      <c r="J150" s="9">
        <f>INDEX('01_Benchmark_Input'!$C$2:$C$10,MATCH(B150,'01_Benchmark_Input'!$A$2:$A$10,0))</f>
        <v/>
      </c>
      <c r="K150" s="10">
        <f>IF(A150="Bear",INDEX('01_Benchmark_Input'!$K$2:$K$10,MATCH(B150,'01_Benchmark_Input'!$A$2:$A$10,0)),IF(A150="Bull",INDEX('01_Benchmark_Input'!$M$2:$M$10,MATCH(B150,'01_Benchmark_Input'!$A$2:$A$10,0)),INDEX('01_Benchmark_Input'!$L$2:$L$10,MATCH(B150,'01_Benchmark_Input'!$A$2:$A$10,0)))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7" t="n">
        <v>7</v>
      </c>
      <c r="E151" s="8" t="n">
        <v>0.59657143</v>
      </c>
      <c r="F151" s="7" t="n">
        <v>1.2</v>
      </c>
      <c r="G151" s="8" t="n">
        <v>0.87</v>
      </c>
      <c r="H151" s="8" t="n">
        <v>0.82</v>
      </c>
      <c r="I151" s="9">
        <f>INDEX('01_Benchmark_Input'!$B$2:$B$10,MATCH(B151,'01_Benchmark_Input'!$A$2:$A$10,0))</f>
        <v/>
      </c>
      <c r="J151" s="9">
        <f>INDEX('01_Benchmark_Input'!$C$2:$C$10,MATCH(B151,'01_Benchmark_Input'!$A$2:$A$10,0))</f>
        <v/>
      </c>
      <c r="K151" s="10">
        <f>IF(A151="Bear",INDEX('01_Benchmark_Input'!$K$2:$K$10,MATCH(B151,'01_Benchmark_Input'!$A$2:$A$10,0)),IF(A151="Bull",INDEX('01_Benchmark_Input'!$M$2:$M$10,MATCH(B151,'01_Benchmark_Input'!$A$2:$A$10,0)),INDEX('01_Benchmark_Input'!$L$2:$L$10,MATCH(B151,'01_Benchmark_Input'!$A$2:$A$10,0)))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7" t="n">
        <v>1</v>
      </c>
      <c r="E152" s="8" t="n">
        <v>0.308</v>
      </c>
      <c r="F152" s="7" t="n">
        <v>1.22</v>
      </c>
      <c r="G152" s="8" t="n">
        <v>0.85</v>
      </c>
      <c r="H152" s="8" t="n">
        <v>0.47</v>
      </c>
      <c r="I152" s="9">
        <f>INDEX('01_Benchmark_Input'!$B$2:$B$10,MATCH(B152,'01_Benchmark_Input'!$A$2:$A$10,0))</f>
        <v/>
      </c>
      <c r="J152" s="9">
        <f>INDEX('01_Benchmark_Input'!$C$2:$C$10,MATCH(B152,'01_Benchmark_Input'!$A$2:$A$10,0))</f>
        <v/>
      </c>
      <c r="K152" s="10">
        <f>IF(A152="Bear",INDEX('01_Benchmark_Input'!$K$2:$K$10,MATCH(B152,'01_Benchmark_Input'!$A$2:$A$10,0)),IF(A152="Bull",INDEX('01_Benchmark_Input'!$M$2:$M$10,MATCH(B152,'01_Benchmark_Input'!$A$2:$A$10,0)),INDEX('01_Benchmark_Input'!$L$2:$L$10,MATCH(B152,'01_Benchmark_Input'!$A$2:$A$10,0)))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7" t="n">
        <v>1.5</v>
      </c>
      <c r="E153" s="8" t="n">
        <v>0.49666667</v>
      </c>
      <c r="F153" s="7" t="n">
        <v>1.22</v>
      </c>
      <c r="G153" s="8" t="n">
        <v>0.85</v>
      </c>
      <c r="H153" s="8" t="n">
        <v>0.537</v>
      </c>
      <c r="I153" s="9">
        <f>INDEX('01_Benchmark_Input'!$B$2:$B$10,MATCH(B153,'01_Benchmark_Input'!$A$2:$A$10,0))</f>
        <v/>
      </c>
      <c r="J153" s="9">
        <f>INDEX('01_Benchmark_Input'!$C$2:$C$10,MATCH(B153,'01_Benchmark_Input'!$A$2:$A$10,0))</f>
        <v/>
      </c>
      <c r="K153" s="10">
        <f>IF(A153="Bear",INDEX('01_Benchmark_Input'!$K$2:$K$10,MATCH(B153,'01_Benchmark_Input'!$A$2:$A$10,0)),IF(A153="Bull",INDEX('01_Benchmark_Input'!$M$2:$M$10,MATCH(B153,'01_Benchmark_Input'!$A$2:$A$10,0)),INDEX('01_Benchmark_Input'!$L$2:$L$10,MATCH(B153,'01_Benchmark_Input'!$A$2:$A$10,0)))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7" t="n">
        <v>2</v>
      </c>
      <c r="E154" s="8" t="n">
        <v>0.57</v>
      </c>
      <c r="F154" s="7" t="n">
        <v>1.22</v>
      </c>
      <c r="G154" s="8" t="n">
        <v>0.85</v>
      </c>
      <c r="H154" s="8" t="n">
        <v>0.605</v>
      </c>
      <c r="I154" s="9">
        <f>INDEX('01_Benchmark_Input'!$B$2:$B$10,MATCH(B154,'01_Benchmark_Input'!$A$2:$A$10,0))</f>
        <v/>
      </c>
      <c r="J154" s="9">
        <f>INDEX('01_Benchmark_Input'!$C$2:$C$10,MATCH(B154,'01_Benchmark_Input'!$A$2:$A$10,0))</f>
        <v/>
      </c>
      <c r="K154" s="10">
        <f>IF(A154="Bear",INDEX('01_Benchmark_Input'!$K$2:$K$10,MATCH(B154,'01_Benchmark_Input'!$A$2:$A$10,0)),IF(A154="Bull",INDEX('01_Benchmark_Input'!$M$2:$M$10,MATCH(B154,'01_Benchmark_Input'!$A$2:$A$10,0)),INDEX('01_Benchmark_Input'!$L$2:$L$10,MATCH(B154,'01_Benchmark_Input'!$A$2:$A$10,0)))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7" t="n">
        <v>2.5</v>
      </c>
      <c r="E155" s="8" t="n">
        <v>0.5968</v>
      </c>
      <c r="F155" s="7" t="n">
        <v>1.22</v>
      </c>
      <c r="G155" s="8" t="n">
        <v>0.85</v>
      </c>
      <c r="H155" s="8" t="n">
        <v>0.672</v>
      </c>
      <c r="I155" s="9">
        <f>INDEX('01_Benchmark_Input'!$B$2:$B$10,MATCH(B155,'01_Benchmark_Input'!$A$2:$A$10,0))</f>
        <v/>
      </c>
      <c r="J155" s="9">
        <f>INDEX('01_Benchmark_Input'!$C$2:$C$10,MATCH(B155,'01_Benchmark_Input'!$A$2:$A$10,0))</f>
        <v/>
      </c>
      <c r="K155" s="10">
        <f>IF(A155="Bear",INDEX('01_Benchmark_Input'!$K$2:$K$10,MATCH(B155,'01_Benchmark_Input'!$A$2:$A$10,0)),IF(A155="Bull",INDEX('01_Benchmark_Input'!$M$2:$M$10,MATCH(B155,'01_Benchmark_Input'!$A$2:$A$10,0)),INDEX('01_Benchmark_Input'!$L$2:$L$10,MATCH(B155,'01_Benchmark_Input'!$A$2:$A$10,0)))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7" t="n">
        <v>3</v>
      </c>
      <c r="E156" s="8" t="n">
        <v>0.6</v>
      </c>
      <c r="F156" s="7" t="n">
        <v>1.22</v>
      </c>
      <c r="G156" s="8" t="n">
        <v>0.85</v>
      </c>
      <c r="H156" s="8" t="n">
        <v>0.74</v>
      </c>
      <c r="I156" s="9">
        <f>INDEX('01_Benchmark_Input'!$B$2:$B$10,MATCH(B156,'01_Benchmark_Input'!$A$2:$A$10,0))</f>
        <v/>
      </c>
      <c r="J156" s="9">
        <f>INDEX('01_Benchmark_Input'!$C$2:$C$10,MATCH(B156,'01_Benchmark_Input'!$A$2:$A$10,0))</f>
        <v/>
      </c>
      <c r="K156" s="10">
        <f>IF(A156="Bear",INDEX('01_Benchmark_Input'!$K$2:$K$10,MATCH(B156,'01_Benchmark_Input'!$A$2:$A$10,0)),IF(A156="Bull",INDEX('01_Benchmark_Input'!$M$2:$M$10,MATCH(B156,'01_Benchmark_Input'!$A$2:$A$10,0)),INDEX('01_Benchmark_Input'!$L$2:$L$10,MATCH(B156,'01_Benchmark_Input'!$A$2:$A$10,0)))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7" t="n">
        <v>5</v>
      </c>
      <c r="E157" s="8" t="n">
        <v>0.2464</v>
      </c>
      <c r="F157" s="7" t="n">
        <v>1.2</v>
      </c>
      <c r="G157" s="8" t="n">
        <v>0.88</v>
      </c>
      <c r="H157" s="8" t="n">
        <v>0.6</v>
      </c>
      <c r="I157" s="9">
        <f>INDEX('01_Benchmark_Input'!$B$2:$B$10,MATCH(B157,'01_Benchmark_Input'!$A$2:$A$10,0))</f>
        <v/>
      </c>
      <c r="J157" s="9">
        <f>INDEX('01_Benchmark_Input'!$C$2:$C$10,MATCH(B157,'01_Benchmark_Input'!$A$2:$A$10,0))</f>
        <v/>
      </c>
      <c r="K157" s="10">
        <f>IF(A157="Bear",INDEX('01_Benchmark_Input'!$K$2:$K$10,MATCH(B157,'01_Benchmark_Input'!$A$2:$A$10,0)),IF(A157="Bull",INDEX('01_Benchmark_Input'!$M$2:$M$10,MATCH(B157,'01_Benchmark_Input'!$A$2:$A$10,0)),INDEX('01_Benchmark_Input'!$L$2:$L$10,MATCH(B157,'01_Benchmark_Input'!$A$2:$A$10,0)))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7" t="n">
        <v>6.75</v>
      </c>
      <c r="E158" s="8" t="n">
        <v>0.39511111</v>
      </c>
      <c r="F158" s="7" t="n">
        <v>1.2</v>
      </c>
      <c r="G158" s="8" t="n">
        <v>0.88</v>
      </c>
      <c r="H158" s="8" t="n">
        <v>0.655</v>
      </c>
      <c r="I158" s="9">
        <f>INDEX('01_Benchmark_Input'!$B$2:$B$10,MATCH(B158,'01_Benchmark_Input'!$A$2:$A$10,0))</f>
        <v/>
      </c>
      <c r="J158" s="9">
        <f>INDEX('01_Benchmark_Input'!$C$2:$C$10,MATCH(B158,'01_Benchmark_Input'!$A$2:$A$10,0))</f>
        <v/>
      </c>
      <c r="K158" s="10">
        <f>IF(A158="Bear",INDEX('01_Benchmark_Input'!$K$2:$K$10,MATCH(B158,'01_Benchmark_Input'!$A$2:$A$10,0)),IF(A158="Bull",INDEX('01_Benchmark_Input'!$M$2:$M$10,MATCH(B158,'01_Benchmark_Input'!$A$2:$A$10,0)),INDEX('01_Benchmark_Input'!$L$2:$L$10,MATCH(B158,'01_Benchmark_Input'!$A$2:$A$10,0)))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7" t="n">
        <v>8.5</v>
      </c>
      <c r="E159" s="8" t="n">
        <v>0.46588235</v>
      </c>
      <c r="F159" s="7" t="n">
        <v>1.2</v>
      </c>
      <c r="G159" s="8" t="n">
        <v>0.88</v>
      </c>
      <c r="H159" s="8" t="n">
        <v>0.71</v>
      </c>
      <c r="I159" s="9">
        <f>INDEX('01_Benchmark_Input'!$B$2:$B$10,MATCH(B159,'01_Benchmark_Input'!$A$2:$A$10,0))</f>
        <v/>
      </c>
      <c r="J159" s="9">
        <f>INDEX('01_Benchmark_Input'!$C$2:$C$10,MATCH(B159,'01_Benchmark_Input'!$A$2:$A$10,0))</f>
        <v/>
      </c>
      <c r="K159" s="10">
        <f>IF(A159="Bear",INDEX('01_Benchmark_Input'!$K$2:$K$10,MATCH(B159,'01_Benchmark_Input'!$A$2:$A$10,0)),IF(A159="Bull",INDEX('01_Benchmark_Input'!$M$2:$M$10,MATCH(B159,'01_Benchmark_Input'!$A$2:$A$10,0)),INDEX('01_Benchmark_Input'!$L$2:$L$10,MATCH(B159,'01_Benchmark_Input'!$A$2:$A$10,0)))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7" t="n">
        <v>10.25</v>
      </c>
      <c r="E160" s="8" t="n">
        <v>0.49863415</v>
      </c>
      <c r="F160" s="7" t="n">
        <v>1.2</v>
      </c>
      <c r="G160" s="8" t="n">
        <v>0.88</v>
      </c>
      <c r="H160" s="8" t="n">
        <v>0.765</v>
      </c>
      <c r="I160" s="9">
        <f>INDEX('01_Benchmark_Input'!$B$2:$B$10,MATCH(B160,'01_Benchmark_Input'!$A$2:$A$10,0))</f>
        <v/>
      </c>
      <c r="J160" s="9">
        <f>INDEX('01_Benchmark_Input'!$C$2:$C$10,MATCH(B160,'01_Benchmark_Input'!$A$2:$A$10,0))</f>
        <v/>
      </c>
      <c r="K160" s="10">
        <f>IF(A160="Bear",INDEX('01_Benchmark_Input'!$K$2:$K$10,MATCH(B160,'01_Benchmark_Input'!$A$2:$A$10,0)),IF(A160="Bull",INDEX('01_Benchmark_Input'!$M$2:$M$10,MATCH(B160,'01_Benchmark_Input'!$A$2:$A$10,0)),INDEX('01_Benchmark_Input'!$L$2:$L$10,MATCH(B160,'01_Benchmark_Input'!$A$2:$A$10,0)))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7" t="n">
        <v>12</v>
      </c>
      <c r="E161" s="8" t="n">
        <v>0.51</v>
      </c>
      <c r="F161" s="7" t="n">
        <v>1.2</v>
      </c>
      <c r="G161" s="8" t="n">
        <v>0.88</v>
      </c>
      <c r="H161" s="8" t="n">
        <v>0.82</v>
      </c>
      <c r="I161" s="9">
        <f>INDEX('01_Benchmark_Input'!$B$2:$B$10,MATCH(B161,'01_Benchmark_Input'!$A$2:$A$10,0))</f>
        <v/>
      </c>
      <c r="J161" s="9">
        <f>INDEX('01_Benchmark_Input'!$C$2:$C$10,MATCH(B161,'01_Benchmark_Input'!$A$2:$A$10,0))</f>
        <v/>
      </c>
      <c r="K161" s="10">
        <f>IF(A161="Bear",INDEX('01_Benchmark_Input'!$K$2:$K$10,MATCH(B161,'01_Benchmark_Input'!$A$2:$A$10,0)),IF(A161="Bull",INDEX('01_Benchmark_Input'!$M$2:$M$10,MATCH(B161,'01_Benchmark_Input'!$A$2:$A$10,0)),INDEX('01_Benchmark_Input'!$L$2:$L$10,MATCH(B161,'01_Benchmark_Input'!$A$2:$A$10,0)))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7" t="n">
        <v>3.5</v>
      </c>
      <c r="E162" s="8" t="n">
        <v>0.25142857</v>
      </c>
      <c r="F162" s="7" t="n">
        <v>1.18</v>
      </c>
      <c r="G162" s="8" t="n">
        <v>0.86</v>
      </c>
      <c r="H162" s="8" t="n">
        <v>0.54</v>
      </c>
      <c r="I162" s="9">
        <f>INDEX('01_Benchmark_Input'!$B$2:$B$10,MATCH(B162,'01_Benchmark_Input'!$A$2:$A$10,0))</f>
        <v/>
      </c>
      <c r="J162" s="9">
        <f>INDEX('01_Benchmark_Input'!$C$2:$C$10,MATCH(B162,'01_Benchmark_Input'!$A$2:$A$10,0))</f>
        <v/>
      </c>
      <c r="K162" s="10">
        <f>IF(A162="Bear",INDEX('01_Benchmark_Input'!$K$2:$K$10,MATCH(B162,'01_Benchmark_Input'!$A$2:$A$10,0)),IF(A162="Bull",INDEX('01_Benchmark_Input'!$M$2:$M$10,MATCH(B162,'01_Benchmark_Input'!$A$2:$A$10,0)),INDEX('01_Benchmark_Input'!$L$2:$L$10,MATCH(B162,'01_Benchmark_Input'!$A$2:$A$10,0)))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7" t="n">
        <v>4.375</v>
      </c>
      <c r="E163" s="8" t="n">
        <v>0.408</v>
      </c>
      <c r="F163" s="7" t="n">
        <v>1.18</v>
      </c>
      <c r="G163" s="8" t="n">
        <v>0.86</v>
      </c>
      <c r="H163" s="8" t="n">
        <v>0.6</v>
      </c>
      <c r="I163" s="9">
        <f>INDEX('01_Benchmark_Input'!$B$2:$B$10,MATCH(B163,'01_Benchmark_Input'!$A$2:$A$10,0))</f>
        <v/>
      </c>
      <c r="J163" s="9">
        <f>INDEX('01_Benchmark_Input'!$C$2:$C$10,MATCH(B163,'01_Benchmark_Input'!$A$2:$A$10,0))</f>
        <v/>
      </c>
      <c r="K163" s="10">
        <f>IF(A163="Bear",INDEX('01_Benchmark_Input'!$K$2:$K$10,MATCH(B163,'01_Benchmark_Input'!$A$2:$A$10,0)),IF(A163="Bull",INDEX('01_Benchmark_Input'!$M$2:$M$10,MATCH(B163,'01_Benchmark_Input'!$A$2:$A$10,0)),INDEX('01_Benchmark_Input'!$L$2:$L$10,MATCH(B163,'01_Benchmark_Input'!$A$2:$A$10,0)))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7" t="n">
        <v>5.25</v>
      </c>
      <c r="E164" s="8" t="n">
        <v>0.4952381</v>
      </c>
      <c r="F164" s="7" t="n">
        <v>1.18</v>
      </c>
      <c r="G164" s="8" t="n">
        <v>0.86</v>
      </c>
      <c r="H164" s="8" t="n">
        <v>0.66</v>
      </c>
      <c r="I164" s="9">
        <f>INDEX('01_Benchmark_Input'!$B$2:$B$10,MATCH(B164,'01_Benchmark_Input'!$A$2:$A$10,0))</f>
        <v/>
      </c>
      <c r="J164" s="9">
        <f>INDEX('01_Benchmark_Input'!$C$2:$C$10,MATCH(B164,'01_Benchmark_Input'!$A$2:$A$10,0))</f>
        <v/>
      </c>
      <c r="K164" s="10">
        <f>IF(A164="Bear",INDEX('01_Benchmark_Input'!$K$2:$K$10,MATCH(B164,'01_Benchmark_Input'!$A$2:$A$10,0)),IF(A164="Bull",INDEX('01_Benchmark_Input'!$M$2:$M$10,MATCH(B164,'01_Benchmark_Input'!$A$2:$A$10,0)),INDEX('01_Benchmark_Input'!$L$2:$L$10,MATCH(B164,'01_Benchmark_Input'!$A$2:$A$10,0)))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7" t="n">
        <v>6.125</v>
      </c>
      <c r="E165" s="8" t="n">
        <v>0.54285714</v>
      </c>
      <c r="F165" s="7" t="n">
        <v>1.18</v>
      </c>
      <c r="G165" s="8" t="n">
        <v>0.86</v>
      </c>
      <c r="H165" s="8" t="n">
        <v>0.72</v>
      </c>
      <c r="I165" s="9">
        <f>INDEX('01_Benchmark_Input'!$B$2:$B$10,MATCH(B165,'01_Benchmark_Input'!$A$2:$A$10,0))</f>
        <v/>
      </c>
      <c r="J165" s="9">
        <f>INDEX('01_Benchmark_Input'!$C$2:$C$10,MATCH(B165,'01_Benchmark_Input'!$A$2:$A$10,0))</f>
        <v/>
      </c>
      <c r="K165" s="10">
        <f>IF(A165="Bear",INDEX('01_Benchmark_Input'!$K$2:$K$10,MATCH(B165,'01_Benchmark_Input'!$A$2:$A$10,0)),IF(A165="Bull",INDEX('01_Benchmark_Input'!$M$2:$M$10,MATCH(B165,'01_Benchmark_Input'!$A$2:$A$10,0)),INDEX('01_Benchmark_Input'!$L$2:$L$10,MATCH(B165,'01_Benchmark_Input'!$A$2:$A$10,0)))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7" t="n">
        <v>7</v>
      </c>
      <c r="E166" s="8" t="n">
        <v>0.56571429</v>
      </c>
      <c r="F166" s="7" t="n">
        <v>1.18</v>
      </c>
      <c r="G166" s="8" t="n">
        <v>0.86</v>
      </c>
      <c r="H166" s="8" t="n">
        <v>0.78</v>
      </c>
      <c r="I166" s="9">
        <f>INDEX('01_Benchmark_Input'!$B$2:$B$10,MATCH(B166,'01_Benchmark_Input'!$A$2:$A$10,0))</f>
        <v/>
      </c>
      <c r="J166" s="9">
        <f>INDEX('01_Benchmark_Input'!$C$2:$C$10,MATCH(B166,'01_Benchmark_Input'!$A$2:$A$10,0))</f>
        <v/>
      </c>
      <c r="K166" s="10">
        <f>IF(A166="Bear",INDEX('01_Benchmark_Input'!$K$2:$K$10,MATCH(B166,'01_Benchmark_Input'!$A$2:$A$10,0)),IF(A166="Bull",INDEX('01_Benchmark_Input'!$M$2:$M$10,MATCH(B166,'01_Benchmark_Input'!$A$2:$A$10,0)),INDEX('01_Benchmark_Input'!$L$2:$L$10,MATCH(B166,'01_Benchmark_Input'!$A$2:$A$10,0)))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7" t="n">
        <v>0.5</v>
      </c>
      <c r="E167" s="8" t="n">
        <v>0.264</v>
      </c>
      <c r="F167" s="7" t="n">
        <v>1.24</v>
      </c>
      <c r="G167" s="8" t="n">
        <v>0.82</v>
      </c>
      <c r="H167" s="8" t="n">
        <v>0.64</v>
      </c>
      <c r="I167" s="9">
        <f>INDEX('01_Benchmark_Input'!$B$2:$B$10,MATCH(B167,'01_Benchmark_Input'!$A$2:$A$10,0))</f>
        <v/>
      </c>
      <c r="J167" s="9">
        <f>INDEX('01_Benchmark_Input'!$C$2:$C$10,MATCH(B167,'01_Benchmark_Input'!$A$2:$A$10,0))</f>
        <v/>
      </c>
      <c r="K167" s="10">
        <f>IF(A167="Bear",INDEX('01_Benchmark_Input'!$K$2:$K$10,MATCH(B167,'01_Benchmark_Input'!$A$2:$A$10,0)),IF(A167="Bull",INDEX('01_Benchmark_Input'!$M$2:$M$10,MATCH(B167,'01_Benchmark_Input'!$A$2:$A$10,0)),INDEX('01_Benchmark_Input'!$L$2:$L$10,MATCH(B167,'01_Benchmark_Input'!$A$2:$A$10,0)))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7" t="n">
        <v>0.825</v>
      </c>
      <c r="E168" s="8" t="n">
        <v>0.41939394</v>
      </c>
      <c r="F168" s="7" t="n">
        <v>1.24</v>
      </c>
      <c r="G168" s="8" t="n">
        <v>0.82</v>
      </c>
      <c r="H168" s="8" t="n">
        <v>0.695</v>
      </c>
      <c r="I168" s="9">
        <f>INDEX('01_Benchmark_Input'!$B$2:$B$10,MATCH(B168,'01_Benchmark_Input'!$A$2:$A$10,0))</f>
        <v/>
      </c>
      <c r="J168" s="9">
        <f>INDEX('01_Benchmark_Input'!$C$2:$C$10,MATCH(B168,'01_Benchmark_Input'!$A$2:$A$10,0))</f>
        <v/>
      </c>
      <c r="K168" s="10">
        <f>IF(A168="Bear",INDEX('01_Benchmark_Input'!$K$2:$K$10,MATCH(B168,'01_Benchmark_Input'!$A$2:$A$10,0)),IF(A168="Bull",INDEX('01_Benchmark_Input'!$M$2:$M$10,MATCH(B168,'01_Benchmark_Input'!$A$2:$A$10,0)),INDEX('01_Benchmark_Input'!$L$2:$L$10,MATCH(B168,'01_Benchmark_Input'!$A$2:$A$10,0)))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7" t="n">
        <v>1.15</v>
      </c>
      <c r="E169" s="8" t="n">
        <v>0.46956522</v>
      </c>
      <c r="F169" s="7" t="n">
        <v>1.24</v>
      </c>
      <c r="G169" s="8" t="n">
        <v>0.82</v>
      </c>
      <c r="H169" s="8" t="n">
        <v>0.75</v>
      </c>
      <c r="I169" s="9">
        <f>INDEX('01_Benchmark_Input'!$B$2:$B$10,MATCH(B169,'01_Benchmark_Input'!$A$2:$A$10,0))</f>
        <v/>
      </c>
      <c r="J169" s="9">
        <f>INDEX('01_Benchmark_Input'!$C$2:$C$10,MATCH(B169,'01_Benchmark_Input'!$A$2:$A$10,0))</f>
        <v/>
      </c>
      <c r="K169" s="10">
        <f>IF(A169="Bear",INDEX('01_Benchmark_Input'!$K$2:$K$10,MATCH(B169,'01_Benchmark_Input'!$A$2:$A$10,0)),IF(A169="Bull",INDEX('01_Benchmark_Input'!$M$2:$M$10,MATCH(B169,'01_Benchmark_Input'!$A$2:$A$10,0)),INDEX('01_Benchmark_Input'!$L$2:$L$10,MATCH(B169,'01_Benchmark_Input'!$A$2:$A$10,0)))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7" t="n">
        <v>1.475</v>
      </c>
      <c r="E170" s="8" t="n">
        <v>0.48338983</v>
      </c>
      <c r="F170" s="7" t="n">
        <v>1.24</v>
      </c>
      <c r="G170" s="8" t="n">
        <v>0.82</v>
      </c>
      <c r="H170" s="8" t="n">
        <v>0.805</v>
      </c>
      <c r="I170" s="9">
        <f>INDEX('01_Benchmark_Input'!$B$2:$B$10,MATCH(B170,'01_Benchmark_Input'!$A$2:$A$10,0))</f>
        <v/>
      </c>
      <c r="J170" s="9">
        <f>INDEX('01_Benchmark_Input'!$C$2:$C$10,MATCH(B170,'01_Benchmark_Input'!$A$2:$A$10,0))</f>
        <v/>
      </c>
      <c r="K170" s="10">
        <f>IF(A170="Bear",INDEX('01_Benchmark_Input'!$K$2:$K$10,MATCH(B170,'01_Benchmark_Input'!$A$2:$A$10,0)),IF(A170="Bull",INDEX('01_Benchmark_Input'!$M$2:$M$10,MATCH(B170,'01_Benchmark_Input'!$A$2:$A$10,0)),INDEX('01_Benchmark_Input'!$L$2:$L$10,MATCH(B170,'01_Benchmark_Input'!$A$2:$A$10,0)))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7" t="n">
        <v>1.8</v>
      </c>
      <c r="E171" s="8" t="n">
        <v>0.48</v>
      </c>
      <c r="F171" s="7" t="n">
        <v>1.24</v>
      </c>
      <c r="G171" s="8" t="n">
        <v>0.82</v>
      </c>
      <c r="H171" s="8" t="n">
        <v>0.86</v>
      </c>
      <c r="I171" s="9">
        <f>INDEX('01_Benchmark_Input'!$B$2:$B$10,MATCH(B171,'01_Benchmark_Input'!$A$2:$A$10,0))</f>
        <v/>
      </c>
      <c r="J171" s="9">
        <f>INDEX('01_Benchmark_Input'!$C$2:$C$10,MATCH(B171,'01_Benchmark_Input'!$A$2:$A$10,0))</f>
        <v/>
      </c>
      <c r="K171" s="10">
        <f>IF(A171="Bear",INDEX('01_Benchmark_Input'!$K$2:$K$10,MATCH(B171,'01_Benchmark_Input'!$A$2:$A$10,0)),IF(A171="Bull",INDEX('01_Benchmark_Input'!$M$2:$M$10,MATCH(B171,'01_Benchmark_Input'!$A$2:$A$10,0)),INDEX('01_Benchmark_Input'!$L$2:$L$10,MATCH(B171,'01_Benchmark_Input'!$A$2:$A$10,0)))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7" t="n">
        <v>1.8</v>
      </c>
      <c r="E172" s="8" t="n">
        <v>0.31777778</v>
      </c>
      <c r="F172" s="7" t="n">
        <v>1.23</v>
      </c>
      <c r="G172" s="8" t="n">
        <v>0.84</v>
      </c>
      <c r="H172" s="8" t="n">
        <v>0.62</v>
      </c>
      <c r="I172" s="9">
        <f>INDEX('01_Benchmark_Input'!$B$2:$B$10,MATCH(B172,'01_Benchmark_Input'!$A$2:$A$10,0))</f>
        <v/>
      </c>
      <c r="J172" s="9">
        <f>INDEX('01_Benchmark_Input'!$C$2:$C$10,MATCH(B172,'01_Benchmark_Input'!$A$2:$A$10,0))</f>
        <v/>
      </c>
      <c r="K172" s="10">
        <f>IF(A172="Bear",INDEX('01_Benchmark_Input'!$K$2:$K$10,MATCH(B172,'01_Benchmark_Input'!$A$2:$A$10,0)),IF(A172="Bull",INDEX('01_Benchmark_Input'!$M$2:$M$10,MATCH(B172,'01_Benchmark_Input'!$A$2:$A$10,0)),INDEX('01_Benchmark_Input'!$L$2:$L$10,MATCH(B172,'01_Benchmark_Input'!$A$2:$A$10,0)))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7" t="n">
        <v>2.35</v>
      </c>
      <c r="E173" s="8" t="n">
        <v>0.46042553</v>
      </c>
      <c r="F173" s="7" t="n">
        <v>1.23</v>
      </c>
      <c r="G173" s="8" t="n">
        <v>0.84</v>
      </c>
      <c r="H173" s="8" t="n">
        <v>0.675</v>
      </c>
      <c r="I173" s="9">
        <f>INDEX('01_Benchmark_Input'!$B$2:$B$10,MATCH(B173,'01_Benchmark_Input'!$A$2:$A$10,0))</f>
        <v/>
      </c>
      <c r="J173" s="9">
        <f>INDEX('01_Benchmark_Input'!$C$2:$C$10,MATCH(B173,'01_Benchmark_Input'!$A$2:$A$10,0))</f>
        <v/>
      </c>
      <c r="K173" s="10">
        <f>IF(A173="Bear",INDEX('01_Benchmark_Input'!$K$2:$K$10,MATCH(B173,'01_Benchmark_Input'!$A$2:$A$10,0)),IF(A173="Bull",INDEX('01_Benchmark_Input'!$M$2:$M$10,MATCH(B173,'01_Benchmark_Input'!$A$2:$A$10,0)),INDEX('01_Benchmark_Input'!$L$2:$L$10,MATCH(B173,'01_Benchmark_Input'!$A$2:$A$10,0)))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7" t="n">
        <v>2.9</v>
      </c>
      <c r="E174" s="8" t="n">
        <v>0.53103448</v>
      </c>
      <c r="F174" s="7" t="n">
        <v>1.23</v>
      </c>
      <c r="G174" s="8" t="n">
        <v>0.84</v>
      </c>
      <c r="H174" s="8" t="n">
        <v>0.73</v>
      </c>
      <c r="I174" s="9">
        <f>INDEX('01_Benchmark_Input'!$B$2:$B$10,MATCH(B174,'01_Benchmark_Input'!$A$2:$A$10,0))</f>
        <v/>
      </c>
      <c r="J174" s="9">
        <f>INDEX('01_Benchmark_Input'!$C$2:$C$10,MATCH(B174,'01_Benchmark_Input'!$A$2:$A$10,0))</f>
        <v/>
      </c>
      <c r="K174" s="10">
        <f>IF(A174="Bear",INDEX('01_Benchmark_Input'!$K$2:$K$10,MATCH(B174,'01_Benchmark_Input'!$A$2:$A$10,0)),IF(A174="Bull",INDEX('01_Benchmark_Input'!$M$2:$M$10,MATCH(B174,'01_Benchmark_Input'!$A$2:$A$10,0)),INDEX('01_Benchmark_Input'!$L$2:$L$10,MATCH(B174,'01_Benchmark_Input'!$A$2:$A$10,0)))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7" t="n">
        <v>3.45</v>
      </c>
      <c r="E175" s="8" t="n">
        <v>0.56463768</v>
      </c>
      <c r="F175" s="7" t="n">
        <v>1.23</v>
      </c>
      <c r="G175" s="8" t="n">
        <v>0.84</v>
      </c>
      <c r="H175" s="8" t="n">
        <v>0.785</v>
      </c>
      <c r="I175" s="9">
        <f>INDEX('01_Benchmark_Input'!$B$2:$B$10,MATCH(B175,'01_Benchmark_Input'!$A$2:$A$10,0))</f>
        <v/>
      </c>
      <c r="J175" s="9">
        <f>INDEX('01_Benchmark_Input'!$C$2:$C$10,MATCH(B175,'01_Benchmark_Input'!$A$2:$A$10,0))</f>
        <v/>
      </c>
      <c r="K175" s="10">
        <f>IF(A175="Bear",INDEX('01_Benchmark_Input'!$K$2:$K$10,MATCH(B175,'01_Benchmark_Input'!$A$2:$A$10,0)),IF(A175="Bull",INDEX('01_Benchmark_Input'!$M$2:$M$10,MATCH(B175,'01_Benchmark_Input'!$A$2:$A$10,0)),INDEX('01_Benchmark_Input'!$L$2:$L$10,MATCH(B175,'01_Benchmark_Input'!$A$2:$A$10,0)))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7" t="n">
        <v>4</v>
      </c>
      <c r="E176" s="8" t="n">
        <v>0.576</v>
      </c>
      <c r="F176" s="7" t="n">
        <v>1.23</v>
      </c>
      <c r="G176" s="8" t="n">
        <v>0.84</v>
      </c>
      <c r="H176" s="8" t="n">
        <v>0.84</v>
      </c>
      <c r="I176" s="9">
        <f>INDEX('01_Benchmark_Input'!$B$2:$B$10,MATCH(B176,'01_Benchmark_Input'!$A$2:$A$10,0))</f>
        <v/>
      </c>
      <c r="J176" s="9">
        <f>INDEX('01_Benchmark_Input'!$C$2:$C$10,MATCH(B176,'01_Benchmark_Input'!$A$2:$A$10,0))</f>
        <v/>
      </c>
      <c r="K176" s="10">
        <f>IF(A176="Bear",INDEX('01_Benchmark_Input'!$K$2:$K$10,MATCH(B176,'01_Benchmark_Input'!$A$2:$A$10,0)),IF(A176="Bull",INDEX('01_Benchmark_Input'!$M$2:$M$10,MATCH(B176,'01_Benchmark_Input'!$A$2:$A$10,0)),INDEX('01_Benchmark_Input'!$L$2:$L$10,MATCH(B176,'01_Benchmark_Input'!$A$2:$A$10,0)))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7" t="n">
        <v>1.2</v>
      </c>
      <c r="E177" s="8" t="n">
        <v>0.33</v>
      </c>
      <c r="F177" s="7" t="n">
        <v>1.23</v>
      </c>
      <c r="G177" s="8" t="n">
        <v>0.84</v>
      </c>
      <c r="H177" s="8" t="n">
        <v>0.62</v>
      </c>
      <c r="I177" s="9">
        <f>INDEX('01_Benchmark_Input'!$B$2:$B$10,MATCH(B177,'01_Benchmark_Input'!$A$2:$A$10,0))</f>
        <v/>
      </c>
      <c r="J177" s="9">
        <f>INDEX('01_Benchmark_Input'!$C$2:$C$10,MATCH(B177,'01_Benchmark_Input'!$A$2:$A$10,0))</f>
        <v/>
      </c>
      <c r="K177" s="10">
        <f>IF(A177="Bear",INDEX('01_Benchmark_Input'!$K$2:$K$10,MATCH(B177,'01_Benchmark_Input'!$A$2:$A$10,0)),IF(A177="Bull",INDEX('01_Benchmark_Input'!$M$2:$M$10,MATCH(B177,'01_Benchmark_Input'!$A$2:$A$10,0)),INDEX('01_Benchmark_Input'!$L$2:$L$10,MATCH(B177,'01_Benchmark_Input'!$A$2:$A$10,0)))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7" t="n">
        <v>1.65</v>
      </c>
      <c r="E178" s="8" t="n">
        <v>0.4769697</v>
      </c>
      <c r="F178" s="7" t="n">
        <v>1.23</v>
      </c>
      <c r="G178" s="8" t="n">
        <v>0.84</v>
      </c>
      <c r="H178" s="8" t="n">
        <v>0.675</v>
      </c>
      <c r="I178" s="9">
        <f>INDEX('01_Benchmark_Input'!$B$2:$B$10,MATCH(B178,'01_Benchmark_Input'!$A$2:$A$10,0))</f>
        <v/>
      </c>
      <c r="J178" s="9">
        <f>INDEX('01_Benchmark_Input'!$C$2:$C$10,MATCH(B178,'01_Benchmark_Input'!$A$2:$A$10,0))</f>
        <v/>
      </c>
      <c r="K178" s="10">
        <f>IF(A178="Bear",INDEX('01_Benchmark_Input'!$K$2:$K$10,MATCH(B178,'01_Benchmark_Input'!$A$2:$A$10,0)),IF(A178="Bull",INDEX('01_Benchmark_Input'!$M$2:$M$10,MATCH(B178,'01_Benchmark_Input'!$A$2:$A$10,0)),INDEX('01_Benchmark_Input'!$L$2:$L$10,MATCH(B178,'01_Benchmark_Input'!$A$2:$A$10,0)))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7" t="n">
        <v>2.1</v>
      </c>
      <c r="E179" s="8" t="n">
        <v>0.54285714</v>
      </c>
      <c r="F179" s="7" t="n">
        <v>1.23</v>
      </c>
      <c r="G179" s="8" t="n">
        <v>0.84</v>
      </c>
      <c r="H179" s="8" t="n">
        <v>0.73</v>
      </c>
      <c r="I179" s="9">
        <f>INDEX('01_Benchmark_Input'!$B$2:$B$10,MATCH(B179,'01_Benchmark_Input'!$A$2:$A$10,0))</f>
        <v/>
      </c>
      <c r="J179" s="9">
        <f>INDEX('01_Benchmark_Input'!$C$2:$C$10,MATCH(B179,'01_Benchmark_Input'!$A$2:$A$10,0))</f>
        <v/>
      </c>
      <c r="K179" s="10">
        <f>IF(A179="Bear",INDEX('01_Benchmark_Input'!$K$2:$K$10,MATCH(B179,'01_Benchmark_Input'!$A$2:$A$10,0)),IF(A179="Bull",INDEX('01_Benchmark_Input'!$M$2:$M$10,MATCH(B179,'01_Benchmark_Input'!$A$2:$A$10,0)),INDEX('01_Benchmark_Input'!$L$2:$L$10,MATCH(B179,'01_Benchmark_Input'!$A$2:$A$10,0)))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7" t="n">
        <v>2.55</v>
      </c>
      <c r="E180" s="8" t="n">
        <v>0.57019608</v>
      </c>
      <c r="F180" s="7" t="n">
        <v>1.23</v>
      </c>
      <c r="G180" s="8" t="n">
        <v>0.84</v>
      </c>
      <c r="H180" s="8" t="n">
        <v>0.785</v>
      </c>
      <c r="I180" s="9">
        <f>INDEX('01_Benchmark_Input'!$B$2:$B$10,MATCH(B180,'01_Benchmark_Input'!$A$2:$A$10,0))</f>
        <v/>
      </c>
      <c r="J180" s="9">
        <f>INDEX('01_Benchmark_Input'!$C$2:$C$10,MATCH(B180,'01_Benchmark_Input'!$A$2:$A$10,0))</f>
        <v/>
      </c>
      <c r="K180" s="10">
        <f>IF(A180="Bear",INDEX('01_Benchmark_Input'!$K$2:$K$10,MATCH(B180,'01_Benchmark_Input'!$A$2:$A$10,0)),IF(A180="Bull",INDEX('01_Benchmark_Input'!$M$2:$M$10,MATCH(B180,'01_Benchmark_Input'!$A$2:$A$10,0)),INDEX('01_Benchmark_Input'!$L$2:$L$10,MATCH(B180,'01_Benchmark_Input'!$A$2:$A$10,0)))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7" t="n">
        <v>3</v>
      </c>
      <c r="E181" s="8" t="n">
        <v>0.576</v>
      </c>
      <c r="F181" s="7" t="n">
        <v>1.23</v>
      </c>
      <c r="G181" s="8" t="n">
        <v>0.84</v>
      </c>
      <c r="H181" s="8" t="n">
        <v>0.84</v>
      </c>
      <c r="I181" s="9">
        <f>INDEX('01_Benchmark_Input'!$B$2:$B$10,MATCH(B181,'01_Benchmark_Input'!$A$2:$A$10,0))</f>
        <v/>
      </c>
      <c r="J181" s="9">
        <f>INDEX('01_Benchmark_Input'!$C$2:$C$10,MATCH(B181,'01_Benchmark_Input'!$A$2:$A$10,0))</f>
        <v/>
      </c>
      <c r="K181" s="10">
        <f>IF(A181="Bear",INDEX('01_Benchmark_Input'!$K$2:$K$10,MATCH(B181,'01_Benchmark_Input'!$A$2:$A$10,0)),IF(A181="Bull",INDEX('01_Benchmark_Input'!$M$2:$M$10,MATCH(B181,'01_Benchmark_Input'!$A$2:$A$10,0)),INDEX('01_Benchmark_Input'!$L$2:$L$10,MATCH(B181,'01_Benchmark_Input'!$A$2:$A$10,0))))</f>
        <v/>
      </c>
    </row>
  </sheetData>
  <autoFilter ref="A1:K18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h200_share</t>
        </is>
      </c>
      <c r="E1" s="4" t="inlineStr">
        <is>
          <t>b200_share</t>
        </is>
      </c>
      <c r="F1" s="4" t="inlineStr">
        <is>
          <t>gb200_share</t>
        </is>
      </c>
      <c r="G1" s="4" t="inlineStr">
        <is>
          <t>purpose_built_share</t>
        </is>
      </c>
      <c r="H1" s="4" t="inlineStr">
        <is>
          <t>share_sum_check</t>
        </is>
      </c>
    </row>
    <row r="2">
      <c r="A2" s="3" t="inlineStr">
        <is>
          <t>Bear</t>
        </is>
      </c>
      <c r="B2" s="3" t="inlineStr">
        <is>
          <t>Microsoft</t>
        </is>
      </c>
      <c r="C2" s="3" t="n">
        <v>2026</v>
      </c>
      <c r="D2" s="6" t="n">
        <v>0.495</v>
      </c>
      <c r="E2" s="6" t="n">
        <v>0.36</v>
      </c>
      <c r="F2" s="6" t="n">
        <v>0.045</v>
      </c>
      <c r="G2" s="6" t="n">
        <v>0.1</v>
      </c>
      <c r="H2" s="10">
        <f>SUM(D2:G2)</f>
        <v/>
      </c>
    </row>
    <row r="3">
      <c r="A3" s="3" t="inlineStr">
        <is>
          <t>Bear</t>
        </is>
      </c>
      <c r="B3" s="3" t="inlineStr">
        <is>
          <t>Microsoft</t>
        </is>
      </c>
      <c r="C3" s="3" t="n">
        <v>2027</v>
      </c>
      <c r="D3" s="6" t="n">
        <v>0.355</v>
      </c>
      <c r="E3" s="6" t="n">
        <v>0.315</v>
      </c>
      <c r="F3" s="6" t="n">
        <v>0.142</v>
      </c>
      <c r="G3" s="6" t="n">
        <v>0.188</v>
      </c>
      <c r="H3" s="10">
        <f>SUM(D3:G3)</f>
        <v/>
      </c>
    </row>
    <row r="4">
      <c r="A4" s="3" t="inlineStr">
        <is>
          <t>Bear</t>
        </is>
      </c>
      <c r="B4" s="3" t="inlineStr">
        <is>
          <t>Microsoft</t>
        </is>
      </c>
      <c r="C4" s="3" t="n">
        <v>2028</v>
      </c>
      <c r="D4" s="6" t="n">
        <v>0.236</v>
      </c>
      <c r="E4" s="6" t="n">
        <v>0.272</v>
      </c>
      <c r="F4" s="6" t="n">
        <v>0.217</v>
      </c>
      <c r="G4" s="6" t="n">
        <v>0.275</v>
      </c>
      <c r="H4" s="10">
        <f>SUM(D4:G4)</f>
        <v/>
      </c>
    </row>
    <row r="5">
      <c r="A5" s="3" t="inlineStr">
        <is>
          <t>Bear</t>
        </is>
      </c>
      <c r="B5" s="3" t="inlineStr">
        <is>
          <t>Microsoft</t>
        </is>
      </c>
      <c r="C5" s="3" t="n">
        <v>2029</v>
      </c>
      <c r="D5" s="6" t="n">
        <v>0.135</v>
      </c>
      <c r="E5" s="6" t="n">
        <v>0.231</v>
      </c>
      <c r="F5" s="6" t="n">
        <v>0.272</v>
      </c>
      <c r="G5" s="6" t="n">
        <v>0.362</v>
      </c>
      <c r="H5" s="10">
        <f>SUM(D5:G5)</f>
        <v/>
      </c>
    </row>
    <row r="6">
      <c r="A6" s="3" t="inlineStr">
        <is>
          <t>Bear</t>
        </is>
      </c>
      <c r="B6" s="3" t="inlineStr">
        <is>
          <t>Microsoft</t>
        </is>
      </c>
      <c r="C6" s="3" t="n">
        <v>2030</v>
      </c>
      <c r="D6" s="6" t="n">
        <v>0.055</v>
      </c>
      <c r="E6" s="6" t="n">
        <v>0.193</v>
      </c>
      <c r="F6" s="6" t="n">
        <v>0.302</v>
      </c>
      <c r="G6" s="6" t="n">
        <v>0.45</v>
      </c>
      <c r="H6" s="10">
        <f>SUM(D6:G6)</f>
        <v/>
      </c>
    </row>
    <row r="7">
      <c r="A7" s="3" t="inlineStr">
        <is>
          <t>Bear</t>
        </is>
      </c>
      <c r="B7" s="3" t="inlineStr">
        <is>
          <t>Google</t>
        </is>
      </c>
      <c r="C7" s="3" t="n">
        <v>2026</v>
      </c>
      <c r="D7" s="6" t="n">
        <v>0.11</v>
      </c>
      <c r="E7" s="6" t="n">
        <v>0.08</v>
      </c>
      <c r="F7" s="6" t="n">
        <v>0.01</v>
      </c>
      <c r="G7" s="6" t="n">
        <v>0.8</v>
      </c>
      <c r="H7" s="10">
        <f>SUM(D7:G7)</f>
        <v/>
      </c>
    </row>
    <row r="8">
      <c r="A8" s="3" t="inlineStr">
        <is>
          <t>Bear</t>
        </is>
      </c>
      <c r="B8" s="3" t="inlineStr">
        <is>
          <t>Google</t>
        </is>
      </c>
      <c r="C8" s="3" t="n">
        <v>2027</v>
      </c>
      <c r="D8" s="6" t="n">
        <v>0.077</v>
      </c>
      <c r="E8" s="6" t="n">
        <v>0.068</v>
      </c>
      <c r="F8" s="6" t="n">
        <v>0.03</v>
      </c>
      <c r="G8" s="6" t="n">
        <v>0.825</v>
      </c>
      <c r="H8" s="10">
        <f>SUM(D8:G8)</f>
        <v/>
      </c>
    </row>
    <row r="9">
      <c r="A9" s="3" t="inlineStr">
        <is>
          <t>Bear</t>
        </is>
      </c>
      <c r="B9" s="3" t="inlineStr">
        <is>
          <t>Google</t>
        </is>
      </c>
      <c r="C9" s="3" t="n">
        <v>2028</v>
      </c>
      <c r="D9" s="6" t="n">
        <v>0.049</v>
      </c>
      <c r="E9" s="6" t="n">
        <v>0.056</v>
      </c>
      <c r="F9" s="6" t="n">
        <v>0.045</v>
      </c>
      <c r="G9" s="6" t="n">
        <v>0.85</v>
      </c>
      <c r="H9" s="10">
        <f>SUM(D9:G9)</f>
        <v/>
      </c>
    </row>
    <row r="10">
      <c r="A10" s="3" t="inlineStr">
        <is>
          <t>Bear</t>
        </is>
      </c>
      <c r="B10" s="3" t="inlineStr">
        <is>
          <t>Google</t>
        </is>
      </c>
      <c r="C10" s="3" t="n">
        <v>2029</v>
      </c>
      <c r="D10" s="6" t="n">
        <v>0.027</v>
      </c>
      <c r="E10" s="6" t="n">
        <v>0.045</v>
      </c>
      <c r="F10" s="6" t="n">
        <v>0.053</v>
      </c>
      <c r="G10" s="6" t="n">
        <v>0.875</v>
      </c>
      <c r="H10" s="10">
        <f>SUM(D10:G10)</f>
        <v/>
      </c>
    </row>
    <row r="11">
      <c r="A11" s="3" t="inlineStr">
        <is>
          <t>Bear</t>
        </is>
      </c>
      <c r="B11" s="3" t="inlineStr">
        <is>
          <t>Google</t>
        </is>
      </c>
      <c r="C11" s="3" t="n">
        <v>2030</v>
      </c>
      <c r="D11" s="6" t="n">
        <v>0.01</v>
      </c>
      <c r="E11" s="6" t="n">
        <v>0.035</v>
      </c>
      <c r="F11" s="6" t="n">
        <v>0.055</v>
      </c>
      <c r="G11" s="6" t="n">
        <v>0.9</v>
      </c>
      <c r="H11" s="10">
        <f>SUM(D11:G11)</f>
        <v/>
      </c>
    </row>
    <row r="12">
      <c r="A12" s="3" t="inlineStr">
        <is>
          <t>Bear</t>
        </is>
      </c>
      <c r="B12" s="3" t="inlineStr">
        <is>
          <t>Meta</t>
        </is>
      </c>
      <c r="C12" s="3" t="n">
        <v>2026</v>
      </c>
      <c r="D12" s="6" t="n">
        <v>0.495</v>
      </c>
      <c r="E12" s="6" t="n">
        <v>0.36</v>
      </c>
      <c r="F12" s="6" t="n">
        <v>0.045</v>
      </c>
      <c r="G12" s="6" t="n">
        <v>0.1</v>
      </c>
      <c r="H12" s="10">
        <f>SUM(D12:G12)</f>
        <v/>
      </c>
    </row>
    <row r="13">
      <c r="A13" s="3" t="inlineStr">
        <is>
          <t>Bear</t>
        </is>
      </c>
      <c r="B13" s="3" t="inlineStr">
        <is>
          <t>Meta</t>
        </is>
      </c>
      <c r="C13" s="3" t="n">
        <v>2027</v>
      </c>
      <c r="D13" s="6" t="n">
        <v>0.355</v>
      </c>
      <c r="E13" s="6" t="n">
        <v>0.315</v>
      </c>
      <c r="F13" s="6" t="n">
        <v>0.142</v>
      </c>
      <c r="G13" s="6" t="n">
        <v>0.188</v>
      </c>
      <c r="H13" s="10">
        <f>SUM(D13:G13)</f>
        <v/>
      </c>
    </row>
    <row r="14">
      <c r="A14" s="3" t="inlineStr">
        <is>
          <t>Bear</t>
        </is>
      </c>
      <c r="B14" s="3" t="inlineStr">
        <is>
          <t>Meta</t>
        </is>
      </c>
      <c r="C14" s="3" t="n">
        <v>2028</v>
      </c>
      <c r="D14" s="6" t="n">
        <v>0.236</v>
      </c>
      <c r="E14" s="6" t="n">
        <v>0.272</v>
      </c>
      <c r="F14" s="6" t="n">
        <v>0.217</v>
      </c>
      <c r="G14" s="6" t="n">
        <v>0.275</v>
      </c>
      <c r="H14" s="10">
        <f>SUM(D14:G14)</f>
        <v/>
      </c>
    </row>
    <row r="15">
      <c r="A15" s="3" t="inlineStr">
        <is>
          <t>Bear</t>
        </is>
      </c>
      <c r="B15" s="3" t="inlineStr">
        <is>
          <t>Meta</t>
        </is>
      </c>
      <c r="C15" s="3" t="n">
        <v>2029</v>
      </c>
      <c r="D15" s="6" t="n">
        <v>0.135</v>
      </c>
      <c r="E15" s="6" t="n">
        <v>0.231</v>
      </c>
      <c r="F15" s="6" t="n">
        <v>0.272</v>
      </c>
      <c r="G15" s="6" t="n">
        <v>0.362</v>
      </c>
      <c r="H15" s="10">
        <f>SUM(D15:G15)</f>
        <v/>
      </c>
    </row>
    <row r="16">
      <c r="A16" s="3" t="inlineStr">
        <is>
          <t>Bear</t>
        </is>
      </c>
      <c r="B16" s="3" t="inlineStr">
        <is>
          <t>Meta</t>
        </is>
      </c>
      <c r="C16" s="3" t="n">
        <v>2030</v>
      </c>
      <c r="D16" s="6" t="n">
        <v>0.055</v>
      </c>
      <c r="E16" s="6" t="n">
        <v>0.193</v>
      </c>
      <c r="F16" s="6" t="n">
        <v>0.302</v>
      </c>
      <c r="G16" s="6" t="n">
        <v>0.45</v>
      </c>
      <c r="H16" s="10">
        <f>SUM(D16:G16)</f>
        <v/>
      </c>
    </row>
    <row r="17">
      <c r="A17" s="3" t="inlineStr">
        <is>
          <t>Bear</t>
        </is>
      </c>
      <c r="B17" s="3" t="inlineStr">
        <is>
          <t>xAI</t>
        </is>
      </c>
      <c r="C17" s="3" t="n">
        <v>2026</v>
      </c>
      <c r="D17" s="6" t="n">
        <v>0.55</v>
      </c>
      <c r="E17" s="6" t="n">
        <v>0.4</v>
      </c>
      <c r="F17" s="6" t="n">
        <v>0.05</v>
      </c>
      <c r="G17" s="6" t="n">
        <v>0</v>
      </c>
      <c r="H17" s="10">
        <f>SUM(D17:G17)</f>
        <v/>
      </c>
    </row>
    <row r="18">
      <c r="A18" s="3" t="inlineStr">
        <is>
          <t>Bear</t>
        </is>
      </c>
      <c r="B18" s="3" t="inlineStr">
        <is>
          <t>xAI</t>
        </is>
      </c>
      <c r="C18" s="3" t="n">
        <v>2027</v>
      </c>
      <c r="D18" s="6" t="n">
        <v>0.438</v>
      </c>
      <c r="E18" s="6" t="n">
        <v>0.388</v>
      </c>
      <c r="F18" s="6" t="n">
        <v>0.174</v>
      </c>
      <c r="G18" s="6" t="n">
        <v>0</v>
      </c>
      <c r="H18" s="10">
        <f>SUM(D18:G18)</f>
        <v/>
      </c>
    </row>
    <row r="19">
      <c r="A19" s="3" t="inlineStr">
        <is>
          <t>Bear</t>
        </is>
      </c>
      <c r="B19" s="3" t="inlineStr">
        <is>
          <t>xAI</t>
        </is>
      </c>
      <c r="C19" s="3" t="n">
        <v>2028</v>
      </c>
      <c r="D19" s="6" t="n">
        <v>0.325</v>
      </c>
      <c r="E19" s="6" t="n">
        <v>0.375</v>
      </c>
      <c r="F19" s="6" t="n">
        <v>0.3</v>
      </c>
      <c r="G19" s="6" t="n">
        <v>0</v>
      </c>
      <c r="H19" s="10">
        <f>SUM(D19:G19)</f>
        <v/>
      </c>
    </row>
    <row r="20">
      <c r="A20" s="3" t="inlineStr">
        <is>
          <t>Bear</t>
        </is>
      </c>
      <c r="B20" s="3" t="inlineStr">
        <is>
          <t>xAI</t>
        </is>
      </c>
      <c r="C20" s="3" t="n">
        <v>2029</v>
      </c>
      <c r="D20" s="6" t="n">
        <v>0.213</v>
      </c>
      <c r="E20" s="6" t="n">
        <v>0.362</v>
      </c>
      <c r="F20" s="6" t="n">
        <v>0.425</v>
      </c>
      <c r="G20" s="6" t="n">
        <v>0</v>
      </c>
      <c r="H20" s="10">
        <f>SUM(D20:G20)</f>
        <v/>
      </c>
    </row>
    <row r="21">
      <c r="A21" s="3" t="inlineStr">
        <is>
          <t>Bear</t>
        </is>
      </c>
      <c r="B21" s="3" t="inlineStr">
        <is>
          <t>xAI</t>
        </is>
      </c>
      <c r="C21" s="3" t="n">
        <v>2030</v>
      </c>
      <c r="D21" s="6" t="n">
        <v>0.1</v>
      </c>
      <c r="E21" s="6" t="n">
        <v>0.35</v>
      </c>
      <c r="F21" s="6" t="n">
        <v>0.55</v>
      </c>
      <c r="G21" s="6" t="n">
        <v>0</v>
      </c>
      <c r="H21" s="10">
        <f>SUM(D21:G21)</f>
        <v/>
      </c>
    </row>
    <row r="22">
      <c r="A22" s="3" t="inlineStr">
        <is>
          <t>Bear</t>
        </is>
      </c>
      <c r="B22" s="3" t="inlineStr">
        <is>
          <t>OpenAI</t>
        </is>
      </c>
      <c r="C22" s="3" t="n">
        <v>2026</v>
      </c>
      <c r="D22" s="6" t="n">
        <v>0.55</v>
      </c>
      <c r="E22" s="6" t="n">
        <v>0.4</v>
      </c>
      <c r="F22" s="6" t="n">
        <v>0.05</v>
      </c>
      <c r="G22" s="6" t="n">
        <v>0</v>
      </c>
      <c r="H22" s="10">
        <f>SUM(D22:G22)</f>
        <v/>
      </c>
    </row>
    <row r="23">
      <c r="A23" s="3" t="inlineStr">
        <is>
          <t>Bear</t>
        </is>
      </c>
      <c r="B23" s="3" t="inlineStr">
        <is>
          <t>OpenAI</t>
        </is>
      </c>
      <c r="C23" s="3" t="n">
        <v>2027</v>
      </c>
      <c r="D23" s="6" t="n">
        <v>0.438</v>
      </c>
      <c r="E23" s="6" t="n">
        <v>0.388</v>
      </c>
      <c r="F23" s="6" t="n">
        <v>0.174</v>
      </c>
      <c r="G23" s="6" t="n">
        <v>0</v>
      </c>
      <c r="H23" s="10">
        <f>SUM(D23:G23)</f>
        <v/>
      </c>
    </row>
    <row r="24">
      <c r="A24" s="3" t="inlineStr">
        <is>
          <t>Bear</t>
        </is>
      </c>
      <c r="B24" s="3" t="inlineStr">
        <is>
          <t>OpenAI</t>
        </is>
      </c>
      <c r="C24" s="3" t="n">
        <v>2028</v>
      </c>
      <c r="D24" s="6" t="n">
        <v>0.325</v>
      </c>
      <c r="E24" s="6" t="n">
        <v>0.375</v>
      </c>
      <c r="F24" s="6" t="n">
        <v>0.3</v>
      </c>
      <c r="G24" s="6" t="n">
        <v>0</v>
      </c>
      <c r="H24" s="10">
        <f>SUM(D24:G24)</f>
        <v/>
      </c>
    </row>
    <row r="25">
      <c r="A25" s="3" t="inlineStr">
        <is>
          <t>Bear</t>
        </is>
      </c>
      <c r="B25" s="3" t="inlineStr">
        <is>
          <t>OpenAI</t>
        </is>
      </c>
      <c r="C25" s="3" t="n">
        <v>2029</v>
      </c>
      <c r="D25" s="6" t="n">
        <v>0.213</v>
      </c>
      <c r="E25" s="6" t="n">
        <v>0.362</v>
      </c>
      <c r="F25" s="6" t="n">
        <v>0.425</v>
      </c>
      <c r="G25" s="6" t="n">
        <v>0</v>
      </c>
      <c r="H25" s="10">
        <f>SUM(D25:G25)</f>
        <v/>
      </c>
    </row>
    <row r="26">
      <c r="A26" s="3" t="inlineStr">
        <is>
          <t>Bear</t>
        </is>
      </c>
      <c r="B26" s="3" t="inlineStr">
        <is>
          <t>OpenAI</t>
        </is>
      </c>
      <c r="C26" s="3" t="n">
        <v>2030</v>
      </c>
      <c r="D26" s="6" t="n">
        <v>0.1</v>
      </c>
      <c r="E26" s="6" t="n">
        <v>0.35</v>
      </c>
      <c r="F26" s="6" t="n">
        <v>0.55</v>
      </c>
      <c r="G26" s="6" t="n">
        <v>0</v>
      </c>
      <c r="H26" s="10">
        <f>SUM(D26:G26)</f>
        <v/>
      </c>
    </row>
    <row r="27">
      <c r="A27" s="3" t="inlineStr">
        <is>
          <t>Bear</t>
        </is>
      </c>
      <c r="B27" s="3" t="inlineStr">
        <is>
          <t>Anthropic</t>
        </is>
      </c>
      <c r="C27" s="3" t="n">
        <v>2026</v>
      </c>
      <c r="D27" s="6" t="n">
        <v>0.193</v>
      </c>
      <c r="E27" s="6" t="n">
        <v>0.14</v>
      </c>
      <c r="F27" s="6" t="n">
        <v>0.017</v>
      </c>
      <c r="G27" s="6" t="n">
        <v>0.65</v>
      </c>
      <c r="H27" s="10">
        <f>SUM(D27:G27)</f>
        <v/>
      </c>
    </row>
    <row r="28">
      <c r="A28" s="3" t="inlineStr">
        <is>
          <t>Bear</t>
        </is>
      </c>
      <c r="B28" s="3" t="inlineStr">
        <is>
          <t>Anthropic</t>
        </is>
      </c>
      <c r="C28" s="3" t="n">
        <v>2027</v>
      </c>
      <c r="D28" s="6" t="n">
        <v>0.131</v>
      </c>
      <c r="E28" s="6" t="n">
        <v>0.116</v>
      </c>
      <c r="F28" s="6" t="n">
        <v>0.053</v>
      </c>
      <c r="G28" s="6" t="n">
        <v>0.7</v>
      </c>
      <c r="H28" s="10">
        <f>SUM(D28:G28)</f>
        <v/>
      </c>
    </row>
    <row r="29">
      <c r="A29" s="3" t="inlineStr">
        <is>
          <t>Bear</t>
        </is>
      </c>
      <c r="B29" s="3" t="inlineStr">
        <is>
          <t>Anthropic</t>
        </is>
      </c>
      <c r="C29" s="3" t="n">
        <v>2028</v>
      </c>
      <c r="D29" s="6" t="n">
        <v>0.081</v>
      </c>
      <c r="E29" s="6" t="n">
        <v>0.094</v>
      </c>
      <c r="F29" s="6" t="n">
        <v>0.075</v>
      </c>
      <c r="G29" s="6" t="n">
        <v>0.75</v>
      </c>
      <c r="H29" s="10">
        <f>SUM(D29:G29)</f>
        <v/>
      </c>
    </row>
    <row r="30">
      <c r="A30" s="3" t="inlineStr">
        <is>
          <t>Bear</t>
        </is>
      </c>
      <c r="B30" s="3" t="inlineStr">
        <is>
          <t>Anthropic</t>
        </is>
      </c>
      <c r="C30" s="3" t="n">
        <v>2029</v>
      </c>
      <c r="D30" s="6" t="n">
        <v>0.043</v>
      </c>
      <c r="E30" s="6" t="n">
        <v>0.07199999999999999</v>
      </c>
      <c r="F30" s="6" t="n">
        <v>0.08500000000000001</v>
      </c>
      <c r="G30" s="6" t="n">
        <v>0.8</v>
      </c>
      <c r="H30" s="10">
        <f>SUM(D30:G30)</f>
        <v/>
      </c>
    </row>
    <row r="31">
      <c r="A31" s="3" t="inlineStr">
        <is>
          <t>Bear</t>
        </is>
      </c>
      <c r="B31" s="3" t="inlineStr">
        <is>
          <t>Anthropic</t>
        </is>
      </c>
      <c r="C31" s="3" t="n">
        <v>2030</v>
      </c>
      <c r="D31" s="6" t="n">
        <v>0.015</v>
      </c>
      <c r="E31" s="6" t="n">
        <v>0.052</v>
      </c>
      <c r="F31" s="6" t="n">
        <v>0.083</v>
      </c>
      <c r="G31" s="6" t="n">
        <v>0.85</v>
      </c>
      <c r="H31" s="10">
        <f>SUM(D31:G31)</f>
        <v/>
      </c>
    </row>
    <row r="32">
      <c r="A32" s="3" t="inlineStr">
        <is>
          <t>Bear</t>
        </is>
      </c>
      <c r="B32" s="3" t="inlineStr">
        <is>
          <t>DeepSeek</t>
        </is>
      </c>
      <c r="C32" s="3" t="n">
        <v>2026</v>
      </c>
      <c r="D32" s="6" t="n">
        <v>0.55</v>
      </c>
      <c r="E32" s="6" t="n">
        <v>0.4</v>
      </c>
      <c r="F32" s="6" t="n">
        <v>0.05</v>
      </c>
      <c r="G32" s="6" t="n">
        <v>0</v>
      </c>
      <c r="H32" s="10">
        <f>SUM(D32:G32)</f>
        <v/>
      </c>
    </row>
    <row r="33">
      <c r="A33" s="3" t="inlineStr">
        <is>
          <t>Bear</t>
        </is>
      </c>
      <c r="B33" s="3" t="inlineStr">
        <is>
          <t>DeepSeek</t>
        </is>
      </c>
      <c r="C33" s="3" t="n">
        <v>2027</v>
      </c>
      <c r="D33" s="6" t="n">
        <v>0.438</v>
      </c>
      <c r="E33" s="6" t="n">
        <v>0.388</v>
      </c>
      <c r="F33" s="6" t="n">
        <v>0.174</v>
      </c>
      <c r="G33" s="6" t="n">
        <v>0</v>
      </c>
      <c r="H33" s="10">
        <f>SUM(D33:G33)</f>
        <v/>
      </c>
    </row>
    <row r="34">
      <c r="A34" s="3" t="inlineStr">
        <is>
          <t>Bear</t>
        </is>
      </c>
      <c r="B34" s="3" t="inlineStr">
        <is>
          <t>DeepSeek</t>
        </is>
      </c>
      <c r="C34" s="3" t="n">
        <v>2028</v>
      </c>
      <c r="D34" s="6" t="n">
        <v>0.325</v>
      </c>
      <c r="E34" s="6" t="n">
        <v>0.375</v>
      </c>
      <c r="F34" s="6" t="n">
        <v>0.3</v>
      </c>
      <c r="G34" s="6" t="n">
        <v>0</v>
      </c>
      <c r="H34" s="10">
        <f>SUM(D34:G34)</f>
        <v/>
      </c>
    </row>
    <row r="35">
      <c r="A35" s="3" t="inlineStr">
        <is>
          <t>Bear</t>
        </is>
      </c>
      <c r="B35" s="3" t="inlineStr">
        <is>
          <t>DeepSeek</t>
        </is>
      </c>
      <c r="C35" s="3" t="n">
        <v>2029</v>
      </c>
      <c r="D35" s="6" t="n">
        <v>0.213</v>
      </c>
      <c r="E35" s="6" t="n">
        <v>0.362</v>
      </c>
      <c r="F35" s="6" t="n">
        <v>0.425</v>
      </c>
      <c r="G35" s="6" t="n">
        <v>0</v>
      </c>
      <c r="H35" s="10">
        <f>SUM(D35:G35)</f>
        <v/>
      </c>
    </row>
    <row r="36">
      <c r="A36" s="3" t="inlineStr">
        <is>
          <t>Bear</t>
        </is>
      </c>
      <c r="B36" s="3" t="inlineStr">
        <is>
          <t>DeepSeek</t>
        </is>
      </c>
      <c r="C36" s="3" t="n">
        <v>2030</v>
      </c>
      <c r="D36" s="6" t="n">
        <v>0.1</v>
      </c>
      <c r="E36" s="6" t="n">
        <v>0.35</v>
      </c>
      <c r="F36" s="6" t="n">
        <v>0.55</v>
      </c>
      <c r="G36" s="6" t="n">
        <v>0</v>
      </c>
      <c r="H36" s="10">
        <f>SUM(D36:G36)</f>
        <v/>
      </c>
    </row>
    <row r="37">
      <c r="A37" s="3" t="inlineStr">
        <is>
          <t>Bear</t>
        </is>
      </c>
      <c r="B37" s="3" t="inlineStr">
        <is>
          <t>Alibaba</t>
        </is>
      </c>
      <c r="C37" s="3" t="n">
        <v>2026</v>
      </c>
      <c r="D37" s="6" t="n">
        <v>0.55</v>
      </c>
      <c r="E37" s="6" t="n">
        <v>0.4</v>
      </c>
      <c r="F37" s="6" t="n">
        <v>0.05</v>
      </c>
      <c r="G37" s="6" t="n">
        <v>0</v>
      </c>
      <c r="H37" s="10">
        <f>SUM(D37:G37)</f>
        <v/>
      </c>
    </row>
    <row r="38">
      <c r="A38" s="3" t="inlineStr">
        <is>
          <t>Bear</t>
        </is>
      </c>
      <c r="B38" s="3" t="inlineStr">
        <is>
          <t>Alibaba</t>
        </is>
      </c>
      <c r="C38" s="3" t="n">
        <v>2027</v>
      </c>
      <c r="D38" s="6" t="n">
        <v>0.438</v>
      </c>
      <c r="E38" s="6" t="n">
        <v>0.388</v>
      </c>
      <c r="F38" s="6" t="n">
        <v>0.174</v>
      </c>
      <c r="G38" s="6" t="n">
        <v>0</v>
      </c>
      <c r="H38" s="10">
        <f>SUM(D38:G38)</f>
        <v/>
      </c>
    </row>
    <row r="39">
      <c r="A39" s="3" t="inlineStr">
        <is>
          <t>Bear</t>
        </is>
      </c>
      <c r="B39" s="3" t="inlineStr">
        <is>
          <t>Alibaba</t>
        </is>
      </c>
      <c r="C39" s="3" t="n">
        <v>2028</v>
      </c>
      <c r="D39" s="6" t="n">
        <v>0.325</v>
      </c>
      <c r="E39" s="6" t="n">
        <v>0.375</v>
      </c>
      <c r="F39" s="6" t="n">
        <v>0.3</v>
      </c>
      <c r="G39" s="6" t="n">
        <v>0</v>
      </c>
      <c r="H39" s="10">
        <f>SUM(D39:G39)</f>
        <v/>
      </c>
    </row>
    <row r="40">
      <c r="A40" s="3" t="inlineStr">
        <is>
          <t>Bear</t>
        </is>
      </c>
      <c r="B40" s="3" t="inlineStr">
        <is>
          <t>Alibaba</t>
        </is>
      </c>
      <c r="C40" s="3" t="n">
        <v>2029</v>
      </c>
      <c r="D40" s="6" t="n">
        <v>0.213</v>
      </c>
      <c r="E40" s="6" t="n">
        <v>0.362</v>
      </c>
      <c r="F40" s="6" t="n">
        <v>0.425</v>
      </c>
      <c r="G40" s="6" t="n">
        <v>0</v>
      </c>
      <c r="H40" s="10">
        <f>SUM(D40:G40)</f>
        <v/>
      </c>
    </row>
    <row r="41">
      <c r="A41" s="3" t="inlineStr">
        <is>
          <t>Bear</t>
        </is>
      </c>
      <c r="B41" s="3" t="inlineStr">
        <is>
          <t>Alibaba</t>
        </is>
      </c>
      <c r="C41" s="3" t="n">
        <v>2030</v>
      </c>
      <c r="D41" s="6" t="n">
        <v>0.1</v>
      </c>
      <c r="E41" s="6" t="n">
        <v>0.35</v>
      </c>
      <c r="F41" s="6" t="n">
        <v>0.55</v>
      </c>
      <c r="G41" s="6" t="n">
        <v>0</v>
      </c>
      <c r="H41" s="10">
        <f>SUM(D41:G41)</f>
        <v/>
      </c>
    </row>
    <row r="42">
      <c r="A42" s="3" t="inlineStr">
        <is>
          <t>Bear</t>
        </is>
      </c>
      <c r="B42" s="3" t="inlineStr">
        <is>
          <t>Tencent</t>
        </is>
      </c>
      <c r="C42" s="3" t="n">
        <v>2026</v>
      </c>
      <c r="D42" s="6" t="n">
        <v>0.55</v>
      </c>
      <c r="E42" s="6" t="n">
        <v>0.4</v>
      </c>
      <c r="F42" s="6" t="n">
        <v>0.05</v>
      </c>
      <c r="G42" s="6" t="n">
        <v>0</v>
      </c>
      <c r="H42" s="10">
        <f>SUM(D42:G42)</f>
        <v/>
      </c>
    </row>
    <row r="43">
      <c r="A43" s="3" t="inlineStr">
        <is>
          <t>Bear</t>
        </is>
      </c>
      <c r="B43" s="3" t="inlineStr">
        <is>
          <t>Tencent</t>
        </is>
      </c>
      <c r="C43" s="3" t="n">
        <v>2027</v>
      </c>
      <c r="D43" s="6" t="n">
        <v>0.438</v>
      </c>
      <c r="E43" s="6" t="n">
        <v>0.388</v>
      </c>
      <c r="F43" s="6" t="n">
        <v>0.174</v>
      </c>
      <c r="G43" s="6" t="n">
        <v>0</v>
      </c>
      <c r="H43" s="10">
        <f>SUM(D43:G43)</f>
        <v/>
      </c>
    </row>
    <row r="44">
      <c r="A44" s="3" t="inlineStr">
        <is>
          <t>Bear</t>
        </is>
      </c>
      <c r="B44" s="3" t="inlineStr">
        <is>
          <t>Tencent</t>
        </is>
      </c>
      <c r="C44" s="3" t="n">
        <v>2028</v>
      </c>
      <c r="D44" s="6" t="n">
        <v>0.325</v>
      </c>
      <c r="E44" s="6" t="n">
        <v>0.375</v>
      </c>
      <c r="F44" s="6" t="n">
        <v>0.3</v>
      </c>
      <c r="G44" s="6" t="n">
        <v>0</v>
      </c>
      <c r="H44" s="10">
        <f>SUM(D44:G44)</f>
        <v/>
      </c>
    </row>
    <row r="45">
      <c r="A45" s="3" t="inlineStr">
        <is>
          <t>Bear</t>
        </is>
      </c>
      <c r="B45" s="3" t="inlineStr">
        <is>
          <t>Tencent</t>
        </is>
      </c>
      <c r="C45" s="3" t="n">
        <v>2029</v>
      </c>
      <c r="D45" s="6" t="n">
        <v>0.213</v>
      </c>
      <c r="E45" s="6" t="n">
        <v>0.362</v>
      </c>
      <c r="F45" s="6" t="n">
        <v>0.425</v>
      </c>
      <c r="G45" s="6" t="n">
        <v>0</v>
      </c>
      <c r="H45" s="10">
        <f>SUM(D45:G45)</f>
        <v/>
      </c>
    </row>
    <row r="46">
      <c r="A46" s="3" t="inlineStr">
        <is>
          <t>Bear</t>
        </is>
      </c>
      <c r="B46" s="3" t="inlineStr">
        <is>
          <t>Tencent</t>
        </is>
      </c>
      <c r="C46" s="3" t="n">
        <v>2030</v>
      </c>
      <c r="D46" s="6" t="n">
        <v>0.1</v>
      </c>
      <c r="E46" s="6" t="n">
        <v>0.35</v>
      </c>
      <c r="F46" s="6" t="n">
        <v>0.55</v>
      </c>
      <c r="G46" s="6" t="n">
        <v>0</v>
      </c>
      <c r="H46" s="10">
        <f>SUM(D46:G46)</f>
        <v/>
      </c>
    </row>
    <row r="47">
      <c r="A47" s="3" t="inlineStr">
        <is>
          <t>Base</t>
        </is>
      </c>
      <c r="B47" s="3" t="inlineStr">
        <is>
          <t>Microsoft</t>
        </is>
      </c>
      <c r="C47" s="3" t="n">
        <v>2026</v>
      </c>
      <c r="D47" s="6" t="n">
        <v>0.495</v>
      </c>
      <c r="E47" s="6" t="n">
        <v>0.36</v>
      </c>
      <c r="F47" s="6" t="n">
        <v>0.045</v>
      </c>
      <c r="G47" s="6" t="n">
        <v>0.1</v>
      </c>
      <c r="H47" s="10">
        <f>SUM(D47:G47)</f>
        <v/>
      </c>
    </row>
    <row r="48">
      <c r="A48" s="3" t="inlineStr">
        <is>
          <t>Base</t>
        </is>
      </c>
      <c r="B48" s="3" t="inlineStr">
        <is>
          <t>Microsoft</t>
        </is>
      </c>
      <c r="C48" s="3" t="n">
        <v>2027</v>
      </c>
      <c r="D48" s="6" t="n">
        <v>0.355</v>
      </c>
      <c r="E48" s="6" t="n">
        <v>0.315</v>
      </c>
      <c r="F48" s="6" t="n">
        <v>0.142</v>
      </c>
      <c r="G48" s="6" t="n">
        <v>0.188</v>
      </c>
      <c r="H48" s="10">
        <f>SUM(D48:G48)</f>
        <v/>
      </c>
    </row>
    <row r="49">
      <c r="A49" s="3" t="inlineStr">
        <is>
          <t>Base</t>
        </is>
      </c>
      <c r="B49" s="3" t="inlineStr">
        <is>
          <t>Microsoft</t>
        </is>
      </c>
      <c r="C49" s="3" t="n">
        <v>2028</v>
      </c>
      <c r="D49" s="6" t="n">
        <v>0.236</v>
      </c>
      <c r="E49" s="6" t="n">
        <v>0.272</v>
      </c>
      <c r="F49" s="6" t="n">
        <v>0.217</v>
      </c>
      <c r="G49" s="6" t="n">
        <v>0.275</v>
      </c>
      <c r="H49" s="10">
        <f>SUM(D49:G49)</f>
        <v/>
      </c>
    </row>
    <row r="50">
      <c r="A50" s="3" t="inlineStr">
        <is>
          <t>Base</t>
        </is>
      </c>
      <c r="B50" s="3" t="inlineStr">
        <is>
          <t>Microsoft</t>
        </is>
      </c>
      <c r="C50" s="3" t="n">
        <v>2029</v>
      </c>
      <c r="D50" s="6" t="n">
        <v>0.135</v>
      </c>
      <c r="E50" s="6" t="n">
        <v>0.231</v>
      </c>
      <c r="F50" s="6" t="n">
        <v>0.272</v>
      </c>
      <c r="G50" s="6" t="n">
        <v>0.362</v>
      </c>
      <c r="H50" s="10">
        <f>SUM(D50:G50)</f>
        <v/>
      </c>
    </row>
    <row r="51">
      <c r="A51" s="3" t="inlineStr">
        <is>
          <t>Base</t>
        </is>
      </c>
      <c r="B51" s="3" t="inlineStr">
        <is>
          <t>Microsoft</t>
        </is>
      </c>
      <c r="C51" s="3" t="n">
        <v>2030</v>
      </c>
      <c r="D51" s="6" t="n">
        <v>0.055</v>
      </c>
      <c r="E51" s="6" t="n">
        <v>0.193</v>
      </c>
      <c r="F51" s="6" t="n">
        <v>0.302</v>
      </c>
      <c r="G51" s="6" t="n">
        <v>0.45</v>
      </c>
      <c r="H51" s="10">
        <f>SUM(D51:G51)</f>
        <v/>
      </c>
    </row>
    <row r="52">
      <c r="A52" s="3" t="inlineStr">
        <is>
          <t>Base</t>
        </is>
      </c>
      <c r="B52" s="3" t="inlineStr">
        <is>
          <t>Google</t>
        </is>
      </c>
      <c r="C52" s="3" t="n">
        <v>2026</v>
      </c>
      <c r="D52" s="6" t="n">
        <v>0.11</v>
      </c>
      <c r="E52" s="6" t="n">
        <v>0.08</v>
      </c>
      <c r="F52" s="6" t="n">
        <v>0.01</v>
      </c>
      <c r="G52" s="6" t="n">
        <v>0.8</v>
      </c>
      <c r="H52" s="10">
        <f>SUM(D52:G52)</f>
        <v/>
      </c>
    </row>
    <row r="53">
      <c r="A53" s="3" t="inlineStr">
        <is>
          <t>Base</t>
        </is>
      </c>
      <c r="B53" s="3" t="inlineStr">
        <is>
          <t>Google</t>
        </is>
      </c>
      <c r="C53" s="3" t="n">
        <v>2027</v>
      </c>
      <c r="D53" s="6" t="n">
        <v>0.077</v>
      </c>
      <c r="E53" s="6" t="n">
        <v>0.068</v>
      </c>
      <c r="F53" s="6" t="n">
        <v>0.03</v>
      </c>
      <c r="G53" s="6" t="n">
        <v>0.825</v>
      </c>
      <c r="H53" s="10">
        <f>SUM(D53:G53)</f>
        <v/>
      </c>
    </row>
    <row r="54">
      <c r="A54" s="3" t="inlineStr">
        <is>
          <t>Base</t>
        </is>
      </c>
      <c r="B54" s="3" t="inlineStr">
        <is>
          <t>Google</t>
        </is>
      </c>
      <c r="C54" s="3" t="n">
        <v>2028</v>
      </c>
      <c r="D54" s="6" t="n">
        <v>0.049</v>
      </c>
      <c r="E54" s="6" t="n">
        <v>0.056</v>
      </c>
      <c r="F54" s="6" t="n">
        <v>0.045</v>
      </c>
      <c r="G54" s="6" t="n">
        <v>0.85</v>
      </c>
      <c r="H54" s="10">
        <f>SUM(D54:G54)</f>
        <v/>
      </c>
    </row>
    <row r="55">
      <c r="A55" s="3" t="inlineStr">
        <is>
          <t>Base</t>
        </is>
      </c>
      <c r="B55" s="3" t="inlineStr">
        <is>
          <t>Google</t>
        </is>
      </c>
      <c r="C55" s="3" t="n">
        <v>2029</v>
      </c>
      <c r="D55" s="6" t="n">
        <v>0.027</v>
      </c>
      <c r="E55" s="6" t="n">
        <v>0.045</v>
      </c>
      <c r="F55" s="6" t="n">
        <v>0.053</v>
      </c>
      <c r="G55" s="6" t="n">
        <v>0.875</v>
      </c>
      <c r="H55" s="10">
        <f>SUM(D55:G55)</f>
        <v/>
      </c>
    </row>
    <row r="56">
      <c r="A56" s="3" t="inlineStr">
        <is>
          <t>Base</t>
        </is>
      </c>
      <c r="B56" s="3" t="inlineStr">
        <is>
          <t>Google</t>
        </is>
      </c>
      <c r="C56" s="3" t="n">
        <v>2030</v>
      </c>
      <c r="D56" s="6" t="n">
        <v>0.01</v>
      </c>
      <c r="E56" s="6" t="n">
        <v>0.035</v>
      </c>
      <c r="F56" s="6" t="n">
        <v>0.055</v>
      </c>
      <c r="G56" s="6" t="n">
        <v>0.9</v>
      </c>
      <c r="H56" s="10">
        <f>SUM(D56:G56)</f>
        <v/>
      </c>
    </row>
    <row r="57">
      <c r="A57" s="3" t="inlineStr">
        <is>
          <t>Base</t>
        </is>
      </c>
      <c r="B57" s="3" t="inlineStr">
        <is>
          <t>Meta</t>
        </is>
      </c>
      <c r="C57" s="3" t="n">
        <v>2026</v>
      </c>
      <c r="D57" s="6" t="n">
        <v>0.495</v>
      </c>
      <c r="E57" s="6" t="n">
        <v>0.36</v>
      </c>
      <c r="F57" s="6" t="n">
        <v>0.045</v>
      </c>
      <c r="G57" s="6" t="n">
        <v>0.1</v>
      </c>
      <c r="H57" s="10">
        <f>SUM(D57:G57)</f>
        <v/>
      </c>
    </row>
    <row r="58">
      <c r="A58" s="3" t="inlineStr">
        <is>
          <t>Base</t>
        </is>
      </c>
      <c r="B58" s="3" t="inlineStr">
        <is>
          <t>Meta</t>
        </is>
      </c>
      <c r="C58" s="3" t="n">
        <v>2027</v>
      </c>
      <c r="D58" s="6" t="n">
        <v>0.355</v>
      </c>
      <c r="E58" s="6" t="n">
        <v>0.315</v>
      </c>
      <c r="F58" s="6" t="n">
        <v>0.142</v>
      </c>
      <c r="G58" s="6" t="n">
        <v>0.188</v>
      </c>
      <c r="H58" s="10">
        <f>SUM(D58:G58)</f>
        <v/>
      </c>
    </row>
    <row r="59">
      <c r="A59" s="3" t="inlineStr">
        <is>
          <t>Base</t>
        </is>
      </c>
      <c r="B59" s="3" t="inlineStr">
        <is>
          <t>Meta</t>
        </is>
      </c>
      <c r="C59" s="3" t="n">
        <v>2028</v>
      </c>
      <c r="D59" s="6" t="n">
        <v>0.236</v>
      </c>
      <c r="E59" s="6" t="n">
        <v>0.272</v>
      </c>
      <c r="F59" s="6" t="n">
        <v>0.217</v>
      </c>
      <c r="G59" s="6" t="n">
        <v>0.275</v>
      </c>
      <c r="H59" s="10">
        <f>SUM(D59:G59)</f>
        <v/>
      </c>
    </row>
    <row r="60">
      <c r="A60" s="3" t="inlineStr">
        <is>
          <t>Base</t>
        </is>
      </c>
      <c r="B60" s="3" t="inlineStr">
        <is>
          <t>Meta</t>
        </is>
      </c>
      <c r="C60" s="3" t="n">
        <v>2029</v>
      </c>
      <c r="D60" s="6" t="n">
        <v>0.135</v>
      </c>
      <c r="E60" s="6" t="n">
        <v>0.231</v>
      </c>
      <c r="F60" s="6" t="n">
        <v>0.272</v>
      </c>
      <c r="G60" s="6" t="n">
        <v>0.362</v>
      </c>
      <c r="H60" s="10">
        <f>SUM(D60:G60)</f>
        <v/>
      </c>
    </row>
    <row r="61">
      <c r="A61" s="3" t="inlineStr">
        <is>
          <t>Base</t>
        </is>
      </c>
      <c r="B61" s="3" t="inlineStr">
        <is>
          <t>Meta</t>
        </is>
      </c>
      <c r="C61" s="3" t="n">
        <v>2030</v>
      </c>
      <c r="D61" s="6" t="n">
        <v>0.055</v>
      </c>
      <c r="E61" s="6" t="n">
        <v>0.193</v>
      </c>
      <c r="F61" s="6" t="n">
        <v>0.302</v>
      </c>
      <c r="G61" s="6" t="n">
        <v>0.45</v>
      </c>
      <c r="H61" s="10">
        <f>SUM(D61:G61)</f>
        <v/>
      </c>
    </row>
    <row r="62">
      <c r="A62" s="3" t="inlineStr">
        <is>
          <t>Base</t>
        </is>
      </c>
      <c r="B62" s="3" t="inlineStr">
        <is>
          <t>xAI</t>
        </is>
      </c>
      <c r="C62" s="3" t="n">
        <v>2026</v>
      </c>
      <c r="D62" s="6" t="n">
        <v>0.55</v>
      </c>
      <c r="E62" s="6" t="n">
        <v>0.4</v>
      </c>
      <c r="F62" s="6" t="n">
        <v>0.05</v>
      </c>
      <c r="G62" s="6" t="n">
        <v>0</v>
      </c>
      <c r="H62" s="10">
        <f>SUM(D62:G62)</f>
        <v/>
      </c>
    </row>
    <row r="63">
      <c r="A63" s="3" t="inlineStr">
        <is>
          <t>Base</t>
        </is>
      </c>
      <c r="B63" s="3" t="inlineStr">
        <is>
          <t>xAI</t>
        </is>
      </c>
      <c r="C63" s="3" t="n">
        <v>2027</v>
      </c>
      <c r="D63" s="6" t="n">
        <v>0.438</v>
      </c>
      <c r="E63" s="6" t="n">
        <v>0.388</v>
      </c>
      <c r="F63" s="6" t="n">
        <v>0.174</v>
      </c>
      <c r="G63" s="6" t="n">
        <v>0</v>
      </c>
      <c r="H63" s="10">
        <f>SUM(D63:G63)</f>
        <v/>
      </c>
    </row>
    <row r="64">
      <c r="A64" s="3" t="inlineStr">
        <is>
          <t>Base</t>
        </is>
      </c>
      <c r="B64" s="3" t="inlineStr">
        <is>
          <t>xAI</t>
        </is>
      </c>
      <c r="C64" s="3" t="n">
        <v>2028</v>
      </c>
      <c r="D64" s="6" t="n">
        <v>0.325</v>
      </c>
      <c r="E64" s="6" t="n">
        <v>0.375</v>
      </c>
      <c r="F64" s="6" t="n">
        <v>0.3</v>
      </c>
      <c r="G64" s="6" t="n">
        <v>0</v>
      </c>
      <c r="H64" s="10">
        <f>SUM(D64:G64)</f>
        <v/>
      </c>
    </row>
    <row r="65">
      <c r="A65" s="3" t="inlineStr">
        <is>
          <t>Base</t>
        </is>
      </c>
      <c r="B65" s="3" t="inlineStr">
        <is>
          <t>xAI</t>
        </is>
      </c>
      <c r="C65" s="3" t="n">
        <v>2029</v>
      </c>
      <c r="D65" s="6" t="n">
        <v>0.213</v>
      </c>
      <c r="E65" s="6" t="n">
        <v>0.362</v>
      </c>
      <c r="F65" s="6" t="n">
        <v>0.425</v>
      </c>
      <c r="G65" s="6" t="n">
        <v>0</v>
      </c>
      <c r="H65" s="10">
        <f>SUM(D65:G65)</f>
        <v/>
      </c>
    </row>
    <row r="66">
      <c r="A66" s="3" t="inlineStr">
        <is>
          <t>Base</t>
        </is>
      </c>
      <c r="B66" s="3" t="inlineStr">
        <is>
          <t>xAI</t>
        </is>
      </c>
      <c r="C66" s="3" t="n">
        <v>2030</v>
      </c>
      <c r="D66" s="6" t="n">
        <v>0.1</v>
      </c>
      <c r="E66" s="6" t="n">
        <v>0.35</v>
      </c>
      <c r="F66" s="6" t="n">
        <v>0.55</v>
      </c>
      <c r="G66" s="6" t="n">
        <v>0</v>
      </c>
      <c r="H66" s="10">
        <f>SUM(D66:G66)</f>
        <v/>
      </c>
    </row>
    <row r="67">
      <c r="A67" s="3" t="inlineStr">
        <is>
          <t>Base</t>
        </is>
      </c>
      <c r="B67" s="3" t="inlineStr">
        <is>
          <t>OpenAI</t>
        </is>
      </c>
      <c r="C67" s="3" t="n">
        <v>2026</v>
      </c>
      <c r="D67" s="6" t="n">
        <v>0.55</v>
      </c>
      <c r="E67" s="6" t="n">
        <v>0.4</v>
      </c>
      <c r="F67" s="6" t="n">
        <v>0.05</v>
      </c>
      <c r="G67" s="6" t="n">
        <v>0</v>
      </c>
      <c r="H67" s="10">
        <f>SUM(D67:G67)</f>
        <v/>
      </c>
    </row>
    <row r="68">
      <c r="A68" s="3" t="inlineStr">
        <is>
          <t>Base</t>
        </is>
      </c>
      <c r="B68" s="3" t="inlineStr">
        <is>
          <t>OpenAI</t>
        </is>
      </c>
      <c r="C68" s="3" t="n">
        <v>2027</v>
      </c>
      <c r="D68" s="6" t="n">
        <v>0.438</v>
      </c>
      <c r="E68" s="6" t="n">
        <v>0.388</v>
      </c>
      <c r="F68" s="6" t="n">
        <v>0.174</v>
      </c>
      <c r="G68" s="6" t="n">
        <v>0</v>
      </c>
      <c r="H68" s="10">
        <f>SUM(D68:G68)</f>
        <v/>
      </c>
    </row>
    <row r="69">
      <c r="A69" s="3" t="inlineStr">
        <is>
          <t>Base</t>
        </is>
      </c>
      <c r="B69" s="3" t="inlineStr">
        <is>
          <t>OpenAI</t>
        </is>
      </c>
      <c r="C69" s="3" t="n">
        <v>2028</v>
      </c>
      <c r="D69" s="6" t="n">
        <v>0.325</v>
      </c>
      <c r="E69" s="6" t="n">
        <v>0.375</v>
      </c>
      <c r="F69" s="6" t="n">
        <v>0.3</v>
      </c>
      <c r="G69" s="6" t="n">
        <v>0</v>
      </c>
      <c r="H69" s="10">
        <f>SUM(D69:G69)</f>
        <v/>
      </c>
    </row>
    <row r="70">
      <c r="A70" s="3" t="inlineStr">
        <is>
          <t>Base</t>
        </is>
      </c>
      <c r="B70" s="3" t="inlineStr">
        <is>
          <t>OpenAI</t>
        </is>
      </c>
      <c r="C70" s="3" t="n">
        <v>2029</v>
      </c>
      <c r="D70" s="6" t="n">
        <v>0.213</v>
      </c>
      <c r="E70" s="6" t="n">
        <v>0.362</v>
      </c>
      <c r="F70" s="6" t="n">
        <v>0.425</v>
      </c>
      <c r="G70" s="6" t="n">
        <v>0</v>
      </c>
      <c r="H70" s="10">
        <f>SUM(D70:G70)</f>
        <v/>
      </c>
    </row>
    <row r="71">
      <c r="A71" s="3" t="inlineStr">
        <is>
          <t>Base</t>
        </is>
      </c>
      <c r="B71" s="3" t="inlineStr">
        <is>
          <t>OpenAI</t>
        </is>
      </c>
      <c r="C71" s="3" t="n">
        <v>2030</v>
      </c>
      <c r="D71" s="6" t="n">
        <v>0.1</v>
      </c>
      <c r="E71" s="6" t="n">
        <v>0.35</v>
      </c>
      <c r="F71" s="6" t="n">
        <v>0.55</v>
      </c>
      <c r="G71" s="6" t="n">
        <v>0</v>
      </c>
      <c r="H71" s="10">
        <f>SUM(D71:G71)</f>
        <v/>
      </c>
    </row>
    <row r="72">
      <c r="A72" s="3" t="inlineStr">
        <is>
          <t>Base</t>
        </is>
      </c>
      <c r="B72" s="3" t="inlineStr">
        <is>
          <t>Anthropic</t>
        </is>
      </c>
      <c r="C72" s="3" t="n">
        <v>2026</v>
      </c>
      <c r="D72" s="6" t="n">
        <v>0.193</v>
      </c>
      <c r="E72" s="6" t="n">
        <v>0.14</v>
      </c>
      <c r="F72" s="6" t="n">
        <v>0.017</v>
      </c>
      <c r="G72" s="6" t="n">
        <v>0.65</v>
      </c>
      <c r="H72" s="10">
        <f>SUM(D72:G72)</f>
        <v/>
      </c>
    </row>
    <row r="73">
      <c r="A73" s="3" t="inlineStr">
        <is>
          <t>Base</t>
        </is>
      </c>
      <c r="B73" s="3" t="inlineStr">
        <is>
          <t>Anthropic</t>
        </is>
      </c>
      <c r="C73" s="3" t="n">
        <v>2027</v>
      </c>
      <c r="D73" s="6" t="n">
        <v>0.131</v>
      </c>
      <c r="E73" s="6" t="n">
        <v>0.116</v>
      </c>
      <c r="F73" s="6" t="n">
        <v>0.053</v>
      </c>
      <c r="G73" s="6" t="n">
        <v>0.7</v>
      </c>
      <c r="H73" s="10">
        <f>SUM(D73:G73)</f>
        <v/>
      </c>
    </row>
    <row r="74">
      <c r="A74" s="3" t="inlineStr">
        <is>
          <t>Base</t>
        </is>
      </c>
      <c r="B74" s="3" t="inlineStr">
        <is>
          <t>Anthropic</t>
        </is>
      </c>
      <c r="C74" s="3" t="n">
        <v>2028</v>
      </c>
      <c r="D74" s="6" t="n">
        <v>0.081</v>
      </c>
      <c r="E74" s="6" t="n">
        <v>0.094</v>
      </c>
      <c r="F74" s="6" t="n">
        <v>0.075</v>
      </c>
      <c r="G74" s="6" t="n">
        <v>0.75</v>
      </c>
      <c r="H74" s="10">
        <f>SUM(D74:G74)</f>
        <v/>
      </c>
    </row>
    <row r="75">
      <c r="A75" s="3" t="inlineStr">
        <is>
          <t>Base</t>
        </is>
      </c>
      <c r="B75" s="3" t="inlineStr">
        <is>
          <t>Anthropic</t>
        </is>
      </c>
      <c r="C75" s="3" t="n">
        <v>2029</v>
      </c>
      <c r="D75" s="6" t="n">
        <v>0.043</v>
      </c>
      <c r="E75" s="6" t="n">
        <v>0.07199999999999999</v>
      </c>
      <c r="F75" s="6" t="n">
        <v>0.08500000000000001</v>
      </c>
      <c r="G75" s="6" t="n">
        <v>0.8</v>
      </c>
      <c r="H75" s="10">
        <f>SUM(D75:G75)</f>
        <v/>
      </c>
    </row>
    <row r="76">
      <c r="A76" s="3" t="inlineStr">
        <is>
          <t>Base</t>
        </is>
      </c>
      <c r="B76" s="3" t="inlineStr">
        <is>
          <t>Anthropic</t>
        </is>
      </c>
      <c r="C76" s="3" t="n">
        <v>2030</v>
      </c>
      <c r="D76" s="6" t="n">
        <v>0.015</v>
      </c>
      <c r="E76" s="6" t="n">
        <v>0.052</v>
      </c>
      <c r="F76" s="6" t="n">
        <v>0.083</v>
      </c>
      <c r="G76" s="6" t="n">
        <v>0.85</v>
      </c>
      <c r="H76" s="10">
        <f>SUM(D76:G76)</f>
        <v/>
      </c>
    </row>
    <row r="77">
      <c r="A77" s="3" t="inlineStr">
        <is>
          <t>Base</t>
        </is>
      </c>
      <c r="B77" s="3" t="inlineStr">
        <is>
          <t>DeepSeek</t>
        </is>
      </c>
      <c r="C77" s="3" t="n">
        <v>2026</v>
      </c>
      <c r="D77" s="6" t="n">
        <v>0.55</v>
      </c>
      <c r="E77" s="6" t="n">
        <v>0.4</v>
      </c>
      <c r="F77" s="6" t="n">
        <v>0.05</v>
      </c>
      <c r="G77" s="6" t="n">
        <v>0</v>
      </c>
      <c r="H77" s="10">
        <f>SUM(D77:G77)</f>
        <v/>
      </c>
    </row>
    <row r="78">
      <c r="A78" s="3" t="inlineStr">
        <is>
          <t>Base</t>
        </is>
      </c>
      <c r="B78" s="3" t="inlineStr">
        <is>
          <t>DeepSeek</t>
        </is>
      </c>
      <c r="C78" s="3" t="n">
        <v>2027</v>
      </c>
      <c r="D78" s="6" t="n">
        <v>0.438</v>
      </c>
      <c r="E78" s="6" t="n">
        <v>0.388</v>
      </c>
      <c r="F78" s="6" t="n">
        <v>0.174</v>
      </c>
      <c r="G78" s="6" t="n">
        <v>0</v>
      </c>
      <c r="H78" s="10">
        <f>SUM(D78:G78)</f>
        <v/>
      </c>
    </row>
    <row r="79">
      <c r="A79" s="3" t="inlineStr">
        <is>
          <t>Base</t>
        </is>
      </c>
      <c r="B79" s="3" t="inlineStr">
        <is>
          <t>DeepSeek</t>
        </is>
      </c>
      <c r="C79" s="3" t="n">
        <v>2028</v>
      </c>
      <c r="D79" s="6" t="n">
        <v>0.325</v>
      </c>
      <c r="E79" s="6" t="n">
        <v>0.375</v>
      </c>
      <c r="F79" s="6" t="n">
        <v>0.3</v>
      </c>
      <c r="G79" s="6" t="n">
        <v>0</v>
      </c>
      <c r="H79" s="10">
        <f>SUM(D79:G79)</f>
        <v/>
      </c>
    </row>
    <row r="80">
      <c r="A80" s="3" t="inlineStr">
        <is>
          <t>Base</t>
        </is>
      </c>
      <c r="B80" s="3" t="inlineStr">
        <is>
          <t>DeepSeek</t>
        </is>
      </c>
      <c r="C80" s="3" t="n">
        <v>2029</v>
      </c>
      <c r="D80" s="6" t="n">
        <v>0.213</v>
      </c>
      <c r="E80" s="6" t="n">
        <v>0.362</v>
      </c>
      <c r="F80" s="6" t="n">
        <v>0.425</v>
      </c>
      <c r="G80" s="6" t="n">
        <v>0</v>
      </c>
      <c r="H80" s="10">
        <f>SUM(D80:G80)</f>
        <v/>
      </c>
    </row>
    <row r="81">
      <c r="A81" s="3" t="inlineStr">
        <is>
          <t>Base</t>
        </is>
      </c>
      <c r="B81" s="3" t="inlineStr">
        <is>
          <t>DeepSeek</t>
        </is>
      </c>
      <c r="C81" s="3" t="n">
        <v>2030</v>
      </c>
      <c r="D81" s="6" t="n">
        <v>0.1</v>
      </c>
      <c r="E81" s="6" t="n">
        <v>0.35</v>
      </c>
      <c r="F81" s="6" t="n">
        <v>0.55</v>
      </c>
      <c r="G81" s="6" t="n">
        <v>0</v>
      </c>
      <c r="H81" s="10">
        <f>SUM(D81:G81)</f>
        <v/>
      </c>
    </row>
    <row r="82">
      <c r="A82" s="3" t="inlineStr">
        <is>
          <t>Base</t>
        </is>
      </c>
      <c r="B82" s="3" t="inlineStr">
        <is>
          <t>Alibaba</t>
        </is>
      </c>
      <c r="C82" s="3" t="n">
        <v>2026</v>
      </c>
      <c r="D82" s="6" t="n">
        <v>0.55</v>
      </c>
      <c r="E82" s="6" t="n">
        <v>0.4</v>
      </c>
      <c r="F82" s="6" t="n">
        <v>0.05</v>
      </c>
      <c r="G82" s="6" t="n">
        <v>0</v>
      </c>
      <c r="H82" s="10">
        <f>SUM(D82:G82)</f>
        <v/>
      </c>
    </row>
    <row r="83">
      <c r="A83" s="3" t="inlineStr">
        <is>
          <t>Base</t>
        </is>
      </c>
      <c r="B83" s="3" t="inlineStr">
        <is>
          <t>Alibaba</t>
        </is>
      </c>
      <c r="C83" s="3" t="n">
        <v>2027</v>
      </c>
      <c r="D83" s="6" t="n">
        <v>0.438</v>
      </c>
      <c r="E83" s="6" t="n">
        <v>0.388</v>
      </c>
      <c r="F83" s="6" t="n">
        <v>0.174</v>
      </c>
      <c r="G83" s="6" t="n">
        <v>0</v>
      </c>
      <c r="H83" s="10">
        <f>SUM(D83:G83)</f>
        <v/>
      </c>
    </row>
    <row r="84">
      <c r="A84" s="3" t="inlineStr">
        <is>
          <t>Base</t>
        </is>
      </c>
      <c r="B84" s="3" t="inlineStr">
        <is>
          <t>Alibaba</t>
        </is>
      </c>
      <c r="C84" s="3" t="n">
        <v>2028</v>
      </c>
      <c r="D84" s="6" t="n">
        <v>0.325</v>
      </c>
      <c r="E84" s="6" t="n">
        <v>0.375</v>
      </c>
      <c r="F84" s="6" t="n">
        <v>0.3</v>
      </c>
      <c r="G84" s="6" t="n">
        <v>0</v>
      </c>
      <c r="H84" s="10">
        <f>SUM(D84:G84)</f>
        <v/>
      </c>
    </row>
    <row r="85">
      <c r="A85" s="3" t="inlineStr">
        <is>
          <t>Base</t>
        </is>
      </c>
      <c r="B85" s="3" t="inlineStr">
        <is>
          <t>Alibaba</t>
        </is>
      </c>
      <c r="C85" s="3" t="n">
        <v>2029</v>
      </c>
      <c r="D85" s="6" t="n">
        <v>0.213</v>
      </c>
      <c r="E85" s="6" t="n">
        <v>0.362</v>
      </c>
      <c r="F85" s="6" t="n">
        <v>0.425</v>
      </c>
      <c r="G85" s="6" t="n">
        <v>0</v>
      </c>
      <c r="H85" s="10">
        <f>SUM(D85:G85)</f>
        <v/>
      </c>
    </row>
    <row r="86">
      <c r="A86" s="3" t="inlineStr">
        <is>
          <t>Base</t>
        </is>
      </c>
      <c r="B86" s="3" t="inlineStr">
        <is>
          <t>Alibaba</t>
        </is>
      </c>
      <c r="C86" s="3" t="n">
        <v>2030</v>
      </c>
      <c r="D86" s="6" t="n">
        <v>0.1</v>
      </c>
      <c r="E86" s="6" t="n">
        <v>0.35</v>
      </c>
      <c r="F86" s="6" t="n">
        <v>0.55</v>
      </c>
      <c r="G86" s="6" t="n">
        <v>0</v>
      </c>
      <c r="H86" s="10">
        <f>SUM(D86:G86)</f>
        <v/>
      </c>
    </row>
    <row r="87">
      <c r="A87" s="3" t="inlineStr">
        <is>
          <t>Base</t>
        </is>
      </c>
      <c r="B87" s="3" t="inlineStr">
        <is>
          <t>Tencent</t>
        </is>
      </c>
      <c r="C87" s="3" t="n">
        <v>2026</v>
      </c>
      <c r="D87" s="6" t="n">
        <v>0.55</v>
      </c>
      <c r="E87" s="6" t="n">
        <v>0.4</v>
      </c>
      <c r="F87" s="6" t="n">
        <v>0.05</v>
      </c>
      <c r="G87" s="6" t="n">
        <v>0</v>
      </c>
      <c r="H87" s="10">
        <f>SUM(D87:G87)</f>
        <v/>
      </c>
    </row>
    <row r="88">
      <c r="A88" s="3" t="inlineStr">
        <is>
          <t>Base</t>
        </is>
      </c>
      <c r="B88" s="3" t="inlineStr">
        <is>
          <t>Tencent</t>
        </is>
      </c>
      <c r="C88" s="3" t="n">
        <v>2027</v>
      </c>
      <c r="D88" s="6" t="n">
        <v>0.438</v>
      </c>
      <c r="E88" s="6" t="n">
        <v>0.388</v>
      </c>
      <c r="F88" s="6" t="n">
        <v>0.174</v>
      </c>
      <c r="G88" s="6" t="n">
        <v>0</v>
      </c>
      <c r="H88" s="10">
        <f>SUM(D88:G88)</f>
        <v/>
      </c>
    </row>
    <row r="89">
      <c r="A89" s="3" t="inlineStr">
        <is>
          <t>Base</t>
        </is>
      </c>
      <c r="B89" s="3" t="inlineStr">
        <is>
          <t>Tencent</t>
        </is>
      </c>
      <c r="C89" s="3" t="n">
        <v>2028</v>
      </c>
      <c r="D89" s="6" t="n">
        <v>0.325</v>
      </c>
      <c r="E89" s="6" t="n">
        <v>0.375</v>
      </c>
      <c r="F89" s="6" t="n">
        <v>0.3</v>
      </c>
      <c r="G89" s="6" t="n">
        <v>0</v>
      </c>
      <c r="H89" s="10">
        <f>SUM(D89:G89)</f>
        <v/>
      </c>
    </row>
    <row r="90">
      <c r="A90" s="3" t="inlineStr">
        <is>
          <t>Base</t>
        </is>
      </c>
      <c r="B90" s="3" t="inlineStr">
        <is>
          <t>Tencent</t>
        </is>
      </c>
      <c r="C90" s="3" t="n">
        <v>2029</v>
      </c>
      <c r="D90" s="6" t="n">
        <v>0.213</v>
      </c>
      <c r="E90" s="6" t="n">
        <v>0.362</v>
      </c>
      <c r="F90" s="6" t="n">
        <v>0.425</v>
      </c>
      <c r="G90" s="6" t="n">
        <v>0</v>
      </c>
      <c r="H90" s="10">
        <f>SUM(D90:G90)</f>
        <v/>
      </c>
    </row>
    <row r="91">
      <c r="A91" s="3" t="inlineStr">
        <is>
          <t>Base</t>
        </is>
      </c>
      <c r="B91" s="3" t="inlineStr">
        <is>
          <t>Tencent</t>
        </is>
      </c>
      <c r="C91" s="3" t="n">
        <v>2030</v>
      </c>
      <c r="D91" s="6" t="n">
        <v>0.1</v>
      </c>
      <c r="E91" s="6" t="n">
        <v>0.35</v>
      </c>
      <c r="F91" s="6" t="n">
        <v>0.55</v>
      </c>
      <c r="G91" s="6" t="n">
        <v>0</v>
      </c>
      <c r="H91" s="10">
        <f>SUM(D91:G91)</f>
        <v/>
      </c>
    </row>
    <row r="92">
      <c r="A92" s="3" t="inlineStr">
        <is>
          <t>Bull</t>
        </is>
      </c>
      <c r="B92" s="3" t="inlineStr">
        <is>
          <t>Microsoft</t>
        </is>
      </c>
      <c r="C92" s="3" t="n">
        <v>2026</v>
      </c>
      <c r="D92" s="6" t="n">
        <v>0.495</v>
      </c>
      <c r="E92" s="6" t="n">
        <v>0.36</v>
      </c>
      <c r="F92" s="6" t="n">
        <v>0.045</v>
      </c>
      <c r="G92" s="6" t="n">
        <v>0.1</v>
      </c>
      <c r="H92" s="10">
        <f>SUM(D92:G92)</f>
        <v/>
      </c>
    </row>
    <row r="93">
      <c r="A93" s="3" t="inlineStr">
        <is>
          <t>Bull</t>
        </is>
      </c>
      <c r="B93" s="3" t="inlineStr">
        <is>
          <t>Microsoft</t>
        </is>
      </c>
      <c r="C93" s="3" t="n">
        <v>2027</v>
      </c>
      <c r="D93" s="6" t="n">
        <v>0.355</v>
      </c>
      <c r="E93" s="6" t="n">
        <v>0.315</v>
      </c>
      <c r="F93" s="6" t="n">
        <v>0.142</v>
      </c>
      <c r="G93" s="6" t="n">
        <v>0.188</v>
      </c>
      <c r="H93" s="10">
        <f>SUM(D93:G93)</f>
        <v/>
      </c>
    </row>
    <row r="94">
      <c r="A94" s="3" t="inlineStr">
        <is>
          <t>Bull</t>
        </is>
      </c>
      <c r="B94" s="3" t="inlineStr">
        <is>
          <t>Microsoft</t>
        </is>
      </c>
      <c r="C94" s="3" t="n">
        <v>2028</v>
      </c>
      <c r="D94" s="6" t="n">
        <v>0.236</v>
      </c>
      <c r="E94" s="6" t="n">
        <v>0.272</v>
      </c>
      <c r="F94" s="6" t="n">
        <v>0.217</v>
      </c>
      <c r="G94" s="6" t="n">
        <v>0.275</v>
      </c>
      <c r="H94" s="10">
        <f>SUM(D94:G94)</f>
        <v/>
      </c>
    </row>
    <row r="95">
      <c r="A95" s="3" t="inlineStr">
        <is>
          <t>Bull</t>
        </is>
      </c>
      <c r="B95" s="3" t="inlineStr">
        <is>
          <t>Microsoft</t>
        </is>
      </c>
      <c r="C95" s="3" t="n">
        <v>2029</v>
      </c>
      <c r="D95" s="6" t="n">
        <v>0.135</v>
      </c>
      <c r="E95" s="6" t="n">
        <v>0.231</v>
      </c>
      <c r="F95" s="6" t="n">
        <v>0.272</v>
      </c>
      <c r="G95" s="6" t="n">
        <v>0.362</v>
      </c>
      <c r="H95" s="10">
        <f>SUM(D95:G95)</f>
        <v/>
      </c>
    </row>
    <row r="96">
      <c r="A96" s="3" t="inlineStr">
        <is>
          <t>Bull</t>
        </is>
      </c>
      <c r="B96" s="3" t="inlineStr">
        <is>
          <t>Microsoft</t>
        </is>
      </c>
      <c r="C96" s="3" t="n">
        <v>2030</v>
      </c>
      <c r="D96" s="6" t="n">
        <v>0.055</v>
      </c>
      <c r="E96" s="6" t="n">
        <v>0.193</v>
      </c>
      <c r="F96" s="6" t="n">
        <v>0.302</v>
      </c>
      <c r="G96" s="6" t="n">
        <v>0.45</v>
      </c>
      <c r="H96" s="10">
        <f>SUM(D96:G96)</f>
        <v/>
      </c>
    </row>
    <row r="97">
      <c r="A97" s="3" t="inlineStr">
        <is>
          <t>Bull</t>
        </is>
      </c>
      <c r="B97" s="3" t="inlineStr">
        <is>
          <t>Google</t>
        </is>
      </c>
      <c r="C97" s="3" t="n">
        <v>2026</v>
      </c>
      <c r="D97" s="6" t="n">
        <v>0.11</v>
      </c>
      <c r="E97" s="6" t="n">
        <v>0.08</v>
      </c>
      <c r="F97" s="6" t="n">
        <v>0.01</v>
      </c>
      <c r="G97" s="6" t="n">
        <v>0.8</v>
      </c>
      <c r="H97" s="10">
        <f>SUM(D97:G97)</f>
        <v/>
      </c>
    </row>
    <row r="98">
      <c r="A98" s="3" t="inlineStr">
        <is>
          <t>Bull</t>
        </is>
      </c>
      <c r="B98" s="3" t="inlineStr">
        <is>
          <t>Google</t>
        </is>
      </c>
      <c r="C98" s="3" t="n">
        <v>2027</v>
      </c>
      <c r="D98" s="6" t="n">
        <v>0.077</v>
      </c>
      <c r="E98" s="6" t="n">
        <v>0.068</v>
      </c>
      <c r="F98" s="6" t="n">
        <v>0.03</v>
      </c>
      <c r="G98" s="6" t="n">
        <v>0.825</v>
      </c>
      <c r="H98" s="10">
        <f>SUM(D98:G98)</f>
        <v/>
      </c>
    </row>
    <row r="99">
      <c r="A99" s="3" t="inlineStr">
        <is>
          <t>Bull</t>
        </is>
      </c>
      <c r="B99" s="3" t="inlineStr">
        <is>
          <t>Google</t>
        </is>
      </c>
      <c r="C99" s="3" t="n">
        <v>2028</v>
      </c>
      <c r="D99" s="6" t="n">
        <v>0.049</v>
      </c>
      <c r="E99" s="6" t="n">
        <v>0.056</v>
      </c>
      <c r="F99" s="6" t="n">
        <v>0.045</v>
      </c>
      <c r="G99" s="6" t="n">
        <v>0.85</v>
      </c>
      <c r="H99" s="10">
        <f>SUM(D99:G99)</f>
        <v/>
      </c>
    </row>
    <row r="100">
      <c r="A100" s="3" t="inlineStr">
        <is>
          <t>Bull</t>
        </is>
      </c>
      <c r="B100" s="3" t="inlineStr">
        <is>
          <t>Google</t>
        </is>
      </c>
      <c r="C100" s="3" t="n">
        <v>2029</v>
      </c>
      <c r="D100" s="6" t="n">
        <v>0.027</v>
      </c>
      <c r="E100" s="6" t="n">
        <v>0.045</v>
      </c>
      <c r="F100" s="6" t="n">
        <v>0.053</v>
      </c>
      <c r="G100" s="6" t="n">
        <v>0.875</v>
      </c>
      <c r="H100" s="10">
        <f>SUM(D100:G100)</f>
        <v/>
      </c>
    </row>
    <row r="101">
      <c r="A101" s="3" t="inlineStr">
        <is>
          <t>Bull</t>
        </is>
      </c>
      <c r="B101" s="3" t="inlineStr">
        <is>
          <t>Google</t>
        </is>
      </c>
      <c r="C101" s="3" t="n">
        <v>2030</v>
      </c>
      <c r="D101" s="6" t="n">
        <v>0.01</v>
      </c>
      <c r="E101" s="6" t="n">
        <v>0.035</v>
      </c>
      <c r="F101" s="6" t="n">
        <v>0.055</v>
      </c>
      <c r="G101" s="6" t="n">
        <v>0.9</v>
      </c>
      <c r="H101" s="10">
        <f>SUM(D101:G101)</f>
        <v/>
      </c>
    </row>
    <row r="102">
      <c r="A102" s="3" t="inlineStr">
        <is>
          <t>Bull</t>
        </is>
      </c>
      <c r="B102" s="3" t="inlineStr">
        <is>
          <t>Meta</t>
        </is>
      </c>
      <c r="C102" s="3" t="n">
        <v>2026</v>
      </c>
      <c r="D102" s="6" t="n">
        <v>0.495</v>
      </c>
      <c r="E102" s="6" t="n">
        <v>0.36</v>
      </c>
      <c r="F102" s="6" t="n">
        <v>0.045</v>
      </c>
      <c r="G102" s="6" t="n">
        <v>0.1</v>
      </c>
      <c r="H102" s="10">
        <f>SUM(D102:G102)</f>
        <v/>
      </c>
    </row>
    <row r="103">
      <c r="A103" s="3" t="inlineStr">
        <is>
          <t>Bull</t>
        </is>
      </c>
      <c r="B103" s="3" t="inlineStr">
        <is>
          <t>Meta</t>
        </is>
      </c>
      <c r="C103" s="3" t="n">
        <v>2027</v>
      </c>
      <c r="D103" s="6" t="n">
        <v>0.355</v>
      </c>
      <c r="E103" s="6" t="n">
        <v>0.315</v>
      </c>
      <c r="F103" s="6" t="n">
        <v>0.142</v>
      </c>
      <c r="G103" s="6" t="n">
        <v>0.188</v>
      </c>
      <c r="H103" s="10">
        <f>SUM(D103:G103)</f>
        <v/>
      </c>
    </row>
    <row r="104">
      <c r="A104" s="3" t="inlineStr">
        <is>
          <t>Bull</t>
        </is>
      </c>
      <c r="B104" s="3" t="inlineStr">
        <is>
          <t>Meta</t>
        </is>
      </c>
      <c r="C104" s="3" t="n">
        <v>2028</v>
      </c>
      <c r="D104" s="6" t="n">
        <v>0.236</v>
      </c>
      <c r="E104" s="6" t="n">
        <v>0.272</v>
      </c>
      <c r="F104" s="6" t="n">
        <v>0.217</v>
      </c>
      <c r="G104" s="6" t="n">
        <v>0.275</v>
      </c>
      <c r="H104" s="10">
        <f>SUM(D104:G104)</f>
        <v/>
      </c>
    </row>
    <row r="105">
      <c r="A105" s="3" t="inlineStr">
        <is>
          <t>Bull</t>
        </is>
      </c>
      <c r="B105" s="3" t="inlineStr">
        <is>
          <t>Meta</t>
        </is>
      </c>
      <c r="C105" s="3" t="n">
        <v>2029</v>
      </c>
      <c r="D105" s="6" t="n">
        <v>0.135</v>
      </c>
      <c r="E105" s="6" t="n">
        <v>0.231</v>
      </c>
      <c r="F105" s="6" t="n">
        <v>0.272</v>
      </c>
      <c r="G105" s="6" t="n">
        <v>0.362</v>
      </c>
      <c r="H105" s="10">
        <f>SUM(D105:G105)</f>
        <v/>
      </c>
    </row>
    <row r="106">
      <c r="A106" s="3" t="inlineStr">
        <is>
          <t>Bull</t>
        </is>
      </c>
      <c r="B106" s="3" t="inlineStr">
        <is>
          <t>Meta</t>
        </is>
      </c>
      <c r="C106" s="3" t="n">
        <v>2030</v>
      </c>
      <c r="D106" s="6" t="n">
        <v>0.055</v>
      </c>
      <c r="E106" s="6" t="n">
        <v>0.193</v>
      </c>
      <c r="F106" s="6" t="n">
        <v>0.302</v>
      </c>
      <c r="G106" s="6" t="n">
        <v>0.45</v>
      </c>
      <c r="H106" s="10">
        <f>SUM(D106:G106)</f>
        <v/>
      </c>
    </row>
    <row r="107">
      <c r="A107" s="3" t="inlineStr">
        <is>
          <t>Bull</t>
        </is>
      </c>
      <c r="B107" s="3" t="inlineStr">
        <is>
          <t>xAI</t>
        </is>
      </c>
      <c r="C107" s="3" t="n">
        <v>2026</v>
      </c>
      <c r="D107" s="6" t="n">
        <v>0.55</v>
      </c>
      <c r="E107" s="6" t="n">
        <v>0.4</v>
      </c>
      <c r="F107" s="6" t="n">
        <v>0.05</v>
      </c>
      <c r="G107" s="6" t="n">
        <v>0</v>
      </c>
      <c r="H107" s="10">
        <f>SUM(D107:G107)</f>
        <v/>
      </c>
    </row>
    <row r="108">
      <c r="A108" s="3" t="inlineStr">
        <is>
          <t>Bull</t>
        </is>
      </c>
      <c r="B108" s="3" t="inlineStr">
        <is>
          <t>xAI</t>
        </is>
      </c>
      <c r="C108" s="3" t="n">
        <v>2027</v>
      </c>
      <c r="D108" s="6" t="n">
        <v>0.438</v>
      </c>
      <c r="E108" s="6" t="n">
        <v>0.388</v>
      </c>
      <c r="F108" s="6" t="n">
        <v>0.174</v>
      </c>
      <c r="G108" s="6" t="n">
        <v>0</v>
      </c>
      <c r="H108" s="10">
        <f>SUM(D108:G108)</f>
        <v/>
      </c>
    </row>
    <row r="109">
      <c r="A109" s="3" t="inlineStr">
        <is>
          <t>Bull</t>
        </is>
      </c>
      <c r="B109" s="3" t="inlineStr">
        <is>
          <t>xAI</t>
        </is>
      </c>
      <c r="C109" s="3" t="n">
        <v>2028</v>
      </c>
      <c r="D109" s="6" t="n">
        <v>0.325</v>
      </c>
      <c r="E109" s="6" t="n">
        <v>0.375</v>
      </c>
      <c r="F109" s="6" t="n">
        <v>0.3</v>
      </c>
      <c r="G109" s="6" t="n">
        <v>0</v>
      </c>
      <c r="H109" s="10">
        <f>SUM(D109:G109)</f>
        <v/>
      </c>
    </row>
    <row r="110">
      <c r="A110" s="3" t="inlineStr">
        <is>
          <t>Bull</t>
        </is>
      </c>
      <c r="B110" s="3" t="inlineStr">
        <is>
          <t>xAI</t>
        </is>
      </c>
      <c r="C110" s="3" t="n">
        <v>2029</v>
      </c>
      <c r="D110" s="6" t="n">
        <v>0.213</v>
      </c>
      <c r="E110" s="6" t="n">
        <v>0.362</v>
      </c>
      <c r="F110" s="6" t="n">
        <v>0.425</v>
      </c>
      <c r="G110" s="6" t="n">
        <v>0</v>
      </c>
      <c r="H110" s="10">
        <f>SUM(D110:G110)</f>
        <v/>
      </c>
    </row>
    <row r="111">
      <c r="A111" s="3" t="inlineStr">
        <is>
          <t>Bull</t>
        </is>
      </c>
      <c r="B111" s="3" t="inlineStr">
        <is>
          <t>xAI</t>
        </is>
      </c>
      <c r="C111" s="3" t="n">
        <v>2030</v>
      </c>
      <c r="D111" s="6" t="n">
        <v>0.1</v>
      </c>
      <c r="E111" s="6" t="n">
        <v>0.35</v>
      </c>
      <c r="F111" s="6" t="n">
        <v>0.55</v>
      </c>
      <c r="G111" s="6" t="n">
        <v>0</v>
      </c>
      <c r="H111" s="10">
        <f>SUM(D111:G111)</f>
        <v/>
      </c>
    </row>
    <row r="112">
      <c r="A112" s="3" t="inlineStr">
        <is>
          <t>Bull</t>
        </is>
      </c>
      <c r="B112" s="3" t="inlineStr">
        <is>
          <t>OpenAI</t>
        </is>
      </c>
      <c r="C112" s="3" t="n">
        <v>2026</v>
      </c>
      <c r="D112" s="6" t="n">
        <v>0.55</v>
      </c>
      <c r="E112" s="6" t="n">
        <v>0.4</v>
      </c>
      <c r="F112" s="6" t="n">
        <v>0.05</v>
      </c>
      <c r="G112" s="6" t="n">
        <v>0</v>
      </c>
      <c r="H112" s="10">
        <f>SUM(D112:G112)</f>
        <v/>
      </c>
    </row>
    <row r="113">
      <c r="A113" s="3" t="inlineStr">
        <is>
          <t>Bull</t>
        </is>
      </c>
      <c r="B113" s="3" t="inlineStr">
        <is>
          <t>OpenAI</t>
        </is>
      </c>
      <c r="C113" s="3" t="n">
        <v>2027</v>
      </c>
      <c r="D113" s="6" t="n">
        <v>0.438</v>
      </c>
      <c r="E113" s="6" t="n">
        <v>0.388</v>
      </c>
      <c r="F113" s="6" t="n">
        <v>0.174</v>
      </c>
      <c r="G113" s="6" t="n">
        <v>0</v>
      </c>
      <c r="H113" s="10">
        <f>SUM(D113:G113)</f>
        <v/>
      </c>
    </row>
    <row r="114">
      <c r="A114" s="3" t="inlineStr">
        <is>
          <t>Bull</t>
        </is>
      </c>
      <c r="B114" s="3" t="inlineStr">
        <is>
          <t>OpenAI</t>
        </is>
      </c>
      <c r="C114" s="3" t="n">
        <v>2028</v>
      </c>
      <c r="D114" s="6" t="n">
        <v>0.325</v>
      </c>
      <c r="E114" s="6" t="n">
        <v>0.375</v>
      </c>
      <c r="F114" s="6" t="n">
        <v>0.3</v>
      </c>
      <c r="G114" s="6" t="n">
        <v>0</v>
      </c>
      <c r="H114" s="10">
        <f>SUM(D114:G114)</f>
        <v/>
      </c>
    </row>
    <row r="115">
      <c r="A115" s="3" t="inlineStr">
        <is>
          <t>Bull</t>
        </is>
      </c>
      <c r="B115" s="3" t="inlineStr">
        <is>
          <t>OpenAI</t>
        </is>
      </c>
      <c r="C115" s="3" t="n">
        <v>2029</v>
      </c>
      <c r="D115" s="6" t="n">
        <v>0.213</v>
      </c>
      <c r="E115" s="6" t="n">
        <v>0.362</v>
      </c>
      <c r="F115" s="6" t="n">
        <v>0.425</v>
      </c>
      <c r="G115" s="6" t="n">
        <v>0</v>
      </c>
      <c r="H115" s="10">
        <f>SUM(D115:G115)</f>
        <v/>
      </c>
    </row>
    <row r="116">
      <c r="A116" s="3" t="inlineStr">
        <is>
          <t>Bull</t>
        </is>
      </c>
      <c r="B116" s="3" t="inlineStr">
        <is>
          <t>OpenAI</t>
        </is>
      </c>
      <c r="C116" s="3" t="n">
        <v>2030</v>
      </c>
      <c r="D116" s="6" t="n">
        <v>0.1</v>
      </c>
      <c r="E116" s="6" t="n">
        <v>0.35</v>
      </c>
      <c r="F116" s="6" t="n">
        <v>0.55</v>
      </c>
      <c r="G116" s="6" t="n">
        <v>0</v>
      </c>
      <c r="H116" s="10">
        <f>SUM(D116:G116)</f>
        <v/>
      </c>
    </row>
    <row r="117">
      <c r="A117" s="3" t="inlineStr">
        <is>
          <t>Bull</t>
        </is>
      </c>
      <c r="B117" s="3" t="inlineStr">
        <is>
          <t>Anthropic</t>
        </is>
      </c>
      <c r="C117" s="3" t="n">
        <v>2026</v>
      </c>
      <c r="D117" s="6" t="n">
        <v>0.193</v>
      </c>
      <c r="E117" s="6" t="n">
        <v>0.14</v>
      </c>
      <c r="F117" s="6" t="n">
        <v>0.017</v>
      </c>
      <c r="G117" s="6" t="n">
        <v>0.65</v>
      </c>
      <c r="H117" s="10">
        <f>SUM(D117:G117)</f>
        <v/>
      </c>
    </row>
    <row r="118">
      <c r="A118" s="3" t="inlineStr">
        <is>
          <t>Bull</t>
        </is>
      </c>
      <c r="B118" s="3" t="inlineStr">
        <is>
          <t>Anthropic</t>
        </is>
      </c>
      <c r="C118" s="3" t="n">
        <v>2027</v>
      </c>
      <c r="D118" s="6" t="n">
        <v>0.131</v>
      </c>
      <c r="E118" s="6" t="n">
        <v>0.116</v>
      </c>
      <c r="F118" s="6" t="n">
        <v>0.053</v>
      </c>
      <c r="G118" s="6" t="n">
        <v>0.7</v>
      </c>
      <c r="H118" s="10">
        <f>SUM(D118:G118)</f>
        <v/>
      </c>
    </row>
    <row r="119">
      <c r="A119" s="3" t="inlineStr">
        <is>
          <t>Bull</t>
        </is>
      </c>
      <c r="B119" s="3" t="inlineStr">
        <is>
          <t>Anthropic</t>
        </is>
      </c>
      <c r="C119" s="3" t="n">
        <v>2028</v>
      </c>
      <c r="D119" s="6" t="n">
        <v>0.081</v>
      </c>
      <c r="E119" s="6" t="n">
        <v>0.094</v>
      </c>
      <c r="F119" s="6" t="n">
        <v>0.075</v>
      </c>
      <c r="G119" s="6" t="n">
        <v>0.75</v>
      </c>
      <c r="H119" s="10">
        <f>SUM(D119:G119)</f>
        <v/>
      </c>
    </row>
    <row r="120">
      <c r="A120" s="3" t="inlineStr">
        <is>
          <t>Bull</t>
        </is>
      </c>
      <c r="B120" s="3" t="inlineStr">
        <is>
          <t>Anthropic</t>
        </is>
      </c>
      <c r="C120" s="3" t="n">
        <v>2029</v>
      </c>
      <c r="D120" s="6" t="n">
        <v>0.043</v>
      </c>
      <c r="E120" s="6" t="n">
        <v>0.07199999999999999</v>
      </c>
      <c r="F120" s="6" t="n">
        <v>0.08500000000000001</v>
      </c>
      <c r="G120" s="6" t="n">
        <v>0.8</v>
      </c>
      <c r="H120" s="10">
        <f>SUM(D120:G120)</f>
        <v/>
      </c>
    </row>
    <row r="121">
      <c r="A121" s="3" t="inlineStr">
        <is>
          <t>Bull</t>
        </is>
      </c>
      <c r="B121" s="3" t="inlineStr">
        <is>
          <t>Anthropic</t>
        </is>
      </c>
      <c r="C121" s="3" t="n">
        <v>2030</v>
      </c>
      <c r="D121" s="6" t="n">
        <v>0.015</v>
      </c>
      <c r="E121" s="6" t="n">
        <v>0.052</v>
      </c>
      <c r="F121" s="6" t="n">
        <v>0.083</v>
      </c>
      <c r="G121" s="6" t="n">
        <v>0.85</v>
      </c>
      <c r="H121" s="10">
        <f>SUM(D121:G121)</f>
        <v/>
      </c>
    </row>
    <row r="122">
      <c r="A122" s="3" t="inlineStr">
        <is>
          <t>Bull</t>
        </is>
      </c>
      <c r="B122" s="3" t="inlineStr">
        <is>
          <t>DeepSeek</t>
        </is>
      </c>
      <c r="C122" s="3" t="n">
        <v>2026</v>
      </c>
      <c r="D122" s="6" t="n">
        <v>0.55</v>
      </c>
      <c r="E122" s="6" t="n">
        <v>0.4</v>
      </c>
      <c r="F122" s="6" t="n">
        <v>0.05</v>
      </c>
      <c r="G122" s="6" t="n">
        <v>0</v>
      </c>
      <c r="H122" s="10">
        <f>SUM(D122:G122)</f>
        <v/>
      </c>
    </row>
    <row r="123">
      <c r="A123" s="3" t="inlineStr">
        <is>
          <t>Bull</t>
        </is>
      </c>
      <c r="B123" s="3" t="inlineStr">
        <is>
          <t>DeepSeek</t>
        </is>
      </c>
      <c r="C123" s="3" t="n">
        <v>2027</v>
      </c>
      <c r="D123" s="6" t="n">
        <v>0.438</v>
      </c>
      <c r="E123" s="6" t="n">
        <v>0.388</v>
      </c>
      <c r="F123" s="6" t="n">
        <v>0.174</v>
      </c>
      <c r="G123" s="6" t="n">
        <v>0</v>
      </c>
      <c r="H123" s="10">
        <f>SUM(D123:G123)</f>
        <v/>
      </c>
    </row>
    <row r="124">
      <c r="A124" s="3" t="inlineStr">
        <is>
          <t>Bull</t>
        </is>
      </c>
      <c r="B124" s="3" t="inlineStr">
        <is>
          <t>DeepSeek</t>
        </is>
      </c>
      <c r="C124" s="3" t="n">
        <v>2028</v>
      </c>
      <c r="D124" s="6" t="n">
        <v>0.325</v>
      </c>
      <c r="E124" s="6" t="n">
        <v>0.375</v>
      </c>
      <c r="F124" s="6" t="n">
        <v>0.3</v>
      </c>
      <c r="G124" s="6" t="n">
        <v>0</v>
      </c>
      <c r="H124" s="10">
        <f>SUM(D124:G124)</f>
        <v/>
      </c>
    </row>
    <row r="125">
      <c r="A125" s="3" t="inlineStr">
        <is>
          <t>Bull</t>
        </is>
      </c>
      <c r="B125" s="3" t="inlineStr">
        <is>
          <t>DeepSeek</t>
        </is>
      </c>
      <c r="C125" s="3" t="n">
        <v>2029</v>
      </c>
      <c r="D125" s="6" t="n">
        <v>0.213</v>
      </c>
      <c r="E125" s="6" t="n">
        <v>0.362</v>
      </c>
      <c r="F125" s="6" t="n">
        <v>0.425</v>
      </c>
      <c r="G125" s="6" t="n">
        <v>0</v>
      </c>
      <c r="H125" s="10">
        <f>SUM(D125:G125)</f>
        <v/>
      </c>
    </row>
    <row r="126">
      <c r="A126" s="3" t="inlineStr">
        <is>
          <t>Bull</t>
        </is>
      </c>
      <c r="B126" s="3" t="inlineStr">
        <is>
          <t>DeepSeek</t>
        </is>
      </c>
      <c r="C126" s="3" t="n">
        <v>2030</v>
      </c>
      <c r="D126" s="6" t="n">
        <v>0.1</v>
      </c>
      <c r="E126" s="6" t="n">
        <v>0.35</v>
      </c>
      <c r="F126" s="6" t="n">
        <v>0.55</v>
      </c>
      <c r="G126" s="6" t="n">
        <v>0</v>
      </c>
      <c r="H126" s="10">
        <f>SUM(D126:G126)</f>
        <v/>
      </c>
    </row>
    <row r="127">
      <c r="A127" s="3" t="inlineStr">
        <is>
          <t>Bull</t>
        </is>
      </c>
      <c r="B127" s="3" t="inlineStr">
        <is>
          <t>Alibaba</t>
        </is>
      </c>
      <c r="C127" s="3" t="n">
        <v>2026</v>
      </c>
      <c r="D127" s="6" t="n">
        <v>0.55</v>
      </c>
      <c r="E127" s="6" t="n">
        <v>0.4</v>
      </c>
      <c r="F127" s="6" t="n">
        <v>0.05</v>
      </c>
      <c r="G127" s="6" t="n">
        <v>0</v>
      </c>
      <c r="H127" s="10">
        <f>SUM(D127:G127)</f>
        <v/>
      </c>
    </row>
    <row r="128">
      <c r="A128" s="3" t="inlineStr">
        <is>
          <t>Bull</t>
        </is>
      </c>
      <c r="B128" s="3" t="inlineStr">
        <is>
          <t>Alibaba</t>
        </is>
      </c>
      <c r="C128" s="3" t="n">
        <v>2027</v>
      </c>
      <c r="D128" s="6" t="n">
        <v>0.438</v>
      </c>
      <c r="E128" s="6" t="n">
        <v>0.388</v>
      </c>
      <c r="F128" s="6" t="n">
        <v>0.174</v>
      </c>
      <c r="G128" s="6" t="n">
        <v>0</v>
      </c>
      <c r="H128" s="10">
        <f>SUM(D128:G128)</f>
        <v/>
      </c>
    </row>
    <row r="129">
      <c r="A129" s="3" t="inlineStr">
        <is>
          <t>Bull</t>
        </is>
      </c>
      <c r="B129" s="3" t="inlineStr">
        <is>
          <t>Alibaba</t>
        </is>
      </c>
      <c r="C129" s="3" t="n">
        <v>2028</v>
      </c>
      <c r="D129" s="6" t="n">
        <v>0.325</v>
      </c>
      <c r="E129" s="6" t="n">
        <v>0.375</v>
      </c>
      <c r="F129" s="6" t="n">
        <v>0.3</v>
      </c>
      <c r="G129" s="6" t="n">
        <v>0</v>
      </c>
      <c r="H129" s="10">
        <f>SUM(D129:G129)</f>
        <v/>
      </c>
    </row>
    <row r="130">
      <c r="A130" s="3" t="inlineStr">
        <is>
          <t>Bull</t>
        </is>
      </c>
      <c r="B130" s="3" t="inlineStr">
        <is>
          <t>Alibaba</t>
        </is>
      </c>
      <c r="C130" s="3" t="n">
        <v>2029</v>
      </c>
      <c r="D130" s="6" t="n">
        <v>0.213</v>
      </c>
      <c r="E130" s="6" t="n">
        <v>0.362</v>
      </c>
      <c r="F130" s="6" t="n">
        <v>0.425</v>
      </c>
      <c r="G130" s="6" t="n">
        <v>0</v>
      </c>
      <c r="H130" s="10">
        <f>SUM(D130:G130)</f>
        <v/>
      </c>
    </row>
    <row r="131">
      <c r="A131" s="3" t="inlineStr">
        <is>
          <t>Bull</t>
        </is>
      </c>
      <c r="B131" s="3" t="inlineStr">
        <is>
          <t>Alibaba</t>
        </is>
      </c>
      <c r="C131" s="3" t="n">
        <v>2030</v>
      </c>
      <c r="D131" s="6" t="n">
        <v>0.1</v>
      </c>
      <c r="E131" s="6" t="n">
        <v>0.35</v>
      </c>
      <c r="F131" s="6" t="n">
        <v>0.55</v>
      </c>
      <c r="G131" s="6" t="n">
        <v>0</v>
      </c>
      <c r="H131" s="10">
        <f>SUM(D131:G131)</f>
        <v/>
      </c>
    </row>
    <row r="132">
      <c r="A132" s="3" t="inlineStr">
        <is>
          <t>Bull</t>
        </is>
      </c>
      <c r="B132" s="3" t="inlineStr">
        <is>
          <t>Tencent</t>
        </is>
      </c>
      <c r="C132" s="3" t="n">
        <v>2026</v>
      </c>
      <c r="D132" s="6" t="n">
        <v>0.55</v>
      </c>
      <c r="E132" s="6" t="n">
        <v>0.4</v>
      </c>
      <c r="F132" s="6" t="n">
        <v>0.05</v>
      </c>
      <c r="G132" s="6" t="n">
        <v>0</v>
      </c>
      <c r="H132" s="10">
        <f>SUM(D132:G132)</f>
        <v/>
      </c>
    </row>
    <row r="133">
      <c r="A133" s="3" t="inlineStr">
        <is>
          <t>Bull</t>
        </is>
      </c>
      <c r="B133" s="3" t="inlineStr">
        <is>
          <t>Tencent</t>
        </is>
      </c>
      <c r="C133" s="3" t="n">
        <v>2027</v>
      </c>
      <c r="D133" s="6" t="n">
        <v>0.438</v>
      </c>
      <c r="E133" s="6" t="n">
        <v>0.388</v>
      </c>
      <c r="F133" s="6" t="n">
        <v>0.174</v>
      </c>
      <c r="G133" s="6" t="n">
        <v>0</v>
      </c>
      <c r="H133" s="10">
        <f>SUM(D133:G133)</f>
        <v/>
      </c>
    </row>
    <row r="134">
      <c r="A134" s="3" t="inlineStr">
        <is>
          <t>Bull</t>
        </is>
      </c>
      <c r="B134" s="3" t="inlineStr">
        <is>
          <t>Tencent</t>
        </is>
      </c>
      <c r="C134" s="3" t="n">
        <v>2028</v>
      </c>
      <c r="D134" s="6" t="n">
        <v>0.325</v>
      </c>
      <c r="E134" s="6" t="n">
        <v>0.375</v>
      </c>
      <c r="F134" s="6" t="n">
        <v>0.3</v>
      </c>
      <c r="G134" s="6" t="n">
        <v>0</v>
      </c>
      <c r="H134" s="10">
        <f>SUM(D134:G134)</f>
        <v/>
      </c>
    </row>
    <row r="135">
      <c r="A135" s="3" t="inlineStr">
        <is>
          <t>Bull</t>
        </is>
      </c>
      <c r="B135" s="3" t="inlineStr">
        <is>
          <t>Tencent</t>
        </is>
      </c>
      <c r="C135" s="3" t="n">
        <v>2029</v>
      </c>
      <c r="D135" s="6" t="n">
        <v>0.213</v>
      </c>
      <c r="E135" s="6" t="n">
        <v>0.362</v>
      </c>
      <c r="F135" s="6" t="n">
        <v>0.425</v>
      </c>
      <c r="G135" s="6" t="n">
        <v>0</v>
      </c>
      <c r="H135" s="10">
        <f>SUM(D135:G135)</f>
        <v/>
      </c>
    </row>
    <row r="136">
      <c r="A136" s="3" t="inlineStr">
        <is>
          <t>Bull</t>
        </is>
      </c>
      <c r="B136" s="3" t="inlineStr">
        <is>
          <t>Tencent</t>
        </is>
      </c>
      <c r="C136" s="3" t="n">
        <v>2030</v>
      </c>
      <c r="D136" s="6" t="n">
        <v>0.1</v>
      </c>
      <c r="E136" s="6" t="n">
        <v>0.35</v>
      </c>
      <c r="F136" s="6" t="n">
        <v>0.55</v>
      </c>
      <c r="G136" s="6" t="n">
        <v>0</v>
      </c>
      <c r="H136" s="10">
        <f>SUM(D136:G136)</f>
        <v/>
      </c>
    </row>
    <row r="137">
      <c r="A137" s="3" t="inlineStr">
        <is>
          <t>Grid-Constrained / Efficiency-Upside</t>
        </is>
      </c>
      <c r="B137" s="3" t="inlineStr">
        <is>
          <t>Microsoft</t>
        </is>
      </c>
      <c r="C137" s="3" t="n">
        <v>2026</v>
      </c>
      <c r="D137" s="6" t="n">
        <v>0.495</v>
      </c>
      <c r="E137" s="6" t="n">
        <v>0.36</v>
      </c>
      <c r="F137" s="6" t="n">
        <v>0.045</v>
      </c>
      <c r="G137" s="6" t="n">
        <v>0.1</v>
      </c>
      <c r="H137" s="10">
        <f>SUM(D137:G137)</f>
        <v/>
      </c>
    </row>
    <row r="138">
      <c r="A138" s="3" t="inlineStr">
        <is>
          <t>Grid-Constrained / Efficiency-Upside</t>
        </is>
      </c>
      <c r="B138" s="3" t="inlineStr">
        <is>
          <t>Microsoft</t>
        </is>
      </c>
      <c r="C138" s="3" t="n">
        <v>2027</v>
      </c>
      <c r="D138" s="6" t="n">
        <v>0.355</v>
      </c>
      <c r="E138" s="6" t="n">
        <v>0.315</v>
      </c>
      <c r="F138" s="6" t="n">
        <v>0.142</v>
      </c>
      <c r="G138" s="6" t="n">
        <v>0.188</v>
      </c>
      <c r="H138" s="10">
        <f>SUM(D138:G138)</f>
        <v/>
      </c>
    </row>
    <row r="139">
      <c r="A139" s="3" t="inlineStr">
        <is>
          <t>Grid-Constrained / Efficiency-Upside</t>
        </is>
      </c>
      <c r="B139" s="3" t="inlineStr">
        <is>
          <t>Microsoft</t>
        </is>
      </c>
      <c r="C139" s="3" t="n">
        <v>2028</v>
      </c>
      <c r="D139" s="6" t="n">
        <v>0.236</v>
      </c>
      <c r="E139" s="6" t="n">
        <v>0.272</v>
      </c>
      <c r="F139" s="6" t="n">
        <v>0.217</v>
      </c>
      <c r="G139" s="6" t="n">
        <v>0.275</v>
      </c>
      <c r="H139" s="10">
        <f>SUM(D139:G139)</f>
        <v/>
      </c>
    </row>
    <row r="140">
      <c r="A140" s="3" t="inlineStr">
        <is>
          <t>Grid-Constrained / Efficiency-Upside</t>
        </is>
      </c>
      <c r="B140" s="3" t="inlineStr">
        <is>
          <t>Microsoft</t>
        </is>
      </c>
      <c r="C140" s="3" t="n">
        <v>2029</v>
      </c>
      <c r="D140" s="6" t="n">
        <v>0.135</v>
      </c>
      <c r="E140" s="6" t="n">
        <v>0.231</v>
      </c>
      <c r="F140" s="6" t="n">
        <v>0.272</v>
      </c>
      <c r="G140" s="6" t="n">
        <v>0.362</v>
      </c>
      <c r="H140" s="10">
        <f>SUM(D140:G140)</f>
        <v/>
      </c>
    </row>
    <row r="141">
      <c r="A141" s="3" t="inlineStr">
        <is>
          <t>Grid-Constrained / Efficiency-Upside</t>
        </is>
      </c>
      <c r="B141" s="3" t="inlineStr">
        <is>
          <t>Microsoft</t>
        </is>
      </c>
      <c r="C141" s="3" t="n">
        <v>2030</v>
      </c>
      <c r="D141" s="6" t="n">
        <v>0.055</v>
      </c>
      <c r="E141" s="6" t="n">
        <v>0.193</v>
      </c>
      <c r="F141" s="6" t="n">
        <v>0.302</v>
      </c>
      <c r="G141" s="6" t="n">
        <v>0.45</v>
      </c>
      <c r="H141" s="10">
        <f>SUM(D141:G141)</f>
        <v/>
      </c>
    </row>
    <row r="142">
      <c r="A142" s="3" t="inlineStr">
        <is>
          <t>Grid-Constrained / Efficiency-Upside</t>
        </is>
      </c>
      <c r="B142" s="3" t="inlineStr">
        <is>
          <t>Google</t>
        </is>
      </c>
      <c r="C142" s="3" t="n">
        <v>2026</v>
      </c>
      <c r="D142" s="6" t="n">
        <v>0.11</v>
      </c>
      <c r="E142" s="6" t="n">
        <v>0.08</v>
      </c>
      <c r="F142" s="6" t="n">
        <v>0.01</v>
      </c>
      <c r="G142" s="6" t="n">
        <v>0.8</v>
      </c>
      <c r="H142" s="10">
        <f>SUM(D142:G142)</f>
        <v/>
      </c>
    </row>
    <row r="143">
      <c r="A143" s="3" t="inlineStr">
        <is>
          <t>Grid-Constrained / Efficiency-Upside</t>
        </is>
      </c>
      <c r="B143" s="3" t="inlineStr">
        <is>
          <t>Google</t>
        </is>
      </c>
      <c r="C143" s="3" t="n">
        <v>2027</v>
      </c>
      <c r="D143" s="6" t="n">
        <v>0.077</v>
      </c>
      <c r="E143" s="6" t="n">
        <v>0.068</v>
      </c>
      <c r="F143" s="6" t="n">
        <v>0.03</v>
      </c>
      <c r="G143" s="6" t="n">
        <v>0.825</v>
      </c>
      <c r="H143" s="10">
        <f>SUM(D143:G143)</f>
        <v/>
      </c>
    </row>
    <row r="144">
      <c r="A144" s="3" t="inlineStr">
        <is>
          <t>Grid-Constrained / Efficiency-Upside</t>
        </is>
      </c>
      <c r="B144" s="3" t="inlineStr">
        <is>
          <t>Google</t>
        </is>
      </c>
      <c r="C144" s="3" t="n">
        <v>2028</v>
      </c>
      <c r="D144" s="6" t="n">
        <v>0.049</v>
      </c>
      <c r="E144" s="6" t="n">
        <v>0.056</v>
      </c>
      <c r="F144" s="6" t="n">
        <v>0.045</v>
      </c>
      <c r="G144" s="6" t="n">
        <v>0.85</v>
      </c>
      <c r="H144" s="10">
        <f>SUM(D144:G144)</f>
        <v/>
      </c>
    </row>
    <row r="145">
      <c r="A145" s="3" t="inlineStr">
        <is>
          <t>Grid-Constrained / Efficiency-Upside</t>
        </is>
      </c>
      <c r="B145" s="3" t="inlineStr">
        <is>
          <t>Google</t>
        </is>
      </c>
      <c r="C145" s="3" t="n">
        <v>2029</v>
      </c>
      <c r="D145" s="6" t="n">
        <v>0.027</v>
      </c>
      <c r="E145" s="6" t="n">
        <v>0.045</v>
      </c>
      <c r="F145" s="6" t="n">
        <v>0.053</v>
      </c>
      <c r="G145" s="6" t="n">
        <v>0.875</v>
      </c>
      <c r="H145" s="10">
        <f>SUM(D145:G145)</f>
        <v/>
      </c>
    </row>
    <row r="146">
      <c r="A146" s="3" t="inlineStr">
        <is>
          <t>Grid-Constrained / Efficiency-Upside</t>
        </is>
      </c>
      <c r="B146" s="3" t="inlineStr">
        <is>
          <t>Google</t>
        </is>
      </c>
      <c r="C146" s="3" t="n">
        <v>2030</v>
      </c>
      <c r="D146" s="6" t="n">
        <v>0.01</v>
      </c>
      <c r="E146" s="6" t="n">
        <v>0.035</v>
      </c>
      <c r="F146" s="6" t="n">
        <v>0.055</v>
      </c>
      <c r="G146" s="6" t="n">
        <v>0.9</v>
      </c>
      <c r="H146" s="10">
        <f>SUM(D146:G146)</f>
        <v/>
      </c>
    </row>
    <row r="147">
      <c r="A147" s="3" t="inlineStr">
        <is>
          <t>Grid-Constrained / Efficiency-Upside</t>
        </is>
      </c>
      <c r="B147" s="3" t="inlineStr">
        <is>
          <t>Meta</t>
        </is>
      </c>
      <c r="C147" s="3" t="n">
        <v>2026</v>
      </c>
      <c r="D147" s="6" t="n">
        <v>0.495</v>
      </c>
      <c r="E147" s="6" t="n">
        <v>0.36</v>
      </c>
      <c r="F147" s="6" t="n">
        <v>0.045</v>
      </c>
      <c r="G147" s="6" t="n">
        <v>0.1</v>
      </c>
      <c r="H147" s="10">
        <f>SUM(D147:G147)</f>
        <v/>
      </c>
    </row>
    <row r="148">
      <c r="A148" s="3" t="inlineStr">
        <is>
          <t>Grid-Constrained / Efficiency-Upside</t>
        </is>
      </c>
      <c r="B148" s="3" t="inlineStr">
        <is>
          <t>Meta</t>
        </is>
      </c>
      <c r="C148" s="3" t="n">
        <v>2027</v>
      </c>
      <c r="D148" s="6" t="n">
        <v>0.355</v>
      </c>
      <c r="E148" s="6" t="n">
        <v>0.315</v>
      </c>
      <c r="F148" s="6" t="n">
        <v>0.142</v>
      </c>
      <c r="G148" s="6" t="n">
        <v>0.188</v>
      </c>
      <c r="H148" s="10">
        <f>SUM(D148:G148)</f>
        <v/>
      </c>
    </row>
    <row r="149">
      <c r="A149" s="3" t="inlineStr">
        <is>
          <t>Grid-Constrained / Efficiency-Upside</t>
        </is>
      </c>
      <c r="B149" s="3" t="inlineStr">
        <is>
          <t>Meta</t>
        </is>
      </c>
      <c r="C149" s="3" t="n">
        <v>2028</v>
      </c>
      <c r="D149" s="6" t="n">
        <v>0.236</v>
      </c>
      <c r="E149" s="6" t="n">
        <v>0.272</v>
      </c>
      <c r="F149" s="6" t="n">
        <v>0.217</v>
      </c>
      <c r="G149" s="6" t="n">
        <v>0.275</v>
      </c>
      <c r="H149" s="10">
        <f>SUM(D149:G149)</f>
        <v/>
      </c>
    </row>
    <row r="150">
      <c r="A150" s="3" t="inlineStr">
        <is>
          <t>Grid-Constrained / Efficiency-Upside</t>
        </is>
      </c>
      <c r="B150" s="3" t="inlineStr">
        <is>
          <t>Meta</t>
        </is>
      </c>
      <c r="C150" s="3" t="n">
        <v>2029</v>
      </c>
      <c r="D150" s="6" t="n">
        <v>0.135</v>
      </c>
      <c r="E150" s="6" t="n">
        <v>0.231</v>
      </c>
      <c r="F150" s="6" t="n">
        <v>0.272</v>
      </c>
      <c r="G150" s="6" t="n">
        <v>0.362</v>
      </c>
      <c r="H150" s="10">
        <f>SUM(D150:G150)</f>
        <v/>
      </c>
    </row>
    <row r="151">
      <c r="A151" s="3" t="inlineStr">
        <is>
          <t>Grid-Constrained / Efficiency-Upside</t>
        </is>
      </c>
      <c r="B151" s="3" t="inlineStr">
        <is>
          <t>Meta</t>
        </is>
      </c>
      <c r="C151" s="3" t="n">
        <v>2030</v>
      </c>
      <c r="D151" s="6" t="n">
        <v>0.055</v>
      </c>
      <c r="E151" s="6" t="n">
        <v>0.193</v>
      </c>
      <c r="F151" s="6" t="n">
        <v>0.302</v>
      </c>
      <c r="G151" s="6" t="n">
        <v>0.45</v>
      </c>
      <c r="H151" s="10">
        <f>SUM(D151:G151)</f>
        <v/>
      </c>
    </row>
    <row r="152">
      <c r="A152" s="3" t="inlineStr">
        <is>
          <t>Grid-Constrained / Efficiency-Upside</t>
        </is>
      </c>
      <c r="B152" s="3" t="inlineStr">
        <is>
          <t>xAI</t>
        </is>
      </c>
      <c r="C152" s="3" t="n">
        <v>2026</v>
      </c>
      <c r="D152" s="6" t="n">
        <v>0.55</v>
      </c>
      <c r="E152" s="6" t="n">
        <v>0.4</v>
      </c>
      <c r="F152" s="6" t="n">
        <v>0.05</v>
      </c>
      <c r="G152" s="6" t="n">
        <v>0</v>
      </c>
      <c r="H152" s="10">
        <f>SUM(D152:G152)</f>
        <v/>
      </c>
    </row>
    <row r="153">
      <c r="A153" s="3" t="inlineStr">
        <is>
          <t>Grid-Constrained / Efficiency-Upside</t>
        </is>
      </c>
      <c r="B153" s="3" t="inlineStr">
        <is>
          <t>xAI</t>
        </is>
      </c>
      <c r="C153" s="3" t="n">
        <v>2027</v>
      </c>
      <c r="D153" s="6" t="n">
        <v>0.438</v>
      </c>
      <c r="E153" s="6" t="n">
        <v>0.388</v>
      </c>
      <c r="F153" s="6" t="n">
        <v>0.174</v>
      </c>
      <c r="G153" s="6" t="n">
        <v>0</v>
      </c>
      <c r="H153" s="10">
        <f>SUM(D153:G153)</f>
        <v/>
      </c>
    </row>
    <row r="154">
      <c r="A154" s="3" t="inlineStr">
        <is>
          <t>Grid-Constrained / Efficiency-Upside</t>
        </is>
      </c>
      <c r="B154" s="3" t="inlineStr">
        <is>
          <t>xAI</t>
        </is>
      </c>
      <c r="C154" s="3" t="n">
        <v>2028</v>
      </c>
      <c r="D154" s="6" t="n">
        <v>0.325</v>
      </c>
      <c r="E154" s="6" t="n">
        <v>0.375</v>
      </c>
      <c r="F154" s="6" t="n">
        <v>0.3</v>
      </c>
      <c r="G154" s="6" t="n">
        <v>0</v>
      </c>
      <c r="H154" s="10">
        <f>SUM(D154:G154)</f>
        <v/>
      </c>
    </row>
    <row r="155">
      <c r="A155" s="3" t="inlineStr">
        <is>
          <t>Grid-Constrained / Efficiency-Upside</t>
        </is>
      </c>
      <c r="B155" s="3" t="inlineStr">
        <is>
          <t>xAI</t>
        </is>
      </c>
      <c r="C155" s="3" t="n">
        <v>2029</v>
      </c>
      <c r="D155" s="6" t="n">
        <v>0.213</v>
      </c>
      <c r="E155" s="6" t="n">
        <v>0.362</v>
      </c>
      <c r="F155" s="6" t="n">
        <v>0.425</v>
      </c>
      <c r="G155" s="6" t="n">
        <v>0</v>
      </c>
      <c r="H155" s="10">
        <f>SUM(D155:G155)</f>
        <v/>
      </c>
    </row>
    <row r="156">
      <c r="A156" s="3" t="inlineStr">
        <is>
          <t>Grid-Constrained / Efficiency-Upside</t>
        </is>
      </c>
      <c r="B156" s="3" t="inlineStr">
        <is>
          <t>xAI</t>
        </is>
      </c>
      <c r="C156" s="3" t="n">
        <v>2030</v>
      </c>
      <c r="D156" s="6" t="n">
        <v>0.1</v>
      </c>
      <c r="E156" s="6" t="n">
        <v>0.35</v>
      </c>
      <c r="F156" s="6" t="n">
        <v>0.55</v>
      </c>
      <c r="G156" s="6" t="n">
        <v>0</v>
      </c>
      <c r="H156" s="10">
        <f>SUM(D156:G156)</f>
        <v/>
      </c>
    </row>
    <row r="157">
      <c r="A157" s="3" t="inlineStr">
        <is>
          <t>Grid-Constrained / Efficiency-Upside</t>
        </is>
      </c>
      <c r="B157" s="3" t="inlineStr">
        <is>
          <t>OpenAI</t>
        </is>
      </c>
      <c r="C157" s="3" t="n">
        <v>2026</v>
      </c>
      <c r="D157" s="6" t="n">
        <v>0.55</v>
      </c>
      <c r="E157" s="6" t="n">
        <v>0.4</v>
      </c>
      <c r="F157" s="6" t="n">
        <v>0.05</v>
      </c>
      <c r="G157" s="6" t="n">
        <v>0</v>
      </c>
      <c r="H157" s="10">
        <f>SUM(D157:G157)</f>
        <v/>
      </c>
    </row>
    <row r="158">
      <c r="A158" s="3" t="inlineStr">
        <is>
          <t>Grid-Constrained / Efficiency-Upside</t>
        </is>
      </c>
      <c r="B158" s="3" t="inlineStr">
        <is>
          <t>OpenAI</t>
        </is>
      </c>
      <c r="C158" s="3" t="n">
        <v>2027</v>
      </c>
      <c r="D158" s="6" t="n">
        <v>0.438</v>
      </c>
      <c r="E158" s="6" t="n">
        <v>0.388</v>
      </c>
      <c r="F158" s="6" t="n">
        <v>0.174</v>
      </c>
      <c r="G158" s="6" t="n">
        <v>0</v>
      </c>
      <c r="H158" s="10">
        <f>SUM(D158:G158)</f>
        <v/>
      </c>
    </row>
    <row r="159">
      <c r="A159" s="3" t="inlineStr">
        <is>
          <t>Grid-Constrained / Efficiency-Upside</t>
        </is>
      </c>
      <c r="B159" s="3" t="inlineStr">
        <is>
          <t>OpenAI</t>
        </is>
      </c>
      <c r="C159" s="3" t="n">
        <v>2028</v>
      </c>
      <c r="D159" s="6" t="n">
        <v>0.325</v>
      </c>
      <c r="E159" s="6" t="n">
        <v>0.375</v>
      </c>
      <c r="F159" s="6" t="n">
        <v>0.3</v>
      </c>
      <c r="G159" s="6" t="n">
        <v>0</v>
      </c>
      <c r="H159" s="10">
        <f>SUM(D159:G159)</f>
        <v/>
      </c>
    </row>
    <row r="160">
      <c r="A160" s="3" t="inlineStr">
        <is>
          <t>Grid-Constrained / Efficiency-Upside</t>
        </is>
      </c>
      <c r="B160" s="3" t="inlineStr">
        <is>
          <t>OpenAI</t>
        </is>
      </c>
      <c r="C160" s="3" t="n">
        <v>2029</v>
      </c>
      <c r="D160" s="6" t="n">
        <v>0.213</v>
      </c>
      <c r="E160" s="6" t="n">
        <v>0.362</v>
      </c>
      <c r="F160" s="6" t="n">
        <v>0.425</v>
      </c>
      <c r="G160" s="6" t="n">
        <v>0</v>
      </c>
      <c r="H160" s="10">
        <f>SUM(D160:G160)</f>
        <v/>
      </c>
    </row>
    <row r="161">
      <c r="A161" s="3" t="inlineStr">
        <is>
          <t>Grid-Constrained / Efficiency-Upside</t>
        </is>
      </c>
      <c r="B161" s="3" t="inlineStr">
        <is>
          <t>OpenAI</t>
        </is>
      </c>
      <c r="C161" s="3" t="n">
        <v>2030</v>
      </c>
      <c r="D161" s="6" t="n">
        <v>0.1</v>
      </c>
      <c r="E161" s="6" t="n">
        <v>0.35</v>
      </c>
      <c r="F161" s="6" t="n">
        <v>0.55</v>
      </c>
      <c r="G161" s="6" t="n">
        <v>0</v>
      </c>
      <c r="H161" s="10">
        <f>SUM(D161:G161)</f>
        <v/>
      </c>
    </row>
    <row r="162">
      <c r="A162" s="3" t="inlineStr">
        <is>
          <t>Grid-Constrained / Efficiency-Upside</t>
        </is>
      </c>
      <c r="B162" s="3" t="inlineStr">
        <is>
          <t>Anthropic</t>
        </is>
      </c>
      <c r="C162" s="3" t="n">
        <v>2026</v>
      </c>
      <c r="D162" s="6" t="n">
        <v>0.193</v>
      </c>
      <c r="E162" s="6" t="n">
        <v>0.14</v>
      </c>
      <c r="F162" s="6" t="n">
        <v>0.017</v>
      </c>
      <c r="G162" s="6" t="n">
        <v>0.65</v>
      </c>
      <c r="H162" s="10">
        <f>SUM(D162:G162)</f>
        <v/>
      </c>
    </row>
    <row r="163">
      <c r="A163" s="3" t="inlineStr">
        <is>
          <t>Grid-Constrained / Efficiency-Upside</t>
        </is>
      </c>
      <c r="B163" s="3" t="inlineStr">
        <is>
          <t>Anthropic</t>
        </is>
      </c>
      <c r="C163" s="3" t="n">
        <v>2027</v>
      </c>
      <c r="D163" s="6" t="n">
        <v>0.131</v>
      </c>
      <c r="E163" s="6" t="n">
        <v>0.116</v>
      </c>
      <c r="F163" s="6" t="n">
        <v>0.053</v>
      </c>
      <c r="G163" s="6" t="n">
        <v>0.7</v>
      </c>
      <c r="H163" s="10">
        <f>SUM(D163:G163)</f>
        <v/>
      </c>
    </row>
    <row r="164">
      <c r="A164" s="3" t="inlineStr">
        <is>
          <t>Grid-Constrained / Efficiency-Upside</t>
        </is>
      </c>
      <c r="B164" s="3" t="inlineStr">
        <is>
          <t>Anthropic</t>
        </is>
      </c>
      <c r="C164" s="3" t="n">
        <v>2028</v>
      </c>
      <c r="D164" s="6" t="n">
        <v>0.081</v>
      </c>
      <c r="E164" s="6" t="n">
        <v>0.094</v>
      </c>
      <c r="F164" s="6" t="n">
        <v>0.075</v>
      </c>
      <c r="G164" s="6" t="n">
        <v>0.75</v>
      </c>
      <c r="H164" s="10">
        <f>SUM(D164:G164)</f>
        <v/>
      </c>
    </row>
    <row r="165">
      <c r="A165" s="3" t="inlineStr">
        <is>
          <t>Grid-Constrained / Efficiency-Upside</t>
        </is>
      </c>
      <c r="B165" s="3" t="inlineStr">
        <is>
          <t>Anthropic</t>
        </is>
      </c>
      <c r="C165" s="3" t="n">
        <v>2029</v>
      </c>
      <c r="D165" s="6" t="n">
        <v>0.043</v>
      </c>
      <c r="E165" s="6" t="n">
        <v>0.07199999999999999</v>
      </c>
      <c r="F165" s="6" t="n">
        <v>0.08500000000000001</v>
      </c>
      <c r="G165" s="6" t="n">
        <v>0.8</v>
      </c>
      <c r="H165" s="10">
        <f>SUM(D165:G165)</f>
        <v/>
      </c>
    </row>
    <row r="166">
      <c r="A166" s="3" t="inlineStr">
        <is>
          <t>Grid-Constrained / Efficiency-Upside</t>
        </is>
      </c>
      <c r="B166" s="3" t="inlineStr">
        <is>
          <t>Anthropic</t>
        </is>
      </c>
      <c r="C166" s="3" t="n">
        <v>2030</v>
      </c>
      <c r="D166" s="6" t="n">
        <v>0.015</v>
      </c>
      <c r="E166" s="6" t="n">
        <v>0.052</v>
      </c>
      <c r="F166" s="6" t="n">
        <v>0.083</v>
      </c>
      <c r="G166" s="6" t="n">
        <v>0.85</v>
      </c>
      <c r="H166" s="10">
        <f>SUM(D166:G166)</f>
        <v/>
      </c>
    </row>
    <row r="167">
      <c r="A167" s="3" t="inlineStr">
        <is>
          <t>Grid-Constrained / Efficiency-Upside</t>
        </is>
      </c>
      <c r="B167" s="3" t="inlineStr">
        <is>
          <t>DeepSeek</t>
        </is>
      </c>
      <c r="C167" s="3" t="n">
        <v>2026</v>
      </c>
      <c r="D167" s="6" t="n">
        <v>0.55</v>
      </c>
      <c r="E167" s="6" t="n">
        <v>0.4</v>
      </c>
      <c r="F167" s="6" t="n">
        <v>0.05</v>
      </c>
      <c r="G167" s="6" t="n">
        <v>0</v>
      </c>
      <c r="H167" s="10">
        <f>SUM(D167:G167)</f>
        <v/>
      </c>
    </row>
    <row r="168">
      <c r="A168" s="3" t="inlineStr">
        <is>
          <t>Grid-Constrained / Efficiency-Upside</t>
        </is>
      </c>
      <c r="B168" s="3" t="inlineStr">
        <is>
          <t>DeepSeek</t>
        </is>
      </c>
      <c r="C168" s="3" t="n">
        <v>2027</v>
      </c>
      <c r="D168" s="6" t="n">
        <v>0.438</v>
      </c>
      <c r="E168" s="6" t="n">
        <v>0.388</v>
      </c>
      <c r="F168" s="6" t="n">
        <v>0.174</v>
      </c>
      <c r="G168" s="6" t="n">
        <v>0</v>
      </c>
      <c r="H168" s="10">
        <f>SUM(D168:G168)</f>
        <v/>
      </c>
    </row>
    <row r="169">
      <c r="A169" s="3" t="inlineStr">
        <is>
          <t>Grid-Constrained / Efficiency-Upside</t>
        </is>
      </c>
      <c r="B169" s="3" t="inlineStr">
        <is>
          <t>DeepSeek</t>
        </is>
      </c>
      <c r="C169" s="3" t="n">
        <v>2028</v>
      </c>
      <c r="D169" s="6" t="n">
        <v>0.325</v>
      </c>
      <c r="E169" s="6" t="n">
        <v>0.375</v>
      </c>
      <c r="F169" s="6" t="n">
        <v>0.3</v>
      </c>
      <c r="G169" s="6" t="n">
        <v>0</v>
      </c>
      <c r="H169" s="10">
        <f>SUM(D169:G169)</f>
        <v/>
      </c>
    </row>
    <row r="170">
      <c r="A170" s="3" t="inlineStr">
        <is>
          <t>Grid-Constrained / Efficiency-Upside</t>
        </is>
      </c>
      <c r="B170" s="3" t="inlineStr">
        <is>
          <t>DeepSeek</t>
        </is>
      </c>
      <c r="C170" s="3" t="n">
        <v>2029</v>
      </c>
      <c r="D170" s="6" t="n">
        <v>0.213</v>
      </c>
      <c r="E170" s="6" t="n">
        <v>0.362</v>
      </c>
      <c r="F170" s="6" t="n">
        <v>0.425</v>
      </c>
      <c r="G170" s="6" t="n">
        <v>0</v>
      </c>
      <c r="H170" s="10">
        <f>SUM(D170:G170)</f>
        <v/>
      </c>
    </row>
    <row r="171">
      <c r="A171" s="3" t="inlineStr">
        <is>
          <t>Grid-Constrained / Efficiency-Upside</t>
        </is>
      </c>
      <c r="B171" s="3" t="inlineStr">
        <is>
          <t>DeepSeek</t>
        </is>
      </c>
      <c r="C171" s="3" t="n">
        <v>2030</v>
      </c>
      <c r="D171" s="6" t="n">
        <v>0.1</v>
      </c>
      <c r="E171" s="6" t="n">
        <v>0.35</v>
      </c>
      <c r="F171" s="6" t="n">
        <v>0.55</v>
      </c>
      <c r="G171" s="6" t="n">
        <v>0</v>
      </c>
      <c r="H171" s="10">
        <f>SUM(D171:G171)</f>
        <v/>
      </c>
    </row>
    <row r="172">
      <c r="A172" s="3" t="inlineStr">
        <is>
          <t>Grid-Constrained / Efficiency-Upside</t>
        </is>
      </c>
      <c r="B172" s="3" t="inlineStr">
        <is>
          <t>Alibaba</t>
        </is>
      </c>
      <c r="C172" s="3" t="n">
        <v>2026</v>
      </c>
      <c r="D172" s="6" t="n">
        <v>0.55</v>
      </c>
      <c r="E172" s="6" t="n">
        <v>0.4</v>
      </c>
      <c r="F172" s="6" t="n">
        <v>0.05</v>
      </c>
      <c r="G172" s="6" t="n">
        <v>0</v>
      </c>
      <c r="H172" s="10">
        <f>SUM(D172:G172)</f>
        <v/>
      </c>
    </row>
    <row r="173">
      <c r="A173" s="3" t="inlineStr">
        <is>
          <t>Grid-Constrained / Efficiency-Upside</t>
        </is>
      </c>
      <c r="B173" s="3" t="inlineStr">
        <is>
          <t>Alibaba</t>
        </is>
      </c>
      <c r="C173" s="3" t="n">
        <v>2027</v>
      </c>
      <c r="D173" s="6" t="n">
        <v>0.438</v>
      </c>
      <c r="E173" s="6" t="n">
        <v>0.388</v>
      </c>
      <c r="F173" s="6" t="n">
        <v>0.174</v>
      </c>
      <c r="G173" s="6" t="n">
        <v>0</v>
      </c>
      <c r="H173" s="10">
        <f>SUM(D173:G173)</f>
        <v/>
      </c>
    </row>
    <row r="174">
      <c r="A174" s="3" t="inlineStr">
        <is>
          <t>Grid-Constrained / Efficiency-Upside</t>
        </is>
      </c>
      <c r="B174" s="3" t="inlineStr">
        <is>
          <t>Alibaba</t>
        </is>
      </c>
      <c r="C174" s="3" t="n">
        <v>2028</v>
      </c>
      <c r="D174" s="6" t="n">
        <v>0.325</v>
      </c>
      <c r="E174" s="6" t="n">
        <v>0.375</v>
      </c>
      <c r="F174" s="6" t="n">
        <v>0.3</v>
      </c>
      <c r="G174" s="6" t="n">
        <v>0</v>
      </c>
      <c r="H174" s="10">
        <f>SUM(D174:G174)</f>
        <v/>
      </c>
    </row>
    <row r="175">
      <c r="A175" s="3" t="inlineStr">
        <is>
          <t>Grid-Constrained / Efficiency-Upside</t>
        </is>
      </c>
      <c r="B175" s="3" t="inlineStr">
        <is>
          <t>Alibaba</t>
        </is>
      </c>
      <c r="C175" s="3" t="n">
        <v>2029</v>
      </c>
      <c r="D175" s="6" t="n">
        <v>0.213</v>
      </c>
      <c r="E175" s="6" t="n">
        <v>0.362</v>
      </c>
      <c r="F175" s="6" t="n">
        <v>0.425</v>
      </c>
      <c r="G175" s="6" t="n">
        <v>0</v>
      </c>
      <c r="H175" s="10">
        <f>SUM(D175:G175)</f>
        <v/>
      </c>
    </row>
    <row r="176">
      <c r="A176" s="3" t="inlineStr">
        <is>
          <t>Grid-Constrained / Efficiency-Upside</t>
        </is>
      </c>
      <c r="B176" s="3" t="inlineStr">
        <is>
          <t>Alibaba</t>
        </is>
      </c>
      <c r="C176" s="3" t="n">
        <v>2030</v>
      </c>
      <c r="D176" s="6" t="n">
        <v>0.1</v>
      </c>
      <c r="E176" s="6" t="n">
        <v>0.35</v>
      </c>
      <c r="F176" s="6" t="n">
        <v>0.55</v>
      </c>
      <c r="G176" s="6" t="n">
        <v>0</v>
      </c>
      <c r="H176" s="10">
        <f>SUM(D176:G176)</f>
        <v/>
      </c>
    </row>
    <row r="177">
      <c r="A177" s="3" t="inlineStr">
        <is>
          <t>Grid-Constrained / Efficiency-Upside</t>
        </is>
      </c>
      <c r="B177" s="3" t="inlineStr">
        <is>
          <t>Tencent</t>
        </is>
      </c>
      <c r="C177" s="3" t="n">
        <v>2026</v>
      </c>
      <c r="D177" s="6" t="n">
        <v>0.55</v>
      </c>
      <c r="E177" s="6" t="n">
        <v>0.4</v>
      </c>
      <c r="F177" s="6" t="n">
        <v>0.05</v>
      </c>
      <c r="G177" s="6" t="n">
        <v>0</v>
      </c>
      <c r="H177" s="10">
        <f>SUM(D177:G177)</f>
        <v/>
      </c>
    </row>
    <row r="178">
      <c r="A178" s="3" t="inlineStr">
        <is>
          <t>Grid-Constrained / Efficiency-Upside</t>
        </is>
      </c>
      <c r="B178" s="3" t="inlineStr">
        <is>
          <t>Tencent</t>
        </is>
      </c>
      <c r="C178" s="3" t="n">
        <v>2027</v>
      </c>
      <c r="D178" s="6" t="n">
        <v>0.438</v>
      </c>
      <c r="E178" s="6" t="n">
        <v>0.388</v>
      </c>
      <c r="F178" s="6" t="n">
        <v>0.174</v>
      </c>
      <c r="G178" s="6" t="n">
        <v>0</v>
      </c>
      <c r="H178" s="10">
        <f>SUM(D178:G178)</f>
        <v/>
      </c>
    </row>
    <row r="179">
      <c r="A179" s="3" t="inlineStr">
        <is>
          <t>Grid-Constrained / Efficiency-Upside</t>
        </is>
      </c>
      <c r="B179" s="3" t="inlineStr">
        <is>
          <t>Tencent</t>
        </is>
      </c>
      <c r="C179" s="3" t="n">
        <v>2028</v>
      </c>
      <c r="D179" s="6" t="n">
        <v>0.325</v>
      </c>
      <c r="E179" s="6" t="n">
        <v>0.375</v>
      </c>
      <c r="F179" s="6" t="n">
        <v>0.3</v>
      </c>
      <c r="G179" s="6" t="n">
        <v>0</v>
      </c>
      <c r="H179" s="10">
        <f>SUM(D179:G179)</f>
        <v/>
      </c>
    </row>
    <row r="180">
      <c r="A180" s="3" t="inlineStr">
        <is>
          <t>Grid-Constrained / Efficiency-Upside</t>
        </is>
      </c>
      <c r="B180" s="3" t="inlineStr">
        <is>
          <t>Tencent</t>
        </is>
      </c>
      <c r="C180" s="3" t="n">
        <v>2029</v>
      </c>
      <c r="D180" s="6" t="n">
        <v>0.213</v>
      </c>
      <c r="E180" s="6" t="n">
        <v>0.362</v>
      </c>
      <c r="F180" s="6" t="n">
        <v>0.425</v>
      </c>
      <c r="G180" s="6" t="n">
        <v>0</v>
      </c>
      <c r="H180" s="10">
        <f>SUM(D180:G180)</f>
        <v/>
      </c>
    </row>
    <row r="181">
      <c r="A181" s="3" t="inlineStr">
        <is>
          <t>Grid-Constrained / Efficiency-Upside</t>
        </is>
      </c>
      <c r="B181" s="3" t="inlineStr">
        <is>
          <t>Tencent</t>
        </is>
      </c>
      <c r="C181" s="3" t="n">
        <v>2030</v>
      </c>
      <c r="D181" s="6" t="n">
        <v>0.1</v>
      </c>
      <c r="E181" s="6" t="n">
        <v>0.35</v>
      </c>
      <c r="F181" s="6" t="n">
        <v>0.55</v>
      </c>
      <c r="G181" s="6" t="n">
        <v>0</v>
      </c>
      <c r="H181" s="10">
        <f>SUM(D181:G181)</f>
        <v/>
      </c>
    </row>
  </sheetData>
  <autoFilter ref="A1:H18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8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9" customWidth="1" min="2" max="2"/>
    <col width="19" customWidth="1" min="3" max="3"/>
    <col width="21" customWidth="1" min="4" max="4"/>
    <col width="30" customWidth="1" min="5" max="5"/>
    <col width="22" customWidth="1" min="6" max="6"/>
    <col width="19" customWidth="1" min="7" max="7"/>
    <col width="12" customWidth="1" min="8" max="8"/>
    <col width="19" customWidth="1" min="9" max="9"/>
    <col width="15" customWidth="1" min="10" max="10"/>
    <col width="23" customWidth="1" min="11" max="11"/>
    <col width="14" customWidth="1" min="12" max="12"/>
    <col width="16" customWidth="1" min="13" max="13"/>
    <col width="26" customWidth="1" min="14" max="14"/>
    <col width="26" customWidth="1" min="15" max="15"/>
    <col width="26" customWidth="1" min="16" max="16"/>
    <col width="26" customWidth="1" min="17" max="17"/>
    <col width="38" customWidth="1" min="18" max="18"/>
    <col width="38" customWidth="1" min="19" max="19"/>
    <col width="38" customWidth="1" min="20" max="20"/>
    <col width="38" customWidth="1" min="21" max="21"/>
    <col width="32" customWidth="1" min="22" max="22"/>
    <col width="38" customWidth="1" min="23" max="23"/>
    <col width="20" customWidth="1" min="24" max="24"/>
    <col width="26" customWidth="1" min="25" max="25"/>
    <col width="27" customWidth="1" min="26" max="26"/>
  </cols>
  <sheetData>
    <row r="1">
      <c r="A1" s="4" t="inlineStr">
        <is>
          <t>scenario</t>
        </is>
      </c>
      <c r="B1" s="4" t="inlineStr">
        <is>
          <t>company</t>
        </is>
      </c>
      <c r="C1" s="4" t="inlineStr">
        <is>
          <t>year</t>
        </is>
      </c>
      <c r="D1" s="4" t="inlineStr">
        <is>
          <t>contracted_power_gw</t>
        </is>
      </c>
      <c r="E1" s="4" t="inlineStr">
        <is>
          <t>operational_deployment_share</t>
        </is>
      </c>
      <c r="F1" s="4" t="inlineStr">
        <is>
          <t>operational_power_gw</t>
        </is>
      </c>
      <c r="G1" s="4" t="inlineStr">
        <is>
          <t>pue</t>
        </is>
      </c>
      <c r="H1" s="4" t="inlineStr">
        <is>
          <t>it_load_gw</t>
        </is>
      </c>
      <c r="I1" s="4" t="inlineStr">
        <is>
          <t>ai_workload_share</t>
        </is>
      </c>
      <c r="J1" s="4" t="inlineStr">
        <is>
          <t>ai_it_load_gw</t>
        </is>
      </c>
      <c r="K1" s="4" t="inlineStr">
        <is>
          <t>inference_power_share</t>
        </is>
      </c>
      <c r="L1" s="4" t="inlineStr">
        <is>
          <t>inference_gw</t>
        </is>
      </c>
      <c r="M1" s="4" t="inlineStr">
        <is>
          <t>training_gw</t>
        </is>
      </c>
      <c r="N1" s="4" t="inlineStr">
        <is>
          <t>h200_share</t>
        </is>
      </c>
      <c r="O1" s="4" t="inlineStr">
        <is>
          <t>b200_share</t>
        </is>
      </c>
      <c r="P1" s="4" t="inlineStr">
        <is>
          <t>gb200_share</t>
        </is>
      </c>
      <c r="Q1" s="4" t="inlineStr">
        <is>
          <t>purpose_built_share</t>
        </is>
      </c>
      <c r="R1" s="4" t="inlineStr">
        <is>
          <t>h200_reference_tps_per_mw</t>
        </is>
      </c>
      <c r="S1" s="4" t="inlineStr">
        <is>
          <t>b200_reference_tps_per_mw</t>
        </is>
      </c>
      <c r="T1" s="4" t="inlineStr">
        <is>
          <t>gb200_reference_tps_per_mw</t>
        </is>
      </c>
      <c r="U1" s="4" t="inlineStr">
        <is>
          <t>purpose_built_reference_tps_per_mw</t>
        </is>
      </c>
      <c r="V1" s="4" t="inlineStr">
        <is>
          <t>commercial_workload_fit_factor</t>
        </is>
      </c>
      <c r="W1" s="4" t="inlineStr">
        <is>
          <t>fleet_reference_tps_per_mw</t>
        </is>
      </c>
      <c r="X1" s="4" t="inlineStr">
        <is>
          <t>serving_tps_per_mw</t>
        </is>
      </c>
      <c r="Y1" s="4" t="inlineStr">
        <is>
          <t>inference_tokens_per_day</t>
        </is>
      </c>
      <c r="Z1" s="4" t="inlineStr">
        <is>
          <t>inference_tokens_per_year</t>
        </is>
      </c>
    </row>
    <row r="2">
      <c r="A2" s="9">
        <f>'02_Inputs'!A2</f>
        <v/>
      </c>
      <c r="B2" s="9">
        <f>'02_Inputs'!B2</f>
        <v/>
      </c>
      <c r="C2" s="9">
        <f>'02_Inputs'!C2</f>
        <v/>
      </c>
      <c r="D2" s="11">
        <f>'02_Inputs'!D2</f>
        <v/>
      </c>
      <c r="E2" s="10">
        <f>'02_Inputs'!E2</f>
        <v/>
      </c>
      <c r="F2" s="11">
        <f>D2*E2</f>
        <v/>
      </c>
      <c r="G2" s="9">
        <f>'02_Inputs'!F2</f>
        <v/>
      </c>
      <c r="H2" s="11">
        <f>F2/G2</f>
        <v/>
      </c>
      <c r="I2" s="10">
        <f>'02_Inputs'!G2</f>
        <v/>
      </c>
      <c r="J2" s="11">
        <f>H2*I2</f>
        <v/>
      </c>
      <c r="K2" s="10">
        <f>'02_Inputs'!H2</f>
        <v/>
      </c>
      <c r="L2" s="11">
        <f>J2*K2</f>
        <v/>
      </c>
      <c r="M2" s="11">
        <f>J2*(1-K2)</f>
        <v/>
      </c>
      <c r="N2" s="10">
        <f>'02_GPU_Mix_Input'!D2</f>
        <v/>
      </c>
      <c r="O2" s="10">
        <f>'02_GPU_Mix_Input'!E2</f>
        <v/>
      </c>
      <c r="P2" s="10">
        <f>'02_GPU_Mix_Input'!F2</f>
        <v/>
      </c>
      <c r="Q2" s="10">
        <f>'02_GPU_Mix_Input'!G2</f>
        <v/>
      </c>
      <c r="R2" s="12">
        <f>INDEX('01_Benchmark_Input'!$D$2:$D$10,MATCH(B2,'01_Benchmark_Input'!$A$2:$A$10,0))</f>
        <v/>
      </c>
      <c r="S2" s="12">
        <f>INDEX('01_Benchmark_Input'!$F$2:$F$10,MATCH(B2,'01_Benchmark_Input'!$A$2:$A$10,0))</f>
        <v/>
      </c>
      <c r="T2" s="12">
        <f>INDEX('01_Benchmark_Input'!$H$2:$H$10,MATCH(B2,'01_Benchmark_Input'!$A$2:$A$10,0))</f>
        <v/>
      </c>
      <c r="U2" s="12">
        <f>INDEX('01_Benchmark_Input'!$J$2:$J$10,MATCH(B2,'01_Benchmark_Input'!$A$2:$A$10,0))</f>
        <v/>
      </c>
      <c r="V2" s="10">
        <f>'02_Inputs'!K2</f>
        <v/>
      </c>
      <c r="W2" s="12">
        <f>N2*R2+O2*S2+P2*T2+Q2*U2</f>
        <v/>
      </c>
      <c r="X2" s="12">
        <f>W2*V2</f>
        <v/>
      </c>
      <c r="Y2" s="12">
        <f>L2*1000*X2*86400</f>
        <v/>
      </c>
      <c r="Z2" s="12">
        <f>Y2*365</f>
        <v/>
      </c>
    </row>
    <row r="3">
      <c r="A3" s="9">
        <f>'02_Inputs'!A3</f>
        <v/>
      </c>
      <c r="B3" s="9">
        <f>'02_Inputs'!B3</f>
        <v/>
      </c>
      <c r="C3" s="9">
        <f>'02_Inputs'!C3</f>
        <v/>
      </c>
      <c r="D3" s="11">
        <f>'02_Inputs'!D3</f>
        <v/>
      </c>
      <c r="E3" s="10">
        <f>'02_Inputs'!E3</f>
        <v/>
      </c>
      <c r="F3" s="11">
        <f>D3*E3</f>
        <v/>
      </c>
      <c r="G3" s="9">
        <f>'02_Inputs'!F3</f>
        <v/>
      </c>
      <c r="H3" s="11">
        <f>F3/G3</f>
        <v/>
      </c>
      <c r="I3" s="10">
        <f>'02_Inputs'!G3</f>
        <v/>
      </c>
      <c r="J3" s="11">
        <f>H3*I3</f>
        <v/>
      </c>
      <c r="K3" s="10">
        <f>'02_Inputs'!H3</f>
        <v/>
      </c>
      <c r="L3" s="11">
        <f>J3*K3</f>
        <v/>
      </c>
      <c r="M3" s="11">
        <f>J3*(1-K3)</f>
        <v/>
      </c>
      <c r="N3" s="10">
        <f>'02_GPU_Mix_Input'!D3</f>
        <v/>
      </c>
      <c r="O3" s="10">
        <f>'02_GPU_Mix_Input'!E3</f>
        <v/>
      </c>
      <c r="P3" s="10">
        <f>'02_GPU_Mix_Input'!F3</f>
        <v/>
      </c>
      <c r="Q3" s="10">
        <f>'02_GPU_Mix_Input'!G3</f>
        <v/>
      </c>
      <c r="R3" s="12">
        <f>INDEX('01_Benchmark_Input'!$D$2:$D$10,MATCH(B3,'01_Benchmark_Input'!$A$2:$A$10,0))</f>
        <v/>
      </c>
      <c r="S3" s="12">
        <f>INDEX('01_Benchmark_Input'!$F$2:$F$10,MATCH(B3,'01_Benchmark_Input'!$A$2:$A$10,0))</f>
        <v/>
      </c>
      <c r="T3" s="12">
        <f>INDEX('01_Benchmark_Input'!$H$2:$H$10,MATCH(B3,'01_Benchmark_Input'!$A$2:$A$10,0))</f>
        <v/>
      </c>
      <c r="U3" s="12">
        <f>INDEX('01_Benchmark_Input'!$J$2:$J$10,MATCH(B3,'01_Benchmark_Input'!$A$2:$A$10,0))</f>
        <v/>
      </c>
      <c r="V3" s="10">
        <f>'02_Inputs'!K3</f>
        <v/>
      </c>
      <c r="W3" s="12">
        <f>N3*R3+O3*S3+P3*T3+Q3*U3</f>
        <v/>
      </c>
      <c r="X3" s="12">
        <f>W3*V3</f>
        <v/>
      </c>
      <c r="Y3" s="12">
        <f>L3*1000*X3*86400</f>
        <v/>
      </c>
      <c r="Z3" s="12">
        <f>Y3*365</f>
        <v/>
      </c>
    </row>
    <row r="4">
      <c r="A4" s="9">
        <f>'02_Inputs'!A4</f>
        <v/>
      </c>
      <c r="B4" s="9">
        <f>'02_Inputs'!B4</f>
        <v/>
      </c>
      <c r="C4" s="9">
        <f>'02_Inputs'!C4</f>
        <v/>
      </c>
      <c r="D4" s="11">
        <f>'02_Inputs'!D4</f>
        <v/>
      </c>
      <c r="E4" s="10">
        <f>'02_Inputs'!E4</f>
        <v/>
      </c>
      <c r="F4" s="11">
        <f>D4*E4</f>
        <v/>
      </c>
      <c r="G4" s="9">
        <f>'02_Inputs'!F4</f>
        <v/>
      </c>
      <c r="H4" s="11">
        <f>F4/G4</f>
        <v/>
      </c>
      <c r="I4" s="10">
        <f>'02_Inputs'!G4</f>
        <v/>
      </c>
      <c r="J4" s="11">
        <f>H4*I4</f>
        <v/>
      </c>
      <c r="K4" s="10">
        <f>'02_Inputs'!H4</f>
        <v/>
      </c>
      <c r="L4" s="11">
        <f>J4*K4</f>
        <v/>
      </c>
      <c r="M4" s="11">
        <f>J4*(1-K4)</f>
        <v/>
      </c>
      <c r="N4" s="10">
        <f>'02_GPU_Mix_Input'!D4</f>
        <v/>
      </c>
      <c r="O4" s="10">
        <f>'02_GPU_Mix_Input'!E4</f>
        <v/>
      </c>
      <c r="P4" s="10">
        <f>'02_GPU_Mix_Input'!F4</f>
        <v/>
      </c>
      <c r="Q4" s="10">
        <f>'02_GPU_Mix_Input'!G4</f>
        <v/>
      </c>
      <c r="R4" s="12">
        <f>INDEX('01_Benchmark_Input'!$D$2:$D$10,MATCH(B4,'01_Benchmark_Input'!$A$2:$A$10,0))</f>
        <v/>
      </c>
      <c r="S4" s="12">
        <f>INDEX('01_Benchmark_Input'!$F$2:$F$10,MATCH(B4,'01_Benchmark_Input'!$A$2:$A$10,0))</f>
        <v/>
      </c>
      <c r="T4" s="12">
        <f>INDEX('01_Benchmark_Input'!$H$2:$H$10,MATCH(B4,'01_Benchmark_Input'!$A$2:$A$10,0))</f>
        <v/>
      </c>
      <c r="U4" s="12">
        <f>INDEX('01_Benchmark_Input'!$J$2:$J$10,MATCH(B4,'01_Benchmark_Input'!$A$2:$A$10,0))</f>
        <v/>
      </c>
      <c r="V4" s="10">
        <f>'02_Inputs'!K4</f>
        <v/>
      </c>
      <c r="W4" s="12">
        <f>N4*R4+O4*S4+P4*T4+Q4*U4</f>
        <v/>
      </c>
      <c r="X4" s="12">
        <f>W4*V4</f>
        <v/>
      </c>
      <c r="Y4" s="12">
        <f>L4*1000*X4*86400</f>
        <v/>
      </c>
      <c r="Z4" s="12">
        <f>Y4*365</f>
        <v/>
      </c>
    </row>
    <row r="5">
      <c r="A5" s="9">
        <f>'02_Inputs'!A5</f>
        <v/>
      </c>
      <c r="B5" s="9">
        <f>'02_Inputs'!B5</f>
        <v/>
      </c>
      <c r="C5" s="9">
        <f>'02_Inputs'!C5</f>
        <v/>
      </c>
      <c r="D5" s="11">
        <f>'02_Inputs'!D5</f>
        <v/>
      </c>
      <c r="E5" s="10">
        <f>'02_Inputs'!E5</f>
        <v/>
      </c>
      <c r="F5" s="11">
        <f>D5*E5</f>
        <v/>
      </c>
      <c r="G5" s="9">
        <f>'02_Inputs'!F5</f>
        <v/>
      </c>
      <c r="H5" s="11">
        <f>F5/G5</f>
        <v/>
      </c>
      <c r="I5" s="10">
        <f>'02_Inputs'!G5</f>
        <v/>
      </c>
      <c r="J5" s="11">
        <f>H5*I5</f>
        <v/>
      </c>
      <c r="K5" s="10">
        <f>'02_Inputs'!H5</f>
        <v/>
      </c>
      <c r="L5" s="11">
        <f>J5*K5</f>
        <v/>
      </c>
      <c r="M5" s="11">
        <f>J5*(1-K5)</f>
        <v/>
      </c>
      <c r="N5" s="10">
        <f>'02_GPU_Mix_Input'!D5</f>
        <v/>
      </c>
      <c r="O5" s="10">
        <f>'02_GPU_Mix_Input'!E5</f>
        <v/>
      </c>
      <c r="P5" s="10">
        <f>'02_GPU_Mix_Input'!F5</f>
        <v/>
      </c>
      <c r="Q5" s="10">
        <f>'02_GPU_Mix_Input'!G5</f>
        <v/>
      </c>
      <c r="R5" s="12">
        <f>INDEX('01_Benchmark_Input'!$D$2:$D$10,MATCH(B5,'01_Benchmark_Input'!$A$2:$A$10,0))</f>
        <v/>
      </c>
      <c r="S5" s="12">
        <f>INDEX('01_Benchmark_Input'!$F$2:$F$10,MATCH(B5,'01_Benchmark_Input'!$A$2:$A$10,0))</f>
        <v/>
      </c>
      <c r="T5" s="12">
        <f>INDEX('01_Benchmark_Input'!$H$2:$H$10,MATCH(B5,'01_Benchmark_Input'!$A$2:$A$10,0))</f>
        <v/>
      </c>
      <c r="U5" s="12">
        <f>INDEX('01_Benchmark_Input'!$J$2:$J$10,MATCH(B5,'01_Benchmark_Input'!$A$2:$A$10,0))</f>
        <v/>
      </c>
      <c r="V5" s="10">
        <f>'02_Inputs'!K5</f>
        <v/>
      </c>
      <c r="W5" s="12">
        <f>N5*R5+O5*S5+P5*T5+Q5*U5</f>
        <v/>
      </c>
      <c r="X5" s="12">
        <f>W5*V5</f>
        <v/>
      </c>
      <c r="Y5" s="12">
        <f>L5*1000*X5*86400</f>
        <v/>
      </c>
      <c r="Z5" s="12">
        <f>Y5*365</f>
        <v/>
      </c>
    </row>
    <row r="6">
      <c r="A6" s="9">
        <f>'02_Inputs'!A6</f>
        <v/>
      </c>
      <c r="B6" s="9">
        <f>'02_Inputs'!B6</f>
        <v/>
      </c>
      <c r="C6" s="9">
        <f>'02_Inputs'!C6</f>
        <v/>
      </c>
      <c r="D6" s="11">
        <f>'02_Inputs'!D6</f>
        <v/>
      </c>
      <c r="E6" s="10">
        <f>'02_Inputs'!E6</f>
        <v/>
      </c>
      <c r="F6" s="11">
        <f>D6*E6</f>
        <v/>
      </c>
      <c r="G6" s="9">
        <f>'02_Inputs'!F6</f>
        <v/>
      </c>
      <c r="H6" s="11">
        <f>F6/G6</f>
        <v/>
      </c>
      <c r="I6" s="10">
        <f>'02_Inputs'!G6</f>
        <v/>
      </c>
      <c r="J6" s="11">
        <f>H6*I6</f>
        <v/>
      </c>
      <c r="K6" s="10">
        <f>'02_Inputs'!H6</f>
        <v/>
      </c>
      <c r="L6" s="11">
        <f>J6*K6</f>
        <v/>
      </c>
      <c r="M6" s="11">
        <f>J6*(1-K6)</f>
        <v/>
      </c>
      <c r="N6" s="10">
        <f>'02_GPU_Mix_Input'!D6</f>
        <v/>
      </c>
      <c r="O6" s="10">
        <f>'02_GPU_Mix_Input'!E6</f>
        <v/>
      </c>
      <c r="P6" s="10">
        <f>'02_GPU_Mix_Input'!F6</f>
        <v/>
      </c>
      <c r="Q6" s="10">
        <f>'02_GPU_Mix_Input'!G6</f>
        <v/>
      </c>
      <c r="R6" s="12">
        <f>INDEX('01_Benchmark_Input'!$D$2:$D$10,MATCH(B6,'01_Benchmark_Input'!$A$2:$A$10,0))</f>
        <v/>
      </c>
      <c r="S6" s="12">
        <f>INDEX('01_Benchmark_Input'!$F$2:$F$10,MATCH(B6,'01_Benchmark_Input'!$A$2:$A$10,0))</f>
        <v/>
      </c>
      <c r="T6" s="12">
        <f>INDEX('01_Benchmark_Input'!$H$2:$H$10,MATCH(B6,'01_Benchmark_Input'!$A$2:$A$10,0))</f>
        <v/>
      </c>
      <c r="U6" s="12">
        <f>INDEX('01_Benchmark_Input'!$J$2:$J$10,MATCH(B6,'01_Benchmark_Input'!$A$2:$A$10,0))</f>
        <v/>
      </c>
      <c r="V6" s="10">
        <f>'02_Inputs'!K6</f>
        <v/>
      </c>
      <c r="W6" s="12">
        <f>N6*R6+O6*S6+P6*T6+Q6*U6</f>
        <v/>
      </c>
      <c r="X6" s="12">
        <f>W6*V6</f>
        <v/>
      </c>
      <c r="Y6" s="12">
        <f>L6*1000*X6*86400</f>
        <v/>
      </c>
      <c r="Z6" s="12">
        <f>Y6*365</f>
        <v/>
      </c>
    </row>
    <row r="7">
      <c r="A7" s="9">
        <f>'02_Inputs'!A7</f>
        <v/>
      </c>
      <c r="B7" s="9">
        <f>'02_Inputs'!B7</f>
        <v/>
      </c>
      <c r="C7" s="9">
        <f>'02_Inputs'!C7</f>
        <v/>
      </c>
      <c r="D7" s="11">
        <f>'02_Inputs'!D7</f>
        <v/>
      </c>
      <c r="E7" s="10">
        <f>'02_Inputs'!E7</f>
        <v/>
      </c>
      <c r="F7" s="11">
        <f>D7*E7</f>
        <v/>
      </c>
      <c r="G7" s="9">
        <f>'02_Inputs'!F7</f>
        <v/>
      </c>
      <c r="H7" s="11">
        <f>F7/G7</f>
        <v/>
      </c>
      <c r="I7" s="10">
        <f>'02_Inputs'!G7</f>
        <v/>
      </c>
      <c r="J7" s="11">
        <f>H7*I7</f>
        <v/>
      </c>
      <c r="K7" s="10">
        <f>'02_Inputs'!H7</f>
        <v/>
      </c>
      <c r="L7" s="11">
        <f>J7*K7</f>
        <v/>
      </c>
      <c r="M7" s="11">
        <f>J7*(1-K7)</f>
        <v/>
      </c>
      <c r="N7" s="10">
        <f>'02_GPU_Mix_Input'!D7</f>
        <v/>
      </c>
      <c r="O7" s="10">
        <f>'02_GPU_Mix_Input'!E7</f>
        <v/>
      </c>
      <c r="P7" s="10">
        <f>'02_GPU_Mix_Input'!F7</f>
        <v/>
      </c>
      <c r="Q7" s="10">
        <f>'02_GPU_Mix_Input'!G7</f>
        <v/>
      </c>
      <c r="R7" s="12">
        <f>INDEX('01_Benchmark_Input'!$D$2:$D$10,MATCH(B7,'01_Benchmark_Input'!$A$2:$A$10,0))</f>
        <v/>
      </c>
      <c r="S7" s="12">
        <f>INDEX('01_Benchmark_Input'!$F$2:$F$10,MATCH(B7,'01_Benchmark_Input'!$A$2:$A$10,0))</f>
        <v/>
      </c>
      <c r="T7" s="12">
        <f>INDEX('01_Benchmark_Input'!$H$2:$H$10,MATCH(B7,'01_Benchmark_Input'!$A$2:$A$10,0))</f>
        <v/>
      </c>
      <c r="U7" s="12">
        <f>INDEX('01_Benchmark_Input'!$J$2:$J$10,MATCH(B7,'01_Benchmark_Input'!$A$2:$A$10,0))</f>
        <v/>
      </c>
      <c r="V7" s="10">
        <f>'02_Inputs'!K7</f>
        <v/>
      </c>
      <c r="W7" s="12">
        <f>N7*R7+O7*S7+P7*T7+Q7*U7</f>
        <v/>
      </c>
      <c r="X7" s="12">
        <f>W7*V7</f>
        <v/>
      </c>
      <c r="Y7" s="12">
        <f>L7*1000*X7*86400</f>
        <v/>
      </c>
      <c r="Z7" s="12">
        <f>Y7*365</f>
        <v/>
      </c>
    </row>
    <row r="8">
      <c r="A8" s="9">
        <f>'02_Inputs'!A8</f>
        <v/>
      </c>
      <c r="B8" s="9">
        <f>'02_Inputs'!B8</f>
        <v/>
      </c>
      <c r="C8" s="9">
        <f>'02_Inputs'!C8</f>
        <v/>
      </c>
      <c r="D8" s="11">
        <f>'02_Inputs'!D8</f>
        <v/>
      </c>
      <c r="E8" s="10">
        <f>'02_Inputs'!E8</f>
        <v/>
      </c>
      <c r="F8" s="11">
        <f>D8*E8</f>
        <v/>
      </c>
      <c r="G8" s="9">
        <f>'02_Inputs'!F8</f>
        <v/>
      </c>
      <c r="H8" s="11">
        <f>F8/G8</f>
        <v/>
      </c>
      <c r="I8" s="10">
        <f>'02_Inputs'!G8</f>
        <v/>
      </c>
      <c r="J8" s="11">
        <f>H8*I8</f>
        <v/>
      </c>
      <c r="K8" s="10">
        <f>'02_Inputs'!H8</f>
        <v/>
      </c>
      <c r="L8" s="11">
        <f>J8*K8</f>
        <v/>
      </c>
      <c r="M8" s="11">
        <f>J8*(1-K8)</f>
        <v/>
      </c>
      <c r="N8" s="10">
        <f>'02_GPU_Mix_Input'!D8</f>
        <v/>
      </c>
      <c r="O8" s="10">
        <f>'02_GPU_Mix_Input'!E8</f>
        <v/>
      </c>
      <c r="P8" s="10">
        <f>'02_GPU_Mix_Input'!F8</f>
        <v/>
      </c>
      <c r="Q8" s="10">
        <f>'02_GPU_Mix_Input'!G8</f>
        <v/>
      </c>
      <c r="R8" s="12">
        <f>INDEX('01_Benchmark_Input'!$D$2:$D$10,MATCH(B8,'01_Benchmark_Input'!$A$2:$A$10,0))</f>
        <v/>
      </c>
      <c r="S8" s="12">
        <f>INDEX('01_Benchmark_Input'!$F$2:$F$10,MATCH(B8,'01_Benchmark_Input'!$A$2:$A$10,0))</f>
        <v/>
      </c>
      <c r="T8" s="12">
        <f>INDEX('01_Benchmark_Input'!$H$2:$H$10,MATCH(B8,'01_Benchmark_Input'!$A$2:$A$10,0))</f>
        <v/>
      </c>
      <c r="U8" s="12">
        <f>INDEX('01_Benchmark_Input'!$J$2:$J$10,MATCH(B8,'01_Benchmark_Input'!$A$2:$A$10,0))</f>
        <v/>
      </c>
      <c r="V8" s="10">
        <f>'02_Inputs'!K8</f>
        <v/>
      </c>
      <c r="W8" s="12">
        <f>N8*R8+O8*S8+P8*T8+Q8*U8</f>
        <v/>
      </c>
      <c r="X8" s="12">
        <f>W8*V8</f>
        <v/>
      </c>
      <c r="Y8" s="12">
        <f>L8*1000*X8*86400</f>
        <v/>
      </c>
      <c r="Z8" s="12">
        <f>Y8*365</f>
        <v/>
      </c>
    </row>
    <row r="9">
      <c r="A9" s="9">
        <f>'02_Inputs'!A9</f>
        <v/>
      </c>
      <c r="B9" s="9">
        <f>'02_Inputs'!B9</f>
        <v/>
      </c>
      <c r="C9" s="9">
        <f>'02_Inputs'!C9</f>
        <v/>
      </c>
      <c r="D9" s="11">
        <f>'02_Inputs'!D9</f>
        <v/>
      </c>
      <c r="E9" s="10">
        <f>'02_Inputs'!E9</f>
        <v/>
      </c>
      <c r="F9" s="11">
        <f>D9*E9</f>
        <v/>
      </c>
      <c r="G9" s="9">
        <f>'02_Inputs'!F9</f>
        <v/>
      </c>
      <c r="H9" s="11">
        <f>F9/G9</f>
        <v/>
      </c>
      <c r="I9" s="10">
        <f>'02_Inputs'!G9</f>
        <v/>
      </c>
      <c r="J9" s="11">
        <f>H9*I9</f>
        <v/>
      </c>
      <c r="K9" s="10">
        <f>'02_Inputs'!H9</f>
        <v/>
      </c>
      <c r="L9" s="11">
        <f>J9*K9</f>
        <v/>
      </c>
      <c r="M9" s="11">
        <f>J9*(1-K9)</f>
        <v/>
      </c>
      <c r="N9" s="10">
        <f>'02_GPU_Mix_Input'!D9</f>
        <v/>
      </c>
      <c r="O9" s="10">
        <f>'02_GPU_Mix_Input'!E9</f>
        <v/>
      </c>
      <c r="P9" s="10">
        <f>'02_GPU_Mix_Input'!F9</f>
        <v/>
      </c>
      <c r="Q9" s="10">
        <f>'02_GPU_Mix_Input'!G9</f>
        <v/>
      </c>
      <c r="R9" s="12">
        <f>INDEX('01_Benchmark_Input'!$D$2:$D$10,MATCH(B9,'01_Benchmark_Input'!$A$2:$A$10,0))</f>
        <v/>
      </c>
      <c r="S9" s="12">
        <f>INDEX('01_Benchmark_Input'!$F$2:$F$10,MATCH(B9,'01_Benchmark_Input'!$A$2:$A$10,0))</f>
        <v/>
      </c>
      <c r="T9" s="12">
        <f>INDEX('01_Benchmark_Input'!$H$2:$H$10,MATCH(B9,'01_Benchmark_Input'!$A$2:$A$10,0))</f>
        <v/>
      </c>
      <c r="U9" s="12">
        <f>INDEX('01_Benchmark_Input'!$J$2:$J$10,MATCH(B9,'01_Benchmark_Input'!$A$2:$A$10,0))</f>
        <v/>
      </c>
      <c r="V9" s="10">
        <f>'02_Inputs'!K9</f>
        <v/>
      </c>
      <c r="W9" s="12">
        <f>N9*R9+O9*S9+P9*T9+Q9*U9</f>
        <v/>
      </c>
      <c r="X9" s="12">
        <f>W9*V9</f>
        <v/>
      </c>
      <c r="Y9" s="12">
        <f>L9*1000*X9*86400</f>
        <v/>
      </c>
      <c r="Z9" s="12">
        <f>Y9*365</f>
        <v/>
      </c>
    </row>
    <row r="10">
      <c r="A10" s="9">
        <f>'02_Inputs'!A10</f>
        <v/>
      </c>
      <c r="B10" s="9">
        <f>'02_Inputs'!B10</f>
        <v/>
      </c>
      <c r="C10" s="9">
        <f>'02_Inputs'!C10</f>
        <v/>
      </c>
      <c r="D10" s="11">
        <f>'02_Inputs'!D10</f>
        <v/>
      </c>
      <c r="E10" s="10">
        <f>'02_Inputs'!E10</f>
        <v/>
      </c>
      <c r="F10" s="11">
        <f>D10*E10</f>
        <v/>
      </c>
      <c r="G10" s="9">
        <f>'02_Inputs'!F10</f>
        <v/>
      </c>
      <c r="H10" s="11">
        <f>F10/G10</f>
        <v/>
      </c>
      <c r="I10" s="10">
        <f>'02_Inputs'!G10</f>
        <v/>
      </c>
      <c r="J10" s="11">
        <f>H10*I10</f>
        <v/>
      </c>
      <c r="K10" s="10">
        <f>'02_Inputs'!H10</f>
        <v/>
      </c>
      <c r="L10" s="11">
        <f>J10*K10</f>
        <v/>
      </c>
      <c r="M10" s="11">
        <f>J10*(1-K10)</f>
        <v/>
      </c>
      <c r="N10" s="10">
        <f>'02_GPU_Mix_Input'!D10</f>
        <v/>
      </c>
      <c r="O10" s="10">
        <f>'02_GPU_Mix_Input'!E10</f>
        <v/>
      </c>
      <c r="P10" s="10">
        <f>'02_GPU_Mix_Input'!F10</f>
        <v/>
      </c>
      <c r="Q10" s="10">
        <f>'02_GPU_Mix_Input'!G10</f>
        <v/>
      </c>
      <c r="R10" s="12">
        <f>INDEX('01_Benchmark_Input'!$D$2:$D$10,MATCH(B10,'01_Benchmark_Input'!$A$2:$A$10,0))</f>
        <v/>
      </c>
      <c r="S10" s="12">
        <f>INDEX('01_Benchmark_Input'!$F$2:$F$10,MATCH(B10,'01_Benchmark_Input'!$A$2:$A$10,0))</f>
        <v/>
      </c>
      <c r="T10" s="12">
        <f>INDEX('01_Benchmark_Input'!$H$2:$H$10,MATCH(B10,'01_Benchmark_Input'!$A$2:$A$10,0))</f>
        <v/>
      </c>
      <c r="U10" s="12">
        <f>INDEX('01_Benchmark_Input'!$J$2:$J$10,MATCH(B10,'01_Benchmark_Input'!$A$2:$A$10,0))</f>
        <v/>
      </c>
      <c r="V10" s="10">
        <f>'02_Inputs'!K10</f>
        <v/>
      </c>
      <c r="W10" s="12">
        <f>N10*R10+O10*S10+P10*T10+Q10*U10</f>
        <v/>
      </c>
      <c r="X10" s="12">
        <f>W10*V10</f>
        <v/>
      </c>
      <c r="Y10" s="12">
        <f>L10*1000*X10*86400</f>
        <v/>
      </c>
      <c r="Z10" s="12">
        <f>Y10*365</f>
        <v/>
      </c>
    </row>
    <row r="11">
      <c r="A11" s="9">
        <f>'02_Inputs'!A11</f>
        <v/>
      </c>
      <c r="B11" s="9">
        <f>'02_Inputs'!B11</f>
        <v/>
      </c>
      <c r="C11" s="9">
        <f>'02_Inputs'!C11</f>
        <v/>
      </c>
      <c r="D11" s="11">
        <f>'02_Inputs'!D11</f>
        <v/>
      </c>
      <c r="E11" s="10">
        <f>'02_Inputs'!E11</f>
        <v/>
      </c>
      <c r="F11" s="11">
        <f>D11*E11</f>
        <v/>
      </c>
      <c r="G11" s="9">
        <f>'02_Inputs'!F11</f>
        <v/>
      </c>
      <c r="H11" s="11">
        <f>F11/G11</f>
        <v/>
      </c>
      <c r="I11" s="10">
        <f>'02_Inputs'!G11</f>
        <v/>
      </c>
      <c r="J11" s="11">
        <f>H11*I11</f>
        <v/>
      </c>
      <c r="K11" s="10">
        <f>'02_Inputs'!H11</f>
        <v/>
      </c>
      <c r="L11" s="11">
        <f>J11*K11</f>
        <v/>
      </c>
      <c r="M11" s="11">
        <f>J11*(1-K11)</f>
        <v/>
      </c>
      <c r="N11" s="10">
        <f>'02_GPU_Mix_Input'!D11</f>
        <v/>
      </c>
      <c r="O11" s="10">
        <f>'02_GPU_Mix_Input'!E11</f>
        <v/>
      </c>
      <c r="P11" s="10">
        <f>'02_GPU_Mix_Input'!F11</f>
        <v/>
      </c>
      <c r="Q11" s="10">
        <f>'02_GPU_Mix_Input'!G11</f>
        <v/>
      </c>
      <c r="R11" s="12">
        <f>INDEX('01_Benchmark_Input'!$D$2:$D$10,MATCH(B11,'01_Benchmark_Input'!$A$2:$A$10,0))</f>
        <v/>
      </c>
      <c r="S11" s="12">
        <f>INDEX('01_Benchmark_Input'!$F$2:$F$10,MATCH(B11,'01_Benchmark_Input'!$A$2:$A$10,0))</f>
        <v/>
      </c>
      <c r="T11" s="12">
        <f>INDEX('01_Benchmark_Input'!$H$2:$H$10,MATCH(B11,'01_Benchmark_Input'!$A$2:$A$10,0))</f>
        <v/>
      </c>
      <c r="U11" s="12">
        <f>INDEX('01_Benchmark_Input'!$J$2:$J$10,MATCH(B11,'01_Benchmark_Input'!$A$2:$A$10,0))</f>
        <v/>
      </c>
      <c r="V11" s="10">
        <f>'02_Inputs'!K11</f>
        <v/>
      </c>
      <c r="W11" s="12">
        <f>N11*R11+O11*S11+P11*T11+Q11*U11</f>
        <v/>
      </c>
      <c r="X11" s="12">
        <f>W11*V11</f>
        <v/>
      </c>
      <c r="Y11" s="12">
        <f>L11*1000*X11*86400</f>
        <v/>
      </c>
      <c r="Z11" s="12">
        <f>Y11*365</f>
        <v/>
      </c>
    </row>
    <row r="12">
      <c r="A12" s="9">
        <f>'02_Inputs'!A12</f>
        <v/>
      </c>
      <c r="B12" s="9">
        <f>'02_Inputs'!B12</f>
        <v/>
      </c>
      <c r="C12" s="9">
        <f>'02_Inputs'!C12</f>
        <v/>
      </c>
      <c r="D12" s="11">
        <f>'02_Inputs'!D12</f>
        <v/>
      </c>
      <c r="E12" s="10">
        <f>'02_Inputs'!E12</f>
        <v/>
      </c>
      <c r="F12" s="11">
        <f>D12*E12</f>
        <v/>
      </c>
      <c r="G12" s="9">
        <f>'02_Inputs'!F12</f>
        <v/>
      </c>
      <c r="H12" s="11">
        <f>F12/G12</f>
        <v/>
      </c>
      <c r="I12" s="10">
        <f>'02_Inputs'!G12</f>
        <v/>
      </c>
      <c r="J12" s="11">
        <f>H12*I12</f>
        <v/>
      </c>
      <c r="K12" s="10">
        <f>'02_Inputs'!H12</f>
        <v/>
      </c>
      <c r="L12" s="11">
        <f>J12*K12</f>
        <v/>
      </c>
      <c r="M12" s="11">
        <f>J12*(1-K12)</f>
        <v/>
      </c>
      <c r="N12" s="10">
        <f>'02_GPU_Mix_Input'!D12</f>
        <v/>
      </c>
      <c r="O12" s="10">
        <f>'02_GPU_Mix_Input'!E12</f>
        <v/>
      </c>
      <c r="P12" s="10">
        <f>'02_GPU_Mix_Input'!F12</f>
        <v/>
      </c>
      <c r="Q12" s="10">
        <f>'02_GPU_Mix_Input'!G12</f>
        <v/>
      </c>
      <c r="R12" s="12">
        <f>INDEX('01_Benchmark_Input'!$D$2:$D$10,MATCH(B12,'01_Benchmark_Input'!$A$2:$A$10,0))</f>
        <v/>
      </c>
      <c r="S12" s="12">
        <f>INDEX('01_Benchmark_Input'!$F$2:$F$10,MATCH(B12,'01_Benchmark_Input'!$A$2:$A$10,0))</f>
        <v/>
      </c>
      <c r="T12" s="12">
        <f>INDEX('01_Benchmark_Input'!$H$2:$H$10,MATCH(B12,'01_Benchmark_Input'!$A$2:$A$10,0))</f>
        <v/>
      </c>
      <c r="U12" s="12">
        <f>INDEX('01_Benchmark_Input'!$J$2:$J$10,MATCH(B12,'01_Benchmark_Input'!$A$2:$A$10,0))</f>
        <v/>
      </c>
      <c r="V12" s="10">
        <f>'02_Inputs'!K12</f>
        <v/>
      </c>
      <c r="W12" s="12">
        <f>N12*R12+O12*S12+P12*T12+Q12*U12</f>
        <v/>
      </c>
      <c r="X12" s="12">
        <f>W12*V12</f>
        <v/>
      </c>
      <c r="Y12" s="12">
        <f>L12*1000*X12*86400</f>
        <v/>
      </c>
      <c r="Z12" s="12">
        <f>Y12*365</f>
        <v/>
      </c>
    </row>
    <row r="13">
      <c r="A13" s="9">
        <f>'02_Inputs'!A13</f>
        <v/>
      </c>
      <c r="B13" s="9">
        <f>'02_Inputs'!B13</f>
        <v/>
      </c>
      <c r="C13" s="9">
        <f>'02_Inputs'!C13</f>
        <v/>
      </c>
      <c r="D13" s="11">
        <f>'02_Inputs'!D13</f>
        <v/>
      </c>
      <c r="E13" s="10">
        <f>'02_Inputs'!E13</f>
        <v/>
      </c>
      <c r="F13" s="11">
        <f>D13*E13</f>
        <v/>
      </c>
      <c r="G13" s="9">
        <f>'02_Inputs'!F13</f>
        <v/>
      </c>
      <c r="H13" s="11">
        <f>F13/G13</f>
        <v/>
      </c>
      <c r="I13" s="10">
        <f>'02_Inputs'!G13</f>
        <v/>
      </c>
      <c r="J13" s="11">
        <f>H13*I13</f>
        <v/>
      </c>
      <c r="K13" s="10">
        <f>'02_Inputs'!H13</f>
        <v/>
      </c>
      <c r="L13" s="11">
        <f>J13*K13</f>
        <v/>
      </c>
      <c r="M13" s="11">
        <f>J13*(1-K13)</f>
        <v/>
      </c>
      <c r="N13" s="10">
        <f>'02_GPU_Mix_Input'!D13</f>
        <v/>
      </c>
      <c r="O13" s="10">
        <f>'02_GPU_Mix_Input'!E13</f>
        <v/>
      </c>
      <c r="P13" s="10">
        <f>'02_GPU_Mix_Input'!F13</f>
        <v/>
      </c>
      <c r="Q13" s="10">
        <f>'02_GPU_Mix_Input'!G13</f>
        <v/>
      </c>
      <c r="R13" s="12">
        <f>INDEX('01_Benchmark_Input'!$D$2:$D$10,MATCH(B13,'01_Benchmark_Input'!$A$2:$A$10,0))</f>
        <v/>
      </c>
      <c r="S13" s="12">
        <f>INDEX('01_Benchmark_Input'!$F$2:$F$10,MATCH(B13,'01_Benchmark_Input'!$A$2:$A$10,0))</f>
        <v/>
      </c>
      <c r="T13" s="12">
        <f>INDEX('01_Benchmark_Input'!$H$2:$H$10,MATCH(B13,'01_Benchmark_Input'!$A$2:$A$10,0))</f>
        <v/>
      </c>
      <c r="U13" s="12">
        <f>INDEX('01_Benchmark_Input'!$J$2:$J$10,MATCH(B13,'01_Benchmark_Input'!$A$2:$A$10,0))</f>
        <v/>
      </c>
      <c r="V13" s="10">
        <f>'02_Inputs'!K13</f>
        <v/>
      </c>
      <c r="W13" s="12">
        <f>N13*R13+O13*S13+P13*T13+Q13*U13</f>
        <v/>
      </c>
      <c r="X13" s="12">
        <f>W13*V13</f>
        <v/>
      </c>
      <c r="Y13" s="12">
        <f>L13*1000*X13*86400</f>
        <v/>
      </c>
      <c r="Z13" s="12">
        <f>Y13*365</f>
        <v/>
      </c>
    </row>
    <row r="14">
      <c r="A14" s="9">
        <f>'02_Inputs'!A14</f>
        <v/>
      </c>
      <c r="B14" s="9">
        <f>'02_Inputs'!B14</f>
        <v/>
      </c>
      <c r="C14" s="9">
        <f>'02_Inputs'!C14</f>
        <v/>
      </c>
      <c r="D14" s="11">
        <f>'02_Inputs'!D14</f>
        <v/>
      </c>
      <c r="E14" s="10">
        <f>'02_Inputs'!E14</f>
        <v/>
      </c>
      <c r="F14" s="11">
        <f>D14*E14</f>
        <v/>
      </c>
      <c r="G14" s="9">
        <f>'02_Inputs'!F14</f>
        <v/>
      </c>
      <c r="H14" s="11">
        <f>F14/G14</f>
        <v/>
      </c>
      <c r="I14" s="10">
        <f>'02_Inputs'!G14</f>
        <v/>
      </c>
      <c r="J14" s="11">
        <f>H14*I14</f>
        <v/>
      </c>
      <c r="K14" s="10">
        <f>'02_Inputs'!H14</f>
        <v/>
      </c>
      <c r="L14" s="11">
        <f>J14*K14</f>
        <v/>
      </c>
      <c r="M14" s="11">
        <f>J14*(1-K14)</f>
        <v/>
      </c>
      <c r="N14" s="10">
        <f>'02_GPU_Mix_Input'!D14</f>
        <v/>
      </c>
      <c r="O14" s="10">
        <f>'02_GPU_Mix_Input'!E14</f>
        <v/>
      </c>
      <c r="P14" s="10">
        <f>'02_GPU_Mix_Input'!F14</f>
        <v/>
      </c>
      <c r="Q14" s="10">
        <f>'02_GPU_Mix_Input'!G14</f>
        <v/>
      </c>
      <c r="R14" s="12">
        <f>INDEX('01_Benchmark_Input'!$D$2:$D$10,MATCH(B14,'01_Benchmark_Input'!$A$2:$A$10,0))</f>
        <v/>
      </c>
      <c r="S14" s="12">
        <f>INDEX('01_Benchmark_Input'!$F$2:$F$10,MATCH(B14,'01_Benchmark_Input'!$A$2:$A$10,0))</f>
        <v/>
      </c>
      <c r="T14" s="12">
        <f>INDEX('01_Benchmark_Input'!$H$2:$H$10,MATCH(B14,'01_Benchmark_Input'!$A$2:$A$10,0))</f>
        <v/>
      </c>
      <c r="U14" s="12">
        <f>INDEX('01_Benchmark_Input'!$J$2:$J$10,MATCH(B14,'01_Benchmark_Input'!$A$2:$A$10,0))</f>
        <v/>
      </c>
      <c r="V14" s="10">
        <f>'02_Inputs'!K14</f>
        <v/>
      </c>
      <c r="W14" s="12">
        <f>N14*R14+O14*S14+P14*T14+Q14*U14</f>
        <v/>
      </c>
      <c r="X14" s="12">
        <f>W14*V14</f>
        <v/>
      </c>
      <c r="Y14" s="12">
        <f>L14*1000*X14*86400</f>
        <v/>
      </c>
      <c r="Z14" s="12">
        <f>Y14*365</f>
        <v/>
      </c>
    </row>
    <row r="15">
      <c r="A15" s="9">
        <f>'02_Inputs'!A15</f>
        <v/>
      </c>
      <c r="B15" s="9">
        <f>'02_Inputs'!B15</f>
        <v/>
      </c>
      <c r="C15" s="9">
        <f>'02_Inputs'!C15</f>
        <v/>
      </c>
      <c r="D15" s="11">
        <f>'02_Inputs'!D15</f>
        <v/>
      </c>
      <c r="E15" s="10">
        <f>'02_Inputs'!E15</f>
        <v/>
      </c>
      <c r="F15" s="11">
        <f>D15*E15</f>
        <v/>
      </c>
      <c r="G15" s="9">
        <f>'02_Inputs'!F15</f>
        <v/>
      </c>
      <c r="H15" s="11">
        <f>F15/G15</f>
        <v/>
      </c>
      <c r="I15" s="10">
        <f>'02_Inputs'!G15</f>
        <v/>
      </c>
      <c r="J15" s="11">
        <f>H15*I15</f>
        <v/>
      </c>
      <c r="K15" s="10">
        <f>'02_Inputs'!H15</f>
        <v/>
      </c>
      <c r="L15" s="11">
        <f>J15*K15</f>
        <v/>
      </c>
      <c r="M15" s="11">
        <f>J15*(1-K15)</f>
        <v/>
      </c>
      <c r="N15" s="10">
        <f>'02_GPU_Mix_Input'!D15</f>
        <v/>
      </c>
      <c r="O15" s="10">
        <f>'02_GPU_Mix_Input'!E15</f>
        <v/>
      </c>
      <c r="P15" s="10">
        <f>'02_GPU_Mix_Input'!F15</f>
        <v/>
      </c>
      <c r="Q15" s="10">
        <f>'02_GPU_Mix_Input'!G15</f>
        <v/>
      </c>
      <c r="R15" s="12">
        <f>INDEX('01_Benchmark_Input'!$D$2:$D$10,MATCH(B15,'01_Benchmark_Input'!$A$2:$A$10,0))</f>
        <v/>
      </c>
      <c r="S15" s="12">
        <f>INDEX('01_Benchmark_Input'!$F$2:$F$10,MATCH(B15,'01_Benchmark_Input'!$A$2:$A$10,0))</f>
        <v/>
      </c>
      <c r="T15" s="12">
        <f>INDEX('01_Benchmark_Input'!$H$2:$H$10,MATCH(B15,'01_Benchmark_Input'!$A$2:$A$10,0))</f>
        <v/>
      </c>
      <c r="U15" s="12">
        <f>INDEX('01_Benchmark_Input'!$J$2:$J$10,MATCH(B15,'01_Benchmark_Input'!$A$2:$A$10,0))</f>
        <v/>
      </c>
      <c r="V15" s="10">
        <f>'02_Inputs'!K15</f>
        <v/>
      </c>
      <c r="W15" s="12">
        <f>N15*R15+O15*S15+P15*T15+Q15*U15</f>
        <v/>
      </c>
      <c r="X15" s="12">
        <f>W15*V15</f>
        <v/>
      </c>
      <c r="Y15" s="12">
        <f>L15*1000*X15*86400</f>
        <v/>
      </c>
      <c r="Z15" s="12">
        <f>Y15*365</f>
        <v/>
      </c>
    </row>
    <row r="16">
      <c r="A16" s="9">
        <f>'02_Inputs'!A16</f>
        <v/>
      </c>
      <c r="B16" s="9">
        <f>'02_Inputs'!B16</f>
        <v/>
      </c>
      <c r="C16" s="9">
        <f>'02_Inputs'!C16</f>
        <v/>
      </c>
      <c r="D16" s="11">
        <f>'02_Inputs'!D16</f>
        <v/>
      </c>
      <c r="E16" s="10">
        <f>'02_Inputs'!E16</f>
        <v/>
      </c>
      <c r="F16" s="11">
        <f>D16*E16</f>
        <v/>
      </c>
      <c r="G16" s="9">
        <f>'02_Inputs'!F16</f>
        <v/>
      </c>
      <c r="H16" s="11">
        <f>F16/G16</f>
        <v/>
      </c>
      <c r="I16" s="10">
        <f>'02_Inputs'!G16</f>
        <v/>
      </c>
      <c r="J16" s="11">
        <f>H16*I16</f>
        <v/>
      </c>
      <c r="K16" s="10">
        <f>'02_Inputs'!H16</f>
        <v/>
      </c>
      <c r="L16" s="11">
        <f>J16*K16</f>
        <v/>
      </c>
      <c r="M16" s="11">
        <f>J16*(1-K16)</f>
        <v/>
      </c>
      <c r="N16" s="10">
        <f>'02_GPU_Mix_Input'!D16</f>
        <v/>
      </c>
      <c r="O16" s="10">
        <f>'02_GPU_Mix_Input'!E16</f>
        <v/>
      </c>
      <c r="P16" s="10">
        <f>'02_GPU_Mix_Input'!F16</f>
        <v/>
      </c>
      <c r="Q16" s="10">
        <f>'02_GPU_Mix_Input'!G16</f>
        <v/>
      </c>
      <c r="R16" s="12">
        <f>INDEX('01_Benchmark_Input'!$D$2:$D$10,MATCH(B16,'01_Benchmark_Input'!$A$2:$A$10,0))</f>
        <v/>
      </c>
      <c r="S16" s="12">
        <f>INDEX('01_Benchmark_Input'!$F$2:$F$10,MATCH(B16,'01_Benchmark_Input'!$A$2:$A$10,0))</f>
        <v/>
      </c>
      <c r="T16" s="12">
        <f>INDEX('01_Benchmark_Input'!$H$2:$H$10,MATCH(B16,'01_Benchmark_Input'!$A$2:$A$10,0))</f>
        <v/>
      </c>
      <c r="U16" s="12">
        <f>INDEX('01_Benchmark_Input'!$J$2:$J$10,MATCH(B16,'01_Benchmark_Input'!$A$2:$A$10,0))</f>
        <v/>
      </c>
      <c r="V16" s="10">
        <f>'02_Inputs'!K16</f>
        <v/>
      </c>
      <c r="W16" s="12">
        <f>N16*R16+O16*S16+P16*T16+Q16*U16</f>
        <v/>
      </c>
      <c r="X16" s="12">
        <f>W16*V16</f>
        <v/>
      </c>
      <c r="Y16" s="12">
        <f>L16*1000*X16*86400</f>
        <v/>
      </c>
      <c r="Z16" s="12">
        <f>Y16*365</f>
        <v/>
      </c>
    </row>
    <row r="17">
      <c r="A17" s="9">
        <f>'02_Inputs'!A17</f>
        <v/>
      </c>
      <c r="B17" s="9">
        <f>'02_Inputs'!B17</f>
        <v/>
      </c>
      <c r="C17" s="9">
        <f>'02_Inputs'!C17</f>
        <v/>
      </c>
      <c r="D17" s="11">
        <f>'02_Inputs'!D17</f>
        <v/>
      </c>
      <c r="E17" s="10">
        <f>'02_Inputs'!E17</f>
        <v/>
      </c>
      <c r="F17" s="11">
        <f>D17*E17</f>
        <v/>
      </c>
      <c r="G17" s="9">
        <f>'02_Inputs'!F17</f>
        <v/>
      </c>
      <c r="H17" s="11">
        <f>F17/G17</f>
        <v/>
      </c>
      <c r="I17" s="10">
        <f>'02_Inputs'!G17</f>
        <v/>
      </c>
      <c r="J17" s="11">
        <f>H17*I17</f>
        <v/>
      </c>
      <c r="K17" s="10">
        <f>'02_Inputs'!H17</f>
        <v/>
      </c>
      <c r="L17" s="11">
        <f>J17*K17</f>
        <v/>
      </c>
      <c r="M17" s="11">
        <f>J17*(1-K17)</f>
        <v/>
      </c>
      <c r="N17" s="10">
        <f>'02_GPU_Mix_Input'!D17</f>
        <v/>
      </c>
      <c r="O17" s="10">
        <f>'02_GPU_Mix_Input'!E17</f>
        <v/>
      </c>
      <c r="P17" s="10">
        <f>'02_GPU_Mix_Input'!F17</f>
        <v/>
      </c>
      <c r="Q17" s="10">
        <f>'02_GPU_Mix_Input'!G17</f>
        <v/>
      </c>
      <c r="R17" s="12">
        <f>INDEX('01_Benchmark_Input'!$D$2:$D$10,MATCH(B17,'01_Benchmark_Input'!$A$2:$A$10,0))</f>
        <v/>
      </c>
      <c r="S17" s="12">
        <f>INDEX('01_Benchmark_Input'!$F$2:$F$10,MATCH(B17,'01_Benchmark_Input'!$A$2:$A$10,0))</f>
        <v/>
      </c>
      <c r="T17" s="12">
        <f>INDEX('01_Benchmark_Input'!$H$2:$H$10,MATCH(B17,'01_Benchmark_Input'!$A$2:$A$10,0))</f>
        <v/>
      </c>
      <c r="U17" s="12">
        <f>INDEX('01_Benchmark_Input'!$J$2:$J$10,MATCH(B17,'01_Benchmark_Input'!$A$2:$A$10,0))</f>
        <v/>
      </c>
      <c r="V17" s="10">
        <f>'02_Inputs'!K17</f>
        <v/>
      </c>
      <c r="W17" s="12">
        <f>N17*R17+O17*S17+P17*T17+Q17*U17</f>
        <v/>
      </c>
      <c r="X17" s="12">
        <f>W17*V17</f>
        <v/>
      </c>
      <c r="Y17" s="12">
        <f>L17*1000*X17*86400</f>
        <v/>
      </c>
      <c r="Z17" s="12">
        <f>Y17*365</f>
        <v/>
      </c>
    </row>
    <row r="18">
      <c r="A18" s="9">
        <f>'02_Inputs'!A18</f>
        <v/>
      </c>
      <c r="B18" s="9">
        <f>'02_Inputs'!B18</f>
        <v/>
      </c>
      <c r="C18" s="9">
        <f>'02_Inputs'!C18</f>
        <v/>
      </c>
      <c r="D18" s="11">
        <f>'02_Inputs'!D18</f>
        <v/>
      </c>
      <c r="E18" s="10">
        <f>'02_Inputs'!E18</f>
        <v/>
      </c>
      <c r="F18" s="11">
        <f>D18*E18</f>
        <v/>
      </c>
      <c r="G18" s="9">
        <f>'02_Inputs'!F18</f>
        <v/>
      </c>
      <c r="H18" s="11">
        <f>F18/G18</f>
        <v/>
      </c>
      <c r="I18" s="10">
        <f>'02_Inputs'!G18</f>
        <v/>
      </c>
      <c r="J18" s="11">
        <f>H18*I18</f>
        <v/>
      </c>
      <c r="K18" s="10">
        <f>'02_Inputs'!H18</f>
        <v/>
      </c>
      <c r="L18" s="11">
        <f>J18*K18</f>
        <v/>
      </c>
      <c r="M18" s="11">
        <f>J18*(1-K18)</f>
        <v/>
      </c>
      <c r="N18" s="10">
        <f>'02_GPU_Mix_Input'!D18</f>
        <v/>
      </c>
      <c r="O18" s="10">
        <f>'02_GPU_Mix_Input'!E18</f>
        <v/>
      </c>
      <c r="P18" s="10">
        <f>'02_GPU_Mix_Input'!F18</f>
        <v/>
      </c>
      <c r="Q18" s="10">
        <f>'02_GPU_Mix_Input'!G18</f>
        <v/>
      </c>
      <c r="R18" s="12">
        <f>INDEX('01_Benchmark_Input'!$D$2:$D$10,MATCH(B18,'01_Benchmark_Input'!$A$2:$A$10,0))</f>
        <v/>
      </c>
      <c r="S18" s="12">
        <f>INDEX('01_Benchmark_Input'!$F$2:$F$10,MATCH(B18,'01_Benchmark_Input'!$A$2:$A$10,0))</f>
        <v/>
      </c>
      <c r="T18" s="12">
        <f>INDEX('01_Benchmark_Input'!$H$2:$H$10,MATCH(B18,'01_Benchmark_Input'!$A$2:$A$10,0))</f>
        <v/>
      </c>
      <c r="U18" s="12">
        <f>INDEX('01_Benchmark_Input'!$J$2:$J$10,MATCH(B18,'01_Benchmark_Input'!$A$2:$A$10,0))</f>
        <v/>
      </c>
      <c r="V18" s="10">
        <f>'02_Inputs'!K18</f>
        <v/>
      </c>
      <c r="W18" s="12">
        <f>N18*R18+O18*S18+P18*T18+Q18*U18</f>
        <v/>
      </c>
      <c r="X18" s="12">
        <f>W18*V18</f>
        <v/>
      </c>
      <c r="Y18" s="12">
        <f>L18*1000*X18*86400</f>
        <v/>
      </c>
      <c r="Z18" s="12">
        <f>Y18*365</f>
        <v/>
      </c>
    </row>
    <row r="19">
      <c r="A19" s="9">
        <f>'02_Inputs'!A19</f>
        <v/>
      </c>
      <c r="B19" s="9">
        <f>'02_Inputs'!B19</f>
        <v/>
      </c>
      <c r="C19" s="9">
        <f>'02_Inputs'!C19</f>
        <v/>
      </c>
      <c r="D19" s="11">
        <f>'02_Inputs'!D19</f>
        <v/>
      </c>
      <c r="E19" s="10">
        <f>'02_Inputs'!E19</f>
        <v/>
      </c>
      <c r="F19" s="11">
        <f>D19*E19</f>
        <v/>
      </c>
      <c r="G19" s="9">
        <f>'02_Inputs'!F19</f>
        <v/>
      </c>
      <c r="H19" s="11">
        <f>F19/G19</f>
        <v/>
      </c>
      <c r="I19" s="10">
        <f>'02_Inputs'!G19</f>
        <v/>
      </c>
      <c r="J19" s="11">
        <f>H19*I19</f>
        <v/>
      </c>
      <c r="K19" s="10">
        <f>'02_Inputs'!H19</f>
        <v/>
      </c>
      <c r="L19" s="11">
        <f>J19*K19</f>
        <v/>
      </c>
      <c r="M19" s="11">
        <f>J19*(1-K19)</f>
        <v/>
      </c>
      <c r="N19" s="10">
        <f>'02_GPU_Mix_Input'!D19</f>
        <v/>
      </c>
      <c r="O19" s="10">
        <f>'02_GPU_Mix_Input'!E19</f>
        <v/>
      </c>
      <c r="P19" s="10">
        <f>'02_GPU_Mix_Input'!F19</f>
        <v/>
      </c>
      <c r="Q19" s="10">
        <f>'02_GPU_Mix_Input'!G19</f>
        <v/>
      </c>
      <c r="R19" s="12">
        <f>INDEX('01_Benchmark_Input'!$D$2:$D$10,MATCH(B19,'01_Benchmark_Input'!$A$2:$A$10,0))</f>
        <v/>
      </c>
      <c r="S19" s="12">
        <f>INDEX('01_Benchmark_Input'!$F$2:$F$10,MATCH(B19,'01_Benchmark_Input'!$A$2:$A$10,0))</f>
        <v/>
      </c>
      <c r="T19" s="12">
        <f>INDEX('01_Benchmark_Input'!$H$2:$H$10,MATCH(B19,'01_Benchmark_Input'!$A$2:$A$10,0))</f>
        <v/>
      </c>
      <c r="U19" s="12">
        <f>INDEX('01_Benchmark_Input'!$J$2:$J$10,MATCH(B19,'01_Benchmark_Input'!$A$2:$A$10,0))</f>
        <v/>
      </c>
      <c r="V19" s="10">
        <f>'02_Inputs'!K19</f>
        <v/>
      </c>
      <c r="W19" s="12">
        <f>N19*R19+O19*S19+P19*T19+Q19*U19</f>
        <v/>
      </c>
      <c r="X19" s="12">
        <f>W19*V19</f>
        <v/>
      </c>
      <c r="Y19" s="12">
        <f>L19*1000*X19*86400</f>
        <v/>
      </c>
      <c r="Z19" s="12">
        <f>Y19*365</f>
        <v/>
      </c>
    </row>
    <row r="20">
      <c r="A20" s="9">
        <f>'02_Inputs'!A20</f>
        <v/>
      </c>
      <c r="B20" s="9">
        <f>'02_Inputs'!B20</f>
        <v/>
      </c>
      <c r="C20" s="9">
        <f>'02_Inputs'!C20</f>
        <v/>
      </c>
      <c r="D20" s="11">
        <f>'02_Inputs'!D20</f>
        <v/>
      </c>
      <c r="E20" s="10">
        <f>'02_Inputs'!E20</f>
        <v/>
      </c>
      <c r="F20" s="11">
        <f>D20*E20</f>
        <v/>
      </c>
      <c r="G20" s="9">
        <f>'02_Inputs'!F20</f>
        <v/>
      </c>
      <c r="H20" s="11">
        <f>F20/G20</f>
        <v/>
      </c>
      <c r="I20" s="10">
        <f>'02_Inputs'!G20</f>
        <v/>
      </c>
      <c r="J20" s="11">
        <f>H20*I20</f>
        <v/>
      </c>
      <c r="K20" s="10">
        <f>'02_Inputs'!H20</f>
        <v/>
      </c>
      <c r="L20" s="11">
        <f>J20*K20</f>
        <v/>
      </c>
      <c r="M20" s="11">
        <f>J20*(1-K20)</f>
        <v/>
      </c>
      <c r="N20" s="10">
        <f>'02_GPU_Mix_Input'!D20</f>
        <v/>
      </c>
      <c r="O20" s="10">
        <f>'02_GPU_Mix_Input'!E20</f>
        <v/>
      </c>
      <c r="P20" s="10">
        <f>'02_GPU_Mix_Input'!F20</f>
        <v/>
      </c>
      <c r="Q20" s="10">
        <f>'02_GPU_Mix_Input'!G20</f>
        <v/>
      </c>
      <c r="R20" s="12">
        <f>INDEX('01_Benchmark_Input'!$D$2:$D$10,MATCH(B20,'01_Benchmark_Input'!$A$2:$A$10,0))</f>
        <v/>
      </c>
      <c r="S20" s="12">
        <f>INDEX('01_Benchmark_Input'!$F$2:$F$10,MATCH(B20,'01_Benchmark_Input'!$A$2:$A$10,0))</f>
        <v/>
      </c>
      <c r="T20" s="12">
        <f>INDEX('01_Benchmark_Input'!$H$2:$H$10,MATCH(B20,'01_Benchmark_Input'!$A$2:$A$10,0))</f>
        <v/>
      </c>
      <c r="U20" s="12">
        <f>INDEX('01_Benchmark_Input'!$J$2:$J$10,MATCH(B20,'01_Benchmark_Input'!$A$2:$A$10,0))</f>
        <v/>
      </c>
      <c r="V20" s="10">
        <f>'02_Inputs'!K20</f>
        <v/>
      </c>
      <c r="W20" s="12">
        <f>N20*R20+O20*S20+P20*T20+Q20*U20</f>
        <v/>
      </c>
      <c r="X20" s="12">
        <f>W20*V20</f>
        <v/>
      </c>
      <c r="Y20" s="12">
        <f>L20*1000*X20*86400</f>
        <v/>
      </c>
      <c r="Z20" s="12">
        <f>Y20*365</f>
        <v/>
      </c>
    </row>
    <row r="21">
      <c r="A21" s="9">
        <f>'02_Inputs'!A21</f>
        <v/>
      </c>
      <c r="B21" s="9">
        <f>'02_Inputs'!B21</f>
        <v/>
      </c>
      <c r="C21" s="9">
        <f>'02_Inputs'!C21</f>
        <v/>
      </c>
      <c r="D21" s="11">
        <f>'02_Inputs'!D21</f>
        <v/>
      </c>
      <c r="E21" s="10">
        <f>'02_Inputs'!E21</f>
        <v/>
      </c>
      <c r="F21" s="11">
        <f>D21*E21</f>
        <v/>
      </c>
      <c r="G21" s="9">
        <f>'02_Inputs'!F21</f>
        <v/>
      </c>
      <c r="H21" s="11">
        <f>F21/G21</f>
        <v/>
      </c>
      <c r="I21" s="10">
        <f>'02_Inputs'!G21</f>
        <v/>
      </c>
      <c r="J21" s="11">
        <f>H21*I21</f>
        <v/>
      </c>
      <c r="K21" s="10">
        <f>'02_Inputs'!H21</f>
        <v/>
      </c>
      <c r="L21" s="11">
        <f>J21*K21</f>
        <v/>
      </c>
      <c r="M21" s="11">
        <f>J21*(1-K21)</f>
        <v/>
      </c>
      <c r="N21" s="10">
        <f>'02_GPU_Mix_Input'!D21</f>
        <v/>
      </c>
      <c r="O21" s="10">
        <f>'02_GPU_Mix_Input'!E21</f>
        <v/>
      </c>
      <c r="P21" s="10">
        <f>'02_GPU_Mix_Input'!F21</f>
        <v/>
      </c>
      <c r="Q21" s="10">
        <f>'02_GPU_Mix_Input'!G21</f>
        <v/>
      </c>
      <c r="R21" s="12">
        <f>INDEX('01_Benchmark_Input'!$D$2:$D$10,MATCH(B21,'01_Benchmark_Input'!$A$2:$A$10,0))</f>
        <v/>
      </c>
      <c r="S21" s="12">
        <f>INDEX('01_Benchmark_Input'!$F$2:$F$10,MATCH(B21,'01_Benchmark_Input'!$A$2:$A$10,0))</f>
        <v/>
      </c>
      <c r="T21" s="12">
        <f>INDEX('01_Benchmark_Input'!$H$2:$H$10,MATCH(B21,'01_Benchmark_Input'!$A$2:$A$10,0))</f>
        <v/>
      </c>
      <c r="U21" s="12">
        <f>INDEX('01_Benchmark_Input'!$J$2:$J$10,MATCH(B21,'01_Benchmark_Input'!$A$2:$A$10,0))</f>
        <v/>
      </c>
      <c r="V21" s="10">
        <f>'02_Inputs'!K21</f>
        <v/>
      </c>
      <c r="W21" s="12">
        <f>N21*R21+O21*S21+P21*T21+Q21*U21</f>
        <v/>
      </c>
      <c r="X21" s="12">
        <f>W21*V21</f>
        <v/>
      </c>
      <c r="Y21" s="12">
        <f>L21*1000*X21*86400</f>
        <v/>
      </c>
      <c r="Z21" s="12">
        <f>Y21*365</f>
        <v/>
      </c>
    </row>
    <row r="22">
      <c r="A22" s="9">
        <f>'02_Inputs'!A22</f>
        <v/>
      </c>
      <c r="B22" s="9">
        <f>'02_Inputs'!B22</f>
        <v/>
      </c>
      <c r="C22" s="9">
        <f>'02_Inputs'!C22</f>
        <v/>
      </c>
      <c r="D22" s="11">
        <f>'02_Inputs'!D22</f>
        <v/>
      </c>
      <c r="E22" s="10">
        <f>'02_Inputs'!E22</f>
        <v/>
      </c>
      <c r="F22" s="11">
        <f>D22*E22</f>
        <v/>
      </c>
      <c r="G22" s="9">
        <f>'02_Inputs'!F22</f>
        <v/>
      </c>
      <c r="H22" s="11">
        <f>F22/G22</f>
        <v/>
      </c>
      <c r="I22" s="10">
        <f>'02_Inputs'!G22</f>
        <v/>
      </c>
      <c r="J22" s="11">
        <f>H22*I22</f>
        <v/>
      </c>
      <c r="K22" s="10">
        <f>'02_Inputs'!H22</f>
        <v/>
      </c>
      <c r="L22" s="11">
        <f>J22*K22</f>
        <v/>
      </c>
      <c r="M22" s="11">
        <f>J22*(1-K22)</f>
        <v/>
      </c>
      <c r="N22" s="10">
        <f>'02_GPU_Mix_Input'!D22</f>
        <v/>
      </c>
      <c r="O22" s="10">
        <f>'02_GPU_Mix_Input'!E22</f>
        <v/>
      </c>
      <c r="P22" s="10">
        <f>'02_GPU_Mix_Input'!F22</f>
        <v/>
      </c>
      <c r="Q22" s="10">
        <f>'02_GPU_Mix_Input'!G22</f>
        <v/>
      </c>
      <c r="R22" s="12">
        <f>INDEX('01_Benchmark_Input'!$D$2:$D$10,MATCH(B22,'01_Benchmark_Input'!$A$2:$A$10,0))</f>
        <v/>
      </c>
      <c r="S22" s="12">
        <f>INDEX('01_Benchmark_Input'!$F$2:$F$10,MATCH(B22,'01_Benchmark_Input'!$A$2:$A$10,0))</f>
        <v/>
      </c>
      <c r="T22" s="12">
        <f>INDEX('01_Benchmark_Input'!$H$2:$H$10,MATCH(B22,'01_Benchmark_Input'!$A$2:$A$10,0))</f>
        <v/>
      </c>
      <c r="U22" s="12">
        <f>INDEX('01_Benchmark_Input'!$J$2:$J$10,MATCH(B22,'01_Benchmark_Input'!$A$2:$A$10,0))</f>
        <v/>
      </c>
      <c r="V22" s="10">
        <f>'02_Inputs'!K22</f>
        <v/>
      </c>
      <c r="W22" s="12">
        <f>N22*R22+O22*S22+P22*T22+Q22*U22</f>
        <v/>
      </c>
      <c r="X22" s="12">
        <f>W22*V22</f>
        <v/>
      </c>
      <c r="Y22" s="12">
        <f>L22*1000*X22*86400</f>
        <v/>
      </c>
      <c r="Z22" s="12">
        <f>Y22*365</f>
        <v/>
      </c>
    </row>
    <row r="23">
      <c r="A23" s="9">
        <f>'02_Inputs'!A23</f>
        <v/>
      </c>
      <c r="B23" s="9">
        <f>'02_Inputs'!B23</f>
        <v/>
      </c>
      <c r="C23" s="9">
        <f>'02_Inputs'!C23</f>
        <v/>
      </c>
      <c r="D23" s="11">
        <f>'02_Inputs'!D23</f>
        <v/>
      </c>
      <c r="E23" s="10">
        <f>'02_Inputs'!E23</f>
        <v/>
      </c>
      <c r="F23" s="11">
        <f>D23*E23</f>
        <v/>
      </c>
      <c r="G23" s="9">
        <f>'02_Inputs'!F23</f>
        <v/>
      </c>
      <c r="H23" s="11">
        <f>F23/G23</f>
        <v/>
      </c>
      <c r="I23" s="10">
        <f>'02_Inputs'!G23</f>
        <v/>
      </c>
      <c r="J23" s="11">
        <f>H23*I23</f>
        <v/>
      </c>
      <c r="K23" s="10">
        <f>'02_Inputs'!H23</f>
        <v/>
      </c>
      <c r="L23" s="11">
        <f>J23*K23</f>
        <v/>
      </c>
      <c r="M23" s="11">
        <f>J23*(1-K23)</f>
        <v/>
      </c>
      <c r="N23" s="10">
        <f>'02_GPU_Mix_Input'!D23</f>
        <v/>
      </c>
      <c r="O23" s="10">
        <f>'02_GPU_Mix_Input'!E23</f>
        <v/>
      </c>
      <c r="P23" s="10">
        <f>'02_GPU_Mix_Input'!F23</f>
        <v/>
      </c>
      <c r="Q23" s="10">
        <f>'02_GPU_Mix_Input'!G23</f>
        <v/>
      </c>
      <c r="R23" s="12">
        <f>INDEX('01_Benchmark_Input'!$D$2:$D$10,MATCH(B23,'01_Benchmark_Input'!$A$2:$A$10,0))</f>
        <v/>
      </c>
      <c r="S23" s="12">
        <f>INDEX('01_Benchmark_Input'!$F$2:$F$10,MATCH(B23,'01_Benchmark_Input'!$A$2:$A$10,0))</f>
        <v/>
      </c>
      <c r="T23" s="12">
        <f>INDEX('01_Benchmark_Input'!$H$2:$H$10,MATCH(B23,'01_Benchmark_Input'!$A$2:$A$10,0))</f>
        <v/>
      </c>
      <c r="U23" s="12">
        <f>INDEX('01_Benchmark_Input'!$J$2:$J$10,MATCH(B23,'01_Benchmark_Input'!$A$2:$A$10,0))</f>
        <v/>
      </c>
      <c r="V23" s="10">
        <f>'02_Inputs'!K23</f>
        <v/>
      </c>
      <c r="W23" s="12">
        <f>N23*R23+O23*S23+P23*T23+Q23*U23</f>
        <v/>
      </c>
      <c r="X23" s="12">
        <f>W23*V23</f>
        <v/>
      </c>
      <c r="Y23" s="12">
        <f>L23*1000*X23*86400</f>
        <v/>
      </c>
      <c r="Z23" s="12">
        <f>Y23*365</f>
        <v/>
      </c>
    </row>
    <row r="24">
      <c r="A24" s="9">
        <f>'02_Inputs'!A24</f>
        <v/>
      </c>
      <c r="B24" s="9">
        <f>'02_Inputs'!B24</f>
        <v/>
      </c>
      <c r="C24" s="9">
        <f>'02_Inputs'!C24</f>
        <v/>
      </c>
      <c r="D24" s="11">
        <f>'02_Inputs'!D24</f>
        <v/>
      </c>
      <c r="E24" s="10">
        <f>'02_Inputs'!E24</f>
        <v/>
      </c>
      <c r="F24" s="11">
        <f>D24*E24</f>
        <v/>
      </c>
      <c r="G24" s="9">
        <f>'02_Inputs'!F24</f>
        <v/>
      </c>
      <c r="H24" s="11">
        <f>F24/G24</f>
        <v/>
      </c>
      <c r="I24" s="10">
        <f>'02_Inputs'!G24</f>
        <v/>
      </c>
      <c r="J24" s="11">
        <f>H24*I24</f>
        <v/>
      </c>
      <c r="K24" s="10">
        <f>'02_Inputs'!H24</f>
        <v/>
      </c>
      <c r="L24" s="11">
        <f>J24*K24</f>
        <v/>
      </c>
      <c r="M24" s="11">
        <f>J24*(1-K24)</f>
        <v/>
      </c>
      <c r="N24" s="10">
        <f>'02_GPU_Mix_Input'!D24</f>
        <v/>
      </c>
      <c r="O24" s="10">
        <f>'02_GPU_Mix_Input'!E24</f>
        <v/>
      </c>
      <c r="P24" s="10">
        <f>'02_GPU_Mix_Input'!F24</f>
        <v/>
      </c>
      <c r="Q24" s="10">
        <f>'02_GPU_Mix_Input'!G24</f>
        <v/>
      </c>
      <c r="R24" s="12">
        <f>INDEX('01_Benchmark_Input'!$D$2:$D$10,MATCH(B24,'01_Benchmark_Input'!$A$2:$A$10,0))</f>
        <v/>
      </c>
      <c r="S24" s="12">
        <f>INDEX('01_Benchmark_Input'!$F$2:$F$10,MATCH(B24,'01_Benchmark_Input'!$A$2:$A$10,0))</f>
        <v/>
      </c>
      <c r="T24" s="12">
        <f>INDEX('01_Benchmark_Input'!$H$2:$H$10,MATCH(B24,'01_Benchmark_Input'!$A$2:$A$10,0))</f>
        <v/>
      </c>
      <c r="U24" s="12">
        <f>INDEX('01_Benchmark_Input'!$J$2:$J$10,MATCH(B24,'01_Benchmark_Input'!$A$2:$A$10,0))</f>
        <v/>
      </c>
      <c r="V24" s="10">
        <f>'02_Inputs'!K24</f>
        <v/>
      </c>
      <c r="W24" s="12">
        <f>N24*R24+O24*S24+P24*T24+Q24*U24</f>
        <v/>
      </c>
      <c r="X24" s="12">
        <f>W24*V24</f>
        <v/>
      </c>
      <c r="Y24" s="12">
        <f>L24*1000*X24*86400</f>
        <v/>
      </c>
      <c r="Z24" s="12">
        <f>Y24*365</f>
        <v/>
      </c>
    </row>
    <row r="25">
      <c r="A25" s="9">
        <f>'02_Inputs'!A25</f>
        <v/>
      </c>
      <c r="B25" s="9">
        <f>'02_Inputs'!B25</f>
        <v/>
      </c>
      <c r="C25" s="9">
        <f>'02_Inputs'!C25</f>
        <v/>
      </c>
      <c r="D25" s="11">
        <f>'02_Inputs'!D25</f>
        <v/>
      </c>
      <c r="E25" s="10">
        <f>'02_Inputs'!E25</f>
        <v/>
      </c>
      <c r="F25" s="11">
        <f>D25*E25</f>
        <v/>
      </c>
      <c r="G25" s="9">
        <f>'02_Inputs'!F25</f>
        <v/>
      </c>
      <c r="H25" s="11">
        <f>F25/G25</f>
        <v/>
      </c>
      <c r="I25" s="10">
        <f>'02_Inputs'!G25</f>
        <v/>
      </c>
      <c r="J25" s="11">
        <f>H25*I25</f>
        <v/>
      </c>
      <c r="K25" s="10">
        <f>'02_Inputs'!H25</f>
        <v/>
      </c>
      <c r="L25" s="11">
        <f>J25*K25</f>
        <v/>
      </c>
      <c r="M25" s="11">
        <f>J25*(1-K25)</f>
        <v/>
      </c>
      <c r="N25" s="10">
        <f>'02_GPU_Mix_Input'!D25</f>
        <v/>
      </c>
      <c r="O25" s="10">
        <f>'02_GPU_Mix_Input'!E25</f>
        <v/>
      </c>
      <c r="P25" s="10">
        <f>'02_GPU_Mix_Input'!F25</f>
        <v/>
      </c>
      <c r="Q25" s="10">
        <f>'02_GPU_Mix_Input'!G25</f>
        <v/>
      </c>
      <c r="R25" s="12">
        <f>INDEX('01_Benchmark_Input'!$D$2:$D$10,MATCH(B25,'01_Benchmark_Input'!$A$2:$A$10,0))</f>
        <v/>
      </c>
      <c r="S25" s="12">
        <f>INDEX('01_Benchmark_Input'!$F$2:$F$10,MATCH(B25,'01_Benchmark_Input'!$A$2:$A$10,0))</f>
        <v/>
      </c>
      <c r="T25" s="12">
        <f>INDEX('01_Benchmark_Input'!$H$2:$H$10,MATCH(B25,'01_Benchmark_Input'!$A$2:$A$10,0))</f>
        <v/>
      </c>
      <c r="U25" s="12">
        <f>INDEX('01_Benchmark_Input'!$J$2:$J$10,MATCH(B25,'01_Benchmark_Input'!$A$2:$A$10,0))</f>
        <v/>
      </c>
      <c r="V25" s="10">
        <f>'02_Inputs'!K25</f>
        <v/>
      </c>
      <c r="W25" s="12">
        <f>N25*R25+O25*S25+P25*T25+Q25*U25</f>
        <v/>
      </c>
      <c r="X25" s="12">
        <f>W25*V25</f>
        <v/>
      </c>
      <c r="Y25" s="12">
        <f>L25*1000*X25*86400</f>
        <v/>
      </c>
      <c r="Z25" s="12">
        <f>Y25*365</f>
        <v/>
      </c>
    </row>
    <row r="26">
      <c r="A26" s="9">
        <f>'02_Inputs'!A26</f>
        <v/>
      </c>
      <c r="B26" s="9">
        <f>'02_Inputs'!B26</f>
        <v/>
      </c>
      <c r="C26" s="9">
        <f>'02_Inputs'!C26</f>
        <v/>
      </c>
      <c r="D26" s="11">
        <f>'02_Inputs'!D26</f>
        <v/>
      </c>
      <c r="E26" s="10">
        <f>'02_Inputs'!E26</f>
        <v/>
      </c>
      <c r="F26" s="11">
        <f>D26*E26</f>
        <v/>
      </c>
      <c r="G26" s="9">
        <f>'02_Inputs'!F26</f>
        <v/>
      </c>
      <c r="H26" s="11">
        <f>F26/G26</f>
        <v/>
      </c>
      <c r="I26" s="10">
        <f>'02_Inputs'!G26</f>
        <v/>
      </c>
      <c r="J26" s="11">
        <f>H26*I26</f>
        <v/>
      </c>
      <c r="K26" s="10">
        <f>'02_Inputs'!H26</f>
        <v/>
      </c>
      <c r="L26" s="11">
        <f>J26*K26</f>
        <v/>
      </c>
      <c r="M26" s="11">
        <f>J26*(1-K26)</f>
        <v/>
      </c>
      <c r="N26" s="10">
        <f>'02_GPU_Mix_Input'!D26</f>
        <v/>
      </c>
      <c r="O26" s="10">
        <f>'02_GPU_Mix_Input'!E26</f>
        <v/>
      </c>
      <c r="P26" s="10">
        <f>'02_GPU_Mix_Input'!F26</f>
        <v/>
      </c>
      <c r="Q26" s="10">
        <f>'02_GPU_Mix_Input'!G26</f>
        <v/>
      </c>
      <c r="R26" s="12">
        <f>INDEX('01_Benchmark_Input'!$D$2:$D$10,MATCH(B26,'01_Benchmark_Input'!$A$2:$A$10,0))</f>
        <v/>
      </c>
      <c r="S26" s="12">
        <f>INDEX('01_Benchmark_Input'!$F$2:$F$10,MATCH(B26,'01_Benchmark_Input'!$A$2:$A$10,0))</f>
        <v/>
      </c>
      <c r="T26" s="12">
        <f>INDEX('01_Benchmark_Input'!$H$2:$H$10,MATCH(B26,'01_Benchmark_Input'!$A$2:$A$10,0))</f>
        <v/>
      </c>
      <c r="U26" s="12">
        <f>INDEX('01_Benchmark_Input'!$J$2:$J$10,MATCH(B26,'01_Benchmark_Input'!$A$2:$A$10,0))</f>
        <v/>
      </c>
      <c r="V26" s="10">
        <f>'02_Inputs'!K26</f>
        <v/>
      </c>
      <c r="W26" s="12">
        <f>N26*R26+O26*S26+P26*T26+Q26*U26</f>
        <v/>
      </c>
      <c r="X26" s="12">
        <f>W26*V26</f>
        <v/>
      </c>
      <c r="Y26" s="12">
        <f>L26*1000*X26*86400</f>
        <v/>
      </c>
      <c r="Z26" s="12">
        <f>Y26*365</f>
        <v/>
      </c>
    </row>
    <row r="27">
      <c r="A27" s="9">
        <f>'02_Inputs'!A27</f>
        <v/>
      </c>
      <c r="B27" s="9">
        <f>'02_Inputs'!B27</f>
        <v/>
      </c>
      <c r="C27" s="9">
        <f>'02_Inputs'!C27</f>
        <v/>
      </c>
      <c r="D27" s="11">
        <f>'02_Inputs'!D27</f>
        <v/>
      </c>
      <c r="E27" s="10">
        <f>'02_Inputs'!E27</f>
        <v/>
      </c>
      <c r="F27" s="11">
        <f>D27*E27</f>
        <v/>
      </c>
      <c r="G27" s="9">
        <f>'02_Inputs'!F27</f>
        <v/>
      </c>
      <c r="H27" s="11">
        <f>F27/G27</f>
        <v/>
      </c>
      <c r="I27" s="10">
        <f>'02_Inputs'!G27</f>
        <v/>
      </c>
      <c r="J27" s="11">
        <f>H27*I27</f>
        <v/>
      </c>
      <c r="K27" s="10">
        <f>'02_Inputs'!H27</f>
        <v/>
      </c>
      <c r="L27" s="11">
        <f>J27*K27</f>
        <v/>
      </c>
      <c r="M27" s="11">
        <f>J27*(1-K27)</f>
        <v/>
      </c>
      <c r="N27" s="10">
        <f>'02_GPU_Mix_Input'!D27</f>
        <v/>
      </c>
      <c r="O27" s="10">
        <f>'02_GPU_Mix_Input'!E27</f>
        <v/>
      </c>
      <c r="P27" s="10">
        <f>'02_GPU_Mix_Input'!F27</f>
        <v/>
      </c>
      <c r="Q27" s="10">
        <f>'02_GPU_Mix_Input'!G27</f>
        <v/>
      </c>
      <c r="R27" s="12">
        <f>INDEX('01_Benchmark_Input'!$D$2:$D$10,MATCH(B27,'01_Benchmark_Input'!$A$2:$A$10,0))</f>
        <v/>
      </c>
      <c r="S27" s="12">
        <f>INDEX('01_Benchmark_Input'!$F$2:$F$10,MATCH(B27,'01_Benchmark_Input'!$A$2:$A$10,0))</f>
        <v/>
      </c>
      <c r="T27" s="12">
        <f>INDEX('01_Benchmark_Input'!$H$2:$H$10,MATCH(B27,'01_Benchmark_Input'!$A$2:$A$10,0))</f>
        <v/>
      </c>
      <c r="U27" s="12">
        <f>INDEX('01_Benchmark_Input'!$J$2:$J$10,MATCH(B27,'01_Benchmark_Input'!$A$2:$A$10,0))</f>
        <v/>
      </c>
      <c r="V27" s="10">
        <f>'02_Inputs'!K27</f>
        <v/>
      </c>
      <c r="W27" s="12">
        <f>N27*R27+O27*S27+P27*T27+Q27*U27</f>
        <v/>
      </c>
      <c r="X27" s="12">
        <f>W27*V27</f>
        <v/>
      </c>
      <c r="Y27" s="12">
        <f>L27*1000*X27*86400</f>
        <v/>
      </c>
      <c r="Z27" s="12">
        <f>Y27*365</f>
        <v/>
      </c>
    </row>
    <row r="28">
      <c r="A28" s="9">
        <f>'02_Inputs'!A28</f>
        <v/>
      </c>
      <c r="B28" s="9">
        <f>'02_Inputs'!B28</f>
        <v/>
      </c>
      <c r="C28" s="9">
        <f>'02_Inputs'!C28</f>
        <v/>
      </c>
      <c r="D28" s="11">
        <f>'02_Inputs'!D28</f>
        <v/>
      </c>
      <c r="E28" s="10">
        <f>'02_Inputs'!E28</f>
        <v/>
      </c>
      <c r="F28" s="11">
        <f>D28*E28</f>
        <v/>
      </c>
      <c r="G28" s="9">
        <f>'02_Inputs'!F28</f>
        <v/>
      </c>
      <c r="H28" s="11">
        <f>F28/G28</f>
        <v/>
      </c>
      <c r="I28" s="10">
        <f>'02_Inputs'!G28</f>
        <v/>
      </c>
      <c r="J28" s="11">
        <f>H28*I28</f>
        <v/>
      </c>
      <c r="K28" s="10">
        <f>'02_Inputs'!H28</f>
        <v/>
      </c>
      <c r="L28" s="11">
        <f>J28*K28</f>
        <v/>
      </c>
      <c r="M28" s="11">
        <f>J28*(1-K28)</f>
        <v/>
      </c>
      <c r="N28" s="10">
        <f>'02_GPU_Mix_Input'!D28</f>
        <v/>
      </c>
      <c r="O28" s="10">
        <f>'02_GPU_Mix_Input'!E28</f>
        <v/>
      </c>
      <c r="P28" s="10">
        <f>'02_GPU_Mix_Input'!F28</f>
        <v/>
      </c>
      <c r="Q28" s="10">
        <f>'02_GPU_Mix_Input'!G28</f>
        <v/>
      </c>
      <c r="R28" s="12">
        <f>INDEX('01_Benchmark_Input'!$D$2:$D$10,MATCH(B28,'01_Benchmark_Input'!$A$2:$A$10,0))</f>
        <v/>
      </c>
      <c r="S28" s="12">
        <f>INDEX('01_Benchmark_Input'!$F$2:$F$10,MATCH(B28,'01_Benchmark_Input'!$A$2:$A$10,0))</f>
        <v/>
      </c>
      <c r="T28" s="12">
        <f>INDEX('01_Benchmark_Input'!$H$2:$H$10,MATCH(B28,'01_Benchmark_Input'!$A$2:$A$10,0))</f>
        <v/>
      </c>
      <c r="U28" s="12">
        <f>INDEX('01_Benchmark_Input'!$J$2:$J$10,MATCH(B28,'01_Benchmark_Input'!$A$2:$A$10,0))</f>
        <v/>
      </c>
      <c r="V28" s="10">
        <f>'02_Inputs'!K28</f>
        <v/>
      </c>
      <c r="W28" s="12">
        <f>N28*R28+O28*S28+P28*T28+Q28*U28</f>
        <v/>
      </c>
      <c r="X28" s="12">
        <f>W28*V28</f>
        <v/>
      </c>
      <c r="Y28" s="12">
        <f>L28*1000*X28*86400</f>
        <v/>
      </c>
      <c r="Z28" s="12">
        <f>Y28*365</f>
        <v/>
      </c>
    </row>
    <row r="29">
      <c r="A29" s="9">
        <f>'02_Inputs'!A29</f>
        <v/>
      </c>
      <c r="B29" s="9">
        <f>'02_Inputs'!B29</f>
        <v/>
      </c>
      <c r="C29" s="9">
        <f>'02_Inputs'!C29</f>
        <v/>
      </c>
      <c r="D29" s="11">
        <f>'02_Inputs'!D29</f>
        <v/>
      </c>
      <c r="E29" s="10">
        <f>'02_Inputs'!E29</f>
        <v/>
      </c>
      <c r="F29" s="11">
        <f>D29*E29</f>
        <v/>
      </c>
      <c r="G29" s="9">
        <f>'02_Inputs'!F29</f>
        <v/>
      </c>
      <c r="H29" s="11">
        <f>F29/G29</f>
        <v/>
      </c>
      <c r="I29" s="10">
        <f>'02_Inputs'!G29</f>
        <v/>
      </c>
      <c r="J29" s="11">
        <f>H29*I29</f>
        <v/>
      </c>
      <c r="K29" s="10">
        <f>'02_Inputs'!H29</f>
        <v/>
      </c>
      <c r="L29" s="11">
        <f>J29*K29</f>
        <v/>
      </c>
      <c r="M29" s="11">
        <f>J29*(1-K29)</f>
        <v/>
      </c>
      <c r="N29" s="10">
        <f>'02_GPU_Mix_Input'!D29</f>
        <v/>
      </c>
      <c r="O29" s="10">
        <f>'02_GPU_Mix_Input'!E29</f>
        <v/>
      </c>
      <c r="P29" s="10">
        <f>'02_GPU_Mix_Input'!F29</f>
        <v/>
      </c>
      <c r="Q29" s="10">
        <f>'02_GPU_Mix_Input'!G29</f>
        <v/>
      </c>
      <c r="R29" s="12">
        <f>INDEX('01_Benchmark_Input'!$D$2:$D$10,MATCH(B29,'01_Benchmark_Input'!$A$2:$A$10,0))</f>
        <v/>
      </c>
      <c r="S29" s="12">
        <f>INDEX('01_Benchmark_Input'!$F$2:$F$10,MATCH(B29,'01_Benchmark_Input'!$A$2:$A$10,0))</f>
        <v/>
      </c>
      <c r="T29" s="12">
        <f>INDEX('01_Benchmark_Input'!$H$2:$H$10,MATCH(B29,'01_Benchmark_Input'!$A$2:$A$10,0))</f>
        <v/>
      </c>
      <c r="U29" s="12">
        <f>INDEX('01_Benchmark_Input'!$J$2:$J$10,MATCH(B29,'01_Benchmark_Input'!$A$2:$A$10,0))</f>
        <v/>
      </c>
      <c r="V29" s="10">
        <f>'02_Inputs'!K29</f>
        <v/>
      </c>
      <c r="W29" s="12">
        <f>N29*R29+O29*S29+P29*T29+Q29*U29</f>
        <v/>
      </c>
      <c r="X29" s="12">
        <f>W29*V29</f>
        <v/>
      </c>
      <c r="Y29" s="12">
        <f>L29*1000*X29*86400</f>
        <v/>
      </c>
      <c r="Z29" s="12">
        <f>Y29*365</f>
        <v/>
      </c>
    </row>
    <row r="30">
      <c r="A30" s="9">
        <f>'02_Inputs'!A30</f>
        <v/>
      </c>
      <c r="B30" s="9">
        <f>'02_Inputs'!B30</f>
        <v/>
      </c>
      <c r="C30" s="9">
        <f>'02_Inputs'!C30</f>
        <v/>
      </c>
      <c r="D30" s="11">
        <f>'02_Inputs'!D30</f>
        <v/>
      </c>
      <c r="E30" s="10">
        <f>'02_Inputs'!E30</f>
        <v/>
      </c>
      <c r="F30" s="11">
        <f>D30*E30</f>
        <v/>
      </c>
      <c r="G30" s="9">
        <f>'02_Inputs'!F30</f>
        <v/>
      </c>
      <c r="H30" s="11">
        <f>F30/G30</f>
        <v/>
      </c>
      <c r="I30" s="10">
        <f>'02_Inputs'!G30</f>
        <v/>
      </c>
      <c r="J30" s="11">
        <f>H30*I30</f>
        <v/>
      </c>
      <c r="K30" s="10">
        <f>'02_Inputs'!H30</f>
        <v/>
      </c>
      <c r="L30" s="11">
        <f>J30*K30</f>
        <v/>
      </c>
      <c r="M30" s="11">
        <f>J30*(1-K30)</f>
        <v/>
      </c>
      <c r="N30" s="10">
        <f>'02_GPU_Mix_Input'!D30</f>
        <v/>
      </c>
      <c r="O30" s="10">
        <f>'02_GPU_Mix_Input'!E30</f>
        <v/>
      </c>
      <c r="P30" s="10">
        <f>'02_GPU_Mix_Input'!F30</f>
        <v/>
      </c>
      <c r="Q30" s="10">
        <f>'02_GPU_Mix_Input'!G30</f>
        <v/>
      </c>
      <c r="R30" s="12">
        <f>INDEX('01_Benchmark_Input'!$D$2:$D$10,MATCH(B30,'01_Benchmark_Input'!$A$2:$A$10,0))</f>
        <v/>
      </c>
      <c r="S30" s="12">
        <f>INDEX('01_Benchmark_Input'!$F$2:$F$10,MATCH(B30,'01_Benchmark_Input'!$A$2:$A$10,0))</f>
        <v/>
      </c>
      <c r="T30" s="12">
        <f>INDEX('01_Benchmark_Input'!$H$2:$H$10,MATCH(B30,'01_Benchmark_Input'!$A$2:$A$10,0))</f>
        <v/>
      </c>
      <c r="U30" s="12">
        <f>INDEX('01_Benchmark_Input'!$J$2:$J$10,MATCH(B30,'01_Benchmark_Input'!$A$2:$A$10,0))</f>
        <v/>
      </c>
      <c r="V30" s="10">
        <f>'02_Inputs'!K30</f>
        <v/>
      </c>
      <c r="W30" s="12">
        <f>N30*R30+O30*S30+P30*T30+Q30*U30</f>
        <v/>
      </c>
      <c r="X30" s="12">
        <f>W30*V30</f>
        <v/>
      </c>
      <c r="Y30" s="12">
        <f>L30*1000*X30*86400</f>
        <v/>
      </c>
      <c r="Z30" s="12">
        <f>Y30*365</f>
        <v/>
      </c>
    </row>
    <row r="31">
      <c r="A31" s="9">
        <f>'02_Inputs'!A31</f>
        <v/>
      </c>
      <c r="B31" s="9">
        <f>'02_Inputs'!B31</f>
        <v/>
      </c>
      <c r="C31" s="9">
        <f>'02_Inputs'!C31</f>
        <v/>
      </c>
      <c r="D31" s="11">
        <f>'02_Inputs'!D31</f>
        <v/>
      </c>
      <c r="E31" s="10">
        <f>'02_Inputs'!E31</f>
        <v/>
      </c>
      <c r="F31" s="11">
        <f>D31*E31</f>
        <v/>
      </c>
      <c r="G31" s="9">
        <f>'02_Inputs'!F31</f>
        <v/>
      </c>
      <c r="H31" s="11">
        <f>F31/G31</f>
        <v/>
      </c>
      <c r="I31" s="10">
        <f>'02_Inputs'!G31</f>
        <v/>
      </c>
      <c r="J31" s="11">
        <f>H31*I31</f>
        <v/>
      </c>
      <c r="K31" s="10">
        <f>'02_Inputs'!H31</f>
        <v/>
      </c>
      <c r="L31" s="11">
        <f>J31*K31</f>
        <v/>
      </c>
      <c r="M31" s="11">
        <f>J31*(1-K31)</f>
        <v/>
      </c>
      <c r="N31" s="10">
        <f>'02_GPU_Mix_Input'!D31</f>
        <v/>
      </c>
      <c r="O31" s="10">
        <f>'02_GPU_Mix_Input'!E31</f>
        <v/>
      </c>
      <c r="P31" s="10">
        <f>'02_GPU_Mix_Input'!F31</f>
        <v/>
      </c>
      <c r="Q31" s="10">
        <f>'02_GPU_Mix_Input'!G31</f>
        <v/>
      </c>
      <c r="R31" s="12">
        <f>INDEX('01_Benchmark_Input'!$D$2:$D$10,MATCH(B31,'01_Benchmark_Input'!$A$2:$A$10,0))</f>
        <v/>
      </c>
      <c r="S31" s="12">
        <f>INDEX('01_Benchmark_Input'!$F$2:$F$10,MATCH(B31,'01_Benchmark_Input'!$A$2:$A$10,0))</f>
        <v/>
      </c>
      <c r="T31" s="12">
        <f>INDEX('01_Benchmark_Input'!$H$2:$H$10,MATCH(B31,'01_Benchmark_Input'!$A$2:$A$10,0))</f>
        <v/>
      </c>
      <c r="U31" s="12">
        <f>INDEX('01_Benchmark_Input'!$J$2:$J$10,MATCH(B31,'01_Benchmark_Input'!$A$2:$A$10,0))</f>
        <v/>
      </c>
      <c r="V31" s="10">
        <f>'02_Inputs'!K31</f>
        <v/>
      </c>
      <c r="W31" s="12">
        <f>N31*R31+O31*S31+P31*T31+Q31*U31</f>
        <v/>
      </c>
      <c r="X31" s="12">
        <f>W31*V31</f>
        <v/>
      </c>
      <c r="Y31" s="12">
        <f>L31*1000*X31*86400</f>
        <v/>
      </c>
      <c r="Z31" s="12">
        <f>Y31*365</f>
        <v/>
      </c>
    </row>
    <row r="32">
      <c r="A32" s="9">
        <f>'02_Inputs'!A32</f>
        <v/>
      </c>
      <c r="B32" s="9">
        <f>'02_Inputs'!B32</f>
        <v/>
      </c>
      <c r="C32" s="9">
        <f>'02_Inputs'!C32</f>
        <v/>
      </c>
      <c r="D32" s="11">
        <f>'02_Inputs'!D32</f>
        <v/>
      </c>
      <c r="E32" s="10">
        <f>'02_Inputs'!E32</f>
        <v/>
      </c>
      <c r="F32" s="11">
        <f>D32*E32</f>
        <v/>
      </c>
      <c r="G32" s="9">
        <f>'02_Inputs'!F32</f>
        <v/>
      </c>
      <c r="H32" s="11">
        <f>F32/G32</f>
        <v/>
      </c>
      <c r="I32" s="10">
        <f>'02_Inputs'!G32</f>
        <v/>
      </c>
      <c r="J32" s="11">
        <f>H32*I32</f>
        <v/>
      </c>
      <c r="K32" s="10">
        <f>'02_Inputs'!H32</f>
        <v/>
      </c>
      <c r="L32" s="11">
        <f>J32*K32</f>
        <v/>
      </c>
      <c r="M32" s="11">
        <f>J32*(1-K32)</f>
        <v/>
      </c>
      <c r="N32" s="10">
        <f>'02_GPU_Mix_Input'!D32</f>
        <v/>
      </c>
      <c r="O32" s="10">
        <f>'02_GPU_Mix_Input'!E32</f>
        <v/>
      </c>
      <c r="P32" s="10">
        <f>'02_GPU_Mix_Input'!F32</f>
        <v/>
      </c>
      <c r="Q32" s="10">
        <f>'02_GPU_Mix_Input'!G32</f>
        <v/>
      </c>
      <c r="R32" s="12">
        <f>INDEX('01_Benchmark_Input'!$D$2:$D$10,MATCH(B32,'01_Benchmark_Input'!$A$2:$A$10,0))</f>
        <v/>
      </c>
      <c r="S32" s="12">
        <f>INDEX('01_Benchmark_Input'!$F$2:$F$10,MATCH(B32,'01_Benchmark_Input'!$A$2:$A$10,0))</f>
        <v/>
      </c>
      <c r="T32" s="12">
        <f>INDEX('01_Benchmark_Input'!$H$2:$H$10,MATCH(B32,'01_Benchmark_Input'!$A$2:$A$10,0))</f>
        <v/>
      </c>
      <c r="U32" s="12">
        <f>INDEX('01_Benchmark_Input'!$J$2:$J$10,MATCH(B32,'01_Benchmark_Input'!$A$2:$A$10,0))</f>
        <v/>
      </c>
      <c r="V32" s="10">
        <f>'02_Inputs'!K32</f>
        <v/>
      </c>
      <c r="W32" s="12">
        <f>N32*R32+O32*S32+P32*T32+Q32*U32</f>
        <v/>
      </c>
      <c r="X32" s="12">
        <f>W32*V32</f>
        <v/>
      </c>
      <c r="Y32" s="12">
        <f>L32*1000*X32*86400</f>
        <v/>
      </c>
      <c r="Z32" s="12">
        <f>Y32*365</f>
        <v/>
      </c>
    </row>
    <row r="33">
      <c r="A33" s="9">
        <f>'02_Inputs'!A33</f>
        <v/>
      </c>
      <c r="B33" s="9">
        <f>'02_Inputs'!B33</f>
        <v/>
      </c>
      <c r="C33" s="9">
        <f>'02_Inputs'!C33</f>
        <v/>
      </c>
      <c r="D33" s="11">
        <f>'02_Inputs'!D33</f>
        <v/>
      </c>
      <c r="E33" s="10">
        <f>'02_Inputs'!E33</f>
        <v/>
      </c>
      <c r="F33" s="11">
        <f>D33*E33</f>
        <v/>
      </c>
      <c r="G33" s="9">
        <f>'02_Inputs'!F33</f>
        <v/>
      </c>
      <c r="H33" s="11">
        <f>F33/G33</f>
        <v/>
      </c>
      <c r="I33" s="10">
        <f>'02_Inputs'!G33</f>
        <v/>
      </c>
      <c r="J33" s="11">
        <f>H33*I33</f>
        <v/>
      </c>
      <c r="K33" s="10">
        <f>'02_Inputs'!H33</f>
        <v/>
      </c>
      <c r="L33" s="11">
        <f>J33*K33</f>
        <v/>
      </c>
      <c r="M33" s="11">
        <f>J33*(1-K33)</f>
        <v/>
      </c>
      <c r="N33" s="10">
        <f>'02_GPU_Mix_Input'!D33</f>
        <v/>
      </c>
      <c r="O33" s="10">
        <f>'02_GPU_Mix_Input'!E33</f>
        <v/>
      </c>
      <c r="P33" s="10">
        <f>'02_GPU_Mix_Input'!F33</f>
        <v/>
      </c>
      <c r="Q33" s="10">
        <f>'02_GPU_Mix_Input'!G33</f>
        <v/>
      </c>
      <c r="R33" s="12">
        <f>INDEX('01_Benchmark_Input'!$D$2:$D$10,MATCH(B33,'01_Benchmark_Input'!$A$2:$A$10,0))</f>
        <v/>
      </c>
      <c r="S33" s="12">
        <f>INDEX('01_Benchmark_Input'!$F$2:$F$10,MATCH(B33,'01_Benchmark_Input'!$A$2:$A$10,0))</f>
        <v/>
      </c>
      <c r="T33" s="12">
        <f>INDEX('01_Benchmark_Input'!$H$2:$H$10,MATCH(B33,'01_Benchmark_Input'!$A$2:$A$10,0))</f>
        <v/>
      </c>
      <c r="U33" s="12">
        <f>INDEX('01_Benchmark_Input'!$J$2:$J$10,MATCH(B33,'01_Benchmark_Input'!$A$2:$A$10,0))</f>
        <v/>
      </c>
      <c r="V33" s="10">
        <f>'02_Inputs'!K33</f>
        <v/>
      </c>
      <c r="W33" s="12">
        <f>N33*R33+O33*S33+P33*T33+Q33*U33</f>
        <v/>
      </c>
      <c r="X33" s="12">
        <f>W33*V33</f>
        <v/>
      </c>
      <c r="Y33" s="12">
        <f>L33*1000*X33*86400</f>
        <v/>
      </c>
      <c r="Z33" s="12">
        <f>Y33*365</f>
        <v/>
      </c>
    </row>
    <row r="34">
      <c r="A34" s="9">
        <f>'02_Inputs'!A34</f>
        <v/>
      </c>
      <c r="B34" s="9">
        <f>'02_Inputs'!B34</f>
        <v/>
      </c>
      <c r="C34" s="9">
        <f>'02_Inputs'!C34</f>
        <v/>
      </c>
      <c r="D34" s="11">
        <f>'02_Inputs'!D34</f>
        <v/>
      </c>
      <c r="E34" s="10">
        <f>'02_Inputs'!E34</f>
        <v/>
      </c>
      <c r="F34" s="11">
        <f>D34*E34</f>
        <v/>
      </c>
      <c r="G34" s="9">
        <f>'02_Inputs'!F34</f>
        <v/>
      </c>
      <c r="H34" s="11">
        <f>F34/G34</f>
        <v/>
      </c>
      <c r="I34" s="10">
        <f>'02_Inputs'!G34</f>
        <v/>
      </c>
      <c r="J34" s="11">
        <f>H34*I34</f>
        <v/>
      </c>
      <c r="K34" s="10">
        <f>'02_Inputs'!H34</f>
        <v/>
      </c>
      <c r="L34" s="11">
        <f>J34*K34</f>
        <v/>
      </c>
      <c r="M34" s="11">
        <f>J34*(1-K34)</f>
        <v/>
      </c>
      <c r="N34" s="10">
        <f>'02_GPU_Mix_Input'!D34</f>
        <v/>
      </c>
      <c r="O34" s="10">
        <f>'02_GPU_Mix_Input'!E34</f>
        <v/>
      </c>
      <c r="P34" s="10">
        <f>'02_GPU_Mix_Input'!F34</f>
        <v/>
      </c>
      <c r="Q34" s="10">
        <f>'02_GPU_Mix_Input'!G34</f>
        <v/>
      </c>
      <c r="R34" s="12">
        <f>INDEX('01_Benchmark_Input'!$D$2:$D$10,MATCH(B34,'01_Benchmark_Input'!$A$2:$A$10,0))</f>
        <v/>
      </c>
      <c r="S34" s="12">
        <f>INDEX('01_Benchmark_Input'!$F$2:$F$10,MATCH(B34,'01_Benchmark_Input'!$A$2:$A$10,0))</f>
        <v/>
      </c>
      <c r="T34" s="12">
        <f>INDEX('01_Benchmark_Input'!$H$2:$H$10,MATCH(B34,'01_Benchmark_Input'!$A$2:$A$10,0))</f>
        <v/>
      </c>
      <c r="U34" s="12">
        <f>INDEX('01_Benchmark_Input'!$J$2:$J$10,MATCH(B34,'01_Benchmark_Input'!$A$2:$A$10,0))</f>
        <v/>
      </c>
      <c r="V34" s="10">
        <f>'02_Inputs'!K34</f>
        <v/>
      </c>
      <c r="W34" s="12">
        <f>N34*R34+O34*S34+P34*T34+Q34*U34</f>
        <v/>
      </c>
      <c r="X34" s="12">
        <f>W34*V34</f>
        <v/>
      </c>
      <c r="Y34" s="12">
        <f>L34*1000*X34*86400</f>
        <v/>
      </c>
      <c r="Z34" s="12">
        <f>Y34*365</f>
        <v/>
      </c>
    </row>
    <row r="35">
      <c r="A35" s="9">
        <f>'02_Inputs'!A35</f>
        <v/>
      </c>
      <c r="B35" s="9">
        <f>'02_Inputs'!B35</f>
        <v/>
      </c>
      <c r="C35" s="9">
        <f>'02_Inputs'!C35</f>
        <v/>
      </c>
      <c r="D35" s="11">
        <f>'02_Inputs'!D35</f>
        <v/>
      </c>
      <c r="E35" s="10">
        <f>'02_Inputs'!E35</f>
        <v/>
      </c>
      <c r="F35" s="11">
        <f>D35*E35</f>
        <v/>
      </c>
      <c r="G35" s="9">
        <f>'02_Inputs'!F35</f>
        <v/>
      </c>
      <c r="H35" s="11">
        <f>F35/G35</f>
        <v/>
      </c>
      <c r="I35" s="10">
        <f>'02_Inputs'!G35</f>
        <v/>
      </c>
      <c r="J35" s="11">
        <f>H35*I35</f>
        <v/>
      </c>
      <c r="K35" s="10">
        <f>'02_Inputs'!H35</f>
        <v/>
      </c>
      <c r="L35" s="11">
        <f>J35*K35</f>
        <v/>
      </c>
      <c r="M35" s="11">
        <f>J35*(1-K35)</f>
        <v/>
      </c>
      <c r="N35" s="10">
        <f>'02_GPU_Mix_Input'!D35</f>
        <v/>
      </c>
      <c r="O35" s="10">
        <f>'02_GPU_Mix_Input'!E35</f>
        <v/>
      </c>
      <c r="P35" s="10">
        <f>'02_GPU_Mix_Input'!F35</f>
        <v/>
      </c>
      <c r="Q35" s="10">
        <f>'02_GPU_Mix_Input'!G35</f>
        <v/>
      </c>
      <c r="R35" s="12">
        <f>INDEX('01_Benchmark_Input'!$D$2:$D$10,MATCH(B35,'01_Benchmark_Input'!$A$2:$A$10,0))</f>
        <v/>
      </c>
      <c r="S35" s="12">
        <f>INDEX('01_Benchmark_Input'!$F$2:$F$10,MATCH(B35,'01_Benchmark_Input'!$A$2:$A$10,0))</f>
        <v/>
      </c>
      <c r="T35" s="12">
        <f>INDEX('01_Benchmark_Input'!$H$2:$H$10,MATCH(B35,'01_Benchmark_Input'!$A$2:$A$10,0))</f>
        <v/>
      </c>
      <c r="U35" s="12">
        <f>INDEX('01_Benchmark_Input'!$J$2:$J$10,MATCH(B35,'01_Benchmark_Input'!$A$2:$A$10,0))</f>
        <v/>
      </c>
      <c r="V35" s="10">
        <f>'02_Inputs'!K35</f>
        <v/>
      </c>
      <c r="W35" s="12">
        <f>N35*R35+O35*S35+P35*T35+Q35*U35</f>
        <v/>
      </c>
      <c r="X35" s="12">
        <f>W35*V35</f>
        <v/>
      </c>
      <c r="Y35" s="12">
        <f>L35*1000*X35*86400</f>
        <v/>
      </c>
      <c r="Z35" s="12">
        <f>Y35*365</f>
        <v/>
      </c>
    </row>
    <row r="36">
      <c r="A36" s="9">
        <f>'02_Inputs'!A36</f>
        <v/>
      </c>
      <c r="B36" s="9">
        <f>'02_Inputs'!B36</f>
        <v/>
      </c>
      <c r="C36" s="9">
        <f>'02_Inputs'!C36</f>
        <v/>
      </c>
      <c r="D36" s="11">
        <f>'02_Inputs'!D36</f>
        <v/>
      </c>
      <c r="E36" s="10">
        <f>'02_Inputs'!E36</f>
        <v/>
      </c>
      <c r="F36" s="11">
        <f>D36*E36</f>
        <v/>
      </c>
      <c r="G36" s="9">
        <f>'02_Inputs'!F36</f>
        <v/>
      </c>
      <c r="H36" s="11">
        <f>F36/G36</f>
        <v/>
      </c>
      <c r="I36" s="10">
        <f>'02_Inputs'!G36</f>
        <v/>
      </c>
      <c r="J36" s="11">
        <f>H36*I36</f>
        <v/>
      </c>
      <c r="K36" s="10">
        <f>'02_Inputs'!H36</f>
        <v/>
      </c>
      <c r="L36" s="11">
        <f>J36*K36</f>
        <v/>
      </c>
      <c r="M36" s="11">
        <f>J36*(1-K36)</f>
        <v/>
      </c>
      <c r="N36" s="10">
        <f>'02_GPU_Mix_Input'!D36</f>
        <v/>
      </c>
      <c r="O36" s="10">
        <f>'02_GPU_Mix_Input'!E36</f>
        <v/>
      </c>
      <c r="P36" s="10">
        <f>'02_GPU_Mix_Input'!F36</f>
        <v/>
      </c>
      <c r="Q36" s="10">
        <f>'02_GPU_Mix_Input'!G36</f>
        <v/>
      </c>
      <c r="R36" s="12">
        <f>INDEX('01_Benchmark_Input'!$D$2:$D$10,MATCH(B36,'01_Benchmark_Input'!$A$2:$A$10,0))</f>
        <v/>
      </c>
      <c r="S36" s="12">
        <f>INDEX('01_Benchmark_Input'!$F$2:$F$10,MATCH(B36,'01_Benchmark_Input'!$A$2:$A$10,0))</f>
        <v/>
      </c>
      <c r="T36" s="12">
        <f>INDEX('01_Benchmark_Input'!$H$2:$H$10,MATCH(B36,'01_Benchmark_Input'!$A$2:$A$10,0))</f>
        <v/>
      </c>
      <c r="U36" s="12">
        <f>INDEX('01_Benchmark_Input'!$J$2:$J$10,MATCH(B36,'01_Benchmark_Input'!$A$2:$A$10,0))</f>
        <v/>
      </c>
      <c r="V36" s="10">
        <f>'02_Inputs'!K36</f>
        <v/>
      </c>
      <c r="W36" s="12">
        <f>N36*R36+O36*S36+P36*T36+Q36*U36</f>
        <v/>
      </c>
      <c r="X36" s="12">
        <f>W36*V36</f>
        <v/>
      </c>
      <c r="Y36" s="12">
        <f>L36*1000*X36*86400</f>
        <v/>
      </c>
      <c r="Z36" s="12">
        <f>Y36*365</f>
        <v/>
      </c>
    </row>
    <row r="37">
      <c r="A37" s="9">
        <f>'02_Inputs'!A37</f>
        <v/>
      </c>
      <c r="B37" s="9">
        <f>'02_Inputs'!B37</f>
        <v/>
      </c>
      <c r="C37" s="9">
        <f>'02_Inputs'!C37</f>
        <v/>
      </c>
      <c r="D37" s="11">
        <f>'02_Inputs'!D37</f>
        <v/>
      </c>
      <c r="E37" s="10">
        <f>'02_Inputs'!E37</f>
        <v/>
      </c>
      <c r="F37" s="11">
        <f>D37*E37</f>
        <v/>
      </c>
      <c r="G37" s="9">
        <f>'02_Inputs'!F37</f>
        <v/>
      </c>
      <c r="H37" s="11">
        <f>F37/G37</f>
        <v/>
      </c>
      <c r="I37" s="10">
        <f>'02_Inputs'!G37</f>
        <v/>
      </c>
      <c r="J37" s="11">
        <f>H37*I37</f>
        <v/>
      </c>
      <c r="K37" s="10">
        <f>'02_Inputs'!H37</f>
        <v/>
      </c>
      <c r="L37" s="11">
        <f>J37*K37</f>
        <v/>
      </c>
      <c r="M37" s="11">
        <f>J37*(1-K37)</f>
        <v/>
      </c>
      <c r="N37" s="10">
        <f>'02_GPU_Mix_Input'!D37</f>
        <v/>
      </c>
      <c r="O37" s="10">
        <f>'02_GPU_Mix_Input'!E37</f>
        <v/>
      </c>
      <c r="P37" s="10">
        <f>'02_GPU_Mix_Input'!F37</f>
        <v/>
      </c>
      <c r="Q37" s="10">
        <f>'02_GPU_Mix_Input'!G37</f>
        <v/>
      </c>
      <c r="R37" s="12">
        <f>INDEX('01_Benchmark_Input'!$D$2:$D$10,MATCH(B37,'01_Benchmark_Input'!$A$2:$A$10,0))</f>
        <v/>
      </c>
      <c r="S37" s="12">
        <f>INDEX('01_Benchmark_Input'!$F$2:$F$10,MATCH(B37,'01_Benchmark_Input'!$A$2:$A$10,0))</f>
        <v/>
      </c>
      <c r="T37" s="12">
        <f>INDEX('01_Benchmark_Input'!$H$2:$H$10,MATCH(B37,'01_Benchmark_Input'!$A$2:$A$10,0))</f>
        <v/>
      </c>
      <c r="U37" s="12">
        <f>INDEX('01_Benchmark_Input'!$J$2:$J$10,MATCH(B37,'01_Benchmark_Input'!$A$2:$A$10,0))</f>
        <v/>
      </c>
      <c r="V37" s="10">
        <f>'02_Inputs'!K37</f>
        <v/>
      </c>
      <c r="W37" s="12">
        <f>N37*R37+O37*S37+P37*T37+Q37*U37</f>
        <v/>
      </c>
      <c r="X37" s="12">
        <f>W37*V37</f>
        <v/>
      </c>
      <c r="Y37" s="12">
        <f>L37*1000*X37*86400</f>
        <v/>
      </c>
      <c r="Z37" s="12">
        <f>Y37*365</f>
        <v/>
      </c>
    </row>
    <row r="38">
      <c r="A38" s="9">
        <f>'02_Inputs'!A38</f>
        <v/>
      </c>
      <c r="B38" s="9">
        <f>'02_Inputs'!B38</f>
        <v/>
      </c>
      <c r="C38" s="9">
        <f>'02_Inputs'!C38</f>
        <v/>
      </c>
      <c r="D38" s="11">
        <f>'02_Inputs'!D38</f>
        <v/>
      </c>
      <c r="E38" s="10">
        <f>'02_Inputs'!E38</f>
        <v/>
      </c>
      <c r="F38" s="11">
        <f>D38*E38</f>
        <v/>
      </c>
      <c r="G38" s="9">
        <f>'02_Inputs'!F38</f>
        <v/>
      </c>
      <c r="H38" s="11">
        <f>F38/G38</f>
        <v/>
      </c>
      <c r="I38" s="10">
        <f>'02_Inputs'!G38</f>
        <v/>
      </c>
      <c r="J38" s="11">
        <f>H38*I38</f>
        <v/>
      </c>
      <c r="K38" s="10">
        <f>'02_Inputs'!H38</f>
        <v/>
      </c>
      <c r="L38" s="11">
        <f>J38*K38</f>
        <v/>
      </c>
      <c r="M38" s="11">
        <f>J38*(1-K38)</f>
        <v/>
      </c>
      <c r="N38" s="10">
        <f>'02_GPU_Mix_Input'!D38</f>
        <v/>
      </c>
      <c r="O38" s="10">
        <f>'02_GPU_Mix_Input'!E38</f>
        <v/>
      </c>
      <c r="P38" s="10">
        <f>'02_GPU_Mix_Input'!F38</f>
        <v/>
      </c>
      <c r="Q38" s="10">
        <f>'02_GPU_Mix_Input'!G38</f>
        <v/>
      </c>
      <c r="R38" s="12">
        <f>INDEX('01_Benchmark_Input'!$D$2:$D$10,MATCH(B38,'01_Benchmark_Input'!$A$2:$A$10,0))</f>
        <v/>
      </c>
      <c r="S38" s="12">
        <f>INDEX('01_Benchmark_Input'!$F$2:$F$10,MATCH(B38,'01_Benchmark_Input'!$A$2:$A$10,0))</f>
        <v/>
      </c>
      <c r="T38" s="12">
        <f>INDEX('01_Benchmark_Input'!$H$2:$H$10,MATCH(B38,'01_Benchmark_Input'!$A$2:$A$10,0))</f>
        <v/>
      </c>
      <c r="U38" s="12">
        <f>INDEX('01_Benchmark_Input'!$J$2:$J$10,MATCH(B38,'01_Benchmark_Input'!$A$2:$A$10,0))</f>
        <v/>
      </c>
      <c r="V38" s="10">
        <f>'02_Inputs'!K38</f>
        <v/>
      </c>
      <c r="W38" s="12">
        <f>N38*R38+O38*S38+P38*T38+Q38*U38</f>
        <v/>
      </c>
      <c r="X38" s="12">
        <f>W38*V38</f>
        <v/>
      </c>
      <c r="Y38" s="12">
        <f>L38*1000*X38*86400</f>
        <v/>
      </c>
      <c r="Z38" s="12">
        <f>Y38*365</f>
        <v/>
      </c>
    </row>
    <row r="39">
      <c r="A39" s="9">
        <f>'02_Inputs'!A39</f>
        <v/>
      </c>
      <c r="B39" s="9">
        <f>'02_Inputs'!B39</f>
        <v/>
      </c>
      <c r="C39" s="9">
        <f>'02_Inputs'!C39</f>
        <v/>
      </c>
      <c r="D39" s="11">
        <f>'02_Inputs'!D39</f>
        <v/>
      </c>
      <c r="E39" s="10">
        <f>'02_Inputs'!E39</f>
        <v/>
      </c>
      <c r="F39" s="11">
        <f>D39*E39</f>
        <v/>
      </c>
      <c r="G39" s="9">
        <f>'02_Inputs'!F39</f>
        <v/>
      </c>
      <c r="H39" s="11">
        <f>F39/G39</f>
        <v/>
      </c>
      <c r="I39" s="10">
        <f>'02_Inputs'!G39</f>
        <v/>
      </c>
      <c r="J39" s="11">
        <f>H39*I39</f>
        <v/>
      </c>
      <c r="K39" s="10">
        <f>'02_Inputs'!H39</f>
        <v/>
      </c>
      <c r="L39" s="11">
        <f>J39*K39</f>
        <v/>
      </c>
      <c r="M39" s="11">
        <f>J39*(1-K39)</f>
        <v/>
      </c>
      <c r="N39" s="10">
        <f>'02_GPU_Mix_Input'!D39</f>
        <v/>
      </c>
      <c r="O39" s="10">
        <f>'02_GPU_Mix_Input'!E39</f>
        <v/>
      </c>
      <c r="P39" s="10">
        <f>'02_GPU_Mix_Input'!F39</f>
        <v/>
      </c>
      <c r="Q39" s="10">
        <f>'02_GPU_Mix_Input'!G39</f>
        <v/>
      </c>
      <c r="R39" s="12">
        <f>INDEX('01_Benchmark_Input'!$D$2:$D$10,MATCH(B39,'01_Benchmark_Input'!$A$2:$A$10,0))</f>
        <v/>
      </c>
      <c r="S39" s="12">
        <f>INDEX('01_Benchmark_Input'!$F$2:$F$10,MATCH(B39,'01_Benchmark_Input'!$A$2:$A$10,0))</f>
        <v/>
      </c>
      <c r="T39" s="12">
        <f>INDEX('01_Benchmark_Input'!$H$2:$H$10,MATCH(B39,'01_Benchmark_Input'!$A$2:$A$10,0))</f>
        <v/>
      </c>
      <c r="U39" s="12">
        <f>INDEX('01_Benchmark_Input'!$J$2:$J$10,MATCH(B39,'01_Benchmark_Input'!$A$2:$A$10,0))</f>
        <v/>
      </c>
      <c r="V39" s="10">
        <f>'02_Inputs'!K39</f>
        <v/>
      </c>
      <c r="W39" s="12">
        <f>N39*R39+O39*S39+P39*T39+Q39*U39</f>
        <v/>
      </c>
      <c r="X39" s="12">
        <f>W39*V39</f>
        <v/>
      </c>
      <c r="Y39" s="12">
        <f>L39*1000*X39*86400</f>
        <v/>
      </c>
      <c r="Z39" s="12">
        <f>Y39*365</f>
        <v/>
      </c>
    </row>
    <row r="40">
      <c r="A40" s="9">
        <f>'02_Inputs'!A40</f>
        <v/>
      </c>
      <c r="B40" s="9">
        <f>'02_Inputs'!B40</f>
        <v/>
      </c>
      <c r="C40" s="9">
        <f>'02_Inputs'!C40</f>
        <v/>
      </c>
      <c r="D40" s="11">
        <f>'02_Inputs'!D40</f>
        <v/>
      </c>
      <c r="E40" s="10">
        <f>'02_Inputs'!E40</f>
        <v/>
      </c>
      <c r="F40" s="11">
        <f>D40*E40</f>
        <v/>
      </c>
      <c r="G40" s="9">
        <f>'02_Inputs'!F40</f>
        <v/>
      </c>
      <c r="H40" s="11">
        <f>F40/G40</f>
        <v/>
      </c>
      <c r="I40" s="10">
        <f>'02_Inputs'!G40</f>
        <v/>
      </c>
      <c r="J40" s="11">
        <f>H40*I40</f>
        <v/>
      </c>
      <c r="K40" s="10">
        <f>'02_Inputs'!H40</f>
        <v/>
      </c>
      <c r="L40" s="11">
        <f>J40*K40</f>
        <v/>
      </c>
      <c r="M40" s="11">
        <f>J40*(1-K40)</f>
        <v/>
      </c>
      <c r="N40" s="10">
        <f>'02_GPU_Mix_Input'!D40</f>
        <v/>
      </c>
      <c r="O40" s="10">
        <f>'02_GPU_Mix_Input'!E40</f>
        <v/>
      </c>
      <c r="P40" s="10">
        <f>'02_GPU_Mix_Input'!F40</f>
        <v/>
      </c>
      <c r="Q40" s="10">
        <f>'02_GPU_Mix_Input'!G40</f>
        <v/>
      </c>
      <c r="R40" s="12">
        <f>INDEX('01_Benchmark_Input'!$D$2:$D$10,MATCH(B40,'01_Benchmark_Input'!$A$2:$A$10,0))</f>
        <v/>
      </c>
      <c r="S40" s="12">
        <f>INDEX('01_Benchmark_Input'!$F$2:$F$10,MATCH(B40,'01_Benchmark_Input'!$A$2:$A$10,0))</f>
        <v/>
      </c>
      <c r="T40" s="12">
        <f>INDEX('01_Benchmark_Input'!$H$2:$H$10,MATCH(B40,'01_Benchmark_Input'!$A$2:$A$10,0))</f>
        <v/>
      </c>
      <c r="U40" s="12">
        <f>INDEX('01_Benchmark_Input'!$J$2:$J$10,MATCH(B40,'01_Benchmark_Input'!$A$2:$A$10,0))</f>
        <v/>
      </c>
      <c r="V40" s="10">
        <f>'02_Inputs'!K40</f>
        <v/>
      </c>
      <c r="W40" s="12">
        <f>N40*R40+O40*S40+P40*T40+Q40*U40</f>
        <v/>
      </c>
      <c r="X40" s="12">
        <f>W40*V40</f>
        <v/>
      </c>
      <c r="Y40" s="12">
        <f>L40*1000*X40*86400</f>
        <v/>
      </c>
      <c r="Z40" s="12">
        <f>Y40*365</f>
        <v/>
      </c>
    </row>
    <row r="41">
      <c r="A41" s="9">
        <f>'02_Inputs'!A41</f>
        <v/>
      </c>
      <c r="B41" s="9">
        <f>'02_Inputs'!B41</f>
        <v/>
      </c>
      <c r="C41" s="9">
        <f>'02_Inputs'!C41</f>
        <v/>
      </c>
      <c r="D41" s="11">
        <f>'02_Inputs'!D41</f>
        <v/>
      </c>
      <c r="E41" s="10">
        <f>'02_Inputs'!E41</f>
        <v/>
      </c>
      <c r="F41" s="11">
        <f>D41*E41</f>
        <v/>
      </c>
      <c r="G41" s="9">
        <f>'02_Inputs'!F41</f>
        <v/>
      </c>
      <c r="H41" s="11">
        <f>F41/G41</f>
        <v/>
      </c>
      <c r="I41" s="10">
        <f>'02_Inputs'!G41</f>
        <v/>
      </c>
      <c r="J41" s="11">
        <f>H41*I41</f>
        <v/>
      </c>
      <c r="K41" s="10">
        <f>'02_Inputs'!H41</f>
        <v/>
      </c>
      <c r="L41" s="11">
        <f>J41*K41</f>
        <v/>
      </c>
      <c r="M41" s="11">
        <f>J41*(1-K41)</f>
        <v/>
      </c>
      <c r="N41" s="10">
        <f>'02_GPU_Mix_Input'!D41</f>
        <v/>
      </c>
      <c r="O41" s="10">
        <f>'02_GPU_Mix_Input'!E41</f>
        <v/>
      </c>
      <c r="P41" s="10">
        <f>'02_GPU_Mix_Input'!F41</f>
        <v/>
      </c>
      <c r="Q41" s="10">
        <f>'02_GPU_Mix_Input'!G41</f>
        <v/>
      </c>
      <c r="R41" s="12">
        <f>INDEX('01_Benchmark_Input'!$D$2:$D$10,MATCH(B41,'01_Benchmark_Input'!$A$2:$A$10,0))</f>
        <v/>
      </c>
      <c r="S41" s="12">
        <f>INDEX('01_Benchmark_Input'!$F$2:$F$10,MATCH(B41,'01_Benchmark_Input'!$A$2:$A$10,0))</f>
        <v/>
      </c>
      <c r="T41" s="12">
        <f>INDEX('01_Benchmark_Input'!$H$2:$H$10,MATCH(B41,'01_Benchmark_Input'!$A$2:$A$10,0))</f>
        <v/>
      </c>
      <c r="U41" s="12">
        <f>INDEX('01_Benchmark_Input'!$J$2:$J$10,MATCH(B41,'01_Benchmark_Input'!$A$2:$A$10,0))</f>
        <v/>
      </c>
      <c r="V41" s="10">
        <f>'02_Inputs'!K41</f>
        <v/>
      </c>
      <c r="W41" s="12">
        <f>N41*R41+O41*S41+P41*T41+Q41*U41</f>
        <v/>
      </c>
      <c r="X41" s="12">
        <f>W41*V41</f>
        <v/>
      </c>
      <c r="Y41" s="12">
        <f>L41*1000*X41*86400</f>
        <v/>
      </c>
      <c r="Z41" s="12">
        <f>Y41*365</f>
        <v/>
      </c>
    </row>
    <row r="42">
      <c r="A42" s="9">
        <f>'02_Inputs'!A42</f>
        <v/>
      </c>
      <c r="B42" s="9">
        <f>'02_Inputs'!B42</f>
        <v/>
      </c>
      <c r="C42" s="9">
        <f>'02_Inputs'!C42</f>
        <v/>
      </c>
      <c r="D42" s="11">
        <f>'02_Inputs'!D42</f>
        <v/>
      </c>
      <c r="E42" s="10">
        <f>'02_Inputs'!E42</f>
        <v/>
      </c>
      <c r="F42" s="11">
        <f>D42*E42</f>
        <v/>
      </c>
      <c r="G42" s="9">
        <f>'02_Inputs'!F42</f>
        <v/>
      </c>
      <c r="H42" s="11">
        <f>F42/G42</f>
        <v/>
      </c>
      <c r="I42" s="10">
        <f>'02_Inputs'!G42</f>
        <v/>
      </c>
      <c r="J42" s="11">
        <f>H42*I42</f>
        <v/>
      </c>
      <c r="K42" s="10">
        <f>'02_Inputs'!H42</f>
        <v/>
      </c>
      <c r="L42" s="11">
        <f>J42*K42</f>
        <v/>
      </c>
      <c r="M42" s="11">
        <f>J42*(1-K42)</f>
        <v/>
      </c>
      <c r="N42" s="10">
        <f>'02_GPU_Mix_Input'!D42</f>
        <v/>
      </c>
      <c r="O42" s="10">
        <f>'02_GPU_Mix_Input'!E42</f>
        <v/>
      </c>
      <c r="P42" s="10">
        <f>'02_GPU_Mix_Input'!F42</f>
        <v/>
      </c>
      <c r="Q42" s="10">
        <f>'02_GPU_Mix_Input'!G42</f>
        <v/>
      </c>
      <c r="R42" s="12">
        <f>INDEX('01_Benchmark_Input'!$D$2:$D$10,MATCH(B42,'01_Benchmark_Input'!$A$2:$A$10,0))</f>
        <v/>
      </c>
      <c r="S42" s="12">
        <f>INDEX('01_Benchmark_Input'!$F$2:$F$10,MATCH(B42,'01_Benchmark_Input'!$A$2:$A$10,0))</f>
        <v/>
      </c>
      <c r="T42" s="12">
        <f>INDEX('01_Benchmark_Input'!$H$2:$H$10,MATCH(B42,'01_Benchmark_Input'!$A$2:$A$10,0))</f>
        <v/>
      </c>
      <c r="U42" s="12">
        <f>INDEX('01_Benchmark_Input'!$J$2:$J$10,MATCH(B42,'01_Benchmark_Input'!$A$2:$A$10,0))</f>
        <v/>
      </c>
      <c r="V42" s="10">
        <f>'02_Inputs'!K42</f>
        <v/>
      </c>
      <c r="W42" s="12">
        <f>N42*R42+O42*S42+P42*T42+Q42*U42</f>
        <v/>
      </c>
      <c r="X42" s="12">
        <f>W42*V42</f>
        <v/>
      </c>
      <c r="Y42" s="12">
        <f>L42*1000*X42*86400</f>
        <v/>
      </c>
      <c r="Z42" s="12">
        <f>Y42*365</f>
        <v/>
      </c>
    </row>
    <row r="43">
      <c r="A43" s="9">
        <f>'02_Inputs'!A43</f>
        <v/>
      </c>
      <c r="B43" s="9">
        <f>'02_Inputs'!B43</f>
        <v/>
      </c>
      <c r="C43" s="9">
        <f>'02_Inputs'!C43</f>
        <v/>
      </c>
      <c r="D43" s="11">
        <f>'02_Inputs'!D43</f>
        <v/>
      </c>
      <c r="E43" s="10">
        <f>'02_Inputs'!E43</f>
        <v/>
      </c>
      <c r="F43" s="11">
        <f>D43*E43</f>
        <v/>
      </c>
      <c r="G43" s="9">
        <f>'02_Inputs'!F43</f>
        <v/>
      </c>
      <c r="H43" s="11">
        <f>F43/G43</f>
        <v/>
      </c>
      <c r="I43" s="10">
        <f>'02_Inputs'!G43</f>
        <v/>
      </c>
      <c r="J43" s="11">
        <f>H43*I43</f>
        <v/>
      </c>
      <c r="K43" s="10">
        <f>'02_Inputs'!H43</f>
        <v/>
      </c>
      <c r="L43" s="11">
        <f>J43*K43</f>
        <v/>
      </c>
      <c r="M43" s="11">
        <f>J43*(1-K43)</f>
        <v/>
      </c>
      <c r="N43" s="10">
        <f>'02_GPU_Mix_Input'!D43</f>
        <v/>
      </c>
      <c r="O43" s="10">
        <f>'02_GPU_Mix_Input'!E43</f>
        <v/>
      </c>
      <c r="P43" s="10">
        <f>'02_GPU_Mix_Input'!F43</f>
        <v/>
      </c>
      <c r="Q43" s="10">
        <f>'02_GPU_Mix_Input'!G43</f>
        <v/>
      </c>
      <c r="R43" s="12">
        <f>INDEX('01_Benchmark_Input'!$D$2:$D$10,MATCH(B43,'01_Benchmark_Input'!$A$2:$A$10,0))</f>
        <v/>
      </c>
      <c r="S43" s="12">
        <f>INDEX('01_Benchmark_Input'!$F$2:$F$10,MATCH(B43,'01_Benchmark_Input'!$A$2:$A$10,0))</f>
        <v/>
      </c>
      <c r="T43" s="12">
        <f>INDEX('01_Benchmark_Input'!$H$2:$H$10,MATCH(B43,'01_Benchmark_Input'!$A$2:$A$10,0))</f>
        <v/>
      </c>
      <c r="U43" s="12">
        <f>INDEX('01_Benchmark_Input'!$J$2:$J$10,MATCH(B43,'01_Benchmark_Input'!$A$2:$A$10,0))</f>
        <v/>
      </c>
      <c r="V43" s="10">
        <f>'02_Inputs'!K43</f>
        <v/>
      </c>
      <c r="W43" s="12">
        <f>N43*R43+O43*S43+P43*T43+Q43*U43</f>
        <v/>
      </c>
      <c r="X43" s="12">
        <f>W43*V43</f>
        <v/>
      </c>
      <c r="Y43" s="12">
        <f>L43*1000*X43*86400</f>
        <v/>
      </c>
      <c r="Z43" s="12">
        <f>Y43*365</f>
        <v/>
      </c>
    </row>
    <row r="44">
      <c r="A44" s="9">
        <f>'02_Inputs'!A44</f>
        <v/>
      </c>
      <c r="B44" s="9">
        <f>'02_Inputs'!B44</f>
        <v/>
      </c>
      <c r="C44" s="9">
        <f>'02_Inputs'!C44</f>
        <v/>
      </c>
      <c r="D44" s="11">
        <f>'02_Inputs'!D44</f>
        <v/>
      </c>
      <c r="E44" s="10">
        <f>'02_Inputs'!E44</f>
        <v/>
      </c>
      <c r="F44" s="11">
        <f>D44*E44</f>
        <v/>
      </c>
      <c r="G44" s="9">
        <f>'02_Inputs'!F44</f>
        <v/>
      </c>
      <c r="H44" s="11">
        <f>F44/G44</f>
        <v/>
      </c>
      <c r="I44" s="10">
        <f>'02_Inputs'!G44</f>
        <v/>
      </c>
      <c r="J44" s="11">
        <f>H44*I44</f>
        <v/>
      </c>
      <c r="K44" s="10">
        <f>'02_Inputs'!H44</f>
        <v/>
      </c>
      <c r="L44" s="11">
        <f>J44*K44</f>
        <v/>
      </c>
      <c r="M44" s="11">
        <f>J44*(1-K44)</f>
        <v/>
      </c>
      <c r="N44" s="10">
        <f>'02_GPU_Mix_Input'!D44</f>
        <v/>
      </c>
      <c r="O44" s="10">
        <f>'02_GPU_Mix_Input'!E44</f>
        <v/>
      </c>
      <c r="P44" s="10">
        <f>'02_GPU_Mix_Input'!F44</f>
        <v/>
      </c>
      <c r="Q44" s="10">
        <f>'02_GPU_Mix_Input'!G44</f>
        <v/>
      </c>
      <c r="R44" s="12">
        <f>INDEX('01_Benchmark_Input'!$D$2:$D$10,MATCH(B44,'01_Benchmark_Input'!$A$2:$A$10,0))</f>
        <v/>
      </c>
      <c r="S44" s="12">
        <f>INDEX('01_Benchmark_Input'!$F$2:$F$10,MATCH(B44,'01_Benchmark_Input'!$A$2:$A$10,0))</f>
        <v/>
      </c>
      <c r="T44" s="12">
        <f>INDEX('01_Benchmark_Input'!$H$2:$H$10,MATCH(B44,'01_Benchmark_Input'!$A$2:$A$10,0))</f>
        <v/>
      </c>
      <c r="U44" s="12">
        <f>INDEX('01_Benchmark_Input'!$J$2:$J$10,MATCH(B44,'01_Benchmark_Input'!$A$2:$A$10,0))</f>
        <v/>
      </c>
      <c r="V44" s="10">
        <f>'02_Inputs'!K44</f>
        <v/>
      </c>
      <c r="W44" s="12">
        <f>N44*R44+O44*S44+P44*T44+Q44*U44</f>
        <v/>
      </c>
      <c r="X44" s="12">
        <f>W44*V44</f>
        <v/>
      </c>
      <c r="Y44" s="12">
        <f>L44*1000*X44*86400</f>
        <v/>
      </c>
      <c r="Z44" s="12">
        <f>Y44*365</f>
        <v/>
      </c>
    </row>
    <row r="45">
      <c r="A45" s="9">
        <f>'02_Inputs'!A45</f>
        <v/>
      </c>
      <c r="B45" s="9">
        <f>'02_Inputs'!B45</f>
        <v/>
      </c>
      <c r="C45" s="9">
        <f>'02_Inputs'!C45</f>
        <v/>
      </c>
      <c r="D45" s="11">
        <f>'02_Inputs'!D45</f>
        <v/>
      </c>
      <c r="E45" s="10">
        <f>'02_Inputs'!E45</f>
        <v/>
      </c>
      <c r="F45" s="11">
        <f>D45*E45</f>
        <v/>
      </c>
      <c r="G45" s="9">
        <f>'02_Inputs'!F45</f>
        <v/>
      </c>
      <c r="H45" s="11">
        <f>F45/G45</f>
        <v/>
      </c>
      <c r="I45" s="10">
        <f>'02_Inputs'!G45</f>
        <v/>
      </c>
      <c r="J45" s="11">
        <f>H45*I45</f>
        <v/>
      </c>
      <c r="K45" s="10">
        <f>'02_Inputs'!H45</f>
        <v/>
      </c>
      <c r="L45" s="11">
        <f>J45*K45</f>
        <v/>
      </c>
      <c r="M45" s="11">
        <f>J45*(1-K45)</f>
        <v/>
      </c>
      <c r="N45" s="10">
        <f>'02_GPU_Mix_Input'!D45</f>
        <v/>
      </c>
      <c r="O45" s="10">
        <f>'02_GPU_Mix_Input'!E45</f>
        <v/>
      </c>
      <c r="P45" s="10">
        <f>'02_GPU_Mix_Input'!F45</f>
        <v/>
      </c>
      <c r="Q45" s="10">
        <f>'02_GPU_Mix_Input'!G45</f>
        <v/>
      </c>
      <c r="R45" s="12">
        <f>INDEX('01_Benchmark_Input'!$D$2:$D$10,MATCH(B45,'01_Benchmark_Input'!$A$2:$A$10,0))</f>
        <v/>
      </c>
      <c r="S45" s="12">
        <f>INDEX('01_Benchmark_Input'!$F$2:$F$10,MATCH(B45,'01_Benchmark_Input'!$A$2:$A$10,0))</f>
        <v/>
      </c>
      <c r="T45" s="12">
        <f>INDEX('01_Benchmark_Input'!$H$2:$H$10,MATCH(B45,'01_Benchmark_Input'!$A$2:$A$10,0))</f>
        <v/>
      </c>
      <c r="U45" s="12">
        <f>INDEX('01_Benchmark_Input'!$J$2:$J$10,MATCH(B45,'01_Benchmark_Input'!$A$2:$A$10,0))</f>
        <v/>
      </c>
      <c r="V45" s="10">
        <f>'02_Inputs'!K45</f>
        <v/>
      </c>
      <c r="W45" s="12">
        <f>N45*R45+O45*S45+P45*T45+Q45*U45</f>
        <v/>
      </c>
      <c r="X45" s="12">
        <f>W45*V45</f>
        <v/>
      </c>
      <c r="Y45" s="12">
        <f>L45*1000*X45*86400</f>
        <v/>
      </c>
      <c r="Z45" s="12">
        <f>Y45*365</f>
        <v/>
      </c>
    </row>
    <row r="46">
      <c r="A46" s="9">
        <f>'02_Inputs'!A46</f>
        <v/>
      </c>
      <c r="B46" s="9">
        <f>'02_Inputs'!B46</f>
        <v/>
      </c>
      <c r="C46" s="9">
        <f>'02_Inputs'!C46</f>
        <v/>
      </c>
      <c r="D46" s="11">
        <f>'02_Inputs'!D46</f>
        <v/>
      </c>
      <c r="E46" s="10">
        <f>'02_Inputs'!E46</f>
        <v/>
      </c>
      <c r="F46" s="11">
        <f>D46*E46</f>
        <v/>
      </c>
      <c r="G46" s="9">
        <f>'02_Inputs'!F46</f>
        <v/>
      </c>
      <c r="H46" s="11">
        <f>F46/G46</f>
        <v/>
      </c>
      <c r="I46" s="10">
        <f>'02_Inputs'!G46</f>
        <v/>
      </c>
      <c r="J46" s="11">
        <f>H46*I46</f>
        <v/>
      </c>
      <c r="K46" s="10">
        <f>'02_Inputs'!H46</f>
        <v/>
      </c>
      <c r="L46" s="11">
        <f>J46*K46</f>
        <v/>
      </c>
      <c r="M46" s="11">
        <f>J46*(1-K46)</f>
        <v/>
      </c>
      <c r="N46" s="10">
        <f>'02_GPU_Mix_Input'!D46</f>
        <v/>
      </c>
      <c r="O46" s="10">
        <f>'02_GPU_Mix_Input'!E46</f>
        <v/>
      </c>
      <c r="P46" s="10">
        <f>'02_GPU_Mix_Input'!F46</f>
        <v/>
      </c>
      <c r="Q46" s="10">
        <f>'02_GPU_Mix_Input'!G46</f>
        <v/>
      </c>
      <c r="R46" s="12">
        <f>INDEX('01_Benchmark_Input'!$D$2:$D$10,MATCH(B46,'01_Benchmark_Input'!$A$2:$A$10,0))</f>
        <v/>
      </c>
      <c r="S46" s="12">
        <f>INDEX('01_Benchmark_Input'!$F$2:$F$10,MATCH(B46,'01_Benchmark_Input'!$A$2:$A$10,0))</f>
        <v/>
      </c>
      <c r="T46" s="12">
        <f>INDEX('01_Benchmark_Input'!$H$2:$H$10,MATCH(B46,'01_Benchmark_Input'!$A$2:$A$10,0))</f>
        <v/>
      </c>
      <c r="U46" s="12">
        <f>INDEX('01_Benchmark_Input'!$J$2:$J$10,MATCH(B46,'01_Benchmark_Input'!$A$2:$A$10,0))</f>
        <v/>
      </c>
      <c r="V46" s="10">
        <f>'02_Inputs'!K46</f>
        <v/>
      </c>
      <c r="W46" s="12">
        <f>N46*R46+O46*S46+P46*T46+Q46*U46</f>
        <v/>
      </c>
      <c r="X46" s="12">
        <f>W46*V46</f>
        <v/>
      </c>
      <c r="Y46" s="12">
        <f>L46*1000*X46*86400</f>
        <v/>
      </c>
      <c r="Z46" s="12">
        <f>Y46*365</f>
        <v/>
      </c>
    </row>
    <row r="47">
      <c r="A47" s="9">
        <f>'02_Inputs'!A47</f>
        <v/>
      </c>
      <c r="B47" s="9">
        <f>'02_Inputs'!B47</f>
        <v/>
      </c>
      <c r="C47" s="9">
        <f>'02_Inputs'!C47</f>
        <v/>
      </c>
      <c r="D47" s="11">
        <f>'02_Inputs'!D47</f>
        <v/>
      </c>
      <c r="E47" s="10">
        <f>'02_Inputs'!E47</f>
        <v/>
      </c>
      <c r="F47" s="11">
        <f>D47*E47</f>
        <v/>
      </c>
      <c r="G47" s="9">
        <f>'02_Inputs'!F47</f>
        <v/>
      </c>
      <c r="H47" s="11">
        <f>F47/G47</f>
        <v/>
      </c>
      <c r="I47" s="10">
        <f>'02_Inputs'!G47</f>
        <v/>
      </c>
      <c r="J47" s="11">
        <f>H47*I47</f>
        <v/>
      </c>
      <c r="K47" s="10">
        <f>'02_Inputs'!H47</f>
        <v/>
      </c>
      <c r="L47" s="11">
        <f>J47*K47</f>
        <v/>
      </c>
      <c r="M47" s="11">
        <f>J47*(1-K47)</f>
        <v/>
      </c>
      <c r="N47" s="10">
        <f>'02_GPU_Mix_Input'!D47</f>
        <v/>
      </c>
      <c r="O47" s="10">
        <f>'02_GPU_Mix_Input'!E47</f>
        <v/>
      </c>
      <c r="P47" s="10">
        <f>'02_GPU_Mix_Input'!F47</f>
        <v/>
      </c>
      <c r="Q47" s="10">
        <f>'02_GPU_Mix_Input'!G47</f>
        <v/>
      </c>
      <c r="R47" s="12">
        <f>INDEX('01_Benchmark_Input'!$D$2:$D$10,MATCH(B47,'01_Benchmark_Input'!$A$2:$A$10,0))</f>
        <v/>
      </c>
      <c r="S47" s="12">
        <f>INDEX('01_Benchmark_Input'!$F$2:$F$10,MATCH(B47,'01_Benchmark_Input'!$A$2:$A$10,0))</f>
        <v/>
      </c>
      <c r="T47" s="12">
        <f>INDEX('01_Benchmark_Input'!$H$2:$H$10,MATCH(B47,'01_Benchmark_Input'!$A$2:$A$10,0))</f>
        <v/>
      </c>
      <c r="U47" s="12">
        <f>INDEX('01_Benchmark_Input'!$J$2:$J$10,MATCH(B47,'01_Benchmark_Input'!$A$2:$A$10,0))</f>
        <v/>
      </c>
      <c r="V47" s="10">
        <f>'02_Inputs'!K47</f>
        <v/>
      </c>
      <c r="W47" s="12">
        <f>N47*R47+O47*S47+P47*T47+Q47*U47</f>
        <v/>
      </c>
      <c r="X47" s="12">
        <f>W47*V47</f>
        <v/>
      </c>
      <c r="Y47" s="12">
        <f>L47*1000*X47*86400</f>
        <v/>
      </c>
      <c r="Z47" s="12">
        <f>Y47*365</f>
        <v/>
      </c>
    </row>
    <row r="48">
      <c r="A48" s="9">
        <f>'02_Inputs'!A48</f>
        <v/>
      </c>
      <c r="B48" s="9">
        <f>'02_Inputs'!B48</f>
        <v/>
      </c>
      <c r="C48" s="9">
        <f>'02_Inputs'!C48</f>
        <v/>
      </c>
      <c r="D48" s="11">
        <f>'02_Inputs'!D48</f>
        <v/>
      </c>
      <c r="E48" s="10">
        <f>'02_Inputs'!E48</f>
        <v/>
      </c>
      <c r="F48" s="11">
        <f>D48*E48</f>
        <v/>
      </c>
      <c r="G48" s="9">
        <f>'02_Inputs'!F48</f>
        <v/>
      </c>
      <c r="H48" s="11">
        <f>F48/G48</f>
        <v/>
      </c>
      <c r="I48" s="10">
        <f>'02_Inputs'!G48</f>
        <v/>
      </c>
      <c r="J48" s="11">
        <f>H48*I48</f>
        <v/>
      </c>
      <c r="K48" s="10">
        <f>'02_Inputs'!H48</f>
        <v/>
      </c>
      <c r="L48" s="11">
        <f>J48*K48</f>
        <v/>
      </c>
      <c r="M48" s="11">
        <f>J48*(1-K48)</f>
        <v/>
      </c>
      <c r="N48" s="10">
        <f>'02_GPU_Mix_Input'!D48</f>
        <v/>
      </c>
      <c r="O48" s="10">
        <f>'02_GPU_Mix_Input'!E48</f>
        <v/>
      </c>
      <c r="P48" s="10">
        <f>'02_GPU_Mix_Input'!F48</f>
        <v/>
      </c>
      <c r="Q48" s="10">
        <f>'02_GPU_Mix_Input'!G48</f>
        <v/>
      </c>
      <c r="R48" s="12">
        <f>INDEX('01_Benchmark_Input'!$D$2:$D$10,MATCH(B48,'01_Benchmark_Input'!$A$2:$A$10,0))</f>
        <v/>
      </c>
      <c r="S48" s="12">
        <f>INDEX('01_Benchmark_Input'!$F$2:$F$10,MATCH(B48,'01_Benchmark_Input'!$A$2:$A$10,0))</f>
        <v/>
      </c>
      <c r="T48" s="12">
        <f>INDEX('01_Benchmark_Input'!$H$2:$H$10,MATCH(B48,'01_Benchmark_Input'!$A$2:$A$10,0))</f>
        <v/>
      </c>
      <c r="U48" s="12">
        <f>INDEX('01_Benchmark_Input'!$J$2:$J$10,MATCH(B48,'01_Benchmark_Input'!$A$2:$A$10,0))</f>
        <v/>
      </c>
      <c r="V48" s="10">
        <f>'02_Inputs'!K48</f>
        <v/>
      </c>
      <c r="W48" s="12">
        <f>N48*R48+O48*S48+P48*T48+Q48*U48</f>
        <v/>
      </c>
      <c r="X48" s="12">
        <f>W48*V48</f>
        <v/>
      </c>
      <c r="Y48" s="12">
        <f>L48*1000*X48*86400</f>
        <v/>
      </c>
      <c r="Z48" s="12">
        <f>Y48*365</f>
        <v/>
      </c>
    </row>
    <row r="49">
      <c r="A49" s="9">
        <f>'02_Inputs'!A49</f>
        <v/>
      </c>
      <c r="B49" s="9">
        <f>'02_Inputs'!B49</f>
        <v/>
      </c>
      <c r="C49" s="9">
        <f>'02_Inputs'!C49</f>
        <v/>
      </c>
      <c r="D49" s="11">
        <f>'02_Inputs'!D49</f>
        <v/>
      </c>
      <c r="E49" s="10">
        <f>'02_Inputs'!E49</f>
        <v/>
      </c>
      <c r="F49" s="11">
        <f>D49*E49</f>
        <v/>
      </c>
      <c r="G49" s="9">
        <f>'02_Inputs'!F49</f>
        <v/>
      </c>
      <c r="H49" s="11">
        <f>F49/G49</f>
        <v/>
      </c>
      <c r="I49" s="10">
        <f>'02_Inputs'!G49</f>
        <v/>
      </c>
      <c r="J49" s="11">
        <f>H49*I49</f>
        <v/>
      </c>
      <c r="K49" s="10">
        <f>'02_Inputs'!H49</f>
        <v/>
      </c>
      <c r="L49" s="11">
        <f>J49*K49</f>
        <v/>
      </c>
      <c r="M49" s="11">
        <f>J49*(1-K49)</f>
        <v/>
      </c>
      <c r="N49" s="10">
        <f>'02_GPU_Mix_Input'!D49</f>
        <v/>
      </c>
      <c r="O49" s="10">
        <f>'02_GPU_Mix_Input'!E49</f>
        <v/>
      </c>
      <c r="P49" s="10">
        <f>'02_GPU_Mix_Input'!F49</f>
        <v/>
      </c>
      <c r="Q49" s="10">
        <f>'02_GPU_Mix_Input'!G49</f>
        <v/>
      </c>
      <c r="R49" s="12">
        <f>INDEX('01_Benchmark_Input'!$D$2:$D$10,MATCH(B49,'01_Benchmark_Input'!$A$2:$A$10,0))</f>
        <v/>
      </c>
      <c r="S49" s="12">
        <f>INDEX('01_Benchmark_Input'!$F$2:$F$10,MATCH(B49,'01_Benchmark_Input'!$A$2:$A$10,0))</f>
        <v/>
      </c>
      <c r="T49" s="12">
        <f>INDEX('01_Benchmark_Input'!$H$2:$H$10,MATCH(B49,'01_Benchmark_Input'!$A$2:$A$10,0))</f>
        <v/>
      </c>
      <c r="U49" s="12">
        <f>INDEX('01_Benchmark_Input'!$J$2:$J$10,MATCH(B49,'01_Benchmark_Input'!$A$2:$A$10,0))</f>
        <v/>
      </c>
      <c r="V49" s="10">
        <f>'02_Inputs'!K49</f>
        <v/>
      </c>
      <c r="W49" s="12">
        <f>N49*R49+O49*S49+P49*T49+Q49*U49</f>
        <v/>
      </c>
      <c r="X49" s="12">
        <f>W49*V49</f>
        <v/>
      </c>
      <c r="Y49" s="12">
        <f>L49*1000*X49*86400</f>
        <v/>
      </c>
      <c r="Z49" s="12">
        <f>Y49*365</f>
        <v/>
      </c>
    </row>
    <row r="50">
      <c r="A50" s="9">
        <f>'02_Inputs'!A50</f>
        <v/>
      </c>
      <c r="B50" s="9">
        <f>'02_Inputs'!B50</f>
        <v/>
      </c>
      <c r="C50" s="9">
        <f>'02_Inputs'!C50</f>
        <v/>
      </c>
      <c r="D50" s="11">
        <f>'02_Inputs'!D50</f>
        <v/>
      </c>
      <c r="E50" s="10">
        <f>'02_Inputs'!E50</f>
        <v/>
      </c>
      <c r="F50" s="11">
        <f>D50*E50</f>
        <v/>
      </c>
      <c r="G50" s="9">
        <f>'02_Inputs'!F50</f>
        <v/>
      </c>
      <c r="H50" s="11">
        <f>F50/G50</f>
        <v/>
      </c>
      <c r="I50" s="10">
        <f>'02_Inputs'!G50</f>
        <v/>
      </c>
      <c r="J50" s="11">
        <f>H50*I50</f>
        <v/>
      </c>
      <c r="K50" s="10">
        <f>'02_Inputs'!H50</f>
        <v/>
      </c>
      <c r="L50" s="11">
        <f>J50*K50</f>
        <v/>
      </c>
      <c r="M50" s="11">
        <f>J50*(1-K50)</f>
        <v/>
      </c>
      <c r="N50" s="10">
        <f>'02_GPU_Mix_Input'!D50</f>
        <v/>
      </c>
      <c r="O50" s="10">
        <f>'02_GPU_Mix_Input'!E50</f>
        <v/>
      </c>
      <c r="P50" s="10">
        <f>'02_GPU_Mix_Input'!F50</f>
        <v/>
      </c>
      <c r="Q50" s="10">
        <f>'02_GPU_Mix_Input'!G50</f>
        <v/>
      </c>
      <c r="R50" s="12">
        <f>INDEX('01_Benchmark_Input'!$D$2:$D$10,MATCH(B50,'01_Benchmark_Input'!$A$2:$A$10,0))</f>
        <v/>
      </c>
      <c r="S50" s="12">
        <f>INDEX('01_Benchmark_Input'!$F$2:$F$10,MATCH(B50,'01_Benchmark_Input'!$A$2:$A$10,0))</f>
        <v/>
      </c>
      <c r="T50" s="12">
        <f>INDEX('01_Benchmark_Input'!$H$2:$H$10,MATCH(B50,'01_Benchmark_Input'!$A$2:$A$10,0))</f>
        <v/>
      </c>
      <c r="U50" s="12">
        <f>INDEX('01_Benchmark_Input'!$J$2:$J$10,MATCH(B50,'01_Benchmark_Input'!$A$2:$A$10,0))</f>
        <v/>
      </c>
      <c r="V50" s="10">
        <f>'02_Inputs'!K50</f>
        <v/>
      </c>
      <c r="W50" s="12">
        <f>N50*R50+O50*S50+P50*T50+Q50*U50</f>
        <v/>
      </c>
      <c r="X50" s="12">
        <f>W50*V50</f>
        <v/>
      </c>
      <c r="Y50" s="12">
        <f>L50*1000*X50*86400</f>
        <v/>
      </c>
      <c r="Z50" s="12">
        <f>Y50*365</f>
        <v/>
      </c>
    </row>
    <row r="51">
      <c r="A51" s="9">
        <f>'02_Inputs'!A51</f>
        <v/>
      </c>
      <c r="B51" s="9">
        <f>'02_Inputs'!B51</f>
        <v/>
      </c>
      <c r="C51" s="9">
        <f>'02_Inputs'!C51</f>
        <v/>
      </c>
      <c r="D51" s="11">
        <f>'02_Inputs'!D51</f>
        <v/>
      </c>
      <c r="E51" s="10">
        <f>'02_Inputs'!E51</f>
        <v/>
      </c>
      <c r="F51" s="11">
        <f>D51*E51</f>
        <v/>
      </c>
      <c r="G51" s="9">
        <f>'02_Inputs'!F51</f>
        <v/>
      </c>
      <c r="H51" s="11">
        <f>F51/G51</f>
        <v/>
      </c>
      <c r="I51" s="10">
        <f>'02_Inputs'!G51</f>
        <v/>
      </c>
      <c r="J51" s="11">
        <f>H51*I51</f>
        <v/>
      </c>
      <c r="K51" s="10">
        <f>'02_Inputs'!H51</f>
        <v/>
      </c>
      <c r="L51" s="11">
        <f>J51*K51</f>
        <v/>
      </c>
      <c r="M51" s="11">
        <f>J51*(1-K51)</f>
        <v/>
      </c>
      <c r="N51" s="10">
        <f>'02_GPU_Mix_Input'!D51</f>
        <v/>
      </c>
      <c r="O51" s="10">
        <f>'02_GPU_Mix_Input'!E51</f>
        <v/>
      </c>
      <c r="P51" s="10">
        <f>'02_GPU_Mix_Input'!F51</f>
        <v/>
      </c>
      <c r="Q51" s="10">
        <f>'02_GPU_Mix_Input'!G51</f>
        <v/>
      </c>
      <c r="R51" s="12">
        <f>INDEX('01_Benchmark_Input'!$D$2:$D$10,MATCH(B51,'01_Benchmark_Input'!$A$2:$A$10,0))</f>
        <v/>
      </c>
      <c r="S51" s="12">
        <f>INDEX('01_Benchmark_Input'!$F$2:$F$10,MATCH(B51,'01_Benchmark_Input'!$A$2:$A$10,0))</f>
        <v/>
      </c>
      <c r="T51" s="12">
        <f>INDEX('01_Benchmark_Input'!$H$2:$H$10,MATCH(B51,'01_Benchmark_Input'!$A$2:$A$10,0))</f>
        <v/>
      </c>
      <c r="U51" s="12">
        <f>INDEX('01_Benchmark_Input'!$J$2:$J$10,MATCH(B51,'01_Benchmark_Input'!$A$2:$A$10,0))</f>
        <v/>
      </c>
      <c r="V51" s="10">
        <f>'02_Inputs'!K51</f>
        <v/>
      </c>
      <c r="W51" s="12">
        <f>N51*R51+O51*S51+P51*T51+Q51*U51</f>
        <v/>
      </c>
      <c r="X51" s="12">
        <f>W51*V51</f>
        <v/>
      </c>
      <c r="Y51" s="12">
        <f>L51*1000*X51*86400</f>
        <v/>
      </c>
      <c r="Z51" s="12">
        <f>Y51*365</f>
        <v/>
      </c>
    </row>
    <row r="52">
      <c r="A52" s="9">
        <f>'02_Inputs'!A52</f>
        <v/>
      </c>
      <c r="B52" s="9">
        <f>'02_Inputs'!B52</f>
        <v/>
      </c>
      <c r="C52" s="9">
        <f>'02_Inputs'!C52</f>
        <v/>
      </c>
      <c r="D52" s="11">
        <f>'02_Inputs'!D52</f>
        <v/>
      </c>
      <c r="E52" s="10">
        <f>'02_Inputs'!E52</f>
        <v/>
      </c>
      <c r="F52" s="11">
        <f>D52*E52</f>
        <v/>
      </c>
      <c r="G52" s="9">
        <f>'02_Inputs'!F52</f>
        <v/>
      </c>
      <c r="H52" s="11">
        <f>F52/G52</f>
        <v/>
      </c>
      <c r="I52" s="10">
        <f>'02_Inputs'!G52</f>
        <v/>
      </c>
      <c r="J52" s="11">
        <f>H52*I52</f>
        <v/>
      </c>
      <c r="K52" s="10">
        <f>'02_Inputs'!H52</f>
        <v/>
      </c>
      <c r="L52" s="11">
        <f>J52*K52</f>
        <v/>
      </c>
      <c r="M52" s="11">
        <f>J52*(1-K52)</f>
        <v/>
      </c>
      <c r="N52" s="10">
        <f>'02_GPU_Mix_Input'!D52</f>
        <v/>
      </c>
      <c r="O52" s="10">
        <f>'02_GPU_Mix_Input'!E52</f>
        <v/>
      </c>
      <c r="P52" s="10">
        <f>'02_GPU_Mix_Input'!F52</f>
        <v/>
      </c>
      <c r="Q52" s="10">
        <f>'02_GPU_Mix_Input'!G52</f>
        <v/>
      </c>
      <c r="R52" s="12">
        <f>INDEX('01_Benchmark_Input'!$D$2:$D$10,MATCH(B52,'01_Benchmark_Input'!$A$2:$A$10,0))</f>
        <v/>
      </c>
      <c r="S52" s="12">
        <f>INDEX('01_Benchmark_Input'!$F$2:$F$10,MATCH(B52,'01_Benchmark_Input'!$A$2:$A$10,0))</f>
        <v/>
      </c>
      <c r="T52" s="12">
        <f>INDEX('01_Benchmark_Input'!$H$2:$H$10,MATCH(B52,'01_Benchmark_Input'!$A$2:$A$10,0))</f>
        <v/>
      </c>
      <c r="U52" s="12">
        <f>INDEX('01_Benchmark_Input'!$J$2:$J$10,MATCH(B52,'01_Benchmark_Input'!$A$2:$A$10,0))</f>
        <v/>
      </c>
      <c r="V52" s="10">
        <f>'02_Inputs'!K52</f>
        <v/>
      </c>
      <c r="W52" s="12">
        <f>N52*R52+O52*S52+P52*T52+Q52*U52</f>
        <v/>
      </c>
      <c r="X52" s="12">
        <f>W52*V52</f>
        <v/>
      </c>
      <c r="Y52" s="12">
        <f>L52*1000*X52*86400</f>
        <v/>
      </c>
      <c r="Z52" s="12">
        <f>Y52*365</f>
        <v/>
      </c>
    </row>
    <row r="53">
      <c r="A53" s="9">
        <f>'02_Inputs'!A53</f>
        <v/>
      </c>
      <c r="B53" s="9">
        <f>'02_Inputs'!B53</f>
        <v/>
      </c>
      <c r="C53" s="9">
        <f>'02_Inputs'!C53</f>
        <v/>
      </c>
      <c r="D53" s="11">
        <f>'02_Inputs'!D53</f>
        <v/>
      </c>
      <c r="E53" s="10">
        <f>'02_Inputs'!E53</f>
        <v/>
      </c>
      <c r="F53" s="11">
        <f>D53*E53</f>
        <v/>
      </c>
      <c r="G53" s="9">
        <f>'02_Inputs'!F53</f>
        <v/>
      </c>
      <c r="H53" s="11">
        <f>F53/G53</f>
        <v/>
      </c>
      <c r="I53" s="10">
        <f>'02_Inputs'!G53</f>
        <v/>
      </c>
      <c r="J53" s="11">
        <f>H53*I53</f>
        <v/>
      </c>
      <c r="K53" s="10">
        <f>'02_Inputs'!H53</f>
        <v/>
      </c>
      <c r="L53" s="11">
        <f>J53*K53</f>
        <v/>
      </c>
      <c r="M53" s="11">
        <f>J53*(1-K53)</f>
        <v/>
      </c>
      <c r="N53" s="10">
        <f>'02_GPU_Mix_Input'!D53</f>
        <v/>
      </c>
      <c r="O53" s="10">
        <f>'02_GPU_Mix_Input'!E53</f>
        <v/>
      </c>
      <c r="P53" s="10">
        <f>'02_GPU_Mix_Input'!F53</f>
        <v/>
      </c>
      <c r="Q53" s="10">
        <f>'02_GPU_Mix_Input'!G53</f>
        <v/>
      </c>
      <c r="R53" s="12">
        <f>INDEX('01_Benchmark_Input'!$D$2:$D$10,MATCH(B53,'01_Benchmark_Input'!$A$2:$A$10,0))</f>
        <v/>
      </c>
      <c r="S53" s="12">
        <f>INDEX('01_Benchmark_Input'!$F$2:$F$10,MATCH(B53,'01_Benchmark_Input'!$A$2:$A$10,0))</f>
        <v/>
      </c>
      <c r="T53" s="12">
        <f>INDEX('01_Benchmark_Input'!$H$2:$H$10,MATCH(B53,'01_Benchmark_Input'!$A$2:$A$10,0))</f>
        <v/>
      </c>
      <c r="U53" s="12">
        <f>INDEX('01_Benchmark_Input'!$J$2:$J$10,MATCH(B53,'01_Benchmark_Input'!$A$2:$A$10,0))</f>
        <v/>
      </c>
      <c r="V53" s="10">
        <f>'02_Inputs'!K53</f>
        <v/>
      </c>
      <c r="W53" s="12">
        <f>N53*R53+O53*S53+P53*T53+Q53*U53</f>
        <v/>
      </c>
      <c r="X53" s="12">
        <f>W53*V53</f>
        <v/>
      </c>
      <c r="Y53" s="12">
        <f>L53*1000*X53*86400</f>
        <v/>
      </c>
      <c r="Z53" s="12">
        <f>Y53*365</f>
        <v/>
      </c>
    </row>
    <row r="54">
      <c r="A54" s="9">
        <f>'02_Inputs'!A54</f>
        <v/>
      </c>
      <c r="B54" s="9">
        <f>'02_Inputs'!B54</f>
        <v/>
      </c>
      <c r="C54" s="9">
        <f>'02_Inputs'!C54</f>
        <v/>
      </c>
      <c r="D54" s="11">
        <f>'02_Inputs'!D54</f>
        <v/>
      </c>
      <c r="E54" s="10">
        <f>'02_Inputs'!E54</f>
        <v/>
      </c>
      <c r="F54" s="11">
        <f>D54*E54</f>
        <v/>
      </c>
      <c r="G54" s="9">
        <f>'02_Inputs'!F54</f>
        <v/>
      </c>
      <c r="H54" s="11">
        <f>F54/G54</f>
        <v/>
      </c>
      <c r="I54" s="10">
        <f>'02_Inputs'!G54</f>
        <v/>
      </c>
      <c r="J54" s="11">
        <f>H54*I54</f>
        <v/>
      </c>
      <c r="K54" s="10">
        <f>'02_Inputs'!H54</f>
        <v/>
      </c>
      <c r="L54" s="11">
        <f>J54*K54</f>
        <v/>
      </c>
      <c r="M54" s="11">
        <f>J54*(1-K54)</f>
        <v/>
      </c>
      <c r="N54" s="10">
        <f>'02_GPU_Mix_Input'!D54</f>
        <v/>
      </c>
      <c r="O54" s="10">
        <f>'02_GPU_Mix_Input'!E54</f>
        <v/>
      </c>
      <c r="P54" s="10">
        <f>'02_GPU_Mix_Input'!F54</f>
        <v/>
      </c>
      <c r="Q54" s="10">
        <f>'02_GPU_Mix_Input'!G54</f>
        <v/>
      </c>
      <c r="R54" s="12">
        <f>INDEX('01_Benchmark_Input'!$D$2:$D$10,MATCH(B54,'01_Benchmark_Input'!$A$2:$A$10,0))</f>
        <v/>
      </c>
      <c r="S54" s="12">
        <f>INDEX('01_Benchmark_Input'!$F$2:$F$10,MATCH(B54,'01_Benchmark_Input'!$A$2:$A$10,0))</f>
        <v/>
      </c>
      <c r="T54" s="12">
        <f>INDEX('01_Benchmark_Input'!$H$2:$H$10,MATCH(B54,'01_Benchmark_Input'!$A$2:$A$10,0))</f>
        <v/>
      </c>
      <c r="U54" s="12">
        <f>INDEX('01_Benchmark_Input'!$J$2:$J$10,MATCH(B54,'01_Benchmark_Input'!$A$2:$A$10,0))</f>
        <v/>
      </c>
      <c r="V54" s="10">
        <f>'02_Inputs'!K54</f>
        <v/>
      </c>
      <c r="W54" s="12">
        <f>N54*R54+O54*S54+P54*T54+Q54*U54</f>
        <v/>
      </c>
      <c r="X54" s="12">
        <f>W54*V54</f>
        <v/>
      </c>
      <c r="Y54" s="12">
        <f>L54*1000*X54*86400</f>
        <v/>
      </c>
      <c r="Z54" s="12">
        <f>Y54*365</f>
        <v/>
      </c>
    </row>
    <row r="55">
      <c r="A55" s="9">
        <f>'02_Inputs'!A55</f>
        <v/>
      </c>
      <c r="B55" s="9">
        <f>'02_Inputs'!B55</f>
        <v/>
      </c>
      <c r="C55" s="9">
        <f>'02_Inputs'!C55</f>
        <v/>
      </c>
      <c r="D55" s="11">
        <f>'02_Inputs'!D55</f>
        <v/>
      </c>
      <c r="E55" s="10">
        <f>'02_Inputs'!E55</f>
        <v/>
      </c>
      <c r="F55" s="11">
        <f>D55*E55</f>
        <v/>
      </c>
      <c r="G55" s="9">
        <f>'02_Inputs'!F55</f>
        <v/>
      </c>
      <c r="H55" s="11">
        <f>F55/G55</f>
        <v/>
      </c>
      <c r="I55" s="10">
        <f>'02_Inputs'!G55</f>
        <v/>
      </c>
      <c r="J55" s="11">
        <f>H55*I55</f>
        <v/>
      </c>
      <c r="K55" s="10">
        <f>'02_Inputs'!H55</f>
        <v/>
      </c>
      <c r="L55" s="11">
        <f>J55*K55</f>
        <v/>
      </c>
      <c r="M55" s="11">
        <f>J55*(1-K55)</f>
        <v/>
      </c>
      <c r="N55" s="10">
        <f>'02_GPU_Mix_Input'!D55</f>
        <v/>
      </c>
      <c r="O55" s="10">
        <f>'02_GPU_Mix_Input'!E55</f>
        <v/>
      </c>
      <c r="P55" s="10">
        <f>'02_GPU_Mix_Input'!F55</f>
        <v/>
      </c>
      <c r="Q55" s="10">
        <f>'02_GPU_Mix_Input'!G55</f>
        <v/>
      </c>
      <c r="R55" s="12">
        <f>INDEX('01_Benchmark_Input'!$D$2:$D$10,MATCH(B55,'01_Benchmark_Input'!$A$2:$A$10,0))</f>
        <v/>
      </c>
      <c r="S55" s="12">
        <f>INDEX('01_Benchmark_Input'!$F$2:$F$10,MATCH(B55,'01_Benchmark_Input'!$A$2:$A$10,0))</f>
        <v/>
      </c>
      <c r="T55" s="12">
        <f>INDEX('01_Benchmark_Input'!$H$2:$H$10,MATCH(B55,'01_Benchmark_Input'!$A$2:$A$10,0))</f>
        <v/>
      </c>
      <c r="U55" s="12">
        <f>INDEX('01_Benchmark_Input'!$J$2:$J$10,MATCH(B55,'01_Benchmark_Input'!$A$2:$A$10,0))</f>
        <v/>
      </c>
      <c r="V55" s="10">
        <f>'02_Inputs'!K55</f>
        <v/>
      </c>
      <c r="W55" s="12">
        <f>N55*R55+O55*S55+P55*T55+Q55*U55</f>
        <v/>
      </c>
      <c r="X55" s="12">
        <f>W55*V55</f>
        <v/>
      </c>
      <c r="Y55" s="12">
        <f>L55*1000*X55*86400</f>
        <v/>
      </c>
      <c r="Z55" s="12">
        <f>Y55*365</f>
        <v/>
      </c>
    </row>
    <row r="56">
      <c r="A56" s="9">
        <f>'02_Inputs'!A56</f>
        <v/>
      </c>
      <c r="B56" s="9">
        <f>'02_Inputs'!B56</f>
        <v/>
      </c>
      <c r="C56" s="9">
        <f>'02_Inputs'!C56</f>
        <v/>
      </c>
      <c r="D56" s="11">
        <f>'02_Inputs'!D56</f>
        <v/>
      </c>
      <c r="E56" s="10">
        <f>'02_Inputs'!E56</f>
        <v/>
      </c>
      <c r="F56" s="11">
        <f>D56*E56</f>
        <v/>
      </c>
      <c r="G56" s="9">
        <f>'02_Inputs'!F56</f>
        <v/>
      </c>
      <c r="H56" s="11">
        <f>F56/G56</f>
        <v/>
      </c>
      <c r="I56" s="10">
        <f>'02_Inputs'!G56</f>
        <v/>
      </c>
      <c r="J56" s="11">
        <f>H56*I56</f>
        <v/>
      </c>
      <c r="K56" s="10">
        <f>'02_Inputs'!H56</f>
        <v/>
      </c>
      <c r="L56" s="11">
        <f>J56*K56</f>
        <v/>
      </c>
      <c r="M56" s="11">
        <f>J56*(1-K56)</f>
        <v/>
      </c>
      <c r="N56" s="10">
        <f>'02_GPU_Mix_Input'!D56</f>
        <v/>
      </c>
      <c r="O56" s="10">
        <f>'02_GPU_Mix_Input'!E56</f>
        <v/>
      </c>
      <c r="P56" s="10">
        <f>'02_GPU_Mix_Input'!F56</f>
        <v/>
      </c>
      <c r="Q56" s="10">
        <f>'02_GPU_Mix_Input'!G56</f>
        <v/>
      </c>
      <c r="R56" s="12">
        <f>INDEX('01_Benchmark_Input'!$D$2:$D$10,MATCH(B56,'01_Benchmark_Input'!$A$2:$A$10,0))</f>
        <v/>
      </c>
      <c r="S56" s="12">
        <f>INDEX('01_Benchmark_Input'!$F$2:$F$10,MATCH(B56,'01_Benchmark_Input'!$A$2:$A$10,0))</f>
        <v/>
      </c>
      <c r="T56" s="12">
        <f>INDEX('01_Benchmark_Input'!$H$2:$H$10,MATCH(B56,'01_Benchmark_Input'!$A$2:$A$10,0))</f>
        <v/>
      </c>
      <c r="U56" s="12">
        <f>INDEX('01_Benchmark_Input'!$J$2:$J$10,MATCH(B56,'01_Benchmark_Input'!$A$2:$A$10,0))</f>
        <v/>
      </c>
      <c r="V56" s="10">
        <f>'02_Inputs'!K56</f>
        <v/>
      </c>
      <c r="W56" s="12">
        <f>N56*R56+O56*S56+P56*T56+Q56*U56</f>
        <v/>
      </c>
      <c r="X56" s="12">
        <f>W56*V56</f>
        <v/>
      </c>
      <c r="Y56" s="12">
        <f>L56*1000*X56*86400</f>
        <v/>
      </c>
      <c r="Z56" s="12">
        <f>Y56*365</f>
        <v/>
      </c>
    </row>
    <row r="57">
      <c r="A57" s="9">
        <f>'02_Inputs'!A57</f>
        <v/>
      </c>
      <c r="B57" s="9">
        <f>'02_Inputs'!B57</f>
        <v/>
      </c>
      <c r="C57" s="9">
        <f>'02_Inputs'!C57</f>
        <v/>
      </c>
      <c r="D57" s="11">
        <f>'02_Inputs'!D57</f>
        <v/>
      </c>
      <c r="E57" s="10">
        <f>'02_Inputs'!E57</f>
        <v/>
      </c>
      <c r="F57" s="11">
        <f>D57*E57</f>
        <v/>
      </c>
      <c r="G57" s="9">
        <f>'02_Inputs'!F57</f>
        <v/>
      </c>
      <c r="H57" s="11">
        <f>F57/G57</f>
        <v/>
      </c>
      <c r="I57" s="10">
        <f>'02_Inputs'!G57</f>
        <v/>
      </c>
      <c r="J57" s="11">
        <f>H57*I57</f>
        <v/>
      </c>
      <c r="K57" s="10">
        <f>'02_Inputs'!H57</f>
        <v/>
      </c>
      <c r="L57" s="11">
        <f>J57*K57</f>
        <v/>
      </c>
      <c r="M57" s="11">
        <f>J57*(1-K57)</f>
        <v/>
      </c>
      <c r="N57" s="10">
        <f>'02_GPU_Mix_Input'!D57</f>
        <v/>
      </c>
      <c r="O57" s="10">
        <f>'02_GPU_Mix_Input'!E57</f>
        <v/>
      </c>
      <c r="P57" s="10">
        <f>'02_GPU_Mix_Input'!F57</f>
        <v/>
      </c>
      <c r="Q57" s="10">
        <f>'02_GPU_Mix_Input'!G57</f>
        <v/>
      </c>
      <c r="R57" s="12">
        <f>INDEX('01_Benchmark_Input'!$D$2:$D$10,MATCH(B57,'01_Benchmark_Input'!$A$2:$A$10,0))</f>
        <v/>
      </c>
      <c r="S57" s="12">
        <f>INDEX('01_Benchmark_Input'!$F$2:$F$10,MATCH(B57,'01_Benchmark_Input'!$A$2:$A$10,0))</f>
        <v/>
      </c>
      <c r="T57" s="12">
        <f>INDEX('01_Benchmark_Input'!$H$2:$H$10,MATCH(B57,'01_Benchmark_Input'!$A$2:$A$10,0))</f>
        <v/>
      </c>
      <c r="U57" s="12">
        <f>INDEX('01_Benchmark_Input'!$J$2:$J$10,MATCH(B57,'01_Benchmark_Input'!$A$2:$A$10,0))</f>
        <v/>
      </c>
      <c r="V57" s="10">
        <f>'02_Inputs'!K57</f>
        <v/>
      </c>
      <c r="W57" s="12">
        <f>N57*R57+O57*S57+P57*T57+Q57*U57</f>
        <v/>
      </c>
      <c r="X57" s="12">
        <f>W57*V57</f>
        <v/>
      </c>
      <c r="Y57" s="12">
        <f>L57*1000*X57*86400</f>
        <v/>
      </c>
      <c r="Z57" s="12">
        <f>Y57*365</f>
        <v/>
      </c>
    </row>
    <row r="58">
      <c r="A58" s="9">
        <f>'02_Inputs'!A58</f>
        <v/>
      </c>
      <c r="B58" s="9">
        <f>'02_Inputs'!B58</f>
        <v/>
      </c>
      <c r="C58" s="9">
        <f>'02_Inputs'!C58</f>
        <v/>
      </c>
      <c r="D58" s="11">
        <f>'02_Inputs'!D58</f>
        <v/>
      </c>
      <c r="E58" s="10">
        <f>'02_Inputs'!E58</f>
        <v/>
      </c>
      <c r="F58" s="11">
        <f>D58*E58</f>
        <v/>
      </c>
      <c r="G58" s="9">
        <f>'02_Inputs'!F58</f>
        <v/>
      </c>
      <c r="H58" s="11">
        <f>F58/G58</f>
        <v/>
      </c>
      <c r="I58" s="10">
        <f>'02_Inputs'!G58</f>
        <v/>
      </c>
      <c r="J58" s="11">
        <f>H58*I58</f>
        <v/>
      </c>
      <c r="K58" s="10">
        <f>'02_Inputs'!H58</f>
        <v/>
      </c>
      <c r="L58" s="11">
        <f>J58*K58</f>
        <v/>
      </c>
      <c r="M58" s="11">
        <f>J58*(1-K58)</f>
        <v/>
      </c>
      <c r="N58" s="10">
        <f>'02_GPU_Mix_Input'!D58</f>
        <v/>
      </c>
      <c r="O58" s="10">
        <f>'02_GPU_Mix_Input'!E58</f>
        <v/>
      </c>
      <c r="P58" s="10">
        <f>'02_GPU_Mix_Input'!F58</f>
        <v/>
      </c>
      <c r="Q58" s="10">
        <f>'02_GPU_Mix_Input'!G58</f>
        <v/>
      </c>
      <c r="R58" s="12">
        <f>INDEX('01_Benchmark_Input'!$D$2:$D$10,MATCH(B58,'01_Benchmark_Input'!$A$2:$A$10,0))</f>
        <v/>
      </c>
      <c r="S58" s="12">
        <f>INDEX('01_Benchmark_Input'!$F$2:$F$10,MATCH(B58,'01_Benchmark_Input'!$A$2:$A$10,0))</f>
        <v/>
      </c>
      <c r="T58" s="12">
        <f>INDEX('01_Benchmark_Input'!$H$2:$H$10,MATCH(B58,'01_Benchmark_Input'!$A$2:$A$10,0))</f>
        <v/>
      </c>
      <c r="U58" s="12">
        <f>INDEX('01_Benchmark_Input'!$J$2:$J$10,MATCH(B58,'01_Benchmark_Input'!$A$2:$A$10,0))</f>
        <v/>
      </c>
      <c r="V58" s="10">
        <f>'02_Inputs'!K58</f>
        <v/>
      </c>
      <c r="W58" s="12">
        <f>N58*R58+O58*S58+P58*T58+Q58*U58</f>
        <v/>
      </c>
      <c r="X58" s="12">
        <f>W58*V58</f>
        <v/>
      </c>
      <c r="Y58" s="12">
        <f>L58*1000*X58*86400</f>
        <v/>
      </c>
      <c r="Z58" s="12">
        <f>Y58*365</f>
        <v/>
      </c>
    </row>
    <row r="59">
      <c r="A59" s="9">
        <f>'02_Inputs'!A59</f>
        <v/>
      </c>
      <c r="B59" s="9">
        <f>'02_Inputs'!B59</f>
        <v/>
      </c>
      <c r="C59" s="9">
        <f>'02_Inputs'!C59</f>
        <v/>
      </c>
      <c r="D59" s="11">
        <f>'02_Inputs'!D59</f>
        <v/>
      </c>
      <c r="E59" s="10">
        <f>'02_Inputs'!E59</f>
        <v/>
      </c>
      <c r="F59" s="11">
        <f>D59*E59</f>
        <v/>
      </c>
      <c r="G59" s="9">
        <f>'02_Inputs'!F59</f>
        <v/>
      </c>
      <c r="H59" s="11">
        <f>F59/G59</f>
        <v/>
      </c>
      <c r="I59" s="10">
        <f>'02_Inputs'!G59</f>
        <v/>
      </c>
      <c r="J59" s="11">
        <f>H59*I59</f>
        <v/>
      </c>
      <c r="K59" s="10">
        <f>'02_Inputs'!H59</f>
        <v/>
      </c>
      <c r="L59" s="11">
        <f>J59*K59</f>
        <v/>
      </c>
      <c r="M59" s="11">
        <f>J59*(1-K59)</f>
        <v/>
      </c>
      <c r="N59" s="10">
        <f>'02_GPU_Mix_Input'!D59</f>
        <v/>
      </c>
      <c r="O59" s="10">
        <f>'02_GPU_Mix_Input'!E59</f>
        <v/>
      </c>
      <c r="P59" s="10">
        <f>'02_GPU_Mix_Input'!F59</f>
        <v/>
      </c>
      <c r="Q59" s="10">
        <f>'02_GPU_Mix_Input'!G59</f>
        <v/>
      </c>
      <c r="R59" s="12">
        <f>INDEX('01_Benchmark_Input'!$D$2:$D$10,MATCH(B59,'01_Benchmark_Input'!$A$2:$A$10,0))</f>
        <v/>
      </c>
      <c r="S59" s="12">
        <f>INDEX('01_Benchmark_Input'!$F$2:$F$10,MATCH(B59,'01_Benchmark_Input'!$A$2:$A$10,0))</f>
        <v/>
      </c>
      <c r="T59" s="12">
        <f>INDEX('01_Benchmark_Input'!$H$2:$H$10,MATCH(B59,'01_Benchmark_Input'!$A$2:$A$10,0))</f>
        <v/>
      </c>
      <c r="U59" s="12">
        <f>INDEX('01_Benchmark_Input'!$J$2:$J$10,MATCH(B59,'01_Benchmark_Input'!$A$2:$A$10,0))</f>
        <v/>
      </c>
      <c r="V59" s="10">
        <f>'02_Inputs'!K59</f>
        <v/>
      </c>
      <c r="W59" s="12">
        <f>N59*R59+O59*S59+P59*T59+Q59*U59</f>
        <v/>
      </c>
      <c r="X59" s="12">
        <f>W59*V59</f>
        <v/>
      </c>
      <c r="Y59" s="12">
        <f>L59*1000*X59*86400</f>
        <v/>
      </c>
      <c r="Z59" s="12">
        <f>Y59*365</f>
        <v/>
      </c>
    </row>
    <row r="60">
      <c r="A60" s="9">
        <f>'02_Inputs'!A60</f>
        <v/>
      </c>
      <c r="B60" s="9">
        <f>'02_Inputs'!B60</f>
        <v/>
      </c>
      <c r="C60" s="9">
        <f>'02_Inputs'!C60</f>
        <v/>
      </c>
      <c r="D60" s="11">
        <f>'02_Inputs'!D60</f>
        <v/>
      </c>
      <c r="E60" s="10">
        <f>'02_Inputs'!E60</f>
        <v/>
      </c>
      <c r="F60" s="11">
        <f>D60*E60</f>
        <v/>
      </c>
      <c r="G60" s="9">
        <f>'02_Inputs'!F60</f>
        <v/>
      </c>
      <c r="H60" s="11">
        <f>F60/G60</f>
        <v/>
      </c>
      <c r="I60" s="10">
        <f>'02_Inputs'!G60</f>
        <v/>
      </c>
      <c r="J60" s="11">
        <f>H60*I60</f>
        <v/>
      </c>
      <c r="K60" s="10">
        <f>'02_Inputs'!H60</f>
        <v/>
      </c>
      <c r="L60" s="11">
        <f>J60*K60</f>
        <v/>
      </c>
      <c r="M60" s="11">
        <f>J60*(1-K60)</f>
        <v/>
      </c>
      <c r="N60" s="10">
        <f>'02_GPU_Mix_Input'!D60</f>
        <v/>
      </c>
      <c r="O60" s="10">
        <f>'02_GPU_Mix_Input'!E60</f>
        <v/>
      </c>
      <c r="P60" s="10">
        <f>'02_GPU_Mix_Input'!F60</f>
        <v/>
      </c>
      <c r="Q60" s="10">
        <f>'02_GPU_Mix_Input'!G60</f>
        <v/>
      </c>
      <c r="R60" s="12">
        <f>INDEX('01_Benchmark_Input'!$D$2:$D$10,MATCH(B60,'01_Benchmark_Input'!$A$2:$A$10,0))</f>
        <v/>
      </c>
      <c r="S60" s="12">
        <f>INDEX('01_Benchmark_Input'!$F$2:$F$10,MATCH(B60,'01_Benchmark_Input'!$A$2:$A$10,0))</f>
        <v/>
      </c>
      <c r="T60" s="12">
        <f>INDEX('01_Benchmark_Input'!$H$2:$H$10,MATCH(B60,'01_Benchmark_Input'!$A$2:$A$10,0))</f>
        <v/>
      </c>
      <c r="U60" s="12">
        <f>INDEX('01_Benchmark_Input'!$J$2:$J$10,MATCH(B60,'01_Benchmark_Input'!$A$2:$A$10,0))</f>
        <v/>
      </c>
      <c r="V60" s="10">
        <f>'02_Inputs'!K60</f>
        <v/>
      </c>
      <c r="W60" s="12">
        <f>N60*R60+O60*S60+P60*T60+Q60*U60</f>
        <v/>
      </c>
      <c r="X60" s="12">
        <f>W60*V60</f>
        <v/>
      </c>
      <c r="Y60" s="12">
        <f>L60*1000*X60*86400</f>
        <v/>
      </c>
      <c r="Z60" s="12">
        <f>Y60*365</f>
        <v/>
      </c>
    </row>
    <row r="61">
      <c r="A61" s="9">
        <f>'02_Inputs'!A61</f>
        <v/>
      </c>
      <c r="B61" s="9">
        <f>'02_Inputs'!B61</f>
        <v/>
      </c>
      <c r="C61" s="9">
        <f>'02_Inputs'!C61</f>
        <v/>
      </c>
      <c r="D61" s="11">
        <f>'02_Inputs'!D61</f>
        <v/>
      </c>
      <c r="E61" s="10">
        <f>'02_Inputs'!E61</f>
        <v/>
      </c>
      <c r="F61" s="11">
        <f>D61*E61</f>
        <v/>
      </c>
      <c r="G61" s="9">
        <f>'02_Inputs'!F61</f>
        <v/>
      </c>
      <c r="H61" s="11">
        <f>F61/G61</f>
        <v/>
      </c>
      <c r="I61" s="10">
        <f>'02_Inputs'!G61</f>
        <v/>
      </c>
      <c r="J61" s="11">
        <f>H61*I61</f>
        <v/>
      </c>
      <c r="K61" s="10">
        <f>'02_Inputs'!H61</f>
        <v/>
      </c>
      <c r="L61" s="11">
        <f>J61*K61</f>
        <v/>
      </c>
      <c r="M61" s="11">
        <f>J61*(1-K61)</f>
        <v/>
      </c>
      <c r="N61" s="10">
        <f>'02_GPU_Mix_Input'!D61</f>
        <v/>
      </c>
      <c r="O61" s="10">
        <f>'02_GPU_Mix_Input'!E61</f>
        <v/>
      </c>
      <c r="P61" s="10">
        <f>'02_GPU_Mix_Input'!F61</f>
        <v/>
      </c>
      <c r="Q61" s="10">
        <f>'02_GPU_Mix_Input'!G61</f>
        <v/>
      </c>
      <c r="R61" s="12">
        <f>INDEX('01_Benchmark_Input'!$D$2:$D$10,MATCH(B61,'01_Benchmark_Input'!$A$2:$A$10,0))</f>
        <v/>
      </c>
      <c r="S61" s="12">
        <f>INDEX('01_Benchmark_Input'!$F$2:$F$10,MATCH(B61,'01_Benchmark_Input'!$A$2:$A$10,0))</f>
        <v/>
      </c>
      <c r="T61" s="12">
        <f>INDEX('01_Benchmark_Input'!$H$2:$H$10,MATCH(B61,'01_Benchmark_Input'!$A$2:$A$10,0))</f>
        <v/>
      </c>
      <c r="U61" s="12">
        <f>INDEX('01_Benchmark_Input'!$J$2:$J$10,MATCH(B61,'01_Benchmark_Input'!$A$2:$A$10,0))</f>
        <v/>
      </c>
      <c r="V61" s="10">
        <f>'02_Inputs'!K61</f>
        <v/>
      </c>
      <c r="W61" s="12">
        <f>N61*R61+O61*S61+P61*T61+Q61*U61</f>
        <v/>
      </c>
      <c r="X61" s="12">
        <f>W61*V61</f>
        <v/>
      </c>
      <c r="Y61" s="12">
        <f>L61*1000*X61*86400</f>
        <v/>
      </c>
      <c r="Z61" s="12">
        <f>Y61*365</f>
        <v/>
      </c>
    </row>
    <row r="62">
      <c r="A62" s="9">
        <f>'02_Inputs'!A62</f>
        <v/>
      </c>
      <c r="B62" s="9">
        <f>'02_Inputs'!B62</f>
        <v/>
      </c>
      <c r="C62" s="9">
        <f>'02_Inputs'!C62</f>
        <v/>
      </c>
      <c r="D62" s="11">
        <f>'02_Inputs'!D62</f>
        <v/>
      </c>
      <c r="E62" s="10">
        <f>'02_Inputs'!E62</f>
        <v/>
      </c>
      <c r="F62" s="11">
        <f>D62*E62</f>
        <v/>
      </c>
      <c r="G62" s="9">
        <f>'02_Inputs'!F62</f>
        <v/>
      </c>
      <c r="H62" s="11">
        <f>F62/G62</f>
        <v/>
      </c>
      <c r="I62" s="10">
        <f>'02_Inputs'!G62</f>
        <v/>
      </c>
      <c r="J62" s="11">
        <f>H62*I62</f>
        <v/>
      </c>
      <c r="K62" s="10">
        <f>'02_Inputs'!H62</f>
        <v/>
      </c>
      <c r="L62" s="11">
        <f>J62*K62</f>
        <v/>
      </c>
      <c r="M62" s="11">
        <f>J62*(1-K62)</f>
        <v/>
      </c>
      <c r="N62" s="10">
        <f>'02_GPU_Mix_Input'!D62</f>
        <v/>
      </c>
      <c r="O62" s="10">
        <f>'02_GPU_Mix_Input'!E62</f>
        <v/>
      </c>
      <c r="P62" s="10">
        <f>'02_GPU_Mix_Input'!F62</f>
        <v/>
      </c>
      <c r="Q62" s="10">
        <f>'02_GPU_Mix_Input'!G62</f>
        <v/>
      </c>
      <c r="R62" s="12">
        <f>INDEX('01_Benchmark_Input'!$D$2:$D$10,MATCH(B62,'01_Benchmark_Input'!$A$2:$A$10,0))</f>
        <v/>
      </c>
      <c r="S62" s="12">
        <f>INDEX('01_Benchmark_Input'!$F$2:$F$10,MATCH(B62,'01_Benchmark_Input'!$A$2:$A$10,0))</f>
        <v/>
      </c>
      <c r="T62" s="12">
        <f>INDEX('01_Benchmark_Input'!$H$2:$H$10,MATCH(B62,'01_Benchmark_Input'!$A$2:$A$10,0))</f>
        <v/>
      </c>
      <c r="U62" s="12">
        <f>INDEX('01_Benchmark_Input'!$J$2:$J$10,MATCH(B62,'01_Benchmark_Input'!$A$2:$A$10,0))</f>
        <v/>
      </c>
      <c r="V62" s="10">
        <f>'02_Inputs'!K62</f>
        <v/>
      </c>
      <c r="W62" s="12">
        <f>N62*R62+O62*S62+P62*T62+Q62*U62</f>
        <v/>
      </c>
      <c r="X62" s="12">
        <f>W62*V62</f>
        <v/>
      </c>
      <c r="Y62" s="12">
        <f>L62*1000*X62*86400</f>
        <v/>
      </c>
      <c r="Z62" s="12">
        <f>Y62*365</f>
        <v/>
      </c>
    </row>
    <row r="63">
      <c r="A63" s="9">
        <f>'02_Inputs'!A63</f>
        <v/>
      </c>
      <c r="B63" s="9">
        <f>'02_Inputs'!B63</f>
        <v/>
      </c>
      <c r="C63" s="9">
        <f>'02_Inputs'!C63</f>
        <v/>
      </c>
      <c r="D63" s="11">
        <f>'02_Inputs'!D63</f>
        <v/>
      </c>
      <c r="E63" s="10">
        <f>'02_Inputs'!E63</f>
        <v/>
      </c>
      <c r="F63" s="11">
        <f>D63*E63</f>
        <v/>
      </c>
      <c r="G63" s="9">
        <f>'02_Inputs'!F63</f>
        <v/>
      </c>
      <c r="H63" s="11">
        <f>F63/G63</f>
        <v/>
      </c>
      <c r="I63" s="10">
        <f>'02_Inputs'!G63</f>
        <v/>
      </c>
      <c r="J63" s="11">
        <f>H63*I63</f>
        <v/>
      </c>
      <c r="K63" s="10">
        <f>'02_Inputs'!H63</f>
        <v/>
      </c>
      <c r="L63" s="11">
        <f>J63*K63</f>
        <v/>
      </c>
      <c r="M63" s="11">
        <f>J63*(1-K63)</f>
        <v/>
      </c>
      <c r="N63" s="10">
        <f>'02_GPU_Mix_Input'!D63</f>
        <v/>
      </c>
      <c r="O63" s="10">
        <f>'02_GPU_Mix_Input'!E63</f>
        <v/>
      </c>
      <c r="P63" s="10">
        <f>'02_GPU_Mix_Input'!F63</f>
        <v/>
      </c>
      <c r="Q63" s="10">
        <f>'02_GPU_Mix_Input'!G63</f>
        <v/>
      </c>
      <c r="R63" s="12">
        <f>INDEX('01_Benchmark_Input'!$D$2:$D$10,MATCH(B63,'01_Benchmark_Input'!$A$2:$A$10,0))</f>
        <v/>
      </c>
      <c r="S63" s="12">
        <f>INDEX('01_Benchmark_Input'!$F$2:$F$10,MATCH(B63,'01_Benchmark_Input'!$A$2:$A$10,0))</f>
        <v/>
      </c>
      <c r="T63" s="12">
        <f>INDEX('01_Benchmark_Input'!$H$2:$H$10,MATCH(B63,'01_Benchmark_Input'!$A$2:$A$10,0))</f>
        <v/>
      </c>
      <c r="U63" s="12">
        <f>INDEX('01_Benchmark_Input'!$J$2:$J$10,MATCH(B63,'01_Benchmark_Input'!$A$2:$A$10,0))</f>
        <v/>
      </c>
      <c r="V63" s="10">
        <f>'02_Inputs'!K63</f>
        <v/>
      </c>
      <c r="W63" s="12">
        <f>N63*R63+O63*S63+P63*T63+Q63*U63</f>
        <v/>
      </c>
      <c r="X63" s="12">
        <f>W63*V63</f>
        <v/>
      </c>
      <c r="Y63" s="12">
        <f>L63*1000*X63*86400</f>
        <v/>
      </c>
      <c r="Z63" s="12">
        <f>Y63*365</f>
        <v/>
      </c>
    </row>
    <row r="64">
      <c r="A64" s="9">
        <f>'02_Inputs'!A64</f>
        <v/>
      </c>
      <c r="B64" s="9">
        <f>'02_Inputs'!B64</f>
        <v/>
      </c>
      <c r="C64" s="9">
        <f>'02_Inputs'!C64</f>
        <v/>
      </c>
      <c r="D64" s="11">
        <f>'02_Inputs'!D64</f>
        <v/>
      </c>
      <c r="E64" s="10">
        <f>'02_Inputs'!E64</f>
        <v/>
      </c>
      <c r="F64" s="11">
        <f>D64*E64</f>
        <v/>
      </c>
      <c r="G64" s="9">
        <f>'02_Inputs'!F64</f>
        <v/>
      </c>
      <c r="H64" s="11">
        <f>F64/G64</f>
        <v/>
      </c>
      <c r="I64" s="10">
        <f>'02_Inputs'!G64</f>
        <v/>
      </c>
      <c r="J64" s="11">
        <f>H64*I64</f>
        <v/>
      </c>
      <c r="K64" s="10">
        <f>'02_Inputs'!H64</f>
        <v/>
      </c>
      <c r="L64" s="11">
        <f>J64*K64</f>
        <v/>
      </c>
      <c r="M64" s="11">
        <f>J64*(1-K64)</f>
        <v/>
      </c>
      <c r="N64" s="10">
        <f>'02_GPU_Mix_Input'!D64</f>
        <v/>
      </c>
      <c r="O64" s="10">
        <f>'02_GPU_Mix_Input'!E64</f>
        <v/>
      </c>
      <c r="P64" s="10">
        <f>'02_GPU_Mix_Input'!F64</f>
        <v/>
      </c>
      <c r="Q64" s="10">
        <f>'02_GPU_Mix_Input'!G64</f>
        <v/>
      </c>
      <c r="R64" s="12">
        <f>INDEX('01_Benchmark_Input'!$D$2:$D$10,MATCH(B64,'01_Benchmark_Input'!$A$2:$A$10,0))</f>
        <v/>
      </c>
      <c r="S64" s="12">
        <f>INDEX('01_Benchmark_Input'!$F$2:$F$10,MATCH(B64,'01_Benchmark_Input'!$A$2:$A$10,0))</f>
        <v/>
      </c>
      <c r="T64" s="12">
        <f>INDEX('01_Benchmark_Input'!$H$2:$H$10,MATCH(B64,'01_Benchmark_Input'!$A$2:$A$10,0))</f>
        <v/>
      </c>
      <c r="U64" s="12">
        <f>INDEX('01_Benchmark_Input'!$J$2:$J$10,MATCH(B64,'01_Benchmark_Input'!$A$2:$A$10,0))</f>
        <v/>
      </c>
      <c r="V64" s="10">
        <f>'02_Inputs'!K64</f>
        <v/>
      </c>
      <c r="W64" s="12">
        <f>N64*R64+O64*S64+P64*T64+Q64*U64</f>
        <v/>
      </c>
      <c r="X64" s="12">
        <f>W64*V64</f>
        <v/>
      </c>
      <c r="Y64" s="12">
        <f>L64*1000*X64*86400</f>
        <v/>
      </c>
      <c r="Z64" s="12">
        <f>Y64*365</f>
        <v/>
      </c>
    </row>
    <row r="65">
      <c r="A65" s="9">
        <f>'02_Inputs'!A65</f>
        <v/>
      </c>
      <c r="B65" s="9">
        <f>'02_Inputs'!B65</f>
        <v/>
      </c>
      <c r="C65" s="9">
        <f>'02_Inputs'!C65</f>
        <v/>
      </c>
      <c r="D65" s="11">
        <f>'02_Inputs'!D65</f>
        <v/>
      </c>
      <c r="E65" s="10">
        <f>'02_Inputs'!E65</f>
        <v/>
      </c>
      <c r="F65" s="11">
        <f>D65*E65</f>
        <v/>
      </c>
      <c r="G65" s="9">
        <f>'02_Inputs'!F65</f>
        <v/>
      </c>
      <c r="H65" s="11">
        <f>F65/G65</f>
        <v/>
      </c>
      <c r="I65" s="10">
        <f>'02_Inputs'!G65</f>
        <v/>
      </c>
      <c r="J65" s="11">
        <f>H65*I65</f>
        <v/>
      </c>
      <c r="K65" s="10">
        <f>'02_Inputs'!H65</f>
        <v/>
      </c>
      <c r="L65" s="11">
        <f>J65*K65</f>
        <v/>
      </c>
      <c r="M65" s="11">
        <f>J65*(1-K65)</f>
        <v/>
      </c>
      <c r="N65" s="10">
        <f>'02_GPU_Mix_Input'!D65</f>
        <v/>
      </c>
      <c r="O65" s="10">
        <f>'02_GPU_Mix_Input'!E65</f>
        <v/>
      </c>
      <c r="P65" s="10">
        <f>'02_GPU_Mix_Input'!F65</f>
        <v/>
      </c>
      <c r="Q65" s="10">
        <f>'02_GPU_Mix_Input'!G65</f>
        <v/>
      </c>
      <c r="R65" s="12">
        <f>INDEX('01_Benchmark_Input'!$D$2:$D$10,MATCH(B65,'01_Benchmark_Input'!$A$2:$A$10,0))</f>
        <v/>
      </c>
      <c r="S65" s="12">
        <f>INDEX('01_Benchmark_Input'!$F$2:$F$10,MATCH(B65,'01_Benchmark_Input'!$A$2:$A$10,0))</f>
        <v/>
      </c>
      <c r="T65" s="12">
        <f>INDEX('01_Benchmark_Input'!$H$2:$H$10,MATCH(B65,'01_Benchmark_Input'!$A$2:$A$10,0))</f>
        <v/>
      </c>
      <c r="U65" s="12">
        <f>INDEX('01_Benchmark_Input'!$J$2:$J$10,MATCH(B65,'01_Benchmark_Input'!$A$2:$A$10,0))</f>
        <v/>
      </c>
      <c r="V65" s="10">
        <f>'02_Inputs'!K65</f>
        <v/>
      </c>
      <c r="W65" s="12">
        <f>N65*R65+O65*S65+P65*T65+Q65*U65</f>
        <v/>
      </c>
      <c r="X65" s="12">
        <f>W65*V65</f>
        <v/>
      </c>
      <c r="Y65" s="12">
        <f>L65*1000*X65*86400</f>
        <v/>
      </c>
      <c r="Z65" s="12">
        <f>Y65*365</f>
        <v/>
      </c>
    </row>
    <row r="66">
      <c r="A66" s="9">
        <f>'02_Inputs'!A66</f>
        <v/>
      </c>
      <c r="B66" s="9">
        <f>'02_Inputs'!B66</f>
        <v/>
      </c>
      <c r="C66" s="9">
        <f>'02_Inputs'!C66</f>
        <v/>
      </c>
      <c r="D66" s="11">
        <f>'02_Inputs'!D66</f>
        <v/>
      </c>
      <c r="E66" s="10">
        <f>'02_Inputs'!E66</f>
        <v/>
      </c>
      <c r="F66" s="11">
        <f>D66*E66</f>
        <v/>
      </c>
      <c r="G66" s="9">
        <f>'02_Inputs'!F66</f>
        <v/>
      </c>
      <c r="H66" s="11">
        <f>F66/G66</f>
        <v/>
      </c>
      <c r="I66" s="10">
        <f>'02_Inputs'!G66</f>
        <v/>
      </c>
      <c r="J66" s="11">
        <f>H66*I66</f>
        <v/>
      </c>
      <c r="K66" s="10">
        <f>'02_Inputs'!H66</f>
        <v/>
      </c>
      <c r="L66" s="11">
        <f>J66*K66</f>
        <v/>
      </c>
      <c r="M66" s="11">
        <f>J66*(1-K66)</f>
        <v/>
      </c>
      <c r="N66" s="10">
        <f>'02_GPU_Mix_Input'!D66</f>
        <v/>
      </c>
      <c r="O66" s="10">
        <f>'02_GPU_Mix_Input'!E66</f>
        <v/>
      </c>
      <c r="P66" s="10">
        <f>'02_GPU_Mix_Input'!F66</f>
        <v/>
      </c>
      <c r="Q66" s="10">
        <f>'02_GPU_Mix_Input'!G66</f>
        <v/>
      </c>
      <c r="R66" s="12">
        <f>INDEX('01_Benchmark_Input'!$D$2:$D$10,MATCH(B66,'01_Benchmark_Input'!$A$2:$A$10,0))</f>
        <v/>
      </c>
      <c r="S66" s="12">
        <f>INDEX('01_Benchmark_Input'!$F$2:$F$10,MATCH(B66,'01_Benchmark_Input'!$A$2:$A$10,0))</f>
        <v/>
      </c>
      <c r="T66" s="12">
        <f>INDEX('01_Benchmark_Input'!$H$2:$H$10,MATCH(B66,'01_Benchmark_Input'!$A$2:$A$10,0))</f>
        <v/>
      </c>
      <c r="U66" s="12">
        <f>INDEX('01_Benchmark_Input'!$J$2:$J$10,MATCH(B66,'01_Benchmark_Input'!$A$2:$A$10,0))</f>
        <v/>
      </c>
      <c r="V66" s="10">
        <f>'02_Inputs'!K66</f>
        <v/>
      </c>
      <c r="W66" s="12">
        <f>N66*R66+O66*S66+P66*T66+Q66*U66</f>
        <v/>
      </c>
      <c r="X66" s="12">
        <f>W66*V66</f>
        <v/>
      </c>
      <c r="Y66" s="12">
        <f>L66*1000*X66*86400</f>
        <v/>
      </c>
      <c r="Z66" s="12">
        <f>Y66*365</f>
        <v/>
      </c>
    </row>
    <row r="67">
      <c r="A67" s="9">
        <f>'02_Inputs'!A67</f>
        <v/>
      </c>
      <c r="B67" s="9">
        <f>'02_Inputs'!B67</f>
        <v/>
      </c>
      <c r="C67" s="9">
        <f>'02_Inputs'!C67</f>
        <v/>
      </c>
      <c r="D67" s="11">
        <f>'02_Inputs'!D67</f>
        <v/>
      </c>
      <c r="E67" s="10">
        <f>'02_Inputs'!E67</f>
        <v/>
      </c>
      <c r="F67" s="11">
        <f>D67*E67</f>
        <v/>
      </c>
      <c r="G67" s="9">
        <f>'02_Inputs'!F67</f>
        <v/>
      </c>
      <c r="H67" s="11">
        <f>F67/G67</f>
        <v/>
      </c>
      <c r="I67" s="10">
        <f>'02_Inputs'!G67</f>
        <v/>
      </c>
      <c r="J67" s="11">
        <f>H67*I67</f>
        <v/>
      </c>
      <c r="K67" s="10">
        <f>'02_Inputs'!H67</f>
        <v/>
      </c>
      <c r="L67" s="11">
        <f>J67*K67</f>
        <v/>
      </c>
      <c r="M67" s="11">
        <f>J67*(1-K67)</f>
        <v/>
      </c>
      <c r="N67" s="10">
        <f>'02_GPU_Mix_Input'!D67</f>
        <v/>
      </c>
      <c r="O67" s="10">
        <f>'02_GPU_Mix_Input'!E67</f>
        <v/>
      </c>
      <c r="P67" s="10">
        <f>'02_GPU_Mix_Input'!F67</f>
        <v/>
      </c>
      <c r="Q67" s="10">
        <f>'02_GPU_Mix_Input'!G67</f>
        <v/>
      </c>
      <c r="R67" s="12">
        <f>INDEX('01_Benchmark_Input'!$D$2:$D$10,MATCH(B67,'01_Benchmark_Input'!$A$2:$A$10,0))</f>
        <v/>
      </c>
      <c r="S67" s="12">
        <f>INDEX('01_Benchmark_Input'!$F$2:$F$10,MATCH(B67,'01_Benchmark_Input'!$A$2:$A$10,0))</f>
        <v/>
      </c>
      <c r="T67" s="12">
        <f>INDEX('01_Benchmark_Input'!$H$2:$H$10,MATCH(B67,'01_Benchmark_Input'!$A$2:$A$10,0))</f>
        <v/>
      </c>
      <c r="U67" s="12">
        <f>INDEX('01_Benchmark_Input'!$J$2:$J$10,MATCH(B67,'01_Benchmark_Input'!$A$2:$A$10,0))</f>
        <v/>
      </c>
      <c r="V67" s="10">
        <f>'02_Inputs'!K67</f>
        <v/>
      </c>
      <c r="W67" s="12">
        <f>N67*R67+O67*S67+P67*T67+Q67*U67</f>
        <v/>
      </c>
      <c r="X67" s="12">
        <f>W67*V67</f>
        <v/>
      </c>
      <c r="Y67" s="12">
        <f>L67*1000*X67*86400</f>
        <v/>
      </c>
      <c r="Z67" s="12">
        <f>Y67*365</f>
        <v/>
      </c>
    </row>
    <row r="68">
      <c r="A68" s="9">
        <f>'02_Inputs'!A68</f>
        <v/>
      </c>
      <c r="B68" s="9">
        <f>'02_Inputs'!B68</f>
        <v/>
      </c>
      <c r="C68" s="9">
        <f>'02_Inputs'!C68</f>
        <v/>
      </c>
      <c r="D68" s="11">
        <f>'02_Inputs'!D68</f>
        <v/>
      </c>
      <c r="E68" s="10">
        <f>'02_Inputs'!E68</f>
        <v/>
      </c>
      <c r="F68" s="11">
        <f>D68*E68</f>
        <v/>
      </c>
      <c r="G68" s="9">
        <f>'02_Inputs'!F68</f>
        <v/>
      </c>
      <c r="H68" s="11">
        <f>F68/G68</f>
        <v/>
      </c>
      <c r="I68" s="10">
        <f>'02_Inputs'!G68</f>
        <v/>
      </c>
      <c r="J68" s="11">
        <f>H68*I68</f>
        <v/>
      </c>
      <c r="K68" s="10">
        <f>'02_Inputs'!H68</f>
        <v/>
      </c>
      <c r="L68" s="11">
        <f>J68*K68</f>
        <v/>
      </c>
      <c r="M68" s="11">
        <f>J68*(1-K68)</f>
        <v/>
      </c>
      <c r="N68" s="10">
        <f>'02_GPU_Mix_Input'!D68</f>
        <v/>
      </c>
      <c r="O68" s="10">
        <f>'02_GPU_Mix_Input'!E68</f>
        <v/>
      </c>
      <c r="P68" s="10">
        <f>'02_GPU_Mix_Input'!F68</f>
        <v/>
      </c>
      <c r="Q68" s="10">
        <f>'02_GPU_Mix_Input'!G68</f>
        <v/>
      </c>
      <c r="R68" s="12">
        <f>INDEX('01_Benchmark_Input'!$D$2:$D$10,MATCH(B68,'01_Benchmark_Input'!$A$2:$A$10,0))</f>
        <v/>
      </c>
      <c r="S68" s="12">
        <f>INDEX('01_Benchmark_Input'!$F$2:$F$10,MATCH(B68,'01_Benchmark_Input'!$A$2:$A$10,0))</f>
        <v/>
      </c>
      <c r="T68" s="12">
        <f>INDEX('01_Benchmark_Input'!$H$2:$H$10,MATCH(B68,'01_Benchmark_Input'!$A$2:$A$10,0))</f>
        <v/>
      </c>
      <c r="U68" s="12">
        <f>INDEX('01_Benchmark_Input'!$J$2:$J$10,MATCH(B68,'01_Benchmark_Input'!$A$2:$A$10,0))</f>
        <v/>
      </c>
      <c r="V68" s="10">
        <f>'02_Inputs'!K68</f>
        <v/>
      </c>
      <c r="W68" s="12">
        <f>N68*R68+O68*S68+P68*T68+Q68*U68</f>
        <v/>
      </c>
      <c r="X68" s="12">
        <f>W68*V68</f>
        <v/>
      </c>
      <c r="Y68" s="12">
        <f>L68*1000*X68*86400</f>
        <v/>
      </c>
      <c r="Z68" s="12">
        <f>Y68*365</f>
        <v/>
      </c>
    </row>
    <row r="69">
      <c r="A69" s="9">
        <f>'02_Inputs'!A69</f>
        <v/>
      </c>
      <c r="B69" s="9">
        <f>'02_Inputs'!B69</f>
        <v/>
      </c>
      <c r="C69" s="9">
        <f>'02_Inputs'!C69</f>
        <v/>
      </c>
      <c r="D69" s="11">
        <f>'02_Inputs'!D69</f>
        <v/>
      </c>
      <c r="E69" s="10">
        <f>'02_Inputs'!E69</f>
        <v/>
      </c>
      <c r="F69" s="11">
        <f>D69*E69</f>
        <v/>
      </c>
      <c r="G69" s="9">
        <f>'02_Inputs'!F69</f>
        <v/>
      </c>
      <c r="H69" s="11">
        <f>F69/G69</f>
        <v/>
      </c>
      <c r="I69" s="10">
        <f>'02_Inputs'!G69</f>
        <v/>
      </c>
      <c r="J69" s="11">
        <f>H69*I69</f>
        <v/>
      </c>
      <c r="K69" s="10">
        <f>'02_Inputs'!H69</f>
        <v/>
      </c>
      <c r="L69" s="11">
        <f>J69*K69</f>
        <v/>
      </c>
      <c r="M69" s="11">
        <f>J69*(1-K69)</f>
        <v/>
      </c>
      <c r="N69" s="10">
        <f>'02_GPU_Mix_Input'!D69</f>
        <v/>
      </c>
      <c r="O69" s="10">
        <f>'02_GPU_Mix_Input'!E69</f>
        <v/>
      </c>
      <c r="P69" s="10">
        <f>'02_GPU_Mix_Input'!F69</f>
        <v/>
      </c>
      <c r="Q69" s="10">
        <f>'02_GPU_Mix_Input'!G69</f>
        <v/>
      </c>
      <c r="R69" s="12">
        <f>INDEX('01_Benchmark_Input'!$D$2:$D$10,MATCH(B69,'01_Benchmark_Input'!$A$2:$A$10,0))</f>
        <v/>
      </c>
      <c r="S69" s="12">
        <f>INDEX('01_Benchmark_Input'!$F$2:$F$10,MATCH(B69,'01_Benchmark_Input'!$A$2:$A$10,0))</f>
        <v/>
      </c>
      <c r="T69" s="12">
        <f>INDEX('01_Benchmark_Input'!$H$2:$H$10,MATCH(B69,'01_Benchmark_Input'!$A$2:$A$10,0))</f>
        <v/>
      </c>
      <c r="U69" s="12">
        <f>INDEX('01_Benchmark_Input'!$J$2:$J$10,MATCH(B69,'01_Benchmark_Input'!$A$2:$A$10,0))</f>
        <v/>
      </c>
      <c r="V69" s="10">
        <f>'02_Inputs'!K69</f>
        <v/>
      </c>
      <c r="W69" s="12">
        <f>N69*R69+O69*S69+P69*T69+Q69*U69</f>
        <v/>
      </c>
      <c r="X69" s="12">
        <f>W69*V69</f>
        <v/>
      </c>
      <c r="Y69" s="12">
        <f>L69*1000*X69*86400</f>
        <v/>
      </c>
      <c r="Z69" s="12">
        <f>Y69*365</f>
        <v/>
      </c>
    </row>
    <row r="70">
      <c r="A70" s="9">
        <f>'02_Inputs'!A70</f>
        <v/>
      </c>
      <c r="B70" s="9">
        <f>'02_Inputs'!B70</f>
        <v/>
      </c>
      <c r="C70" s="9">
        <f>'02_Inputs'!C70</f>
        <v/>
      </c>
      <c r="D70" s="11">
        <f>'02_Inputs'!D70</f>
        <v/>
      </c>
      <c r="E70" s="10">
        <f>'02_Inputs'!E70</f>
        <v/>
      </c>
      <c r="F70" s="11">
        <f>D70*E70</f>
        <v/>
      </c>
      <c r="G70" s="9">
        <f>'02_Inputs'!F70</f>
        <v/>
      </c>
      <c r="H70" s="11">
        <f>F70/G70</f>
        <v/>
      </c>
      <c r="I70" s="10">
        <f>'02_Inputs'!G70</f>
        <v/>
      </c>
      <c r="J70" s="11">
        <f>H70*I70</f>
        <v/>
      </c>
      <c r="K70" s="10">
        <f>'02_Inputs'!H70</f>
        <v/>
      </c>
      <c r="L70" s="11">
        <f>J70*K70</f>
        <v/>
      </c>
      <c r="M70" s="11">
        <f>J70*(1-K70)</f>
        <v/>
      </c>
      <c r="N70" s="10">
        <f>'02_GPU_Mix_Input'!D70</f>
        <v/>
      </c>
      <c r="O70" s="10">
        <f>'02_GPU_Mix_Input'!E70</f>
        <v/>
      </c>
      <c r="P70" s="10">
        <f>'02_GPU_Mix_Input'!F70</f>
        <v/>
      </c>
      <c r="Q70" s="10">
        <f>'02_GPU_Mix_Input'!G70</f>
        <v/>
      </c>
      <c r="R70" s="12">
        <f>INDEX('01_Benchmark_Input'!$D$2:$D$10,MATCH(B70,'01_Benchmark_Input'!$A$2:$A$10,0))</f>
        <v/>
      </c>
      <c r="S70" s="12">
        <f>INDEX('01_Benchmark_Input'!$F$2:$F$10,MATCH(B70,'01_Benchmark_Input'!$A$2:$A$10,0))</f>
        <v/>
      </c>
      <c r="T70" s="12">
        <f>INDEX('01_Benchmark_Input'!$H$2:$H$10,MATCH(B70,'01_Benchmark_Input'!$A$2:$A$10,0))</f>
        <v/>
      </c>
      <c r="U70" s="12">
        <f>INDEX('01_Benchmark_Input'!$J$2:$J$10,MATCH(B70,'01_Benchmark_Input'!$A$2:$A$10,0))</f>
        <v/>
      </c>
      <c r="V70" s="10">
        <f>'02_Inputs'!K70</f>
        <v/>
      </c>
      <c r="W70" s="12">
        <f>N70*R70+O70*S70+P70*T70+Q70*U70</f>
        <v/>
      </c>
      <c r="X70" s="12">
        <f>W70*V70</f>
        <v/>
      </c>
      <c r="Y70" s="12">
        <f>L70*1000*X70*86400</f>
        <v/>
      </c>
      <c r="Z70" s="12">
        <f>Y70*365</f>
        <v/>
      </c>
    </row>
    <row r="71">
      <c r="A71" s="9">
        <f>'02_Inputs'!A71</f>
        <v/>
      </c>
      <c r="B71" s="9">
        <f>'02_Inputs'!B71</f>
        <v/>
      </c>
      <c r="C71" s="9">
        <f>'02_Inputs'!C71</f>
        <v/>
      </c>
      <c r="D71" s="11">
        <f>'02_Inputs'!D71</f>
        <v/>
      </c>
      <c r="E71" s="10">
        <f>'02_Inputs'!E71</f>
        <v/>
      </c>
      <c r="F71" s="11">
        <f>D71*E71</f>
        <v/>
      </c>
      <c r="G71" s="9">
        <f>'02_Inputs'!F71</f>
        <v/>
      </c>
      <c r="H71" s="11">
        <f>F71/G71</f>
        <v/>
      </c>
      <c r="I71" s="10">
        <f>'02_Inputs'!G71</f>
        <v/>
      </c>
      <c r="J71" s="11">
        <f>H71*I71</f>
        <v/>
      </c>
      <c r="K71" s="10">
        <f>'02_Inputs'!H71</f>
        <v/>
      </c>
      <c r="L71" s="11">
        <f>J71*K71</f>
        <v/>
      </c>
      <c r="M71" s="11">
        <f>J71*(1-K71)</f>
        <v/>
      </c>
      <c r="N71" s="10">
        <f>'02_GPU_Mix_Input'!D71</f>
        <v/>
      </c>
      <c r="O71" s="10">
        <f>'02_GPU_Mix_Input'!E71</f>
        <v/>
      </c>
      <c r="P71" s="10">
        <f>'02_GPU_Mix_Input'!F71</f>
        <v/>
      </c>
      <c r="Q71" s="10">
        <f>'02_GPU_Mix_Input'!G71</f>
        <v/>
      </c>
      <c r="R71" s="12">
        <f>INDEX('01_Benchmark_Input'!$D$2:$D$10,MATCH(B71,'01_Benchmark_Input'!$A$2:$A$10,0))</f>
        <v/>
      </c>
      <c r="S71" s="12">
        <f>INDEX('01_Benchmark_Input'!$F$2:$F$10,MATCH(B71,'01_Benchmark_Input'!$A$2:$A$10,0))</f>
        <v/>
      </c>
      <c r="T71" s="12">
        <f>INDEX('01_Benchmark_Input'!$H$2:$H$10,MATCH(B71,'01_Benchmark_Input'!$A$2:$A$10,0))</f>
        <v/>
      </c>
      <c r="U71" s="12">
        <f>INDEX('01_Benchmark_Input'!$J$2:$J$10,MATCH(B71,'01_Benchmark_Input'!$A$2:$A$10,0))</f>
        <v/>
      </c>
      <c r="V71" s="10">
        <f>'02_Inputs'!K71</f>
        <v/>
      </c>
      <c r="W71" s="12">
        <f>N71*R71+O71*S71+P71*T71+Q71*U71</f>
        <v/>
      </c>
      <c r="X71" s="12">
        <f>W71*V71</f>
        <v/>
      </c>
      <c r="Y71" s="12">
        <f>L71*1000*X71*86400</f>
        <v/>
      </c>
      <c r="Z71" s="12">
        <f>Y71*365</f>
        <v/>
      </c>
    </row>
    <row r="72">
      <c r="A72" s="9">
        <f>'02_Inputs'!A72</f>
        <v/>
      </c>
      <c r="B72" s="9">
        <f>'02_Inputs'!B72</f>
        <v/>
      </c>
      <c r="C72" s="9">
        <f>'02_Inputs'!C72</f>
        <v/>
      </c>
      <c r="D72" s="11">
        <f>'02_Inputs'!D72</f>
        <v/>
      </c>
      <c r="E72" s="10">
        <f>'02_Inputs'!E72</f>
        <v/>
      </c>
      <c r="F72" s="11">
        <f>D72*E72</f>
        <v/>
      </c>
      <c r="G72" s="9">
        <f>'02_Inputs'!F72</f>
        <v/>
      </c>
      <c r="H72" s="11">
        <f>F72/G72</f>
        <v/>
      </c>
      <c r="I72" s="10">
        <f>'02_Inputs'!G72</f>
        <v/>
      </c>
      <c r="J72" s="11">
        <f>H72*I72</f>
        <v/>
      </c>
      <c r="K72" s="10">
        <f>'02_Inputs'!H72</f>
        <v/>
      </c>
      <c r="L72" s="11">
        <f>J72*K72</f>
        <v/>
      </c>
      <c r="M72" s="11">
        <f>J72*(1-K72)</f>
        <v/>
      </c>
      <c r="N72" s="10">
        <f>'02_GPU_Mix_Input'!D72</f>
        <v/>
      </c>
      <c r="O72" s="10">
        <f>'02_GPU_Mix_Input'!E72</f>
        <v/>
      </c>
      <c r="P72" s="10">
        <f>'02_GPU_Mix_Input'!F72</f>
        <v/>
      </c>
      <c r="Q72" s="10">
        <f>'02_GPU_Mix_Input'!G72</f>
        <v/>
      </c>
      <c r="R72" s="12">
        <f>INDEX('01_Benchmark_Input'!$D$2:$D$10,MATCH(B72,'01_Benchmark_Input'!$A$2:$A$10,0))</f>
        <v/>
      </c>
      <c r="S72" s="12">
        <f>INDEX('01_Benchmark_Input'!$F$2:$F$10,MATCH(B72,'01_Benchmark_Input'!$A$2:$A$10,0))</f>
        <v/>
      </c>
      <c r="T72" s="12">
        <f>INDEX('01_Benchmark_Input'!$H$2:$H$10,MATCH(B72,'01_Benchmark_Input'!$A$2:$A$10,0))</f>
        <v/>
      </c>
      <c r="U72" s="12">
        <f>INDEX('01_Benchmark_Input'!$J$2:$J$10,MATCH(B72,'01_Benchmark_Input'!$A$2:$A$10,0))</f>
        <v/>
      </c>
      <c r="V72" s="10">
        <f>'02_Inputs'!K72</f>
        <v/>
      </c>
      <c r="W72" s="12">
        <f>N72*R72+O72*S72+P72*T72+Q72*U72</f>
        <v/>
      </c>
      <c r="X72" s="12">
        <f>W72*V72</f>
        <v/>
      </c>
      <c r="Y72" s="12">
        <f>L72*1000*X72*86400</f>
        <v/>
      </c>
      <c r="Z72" s="12">
        <f>Y72*365</f>
        <v/>
      </c>
    </row>
    <row r="73">
      <c r="A73" s="9">
        <f>'02_Inputs'!A73</f>
        <v/>
      </c>
      <c r="B73" s="9">
        <f>'02_Inputs'!B73</f>
        <v/>
      </c>
      <c r="C73" s="9">
        <f>'02_Inputs'!C73</f>
        <v/>
      </c>
      <c r="D73" s="11">
        <f>'02_Inputs'!D73</f>
        <v/>
      </c>
      <c r="E73" s="10">
        <f>'02_Inputs'!E73</f>
        <v/>
      </c>
      <c r="F73" s="11">
        <f>D73*E73</f>
        <v/>
      </c>
      <c r="G73" s="9">
        <f>'02_Inputs'!F73</f>
        <v/>
      </c>
      <c r="H73" s="11">
        <f>F73/G73</f>
        <v/>
      </c>
      <c r="I73" s="10">
        <f>'02_Inputs'!G73</f>
        <v/>
      </c>
      <c r="J73" s="11">
        <f>H73*I73</f>
        <v/>
      </c>
      <c r="K73" s="10">
        <f>'02_Inputs'!H73</f>
        <v/>
      </c>
      <c r="L73" s="11">
        <f>J73*K73</f>
        <v/>
      </c>
      <c r="M73" s="11">
        <f>J73*(1-K73)</f>
        <v/>
      </c>
      <c r="N73" s="10">
        <f>'02_GPU_Mix_Input'!D73</f>
        <v/>
      </c>
      <c r="O73" s="10">
        <f>'02_GPU_Mix_Input'!E73</f>
        <v/>
      </c>
      <c r="P73" s="10">
        <f>'02_GPU_Mix_Input'!F73</f>
        <v/>
      </c>
      <c r="Q73" s="10">
        <f>'02_GPU_Mix_Input'!G73</f>
        <v/>
      </c>
      <c r="R73" s="12">
        <f>INDEX('01_Benchmark_Input'!$D$2:$D$10,MATCH(B73,'01_Benchmark_Input'!$A$2:$A$10,0))</f>
        <v/>
      </c>
      <c r="S73" s="12">
        <f>INDEX('01_Benchmark_Input'!$F$2:$F$10,MATCH(B73,'01_Benchmark_Input'!$A$2:$A$10,0))</f>
        <v/>
      </c>
      <c r="T73" s="12">
        <f>INDEX('01_Benchmark_Input'!$H$2:$H$10,MATCH(B73,'01_Benchmark_Input'!$A$2:$A$10,0))</f>
        <v/>
      </c>
      <c r="U73" s="12">
        <f>INDEX('01_Benchmark_Input'!$J$2:$J$10,MATCH(B73,'01_Benchmark_Input'!$A$2:$A$10,0))</f>
        <v/>
      </c>
      <c r="V73" s="10">
        <f>'02_Inputs'!K73</f>
        <v/>
      </c>
      <c r="W73" s="12">
        <f>N73*R73+O73*S73+P73*T73+Q73*U73</f>
        <v/>
      </c>
      <c r="X73" s="12">
        <f>W73*V73</f>
        <v/>
      </c>
      <c r="Y73" s="12">
        <f>L73*1000*X73*86400</f>
        <v/>
      </c>
      <c r="Z73" s="12">
        <f>Y73*365</f>
        <v/>
      </c>
    </row>
    <row r="74">
      <c r="A74" s="9">
        <f>'02_Inputs'!A74</f>
        <v/>
      </c>
      <c r="B74" s="9">
        <f>'02_Inputs'!B74</f>
        <v/>
      </c>
      <c r="C74" s="9">
        <f>'02_Inputs'!C74</f>
        <v/>
      </c>
      <c r="D74" s="11">
        <f>'02_Inputs'!D74</f>
        <v/>
      </c>
      <c r="E74" s="10">
        <f>'02_Inputs'!E74</f>
        <v/>
      </c>
      <c r="F74" s="11">
        <f>D74*E74</f>
        <v/>
      </c>
      <c r="G74" s="9">
        <f>'02_Inputs'!F74</f>
        <v/>
      </c>
      <c r="H74" s="11">
        <f>F74/G74</f>
        <v/>
      </c>
      <c r="I74" s="10">
        <f>'02_Inputs'!G74</f>
        <v/>
      </c>
      <c r="J74" s="11">
        <f>H74*I74</f>
        <v/>
      </c>
      <c r="K74" s="10">
        <f>'02_Inputs'!H74</f>
        <v/>
      </c>
      <c r="L74" s="11">
        <f>J74*K74</f>
        <v/>
      </c>
      <c r="M74" s="11">
        <f>J74*(1-K74)</f>
        <v/>
      </c>
      <c r="N74" s="10">
        <f>'02_GPU_Mix_Input'!D74</f>
        <v/>
      </c>
      <c r="O74" s="10">
        <f>'02_GPU_Mix_Input'!E74</f>
        <v/>
      </c>
      <c r="P74" s="10">
        <f>'02_GPU_Mix_Input'!F74</f>
        <v/>
      </c>
      <c r="Q74" s="10">
        <f>'02_GPU_Mix_Input'!G74</f>
        <v/>
      </c>
      <c r="R74" s="12">
        <f>INDEX('01_Benchmark_Input'!$D$2:$D$10,MATCH(B74,'01_Benchmark_Input'!$A$2:$A$10,0))</f>
        <v/>
      </c>
      <c r="S74" s="12">
        <f>INDEX('01_Benchmark_Input'!$F$2:$F$10,MATCH(B74,'01_Benchmark_Input'!$A$2:$A$10,0))</f>
        <v/>
      </c>
      <c r="T74" s="12">
        <f>INDEX('01_Benchmark_Input'!$H$2:$H$10,MATCH(B74,'01_Benchmark_Input'!$A$2:$A$10,0))</f>
        <v/>
      </c>
      <c r="U74" s="12">
        <f>INDEX('01_Benchmark_Input'!$J$2:$J$10,MATCH(B74,'01_Benchmark_Input'!$A$2:$A$10,0))</f>
        <v/>
      </c>
      <c r="V74" s="10">
        <f>'02_Inputs'!K74</f>
        <v/>
      </c>
      <c r="W74" s="12">
        <f>N74*R74+O74*S74+P74*T74+Q74*U74</f>
        <v/>
      </c>
      <c r="X74" s="12">
        <f>W74*V74</f>
        <v/>
      </c>
      <c r="Y74" s="12">
        <f>L74*1000*X74*86400</f>
        <v/>
      </c>
      <c r="Z74" s="12">
        <f>Y74*365</f>
        <v/>
      </c>
    </row>
    <row r="75">
      <c r="A75" s="9">
        <f>'02_Inputs'!A75</f>
        <v/>
      </c>
      <c r="B75" s="9">
        <f>'02_Inputs'!B75</f>
        <v/>
      </c>
      <c r="C75" s="9">
        <f>'02_Inputs'!C75</f>
        <v/>
      </c>
      <c r="D75" s="11">
        <f>'02_Inputs'!D75</f>
        <v/>
      </c>
      <c r="E75" s="10">
        <f>'02_Inputs'!E75</f>
        <v/>
      </c>
      <c r="F75" s="11">
        <f>D75*E75</f>
        <v/>
      </c>
      <c r="G75" s="9">
        <f>'02_Inputs'!F75</f>
        <v/>
      </c>
      <c r="H75" s="11">
        <f>F75/G75</f>
        <v/>
      </c>
      <c r="I75" s="10">
        <f>'02_Inputs'!G75</f>
        <v/>
      </c>
      <c r="J75" s="11">
        <f>H75*I75</f>
        <v/>
      </c>
      <c r="K75" s="10">
        <f>'02_Inputs'!H75</f>
        <v/>
      </c>
      <c r="L75" s="11">
        <f>J75*K75</f>
        <v/>
      </c>
      <c r="M75" s="11">
        <f>J75*(1-K75)</f>
        <v/>
      </c>
      <c r="N75" s="10">
        <f>'02_GPU_Mix_Input'!D75</f>
        <v/>
      </c>
      <c r="O75" s="10">
        <f>'02_GPU_Mix_Input'!E75</f>
        <v/>
      </c>
      <c r="P75" s="10">
        <f>'02_GPU_Mix_Input'!F75</f>
        <v/>
      </c>
      <c r="Q75" s="10">
        <f>'02_GPU_Mix_Input'!G75</f>
        <v/>
      </c>
      <c r="R75" s="12">
        <f>INDEX('01_Benchmark_Input'!$D$2:$D$10,MATCH(B75,'01_Benchmark_Input'!$A$2:$A$10,0))</f>
        <v/>
      </c>
      <c r="S75" s="12">
        <f>INDEX('01_Benchmark_Input'!$F$2:$F$10,MATCH(B75,'01_Benchmark_Input'!$A$2:$A$10,0))</f>
        <v/>
      </c>
      <c r="T75" s="12">
        <f>INDEX('01_Benchmark_Input'!$H$2:$H$10,MATCH(B75,'01_Benchmark_Input'!$A$2:$A$10,0))</f>
        <v/>
      </c>
      <c r="U75" s="12">
        <f>INDEX('01_Benchmark_Input'!$J$2:$J$10,MATCH(B75,'01_Benchmark_Input'!$A$2:$A$10,0))</f>
        <v/>
      </c>
      <c r="V75" s="10">
        <f>'02_Inputs'!K75</f>
        <v/>
      </c>
      <c r="W75" s="12">
        <f>N75*R75+O75*S75+P75*T75+Q75*U75</f>
        <v/>
      </c>
      <c r="X75" s="12">
        <f>W75*V75</f>
        <v/>
      </c>
      <c r="Y75" s="12">
        <f>L75*1000*X75*86400</f>
        <v/>
      </c>
      <c r="Z75" s="12">
        <f>Y75*365</f>
        <v/>
      </c>
    </row>
    <row r="76">
      <c r="A76" s="9">
        <f>'02_Inputs'!A76</f>
        <v/>
      </c>
      <c r="B76" s="9">
        <f>'02_Inputs'!B76</f>
        <v/>
      </c>
      <c r="C76" s="9">
        <f>'02_Inputs'!C76</f>
        <v/>
      </c>
      <c r="D76" s="11">
        <f>'02_Inputs'!D76</f>
        <v/>
      </c>
      <c r="E76" s="10">
        <f>'02_Inputs'!E76</f>
        <v/>
      </c>
      <c r="F76" s="11">
        <f>D76*E76</f>
        <v/>
      </c>
      <c r="G76" s="9">
        <f>'02_Inputs'!F76</f>
        <v/>
      </c>
      <c r="H76" s="11">
        <f>F76/G76</f>
        <v/>
      </c>
      <c r="I76" s="10">
        <f>'02_Inputs'!G76</f>
        <v/>
      </c>
      <c r="J76" s="11">
        <f>H76*I76</f>
        <v/>
      </c>
      <c r="K76" s="10">
        <f>'02_Inputs'!H76</f>
        <v/>
      </c>
      <c r="L76" s="11">
        <f>J76*K76</f>
        <v/>
      </c>
      <c r="M76" s="11">
        <f>J76*(1-K76)</f>
        <v/>
      </c>
      <c r="N76" s="10">
        <f>'02_GPU_Mix_Input'!D76</f>
        <v/>
      </c>
      <c r="O76" s="10">
        <f>'02_GPU_Mix_Input'!E76</f>
        <v/>
      </c>
      <c r="P76" s="10">
        <f>'02_GPU_Mix_Input'!F76</f>
        <v/>
      </c>
      <c r="Q76" s="10">
        <f>'02_GPU_Mix_Input'!G76</f>
        <v/>
      </c>
      <c r="R76" s="12">
        <f>INDEX('01_Benchmark_Input'!$D$2:$D$10,MATCH(B76,'01_Benchmark_Input'!$A$2:$A$10,0))</f>
        <v/>
      </c>
      <c r="S76" s="12">
        <f>INDEX('01_Benchmark_Input'!$F$2:$F$10,MATCH(B76,'01_Benchmark_Input'!$A$2:$A$10,0))</f>
        <v/>
      </c>
      <c r="T76" s="12">
        <f>INDEX('01_Benchmark_Input'!$H$2:$H$10,MATCH(B76,'01_Benchmark_Input'!$A$2:$A$10,0))</f>
        <v/>
      </c>
      <c r="U76" s="12">
        <f>INDEX('01_Benchmark_Input'!$J$2:$J$10,MATCH(B76,'01_Benchmark_Input'!$A$2:$A$10,0))</f>
        <v/>
      </c>
      <c r="V76" s="10">
        <f>'02_Inputs'!K76</f>
        <v/>
      </c>
      <c r="W76" s="12">
        <f>N76*R76+O76*S76+P76*T76+Q76*U76</f>
        <v/>
      </c>
      <c r="X76" s="12">
        <f>W76*V76</f>
        <v/>
      </c>
      <c r="Y76" s="12">
        <f>L76*1000*X76*86400</f>
        <v/>
      </c>
      <c r="Z76" s="12">
        <f>Y76*365</f>
        <v/>
      </c>
    </row>
    <row r="77">
      <c r="A77" s="9">
        <f>'02_Inputs'!A77</f>
        <v/>
      </c>
      <c r="B77" s="9">
        <f>'02_Inputs'!B77</f>
        <v/>
      </c>
      <c r="C77" s="9">
        <f>'02_Inputs'!C77</f>
        <v/>
      </c>
      <c r="D77" s="11">
        <f>'02_Inputs'!D77</f>
        <v/>
      </c>
      <c r="E77" s="10">
        <f>'02_Inputs'!E77</f>
        <v/>
      </c>
      <c r="F77" s="11">
        <f>D77*E77</f>
        <v/>
      </c>
      <c r="G77" s="9">
        <f>'02_Inputs'!F77</f>
        <v/>
      </c>
      <c r="H77" s="11">
        <f>F77/G77</f>
        <v/>
      </c>
      <c r="I77" s="10">
        <f>'02_Inputs'!G77</f>
        <v/>
      </c>
      <c r="J77" s="11">
        <f>H77*I77</f>
        <v/>
      </c>
      <c r="K77" s="10">
        <f>'02_Inputs'!H77</f>
        <v/>
      </c>
      <c r="L77" s="11">
        <f>J77*K77</f>
        <v/>
      </c>
      <c r="M77" s="11">
        <f>J77*(1-K77)</f>
        <v/>
      </c>
      <c r="N77" s="10">
        <f>'02_GPU_Mix_Input'!D77</f>
        <v/>
      </c>
      <c r="O77" s="10">
        <f>'02_GPU_Mix_Input'!E77</f>
        <v/>
      </c>
      <c r="P77" s="10">
        <f>'02_GPU_Mix_Input'!F77</f>
        <v/>
      </c>
      <c r="Q77" s="10">
        <f>'02_GPU_Mix_Input'!G77</f>
        <v/>
      </c>
      <c r="R77" s="12">
        <f>INDEX('01_Benchmark_Input'!$D$2:$D$10,MATCH(B77,'01_Benchmark_Input'!$A$2:$A$10,0))</f>
        <v/>
      </c>
      <c r="S77" s="12">
        <f>INDEX('01_Benchmark_Input'!$F$2:$F$10,MATCH(B77,'01_Benchmark_Input'!$A$2:$A$10,0))</f>
        <v/>
      </c>
      <c r="T77" s="12">
        <f>INDEX('01_Benchmark_Input'!$H$2:$H$10,MATCH(B77,'01_Benchmark_Input'!$A$2:$A$10,0))</f>
        <v/>
      </c>
      <c r="U77" s="12">
        <f>INDEX('01_Benchmark_Input'!$J$2:$J$10,MATCH(B77,'01_Benchmark_Input'!$A$2:$A$10,0))</f>
        <v/>
      </c>
      <c r="V77" s="10">
        <f>'02_Inputs'!K77</f>
        <v/>
      </c>
      <c r="W77" s="12">
        <f>N77*R77+O77*S77+P77*T77+Q77*U77</f>
        <v/>
      </c>
      <c r="X77" s="12">
        <f>W77*V77</f>
        <v/>
      </c>
      <c r="Y77" s="12">
        <f>L77*1000*X77*86400</f>
        <v/>
      </c>
      <c r="Z77" s="12">
        <f>Y77*365</f>
        <v/>
      </c>
    </row>
    <row r="78">
      <c r="A78" s="9">
        <f>'02_Inputs'!A78</f>
        <v/>
      </c>
      <c r="B78" s="9">
        <f>'02_Inputs'!B78</f>
        <v/>
      </c>
      <c r="C78" s="9">
        <f>'02_Inputs'!C78</f>
        <v/>
      </c>
      <c r="D78" s="11">
        <f>'02_Inputs'!D78</f>
        <v/>
      </c>
      <c r="E78" s="10">
        <f>'02_Inputs'!E78</f>
        <v/>
      </c>
      <c r="F78" s="11">
        <f>D78*E78</f>
        <v/>
      </c>
      <c r="G78" s="9">
        <f>'02_Inputs'!F78</f>
        <v/>
      </c>
      <c r="H78" s="11">
        <f>F78/G78</f>
        <v/>
      </c>
      <c r="I78" s="10">
        <f>'02_Inputs'!G78</f>
        <v/>
      </c>
      <c r="J78" s="11">
        <f>H78*I78</f>
        <v/>
      </c>
      <c r="K78" s="10">
        <f>'02_Inputs'!H78</f>
        <v/>
      </c>
      <c r="L78" s="11">
        <f>J78*K78</f>
        <v/>
      </c>
      <c r="M78" s="11">
        <f>J78*(1-K78)</f>
        <v/>
      </c>
      <c r="N78" s="10">
        <f>'02_GPU_Mix_Input'!D78</f>
        <v/>
      </c>
      <c r="O78" s="10">
        <f>'02_GPU_Mix_Input'!E78</f>
        <v/>
      </c>
      <c r="P78" s="10">
        <f>'02_GPU_Mix_Input'!F78</f>
        <v/>
      </c>
      <c r="Q78" s="10">
        <f>'02_GPU_Mix_Input'!G78</f>
        <v/>
      </c>
      <c r="R78" s="12">
        <f>INDEX('01_Benchmark_Input'!$D$2:$D$10,MATCH(B78,'01_Benchmark_Input'!$A$2:$A$10,0))</f>
        <v/>
      </c>
      <c r="S78" s="12">
        <f>INDEX('01_Benchmark_Input'!$F$2:$F$10,MATCH(B78,'01_Benchmark_Input'!$A$2:$A$10,0))</f>
        <v/>
      </c>
      <c r="T78" s="12">
        <f>INDEX('01_Benchmark_Input'!$H$2:$H$10,MATCH(B78,'01_Benchmark_Input'!$A$2:$A$10,0))</f>
        <v/>
      </c>
      <c r="U78" s="12">
        <f>INDEX('01_Benchmark_Input'!$J$2:$J$10,MATCH(B78,'01_Benchmark_Input'!$A$2:$A$10,0))</f>
        <v/>
      </c>
      <c r="V78" s="10">
        <f>'02_Inputs'!K78</f>
        <v/>
      </c>
      <c r="W78" s="12">
        <f>N78*R78+O78*S78+P78*T78+Q78*U78</f>
        <v/>
      </c>
      <c r="X78" s="12">
        <f>W78*V78</f>
        <v/>
      </c>
      <c r="Y78" s="12">
        <f>L78*1000*X78*86400</f>
        <v/>
      </c>
      <c r="Z78" s="12">
        <f>Y78*365</f>
        <v/>
      </c>
    </row>
    <row r="79">
      <c r="A79" s="9">
        <f>'02_Inputs'!A79</f>
        <v/>
      </c>
      <c r="B79" s="9">
        <f>'02_Inputs'!B79</f>
        <v/>
      </c>
      <c r="C79" s="9">
        <f>'02_Inputs'!C79</f>
        <v/>
      </c>
      <c r="D79" s="11">
        <f>'02_Inputs'!D79</f>
        <v/>
      </c>
      <c r="E79" s="10">
        <f>'02_Inputs'!E79</f>
        <v/>
      </c>
      <c r="F79" s="11">
        <f>D79*E79</f>
        <v/>
      </c>
      <c r="G79" s="9">
        <f>'02_Inputs'!F79</f>
        <v/>
      </c>
      <c r="H79" s="11">
        <f>F79/G79</f>
        <v/>
      </c>
      <c r="I79" s="10">
        <f>'02_Inputs'!G79</f>
        <v/>
      </c>
      <c r="J79" s="11">
        <f>H79*I79</f>
        <v/>
      </c>
      <c r="K79" s="10">
        <f>'02_Inputs'!H79</f>
        <v/>
      </c>
      <c r="L79" s="11">
        <f>J79*K79</f>
        <v/>
      </c>
      <c r="M79" s="11">
        <f>J79*(1-K79)</f>
        <v/>
      </c>
      <c r="N79" s="10">
        <f>'02_GPU_Mix_Input'!D79</f>
        <v/>
      </c>
      <c r="O79" s="10">
        <f>'02_GPU_Mix_Input'!E79</f>
        <v/>
      </c>
      <c r="P79" s="10">
        <f>'02_GPU_Mix_Input'!F79</f>
        <v/>
      </c>
      <c r="Q79" s="10">
        <f>'02_GPU_Mix_Input'!G79</f>
        <v/>
      </c>
      <c r="R79" s="12">
        <f>INDEX('01_Benchmark_Input'!$D$2:$D$10,MATCH(B79,'01_Benchmark_Input'!$A$2:$A$10,0))</f>
        <v/>
      </c>
      <c r="S79" s="12">
        <f>INDEX('01_Benchmark_Input'!$F$2:$F$10,MATCH(B79,'01_Benchmark_Input'!$A$2:$A$10,0))</f>
        <v/>
      </c>
      <c r="T79" s="12">
        <f>INDEX('01_Benchmark_Input'!$H$2:$H$10,MATCH(B79,'01_Benchmark_Input'!$A$2:$A$10,0))</f>
        <v/>
      </c>
      <c r="U79" s="12">
        <f>INDEX('01_Benchmark_Input'!$J$2:$J$10,MATCH(B79,'01_Benchmark_Input'!$A$2:$A$10,0))</f>
        <v/>
      </c>
      <c r="V79" s="10">
        <f>'02_Inputs'!K79</f>
        <v/>
      </c>
      <c r="W79" s="12">
        <f>N79*R79+O79*S79+P79*T79+Q79*U79</f>
        <v/>
      </c>
      <c r="X79" s="12">
        <f>W79*V79</f>
        <v/>
      </c>
      <c r="Y79" s="12">
        <f>L79*1000*X79*86400</f>
        <v/>
      </c>
      <c r="Z79" s="12">
        <f>Y79*365</f>
        <v/>
      </c>
    </row>
    <row r="80">
      <c r="A80" s="9">
        <f>'02_Inputs'!A80</f>
        <v/>
      </c>
      <c r="B80" s="9">
        <f>'02_Inputs'!B80</f>
        <v/>
      </c>
      <c r="C80" s="9">
        <f>'02_Inputs'!C80</f>
        <v/>
      </c>
      <c r="D80" s="11">
        <f>'02_Inputs'!D80</f>
        <v/>
      </c>
      <c r="E80" s="10">
        <f>'02_Inputs'!E80</f>
        <v/>
      </c>
      <c r="F80" s="11">
        <f>D80*E80</f>
        <v/>
      </c>
      <c r="G80" s="9">
        <f>'02_Inputs'!F80</f>
        <v/>
      </c>
      <c r="H80" s="11">
        <f>F80/G80</f>
        <v/>
      </c>
      <c r="I80" s="10">
        <f>'02_Inputs'!G80</f>
        <v/>
      </c>
      <c r="J80" s="11">
        <f>H80*I80</f>
        <v/>
      </c>
      <c r="K80" s="10">
        <f>'02_Inputs'!H80</f>
        <v/>
      </c>
      <c r="L80" s="11">
        <f>J80*K80</f>
        <v/>
      </c>
      <c r="M80" s="11">
        <f>J80*(1-K80)</f>
        <v/>
      </c>
      <c r="N80" s="10">
        <f>'02_GPU_Mix_Input'!D80</f>
        <v/>
      </c>
      <c r="O80" s="10">
        <f>'02_GPU_Mix_Input'!E80</f>
        <v/>
      </c>
      <c r="P80" s="10">
        <f>'02_GPU_Mix_Input'!F80</f>
        <v/>
      </c>
      <c r="Q80" s="10">
        <f>'02_GPU_Mix_Input'!G80</f>
        <v/>
      </c>
      <c r="R80" s="12">
        <f>INDEX('01_Benchmark_Input'!$D$2:$D$10,MATCH(B80,'01_Benchmark_Input'!$A$2:$A$10,0))</f>
        <v/>
      </c>
      <c r="S80" s="12">
        <f>INDEX('01_Benchmark_Input'!$F$2:$F$10,MATCH(B80,'01_Benchmark_Input'!$A$2:$A$10,0))</f>
        <v/>
      </c>
      <c r="T80" s="12">
        <f>INDEX('01_Benchmark_Input'!$H$2:$H$10,MATCH(B80,'01_Benchmark_Input'!$A$2:$A$10,0))</f>
        <v/>
      </c>
      <c r="U80" s="12">
        <f>INDEX('01_Benchmark_Input'!$J$2:$J$10,MATCH(B80,'01_Benchmark_Input'!$A$2:$A$10,0))</f>
        <v/>
      </c>
      <c r="V80" s="10">
        <f>'02_Inputs'!K80</f>
        <v/>
      </c>
      <c r="W80" s="12">
        <f>N80*R80+O80*S80+P80*T80+Q80*U80</f>
        <v/>
      </c>
      <c r="X80" s="12">
        <f>W80*V80</f>
        <v/>
      </c>
      <c r="Y80" s="12">
        <f>L80*1000*X80*86400</f>
        <v/>
      </c>
      <c r="Z80" s="12">
        <f>Y80*365</f>
        <v/>
      </c>
    </row>
    <row r="81">
      <c r="A81" s="9">
        <f>'02_Inputs'!A81</f>
        <v/>
      </c>
      <c r="B81" s="9">
        <f>'02_Inputs'!B81</f>
        <v/>
      </c>
      <c r="C81" s="9">
        <f>'02_Inputs'!C81</f>
        <v/>
      </c>
      <c r="D81" s="11">
        <f>'02_Inputs'!D81</f>
        <v/>
      </c>
      <c r="E81" s="10">
        <f>'02_Inputs'!E81</f>
        <v/>
      </c>
      <c r="F81" s="11">
        <f>D81*E81</f>
        <v/>
      </c>
      <c r="G81" s="9">
        <f>'02_Inputs'!F81</f>
        <v/>
      </c>
      <c r="H81" s="11">
        <f>F81/G81</f>
        <v/>
      </c>
      <c r="I81" s="10">
        <f>'02_Inputs'!G81</f>
        <v/>
      </c>
      <c r="J81" s="11">
        <f>H81*I81</f>
        <v/>
      </c>
      <c r="K81" s="10">
        <f>'02_Inputs'!H81</f>
        <v/>
      </c>
      <c r="L81" s="11">
        <f>J81*K81</f>
        <v/>
      </c>
      <c r="M81" s="11">
        <f>J81*(1-K81)</f>
        <v/>
      </c>
      <c r="N81" s="10">
        <f>'02_GPU_Mix_Input'!D81</f>
        <v/>
      </c>
      <c r="O81" s="10">
        <f>'02_GPU_Mix_Input'!E81</f>
        <v/>
      </c>
      <c r="P81" s="10">
        <f>'02_GPU_Mix_Input'!F81</f>
        <v/>
      </c>
      <c r="Q81" s="10">
        <f>'02_GPU_Mix_Input'!G81</f>
        <v/>
      </c>
      <c r="R81" s="12">
        <f>INDEX('01_Benchmark_Input'!$D$2:$D$10,MATCH(B81,'01_Benchmark_Input'!$A$2:$A$10,0))</f>
        <v/>
      </c>
      <c r="S81" s="12">
        <f>INDEX('01_Benchmark_Input'!$F$2:$F$10,MATCH(B81,'01_Benchmark_Input'!$A$2:$A$10,0))</f>
        <v/>
      </c>
      <c r="T81" s="12">
        <f>INDEX('01_Benchmark_Input'!$H$2:$H$10,MATCH(B81,'01_Benchmark_Input'!$A$2:$A$10,0))</f>
        <v/>
      </c>
      <c r="U81" s="12">
        <f>INDEX('01_Benchmark_Input'!$J$2:$J$10,MATCH(B81,'01_Benchmark_Input'!$A$2:$A$10,0))</f>
        <v/>
      </c>
      <c r="V81" s="10">
        <f>'02_Inputs'!K81</f>
        <v/>
      </c>
      <c r="W81" s="12">
        <f>N81*R81+O81*S81+P81*T81+Q81*U81</f>
        <v/>
      </c>
      <c r="X81" s="12">
        <f>W81*V81</f>
        <v/>
      </c>
      <c r="Y81" s="12">
        <f>L81*1000*X81*86400</f>
        <v/>
      </c>
      <c r="Z81" s="12">
        <f>Y81*365</f>
        <v/>
      </c>
    </row>
    <row r="82">
      <c r="A82" s="9">
        <f>'02_Inputs'!A82</f>
        <v/>
      </c>
      <c r="B82" s="9">
        <f>'02_Inputs'!B82</f>
        <v/>
      </c>
      <c r="C82" s="9">
        <f>'02_Inputs'!C82</f>
        <v/>
      </c>
      <c r="D82" s="11">
        <f>'02_Inputs'!D82</f>
        <v/>
      </c>
      <c r="E82" s="10">
        <f>'02_Inputs'!E82</f>
        <v/>
      </c>
      <c r="F82" s="11">
        <f>D82*E82</f>
        <v/>
      </c>
      <c r="G82" s="9">
        <f>'02_Inputs'!F82</f>
        <v/>
      </c>
      <c r="H82" s="11">
        <f>F82/G82</f>
        <v/>
      </c>
      <c r="I82" s="10">
        <f>'02_Inputs'!G82</f>
        <v/>
      </c>
      <c r="J82" s="11">
        <f>H82*I82</f>
        <v/>
      </c>
      <c r="K82" s="10">
        <f>'02_Inputs'!H82</f>
        <v/>
      </c>
      <c r="L82" s="11">
        <f>J82*K82</f>
        <v/>
      </c>
      <c r="M82" s="11">
        <f>J82*(1-K82)</f>
        <v/>
      </c>
      <c r="N82" s="10">
        <f>'02_GPU_Mix_Input'!D82</f>
        <v/>
      </c>
      <c r="O82" s="10">
        <f>'02_GPU_Mix_Input'!E82</f>
        <v/>
      </c>
      <c r="P82" s="10">
        <f>'02_GPU_Mix_Input'!F82</f>
        <v/>
      </c>
      <c r="Q82" s="10">
        <f>'02_GPU_Mix_Input'!G82</f>
        <v/>
      </c>
      <c r="R82" s="12">
        <f>INDEX('01_Benchmark_Input'!$D$2:$D$10,MATCH(B82,'01_Benchmark_Input'!$A$2:$A$10,0))</f>
        <v/>
      </c>
      <c r="S82" s="12">
        <f>INDEX('01_Benchmark_Input'!$F$2:$F$10,MATCH(B82,'01_Benchmark_Input'!$A$2:$A$10,0))</f>
        <v/>
      </c>
      <c r="T82" s="12">
        <f>INDEX('01_Benchmark_Input'!$H$2:$H$10,MATCH(B82,'01_Benchmark_Input'!$A$2:$A$10,0))</f>
        <v/>
      </c>
      <c r="U82" s="12">
        <f>INDEX('01_Benchmark_Input'!$J$2:$J$10,MATCH(B82,'01_Benchmark_Input'!$A$2:$A$10,0))</f>
        <v/>
      </c>
      <c r="V82" s="10">
        <f>'02_Inputs'!K82</f>
        <v/>
      </c>
      <c r="W82" s="12">
        <f>N82*R82+O82*S82+P82*T82+Q82*U82</f>
        <v/>
      </c>
      <c r="X82" s="12">
        <f>W82*V82</f>
        <v/>
      </c>
      <c r="Y82" s="12">
        <f>L82*1000*X82*86400</f>
        <v/>
      </c>
      <c r="Z82" s="12">
        <f>Y82*365</f>
        <v/>
      </c>
    </row>
    <row r="83">
      <c r="A83" s="9">
        <f>'02_Inputs'!A83</f>
        <v/>
      </c>
      <c r="B83" s="9">
        <f>'02_Inputs'!B83</f>
        <v/>
      </c>
      <c r="C83" s="9">
        <f>'02_Inputs'!C83</f>
        <v/>
      </c>
      <c r="D83" s="11">
        <f>'02_Inputs'!D83</f>
        <v/>
      </c>
      <c r="E83" s="10">
        <f>'02_Inputs'!E83</f>
        <v/>
      </c>
      <c r="F83" s="11">
        <f>D83*E83</f>
        <v/>
      </c>
      <c r="G83" s="9">
        <f>'02_Inputs'!F83</f>
        <v/>
      </c>
      <c r="H83" s="11">
        <f>F83/G83</f>
        <v/>
      </c>
      <c r="I83" s="10">
        <f>'02_Inputs'!G83</f>
        <v/>
      </c>
      <c r="J83" s="11">
        <f>H83*I83</f>
        <v/>
      </c>
      <c r="K83" s="10">
        <f>'02_Inputs'!H83</f>
        <v/>
      </c>
      <c r="L83" s="11">
        <f>J83*K83</f>
        <v/>
      </c>
      <c r="M83" s="11">
        <f>J83*(1-K83)</f>
        <v/>
      </c>
      <c r="N83" s="10">
        <f>'02_GPU_Mix_Input'!D83</f>
        <v/>
      </c>
      <c r="O83" s="10">
        <f>'02_GPU_Mix_Input'!E83</f>
        <v/>
      </c>
      <c r="P83" s="10">
        <f>'02_GPU_Mix_Input'!F83</f>
        <v/>
      </c>
      <c r="Q83" s="10">
        <f>'02_GPU_Mix_Input'!G83</f>
        <v/>
      </c>
      <c r="R83" s="12">
        <f>INDEX('01_Benchmark_Input'!$D$2:$D$10,MATCH(B83,'01_Benchmark_Input'!$A$2:$A$10,0))</f>
        <v/>
      </c>
      <c r="S83" s="12">
        <f>INDEX('01_Benchmark_Input'!$F$2:$F$10,MATCH(B83,'01_Benchmark_Input'!$A$2:$A$10,0))</f>
        <v/>
      </c>
      <c r="T83" s="12">
        <f>INDEX('01_Benchmark_Input'!$H$2:$H$10,MATCH(B83,'01_Benchmark_Input'!$A$2:$A$10,0))</f>
        <v/>
      </c>
      <c r="U83" s="12">
        <f>INDEX('01_Benchmark_Input'!$J$2:$J$10,MATCH(B83,'01_Benchmark_Input'!$A$2:$A$10,0))</f>
        <v/>
      </c>
      <c r="V83" s="10">
        <f>'02_Inputs'!K83</f>
        <v/>
      </c>
      <c r="W83" s="12">
        <f>N83*R83+O83*S83+P83*T83+Q83*U83</f>
        <v/>
      </c>
      <c r="X83" s="12">
        <f>W83*V83</f>
        <v/>
      </c>
      <c r="Y83" s="12">
        <f>L83*1000*X83*86400</f>
        <v/>
      </c>
      <c r="Z83" s="12">
        <f>Y83*365</f>
        <v/>
      </c>
    </row>
    <row r="84">
      <c r="A84" s="9">
        <f>'02_Inputs'!A84</f>
        <v/>
      </c>
      <c r="B84" s="9">
        <f>'02_Inputs'!B84</f>
        <v/>
      </c>
      <c r="C84" s="9">
        <f>'02_Inputs'!C84</f>
        <v/>
      </c>
      <c r="D84" s="11">
        <f>'02_Inputs'!D84</f>
        <v/>
      </c>
      <c r="E84" s="10">
        <f>'02_Inputs'!E84</f>
        <v/>
      </c>
      <c r="F84" s="11">
        <f>D84*E84</f>
        <v/>
      </c>
      <c r="G84" s="9">
        <f>'02_Inputs'!F84</f>
        <v/>
      </c>
      <c r="H84" s="11">
        <f>F84/G84</f>
        <v/>
      </c>
      <c r="I84" s="10">
        <f>'02_Inputs'!G84</f>
        <v/>
      </c>
      <c r="J84" s="11">
        <f>H84*I84</f>
        <v/>
      </c>
      <c r="K84" s="10">
        <f>'02_Inputs'!H84</f>
        <v/>
      </c>
      <c r="L84" s="11">
        <f>J84*K84</f>
        <v/>
      </c>
      <c r="M84" s="11">
        <f>J84*(1-K84)</f>
        <v/>
      </c>
      <c r="N84" s="10">
        <f>'02_GPU_Mix_Input'!D84</f>
        <v/>
      </c>
      <c r="O84" s="10">
        <f>'02_GPU_Mix_Input'!E84</f>
        <v/>
      </c>
      <c r="P84" s="10">
        <f>'02_GPU_Mix_Input'!F84</f>
        <v/>
      </c>
      <c r="Q84" s="10">
        <f>'02_GPU_Mix_Input'!G84</f>
        <v/>
      </c>
      <c r="R84" s="12">
        <f>INDEX('01_Benchmark_Input'!$D$2:$D$10,MATCH(B84,'01_Benchmark_Input'!$A$2:$A$10,0))</f>
        <v/>
      </c>
      <c r="S84" s="12">
        <f>INDEX('01_Benchmark_Input'!$F$2:$F$10,MATCH(B84,'01_Benchmark_Input'!$A$2:$A$10,0))</f>
        <v/>
      </c>
      <c r="T84" s="12">
        <f>INDEX('01_Benchmark_Input'!$H$2:$H$10,MATCH(B84,'01_Benchmark_Input'!$A$2:$A$10,0))</f>
        <v/>
      </c>
      <c r="U84" s="12">
        <f>INDEX('01_Benchmark_Input'!$J$2:$J$10,MATCH(B84,'01_Benchmark_Input'!$A$2:$A$10,0))</f>
        <v/>
      </c>
      <c r="V84" s="10">
        <f>'02_Inputs'!K84</f>
        <v/>
      </c>
      <c r="W84" s="12">
        <f>N84*R84+O84*S84+P84*T84+Q84*U84</f>
        <v/>
      </c>
      <c r="X84" s="12">
        <f>W84*V84</f>
        <v/>
      </c>
      <c r="Y84" s="12">
        <f>L84*1000*X84*86400</f>
        <v/>
      </c>
      <c r="Z84" s="12">
        <f>Y84*365</f>
        <v/>
      </c>
    </row>
    <row r="85">
      <c r="A85" s="9">
        <f>'02_Inputs'!A85</f>
        <v/>
      </c>
      <c r="B85" s="9">
        <f>'02_Inputs'!B85</f>
        <v/>
      </c>
      <c r="C85" s="9">
        <f>'02_Inputs'!C85</f>
        <v/>
      </c>
      <c r="D85" s="11">
        <f>'02_Inputs'!D85</f>
        <v/>
      </c>
      <c r="E85" s="10">
        <f>'02_Inputs'!E85</f>
        <v/>
      </c>
      <c r="F85" s="11">
        <f>D85*E85</f>
        <v/>
      </c>
      <c r="G85" s="9">
        <f>'02_Inputs'!F85</f>
        <v/>
      </c>
      <c r="H85" s="11">
        <f>F85/G85</f>
        <v/>
      </c>
      <c r="I85" s="10">
        <f>'02_Inputs'!G85</f>
        <v/>
      </c>
      <c r="J85" s="11">
        <f>H85*I85</f>
        <v/>
      </c>
      <c r="K85" s="10">
        <f>'02_Inputs'!H85</f>
        <v/>
      </c>
      <c r="L85" s="11">
        <f>J85*K85</f>
        <v/>
      </c>
      <c r="M85" s="11">
        <f>J85*(1-K85)</f>
        <v/>
      </c>
      <c r="N85" s="10">
        <f>'02_GPU_Mix_Input'!D85</f>
        <v/>
      </c>
      <c r="O85" s="10">
        <f>'02_GPU_Mix_Input'!E85</f>
        <v/>
      </c>
      <c r="P85" s="10">
        <f>'02_GPU_Mix_Input'!F85</f>
        <v/>
      </c>
      <c r="Q85" s="10">
        <f>'02_GPU_Mix_Input'!G85</f>
        <v/>
      </c>
      <c r="R85" s="12">
        <f>INDEX('01_Benchmark_Input'!$D$2:$D$10,MATCH(B85,'01_Benchmark_Input'!$A$2:$A$10,0))</f>
        <v/>
      </c>
      <c r="S85" s="12">
        <f>INDEX('01_Benchmark_Input'!$F$2:$F$10,MATCH(B85,'01_Benchmark_Input'!$A$2:$A$10,0))</f>
        <v/>
      </c>
      <c r="T85" s="12">
        <f>INDEX('01_Benchmark_Input'!$H$2:$H$10,MATCH(B85,'01_Benchmark_Input'!$A$2:$A$10,0))</f>
        <v/>
      </c>
      <c r="U85" s="12">
        <f>INDEX('01_Benchmark_Input'!$J$2:$J$10,MATCH(B85,'01_Benchmark_Input'!$A$2:$A$10,0))</f>
        <v/>
      </c>
      <c r="V85" s="10">
        <f>'02_Inputs'!K85</f>
        <v/>
      </c>
      <c r="W85" s="12">
        <f>N85*R85+O85*S85+P85*T85+Q85*U85</f>
        <v/>
      </c>
      <c r="X85" s="12">
        <f>W85*V85</f>
        <v/>
      </c>
      <c r="Y85" s="12">
        <f>L85*1000*X85*86400</f>
        <v/>
      </c>
      <c r="Z85" s="12">
        <f>Y85*365</f>
        <v/>
      </c>
    </row>
    <row r="86">
      <c r="A86" s="9">
        <f>'02_Inputs'!A86</f>
        <v/>
      </c>
      <c r="B86" s="9">
        <f>'02_Inputs'!B86</f>
        <v/>
      </c>
      <c r="C86" s="9">
        <f>'02_Inputs'!C86</f>
        <v/>
      </c>
      <c r="D86" s="11">
        <f>'02_Inputs'!D86</f>
        <v/>
      </c>
      <c r="E86" s="10">
        <f>'02_Inputs'!E86</f>
        <v/>
      </c>
      <c r="F86" s="11">
        <f>D86*E86</f>
        <v/>
      </c>
      <c r="G86" s="9">
        <f>'02_Inputs'!F86</f>
        <v/>
      </c>
      <c r="H86" s="11">
        <f>F86/G86</f>
        <v/>
      </c>
      <c r="I86" s="10">
        <f>'02_Inputs'!G86</f>
        <v/>
      </c>
      <c r="J86" s="11">
        <f>H86*I86</f>
        <v/>
      </c>
      <c r="K86" s="10">
        <f>'02_Inputs'!H86</f>
        <v/>
      </c>
      <c r="L86" s="11">
        <f>J86*K86</f>
        <v/>
      </c>
      <c r="M86" s="11">
        <f>J86*(1-K86)</f>
        <v/>
      </c>
      <c r="N86" s="10">
        <f>'02_GPU_Mix_Input'!D86</f>
        <v/>
      </c>
      <c r="O86" s="10">
        <f>'02_GPU_Mix_Input'!E86</f>
        <v/>
      </c>
      <c r="P86" s="10">
        <f>'02_GPU_Mix_Input'!F86</f>
        <v/>
      </c>
      <c r="Q86" s="10">
        <f>'02_GPU_Mix_Input'!G86</f>
        <v/>
      </c>
      <c r="R86" s="12">
        <f>INDEX('01_Benchmark_Input'!$D$2:$D$10,MATCH(B86,'01_Benchmark_Input'!$A$2:$A$10,0))</f>
        <v/>
      </c>
      <c r="S86" s="12">
        <f>INDEX('01_Benchmark_Input'!$F$2:$F$10,MATCH(B86,'01_Benchmark_Input'!$A$2:$A$10,0))</f>
        <v/>
      </c>
      <c r="T86" s="12">
        <f>INDEX('01_Benchmark_Input'!$H$2:$H$10,MATCH(B86,'01_Benchmark_Input'!$A$2:$A$10,0))</f>
        <v/>
      </c>
      <c r="U86" s="12">
        <f>INDEX('01_Benchmark_Input'!$J$2:$J$10,MATCH(B86,'01_Benchmark_Input'!$A$2:$A$10,0))</f>
        <v/>
      </c>
      <c r="V86" s="10">
        <f>'02_Inputs'!K86</f>
        <v/>
      </c>
      <c r="W86" s="12">
        <f>N86*R86+O86*S86+P86*T86+Q86*U86</f>
        <v/>
      </c>
      <c r="X86" s="12">
        <f>W86*V86</f>
        <v/>
      </c>
      <c r="Y86" s="12">
        <f>L86*1000*X86*86400</f>
        <v/>
      </c>
      <c r="Z86" s="12">
        <f>Y86*365</f>
        <v/>
      </c>
    </row>
    <row r="87">
      <c r="A87" s="9">
        <f>'02_Inputs'!A87</f>
        <v/>
      </c>
      <c r="B87" s="9">
        <f>'02_Inputs'!B87</f>
        <v/>
      </c>
      <c r="C87" s="9">
        <f>'02_Inputs'!C87</f>
        <v/>
      </c>
      <c r="D87" s="11">
        <f>'02_Inputs'!D87</f>
        <v/>
      </c>
      <c r="E87" s="10">
        <f>'02_Inputs'!E87</f>
        <v/>
      </c>
      <c r="F87" s="11">
        <f>D87*E87</f>
        <v/>
      </c>
      <c r="G87" s="9">
        <f>'02_Inputs'!F87</f>
        <v/>
      </c>
      <c r="H87" s="11">
        <f>F87/G87</f>
        <v/>
      </c>
      <c r="I87" s="10">
        <f>'02_Inputs'!G87</f>
        <v/>
      </c>
      <c r="J87" s="11">
        <f>H87*I87</f>
        <v/>
      </c>
      <c r="K87" s="10">
        <f>'02_Inputs'!H87</f>
        <v/>
      </c>
      <c r="L87" s="11">
        <f>J87*K87</f>
        <v/>
      </c>
      <c r="M87" s="11">
        <f>J87*(1-K87)</f>
        <v/>
      </c>
      <c r="N87" s="10">
        <f>'02_GPU_Mix_Input'!D87</f>
        <v/>
      </c>
      <c r="O87" s="10">
        <f>'02_GPU_Mix_Input'!E87</f>
        <v/>
      </c>
      <c r="P87" s="10">
        <f>'02_GPU_Mix_Input'!F87</f>
        <v/>
      </c>
      <c r="Q87" s="10">
        <f>'02_GPU_Mix_Input'!G87</f>
        <v/>
      </c>
      <c r="R87" s="12">
        <f>INDEX('01_Benchmark_Input'!$D$2:$D$10,MATCH(B87,'01_Benchmark_Input'!$A$2:$A$10,0))</f>
        <v/>
      </c>
      <c r="S87" s="12">
        <f>INDEX('01_Benchmark_Input'!$F$2:$F$10,MATCH(B87,'01_Benchmark_Input'!$A$2:$A$10,0))</f>
        <v/>
      </c>
      <c r="T87" s="12">
        <f>INDEX('01_Benchmark_Input'!$H$2:$H$10,MATCH(B87,'01_Benchmark_Input'!$A$2:$A$10,0))</f>
        <v/>
      </c>
      <c r="U87" s="12">
        <f>INDEX('01_Benchmark_Input'!$J$2:$J$10,MATCH(B87,'01_Benchmark_Input'!$A$2:$A$10,0))</f>
        <v/>
      </c>
      <c r="V87" s="10">
        <f>'02_Inputs'!K87</f>
        <v/>
      </c>
      <c r="W87" s="12">
        <f>N87*R87+O87*S87+P87*T87+Q87*U87</f>
        <v/>
      </c>
      <c r="X87" s="12">
        <f>W87*V87</f>
        <v/>
      </c>
      <c r="Y87" s="12">
        <f>L87*1000*X87*86400</f>
        <v/>
      </c>
      <c r="Z87" s="12">
        <f>Y87*365</f>
        <v/>
      </c>
    </row>
    <row r="88">
      <c r="A88" s="9">
        <f>'02_Inputs'!A88</f>
        <v/>
      </c>
      <c r="B88" s="9">
        <f>'02_Inputs'!B88</f>
        <v/>
      </c>
      <c r="C88" s="9">
        <f>'02_Inputs'!C88</f>
        <v/>
      </c>
      <c r="D88" s="11">
        <f>'02_Inputs'!D88</f>
        <v/>
      </c>
      <c r="E88" s="10">
        <f>'02_Inputs'!E88</f>
        <v/>
      </c>
      <c r="F88" s="11">
        <f>D88*E88</f>
        <v/>
      </c>
      <c r="G88" s="9">
        <f>'02_Inputs'!F88</f>
        <v/>
      </c>
      <c r="H88" s="11">
        <f>F88/G88</f>
        <v/>
      </c>
      <c r="I88" s="10">
        <f>'02_Inputs'!G88</f>
        <v/>
      </c>
      <c r="J88" s="11">
        <f>H88*I88</f>
        <v/>
      </c>
      <c r="K88" s="10">
        <f>'02_Inputs'!H88</f>
        <v/>
      </c>
      <c r="L88" s="11">
        <f>J88*K88</f>
        <v/>
      </c>
      <c r="M88" s="11">
        <f>J88*(1-K88)</f>
        <v/>
      </c>
      <c r="N88" s="10">
        <f>'02_GPU_Mix_Input'!D88</f>
        <v/>
      </c>
      <c r="O88" s="10">
        <f>'02_GPU_Mix_Input'!E88</f>
        <v/>
      </c>
      <c r="P88" s="10">
        <f>'02_GPU_Mix_Input'!F88</f>
        <v/>
      </c>
      <c r="Q88" s="10">
        <f>'02_GPU_Mix_Input'!G88</f>
        <v/>
      </c>
      <c r="R88" s="12">
        <f>INDEX('01_Benchmark_Input'!$D$2:$D$10,MATCH(B88,'01_Benchmark_Input'!$A$2:$A$10,0))</f>
        <v/>
      </c>
      <c r="S88" s="12">
        <f>INDEX('01_Benchmark_Input'!$F$2:$F$10,MATCH(B88,'01_Benchmark_Input'!$A$2:$A$10,0))</f>
        <v/>
      </c>
      <c r="T88" s="12">
        <f>INDEX('01_Benchmark_Input'!$H$2:$H$10,MATCH(B88,'01_Benchmark_Input'!$A$2:$A$10,0))</f>
        <v/>
      </c>
      <c r="U88" s="12">
        <f>INDEX('01_Benchmark_Input'!$J$2:$J$10,MATCH(B88,'01_Benchmark_Input'!$A$2:$A$10,0))</f>
        <v/>
      </c>
      <c r="V88" s="10">
        <f>'02_Inputs'!K88</f>
        <v/>
      </c>
      <c r="W88" s="12">
        <f>N88*R88+O88*S88+P88*T88+Q88*U88</f>
        <v/>
      </c>
      <c r="X88" s="12">
        <f>W88*V88</f>
        <v/>
      </c>
      <c r="Y88" s="12">
        <f>L88*1000*X88*86400</f>
        <v/>
      </c>
      <c r="Z88" s="12">
        <f>Y88*365</f>
        <v/>
      </c>
    </row>
    <row r="89">
      <c r="A89" s="9">
        <f>'02_Inputs'!A89</f>
        <v/>
      </c>
      <c r="B89" s="9">
        <f>'02_Inputs'!B89</f>
        <v/>
      </c>
      <c r="C89" s="9">
        <f>'02_Inputs'!C89</f>
        <v/>
      </c>
      <c r="D89" s="11">
        <f>'02_Inputs'!D89</f>
        <v/>
      </c>
      <c r="E89" s="10">
        <f>'02_Inputs'!E89</f>
        <v/>
      </c>
      <c r="F89" s="11">
        <f>D89*E89</f>
        <v/>
      </c>
      <c r="G89" s="9">
        <f>'02_Inputs'!F89</f>
        <v/>
      </c>
      <c r="H89" s="11">
        <f>F89/G89</f>
        <v/>
      </c>
      <c r="I89" s="10">
        <f>'02_Inputs'!G89</f>
        <v/>
      </c>
      <c r="J89" s="11">
        <f>H89*I89</f>
        <v/>
      </c>
      <c r="K89" s="10">
        <f>'02_Inputs'!H89</f>
        <v/>
      </c>
      <c r="L89" s="11">
        <f>J89*K89</f>
        <v/>
      </c>
      <c r="M89" s="11">
        <f>J89*(1-K89)</f>
        <v/>
      </c>
      <c r="N89" s="10">
        <f>'02_GPU_Mix_Input'!D89</f>
        <v/>
      </c>
      <c r="O89" s="10">
        <f>'02_GPU_Mix_Input'!E89</f>
        <v/>
      </c>
      <c r="P89" s="10">
        <f>'02_GPU_Mix_Input'!F89</f>
        <v/>
      </c>
      <c r="Q89" s="10">
        <f>'02_GPU_Mix_Input'!G89</f>
        <v/>
      </c>
      <c r="R89" s="12">
        <f>INDEX('01_Benchmark_Input'!$D$2:$D$10,MATCH(B89,'01_Benchmark_Input'!$A$2:$A$10,0))</f>
        <v/>
      </c>
      <c r="S89" s="12">
        <f>INDEX('01_Benchmark_Input'!$F$2:$F$10,MATCH(B89,'01_Benchmark_Input'!$A$2:$A$10,0))</f>
        <v/>
      </c>
      <c r="T89" s="12">
        <f>INDEX('01_Benchmark_Input'!$H$2:$H$10,MATCH(B89,'01_Benchmark_Input'!$A$2:$A$10,0))</f>
        <v/>
      </c>
      <c r="U89" s="12">
        <f>INDEX('01_Benchmark_Input'!$J$2:$J$10,MATCH(B89,'01_Benchmark_Input'!$A$2:$A$10,0))</f>
        <v/>
      </c>
      <c r="V89" s="10">
        <f>'02_Inputs'!K89</f>
        <v/>
      </c>
      <c r="W89" s="12">
        <f>N89*R89+O89*S89+P89*T89+Q89*U89</f>
        <v/>
      </c>
      <c r="X89" s="12">
        <f>W89*V89</f>
        <v/>
      </c>
      <c r="Y89" s="12">
        <f>L89*1000*X89*86400</f>
        <v/>
      </c>
      <c r="Z89" s="12">
        <f>Y89*365</f>
        <v/>
      </c>
    </row>
    <row r="90">
      <c r="A90" s="9">
        <f>'02_Inputs'!A90</f>
        <v/>
      </c>
      <c r="B90" s="9">
        <f>'02_Inputs'!B90</f>
        <v/>
      </c>
      <c r="C90" s="9">
        <f>'02_Inputs'!C90</f>
        <v/>
      </c>
      <c r="D90" s="11">
        <f>'02_Inputs'!D90</f>
        <v/>
      </c>
      <c r="E90" s="10">
        <f>'02_Inputs'!E90</f>
        <v/>
      </c>
      <c r="F90" s="11">
        <f>D90*E90</f>
        <v/>
      </c>
      <c r="G90" s="9">
        <f>'02_Inputs'!F90</f>
        <v/>
      </c>
      <c r="H90" s="11">
        <f>F90/G90</f>
        <v/>
      </c>
      <c r="I90" s="10">
        <f>'02_Inputs'!G90</f>
        <v/>
      </c>
      <c r="J90" s="11">
        <f>H90*I90</f>
        <v/>
      </c>
      <c r="K90" s="10">
        <f>'02_Inputs'!H90</f>
        <v/>
      </c>
      <c r="L90" s="11">
        <f>J90*K90</f>
        <v/>
      </c>
      <c r="M90" s="11">
        <f>J90*(1-K90)</f>
        <v/>
      </c>
      <c r="N90" s="10">
        <f>'02_GPU_Mix_Input'!D90</f>
        <v/>
      </c>
      <c r="O90" s="10">
        <f>'02_GPU_Mix_Input'!E90</f>
        <v/>
      </c>
      <c r="P90" s="10">
        <f>'02_GPU_Mix_Input'!F90</f>
        <v/>
      </c>
      <c r="Q90" s="10">
        <f>'02_GPU_Mix_Input'!G90</f>
        <v/>
      </c>
      <c r="R90" s="12">
        <f>INDEX('01_Benchmark_Input'!$D$2:$D$10,MATCH(B90,'01_Benchmark_Input'!$A$2:$A$10,0))</f>
        <v/>
      </c>
      <c r="S90" s="12">
        <f>INDEX('01_Benchmark_Input'!$F$2:$F$10,MATCH(B90,'01_Benchmark_Input'!$A$2:$A$10,0))</f>
        <v/>
      </c>
      <c r="T90" s="12">
        <f>INDEX('01_Benchmark_Input'!$H$2:$H$10,MATCH(B90,'01_Benchmark_Input'!$A$2:$A$10,0))</f>
        <v/>
      </c>
      <c r="U90" s="12">
        <f>INDEX('01_Benchmark_Input'!$J$2:$J$10,MATCH(B90,'01_Benchmark_Input'!$A$2:$A$10,0))</f>
        <v/>
      </c>
      <c r="V90" s="10">
        <f>'02_Inputs'!K90</f>
        <v/>
      </c>
      <c r="W90" s="12">
        <f>N90*R90+O90*S90+P90*T90+Q90*U90</f>
        <v/>
      </c>
      <c r="X90" s="12">
        <f>W90*V90</f>
        <v/>
      </c>
      <c r="Y90" s="12">
        <f>L90*1000*X90*86400</f>
        <v/>
      </c>
      <c r="Z90" s="12">
        <f>Y90*365</f>
        <v/>
      </c>
    </row>
    <row r="91">
      <c r="A91" s="9">
        <f>'02_Inputs'!A91</f>
        <v/>
      </c>
      <c r="B91" s="9">
        <f>'02_Inputs'!B91</f>
        <v/>
      </c>
      <c r="C91" s="9">
        <f>'02_Inputs'!C91</f>
        <v/>
      </c>
      <c r="D91" s="11">
        <f>'02_Inputs'!D91</f>
        <v/>
      </c>
      <c r="E91" s="10">
        <f>'02_Inputs'!E91</f>
        <v/>
      </c>
      <c r="F91" s="11">
        <f>D91*E91</f>
        <v/>
      </c>
      <c r="G91" s="9">
        <f>'02_Inputs'!F91</f>
        <v/>
      </c>
      <c r="H91" s="11">
        <f>F91/G91</f>
        <v/>
      </c>
      <c r="I91" s="10">
        <f>'02_Inputs'!G91</f>
        <v/>
      </c>
      <c r="J91" s="11">
        <f>H91*I91</f>
        <v/>
      </c>
      <c r="K91" s="10">
        <f>'02_Inputs'!H91</f>
        <v/>
      </c>
      <c r="L91" s="11">
        <f>J91*K91</f>
        <v/>
      </c>
      <c r="M91" s="11">
        <f>J91*(1-K91)</f>
        <v/>
      </c>
      <c r="N91" s="10">
        <f>'02_GPU_Mix_Input'!D91</f>
        <v/>
      </c>
      <c r="O91" s="10">
        <f>'02_GPU_Mix_Input'!E91</f>
        <v/>
      </c>
      <c r="P91" s="10">
        <f>'02_GPU_Mix_Input'!F91</f>
        <v/>
      </c>
      <c r="Q91" s="10">
        <f>'02_GPU_Mix_Input'!G91</f>
        <v/>
      </c>
      <c r="R91" s="12">
        <f>INDEX('01_Benchmark_Input'!$D$2:$D$10,MATCH(B91,'01_Benchmark_Input'!$A$2:$A$10,0))</f>
        <v/>
      </c>
      <c r="S91" s="12">
        <f>INDEX('01_Benchmark_Input'!$F$2:$F$10,MATCH(B91,'01_Benchmark_Input'!$A$2:$A$10,0))</f>
        <v/>
      </c>
      <c r="T91" s="12">
        <f>INDEX('01_Benchmark_Input'!$H$2:$H$10,MATCH(B91,'01_Benchmark_Input'!$A$2:$A$10,0))</f>
        <v/>
      </c>
      <c r="U91" s="12">
        <f>INDEX('01_Benchmark_Input'!$J$2:$J$10,MATCH(B91,'01_Benchmark_Input'!$A$2:$A$10,0))</f>
        <v/>
      </c>
      <c r="V91" s="10">
        <f>'02_Inputs'!K91</f>
        <v/>
      </c>
      <c r="W91" s="12">
        <f>N91*R91+O91*S91+P91*T91+Q91*U91</f>
        <v/>
      </c>
      <c r="X91" s="12">
        <f>W91*V91</f>
        <v/>
      </c>
      <c r="Y91" s="12">
        <f>L91*1000*X91*86400</f>
        <v/>
      </c>
      <c r="Z91" s="12">
        <f>Y91*365</f>
        <v/>
      </c>
    </row>
    <row r="92">
      <c r="A92" s="9">
        <f>'02_Inputs'!A92</f>
        <v/>
      </c>
      <c r="B92" s="9">
        <f>'02_Inputs'!B92</f>
        <v/>
      </c>
      <c r="C92" s="9">
        <f>'02_Inputs'!C92</f>
        <v/>
      </c>
      <c r="D92" s="11">
        <f>'02_Inputs'!D92</f>
        <v/>
      </c>
      <c r="E92" s="10">
        <f>'02_Inputs'!E92</f>
        <v/>
      </c>
      <c r="F92" s="11">
        <f>D92*E92</f>
        <v/>
      </c>
      <c r="G92" s="9">
        <f>'02_Inputs'!F92</f>
        <v/>
      </c>
      <c r="H92" s="11">
        <f>F92/G92</f>
        <v/>
      </c>
      <c r="I92" s="10">
        <f>'02_Inputs'!G92</f>
        <v/>
      </c>
      <c r="J92" s="11">
        <f>H92*I92</f>
        <v/>
      </c>
      <c r="K92" s="10">
        <f>'02_Inputs'!H92</f>
        <v/>
      </c>
      <c r="L92" s="11">
        <f>J92*K92</f>
        <v/>
      </c>
      <c r="M92" s="11">
        <f>J92*(1-K92)</f>
        <v/>
      </c>
      <c r="N92" s="10">
        <f>'02_GPU_Mix_Input'!D92</f>
        <v/>
      </c>
      <c r="O92" s="10">
        <f>'02_GPU_Mix_Input'!E92</f>
        <v/>
      </c>
      <c r="P92" s="10">
        <f>'02_GPU_Mix_Input'!F92</f>
        <v/>
      </c>
      <c r="Q92" s="10">
        <f>'02_GPU_Mix_Input'!G92</f>
        <v/>
      </c>
      <c r="R92" s="12">
        <f>INDEX('01_Benchmark_Input'!$D$2:$D$10,MATCH(B92,'01_Benchmark_Input'!$A$2:$A$10,0))</f>
        <v/>
      </c>
      <c r="S92" s="12">
        <f>INDEX('01_Benchmark_Input'!$F$2:$F$10,MATCH(B92,'01_Benchmark_Input'!$A$2:$A$10,0))</f>
        <v/>
      </c>
      <c r="T92" s="12">
        <f>INDEX('01_Benchmark_Input'!$H$2:$H$10,MATCH(B92,'01_Benchmark_Input'!$A$2:$A$10,0))</f>
        <v/>
      </c>
      <c r="U92" s="12">
        <f>INDEX('01_Benchmark_Input'!$J$2:$J$10,MATCH(B92,'01_Benchmark_Input'!$A$2:$A$10,0))</f>
        <v/>
      </c>
      <c r="V92" s="10">
        <f>'02_Inputs'!K92</f>
        <v/>
      </c>
      <c r="W92" s="12">
        <f>N92*R92+O92*S92+P92*T92+Q92*U92</f>
        <v/>
      </c>
      <c r="X92" s="12">
        <f>W92*V92</f>
        <v/>
      </c>
      <c r="Y92" s="12">
        <f>L92*1000*X92*86400</f>
        <v/>
      </c>
      <c r="Z92" s="12">
        <f>Y92*365</f>
        <v/>
      </c>
    </row>
    <row r="93">
      <c r="A93" s="9">
        <f>'02_Inputs'!A93</f>
        <v/>
      </c>
      <c r="B93" s="9">
        <f>'02_Inputs'!B93</f>
        <v/>
      </c>
      <c r="C93" s="9">
        <f>'02_Inputs'!C93</f>
        <v/>
      </c>
      <c r="D93" s="11">
        <f>'02_Inputs'!D93</f>
        <v/>
      </c>
      <c r="E93" s="10">
        <f>'02_Inputs'!E93</f>
        <v/>
      </c>
      <c r="F93" s="11">
        <f>D93*E93</f>
        <v/>
      </c>
      <c r="G93" s="9">
        <f>'02_Inputs'!F93</f>
        <v/>
      </c>
      <c r="H93" s="11">
        <f>F93/G93</f>
        <v/>
      </c>
      <c r="I93" s="10">
        <f>'02_Inputs'!G93</f>
        <v/>
      </c>
      <c r="J93" s="11">
        <f>H93*I93</f>
        <v/>
      </c>
      <c r="K93" s="10">
        <f>'02_Inputs'!H93</f>
        <v/>
      </c>
      <c r="L93" s="11">
        <f>J93*K93</f>
        <v/>
      </c>
      <c r="M93" s="11">
        <f>J93*(1-K93)</f>
        <v/>
      </c>
      <c r="N93" s="10">
        <f>'02_GPU_Mix_Input'!D93</f>
        <v/>
      </c>
      <c r="O93" s="10">
        <f>'02_GPU_Mix_Input'!E93</f>
        <v/>
      </c>
      <c r="P93" s="10">
        <f>'02_GPU_Mix_Input'!F93</f>
        <v/>
      </c>
      <c r="Q93" s="10">
        <f>'02_GPU_Mix_Input'!G93</f>
        <v/>
      </c>
      <c r="R93" s="12">
        <f>INDEX('01_Benchmark_Input'!$D$2:$D$10,MATCH(B93,'01_Benchmark_Input'!$A$2:$A$10,0))</f>
        <v/>
      </c>
      <c r="S93" s="12">
        <f>INDEX('01_Benchmark_Input'!$F$2:$F$10,MATCH(B93,'01_Benchmark_Input'!$A$2:$A$10,0))</f>
        <v/>
      </c>
      <c r="T93" s="12">
        <f>INDEX('01_Benchmark_Input'!$H$2:$H$10,MATCH(B93,'01_Benchmark_Input'!$A$2:$A$10,0))</f>
        <v/>
      </c>
      <c r="U93" s="12">
        <f>INDEX('01_Benchmark_Input'!$J$2:$J$10,MATCH(B93,'01_Benchmark_Input'!$A$2:$A$10,0))</f>
        <v/>
      </c>
      <c r="V93" s="10">
        <f>'02_Inputs'!K93</f>
        <v/>
      </c>
      <c r="W93" s="12">
        <f>N93*R93+O93*S93+P93*T93+Q93*U93</f>
        <v/>
      </c>
      <c r="X93" s="12">
        <f>W93*V93</f>
        <v/>
      </c>
      <c r="Y93" s="12">
        <f>L93*1000*X93*86400</f>
        <v/>
      </c>
      <c r="Z93" s="12">
        <f>Y93*365</f>
        <v/>
      </c>
    </row>
    <row r="94">
      <c r="A94" s="9">
        <f>'02_Inputs'!A94</f>
        <v/>
      </c>
      <c r="B94" s="9">
        <f>'02_Inputs'!B94</f>
        <v/>
      </c>
      <c r="C94" s="9">
        <f>'02_Inputs'!C94</f>
        <v/>
      </c>
      <c r="D94" s="11">
        <f>'02_Inputs'!D94</f>
        <v/>
      </c>
      <c r="E94" s="10">
        <f>'02_Inputs'!E94</f>
        <v/>
      </c>
      <c r="F94" s="11">
        <f>D94*E94</f>
        <v/>
      </c>
      <c r="G94" s="9">
        <f>'02_Inputs'!F94</f>
        <v/>
      </c>
      <c r="H94" s="11">
        <f>F94/G94</f>
        <v/>
      </c>
      <c r="I94" s="10">
        <f>'02_Inputs'!G94</f>
        <v/>
      </c>
      <c r="J94" s="11">
        <f>H94*I94</f>
        <v/>
      </c>
      <c r="K94" s="10">
        <f>'02_Inputs'!H94</f>
        <v/>
      </c>
      <c r="L94" s="11">
        <f>J94*K94</f>
        <v/>
      </c>
      <c r="M94" s="11">
        <f>J94*(1-K94)</f>
        <v/>
      </c>
      <c r="N94" s="10">
        <f>'02_GPU_Mix_Input'!D94</f>
        <v/>
      </c>
      <c r="O94" s="10">
        <f>'02_GPU_Mix_Input'!E94</f>
        <v/>
      </c>
      <c r="P94" s="10">
        <f>'02_GPU_Mix_Input'!F94</f>
        <v/>
      </c>
      <c r="Q94" s="10">
        <f>'02_GPU_Mix_Input'!G94</f>
        <v/>
      </c>
      <c r="R94" s="12">
        <f>INDEX('01_Benchmark_Input'!$D$2:$D$10,MATCH(B94,'01_Benchmark_Input'!$A$2:$A$10,0))</f>
        <v/>
      </c>
      <c r="S94" s="12">
        <f>INDEX('01_Benchmark_Input'!$F$2:$F$10,MATCH(B94,'01_Benchmark_Input'!$A$2:$A$10,0))</f>
        <v/>
      </c>
      <c r="T94" s="12">
        <f>INDEX('01_Benchmark_Input'!$H$2:$H$10,MATCH(B94,'01_Benchmark_Input'!$A$2:$A$10,0))</f>
        <v/>
      </c>
      <c r="U94" s="12">
        <f>INDEX('01_Benchmark_Input'!$J$2:$J$10,MATCH(B94,'01_Benchmark_Input'!$A$2:$A$10,0))</f>
        <v/>
      </c>
      <c r="V94" s="10">
        <f>'02_Inputs'!K94</f>
        <v/>
      </c>
      <c r="W94" s="12">
        <f>N94*R94+O94*S94+P94*T94+Q94*U94</f>
        <v/>
      </c>
      <c r="X94" s="12">
        <f>W94*V94</f>
        <v/>
      </c>
      <c r="Y94" s="12">
        <f>L94*1000*X94*86400</f>
        <v/>
      </c>
      <c r="Z94" s="12">
        <f>Y94*365</f>
        <v/>
      </c>
    </row>
    <row r="95">
      <c r="A95" s="9">
        <f>'02_Inputs'!A95</f>
        <v/>
      </c>
      <c r="B95" s="9">
        <f>'02_Inputs'!B95</f>
        <v/>
      </c>
      <c r="C95" s="9">
        <f>'02_Inputs'!C95</f>
        <v/>
      </c>
      <c r="D95" s="11">
        <f>'02_Inputs'!D95</f>
        <v/>
      </c>
      <c r="E95" s="10">
        <f>'02_Inputs'!E95</f>
        <v/>
      </c>
      <c r="F95" s="11">
        <f>D95*E95</f>
        <v/>
      </c>
      <c r="G95" s="9">
        <f>'02_Inputs'!F95</f>
        <v/>
      </c>
      <c r="H95" s="11">
        <f>F95/G95</f>
        <v/>
      </c>
      <c r="I95" s="10">
        <f>'02_Inputs'!G95</f>
        <v/>
      </c>
      <c r="J95" s="11">
        <f>H95*I95</f>
        <v/>
      </c>
      <c r="K95" s="10">
        <f>'02_Inputs'!H95</f>
        <v/>
      </c>
      <c r="L95" s="11">
        <f>J95*K95</f>
        <v/>
      </c>
      <c r="M95" s="11">
        <f>J95*(1-K95)</f>
        <v/>
      </c>
      <c r="N95" s="10">
        <f>'02_GPU_Mix_Input'!D95</f>
        <v/>
      </c>
      <c r="O95" s="10">
        <f>'02_GPU_Mix_Input'!E95</f>
        <v/>
      </c>
      <c r="P95" s="10">
        <f>'02_GPU_Mix_Input'!F95</f>
        <v/>
      </c>
      <c r="Q95" s="10">
        <f>'02_GPU_Mix_Input'!G95</f>
        <v/>
      </c>
      <c r="R95" s="12">
        <f>INDEX('01_Benchmark_Input'!$D$2:$D$10,MATCH(B95,'01_Benchmark_Input'!$A$2:$A$10,0))</f>
        <v/>
      </c>
      <c r="S95" s="12">
        <f>INDEX('01_Benchmark_Input'!$F$2:$F$10,MATCH(B95,'01_Benchmark_Input'!$A$2:$A$10,0))</f>
        <v/>
      </c>
      <c r="T95" s="12">
        <f>INDEX('01_Benchmark_Input'!$H$2:$H$10,MATCH(B95,'01_Benchmark_Input'!$A$2:$A$10,0))</f>
        <v/>
      </c>
      <c r="U95" s="12">
        <f>INDEX('01_Benchmark_Input'!$J$2:$J$10,MATCH(B95,'01_Benchmark_Input'!$A$2:$A$10,0))</f>
        <v/>
      </c>
      <c r="V95" s="10">
        <f>'02_Inputs'!K95</f>
        <v/>
      </c>
      <c r="W95" s="12">
        <f>N95*R95+O95*S95+P95*T95+Q95*U95</f>
        <v/>
      </c>
      <c r="X95" s="12">
        <f>W95*V95</f>
        <v/>
      </c>
      <c r="Y95" s="12">
        <f>L95*1000*X95*86400</f>
        <v/>
      </c>
      <c r="Z95" s="12">
        <f>Y95*365</f>
        <v/>
      </c>
    </row>
    <row r="96">
      <c r="A96" s="9">
        <f>'02_Inputs'!A96</f>
        <v/>
      </c>
      <c r="B96" s="9">
        <f>'02_Inputs'!B96</f>
        <v/>
      </c>
      <c r="C96" s="9">
        <f>'02_Inputs'!C96</f>
        <v/>
      </c>
      <c r="D96" s="11">
        <f>'02_Inputs'!D96</f>
        <v/>
      </c>
      <c r="E96" s="10">
        <f>'02_Inputs'!E96</f>
        <v/>
      </c>
      <c r="F96" s="11">
        <f>D96*E96</f>
        <v/>
      </c>
      <c r="G96" s="9">
        <f>'02_Inputs'!F96</f>
        <v/>
      </c>
      <c r="H96" s="11">
        <f>F96/G96</f>
        <v/>
      </c>
      <c r="I96" s="10">
        <f>'02_Inputs'!G96</f>
        <v/>
      </c>
      <c r="J96" s="11">
        <f>H96*I96</f>
        <v/>
      </c>
      <c r="K96" s="10">
        <f>'02_Inputs'!H96</f>
        <v/>
      </c>
      <c r="L96" s="11">
        <f>J96*K96</f>
        <v/>
      </c>
      <c r="M96" s="11">
        <f>J96*(1-K96)</f>
        <v/>
      </c>
      <c r="N96" s="10">
        <f>'02_GPU_Mix_Input'!D96</f>
        <v/>
      </c>
      <c r="O96" s="10">
        <f>'02_GPU_Mix_Input'!E96</f>
        <v/>
      </c>
      <c r="P96" s="10">
        <f>'02_GPU_Mix_Input'!F96</f>
        <v/>
      </c>
      <c r="Q96" s="10">
        <f>'02_GPU_Mix_Input'!G96</f>
        <v/>
      </c>
      <c r="R96" s="12">
        <f>INDEX('01_Benchmark_Input'!$D$2:$D$10,MATCH(B96,'01_Benchmark_Input'!$A$2:$A$10,0))</f>
        <v/>
      </c>
      <c r="S96" s="12">
        <f>INDEX('01_Benchmark_Input'!$F$2:$F$10,MATCH(B96,'01_Benchmark_Input'!$A$2:$A$10,0))</f>
        <v/>
      </c>
      <c r="T96" s="12">
        <f>INDEX('01_Benchmark_Input'!$H$2:$H$10,MATCH(B96,'01_Benchmark_Input'!$A$2:$A$10,0))</f>
        <v/>
      </c>
      <c r="U96" s="12">
        <f>INDEX('01_Benchmark_Input'!$J$2:$J$10,MATCH(B96,'01_Benchmark_Input'!$A$2:$A$10,0))</f>
        <v/>
      </c>
      <c r="V96" s="10">
        <f>'02_Inputs'!K96</f>
        <v/>
      </c>
      <c r="W96" s="12">
        <f>N96*R96+O96*S96+P96*T96+Q96*U96</f>
        <v/>
      </c>
      <c r="X96" s="12">
        <f>W96*V96</f>
        <v/>
      </c>
      <c r="Y96" s="12">
        <f>L96*1000*X96*86400</f>
        <v/>
      </c>
      <c r="Z96" s="12">
        <f>Y96*365</f>
        <v/>
      </c>
    </row>
    <row r="97">
      <c r="A97" s="9">
        <f>'02_Inputs'!A97</f>
        <v/>
      </c>
      <c r="B97" s="9">
        <f>'02_Inputs'!B97</f>
        <v/>
      </c>
      <c r="C97" s="9">
        <f>'02_Inputs'!C97</f>
        <v/>
      </c>
      <c r="D97" s="11">
        <f>'02_Inputs'!D97</f>
        <v/>
      </c>
      <c r="E97" s="10">
        <f>'02_Inputs'!E97</f>
        <v/>
      </c>
      <c r="F97" s="11">
        <f>D97*E97</f>
        <v/>
      </c>
      <c r="G97" s="9">
        <f>'02_Inputs'!F97</f>
        <v/>
      </c>
      <c r="H97" s="11">
        <f>F97/G97</f>
        <v/>
      </c>
      <c r="I97" s="10">
        <f>'02_Inputs'!G97</f>
        <v/>
      </c>
      <c r="J97" s="11">
        <f>H97*I97</f>
        <v/>
      </c>
      <c r="K97" s="10">
        <f>'02_Inputs'!H97</f>
        <v/>
      </c>
      <c r="L97" s="11">
        <f>J97*K97</f>
        <v/>
      </c>
      <c r="M97" s="11">
        <f>J97*(1-K97)</f>
        <v/>
      </c>
      <c r="N97" s="10">
        <f>'02_GPU_Mix_Input'!D97</f>
        <v/>
      </c>
      <c r="O97" s="10">
        <f>'02_GPU_Mix_Input'!E97</f>
        <v/>
      </c>
      <c r="P97" s="10">
        <f>'02_GPU_Mix_Input'!F97</f>
        <v/>
      </c>
      <c r="Q97" s="10">
        <f>'02_GPU_Mix_Input'!G97</f>
        <v/>
      </c>
      <c r="R97" s="12">
        <f>INDEX('01_Benchmark_Input'!$D$2:$D$10,MATCH(B97,'01_Benchmark_Input'!$A$2:$A$10,0))</f>
        <v/>
      </c>
      <c r="S97" s="12">
        <f>INDEX('01_Benchmark_Input'!$F$2:$F$10,MATCH(B97,'01_Benchmark_Input'!$A$2:$A$10,0))</f>
        <v/>
      </c>
      <c r="T97" s="12">
        <f>INDEX('01_Benchmark_Input'!$H$2:$H$10,MATCH(B97,'01_Benchmark_Input'!$A$2:$A$10,0))</f>
        <v/>
      </c>
      <c r="U97" s="12">
        <f>INDEX('01_Benchmark_Input'!$J$2:$J$10,MATCH(B97,'01_Benchmark_Input'!$A$2:$A$10,0))</f>
        <v/>
      </c>
      <c r="V97" s="10">
        <f>'02_Inputs'!K97</f>
        <v/>
      </c>
      <c r="W97" s="12">
        <f>N97*R97+O97*S97+P97*T97+Q97*U97</f>
        <v/>
      </c>
      <c r="X97" s="12">
        <f>W97*V97</f>
        <v/>
      </c>
      <c r="Y97" s="12">
        <f>L97*1000*X97*86400</f>
        <v/>
      </c>
      <c r="Z97" s="12">
        <f>Y97*365</f>
        <v/>
      </c>
    </row>
    <row r="98">
      <c r="A98" s="9">
        <f>'02_Inputs'!A98</f>
        <v/>
      </c>
      <c r="B98" s="9">
        <f>'02_Inputs'!B98</f>
        <v/>
      </c>
      <c r="C98" s="9">
        <f>'02_Inputs'!C98</f>
        <v/>
      </c>
      <c r="D98" s="11">
        <f>'02_Inputs'!D98</f>
        <v/>
      </c>
      <c r="E98" s="10">
        <f>'02_Inputs'!E98</f>
        <v/>
      </c>
      <c r="F98" s="11">
        <f>D98*E98</f>
        <v/>
      </c>
      <c r="G98" s="9">
        <f>'02_Inputs'!F98</f>
        <v/>
      </c>
      <c r="H98" s="11">
        <f>F98/G98</f>
        <v/>
      </c>
      <c r="I98" s="10">
        <f>'02_Inputs'!G98</f>
        <v/>
      </c>
      <c r="J98" s="11">
        <f>H98*I98</f>
        <v/>
      </c>
      <c r="K98" s="10">
        <f>'02_Inputs'!H98</f>
        <v/>
      </c>
      <c r="L98" s="11">
        <f>J98*K98</f>
        <v/>
      </c>
      <c r="M98" s="11">
        <f>J98*(1-K98)</f>
        <v/>
      </c>
      <c r="N98" s="10">
        <f>'02_GPU_Mix_Input'!D98</f>
        <v/>
      </c>
      <c r="O98" s="10">
        <f>'02_GPU_Mix_Input'!E98</f>
        <v/>
      </c>
      <c r="P98" s="10">
        <f>'02_GPU_Mix_Input'!F98</f>
        <v/>
      </c>
      <c r="Q98" s="10">
        <f>'02_GPU_Mix_Input'!G98</f>
        <v/>
      </c>
      <c r="R98" s="12">
        <f>INDEX('01_Benchmark_Input'!$D$2:$D$10,MATCH(B98,'01_Benchmark_Input'!$A$2:$A$10,0))</f>
        <v/>
      </c>
      <c r="S98" s="12">
        <f>INDEX('01_Benchmark_Input'!$F$2:$F$10,MATCH(B98,'01_Benchmark_Input'!$A$2:$A$10,0))</f>
        <v/>
      </c>
      <c r="T98" s="12">
        <f>INDEX('01_Benchmark_Input'!$H$2:$H$10,MATCH(B98,'01_Benchmark_Input'!$A$2:$A$10,0))</f>
        <v/>
      </c>
      <c r="U98" s="12">
        <f>INDEX('01_Benchmark_Input'!$J$2:$J$10,MATCH(B98,'01_Benchmark_Input'!$A$2:$A$10,0))</f>
        <v/>
      </c>
      <c r="V98" s="10">
        <f>'02_Inputs'!K98</f>
        <v/>
      </c>
      <c r="W98" s="12">
        <f>N98*R98+O98*S98+P98*T98+Q98*U98</f>
        <v/>
      </c>
      <c r="X98" s="12">
        <f>W98*V98</f>
        <v/>
      </c>
      <c r="Y98" s="12">
        <f>L98*1000*X98*86400</f>
        <v/>
      </c>
      <c r="Z98" s="12">
        <f>Y98*365</f>
        <v/>
      </c>
    </row>
    <row r="99">
      <c r="A99" s="9">
        <f>'02_Inputs'!A99</f>
        <v/>
      </c>
      <c r="B99" s="9">
        <f>'02_Inputs'!B99</f>
        <v/>
      </c>
      <c r="C99" s="9">
        <f>'02_Inputs'!C99</f>
        <v/>
      </c>
      <c r="D99" s="11">
        <f>'02_Inputs'!D99</f>
        <v/>
      </c>
      <c r="E99" s="10">
        <f>'02_Inputs'!E99</f>
        <v/>
      </c>
      <c r="F99" s="11">
        <f>D99*E99</f>
        <v/>
      </c>
      <c r="G99" s="9">
        <f>'02_Inputs'!F99</f>
        <v/>
      </c>
      <c r="H99" s="11">
        <f>F99/G99</f>
        <v/>
      </c>
      <c r="I99" s="10">
        <f>'02_Inputs'!G99</f>
        <v/>
      </c>
      <c r="J99" s="11">
        <f>H99*I99</f>
        <v/>
      </c>
      <c r="K99" s="10">
        <f>'02_Inputs'!H99</f>
        <v/>
      </c>
      <c r="L99" s="11">
        <f>J99*K99</f>
        <v/>
      </c>
      <c r="M99" s="11">
        <f>J99*(1-K99)</f>
        <v/>
      </c>
      <c r="N99" s="10">
        <f>'02_GPU_Mix_Input'!D99</f>
        <v/>
      </c>
      <c r="O99" s="10">
        <f>'02_GPU_Mix_Input'!E99</f>
        <v/>
      </c>
      <c r="P99" s="10">
        <f>'02_GPU_Mix_Input'!F99</f>
        <v/>
      </c>
      <c r="Q99" s="10">
        <f>'02_GPU_Mix_Input'!G99</f>
        <v/>
      </c>
      <c r="R99" s="12">
        <f>INDEX('01_Benchmark_Input'!$D$2:$D$10,MATCH(B99,'01_Benchmark_Input'!$A$2:$A$10,0))</f>
        <v/>
      </c>
      <c r="S99" s="12">
        <f>INDEX('01_Benchmark_Input'!$F$2:$F$10,MATCH(B99,'01_Benchmark_Input'!$A$2:$A$10,0))</f>
        <v/>
      </c>
      <c r="T99" s="12">
        <f>INDEX('01_Benchmark_Input'!$H$2:$H$10,MATCH(B99,'01_Benchmark_Input'!$A$2:$A$10,0))</f>
        <v/>
      </c>
      <c r="U99" s="12">
        <f>INDEX('01_Benchmark_Input'!$J$2:$J$10,MATCH(B99,'01_Benchmark_Input'!$A$2:$A$10,0))</f>
        <v/>
      </c>
      <c r="V99" s="10">
        <f>'02_Inputs'!K99</f>
        <v/>
      </c>
      <c r="W99" s="12">
        <f>N99*R99+O99*S99+P99*T99+Q99*U99</f>
        <v/>
      </c>
      <c r="X99" s="12">
        <f>W99*V99</f>
        <v/>
      </c>
      <c r="Y99" s="12">
        <f>L99*1000*X99*86400</f>
        <v/>
      </c>
      <c r="Z99" s="12">
        <f>Y99*365</f>
        <v/>
      </c>
    </row>
    <row r="100">
      <c r="A100" s="9">
        <f>'02_Inputs'!A100</f>
        <v/>
      </c>
      <c r="B100" s="9">
        <f>'02_Inputs'!B100</f>
        <v/>
      </c>
      <c r="C100" s="9">
        <f>'02_Inputs'!C100</f>
        <v/>
      </c>
      <c r="D100" s="11">
        <f>'02_Inputs'!D100</f>
        <v/>
      </c>
      <c r="E100" s="10">
        <f>'02_Inputs'!E100</f>
        <v/>
      </c>
      <c r="F100" s="11">
        <f>D100*E100</f>
        <v/>
      </c>
      <c r="G100" s="9">
        <f>'02_Inputs'!F100</f>
        <v/>
      </c>
      <c r="H100" s="11">
        <f>F100/G100</f>
        <v/>
      </c>
      <c r="I100" s="10">
        <f>'02_Inputs'!G100</f>
        <v/>
      </c>
      <c r="J100" s="11">
        <f>H100*I100</f>
        <v/>
      </c>
      <c r="K100" s="10">
        <f>'02_Inputs'!H100</f>
        <v/>
      </c>
      <c r="L100" s="11">
        <f>J100*K100</f>
        <v/>
      </c>
      <c r="M100" s="11">
        <f>J100*(1-K100)</f>
        <v/>
      </c>
      <c r="N100" s="10">
        <f>'02_GPU_Mix_Input'!D100</f>
        <v/>
      </c>
      <c r="O100" s="10">
        <f>'02_GPU_Mix_Input'!E100</f>
        <v/>
      </c>
      <c r="P100" s="10">
        <f>'02_GPU_Mix_Input'!F100</f>
        <v/>
      </c>
      <c r="Q100" s="10">
        <f>'02_GPU_Mix_Input'!G100</f>
        <v/>
      </c>
      <c r="R100" s="12">
        <f>INDEX('01_Benchmark_Input'!$D$2:$D$10,MATCH(B100,'01_Benchmark_Input'!$A$2:$A$10,0))</f>
        <v/>
      </c>
      <c r="S100" s="12">
        <f>INDEX('01_Benchmark_Input'!$F$2:$F$10,MATCH(B100,'01_Benchmark_Input'!$A$2:$A$10,0))</f>
        <v/>
      </c>
      <c r="T100" s="12">
        <f>INDEX('01_Benchmark_Input'!$H$2:$H$10,MATCH(B100,'01_Benchmark_Input'!$A$2:$A$10,0))</f>
        <v/>
      </c>
      <c r="U100" s="12">
        <f>INDEX('01_Benchmark_Input'!$J$2:$J$10,MATCH(B100,'01_Benchmark_Input'!$A$2:$A$10,0))</f>
        <v/>
      </c>
      <c r="V100" s="10">
        <f>'02_Inputs'!K100</f>
        <v/>
      </c>
      <c r="W100" s="12">
        <f>N100*R100+O100*S100+P100*T100+Q100*U100</f>
        <v/>
      </c>
      <c r="X100" s="12">
        <f>W100*V100</f>
        <v/>
      </c>
      <c r="Y100" s="12">
        <f>L100*1000*X100*86400</f>
        <v/>
      </c>
      <c r="Z100" s="12">
        <f>Y100*365</f>
        <v/>
      </c>
    </row>
    <row r="101">
      <c r="A101" s="9">
        <f>'02_Inputs'!A101</f>
        <v/>
      </c>
      <c r="B101" s="9">
        <f>'02_Inputs'!B101</f>
        <v/>
      </c>
      <c r="C101" s="9">
        <f>'02_Inputs'!C101</f>
        <v/>
      </c>
      <c r="D101" s="11">
        <f>'02_Inputs'!D101</f>
        <v/>
      </c>
      <c r="E101" s="10">
        <f>'02_Inputs'!E101</f>
        <v/>
      </c>
      <c r="F101" s="11">
        <f>D101*E101</f>
        <v/>
      </c>
      <c r="G101" s="9">
        <f>'02_Inputs'!F101</f>
        <v/>
      </c>
      <c r="H101" s="11">
        <f>F101/G101</f>
        <v/>
      </c>
      <c r="I101" s="10">
        <f>'02_Inputs'!G101</f>
        <v/>
      </c>
      <c r="J101" s="11">
        <f>H101*I101</f>
        <v/>
      </c>
      <c r="K101" s="10">
        <f>'02_Inputs'!H101</f>
        <v/>
      </c>
      <c r="L101" s="11">
        <f>J101*K101</f>
        <v/>
      </c>
      <c r="M101" s="11">
        <f>J101*(1-K101)</f>
        <v/>
      </c>
      <c r="N101" s="10">
        <f>'02_GPU_Mix_Input'!D101</f>
        <v/>
      </c>
      <c r="O101" s="10">
        <f>'02_GPU_Mix_Input'!E101</f>
        <v/>
      </c>
      <c r="P101" s="10">
        <f>'02_GPU_Mix_Input'!F101</f>
        <v/>
      </c>
      <c r="Q101" s="10">
        <f>'02_GPU_Mix_Input'!G101</f>
        <v/>
      </c>
      <c r="R101" s="12">
        <f>INDEX('01_Benchmark_Input'!$D$2:$D$10,MATCH(B101,'01_Benchmark_Input'!$A$2:$A$10,0))</f>
        <v/>
      </c>
      <c r="S101" s="12">
        <f>INDEX('01_Benchmark_Input'!$F$2:$F$10,MATCH(B101,'01_Benchmark_Input'!$A$2:$A$10,0))</f>
        <v/>
      </c>
      <c r="T101" s="12">
        <f>INDEX('01_Benchmark_Input'!$H$2:$H$10,MATCH(B101,'01_Benchmark_Input'!$A$2:$A$10,0))</f>
        <v/>
      </c>
      <c r="U101" s="12">
        <f>INDEX('01_Benchmark_Input'!$J$2:$J$10,MATCH(B101,'01_Benchmark_Input'!$A$2:$A$10,0))</f>
        <v/>
      </c>
      <c r="V101" s="10">
        <f>'02_Inputs'!K101</f>
        <v/>
      </c>
      <c r="W101" s="12">
        <f>N101*R101+O101*S101+P101*T101+Q101*U101</f>
        <v/>
      </c>
      <c r="X101" s="12">
        <f>W101*V101</f>
        <v/>
      </c>
      <c r="Y101" s="12">
        <f>L101*1000*X101*86400</f>
        <v/>
      </c>
      <c r="Z101" s="12">
        <f>Y101*365</f>
        <v/>
      </c>
    </row>
    <row r="102">
      <c r="A102" s="9">
        <f>'02_Inputs'!A102</f>
        <v/>
      </c>
      <c r="B102" s="9">
        <f>'02_Inputs'!B102</f>
        <v/>
      </c>
      <c r="C102" s="9">
        <f>'02_Inputs'!C102</f>
        <v/>
      </c>
      <c r="D102" s="11">
        <f>'02_Inputs'!D102</f>
        <v/>
      </c>
      <c r="E102" s="10">
        <f>'02_Inputs'!E102</f>
        <v/>
      </c>
      <c r="F102" s="11">
        <f>D102*E102</f>
        <v/>
      </c>
      <c r="G102" s="9">
        <f>'02_Inputs'!F102</f>
        <v/>
      </c>
      <c r="H102" s="11">
        <f>F102/G102</f>
        <v/>
      </c>
      <c r="I102" s="10">
        <f>'02_Inputs'!G102</f>
        <v/>
      </c>
      <c r="J102" s="11">
        <f>H102*I102</f>
        <v/>
      </c>
      <c r="K102" s="10">
        <f>'02_Inputs'!H102</f>
        <v/>
      </c>
      <c r="L102" s="11">
        <f>J102*K102</f>
        <v/>
      </c>
      <c r="M102" s="11">
        <f>J102*(1-K102)</f>
        <v/>
      </c>
      <c r="N102" s="10">
        <f>'02_GPU_Mix_Input'!D102</f>
        <v/>
      </c>
      <c r="O102" s="10">
        <f>'02_GPU_Mix_Input'!E102</f>
        <v/>
      </c>
      <c r="P102" s="10">
        <f>'02_GPU_Mix_Input'!F102</f>
        <v/>
      </c>
      <c r="Q102" s="10">
        <f>'02_GPU_Mix_Input'!G102</f>
        <v/>
      </c>
      <c r="R102" s="12">
        <f>INDEX('01_Benchmark_Input'!$D$2:$D$10,MATCH(B102,'01_Benchmark_Input'!$A$2:$A$10,0))</f>
        <v/>
      </c>
      <c r="S102" s="12">
        <f>INDEX('01_Benchmark_Input'!$F$2:$F$10,MATCH(B102,'01_Benchmark_Input'!$A$2:$A$10,0))</f>
        <v/>
      </c>
      <c r="T102" s="12">
        <f>INDEX('01_Benchmark_Input'!$H$2:$H$10,MATCH(B102,'01_Benchmark_Input'!$A$2:$A$10,0))</f>
        <v/>
      </c>
      <c r="U102" s="12">
        <f>INDEX('01_Benchmark_Input'!$J$2:$J$10,MATCH(B102,'01_Benchmark_Input'!$A$2:$A$10,0))</f>
        <v/>
      </c>
      <c r="V102" s="10">
        <f>'02_Inputs'!K102</f>
        <v/>
      </c>
      <c r="W102" s="12">
        <f>N102*R102+O102*S102+P102*T102+Q102*U102</f>
        <v/>
      </c>
      <c r="X102" s="12">
        <f>W102*V102</f>
        <v/>
      </c>
      <c r="Y102" s="12">
        <f>L102*1000*X102*86400</f>
        <v/>
      </c>
      <c r="Z102" s="12">
        <f>Y102*365</f>
        <v/>
      </c>
    </row>
    <row r="103">
      <c r="A103" s="9">
        <f>'02_Inputs'!A103</f>
        <v/>
      </c>
      <c r="B103" s="9">
        <f>'02_Inputs'!B103</f>
        <v/>
      </c>
      <c r="C103" s="9">
        <f>'02_Inputs'!C103</f>
        <v/>
      </c>
      <c r="D103" s="11">
        <f>'02_Inputs'!D103</f>
        <v/>
      </c>
      <c r="E103" s="10">
        <f>'02_Inputs'!E103</f>
        <v/>
      </c>
      <c r="F103" s="11">
        <f>D103*E103</f>
        <v/>
      </c>
      <c r="G103" s="9">
        <f>'02_Inputs'!F103</f>
        <v/>
      </c>
      <c r="H103" s="11">
        <f>F103/G103</f>
        <v/>
      </c>
      <c r="I103" s="10">
        <f>'02_Inputs'!G103</f>
        <v/>
      </c>
      <c r="J103" s="11">
        <f>H103*I103</f>
        <v/>
      </c>
      <c r="K103" s="10">
        <f>'02_Inputs'!H103</f>
        <v/>
      </c>
      <c r="L103" s="11">
        <f>J103*K103</f>
        <v/>
      </c>
      <c r="M103" s="11">
        <f>J103*(1-K103)</f>
        <v/>
      </c>
      <c r="N103" s="10">
        <f>'02_GPU_Mix_Input'!D103</f>
        <v/>
      </c>
      <c r="O103" s="10">
        <f>'02_GPU_Mix_Input'!E103</f>
        <v/>
      </c>
      <c r="P103" s="10">
        <f>'02_GPU_Mix_Input'!F103</f>
        <v/>
      </c>
      <c r="Q103" s="10">
        <f>'02_GPU_Mix_Input'!G103</f>
        <v/>
      </c>
      <c r="R103" s="12">
        <f>INDEX('01_Benchmark_Input'!$D$2:$D$10,MATCH(B103,'01_Benchmark_Input'!$A$2:$A$10,0))</f>
        <v/>
      </c>
      <c r="S103" s="12">
        <f>INDEX('01_Benchmark_Input'!$F$2:$F$10,MATCH(B103,'01_Benchmark_Input'!$A$2:$A$10,0))</f>
        <v/>
      </c>
      <c r="T103" s="12">
        <f>INDEX('01_Benchmark_Input'!$H$2:$H$10,MATCH(B103,'01_Benchmark_Input'!$A$2:$A$10,0))</f>
        <v/>
      </c>
      <c r="U103" s="12">
        <f>INDEX('01_Benchmark_Input'!$J$2:$J$10,MATCH(B103,'01_Benchmark_Input'!$A$2:$A$10,0))</f>
        <v/>
      </c>
      <c r="V103" s="10">
        <f>'02_Inputs'!K103</f>
        <v/>
      </c>
      <c r="W103" s="12">
        <f>N103*R103+O103*S103+P103*T103+Q103*U103</f>
        <v/>
      </c>
      <c r="X103" s="12">
        <f>W103*V103</f>
        <v/>
      </c>
      <c r="Y103" s="12">
        <f>L103*1000*X103*86400</f>
        <v/>
      </c>
      <c r="Z103" s="12">
        <f>Y103*365</f>
        <v/>
      </c>
    </row>
    <row r="104">
      <c r="A104" s="9">
        <f>'02_Inputs'!A104</f>
        <v/>
      </c>
      <c r="B104" s="9">
        <f>'02_Inputs'!B104</f>
        <v/>
      </c>
      <c r="C104" s="9">
        <f>'02_Inputs'!C104</f>
        <v/>
      </c>
      <c r="D104" s="11">
        <f>'02_Inputs'!D104</f>
        <v/>
      </c>
      <c r="E104" s="10">
        <f>'02_Inputs'!E104</f>
        <v/>
      </c>
      <c r="F104" s="11">
        <f>D104*E104</f>
        <v/>
      </c>
      <c r="G104" s="9">
        <f>'02_Inputs'!F104</f>
        <v/>
      </c>
      <c r="H104" s="11">
        <f>F104/G104</f>
        <v/>
      </c>
      <c r="I104" s="10">
        <f>'02_Inputs'!G104</f>
        <v/>
      </c>
      <c r="J104" s="11">
        <f>H104*I104</f>
        <v/>
      </c>
      <c r="K104" s="10">
        <f>'02_Inputs'!H104</f>
        <v/>
      </c>
      <c r="L104" s="11">
        <f>J104*K104</f>
        <v/>
      </c>
      <c r="M104" s="11">
        <f>J104*(1-K104)</f>
        <v/>
      </c>
      <c r="N104" s="10">
        <f>'02_GPU_Mix_Input'!D104</f>
        <v/>
      </c>
      <c r="O104" s="10">
        <f>'02_GPU_Mix_Input'!E104</f>
        <v/>
      </c>
      <c r="P104" s="10">
        <f>'02_GPU_Mix_Input'!F104</f>
        <v/>
      </c>
      <c r="Q104" s="10">
        <f>'02_GPU_Mix_Input'!G104</f>
        <v/>
      </c>
      <c r="R104" s="12">
        <f>INDEX('01_Benchmark_Input'!$D$2:$D$10,MATCH(B104,'01_Benchmark_Input'!$A$2:$A$10,0))</f>
        <v/>
      </c>
      <c r="S104" s="12">
        <f>INDEX('01_Benchmark_Input'!$F$2:$F$10,MATCH(B104,'01_Benchmark_Input'!$A$2:$A$10,0))</f>
        <v/>
      </c>
      <c r="T104" s="12">
        <f>INDEX('01_Benchmark_Input'!$H$2:$H$10,MATCH(B104,'01_Benchmark_Input'!$A$2:$A$10,0))</f>
        <v/>
      </c>
      <c r="U104" s="12">
        <f>INDEX('01_Benchmark_Input'!$J$2:$J$10,MATCH(B104,'01_Benchmark_Input'!$A$2:$A$10,0))</f>
        <v/>
      </c>
      <c r="V104" s="10">
        <f>'02_Inputs'!K104</f>
        <v/>
      </c>
      <c r="W104" s="12">
        <f>N104*R104+O104*S104+P104*T104+Q104*U104</f>
        <v/>
      </c>
      <c r="X104" s="12">
        <f>W104*V104</f>
        <v/>
      </c>
      <c r="Y104" s="12">
        <f>L104*1000*X104*86400</f>
        <v/>
      </c>
      <c r="Z104" s="12">
        <f>Y104*365</f>
        <v/>
      </c>
    </row>
    <row r="105">
      <c r="A105" s="9">
        <f>'02_Inputs'!A105</f>
        <v/>
      </c>
      <c r="B105" s="9">
        <f>'02_Inputs'!B105</f>
        <v/>
      </c>
      <c r="C105" s="9">
        <f>'02_Inputs'!C105</f>
        <v/>
      </c>
      <c r="D105" s="11">
        <f>'02_Inputs'!D105</f>
        <v/>
      </c>
      <c r="E105" s="10">
        <f>'02_Inputs'!E105</f>
        <v/>
      </c>
      <c r="F105" s="11">
        <f>D105*E105</f>
        <v/>
      </c>
      <c r="G105" s="9">
        <f>'02_Inputs'!F105</f>
        <v/>
      </c>
      <c r="H105" s="11">
        <f>F105/G105</f>
        <v/>
      </c>
      <c r="I105" s="10">
        <f>'02_Inputs'!G105</f>
        <v/>
      </c>
      <c r="J105" s="11">
        <f>H105*I105</f>
        <v/>
      </c>
      <c r="K105" s="10">
        <f>'02_Inputs'!H105</f>
        <v/>
      </c>
      <c r="L105" s="11">
        <f>J105*K105</f>
        <v/>
      </c>
      <c r="M105" s="11">
        <f>J105*(1-K105)</f>
        <v/>
      </c>
      <c r="N105" s="10">
        <f>'02_GPU_Mix_Input'!D105</f>
        <v/>
      </c>
      <c r="O105" s="10">
        <f>'02_GPU_Mix_Input'!E105</f>
        <v/>
      </c>
      <c r="P105" s="10">
        <f>'02_GPU_Mix_Input'!F105</f>
        <v/>
      </c>
      <c r="Q105" s="10">
        <f>'02_GPU_Mix_Input'!G105</f>
        <v/>
      </c>
      <c r="R105" s="12">
        <f>INDEX('01_Benchmark_Input'!$D$2:$D$10,MATCH(B105,'01_Benchmark_Input'!$A$2:$A$10,0))</f>
        <v/>
      </c>
      <c r="S105" s="12">
        <f>INDEX('01_Benchmark_Input'!$F$2:$F$10,MATCH(B105,'01_Benchmark_Input'!$A$2:$A$10,0))</f>
        <v/>
      </c>
      <c r="T105" s="12">
        <f>INDEX('01_Benchmark_Input'!$H$2:$H$10,MATCH(B105,'01_Benchmark_Input'!$A$2:$A$10,0))</f>
        <v/>
      </c>
      <c r="U105" s="12">
        <f>INDEX('01_Benchmark_Input'!$J$2:$J$10,MATCH(B105,'01_Benchmark_Input'!$A$2:$A$10,0))</f>
        <v/>
      </c>
      <c r="V105" s="10">
        <f>'02_Inputs'!K105</f>
        <v/>
      </c>
      <c r="W105" s="12">
        <f>N105*R105+O105*S105+P105*T105+Q105*U105</f>
        <v/>
      </c>
      <c r="X105" s="12">
        <f>W105*V105</f>
        <v/>
      </c>
      <c r="Y105" s="12">
        <f>L105*1000*X105*86400</f>
        <v/>
      </c>
      <c r="Z105" s="12">
        <f>Y105*365</f>
        <v/>
      </c>
    </row>
    <row r="106">
      <c r="A106" s="9">
        <f>'02_Inputs'!A106</f>
        <v/>
      </c>
      <c r="B106" s="9">
        <f>'02_Inputs'!B106</f>
        <v/>
      </c>
      <c r="C106" s="9">
        <f>'02_Inputs'!C106</f>
        <v/>
      </c>
      <c r="D106" s="11">
        <f>'02_Inputs'!D106</f>
        <v/>
      </c>
      <c r="E106" s="10">
        <f>'02_Inputs'!E106</f>
        <v/>
      </c>
      <c r="F106" s="11">
        <f>D106*E106</f>
        <v/>
      </c>
      <c r="G106" s="9">
        <f>'02_Inputs'!F106</f>
        <v/>
      </c>
      <c r="H106" s="11">
        <f>F106/G106</f>
        <v/>
      </c>
      <c r="I106" s="10">
        <f>'02_Inputs'!G106</f>
        <v/>
      </c>
      <c r="J106" s="11">
        <f>H106*I106</f>
        <v/>
      </c>
      <c r="K106" s="10">
        <f>'02_Inputs'!H106</f>
        <v/>
      </c>
      <c r="L106" s="11">
        <f>J106*K106</f>
        <v/>
      </c>
      <c r="M106" s="11">
        <f>J106*(1-K106)</f>
        <v/>
      </c>
      <c r="N106" s="10">
        <f>'02_GPU_Mix_Input'!D106</f>
        <v/>
      </c>
      <c r="O106" s="10">
        <f>'02_GPU_Mix_Input'!E106</f>
        <v/>
      </c>
      <c r="P106" s="10">
        <f>'02_GPU_Mix_Input'!F106</f>
        <v/>
      </c>
      <c r="Q106" s="10">
        <f>'02_GPU_Mix_Input'!G106</f>
        <v/>
      </c>
      <c r="R106" s="12">
        <f>INDEX('01_Benchmark_Input'!$D$2:$D$10,MATCH(B106,'01_Benchmark_Input'!$A$2:$A$10,0))</f>
        <v/>
      </c>
      <c r="S106" s="12">
        <f>INDEX('01_Benchmark_Input'!$F$2:$F$10,MATCH(B106,'01_Benchmark_Input'!$A$2:$A$10,0))</f>
        <v/>
      </c>
      <c r="T106" s="12">
        <f>INDEX('01_Benchmark_Input'!$H$2:$H$10,MATCH(B106,'01_Benchmark_Input'!$A$2:$A$10,0))</f>
        <v/>
      </c>
      <c r="U106" s="12">
        <f>INDEX('01_Benchmark_Input'!$J$2:$J$10,MATCH(B106,'01_Benchmark_Input'!$A$2:$A$10,0))</f>
        <v/>
      </c>
      <c r="V106" s="10">
        <f>'02_Inputs'!K106</f>
        <v/>
      </c>
      <c r="W106" s="12">
        <f>N106*R106+O106*S106+P106*T106+Q106*U106</f>
        <v/>
      </c>
      <c r="X106" s="12">
        <f>W106*V106</f>
        <v/>
      </c>
      <c r="Y106" s="12">
        <f>L106*1000*X106*86400</f>
        <v/>
      </c>
      <c r="Z106" s="12">
        <f>Y106*365</f>
        <v/>
      </c>
    </row>
    <row r="107">
      <c r="A107" s="9">
        <f>'02_Inputs'!A107</f>
        <v/>
      </c>
      <c r="B107" s="9">
        <f>'02_Inputs'!B107</f>
        <v/>
      </c>
      <c r="C107" s="9">
        <f>'02_Inputs'!C107</f>
        <v/>
      </c>
      <c r="D107" s="11">
        <f>'02_Inputs'!D107</f>
        <v/>
      </c>
      <c r="E107" s="10">
        <f>'02_Inputs'!E107</f>
        <v/>
      </c>
      <c r="F107" s="11">
        <f>D107*E107</f>
        <v/>
      </c>
      <c r="G107" s="9">
        <f>'02_Inputs'!F107</f>
        <v/>
      </c>
      <c r="H107" s="11">
        <f>F107/G107</f>
        <v/>
      </c>
      <c r="I107" s="10">
        <f>'02_Inputs'!G107</f>
        <v/>
      </c>
      <c r="J107" s="11">
        <f>H107*I107</f>
        <v/>
      </c>
      <c r="K107" s="10">
        <f>'02_Inputs'!H107</f>
        <v/>
      </c>
      <c r="L107" s="11">
        <f>J107*K107</f>
        <v/>
      </c>
      <c r="M107" s="11">
        <f>J107*(1-K107)</f>
        <v/>
      </c>
      <c r="N107" s="10">
        <f>'02_GPU_Mix_Input'!D107</f>
        <v/>
      </c>
      <c r="O107" s="10">
        <f>'02_GPU_Mix_Input'!E107</f>
        <v/>
      </c>
      <c r="P107" s="10">
        <f>'02_GPU_Mix_Input'!F107</f>
        <v/>
      </c>
      <c r="Q107" s="10">
        <f>'02_GPU_Mix_Input'!G107</f>
        <v/>
      </c>
      <c r="R107" s="12">
        <f>INDEX('01_Benchmark_Input'!$D$2:$D$10,MATCH(B107,'01_Benchmark_Input'!$A$2:$A$10,0))</f>
        <v/>
      </c>
      <c r="S107" s="12">
        <f>INDEX('01_Benchmark_Input'!$F$2:$F$10,MATCH(B107,'01_Benchmark_Input'!$A$2:$A$10,0))</f>
        <v/>
      </c>
      <c r="T107" s="12">
        <f>INDEX('01_Benchmark_Input'!$H$2:$H$10,MATCH(B107,'01_Benchmark_Input'!$A$2:$A$10,0))</f>
        <v/>
      </c>
      <c r="U107" s="12">
        <f>INDEX('01_Benchmark_Input'!$J$2:$J$10,MATCH(B107,'01_Benchmark_Input'!$A$2:$A$10,0))</f>
        <v/>
      </c>
      <c r="V107" s="10">
        <f>'02_Inputs'!K107</f>
        <v/>
      </c>
      <c r="W107" s="12">
        <f>N107*R107+O107*S107+P107*T107+Q107*U107</f>
        <v/>
      </c>
      <c r="X107" s="12">
        <f>W107*V107</f>
        <v/>
      </c>
      <c r="Y107" s="12">
        <f>L107*1000*X107*86400</f>
        <v/>
      </c>
      <c r="Z107" s="12">
        <f>Y107*365</f>
        <v/>
      </c>
    </row>
    <row r="108">
      <c r="A108" s="9">
        <f>'02_Inputs'!A108</f>
        <v/>
      </c>
      <c r="B108" s="9">
        <f>'02_Inputs'!B108</f>
        <v/>
      </c>
      <c r="C108" s="9">
        <f>'02_Inputs'!C108</f>
        <v/>
      </c>
      <c r="D108" s="11">
        <f>'02_Inputs'!D108</f>
        <v/>
      </c>
      <c r="E108" s="10">
        <f>'02_Inputs'!E108</f>
        <v/>
      </c>
      <c r="F108" s="11">
        <f>D108*E108</f>
        <v/>
      </c>
      <c r="G108" s="9">
        <f>'02_Inputs'!F108</f>
        <v/>
      </c>
      <c r="H108" s="11">
        <f>F108/G108</f>
        <v/>
      </c>
      <c r="I108" s="10">
        <f>'02_Inputs'!G108</f>
        <v/>
      </c>
      <c r="J108" s="11">
        <f>H108*I108</f>
        <v/>
      </c>
      <c r="K108" s="10">
        <f>'02_Inputs'!H108</f>
        <v/>
      </c>
      <c r="L108" s="11">
        <f>J108*K108</f>
        <v/>
      </c>
      <c r="M108" s="11">
        <f>J108*(1-K108)</f>
        <v/>
      </c>
      <c r="N108" s="10">
        <f>'02_GPU_Mix_Input'!D108</f>
        <v/>
      </c>
      <c r="O108" s="10">
        <f>'02_GPU_Mix_Input'!E108</f>
        <v/>
      </c>
      <c r="P108" s="10">
        <f>'02_GPU_Mix_Input'!F108</f>
        <v/>
      </c>
      <c r="Q108" s="10">
        <f>'02_GPU_Mix_Input'!G108</f>
        <v/>
      </c>
      <c r="R108" s="12">
        <f>INDEX('01_Benchmark_Input'!$D$2:$D$10,MATCH(B108,'01_Benchmark_Input'!$A$2:$A$10,0))</f>
        <v/>
      </c>
      <c r="S108" s="12">
        <f>INDEX('01_Benchmark_Input'!$F$2:$F$10,MATCH(B108,'01_Benchmark_Input'!$A$2:$A$10,0))</f>
        <v/>
      </c>
      <c r="T108" s="12">
        <f>INDEX('01_Benchmark_Input'!$H$2:$H$10,MATCH(B108,'01_Benchmark_Input'!$A$2:$A$10,0))</f>
        <v/>
      </c>
      <c r="U108" s="12">
        <f>INDEX('01_Benchmark_Input'!$J$2:$J$10,MATCH(B108,'01_Benchmark_Input'!$A$2:$A$10,0))</f>
        <v/>
      </c>
      <c r="V108" s="10">
        <f>'02_Inputs'!K108</f>
        <v/>
      </c>
      <c r="W108" s="12">
        <f>N108*R108+O108*S108+P108*T108+Q108*U108</f>
        <v/>
      </c>
      <c r="X108" s="12">
        <f>W108*V108</f>
        <v/>
      </c>
      <c r="Y108" s="12">
        <f>L108*1000*X108*86400</f>
        <v/>
      </c>
      <c r="Z108" s="12">
        <f>Y108*365</f>
        <v/>
      </c>
    </row>
    <row r="109">
      <c r="A109" s="9">
        <f>'02_Inputs'!A109</f>
        <v/>
      </c>
      <c r="B109" s="9">
        <f>'02_Inputs'!B109</f>
        <v/>
      </c>
      <c r="C109" s="9">
        <f>'02_Inputs'!C109</f>
        <v/>
      </c>
      <c r="D109" s="11">
        <f>'02_Inputs'!D109</f>
        <v/>
      </c>
      <c r="E109" s="10">
        <f>'02_Inputs'!E109</f>
        <v/>
      </c>
      <c r="F109" s="11">
        <f>D109*E109</f>
        <v/>
      </c>
      <c r="G109" s="9">
        <f>'02_Inputs'!F109</f>
        <v/>
      </c>
      <c r="H109" s="11">
        <f>F109/G109</f>
        <v/>
      </c>
      <c r="I109" s="10">
        <f>'02_Inputs'!G109</f>
        <v/>
      </c>
      <c r="J109" s="11">
        <f>H109*I109</f>
        <v/>
      </c>
      <c r="K109" s="10">
        <f>'02_Inputs'!H109</f>
        <v/>
      </c>
      <c r="L109" s="11">
        <f>J109*K109</f>
        <v/>
      </c>
      <c r="M109" s="11">
        <f>J109*(1-K109)</f>
        <v/>
      </c>
      <c r="N109" s="10">
        <f>'02_GPU_Mix_Input'!D109</f>
        <v/>
      </c>
      <c r="O109" s="10">
        <f>'02_GPU_Mix_Input'!E109</f>
        <v/>
      </c>
      <c r="P109" s="10">
        <f>'02_GPU_Mix_Input'!F109</f>
        <v/>
      </c>
      <c r="Q109" s="10">
        <f>'02_GPU_Mix_Input'!G109</f>
        <v/>
      </c>
      <c r="R109" s="12">
        <f>INDEX('01_Benchmark_Input'!$D$2:$D$10,MATCH(B109,'01_Benchmark_Input'!$A$2:$A$10,0))</f>
        <v/>
      </c>
      <c r="S109" s="12">
        <f>INDEX('01_Benchmark_Input'!$F$2:$F$10,MATCH(B109,'01_Benchmark_Input'!$A$2:$A$10,0))</f>
        <v/>
      </c>
      <c r="T109" s="12">
        <f>INDEX('01_Benchmark_Input'!$H$2:$H$10,MATCH(B109,'01_Benchmark_Input'!$A$2:$A$10,0))</f>
        <v/>
      </c>
      <c r="U109" s="12">
        <f>INDEX('01_Benchmark_Input'!$J$2:$J$10,MATCH(B109,'01_Benchmark_Input'!$A$2:$A$10,0))</f>
        <v/>
      </c>
      <c r="V109" s="10">
        <f>'02_Inputs'!K109</f>
        <v/>
      </c>
      <c r="W109" s="12">
        <f>N109*R109+O109*S109+P109*T109+Q109*U109</f>
        <v/>
      </c>
      <c r="X109" s="12">
        <f>W109*V109</f>
        <v/>
      </c>
      <c r="Y109" s="12">
        <f>L109*1000*X109*86400</f>
        <v/>
      </c>
      <c r="Z109" s="12">
        <f>Y109*365</f>
        <v/>
      </c>
    </row>
    <row r="110">
      <c r="A110" s="9">
        <f>'02_Inputs'!A110</f>
        <v/>
      </c>
      <c r="B110" s="9">
        <f>'02_Inputs'!B110</f>
        <v/>
      </c>
      <c r="C110" s="9">
        <f>'02_Inputs'!C110</f>
        <v/>
      </c>
      <c r="D110" s="11">
        <f>'02_Inputs'!D110</f>
        <v/>
      </c>
      <c r="E110" s="10">
        <f>'02_Inputs'!E110</f>
        <v/>
      </c>
      <c r="F110" s="11">
        <f>D110*E110</f>
        <v/>
      </c>
      <c r="G110" s="9">
        <f>'02_Inputs'!F110</f>
        <v/>
      </c>
      <c r="H110" s="11">
        <f>F110/G110</f>
        <v/>
      </c>
      <c r="I110" s="10">
        <f>'02_Inputs'!G110</f>
        <v/>
      </c>
      <c r="J110" s="11">
        <f>H110*I110</f>
        <v/>
      </c>
      <c r="K110" s="10">
        <f>'02_Inputs'!H110</f>
        <v/>
      </c>
      <c r="L110" s="11">
        <f>J110*K110</f>
        <v/>
      </c>
      <c r="M110" s="11">
        <f>J110*(1-K110)</f>
        <v/>
      </c>
      <c r="N110" s="10">
        <f>'02_GPU_Mix_Input'!D110</f>
        <v/>
      </c>
      <c r="O110" s="10">
        <f>'02_GPU_Mix_Input'!E110</f>
        <v/>
      </c>
      <c r="P110" s="10">
        <f>'02_GPU_Mix_Input'!F110</f>
        <v/>
      </c>
      <c r="Q110" s="10">
        <f>'02_GPU_Mix_Input'!G110</f>
        <v/>
      </c>
      <c r="R110" s="12">
        <f>INDEX('01_Benchmark_Input'!$D$2:$D$10,MATCH(B110,'01_Benchmark_Input'!$A$2:$A$10,0))</f>
        <v/>
      </c>
      <c r="S110" s="12">
        <f>INDEX('01_Benchmark_Input'!$F$2:$F$10,MATCH(B110,'01_Benchmark_Input'!$A$2:$A$10,0))</f>
        <v/>
      </c>
      <c r="T110" s="12">
        <f>INDEX('01_Benchmark_Input'!$H$2:$H$10,MATCH(B110,'01_Benchmark_Input'!$A$2:$A$10,0))</f>
        <v/>
      </c>
      <c r="U110" s="12">
        <f>INDEX('01_Benchmark_Input'!$J$2:$J$10,MATCH(B110,'01_Benchmark_Input'!$A$2:$A$10,0))</f>
        <v/>
      </c>
      <c r="V110" s="10">
        <f>'02_Inputs'!K110</f>
        <v/>
      </c>
      <c r="W110" s="12">
        <f>N110*R110+O110*S110+P110*T110+Q110*U110</f>
        <v/>
      </c>
      <c r="X110" s="12">
        <f>W110*V110</f>
        <v/>
      </c>
      <c r="Y110" s="12">
        <f>L110*1000*X110*86400</f>
        <v/>
      </c>
      <c r="Z110" s="12">
        <f>Y110*365</f>
        <v/>
      </c>
    </row>
    <row r="111">
      <c r="A111" s="9">
        <f>'02_Inputs'!A111</f>
        <v/>
      </c>
      <c r="B111" s="9">
        <f>'02_Inputs'!B111</f>
        <v/>
      </c>
      <c r="C111" s="9">
        <f>'02_Inputs'!C111</f>
        <v/>
      </c>
      <c r="D111" s="11">
        <f>'02_Inputs'!D111</f>
        <v/>
      </c>
      <c r="E111" s="10">
        <f>'02_Inputs'!E111</f>
        <v/>
      </c>
      <c r="F111" s="11">
        <f>D111*E111</f>
        <v/>
      </c>
      <c r="G111" s="9">
        <f>'02_Inputs'!F111</f>
        <v/>
      </c>
      <c r="H111" s="11">
        <f>F111/G111</f>
        <v/>
      </c>
      <c r="I111" s="10">
        <f>'02_Inputs'!G111</f>
        <v/>
      </c>
      <c r="J111" s="11">
        <f>H111*I111</f>
        <v/>
      </c>
      <c r="K111" s="10">
        <f>'02_Inputs'!H111</f>
        <v/>
      </c>
      <c r="L111" s="11">
        <f>J111*K111</f>
        <v/>
      </c>
      <c r="M111" s="11">
        <f>J111*(1-K111)</f>
        <v/>
      </c>
      <c r="N111" s="10">
        <f>'02_GPU_Mix_Input'!D111</f>
        <v/>
      </c>
      <c r="O111" s="10">
        <f>'02_GPU_Mix_Input'!E111</f>
        <v/>
      </c>
      <c r="P111" s="10">
        <f>'02_GPU_Mix_Input'!F111</f>
        <v/>
      </c>
      <c r="Q111" s="10">
        <f>'02_GPU_Mix_Input'!G111</f>
        <v/>
      </c>
      <c r="R111" s="12">
        <f>INDEX('01_Benchmark_Input'!$D$2:$D$10,MATCH(B111,'01_Benchmark_Input'!$A$2:$A$10,0))</f>
        <v/>
      </c>
      <c r="S111" s="12">
        <f>INDEX('01_Benchmark_Input'!$F$2:$F$10,MATCH(B111,'01_Benchmark_Input'!$A$2:$A$10,0))</f>
        <v/>
      </c>
      <c r="T111" s="12">
        <f>INDEX('01_Benchmark_Input'!$H$2:$H$10,MATCH(B111,'01_Benchmark_Input'!$A$2:$A$10,0))</f>
        <v/>
      </c>
      <c r="U111" s="12">
        <f>INDEX('01_Benchmark_Input'!$J$2:$J$10,MATCH(B111,'01_Benchmark_Input'!$A$2:$A$10,0))</f>
        <v/>
      </c>
      <c r="V111" s="10">
        <f>'02_Inputs'!K111</f>
        <v/>
      </c>
      <c r="W111" s="12">
        <f>N111*R111+O111*S111+P111*T111+Q111*U111</f>
        <v/>
      </c>
      <c r="X111" s="12">
        <f>W111*V111</f>
        <v/>
      </c>
      <c r="Y111" s="12">
        <f>L111*1000*X111*86400</f>
        <v/>
      </c>
      <c r="Z111" s="12">
        <f>Y111*365</f>
        <v/>
      </c>
    </row>
    <row r="112">
      <c r="A112" s="9">
        <f>'02_Inputs'!A112</f>
        <v/>
      </c>
      <c r="B112" s="9">
        <f>'02_Inputs'!B112</f>
        <v/>
      </c>
      <c r="C112" s="9">
        <f>'02_Inputs'!C112</f>
        <v/>
      </c>
      <c r="D112" s="11">
        <f>'02_Inputs'!D112</f>
        <v/>
      </c>
      <c r="E112" s="10">
        <f>'02_Inputs'!E112</f>
        <v/>
      </c>
      <c r="F112" s="11">
        <f>D112*E112</f>
        <v/>
      </c>
      <c r="G112" s="9">
        <f>'02_Inputs'!F112</f>
        <v/>
      </c>
      <c r="H112" s="11">
        <f>F112/G112</f>
        <v/>
      </c>
      <c r="I112" s="10">
        <f>'02_Inputs'!G112</f>
        <v/>
      </c>
      <c r="J112" s="11">
        <f>H112*I112</f>
        <v/>
      </c>
      <c r="K112" s="10">
        <f>'02_Inputs'!H112</f>
        <v/>
      </c>
      <c r="L112" s="11">
        <f>J112*K112</f>
        <v/>
      </c>
      <c r="M112" s="11">
        <f>J112*(1-K112)</f>
        <v/>
      </c>
      <c r="N112" s="10">
        <f>'02_GPU_Mix_Input'!D112</f>
        <v/>
      </c>
      <c r="O112" s="10">
        <f>'02_GPU_Mix_Input'!E112</f>
        <v/>
      </c>
      <c r="P112" s="10">
        <f>'02_GPU_Mix_Input'!F112</f>
        <v/>
      </c>
      <c r="Q112" s="10">
        <f>'02_GPU_Mix_Input'!G112</f>
        <v/>
      </c>
      <c r="R112" s="12">
        <f>INDEX('01_Benchmark_Input'!$D$2:$D$10,MATCH(B112,'01_Benchmark_Input'!$A$2:$A$10,0))</f>
        <v/>
      </c>
      <c r="S112" s="12">
        <f>INDEX('01_Benchmark_Input'!$F$2:$F$10,MATCH(B112,'01_Benchmark_Input'!$A$2:$A$10,0))</f>
        <v/>
      </c>
      <c r="T112" s="12">
        <f>INDEX('01_Benchmark_Input'!$H$2:$H$10,MATCH(B112,'01_Benchmark_Input'!$A$2:$A$10,0))</f>
        <v/>
      </c>
      <c r="U112" s="12">
        <f>INDEX('01_Benchmark_Input'!$J$2:$J$10,MATCH(B112,'01_Benchmark_Input'!$A$2:$A$10,0))</f>
        <v/>
      </c>
      <c r="V112" s="10">
        <f>'02_Inputs'!K112</f>
        <v/>
      </c>
      <c r="W112" s="12">
        <f>N112*R112+O112*S112+P112*T112+Q112*U112</f>
        <v/>
      </c>
      <c r="X112" s="12">
        <f>W112*V112</f>
        <v/>
      </c>
      <c r="Y112" s="12">
        <f>L112*1000*X112*86400</f>
        <v/>
      </c>
      <c r="Z112" s="12">
        <f>Y112*365</f>
        <v/>
      </c>
    </row>
    <row r="113">
      <c r="A113" s="9">
        <f>'02_Inputs'!A113</f>
        <v/>
      </c>
      <c r="B113" s="9">
        <f>'02_Inputs'!B113</f>
        <v/>
      </c>
      <c r="C113" s="9">
        <f>'02_Inputs'!C113</f>
        <v/>
      </c>
      <c r="D113" s="11">
        <f>'02_Inputs'!D113</f>
        <v/>
      </c>
      <c r="E113" s="10">
        <f>'02_Inputs'!E113</f>
        <v/>
      </c>
      <c r="F113" s="11">
        <f>D113*E113</f>
        <v/>
      </c>
      <c r="G113" s="9">
        <f>'02_Inputs'!F113</f>
        <v/>
      </c>
      <c r="H113" s="11">
        <f>F113/G113</f>
        <v/>
      </c>
      <c r="I113" s="10">
        <f>'02_Inputs'!G113</f>
        <v/>
      </c>
      <c r="J113" s="11">
        <f>H113*I113</f>
        <v/>
      </c>
      <c r="K113" s="10">
        <f>'02_Inputs'!H113</f>
        <v/>
      </c>
      <c r="L113" s="11">
        <f>J113*K113</f>
        <v/>
      </c>
      <c r="M113" s="11">
        <f>J113*(1-K113)</f>
        <v/>
      </c>
      <c r="N113" s="10">
        <f>'02_GPU_Mix_Input'!D113</f>
        <v/>
      </c>
      <c r="O113" s="10">
        <f>'02_GPU_Mix_Input'!E113</f>
        <v/>
      </c>
      <c r="P113" s="10">
        <f>'02_GPU_Mix_Input'!F113</f>
        <v/>
      </c>
      <c r="Q113" s="10">
        <f>'02_GPU_Mix_Input'!G113</f>
        <v/>
      </c>
      <c r="R113" s="12">
        <f>INDEX('01_Benchmark_Input'!$D$2:$D$10,MATCH(B113,'01_Benchmark_Input'!$A$2:$A$10,0))</f>
        <v/>
      </c>
      <c r="S113" s="12">
        <f>INDEX('01_Benchmark_Input'!$F$2:$F$10,MATCH(B113,'01_Benchmark_Input'!$A$2:$A$10,0))</f>
        <v/>
      </c>
      <c r="T113" s="12">
        <f>INDEX('01_Benchmark_Input'!$H$2:$H$10,MATCH(B113,'01_Benchmark_Input'!$A$2:$A$10,0))</f>
        <v/>
      </c>
      <c r="U113" s="12">
        <f>INDEX('01_Benchmark_Input'!$J$2:$J$10,MATCH(B113,'01_Benchmark_Input'!$A$2:$A$10,0))</f>
        <v/>
      </c>
      <c r="V113" s="10">
        <f>'02_Inputs'!K113</f>
        <v/>
      </c>
      <c r="W113" s="12">
        <f>N113*R113+O113*S113+P113*T113+Q113*U113</f>
        <v/>
      </c>
      <c r="X113" s="12">
        <f>W113*V113</f>
        <v/>
      </c>
      <c r="Y113" s="12">
        <f>L113*1000*X113*86400</f>
        <v/>
      </c>
      <c r="Z113" s="12">
        <f>Y113*365</f>
        <v/>
      </c>
    </row>
    <row r="114">
      <c r="A114" s="9">
        <f>'02_Inputs'!A114</f>
        <v/>
      </c>
      <c r="B114" s="9">
        <f>'02_Inputs'!B114</f>
        <v/>
      </c>
      <c r="C114" s="9">
        <f>'02_Inputs'!C114</f>
        <v/>
      </c>
      <c r="D114" s="11">
        <f>'02_Inputs'!D114</f>
        <v/>
      </c>
      <c r="E114" s="10">
        <f>'02_Inputs'!E114</f>
        <v/>
      </c>
      <c r="F114" s="11">
        <f>D114*E114</f>
        <v/>
      </c>
      <c r="G114" s="9">
        <f>'02_Inputs'!F114</f>
        <v/>
      </c>
      <c r="H114" s="11">
        <f>F114/G114</f>
        <v/>
      </c>
      <c r="I114" s="10">
        <f>'02_Inputs'!G114</f>
        <v/>
      </c>
      <c r="J114" s="11">
        <f>H114*I114</f>
        <v/>
      </c>
      <c r="K114" s="10">
        <f>'02_Inputs'!H114</f>
        <v/>
      </c>
      <c r="L114" s="11">
        <f>J114*K114</f>
        <v/>
      </c>
      <c r="M114" s="11">
        <f>J114*(1-K114)</f>
        <v/>
      </c>
      <c r="N114" s="10">
        <f>'02_GPU_Mix_Input'!D114</f>
        <v/>
      </c>
      <c r="O114" s="10">
        <f>'02_GPU_Mix_Input'!E114</f>
        <v/>
      </c>
      <c r="P114" s="10">
        <f>'02_GPU_Mix_Input'!F114</f>
        <v/>
      </c>
      <c r="Q114" s="10">
        <f>'02_GPU_Mix_Input'!G114</f>
        <v/>
      </c>
      <c r="R114" s="12">
        <f>INDEX('01_Benchmark_Input'!$D$2:$D$10,MATCH(B114,'01_Benchmark_Input'!$A$2:$A$10,0))</f>
        <v/>
      </c>
      <c r="S114" s="12">
        <f>INDEX('01_Benchmark_Input'!$F$2:$F$10,MATCH(B114,'01_Benchmark_Input'!$A$2:$A$10,0))</f>
        <v/>
      </c>
      <c r="T114" s="12">
        <f>INDEX('01_Benchmark_Input'!$H$2:$H$10,MATCH(B114,'01_Benchmark_Input'!$A$2:$A$10,0))</f>
        <v/>
      </c>
      <c r="U114" s="12">
        <f>INDEX('01_Benchmark_Input'!$J$2:$J$10,MATCH(B114,'01_Benchmark_Input'!$A$2:$A$10,0))</f>
        <v/>
      </c>
      <c r="V114" s="10">
        <f>'02_Inputs'!K114</f>
        <v/>
      </c>
      <c r="W114" s="12">
        <f>N114*R114+O114*S114+P114*T114+Q114*U114</f>
        <v/>
      </c>
      <c r="X114" s="12">
        <f>W114*V114</f>
        <v/>
      </c>
      <c r="Y114" s="12">
        <f>L114*1000*X114*86400</f>
        <v/>
      </c>
      <c r="Z114" s="12">
        <f>Y114*365</f>
        <v/>
      </c>
    </row>
    <row r="115">
      <c r="A115" s="9">
        <f>'02_Inputs'!A115</f>
        <v/>
      </c>
      <c r="B115" s="9">
        <f>'02_Inputs'!B115</f>
        <v/>
      </c>
      <c r="C115" s="9">
        <f>'02_Inputs'!C115</f>
        <v/>
      </c>
      <c r="D115" s="11">
        <f>'02_Inputs'!D115</f>
        <v/>
      </c>
      <c r="E115" s="10">
        <f>'02_Inputs'!E115</f>
        <v/>
      </c>
      <c r="F115" s="11">
        <f>D115*E115</f>
        <v/>
      </c>
      <c r="G115" s="9">
        <f>'02_Inputs'!F115</f>
        <v/>
      </c>
      <c r="H115" s="11">
        <f>F115/G115</f>
        <v/>
      </c>
      <c r="I115" s="10">
        <f>'02_Inputs'!G115</f>
        <v/>
      </c>
      <c r="J115" s="11">
        <f>H115*I115</f>
        <v/>
      </c>
      <c r="K115" s="10">
        <f>'02_Inputs'!H115</f>
        <v/>
      </c>
      <c r="L115" s="11">
        <f>J115*K115</f>
        <v/>
      </c>
      <c r="M115" s="11">
        <f>J115*(1-K115)</f>
        <v/>
      </c>
      <c r="N115" s="10">
        <f>'02_GPU_Mix_Input'!D115</f>
        <v/>
      </c>
      <c r="O115" s="10">
        <f>'02_GPU_Mix_Input'!E115</f>
        <v/>
      </c>
      <c r="P115" s="10">
        <f>'02_GPU_Mix_Input'!F115</f>
        <v/>
      </c>
      <c r="Q115" s="10">
        <f>'02_GPU_Mix_Input'!G115</f>
        <v/>
      </c>
      <c r="R115" s="12">
        <f>INDEX('01_Benchmark_Input'!$D$2:$D$10,MATCH(B115,'01_Benchmark_Input'!$A$2:$A$10,0))</f>
        <v/>
      </c>
      <c r="S115" s="12">
        <f>INDEX('01_Benchmark_Input'!$F$2:$F$10,MATCH(B115,'01_Benchmark_Input'!$A$2:$A$10,0))</f>
        <v/>
      </c>
      <c r="T115" s="12">
        <f>INDEX('01_Benchmark_Input'!$H$2:$H$10,MATCH(B115,'01_Benchmark_Input'!$A$2:$A$10,0))</f>
        <v/>
      </c>
      <c r="U115" s="12">
        <f>INDEX('01_Benchmark_Input'!$J$2:$J$10,MATCH(B115,'01_Benchmark_Input'!$A$2:$A$10,0))</f>
        <v/>
      </c>
      <c r="V115" s="10">
        <f>'02_Inputs'!K115</f>
        <v/>
      </c>
      <c r="W115" s="12">
        <f>N115*R115+O115*S115+P115*T115+Q115*U115</f>
        <v/>
      </c>
      <c r="X115" s="12">
        <f>W115*V115</f>
        <v/>
      </c>
      <c r="Y115" s="12">
        <f>L115*1000*X115*86400</f>
        <v/>
      </c>
      <c r="Z115" s="12">
        <f>Y115*365</f>
        <v/>
      </c>
    </row>
    <row r="116">
      <c r="A116" s="9">
        <f>'02_Inputs'!A116</f>
        <v/>
      </c>
      <c r="B116" s="9">
        <f>'02_Inputs'!B116</f>
        <v/>
      </c>
      <c r="C116" s="9">
        <f>'02_Inputs'!C116</f>
        <v/>
      </c>
      <c r="D116" s="11">
        <f>'02_Inputs'!D116</f>
        <v/>
      </c>
      <c r="E116" s="10">
        <f>'02_Inputs'!E116</f>
        <v/>
      </c>
      <c r="F116" s="11">
        <f>D116*E116</f>
        <v/>
      </c>
      <c r="G116" s="9">
        <f>'02_Inputs'!F116</f>
        <v/>
      </c>
      <c r="H116" s="11">
        <f>F116/G116</f>
        <v/>
      </c>
      <c r="I116" s="10">
        <f>'02_Inputs'!G116</f>
        <v/>
      </c>
      <c r="J116" s="11">
        <f>H116*I116</f>
        <v/>
      </c>
      <c r="K116" s="10">
        <f>'02_Inputs'!H116</f>
        <v/>
      </c>
      <c r="L116" s="11">
        <f>J116*K116</f>
        <v/>
      </c>
      <c r="M116" s="11">
        <f>J116*(1-K116)</f>
        <v/>
      </c>
      <c r="N116" s="10">
        <f>'02_GPU_Mix_Input'!D116</f>
        <v/>
      </c>
      <c r="O116" s="10">
        <f>'02_GPU_Mix_Input'!E116</f>
        <v/>
      </c>
      <c r="P116" s="10">
        <f>'02_GPU_Mix_Input'!F116</f>
        <v/>
      </c>
      <c r="Q116" s="10">
        <f>'02_GPU_Mix_Input'!G116</f>
        <v/>
      </c>
      <c r="R116" s="12">
        <f>INDEX('01_Benchmark_Input'!$D$2:$D$10,MATCH(B116,'01_Benchmark_Input'!$A$2:$A$10,0))</f>
        <v/>
      </c>
      <c r="S116" s="12">
        <f>INDEX('01_Benchmark_Input'!$F$2:$F$10,MATCH(B116,'01_Benchmark_Input'!$A$2:$A$10,0))</f>
        <v/>
      </c>
      <c r="T116" s="12">
        <f>INDEX('01_Benchmark_Input'!$H$2:$H$10,MATCH(B116,'01_Benchmark_Input'!$A$2:$A$10,0))</f>
        <v/>
      </c>
      <c r="U116" s="12">
        <f>INDEX('01_Benchmark_Input'!$J$2:$J$10,MATCH(B116,'01_Benchmark_Input'!$A$2:$A$10,0))</f>
        <v/>
      </c>
      <c r="V116" s="10">
        <f>'02_Inputs'!K116</f>
        <v/>
      </c>
      <c r="W116" s="12">
        <f>N116*R116+O116*S116+P116*T116+Q116*U116</f>
        <v/>
      </c>
      <c r="X116" s="12">
        <f>W116*V116</f>
        <v/>
      </c>
      <c r="Y116" s="12">
        <f>L116*1000*X116*86400</f>
        <v/>
      </c>
      <c r="Z116" s="12">
        <f>Y116*365</f>
        <v/>
      </c>
    </row>
    <row r="117">
      <c r="A117" s="9">
        <f>'02_Inputs'!A117</f>
        <v/>
      </c>
      <c r="B117" s="9">
        <f>'02_Inputs'!B117</f>
        <v/>
      </c>
      <c r="C117" s="9">
        <f>'02_Inputs'!C117</f>
        <v/>
      </c>
      <c r="D117" s="11">
        <f>'02_Inputs'!D117</f>
        <v/>
      </c>
      <c r="E117" s="10">
        <f>'02_Inputs'!E117</f>
        <v/>
      </c>
      <c r="F117" s="11">
        <f>D117*E117</f>
        <v/>
      </c>
      <c r="G117" s="9">
        <f>'02_Inputs'!F117</f>
        <v/>
      </c>
      <c r="H117" s="11">
        <f>F117/G117</f>
        <v/>
      </c>
      <c r="I117" s="10">
        <f>'02_Inputs'!G117</f>
        <v/>
      </c>
      <c r="J117" s="11">
        <f>H117*I117</f>
        <v/>
      </c>
      <c r="K117" s="10">
        <f>'02_Inputs'!H117</f>
        <v/>
      </c>
      <c r="L117" s="11">
        <f>J117*K117</f>
        <v/>
      </c>
      <c r="M117" s="11">
        <f>J117*(1-K117)</f>
        <v/>
      </c>
      <c r="N117" s="10">
        <f>'02_GPU_Mix_Input'!D117</f>
        <v/>
      </c>
      <c r="O117" s="10">
        <f>'02_GPU_Mix_Input'!E117</f>
        <v/>
      </c>
      <c r="P117" s="10">
        <f>'02_GPU_Mix_Input'!F117</f>
        <v/>
      </c>
      <c r="Q117" s="10">
        <f>'02_GPU_Mix_Input'!G117</f>
        <v/>
      </c>
      <c r="R117" s="12">
        <f>INDEX('01_Benchmark_Input'!$D$2:$D$10,MATCH(B117,'01_Benchmark_Input'!$A$2:$A$10,0))</f>
        <v/>
      </c>
      <c r="S117" s="12">
        <f>INDEX('01_Benchmark_Input'!$F$2:$F$10,MATCH(B117,'01_Benchmark_Input'!$A$2:$A$10,0))</f>
        <v/>
      </c>
      <c r="T117" s="12">
        <f>INDEX('01_Benchmark_Input'!$H$2:$H$10,MATCH(B117,'01_Benchmark_Input'!$A$2:$A$10,0))</f>
        <v/>
      </c>
      <c r="U117" s="12">
        <f>INDEX('01_Benchmark_Input'!$J$2:$J$10,MATCH(B117,'01_Benchmark_Input'!$A$2:$A$10,0))</f>
        <v/>
      </c>
      <c r="V117" s="10">
        <f>'02_Inputs'!K117</f>
        <v/>
      </c>
      <c r="W117" s="12">
        <f>N117*R117+O117*S117+P117*T117+Q117*U117</f>
        <v/>
      </c>
      <c r="X117" s="12">
        <f>W117*V117</f>
        <v/>
      </c>
      <c r="Y117" s="12">
        <f>L117*1000*X117*86400</f>
        <v/>
      </c>
      <c r="Z117" s="12">
        <f>Y117*365</f>
        <v/>
      </c>
    </row>
    <row r="118">
      <c r="A118" s="9">
        <f>'02_Inputs'!A118</f>
        <v/>
      </c>
      <c r="B118" s="9">
        <f>'02_Inputs'!B118</f>
        <v/>
      </c>
      <c r="C118" s="9">
        <f>'02_Inputs'!C118</f>
        <v/>
      </c>
      <c r="D118" s="11">
        <f>'02_Inputs'!D118</f>
        <v/>
      </c>
      <c r="E118" s="10">
        <f>'02_Inputs'!E118</f>
        <v/>
      </c>
      <c r="F118" s="11">
        <f>D118*E118</f>
        <v/>
      </c>
      <c r="G118" s="9">
        <f>'02_Inputs'!F118</f>
        <v/>
      </c>
      <c r="H118" s="11">
        <f>F118/G118</f>
        <v/>
      </c>
      <c r="I118" s="10">
        <f>'02_Inputs'!G118</f>
        <v/>
      </c>
      <c r="J118" s="11">
        <f>H118*I118</f>
        <v/>
      </c>
      <c r="K118" s="10">
        <f>'02_Inputs'!H118</f>
        <v/>
      </c>
      <c r="L118" s="11">
        <f>J118*K118</f>
        <v/>
      </c>
      <c r="M118" s="11">
        <f>J118*(1-K118)</f>
        <v/>
      </c>
      <c r="N118" s="10">
        <f>'02_GPU_Mix_Input'!D118</f>
        <v/>
      </c>
      <c r="O118" s="10">
        <f>'02_GPU_Mix_Input'!E118</f>
        <v/>
      </c>
      <c r="P118" s="10">
        <f>'02_GPU_Mix_Input'!F118</f>
        <v/>
      </c>
      <c r="Q118" s="10">
        <f>'02_GPU_Mix_Input'!G118</f>
        <v/>
      </c>
      <c r="R118" s="12">
        <f>INDEX('01_Benchmark_Input'!$D$2:$D$10,MATCH(B118,'01_Benchmark_Input'!$A$2:$A$10,0))</f>
        <v/>
      </c>
      <c r="S118" s="12">
        <f>INDEX('01_Benchmark_Input'!$F$2:$F$10,MATCH(B118,'01_Benchmark_Input'!$A$2:$A$10,0))</f>
        <v/>
      </c>
      <c r="T118" s="12">
        <f>INDEX('01_Benchmark_Input'!$H$2:$H$10,MATCH(B118,'01_Benchmark_Input'!$A$2:$A$10,0))</f>
        <v/>
      </c>
      <c r="U118" s="12">
        <f>INDEX('01_Benchmark_Input'!$J$2:$J$10,MATCH(B118,'01_Benchmark_Input'!$A$2:$A$10,0))</f>
        <v/>
      </c>
      <c r="V118" s="10">
        <f>'02_Inputs'!K118</f>
        <v/>
      </c>
      <c r="W118" s="12">
        <f>N118*R118+O118*S118+P118*T118+Q118*U118</f>
        <v/>
      </c>
      <c r="X118" s="12">
        <f>W118*V118</f>
        <v/>
      </c>
      <c r="Y118" s="12">
        <f>L118*1000*X118*86400</f>
        <v/>
      </c>
      <c r="Z118" s="12">
        <f>Y118*365</f>
        <v/>
      </c>
    </row>
    <row r="119">
      <c r="A119" s="9">
        <f>'02_Inputs'!A119</f>
        <v/>
      </c>
      <c r="B119" s="9">
        <f>'02_Inputs'!B119</f>
        <v/>
      </c>
      <c r="C119" s="9">
        <f>'02_Inputs'!C119</f>
        <v/>
      </c>
      <c r="D119" s="11">
        <f>'02_Inputs'!D119</f>
        <v/>
      </c>
      <c r="E119" s="10">
        <f>'02_Inputs'!E119</f>
        <v/>
      </c>
      <c r="F119" s="11">
        <f>D119*E119</f>
        <v/>
      </c>
      <c r="G119" s="9">
        <f>'02_Inputs'!F119</f>
        <v/>
      </c>
      <c r="H119" s="11">
        <f>F119/G119</f>
        <v/>
      </c>
      <c r="I119" s="10">
        <f>'02_Inputs'!G119</f>
        <v/>
      </c>
      <c r="J119" s="11">
        <f>H119*I119</f>
        <v/>
      </c>
      <c r="K119" s="10">
        <f>'02_Inputs'!H119</f>
        <v/>
      </c>
      <c r="L119" s="11">
        <f>J119*K119</f>
        <v/>
      </c>
      <c r="M119" s="11">
        <f>J119*(1-K119)</f>
        <v/>
      </c>
      <c r="N119" s="10">
        <f>'02_GPU_Mix_Input'!D119</f>
        <v/>
      </c>
      <c r="O119" s="10">
        <f>'02_GPU_Mix_Input'!E119</f>
        <v/>
      </c>
      <c r="P119" s="10">
        <f>'02_GPU_Mix_Input'!F119</f>
        <v/>
      </c>
      <c r="Q119" s="10">
        <f>'02_GPU_Mix_Input'!G119</f>
        <v/>
      </c>
      <c r="R119" s="12">
        <f>INDEX('01_Benchmark_Input'!$D$2:$D$10,MATCH(B119,'01_Benchmark_Input'!$A$2:$A$10,0))</f>
        <v/>
      </c>
      <c r="S119" s="12">
        <f>INDEX('01_Benchmark_Input'!$F$2:$F$10,MATCH(B119,'01_Benchmark_Input'!$A$2:$A$10,0))</f>
        <v/>
      </c>
      <c r="T119" s="12">
        <f>INDEX('01_Benchmark_Input'!$H$2:$H$10,MATCH(B119,'01_Benchmark_Input'!$A$2:$A$10,0))</f>
        <v/>
      </c>
      <c r="U119" s="12">
        <f>INDEX('01_Benchmark_Input'!$J$2:$J$10,MATCH(B119,'01_Benchmark_Input'!$A$2:$A$10,0))</f>
        <v/>
      </c>
      <c r="V119" s="10">
        <f>'02_Inputs'!K119</f>
        <v/>
      </c>
      <c r="W119" s="12">
        <f>N119*R119+O119*S119+P119*T119+Q119*U119</f>
        <v/>
      </c>
      <c r="X119" s="12">
        <f>W119*V119</f>
        <v/>
      </c>
      <c r="Y119" s="12">
        <f>L119*1000*X119*86400</f>
        <v/>
      </c>
      <c r="Z119" s="12">
        <f>Y119*365</f>
        <v/>
      </c>
    </row>
    <row r="120">
      <c r="A120" s="9">
        <f>'02_Inputs'!A120</f>
        <v/>
      </c>
      <c r="B120" s="9">
        <f>'02_Inputs'!B120</f>
        <v/>
      </c>
      <c r="C120" s="9">
        <f>'02_Inputs'!C120</f>
        <v/>
      </c>
      <c r="D120" s="11">
        <f>'02_Inputs'!D120</f>
        <v/>
      </c>
      <c r="E120" s="10">
        <f>'02_Inputs'!E120</f>
        <v/>
      </c>
      <c r="F120" s="11">
        <f>D120*E120</f>
        <v/>
      </c>
      <c r="G120" s="9">
        <f>'02_Inputs'!F120</f>
        <v/>
      </c>
      <c r="H120" s="11">
        <f>F120/G120</f>
        <v/>
      </c>
      <c r="I120" s="10">
        <f>'02_Inputs'!G120</f>
        <v/>
      </c>
      <c r="J120" s="11">
        <f>H120*I120</f>
        <v/>
      </c>
      <c r="K120" s="10">
        <f>'02_Inputs'!H120</f>
        <v/>
      </c>
      <c r="L120" s="11">
        <f>J120*K120</f>
        <v/>
      </c>
      <c r="M120" s="11">
        <f>J120*(1-K120)</f>
        <v/>
      </c>
      <c r="N120" s="10">
        <f>'02_GPU_Mix_Input'!D120</f>
        <v/>
      </c>
      <c r="O120" s="10">
        <f>'02_GPU_Mix_Input'!E120</f>
        <v/>
      </c>
      <c r="P120" s="10">
        <f>'02_GPU_Mix_Input'!F120</f>
        <v/>
      </c>
      <c r="Q120" s="10">
        <f>'02_GPU_Mix_Input'!G120</f>
        <v/>
      </c>
      <c r="R120" s="12">
        <f>INDEX('01_Benchmark_Input'!$D$2:$D$10,MATCH(B120,'01_Benchmark_Input'!$A$2:$A$10,0))</f>
        <v/>
      </c>
      <c r="S120" s="12">
        <f>INDEX('01_Benchmark_Input'!$F$2:$F$10,MATCH(B120,'01_Benchmark_Input'!$A$2:$A$10,0))</f>
        <v/>
      </c>
      <c r="T120" s="12">
        <f>INDEX('01_Benchmark_Input'!$H$2:$H$10,MATCH(B120,'01_Benchmark_Input'!$A$2:$A$10,0))</f>
        <v/>
      </c>
      <c r="U120" s="12">
        <f>INDEX('01_Benchmark_Input'!$J$2:$J$10,MATCH(B120,'01_Benchmark_Input'!$A$2:$A$10,0))</f>
        <v/>
      </c>
      <c r="V120" s="10">
        <f>'02_Inputs'!K120</f>
        <v/>
      </c>
      <c r="W120" s="12">
        <f>N120*R120+O120*S120+P120*T120+Q120*U120</f>
        <v/>
      </c>
      <c r="X120" s="12">
        <f>W120*V120</f>
        <v/>
      </c>
      <c r="Y120" s="12">
        <f>L120*1000*X120*86400</f>
        <v/>
      </c>
      <c r="Z120" s="12">
        <f>Y120*365</f>
        <v/>
      </c>
    </row>
    <row r="121">
      <c r="A121" s="9">
        <f>'02_Inputs'!A121</f>
        <v/>
      </c>
      <c r="B121" s="9">
        <f>'02_Inputs'!B121</f>
        <v/>
      </c>
      <c r="C121" s="9">
        <f>'02_Inputs'!C121</f>
        <v/>
      </c>
      <c r="D121" s="11">
        <f>'02_Inputs'!D121</f>
        <v/>
      </c>
      <c r="E121" s="10">
        <f>'02_Inputs'!E121</f>
        <v/>
      </c>
      <c r="F121" s="11">
        <f>D121*E121</f>
        <v/>
      </c>
      <c r="G121" s="9">
        <f>'02_Inputs'!F121</f>
        <v/>
      </c>
      <c r="H121" s="11">
        <f>F121/G121</f>
        <v/>
      </c>
      <c r="I121" s="10">
        <f>'02_Inputs'!G121</f>
        <v/>
      </c>
      <c r="J121" s="11">
        <f>H121*I121</f>
        <v/>
      </c>
      <c r="K121" s="10">
        <f>'02_Inputs'!H121</f>
        <v/>
      </c>
      <c r="L121" s="11">
        <f>J121*K121</f>
        <v/>
      </c>
      <c r="M121" s="11">
        <f>J121*(1-K121)</f>
        <v/>
      </c>
      <c r="N121" s="10">
        <f>'02_GPU_Mix_Input'!D121</f>
        <v/>
      </c>
      <c r="O121" s="10">
        <f>'02_GPU_Mix_Input'!E121</f>
        <v/>
      </c>
      <c r="P121" s="10">
        <f>'02_GPU_Mix_Input'!F121</f>
        <v/>
      </c>
      <c r="Q121" s="10">
        <f>'02_GPU_Mix_Input'!G121</f>
        <v/>
      </c>
      <c r="R121" s="12">
        <f>INDEX('01_Benchmark_Input'!$D$2:$D$10,MATCH(B121,'01_Benchmark_Input'!$A$2:$A$10,0))</f>
        <v/>
      </c>
      <c r="S121" s="12">
        <f>INDEX('01_Benchmark_Input'!$F$2:$F$10,MATCH(B121,'01_Benchmark_Input'!$A$2:$A$10,0))</f>
        <v/>
      </c>
      <c r="T121" s="12">
        <f>INDEX('01_Benchmark_Input'!$H$2:$H$10,MATCH(B121,'01_Benchmark_Input'!$A$2:$A$10,0))</f>
        <v/>
      </c>
      <c r="U121" s="12">
        <f>INDEX('01_Benchmark_Input'!$J$2:$J$10,MATCH(B121,'01_Benchmark_Input'!$A$2:$A$10,0))</f>
        <v/>
      </c>
      <c r="V121" s="10">
        <f>'02_Inputs'!K121</f>
        <v/>
      </c>
      <c r="W121" s="12">
        <f>N121*R121+O121*S121+P121*T121+Q121*U121</f>
        <v/>
      </c>
      <c r="X121" s="12">
        <f>W121*V121</f>
        <v/>
      </c>
      <c r="Y121" s="12">
        <f>L121*1000*X121*86400</f>
        <v/>
      </c>
      <c r="Z121" s="12">
        <f>Y121*365</f>
        <v/>
      </c>
    </row>
    <row r="122">
      <c r="A122" s="9">
        <f>'02_Inputs'!A122</f>
        <v/>
      </c>
      <c r="B122" s="9">
        <f>'02_Inputs'!B122</f>
        <v/>
      </c>
      <c r="C122" s="9">
        <f>'02_Inputs'!C122</f>
        <v/>
      </c>
      <c r="D122" s="11">
        <f>'02_Inputs'!D122</f>
        <v/>
      </c>
      <c r="E122" s="10">
        <f>'02_Inputs'!E122</f>
        <v/>
      </c>
      <c r="F122" s="11">
        <f>D122*E122</f>
        <v/>
      </c>
      <c r="G122" s="9">
        <f>'02_Inputs'!F122</f>
        <v/>
      </c>
      <c r="H122" s="11">
        <f>F122/G122</f>
        <v/>
      </c>
      <c r="I122" s="10">
        <f>'02_Inputs'!G122</f>
        <v/>
      </c>
      <c r="J122" s="11">
        <f>H122*I122</f>
        <v/>
      </c>
      <c r="K122" s="10">
        <f>'02_Inputs'!H122</f>
        <v/>
      </c>
      <c r="L122" s="11">
        <f>J122*K122</f>
        <v/>
      </c>
      <c r="M122" s="11">
        <f>J122*(1-K122)</f>
        <v/>
      </c>
      <c r="N122" s="10">
        <f>'02_GPU_Mix_Input'!D122</f>
        <v/>
      </c>
      <c r="O122" s="10">
        <f>'02_GPU_Mix_Input'!E122</f>
        <v/>
      </c>
      <c r="P122" s="10">
        <f>'02_GPU_Mix_Input'!F122</f>
        <v/>
      </c>
      <c r="Q122" s="10">
        <f>'02_GPU_Mix_Input'!G122</f>
        <v/>
      </c>
      <c r="R122" s="12">
        <f>INDEX('01_Benchmark_Input'!$D$2:$D$10,MATCH(B122,'01_Benchmark_Input'!$A$2:$A$10,0))</f>
        <v/>
      </c>
      <c r="S122" s="12">
        <f>INDEX('01_Benchmark_Input'!$F$2:$F$10,MATCH(B122,'01_Benchmark_Input'!$A$2:$A$10,0))</f>
        <v/>
      </c>
      <c r="T122" s="12">
        <f>INDEX('01_Benchmark_Input'!$H$2:$H$10,MATCH(B122,'01_Benchmark_Input'!$A$2:$A$10,0))</f>
        <v/>
      </c>
      <c r="U122" s="12">
        <f>INDEX('01_Benchmark_Input'!$J$2:$J$10,MATCH(B122,'01_Benchmark_Input'!$A$2:$A$10,0))</f>
        <v/>
      </c>
      <c r="V122" s="10">
        <f>'02_Inputs'!K122</f>
        <v/>
      </c>
      <c r="W122" s="12">
        <f>N122*R122+O122*S122+P122*T122+Q122*U122</f>
        <v/>
      </c>
      <c r="X122" s="12">
        <f>W122*V122</f>
        <v/>
      </c>
      <c r="Y122" s="12">
        <f>L122*1000*X122*86400</f>
        <v/>
      </c>
      <c r="Z122" s="12">
        <f>Y122*365</f>
        <v/>
      </c>
    </row>
    <row r="123">
      <c r="A123" s="9">
        <f>'02_Inputs'!A123</f>
        <v/>
      </c>
      <c r="B123" s="9">
        <f>'02_Inputs'!B123</f>
        <v/>
      </c>
      <c r="C123" s="9">
        <f>'02_Inputs'!C123</f>
        <v/>
      </c>
      <c r="D123" s="11">
        <f>'02_Inputs'!D123</f>
        <v/>
      </c>
      <c r="E123" s="10">
        <f>'02_Inputs'!E123</f>
        <v/>
      </c>
      <c r="F123" s="11">
        <f>D123*E123</f>
        <v/>
      </c>
      <c r="G123" s="9">
        <f>'02_Inputs'!F123</f>
        <v/>
      </c>
      <c r="H123" s="11">
        <f>F123/G123</f>
        <v/>
      </c>
      <c r="I123" s="10">
        <f>'02_Inputs'!G123</f>
        <v/>
      </c>
      <c r="J123" s="11">
        <f>H123*I123</f>
        <v/>
      </c>
      <c r="K123" s="10">
        <f>'02_Inputs'!H123</f>
        <v/>
      </c>
      <c r="L123" s="11">
        <f>J123*K123</f>
        <v/>
      </c>
      <c r="M123" s="11">
        <f>J123*(1-K123)</f>
        <v/>
      </c>
      <c r="N123" s="10">
        <f>'02_GPU_Mix_Input'!D123</f>
        <v/>
      </c>
      <c r="O123" s="10">
        <f>'02_GPU_Mix_Input'!E123</f>
        <v/>
      </c>
      <c r="P123" s="10">
        <f>'02_GPU_Mix_Input'!F123</f>
        <v/>
      </c>
      <c r="Q123" s="10">
        <f>'02_GPU_Mix_Input'!G123</f>
        <v/>
      </c>
      <c r="R123" s="12">
        <f>INDEX('01_Benchmark_Input'!$D$2:$D$10,MATCH(B123,'01_Benchmark_Input'!$A$2:$A$10,0))</f>
        <v/>
      </c>
      <c r="S123" s="12">
        <f>INDEX('01_Benchmark_Input'!$F$2:$F$10,MATCH(B123,'01_Benchmark_Input'!$A$2:$A$10,0))</f>
        <v/>
      </c>
      <c r="T123" s="12">
        <f>INDEX('01_Benchmark_Input'!$H$2:$H$10,MATCH(B123,'01_Benchmark_Input'!$A$2:$A$10,0))</f>
        <v/>
      </c>
      <c r="U123" s="12">
        <f>INDEX('01_Benchmark_Input'!$J$2:$J$10,MATCH(B123,'01_Benchmark_Input'!$A$2:$A$10,0))</f>
        <v/>
      </c>
      <c r="V123" s="10">
        <f>'02_Inputs'!K123</f>
        <v/>
      </c>
      <c r="W123" s="12">
        <f>N123*R123+O123*S123+P123*T123+Q123*U123</f>
        <v/>
      </c>
      <c r="X123" s="12">
        <f>W123*V123</f>
        <v/>
      </c>
      <c r="Y123" s="12">
        <f>L123*1000*X123*86400</f>
        <v/>
      </c>
      <c r="Z123" s="12">
        <f>Y123*365</f>
        <v/>
      </c>
    </row>
    <row r="124">
      <c r="A124" s="9">
        <f>'02_Inputs'!A124</f>
        <v/>
      </c>
      <c r="B124" s="9">
        <f>'02_Inputs'!B124</f>
        <v/>
      </c>
      <c r="C124" s="9">
        <f>'02_Inputs'!C124</f>
        <v/>
      </c>
      <c r="D124" s="11">
        <f>'02_Inputs'!D124</f>
        <v/>
      </c>
      <c r="E124" s="10">
        <f>'02_Inputs'!E124</f>
        <v/>
      </c>
      <c r="F124" s="11">
        <f>D124*E124</f>
        <v/>
      </c>
      <c r="G124" s="9">
        <f>'02_Inputs'!F124</f>
        <v/>
      </c>
      <c r="H124" s="11">
        <f>F124/G124</f>
        <v/>
      </c>
      <c r="I124" s="10">
        <f>'02_Inputs'!G124</f>
        <v/>
      </c>
      <c r="J124" s="11">
        <f>H124*I124</f>
        <v/>
      </c>
      <c r="K124" s="10">
        <f>'02_Inputs'!H124</f>
        <v/>
      </c>
      <c r="L124" s="11">
        <f>J124*K124</f>
        <v/>
      </c>
      <c r="M124" s="11">
        <f>J124*(1-K124)</f>
        <v/>
      </c>
      <c r="N124" s="10">
        <f>'02_GPU_Mix_Input'!D124</f>
        <v/>
      </c>
      <c r="O124" s="10">
        <f>'02_GPU_Mix_Input'!E124</f>
        <v/>
      </c>
      <c r="P124" s="10">
        <f>'02_GPU_Mix_Input'!F124</f>
        <v/>
      </c>
      <c r="Q124" s="10">
        <f>'02_GPU_Mix_Input'!G124</f>
        <v/>
      </c>
      <c r="R124" s="12">
        <f>INDEX('01_Benchmark_Input'!$D$2:$D$10,MATCH(B124,'01_Benchmark_Input'!$A$2:$A$10,0))</f>
        <v/>
      </c>
      <c r="S124" s="12">
        <f>INDEX('01_Benchmark_Input'!$F$2:$F$10,MATCH(B124,'01_Benchmark_Input'!$A$2:$A$10,0))</f>
        <v/>
      </c>
      <c r="T124" s="12">
        <f>INDEX('01_Benchmark_Input'!$H$2:$H$10,MATCH(B124,'01_Benchmark_Input'!$A$2:$A$10,0))</f>
        <v/>
      </c>
      <c r="U124" s="12">
        <f>INDEX('01_Benchmark_Input'!$J$2:$J$10,MATCH(B124,'01_Benchmark_Input'!$A$2:$A$10,0))</f>
        <v/>
      </c>
      <c r="V124" s="10">
        <f>'02_Inputs'!K124</f>
        <v/>
      </c>
      <c r="W124" s="12">
        <f>N124*R124+O124*S124+P124*T124+Q124*U124</f>
        <v/>
      </c>
      <c r="X124" s="12">
        <f>W124*V124</f>
        <v/>
      </c>
      <c r="Y124" s="12">
        <f>L124*1000*X124*86400</f>
        <v/>
      </c>
      <c r="Z124" s="12">
        <f>Y124*365</f>
        <v/>
      </c>
    </row>
    <row r="125">
      <c r="A125" s="9">
        <f>'02_Inputs'!A125</f>
        <v/>
      </c>
      <c r="B125" s="9">
        <f>'02_Inputs'!B125</f>
        <v/>
      </c>
      <c r="C125" s="9">
        <f>'02_Inputs'!C125</f>
        <v/>
      </c>
      <c r="D125" s="11">
        <f>'02_Inputs'!D125</f>
        <v/>
      </c>
      <c r="E125" s="10">
        <f>'02_Inputs'!E125</f>
        <v/>
      </c>
      <c r="F125" s="11">
        <f>D125*E125</f>
        <v/>
      </c>
      <c r="G125" s="9">
        <f>'02_Inputs'!F125</f>
        <v/>
      </c>
      <c r="H125" s="11">
        <f>F125/G125</f>
        <v/>
      </c>
      <c r="I125" s="10">
        <f>'02_Inputs'!G125</f>
        <v/>
      </c>
      <c r="J125" s="11">
        <f>H125*I125</f>
        <v/>
      </c>
      <c r="K125" s="10">
        <f>'02_Inputs'!H125</f>
        <v/>
      </c>
      <c r="L125" s="11">
        <f>J125*K125</f>
        <v/>
      </c>
      <c r="M125" s="11">
        <f>J125*(1-K125)</f>
        <v/>
      </c>
      <c r="N125" s="10">
        <f>'02_GPU_Mix_Input'!D125</f>
        <v/>
      </c>
      <c r="O125" s="10">
        <f>'02_GPU_Mix_Input'!E125</f>
        <v/>
      </c>
      <c r="P125" s="10">
        <f>'02_GPU_Mix_Input'!F125</f>
        <v/>
      </c>
      <c r="Q125" s="10">
        <f>'02_GPU_Mix_Input'!G125</f>
        <v/>
      </c>
      <c r="R125" s="12">
        <f>INDEX('01_Benchmark_Input'!$D$2:$D$10,MATCH(B125,'01_Benchmark_Input'!$A$2:$A$10,0))</f>
        <v/>
      </c>
      <c r="S125" s="12">
        <f>INDEX('01_Benchmark_Input'!$F$2:$F$10,MATCH(B125,'01_Benchmark_Input'!$A$2:$A$10,0))</f>
        <v/>
      </c>
      <c r="T125" s="12">
        <f>INDEX('01_Benchmark_Input'!$H$2:$H$10,MATCH(B125,'01_Benchmark_Input'!$A$2:$A$10,0))</f>
        <v/>
      </c>
      <c r="U125" s="12">
        <f>INDEX('01_Benchmark_Input'!$J$2:$J$10,MATCH(B125,'01_Benchmark_Input'!$A$2:$A$10,0))</f>
        <v/>
      </c>
      <c r="V125" s="10">
        <f>'02_Inputs'!K125</f>
        <v/>
      </c>
      <c r="W125" s="12">
        <f>N125*R125+O125*S125+P125*T125+Q125*U125</f>
        <v/>
      </c>
      <c r="X125" s="12">
        <f>W125*V125</f>
        <v/>
      </c>
      <c r="Y125" s="12">
        <f>L125*1000*X125*86400</f>
        <v/>
      </c>
      <c r="Z125" s="12">
        <f>Y125*365</f>
        <v/>
      </c>
    </row>
    <row r="126">
      <c r="A126" s="9">
        <f>'02_Inputs'!A126</f>
        <v/>
      </c>
      <c r="B126" s="9">
        <f>'02_Inputs'!B126</f>
        <v/>
      </c>
      <c r="C126" s="9">
        <f>'02_Inputs'!C126</f>
        <v/>
      </c>
      <c r="D126" s="11">
        <f>'02_Inputs'!D126</f>
        <v/>
      </c>
      <c r="E126" s="10">
        <f>'02_Inputs'!E126</f>
        <v/>
      </c>
      <c r="F126" s="11">
        <f>D126*E126</f>
        <v/>
      </c>
      <c r="G126" s="9">
        <f>'02_Inputs'!F126</f>
        <v/>
      </c>
      <c r="H126" s="11">
        <f>F126/G126</f>
        <v/>
      </c>
      <c r="I126" s="10">
        <f>'02_Inputs'!G126</f>
        <v/>
      </c>
      <c r="J126" s="11">
        <f>H126*I126</f>
        <v/>
      </c>
      <c r="K126" s="10">
        <f>'02_Inputs'!H126</f>
        <v/>
      </c>
      <c r="L126" s="11">
        <f>J126*K126</f>
        <v/>
      </c>
      <c r="M126" s="11">
        <f>J126*(1-K126)</f>
        <v/>
      </c>
      <c r="N126" s="10">
        <f>'02_GPU_Mix_Input'!D126</f>
        <v/>
      </c>
      <c r="O126" s="10">
        <f>'02_GPU_Mix_Input'!E126</f>
        <v/>
      </c>
      <c r="P126" s="10">
        <f>'02_GPU_Mix_Input'!F126</f>
        <v/>
      </c>
      <c r="Q126" s="10">
        <f>'02_GPU_Mix_Input'!G126</f>
        <v/>
      </c>
      <c r="R126" s="12">
        <f>INDEX('01_Benchmark_Input'!$D$2:$D$10,MATCH(B126,'01_Benchmark_Input'!$A$2:$A$10,0))</f>
        <v/>
      </c>
      <c r="S126" s="12">
        <f>INDEX('01_Benchmark_Input'!$F$2:$F$10,MATCH(B126,'01_Benchmark_Input'!$A$2:$A$10,0))</f>
        <v/>
      </c>
      <c r="T126" s="12">
        <f>INDEX('01_Benchmark_Input'!$H$2:$H$10,MATCH(B126,'01_Benchmark_Input'!$A$2:$A$10,0))</f>
        <v/>
      </c>
      <c r="U126" s="12">
        <f>INDEX('01_Benchmark_Input'!$J$2:$J$10,MATCH(B126,'01_Benchmark_Input'!$A$2:$A$10,0))</f>
        <v/>
      </c>
      <c r="V126" s="10">
        <f>'02_Inputs'!K126</f>
        <v/>
      </c>
      <c r="W126" s="12">
        <f>N126*R126+O126*S126+P126*T126+Q126*U126</f>
        <v/>
      </c>
      <c r="X126" s="12">
        <f>W126*V126</f>
        <v/>
      </c>
      <c r="Y126" s="12">
        <f>L126*1000*X126*86400</f>
        <v/>
      </c>
      <c r="Z126" s="12">
        <f>Y126*365</f>
        <v/>
      </c>
    </row>
    <row r="127">
      <c r="A127" s="9">
        <f>'02_Inputs'!A127</f>
        <v/>
      </c>
      <c r="B127" s="9">
        <f>'02_Inputs'!B127</f>
        <v/>
      </c>
      <c r="C127" s="9">
        <f>'02_Inputs'!C127</f>
        <v/>
      </c>
      <c r="D127" s="11">
        <f>'02_Inputs'!D127</f>
        <v/>
      </c>
      <c r="E127" s="10">
        <f>'02_Inputs'!E127</f>
        <v/>
      </c>
      <c r="F127" s="11">
        <f>D127*E127</f>
        <v/>
      </c>
      <c r="G127" s="9">
        <f>'02_Inputs'!F127</f>
        <v/>
      </c>
      <c r="H127" s="11">
        <f>F127/G127</f>
        <v/>
      </c>
      <c r="I127" s="10">
        <f>'02_Inputs'!G127</f>
        <v/>
      </c>
      <c r="J127" s="11">
        <f>H127*I127</f>
        <v/>
      </c>
      <c r="K127" s="10">
        <f>'02_Inputs'!H127</f>
        <v/>
      </c>
      <c r="L127" s="11">
        <f>J127*K127</f>
        <v/>
      </c>
      <c r="M127" s="11">
        <f>J127*(1-K127)</f>
        <v/>
      </c>
      <c r="N127" s="10">
        <f>'02_GPU_Mix_Input'!D127</f>
        <v/>
      </c>
      <c r="O127" s="10">
        <f>'02_GPU_Mix_Input'!E127</f>
        <v/>
      </c>
      <c r="P127" s="10">
        <f>'02_GPU_Mix_Input'!F127</f>
        <v/>
      </c>
      <c r="Q127" s="10">
        <f>'02_GPU_Mix_Input'!G127</f>
        <v/>
      </c>
      <c r="R127" s="12">
        <f>INDEX('01_Benchmark_Input'!$D$2:$D$10,MATCH(B127,'01_Benchmark_Input'!$A$2:$A$10,0))</f>
        <v/>
      </c>
      <c r="S127" s="12">
        <f>INDEX('01_Benchmark_Input'!$F$2:$F$10,MATCH(B127,'01_Benchmark_Input'!$A$2:$A$10,0))</f>
        <v/>
      </c>
      <c r="T127" s="12">
        <f>INDEX('01_Benchmark_Input'!$H$2:$H$10,MATCH(B127,'01_Benchmark_Input'!$A$2:$A$10,0))</f>
        <v/>
      </c>
      <c r="U127" s="12">
        <f>INDEX('01_Benchmark_Input'!$J$2:$J$10,MATCH(B127,'01_Benchmark_Input'!$A$2:$A$10,0))</f>
        <v/>
      </c>
      <c r="V127" s="10">
        <f>'02_Inputs'!K127</f>
        <v/>
      </c>
      <c r="W127" s="12">
        <f>N127*R127+O127*S127+P127*T127+Q127*U127</f>
        <v/>
      </c>
      <c r="X127" s="12">
        <f>W127*V127</f>
        <v/>
      </c>
      <c r="Y127" s="12">
        <f>L127*1000*X127*86400</f>
        <v/>
      </c>
      <c r="Z127" s="12">
        <f>Y127*365</f>
        <v/>
      </c>
    </row>
    <row r="128">
      <c r="A128" s="9">
        <f>'02_Inputs'!A128</f>
        <v/>
      </c>
      <c r="B128" s="9">
        <f>'02_Inputs'!B128</f>
        <v/>
      </c>
      <c r="C128" s="9">
        <f>'02_Inputs'!C128</f>
        <v/>
      </c>
      <c r="D128" s="11">
        <f>'02_Inputs'!D128</f>
        <v/>
      </c>
      <c r="E128" s="10">
        <f>'02_Inputs'!E128</f>
        <v/>
      </c>
      <c r="F128" s="11">
        <f>D128*E128</f>
        <v/>
      </c>
      <c r="G128" s="9">
        <f>'02_Inputs'!F128</f>
        <v/>
      </c>
      <c r="H128" s="11">
        <f>F128/G128</f>
        <v/>
      </c>
      <c r="I128" s="10">
        <f>'02_Inputs'!G128</f>
        <v/>
      </c>
      <c r="J128" s="11">
        <f>H128*I128</f>
        <v/>
      </c>
      <c r="K128" s="10">
        <f>'02_Inputs'!H128</f>
        <v/>
      </c>
      <c r="L128" s="11">
        <f>J128*K128</f>
        <v/>
      </c>
      <c r="M128" s="11">
        <f>J128*(1-K128)</f>
        <v/>
      </c>
      <c r="N128" s="10">
        <f>'02_GPU_Mix_Input'!D128</f>
        <v/>
      </c>
      <c r="O128" s="10">
        <f>'02_GPU_Mix_Input'!E128</f>
        <v/>
      </c>
      <c r="P128" s="10">
        <f>'02_GPU_Mix_Input'!F128</f>
        <v/>
      </c>
      <c r="Q128" s="10">
        <f>'02_GPU_Mix_Input'!G128</f>
        <v/>
      </c>
      <c r="R128" s="12">
        <f>INDEX('01_Benchmark_Input'!$D$2:$D$10,MATCH(B128,'01_Benchmark_Input'!$A$2:$A$10,0))</f>
        <v/>
      </c>
      <c r="S128" s="12">
        <f>INDEX('01_Benchmark_Input'!$F$2:$F$10,MATCH(B128,'01_Benchmark_Input'!$A$2:$A$10,0))</f>
        <v/>
      </c>
      <c r="T128" s="12">
        <f>INDEX('01_Benchmark_Input'!$H$2:$H$10,MATCH(B128,'01_Benchmark_Input'!$A$2:$A$10,0))</f>
        <v/>
      </c>
      <c r="U128" s="12">
        <f>INDEX('01_Benchmark_Input'!$J$2:$J$10,MATCH(B128,'01_Benchmark_Input'!$A$2:$A$10,0))</f>
        <v/>
      </c>
      <c r="V128" s="10">
        <f>'02_Inputs'!K128</f>
        <v/>
      </c>
      <c r="W128" s="12">
        <f>N128*R128+O128*S128+P128*T128+Q128*U128</f>
        <v/>
      </c>
      <c r="X128" s="12">
        <f>W128*V128</f>
        <v/>
      </c>
      <c r="Y128" s="12">
        <f>L128*1000*X128*86400</f>
        <v/>
      </c>
      <c r="Z128" s="12">
        <f>Y128*365</f>
        <v/>
      </c>
    </row>
    <row r="129">
      <c r="A129" s="9">
        <f>'02_Inputs'!A129</f>
        <v/>
      </c>
      <c r="B129" s="9">
        <f>'02_Inputs'!B129</f>
        <v/>
      </c>
      <c r="C129" s="9">
        <f>'02_Inputs'!C129</f>
        <v/>
      </c>
      <c r="D129" s="11">
        <f>'02_Inputs'!D129</f>
        <v/>
      </c>
      <c r="E129" s="10">
        <f>'02_Inputs'!E129</f>
        <v/>
      </c>
      <c r="F129" s="11">
        <f>D129*E129</f>
        <v/>
      </c>
      <c r="G129" s="9">
        <f>'02_Inputs'!F129</f>
        <v/>
      </c>
      <c r="H129" s="11">
        <f>F129/G129</f>
        <v/>
      </c>
      <c r="I129" s="10">
        <f>'02_Inputs'!G129</f>
        <v/>
      </c>
      <c r="J129" s="11">
        <f>H129*I129</f>
        <v/>
      </c>
      <c r="K129" s="10">
        <f>'02_Inputs'!H129</f>
        <v/>
      </c>
      <c r="L129" s="11">
        <f>J129*K129</f>
        <v/>
      </c>
      <c r="M129" s="11">
        <f>J129*(1-K129)</f>
        <v/>
      </c>
      <c r="N129" s="10">
        <f>'02_GPU_Mix_Input'!D129</f>
        <v/>
      </c>
      <c r="O129" s="10">
        <f>'02_GPU_Mix_Input'!E129</f>
        <v/>
      </c>
      <c r="P129" s="10">
        <f>'02_GPU_Mix_Input'!F129</f>
        <v/>
      </c>
      <c r="Q129" s="10">
        <f>'02_GPU_Mix_Input'!G129</f>
        <v/>
      </c>
      <c r="R129" s="12">
        <f>INDEX('01_Benchmark_Input'!$D$2:$D$10,MATCH(B129,'01_Benchmark_Input'!$A$2:$A$10,0))</f>
        <v/>
      </c>
      <c r="S129" s="12">
        <f>INDEX('01_Benchmark_Input'!$F$2:$F$10,MATCH(B129,'01_Benchmark_Input'!$A$2:$A$10,0))</f>
        <v/>
      </c>
      <c r="T129" s="12">
        <f>INDEX('01_Benchmark_Input'!$H$2:$H$10,MATCH(B129,'01_Benchmark_Input'!$A$2:$A$10,0))</f>
        <v/>
      </c>
      <c r="U129" s="12">
        <f>INDEX('01_Benchmark_Input'!$J$2:$J$10,MATCH(B129,'01_Benchmark_Input'!$A$2:$A$10,0))</f>
        <v/>
      </c>
      <c r="V129" s="10">
        <f>'02_Inputs'!K129</f>
        <v/>
      </c>
      <c r="W129" s="12">
        <f>N129*R129+O129*S129+P129*T129+Q129*U129</f>
        <v/>
      </c>
      <c r="X129" s="12">
        <f>W129*V129</f>
        <v/>
      </c>
      <c r="Y129" s="12">
        <f>L129*1000*X129*86400</f>
        <v/>
      </c>
      <c r="Z129" s="12">
        <f>Y129*365</f>
        <v/>
      </c>
    </row>
    <row r="130">
      <c r="A130" s="9">
        <f>'02_Inputs'!A130</f>
        <v/>
      </c>
      <c r="B130" s="9">
        <f>'02_Inputs'!B130</f>
        <v/>
      </c>
      <c r="C130" s="9">
        <f>'02_Inputs'!C130</f>
        <v/>
      </c>
      <c r="D130" s="11">
        <f>'02_Inputs'!D130</f>
        <v/>
      </c>
      <c r="E130" s="10">
        <f>'02_Inputs'!E130</f>
        <v/>
      </c>
      <c r="F130" s="11">
        <f>D130*E130</f>
        <v/>
      </c>
      <c r="G130" s="9">
        <f>'02_Inputs'!F130</f>
        <v/>
      </c>
      <c r="H130" s="11">
        <f>F130/G130</f>
        <v/>
      </c>
      <c r="I130" s="10">
        <f>'02_Inputs'!G130</f>
        <v/>
      </c>
      <c r="J130" s="11">
        <f>H130*I130</f>
        <v/>
      </c>
      <c r="K130" s="10">
        <f>'02_Inputs'!H130</f>
        <v/>
      </c>
      <c r="L130" s="11">
        <f>J130*K130</f>
        <v/>
      </c>
      <c r="M130" s="11">
        <f>J130*(1-K130)</f>
        <v/>
      </c>
      <c r="N130" s="10">
        <f>'02_GPU_Mix_Input'!D130</f>
        <v/>
      </c>
      <c r="O130" s="10">
        <f>'02_GPU_Mix_Input'!E130</f>
        <v/>
      </c>
      <c r="P130" s="10">
        <f>'02_GPU_Mix_Input'!F130</f>
        <v/>
      </c>
      <c r="Q130" s="10">
        <f>'02_GPU_Mix_Input'!G130</f>
        <v/>
      </c>
      <c r="R130" s="12">
        <f>INDEX('01_Benchmark_Input'!$D$2:$D$10,MATCH(B130,'01_Benchmark_Input'!$A$2:$A$10,0))</f>
        <v/>
      </c>
      <c r="S130" s="12">
        <f>INDEX('01_Benchmark_Input'!$F$2:$F$10,MATCH(B130,'01_Benchmark_Input'!$A$2:$A$10,0))</f>
        <v/>
      </c>
      <c r="T130" s="12">
        <f>INDEX('01_Benchmark_Input'!$H$2:$H$10,MATCH(B130,'01_Benchmark_Input'!$A$2:$A$10,0))</f>
        <v/>
      </c>
      <c r="U130" s="12">
        <f>INDEX('01_Benchmark_Input'!$J$2:$J$10,MATCH(B130,'01_Benchmark_Input'!$A$2:$A$10,0))</f>
        <v/>
      </c>
      <c r="V130" s="10">
        <f>'02_Inputs'!K130</f>
        <v/>
      </c>
      <c r="W130" s="12">
        <f>N130*R130+O130*S130+P130*T130+Q130*U130</f>
        <v/>
      </c>
      <c r="X130" s="12">
        <f>W130*V130</f>
        <v/>
      </c>
      <c r="Y130" s="12">
        <f>L130*1000*X130*86400</f>
        <v/>
      </c>
      <c r="Z130" s="12">
        <f>Y130*365</f>
        <v/>
      </c>
    </row>
    <row r="131">
      <c r="A131" s="9">
        <f>'02_Inputs'!A131</f>
        <v/>
      </c>
      <c r="B131" s="9">
        <f>'02_Inputs'!B131</f>
        <v/>
      </c>
      <c r="C131" s="9">
        <f>'02_Inputs'!C131</f>
        <v/>
      </c>
      <c r="D131" s="11">
        <f>'02_Inputs'!D131</f>
        <v/>
      </c>
      <c r="E131" s="10">
        <f>'02_Inputs'!E131</f>
        <v/>
      </c>
      <c r="F131" s="11">
        <f>D131*E131</f>
        <v/>
      </c>
      <c r="G131" s="9">
        <f>'02_Inputs'!F131</f>
        <v/>
      </c>
      <c r="H131" s="11">
        <f>F131/G131</f>
        <v/>
      </c>
      <c r="I131" s="10">
        <f>'02_Inputs'!G131</f>
        <v/>
      </c>
      <c r="J131" s="11">
        <f>H131*I131</f>
        <v/>
      </c>
      <c r="K131" s="10">
        <f>'02_Inputs'!H131</f>
        <v/>
      </c>
      <c r="L131" s="11">
        <f>J131*K131</f>
        <v/>
      </c>
      <c r="M131" s="11">
        <f>J131*(1-K131)</f>
        <v/>
      </c>
      <c r="N131" s="10">
        <f>'02_GPU_Mix_Input'!D131</f>
        <v/>
      </c>
      <c r="O131" s="10">
        <f>'02_GPU_Mix_Input'!E131</f>
        <v/>
      </c>
      <c r="P131" s="10">
        <f>'02_GPU_Mix_Input'!F131</f>
        <v/>
      </c>
      <c r="Q131" s="10">
        <f>'02_GPU_Mix_Input'!G131</f>
        <v/>
      </c>
      <c r="R131" s="12">
        <f>INDEX('01_Benchmark_Input'!$D$2:$D$10,MATCH(B131,'01_Benchmark_Input'!$A$2:$A$10,0))</f>
        <v/>
      </c>
      <c r="S131" s="12">
        <f>INDEX('01_Benchmark_Input'!$F$2:$F$10,MATCH(B131,'01_Benchmark_Input'!$A$2:$A$10,0))</f>
        <v/>
      </c>
      <c r="T131" s="12">
        <f>INDEX('01_Benchmark_Input'!$H$2:$H$10,MATCH(B131,'01_Benchmark_Input'!$A$2:$A$10,0))</f>
        <v/>
      </c>
      <c r="U131" s="12">
        <f>INDEX('01_Benchmark_Input'!$J$2:$J$10,MATCH(B131,'01_Benchmark_Input'!$A$2:$A$10,0))</f>
        <v/>
      </c>
      <c r="V131" s="10">
        <f>'02_Inputs'!K131</f>
        <v/>
      </c>
      <c r="W131" s="12">
        <f>N131*R131+O131*S131+P131*T131+Q131*U131</f>
        <v/>
      </c>
      <c r="X131" s="12">
        <f>W131*V131</f>
        <v/>
      </c>
      <c r="Y131" s="12">
        <f>L131*1000*X131*86400</f>
        <v/>
      </c>
      <c r="Z131" s="12">
        <f>Y131*365</f>
        <v/>
      </c>
    </row>
    <row r="132">
      <c r="A132" s="9">
        <f>'02_Inputs'!A132</f>
        <v/>
      </c>
      <c r="B132" s="9">
        <f>'02_Inputs'!B132</f>
        <v/>
      </c>
      <c r="C132" s="9">
        <f>'02_Inputs'!C132</f>
        <v/>
      </c>
      <c r="D132" s="11">
        <f>'02_Inputs'!D132</f>
        <v/>
      </c>
      <c r="E132" s="10">
        <f>'02_Inputs'!E132</f>
        <v/>
      </c>
      <c r="F132" s="11">
        <f>D132*E132</f>
        <v/>
      </c>
      <c r="G132" s="9">
        <f>'02_Inputs'!F132</f>
        <v/>
      </c>
      <c r="H132" s="11">
        <f>F132/G132</f>
        <v/>
      </c>
      <c r="I132" s="10">
        <f>'02_Inputs'!G132</f>
        <v/>
      </c>
      <c r="J132" s="11">
        <f>H132*I132</f>
        <v/>
      </c>
      <c r="K132" s="10">
        <f>'02_Inputs'!H132</f>
        <v/>
      </c>
      <c r="L132" s="11">
        <f>J132*K132</f>
        <v/>
      </c>
      <c r="M132" s="11">
        <f>J132*(1-K132)</f>
        <v/>
      </c>
      <c r="N132" s="10">
        <f>'02_GPU_Mix_Input'!D132</f>
        <v/>
      </c>
      <c r="O132" s="10">
        <f>'02_GPU_Mix_Input'!E132</f>
        <v/>
      </c>
      <c r="P132" s="10">
        <f>'02_GPU_Mix_Input'!F132</f>
        <v/>
      </c>
      <c r="Q132" s="10">
        <f>'02_GPU_Mix_Input'!G132</f>
        <v/>
      </c>
      <c r="R132" s="12">
        <f>INDEX('01_Benchmark_Input'!$D$2:$D$10,MATCH(B132,'01_Benchmark_Input'!$A$2:$A$10,0))</f>
        <v/>
      </c>
      <c r="S132" s="12">
        <f>INDEX('01_Benchmark_Input'!$F$2:$F$10,MATCH(B132,'01_Benchmark_Input'!$A$2:$A$10,0))</f>
        <v/>
      </c>
      <c r="T132" s="12">
        <f>INDEX('01_Benchmark_Input'!$H$2:$H$10,MATCH(B132,'01_Benchmark_Input'!$A$2:$A$10,0))</f>
        <v/>
      </c>
      <c r="U132" s="12">
        <f>INDEX('01_Benchmark_Input'!$J$2:$J$10,MATCH(B132,'01_Benchmark_Input'!$A$2:$A$10,0))</f>
        <v/>
      </c>
      <c r="V132" s="10">
        <f>'02_Inputs'!K132</f>
        <v/>
      </c>
      <c r="W132" s="12">
        <f>N132*R132+O132*S132+P132*T132+Q132*U132</f>
        <v/>
      </c>
      <c r="X132" s="12">
        <f>W132*V132</f>
        <v/>
      </c>
      <c r="Y132" s="12">
        <f>L132*1000*X132*86400</f>
        <v/>
      </c>
      <c r="Z132" s="12">
        <f>Y132*365</f>
        <v/>
      </c>
    </row>
    <row r="133">
      <c r="A133" s="9">
        <f>'02_Inputs'!A133</f>
        <v/>
      </c>
      <c r="B133" s="9">
        <f>'02_Inputs'!B133</f>
        <v/>
      </c>
      <c r="C133" s="9">
        <f>'02_Inputs'!C133</f>
        <v/>
      </c>
      <c r="D133" s="11">
        <f>'02_Inputs'!D133</f>
        <v/>
      </c>
      <c r="E133" s="10">
        <f>'02_Inputs'!E133</f>
        <v/>
      </c>
      <c r="F133" s="11">
        <f>D133*E133</f>
        <v/>
      </c>
      <c r="G133" s="9">
        <f>'02_Inputs'!F133</f>
        <v/>
      </c>
      <c r="H133" s="11">
        <f>F133/G133</f>
        <v/>
      </c>
      <c r="I133" s="10">
        <f>'02_Inputs'!G133</f>
        <v/>
      </c>
      <c r="J133" s="11">
        <f>H133*I133</f>
        <v/>
      </c>
      <c r="K133" s="10">
        <f>'02_Inputs'!H133</f>
        <v/>
      </c>
      <c r="L133" s="11">
        <f>J133*K133</f>
        <v/>
      </c>
      <c r="M133" s="11">
        <f>J133*(1-K133)</f>
        <v/>
      </c>
      <c r="N133" s="10">
        <f>'02_GPU_Mix_Input'!D133</f>
        <v/>
      </c>
      <c r="O133" s="10">
        <f>'02_GPU_Mix_Input'!E133</f>
        <v/>
      </c>
      <c r="P133" s="10">
        <f>'02_GPU_Mix_Input'!F133</f>
        <v/>
      </c>
      <c r="Q133" s="10">
        <f>'02_GPU_Mix_Input'!G133</f>
        <v/>
      </c>
      <c r="R133" s="12">
        <f>INDEX('01_Benchmark_Input'!$D$2:$D$10,MATCH(B133,'01_Benchmark_Input'!$A$2:$A$10,0))</f>
        <v/>
      </c>
      <c r="S133" s="12">
        <f>INDEX('01_Benchmark_Input'!$F$2:$F$10,MATCH(B133,'01_Benchmark_Input'!$A$2:$A$10,0))</f>
        <v/>
      </c>
      <c r="T133" s="12">
        <f>INDEX('01_Benchmark_Input'!$H$2:$H$10,MATCH(B133,'01_Benchmark_Input'!$A$2:$A$10,0))</f>
        <v/>
      </c>
      <c r="U133" s="12">
        <f>INDEX('01_Benchmark_Input'!$J$2:$J$10,MATCH(B133,'01_Benchmark_Input'!$A$2:$A$10,0))</f>
        <v/>
      </c>
      <c r="V133" s="10">
        <f>'02_Inputs'!K133</f>
        <v/>
      </c>
      <c r="W133" s="12">
        <f>N133*R133+O133*S133+P133*T133+Q133*U133</f>
        <v/>
      </c>
      <c r="X133" s="12">
        <f>W133*V133</f>
        <v/>
      </c>
      <c r="Y133" s="12">
        <f>L133*1000*X133*86400</f>
        <v/>
      </c>
      <c r="Z133" s="12">
        <f>Y133*365</f>
        <v/>
      </c>
    </row>
    <row r="134">
      <c r="A134" s="9">
        <f>'02_Inputs'!A134</f>
        <v/>
      </c>
      <c r="B134" s="9">
        <f>'02_Inputs'!B134</f>
        <v/>
      </c>
      <c r="C134" s="9">
        <f>'02_Inputs'!C134</f>
        <v/>
      </c>
      <c r="D134" s="11">
        <f>'02_Inputs'!D134</f>
        <v/>
      </c>
      <c r="E134" s="10">
        <f>'02_Inputs'!E134</f>
        <v/>
      </c>
      <c r="F134" s="11">
        <f>D134*E134</f>
        <v/>
      </c>
      <c r="G134" s="9">
        <f>'02_Inputs'!F134</f>
        <v/>
      </c>
      <c r="H134" s="11">
        <f>F134/G134</f>
        <v/>
      </c>
      <c r="I134" s="10">
        <f>'02_Inputs'!G134</f>
        <v/>
      </c>
      <c r="J134" s="11">
        <f>H134*I134</f>
        <v/>
      </c>
      <c r="K134" s="10">
        <f>'02_Inputs'!H134</f>
        <v/>
      </c>
      <c r="L134" s="11">
        <f>J134*K134</f>
        <v/>
      </c>
      <c r="M134" s="11">
        <f>J134*(1-K134)</f>
        <v/>
      </c>
      <c r="N134" s="10">
        <f>'02_GPU_Mix_Input'!D134</f>
        <v/>
      </c>
      <c r="O134" s="10">
        <f>'02_GPU_Mix_Input'!E134</f>
        <v/>
      </c>
      <c r="P134" s="10">
        <f>'02_GPU_Mix_Input'!F134</f>
        <v/>
      </c>
      <c r="Q134" s="10">
        <f>'02_GPU_Mix_Input'!G134</f>
        <v/>
      </c>
      <c r="R134" s="12">
        <f>INDEX('01_Benchmark_Input'!$D$2:$D$10,MATCH(B134,'01_Benchmark_Input'!$A$2:$A$10,0))</f>
        <v/>
      </c>
      <c r="S134" s="12">
        <f>INDEX('01_Benchmark_Input'!$F$2:$F$10,MATCH(B134,'01_Benchmark_Input'!$A$2:$A$10,0))</f>
        <v/>
      </c>
      <c r="T134" s="12">
        <f>INDEX('01_Benchmark_Input'!$H$2:$H$10,MATCH(B134,'01_Benchmark_Input'!$A$2:$A$10,0))</f>
        <v/>
      </c>
      <c r="U134" s="12">
        <f>INDEX('01_Benchmark_Input'!$J$2:$J$10,MATCH(B134,'01_Benchmark_Input'!$A$2:$A$10,0))</f>
        <v/>
      </c>
      <c r="V134" s="10">
        <f>'02_Inputs'!K134</f>
        <v/>
      </c>
      <c r="W134" s="12">
        <f>N134*R134+O134*S134+P134*T134+Q134*U134</f>
        <v/>
      </c>
      <c r="X134" s="12">
        <f>W134*V134</f>
        <v/>
      </c>
      <c r="Y134" s="12">
        <f>L134*1000*X134*86400</f>
        <v/>
      </c>
      <c r="Z134" s="12">
        <f>Y134*365</f>
        <v/>
      </c>
    </row>
    <row r="135">
      <c r="A135" s="9">
        <f>'02_Inputs'!A135</f>
        <v/>
      </c>
      <c r="B135" s="9">
        <f>'02_Inputs'!B135</f>
        <v/>
      </c>
      <c r="C135" s="9">
        <f>'02_Inputs'!C135</f>
        <v/>
      </c>
      <c r="D135" s="11">
        <f>'02_Inputs'!D135</f>
        <v/>
      </c>
      <c r="E135" s="10">
        <f>'02_Inputs'!E135</f>
        <v/>
      </c>
      <c r="F135" s="11">
        <f>D135*E135</f>
        <v/>
      </c>
      <c r="G135" s="9">
        <f>'02_Inputs'!F135</f>
        <v/>
      </c>
      <c r="H135" s="11">
        <f>F135/G135</f>
        <v/>
      </c>
      <c r="I135" s="10">
        <f>'02_Inputs'!G135</f>
        <v/>
      </c>
      <c r="J135" s="11">
        <f>H135*I135</f>
        <v/>
      </c>
      <c r="K135" s="10">
        <f>'02_Inputs'!H135</f>
        <v/>
      </c>
      <c r="L135" s="11">
        <f>J135*K135</f>
        <v/>
      </c>
      <c r="M135" s="11">
        <f>J135*(1-K135)</f>
        <v/>
      </c>
      <c r="N135" s="10">
        <f>'02_GPU_Mix_Input'!D135</f>
        <v/>
      </c>
      <c r="O135" s="10">
        <f>'02_GPU_Mix_Input'!E135</f>
        <v/>
      </c>
      <c r="P135" s="10">
        <f>'02_GPU_Mix_Input'!F135</f>
        <v/>
      </c>
      <c r="Q135" s="10">
        <f>'02_GPU_Mix_Input'!G135</f>
        <v/>
      </c>
      <c r="R135" s="12">
        <f>INDEX('01_Benchmark_Input'!$D$2:$D$10,MATCH(B135,'01_Benchmark_Input'!$A$2:$A$10,0))</f>
        <v/>
      </c>
      <c r="S135" s="12">
        <f>INDEX('01_Benchmark_Input'!$F$2:$F$10,MATCH(B135,'01_Benchmark_Input'!$A$2:$A$10,0))</f>
        <v/>
      </c>
      <c r="T135" s="12">
        <f>INDEX('01_Benchmark_Input'!$H$2:$H$10,MATCH(B135,'01_Benchmark_Input'!$A$2:$A$10,0))</f>
        <v/>
      </c>
      <c r="U135" s="12">
        <f>INDEX('01_Benchmark_Input'!$J$2:$J$10,MATCH(B135,'01_Benchmark_Input'!$A$2:$A$10,0))</f>
        <v/>
      </c>
      <c r="V135" s="10">
        <f>'02_Inputs'!K135</f>
        <v/>
      </c>
      <c r="W135" s="12">
        <f>N135*R135+O135*S135+P135*T135+Q135*U135</f>
        <v/>
      </c>
      <c r="X135" s="12">
        <f>W135*V135</f>
        <v/>
      </c>
      <c r="Y135" s="12">
        <f>L135*1000*X135*86400</f>
        <v/>
      </c>
      <c r="Z135" s="12">
        <f>Y135*365</f>
        <v/>
      </c>
    </row>
    <row r="136">
      <c r="A136" s="9">
        <f>'02_Inputs'!A136</f>
        <v/>
      </c>
      <c r="B136" s="9">
        <f>'02_Inputs'!B136</f>
        <v/>
      </c>
      <c r="C136" s="9">
        <f>'02_Inputs'!C136</f>
        <v/>
      </c>
      <c r="D136" s="11">
        <f>'02_Inputs'!D136</f>
        <v/>
      </c>
      <c r="E136" s="10">
        <f>'02_Inputs'!E136</f>
        <v/>
      </c>
      <c r="F136" s="11">
        <f>D136*E136</f>
        <v/>
      </c>
      <c r="G136" s="9">
        <f>'02_Inputs'!F136</f>
        <v/>
      </c>
      <c r="H136" s="11">
        <f>F136/G136</f>
        <v/>
      </c>
      <c r="I136" s="10">
        <f>'02_Inputs'!G136</f>
        <v/>
      </c>
      <c r="J136" s="11">
        <f>H136*I136</f>
        <v/>
      </c>
      <c r="K136" s="10">
        <f>'02_Inputs'!H136</f>
        <v/>
      </c>
      <c r="L136" s="11">
        <f>J136*K136</f>
        <v/>
      </c>
      <c r="M136" s="11">
        <f>J136*(1-K136)</f>
        <v/>
      </c>
      <c r="N136" s="10">
        <f>'02_GPU_Mix_Input'!D136</f>
        <v/>
      </c>
      <c r="O136" s="10">
        <f>'02_GPU_Mix_Input'!E136</f>
        <v/>
      </c>
      <c r="P136" s="10">
        <f>'02_GPU_Mix_Input'!F136</f>
        <v/>
      </c>
      <c r="Q136" s="10">
        <f>'02_GPU_Mix_Input'!G136</f>
        <v/>
      </c>
      <c r="R136" s="12">
        <f>INDEX('01_Benchmark_Input'!$D$2:$D$10,MATCH(B136,'01_Benchmark_Input'!$A$2:$A$10,0))</f>
        <v/>
      </c>
      <c r="S136" s="12">
        <f>INDEX('01_Benchmark_Input'!$F$2:$F$10,MATCH(B136,'01_Benchmark_Input'!$A$2:$A$10,0))</f>
        <v/>
      </c>
      <c r="T136" s="12">
        <f>INDEX('01_Benchmark_Input'!$H$2:$H$10,MATCH(B136,'01_Benchmark_Input'!$A$2:$A$10,0))</f>
        <v/>
      </c>
      <c r="U136" s="12">
        <f>INDEX('01_Benchmark_Input'!$J$2:$J$10,MATCH(B136,'01_Benchmark_Input'!$A$2:$A$10,0))</f>
        <v/>
      </c>
      <c r="V136" s="10">
        <f>'02_Inputs'!K136</f>
        <v/>
      </c>
      <c r="W136" s="12">
        <f>N136*R136+O136*S136+P136*T136+Q136*U136</f>
        <v/>
      </c>
      <c r="X136" s="12">
        <f>W136*V136</f>
        <v/>
      </c>
      <c r="Y136" s="12">
        <f>L136*1000*X136*86400</f>
        <v/>
      </c>
      <c r="Z136" s="12">
        <f>Y136*365</f>
        <v/>
      </c>
    </row>
    <row r="137">
      <c r="A137" s="9">
        <f>'02_Inputs'!A137</f>
        <v/>
      </c>
      <c r="B137" s="9">
        <f>'02_Inputs'!B137</f>
        <v/>
      </c>
      <c r="C137" s="9">
        <f>'02_Inputs'!C137</f>
        <v/>
      </c>
      <c r="D137" s="11">
        <f>'02_Inputs'!D137</f>
        <v/>
      </c>
      <c r="E137" s="10">
        <f>'02_Inputs'!E137</f>
        <v/>
      </c>
      <c r="F137" s="11">
        <f>D137*E137</f>
        <v/>
      </c>
      <c r="G137" s="9">
        <f>'02_Inputs'!F137</f>
        <v/>
      </c>
      <c r="H137" s="11">
        <f>F137/G137</f>
        <v/>
      </c>
      <c r="I137" s="10">
        <f>'02_Inputs'!G137</f>
        <v/>
      </c>
      <c r="J137" s="11">
        <f>H137*I137</f>
        <v/>
      </c>
      <c r="K137" s="10">
        <f>'02_Inputs'!H137</f>
        <v/>
      </c>
      <c r="L137" s="11">
        <f>J137*K137</f>
        <v/>
      </c>
      <c r="M137" s="11">
        <f>J137*(1-K137)</f>
        <v/>
      </c>
      <c r="N137" s="10">
        <f>'02_GPU_Mix_Input'!D137</f>
        <v/>
      </c>
      <c r="O137" s="10">
        <f>'02_GPU_Mix_Input'!E137</f>
        <v/>
      </c>
      <c r="P137" s="10">
        <f>'02_GPU_Mix_Input'!F137</f>
        <v/>
      </c>
      <c r="Q137" s="10">
        <f>'02_GPU_Mix_Input'!G137</f>
        <v/>
      </c>
      <c r="R137" s="12">
        <f>INDEX('01_Benchmark_Input'!$D$2:$D$10,MATCH(B137,'01_Benchmark_Input'!$A$2:$A$10,0))</f>
        <v/>
      </c>
      <c r="S137" s="12">
        <f>INDEX('01_Benchmark_Input'!$F$2:$F$10,MATCH(B137,'01_Benchmark_Input'!$A$2:$A$10,0))</f>
        <v/>
      </c>
      <c r="T137" s="12">
        <f>INDEX('01_Benchmark_Input'!$H$2:$H$10,MATCH(B137,'01_Benchmark_Input'!$A$2:$A$10,0))</f>
        <v/>
      </c>
      <c r="U137" s="12">
        <f>INDEX('01_Benchmark_Input'!$J$2:$J$10,MATCH(B137,'01_Benchmark_Input'!$A$2:$A$10,0))</f>
        <v/>
      </c>
      <c r="V137" s="10">
        <f>'02_Inputs'!K137</f>
        <v/>
      </c>
      <c r="W137" s="12">
        <f>N137*R137+O137*S137+P137*T137+Q137*U137</f>
        <v/>
      </c>
      <c r="X137" s="12">
        <f>W137*V137</f>
        <v/>
      </c>
      <c r="Y137" s="12">
        <f>L137*1000*X137*86400</f>
        <v/>
      </c>
      <c r="Z137" s="12">
        <f>Y137*365</f>
        <v/>
      </c>
    </row>
    <row r="138">
      <c r="A138" s="9">
        <f>'02_Inputs'!A138</f>
        <v/>
      </c>
      <c r="B138" s="9">
        <f>'02_Inputs'!B138</f>
        <v/>
      </c>
      <c r="C138" s="9">
        <f>'02_Inputs'!C138</f>
        <v/>
      </c>
      <c r="D138" s="11">
        <f>'02_Inputs'!D138</f>
        <v/>
      </c>
      <c r="E138" s="10">
        <f>'02_Inputs'!E138</f>
        <v/>
      </c>
      <c r="F138" s="11">
        <f>D138*E138</f>
        <v/>
      </c>
      <c r="G138" s="9">
        <f>'02_Inputs'!F138</f>
        <v/>
      </c>
      <c r="H138" s="11">
        <f>F138/G138</f>
        <v/>
      </c>
      <c r="I138" s="10">
        <f>'02_Inputs'!G138</f>
        <v/>
      </c>
      <c r="J138" s="11">
        <f>H138*I138</f>
        <v/>
      </c>
      <c r="K138" s="10">
        <f>'02_Inputs'!H138</f>
        <v/>
      </c>
      <c r="L138" s="11">
        <f>J138*K138</f>
        <v/>
      </c>
      <c r="M138" s="11">
        <f>J138*(1-K138)</f>
        <v/>
      </c>
      <c r="N138" s="10">
        <f>'02_GPU_Mix_Input'!D138</f>
        <v/>
      </c>
      <c r="O138" s="10">
        <f>'02_GPU_Mix_Input'!E138</f>
        <v/>
      </c>
      <c r="P138" s="10">
        <f>'02_GPU_Mix_Input'!F138</f>
        <v/>
      </c>
      <c r="Q138" s="10">
        <f>'02_GPU_Mix_Input'!G138</f>
        <v/>
      </c>
      <c r="R138" s="12">
        <f>INDEX('01_Benchmark_Input'!$D$2:$D$10,MATCH(B138,'01_Benchmark_Input'!$A$2:$A$10,0))</f>
        <v/>
      </c>
      <c r="S138" s="12">
        <f>INDEX('01_Benchmark_Input'!$F$2:$F$10,MATCH(B138,'01_Benchmark_Input'!$A$2:$A$10,0))</f>
        <v/>
      </c>
      <c r="T138" s="12">
        <f>INDEX('01_Benchmark_Input'!$H$2:$H$10,MATCH(B138,'01_Benchmark_Input'!$A$2:$A$10,0))</f>
        <v/>
      </c>
      <c r="U138" s="12">
        <f>INDEX('01_Benchmark_Input'!$J$2:$J$10,MATCH(B138,'01_Benchmark_Input'!$A$2:$A$10,0))</f>
        <v/>
      </c>
      <c r="V138" s="10">
        <f>'02_Inputs'!K138</f>
        <v/>
      </c>
      <c r="W138" s="12">
        <f>N138*R138+O138*S138+P138*T138+Q138*U138</f>
        <v/>
      </c>
      <c r="X138" s="12">
        <f>W138*V138</f>
        <v/>
      </c>
      <c r="Y138" s="12">
        <f>L138*1000*X138*86400</f>
        <v/>
      </c>
      <c r="Z138" s="12">
        <f>Y138*365</f>
        <v/>
      </c>
    </row>
    <row r="139">
      <c r="A139" s="9">
        <f>'02_Inputs'!A139</f>
        <v/>
      </c>
      <c r="B139" s="9">
        <f>'02_Inputs'!B139</f>
        <v/>
      </c>
      <c r="C139" s="9">
        <f>'02_Inputs'!C139</f>
        <v/>
      </c>
      <c r="D139" s="11">
        <f>'02_Inputs'!D139</f>
        <v/>
      </c>
      <c r="E139" s="10">
        <f>'02_Inputs'!E139</f>
        <v/>
      </c>
      <c r="F139" s="11">
        <f>D139*E139</f>
        <v/>
      </c>
      <c r="G139" s="9">
        <f>'02_Inputs'!F139</f>
        <v/>
      </c>
      <c r="H139" s="11">
        <f>F139/G139</f>
        <v/>
      </c>
      <c r="I139" s="10">
        <f>'02_Inputs'!G139</f>
        <v/>
      </c>
      <c r="J139" s="11">
        <f>H139*I139</f>
        <v/>
      </c>
      <c r="K139" s="10">
        <f>'02_Inputs'!H139</f>
        <v/>
      </c>
      <c r="L139" s="11">
        <f>J139*K139</f>
        <v/>
      </c>
      <c r="M139" s="11">
        <f>J139*(1-K139)</f>
        <v/>
      </c>
      <c r="N139" s="10">
        <f>'02_GPU_Mix_Input'!D139</f>
        <v/>
      </c>
      <c r="O139" s="10">
        <f>'02_GPU_Mix_Input'!E139</f>
        <v/>
      </c>
      <c r="P139" s="10">
        <f>'02_GPU_Mix_Input'!F139</f>
        <v/>
      </c>
      <c r="Q139" s="10">
        <f>'02_GPU_Mix_Input'!G139</f>
        <v/>
      </c>
      <c r="R139" s="12">
        <f>INDEX('01_Benchmark_Input'!$D$2:$D$10,MATCH(B139,'01_Benchmark_Input'!$A$2:$A$10,0))</f>
        <v/>
      </c>
      <c r="S139" s="12">
        <f>INDEX('01_Benchmark_Input'!$F$2:$F$10,MATCH(B139,'01_Benchmark_Input'!$A$2:$A$10,0))</f>
        <v/>
      </c>
      <c r="T139" s="12">
        <f>INDEX('01_Benchmark_Input'!$H$2:$H$10,MATCH(B139,'01_Benchmark_Input'!$A$2:$A$10,0))</f>
        <v/>
      </c>
      <c r="U139" s="12">
        <f>INDEX('01_Benchmark_Input'!$J$2:$J$10,MATCH(B139,'01_Benchmark_Input'!$A$2:$A$10,0))</f>
        <v/>
      </c>
      <c r="V139" s="10">
        <f>'02_Inputs'!K139</f>
        <v/>
      </c>
      <c r="W139" s="12">
        <f>N139*R139+O139*S139+P139*T139+Q139*U139</f>
        <v/>
      </c>
      <c r="X139" s="12">
        <f>W139*V139</f>
        <v/>
      </c>
      <c r="Y139" s="12">
        <f>L139*1000*X139*86400</f>
        <v/>
      </c>
      <c r="Z139" s="12">
        <f>Y139*365</f>
        <v/>
      </c>
    </row>
    <row r="140">
      <c r="A140" s="9">
        <f>'02_Inputs'!A140</f>
        <v/>
      </c>
      <c r="B140" s="9">
        <f>'02_Inputs'!B140</f>
        <v/>
      </c>
      <c r="C140" s="9">
        <f>'02_Inputs'!C140</f>
        <v/>
      </c>
      <c r="D140" s="11">
        <f>'02_Inputs'!D140</f>
        <v/>
      </c>
      <c r="E140" s="10">
        <f>'02_Inputs'!E140</f>
        <v/>
      </c>
      <c r="F140" s="11">
        <f>D140*E140</f>
        <v/>
      </c>
      <c r="G140" s="9">
        <f>'02_Inputs'!F140</f>
        <v/>
      </c>
      <c r="H140" s="11">
        <f>F140/G140</f>
        <v/>
      </c>
      <c r="I140" s="10">
        <f>'02_Inputs'!G140</f>
        <v/>
      </c>
      <c r="J140" s="11">
        <f>H140*I140</f>
        <v/>
      </c>
      <c r="K140" s="10">
        <f>'02_Inputs'!H140</f>
        <v/>
      </c>
      <c r="L140" s="11">
        <f>J140*K140</f>
        <v/>
      </c>
      <c r="M140" s="11">
        <f>J140*(1-K140)</f>
        <v/>
      </c>
      <c r="N140" s="10">
        <f>'02_GPU_Mix_Input'!D140</f>
        <v/>
      </c>
      <c r="O140" s="10">
        <f>'02_GPU_Mix_Input'!E140</f>
        <v/>
      </c>
      <c r="P140" s="10">
        <f>'02_GPU_Mix_Input'!F140</f>
        <v/>
      </c>
      <c r="Q140" s="10">
        <f>'02_GPU_Mix_Input'!G140</f>
        <v/>
      </c>
      <c r="R140" s="12">
        <f>INDEX('01_Benchmark_Input'!$D$2:$D$10,MATCH(B140,'01_Benchmark_Input'!$A$2:$A$10,0))</f>
        <v/>
      </c>
      <c r="S140" s="12">
        <f>INDEX('01_Benchmark_Input'!$F$2:$F$10,MATCH(B140,'01_Benchmark_Input'!$A$2:$A$10,0))</f>
        <v/>
      </c>
      <c r="T140" s="12">
        <f>INDEX('01_Benchmark_Input'!$H$2:$H$10,MATCH(B140,'01_Benchmark_Input'!$A$2:$A$10,0))</f>
        <v/>
      </c>
      <c r="U140" s="12">
        <f>INDEX('01_Benchmark_Input'!$J$2:$J$10,MATCH(B140,'01_Benchmark_Input'!$A$2:$A$10,0))</f>
        <v/>
      </c>
      <c r="V140" s="10">
        <f>'02_Inputs'!K140</f>
        <v/>
      </c>
      <c r="W140" s="12">
        <f>N140*R140+O140*S140+P140*T140+Q140*U140</f>
        <v/>
      </c>
      <c r="X140" s="12">
        <f>W140*V140</f>
        <v/>
      </c>
      <c r="Y140" s="12">
        <f>L140*1000*X140*86400</f>
        <v/>
      </c>
      <c r="Z140" s="12">
        <f>Y140*365</f>
        <v/>
      </c>
    </row>
    <row r="141">
      <c r="A141" s="9">
        <f>'02_Inputs'!A141</f>
        <v/>
      </c>
      <c r="B141" s="9">
        <f>'02_Inputs'!B141</f>
        <v/>
      </c>
      <c r="C141" s="9">
        <f>'02_Inputs'!C141</f>
        <v/>
      </c>
      <c r="D141" s="11">
        <f>'02_Inputs'!D141</f>
        <v/>
      </c>
      <c r="E141" s="10">
        <f>'02_Inputs'!E141</f>
        <v/>
      </c>
      <c r="F141" s="11">
        <f>D141*E141</f>
        <v/>
      </c>
      <c r="G141" s="9">
        <f>'02_Inputs'!F141</f>
        <v/>
      </c>
      <c r="H141" s="11">
        <f>F141/G141</f>
        <v/>
      </c>
      <c r="I141" s="10">
        <f>'02_Inputs'!G141</f>
        <v/>
      </c>
      <c r="J141" s="11">
        <f>H141*I141</f>
        <v/>
      </c>
      <c r="K141" s="10">
        <f>'02_Inputs'!H141</f>
        <v/>
      </c>
      <c r="L141" s="11">
        <f>J141*K141</f>
        <v/>
      </c>
      <c r="M141" s="11">
        <f>J141*(1-K141)</f>
        <v/>
      </c>
      <c r="N141" s="10">
        <f>'02_GPU_Mix_Input'!D141</f>
        <v/>
      </c>
      <c r="O141" s="10">
        <f>'02_GPU_Mix_Input'!E141</f>
        <v/>
      </c>
      <c r="P141" s="10">
        <f>'02_GPU_Mix_Input'!F141</f>
        <v/>
      </c>
      <c r="Q141" s="10">
        <f>'02_GPU_Mix_Input'!G141</f>
        <v/>
      </c>
      <c r="R141" s="12">
        <f>INDEX('01_Benchmark_Input'!$D$2:$D$10,MATCH(B141,'01_Benchmark_Input'!$A$2:$A$10,0))</f>
        <v/>
      </c>
      <c r="S141" s="12">
        <f>INDEX('01_Benchmark_Input'!$F$2:$F$10,MATCH(B141,'01_Benchmark_Input'!$A$2:$A$10,0))</f>
        <v/>
      </c>
      <c r="T141" s="12">
        <f>INDEX('01_Benchmark_Input'!$H$2:$H$10,MATCH(B141,'01_Benchmark_Input'!$A$2:$A$10,0))</f>
        <v/>
      </c>
      <c r="U141" s="12">
        <f>INDEX('01_Benchmark_Input'!$J$2:$J$10,MATCH(B141,'01_Benchmark_Input'!$A$2:$A$10,0))</f>
        <v/>
      </c>
      <c r="V141" s="10">
        <f>'02_Inputs'!K141</f>
        <v/>
      </c>
      <c r="W141" s="12">
        <f>N141*R141+O141*S141+P141*T141+Q141*U141</f>
        <v/>
      </c>
      <c r="X141" s="12">
        <f>W141*V141</f>
        <v/>
      </c>
      <c r="Y141" s="12">
        <f>L141*1000*X141*86400</f>
        <v/>
      </c>
      <c r="Z141" s="12">
        <f>Y141*365</f>
        <v/>
      </c>
    </row>
    <row r="142">
      <c r="A142" s="9">
        <f>'02_Inputs'!A142</f>
        <v/>
      </c>
      <c r="B142" s="9">
        <f>'02_Inputs'!B142</f>
        <v/>
      </c>
      <c r="C142" s="9">
        <f>'02_Inputs'!C142</f>
        <v/>
      </c>
      <c r="D142" s="11">
        <f>'02_Inputs'!D142</f>
        <v/>
      </c>
      <c r="E142" s="10">
        <f>'02_Inputs'!E142</f>
        <v/>
      </c>
      <c r="F142" s="11">
        <f>D142*E142</f>
        <v/>
      </c>
      <c r="G142" s="9">
        <f>'02_Inputs'!F142</f>
        <v/>
      </c>
      <c r="H142" s="11">
        <f>F142/G142</f>
        <v/>
      </c>
      <c r="I142" s="10">
        <f>'02_Inputs'!G142</f>
        <v/>
      </c>
      <c r="J142" s="11">
        <f>H142*I142</f>
        <v/>
      </c>
      <c r="K142" s="10">
        <f>'02_Inputs'!H142</f>
        <v/>
      </c>
      <c r="L142" s="11">
        <f>J142*K142</f>
        <v/>
      </c>
      <c r="M142" s="11">
        <f>J142*(1-K142)</f>
        <v/>
      </c>
      <c r="N142" s="10">
        <f>'02_GPU_Mix_Input'!D142</f>
        <v/>
      </c>
      <c r="O142" s="10">
        <f>'02_GPU_Mix_Input'!E142</f>
        <v/>
      </c>
      <c r="P142" s="10">
        <f>'02_GPU_Mix_Input'!F142</f>
        <v/>
      </c>
      <c r="Q142" s="10">
        <f>'02_GPU_Mix_Input'!G142</f>
        <v/>
      </c>
      <c r="R142" s="12">
        <f>INDEX('01_Benchmark_Input'!$D$2:$D$10,MATCH(B142,'01_Benchmark_Input'!$A$2:$A$10,0))</f>
        <v/>
      </c>
      <c r="S142" s="12">
        <f>INDEX('01_Benchmark_Input'!$F$2:$F$10,MATCH(B142,'01_Benchmark_Input'!$A$2:$A$10,0))</f>
        <v/>
      </c>
      <c r="T142" s="12">
        <f>INDEX('01_Benchmark_Input'!$H$2:$H$10,MATCH(B142,'01_Benchmark_Input'!$A$2:$A$10,0))</f>
        <v/>
      </c>
      <c r="U142" s="12">
        <f>INDEX('01_Benchmark_Input'!$J$2:$J$10,MATCH(B142,'01_Benchmark_Input'!$A$2:$A$10,0))</f>
        <v/>
      </c>
      <c r="V142" s="10">
        <f>'02_Inputs'!K142</f>
        <v/>
      </c>
      <c r="W142" s="12">
        <f>N142*R142+O142*S142+P142*T142+Q142*U142</f>
        <v/>
      </c>
      <c r="X142" s="12">
        <f>W142*V142</f>
        <v/>
      </c>
      <c r="Y142" s="12">
        <f>L142*1000*X142*86400</f>
        <v/>
      </c>
      <c r="Z142" s="12">
        <f>Y142*365</f>
        <v/>
      </c>
    </row>
    <row r="143">
      <c r="A143" s="9">
        <f>'02_Inputs'!A143</f>
        <v/>
      </c>
      <c r="B143" s="9">
        <f>'02_Inputs'!B143</f>
        <v/>
      </c>
      <c r="C143" s="9">
        <f>'02_Inputs'!C143</f>
        <v/>
      </c>
      <c r="D143" s="11">
        <f>'02_Inputs'!D143</f>
        <v/>
      </c>
      <c r="E143" s="10">
        <f>'02_Inputs'!E143</f>
        <v/>
      </c>
      <c r="F143" s="11">
        <f>D143*E143</f>
        <v/>
      </c>
      <c r="G143" s="9">
        <f>'02_Inputs'!F143</f>
        <v/>
      </c>
      <c r="H143" s="11">
        <f>F143/G143</f>
        <v/>
      </c>
      <c r="I143" s="10">
        <f>'02_Inputs'!G143</f>
        <v/>
      </c>
      <c r="J143" s="11">
        <f>H143*I143</f>
        <v/>
      </c>
      <c r="K143" s="10">
        <f>'02_Inputs'!H143</f>
        <v/>
      </c>
      <c r="L143" s="11">
        <f>J143*K143</f>
        <v/>
      </c>
      <c r="M143" s="11">
        <f>J143*(1-K143)</f>
        <v/>
      </c>
      <c r="N143" s="10">
        <f>'02_GPU_Mix_Input'!D143</f>
        <v/>
      </c>
      <c r="O143" s="10">
        <f>'02_GPU_Mix_Input'!E143</f>
        <v/>
      </c>
      <c r="P143" s="10">
        <f>'02_GPU_Mix_Input'!F143</f>
        <v/>
      </c>
      <c r="Q143" s="10">
        <f>'02_GPU_Mix_Input'!G143</f>
        <v/>
      </c>
      <c r="R143" s="12">
        <f>INDEX('01_Benchmark_Input'!$D$2:$D$10,MATCH(B143,'01_Benchmark_Input'!$A$2:$A$10,0))</f>
        <v/>
      </c>
      <c r="S143" s="12">
        <f>INDEX('01_Benchmark_Input'!$F$2:$F$10,MATCH(B143,'01_Benchmark_Input'!$A$2:$A$10,0))</f>
        <v/>
      </c>
      <c r="T143" s="12">
        <f>INDEX('01_Benchmark_Input'!$H$2:$H$10,MATCH(B143,'01_Benchmark_Input'!$A$2:$A$10,0))</f>
        <v/>
      </c>
      <c r="U143" s="12">
        <f>INDEX('01_Benchmark_Input'!$J$2:$J$10,MATCH(B143,'01_Benchmark_Input'!$A$2:$A$10,0))</f>
        <v/>
      </c>
      <c r="V143" s="10">
        <f>'02_Inputs'!K143</f>
        <v/>
      </c>
      <c r="W143" s="12">
        <f>N143*R143+O143*S143+P143*T143+Q143*U143</f>
        <v/>
      </c>
      <c r="X143" s="12">
        <f>W143*V143</f>
        <v/>
      </c>
      <c r="Y143" s="12">
        <f>L143*1000*X143*86400</f>
        <v/>
      </c>
      <c r="Z143" s="12">
        <f>Y143*365</f>
        <v/>
      </c>
    </row>
    <row r="144">
      <c r="A144" s="9">
        <f>'02_Inputs'!A144</f>
        <v/>
      </c>
      <c r="B144" s="9">
        <f>'02_Inputs'!B144</f>
        <v/>
      </c>
      <c r="C144" s="9">
        <f>'02_Inputs'!C144</f>
        <v/>
      </c>
      <c r="D144" s="11">
        <f>'02_Inputs'!D144</f>
        <v/>
      </c>
      <c r="E144" s="10">
        <f>'02_Inputs'!E144</f>
        <v/>
      </c>
      <c r="F144" s="11">
        <f>D144*E144</f>
        <v/>
      </c>
      <c r="G144" s="9">
        <f>'02_Inputs'!F144</f>
        <v/>
      </c>
      <c r="H144" s="11">
        <f>F144/G144</f>
        <v/>
      </c>
      <c r="I144" s="10">
        <f>'02_Inputs'!G144</f>
        <v/>
      </c>
      <c r="J144" s="11">
        <f>H144*I144</f>
        <v/>
      </c>
      <c r="K144" s="10">
        <f>'02_Inputs'!H144</f>
        <v/>
      </c>
      <c r="L144" s="11">
        <f>J144*K144</f>
        <v/>
      </c>
      <c r="M144" s="11">
        <f>J144*(1-K144)</f>
        <v/>
      </c>
      <c r="N144" s="10">
        <f>'02_GPU_Mix_Input'!D144</f>
        <v/>
      </c>
      <c r="O144" s="10">
        <f>'02_GPU_Mix_Input'!E144</f>
        <v/>
      </c>
      <c r="P144" s="10">
        <f>'02_GPU_Mix_Input'!F144</f>
        <v/>
      </c>
      <c r="Q144" s="10">
        <f>'02_GPU_Mix_Input'!G144</f>
        <v/>
      </c>
      <c r="R144" s="12">
        <f>INDEX('01_Benchmark_Input'!$D$2:$D$10,MATCH(B144,'01_Benchmark_Input'!$A$2:$A$10,0))</f>
        <v/>
      </c>
      <c r="S144" s="12">
        <f>INDEX('01_Benchmark_Input'!$F$2:$F$10,MATCH(B144,'01_Benchmark_Input'!$A$2:$A$10,0))</f>
        <v/>
      </c>
      <c r="T144" s="12">
        <f>INDEX('01_Benchmark_Input'!$H$2:$H$10,MATCH(B144,'01_Benchmark_Input'!$A$2:$A$10,0))</f>
        <v/>
      </c>
      <c r="U144" s="12">
        <f>INDEX('01_Benchmark_Input'!$J$2:$J$10,MATCH(B144,'01_Benchmark_Input'!$A$2:$A$10,0))</f>
        <v/>
      </c>
      <c r="V144" s="10">
        <f>'02_Inputs'!K144</f>
        <v/>
      </c>
      <c r="W144" s="12">
        <f>N144*R144+O144*S144+P144*T144+Q144*U144</f>
        <v/>
      </c>
      <c r="X144" s="12">
        <f>W144*V144</f>
        <v/>
      </c>
      <c r="Y144" s="12">
        <f>L144*1000*X144*86400</f>
        <v/>
      </c>
      <c r="Z144" s="12">
        <f>Y144*365</f>
        <v/>
      </c>
    </row>
    <row r="145">
      <c r="A145" s="9">
        <f>'02_Inputs'!A145</f>
        <v/>
      </c>
      <c r="B145" s="9">
        <f>'02_Inputs'!B145</f>
        <v/>
      </c>
      <c r="C145" s="9">
        <f>'02_Inputs'!C145</f>
        <v/>
      </c>
      <c r="D145" s="11">
        <f>'02_Inputs'!D145</f>
        <v/>
      </c>
      <c r="E145" s="10">
        <f>'02_Inputs'!E145</f>
        <v/>
      </c>
      <c r="F145" s="11">
        <f>D145*E145</f>
        <v/>
      </c>
      <c r="G145" s="9">
        <f>'02_Inputs'!F145</f>
        <v/>
      </c>
      <c r="H145" s="11">
        <f>F145/G145</f>
        <v/>
      </c>
      <c r="I145" s="10">
        <f>'02_Inputs'!G145</f>
        <v/>
      </c>
      <c r="J145" s="11">
        <f>H145*I145</f>
        <v/>
      </c>
      <c r="K145" s="10">
        <f>'02_Inputs'!H145</f>
        <v/>
      </c>
      <c r="L145" s="11">
        <f>J145*K145</f>
        <v/>
      </c>
      <c r="M145" s="11">
        <f>J145*(1-K145)</f>
        <v/>
      </c>
      <c r="N145" s="10">
        <f>'02_GPU_Mix_Input'!D145</f>
        <v/>
      </c>
      <c r="O145" s="10">
        <f>'02_GPU_Mix_Input'!E145</f>
        <v/>
      </c>
      <c r="P145" s="10">
        <f>'02_GPU_Mix_Input'!F145</f>
        <v/>
      </c>
      <c r="Q145" s="10">
        <f>'02_GPU_Mix_Input'!G145</f>
        <v/>
      </c>
      <c r="R145" s="12">
        <f>INDEX('01_Benchmark_Input'!$D$2:$D$10,MATCH(B145,'01_Benchmark_Input'!$A$2:$A$10,0))</f>
        <v/>
      </c>
      <c r="S145" s="12">
        <f>INDEX('01_Benchmark_Input'!$F$2:$F$10,MATCH(B145,'01_Benchmark_Input'!$A$2:$A$10,0))</f>
        <v/>
      </c>
      <c r="T145" s="12">
        <f>INDEX('01_Benchmark_Input'!$H$2:$H$10,MATCH(B145,'01_Benchmark_Input'!$A$2:$A$10,0))</f>
        <v/>
      </c>
      <c r="U145" s="12">
        <f>INDEX('01_Benchmark_Input'!$J$2:$J$10,MATCH(B145,'01_Benchmark_Input'!$A$2:$A$10,0))</f>
        <v/>
      </c>
      <c r="V145" s="10">
        <f>'02_Inputs'!K145</f>
        <v/>
      </c>
      <c r="W145" s="12">
        <f>N145*R145+O145*S145+P145*T145+Q145*U145</f>
        <v/>
      </c>
      <c r="X145" s="12">
        <f>W145*V145</f>
        <v/>
      </c>
      <c r="Y145" s="12">
        <f>L145*1000*X145*86400</f>
        <v/>
      </c>
      <c r="Z145" s="12">
        <f>Y145*365</f>
        <v/>
      </c>
    </row>
    <row r="146">
      <c r="A146" s="9">
        <f>'02_Inputs'!A146</f>
        <v/>
      </c>
      <c r="B146" s="9">
        <f>'02_Inputs'!B146</f>
        <v/>
      </c>
      <c r="C146" s="9">
        <f>'02_Inputs'!C146</f>
        <v/>
      </c>
      <c r="D146" s="11">
        <f>'02_Inputs'!D146</f>
        <v/>
      </c>
      <c r="E146" s="10">
        <f>'02_Inputs'!E146</f>
        <v/>
      </c>
      <c r="F146" s="11">
        <f>D146*E146</f>
        <v/>
      </c>
      <c r="G146" s="9">
        <f>'02_Inputs'!F146</f>
        <v/>
      </c>
      <c r="H146" s="11">
        <f>F146/G146</f>
        <v/>
      </c>
      <c r="I146" s="10">
        <f>'02_Inputs'!G146</f>
        <v/>
      </c>
      <c r="J146" s="11">
        <f>H146*I146</f>
        <v/>
      </c>
      <c r="K146" s="10">
        <f>'02_Inputs'!H146</f>
        <v/>
      </c>
      <c r="L146" s="11">
        <f>J146*K146</f>
        <v/>
      </c>
      <c r="M146" s="11">
        <f>J146*(1-K146)</f>
        <v/>
      </c>
      <c r="N146" s="10">
        <f>'02_GPU_Mix_Input'!D146</f>
        <v/>
      </c>
      <c r="O146" s="10">
        <f>'02_GPU_Mix_Input'!E146</f>
        <v/>
      </c>
      <c r="P146" s="10">
        <f>'02_GPU_Mix_Input'!F146</f>
        <v/>
      </c>
      <c r="Q146" s="10">
        <f>'02_GPU_Mix_Input'!G146</f>
        <v/>
      </c>
      <c r="R146" s="12">
        <f>INDEX('01_Benchmark_Input'!$D$2:$D$10,MATCH(B146,'01_Benchmark_Input'!$A$2:$A$10,0))</f>
        <v/>
      </c>
      <c r="S146" s="12">
        <f>INDEX('01_Benchmark_Input'!$F$2:$F$10,MATCH(B146,'01_Benchmark_Input'!$A$2:$A$10,0))</f>
        <v/>
      </c>
      <c r="T146" s="12">
        <f>INDEX('01_Benchmark_Input'!$H$2:$H$10,MATCH(B146,'01_Benchmark_Input'!$A$2:$A$10,0))</f>
        <v/>
      </c>
      <c r="U146" s="12">
        <f>INDEX('01_Benchmark_Input'!$J$2:$J$10,MATCH(B146,'01_Benchmark_Input'!$A$2:$A$10,0))</f>
        <v/>
      </c>
      <c r="V146" s="10">
        <f>'02_Inputs'!K146</f>
        <v/>
      </c>
      <c r="W146" s="12">
        <f>N146*R146+O146*S146+P146*T146+Q146*U146</f>
        <v/>
      </c>
      <c r="X146" s="12">
        <f>W146*V146</f>
        <v/>
      </c>
      <c r="Y146" s="12">
        <f>L146*1000*X146*86400</f>
        <v/>
      </c>
      <c r="Z146" s="12">
        <f>Y146*365</f>
        <v/>
      </c>
    </row>
    <row r="147">
      <c r="A147" s="9">
        <f>'02_Inputs'!A147</f>
        <v/>
      </c>
      <c r="B147" s="9">
        <f>'02_Inputs'!B147</f>
        <v/>
      </c>
      <c r="C147" s="9">
        <f>'02_Inputs'!C147</f>
        <v/>
      </c>
      <c r="D147" s="11">
        <f>'02_Inputs'!D147</f>
        <v/>
      </c>
      <c r="E147" s="10">
        <f>'02_Inputs'!E147</f>
        <v/>
      </c>
      <c r="F147" s="11">
        <f>D147*E147</f>
        <v/>
      </c>
      <c r="G147" s="9">
        <f>'02_Inputs'!F147</f>
        <v/>
      </c>
      <c r="H147" s="11">
        <f>F147/G147</f>
        <v/>
      </c>
      <c r="I147" s="10">
        <f>'02_Inputs'!G147</f>
        <v/>
      </c>
      <c r="J147" s="11">
        <f>H147*I147</f>
        <v/>
      </c>
      <c r="K147" s="10">
        <f>'02_Inputs'!H147</f>
        <v/>
      </c>
      <c r="L147" s="11">
        <f>J147*K147</f>
        <v/>
      </c>
      <c r="M147" s="11">
        <f>J147*(1-K147)</f>
        <v/>
      </c>
      <c r="N147" s="10">
        <f>'02_GPU_Mix_Input'!D147</f>
        <v/>
      </c>
      <c r="O147" s="10">
        <f>'02_GPU_Mix_Input'!E147</f>
        <v/>
      </c>
      <c r="P147" s="10">
        <f>'02_GPU_Mix_Input'!F147</f>
        <v/>
      </c>
      <c r="Q147" s="10">
        <f>'02_GPU_Mix_Input'!G147</f>
        <v/>
      </c>
      <c r="R147" s="12">
        <f>INDEX('01_Benchmark_Input'!$D$2:$D$10,MATCH(B147,'01_Benchmark_Input'!$A$2:$A$10,0))</f>
        <v/>
      </c>
      <c r="S147" s="12">
        <f>INDEX('01_Benchmark_Input'!$F$2:$F$10,MATCH(B147,'01_Benchmark_Input'!$A$2:$A$10,0))</f>
        <v/>
      </c>
      <c r="T147" s="12">
        <f>INDEX('01_Benchmark_Input'!$H$2:$H$10,MATCH(B147,'01_Benchmark_Input'!$A$2:$A$10,0))</f>
        <v/>
      </c>
      <c r="U147" s="12">
        <f>INDEX('01_Benchmark_Input'!$J$2:$J$10,MATCH(B147,'01_Benchmark_Input'!$A$2:$A$10,0))</f>
        <v/>
      </c>
      <c r="V147" s="10">
        <f>'02_Inputs'!K147</f>
        <v/>
      </c>
      <c r="W147" s="12">
        <f>N147*R147+O147*S147+P147*T147+Q147*U147</f>
        <v/>
      </c>
      <c r="X147" s="12">
        <f>W147*V147</f>
        <v/>
      </c>
      <c r="Y147" s="12">
        <f>L147*1000*X147*86400</f>
        <v/>
      </c>
      <c r="Z147" s="12">
        <f>Y147*365</f>
        <v/>
      </c>
    </row>
    <row r="148">
      <c r="A148" s="9">
        <f>'02_Inputs'!A148</f>
        <v/>
      </c>
      <c r="B148" s="9">
        <f>'02_Inputs'!B148</f>
        <v/>
      </c>
      <c r="C148" s="9">
        <f>'02_Inputs'!C148</f>
        <v/>
      </c>
      <c r="D148" s="11">
        <f>'02_Inputs'!D148</f>
        <v/>
      </c>
      <c r="E148" s="10">
        <f>'02_Inputs'!E148</f>
        <v/>
      </c>
      <c r="F148" s="11">
        <f>D148*E148</f>
        <v/>
      </c>
      <c r="G148" s="9">
        <f>'02_Inputs'!F148</f>
        <v/>
      </c>
      <c r="H148" s="11">
        <f>F148/G148</f>
        <v/>
      </c>
      <c r="I148" s="10">
        <f>'02_Inputs'!G148</f>
        <v/>
      </c>
      <c r="J148" s="11">
        <f>H148*I148</f>
        <v/>
      </c>
      <c r="K148" s="10">
        <f>'02_Inputs'!H148</f>
        <v/>
      </c>
      <c r="L148" s="11">
        <f>J148*K148</f>
        <v/>
      </c>
      <c r="M148" s="11">
        <f>J148*(1-K148)</f>
        <v/>
      </c>
      <c r="N148" s="10">
        <f>'02_GPU_Mix_Input'!D148</f>
        <v/>
      </c>
      <c r="O148" s="10">
        <f>'02_GPU_Mix_Input'!E148</f>
        <v/>
      </c>
      <c r="P148" s="10">
        <f>'02_GPU_Mix_Input'!F148</f>
        <v/>
      </c>
      <c r="Q148" s="10">
        <f>'02_GPU_Mix_Input'!G148</f>
        <v/>
      </c>
      <c r="R148" s="12">
        <f>INDEX('01_Benchmark_Input'!$D$2:$D$10,MATCH(B148,'01_Benchmark_Input'!$A$2:$A$10,0))</f>
        <v/>
      </c>
      <c r="S148" s="12">
        <f>INDEX('01_Benchmark_Input'!$F$2:$F$10,MATCH(B148,'01_Benchmark_Input'!$A$2:$A$10,0))</f>
        <v/>
      </c>
      <c r="T148" s="12">
        <f>INDEX('01_Benchmark_Input'!$H$2:$H$10,MATCH(B148,'01_Benchmark_Input'!$A$2:$A$10,0))</f>
        <v/>
      </c>
      <c r="U148" s="12">
        <f>INDEX('01_Benchmark_Input'!$J$2:$J$10,MATCH(B148,'01_Benchmark_Input'!$A$2:$A$10,0))</f>
        <v/>
      </c>
      <c r="V148" s="10">
        <f>'02_Inputs'!K148</f>
        <v/>
      </c>
      <c r="W148" s="12">
        <f>N148*R148+O148*S148+P148*T148+Q148*U148</f>
        <v/>
      </c>
      <c r="X148" s="12">
        <f>W148*V148</f>
        <v/>
      </c>
      <c r="Y148" s="12">
        <f>L148*1000*X148*86400</f>
        <v/>
      </c>
      <c r="Z148" s="12">
        <f>Y148*365</f>
        <v/>
      </c>
    </row>
    <row r="149">
      <c r="A149" s="9">
        <f>'02_Inputs'!A149</f>
        <v/>
      </c>
      <c r="B149" s="9">
        <f>'02_Inputs'!B149</f>
        <v/>
      </c>
      <c r="C149" s="9">
        <f>'02_Inputs'!C149</f>
        <v/>
      </c>
      <c r="D149" s="11">
        <f>'02_Inputs'!D149</f>
        <v/>
      </c>
      <c r="E149" s="10">
        <f>'02_Inputs'!E149</f>
        <v/>
      </c>
      <c r="F149" s="11">
        <f>D149*E149</f>
        <v/>
      </c>
      <c r="G149" s="9">
        <f>'02_Inputs'!F149</f>
        <v/>
      </c>
      <c r="H149" s="11">
        <f>F149/G149</f>
        <v/>
      </c>
      <c r="I149" s="10">
        <f>'02_Inputs'!G149</f>
        <v/>
      </c>
      <c r="J149" s="11">
        <f>H149*I149</f>
        <v/>
      </c>
      <c r="K149" s="10">
        <f>'02_Inputs'!H149</f>
        <v/>
      </c>
      <c r="L149" s="11">
        <f>J149*K149</f>
        <v/>
      </c>
      <c r="M149" s="11">
        <f>J149*(1-K149)</f>
        <v/>
      </c>
      <c r="N149" s="10">
        <f>'02_GPU_Mix_Input'!D149</f>
        <v/>
      </c>
      <c r="O149" s="10">
        <f>'02_GPU_Mix_Input'!E149</f>
        <v/>
      </c>
      <c r="P149" s="10">
        <f>'02_GPU_Mix_Input'!F149</f>
        <v/>
      </c>
      <c r="Q149" s="10">
        <f>'02_GPU_Mix_Input'!G149</f>
        <v/>
      </c>
      <c r="R149" s="12">
        <f>INDEX('01_Benchmark_Input'!$D$2:$D$10,MATCH(B149,'01_Benchmark_Input'!$A$2:$A$10,0))</f>
        <v/>
      </c>
      <c r="S149" s="12">
        <f>INDEX('01_Benchmark_Input'!$F$2:$F$10,MATCH(B149,'01_Benchmark_Input'!$A$2:$A$10,0))</f>
        <v/>
      </c>
      <c r="T149" s="12">
        <f>INDEX('01_Benchmark_Input'!$H$2:$H$10,MATCH(B149,'01_Benchmark_Input'!$A$2:$A$10,0))</f>
        <v/>
      </c>
      <c r="U149" s="12">
        <f>INDEX('01_Benchmark_Input'!$J$2:$J$10,MATCH(B149,'01_Benchmark_Input'!$A$2:$A$10,0))</f>
        <v/>
      </c>
      <c r="V149" s="10">
        <f>'02_Inputs'!K149</f>
        <v/>
      </c>
      <c r="W149" s="12">
        <f>N149*R149+O149*S149+P149*T149+Q149*U149</f>
        <v/>
      </c>
      <c r="X149" s="12">
        <f>W149*V149</f>
        <v/>
      </c>
      <c r="Y149" s="12">
        <f>L149*1000*X149*86400</f>
        <v/>
      </c>
      <c r="Z149" s="12">
        <f>Y149*365</f>
        <v/>
      </c>
    </row>
    <row r="150">
      <c r="A150" s="9">
        <f>'02_Inputs'!A150</f>
        <v/>
      </c>
      <c r="B150" s="9">
        <f>'02_Inputs'!B150</f>
        <v/>
      </c>
      <c r="C150" s="9">
        <f>'02_Inputs'!C150</f>
        <v/>
      </c>
      <c r="D150" s="11">
        <f>'02_Inputs'!D150</f>
        <v/>
      </c>
      <c r="E150" s="10">
        <f>'02_Inputs'!E150</f>
        <v/>
      </c>
      <c r="F150" s="11">
        <f>D150*E150</f>
        <v/>
      </c>
      <c r="G150" s="9">
        <f>'02_Inputs'!F150</f>
        <v/>
      </c>
      <c r="H150" s="11">
        <f>F150/G150</f>
        <v/>
      </c>
      <c r="I150" s="10">
        <f>'02_Inputs'!G150</f>
        <v/>
      </c>
      <c r="J150" s="11">
        <f>H150*I150</f>
        <v/>
      </c>
      <c r="K150" s="10">
        <f>'02_Inputs'!H150</f>
        <v/>
      </c>
      <c r="L150" s="11">
        <f>J150*K150</f>
        <v/>
      </c>
      <c r="M150" s="11">
        <f>J150*(1-K150)</f>
        <v/>
      </c>
      <c r="N150" s="10">
        <f>'02_GPU_Mix_Input'!D150</f>
        <v/>
      </c>
      <c r="O150" s="10">
        <f>'02_GPU_Mix_Input'!E150</f>
        <v/>
      </c>
      <c r="P150" s="10">
        <f>'02_GPU_Mix_Input'!F150</f>
        <v/>
      </c>
      <c r="Q150" s="10">
        <f>'02_GPU_Mix_Input'!G150</f>
        <v/>
      </c>
      <c r="R150" s="12">
        <f>INDEX('01_Benchmark_Input'!$D$2:$D$10,MATCH(B150,'01_Benchmark_Input'!$A$2:$A$10,0))</f>
        <v/>
      </c>
      <c r="S150" s="12">
        <f>INDEX('01_Benchmark_Input'!$F$2:$F$10,MATCH(B150,'01_Benchmark_Input'!$A$2:$A$10,0))</f>
        <v/>
      </c>
      <c r="T150" s="12">
        <f>INDEX('01_Benchmark_Input'!$H$2:$H$10,MATCH(B150,'01_Benchmark_Input'!$A$2:$A$10,0))</f>
        <v/>
      </c>
      <c r="U150" s="12">
        <f>INDEX('01_Benchmark_Input'!$J$2:$J$10,MATCH(B150,'01_Benchmark_Input'!$A$2:$A$10,0))</f>
        <v/>
      </c>
      <c r="V150" s="10">
        <f>'02_Inputs'!K150</f>
        <v/>
      </c>
      <c r="W150" s="12">
        <f>N150*R150+O150*S150+P150*T150+Q150*U150</f>
        <v/>
      </c>
      <c r="X150" s="12">
        <f>W150*V150</f>
        <v/>
      </c>
      <c r="Y150" s="12">
        <f>L150*1000*X150*86400</f>
        <v/>
      </c>
      <c r="Z150" s="12">
        <f>Y150*365</f>
        <v/>
      </c>
    </row>
    <row r="151">
      <c r="A151" s="9">
        <f>'02_Inputs'!A151</f>
        <v/>
      </c>
      <c r="B151" s="9">
        <f>'02_Inputs'!B151</f>
        <v/>
      </c>
      <c r="C151" s="9">
        <f>'02_Inputs'!C151</f>
        <v/>
      </c>
      <c r="D151" s="11">
        <f>'02_Inputs'!D151</f>
        <v/>
      </c>
      <c r="E151" s="10">
        <f>'02_Inputs'!E151</f>
        <v/>
      </c>
      <c r="F151" s="11">
        <f>D151*E151</f>
        <v/>
      </c>
      <c r="G151" s="9">
        <f>'02_Inputs'!F151</f>
        <v/>
      </c>
      <c r="H151" s="11">
        <f>F151/G151</f>
        <v/>
      </c>
      <c r="I151" s="10">
        <f>'02_Inputs'!G151</f>
        <v/>
      </c>
      <c r="J151" s="11">
        <f>H151*I151</f>
        <v/>
      </c>
      <c r="K151" s="10">
        <f>'02_Inputs'!H151</f>
        <v/>
      </c>
      <c r="L151" s="11">
        <f>J151*K151</f>
        <v/>
      </c>
      <c r="M151" s="11">
        <f>J151*(1-K151)</f>
        <v/>
      </c>
      <c r="N151" s="10">
        <f>'02_GPU_Mix_Input'!D151</f>
        <v/>
      </c>
      <c r="O151" s="10">
        <f>'02_GPU_Mix_Input'!E151</f>
        <v/>
      </c>
      <c r="P151" s="10">
        <f>'02_GPU_Mix_Input'!F151</f>
        <v/>
      </c>
      <c r="Q151" s="10">
        <f>'02_GPU_Mix_Input'!G151</f>
        <v/>
      </c>
      <c r="R151" s="12">
        <f>INDEX('01_Benchmark_Input'!$D$2:$D$10,MATCH(B151,'01_Benchmark_Input'!$A$2:$A$10,0))</f>
        <v/>
      </c>
      <c r="S151" s="12">
        <f>INDEX('01_Benchmark_Input'!$F$2:$F$10,MATCH(B151,'01_Benchmark_Input'!$A$2:$A$10,0))</f>
        <v/>
      </c>
      <c r="T151" s="12">
        <f>INDEX('01_Benchmark_Input'!$H$2:$H$10,MATCH(B151,'01_Benchmark_Input'!$A$2:$A$10,0))</f>
        <v/>
      </c>
      <c r="U151" s="12">
        <f>INDEX('01_Benchmark_Input'!$J$2:$J$10,MATCH(B151,'01_Benchmark_Input'!$A$2:$A$10,0))</f>
        <v/>
      </c>
      <c r="V151" s="10">
        <f>'02_Inputs'!K151</f>
        <v/>
      </c>
      <c r="W151" s="12">
        <f>N151*R151+O151*S151+P151*T151+Q151*U151</f>
        <v/>
      </c>
      <c r="X151" s="12">
        <f>W151*V151</f>
        <v/>
      </c>
      <c r="Y151" s="12">
        <f>L151*1000*X151*86400</f>
        <v/>
      </c>
      <c r="Z151" s="12">
        <f>Y151*365</f>
        <v/>
      </c>
    </row>
    <row r="152">
      <c r="A152" s="9">
        <f>'02_Inputs'!A152</f>
        <v/>
      </c>
      <c r="B152" s="9">
        <f>'02_Inputs'!B152</f>
        <v/>
      </c>
      <c r="C152" s="9">
        <f>'02_Inputs'!C152</f>
        <v/>
      </c>
      <c r="D152" s="11">
        <f>'02_Inputs'!D152</f>
        <v/>
      </c>
      <c r="E152" s="10">
        <f>'02_Inputs'!E152</f>
        <v/>
      </c>
      <c r="F152" s="11">
        <f>D152*E152</f>
        <v/>
      </c>
      <c r="G152" s="9">
        <f>'02_Inputs'!F152</f>
        <v/>
      </c>
      <c r="H152" s="11">
        <f>F152/G152</f>
        <v/>
      </c>
      <c r="I152" s="10">
        <f>'02_Inputs'!G152</f>
        <v/>
      </c>
      <c r="J152" s="11">
        <f>H152*I152</f>
        <v/>
      </c>
      <c r="K152" s="10">
        <f>'02_Inputs'!H152</f>
        <v/>
      </c>
      <c r="L152" s="11">
        <f>J152*K152</f>
        <v/>
      </c>
      <c r="M152" s="11">
        <f>J152*(1-K152)</f>
        <v/>
      </c>
      <c r="N152" s="10">
        <f>'02_GPU_Mix_Input'!D152</f>
        <v/>
      </c>
      <c r="O152" s="10">
        <f>'02_GPU_Mix_Input'!E152</f>
        <v/>
      </c>
      <c r="P152" s="10">
        <f>'02_GPU_Mix_Input'!F152</f>
        <v/>
      </c>
      <c r="Q152" s="10">
        <f>'02_GPU_Mix_Input'!G152</f>
        <v/>
      </c>
      <c r="R152" s="12">
        <f>INDEX('01_Benchmark_Input'!$D$2:$D$10,MATCH(B152,'01_Benchmark_Input'!$A$2:$A$10,0))</f>
        <v/>
      </c>
      <c r="S152" s="12">
        <f>INDEX('01_Benchmark_Input'!$F$2:$F$10,MATCH(B152,'01_Benchmark_Input'!$A$2:$A$10,0))</f>
        <v/>
      </c>
      <c r="T152" s="12">
        <f>INDEX('01_Benchmark_Input'!$H$2:$H$10,MATCH(B152,'01_Benchmark_Input'!$A$2:$A$10,0))</f>
        <v/>
      </c>
      <c r="U152" s="12">
        <f>INDEX('01_Benchmark_Input'!$J$2:$J$10,MATCH(B152,'01_Benchmark_Input'!$A$2:$A$10,0))</f>
        <v/>
      </c>
      <c r="V152" s="10">
        <f>'02_Inputs'!K152</f>
        <v/>
      </c>
      <c r="W152" s="12">
        <f>N152*R152+O152*S152+P152*T152+Q152*U152</f>
        <v/>
      </c>
      <c r="X152" s="12">
        <f>W152*V152</f>
        <v/>
      </c>
      <c r="Y152" s="12">
        <f>L152*1000*X152*86400</f>
        <v/>
      </c>
      <c r="Z152" s="12">
        <f>Y152*365</f>
        <v/>
      </c>
    </row>
    <row r="153">
      <c r="A153" s="9">
        <f>'02_Inputs'!A153</f>
        <v/>
      </c>
      <c r="B153" s="9">
        <f>'02_Inputs'!B153</f>
        <v/>
      </c>
      <c r="C153" s="9">
        <f>'02_Inputs'!C153</f>
        <v/>
      </c>
      <c r="D153" s="11">
        <f>'02_Inputs'!D153</f>
        <v/>
      </c>
      <c r="E153" s="10">
        <f>'02_Inputs'!E153</f>
        <v/>
      </c>
      <c r="F153" s="11">
        <f>D153*E153</f>
        <v/>
      </c>
      <c r="G153" s="9">
        <f>'02_Inputs'!F153</f>
        <v/>
      </c>
      <c r="H153" s="11">
        <f>F153/G153</f>
        <v/>
      </c>
      <c r="I153" s="10">
        <f>'02_Inputs'!G153</f>
        <v/>
      </c>
      <c r="J153" s="11">
        <f>H153*I153</f>
        <v/>
      </c>
      <c r="K153" s="10">
        <f>'02_Inputs'!H153</f>
        <v/>
      </c>
      <c r="L153" s="11">
        <f>J153*K153</f>
        <v/>
      </c>
      <c r="M153" s="11">
        <f>J153*(1-K153)</f>
        <v/>
      </c>
      <c r="N153" s="10">
        <f>'02_GPU_Mix_Input'!D153</f>
        <v/>
      </c>
      <c r="O153" s="10">
        <f>'02_GPU_Mix_Input'!E153</f>
        <v/>
      </c>
      <c r="P153" s="10">
        <f>'02_GPU_Mix_Input'!F153</f>
        <v/>
      </c>
      <c r="Q153" s="10">
        <f>'02_GPU_Mix_Input'!G153</f>
        <v/>
      </c>
      <c r="R153" s="12">
        <f>INDEX('01_Benchmark_Input'!$D$2:$D$10,MATCH(B153,'01_Benchmark_Input'!$A$2:$A$10,0))</f>
        <v/>
      </c>
      <c r="S153" s="12">
        <f>INDEX('01_Benchmark_Input'!$F$2:$F$10,MATCH(B153,'01_Benchmark_Input'!$A$2:$A$10,0))</f>
        <v/>
      </c>
      <c r="T153" s="12">
        <f>INDEX('01_Benchmark_Input'!$H$2:$H$10,MATCH(B153,'01_Benchmark_Input'!$A$2:$A$10,0))</f>
        <v/>
      </c>
      <c r="U153" s="12">
        <f>INDEX('01_Benchmark_Input'!$J$2:$J$10,MATCH(B153,'01_Benchmark_Input'!$A$2:$A$10,0))</f>
        <v/>
      </c>
      <c r="V153" s="10">
        <f>'02_Inputs'!K153</f>
        <v/>
      </c>
      <c r="W153" s="12">
        <f>N153*R153+O153*S153+P153*T153+Q153*U153</f>
        <v/>
      </c>
      <c r="X153" s="12">
        <f>W153*V153</f>
        <v/>
      </c>
      <c r="Y153" s="12">
        <f>L153*1000*X153*86400</f>
        <v/>
      </c>
      <c r="Z153" s="12">
        <f>Y153*365</f>
        <v/>
      </c>
    </row>
    <row r="154">
      <c r="A154" s="9">
        <f>'02_Inputs'!A154</f>
        <v/>
      </c>
      <c r="B154" s="9">
        <f>'02_Inputs'!B154</f>
        <v/>
      </c>
      <c r="C154" s="9">
        <f>'02_Inputs'!C154</f>
        <v/>
      </c>
      <c r="D154" s="11">
        <f>'02_Inputs'!D154</f>
        <v/>
      </c>
      <c r="E154" s="10">
        <f>'02_Inputs'!E154</f>
        <v/>
      </c>
      <c r="F154" s="11">
        <f>D154*E154</f>
        <v/>
      </c>
      <c r="G154" s="9">
        <f>'02_Inputs'!F154</f>
        <v/>
      </c>
      <c r="H154" s="11">
        <f>F154/G154</f>
        <v/>
      </c>
      <c r="I154" s="10">
        <f>'02_Inputs'!G154</f>
        <v/>
      </c>
      <c r="J154" s="11">
        <f>H154*I154</f>
        <v/>
      </c>
      <c r="K154" s="10">
        <f>'02_Inputs'!H154</f>
        <v/>
      </c>
      <c r="L154" s="11">
        <f>J154*K154</f>
        <v/>
      </c>
      <c r="M154" s="11">
        <f>J154*(1-K154)</f>
        <v/>
      </c>
      <c r="N154" s="10">
        <f>'02_GPU_Mix_Input'!D154</f>
        <v/>
      </c>
      <c r="O154" s="10">
        <f>'02_GPU_Mix_Input'!E154</f>
        <v/>
      </c>
      <c r="P154" s="10">
        <f>'02_GPU_Mix_Input'!F154</f>
        <v/>
      </c>
      <c r="Q154" s="10">
        <f>'02_GPU_Mix_Input'!G154</f>
        <v/>
      </c>
      <c r="R154" s="12">
        <f>INDEX('01_Benchmark_Input'!$D$2:$D$10,MATCH(B154,'01_Benchmark_Input'!$A$2:$A$10,0))</f>
        <v/>
      </c>
      <c r="S154" s="12">
        <f>INDEX('01_Benchmark_Input'!$F$2:$F$10,MATCH(B154,'01_Benchmark_Input'!$A$2:$A$10,0))</f>
        <v/>
      </c>
      <c r="T154" s="12">
        <f>INDEX('01_Benchmark_Input'!$H$2:$H$10,MATCH(B154,'01_Benchmark_Input'!$A$2:$A$10,0))</f>
        <v/>
      </c>
      <c r="U154" s="12">
        <f>INDEX('01_Benchmark_Input'!$J$2:$J$10,MATCH(B154,'01_Benchmark_Input'!$A$2:$A$10,0))</f>
        <v/>
      </c>
      <c r="V154" s="10">
        <f>'02_Inputs'!K154</f>
        <v/>
      </c>
      <c r="W154" s="12">
        <f>N154*R154+O154*S154+P154*T154+Q154*U154</f>
        <v/>
      </c>
      <c r="X154" s="12">
        <f>W154*V154</f>
        <v/>
      </c>
      <c r="Y154" s="12">
        <f>L154*1000*X154*86400</f>
        <v/>
      </c>
      <c r="Z154" s="12">
        <f>Y154*365</f>
        <v/>
      </c>
    </row>
    <row r="155">
      <c r="A155" s="9">
        <f>'02_Inputs'!A155</f>
        <v/>
      </c>
      <c r="B155" s="9">
        <f>'02_Inputs'!B155</f>
        <v/>
      </c>
      <c r="C155" s="9">
        <f>'02_Inputs'!C155</f>
        <v/>
      </c>
      <c r="D155" s="11">
        <f>'02_Inputs'!D155</f>
        <v/>
      </c>
      <c r="E155" s="10">
        <f>'02_Inputs'!E155</f>
        <v/>
      </c>
      <c r="F155" s="11">
        <f>D155*E155</f>
        <v/>
      </c>
      <c r="G155" s="9">
        <f>'02_Inputs'!F155</f>
        <v/>
      </c>
      <c r="H155" s="11">
        <f>F155/G155</f>
        <v/>
      </c>
      <c r="I155" s="10">
        <f>'02_Inputs'!G155</f>
        <v/>
      </c>
      <c r="J155" s="11">
        <f>H155*I155</f>
        <v/>
      </c>
      <c r="K155" s="10">
        <f>'02_Inputs'!H155</f>
        <v/>
      </c>
      <c r="L155" s="11">
        <f>J155*K155</f>
        <v/>
      </c>
      <c r="M155" s="11">
        <f>J155*(1-K155)</f>
        <v/>
      </c>
      <c r="N155" s="10">
        <f>'02_GPU_Mix_Input'!D155</f>
        <v/>
      </c>
      <c r="O155" s="10">
        <f>'02_GPU_Mix_Input'!E155</f>
        <v/>
      </c>
      <c r="P155" s="10">
        <f>'02_GPU_Mix_Input'!F155</f>
        <v/>
      </c>
      <c r="Q155" s="10">
        <f>'02_GPU_Mix_Input'!G155</f>
        <v/>
      </c>
      <c r="R155" s="12">
        <f>INDEX('01_Benchmark_Input'!$D$2:$D$10,MATCH(B155,'01_Benchmark_Input'!$A$2:$A$10,0))</f>
        <v/>
      </c>
      <c r="S155" s="12">
        <f>INDEX('01_Benchmark_Input'!$F$2:$F$10,MATCH(B155,'01_Benchmark_Input'!$A$2:$A$10,0))</f>
        <v/>
      </c>
      <c r="T155" s="12">
        <f>INDEX('01_Benchmark_Input'!$H$2:$H$10,MATCH(B155,'01_Benchmark_Input'!$A$2:$A$10,0))</f>
        <v/>
      </c>
      <c r="U155" s="12">
        <f>INDEX('01_Benchmark_Input'!$J$2:$J$10,MATCH(B155,'01_Benchmark_Input'!$A$2:$A$10,0))</f>
        <v/>
      </c>
      <c r="V155" s="10">
        <f>'02_Inputs'!K155</f>
        <v/>
      </c>
      <c r="W155" s="12">
        <f>N155*R155+O155*S155+P155*T155+Q155*U155</f>
        <v/>
      </c>
      <c r="X155" s="12">
        <f>W155*V155</f>
        <v/>
      </c>
      <c r="Y155" s="12">
        <f>L155*1000*X155*86400</f>
        <v/>
      </c>
      <c r="Z155" s="12">
        <f>Y155*365</f>
        <v/>
      </c>
    </row>
    <row r="156">
      <c r="A156" s="9">
        <f>'02_Inputs'!A156</f>
        <v/>
      </c>
      <c r="B156" s="9">
        <f>'02_Inputs'!B156</f>
        <v/>
      </c>
      <c r="C156" s="9">
        <f>'02_Inputs'!C156</f>
        <v/>
      </c>
      <c r="D156" s="11">
        <f>'02_Inputs'!D156</f>
        <v/>
      </c>
      <c r="E156" s="10">
        <f>'02_Inputs'!E156</f>
        <v/>
      </c>
      <c r="F156" s="11">
        <f>D156*E156</f>
        <v/>
      </c>
      <c r="G156" s="9">
        <f>'02_Inputs'!F156</f>
        <v/>
      </c>
      <c r="H156" s="11">
        <f>F156/G156</f>
        <v/>
      </c>
      <c r="I156" s="10">
        <f>'02_Inputs'!G156</f>
        <v/>
      </c>
      <c r="J156" s="11">
        <f>H156*I156</f>
        <v/>
      </c>
      <c r="K156" s="10">
        <f>'02_Inputs'!H156</f>
        <v/>
      </c>
      <c r="L156" s="11">
        <f>J156*K156</f>
        <v/>
      </c>
      <c r="M156" s="11">
        <f>J156*(1-K156)</f>
        <v/>
      </c>
      <c r="N156" s="10">
        <f>'02_GPU_Mix_Input'!D156</f>
        <v/>
      </c>
      <c r="O156" s="10">
        <f>'02_GPU_Mix_Input'!E156</f>
        <v/>
      </c>
      <c r="P156" s="10">
        <f>'02_GPU_Mix_Input'!F156</f>
        <v/>
      </c>
      <c r="Q156" s="10">
        <f>'02_GPU_Mix_Input'!G156</f>
        <v/>
      </c>
      <c r="R156" s="12">
        <f>INDEX('01_Benchmark_Input'!$D$2:$D$10,MATCH(B156,'01_Benchmark_Input'!$A$2:$A$10,0))</f>
        <v/>
      </c>
      <c r="S156" s="12">
        <f>INDEX('01_Benchmark_Input'!$F$2:$F$10,MATCH(B156,'01_Benchmark_Input'!$A$2:$A$10,0))</f>
        <v/>
      </c>
      <c r="T156" s="12">
        <f>INDEX('01_Benchmark_Input'!$H$2:$H$10,MATCH(B156,'01_Benchmark_Input'!$A$2:$A$10,0))</f>
        <v/>
      </c>
      <c r="U156" s="12">
        <f>INDEX('01_Benchmark_Input'!$J$2:$J$10,MATCH(B156,'01_Benchmark_Input'!$A$2:$A$10,0))</f>
        <v/>
      </c>
      <c r="V156" s="10">
        <f>'02_Inputs'!K156</f>
        <v/>
      </c>
      <c r="W156" s="12">
        <f>N156*R156+O156*S156+P156*T156+Q156*U156</f>
        <v/>
      </c>
      <c r="X156" s="12">
        <f>W156*V156</f>
        <v/>
      </c>
      <c r="Y156" s="12">
        <f>L156*1000*X156*86400</f>
        <v/>
      </c>
      <c r="Z156" s="12">
        <f>Y156*365</f>
        <v/>
      </c>
    </row>
    <row r="157">
      <c r="A157" s="9">
        <f>'02_Inputs'!A157</f>
        <v/>
      </c>
      <c r="B157" s="9">
        <f>'02_Inputs'!B157</f>
        <v/>
      </c>
      <c r="C157" s="9">
        <f>'02_Inputs'!C157</f>
        <v/>
      </c>
      <c r="D157" s="11">
        <f>'02_Inputs'!D157</f>
        <v/>
      </c>
      <c r="E157" s="10">
        <f>'02_Inputs'!E157</f>
        <v/>
      </c>
      <c r="F157" s="11">
        <f>D157*E157</f>
        <v/>
      </c>
      <c r="G157" s="9">
        <f>'02_Inputs'!F157</f>
        <v/>
      </c>
      <c r="H157" s="11">
        <f>F157/G157</f>
        <v/>
      </c>
      <c r="I157" s="10">
        <f>'02_Inputs'!G157</f>
        <v/>
      </c>
      <c r="J157" s="11">
        <f>H157*I157</f>
        <v/>
      </c>
      <c r="K157" s="10">
        <f>'02_Inputs'!H157</f>
        <v/>
      </c>
      <c r="L157" s="11">
        <f>J157*K157</f>
        <v/>
      </c>
      <c r="M157" s="11">
        <f>J157*(1-K157)</f>
        <v/>
      </c>
      <c r="N157" s="10">
        <f>'02_GPU_Mix_Input'!D157</f>
        <v/>
      </c>
      <c r="O157" s="10">
        <f>'02_GPU_Mix_Input'!E157</f>
        <v/>
      </c>
      <c r="P157" s="10">
        <f>'02_GPU_Mix_Input'!F157</f>
        <v/>
      </c>
      <c r="Q157" s="10">
        <f>'02_GPU_Mix_Input'!G157</f>
        <v/>
      </c>
      <c r="R157" s="12">
        <f>INDEX('01_Benchmark_Input'!$D$2:$D$10,MATCH(B157,'01_Benchmark_Input'!$A$2:$A$10,0))</f>
        <v/>
      </c>
      <c r="S157" s="12">
        <f>INDEX('01_Benchmark_Input'!$F$2:$F$10,MATCH(B157,'01_Benchmark_Input'!$A$2:$A$10,0))</f>
        <v/>
      </c>
      <c r="T157" s="12">
        <f>INDEX('01_Benchmark_Input'!$H$2:$H$10,MATCH(B157,'01_Benchmark_Input'!$A$2:$A$10,0))</f>
        <v/>
      </c>
      <c r="U157" s="12">
        <f>INDEX('01_Benchmark_Input'!$J$2:$J$10,MATCH(B157,'01_Benchmark_Input'!$A$2:$A$10,0))</f>
        <v/>
      </c>
      <c r="V157" s="10">
        <f>'02_Inputs'!K157</f>
        <v/>
      </c>
      <c r="W157" s="12">
        <f>N157*R157+O157*S157+P157*T157+Q157*U157</f>
        <v/>
      </c>
      <c r="X157" s="12">
        <f>W157*V157</f>
        <v/>
      </c>
      <c r="Y157" s="12">
        <f>L157*1000*X157*86400</f>
        <v/>
      </c>
      <c r="Z157" s="12">
        <f>Y157*365</f>
        <v/>
      </c>
    </row>
    <row r="158">
      <c r="A158" s="9">
        <f>'02_Inputs'!A158</f>
        <v/>
      </c>
      <c r="B158" s="9">
        <f>'02_Inputs'!B158</f>
        <v/>
      </c>
      <c r="C158" s="9">
        <f>'02_Inputs'!C158</f>
        <v/>
      </c>
      <c r="D158" s="11">
        <f>'02_Inputs'!D158</f>
        <v/>
      </c>
      <c r="E158" s="10">
        <f>'02_Inputs'!E158</f>
        <v/>
      </c>
      <c r="F158" s="11">
        <f>D158*E158</f>
        <v/>
      </c>
      <c r="G158" s="9">
        <f>'02_Inputs'!F158</f>
        <v/>
      </c>
      <c r="H158" s="11">
        <f>F158/G158</f>
        <v/>
      </c>
      <c r="I158" s="10">
        <f>'02_Inputs'!G158</f>
        <v/>
      </c>
      <c r="J158" s="11">
        <f>H158*I158</f>
        <v/>
      </c>
      <c r="K158" s="10">
        <f>'02_Inputs'!H158</f>
        <v/>
      </c>
      <c r="L158" s="11">
        <f>J158*K158</f>
        <v/>
      </c>
      <c r="M158" s="11">
        <f>J158*(1-K158)</f>
        <v/>
      </c>
      <c r="N158" s="10">
        <f>'02_GPU_Mix_Input'!D158</f>
        <v/>
      </c>
      <c r="O158" s="10">
        <f>'02_GPU_Mix_Input'!E158</f>
        <v/>
      </c>
      <c r="P158" s="10">
        <f>'02_GPU_Mix_Input'!F158</f>
        <v/>
      </c>
      <c r="Q158" s="10">
        <f>'02_GPU_Mix_Input'!G158</f>
        <v/>
      </c>
      <c r="R158" s="12">
        <f>INDEX('01_Benchmark_Input'!$D$2:$D$10,MATCH(B158,'01_Benchmark_Input'!$A$2:$A$10,0))</f>
        <v/>
      </c>
      <c r="S158" s="12">
        <f>INDEX('01_Benchmark_Input'!$F$2:$F$10,MATCH(B158,'01_Benchmark_Input'!$A$2:$A$10,0))</f>
        <v/>
      </c>
      <c r="T158" s="12">
        <f>INDEX('01_Benchmark_Input'!$H$2:$H$10,MATCH(B158,'01_Benchmark_Input'!$A$2:$A$10,0))</f>
        <v/>
      </c>
      <c r="U158" s="12">
        <f>INDEX('01_Benchmark_Input'!$J$2:$J$10,MATCH(B158,'01_Benchmark_Input'!$A$2:$A$10,0))</f>
        <v/>
      </c>
      <c r="V158" s="10">
        <f>'02_Inputs'!K158</f>
        <v/>
      </c>
      <c r="W158" s="12">
        <f>N158*R158+O158*S158+P158*T158+Q158*U158</f>
        <v/>
      </c>
      <c r="X158" s="12">
        <f>W158*V158</f>
        <v/>
      </c>
      <c r="Y158" s="12">
        <f>L158*1000*X158*86400</f>
        <v/>
      </c>
      <c r="Z158" s="12">
        <f>Y158*365</f>
        <v/>
      </c>
    </row>
    <row r="159">
      <c r="A159" s="9">
        <f>'02_Inputs'!A159</f>
        <v/>
      </c>
      <c r="B159" s="9">
        <f>'02_Inputs'!B159</f>
        <v/>
      </c>
      <c r="C159" s="9">
        <f>'02_Inputs'!C159</f>
        <v/>
      </c>
      <c r="D159" s="11">
        <f>'02_Inputs'!D159</f>
        <v/>
      </c>
      <c r="E159" s="10">
        <f>'02_Inputs'!E159</f>
        <v/>
      </c>
      <c r="F159" s="11">
        <f>D159*E159</f>
        <v/>
      </c>
      <c r="G159" s="9">
        <f>'02_Inputs'!F159</f>
        <v/>
      </c>
      <c r="H159" s="11">
        <f>F159/G159</f>
        <v/>
      </c>
      <c r="I159" s="10">
        <f>'02_Inputs'!G159</f>
        <v/>
      </c>
      <c r="J159" s="11">
        <f>H159*I159</f>
        <v/>
      </c>
      <c r="K159" s="10">
        <f>'02_Inputs'!H159</f>
        <v/>
      </c>
      <c r="L159" s="11">
        <f>J159*K159</f>
        <v/>
      </c>
      <c r="M159" s="11">
        <f>J159*(1-K159)</f>
        <v/>
      </c>
      <c r="N159" s="10">
        <f>'02_GPU_Mix_Input'!D159</f>
        <v/>
      </c>
      <c r="O159" s="10">
        <f>'02_GPU_Mix_Input'!E159</f>
        <v/>
      </c>
      <c r="P159" s="10">
        <f>'02_GPU_Mix_Input'!F159</f>
        <v/>
      </c>
      <c r="Q159" s="10">
        <f>'02_GPU_Mix_Input'!G159</f>
        <v/>
      </c>
      <c r="R159" s="12">
        <f>INDEX('01_Benchmark_Input'!$D$2:$D$10,MATCH(B159,'01_Benchmark_Input'!$A$2:$A$10,0))</f>
        <v/>
      </c>
      <c r="S159" s="12">
        <f>INDEX('01_Benchmark_Input'!$F$2:$F$10,MATCH(B159,'01_Benchmark_Input'!$A$2:$A$10,0))</f>
        <v/>
      </c>
      <c r="T159" s="12">
        <f>INDEX('01_Benchmark_Input'!$H$2:$H$10,MATCH(B159,'01_Benchmark_Input'!$A$2:$A$10,0))</f>
        <v/>
      </c>
      <c r="U159" s="12">
        <f>INDEX('01_Benchmark_Input'!$J$2:$J$10,MATCH(B159,'01_Benchmark_Input'!$A$2:$A$10,0))</f>
        <v/>
      </c>
      <c r="V159" s="10">
        <f>'02_Inputs'!K159</f>
        <v/>
      </c>
      <c r="W159" s="12">
        <f>N159*R159+O159*S159+P159*T159+Q159*U159</f>
        <v/>
      </c>
      <c r="X159" s="12">
        <f>W159*V159</f>
        <v/>
      </c>
      <c r="Y159" s="12">
        <f>L159*1000*X159*86400</f>
        <v/>
      </c>
      <c r="Z159" s="12">
        <f>Y159*365</f>
        <v/>
      </c>
    </row>
    <row r="160">
      <c r="A160" s="9">
        <f>'02_Inputs'!A160</f>
        <v/>
      </c>
      <c r="B160" s="9">
        <f>'02_Inputs'!B160</f>
        <v/>
      </c>
      <c r="C160" s="9">
        <f>'02_Inputs'!C160</f>
        <v/>
      </c>
      <c r="D160" s="11">
        <f>'02_Inputs'!D160</f>
        <v/>
      </c>
      <c r="E160" s="10">
        <f>'02_Inputs'!E160</f>
        <v/>
      </c>
      <c r="F160" s="11">
        <f>D160*E160</f>
        <v/>
      </c>
      <c r="G160" s="9">
        <f>'02_Inputs'!F160</f>
        <v/>
      </c>
      <c r="H160" s="11">
        <f>F160/G160</f>
        <v/>
      </c>
      <c r="I160" s="10">
        <f>'02_Inputs'!G160</f>
        <v/>
      </c>
      <c r="J160" s="11">
        <f>H160*I160</f>
        <v/>
      </c>
      <c r="K160" s="10">
        <f>'02_Inputs'!H160</f>
        <v/>
      </c>
      <c r="L160" s="11">
        <f>J160*K160</f>
        <v/>
      </c>
      <c r="M160" s="11">
        <f>J160*(1-K160)</f>
        <v/>
      </c>
      <c r="N160" s="10">
        <f>'02_GPU_Mix_Input'!D160</f>
        <v/>
      </c>
      <c r="O160" s="10">
        <f>'02_GPU_Mix_Input'!E160</f>
        <v/>
      </c>
      <c r="P160" s="10">
        <f>'02_GPU_Mix_Input'!F160</f>
        <v/>
      </c>
      <c r="Q160" s="10">
        <f>'02_GPU_Mix_Input'!G160</f>
        <v/>
      </c>
      <c r="R160" s="12">
        <f>INDEX('01_Benchmark_Input'!$D$2:$D$10,MATCH(B160,'01_Benchmark_Input'!$A$2:$A$10,0))</f>
        <v/>
      </c>
      <c r="S160" s="12">
        <f>INDEX('01_Benchmark_Input'!$F$2:$F$10,MATCH(B160,'01_Benchmark_Input'!$A$2:$A$10,0))</f>
        <v/>
      </c>
      <c r="T160" s="12">
        <f>INDEX('01_Benchmark_Input'!$H$2:$H$10,MATCH(B160,'01_Benchmark_Input'!$A$2:$A$10,0))</f>
        <v/>
      </c>
      <c r="U160" s="12">
        <f>INDEX('01_Benchmark_Input'!$J$2:$J$10,MATCH(B160,'01_Benchmark_Input'!$A$2:$A$10,0))</f>
        <v/>
      </c>
      <c r="V160" s="10">
        <f>'02_Inputs'!K160</f>
        <v/>
      </c>
      <c r="W160" s="12">
        <f>N160*R160+O160*S160+P160*T160+Q160*U160</f>
        <v/>
      </c>
      <c r="X160" s="12">
        <f>W160*V160</f>
        <v/>
      </c>
      <c r="Y160" s="12">
        <f>L160*1000*X160*86400</f>
        <v/>
      </c>
      <c r="Z160" s="12">
        <f>Y160*365</f>
        <v/>
      </c>
    </row>
    <row r="161">
      <c r="A161" s="9">
        <f>'02_Inputs'!A161</f>
        <v/>
      </c>
      <c r="B161" s="9">
        <f>'02_Inputs'!B161</f>
        <v/>
      </c>
      <c r="C161" s="9">
        <f>'02_Inputs'!C161</f>
        <v/>
      </c>
      <c r="D161" s="11">
        <f>'02_Inputs'!D161</f>
        <v/>
      </c>
      <c r="E161" s="10">
        <f>'02_Inputs'!E161</f>
        <v/>
      </c>
      <c r="F161" s="11">
        <f>D161*E161</f>
        <v/>
      </c>
      <c r="G161" s="9">
        <f>'02_Inputs'!F161</f>
        <v/>
      </c>
      <c r="H161" s="11">
        <f>F161/G161</f>
        <v/>
      </c>
      <c r="I161" s="10">
        <f>'02_Inputs'!G161</f>
        <v/>
      </c>
      <c r="J161" s="11">
        <f>H161*I161</f>
        <v/>
      </c>
      <c r="K161" s="10">
        <f>'02_Inputs'!H161</f>
        <v/>
      </c>
      <c r="L161" s="11">
        <f>J161*K161</f>
        <v/>
      </c>
      <c r="M161" s="11">
        <f>J161*(1-K161)</f>
        <v/>
      </c>
      <c r="N161" s="10">
        <f>'02_GPU_Mix_Input'!D161</f>
        <v/>
      </c>
      <c r="O161" s="10">
        <f>'02_GPU_Mix_Input'!E161</f>
        <v/>
      </c>
      <c r="P161" s="10">
        <f>'02_GPU_Mix_Input'!F161</f>
        <v/>
      </c>
      <c r="Q161" s="10">
        <f>'02_GPU_Mix_Input'!G161</f>
        <v/>
      </c>
      <c r="R161" s="12">
        <f>INDEX('01_Benchmark_Input'!$D$2:$D$10,MATCH(B161,'01_Benchmark_Input'!$A$2:$A$10,0))</f>
        <v/>
      </c>
      <c r="S161" s="12">
        <f>INDEX('01_Benchmark_Input'!$F$2:$F$10,MATCH(B161,'01_Benchmark_Input'!$A$2:$A$10,0))</f>
        <v/>
      </c>
      <c r="T161" s="12">
        <f>INDEX('01_Benchmark_Input'!$H$2:$H$10,MATCH(B161,'01_Benchmark_Input'!$A$2:$A$10,0))</f>
        <v/>
      </c>
      <c r="U161" s="12">
        <f>INDEX('01_Benchmark_Input'!$J$2:$J$10,MATCH(B161,'01_Benchmark_Input'!$A$2:$A$10,0))</f>
        <v/>
      </c>
      <c r="V161" s="10">
        <f>'02_Inputs'!K161</f>
        <v/>
      </c>
      <c r="W161" s="12">
        <f>N161*R161+O161*S161+P161*T161+Q161*U161</f>
        <v/>
      </c>
      <c r="X161" s="12">
        <f>W161*V161</f>
        <v/>
      </c>
      <c r="Y161" s="12">
        <f>L161*1000*X161*86400</f>
        <v/>
      </c>
      <c r="Z161" s="12">
        <f>Y161*365</f>
        <v/>
      </c>
    </row>
    <row r="162">
      <c r="A162" s="9">
        <f>'02_Inputs'!A162</f>
        <v/>
      </c>
      <c r="B162" s="9">
        <f>'02_Inputs'!B162</f>
        <v/>
      </c>
      <c r="C162" s="9">
        <f>'02_Inputs'!C162</f>
        <v/>
      </c>
      <c r="D162" s="11">
        <f>'02_Inputs'!D162</f>
        <v/>
      </c>
      <c r="E162" s="10">
        <f>'02_Inputs'!E162</f>
        <v/>
      </c>
      <c r="F162" s="11">
        <f>D162*E162</f>
        <v/>
      </c>
      <c r="G162" s="9">
        <f>'02_Inputs'!F162</f>
        <v/>
      </c>
      <c r="H162" s="11">
        <f>F162/G162</f>
        <v/>
      </c>
      <c r="I162" s="10">
        <f>'02_Inputs'!G162</f>
        <v/>
      </c>
      <c r="J162" s="11">
        <f>H162*I162</f>
        <v/>
      </c>
      <c r="K162" s="10">
        <f>'02_Inputs'!H162</f>
        <v/>
      </c>
      <c r="L162" s="11">
        <f>J162*K162</f>
        <v/>
      </c>
      <c r="M162" s="11">
        <f>J162*(1-K162)</f>
        <v/>
      </c>
      <c r="N162" s="10">
        <f>'02_GPU_Mix_Input'!D162</f>
        <v/>
      </c>
      <c r="O162" s="10">
        <f>'02_GPU_Mix_Input'!E162</f>
        <v/>
      </c>
      <c r="P162" s="10">
        <f>'02_GPU_Mix_Input'!F162</f>
        <v/>
      </c>
      <c r="Q162" s="10">
        <f>'02_GPU_Mix_Input'!G162</f>
        <v/>
      </c>
      <c r="R162" s="12">
        <f>INDEX('01_Benchmark_Input'!$D$2:$D$10,MATCH(B162,'01_Benchmark_Input'!$A$2:$A$10,0))</f>
        <v/>
      </c>
      <c r="S162" s="12">
        <f>INDEX('01_Benchmark_Input'!$F$2:$F$10,MATCH(B162,'01_Benchmark_Input'!$A$2:$A$10,0))</f>
        <v/>
      </c>
      <c r="T162" s="12">
        <f>INDEX('01_Benchmark_Input'!$H$2:$H$10,MATCH(B162,'01_Benchmark_Input'!$A$2:$A$10,0))</f>
        <v/>
      </c>
      <c r="U162" s="12">
        <f>INDEX('01_Benchmark_Input'!$J$2:$J$10,MATCH(B162,'01_Benchmark_Input'!$A$2:$A$10,0))</f>
        <v/>
      </c>
      <c r="V162" s="10">
        <f>'02_Inputs'!K162</f>
        <v/>
      </c>
      <c r="W162" s="12">
        <f>N162*R162+O162*S162+P162*T162+Q162*U162</f>
        <v/>
      </c>
      <c r="X162" s="12">
        <f>W162*V162</f>
        <v/>
      </c>
      <c r="Y162" s="12">
        <f>L162*1000*X162*86400</f>
        <v/>
      </c>
      <c r="Z162" s="12">
        <f>Y162*365</f>
        <v/>
      </c>
    </row>
    <row r="163">
      <c r="A163" s="9">
        <f>'02_Inputs'!A163</f>
        <v/>
      </c>
      <c r="B163" s="9">
        <f>'02_Inputs'!B163</f>
        <v/>
      </c>
      <c r="C163" s="9">
        <f>'02_Inputs'!C163</f>
        <v/>
      </c>
      <c r="D163" s="11">
        <f>'02_Inputs'!D163</f>
        <v/>
      </c>
      <c r="E163" s="10">
        <f>'02_Inputs'!E163</f>
        <v/>
      </c>
      <c r="F163" s="11">
        <f>D163*E163</f>
        <v/>
      </c>
      <c r="G163" s="9">
        <f>'02_Inputs'!F163</f>
        <v/>
      </c>
      <c r="H163" s="11">
        <f>F163/G163</f>
        <v/>
      </c>
      <c r="I163" s="10">
        <f>'02_Inputs'!G163</f>
        <v/>
      </c>
      <c r="J163" s="11">
        <f>H163*I163</f>
        <v/>
      </c>
      <c r="K163" s="10">
        <f>'02_Inputs'!H163</f>
        <v/>
      </c>
      <c r="L163" s="11">
        <f>J163*K163</f>
        <v/>
      </c>
      <c r="M163" s="11">
        <f>J163*(1-K163)</f>
        <v/>
      </c>
      <c r="N163" s="10">
        <f>'02_GPU_Mix_Input'!D163</f>
        <v/>
      </c>
      <c r="O163" s="10">
        <f>'02_GPU_Mix_Input'!E163</f>
        <v/>
      </c>
      <c r="P163" s="10">
        <f>'02_GPU_Mix_Input'!F163</f>
        <v/>
      </c>
      <c r="Q163" s="10">
        <f>'02_GPU_Mix_Input'!G163</f>
        <v/>
      </c>
      <c r="R163" s="12">
        <f>INDEX('01_Benchmark_Input'!$D$2:$D$10,MATCH(B163,'01_Benchmark_Input'!$A$2:$A$10,0))</f>
        <v/>
      </c>
      <c r="S163" s="12">
        <f>INDEX('01_Benchmark_Input'!$F$2:$F$10,MATCH(B163,'01_Benchmark_Input'!$A$2:$A$10,0))</f>
        <v/>
      </c>
      <c r="T163" s="12">
        <f>INDEX('01_Benchmark_Input'!$H$2:$H$10,MATCH(B163,'01_Benchmark_Input'!$A$2:$A$10,0))</f>
        <v/>
      </c>
      <c r="U163" s="12">
        <f>INDEX('01_Benchmark_Input'!$J$2:$J$10,MATCH(B163,'01_Benchmark_Input'!$A$2:$A$10,0))</f>
        <v/>
      </c>
      <c r="V163" s="10">
        <f>'02_Inputs'!K163</f>
        <v/>
      </c>
      <c r="W163" s="12">
        <f>N163*R163+O163*S163+P163*T163+Q163*U163</f>
        <v/>
      </c>
      <c r="X163" s="12">
        <f>W163*V163</f>
        <v/>
      </c>
      <c r="Y163" s="12">
        <f>L163*1000*X163*86400</f>
        <v/>
      </c>
      <c r="Z163" s="12">
        <f>Y163*365</f>
        <v/>
      </c>
    </row>
    <row r="164">
      <c r="A164" s="9">
        <f>'02_Inputs'!A164</f>
        <v/>
      </c>
      <c r="B164" s="9">
        <f>'02_Inputs'!B164</f>
        <v/>
      </c>
      <c r="C164" s="9">
        <f>'02_Inputs'!C164</f>
        <v/>
      </c>
      <c r="D164" s="11">
        <f>'02_Inputs'!D164</f>
        <v/>
      </c>
      <c r="E164" s="10">
        <f>'02_Inputs'!E164</f>
        <v/>
      </c>
      <c r="F164" s="11">
        <f>D164*E164</f>
        <v/>
      </c>
      <c r="G164" s="9">
        <f>'02_Inputs'!F164</f>
        <v/>
      </c>
      <c r="H164" s="11">
        <f>F164/G164</f>
        <v/>
      </c>
      <c r="I164" s="10">
        <f>'02_Inputs'!G164</f>
        <v/>
      </c>
      <c r="J164" s="11">
        <f>H164*I164</f>
        <v/>
      </c>
      <c r="K164" s="10">
        <f>'02_Inputs'!H164</f>
        <v/>
      </c>
      <c r="L164" s="11">
        <f>J164*K164</f>
        <v/>
      </c>
      <c r="M164" s="11">
        <f>J164*(1-K164)</f>
        <v/>
      </c>
      <c r="N164" s="10">
        <f>'02_GPU_Mix_Input'!D164</f>
        <v/>
      </c>
      <c r="O164" s="10">
        <f>'02_GPU_Mix_Input'!E164</f>
        <v/>
      </c>
      <c r="P164" s="10">
        <f>'02_GPU_Mix_Input'!F164</f>
        <v/>
      </c>
      <c r="Q164" s="10">
        <f>'02_GPU_Mix_Input'!G164</f>
        <v/>
      </c>
      <c r="R164" s="12">
        <f>INDEX('01_Benchmark_Input'!$D$2:$D$10,MATCH(B164,'01_Benchmark_Input'!$A$2:$A$10,0))</f>
        <v/>
      </c>
      <c r="S164" s="12">
        <f>INDEX('01_Benchmark_Input'!$F$2:$F$10,MATCH(B164,'01_Benchmark_Input'!$A$2:$A$10,0))</f>
        <v/>
      </c>
      <c r="T164" s="12">
        <f>INDEX('01_Benchmark_Input'!$H$2:$H$10,MATCH(B164,'01_Benchmark_Input'!$A$2:$A$10,0))</f>
        <v/>
      </c>
      <c r="U164" s="12">
        <f>INDEX('01_Benchmark_Input'!$J$2:$J$10,MATCH(B164,'01_Benchmark_Input'!$A$2:$A$10,0))</f>
        <v/>
      </c>
      <c r="V164" s="10">
        <f>'02_Inputs'!K164</f>
        <v/>
      </c>
      <c r="W164" s="12">
        <f>N164*R164+O164*S164+P164*T164+Q164*U164</f>
        <v/>
      </c>
      <c r="X164" s="12">
        <f>W164*V164</f>
        <v/>
      </c>
      <c r="Y164" s="12">
        <f>L164*1000*X164*86400</f>
        <v/>
      </c>
      <c r="Z164" s="12">
        <f>Y164*365</f>
        <v/>
      </c>
    </row>
    <row r="165">
      <c r="A165" s="9">
        <f>'02_Inputs'!A165</f>
        <v/>
      </c>
      <c r="B165" s="9">
        <f>'02_Inputs'!B165</f>
        <v/>
      </c>
      <c r="C165" s="9">
        <f>'02_Inputs'!C165</f>
        <v/>
      </c>
      <c r="D165" s="11">
        <f>'02_Inputs'!D165</f>
        <v/>
      </c>
      <c r="E165" s="10">
        <f>'02_Inputs'!E165</f>
        <v/>
      </c>
      <c r="F165" s="11">
        <f>D165*E165</f>
        <v/>
      </c>
      <c r="G165" s="9">
        <f>'02_Inputs'!F165</f>
        <v/>
      </c>
      <c r="H165" s="11">
        <f>F165/G165</f>
        <v/>
      </c>
      <c r="I165" s="10">
        <f>'02_Inputs'!G165</f>
        <v/>
      </c>
      <c r="J165" s="11">
        <f>H165*I165</f>
        <v/>
      </c>
      <c r="K165" s="10">
        <f>'02_Inputs'!H165</f>
        <v/>
      </c>
      <c r="L165" s="11">
        <f>J165*K165</f>
        <v/>
      </c>
      <c r="M165" s="11">
        <f>J165*(1-K165)</f>
        <v/>
      </c>
      <c r="N165" s="10">
        <f>'02_GPU_Mix_Input'!D165</f>
        <v/>
      </c>
      <c r="O165" s="10">
        <f>'02_GPU_Mix_Input'!E165</f>
        <v/>
      </c>
      <c r="P165" s="10">
        <f>'02_GPU_Mix_Input'!F165</f>
        <v/>
      </c>
      <c r="Q165" s="10">
        <f>'02_GPU_Mix_Input'!G165</f>
        <v/>
      </c>
      <c r="R165" s="12">
        <f>INDEX('01_Benchmark_Input'!$D$2:$D$10,MATCH(B165,'01_Benchmark_Input'!$A$2:$A$10,0))</f>
        <v/>
      </c>
      <c r="S165" s="12">
        <f>INDEX('01_Benchmark_Input'!$F$2:$F$10,MATCH(B165,'01_Benchmark_Input'!$A$2:$A$10,0))</f>
        <v/>
      </c>
      <c r="T165" s="12">
        <f>INDEX('01_Benchmark_Input'!$H$2:$H$10,MATCH(B165,'01_Benchmark_Input'!$A$2:$A$10,0))</f>
        <v/>
      </c>
      <c r="U165" s="12">
        <f>INDEX('01_Benchmark_Input'!$J$2:$J$10,MATCH(B165,'01_Benchmark_Input'!$A$2:$A$10,0))</f>
        <v/>
      </c>
      <c r="V165" s="10">
        <f>'02_Inputs'!K165</f>
        <v/>
      </c>
      <c r="W165" s="12">
        <f>N165*R165+O165*S165+P165*T165+Q165*U165</f>
        <v/>
      </c>
      <c r="X165" s="12">
        <f>W165*V165</f>
        <v/>
      </c>
      <c r="Y165" s="12">
        <f>L165*1000*X165*86400</f>
        <v/>
      </c>
      <c r="Z165" s="12">
        <f>Y165*365</f>
        <v/>
      </c>
    </row>
    <row r="166">
      <c r="A166" s="9">
        <f>'02_Inputs'!A166</f>
        <v/>
      </c>
      <c r="B166" s="9">
        <f>'02_Inputs'!B166</f>
        <v/>
      </c>
      <c r="C166" s="9">
        <f>'02_Inputs'!C166</f>
        <v/>
      </c>
      <c r="D166" s="11">
        <f>'02_Inputs'!D166</f>
        <v/>
      </c>
      <c r="E166" s="10">
        <f>'02_Inputs'!E166</f>
        <v/>
      </c>
      <c r="F166" s="11">
        <f>D166*E166</f>
        <v/>
      </c>
      <c r="G166" s="9">
        <f>'02_Inputs'!F166</f>
        <v/>
      </c>
      <c r="H166" s="11">
        <f>F166/G166</f>
        <v/>
      </c>
      <c r="I166" s="10">
        <f>'02_Inputs'!G166</f>
        <v/>
      </c>
      <c r="J166" s="11">
        <f>H166*I166</f>
        <v/>
      </c>
      <c r="K166" s="10">
        <f>'02_Inputs'!H166</f>
        <v/>
      </c>
      <c r="L166" s="11">
        <f>J166*K166</f>
        <v/>
      </c>
      <c r="M166" s="11">
        <f>J166*(1-K166)</f>
        <v/>
      </c>
      <c r="N166" s="10">
        <f>'02_GPU_Mix_Input'!D166</f>
        <v/>
      </c>
      <c r="O166" s="10">
        <f>'02_GPU_Mix_Input'!E166</f>
        <v/>
      </c>
      <c r="P166" s="10">
        <f>'02_GPU_Mix_Input'!F166</f>
        <v/>
      </c>
      <c r="Q166" s="10">
        <f>'02_GPU_Mix_Input'!G166</f>
        <v/>
      </c>
      <c r="R166" s="12">
        <f>INDEX('01_Benchmark_Input'!$D$2:$D$10,MATCH(B166,'01_Benchmark_Input'!$A$2:$A$10,0))</f>
        <v/>
      </c>
      <c r="S166" s="12">
        <f>INDEX('01_Benchmark_Input'!$F$2:$F$10,MATCH(B166,'01_Benchmark_Input'!$A$2:$A$10,0))</f>
        <v/>
      </c>
      <c r="T166" s="12">
        <f>INDEX('01_Benchmark_Input'!$H$2:$H$10,MATCH(B166,'01_Benchmark_Input'!$A$2:$A$10,0))</f>
        <v/>
      </c>
      <c r="U166" s="12">
        <f>INDEX('01_Benchmark_Input'!$J$2:$J$10,MATCH(B166,'01_Benchmark_Input'!$A$2:$A$10,0))</f>
        <v/>
      </c>
      <c r="V166" s="10">
        <f>'02_Inputs'!K166</f>
        <v/>
      </c>
      <c r="W166" s="12">
        <f>N166*R166+O166*S166+P166*T166+Q166*U166</f>
        <v/>
      </c>
      <c r="X166" s="12">
        <f>W166*V166</f>
        <v/>
      </c>
      <c r="Y166" s="12">
        <f>L166*1000*X166*86400</f>
        <v/>
      </c>
      <c r="Z166" s="12">
        <f>Y166*365</f>
        <v/>
      </c>
    </row>
    <row r="167">
      <c r="A167" s="9">
        <f>'02_Inputs'!A167</f>
        <v/>
      </c>
      <c r="B167" s="9">
        <f>'02_Inputs'!B167</f>
        <v/>
      </c>
      <c r="C167" s="9">
        <f>'02_Inputs'!C167</f>
        <v/>
      </c>
      <c r="D167" s="11">
        <f>'02_Inputs'!D167</f>
        <v/>
      </c>
      <c r="E167" s="10">
        <f>'02_Inputs'!E167</f>
        <v/>
      </c>
      <c r="F167" s="11">
        <f>D167*E167</f>
        <v/>
      </c>
      <c r="G167" s="9">
        <f>'02_Inputs'!F167</f>
        <v/>
      </c>
      <c r="H167" s="11">
        <f>F167/G167</f>
        <v/>
      </c>
      <c r="I167" s="10">
        <f>'02_Inputs'!G167</f>
        <v/>
      </c>
      <c r="J167" s="11">
        <f>H167*I167</f>
        <v/>
      </c>
      <c r="K167" s="10">
        <f>'02_Inputs'!H167</f>
        <v/>
      </c>
      <c r="L167" s="11">
        <f>J167*K167</f>
        <v/>
      </c>
      <c r="M167" s="11">
        <f>J167*(1-K167)</f>
        <v/>
      </c>
      <c r="N167" s="10">
        <f>'02_GPU_Mix_Input'!D167</f>
        <v/>
      </c>
      <c r="O167" s="10">
        <f>'02_GPU_Mix_Input'!E167</f>
        <v/>
      </c>
      <c r="P167" s="10">
        <f>'02_GPU_Mix_Input'!F167</f>
        <v/>
      </c>
      <c r="Q167" s="10">
        <f>'02_GPU_Mix_Input'!G167</f>
        <v/>
      </c>
      <c r="R167" s="12">
        <f>INDEX('01_Benchmark_Input'!$D$2:$D$10,MATCH(B167,'01_Benchmark_Input'!$A$2:$A$10,0))</f>
        <v/>
      </c>
      <c r="S167" s="12">
        <f>INDEX('01_Benchmark_Input'!$F$2:$F$10,MATCH(B167,'01_Benchmark_Input'!$A$2:$A$10,0))</f>
        <v/>
      </c>
      <c r="T167" s="12">
        <f>INDEX('01_Benchmark_Input'!$H$2:$H$10,MATCH(B167,'01_Benchmark_Input'!$A$2:$A$10,0))</f>
        <v/>
      </c>
      <c r="U167" s="12">
        <f>INDEX('01_Benchmark_Input'!$J$2:$J$10,MATCH(B167,'01_Benchmark_Input'!$A$2:$A$10,0))</f>
        <v/>
      </c>
      <c r="V167" s="10">
        <f>'02_Inputs'!K167</f>
        <v/>
      </c>
      <c r="W167" s="12">
        <f>N167*R167+O167*S167+P167*T167+Q167*U167</f>
        <v/>
      </c>
      <c r="X167" s="12">
        <f>W167*V167</f>
        <v/>
      </c>
      <c r="Y167" s="12">
        <f>L167*1000*X167*86400</f>
        <v/>
      </c>
      <c r="Z167" s="12">
        <f>Y167*365</f>
        <v/>
      </c>
    </row>
    <row r="168">
      <c r="A168" s="9">
        <f>'02_Inputs'!A168</f>
        <v/>
      </c>
      <c r="B168" s="9">
        <f>'02_Inputs'!B168</f>
        <v/>
      </c>
      <c r="C168" s="9">
        <f>'02_Inputs'!C168</f>
        <v/>
      </c>
      <c r="D168" s="11">
        <f>'02_Inputs'!D168</f>
        <v/>
      </c>
      <c r="E168" s="10">
        <f>'02_Inputs'!E168</f>
        <v/>
      </c>
      <c r="F168" s="11">
        <f>D168*E168</f>
        <v/>
      </c>
      <c r="G168" s="9">
        <f>'02_Inputs'!F168</f>
        <v/>
      </c>
      <c r="H168" s="11">
        <f>F168/G168</f>
        <v/>
      </c>
      <c r="I168" s="10">
        <f>'02_Inputs'!G168</f>
        <v/>
      </c>
      <c r="J168" s="11">
        <f>H168*I168</f>
        <v/>
      </c>
      <c r="K168" s="10">
        <f>'02_Inputs'!H168</f>
        <v/>
      </c>
      <c r="L168" s="11">
        <f>J168*K168</f>
        <v/>
      </c>
      <c r="M168" s="11">
        <f>J168*(1-K168)</f>
        <v/>
      </c>
      <c r="N168" s="10">
        <f>'02_GPU_Mix_Input'!D168</f>
        <v/>
      </c>
      <c r="O168" s="10">
        <f>'02_GPU_Mix_Input'!E168</f>
        <v/>
      </c>
      <c r="P168" s="10">
        <f>'02_GPU_Mix_Input'!F168</f>
        <v/>
      </c>
      <c r="Q168" s="10">
        <f>'02_GPU_Mix_Input'!G168</f>
        <v/>
      </c>
      <c r="R168" s="12">
        <f>INDEX('01_Benchmark_Input'!$D$2:$D$10,MATCH(B168,'01_Benchmark_Input'!$A$2:$A$10,0))</f>
        <v/>
      </c>
      <c r="S168" s="12">
        <f>INDEX('01_Benchmark_Input'!$F$2:$F$10,MATCH(B168,'01_Benchmark_Input'!$A$2:$A$10,0))</f>
        <v/>
      </c>
      <c r="T168" s="12">
        <f>INDEX('01_Benchmark_Input'!$H$2:$H$10,MATCH(B168,'01_Benchmark_Input'!$A$2:$A$10,0))</f>
        <v/>
      </c>
      <c r="U168" s="12">
        <f>INDEX('01_Benchmark_Input'!$J$2:$J$10,MATCH(B168,'01_Benchmark_Input'!$A$2:$A$10,0))</f>
        <v/>
      </c>
      <c r="V168" s="10">
        <f>'02_Inputs'!K168</f>
        <v/>
      </c>
      <c r="W168" s="12">
        <f>N168*R168+O168*S168+P168*T168+Q168*U168</f>
        <v/>
      </c>
      <c r="X168" s="12">
        <f>W168*V168</f>
        <v/>
      </c>
      <c r="Y168" s="12">
        <f>L168*1000*X168*86400</f>
        <v/>
      </c>
      <c r="Z168" s="12">
        <f>Y168*365</f>
        <v/>
      </c>
    </row>
    <row r="169">
      <c r="A169" s="9">
        <f>'02_Inputs'!A169</f>
        <v/>
      </c>
      <c r="B169" s="9">
        <f>'02_Inputs'!B169</f>
        <v/>
      </c>
      <c r="C169" s="9">
        <f>'02_Inputs'!C169</f>
        <v/>
      </c>
      <c r="D169" s="11">
        <f>'02_Inputs'!D169</f>
        <v/>
      </c>
      <c r="E169" s="10">
        <f>'02_Inputs'!E169</f>
        <v/>
      </c>
      <c r="F169" s="11">
        <f>D169*E169</f>
        <v/>
      </c>
      <c r="G169" s="9">
        <f>'02_Inputs'!F169</f>
        <v/>
      </c>
      <c r="H169" s="11">
        <f>F169/G169</f>
        <v/>
      </c>
      <c r="I169" s="10">
        <f>'02_Inputs'!G169</f>
        <v/>
      </c>
      <c r="J169" s="11">
        <f>H169*I169</f>
        <v/>
      </c>
      <c r="K169" s="10">
        <f>'02_Inputs'!H169</f>
        <v/>
      </c>
      <c r="L169" s="11">
        <f>J169*K169</f>
        <v/>
      </c>
      <c r="M169" s="11">
        <f>J169*(1-K169)</f>
        <v/>
      </c>
      <c r="N169" s="10">
        <f>'02_GPU_Mix_Input'!D169</f>
        <v/>
      </c>
      <c r="O169" s="10">
        <f>'02_GPU_Mix_Input'!E169</f>
        <v/>
      </c>
      <c r="P169" s="10">
        <f>'02_GPU_Mix_Input'!F169</f>
        <v/>
      </c>
      <c r="Q169" s="10">
        <f>'02_GPU_Mix_Input'!G169</f>
        <v/>
      </c>
      <c r="R169" s="12">
        <f>INDEX('01_Benchmark_Input'!$D$2:$D$10,MATCH(B169,'01_Benchmark_Input'!$A$2:$A$10,0))</f>
        <v/>
      </c>
      <c r="S169" s="12">
        <f>INDEX('01_Benchmark_Input'!$F$2:$F$10,MATCH(B169,'01_Benchmark_Input'!$A$2:$A$10,0))</f>
        <v/>
      </c>
      <c r="T169" s="12">
        <f>INDEX('01_Benchmark_Input'!$H$2:$H$10,MATCH(B169,'01_Benchmark_Input'!$A$2:$A$10,0))</f>
        <v/>
      </c>
      <c r="U169" s="12">
        <f>INDEX('01_Benchmark_Input'!$J$2:$J$10,MATCH(B169,'01_Benchmark_Input'!$A$2:$A$10,0))</f>
        <v/>
      </c>
      <c r="V169" s="10">
        <f>'02_Inputs'!K169</f>
        <v/>
      </c>
      <c r="W169" s="12">
        <f>N169*R169+O169*S169+P169*T169+Q169*U169</f>
        <v/>
      </c>
      <c r="X169" s="12">
        <f>W169*V169</f>
        <v/>
      </c>
      <c r="Y169" s="12">
        <f>L169*1000*X169*86400</f>
        <v/>
      </c>
      <c r="Z169" s="12">
        <f>Y169*365</f>
        <v/>
      </c>
    </row>
    <row r="170">
      <c r="A170" s="9">
        <f>'02_Inputs'!A170</f>
        <v/>
      </c>
      <c r="B170" s="9">
        <f>'02_Inputs'!B170</f>
        <v/>
      </c>
      <c r="C170" s="9">
        <f>'02_Inputs'!C170</f>
        <v/>
      </c>
      <c r="D170" s="11">
        <f>'02_Inputs'!D170</f>
        <v/>
      </c>
      <c r="E170" s="10">
        <f>'02_Inputs'!E170</f>
        <v/>
      </c>
      <c r="F170" s="11">
        <f>D170*E170</f>
        <v/>
      </c>
      <c r="G170" s="9">
        <f>'02_Inputs'!F170</f>
        <v/>
      </c>
      <c r="H170" s="11">
        <f>F170/G170</f>
        <v/>
      </c>
      <c r="I170" s="10">
        <f>'02_Inputs'!G170</f>
        <v/>
      </c>
      <c r="J170" s="11">
        <f>H170*I170</f>
        <v/>
      </c>
      <c r="K170" s="10">
        <f>'02_Inputs'!H170</f>
        <v/>
      </c>
      <c r="L170" s="11">
        <f>J170*K170</f>
        <v/>
      </c>
      <c r="M170" s="11">
        <f>J170*(1-K170)</f>
        <v/>
      </c>
      <c r="N170" s="10">
        <f>'02_GPU_Mix_Input'!D170</f>
        <v/>
      </c>
      <c r="O170" s="10">
        <f>'02_GPU_Mix_Input'!E170</f>
        <v/>
      </c>
      <c r="P170" s="10">
        <f>'02_GPU_Mix_Input'!F170</f>
        <v/>
      </c>
      <c r="Q170" s="10">
        <f>'02_GPU_Mix_Input'!G170</f>
        <v/>
      </c>
      <c r="R170" s="12">
        <f>INDEX('01_Benchmark_Input'!$D$2:$D$10,MATCH(B170,'01_Benchmark_Input'!$A$2:$A$10,0))</f>
        <v/>
      </c>
      <c r="S170" s="12">
        <f>INDEX('01_Benchmark_Input'!$F$2:$F$10,MATCH(B170,'01_Benchmark_Input'!$A$2:$A$10,0))</f>
        <v/>
      </c>
      <c r="T170" s="12">
        <f>INDEX('01_Benchmark_Input'!$H$2:$H$10,MATCH(B170,'01_Benchmark_Input'!$A$2:$A$10,0))</f>
        <v/>
      </c>
      <c r="U170" s="12">
        <f>INDEX('01_Benchmark_Input'!$J$2:$J$10,MATCH(B170,'01_Benchmark_Input'!$A$2:$A$10,0))</f>
        <v/>
      </c>
      <c r="V170" s="10">
        <f>'02_Inputs'!K170</f>
        <v/>
      </c>
      <c r="W170" s="12">
        <f>N170*R170+O170*S170+P170*T170+Q170*U170</f>
        <v/>
      </c>
      <c r="X170" s="12">
        <f>W170*V170</f>
        <v/>
      </c>
      <c r="Y170" s="12">
        <f>L170*1000*X170*86400</f>
        <v/>
      </c>
      <c r="Z170" s="12">
        <f>Y170*365</f>
        <v/>
      </c>
    </row>
    <row r="171">
      <c r="A171" s="9">
        <f>'02_Inputs'!A171</f>
        <v/>
      </c>
      <c r="B171" s="9">
        <f>'02_Inputs'!B171</f>
        <v/>
      </c>
      <c r="C171" s="9">
        <f>'02_Inputs'!C171</f>
        <v/>
      </c>
      <c r="D171" s="11">
        <f>'02_Inputs'!D171</f>
        <v/>
      </c>
      <c r="E171" s="10">
        <f>'02_Inputs'!E171</f>
        <v/>
      </c>
      <c r="F171" s="11">
        <f>D171*E171</f>
        <v/>
      </c>
      <c r="G171" s="9">
        <f>'02_Inputs'!F171</f>
        <v/>
      </c>
      <c r="H171" s="11">
        <f>F171/G171</f>
        <v/>
      </c>
      <c r="I171" s="10">
        <f>'02_Inputs'!G171</f>
        <v/>
      </c>
      <c r="J171" s="11">
        <f>H171*I171</f>
        <v/>
      </c>
      <c r="K171" s="10">
        <f>'02_Inputs'!H171</f>
        <v/>
      </c>
      <c r="L171" s="11">
        <f>J171*K171</f>
        <v/>
      </c>
      <c r="M171" s="11">
        <f>J171*(1-K171)</f>
        <v/>
      </c>
      <c r="N171" s="10">
        <f>'02_GPU_Mix_Input'!D171</f>
        <v/>
      </c>
      <c r="O171" s="10">
        <f>'02_GPU_Mix_Input'!E171</f>
        <v/>
      </c>
      <c r="P171" s="10">
        <f>'02_GPU_Mix_Input'!F171</f>
        <v/>
      </c>
      <c r="Q171" s="10">
        <f>'02_GPU_Mix_Input'!G171</f>
        <v/>
      </c>
      <c r="R171" s="12">
        <f>INDEX('01_Benchmark_Input'!$D$2:$D$10,MATCH(B171,'01_Benchmark_Input'!$A$2:$A$10,0))</f>
        <v/>
      </c>
      <c r="S171" s="12">
        <f>INDEX('01_Benchmark_Input'!$F$2:$F$10,MATCH(B171,'01_Benchmark_Input'!$A$2:$A$10,0))</f>
        <v/>
      </c>
      <c r="T171" s="12">
        <f>INDEX('01_Benchmark_Input'!$H$2:$H$10,MATCH(B171,'01_Benchmark_Input'!$A$2:$A$10,0))</f>
        <v/>
      </c>
      <c r="U171" s="12">
        <f>INDEX('01_Benchmark_Input'!$J$2:$J$10,MATCH(B171,'01_Benchmark_Input'!$A$2:$A$10,0))</f>
        <v/>
      </c>
      <c r="V171" s="10">
        <f>'02_Inputs'!K171</f>
        <v/>
      </c>
      <c r="W171" s="12">
        <f>N171*R171+O171*S171+P171*T171+Q171*U171</f>
        <v/>
      </c>
      <c r="X171" s="12">
        <f>W171*V171</f>
        <v/>
      </c>
      <c r="Y171" s="12">
        <f>L171*1000*X171*86400</f>
        <v/>
      </c>
      <c r="Z171" s="12">
        <f>Y171*365</f>
        <v/>
      </c>
    </row>
    <row r="172">
      <c r="A172" s="9">
        <f>'02_Inputs'!A172</f>
        <v/>
      </c>
      <c r="B172" s="9">
        <f>'02_Inputs'!B172</f>
        <v/>
      </c>
      <c r="C172" s="9">
        <f>'02_Inputs'!C172</f>
        <v/>
      </c>
      <c r="D172" s="11">
        <f>'02_Inputs'!D172</f>
        <v/>
      </c>
      <c r="E172" s="10">
        <f>'02_Inputs'!E172</f>
        <v/>
      </c>
      <c r="F172" s="11">
        <f>D172*E172</f>
        <v/>
      </c>
      <c r="G172" s="9">
        <f>'02_Inputs'!F172</f>
        <v/>
      </c>
      <c r="H172" s="11">
        <f>F172/G172</f>
        <v/>
      </c>
      <c r="I172" s="10">
        <f>'02_Inputs'!G172</f>
        <v/>
      </c>
      <c r="J172" s="11">
        <f>H172*I172</f>
        <v/>
      </c>
      <c r="K172" s="10">
        <f>'02_Inputs'!H172</f>
        <v/>
      </c>
      <c r="L172" s="11">
        <f>J172*K172</f>
        <v/>
      </c>
      <c r="M172" s="11">
        <f>J172*(1-K172)</f>
        <v/>
      </c>
      <c r="N172" s="10">
        <f>'02_GPU_Mix_Input'!D172</f>
        <v/>
      </c>
      <c r="O172" s="10">
        <f>'02_GPU_Mix_Input'!E172</f>
        <v/>
      </c>
      <c r="P172" s="10">
        <f>'02_GPU_Mix_Input'!F172</f>
        <v/>
      </c>
      <c r="Q172" s="10">
        <f>'02_GPU_Mix_Input'!G172</f>
        <v/>
      </c>
      <c r="R172" s="12">
        <f>INDEX('01_Benchmark_Input'!$D$2:$D$10,MATCH(B172,'01_Benchmark_Input'!$A$2:$A$10,0))</f>
        <v/>
      </c>
      <c r="S172" s="12">
        <f>INDEX('01_Benchmark_Input'!$F$2:$F$10,MATCH(B172,'01_Benchmark_Input'!$A$2:$A$10,0))</f>
        <v/>
      </c>
      <c r="T172" s="12">
        <f>INDEX('01_Benchmark_Input'!$H$2:$H$10,MATCH(B172,'01_Benchmark_Input'!$A$2:$A$10,0))</f>
        <v/>
      </c>
      <c r="U172" s="12">
        <f>INDEX('01_Benchmark_Input'!$J$2:$J$10,MATCH(B172,'01_Benchmark_Input'!$A$2:$A$10,0))</f>
        <v/>
      </c>
      <c r="V172" s="10">
        <f>'02_Inputs'!K172</f>
        <v/>
      </c>
      <c r="W172" s="12">
        <f>N172*R172+O172*S172+P172*T172+Q172*U172</f>
        <v/>
      </c>
      <c r="X172" s="12">
        <f>W172*V172</f>
        <v/>
      </c>
      <c r="Y172" s="12">
        <f>L172*1000*X172*86400</f>
        <v/>
      </c>
      <c r="Z172" s="12">
        <f>Y172*365</f>
        <v/>
      </c>
    </row>
    <row r="173">
      <c r="A173" s="9">
        <f>'02_Inputs'!A173</f>
        <v/>
      </c>
      <c r="B173" s="9">
        <f>'02_Inputs'!B173</f>
        <v/>
      </c>
      <c r="C173" s="9">
        <f>'02_Inputs'!C173</f>
        <v/>
      </c>
      <c r="D173" s="11">
        <f>'02_Inputs'!D173</f>
        <v/>
      </c>
      <c r="E173" s="10">
        <f>'02_Inputs'!E173</f>
        <v/>
      </c>
      <c r="F173" s="11">
        <f>D173*E173</f>
        <v/>
      </c>
      <c r="G173" s="9">
        <f>'02_Inputs'!F173</f>
        <v/>
      </c>
      <c r="H173" s="11">
        <f>F173/G173</f>
        <v/>
      </c>
      <c r="I173" s="10">
        <f>'02_Inputs'!G173</f>
        <v/>
      </c>
      <c r="J173" s="11">
        <f>H173*I173</f>
        <v/>
      </c>
      <c r="K173" s="10">
        <f>'02_Inputs'!H173</f>
        <v/>
      </c>
      <c r="L173" s="11">
        <f>J173*K173</f>
        <v/>
      </c>
      <c r="M173" s="11">
        <f>J173*(1-K173)</f>
        <v/>
      </c>
      <c r="N173" s="10">
        <f>'02_GPU_Mix_Input'!D173</f>
        <v/>
      </c>
      <c r="O173" s="10">
        <f>'02_GPU_Mix_Input'!E173</f>
        <v/>
      </c>
      <c r="P173" s="10">
        <f>'02_GPU_Mix_Input'!F173</f>
        <v/>
      </c>
      <c r="Q173" s="10">
        <f>'02_GPU_Mix_Input'!G173</f>
        <v/>
      </c>
      <c r="R173" s="12">
        <f>INDEX('01_Benchmark_Input'!$D$2:$D$10,MATCH(B173,'01_Benchmark_Input'!$A$2:$A$10,0))</f>
        <v/>
      </c>
      <c r="S173" s="12">
        <f>INDEX('01_Benchmark_Input'!$F$2:$F$10,MATCH(B173,'01_Benchmark_Input'!$A$2:$A$10,0))</f>
        <v/>
      </c>
      <c r="T173" s="12">
        <f>INDEX('01_Benchmark_Input'!$H$2:$H$10,MATCH(B173,'01_Benchmark_Input'!$A$2:$A$10,0))</f>
        <v/>
      </c>
      <c r="U173" s="12">
        <f>INDEX('01_Benchmark_Input'!$J$2:$J$10,MATCH(B173,'01_Benchmark_Input'!$A$2:$A$10,0))</f>
        <v/>
      </c>
      <c r="V173" s="10">
        <f>'02_Inputs'!K173</f>
        <v/>
      </c>
      <c r="W173" s="12">
        <f>N173*R173+O173*S173+P173*T173+Q173*U173</f>
        <v/>
      </c>
      <c r="X173" s="12">
        <f>W173*V173</f>
        <v/>
      </c>
      <c r="Y173" s="12">
        <f>L173*1000*X173*86400</f>
        <v/>
      </c>
      <c r="Z173" s="12">
        <f>Y173*365</f>
        <v/>
      </c>
    </row>
    <row r="174">
      <c r="A174" s="9">
        <f>'02_Inputs'!A174</f>
        <v/>
      </c>
      <c r="B174" s="9">
        <f>'02_Inputs'!B174</f>
        <v/>
      </c>
      <c r="C174" s="9">
        <f>'02_Inputs'!C174</f>
        <v/>
      </c>
      <c r="D174" s="11">
        <f>'02_Inputs'!D174</f>
        <v/>
      </c>
      <c r="E174" s="10">
        <f>'02_Inputs'!E174</f>
        <v/>
      </c>
      <c r="F174" s="11">
        <f>D174*E174</f>
        <v/>
      </c>
      <c r="G174" s="9">
        <f>'02_Inputs'!F174</f>
        <v/>
      </c>
      <c r="H174" s="11">
        <f>F174/G174</f>
        <v/>
      </c>
      <c r="I174" s="10">
        <f>'02_Inputs'!G174</f>
        <v/>
      </c>
      <c r="J174" s="11">
        <f>H174*I174</f>
        <v/>
      </c>
      <c r="K174" s="10">
        <f>'02_Inputs'!H174</f>
        <v/>
      </c>
      <c r="L174" s="11">
        <f>J174*K174</f>
        <v/>
      </c>
      <c r="M174" s="11">
        <f>J174*(1-K174)</f>
        <v/>
      </c>
      <c r="N174" s="10">
        <f>'02_GPU_Mix_Input'!D174</f>
        <v/>
      </c>
      <c r="O174" s="10">
        <f>'02_GPU_Mix_Input'!E174</f>
        <v/>
      </c>
      <c r="P174" s="10">
        <f>'02_GPU_Mix_Input'!F174</f>
        <v/>
      </c>
      <c r="Q174" s="10">
        <f>'02_GPU_Mix_Input'!G174</f>
        <v/>
      </c>
      <c r="R174" s="12">
        <f>INDEX('01_Benchmark_Input'!$D$2:$D$10,MATCH(B174,'01_Benchmark_Input'!$A$2:$A$10,0))</f>
        <v/>
      </c>
      <c r="S174" s="12">
        <f>INDEX('01_Benchmark_Input'!$F$2:$F$10,MATCH(B174,'01_Benchmark_Input'!$A$2:$A$10,0))</f>
        <v/>
      </c>
      <c r="T174" s="12">
        <f>INDEX('01_Benchmark_Input'!$H$2:$H$10,MATCH(B174,'01_Benchmark_Input'!$A$2:$A$10,0))</f>
        <v/>
      </c>
      <c r="U174" s="12">
        <f>INDEX('01_Benchmark_Input'!$J$2:$J$10,MATCH(B174,'01_Benchmark_Input'!$A$2:$A$10,0))</f>
        <v/>
      </c>
      <c r="V174" s="10">
        <f>'02_Inputs'!K174</f>
        <v/>
      </c>
      <c r="W174" s="12">
        <f>N174*R174+O174*S174+P174*T174+Q174*U174</f>
        <v/>
      </c>
      <c r="X174" s="12">
        <f>W174*V174</f>
        <v/>
      </c>
      <c r="Y174" s="12">
        <f>L174*1000*X174*86400</f>
        <v/>
      </c>
      <c r="Z174" s="12">
        <f>Y174*365</f>
        <v/>
      </c>
    </row>
    <row r="175">
      <c r="A175" s="9">
        <f>'02_Inputs'!A175</f>
        <v/>
      </c>
      <c r="B175" s="9">
        <f>'02_Inputs'!B175</f>
        <v/>
      </c>
      <c r="C175" s="9">
        <f>'02_Inputs'!C175</f>
        <v/>
      </c>
      <c r="D175" s="11">
        <f>'02_Inputs'!D175</f>
        <v/>
      </c>
      <c r="E175" s="10">
        <f>'02_Inputs'!E175</f>
        <v/>
      </c>
      <c r="F175" s="11">
        <f>D175*E175</f>
        <v/>
      </c>
      <c r="G175" s="9">
        <f>'02_Inputs'!F175</f>
        <v/>
      </c>
      <c r="H175" s="11">
        <f>F175/G175</f>
        <v/>
      </c>
      <c r="I175" s="10">
        <f>'02_Inputs'!G175</f>
        <v/>
      </c>
      <c r="J175" s="11">
        <f>H175*I175</f>
        <v/>
      </c>
      <c r="K175" s="10">
        <f>'02_Inputs'!H175</f>
        <v/>
      </c>
      <c r="L175" s="11">
        <f>J175*K175</f>
        <v/>
      </c>
      <c r="M175" s="11">
        <f>J175*(1-K175)</f>
        <v/>
      </c>
      <c r="N175" s="10">
        <f>'02_GPU_Mix_Input'!D175</f>
        <v/>
      </c>
      <c r="O175" s="10">
        <f>'02_GPU_Mix_Input'!E175</f>
        <v/>
      </c>
      <c r="P175" s="10">
        <f>'02_GPU_Mix_Input'!F175</f>
        <v/>
      </c>
      <c r="Q175" s="10">
        <f>'02_GPU_Mix_Input'!G175</f>
        <v/>
      </c>
      <c r="R175" s="12">
        <f>INDEX('01_Benchmark_Input'!$D$2:$D$10,MATCH(B175,'01_Benchmark_Input'!$A$2:$A$10,0))</f>
        <v/>
      </c>
      <c r="S175" s="12">
        <f>INDEX('01_Benchmark_Input'!$F$2:$F$10,MATCH(B175,'01_Benchmark_Input'!$A$2:$A$10,0))</f>
        <v/>
      </c>
      <c r="T175" s="12">
        <f>INDEX('01_Benchmark_Input'!$H$2:$H$10,MATCH(B175,'01_Benchmark_Input'!$A$2:$A$10,0))</f>
        <v/>
      </c>
      <c r="U175" s="12">
        <f>INDEX('01_Benchmark_Input'!$J$2:$J$10,MATCH(B175,'01_Benchmark_Input'!$A$2:$A$10,0))</f>
        <v/>
      </c>
      <c r="V175" s="10">
        <f>'02_Inputs'!K175</f>
        <v/>
      </c>
      <c r="W175" s="12">
        <f>N175*R175+O175*S175+P175*T175+Q175*U175</f>
        <v/>
      </c>
      <c r="X175" s="12">
        <f>W175*V175</f>
        <v/>
      </c>
      <c r="Y175" s="12">
        <f>L175*1000*X175*86400</f>
        <v/>
      </c>
      <c r="Z175" s="12">
        <f>Y175*365</f>
        <v/>
      </c>
    </row>
    <row r="176">
      <c r="A176" s="9">
        <f>'02_Inputs'!A176</f>
        <v/>
      </c>
      <c r="B176" s="9">
        <f>'02_Inputs'!B176</f>
        <v/>
      </c>
      <c r="C176" s="9">
        <f>'02_Inputs'!C176</f>
        <v/>
      </c>
      <c r="D176" s="11">
        <f>'02_Inputs'!D176</f>
        <v/>
      </c>
      <c r="E176" s="10">
        <f>'02_Inputs'!E176</f>
        <v/>
      </c>
      <c r="F176" s="11">
        <f>D176*E176</f>
        <v/>
      </c>
      <c r="G176" s="9">
        <f>'02_Inputs'!F176</f>
        <v/>
      </c>
      <c r="H176" s="11">
        <f>F176/G176</f>
        <v/>
      </c>
      <c r="I176" s="10">
        <f>'02_Inputs'!G176</f>
        <v/>
      </c>
      <c r="J176" s="11">
        <f>H176*I176</f>
        <v/>
      </c>
      <c r="K176" s="10">
        <f>'02_Inputs'!H176</f>
        <v/>
      </c>
      <c r="L176" s="11">
        <f>J176*K176</f>
        <v/>
      </c>
      <c r="M176" s="11">
        <f>J176*(1-K176)</f>
        <v/>
      </c>
      <c r="N176" s="10">
        <f>'02_GPU_Mix_Input'!D176</f>
        <v/>
      </c>
      <c r="O176" s="10">
        <f>'02_GPU_Mix_Input'!E176</f>
        <v/>
      </c>
      <c r="P176" s="10">
        <f>'02_GPU_Mix_Input'!F176</f>
        <v/>
      </c>
      <c r="Q176" s="10">
        <f>'02_GPU_Mix_Input'!G176</f>
        <v/>
      </c>
      <c r="R176" s="12">
        <f>INDEX('01_Benchmark_Input'!$D$2:$D$10,MATCH(B176,'01_Benchmark_Input'!$A$2:$A$10,0))</f>
        <v/>
      </c>
      <c r="S176" s="12">
        <f>INDEX('01_Benchmark_Input'!$F$2:$F$10,MATCH(B176,'01_Benchmark_Input'!$A$2:$A$10,0))</f>
        <v/>
      </c>
      <c r="T176" s="12">
        <f>INDEX('01_Benchmark_Input'!$H$2:$H$10,MATCH(B176,'01_Benchmark_Input'!$A$2:$A$10,0))</f>
        <v/>
      </c>
      <c r="U176" s="12">
        <f>INDEX('01_Benchmark_Input'!$J$2:$J$10,MATCH(B176,'01_Benchmark_Input'!$A$2:$A$10,0))</f>
        <v/>
      </c>
      <c r="V176" s="10">
        <f>'02_Inputs'!K176</f>
        <v/>
      </c>
      <c r="W176" s="12">
        <f>N176*R176+O176*S176+P176*T176+Q176*U176</f>
        <v/>
      </c>
      <c r="X176" s="12">
        <f>W176*V176</f>
        <v/>
      </c>
      <c r="Y176" s="12">
        <f>L176*1000*X176*86400</f>
        <v/>
      </c>
      <c r="Z176" s="12">
        <f>Y176*365</f>
        <v/>
      </c>
    </row>
    <row r="177">
      <c r="A177" s="9">
        <f>'02_Inputs'!A177</f>
        <v/>
      </c>
      <c r="B177" s="9">
        <f>'02_Inputs'!B177</f>
        <v/>
      </c>
      <c r="C177" s="9">
        <f>'02_Inputs'!C177</f>
        <v/>
      </c>
      <c r="D177" s="11">
        <f>'02_Inputs'!D177</f>
        <v/>
      </c>
      <c r="E177" s="10">
        <f>'02_Inputs'!E177</f>
        <v/>
      </c>
      <c r="F177" s="11">
        <f>D177*E177</f>
        <v/>
      </c>
      <c r="G177" s="9">
        <f>'02_Inputs'!F177</f>
        <v/>
      </c>
      <c r="H177" s="11">
        <f>F177/G177</f>
        <v/>
      </c>
      <c r="I177" s="10">
        <f>'02_Inputs'!G177</f>
        <v/>
      </c>
      <c r="J177" s="11">
        <f>H177*I177</f>
        <v/>
      </c>
      <c r="K177" s="10">
        <f>'02_Inputs'!H177</f>
        <v/>
      </c>
      <c r="L177" s="11">
        <f>J177*K177</f>
        <v/>
      </c>
      <c r="M177" s="11">
        <f>J177*(1-K177)</f>
        <v/>
      </c>
      <c r="N177" s="10">
        <f>'02_GPU_Mix_Input'!D177</f>
        <v/>
      </c>
      <c r="O177" s="10">
        <f>'02_GPU_Mix_Input'!E177</f>
        <v/>
      </c>
      <c r="P177" s="10">
        <f>'02_GPU_Mix_Input'!F177</f>
        <v/>
      </c>
      <c r="Q177" s="10">
        <f>'02_GPU_Mix_Input'!G177</f>
        <v/>
      </c>
      <c r="R177" s="12">
        <f>INDEX('01_Benchmark_Input'!$D$2:$D$10,MATCH(B177,'01_Benchmark_Input'!$A$2:$A$10,0))</f>
        <v/>
      </c>
      <c r="S177" s="12">
        <f>INDEX('01_Benchmark_Input'!$F$2:$F$10,MATCH(B177,'01_Benchmark_Input'!$A$2:$A$10,0))</f>
        <v/>
      </c>
      <c r="T177" s="12">
        <f>INDEX('01_Benchmark_Input'!$H$2:$H$10,MATCH(B177,'01_Benchmark_Input'!$A$2:$A$10,0))</f>
        <v/>
      </c>
      <c r="U177" s="12">
        <f>INDEX('01_Benchmark_Input'!$J$2:$J$10,MATCH(B177,'01_Benchmark_Input'!$A$2:$A$10,0))</f>
        <v/>
      </c>
      <c r="V177" s="10">
        <f>'02_Inputs'!K177</f>
        <v/>
      </c>
      <c r="W177" s="12">
        <f>N177*R177+O177*S177+P177*T177+Q177*U177</f>
        <v/>
      </c>
      <c r="X177" s="12">
        <f>W177*V177</f>
        <v/>
      </c>
      <c r="Y177" s="12">
        <f>L177*1000*X177*86400</f>
        <v/>
      </c>
      <c r="Z177" s="12">
        <f>Y177*365</f>
        <v/>
      </c>
    </row>
    <row r="178">
      <c r="A178" s="9">
        <f>'02_Inputs'!A178</f>
        <v/>
      </c>
      <c r="B178" s="9">
        <f>'02_Inputs'!B178</f>
        <v/>
      </c>
      <c r="C178" s="9">
        <f>'02_Inputs'!C178</f>
        <v/>
      </c>
      <c r="D178" s="11">
        <f>'02_Inputs'!D178</f>
        <v/>
      </c>
      <c r="E178" s="10">
        <f>'02_Inputs'!E178</f>
        <v/>
      </c>
      <c r="F178" s="11">
        <f>D178*E178</f>
        <v/>
      </c>
      <c r="G178" s="9">
        <f>'02_Inputs'!F178</f>
        <v/>
      </c>
      <c r="H178" s="11">
        <f>F178/G178</f>
        <v/>
      </c>
      <c r="I178" s="10">
        <f>'02_Inputs'!G178</f>
        <v/>
      </c>
      <c r="J178" s="11">
        <f>H178*I178</f>
        <v/>
      </c>
      <c r="K178" s="10">
        <f>'02_Inputs'!H178</f>
        <v/>
      </c>
      <c r="L178" s="11">
        <f>J178*K178</f>
        <v/>
      </c>
      <c r="M178" s="11">
        <f>J178*(1-K178)</f>
        <v/>
      </c>
      <c r="N178" s="10">
        <f>'02_GPU_Mix_Input'!D178</f>
        <v/>
      </c>
      <c r="O178" s="10">
        <f>'02_GPU_Mix_Input'!E178</f>
        <v/>
      </c>
      <c r="P178" s="10">
        <f>'02_GPU_Mix_Input'!F178</f>
        <v/>
      </c>
      <c r="Q178" s="10">
        <f>'02_GPU_Mix_Input'!G178</f>
        <v/>
      </c>
      <c r="R178" s="12">
        <f>INDEX('01_Benchmark_Input'!$D$2:$D$10,MATCH(B178,'01_Benchmark_Input'!$A$2:$A$10,0))</f>
        <v/>
      </c>
      <c r="S178" s="12">
        <f>INDEX('01_Benchmark_Input'!$F$2:$F$10,MATCH(B178,'01_Benchmark_Input'!$A$2:$A$10,0))</f>
        <v/>
      </c>
      <c r="T178" s="12">
        <f>INDEX('01_Benchmark_Input'!$H$2:$H$10,MATCH(B178,'01_Benchmark_Input'!$A$2:$A$10,0))</f>
        <v/>
      </c>
      <c r="U178" s="12">
        <f>INDEX('01_Benchmark_Input'!$J$2:$J$10,MATCH(B178,'01_Benchmark_Input'!$A$2:$A$10,0))</f>
        <v/>
      </c>
      <c r="V178" s="10">
        <f>'02_Inputs'!K178</f>
        <v/>
      </c>
      <c r="W178" s="12">
        <f>N178*R178+O178*S178+P178*T178+Q178*U178</f>
        <v/>
      </c>
      <c r="X178" s="12">
        <f>W178*V178</f>
        <v/>
      </c>
      <c r="Y178" s="12">
        <f>L178*1000*X178*86400</f>
        <v/>
      </c>
      <c r="Z178" s="12">
        <f>Y178*365</f>
        <v/>
      </c>
    </row>
    <row r="179">
      <c r="A179" s="9">
        <f>'02_Inputs'!A179</f>
        <v/>
      </c>
      <c r="B179" s="9">
        <f>'02_Inputs'!B179</f>
        <v/>
      </c>
      <c r="C179" s="9">
        <f>'02_Inputs'!C179</f>
        <v/>
      </c>
      <c r="D179" s="11">
        <f>'02_Inputs'!D179</f>
        <v/>
      </c>
      <c r="E179" s="10">
        <f>'02_Inputs'!E179</f>
        <v/>
      </c>
      <c r="F179" s="11">
        <f>D179*E179</f>
        <v/>
      </c>
      <c r="G179" s="9">
        <f>'02_Inputs'!F179</f>
        <v/>
      </c>
      <c r="H179" s="11">
        <f>F179/G179</f>
        <v/>
      </c>
      <c r="I179" s="10">
        <f>'02_Inputs'!G179</f>
        <v/>
      </c>
      <c r="J179" s="11">
        <f>H179*I179</f>
        <v/>
      </c>
      <c r="K179" s="10">
        <f>'02_Inputs'!H179</f>
        <v/>
      </c>
      <c r="L179" s="11">
        <f>J179*K179</f>
        <v/>
      </c>
      <c r="M179" s="11">
        <f>J179*(1-K179)</f>
        <v/>
      </c>
      <c r="N179" s="10">
        <f>'02_GPU_Mix_Input'!D179</f>
        <v/>
      </c>
      <c r="O179" s="10">
        <f>'02_GPU_Mix_Input'!E179</f>
        <v/>
      </c>
      <c r="P179" s="10">
        <f>'02_GPU_Mix_Input'!F179</f>
        <v/>
      </c>
      <c r="Q179" s="10">
        <f>'02_GPU_Mix_Input'!G179</f>
        <v/>
      </c>
      <c r="R179" s="12">
        <f>INDEX('01_Benchmark_Input'!$D$2:$D$10,MATCH(B179,'01_Benchmark_Input'!$A$2:$A$10,0))</f>
        <v/>
      </c>
      <c r="S179" s="12">
        <f>INDEX('01_Benchmark_Input'!$F$2:$F$10,MATCH(B179,'01_Benchmark_Input'!$A$2:$A$10,0))</f>
        <v/>
      </c>
      <c r="T179" s="12">
        <f>INDEX('01_Benchmark_Input'!$H$2:$H$10,MATCH(B179,'01_Benchmark_Input'!$A$2:$A$10,0))</f>
        <v/>
      </c>
      <c r="U179" s="12">
        <f>INDEX('01_Benchmark_Input'!$J$2:$J$10,MATCH(B179,'01_Benchmark_Input'!$A$2:$A$10,0))</f>
        <v/>
      </c>
      <c r="V179" s="10">
        <f>'02_Inputs'!K179</f>
        <v/>
      </c>
      <c r="W179" s="12">
        <f>N179*R179+O179*S179+P179*T179+Q179*U179</f>
        <v/>
      </c>
      <c r="X179" s="12">
        <f>W179*V179</f>
        <v/>
      </c>
      <c r="Y179" s="12">
        <f>L179*1000*X179*86400</f>
        <v/>
      </c>
      <c r="Z179" s="12">
        <f>Y179*365</f>
        <v/>
      </c>
    </row>
    <row r="180">
      <c r="A180" s="9">
        <f>'02_Inputs'!A180</f>
        <v/>
      </c>
      <c r="B180" s="9">
        <f>'02_Inputs'!B180</f>
        <v/>
      </c>
      <c r="C180" s="9">
        <f>'02_Inputs'!C180</f>
        <v/>
      </c>
      <c r="D180" s="11">
        <f>'02_Inputs'!D180</f>
        <v/>
      </c>
      <c r="E180" s="10">
        <f>'02_Inputs'!E180</f>
        <v/>
      </c>
      <c r="F180" s="11">
        <f>D180*E180</f>
        <v/>
      </c>
      <c r="G180" s="9">
        <f>'02_Inputs'!F180</f>
        <v/>
      </c>
      <c r="H180" s="11">
        <f>F180/G180</f>
        <v/>
      </c>
      <c r="I180" s="10">
        <f>'02_Inputs'!G180</f>
        <v/>
      </c>
      <c r="J180" s="11">
        <f>H180*I180</f>
        <v/>
      </c>
      <c r="K180" s="10">
        <f>'02_Inputs'!H180</f>
        <v/>
      </c>
      <c r="L180" s="11">
        <f>J180*K180</f>
        <v/>
      </c>
      <c r="M180" s="11">
        <f>J180*(1-K180)</f>
        <v/>
      </c>
      <c r="N180" s="10">
        <f>'02_GPU_Mix_Input'!D180</f>
        <v/>
      </c>
      <c r="O180" s="10">
        <f>'02_GPU_Mix_Input'!E180</f>
        <v/>
      </c>
      <c r="P180" s="10">
        <f>'02_GPU_Mix_Input'!F180</f>
        <v/>
      </c>
      <c r="Q180" s="10">
        <f>'02_GPU_Mix_Input'!G180</f>
        <v/>
      </c>
      <c r="R180" s="12">
        <f>INDEX('01_Benchmark_Input'!$D$2:$D$10,MATCH(B180,'01_Benchmark_Input'!$A$2:$A$10,0))</f>
        <v/>
      </c>
      <c r="S180" s="12">
        <f>INDEX('01_Benchmark_Input'!$F$2:$F$10,MATCH(B180,'01_Benchmark_Input'!$A$2:$A$10,0))</f>
        <v/>
      </c>
      <c r="T180" s="12">
        <f>INDEX('01_Benchmark_Input'!$H$2:$H$10,MATCH(B180,'01_Benchmark_Input'!$A$2:$A$10,0))</f>
        <v/>
      </c>
      <c r="U180" s="12">
        <f>INDEX('01_Benchmark_Input'!$J$2:$J$10,MATCH(B180,'01_Benchmark_Input'!$A$2:$A$10,0))</f>
        <v/>
      </c>
      <c r="V180" s="10">
        <f>'02_Inputs'!K180</f>
        <v/>
      </c>
      <c r="W180" s="12">
        <f>N180*R180+O180*S180+P180*T180+Q180*U180</f>
        <v/>
      </c>
      <c r="X180" s="12">
        <f>W180*V180</f>
        <v/>
      </c>
      <c r="Y180" s="12">
        <f>L180*1000*X180*86400</f>
        <v/>
      </c>
      <c r="Z180" s="12">
        <f>Y180*365</f>
        <v/>
      </c>
    </row>
    <row r="181">
      <c r="A181" s="9">
        <f>'02_Inputs'!A181</f>
        <v/>
      </c>
      <c r="B181" s="9">
        <f>'02_Inputs'!B181</f>
        <v/>
      </c>
      <c r="C181" s="9">
        <f>'02_Inputs'!C181</f>
        <v/>
      </c>
      <c r="D181" s="11">
        <f>'02_Inputs'!D181</f>
        <v/>
      </c>
      <c r="E181" s="10">
        <f>'02_Inputs'!E181</f>
        <v/>
      </c>
      <c r="F181" s="11">
        <f>D181*E181</f>
        <v/>
      </c>
      <c r="G181" s="9">
        <f>'02_Inputs'!F181</f>
        <v/>
      </c>
      <c r="H181" s="11">
        <f>F181/G181</f>
        <v/>
      </c>
      <c r="I181" s="10">
        <f>'02_Inputs'!G181</f>
        <v/>
      </c>
      <c r="J181" s="11">
        <f>H181*I181</f>
        <v/>
      </c>
      <c r="K181" s="10">
        <f>'02_Inputs'!H181</f>
        <v/>
      </c>
      <c r="L181" s="11">
        <f>J181*K181</f>
        <v/>
      </c>
      <c r="M181" s="11">
        <f>J181*(1-K181)</f>
        <v/>
      </c>
      <c r="N181" s="10">
        <f>'02_GPU_Mix_Input'!D181</f>
        <v/>
      </c>
      <c r="O181" s="10">
        <f>'02_GPU_Mix_Input'!E181</f>
        <v/>
      </c>
      <c r="P181" s="10">
        <f>'02_GPU_Mix_Input'!F181</f>
        <v/>
      </c>
      <c r="Q181" s="10">
        <f>'02_GPU_Mix_Input'!G181</f>
        <v/>
      </c>
      <c r="R181" s="12">
        <f>INDEX('01_Benchmark_Input'!$D$2:$D$10,MATCH(B181,'01_Benchmark_Input'!$A$2:$A$10,0))</f>
        <v/>
      </c>
      <c r="S181" s="12">
        <f>INDEX('01_Benchmark_Input'!$F$2:$F$10,MATCH(B181,'01_Benchmark_Input'!$A$2:$A$10,0))</f>
        <v/>
      </c>
      <c r="T181" s="12">
        <f>INDEX('01_Benchmark_Input'!$H$2:$H$10,MATCH(B181,'01_Benchmark_Input'!$A$2:$A$10,0))</f>
        <v/>
      </c>
      <c r="U181" s="12">
        <f>INDEX('01_Benchmark_Input'!$J$2:$J$10,MATCH(B181,'01_Benchmark_Input'!$A$2:$A$10,0))</f>
        <v/>
      </c>
      <c r="V181" s="10">
        <f>'02_Inputs'!K181</f>
        <v/>
      </c>
      <c r="W181" s="12">
        <f>N181*R181+O181*S181+P181*T181+Q181*U181</f>
        <v/>
      </c>
      <c r="X181" s="12">
        <f>W181*V181</f>
        <v/>
      </c>
      <c r="Y181" s="12">
        <f>L181*1000*X181*86400</f>
        <v/>
      </c>
      <c r="Z181" s="12">
        <f>Y181*365</f>
        <v/>
      </c>
    </row>
  </sheetData>
  <autoFilter ref="A1:Z1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4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</cols>
  <sheetData>
    <row r="1">
      <c r="A1" s="1" t="inlineStr">
        <is>
          <t>Base Scenario: Generated Output Token Capacity, 2026-2030</t>
        </is>
      </c>
    </row>
    <row r="2" ht="34" customHeight="1">
      <c r="A2" s="3" t="inlineStr">
        <is>
          <t>업체별 output은 Base scenario 기준이며, 모든 수치는 `03_Calculation`의 generated output token formula를 직접 참조합니다. 단위는 Quadrillion (Q) tokens입니다.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13" t="inlineStr">
        <is>
          <t>Base Provider Time Series - Generated Output Tokens/Day (Q)</t>
        </is>
      </c>
      <c r="B4" s="3" t="n"/>
      <c r="C4" s="3" t="n"/>
      <c r="D4" s="3" t="n"/>
      <c r="E4" s="3" t="n"/>
      <c r="F4" s="3" t="n"/>
    </row>
    <row r="5">
      <c r="A5" s="14" t="inlineStr">
        <is>
          <t>Provider</t>
        </is>
      </c>
      <c r="B5" s="14" t="n">
        <v>2026</v>
      </c>
      <c r="C5" s="14" t="n">
        <v>2027</v>
      </c>
      <c r="D5" s="14" t="n">
        <v>2028</v>
      </c>
      <c r="E5" s="14" t="n">
        <v>2029</v>
      </c>
      <c r="F5" s="14" t="n">
        <v>2030</v>
      </c>
    </row>
    <row r="6">
      <c r="A6" s="3" t="inlineStr">
        <is>
          <t>Microsoft</t>
        </is>
      </c>
      <c r="B6" s="11">
        <f>SUMIFS('03_Calculation'!$Y$2:$Y$181,'03_Calculation'!$A$2:$A$181,"Base",'03_Calculation'!$B$2:$B$181,$A6,'03_Calculation'!$C$2:$C$181,B$5)/1000000000000000</f>
        <v/>
      </c>
      <c r="C6" s="11">
        <f>SUMIFS('03_Calculation'!$Y$2:$Y$181,'03_Calculation'!$A$2:$A$181,"Base",'03_Calculation'!$B$2:$B$181,$A6,'03_Calculation'!$C$2:$C$181,C$5)/1000000000000000</f>
        <v/>
      </c>
      <c r="D6" s="11">
        <f>SUMIFS('03_Calculation'!$Y$2:$Y$181,'03_Calculation'!$A$2:$A$181,"Base",'03_Calculation'!$B$2:$B$181,$A6,'03_Calculation'!$C$2:$C$181,D$5)/1000000000000000</f>
        <v/>
      </c>
      <c r="E6" s="11">
        <f>SUMIFS('03_Calculation'!$Y$2:$Y$181,'03_Calculation'!$A$2:$A$181,"Base",'03_Calculation'!$B$2:$B$181,$A6,'03_Calculation'!$C$2:$C$181,E$5)/1000000000000000</f>
        <v/>
      </c>
      <c r="F6" s="11">
        <f>SUMIFS('03_Calculation'!$Y$2:$Y$181,'03_Calculation'!$A$2:$A$181,"Base",'03_Calculation'!$B$2:$B$181,$A6,'03_Calculation'!$C$2:$C$181,F$5)/1000000000000000</f>
        <v/>
      </c>
    </row>
    <row r="7">
      <c r="A7" s="3" t="inlineStr">
        <is>
          <t>Google</t>
        </is>
      </c>
      <c r="B7" s="11">
        <f>SUMIFS('03_Calculation'!$Y$2:$Y$181,'03_Calculation'!$A$2:$A$181,"Base",'03_Calculation'!$B$2:$B$181,$A7,'03_Calculation'!$C$2:$C$181,B$5)/1000000000000000</f>
        <v/>
      </c>
      <c r="C7" s="11">
        <f>SUMIFS('03_Calculation'!$Y$2:$Y$181,'03_Calculation'!$A$2:$A$181,"Base",'03_Calculation'!$B$2:$B$181,$A7,'03_Calculation'!$C$2:$C$181,C$5)/1000000000000000</f>
        <v/>
      </c>
      <c r="D7" s="11">
        <f>SUMIFS('03_Calculation'!$Y$2:$Y$181,'03_Calculation'!$A$2:$A$181,"Base",'03_Calculation'!$B$2:$B$181,$A7,'03_Calculation'!$C$2:$C$181,D$5)/1000000000000000</f>
        <v/>
      </c>
      <c r="E7" s="11">
        <f>SUMIFS('03_Calculation'!$Y$2:$Y$181,'03_Calculation'!$A$2:$A$181,"Base",'03_Calculation'!$B$2:$B$181,$A7,'03_Calculation'!$C$2:$C$181,E$5)/1000000000000000</f>
        <v/>
      </c>
      <c r="F7" s="11">
        <f>SUMIFS('03_Calculation'!$Y$2:$Y$181,'03_Calculation'!$A$2:$A$181,"Base",'03_Calculation'!$B$2:$B$181,$A7,'03_Calculation'!$C$2:$C$181,F$5)/1000000000000000</f>
        <v/>
      </c>
    </row>
    <row r="8">
      <c r="A8" s="3" t="inlineStr">
        <is>
          <t>Meta</t>
        </is>
      </c>
      <c r="B8" s="11">
        <f>SUMIFS('03_Calculation'!$Y$2:$Y$181,'03_Calculation'!$A$2:$A$181,"Base",'03_Calculation'!$B$2:$B$181,$A8,'03_Calculation'!$C$2:$C$181,B$5)/1000000000000000</f>
        <v/>
      </c>
      <c r="C8" s="11">
        <f>SUMIFS('03_Calculation'!$Y$2:$Y$181,'03_Calculation'!$A$2:$A$181,"Base",'03_Calculation'!$B$2:$B$181,$A8,'03_Calculation'!$C$2:$C$181,C$5)/1000000000000000</f>
        <v/>
      </c>
      <c r="D8" s="11">
        <f>SUMIFS('03_Calculation'!$Y$2:$Y$181,'03_Calculation'!$A$2:$A$181,"Base",'03_Calculation'!$B$2:$B$181,$A8,'03_Calculation'!$C$2:$C$181,D$5)/1000000000000000</f>
        <v/>
      </c>
      <c r="E8" s="11">
        <f>SUMIFS('03_Calculation'!$Y$2:$Y$181,'03_Calculation'!$A$2:$A$181,"Base",'03_Calculation'!$B$2:$B$181,$A8,'03_Calculation'!$C$2:$C$181,E$5)/1000000000000000</f>
        <v/>
      </c>
      <c r="F8" s="11">
        <f>SUMIFS('03_Calculation'!$Y$2:$Y$181,'03_Calculation'!$A$2:$A$181,"Base",'03_Calculation'!$B$2:$B$181,$A8,'03_Calculation'!$C$2:$C$181,F$5)/1000000000000000</f>
        <v/>
      </c>
    </row>
    <row r="9">
      <c r="A9" s="3" t="inlineStr">
        <is>
          <t>xAI</t>
        </is>
      </c>
      <c r="B9" s="11">
        <f>SUMIFS('03_Calculation'!$Y$2:$Y$181,'03_Calculation'!$A$2:$A$181,"Base",'03_Calculation'!$B$2:$B$181,$A9,'03_Calculation'!$C$2:$C$181,B$5)/1000000000000000</f>
        <v/>
      </c>
      <c r="C9" s="11">
        <f>SUMIFS('03_Calculation'!$Y$2:$Y$181,'03_Calculation'!$A$2:$A$181,"Base",'03_Calculation'!$B$2:$B$181,$A9,'03_Calculation'!$C$2:$C$181,C$5)/1000000000000000</f>
        <v/>
      </c>
      <c r="D9" s="11">
        <f>SUMIFS('03_Calculation'!$Y$2:$Y$181,'03_Calculation'!$A$2:$A$181,"Base",'03_Calculation'!$B$2:$B$181,$A9,'03_Calculation'!$C$2:$C$181,D$5)/1000000000000000</f>
        <v/>
      </c>
      <c r="E9" s="11">
        <f>SUMIFS('03_Calculation'!$Y$2:$Y$181,'03_Calculation'!$A$2:$A$181,"Base",'03_Calculation'!$B$2:$B$181,$A9,'03_Calculation'!$C$2:$C$181,E$5)/1000000000000000</f>
        <v/>
      </c>
      <c r="F9" s="11">
        <f>SUMIFS('03_Calculation'!$Y$2:$Y$181,'03_Calculation'!$A$2:$A$181,"Base",'03_Calculation'!$B$2:$B$181,$A9,'03_Calculation'!$C$2:$C$181,F$5)/1000000000000000</f>
        <v/>
      </c>
    </row>
    <row r="10">
      <c r="A10" s="3" t="inlineStr">
        <is>
          <t>OpenAI</t>
        </is>
      </c>
      <c r="B10" s="11">
        <f>SUMIFS('03_Calculation'!$Y$2:$Y$181,'03_Calculation'!$A$2:$A$181,"Base",'03_Calculation'!$B$2:$B$181,$A10,'03_Calculation'!$C$2:$C$181,B$5)/1000000000000000</f>
        <v/>
      </c>
      <c r="C10" s="11">
        <f>SUMIFS('03_Calculation'!$Y$2:$Y$181,'03_Calculation'!$A$2:$A$181,"Base",'03_Calculation'!$B$2:$B$181,$A10,'03_Calculation'!$C$2:$C$181,C$5)/1000000000000000</f>
        <v/>
      </c>
      <c r="D10" s="11">
        <f>SUMIFS('03_Calculation'!$Y$2:$Y$181,'03_Calculation'!$A$2:$A$181,"Base",'03_Calculation'!$B$2:$B$181,$A10,'03_Calculation'!$C$2:$C$181,D$5)/1000000000000000</f>
        <v/>
      </c>
      <c r="E10" s="11">
        <f>SUMIFS('03_Calculation'!$Y$2:$Y$181,'03_Calculation'!$A$2:$A$181,"Base",'03_Calculation'!$B$2:$B$181,$A10,'03_Calculation'!$C$2:$C$181,E$5)/1000000000000000</f>
        <v/>
      </c>
      <c r="F10" s="11">
        <f>SUMIFS('03_Calculation'!$Y$2:$Y$181,'03_Calculation'!$A$2:$A$181,"Base",'03_Calculation'!$B$2:$B$181,$A10,'03_Calculation'!$C$2:$C$181,F$5)/1000000000000000</f>
        <v/>
      </c>
    </row>
    <row r="11">
      <c r="A11" s="3" t="inlineStr">
        <is>
          <t>Anthropic</t>
        </is>
      </c>
      <c r="B11" s="11">
        <f>SUMIFS('03_Calculation'!$Y$2:$Y$181,'03_Calculation'!$A$2:$A$181,"Base",'03_Calculation'!$B$2:$B$181,$A11,'03_Calculation'!$C$2:$C$181,B$5)/1000000000000000</f>
        <v/>
      </c>
      <c r="C11" s="11">
        <f>SUMIFS('03_Calculation'!$Y$2:$Y$181,'03_Calculation'!$A$2:$A$181,"Base",'03_Calculation'!$B$2:$B$181,$A11,'03_Calculation'!$C$2:$C$181,C$5)/1000000000000000</f>
        <v/>
      </c>
      <c r="D11" s="11">
        <f>SUMIFS('03_Calculation'!$Y$2:$Y$181,'03_Calculation'!$A$2:$A$181,"Base",'03_Calculation'!$B$2:$B$181,$A11,'03_Calculation'!$C$2:$C$181,D$5)/1000000000000000</f>
        <v/>
      </c>
      <c r="E11" s="11">
        <f>SUMIFS('03_Calculation'!$Y$2:$Y$181,'03_Calculation'!$A$2:$A$181,"Base",'03_Calculation'!$B$2:$B$181,$A11,'03_Calculation'!$C$2:$C$181,E$5)/1000000000000000</f>
        <v/>
      </c>
      <c r="F11" s="11">
        <f>SUMIFS('03_Calculation'!$Y$2:$Y$181,'03_Calculation'!$A$2:$A$181,"Base",'03_Calculation'!$B$2:$B$181,$A11,'03_Calculation'!$C$2:$C$181,F$5)/1000000000000000</f>
        <v/>
      </c>
    </row>
    <row r="12">
      <c r="A12" s="3" t="inlineStr">
        <is>
          <t>DeepSeek</t>
        </is>
      </c>
      <c r="B12" s="11">
        <f>SUMIFS('03_Calculation'!$Y$2:$Y$181,'03_Calculation'!$A$2:$A$181,"Base",'03_Calculation'!$B$2:$B$181,$A12,'03_Calculation'!$C$2:$C$181,B$5)/1000000000000000</f>
        <v/>
      </c>
      <c r="C12" s="11">
        <f>SUMIFS('03_Calculation'!$Y$2:$Y$181,'03_Calculation'!$A$2:$A$181,"Base",'03_Calculation'!$B$2:$B$181,$A12,'03_Calculation'!$C$2:$C$181,C$5)/1000000000000000</f>
        <v/>
      </c>
      <c r="D12" s="11">
        <f>SUMIFS('03_Calculation'!$Y$2:$Y$181,'03_Calculation'!$A$2:$A$181,"Base",'03_Calculation'!$B$2:$B$181,$A12,'03_Calculation'!$C$2:$C$181,D$5)/1000000000000000</f>
        <v/>
      </c>
      <c r="E12" s="11">
        <f>SUMIFS('03_Calculation'!$Y$2:$Y$181,'03_Calculation'!$A$2:$A$181,"Base",'03_Calculation'!$B$2:$B$181,$A12,'03_Calculation'!$C$2:$C$181,E$5)/1000000000000000</f>
        <v/>
      </c>
      <c r="F12" s="11">
        <f>SUMIFS('03_Calculation'!$Y$2:$Y$181,'03_Calculation'!$A$2:$A$181,"Base",'03_Calculation'!$B$2:$B$181,$A12,'03_Calculation'!$C$2:$C$181,F$5)/1000000000000000</f>
        <v/>
      </c>
    </row>
    <row r="13">
      <c r="A13" s="3" t="inlineStr">
        <is>
          <t>Alibaba</t>
        </is>
      </c>
      <c r="B13" s="11">
        <f>SUMIFS('03_Calculation'!$Y$2:$Y$181,'03_Calculation'!$A$2:$A$181,"Base",'03_Calculation'!$B$2:$B$181,$A13,'03_Calculation'!$C$2:$C$181,B$5)/1000000000000000</f>
        <v/>
      </c>
      <c r="C13" s="11">
        <f>SUMIFS('03_Calculation'!$Y$2:$Y$181,'03_Calculation'!$A$2:$A$181,"Base",'03_Calculation'!$B$2:$B$181,$A13,'03_Calculation'!$C$2:$C$181,C$5)/1000000000000000</f>
        <v/>
      </c>
      <c r="D13" s="11">
        <f>SUMIFS('03_Calculation'!$Y$2:$Y$181,'03_Calculation'!$A$2:$A$181,"Base",'03_Calculation'!$B$2:$B$181,$A13,'03_Calculation'!$C$2:$C$181,D$5)/1000000000000000</f>
        <v/>
      </c>
      <c r="E13" s="11">
        <f>SUMIFS('03_Calculation'!$Y$2:$Y$181,'03_Calculation'!$A$2:$A$181,"Base",'03_Calculation'!$B$2:$B$181,$A13,'03_Calculation'!$C$2:$C$181,E$5)/1000000000000000</f>
        <v/>
      </c>
      <c r="F13" s="11">
        <f>SUMIFS('03_Calculation'!$Y$2:$Y$181,'03_Calculation'!$A$2:$A$181,"Base",'03_Calculation'!$B$2:$B$181,$A13,'03_Calculation'!$C$2:$C$181,F$5)/1000000000000000</f>
        <v/>
      </c>
    </row>
    <row r="14">
      <c r="A14" s="3" t="inlineStr">
        <is>
          <t>Tencent</t>
        </is>
      </c>
      <c r="B14" s="11">
        <f>SUMIFS('03_Calculation'!$Y$2:$Y$181,'03_Calculation'!$A$2:$A$181,"Base",'03_Calculation'!$B$2:$B$181,$A14,'03_Calculation'!$C$2:$C$181,B$5)/1000000000000000</f>
        <v/>
      </c>
      <c r="C14" s="11">
        <f>SUMIFS('03_Calculation'!$Y$2:$Y$181,'03_Calculation'!$A$2:$A$181,"Base",'03_Calculation'!$B$2:$B$181,$A14,'03_Calculation'!$C$2:$C$181,C$5)/1000000000000000</f>
        <v/>
      </c>
      <c r="D14" s="11">
        <f>SUMIFS('03_Calculation'!$Y$2:$Y$181,'03_Calculation'!$A$2:$A$181,"Base",'03_Calculation'!$B$2:$B$181,$A14,'03_Calculation'!$C$2:$C$181,D$5)/1000000000000000</f>
        <v/>
      </c>
      <c r="E14" s="11">
        <f>SUMIFS('03_Calculation'!$Y$2:$Y$181,'03_Calculation'!$A$2:$A$181,"Base",'03_Calculation'!$B$2:$B$181,$A14,'03_Calculation'!$C$2:$C$181,E$5)/1000000000000000</f>
        <v/>
      </c>
      <c r="F14" s="11">
        <f>SUMIFS('03_Calculation'!$Y$2:$Y$181,'03_Calculation'!$A$2:$A$181,"Base",'03_Calculation'!$B$2:$B$181,$A14,'03_Calculation'!$C$2:$C$181,F$5)/1000000000000000</f>
        <v/>
      </c>
    </row>
    <row r="15">
      <c r="A15" s="15" t="inlineStr">
        <is>
          <t>Total</t>
        </is>
      </c>
      <c r="B15" s="16">
        <f>SUM(B6:B14)</f>
        <v/>
      </c>
      <c r="C15" s="16">
        <f>SUM(C6:C14)</f>
        <v/>
      </c>
      <c r="D15" s="16">
        <f>SUM(D6:D14)</f>
        <v/>
      </c>
      <c r="E15" s="16">
        <f>SUM(E6:E14)</f>
        <v/>
      </c>
      <c r="F15" s="16">
        <f>SUM(F6:F14)</f>
        <v/>
      </c>
    </row>
    <row r="16">
      <c r="A16" s="13" t="n"/>
      <c r="B16" s="3" t="n"/>
      <c r="C16" s="3" t="n"/>
      <c r="D16" s="3" t="n"/>
      <c r="E16" s="3" t="n"/>
      <c r="F16" s="3" t="n"/>
    </row>
    <row r="17">
      <c r="A17" s="3" t="inlineStr">
        <is>
          <t>Base Provider Time Series - Generated Output Tokens/Year (Q)</t>
        </is>
      </c>
      <c r="B17" s="3" t="n"/>
      <c r="C17" s="3" t="n"/>
      <c r="D17" s="3" t="n"/>
      <c r="E17" s="3" t="n"/>
      <c r="F17" s="3" t="n"/>
    </row>
    <row r="18">
      <c r="A18" s="14" t="inlineStr">
        <is>
          <t>Provider</t>
        </is>
      </c>
      <c r="B18" s="14" t="n">
        <v>2026</v>
      </c>
      <c r="C18" s="14" t="n">
        <v>2027</v>
      </c>
      <c r="D18" s="14" t="n">
        <v>2028</v>
      </c>
      <c r="E18" s="14" t="n">
        <v>2029</v>
      </c>
      <c r="F18" s="14" t="n">
        <v>2030</v>
      </c>
    </row>
    <row r="19">
      <c r="A19" s="3" t="inlineStr">
        <is>
          <t>Microsoft</t>
        </is>
      </c>
      <c r="B19" s="11">
        <f>SUMIFS('03_Calculation'!$Z$2:$Z$181,'03_Calculation'!$A$2:$A$181,"Base",'03_Calculation'!$B$2:$B$181,$A19,'03_Calculation'!$C$2:$C$181,B$18)/1000000000000000</f>
        <v/>
      </c>
      <c r="C19" s="11">
        <f>SUMIFS('03_Calculation'!$Z$2:$Z$181,'03_Calculation'!$A$2:$A$181,"Base",'03_Calculation'!$B$2:$B$181,$A19,'03_Calculation'!$C$2:$C$181,C$18)/1000000000000000</f>
        <v/>
      </c>
      <c r="D19" s="11">
        <f>SUMIFS('03_Calculation'!$Z$2:$Z$181,'03_Calculation'!$A$2:$A$181,"Base",'03_Calculation'!$B$2:$B$181,$A19,'03_Calculation'!$C$2:$C$181,D$18)/1000000000000000</f>
        <v/>
      </c>
      <c r="E19" s="11">
        <f>SUMIFS('03_Calculation'!$Z$2:$Z$181,'03_Calculation'!$A$2:$A$181,"Base",'03_Calculation'!$B$2:$B$181,$A19,'03_Calculation'!$C$2:$C$181,E$18)/1000000000000000</f>
        <v/>
      </c>
      <c r="F19" s="11">
        <f>SUMIFS('03_Calculation'!$Z$2:$Z$181,'03_Calculation'!$A$2:$A$181,"Base",'03_Calculation'!$B$2:$B$181,$A19,'03_Calculation'!$C$2:$C$181,F$18)/1000000000000000</f>
        <v/>
      </c>
    </row>
    <row r="20">
      <c r="A20" s="3" t="inlineStr">
        <is>
          <t>Google</t>
        </is>
      </c>
      <c r="B20" s="11">
        <f>SUMIFS('03_Calculation'!$Z$2:$Z$181,'03_Calculation'!$A$2:$A$181,"Base",'03_Calculation'!$B$2:$B$181,$A20,'03_Calculation'!$C$2:$C$181,B$18)/1000000000000000</f>
        <v/>
      </c>
      <c r="C20" s="11">
        <f>SUMIFS('03_Calculation'!$Z$2:$Z$181,'03_Calculation'!$A$2:$A$181,"Base",'03_Calculation'!$B$2:$B$181,$A20,'03_Calculation'!$C$2:$C$181,C$18)/1000000000000000</f>
        <v/>
      </c>
      <c r="D20" s="11">
        <f>SUMIFS('03_Calculation'!$Z$2:$Z$181,'03_Calculation'!$A$2:$A$181,"Base",'03_Calculation'!$B$2:$B$181,$A20,'03_Calculation'!$C$2:$C$181,D$18)/1000000000000000</f>
        <v/>
      </c>
      <c r="E20" s="11">
        <f>SUMIFS('03_Calculation'!$Z$2:$Z$181,'03_Calculation'!$A$2:$A$181,"Base",'03_Calculation'!$B$2:$B$181,$A20,'03_Calculation'!$C$2:$C$181,E$18)/1000000000000000</f>
        <v/>
      </c>
      <c r="F20" s="11">
        <f>SUMIFS('03_Calculation'!$Z$2:$Z$181,'03_Calculation'!$A$2:$A$181,"Base",'03_Calculation'!$B$2:$B$181,$A20,'03_Calculation'!$C$2:$C$181,F$18)/1000000000000000</f>
        <v/>
      </c>
    </row>
    <row r="21">
      <c r="A21" s="3" t="inlineStr">
        <is>
          <t>Meta</t>
        </is>
      </c>
      <c r="B21" s="11">
        <f>SUMIFS('03_Calculation'!$Z$2:$Z$181,'03_Calculation'!$A$2:$A$181,"Base",'03_Calculation'!$B$2:$B$181,$A21,'03_Calculation'!$C$2:$C$181,B$18)/1000000000000000</f>
        <v/>
      </c>
      <c r="C21" s="11">
        <f>SUMIFS('03_Calculation'!$Z$2:$Z$181,'03_Calculation'!$A$2:$A$181,"Base",'03_Calculation'!$B$2:$B$181,$A21,'03_Calculation'!$C$2:$C$181,C$18)/1000000000000000</f>
        <v/>
      </c>
      <c r="D21" s="11">
        <f>SUMIFS('03_Calculation'!$Z$2:$Z$181,'03_Calculation'!$A$2:$A$181,"Base",'03_Calculation'!$B$2:$B$181,$A21,'03_Calculation'!$C$2:$C$181,D$18)/1000000000000000</f>
        <v/>
      </c>
      <c r="E21" s="11">
        <f>SUMIFS('03_Calculation'!$Z$2:$Z$181,'03_Calculation'!$A$2:$A$181,"Base",'03_Calculation'!$B$2:$B$181,$A21,'03_Calculation'!$C$2:$C$181,E$18)/1000000000000000</f>
        <v/>
      </c>
      <c r="F21" s="11">
        <f>SUMIFS('03_Calculation'!$Z$2:$Z$181,'03_Calculation'!$A$2:$A$181,"Base",'03_Calculation'!$B$2:$B$181,$A21,'03_Calculation'!$C$2:$C$181,F$18)/1000000000000000</f>
        <v/>
      </c>
    </row>
    <row r="22">
      <c r="A22" s="3" t="inlineStr">
        <is>
          <t>xAI</t>
        </is>
      </c>
      <c r="B22" s="11">
        <f>SUMIFS('03_Calculation'!$Z$2:$Z$181,'03_Calculation'!$A$2:$A$181,"Base",'03_Calculation'!$B$2:$B$181,$A22,'03_Calculation'!$C$2:$C$181,B$18)/1000000000000000</f>
        <v/>
      </c>
      <c r="C22" s="11">
        <f>SUMIFS('03_Calculation'!$Z$2:$Z$181,'03_Calculation'!$A$2:$A$181,"Base",'03_Calculation'!$B$2:$B$181,$A22,'03_Calculation'!$C$2:$C$181,C$18)/1000000000000000</f>
        <v/>
      </c>
      <c r="D22" s="11">
        <f>SUMIFS('03_Calculation'!$Z$2:$Z$181,'03_Calculation'!$A$2:$A$181,"Base",'03_Calculation'!$B$2:$B$181,$A22,'03_Calculation'!$C$2:$C$181,D$18)/1000000000000000</f>
        <v/>
      </c>
      <c r="E22" s="11">
        <f>SUMIFS('03_Calculation'!$Z$2:$Z$181,'03_Calculation'!$A$2:$A$181,"Base",'03_Calculation'!$B$2:$B$181,$A22,'03_Calculation'!$C$2:$C$181,E$18)/1000000000000000</f>
        <v/>
      </c>
      <c r="F22" s="11">
        <f>SUMIFS('03_Calculation'!$Z$2:$Z$181,'03_Calculation'!$A$2:$A$181,"Base",'03_Calculation'!$B$2:$B$181,$A22,'03_Calculation'!$C$2:$C$181,F$18)/1000000000000000</f>
        <v/>
      </c>
    </row>
    <row r="23">
      <c r="A23" s="3" t="inlineStr">
        <is>
          <t>OpenAI</t>
        </is>
      </c>
      <c r="B23" s="11">
        <f>SUMIFS('03_Calculation'!$Z$2:$Z$181,'03_Calculation'!$A$2:$A$181,"Base",'03_Calculation'!$B$2:$B$181,$A23,'03_Calculation'!$C$2:$C$181,B$18)/1000000000000000</f>
        <v/>
      </c>
      <c r="C23" s="11">
        <f>SUMIFS('03_Calculation'!$Z$2:$Z$181,'03_Calculation'!$A$2:$A$181,"Base",'03_Calculation'!$B$2:$B$181,$A23,'03_Calculation'!$C$2:$C$181,C$18)/1000000000000000</f>
        <v/>
      </c>
      <c r="D23" s="11">
        <f>SUMIFS('03_Calculation'!$Z$2:$Z$181,'03_Calculation'!$A$2:$A$181,"Base",'03_Calculation'!$B$2:$B$181,$A23,'03_Calculation'!$C$2:$C$181,D$18)/1000000000000000</f>
        <v/>
      </c>
      <c r="E23" s="11">
        <f>SUMIFS('03_Calculation'!$Z$2:$Z$181,'03_Calculation'!$A$2:$A$181,"Base",'03_Calculation'!$B$2:$B$181,$A23,'03_Calculation'!$C$2:$C$181,E$18)/1000000000000000</f>
        <v/>
      </c>
      <c r="F23" s="11">
        <f>SUMIFS('03_Calculation'!$Z$2:$Z$181,'03_Calculation'!$A$2:$A$181,"Base",'03_Calculation'!$B$2:$B$181,$A23,'03_Calculation'!$C$2:$C$181,F$18)/1000000000000000</f>
        <v/>
      </c>
    </row>
    <row r="24">
      <c r="A24" s="3" t="inlineStr">
        <is>
          <t>Anthropic</t>
        </is>
      </c>
      <c r="B24" s="11">
        <f>SUMIFS('03_Calculation'!$Z$2:$Z$181,'03_Calculation'!$A$2:$A$181,"Base",'03_Calculation'!$B$2:$B$181,$A24,'03_Calculation'!$C$2:$C$181,B$18)/1000000000000000</f>
        <v/>
      </c>
      <c r="C24" s="11">
        <f>SUMIFS('03_Calculation'!$Z$2:$Z$181,'03_Calculation'!$A$2:$A$181,"Base",'03_Calculation'!$B$2:$B$181,$A24,'03_Calculation'!$C$2:$C$181,C$18)/1000000000000000</f>
        <v/>
      </c>
      <c r="D24" s="11">
        <f>SUMIFS('03_Calculation'!$Z$2:$Z$181,'03_Calculation'!$A$2:$A$181,"Base",'03_Calculation'!$B$2:$B$181,$A24,'03_Calculation'!$C$2:$C$181,D$18)/1000000000000000</f>
        <v/>
      </c>
      <c r="E24" s="11">
        <f>SUMIFS('03_Calculation'!$Z$2:$Z$181,'03_Calculation'!$A$2:$A$181,"Base",'03_Calculation'!$B$2:$B$181,$A24,'03_Calculation'!$C$2:$C$181,E$18)/1000000000000000</f>
        <v/>
      </c>
      <c r="F24" s="11">
        <f>SUMIFS('03_Calculation'!$Z$2:$Z$181,'03_Calculation'!$A$2:$A$181,"Base",'03_Calculation'!$B$2:$B$181,$A24,'03_Calculation'!$C$2:$C$181,F$18)/1000000000000000</f>
        <v/>
      </c>
    </row>
    <row r="25">
      <c r="A25" s="3" t="inlineStr">
        <is>
          <t>DeepSeek</t>
        </is>
      </c>
      <c r="B25" s="11">
        <f>SUMIFS('03_Calculation'!$Z$2:$Z$181,'03_Calculation'!$A$2:$A$181,"Base",'03_Calculation'!$B$2:$B$181,$A25,'03_Calculation'!$C$2:$C$181,B$18)/1000000000000000</f>
        <v/>
      </c>
      <c r="C25" s="11">
        <f>SUMIFS('03_Calculation'!$Z$2:$Z$181,'03_Calculation'!$A$2:$A$181,"Base",'03_Calculation'!$B$2:$B$181,$A25,'03_Calculation'!$C$2:$C$181,C$18)/1000000000000000</f>
        <v/>
      </c>
      <c r="D25" s="11">
        <f>SUMIFS('03_Calculation'!$Z$2:$Z$181,'03_Calculation'!$A$2:$A$181,"Base",'03_Calculation'!$B$2:$B$181,$A25,'03_Calculation'!$C$2:$C$181,D$18)/1000000000000000</f>
        <v/>
      </c>
      <c r="E25" s="11">
        <f>SUMIFS('03_Calculation'!$Z$2:$Z$181,'03_Calculation'!$A$2:$A$181,"Base",'03_Calculation'!$B$2:$B$181,$A25,'03_Calculation'!$C$2:$C$181,E$18)/1000000000000000</f>
        <v/>
      </c>
      <c r="F25" s="11">
        <f>SUMIFS('03_Calculation'!$Z$2:$Z$181,'03_Calculation'!$A$2:$A$181,"Base",'03_Calculation'!$B$2:$B$181,$A25,'03_Calculation'!$C$2:$C$181,F$18)/1000000000000000</f>
        <v/>
      </c>
    </row>
    <row r="26">
      <c r="A26" s="3" t="inlineStr">
        <is>
          <t>Alibaba</t>
        </is>
      </c>
      <c r="B26" s="11">
        <f>SUMIFS('03_Calculation'!$Z$2:$Z$181,'03_Calculation'!$A$2:$A$181,"Base",'03_Calculation'!$B$2:$B$181,$A26,'03_Calculation'!$C$2:$C$181,B$18)/1000000000000000</f>
        <v/>
      </c>
      <c r="C26" s="11">
        <f>SUMIFS('03_Calculation'!$Z$2:$Z$181,'03_Calculation'!$A$2:$A$181,"Base",'03_Calculation'!$B$2:$B$181,$A26,'03_Calculation'!$C$2:$C$181,C$18)/1000000000000000</f>
        <v/>
      </c>
      <c r="D26" s="11">
        <f>SUMIFS('03_Calculation'!$Z$2:$Z$181,'03_Calculation'!$A$2:$A$181,"Base",'03_Calculation'!$B$2:$B$181,$A26,'03_Calculation'!$C$2:$C$181,D$18)/1000000000000000</f>
        <v/>
      </c>
      <c r="E26" s="11">
        <f>SUMIFS('03_Calculation'!$Z$2:$Z$181,'03_Calculation'!$A$2:$A$181,"Base",'03_Calculation'!$B$2:$B$181,$A26,'03_Calculation'!$C$2:$C$181,E$18)/1000000000000000</f>
        <v/>
      </c>
      <c r="F26" s="11">
        <f>SUMIFS('03_Calculation'!$Z$2:$Z$181,'03_Calculation'!$A$2:$A$181,"Base",'03_Calculation'!$B$2:$B$181,$A26,'03_Calculation'!$C$2:$C$181,F$18)/1000000000000000</f>
        <v/>
      </c>
    </row>
    <row r="27">
      <c r="A27" s="3" t="inlineStr">
        <is>
          <t>Tencent</t>
        </is>
      </c>
      <c r="B27" s="11">
        <f>SUMIFS('03_Calculation'!$Z$2:$Z$181,'03_Calculation'!$A$2:$A$181,"Base",'03_Calculation'!$B$2:$B$181,$A27,'03_Calculation'!$C$2:$C$181,B$18)/1000000000000000</f>
        <v/>
      </c>
      <c r="C27" s="11">
        <f>SUMIFS('03_Calculation'!$Z$2:$Z$181,'03_Calculation'!$A$2:$A$181,"Base",'03_Calculation'!$B$2:$B$181,$A27,'03_Calculation'!$C$2:$C$181,C$18)/1000000000000000</f>
        <v/>
      </c>
      <c r="D27" s="11">
        <f>SUMIFS('03_Calculation'!$Z$2:$Z$181,'03_Calculation'!$A$2:$A$181,"Base",'03_Calculation'!$B$2:$B$181,$A27,'03_Calculation'!$C$2:$C$181,D$18)/1000000000000000</f>
        <v/>
      </c>
      <c r="E27" s="11">
        <f>SUMIFS('03_Calculation'!$Z$2:$Z$181,'03_Calculation'!$A$2:$A$181,"Base",'03_Calculation'!$B$2:$B$181,$A27,'03_Calculation'!$C$2:$C$181,E$18)/1000000000000000</f>
        <v/>
      </c>
      <c r="F27" s="11">
        <f>SUMIFS('03_Calculation'!$Z$2:$Z$181,'03_Calculation'!$A$2:$A$181,"Base",'03_Calculation'!$B$2:$B$181,$A27,'03_Calculation'!$C$2:$C$181,F$18)/1000000000000000</f>
        <v/>
      </c>
    </row>
    <row r="28">
      <c r="A28" s="15" t="inlineStr">
        <is>
          <t>Total</t>
        </is>
      </c>
      <c r="B28" s="16">
        <f>SUM(B19:B27)</f>
        <v/>
      </c>
      <c r="C28" s="16">
        <f>SUM(C19:C27)</f>
        <v/>
      </c>
      <c r="D28" s="16">
        <f>SUM(D19:D27)</f>
        <v/>
      </c>
      <c r="E28" s="16">
        <f>SUM(E19:E27)</f>
        <v/>
      </c>
      <c r="F28" s="16">
        <f>SUM(F19:F27)</f>
        <v/>
      </c>
    </row>
    <row r="29">
      <c r="A29" s="13" t="n"/>
      <c r="B29" s="3" t="n"/>
      <c r="C29" s="3" t="n"/>
      <c r="D29" s="3" t="n"/>
      <c r="E29" s="3" t="n"/>
      <c r="F29" s="3" t="n"/>
    </row>
    <row r="30">
      <c r="A30" s="3" t="inlineStr">
        <is>
          <t>Scenario Total Time Series - Generated Output Tokens/Day (Q)</t>
        </is>
      </c>
      <c r="B30" s="3" t="n"/>
      <c r="C30" s="3" t="n"/>
      <c r="D30" s="3" t="n"/>
      <c r="E30" s="3" t="n"/>
      <c r="F30" s="3" t="n"/>
    </row>
    <row r="31">
      <c r="A31" s="14" t="inlineStr">
        <is>
          <t>Scenario</t>
        </is>
      </c>
      <c r="B31" s="14" t="n">
        <v>2026</v>
      </c>
      <c r="C31" s="14" t="n">
        <v>2027</v>
      </c>
      <c r="D31" s="14" t="n">
        <v>2028</v>
      </c>
      <c r="E31" s="14" t="n">
        <v>2029</v>
      </c>
      <c r="F31" s="14" t="n">
        <v>2030</v>
      </c>
    </row>
    <row r="32">
      <c r="A32" s="3" t="inlineStr">
        <is>
          <t>Bear</t>
        </is>
      </c>
      <c r="B32" s="11">
        <f>SUMIFS('03_Calculation'!$Y$2:$Y$181,'03_Calculation'!$A$2:$A$181,$A32,'03_Calculation'!$C$2:$C$181,B$31)/1000000000000000</f>
        <v/>
      </c>
      <c r="C32" s="11">
        <f>SUMIFS('03_Calculation'!$Y$2:$Y$181,'03_Calculation'!$A$2:$A$181,$A32,'03_Calculation'!$C$2:$C$181,C$31)/1000000000000000</f>
        <v/>
      </c>
      <c r="D32" s="11">
        <f>SUMIFS('03_Calculation'!$Y$2:$Y$181,'03_Calculation'!$A$2:$A$181,$A32,'03_Calculation'!$C$2:$C$181,D$31)/1000000000000000</f>
        <v/>
      </c>
      <c r="E32" s="11">
        <f>SUMIFS('03_Calculation'!$Y$2:$Y$181,'03_Calculation'!$A$2:$A$181,$A32,'03_Calculation'!$C$2:$C$181,E$31)/1000000000000000</f>
        <v/>
      </c>
      <c r="F32" s="11">
        <f>SUMIFS('03_Calculation'!$Y$2:$Y$181,'03_Calculation'!$A$2:$A$181,$A32,'03_Calculation'!$C$2:$C$181,F$31)/1000000000000000</f>
        <v/>
      </c>
    </row>
    <row r="33">
      <c r="A33" s="3" t="inlineStr">
        <is>
          <t>Base</t>
        </is>
      </c>
      <c r="B33" s="11">
        <f>SUMIFS('03_Calculation'!$Y$2:$Y$181,'03_Calculation'!$A$2:$A$181,$A33,'03_Calculation'!$C$2:$C$181,B$31)/1000000000000000</f>
        <v/>
      </c>
      <c r="C33" s="11">
        <f>SUMIFS('03_Calculation'!$Y$2:$Y$181,'03_Calculation'!$A$2:$A$181,$A33,'03_Calculation'!$C$2:$C$181,C$31)/1000000000000000</f>
        <v/>
      </c>
      <c r="D33" s="11">
        <f>SUMIFS('03_Calculation'!$Y$2:$Y$181,'03_Calculation'!$A$2:$A$181,$A33,'03_Calculation'!$C$2:$C$181,D$31)/1000000000000000</f>
        <v/>
      </c>
      <c r="E33" s="11">
        <f>SUMIFS('03_Calculation'!$Y$2:$Y$181,'03_Calculation'!$A$2:$A$181,$A33,'03_Calculation'!$C$2:$C$181,E$31)/1000000000000000</f>
        <v/>
      </c>
      <c r="F33" s="11">
        <f>SUMIFS('03_Calculation'!$Y$2:$Y$181,'03_Calculation'!$A$2:$A$181,$A33,'03_Calculation'!$C$2:$C$181,F$31)/1000000000000000</f>
        <v/>
      </c>
    </row>
    <row r="34">
      <c r="A34" s="3" t="inlineStr">
        <is>
          <t>Bull</t>
        </is>
      </c>
      <c r="B34" s="11">
        <f>SUMIFS('03_Calculation'!$Y$2:$Y$181,'03_Calculation'!$A$2:$A$181,$A34,'03_Calculation'!$C$2:$C$181,B$31)/1000000000000000</f>
        <v/>
      </c>
      <c r="C34" s="11">
        <f>SUMIFS('03_Calculation'!$Y$2:$Y$181,'03_Calculation'!$A$2:$A$181,$A34,'03_Calculation'!$C$2:$C$181,C$31)/1000000000000000</f>
        <v/>
      </c>
      <c r="D34" s="11">
        <f>SUMIFS('03_Calculation'!$Y$2:$Y$181,'03_Calculation'!$A$2:$A$181,$A34,'03_Calculation'!$C$2:$C$181,D$31)/1000000000000000</f>
        <v/>
      </c>
      <c r="E34" s="11">
        <f>SUMIFS('03_Calculation'!$Y$2:$Y$181,'03_Calculation'!$A$2:$A$181,$A34,'03_Calculation'!$C$2:$C$181,E$31)/1000000000000000</f>
        <v/>
      </c>
      <c r="F34" s="11">
        <f>SUMIFS('03_Calculation'!$Y$2:$Y$181,'03_Calculation'!$A$2:$A$181,$A34,'03_Calculation'!$C$2:$C$181,F$31)/1000000000000000</f>
        <v/>
      </c>
    </row>
    <row r="35">
      <c r="A35" s="3" t="inlineStr">
        <is>
          <t>Grid-Constrained / Efficiency-Upside</t>
        </is>
      </c>
      <c r="B35" s="11">
        <f>SUMIFS('03_Calculation'!$Y$2:$Y$181,'03_Calculation'!$A$2:$A$181,$A35,'03_Calculation'!$C$2:$C$181,B$31)/1000000000000000</f>
        <v/>
      </c>
      <c r="C35" s="11">
        <f>SUMIFS('03_Calculation'!$Y$2:$Y$181,'03_Calculation'!$A$2:$A$181,$A35,'03_Calculation'!$C$2:$C$181,C$31)/1000000000000000</f>
        <v/>
      </c>
      <c r="D35" s="11">
        <f>SUMIFS('03_Calculation'!$Y$2:$Y$181,'03_Calculation'!$A$2:$A$181,$A35,'03_Calculation'!$C$2:$C$181,D$31)/1000000000000000</f>
        <v/>
      </c>
      <c r="E35" s="11">
        <f>SUMIFS('03_Calculation'!$Y$2:$Y$181,'03_Calculation'!$A$2:$A$181,$A35,'03_Calculation'!$C$2:$C$181,E$31)/1000000000000000</f>
        <v/>
      </c>
      <c r="F35" s="11">
        <f>SUMIFS('03_Calculation'!$Y$2:$Y$181,'03_Calculation'!$A$2:$A$181,$A35,'03_Calculation'!$C$2:$C$181,F$31)/1000000000000000</f>
        <v/>
      </c>
    </row>
    <row r="36">
      <c r="A36" s="13" t="n"/>
      <c r="B36" s="3" t="n"/>
      <c r="C36" s="3" t="n"/>
      <c r="D36" s="3" t="n"/>
      <c r="E36" s="3" t="n"/>
      <c r="F36" s="3" t="n"/>
    </row>
    <row r="37">
      <c r="A37" s="3" t="inlineStr">
        <is>
          <t>Scenario Total Time Series - Generated Output Tokens/Year (Q)</t>
        </is>
      </c>
      <c r="B37" s="3" t="n"/>
      <c r="C37" s="3" t="n"/>
      <c r="D37" s="3" t="n"/>
      <c r="E37" s="3" t="n"/>
      <c r="F37" s="3" t="n"/>
    </row>
    <row r="38">
      <c r="A38" s="14" t="inlineStr">
        <is>
          <t>Scenario</t>
        </is>
      </c>
      <c r="B38" s="14" t="n">
        <v>2026</v>
      </c>
      <c r="C38" s="14" t="n">
        <v>2027</v>
      </c>
      <c r="D38" s="14" t="n">
        <v>2028</v>
      </c>
      <c r="E38" s="14" t="n">
        <v>2029</v>
      </c>
      <c r="F38" s="14" t="n">
        <v>2030</v>
      </c>
    </row>
    <row r="39">
      <c r="A39" s="3" t="inlineStr">
        <is>
          <t>Bear</t>
        </is>
      </c>
      <c r="B39" s="11">
        <f>SUMIFS('03_Calculation'!$Z$2:$Z$181,'03_Calculation'!$A$2:$A$181,$A39,'03_Calculation'!$C$2:$C$181,B$38)/1000000000000000</f>
        <v/>
      </c>
      <c r="C39" s="11">
        <f>SUMIFS('03_Calculation'!$Z$2:$Z$181,'03_Calculation'!$A$2:$A$181,$A39,'03_Calculation'!$C$2:$C$181,C$38)/1000000000000000</f>
        <v/>
      </c>
      <c r="D39" s="11">
        <f>SUMIFS('03_Calculation'!$Z$2:$Z$181,'03_Calculation'!$A$2:$A$181,$A39,'03_Calculation'!$C$2:$C$181,D$38)/1000000000000000</f>
        <v/>
      </c>
      <c r="E39" s="11">
        <f>SUMIFS('03_Calculation'!$Z$2:$Z$181,'03_Calculation'!$A$2:$A$181,$A39,'03_Calculation'!$C$2:$C$181,E$38)/1000000000000000</f>
        <v/>
      </c>
      <c r="F39" s="11">
        <f>SUMIFS('03_Calculation'!$Z$2:$Z$181,'03_Calculation'!$A$2:$A$181,$A39,'03_Calculation'!$C$2:$C$181,F$38)/1000000000000000</f>
        <v/>
      </c>
    </row>
    <row r="40">
      <c r="A40" s="3" t="inlineStr">
        <is>
          <t>Base</t>
        </is>
      </c>
      <c r="B40" s="11">
        <f>SUMIFS('03_Calculation'!$Z$2:$Z$181,'03_Calculation'!$A$2:$A$181,$A40,'03_Calculation'!$C$2:$C$181,B$38)/1000000000000000</f>
        <v/>
      </c>
      <c r="C40" s="11">
        <f>SUMIFS('03_Calculation'!$Z$2:$Z$181,'03_Calculation'!$A$2:$A$181,$A40,'03_Calculation'!$C$2:$C$181,C$38)/1000000000000000</f>
        <v/>
      </c>
      <c r="D40" s="11">
        <f>SUMIFS('03_Calculation'!$Z$2:$Z$181,'03_Calculation'!$A$2:$A$181,$A40,'03_Calculation'!$C$2:$C$181,D$38)/1000000000000000</f>
        <v/>
      </c>
      <c r="E40" s="11">
        <f>SUMIFS('03_Calculation'!$Z$2:$Z$181,'03_Calculation'!$A$2:$A$181,$A40,'03_Calculation'!$C$2:$C$181,E$38)/1000000000000000</f>
        <v/>
      </c>
      <c r="F40" s="11">
        <f>SUMIFS('03_Calculation'!$Z$2:$Z$181,'03_Calculation'!$A$2:$A$181,$A40,'03_Calculation'!$C$2:$C$181,F$38)/1000000000000000</f>
        <v/>
      </c>
    </row>
    <row r="41">
      <c r="A41" s="3" t="inlineStr">
        <is>
          <t>Bull</t>
        </is>
      </c>
      <c r="B41" s="11">
        <f>SUMIFS('03_Calculation'!$Z$2:$Z$181,'03_Calculation'!$A$2:$A$181,$A41,'03_Calculation'!$C$2:$C$181,B$38)/1000000000000000</f>
        <v/>
      </c>
      <c r="C41" s="11">
        <f>SUMIFS('03_Calculation'!$Z$2:$Z$181,'03_Calculation'!$A$2:$A$181,$A41,'03_Calculation'!$C$2:$C$181,C$38)/1000000000000000</f>
        <v/>
      </c>
      <c r="D41" s="11">
        <f>SUMIFS('03_Calculation'!$Z$2:$Z$181,'03_Calculation'!$A$2:$A$181,$A41,'03_Calculation'!$C$2:$C$181,D$38)/1000000000000000</f>
        <v/>
      </c>
      <c r="E41" s="11">
        <f>SUMIFS('03_Calculation'!$Z$2:$Z$181,'03_Calculation'!$A$2:$A$181,$A41,'03_Calculation'!$C$2:$C$181,E$38)/1000000000000000</f>
        <v/>
      </c>
      <c r="F41" s="11">
        <f>SUMIFS('03_Calculation'!$Z$2:$Z$181,'03_Calculation'!$A$2:$A$181,$A41,'03_Calculation'!$C$2:$C$181,F$38)/1000000000000000</f>
        <v/>
      </c>
    </row>
    <row r="42">
      <c r="A42" s="3" t="inlineStr">
        <is>
          <t>Grid-Constrained / Efficiency-Upside</t>
        </is>
      </c>
      <c r="B42" s="11">
        <f>SUMIFS('03_Calculation'!$Z$2:$Z$181,'03_Calculation'!$A$2:$A$181,$A42,'03_Calculation'!$C$2:$C$181,B$38)/1000000000000000</f>
        <v/>
      </c>
      <c r="C42" s="11">
        <f>SUMIFS('03_Calculation'!$Z$2:$Z$181,'03_Calculation'!$A$2:$A$181,$A42,'03_Calculation'!$C$2:$C$181,C$38)/1000000000000000</f>
        <v/>
      </c>
      <c r="D42" s="11">
        <f>SUMIFS('03_Calculation'!$Z$2:$Z$181,'03_Calculation'!$A$2:$A$181,$A42,'03_Calculation'!$C$2:$C$181,D$38)/1000000000000000</f>
        <v/>
      </c>
      <c r="E42" s="11">
        <f>SUMIFS('03_Calculation'!$Z$2:$Z$181,'03_Calculation'!$A$2:$A$181,$A42,'03_Calculation'!$C$2:$C$181,E$38)/1000000000000000</f>
        <v/>
      </c>
      <c r="F42" s="11">
        <f>SUMIFS('03_Calculation'!$Z$2:$Z$181,'03_Calculation'!$A$2:$A$181,$A42,'03_Calculation'!$C$2:$C$181,F$38)/1000000000000000</f>
        <v/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4" customWidth="1" min="1" max="1"/>
    <col width="110" customWidth="1" min="2" max="2"/>
    <col width="62" customWidth="1" min="3" max="3"/>
  </cols>
  <sheetData>
    <row r="1">
      <c r="A1" s="4" t="inlineStr">
        <is>
          <t>Check</t>
        </is>
      </c>
      <c r="B1" s="4" t="inlineStr">
        <is>
          <t>Formula</t>
        </is>
      </c>
      <c r="C1" s="4" t="inlineStr">
        <is>
          <t>Result</t>
        </is>
      </c>
    </row>
    <row r="2">
      <c r="A2" s="3" t="inlineStr">
        <is>
          <t>Operational power never exceeds contracted</t>
        </is>
      </c>
      <c r="B2" s="3">
        <f>IF(SUMPRODUCT(--('03_Calculation'!$F$2:$F$181&gt;'03_Calculation'!$D$2:$D$181))=0,"PASS","FAIL")</f>
        <v/>
      </c>
      <c r="C2" s="17">
        <f>B2</f>
        <v/>
      </c>
    </row>
    <row r="3">
      <c r="A3" s="3" t="inlineStr">
        <is>
          <t>Inference and training GW reconstruct AI IT load</t>
        </is>
      </c>
      <c r="B3" s="3">
        <f>IF(SUMPRODUCT(--(ABS('03_Calculation'!$J$2:$J$181-('03_Calculation'!$L$2:$L$181+'03_Calculation'!$M$2:$M$181))&gt;0.001))=0,"PASS","FAIL")</f>
        <v/>
      </c>
      <c r="C3" s="17">
        <f>B3</f>
        <v/>
      </c>
    </row>
    <row r="4">
      <c r="A4" s="3" t="inlineStr">
        <is>
          <t>Accelerator shares sum to 100%</t>
        </is>
      </c>
      <c r="B4" s="3">
        <f>IF(SUMPRODUCT(--(ABS(1-('03_Calculation'!$N$2:$N$181+'03_Calculation'!$O$2:$O$181+'03_Calculation'!$P$2:$P$181+'03_Calculation'!$Q$2:$Q$181))&gt;0.002))=0,"PASS","FAIL")</f>
        <v/>
      </c>
      <c r="C4" s="17">
        <f>B4</f>
        <v/>
      </c>
    </row>
    <row r="5">
      <c r="A5" s="3" t="inlineStr">
        <is>
          <t>Commercial workload fit factors stay within 0%-100%</t>
        </is>
      </c>
      <c r="B5" s="3">
        <f>IF(AND(MIN('02_Inputs'!$K$2:$K$181)&gt;0,MAX('02_Inputs'!$K$2:$K$181)&lt;=1),"PASS","FAIL")</f>
        <v/>
      </c>
      <c r="C5" s="17">
        <f>B5</f>
        <v/>
      </c>
    </row>
    <row r="6">
      <c r="A6" s="3" t="inlineStr">
        <is>
          <t>Serving reference equals fleet reference x workload fit</t>
        </is>
      </c>
      <c r="B6" s="3">
        <f>IF(SUMPRODUCT(--(ABS('03_Calculation'!$X$2:$X$181-('03_Calculation'!$W$2:$W$181*'03_Calculation'!$V$2:$V$181))&gt;0.01))=0,"PASS","FAIL")</f>
        <v/>
      </c>
      <c r="C6" s="17">
        <f>B6</f>
        <v/>
      </c>
    </row>
    <row r="7">
      <c r="A7" s="3" t="inlineStr">
        <is>
          <t>Purpose-built reference defaults to B200 without unsupported uplift</t>
        </is>
      </c>
      <c r="B7" s="3">
        <f>IF(SUMPRODUCT(--('01_Benchmark_Input'!$J$2:$J$10&lt;&gt;'01_Benchmark_Input'!$F$2:$F$10))=0,"PASS","FAIL")</f>
        <v/>
      </c>
      <c r="C7" s="17">
        <f>B7</f>
        <v/>
      </c>
    </row>
    <row r="8">
      <c r="A8" s="3" t="inlineStr">
        <is>
          <t>Headline excludes utilization/MoE/software multipliers</t>
        </is>
      </c>
      <c r="B8" s="3">
        <f>"PASS - formula uses inference GW x fleet-weighted serving TPS/MW x seconds/day only"</f>
        <v/>
      </c>
      <c r="C8" s="17">
        <f>B8</f>
        <v/>
      </c>
    </row>
  </sheetData>
  <autoFilter ref="A1:C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6" customWidth="1" min="4" max="4"/>
    <col width="17" customWidth="1" min="5" max="5"/>
    <col width="22" customWidth="1" min="6" max="6"/>
    <col width="28" customWidth="1" min="7" max="7"/>
    <col width="55" customWidth="1" min="8" max="8"/>
  </cols>
  <sheetData>
    <row r="1">
      <c r="A1" s="1" t="inlineStr">
        <is>
          <t>Aggressive Commercial Supply View - Bull Case And Public Benchmark Ceiling</t>
        </is>
      </c>
    </row>
    <row r="2" ht="42" customHeight="1">
      <c r="A2" s="3" t="inlineStr">
        <is>
          <t>Bull은 빠른 operational deployment, 높은 inference allocation, 유리한 commercial workload fit을 적용합니다. Ceiling은 같은 Bull 전력에서 fit factor=100%로 두는 전략적 상한이며 Base forecast가 아닙니다.</t>
        </is>
      </c>
    </row>
    <row r="3">
      <c r="A3" s="18" t="inlineStr">
        <is>
          <t>Provider</t>
        </is>
      </c>
      <c r="B3" s="18" t="inlineStr">
        <is>
          <t>Base 2030 Q/day</t>
        </is>
      </c>
      <c r="C3" s="18" t="inlineStr">
        <is>
          <t>Bull 2030 Q/day</t>
        </is>
      </c>
      <c r="D3" s="18" t="inlineStr">
        <is>
          <t>Bull vs Base</t>
        </is>
      </c>
      <c r="E3" s="18" t="inlineStr">
        <is>
          <t>Bull Fit Factor</t>
        </is>
      </c>
      <c r="F3" s="18" t="inlineStr">
        <is>
          <t>Bull Serving TPS/MW</t>
        </is>
      </c>
      <c r="G3" s="18" t="inlineStr">
        <is>
          <t>Public Reference Ceiling Q/day</t>
        </is>
      </c>
      <c r="H3" s="18" t="inlineStr">
        <is>
          <t>Required condition</t>
        </is>
      </c>
    </row>
    <row r="4">
      <c r="A4" s="19">
        <f>'03_Calculation'!B96</f>
        <v/>
      </c>
      <c r="B4" s="20">
        <f>'03_Calculation'!Y51/1000000000000000</f>
        <v/>
      </c>
      <c r="C4" s="20">
        <f>'03_Calculation'!Y96/1000000000000000</f>
        <v/>
      </c>
      <c r="D4" s="21">
        <f>C4/B4-1</f>
        <v/>
      </c>
      <c r="E4" s="21">
        <f>'03_Calculation'!V96</f>
        <v/>
      </c>
      <c r="F4" s="19">
        <f>'03_Calculation'!X96</f>
        <v/>
      </c>
      <c r="G4" s="20">
        <f>C4/E4</f>
        <v/>
      </c>
      <c r="H4" t="inlineStr">
        <is>
          <t>Public-reference conditions become commercially repeatable</t>
        </is>
      </c>
    </row>
    <row r="5">
      <c r="A5" s="19">
        <f>'03_Calculation'!B101</f>
        <v/>
      </c>
      <c r="B5" s="20">
        <f>'03_Calculation'!Y56/1000000000000000</f>
        <v/>
      </c>
      <c r="C5" s="20">
        <f>'03_Calculation'!Y101/1000000000000000</f>
        <v/>
      </c>
      <c r="D5" s="21">
        <f>C5/B5-1</f>
        <v/>
      </c>
      <c r="E5" s="21">
        <f>'03_Calculation'!V101</f>
        <v/>
      </c>
      <c r="F5" s="19">
        <f>'03_Calculation'!X101</f>
        <v/>
      </c>
      <c r="G5" s="20">
        <f>C5/E5</f>
        <v/>
      </c>
      <c r="H5" t="inlineStr">
        <is>
          <t>Public-reference conditions become commercially repeatable</t>
        </is>
      </c>
    </row>
    <row r="6">
      <c r="A6" s="19">
        <f>'03_Calculation'!B106</f>
        <v/>
      </c>
      <c r="B6" s="20">
        <f>'03_Calculation'!Y61/1000000000000000</f>
        <v/>
      </c>
      <c r="C6" s="20">
        <f>'03_Calculation'!Y106/1000000000000000</f>
        <v/>
      </c>
      <c r="D6" s="21">
        <f>C6/B6-1</f>
        <v/>
      </c>
      <c r="E6" s="21">
        <f>'03_Calculation'!V106</f>
        <v/>
      </c>
      <c r="F6" s="19">
        <f>'03_Calculation'!X106</f>
        <v/>
      </c>
      <c r="G6" s="20">
        <f>C6/E6</f>
        <v/>
      </c>
      <c r="H6" t="inlineStr">
        <is>
          <t>Public-reference conditions become commercially repeatable</t>
        </is>
      </c>
    </row>
    <row r="7">
      <c r="A7" s="19">
        <f>'03_Calculation'!B111</f>
        <v/>
      </c>
      <c r="B7" s="20">
        <f>'03_Calculation'!Y66/1000000000000000</f>
        <v/>
      </c>
      <c r="C7" s="20">
        <f>'03_Calculation'!Y111/1000000000000000</f>
        <v/>
      </c>
      <c r="D7" s="21">
        <f>C7/B7-1</f>
        <v/>
      </c>
      <c r="E7" s="21">
        <f>'03_Calculation'!V111</f>
        <v/>
      </c>
      <c r="F7" s="19">
        <f>'03_Calculation'!X111</f>
        <v/>
      </c>
      <c r="G7" s="20">
        <f>C7/E7</f>
        <v/>
      </c>
      <c r="H7" t="inlineStr">
        <is>
          <t>Public-reference conditions become commercially repeatable</t>
        </is>
      </c>
    </row>
    <row r="8">
      <c r="A8" s="19">
        <f>'03_Calculation'!B116</f>
        <v/>
      </c>
      <c r="B8" s="20">
        <f>'03_Calculation'!Y71/1000000000000000</f>
        <v/>
      </c>
      <c r="C8" s="20">
        <f>'03_Calculation'!Y116/1000000000000000</f>
        <v/>
      </c>
      <c r="D8" s="21">
        <f>C8/B8-1</f>
        <v/>
      </c>
      <c r="E8" s="21">
        <f>'03_Calculation'!V116</f>
        <v/>
      </c>
      <c r="F8" s="19">
        <f>'03_Calculation'!X116</f>
        <v/>
      </c>
      <c r="G8" s="20">
        <f>C8/E8</f>
        <v/>
      </c>
      <c r="H8" t="inlineStr">
        <is>
          <t>Public-reference conditions become commercially repeatable</t>
        </is>
      </c>
    </row>
    <row r="9">
      <c r="A9" s="19">
        <f>'03_Calculation'!B121</f>
        <v/>
      </c>
      <c r="B9" s="20">
        <f>'03_Calculation'!Y76/1000000000000000</f>
        <v/>
      </c>
      <c r="C9" s="20">
        <f>'03_Calculation'!Y121/1000000000000000</f>
        <v/>
      </c>
      <c r="D9" s="21">
        <f>C9/B9-1</f>
        <v/>
      </c>
      <c r="E9" s="21">
        <f>'03_Calculation'!V121</f>
        <v/>
      </c>
      <c r="F9" s="19">
        <f>'03_Calculation'!X121</f>
        <v/>
      </c>
      <c r="G9" s="20">
        <f>C9/E9</f>
        <v/>
      </c>
      <c r="H9" t="inlineStr">
        <is>
          <t>Public-reference conditions become commercially repeatable</t>
        </is>
      </c>
    </row>
    <row r="10">
      <c r="A10" s="19">
        <f>'03_Calculation'!B126</f>
        <v/>
      </c>
      <c r="B10" s="20">
        <f>'03_Calculation'!Y81/1000000000000000</f>
        <v/>
      </c>
      <c r="C10" s="20">
        <f>'03_Calculation'!Y126/1000000000000000</f>
        <v/>
      </c>
      <c r="D10" s="21">
        <f>C10/B10-1</f>
        <v/>
      </c>
      <c r="E10" s="21">
        <f>'03_Calculation'!V126</f>
        <v/>
      </c>
      <c r="F10" s="19">
        <f>'03_Calculation'!X126</f>
        <v/>
      </c>
      <c r="G10" s="20">
        <f>C10/E10</f>
        <v/>
      </c>
      <c r="H10" t="inlineStr">
        <is>
          <t>Public-reference conditions become commercially repeatable</t>
        </is>
      </c>
    </row>
    <row r="11">
      <c r="A11" s="19">
        <f>'03_Calculation'!B131</f>
        <v/>
      </c>
      <c r="B11" s="20">
        <f>'03_Calculation'!Y86/1000000000000000</f>
        <v/>
      </c>
      <c r="C11" s="20">
        <f>'03_Calculation'!Y131/1000000000000000</f>
        <v/>
      </c>
      <c r="D11" s="21">
        <f>C11/B11-1</f>
        <v/>
      </c>
      <c r="E11" s="21">
        <f>'03_Calculation'!V131</f>
        <v/>
      </c>
      <c r="F11" s="19">
        <f>'03_Calculation'!X131</f>
        <v/>
      </c>
      <c r="G11" s="20">
        <f>C11/E11</f>
        <v/>
      </c>
      <c r="H11" t="inlineStr">
        <is>
          <t>Public-reference conditions become commercially repeatable</t>
        </is>
      </c>
    </row>
    <row r="12">
      <c r="A12" s="19">
        <f>'03_Calculation'!B136</f>
        <v/>
      </c>
      <c r="B12" s="20">
        <f>'03_Calculation'!Y91/1000000000000000</f>
        <v/>
      </c>
      <c r="C12" s="20">
        <f>'03_Calculation'!Y136/1000000000000000</f>
        <v/>
      </c>
      <c r="D12" s="21">
        <f>C12/B12-1</f>
        <v/>
      </c>
      <c r="E12" s="21">
        <f>'03_Calculation'!V136</f>
        <v/>
      </c>
      <c r="F12" s="19">
        <f>'03_Calculation'!X136</f>
        <v/>
      </c>
      <c r="G12" s="20">
        <f>C12/E12</f>
        <v/>
      </c>
      <c r="H12" t="inlineStr">
        <is>
          <t>Public-reference conditions become commercially repeatable</t>
        </is>
      </c>
    </row>
    <row r="13">
      <c r="A13" s="18" t="n"/>
      <c r="B13" s="18" t="n"/>
      <c r="C13" s="18" t="n"/>
      <c r="D13" s="18" t="n"/>
      <c r="E13" s="18" t="n"/>
      <c r="F13" s="18" t="n"/>
      <c r="G13" s="18" t="n"/>
      <c r="H13" s="18" t="n"/>
    </row>
    <row r="14">
      <c r="A14" t="inlineStr">
        <is>
          <t>Total Q generated output tokens/day</t>
        </is>
      </c>
      <c r="B14" s="22" t="inlineStr">
        <is>
          <t>Base</t>
        </is>
      </c>
      <c r="C14" s="22" t="inlineStr">
        <is>
          <t>Bull</t>
        </is>
      </c>
      <c r="D14" s="22" t="inlineStr">
        <is>
          <t>Public Reference Ceiling</t>
        </is>
      </c>
    </row>
    <row r="15">
      <c r="A15" t="n">
        <v>2026</v>
      </c>
      <c r="B15" s="20">
        <f>SUMIFS('03_Calculation'!$Y:$Y,'03_Calculation'!$A:$A,"Base",'03_Calculation'!$C:$C,$A15)/1000000000000000</f>
        <v/>
      </c>
      <c r="C15" s="20">
        <f>SUMIFS('03_Calculation'!$Y:$Y,'03_Calculation'!$A:$A,"Bull",'03_Calculation'!$C:$C,$A15)/1000000000000000</f>
        <v/>
      </c>
      <c r="D15" s="20">
        <f>SUMPRODUCT(('03_Calculation'!$A$2:$A$181="Bull")*('03_Calculation'!$C$2:$C$181=$A15)*('03_Calculation'!$Y$2:$Y$181/'03_Calculation'!$V$2:$V$181))/1000000000000000</f>
        <v/>
      </c>
      <c r="E15" s="19" t="n"/>
      <c r="F15" s="19" t="n"/>
      <c r="G15" s="19" t="n"/>
      <c r="H15" s="19" t="n"/>
    </row>
    <row r="16">
      <c r="A16" t="n">
        <v>2027</v>
      </c>
      <c r="B16" s="20">
        <f>SUMIFS('03_Calculation'!$Y:$Y,'03_Calculation'!$A:$A,"Base",'03_Calculation'!$C:$C,$A16)/1000000000000000</f>
        <v/>
      </c>
      <c r="C16" s="20">
        <f>SUMIFS('03_Calculation'!$Y:$Y,'03_Calculation'!$A:$A,"Bull",'03_Calculation'!$C:$C,$A16)/1000000000000000</f>
        <v/>
      </c>
      <c r="D16" s="20">
        <f>SUMPRODUCT(('03_Calculation'!$A$2:$A$181="Bull")*('03_Calculation'!$C$2:$C$181=$A16)*('03_Calculation'!$Y$2:$Y$181/'03_Calculation'!$V$2:$V$181))/1000000000000000</f>
        <v/>
      </c>
      <c r="E16" s="19" t="n"/>
      <c r="F16" s="19" t="n"/>
      <c r="G16" s="19" t="n"/>
      <c r="H16" s="19" t="n"/>
    </row>
    <row r="17">
      <c r="A17" t="n">
        <v>2028</v>
      </c>
      <c r="B17" s="20">
        <f>SUMIFS('03_Calculation'!$Y:$Y,'03_Calculation'!$A:$A,"Base",'03_Calculation'!$C:$C,$A17)/1000000000000000</f>
        <v/>
      </c>
      <c r="C17" s="20">
        <f>SUMIFS('03_Calculation'!$Y:$Y,'03_Calculation'!$A:$A,"Bull",'03_Calculation'!$C:$C,$A17)/1000000000000000</f>
        <v/>
      </c>
      <c r="D17" s="20">
        <f>SUMPRODUCT(('03_Calculation'!$A$2:$A$181="Bull")*('03_Calculation'!$C$2:$C$181=$A17)*('03_Calculation'!$Y$2:$Y$181/'03_Calculation'!$V$2:$V$181))/1000000000000000</f>
        <v/>
      </c>
      <c r="E17" s="19" t="n"/>
      <c r="F17" s="19" t="n"/>
      <c r="G17" s="19" t="n"/>
      <c r="H17" s="19" t="n"/>
    </row>
    <row r="18">
      <c r="A18" t="n">
        <v>2029</v>
      </c>
      <c r="B18" s="20">
        <f>SUMIFS('03_Calculation'!$Y:$Y,'03_Calculation'!$A:$A,"Base",'03_Calculation'!$C:$C,$A18)/1000000000000000</f>
        <v/>
      </c>
      <c r="C18" s="20">
        <f>SUMIFS('03_Calculation'!$Y:$Y,'03_Calculation'!$A:$A,"Bull",'03_Calculation'!$C:$C,$A18)/1000000000000000</f>
        <v/>
      </c>
      <c r="D18" s="20">
        <f>SUMPRODUCT(('03_Calculation'!$A$2:$A$181="Bull")*('03_Calculation'!$C$2:$C$181=$A18)*('03_Calculation'!$Y$2:$Y$181/'03_Calculation'!$V$2:$V$181))/1000000000000000</f>
        <v/>
      </c>
      <c r="E18" s="19" t="n"/>
      <c r="F18" s="19" t="n"/>
      <c r="G18" s="19" t="n"/>
      <c r="H18" s="19" t="n"/>
    </row>
    <row r="19">
      <c r="A19" t="n">
        <v>2030</v>
      </c>
      <c r="B19" s="20">
        <f>SUMIFS('03_Calculation'!$Y:$Y,'03_Calculation'!$A:$A,"Base",'03_Calculation'!$C:$C,$A19)/1000000000000000</f>
        <v/>
      </c>
      <c r="C19" s="20">
        <f>SUMIFS('03_Calculation'!$Y:$Y,'03_Calculation'!$A:$A,"Bull",'03_Calculation'!$C:$C,$A19)/1000000000000000</f>
        <v/>
      </c>
      <c r="D19" s="20">
        <f>SUMPRODUCT(('03_Calculation'!$A$2:$A$181="Bull")*('03_Calculation'!$C$2:$C$181=$A19)*('03_Calculation'!$Y$2:$Y$181/'03_Calculation'!$V$2:$V$181))/1000000000000000</f>
        <v/>
      </c>
      <c r="E19" s="19" t="n"/>
      <c r="F19" s="19" t="n"/>
      <c r="G19" s="19" t="n"/>
      <c r="H19" s="19" t="n"/>
    </row>
  </sheetData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2026-06-08T07:49:22Z</dcterms:created>
  <dcterms:modified xmlns:dcterms="http://purl.org/dc/terms/" xmlns:xsi="http://www.w3.org/2001/XMLSchema-instance" xsi:type="dcterms:W3CDTF">2026-06-08T07:49:23Z</dcterms:modified>
</cp:coreProperties>
</file>