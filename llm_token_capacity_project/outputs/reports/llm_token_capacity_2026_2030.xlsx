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2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0a_Proxy_TPS_MW" sheetId="2" state="visible" r:id="rId2"/>
    <sheet xmlns:r="http://schemas.openxmlformats.org/officeDocument/2006/relationships" name="01_Benchmark_Input" sheetId="3" state="visible" r:id="rId3"/>
    <sheet xmlns:r="http://schemas.openxmlformats.org/officeDocument/2006/relationships" name="01b_Interactivity" sheetId="4" state="visible" r:id="rId4"/>
    <sheet xmlns:r="http://schemas.openxmlformats.org/officeDocument/2006/relationships" name="02_Inputs" sheetId="5" state="visible" r:id="rId5"/>
    <sheet xmlns:r="http://schemas.openxmlformats.org/officeDocument/2006/relationships" name="02x_Accelerator_Catalog" sheetId="6" state="visible" r:id="rId6"/>
    <sheet xmlns:r="http://schemas.openxmlformats.org/officeDocument/2006/relationships" name="02a_CSP_Contract_Alloc" sheetId="7" state="visible" r:id="rId7"/>
    <sheet xmlns:r="http://schemas.openxmlformats.org/officeDocument/2006/relationships" name="02b_CSP_Accelerator_Mix" sheetId="8" state="visible" r:id="rId8"/>
    <sheet xmlns:r="http://schemas.openxmlformats.org/officeDocument/2006/relationships" name="02c_AI_CSP_Normalized" sheetId="9" state="visible" r:id="rId9"/>
    <sheet xmlns:r="http://schemas.openxmlformats.org/officeDocument/2006/relationships" name="02d_AI_Accelerator_Power" sheetId="10" state="visible" r:id="rId10"/>
    <sheet xmlns:r="http://schemas.openxmlformats.org/officeDocument/2006/relationships" name="02_GPU_Mix_Input" sheetId="11" state="visible" r:id="rId11"/>
    <sheet xmlns:r="http://schemas.openxmlformats.org/officeDocument/2006/relationships" name="03_Calculation" sheetId="12" state="visible" r:id="rId12"/>
    <sheet xmlns:r="http://schemas.openxmlformats.org/officeDocument/2006/relationships" name="04_Output" sheetId="13" state="visible" r:id="rId13"/>
    <sheet xmlns:r="http://schemas.openxmlformats.org/officeDocument/2006/relationships" name="05_Checks" sheetId="14" state="visible" r:id="rId14"/>
    <sheet xmlns:r="http://schemas.openxmlformats.org/officeDocument/2006/relationships" name="06_Aggressive_View" sheetId="15" state="visible" r:id="rId15"/>
    <sheet xmlns:r="http://schemas.openxmlformats.org/officeDocument/2006/relationships" name="07_Source_Registry" sheetId="16" state="visible" r:id="rId16"/>
    <sheet xmlns:r="http://schemas.openxmlformats.org/officeDocument/2006/relationships" name="08_Provenance_Trace" sheetId="17" state="visible" r:id="rId17"/>
    <sheet xmlns:r="http://schemas.openxmlformats.org/officeDocument/2006/relationships" name="09_Fact_Assumption_Audit" sheetId="18" state="visible" r:id="rId18"/>
  </sheets>
  <definedNames>
    <definedName name="_xlnm._FilterDatabase" localSheetId="1" hidden="1">'00a_Proxy_TPS_MW'!$A$1:$S$226</definedName>
    <definedName name="_xlnm._FilterDatabase" localSheetId="2" hidden="1">'01_Benchmark_Input'!$A$1:$AJ$10</definedName>
    <definedName name="_xlnm._FilterDatabase" localSheetId="3" hidden="1">'01b_Interactivity'!$A$1:$S$226</definedName>
    <definedName name="_xlnm._FilterDatabase" localSheetId="4" hidden="1">'02_Inputs'!$A$1:$K$181</definedName>
    <definedName name="_xlnm._FilterDatabase" localSheetId="5" hidden="1">'02x_Accelerator_Catalog'!$A$1:$G$11</definedName>
    <definedName name="_xlnm._FilterDatabase" localSheetId="6" hidden="1">'02a_CSP_Contract_Alloc'!$A$1:$N$305</definedName>
    <definedName name="_xlnm._FilterDatabase" localSheetId="7" hidden="1">'02b_CSP_Accelerator_Mix'!$A$1:$L$573</definedName>
    <definedName name="_xlnm._FilterDatabase" localSheetId="8" hidden="1">'02c_AI_CSP_Normalized'!$A$1:$P$305</definedName>
    <definedName name="_xlnm._FilterDatabase" localSheetId="9" hidden="1">'02d_AI_Accelerator_Power'!$A$1:$N$653</definedName>
    <definedName name="_xlnm._FilterDatabase" localSheetId="10" hidden="1">'02_GPU_Mix_Input'!$A$1:$R$181</definedName>
    <definedName name="_xlnm._FilterDatabase" localSheetId="11" hidden="1">'03_Calculation'!$A$1:$AC$181</definedName>
    <definedName name="_xlnm._FilterDatabase" localSheetId="13" hidden="1">'05_Checks'!$A$1:$C$9</definedName>
    <definedName name="_xlnm._FilterDatabase" localSheetId="15" hidden="1">'07_Source_Registry'!$A$1:$I$73</definedName>
    <definedName name="_xlnm._FilterDatabase" localSheetId="16" hidden="1">'08_Provenance_Trace'!$A$1:$L$4141</definedName>
    <definedName name="_xlnm._FilterDatabase" localSheetId="17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EAF2FF"/>
      </patternFill>
    </fill>
    <fill>
      <patternFill patternType="solid">
        <fgColor rgb="00FFF2CC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3" fontId="0" fillId="4" borderId="0" applyAlignment="1" pivotButton="0" quotePrefix="0" xfId="0">
      <alignment vertical="top" wrapText="1"/>
    </xf>
    <xf numFmtId="2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2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0" fillId="6" borderId="0" applyAlignment="1" pivotButton="0" quotePrefix="0" xfId="0">
      <alignment vertical="top" wrapText="1"/>
    </xf>
    <xf numFmtId="3" fontId="0" fillId="6" borderId="0" applyAlignment="1" pivotButton="0" quotePrefix="0" xfId="0">
      <alignment vertical="top" wrapText="1"/>
    </xf>
    <xf numFmtId="2" fontId="0" fillId="6" borderId="0" applyAlignment="1" pivotButton="0" quotePrefix="0" xfId="0">
      <alignment vertical="top" wrapText="1"/>
    </xf>
    <xf numFmtId="164" fontId="4" fillId="7" borderId="0" applyAlignment="1" pivotButton="0" quotePrefix="0" xfId="0">
      <alignment vertical="top" wrapText="1"/>
    </xf>
    <xf numFmtId="3" fontId="4" fillId="7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4" fontId="0" fillId="5" borderId="0" applyAlignment="1" pivotButton="0" quotePrefix="0" xfId="0">
      <alignment vertical="top" wrapText="1"/>
    </xf>
    <xf numFmtId="4" fontId="0" fillId="4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164" fontId="0" fillId="7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2" fontId="4" fillId="7" borderId="0" applyAlignment="1" pivotButton="0" quotePrefix="0" xfId="0">
      <alignment vertical="top" wrapText="1"/>
    </xf>
    <xf numFmtId="165" fontId="4" fillId="7" borderId="0" applyAlignment="1" pivotButton="0" quotePrefix="0" xfId="0">
      <alignment vertical="top" wrapText="1"/>
    </xf>
    <xf numFmtId="165" fontId="0" fillId="4" borderId="0" applyAlignment="1" pivotButton="0" quotePrefix="0" xfId="0">
      <alignment vertical="top" wrapText="1"/>
    </xf>
    <xf numFmtId="166" fontId="0" fillId="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166" fontId="2" fillId="8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3" fillId="2" borderId="0" pivotButton="0" quotePrefix="0" xfId="0"/>
    <xf numFmtId="0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모델/GPU/workload/interactivity별 proxy TPS/MW는 `00a_Proxy_TPS_MW`에서 확인하고, Chat workload 비율과 GPU별 chat-length TPS/MW는 `01_Benchmark_Input`, 데이터센터 capacity allocation은 `02a`, 데이터센터 accelerator mix는 `02b`에서 교체합니다.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gpu_workload_avg_tps_per_mw = short_share*gpu_short_tps + long_share*gpu_long_tps + agentic_share*gpu_agentic_tps</t>
        </is>
      </c>
    </row>
    <row r="7" ht="30" customHeight="1">
      <c r="A7" s="2" t="inlineStr">
        <is>
          <t>Step 4</t>
        </is>
      </c>
      <c r="B7" s="3" t="inlineStr">
        <is>
          <t>AI company inference MW is normalized across CSPs by CSP total power * AI contract share * inference share; accelerator power = normalized CSP inference MW * CSP accelerator share.</t>
        </is>
      </c>
    </row>
    <row r="8" ht="30" customHeight="1">
      <c r="A8" s="2" t="inlineStr">
        <is>
          <t>Step 4b</t>
        </is>
      </c>
      <c r="B8" s="3" t="inlineStr">
        <is>
          <t>serving_tps_per_mw = fleet_reference_tps_per_mw * commercial_workload_fit_factor</t>
        </is>
      </c>
    </row>
    <row r="9" ht="30" customHeight="1">
      <c r="A9" s="2" t="inlineStr">
        <is>
          <t>Step 5</t>
        </is>
      </c>
      <c r="B9" s="3" t="inlineStr">
        <is>
          <t>generated_output_tokens_per_day = inference_gw * 1,000 * serving_tps_per_mw * 86,400</t>
        </is>
      </c>
    </row>
    <row r="10" ht="30" customHeight="1">
      <c r="A10" s="2" t="inlineStr">
        <is>
          <t>GPU mix rule</t>
        </is>
      </c>
      <c r="B10" s="3" t="inlineStr">
        <is>
          <t>`02_GPU_Mix_Input`은 `02a_CSP_Contract_Alloc`, `02b_CSP_Accelerator_Mix`, `02x_Accelerator_Catalog`에서 자동 산출됩니다. H200/B200/GB200/purpose-or-unbenchmarked share의 합은 100%입니다.</t>
        </is>
      </c>
    </row>
    <row r="11" ht="30" customHeight="1">
      <c r="A11" s="2" t="inlineStr">
        <is>
          <t>Benchmark rule</t>
        </is>
      </c>
      <c r="B11" s="3" t="inlineStr">
        <is>
          <t>Short chat은 ISL/OSL 1024/1024, long chat은 8192/1024입니다. TPS/MW는 concurrency 32-256 안에서 Dynamo/TRT-LLM/MTP 계열 stack을 우선하고, 없으면 같은 조건의 public max row를 씁니다. Agentic은 Kimi K2.5 dynamic reasoning에서 산출한 agentic/long TPS/MW ratio를 long-context TPS/MW에 적용합니다.</t>
        </is>
      </c>
    </row>
    <row r="12" ht="30" customHeight="1">
      <c r="A12" s="2" t="inlineStr">
        <is>
          <t>Purpose-built rule</t>
        </is>
      </c>
      <c r="B12" s="3" t="inlineStr">
        <is>
          <t>Comparable TPS/MW가 없으면 B200 placeholder를 사용하며 사용자 입력으로 교체합니다.</t>
        </is>
      </c>
    </row>
    <row r="13" ht="30" customHeight="1">
      <c r="A13" s="2" t="inlineStr">
        <is>
          <t>Excluded</t>
        </is>
      </c>
      <c r="B13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2" customWidth="1" min="4" max="4"/>
    <col width="18" customWidth="1" min="5" max="5"/>
    <col width="12" customWidth="1" min="6" max="6"/>
    <col width="12" customWidth="1" min="7" max="7"/>
    <col width="24" customWidth="1" min="8" max="8"/>
    <col width="18" customWidth="1" min="9" max="9"/>
    <col width="14" customWidth="1" min="10" max="10"/>
    <col width="18" customWidth="1" min="11" max="11"/>
    <col width="14" customWidth="1" min="12" max="12"/>
    <col width="10" customWidth="1" min="13" max="13"/>
    <col width="10" customWidth="1" min="14" max="14"/>
    <col width="24" customWidth="1" min="15" max="15"/>
    <col width="26" customWidth="1" min="16" max="16"/>
    <col width="16" customWidth="1" min="17" max="17"/>
    <col width="18" customWidth="1" min="18" max="18"/>
    <col width="92" customWidth="1" min="19" max="19"/>
  </cols>
  <sheetData>
    <row r="1">
      <c r="A1" s="4" t="inlineStr">
        <is>
          <t>proxy_model</t>
        </is>
      </c>
      <c r="B1" s="4" t="inlineStr">
        <is>
          <t>source_model_scope</t>
        </is>
      </c>
      <c r="C1" s="4" t="inlineStr">
        <is>
          <t>gpu</t>
        </is>
      </c>
      <c r="D1" s="4" t="inlineStr">
        <is>
          <t>workload</t>
        </is>
      </c>
      <c r="E1" s="4" t="inlineStr">
        <is>
          <t>target_tok_s_user</t>
        </is>
      </c>
      <c r="F1" s="4" t="inlineStr">
        <is>
          <t>target_met</t>
        </is>
      </c>
      <c r="G1" s="4" t="inlineStr">
        <is>
          <t>slo_gap_pct</t>
        </is>
      </c>
      <c r="H1" s="4" t="inlineStr">
        <is>
          <t>effective_output_tps_per_mw</t>
        </is>
      </c>
      <c r="I1" s="4" t="inlineStr">
        <is>
          <t>selected_tok_s_user</t>
        </is>
      </c>
      <c r="J1" s="4" t="inlineStr">
        <is>
          <t>precision</t>
        </is>
      </c>
      <c r="K1" s="4" t="inlineStr">
        <is>
          <t>framework</t>
        </is>
      </c>
      <c r="L1" s="4" t="inlineStr">
        <is>
          <t>concurrency</t>
        </is>
      </c>
      <c r="M1" s="4" t="inlineStr">
        <is>
          <t>isl</t>
        </is>
      </c>
      <c r="N1" s="4" t="inlineStr">
        <is>
          <t>osl</t>
        </is>
      </c>
      <c r="O1" s="4" t="inlineStr">
        <is>
          <t>selection_status</t>
        </is>
      </c>
      <c r="P1" s="4" t="inlineStr">
        <is>
          <t>source_type</t>
        </is>
      </c>
      <c r="Q1" s="4" t="inlineStr">
        <is>
          <t>confidence</t>
        </is>
      </c>
      <c r="R1" s="4" t="inlineStr">
        <is>
          <t>benchmark_date</t>
        </is>
      </c>
      <c r="S1" s="4" t="inlineStr">
        <is>
          <t>method_note</t>
        </is>
      </c>
    </row>
    <row r="2">
      <c r="A2" s="5" t="inlineStr">
        <is>
          <t>dsr1</t>
        </is>
      </c>
      <c r="B2" s="5" t="inlineStr">
        <is>
          <t>dsr1</t>
        </is>
      </c>
      <c r="C2" s="5" t="inlineStr">
        <is>
          <t>H200</t>
        </is>
      </c>
      <c r="D2" s="5" t="inlineStr">
        <is>
          <t>short</t>
        </is>
      </c>
      <c r="E2" s="5" t="inlineStr">
        <is>
          <t>10</t>
        </is>
      </c>
      <c r="F2" s="5" t="inlineStr">
        <is>
          <t>True</t>
        </is>
      </c>
      <c r="G2" s="6" t="inlineStr">
        <is>
          <t>0.0</t>
        </is>
      </c>
      <c r="H2" s="7" t="inlineStr">
        <is>
          <t>47614.0</t>
        </is>
      </c>
      <c r="I2" s="8" t="inlineStr">
        <is>
          <t>10.3</t>
        </is>
      </c>
      <c r="J2" s="5" t="inlineStr">
        <is>
          <t>fp8</t>
        </is>
      </c>
      <c r="K2" s="5" t="inlineStr">
        <is>
          <t>sglang</t>
        </is>
      </c>
      <c r="L2" s="5" t="inlineStr">
        <is>
          <t>8</t>
        </is>
      </c>
      <c r="M2" s="5" t="inlineStr">
        <is>
          <t>1024</t>
        </is>
      </c>
      <c r="N2" s="5" t="inlineStr">
        <is>
          <t>1024</t>
        </is>
      </c>
      <c r="O2" s="5" t="inlineStr">
        <is>
          <t>selected_public_max</t>
        </is>
      </c>
      <c r="P2" s="5" t="inlineStr">
        <is>
          <t>direct_target_row</t>
        </is>
      </c>
      <c r="Q2" s="5" t="inlineStr">
        <is>
          <t>medium</t>
        </is>
      </c>
      <c r="R2" s="5" t="inlineStr">
        <is>
          <t>2026-05-17T00:00:00.000Z</t>
        </is>
      </c>
      <c r="S2" s="5" t="inlineStr">
        <is>
          <t>tok_s_user is computed as output_tok_s_gpu/concurrency when source tok_s_user is blank; agentic_derived uses long_chat rows multiplied by the Kimi K2.5 agentic/long ratio.</t>
        </is>
      </c>
    </row>
    <row r="3">
      <c r="A3" s="9" t="inlineStr">
        <is>
          <t>dsr1</t>
        </is>
      </c>
      <c r="B3" s="9" t="inlineStr">
        <is>
          <t>dsr1</t>
        </is>
      </c>
      <c r="C3" s="9" t="inlineStr">
        <is>
          <t>H200</t>
        </is>
      </c>
      <c r="D3" s="9" t="inlineStr">
        <is>
          <t>short</t>
        </is>
      </c>
      <c r="E3" s="9" t="inlineStr">
        <is>
          <t>30</t>
        </is>
      </c>
      <c r="F3" s="9" t="inlineStr">
        <is>
          <t>False</t>
        </is>
      </c>
      <c r="G3" s="10" t="inlineStr">
        <is>
          <t>0.6566666666666666</t>
        </is>
      </c>
      <c r="H3" s="11" t="inlineStr">
        <is>
          <t>47614.0</t>
        </is>
      </c>
      <c r="I3" s="12" t="inlineStr">
        <is>
          <t>10.3</t>
        </is>
      </c>
      <c r="J3" s="9" t="inlineStr">
        <is>
          <t>fp8</t>
        </is>
      </c>
      <c r="K3" s="9" t="inlineStr">
        <is>
          <t>sglang</t>
        </is>
      </c>
      <c r="L3" s="9" t="inlineStr">
        <is>
          <t>8</t>
        </is>
      </c>
      <c r="M3" s="9" t="inlineStr">
        <is>
          <t>1024</t>
        </is>
      </c>
      <c r="N3" s="9" t="inlineStr">
        <is>
          <t>1024</t>
        </is>
      </c>
      <c r="O3" s="9" t="inlineStr">
        <is>
          <t>selected_public_max</t>
        </is>
      </c>
      <c r="P3" s="9" t="inlineStr">
        <is>
          <t>best_available_below_target</t>
        </is>
      </c>
      <c r="Q3" s="9" t="inlineStr">
        <is>
          <t>low_target_gap</t>
        </is>
      </c>
      <c r="R3" s="9" t="inlineStr">
        <is>
          <t>2026-05-17T00:00:00.000Z</t>
        </is>
      </c>
      <c r="S3" s="9" t="inlineStr">
        <is>
          <t>tok_s_user is computed as output_tok_s_gpu/concurrency when source tok_s_user is blank; agentic_derived uses long_chat rows multiplied by the Kimi K2.5 agentic/long ratio.</t>
        </is>
      </c>
    </row>
    <row r="4">
      <c r="A4" s="9" t="inlineStr">
        <is>
          <t>dsr1</t>
        </is>
      </c>
      <c r="B4" s="9" t="inlineStr">
        <is>
          <t>dsr1</t>
        </is>
      </c>
      <c r="C4" s="9" t="inlineStr">
        <is>
          <t>H200</t>
        </is>
      </c>
      <c r="D4" s="9" t="inlineStr">
        <is>
          <t>short</t>
        </is>
      </c>
      <c r="E4" s="9" t="inlineStr">
        <is>
          <t>50</t>
        </is>
      </c>
      <c r="F4" s="9" t="inlineStr">
        <is>
          <t>False</t>
        </is>
      </c>
      <c r="G4" s="10" t="inlineStr">
        <is>
          <t>0.794</t>
        </is>
      </c>
      <c r="H4" s="11" t="inlineStr">
        <is>
          <t>47614.0</t>
        </is>
      </c>
      <c r="I4" s="12" t="inlineStr">
        <is>
          <t>10.3</t>
        </is>
      </c>
      <c r="J4" s="9" t="inlineStr">
        <is>
          <t>fp8</t>
        </is>
      </c>
      <c r="K4" s="9" t="inlineStr">
        <is>
          <t>sglang</t>
        </is>
      </c>
      <c r="L4" s="9" t="inlineStr">
        <is>
          <t>8</t>
        </is>
      </c>
      <c r="M4" s="9" t="inlineStr">
        <is>
          <t>1024</t>
        </is>
      </c>
      <c r="N4" s="9" t="inlineStr">
        <is>
          <t>1024</t>
        </is>
      </c>
      <c r="O4" s="9" t="inlineStr">
        <is>
          <t>selected_public_max</t>
        </is>
      </c>
      <c r="P4" s="9" t="inlineStr">
        <is>
          <t>best_available_below_target</t>
        </is>
      </c>
      <c r="Q4" s="9" t="inlineStr">
        <is>
          <t>low_target_gap</t>
        </is>
      </c>
      <c r="R4" s="9" t="inlineStr">
        <is>
          <t>2026-05-17T00:00:00.000Z</t>
        </is>
      </c>
      <c r="S4" s="9" t="inlineStr">
        <is>
          <t>tok_s_user is computed as output_tok_s_gpu/concurrency when source tok_s_user is blank; agentic_derived uses long_chat rows multiplied by the Kimi K2.5 agentic/long ratio.</t>
        </is>
      </c>
    </row>
    <row r="5">
      <c r="A5" s="9" t="inlineStr">
        <is>
          <t>dsr1</t>
        </is>
      </c>
      <c r="B5" s="9" t="inlineStr">
        <is>
          <t>dsr1</t>
        </is>
      </c>
      <c r="C5" s="9" t="inlineStr">
        <is>
          <t>H200</t>
        </is>
      </c>
      <c r="D5" s="9" t="inlineStr">
        <is>
          <t>short</t>
        </is>
      </c>
      <c r="E5" s="9" t="inlineStr">
        <is>
          <t>70</t>
        </is>
      </c>
      <c r="F5" s="9" t="inlineStr">
        <is>
          <t>False</t>
        </is>
      </c>
      <c r="G5" s="10" t="inlineStr">
        <is>
          <t>0.8528571428571429</t>
        </is>
      </c>
      <c r="H5" s="11" t="inlineStr">
        <is>
          <t>47614.0</t>
        </is>
      </c>
      <c r="I5" s="12" t="inlineStr">
        <is>
          <t>10.3</t>
        </is>
      </c>
      <c r="J5" s="9" t="inlineStr">
        <is>
          <t>fp8</t>
        </is>
      </c>
      <c r="K5" s="9" t="inlineStr">
        <is>
          <t>sglang</t>
        </is>
      </c>
      <c r="L5" s="9" t="inlineStr">
        <is>
          <t>8</t>
        </is>
      </c>
      <c r="M5" s="9" t="inlineStr">
        <is>
          <t>1024</t>
        </is>
      </c>
      <c r="N5" s="9" t="inlineStr">
        <is>
          <t>1024</t>
        </is>
      </c>
      <c r="O5" s="9" t="inlineStr">
        <is>
          <t>selected_public_max</t>
        </is>
      </c>
      <c r="P5" s="9" t="inlineStr">
        <is>
          <t>best_available_below_target</t>
        </is>
      </c>
      <c r="Q5" s="9" t="inlineStr">
        <is>
          <t>low_target_gap</t>
        </is>
      </c>
      <c r="R5" s="9" t="inlineStr">
        <is>
          <t>2026-05-17T00:00:00.000Z</t>
        </is>
      </c>
      <c r="S5" s="9" t="inlineStr">
        <is>
          <t>tok_s_user is computed as output_tok_s_gpu/concurrency when source tok_s_user is blank; agentic_derived uses long_chat rows multiplied by the Kimi K2.5 agentic/long ratio.</t>
        </is>
      </c>
    </row>
    <row r="6">
      <c r="A6" s="9" t="inlineStr">
        <is>
          <t>dsr1</t>
        </is>
      </c>
      <c r="B6" s="9" t="inlineStr">
        <is>
          <t>dsr1</t>
        </is>
      </c>
      <c r="C6" s="9" t="inlineStr">
        <is>
          <t>H200</t>
        </is>
      </c>
      <c r="D6" s="9" t="inlineStr">
        <is>
          <t>short</t>
        </is>
      </c>
      <c r="E6" s="9" t="inlineStr">
        <is>
          <t>100</t>
        </is>
      </c>
      <c r="F6" s="9" t="inlineStr">
        <is>
          <t>False</t>
        </is>
      </c>
      <c r="G6" s="10" t="inlineStr">
        <is>
          <t>0.897</t>
        </is>
      </c>
      <c r="H6" s="11" t="inlineStr">
        <is>
          <t>47614.0</t>
        </is>
      </c>
      <c r="I6" s="12" t="inlineStr">
        <is>
          <t>10.3</t>
        </is>
      </c>
      <c r="J6" s="9" t="inlineStr">
        <is>
          <t>fp8</t>
        </is>
      </c>
      <c r="K6" s="9" t="inlineStr">
        <is>
          <t>sglang</t>
        </is>
      </c>
      <c r="L6" s="9" t="inlineStr">
        <is>
          <t>8</t>
        </is>
      </c>
      <c r="M6" s="9" t="inlineStr">
        <is>
          <t>1024</t>
        </is>
      </c>
      <c r="N6" s="9" t="inlineStr">
        <is>
          <t>1024</t>
        </is>
      </c>
      <c r="O6" s="9" t="inlineStr">
        <is>
          <t>selected_public_max</t>
        </is>
      </c>
      <c r="P6" s="9" t="inlineStr">
        <is>
          <t>best_available_below_target</t>
        </is>
      </c>
      <c r="Q6" s="9" t="inlineStr">
        <is>
          <t>low_target_gap</t>
        </is>
      </c>
      <c r="R6" s="9" t="inlineStr">
        <is>
          <t>2026-05-17T00:00:00.000Z</t>
        </is>
      </c>
      <c r="S6" s="9" t="inlineStr">
        <is>
          <t>tok_s_user is computed as output_tok_s_gpu/concurrency when source tok_s_user is blank; agentic_derived uses long_chat rows multiplied by the Kimi K2.5 agentic/long ratio.</t>
        </is>
      </c>
    </row>
    <row r="7">
      <c r="A7" s="5" t="inlineStr">
        <is>
          <t>dsr1</t>
        </is>
      </c>
      <c r="B7" s="5" t="inlineStr">
        <is>
          <t>dsr1</t>
        </is>
      </c>
      <c r="C7" s="5" t="inlineStr">
        <is>
          <t>H200</t>
        </is>
      </c>
      <c r="D7" s="5" t="inlineStr">
        <is>
          <t>long</t>
        </is>
      </c>
      <c r="E7" s="5" t="inlineStr">
        <is>
          <t>10</t>
        </is>
      </c>
      <c r="F7" s="5" t="inlineStr">
        <is>
          <t>True</t>
        </is>
      </c>
      <c r="G7" s="6" t="inlineStr">
        <is>
          <t>0.0</t>
        </is>
      </c>
      <c r="H7" s="7" t="inlineStr">
        <is>
          <t>27722.0</t>
        </is>
      </c>
      <c r="I7" s="8" t="inlineStr">
        <is>
          <t>11.99</t>
        </is>
      </c>
      <c r="J7" s="5" t="inlineStr">
        <is>
          <t>fp8</t>
        </is>
      </c>
      <c r="K7" s="5" t="inlineStr">
        <is>
          <t>sglang</t>
        </is>
      </c>
      <c r="L7" s="5" t="inlineStr">
        <is>
          <t>4</t>
        </is>
      </c>
      <c r="M7" s="5" t="inlineStr">
        <is>
          <t>8192</t>
        </is>
      </c>
      <c r="N7" s="5" t="inlineStr">
        <is>
          <t>1024</t>
        </is>
      </c>
      <c r="O7" s="5" t="inlineStr">
        <is>
          <t>selected_public_max</t>
        </is>
      </c>
      <c r="P7" s="5" t="inlineStr">
        <is>
          <t>direct_target_row</t>
        </is>
      </c>
      <c r="Q7" s="5" t="inlineStr">
        <is>
          <t>medium</t>
        </is>
      </c>
      <c r="R7" s="5" t="inlineStr">
        <is>
          <t>2026-05-20T00:00:00.000Z</t>
        </is>
      </c>
      <c r="S7" s="5" t="inlineStr">
        <is>
          <t>tok_s_user is computed as output_tok_s_gpu/concurrency when source tok_s_user is blank; agentic_derived uses long_chat rows multiplied by the Kimi K2.5 agentic/long ratio.</t>
        </is>
      </c>
    </row>
    <row r="8">
      <c r="A8" s="9" t="inlineStr">
        <is>
          <t>dsr1</t>
        </is>
      </c>
      <c r="B8" s="9" t="inlineStr">
        <is>
          <t>dsr1</t>
        </is>
      </c>
      <c r="C8" s="9" t="inlineStr">
        <is>
          <t>H200</t>
        </is>
      </c>
      <c r="D8" s="9" t="inlineStr">
        <is>
          <t>long</t>
        </is>
      </c>
      <c r="E8" s="9" t="inlineStr">
        <is>
          <t>30</t>
        </is>
      </c>
      <c r="F8" s="9" t="inlineStr">
        <is>
          <t>False</t>
        </is>
      </c>
      <c r="G8" s="10" t="inlineStr">
        <is>
          <t>0.6003333333333333</t>
        </is>
      </c>
      <c r="H8" s="11" t="inlineStr">
        <is>
          <t>27722.0</t>
        </is>
      </c>
      <c r="I8" s="12" t="inlineStr">
        <is>
          <t>11.99</t>
        </is>
      </c>
      <c r="J8" s="9" t="inlineStr">
        <is>
          <t>fp8</t>
        </is>
      </c>
      <c r="K8" s="9" t="inlineStr">
        <is>
          <t>sglang</t>
        </is>
      </c>
      <c r="L8" s="9" t="inlineStr">
        <is>
          <t>4</t>
        </is>
      </c>
      <c r="M8" s="9" t="inlineStr">
        <is>
          <t>8192</t>
        </is>
      </c>
      <c r="N8" s="9" t="inlineStr">
        <is>
          <t>1024</t>
        </is>
      </c>
      <c r="O8" s="9" t="inlineStr">
        <is>
          <t>selected_public_max</t>
        </is>
      </c>
      <c r="P8" s="9" t="inlineStr">
        <is>
          <t>best_available_below_target</t>
        </is>
      </c>
      <c r="Q8" s="9" t="inlineStr">
        <is>
          <t>low_target_gap</t>
        </is>
      </c>
      <c r="R8" s="9" t="inlineStr">
        <is>
          <t>2026-05-20T00:00:00.000Z</t>
        </is>
      </c>
      <c r="S8" s="9" t="inlineStr">
        <is>
          <t>tok_s_user is computed as output_tok_s_gpu/concurrency when source tok_s_user is blank; agentic_derived uses long_chat rows multiplied by the Kimi K2.5 agentic/long ratio.</t>
        </is>
      </c>
    </row>
    <row r="9">
      <c r="A9" s="9" t="inlineStr">
        <is>
          <t>dsr1</t>
        </is>
      </c>
      <c r="B9" s="9" t="inlineStr">
        <is>
          <t>dsr1</t>
        </is>
      </c>
      <c r="C9" s="9" t="inlineStr">
        <is>
          <t>H200</t>
        </is>
      </c>
      <c r="D9" s="9" t="inlineStr">
        <is>
          <t>long</t>
        </is>
      </c>
      <c r="E9" s="9" t="inlineStr">
        <is>
          <t>50</t>
        </is>
      </c>
      <c r="F9" s="9" t="inlineStr">
        <is>
          <t>False</t>
        </is>
      </c>
      <c r="G9" s="10" t="inlineStr">
        <is>
          <t>0.7602</t>
        </is>
      </c>
      <c r="H9" s="11" t="inlineStr">
        <is>
          <t>27722.0</t>
        </is>
      </c>
      <c r="I9" s="12" t="inlineStr">
        <is>
          <t>11.99</t>
        </is>
      </c>
      <c r="J9" s="9" t="inlineStr">
        <is>
          <t>fp8</t>
        </is>
      </c>
      <c r="K9" s="9" t="inlineStr">
        <is>
          <t>sglang</t>
        </is>
      </c>
      <c r="L9" s="9" t="inlineStr">
        <is>
          <t>4</t>
        </is>
      </c>
      <c r="M9" s="9" t="inlineStr">
        <is>
          <t>8192</t>
        </is>
      </c>
      <c r="N9" s="9" t="inlineStr">
        <is>
          <t>1024</t>
        </is>
      </c>
      <c r="O9" s="9" t="inlineStr">
        <is>
          <t>selected_public_max</t>
        </is>
      </c>
      <c r="P9" s="9" t="inlineStr">
        <is>
          <t>best_available_below_target</t>
        </is>
      </c>
      <c r="Q9" s="9" t="inlineStr">
        <is>
          <t>low_target_gap</t>
        </is>
      </c>
      <c r="R9" s="9" t="inlineStr">
        <is>
          <t>2026-05-20T00:00:00.000Z</t>
        </is>
      </c>
      <c r="S9" s="9" t="inlineStr">
        <is>
          <t>tok_s_user is computed as output_tok_s_gpu/concurrency when source tok_s_user is blank; agentic_derived uses long_chat rows multiplied by the Kimi K2.5 agentic/long ratio.</t>
        </is>
      </c>
    </row>
    <row r="10">
      <c r="A10" s="9" t="inlineStr">
        <is>
          <t>dsr1</t>
        </is>
      </c>
      <c r="B10" s="9" t="inlineStr">
        <is>
          <t>dsr1</t>
        </is>
      </c>
      <c r="C10" s="9" t="inlineStr">
        <is>
          <t>H200</t>
        </is>
      </c>
      <c r="D10" s="9" t="inlineStr">
        <is>
          <t>long</t>
        </is>
      </c>
      <c r="E10" s="9" t="inlineStr">
        <is>
          <t>70</t>
        </is>
      </c>
      <c r="F10" s="9" t="inlineStr">
        <is>
          <t>False</t>
        </is>
      </c>
      <c r="G10" s="10" t="inlineStr">
        <is>
          <t>0.8287142857142857</t>
        </is>
      </c>
      <c r="H10" s="11" t="inlineStr">
        <is>
          <t>27722.0</t>
        </is>
      </c>
      <c r="I10" s="12" t="inlineStr">
        <is>
          <t>11.99</t>
        </is>
      </c>
      <c r="J10" s="9" t="inlineStr">
        <is>
          <t>fp8</t>
        </is>
      </c>
      <c r="K10" s="9" t="inlineStr">
        <is>
          <t>sglang</t>
        </is>
      </c>
      <c r="L10" s="9" t="inlineStr">
        <is>
          <t>4</t>
        </is>
      </c>
      <c r="M10" s="9" t="inlineStr">
        <is>
          <t>8192</t>
        </is>
      </c>
      <c r="N10" s="9" t="inlineStr">
        <is>
          <t>1024</t>
        </is>
      </c>
      <c r="O10" s="9" t="inlineStr">
        <is>
          <t>selected_public_max</t>
        </is>
      </c>
      <c r="P10" s="9" t="inlineStr">
        <is>
          <t>best_available_below_target</t>
        </is>
      </c>
      <c r="Q10" s="9" t="inlineStr">
        <is>
          <t>low_target_gap</t>
        </is>
      </c>
      <c r="R10" s="9" t="inlineStr">
        <is>
          <t>2026-05-20T00:00:00.000Z</t>
        </is>
      </c>
      <c r="S10" s="9" t="inlineStr">
        <is>
          <t>tok_s_user is computed as output_tok_s_gpu/concurrency when source tok_s_user is blank; agentic_derived uses long_chat rows multiplied by the Kimi K2.5 agentic/long ratio.</t>
        </is>
      </c>
    </row>
    <row r="11">
      <c r="A11" s="9" t="inlineStr">
        <is>
          <t>dsr1</t>
        </is>
      </c>
      <c r="B11" s="9" t="inlineStr">
        <is>
          <t>dsr1</t>
        </is>
      </c>
      <c r="C11" s="9" t="inlineStr">
        <is>
          <t>H200</t>
        </is>
      </c>
      <c r="D11" s="9" t="inlineStr">
        <is>
          <t>long</t>
        </is>
      </c>
      <c r="E11" s="9" t="inlineStr">
        <is>
          <t>100</t>
        </is>
      </c>
      <c r="F11" s="9" t="inlineStr">
        <is>
          <t>False</t>
        </is>
      </c>
      <c r="G11" s="10" t="inlineStr">
        <is>
          <t>0.8801000000000001</t>
        </is>
      </c>
      <c r="H11" s="11" t="inlineStr">
        <is>
          <t>27722.0</t>
        </is>
      </c>
      <c r="I11" s="12" t="inlineStr">
        <is>
          <t>11.99</t>
        </is>
      </c>
      <c r="J11" s="9" t="inlineStr">
        <is>
          <t>fp8</t>
        </is>
      </c>
      <c r="K11" s="9" t="inlineStr">
        <is>
          <t>sglang</t>
        </is>
      </c>
      <c r="L11" s="9" t="inlineStr">
        <is>
          <t>4</t>
        </is>
      </c>
      <c r="M11" s="9" t="inlineStr">
        <is>
          <t>8192</t>
        </is>
      </c>
      <c r="N11" s="9" t="inlineStr">
        <is>
          <t>1024</t>
        </is>
      </c>
      <c r="O11" s="9" t="inlineStr">
        <is>
          <t>selected_public_max</t>
        </is>
      </c>
      <c r="P11" s="9" t="inlineStr">
        <is>
          <t>best_available_below_target</t>
        </is>
      </c>
      <c r="Q11" s="9" t="inlineStr">
        <is>
          <t>low_target_gap</t>
        </is>
      </c>
      <c r="R11" s="9" t="inlineStr">
        <is>
          <t>2026-05-20T00:00:00.000Z</t>
        </is>
      </c>
      <c r="S11" s="9" t="inlineStr">
        <is>
          <t>tok_s_user is computed as output_tok_s_gpu/concurrency when source tok_s_user is blank; agentic_derived uses long_chat rows multiplied by the Kimi K2.5 agentic/long ratio.</t>
        </is>
      </c>
    </row>
    <row r="12">
      <c r="A12" s="13" t="inlineStr">
        <is>
          <t>dsr1</t>
        </is>
      </c>
      <c r="B12" s="13" t="inlineStr">
        <is>
          <t>dsr1</t>
        </is>
      </c>
      <c r="C12" s="13" t="inlineStr">
        <is>
          <t>H200</t>
        </is>
      </c>
      <c r="D12" s="13" t="inlineStr">
        <is>
          <t>agentic</t>
        </is>
      </c>
      <c r="E12" s="13" t="inlineStr">
        <is>
          <t>10</t>
        </is>
      </c>
      <c r="F12" s="13" t="inlineStr">
        <is>
          <t>False</t>
        </is>
      </c>
      <c r="G12" s="14" t="inlineStr">
        <is>
          <t>0.8696739130434782</t>
        </is>
      </c>
      <c r="H12" s="15" t="inlineStr">
        <is>
          <t>3013.2608695652175</t>
        </is>
      </c>
      <c r="I12" s="16" t="inlineStr">
        <is>
          <t>1.3032608695652175</t>
        </is>
      </c>
      <c r="J12" s="13" t="inlineStr">
        <is>
          <t>fp8</t>
        </is>
      </c>
      <c r="K12" s="13" t="inlineStr">
        <is>
          <t>sglang</t>
        </is>
      </c>
      <c r="L12" s="13" t="inlineStr">
        <is>
          <t>4</t>
        </is>
      </c>
      <c r="M12" s="13" t="inlineStr">
        <is>
          <t>8192</t>
        </is>
      </c>
      <c r="N12" s="13" t="inlineStr">
        <is>
          <t>1024</t>
        </is>
      </c>
      <c r="O12" s="13" t="inlineStr">
        <is>
          <t>agentic_from_long_chat</t>
        </is>
      </c>
      <c r="P12" s="13" t="inlineStr">
        <is>
          <t>dynamic_reasoning_proxy</t>
        </is>
      </c>
      <c r="Q12" s="13" t="inlineStr">
        <is>
          <t>low_target_gap</t>
        </is>
      </c>
      <c r="R12" s="13" t="inlineStr">
        <is>
          <t>2026-05-20T00:00:00.000Z</t>
        </is>
      </c>
      <c r="S12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3">
      <c r="A13" s="13" t="inlineStr">
        <is>
          <t>dsr1</t>
        </is>
      </c>
      <c r="B13" s="13" t="inlineStr">
        <is>
          <t>dsr1</t>
        </is>
      </c>
      <c r="C13" s="13" t="inlineStr">
        <is>
          <t>H200</t>
        </is>
      </c>
      <c r="D13" s="13" t="inlineStr">
        <is>
          <t>agentic</t>
        </is>
      </c>
      <c r="E13" s="13" t="inlineStr">
        <is>
          <t>30</t>
        </is>
      </c>
      <c r="F13" s="13" t="inlineStr">
        <is>
          <t>False</t>
        </is>
      </c>
      <c r="G13" s="14" t="inlineStr">
        <is>
          <t>0.9565579710144927</t>
        </is>
      </c>
      <c r="H13" s="15" t="inlineStr">
        <is>
          <t>3013.2608695652175</t>
        </is>
      </c>
      <c r="I13" s="16" t="inlineStr">
        <is>
          <t>1.3032608695652175</t>
        </is>
      </c>
      <c r="J13" s="13" t="inlineStr">
        <is>
          <t>fp8</t>
        </is>
      </c>
      <c r="K13" s="13" t="inlineStr">
        <is>
          <t>sglang</t>
        </is>
      </c>
      <c r="L13" s="13" t="inlineStr">
        <is>
          <t>4</t>
        </is>
      </c>
      <c r="M13" s="13" t="inlineStr">
        <is>
          <t>8192</t>
        </is>
      </c>
      <c r="N13" s="13" t="inlineStr">
        <is>
          <t>1024</t>
        </is>
      </c>
      <c r="O13" s="13" t="inlineStr">
        <is>
          <t>agentic_from_long_chat</t>
        </is>
      </c>
      <c r="P13" s="13" t="inlineStr">
        <is>
          <t>dynamic_reasoning_proxy</t>
        </is>
      </c>
      <c r="Q13" s="13" t="inlineStr">
        <is>
          <t>low_target_gap</t>
        </is>
      </c>
      <c r="R13" s="13" t="inlineStr">
        <is>
          <t>2026-05-20T00:00:00.000Z</t>
        </is>
      </c>
      <c r="S1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4">
      <c r="A14" s="13" t="inlineStr">
        <is>
          <t>dsr1</t>
        </is>
      </c>
      <c r="B14" s="13" t="inlineStr">
        <is>
          <t>dsr1</t>
        </is>
      </c>
      <c r="C14" s="13" t="inlineStr">
        <is>
          <t>H200</t>
        </is>
      </c>
      <c r="D14" s="13" t="inlineStr">
        <is>
          <t>agentic</t>
        </is>
      </c>
      <c r="E14" s="13" t="inlineStr">
        <is>
          <t>50</t>
        </is>
      </c>
      <c r="F14" s="13" t="inlineStr">
        <is>
          <t>False</t>
        </is>
      </c>
      <c r="G14" s="14" t="inlineStr">
        <is>
          <t>0.9739347826086957</t>
        </is>
      </c>
      <c r="H14" s="15" t="inlineStr">
        <is>
          <t>3013.2608695652175</t>
        </is>
      </c>
      <c r="I14" s="16" t="inlineStr">
        <is>
          <t>1.3032608695652175</t>
        </is>
      </c>
      <c r="J14" s="13" t="inlineStr">
        <is>
          <t>fp8</t>
        </is>
      </c>
      <c r="K14" s="13" t="inlineStr">
        <is>
          <t>sglang</t>
        </is>
      </c>
      <c r="L14" s="13" t="inlineStr">
        <is>
          <t>4</t>
        </is>
      </c>
      <c r="M14" s="13" t="inlineStr">
        <is>
          <t>8192</t>
        </is>
      </c>
      <c r="N14" s="13" t="inlineStr">
        <is>
          <t>1024</t>
        </is>
      </c>
      <c r="O14" s="13" t="inlineStr">
        <is>
          <t>agentic_from_long_chat</t>
        </is>
      </c>
      <c r="P14" s="13" t="inlineStr">
        <is>
          <t>dynamic_reasoning_proxy</t>
        </is>
      </c>
      <c r="Q14" s="13" t="inlineStr">
        <is>
          <t>low_target_gap</t>
        </is>
      </c>
      <c r="R14" s="13" t="inlineStr">
        <is>
          <t>2026-05-20T00:00:00.000Z</t>
        </is>
      </c>
      <c r="S1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">
      <c r="A15" s="13" t="inlineStr">
        <is>
          <t>dsr1</t>
        </is>
      </c>
      <c r="B15" s="13" t="inlineStr">
        <is>
          <t>dsr1</t>
        </is>
      </c>
      <c r="C15" s="13" t="inlineStr">
        <is>
          <t>H200</t>
        </is>
      </c>
      <c r="D15" s="13" t="inlineStr">
        <is>
          <t>agentic</t>
        </is>
      </c>
      <c r="E15" s="13" t="inlineStr">
        <is>
          <t>70</t>
        </is>
      </c>
      <c r="F15" s="13" t="inlineStr">
        <is>
          <t>False</t>
        </is>
      </c>
      <c r="G15" s="14" t="inlineStr">
        <is>
          <t>0.9813819875776397</t>
        </is>
      </c>
      <c r="H15" s="15" t="inlineStr">
        <is>
          <t>3013.2608695652175</t>
        </is>
      </c>
      <c r="I15" s="16" t="inlineStr">
        <is>
          <t>1.3032608695652175</t>
        </is>
      </c>
      <c r="J15" s="13" t="inlineStr">
        <is>
          <t>fp8</t>
        </is>
      </c>
      <c r="K15" s="13" t="inlineStr">
        <is>
          <t>sglang</t>
        </is>
      </c>
      <c r="L15" s="13" t="inlineStr">
        <is>
          <t>4</t>
        </is>
      </c>
      <c r="M15" s="13" t="inlineStr">
        <is>
          <t>8192</t>
        </is>
      </c>
      <c r="N15" s="13" t="inlineStr">
        <is>
          <t>1024</t>
        </is>
      </c>
      <c r="O15" s="13" t="inlineStr">
        <is>
          <t>agentic_from_long_chat</t>
        </is>
      </c>
      <c r="P15" s="13" t="inlineStr">
        <is>
          <t>dynamic_reasoning_proxy</t>
        </is>
      </c>
      <c r="Q15" s="13" t="inlineStr">
        <is>
          <t>low_target_gap</t>
        </is>
      </c>
      <c r="R15" s="13" t="inlineStr">
        <is>
          <t>2026-05-20T00:00:00.000Z</t>
        </is>
      </c>
      <c r="S1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">
      <c r="A16" s="13" t="inlineStr">
        <is>
          <t>dsr1</t>
        </is>
      </c>
      <c r="B16" s="13" t="inlineStr">
        <is>
          <t>dsr1</t>
        </is>
      </c>
      <c r="C16" s="13" t="inlineStr">
        <is>
          <t>H200</t>
        </is>
      </c>
      <c r="D16" s="13" t="inlineStr">
        <is>
          <t>agentic</t>
        </is>
      </c>
      <c r="E16" s="13" t="inlineStr">
        <is>
          <t>100</t>
        </is>
      </c>
      <c r="F16" s="13" t="inlineStr">
        <is>
          <t>False</t>
        </is>
      </c>
      <c r="G16" s="14" t="inlineStr">
        <is>
          <t>0.9869673913043477</t>
        </is>
      </c>
      <c r="H16" s="15" t="inlineStr">
        <is>
          <t>3013.2608695652175</t>
        </is>
      </c>
      <c r="I16" s="16" t="inlineStr">
        <is>
          <t>1.3032608695652175</t>
        </is>
      </c>
      <c r="J16" s="13" t="inlineStr">
        <is>
          <t>fp8</t>
        </is>
      </c>
      <c r="K16" s="13" t="inlineStr">
        <is>
          <t>sglang</t>
        </is>
      </c>
      <c r="L16" s="13" t="inlineStr">
        <is>
          <t>4</t>
        </is>
      </c>
      <c r="M16" s="13" t="inlineStr">
        <is>
          <t>8192</t>
        </is>
      </c>
      <c r="N16" s="13" t="inlineStr">
        <is>
          <t>1024</t>
        </is>
      </c>
      <c r="O16" s="13" t="inlineStr">
        <is>
          <t>agentic_from_long_chat</t>
        </is>
      </c>
      <c r="P16" s="13" t="inlineStr">
        <is>
          <t>dynamic_reasoning_proxy</t>
        </is>
      </c>
      <c r="Q16" s="13" t="inlineStr">
        <is>
          <t>low_target_gap</t>
        </is>
      </c>
      <c r="R16" s="13" t="inlineStr">
        <is>
          <t>2026-05-20T00:00:00.000Z</t>
        </is>
      </c>
      <c r="S1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7">
      <c r="A17" s="5" t="inlineStr">
        <is>
          <t>dsr1</t>
        </is>
      </c>
      <c r="B17" s="5" t="inlineStr">
        <is>
          <t>dsr1</t>
        </is>
      </c>
      <c r="C17" s="5" t="inlineStr">
        <is>
          <t>B200</t>
        </is>
      </c>
      <c r="D17" s="5" t="inlineStr">
        <is>
          <t>short</t>
        </is>
      </c>
      <c r="E17" s="5" t="inlineStr">
        <is>
          <t>10</t>
        </is>
      </c>
      <c r="F17" s="5" t="inlineStr">
        <is>
          <t>True</t>
        </is>
      </c>
      <c r="G17" s="6" t="inlineStr">
        <is>
          <t>0.0</t>
        </is>
      </c>
      <c r="H17" s="7" t="inlineStr">
        <is>
          <t>87925.0</t>
        </is>
      </c>
      <c r="I17" s="8" t="inlineStr">
        <is>
          <t>11.92</t>
        </is>
      </c>
      <c r="J17" s="5" t="inlineStr">
        <is>
          <t>fp8</t>
        </is>
      </c>
      <c r="K17" s="5" t="inlineStr">
        <is>
          <t>sglang</t>
        </is>
      </c>
      <c r="L17" s="5" t="inlineStr">
        <is>
          <t>16</t>
        </is>
      </c>
      <c r="M17" s="5" t="inlineStr">
        <is>
          <t>1024</t>
        </is>
      </c>
      <c r="N17" s="5" t="inlineStr">
        <is>
          <t>1024</t>
        </is>
      </c>
      <c r="O17" s="5" t="inlineStr">
        <is>
          <t>selected_public_max</t>
        </is>
      </c>
      <c r="P17" s="5" t="inlineStr">
        <is>
          <t>direct_target_row</t>
        </is>
      </c>
      <c r="Q17" s="5" t="inlineStr">
        <is>
          <t>medium</t>
        </is>
      </c>
      <c r="R17" s="5" t="inlineStr">
        <is>
          <t>2026-05-22T00:00:00.000Z</t>
        </is>
      </c>
      <c r="S17" s="5" t="inlineStr">
        <is>
          <t>tok_s_user is computed as output_tok_s_gpu/concurrency when source tok_s_user is blank; agentic_derived uses long_chat rows multiplied by the Kimi K2.5 agentic/long ratio.</t>
        </is>
      </c>
    </row>
    <row r="18">
      <c r="A18" s="9" t="inlineStr">
        <is>
          <t>dsr1</t>
        </is>
      </c>
      <c r="B18" s="9" t="inlineStr">
        <is>
          <t>dsr1</t>
        </is>
      </c>
      <c r="C18" s="9" t="inlineStr">
        <is>
          <t>B200</t>
        </is>
      </c>
      <c r="D18" s="9" t="inlineStr">
        <is>
          <t>short</t>
        </is>
      </c>
      <c r="E18" s="9" t="inlineStr">
        <is>
          <t>30</t>
        </is>
      </c>
      <c r="F18" s="9" t="inlineStr">
        <is>
          <t>False</t>
        </is>
      </c>
      <c r="G18" s="10" t="inlineStr">
        <is>
          <t>0.6026666666666666</t>
        </is>
      </c>
      <c r="H18" s="11" t="inlineStr">
        <is>
          <t>87925.0</t>
        </is>
      </c>
      <c r="I18" s="12" t="inlineStr">
        <is>
          <t>11.92</t>
        </is>
      </c>
      <c r="J18" s="9" t="inlineStr">
        <is>
          <t>fp8</t>
        </is>
      </c>
      <c r="K18" s="9" t="inlineStr">
        <is>
          <t>sglang</t>
        </is>
      </c>
      <c r="L18" s="9" t="inlineStr">
        <is>
          <t>16</t>
        </is>
      </c>
      <c r="M18" s="9" t="inlineStr">
        <is>
          <t>1024</t>
        </is>
      </c>
      <c r="N18" s="9" t="inlineStr">
        <is>
          <t>1024</t>
        </is>
      </c>
      <c r="O18" s="9" t="inlineStr">
        <is>
          <t>selected_public_max</t>
        </is>
      </c>
      <c r="P18" s="9" t="inlineStr">
        <is>
          <t>best_available_below_target</t>
        </is>
      </c>
      <c r="Q18" s="9" t="inlineStr">
        <is>
          <t>low_target_gap</t>
        </is>
      </c>
      <c r="R18" s="9" t="inlineStr">
        <is>
          <t>2026-05-22T00:00:00.000Z</t>
        </is>
      </c>
      <c r="S18" s="9" t="inlineStr">
        <is>
          <t>tok_s_user is computed as output_tok_s_gpu/concurrency when source tok_s_user is blank; agentic_derived uses long_chat rows multiplied by the Kimi K2.5 agentic/long ratio.</t>
        </is>
      </c>
    </row>
    <row r="19">
      <c r="A19" s="9" t="inlineStr">
        <is>
          <t>dsr1</t>
        </is>
      </c>
      <c r="B19" s="9" t="inlineStr">
        <is>
          <t>dsr1</t>
        </is>
      </c>
      <c r="C19" s="9" t="inlineStr">
        <is>
          <t>B200</t>
        </is>
      </c>
      <c r="D19" s="9" t="inlineStr">
        <is>
          <t>short</t>
        </is>
      </c>
      <c r="E19" s="9" t="inlineStr">
        <is>
          <t>50</t>
        </is>
      </c>
      <c r="F19" s="9" t="inlineStr">
        <is>
          <t>False</t>
        </is>
      </c>
      <c r="G19" s="10" t="inlineStr">
        <is>
          <t>0.7615999999999999</t>
        </is>
      </c>
      <c r="H19" s="11" t="inlineStr">
        <is>
          <t>87925.0</t>
        </is>
      </c>
      <c r="I19" s="12" t="inlineStr">
        <is>
          <t>11.92</t>
        </is>
      </c>
      <c r="J19" s="9" t="inlineStr">
        <is>
          <t>fp8</t>
        </is>
      </c>
      <c r="K19" s="9" t="inlineStr">
        <is>
          <t>sglang</t>
        </is>
      </c>
      <c r="L19" s="9" t="inlineStr">
        <is>
          <t>16</t>
        </is>
      </c>
      <c r="M19" s="9" t="inlineStr">
        <is>
          <t>1024</t>
        </is>
      </c>
      <c r="N19" s="9" t="inlineStr">
        <is>
          <t>1024</t>
        </is>
      </c>
      <c r="O19" s="9" t="inlineStr">
        <is>
          <t>selected_public_max</t>
        </is>
      </c>
      <c r="P19" s="9" t="inlineStr">
        <is>
          <t>best_available_below_target</t>
        </is>
      </c>
      <c r="Q19" s="9" t="inlineStr">
        <is>
          <t>low_target_gap</t>
        </is>
      </c>
      <c r="R19" s="9" t="inlineStr">
        <is>
          <t>2026-05-22T00:00:00.000Z</t>
        </is>
      </c>
      <c r="S19" s="9" t="inlineStr">
        <is>
          <t>tok_s_user is computed as output_tok_s_gpu/concurrency when source tok_s_user is blank; agentic_derived uses long_chat rows multiplied by the Kimi K2.5 agentic/long ratio.</t>
        </is>
      </c>
    </row>
    <row r="20">
      <c r="A20" s="9" t="inlineStr">
        <is>
          <t>dsr1</t>
        </is>
      </c>
      <c r="B20" s="9" t="inlineStr">
        <is>
          <t>dsr1</t>
        </is>
      </c>
      <c r="C20" s="9" t="inlineStr">
        <is>
          <t>B200</t>
        </is>
      </c>
      <c r="D20" s="9" t="inlineStr">
        <is>
          <t>short</t>
        </is>
      </c>
      <c r="E20" s="9" t="inlineStr">
        <is>
          <t>70</t>
        </is>
      </c>
      <c r="F20" s="9" t="inlineStr">
        <is>
          <t>False</t>
        </is>
      </c>
      <c r="G20" s="10" t="inlineStr">
        <is>
          <t>0.8297142857142857</t>
        </is>
      </c>
      <c r="H20" s="11" t="inlineStr">
        <is>
          <t>87925.0</t>
        </is>
      </c>
      <c r="I20" s="12" t="inlineStr">
        <is>
          <t>11.92</t>
        </is>
      </c>
      <c r="J20" s="9" t="inlineStr">
        <is>
          <t>fp8</t>
        </is>
      </c>
      <c r="K20" s="9" t="inlineStr">
        <is>
          <t>sglang</t>
        </is>
      </c>
      <c r="L20" s="9" t="inlineStr">
        <is>
          <t>16</t>
        </is>
      </c>
      <c r="M20" s="9" t="inlineStr">
        <is>
          <t>1024</t>
        </is>
      </c>
      <c r="N20" s="9" t="inlineStr">
        <is>
          <t>1024</t>
        </is>
      </c>
      <c r="O20" s="9" t="inlineStr">
        <is>
          <t>selected_public_max</t>
        </is>
      </c>
      <c r="P20" s="9" t="inlineStr">
        <is>
          <t>best_available_below_target</t>
        </is>
      </c>
      <c r="Q20" s="9" t="inlineStr">
        <is>
          <t>low_target_gap</t>
        </is>
      </c>
      <c r="R20" s="9" t="inlineStr">
        <is>
          <t>2026-05-22T00:00:00.000Z</t>
        </is>
      </c>
      <c r="S20" s="9" t="inlineStr">
        <is>
          <t>tok_s_user is computed as output_tok_s_gpu/concurrency when source tok_s_user is blank; agentic_derived uses long_chat rows multiplied by the Kimi K2.5 agentic/long ratio.</t>
        </is>
      </c>
    </row>
    <row r="21">
      <c r="A21" s="9" t="inlineStr">
        <is>
          <t>dsr1</t>
        </is>
      </c>
      <c r="B21" s="9" t="inlineStr">
        <is>
          <t>dsr1</t>
        </is>
      </c>
      <c r="C21" s="9" t="inlineStr">
        <is>
          <t>B200</t>
        </is>
      </c>
      <c r="D21" s="9" t="inlineStr">
        <is>
          <t>short</t>
        </is>
      </c>
      <c r="E21" s="9" t="inlineStr">
        <is>
          <t>100</t>
        </is>
      </c>
      <c r="F21" s="9" t="inlineStr">
        <is>
          <t>False</t>
        </is>
      </c>
      <c r="G21" s="10" t="inlineStr">
        <is>
          <t>0.8808</t>
        </is>
      </c>
      <c r="H21" s="11" t="inlineStr">
        <is>
          <t>87925.0</t>
        </is>
      </c>
      <c r="I21" s="12" t="inlineStr">
        <is>
          <t>11.92</t>
        </is>
      </c>
      <c r="J21" s="9" t="inlineStr">
        <is>
          <t>fp8</t>
        </is>
      </c>
      <c r="K21" s="9" t="inlineStr">
        <is>
          <t>sglang</t>
        </is>
      </c>
      <c r="L21" s="9" t="inlineStr">
        <is>
          <t>16</t>
        </is>
      </c>
      <c r="M21" s="9" t="inlineStr">
        <is>
          <t>1024</t>
        </is>
      </c>
      <c r="N21" s="9" t="inlineStr">
        <is>
          <t>1024</t>
        </is>
      </c>
      <c r="O21" s="9" t="inlineStr">
        <is>
          <t>selected_public_max</t>
        </is>
      </c>
      <c r="P21" s="9" t="inlineStr">
        <is>
          <t>best_available_below_target</t>
        </is>
      </c>
      <c r="Q21" s="9" t="inlineStr">
        <is>
          <t>low_target_gap</t>
        </is>
      </c>
      <c r="R21" s="9" t="inlineStr">
        <is>
          <t>2026-05-22T00:00:00.000Z</t>
        </is>
      </c>
      <c r="S21" s="9" t="inlineStr">
        <is>
          <t>tok_s_user is computed as output_tok_s_gpu/concurrency when source tok_s_user is blank; agentic_derived uses long_chat rows multiplied by the Kimi K2.5 agentic/long ratio.</t>
        </is>
      </c>
    </row>
    <row r="22">
      <c r="A22" s="5" t="inlineStr">
        <is>
          <t>dsr1</t>
        </is>
      </c>
      <c r="B22" s="5" t="inlineStr">
        <is>
          <t>dsr1</t>
        </is>
      </c>
      <c r="C22" s="5" t="inlineStr">
        <is>
          <t>B200</t>
        </is>
      </c>
      <c r="D22" s="5" t="inlineStr">
        <is>
          <t>long</t>
        </is>
      </c>
      <c r="E22" s="5" t="inlineStr">
        <is>
          <t>10</t>
        </is>
      </c>
      <c r="F22" s="5" t="inlineStr">
        <is>
          <t>True</t>
        </is>
      </c>
      <c r="G22" s="6" t="inlineStr">
        <is>
          <t>0.0</t>
        </is>
      </c>
      <c r="H22" s="7" t="inlineStr">
        <is>
          <t>79568.0</t>
        </is>
      </c>
      <c r="I22" s="8" t="inlineStr">
        <is>
          <t>10.79</t>
        </is>
      </c>
      <c r="J22" s="5" t="inlineStr">
        <is>
          <t>fp8</t>
        </is>
      </c>
      <c r="K22" s="5" t="inlineStr">
        <is>
          <t>sglang</t>
        </is>
      </c>
      <c r="L22" s="5" t="inlineStr">
        <is>
          <t>16</t>
        </is>
      </c>
      <c r="M22" s="5" t="inlineStr">
        <is>
          <t>8192</t>
        </is>
      </c>
      <c r="N22" s="5" t="inlineStr">
        <is>
          <t>1024</t>
        </is>
      </c>
      <c r="O22" s="5" t="inlineStr">
        <is>
          <t>selected_public_max</t>
        </is>
      </c>
      <c r="P22" s="5" t="inlineStr">
        <is>
          <t>direct_target_row</t>
        </is>
      </c>
      <c r="Q22" s="5" t="inlineStr">
        <is>
          <t>medium</t>
        </is>
      </c>
      <c r="R22" s="5" t="inlineStr">
        <is>
          <t>2026-05-20T00:00:00.000Z</t>
        </is>
      </c>
      <c r="S22" s="5" t="inlineStr">
        <is>
          <t>tok_s_user is computed as output_tok_s_gpu/concurrency when source tok_s_user is blank; agentic_derived uses long_chat rows multiplied by the Kimi K2.5 agentic/long ratio.</t>
        </is>
      </c>
    </row>
    <row r="23">
      <c r="A23" s="9" t="inlineStr">
        <is>
          <t>dsr1</t>
        </is>
      </c>
      <c r="B23" s="9" t="inlineStr">
        <is>
          <t>dsr1</t>
        </is>
      </c>
      <c r="C23" s="9" t="inlineStr">
        <is>
          <t>B200</t>
        </is>
      </c>
      <c r="D23" s="9" t="inlineStr">
        <is>
          <t>long</t>
        </is>
      </c>
      <c r="E23" s="9" t="inlineStr">
        <is>
          <t>30</t>
        </is>
      </c>
      <c r="F23" s="9" t="inlineStr">
        <is>
          <t>False</t>
        </is>
      </c>
      <c r="G23" s="10" t="inlineStr">
        <is>
          <t>0.6403333333333333</t>
        </is>
      </c>
      <c r="H23" s="11" t="inlineStr">
        <is>
          <t>79568.0</t>
        </is>
      </c>
      <c r="I23" s="12" t="inlineStr">
        <is>
          <t>10.79</t>
        </is>
      </c>
      <c r="J23" s="9" t="inlineStr">
        <is>
          <t>fp8</t>
        </is>
      </c>
      <c r="K23" s="9" t="inlineStr">
        <is>
          <t>sglang</t>
        </is>
      </c>
      <c r="L23" s="9" t="inlineStr">
        <is>
          <t>16</t>
        </is>
      </c>
      <c r="M23" s="9" t="inlineStr">
        <is>
          <t>8192</t>
        </is>
      </c>
      <c r="N23" s="9" t="inlineStr">
        <is>
          <t>1024</t>
        </is>
      </c>
      <c r="O23" s="9" t="inlineStr">
        <is>
          <t>selected_public_max</t>
        </is>
      </c>
      <c r="P23" s="9" t="inlineStr">
        <is>
          <t>best_available_below_target</t>
        </is>
      </c>
      <c r="Q23" s="9" t="inlineStr">
        <is>
          <t>low_target_gap</t>
        </is>
      </c>
      <c r="R23" s="9" t="inlineStr">
        <is>
          <t>2026-05-20T00:00:00.000Z</t>
        </is>
      </c>
      <c r="S23" s="9" t="inlineStr">
        <is>
          <t>tok_s_user is computed as output_tok_s_gpu/concurrency when source tok_s_user is blank; agentic_derived uses long_chat rows multiplied by the Kimi K2.5 agentic/long ratio.</t>
        </is>
      </c>
    </row>
    <row r="24">
      <c r="A24" s="9" t="inlineStr">
        <is>
          <t>dsr1</t>
        </is>
      </c>
      <c r="B24" s="9" t="inlineStr">
        <is>
          <t>dsr1</t>
        </is>
      </c>
      <c r="C24" s="9" t="inlineStr">
        <is>
          <t>B200</t>
        </is>
      </c>
      <c r="D24" s="9" t="inlineStr">
        <is>
          <t>long</t>
        </is>
      </c>
      <c r="E24" s="9" t="inlineStr">
        <is>
          <t>50</t>
        </is>
      </c>
      <c r="F24" s="9" t="inlineStr">
        <is>
          <t>False</t>
        </is>
      </c>
      <c r="G24" s="10" t="inlineStr">
        <is>
          <t>0.7842</t>
        </is>
      </c>
      <c r="H24" s="11" t="inlineStr">
        <is>
          <t>79568.0</t>
        </is>
      </c>
      <c r="I24" s="12" t="inlineStr">
        <is>
          <t>10.79</t>
        </is>
      </c>
      <c r="J24" s="9" t="inlineStr">
        <is>
          <t>fp8</t>
        </is>
      </c>
      <c r="K24" s="9" t="inlineStr">
        <is>
          <t>sglang</t>
        </is>
      </c>
      <c r="L24" s="9" t="inlineStr">
        <is>
          <t>16</t>
        </is>
      </c>
      <c r="M24" s="9" t="inlineStr">
        <is>
          <t>8192</t>
        </is>
      </c>
      <c r="N24" s="9" t="inlineStr">
        <is>
          <t>1024</t>
        </is>
      </c>
      <c r="O24" s="9" t="inlineStr">
        <is>
          <t>selected_public_max</t>
        </is>
      </c>
      <c r="P24" s="9" t="inlineStr">
        <is>
          <t>best_available_below_target</t>
        </is>
      </c>
      <c r="Q24" s="9" t="inlineStr">
        <is>
          <t>low_target_gap</t>
        </is>
      </c>
      <c r="R24" s="9" t="inlineStr">
        <is>
          <t>2026-05-20T00:00:00.000Z</t>
        </is>
      </c>
      <c r="S24" s="9" t="inlineStr">
        <is>
          <t>tok_s_user is computed as output_tok_s_gpu/concurrency when source tok_s_user is blank; agentic_derived uses long_chat rows multiplied by the Kimi K2.5 agentic/long ratio.</t>
        </is>
      </c>
    </row>
    <row r="25">
      <c r="A25" s="9" t="inlineStr">
        <is>
          <t>dsr1</t>
        </is>
      </c>
      <c r="B25" s="9" t="inlineStr">
        <is>
          <t>dsr1</t>
        </is>
      </c>
      <c r="C25" s="9" t="inlineStr">
        <is>
          <t>B200</t>
        </is>
      </c>
      <c r="D25" s="9" t="inlineStr">
        <is>
          <t>long</t>
        </is>
      </c>
      <c r="E25" s="9" t="inlineStr">
        <is>
          <t>70</t>
        </is>
      </c>
      <c r="F25" s="9" t="inlineStr">
        <is>
          <t>False</t>
        </is>
      </c>
      <c r="G25" s="10" t="inlineStr">
        <is>
          <t>0.8458571428571429</t>
        </is>
      </c>
      <c r="H25" s="11" t="inlineStr">
        <is>
          <t>79568.0</t>
        </is>
      </c>
      <c r="I25" s="12" t="inlineStr">
        <is>
          <t>10.79</t>
        </is>
      </c>
      <c r="J25" s="9" t="inlineStr">
        <is>
          <t>fp8</t>
        </is>
      </c>
      <c r="K25" s="9" t="inlineStr">
        <is>
          <t>sglang</t>
        </is>
      </c>
      <c r="L25" s="9" t="inlineStr">
        <is>
          <t>16</t>
        </is>
      </c>
      <c r="M25" s="9" t="inlineStr">
        <is>
          <t>8192</t>
        </is>
      </c>
      <c r="N25" s="9" t="inlineStr">
        <is>
          <t>1024</t>
        </is>
      </c>
      <c r="O25" s="9" t="inlineStr">
        <is>
          <t>selected_public_max</t>
        </is>
      </c>
      <c r="P25" s="9" t="inlineStr">
        <is>
          <t>best_available_below_target</t>
        </is>
      </c>
      <c r="Q25" s="9" t="inlineStr">
        <is>
          <t>low_target_gap</t>
        </is>
      </c>
      <c r="R25" s="9" t="inlineStr">
        <is>
          <t>2026-05-20T00:00:00.000Z</t>
        </is>
      </c>
      <c r="S25" s="9" t="inlineStr">
        <is>
          <t>tok_s_user is computed as output_tok_s_gpu/concurrency when source tok_s_user is blank; agentic_derived uses long_chat rows multiplied by the Kimi K2.5 agentic/long ratio.</t>
        </is>
      </c>
    </row>
    <row r="26">
      <c r="A26" s="9" t="inlineStr">
        <is>
          <t>dsr1</t>
        </is>
      </c>
      <c r="B26" s="9" t="inlineStr">
        <is>
          <t>dsr1</t>
        </is>
      </c>
      <c r="C26" s="9" t="inlineStr">
        <is>
          <t>B200</t>
        </is>
      </c>
      <c r="D26" s="9" t="inlineStr">
        <is>
          <t>long</t>
        </is>
      </c>
      <c r="E26" s="9" t="inlineStr">
        <is>
          <t>100</t>
        </is>
      </c>
      <c r="F26" s="9" t="inlineStr">
        <is>
          <t>False</t>
        </is>
      </c>
      <c r="G26" s="10" t="inlineStr">
        <is>
          <t>0.8921000000000001</t>
        </is>
      </c>
      <c r="H26" s="11" t="inlineStr">
        <is>
          <t>79568.0</t>
        </is>
      </c>
      <c r="I26" s="12" t="inlineStr">
        <is>
          <t>10.79</t>
        </is>
      </c>
      <c r="J26" s="9" t="inlineStr">
        <is>
          <t>fp8</t>
        </is>
      </c>
      <c r="K26" s="9" t="inlineStr">
        <is>
          <t>sglang</t>
        </is>
      </c>
      <c r="L26" s="9" t="inlineStr">
        <is>
          <t>16</t>
        </is>
      </c>
      <c r="M26" s="9" t="inlineStr">
        <is>
          <t>8192</t>
        </is>
      </c>
      <c r="N26" s="9" t="inlineStr">
        <is>
          <t>1024</t>
        </is>
      </c>
      <c r="O26" s="9" t="inlineStr">
        <is>
          <t>selected_public_max</t>
        </is>
      </c>
      <c r="P26" s="9" t="inlineStr">
        <is>
          <t>best_available_below_target</t>
        </is>
      </c>
      <c r="Q26" s="9" t="inlineStr">
        <is>
          <t>low_target_gap</t>
        </is>
      </c>
      <c r="R26" s="9" t="inlineStr">
        <is>
          <t>2026-05-20T00:00:00.000Z</t>
        </is>
      </c>
      <c r="S26" s="9" t="inlineStr">
        <is>
          <t>tok_s_user is computed as output_tok_s_gpu/concurrency when source tok_s_user is blank; agentic_derived uses long_chat rows multiplied by the Kimi K2.5 agentic/long ratio.</t>
        </is>
      </c>
    </row>
    <row r="27">
      <c r="A27" s="13" t="inlineStr">
        <is>
          <t>dsr1</t>
        </is>
      </c>
      <c r="B27" s="13" t="inlineStr">
        <is>
          <t>dsr1</t>
        </is>
      </c>
      <c r="C27" s="13" t="inlineStr">
        <is>
          <t>B200</t>
        </is>
      </c>
      <c r="D27" s="13" t="inlineStr">
        <is>
          <t>agentic</t>
        </is>
      </c>
      <c r="E27" s="13" t="inlineStr">
        <is>
          <t>10</t>
        </is>
      </c>
      <c r="F27" s="13" t="inlineStr">
        <is>
          <t>False</t>
        </is>
      </c>
      <c r="G27" s="14" t="inlineStr">
        <is>
          <t>0.8827173913043478</t>
        </is>
      </c>
      <c r="H27" s="15" t="inlineStr">
        <is>
          <t>8648.695652173914</t>
        </is>
      </c>
      <c r="I27" s="16" t="inlineStr">
        <is>
          <t>1.1728260869565217</t>
        </is>
      </c>
      <c r="J27" s="13" t="inlineStr">
        <is>
          <t>fp8</t>
        </is>
      </c>
      <c r="K27" s="13" t="inlineStr">
        <is>
          <t>sglang</t>
        </is>
      </c>
      <c r="L27" s="13" t="inlineStr">
        <is>
          <t>16</t>
        </is>
      </c>
      <c r="M27" s="13" t="inlineStr">
        <is>
          <t>8192</t>
        </is>
      </c>
      <c r="N27" s="13" t="inlineStr">
        <is>
          <t>1024</t>
        </is>
      </c>
      <c r="O27" s="13" t="inlineStr">
        <is>
          <t>agentic_from_long_chat</t>
        </is>
      </c>
      <c r="P27" s="13" t="inlineStr">
        <is>
          <t>dynamic_reasoning_proxy</t>
        </is>
      </c>
      <c r="Q27" s="13" t="inlineStr">
        <is>
          <t>low_target_gap</t>
        </is>
      </c>
      <c r="R27" s="13" t="inlineStr">
        <is>
          <t>2026-05-20T00:00:00.000Z</t>
        </is>
      </c>
      <c r="S27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8">
      <c r="A28" s="13" t="inlineStr">
        <is>
          <t>dsr1</t>
        </is>
      </c>
      <c r="B28" s="13" t="inlineStr">
        <is>
          <t>dsr1</t>
        </is>
      </c>
      <c r="C28" s="13" t="inlineStr">
        <is>
          <t>B200</t>
        </is>
      </c>
      <c r="D28" s="13" t="inlineStr">
        <is>
          <t>agentic</t>
        </is>
      </c>
      <c r="E28" s="13" t="inlineStr">
        <is>
          <t>30</t>
        </is>
      </c>
      <c r="F28" s="13" t="inlineStr">
        <is>
          <t>False</t>
        </is>
      </c>
      <c r="G28" s="14" t="inlineStr">
        <is>
          <t>0.9609057971014493</t>
        </is>
      </c>
      <c r="H28" s="15" t="inlineStr">
        <is>
          <t>8648.695652173914</t>
        </is>
      </c>
      <c r="I28" s="16" t="inlineStr">
        <is>
          <t>1.1728260869565217</t>
        </is>
      </c>
      <c r="J28" s="13" t="inlineStr">
        <is>
          <t>fp8</t>
        </is>
      </c>
      <c r="K28" s="13" t="inlineStr">
        <is>
          <t>sglang</t>
        </is>
      </c>
      <c r="L28" s="13" t="inlineStr">
        <is>
          <t>16</t>
        </is>
      </c>
      <c r="M28" s="13" t="inlineStr">
        <is>
          <t>8192</t>
        </is>
      </c>
      <c r="N28" s="13" t="inlineStr">
        <is>
          <t>1024</t>
        </is>
      </c>
      <c r="O28" s="13" t="inlineStr">
        <is>
          <t>agentic_from_long_chat</t>
        </is>
      </c>
      <c r="P28" s="13" t="inlineStr">
        <is>
          <t>dynamic_reasoning_proxy</t>
        </is>
      </c>
      <c r="Q28" s="13" t="inlineStr">
        <is>
          <t>low_target_gap</t>
        </is>
      </c>
      <c r="R28" s="13" t="inlineStr">
        <is>
          <t>2026-05-20T00:00:00.000Z</t>
        </is>
      </c>
      <c r="S2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9">
      <c r="A29" s="13" t="inlineStr">
        <is>
          <t>dsr1</t>
        </is>
      </c>
      <c r="B29" s="13" t="inlineStr">
        <is>
          <t>dsr1</t>
        </is>
      </c>
      <c r="C29" s="13" t="inlineStr">
        <is>
          <t>B200</t>
        </is>
      </c>
      <c r="D29" s="13" t="inlineStr">
        <is>
          <t>agentic</t>
        </is>
      </c>
      <c r="E29" s="13" t="inlineStr">
        <is>
          <t>50</t>
        </is>
      </c>
      <c r="F29" s="13" t="inlineStr">
        <is>
          <t>False</t>
        </is>
      </c>
      <c r="G29" s="14" t="inlineStr">
        <is>
          <t>0.9765434782608696</t>
        </is>
      </c>
      <c r="H29" s="15" t="inlineStr">
        <is>
          <t>8648.695652173914</t>
        </is>
      </c>
      <c r="I29" s="16" t="inlineStr">
        <is>
          <t>1.1728260869565217</t>
        </is>
      </c>
      <c r="J29" s="13" t="inlineStr">
        <is>
          <t>fp8</t>
        </is>
      </c>
      <c r="K29" s="13" t="inlineStr">
        <is>
          <t>sglang</t>
        </is>
      </c>
      <c r="L29" s="13" t="inlineStr">
        <is>
          <t>16</t>
        </is>
      </c>
      <c r="M29" s="13" t="inlineStr">
        <is>
          <t>8192</t>
        </is>
      </c>
      <c r="N29" s="13" t="inlineStr">
        <is>
          <t>1024</t>
        </is>
      </c>
      <c r="O29" s="13" t="inlineStr">
        <is>
          <t>agentic_from_long_chat</t>
        </is>
      </c>
      <c r="P29" s="13" t="inlineStr">
        <is>
          <t>dynamic_reasoning_proxy</t>
        </is>
      </c>
      <c r="Q29" s="13" t="inlineStr">
        <is>
          <t>low_target_gap</t>
        </is>
      </c>
      <c r="R29" s="13" t="inlineStr">
        <is>
          <t>2026-05-20T00:00:00.000Z</t>
        </is>
      </c>
      <c r="S2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30">
      <c r="A30" s="13" t="inlineStr">
        <is>
          <t>dsr1</t>
        </is>
      </c>
      <c r="B30" s="13" t="inlineStr">
        <is>
          <t>dsr1</t>
        </is>
      </c>
      <c r="C30" s="13" t="inlineStr">
        <is>
          <t>B200</t>
        </is>
      </c>
      <c r="D30" s="13" t="inlineStr">
        <is>
          <t>agentic</t>
        </is>
      </c>
      <c r="E30" s="13" t="inlineStr">
        <is>
          <t>70</t>
        </is>
      </c>
      <c r="F30" s="13" t="inlineStr">
        <is>
          <t>False</t>
        </is>
      </c>
      <c r="G30" s="14" t="inlineStr">
        <is>
          <t>0.9832453416149068</t>
        </is>
      </c>
      <c r="H30" s="15" t="inlineStr">
        <is>
          <t>8648.695652173914</t>
        </is>
      </c>
      <c r="I30" s="16" t="inlineStr">
        <is>
          <t>1.1728260869565217</t>
        </is>
      </c>
      <c r="J30" s="13" t="inlineStr">
        <is>
          <t>fp8</t>
        </is>
      </c>
      <c r="K30" s="13" t="inlineStr">
        <is>
          <t>sglang</t>
        </is>
      </c>
      <c r="L30" s="13" t="inlineStr">
        <is>
          <t>16</t>
        </is>
      </c>
      <c r="M30" s="13" t="inlineStr">
        <is>
          <t>8192</t>
        </is>
      </c>
      <c r="N30" s="13" t="inlineStr">
        <is>
          <t>1024</t>
        </is>
      </c>
      <c r="O30" s="13" t="inlineStr">
        <is>
          <t>agentic_from_long_chat</t>
        </is>
      </c>
      <c r="P30" s="13" t="inlineStr">
        <is>
          <t>dynamic_reasoning_proxy</t>
        </is>
      </c>
      <c r="Q30" s="13" t="inlineStr">
        <is>
          <t>low_target_gap</t>
        </is>
      </c>
      <c r="R30" s="13" t="inlineStr">
        <is>
          <t>2026-05-20T00:00:00.000Z</t>
        </is>
      </c>
      <c r="S3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31">
      <c r="A31" s="13" t="inlineStr">
        <is>
          <t>dsr1</t>
        </is>
      </c>
      <c r="B31" s="13" t="inlineStr">
        <is>
          <t>dsr1</t>
        </is>
      </c>
      <c r="C31" s="13" t="inlineStr">
        <is>
          <t>B200</t>
        </is>
      </c>
      <c r="D31" s="13" t="inlineStr">
        <is>
          <t>agentic</t>
        </is>
      </c>
      <c r="E31" s="13" t="inlineStr">
        <is>
          <t>100</t>
        </is>
      </c>
      <c r="F31" s="13" t="inlineStr">
        <is>
          <t>False</t>
        </is>
      </c>
      <c r="G31" s="14" t="inlineStr">
        <is>
          <t>0.9882717391304348</t>
        </is>
      </c>
      <c r="H31" s="15" t="inlineStr">
        <is>
          <t>8648.695652173914</t>
        </is>
      </c>
      <c r="I31" s="16" t="inlineStr">
        <is>
          <t>1.1728260869565217</t>
        </is>
      </c>
      <c r="J31" s="13" t="inlineStr">
        <is>
          <t>fp8</t>
        </is>
      </c>
      <c r="K31" s="13" t="inlineStr">
        <is>
          <t>sglang</t>
        </is>
      </c>
      <c r="L31" s="13" t="inlineStr">
        <is>
          <t>16</t>
        </is>
      </c>
      <c r="M31" s="13" t="inlineStr">
        <is>
          <t>8192</t>
        </is>
      </c>
      <c r="N31" s="13" t="inlineStr">
        <is>
          <t>1024</t>
        </is>
      </c>
      <c r="O31" s="13" t="inlineStr">
        <is>
          <t>agentic_from_long_chat</t>
        </is>
      </c>
      <c r="P31" s="13" t="inlineStr">
        <is>
          <t>dynamic_reasoning_proxy</t>
        </is>
      </c>
      <c r="Q31" s="13" t="inlineStr">
        <is>
          <t>low_target_gap</t>
        </is>
      </c>
      <c r="R31" s="13" t="inlineStr">
        <is>
          <t>2026-05-20T00:00:00.000Z</t>
        </is>
      </c>
      <c r="S3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32">
      <c r="A32" s="9" t="inlineStr">
        <is>
          <t>dsr1</t>
        </is>
      </c>
      <c r="B32" s="9" t="inlineStr"/>
      <c r="C32" s="9" t="inlineStr">
        <is>
          <t>GB200</t>
        </is>
      </c>
      <c r="D32" s="9" t="inlineStr">
        <is>
          <t>short</t>
        </is>
      </c>
      <c r="E32" s="9" t="inlineStr">
        <is>
          <t>10</t>
        </is>
      </c>
      <c r="F32" s="9" t="inlineStr">
        <is>
          <t>False</t>
        </is>
      </c>
      <c r="G32" s="10" t="inlineStr"/>
      <c r="H32" s="11" t="inlineStr"/>
      <c r="I32" s="12" t="inlineStr"/>
      <c r="J32" s="9" t="inlineStr"/>
      <c r="K32" s="9" t="inlineStr"/>
      <c r="L32" s="9" t="inlineStr"/>
      <c r="M32" s="9" t="inlineStr"/>
      <c r="N32" s="9" t="inlineStr"/>
      <c r="O32" s="9" t="inlineStr">
        <is>
          <t>missing</t>
        </is>
      </c>
      <c r="P32" s="9" t="inlineStr">
        <is>
          <t>no_benchmark_row</t>
        </is>
      </c>
      <c r="Q32" s="9" t="inlineStr">
        <is>
          <t>missing</t>
        </is>
      </c>
      <c r="R32" s="9" t="inlineStr"/>
      <c r="S32" s="9" t="inlineStr">
        <is>
          <t>No model/GPU/workload benchmark row was available.</t>
        </is>
      </c>
    </row>
    <row r="33">
      <c r="A33" s="9" t="inlineStr">
        <is>
          <t>dsr1</t>
        </is>
      </c>
      <c r="B33" s="9" t="inlineStr"/>
      <c r="C33" s="9" t="inlineStr">
        <is>
          <t>GB200</t>
        </is>
      </c>
      <c r="D33" s="9" t="inlineStr">
        <is>
          <t>short</t>
        </is>
      </c>
      <c r="E33" s="9" t="inlineStr">
        <is>
          <t>30</t>
        </is>
      </c>
      <c r="F33" s="9" t="inlineStr">
        <is>
          <t>False</t>
        </is>
      </c>
      <c r="G33" s="10" t="inlineStr"/>
      <c r="H33" s="11" t="inlineStr"/>
      <c r="I33" s="12" t="inlineStr"/>
      <c r="J33" s="9" t="inlineStr"/>
      <c r="K33" s="9" t="inlineStr"/>
      <c r="L33" s="9" t="inlineStr"/>
      <c r="M33" s="9" t="inlineStr"/>
      <c r="N33" s="9" t="inlineStr"/>
      <c r="O33" s="9" t="inlineStr">
        <is>
          <t>missing</t>
        </is>
      </c>
      <c r="P33" s="9" t="inlineStr">
        <is>
          <t>no_benchmark_row</t>
        </is>
      </c>
      <c r="Q33" s="9" t="inlineStr">
        <is>
          <t>missing</t>
        </is>
      </c>
      <c r="R33" s="9" t="inlineStr"/>
      <c r="S33" s="9" t="inlineStr">
        <is>
          <t>No model/GPU/workload benchmark row was available.</t>
        </is>
      </c>
    </row>
    <row r="34">
      <c r="A34" s="9" t="inlineStr">
        <is>
          <t>dsr1</t>
        </is>
      </c>
      <c r="B34" s="9" t="inlineStr"/>
      <c r="C34" s="9" t="inlineStr">
        <is>
          <t>GB200</t>
        </is>
      </c>
      <c r="D34" s="9" t="inlineStr">
        <is>
          <t>short</t>
        </is>
      </c>
      <c r="E34" s="9" t="inlineStr">
        <is>
          <t>50</t>
        </is>
      </c>
      <c r="F34" s="9" t="inlineStr">
        <is>
          <t>False</t>
        </is>
      </c>
      <c r="G34" s="10" t="inlineStr"/>
      <c r="H34" s="11" t="inlineStr"/>
      <c r="I34" s="12" t="inlineStr"/>
      <c r="J34" s="9" t="inlineStr"/>
      <c r="K34" s="9" t="inlineStr"/>
      <c r="L34" s="9" t="inlineStr"/>
      <c r="M34" s="9" t="inlineStr"/>
      <c r="N34" s="9" t="inlineStr"/>
      <c r="O34" s="9" t="inlineStr">
        <is>
          <t>missing</t>
        </is>
      </c>
      <c r="P34" s="9" t="inlineStr">
        <is>
          <t>no_benchmark_row</t>
        </is>
      </c>
      <c r="Q34" s="9" t="inlineStr">
        <is>
          <t>missing</t>
        </is>
      </c>
      <c r="R34" s="9" t="inlineStr"/>
      <c r="S34" s="9" t="inlineStr">
        <is>
          <t>No model/GPU/workload benchmark row was available.</t>
        </is>
      </c>
    </row>
    <row r="35">
      <c r="A35" s="9" t="inlineStr">
        <is>
          <t>dsr1</t>
        </is>
      </c>
      <c r="B35" s="9" t="inlineStr"/>
      <c r="C35" s="9" t="inlineStr">
        <is>
          <t>GB200</t>
        </is>
      </c>
      <c r="D35" s="9" t="inlineStr">
        <is>
          <t>short</t>
        </is>
      </c>
      <c r="E35" s="9" t="inlineStr">
        <is>
          <t>70</t>
        </is>
      </c>
      <c r="F35" s="9" t="inlineStr">
        <is>
          <t>False</t>
        </is>
      </c>
      <c r="G35" s="10" t="inlineStr"/>
      <c r="H35" s="11" t="inlineStr"/>
      <c r="I35" s="12" t="inlineStr"/>
      <c r="J35" s="9" t="inlineStr"/>
      <c r="K35" s="9" t="inlineStr"/>
      <c r="L35" s="9" t="inlineStr"/>
      <c r="M35" s="9" t="inlineStr"/>
      <c r="N35" s="9" t="inlineStr"/>
      <c r="O35" s="9" t="inlineStr">
        <is>
          <t>missing</t>
        </is>
      </c>
      <c r="P35" s="9" t="inlineStr">
        <is>
          <t>no_benchmark_row</t>
        </is>
      </c>
      <c r="Q35" s="9" t="inlineStr">
        <is>
          <t>missing</t>
        </is>
      </c>
      <c r="R35" s="9" t="inlineStr"/>
      <c r="S35" s="9" t="inlineStr">
        <is>
          <t>No model/GPU/workload benchmark row was available.</t>
        </is>
      </c>
    </row>
    <row r="36">
      <c r="A36" s="9" t="inlineStr">
        <is>
          <t>dsr1</t>
        </is>
      </c>
      <c r="B36" s="9" t="inlineStr"/>
      <c r="C36" s="9" t="inlineStr">
        <is>
          <t>GB200</t>
        </is>
      </c>
      <c r="D36" s="9" t="inlineStr">
        <is>
          <t>short</t>
        </is>
      </c>
      <c r="E36" s="9" t="inlineStr">
        <is>
          <t>100</t>
        </is>
      </c>
      <c r="F36" s="9" t="inlineStr">
        <is>
          <t>False</t>
        </is>
      </c>
      <c r="G36" s="10" t="inlineStr"/>
      <c r="H36" s="11" t="inlineStr"/>
      <c r="I36" s="12" t="inlineStr"/>
      <c r="J36" s="9" t="inlineStr"/>
      <c r="K36" s="9" t="inlineStr"/>
      <c r="L36" s="9" t="inlineStr"/>
      <c r="M36" s="9" t="inlineStr"/>
      <c r="N36" s="9" t="inlineStr"/>
      <c r="O36" s="9" t="inlineStr">
        <is>
          <t>missing</t>
        </is>
      </c>
      <c r="P36" s="9" t="inlineStr">
        <is>
          <t>no_benchmark_row</t>
        </is>
      </c>
      <c r="Q36" s="9" t="inlineStr">
        <is>
          <t>missing</t>
        </is>
      </c>
      <c r="R36" s="9" t="inlineStr"/>
      <c r="S36" s="9" t="inlineStr">
        <is>
          <t>No model/GPU/workload benchmark row was available.</t>
        </is>
      </c>
    </row>
    <row r="37">
      <c r="A37" s="9" t="inlineStr">
        <is>
          <t>dsr1</t>
        </is>
      </c>
      <c r="B37" s="9" t="inlineStr"/>
      <c r="C37" s="9" t="inlineStr">
        <is>
          <t>GB200</t>
        </is>
      </c>
      <c r="D37" s="9" t="inlineStr">
        <is>
          <t>long</t>
        </is>
      </c>
      <c r="E37" s="9" t="inlineStr">
        <is>
          <t>10</t>
        </is>
      </c>
      <c r="F37" s="9" t="inlineStr">
        <is>
          <t>False</t>
        </is>
      </c>
      <c r="G37" s="10" t="inlineStr"/>
      <c r="H37" s="11" t="inlineStr"/>
      <c r="I37" s="12" t="inlineStr"/>
      <c r="J37" s="9" t="inlineStr"/>
      <c r="K37" s="9" t="inlineStr"/>
      <c r="L37" s="9" t="inlineStr"/>
      <c r="M37" s="9" t="inlineStr"/>
      <c r="N37" s="9" t="inlineStr"/>
      <c r="O37" s="9" t="inlineStr">
        <is>
          <t>missing</t>
        </is>
      </c>
      <c r="P37" s="9" t="inlineStr">
        <is>
          <t>no_benchmark_row</t>
        </is>
      </c>
      <c r="Q37" s="9" t="inlineStr">
        <is>
          <t>missing</t>
        </is>
      </c>
      <c r="R37" s="9" t="inlineStr"/>
      <c r="S37" s="9" t="inlineStr">
        <is>
          <t>No model/GPU/workload benchmark row was available.</t>
        </is>
      </c>
    </row>
    <row r="38">
      <c r="A38" s="9" t="inlineStr">
        <is>
          <t>dsr1</t>
        </is>
      </c>
      <c r="B38" s="9" t="inlineStr"/>
      <c r="C38" s="9" t="inlineStr">
        <is>
          <t>GB200</t>
        </is>
      </c>
      <c r="D38" s="9" t="inlineStr">
        <is>
          <t>long</t>
        </is>
      </c>
      <c r="E38" s="9" t="inlineStr">
        <is>
          <t>30</t>
        </is>
      </c>
      <c r="F38" s="9" t="inlineStr">
        <is>
          <t>False</t>
        </is>
      </c>
      <c r="G38" s="10" t="inlineStr"/>
      <c r="H38" s="11" t="inlineStr"/>
      <c r="I38" s="12" t="inlineStr"/>
      <c r="J38" s="9" t="inlineStr"/>
      <c r="K38" s="9" t="inlineStr"/>
      <c r="L38" s="9" t="inlineStr"/>
      <c r="M38" s="9" t="inlineStr"/>
      <c r="N38" s="9" t="inlineStr"/>
      <c r="O38" s="9" t="inlineStr">
        <is>
          <t>missing</t>
        </is>
      </c>
      <c r="P38" s="9" t="inlineStr">
        <is>
          <t>no_benchmark_row</t>
        </is>
      </c>
      <c r="Q38" s="9" t="inlineStr">
        <is>
          <t>missing</t>
        </is>
      </c>
      <c r="R38" s="9" t="inlineStr"/>
      <c r="S38" s="9" t="inlineStr">
        <is>
          <t>No model/GPU/workload benchmark row was available.</t>
        </is>
      </c>
    </row>
    <row r="39">
      <c r="A39" s="9" t="inlineStr">
        <is>
          <t>dsr1</t>
        </is>
      </c>
      <c r="B39" s="9" t="inlineStr"/>
      <c r="C39" s="9" t="inlineStr">
        <is>
          <t>GB200</t>
        </is>
      </c>
      <c r="D39" s="9" t="inlineStr">
        <is>
          <t>long</t>
        </is>
      </c>
      <c r="E39" s="9" t="inlineStr">
        <is>
          <t>50</t>
        </is>
      </c>
      <c r="F39" s="9" t="inlineStr">
        <is>
          <t>False</t>
        </is>
      </c>
      <c r="G39" s="10" t="inlineStr"/>
      <c r="H39" s="11" t="inlineStr"/>
      <c r="I39" s="12" t="inlineStr"/>
      <c r="J39" s="9" t="inlineStr"/>
      <c r="K39" s="9" t="inlineStr"/>
      <c r="L39" s="9" t="inlineStr"/>
      <c r="M39" s="9" t="inlineStr"/>
      <c r="N39" s="9" t="inlineStr"/>
      <c r="O39" s="9" t="inlineStr">
        <is>
          <t>missing</t>
        </is>
      </c>
      <c r="P39" s="9" t="inlineStr">
        <is>
          <t>no_benchmark_row</t>
        </is>
      </c>
      <c r="Q39" s="9" t="inlineStr">
        <is>
          <t>missing</t>
        </is>
      </c>
      <c r="R39" s="9" t="inlineStr"/>
      <c r="S39" s="9" t="inlineStr">
        <is>
          <t>No model/GPU/workload benchmark row was available.</t>
        </is>
      </c>
    </row>
    <row r="40">
      <c r="A40" s="9" t="inlineStr">
        <is>
          <t>dsr1</t>
        </is>
      </c>
      <c r="B40" s="9" t="inlineStr"/>
      <c r="C40" s="9" t="inlineStr">
        <is>
          <t>GB200</t>
        </is>
      </c>
      <c r="D40" s="9" t="inlineStr">
        <is>
          <t>long</t>
        </is>
      </c>
      <c r="E40" s="9" t="inlineStr">
        <is>
          <t>70</t>
        </is>
      </c>
      <c r="F40" s="9" t="inlineStr">
        <is>
          <t>False</t>
        </is>
      </c>
      <c r="G40" s="10" t="inlineStr"/>
      <c r="H40" s="11" t="inlineStr"/>
      <c r="I40" s="12" t="inlineStr"/>
      <c r="J40" s="9" t="inlineStr"/>
      <c r="K40" s="9" t="inlineStr"/>
      <c r="L40" s="9" t="inlineStr"/>
      <c r="M40" s="9" t="inlineStr"/>
      <c r="N40" s="9" t="inlineStr"/>
      <c r="O40" s="9" t="inlineStr">
        <is>
          <t>missing</t>
        </is>
      </c>
      <c r="P40" s="9" t="inlineStr">
        <is>
          <t>no_benchmark_row</t>
        </is>
      </c>
      <c r="Q40" s="9" t="inlineStr">
        <is>
          <t>missing</t>
        </is>
      </c>
      <c r="R40" s="9" t="inlineStr"/>
      <c r="S40" s="9" t="inlineStr">
        <is>
          <t>No model/GPU/workload benchmark row was available.</t>
        </is>
      </c>
    </row>
    <row r="41">
      <c r="A41" s="9" t="inlineStr">
        <is>
          <t>dsr1</t>
        </is>
      </c>
      <c r="B41" s="9" t="inlineStr"/>
      <c r="C41" s="9" t="inlineStr">
        <is>
          <t>GB200</t>
        </is>
      </c>
      <c r="D41" s="9" t="inlineStr">
        <is>
          <t>long</t>
        </is>
      </c>
      <c r="E41" s="9" t="inlineStr">
        <is>
          <t>100</t>
        </is>
      </c>
      <c r="F41" s="9" t="inlineStr">
        <is>
          <t>False</t>
        </is>
      </c>
      <c r="G41" s="10" t="inlineStr"/>
      <c r="H41" s="11" t="inlineStr"/>
      <c r="I41" s="12" t="inlineStr"/>
      <c r="J41" s="9" t="inlineStr"/>
      <c r="K41" s="9" t="inlineStr"/>
      <c r="L41" s="9" t="inlineStr"/>
      <c r="M41" s="9" t="inlineStr"/>
      <c r="N41" s="9" t="inlineStr"/>
      <c r="O41" s="9" t="inlineStr">
        <is>
          <t>missing</t>
        </is>
      </c>
      <c r="P41" s="9" t="inlineStr">
        <is>
          <t>no_benchmark_row</t>
        </is>
      </c>
      <c r="Q41" s="9" t="inlineStr">
        <is>
          <t>missing</t>
        </is>
      </c>
      <c r="R41" s="9" t="inlineStr"/>
      <c r="S41" s="9" t="inlineStr">
        <is>
          <t>No model/GPU/workload benchmark row was available.</t>
        </is>
      </c>
    </row>
    <row r="42">
      <c r="A42" s="9" t="inlineStr">
        <is>
          <t>dsr1</t>
        </is>
      </c>
      <c r="B42" s="9" t="inlineStr"/>
      <c r="C42" s="9" t="inlineStr">
        <is>
          <t>GB200</t>
        </is>
      </c>
      <c r="D42" s="9" t="inlineStr">
        <is>
          <t>agentic</t>
        </is>
      </c>
      <c r="E42" s="9" t="inlineStr">
        <is>
          <t>10</t>
        </is>
      </c>
      <c r="F42" s="9" t="inlineStr">
        <is>
          <t>False</t>
        </is>
      </c>
      <c r="G42" s="10" t="inlineStr"/>
      <c r="H42" s="11" t="inlineStr"/>
      <c r="I42" s="12" t="inlineStr"/>
      <c r="J42" s="9" t="inlineStr"/>
      <c r="K42" s="9" t="inlineStr"/>
      <c r="L42" s="9" t="inlineStr"/>
      <c r="M42" s="9" t="inlineStr"/>
      <c r="N42" s="9" t="inlineStr"/>
      <c r="O42" s="9" t="inlineStr">
        <is>
          <t>missing</t>
        </is>
      </c>
      <c r="P42" s="9" t="inlineStr">
        <is>
          <t>no_long_chat_proxy_row</t>
        </is>
      </c>
      <c r="Q42" s="9" t="inlineStr">
        <is>
          <t>missing</t>
        </is>
      </c>
      <c r="R42" s="9" t="inlineStr"/>
      <c r="S42" s="9" t="inlineStr">
        <is>
          <t>Agentic proxy could not be derived because no long-chat benchmark row was available.</t>
        </is>
      </c>
    </row>
    <row r="43">
      <c r="A43" s="9" t="inlineStr">
        <is>
          <t>dsr1</t>
        </is>
      </c>
      <c r="B43" s="9" t="inlineStr"/>
      <c r="C43" s="9" t="inlineStr">
        <is>
          <t>GB200</t>
        </is>
      </c>
      <c r="D43" s="9" t="inlineStr">
        <is>
          <t>agentic</t>
        </is>
      </c>
      <c r="E43" s="9" t="inlineStr">
        <is>
          <t>30</t>
        </is>
      </c>
      <c r="F43" s="9" t="inlineStr">
        <is>
          <t>False</t>
        </is>
      </c>
      <c r="G43" s="10" t="inlineStr"/>
      <c r="H43" s="11" t="inlineStr"/>
      <c r="I43" s="12" t="inlineStr"/>
      <c r="J43" s="9" t="inlineStr"/>
      <c r="K43" s="9" t="inlineStr"/>
      <c r="L43" s="9" t="inlineStr"/>
      <c r="M43" s="9" t="inlineStr"/>
      <c r="N43" s="9" t="inlineStr"/>
      <c r="O43" s="9" t="inlineStr">
        <is>
          <t>missing</t>
        </is>
      </c>
      <c r="P43" s="9" t="inlineStr">
        <is>
          <t>no_long_chat_proxy_row</t>
        </is>
      </c>
      <c r="Q43" s="9" t="inlineStr">
        <is>
          <t>missing</t>
        </is>
      </c>
      <c r="R43" s="9" t="inlineStr"/>
      <c r="S43" s="9" t="inlineStr">
        <is>
          <t>Agentic proxy could not be derived because no long-chat benchmark row was available.</t>
        </is>
      </c>
    </row>
    <row r="44">
      <c r="A44" s="9" t="inlineStr">
        <is>
          <t>dsr1</t>
        </is>
      </c>
      <c r="B44" s="9" t="inlineStr"/>
      <c r="C44" s="9" t="inlineStr">
        <is>
          <t>GB200</t>
        </is>
      </c>
      <c r="D44" s="9" t="inlineStr">
        <is>
          <t>agentic</t>
        </is>
      </c>
      <c r="E44" s="9" t="inlineStr">
        <is>
          <t>50</t>
        </is>
      </c>
      <c r="F44" s="9" t="inlineStr">
        <is>
          <t>False</t>
        </is>
      </c>
      <c r="G44" s="10" t="inlineStr"/>
      <c r="H44" s="11" t="inlineStr"/>
      <c r="I44" s="12" t="inlineStr"/>
      <c r="J44" s="9" t="inlineStr"/>
      <c r="K44" s="9" t="inlineStr"/>
      <c r="L44" s="9" t="inlineStr"/>
      <c r="M44" s="9" t="inlineStr"/>
      <c r="N44" s="9" t="inlineStr"/>
      <c r="O44" s="9" t="inlineStr">
        <is>
          <t>missing</t>
        </is>
      </c>
      <c r="P44" s="9" t="inlineStr">
        <is>
          <t>no_long_chat_proxy_row</t>
        </is>
      </c>
      <c r="Q44" s="9" t="inlineStr">
        <is>
          <t>missing</t>
        </is>
      </c>
      <c r="R44" s="9" t="inlineStr"/>
      <c r="S44" s="9" t="inlineStr">
        <is>
          <t>Agentic proxy could not be derived because no long-chat benchmark row was available.</t>
        </is>
      </c>
    </row>
    <row r="45">
      <c r="A45" s="9" t="inlineStr">
        <is>
          <t>dsr1</t>
        </is>
      </c>
      <c r="B45" s="9" t="inlineStr"/>
      <c r="C45" s="9" t="inlineStr">
        <is>
          <t>GB200</t>
        </is>
      </c>
      <c r="D45" s="9" t="inlineStr">
        <is>
          <t>agentic</t>
        </is>
      </c>
      <c r="E45" s="9" t="inlineStr">
        <is>
          <t>70</t>
        </is>
      </c>
      <c r="F45" s="9" t="inlineStr">
        <is>
          <t>False</t>
        </is>
      </c>
      <c r="G45" s="10" t="inlineStr"/>
      <c r="H45" s="11" t="inlineStr"/>
      <c r="I45" s="12" t="inlineStr"/>
      <c r="J45" s="9" t="inlineStr"/>
      <c r="K45" s="9" t="inlineStr"/>
      <c r="L45" s="9" t="inlineStr"/>
      <c r="M45" s="9" t="inlineStr"/>
      <c r="N45" s="9" t="inlineStr"/>
      <c r="O45" s="9" t="inlineStr">
        <is>
          <t>missing</t>
        </is>
      </c>
      <c r="P45" s="9" t="inlineStr">
        <is>
          <t>no_long_chat_proxy_row</t>
        </is>
      </c>
      <c r="Q45" s="9" t="inlineStr">
        <is>
          <t>missing</t>
        </is>
      </c>
      <c r="R45" s="9" t="inlineStr"/>
      <c r="S45" s="9" t="inlineStr">
        <is>
          <t>Agentic proxy could not be derived because no long-chat benchmark row was available.</t>
        </is>
      </c>
    </row>
    <row r="46">
      <c r="A46" s="9" t="inlineStr">
        <is>
          <t>dsr1</t>
        </is>
      </c>
      <c r="B46" s="9" t="inlineStr"/>
      <c r="C46" s="9" t="inlineStr">
        <is>
          <t>GB200</t>
        </is>
      </c>
      <c r="D46" s="9" t="inlineStr">
        <is>
          <t>agentic</t>
        </is>
      </c>
      <c r="E46" s="9" t="inlineStr">
        <is>
          <t>100</t>
        </is>
      </c>
      <c r="F46" s="9" t="inlineStr">
        <is>
          <t>False</t>
        </is>
      </c>
      <c r="G46" s="10" t="inlineStr"/>
      <c r="H46" s="11" t="inlineStr"/>
      <c r="I46" s="12" t="inlineStr"/>
      <c r="J46" s="9" t="inlineStr"/>
      <c r="K46" s="9" t="inlineStr"/>
      <c r="L46" s="9" t="inlineStr"/>
      <c r="M46" s="9" t="inlineStr"/>
      <c r="N46" s="9" t="inlineStr"/>
      <c r="O46" s="9" t="inlineStr">
        <is>
          <t>missing</t>
        </is>
      </c>
      <c r="P46" s="9" t="inlineStr">
        <is>
          <t>no_long_chat_proxy_row</t>
        </is>
      </c>
      <c r="Q46" s="9" t="inlineStr">
        <is>
          <t>missing</t>
        </is>
      </c>
      <c r="R46" s="9" t="inlineStr"/>
      <c r="S46" s="9" t="inlineStr">
        <is>
          <t>Agentic proxy could not be derived because no long-chat benchmark row was available.</t>
        </is>
      </c>
    </row>
    <row r="47">
      <c r="A47" s="5" t="inlineStr">
        <is>
          <t>frontier_composite</t>
        </is>
      </c>
      <c r="B47" s="5" t="inlineStr">
        <is>
          <t>gptoss120b</t>
        </is>
      </c>
      <c r="C47" s="5" t="inlineStr">
        <is>
          <t>H200</t>
        </is>
      </c>
      <c r="D47" s="5" t="inlineStr">
        <is>
          <t>short</t>
        </is>
      </c>
      <c r="E47" s="5" t="inlineStr">
        <is>
          <t>10</t>
        </is>
      </c>
      <c r="F47" s="5" t="inlineStr">
        <is>
          <t>True</t>
        </is>
      </c>
      <c r="G47" s="6" t="inlineStr">
        <is>
          <t>0.0</t>
        </is>
      </c>
      <c r="H47" s="7" t="inlineStr">
        <is>
          <t>1459609.0</t>
        </is>
      </c>
      <c r="I47" s="8" t="inlineStr">
        <is>
          <t>39.46</t>
        </is>
      </c>
      <c r="J47" s="5" t="inlineStr">
        <is>
          <t>fp4</t>
        </is>
      </c>
      <c r="K47" s="5" t="inlineStr">
        <is>
          <t>vllm</t>
        </is>
      </c>
      <c r="L47" s="5" t="inlineStr">
        <is>
          <t>64</t>
        </is>
      </c>
      <c r="M47" s="5" t="inlineStr">
        <is>
          <t>1024</t>
        </is>
      </c>
      <c r="N47" s="5" t="inlineStr">
        <is>
          <t>1024</t>
        </is>
      </c>
      <c r="O47" s="5" t="inlineStr">
        <is>
          <t>selected_public_max</t>
        </is>
      </c>
      <c r="P47" s="5" t="inlineStr">
        <is>
          <t>direct_target_row</t>
        </is>
      </c>
      <c r="Q47" s="5" t="inlineStr">
        <is>
          <t>medium</t>
        </is>
      </c>
      <c r="R47" s="5" t="inlineStr">
        <is>
          <t>2025-10-20T00:00:00.000Z</t>
        </is>
      </c>
      <c r="S47" s="5" t="inlineStr">
        <is>
          <t>tok_s_user is computed as output_tok_s_gpu/concurrency when source tok_s_user is blank; agentic_derived uses long_chat rows multiplied by the Kimi K2.5 agentic/long ratio.</t>
        </is>
      </c>
    </row>
    <row r="48">
      <c r="A48" s="5" t="inlineStr">
        <is>
          <t>frontier_composite</t>
        </is>
      </c>
      <c r="B48" s="5" t="inlineStr">
        <is>
          <t>gptoss120b</t>
        </is>
      </c>
      <c r="C48" s="5" t="inlineStr">
        <is>
          <t>H200</t>
        </is>
      </c>
      <c r="D48" s="5" t="inlineStr">
        <is>
          <t>short</t>
        </is>
      </c>
      <c r="E48" s="5" t="inlineStr">
        <is>
          <t>30</t>
        </is>
      </c>
      <c r="F48" s="5" t="inlineStr">
        <is>
          <t>True</t>
        </is>
      </c>
      <c r="G48" s="6" t="inlineStr">
        <is>
          <t>0.0</t>
        </is>
      </c>
      <c r="H48" s="7" t="inlineStr">
        <is>
          <t>1459609.0</t>
        </is>
      </c>
      <c r="I48" s="8" t="inlineStr">
        <is>
          <t>39.46</t>
        </is>
      </c>
      <c r="J48" s="5" t="inlineStr">
        <is>
          <t>fp4</t>
        </is>
      </c>
      <c r="K48" s="5" t="inlineStr">
        <is>
          <t>vllm</t>
        </is>
      </c>
      <c r="L48" s="5" t="inlineStr">
        <is>
          <t>64</t>
        </is>
      </c>
      <c r="M48" s="5" t="inlineStr">
        <is>
          <t>1024</t>
        </is>
      </c>
      <c r="N48" s="5" t="inlineStr">
        <is>
          <t>1024</t>
        </is>
      </c>
      <c r="O48" s="5" t="inlineStr">
        <is>
          <t>selected_public_max</t>
        </is>
      </c>
      <c r="P48" s="5" t="inlineStr">
        <is>
          <t>direct_target_row</t>
        </is>
      </c>
      <c r="Q48" s="5" t="inlineStr">
        <is>
          <t>medium</t>
        </is>
      </c>
      <c r="R48" s="5" t="inlineStr">
        <is>
          <t>2025-10-20T00:00:00.000Z</t>
        </is>
      </c>
      <c r="S48" s="5" t="inlineStr">
        <is>
          <t>tok_s_user is computed as output_tok_s_gpu/concurrency when source tok_s_user is blank; agentic_derived uses long_chat rows multiplied by the Kimi K2.5 agentic/long ratio.</t>
        </is>
      </c>
    </row>
    <row r="49">
      <c r="A49" s="5" t="inlineStr">
        <is>
          <t>frontier_composite</t>
        </is>
      </c>
      <c r="B49" s="5" t="inlineStr">
        <is>
          <t>gptoss120b</t>
        </is>
      </c>
      <c r="C49" s="5" t="inlineStr">
        <is>
          <t>H200</t>
        </is>
      </c>
      <c r="D49" s="5" t="inlineStr">
        <is>
          <t>short</t>
        </is>
      </c>
      <c r="E49" s="5" t="inlineStr">
        <is>
          <t>50</t>
        </is>
      </c>
      <c r="F49" s="5" t="inlineStr">
        <is>
          <t>True</t>
        </is>
      </c>
      <c r="G49" s="6" t="inlineStr">
        <is>
          <t>0.0</t>
        </is>
      </c>
      <c r="H49" s="7" t="inlineStr">
        <is>
          <t>1037487.0</t>
        </is>
      </c>
      <c r="I49" s="8" t="inlineStr">
        <is>
          <t>56.09</t>
        </is>
      </c>
      <c r="J49" s="5" t="inlineStr">
        <is>
          <t>fp4</t>
        </is>
      </c>
      <c r="K49" s="5" t="inlineStr">
        <is>
          <t>vllm</t>
        </is>
      </c>
      <c r="L49" s="5" t="inlineStr">
        <is>
          <t>32</t>
        </is>
      </c>
      <c r="M49" s="5" t="inlineStr">
        <is>
          <t>1024</t>
        </is>
      </c>
      <c r="N49" s="5" t="inlineStr">
        <is>
          <t>1024</t>
        </is>
      </c>
      <c r="O49" s="5" t="inlineStr">
        <is>
          <t>selected_public_max</t>
        </is>
      </c>
      <c r="P49" s="5" t="inlineStr">
        <is>
          <t>direct_target_row</t>
        </is>
      </c>
      <c r="Q49" s="5" t="inlineStr">
        <is>
          <t>medium</t>
        </is>
      </c>
      <c r="R49" s="5" t="inlineStr">
        <is>
          <t>2025-10-31T00:00:00.000Z</t>
        </is>
      </c>
      <c r="S49" s="5" t="inlineStr">
        <is>
          <t>tok_s_user is computed as output_tok_s_gpu/concurrency when source tok_s_user is blank; agentic_derived uses long_chat rows multiplied by the Kimi K2.5 agentic/long ratio.</t>
        </is>
      </c>
    </row>
    <row r="50">
      <c r="A50" s="5" t="inlineStr">
        <is>
          <t>frontier_composite</t>
        </is>
      </c>
      <c r="B50" s="5" t="inlineStr">
        <is>
          <t>gptoss120b</t>
        </is>
      </c>
      <c r="C50" s="5" t="inlineStr">
        <is>
          <t>H200</t>
        </is>
      </c>
      <c r="D50" s="5" t="inlineStr">
        <is>
          <t>short</t>
        </is>
      </c>
      <c r="E50" s="5" t="inlineStr">
        <is>
          <t>70</t>
        </is>
      </c>
      <c r="F50" s="5" t="inlineStr">
        <is>
          <t>True</t>
        </is>
      </c>
      <c r="G50" s="6" t="inlineStr">
        <is>
          <t>0.0</t>
        </is>
      </c>
      <c r="H50" s="7" t="inlineStr">
        <is>
          <t>728459.0</t>
        </is>
      </c>
      <c r="I50" s="8" t="inlineStr">
        <is>
          <t>78.76</t>
        </is>
      </c>
      <c r="J50" s="5" t="inlineStr">
        <is>
          <t>fp4</t>
        </is>
      </c>
      <c r="K50" s="5" t="inlineStr">
        <is>
          <t>vllm</t>
        </is>
      </c>
      <c r="L50" s="5" t="inlineStr">
        <is>
          <t>16</t>
        </is>
      </c>
      <c r="M50" s="5" t="inlineStr">
        <is>
          <t>1024</t>
        </is>
      </c>
      <c r="N50" s="5" t="inlineStr">
        <is>
          <t>1024</t>
        </is>
      </c>
      <c r="O50" s="5" t="inlineStr">
        <is>
          <t>selected_public_max</t>
        </is>
      </c>
      <c r="P50" s="5" t="inlineStr">
        <is>
          <t>direct_target_row</t>
        </is>
      </c>
      <c r="Q50" s="5" t="inlineStr">
        <is>
          <t>medium</t>
        </is>
      </c>
      <c r="R50" s="5" t="inlineStr">
        <is>
          <t>2025-10-20T00:00:00.000Z</t>
        </is>
      </c>
      <c r="S50" s="5" t="inlineStr">
        <is>
          <t>tok_s_user is computed as output_tok_s_gpu/concurrency when source tok_s_user is blank; agentic_derived uses long_chat rows multiplied by the Kimi K2.5 agentic/long ratio.</t>
        </is>
      </c>
    </row>
    <row r="51">
      <c r="A51" s="5" t="inlineStr">
        <is>
          <t>frontier_composite</t>
        </is>
      </c>
      <c r="B51" s="5" t="inlineStr">
        <is>
          <t>gptoss120b</t>
        </is>
      </c>
      <c r="C51" s="5" t="inlineStr">
        <is>
          <t>H200</t>
        </is>
      </c>
      <c r="D51" s="5" t="inlineStr">
        <is>
          <t>short</t>
        </is>
      </c>
      <c r="E51" s="5" t="inlineStr">
        <is>
          <t>100</t>
        </is>
      </c>
      <c r="F51" s="5" t="inlineStr">
        <is>
          <t>True</t>
        </is>
      </c>
      <c r="G51" s="6" t="inlineStr">
        <is>
          <t>0.0</t>
        </is>
      </c>
      <c r="H51" s="7" t="inlineStr">
        <is>
          <t>505857.0</t>
        </is>
      </c>
      <c r="I51" s="8" t="inlineStr">
        <is>
          <t>109.39</t>
        </is>
      </c>
      <c r="J51" s="5" t="inlineStr">
        <is>
          <t>fp4</t>
        </is>
      </c>
      <c r="K51" s="5" t="inlineStr">
        <is>
          <t>vllm</t>
        </is>
      </c>
      <c r="L51" s="5" t="inlineStr">
        <is>
          <t>8</t>
        </is>
      </c>
      <c r="M51" s="5" t="inlineStr">
        <is>
          <t>1024</t>
        </is>
      </c>
      <c r="N51" s="5" t="inlineStr">
        <is>
          <t>1024</t>
        </is>
      </c>
      <c r="O51" s="5" t="inlineStr">
        <is>
          <t>selected_public_max</t>
        </is>
      </c>
      <c r="P51" s="5" t="inlineStr">
        <is>
          <t>direct_target_row</t>
        </is>
      </c>
      <c r="Q51" s="5" t="inlineStr">
        <is>
          <t>medium</t>
        </is>
      </c>
      <c r="R51" s="5" t="inlineStr">
        <is>
          <t>2025-10-30T00:00:00.000Z</t>
        </is>
      </c>
      <c r="S51" s="5" t="inlineStr">
        <is>
          <t>tok_s_user is computed as output_tok_s_gpu/concurrency when source tok_s_user is blank; agentic_derived uses long_chat rows multiplied by the Kimi K2.5 agentic/long ratio.</t>
        </is>
      </c>
    </row>
    <row r="52">
      <c r="A52" s="5" t="inlineStr">
        <is>
          <t>frontier_composite</t>
        </is>
      </c>
      <c r="B52" s="5" t="inlineStr">
        <is>
          <t>gptoss120b</t>
        </is>
      </c>
      <c r="C52" s="5" t="inlineStr">
        <is>
          <t>H200</t>
        </is>
      </c>
      <c r="D52" s="5" t="inlineStr">
        <is>
          <t>long</t>
        </is>
      </c>
      <c r="E52" s="5" t="inlineStr">
        <is>
          <t>10</t>
        </is>
      </c>
      <c r="F52" s="5" t="inlineStr">
        <is>
          <t>True</t>
        </is>
      </c>
      <c r="G52" s="6" t="inlineStr">
        <is>
          <t>0.0</t>
        </is>
      </c>
      <c r="H52" s="7" t="inlineStr">
        <is>
          <t>1451169.0</t>
        </is>
      </c>
      <c r="I52" s="8" t="inlineStr">
        <is>
          <t>39.23</t>
        </is>
      </c>
      <c r="J52" s="5" t="inlineStr">
        <is>
          <t>fp4</t>
        </is>
      </c>
      <c r="K52" s="5" t="inlineStr">
        <is>
          <t>vllm</t>
        </is>
      </c>
      <c r="L52" s="5" t="inlineStr">
        <is>
          <t>64</t>
        </is>
      </c>
      <c r="M52" s="5" t="inlineStr">
        <is>
          <t>8192</t>
        </is>
      </c>
      <c r="N52" s="5" t="inlineStr">
        <is>
          <t>1024</t>
        </is>
      </c>
      <c r="O52" s="5" t="inlineStr">
        <is>
          <t>selected_public_max</t>
        </is>
      </c>
      <c r="P52" s="5" t="inlineStr">
        <is>
          <t>direct_target_row</t>
        </is>
      </c>
      <c r="Q52" s="5" t="inlineStr">
        <is>
          <t>medium</t>
        </is>
      </c>
      <c r="R52" s="5" t="inlineStr">
        <is>
          <t>2025-11-04T00:00:00.000Z</t>
        </is>
      </c>
      <c r="S52" s="5" t="inlineStr">
        <is>
          <t>tok_s_user is computed as output_tok_s_gpu/concurrency when source tok_s_user is blank; agentic_derived uses long_chat rows multiplied by the Kimi K2.5 agentic/long ratio.</t>
        </is>
      </c>
    </row>
    <row r="53">
      <c r="A53" s="5" t="inlineStr">
        <is>
          <t>frontier_composite</t>
        </is>
      </c>
      <c r="B53" s="5" t="inlineStr">
        <is>
          <t>gptoss120b</t>
        </is>
      </c>
      <c r="C53" s="5" t="inlineStr">
        <is>
          <t>H200</t>
        </is>
      </c>
      <c r="D53" s="5" t="inlineStr">
        <is>
          <t>long</t>
        </is>
      </c>
      <c r="E53" s="5" t="inlineStr">
        <is>
          <t>30</t>
        </is>
      </c>
      <c r="F53" s="5" t="inlineStr">
        <is>
          <t>True</t>
        </is>
      </c>
      <c r="G53" s="6" t="inlineStr">
        <is>
          <t>0.0</t>
        </is>
      </c>
      <c r="H53" s="7" t="inlineStr">
        <is>
          <t>1451169.0</t>
        </is>
      </c>
      <c r="I53" s="8" t="inlineStr">
        <is>
          <t>39.23</t>
        </is>
      </c>
      <c r="J53" s="5" t="inlineStr">
        <is>
          <t>fp4</t>
        </is>
      </c>
      <c r="K53" s="5" t="inlineStr">
        <is>
          <t>vllm</t>
        </is>
      </c>
      <c r="L53" s="5" t="inlineStr">
        <is>
          <t>64</t>
        </is>
      </c>
      <c r="M53" s="5" t="inlineStr">
        <is>
          <t>8192</t>
        </is>
      </c>
      <c r="N53" s="5" t="inlineStr">
        <is>
          <t>1024</t>
        </is>
      </c>
      <c r="O53" s="5" t="inlineStr">
        <is>
          <t>selected_public_max</t>
        </is>
      </c>
      <c r="P53" s="5" t="inlineStr">
        <is>
          <t>direct_target_row</t>
        </is>
      </c>
      <c r="Q53" s="5" t="inlineStr">
        <is>
          <t>medium</t>
        </is>
      </c>
      <c r="R53" s="5" t="inlineStr">
        <is>
          <t>2025-11-04T00:00:00.000Z</t>
        </is>
      </c>
      <c r="S53" s="5" t="inlineStr">
        <is>
          <t>tok_s_user is computed as output_tok_s_gpu/concurrency when source tok_s_user is blank; agentic_derived uses long_chat rows multiplied by the Kimi K2.5 agentic/long ratio.</t>
        </is>
      </c>
    </row>
    <row r="54">
      <c r="A54" s="5" t="inlineStr">
        <is>
          <t>frontier_composite</t>
        </is>
      </c>
      <c r="B54" s="5" t="inlineStr">
        <is>
          <t>gptoss120b</t>
        </is>
      </c>
      <c r="C54" s="5" t="inlineStr">
        <is>
          <t>H200</t>
        </is>
      </c>
      <c r="D54" s="5" t="inlineStr">
        <is>
          <t>long</t>
        </is>
      </c>
      <c r="E54" s="5" t="inlineStr">
        <is>
          <t>50</t>
        </is>
      </c>
      <c r="F54" s="5" t="inlineStr">
        <is>
          <t>True</t>
        </is>
      </c>
      <c r="G54" s="6" t="inlineStr">
        <is>
          <t>0.0</t>
        </is>
      </c>
      <c r="H54" s="7" t="inlineStr">
        <is>
          <t>1035150.0</t>
        </is>
      </c>
      <c r="I54" s="8" t="inlineStr">
        <is>
          <t>55.96</t>
        </is>
      </c>
      <c r="J54" s="5" t="inlineStr">
        <is>
          <t>fp4</t>
        </is>
      </c>
      <c r="K54" s="5" t="inlineStr">
        <is>
          <t>vllm</t>
        </is>
      </c>
      <c r="L54" s="5" t="inlineStr">
        <is>
          <t>32</t>
        </is>
      </c>
      <c r="M54" s="5" t="inlineStr">
        <is>
          <t>8192</t>
        </is>
      </c>
      <c r="N54" s="5" t="inlineStr">
        <is>
          <t>1024</t>
        </is>
      </c>
      <c r="O54" s="5" t="inlineStr">
        <is>
          <t>selected_public_max</t>
        </is>
      </c>
      <c r="P54" s="5" t="inlineStr">
        <is>
          <t>direct_target_row</t>
        </is>
      </c>
      <c r="Q54" s="5" t="inlineStr">
        <is>
          <t>medium</t>
        </is>
      </c>
      <c r="R54" s="5" t="inlineStr">
        <is>
          <t>2025-11-04T00:00:00.000Z</t>
        </is>
      </c>
      <c r="S54" s="5" t="inlineStr">
        <is>
          <t>tok_s_user is computed as output_tok_s_gpu/concurrency when source tok_s_user is blank; agentic_derived uses long_chat rows multiplied by the Kimi K2.5 agentic/long ratio.</t>
        </is>
      </c>
    </row>
    <row r="55">
      <c r="A55" s="5" t="inlineStr">
        <is>
          <t>frontier_composite</t>
        </is>
      </c>
      <c r="B55" s="5" t="inlineStr">
        <is>
          <t>gptoss120b</t>
        </is>
      </c>
      <c r="C55" s="5" t="inlineStr">
        <is>
          <t>H200</t>
        </is>
      </c>
      <c r="D55" s="5" t="inlineStr">
        <is>
          <t>long</t>
        </is>
      </c>
      <c r="E55" s="5" t="inlineStr">
        <is>
          <t>70</t>
        </is>
      </c>
      <c r="F55" s="5" t="inlineStr">
        <is>
          <t>True</t>
        </is>
      </c>
      <c r="G55" s="6" t="inlineStr">
        <is>
          <t>0.0</t>
        </is>
      </c>
      <c r="H55" s="7" t="inlineStr">
        <is>
          <t>649279.0</t>
        </is>
      </c>
      <c r="I55" s="8" t="inlineStr">
        <is>
          <t>70.2</t>
        </is>
      </c>
      <c r="J55" s="5" t="inlineStr">
        <is>
          <t>fp4</t>
        </is>
      </c>
      <c r="K55" s="5" t="inlineStr">
        <is>
          <t>vllm</t>
        </is>
      </c>
      <c r="L55" s="5" t="inlineStr">
        <is>
          <t>16</t>
        </is>
      </c>
      <c r="M55" s="5" t="inlineStr">
        <is>
          <t>8192</t>
        </is>
      </c>
      <c r="N55" s="5" t="inlineStr">
        <is>
          <t>1024</t>
        </is>
      </c>
      <c r="O55" s="5" t="inlineStr">
        <is>
          <t>selected_public_max</t>
        </is>
      </c>
      <c r="P55" s="5" t="inlineStr">
        <is>
          <t>direct_target_row</t>
        </is>
      </c>
      <c r="Q55" s="5" t="inlineStr">
        <is>
          <t>medium</t>
        </is>
      </c>
      <c r="R55" s="5" t="inlineStr">
        <is>
          <t>2026-05-13T00:00:00.000Z</t>
        </is>
      </c>
      <c r="S55" s="5" t="inlineStr">
        <is>
          <t>tok_s_user is computed as output_tok_s_gpu/concurrency when source tok_s_user is blank; agentic_derived uses long_chat rows multiplied by the Kimi K2.5 agentic/long ratio.</t>
        </is>
      </c>
    </row>
    <row r="56">
      <c r="A56" s="5" t="inlineStr">
        <is>
          <t>frontier_composite</t>
        </is>
      </c>
      <c r="B56" s="5" t="inlineStr">
        <is>
          <t>gptoss120b</t>
        </is>
      </c>
      <c r="C56" s="5" t="inlineStr">
        <is>
          <t>H200</t>
        </is>
      </c>
      <c r="D56" s="5" t="inlineStr">
        <is>
          <t>long</t>
        </is>
      </c>
      <c r="E56" s="5" t="inlineStr">
        <is>
          <t>100</t>
        </is>
      </c>
      <c r="F56" s="5" t="inlineStr">
        <is>
          <t>True</t>
        </is>
      </c>
      <c r="G56" s="6" t="inlineStr">
        <is>
          <t>0.0</t>
        </is>
      </c>
      <c r="H56" s="7" t="inlineStr">
        <is>
          <t>329414.0</t>
        </is>
      </c>
      <c r="I56" s="8" t="inlineStr">
        <is>
          <t>142.47</t>
        </is>
      </c>
      <c r="J56" s="5" t="inlineStr">
        <is>
          <t>fp4</t>
        </is>
      </c>
      <c r="K56" s="5" t="inlineStr">
        <is>
          <t>vllm</t>
        </is>
      </c>
      <c r="L56" s="5" t="inlineStr">
        <is>
          <t>4</t>
        </is>
      </c>
      <c r="M56" s="5" t="inlineStr">
        <is>
          <t>8192</t>
        </is>
      </c>
      <c r="N56" s="5" t="inlineStr">
        <is>
          <t>1024</t>
        </is>
      </c>
      <c r="O56" s="5" t="inlineStr">
        <is>
          <t>selected_public_max</t>
        </is>
      </c>
      <c r="P56" s="5" t="inlineStr">
        <is>
          <t>direct_target_row</t>
        </is>
      </c>
      <c r="Q56" s="5" t="inlineStr">
        <is>
          <t>medium</t>
        </is>
      </c>
      <c r="R56" s="5" t="inlineStr">
        <is>
          <t>2025-11-04T00:00:00.000Z</t>
        </is>
      </c>
      <c r="S56" s="5" t="inlineStr">
        <is>
          <t>tok_s_user is computed as output_tok_s_gpu/concurrency when source tok_s_user is blank; agentic_derived uses long_chat rows multiplied by the Kimi K2.5 agentic/long ratio.</t>
        </is>
      </c>
    </row>
    <row r="57">
      <c r="A57" s="13" t="inlineStr">
        <is>
          <t>frontier_composite</t>
        </is>
      </c>
      <c r="B57" s="13" t="inlineStr">
        <is>
          <t>gptoss120b</t>
        </is>
      </c>
      <c r="C57" s="13" t="inlineStr">
        <is>
          <t>H200</t>
        </is>
      </c>
      <c r="D57" s="13" t="inlineStr">
        <is>
          <t>agentic</t>
        </is>
      </c>
      <c r="E57" s="13" t="inlineStr">
        <is>
          <t>10</t>
        </is>
      </c>
      <c r="F57" s="13" t="inlineStr">
        <is>
          <t>True</t>
        </is>
      </c>
      <c r="G57" s="14" t="inlineStr">
        <is>
          <t>0.0</t>
        </is>
      </c>
      <c r="H57" s="15" t="inlineStr">
        <is>
          <t>35805.86956521739</t>
        </is>
      </c>
      <c r="I57" s="16" t="inlineStr">
        <is>
          <t>15.485869565217392</t>
        </is>
      </c>
      <c r="J57" s="13" t="inlineStr">
        <is>
          <t>fp4</t>
        </is>
      </c>
      <c r="K57" s="13" t="inlineStr">
        <is>
          <t>vllm</t>
        </is>
      </c>
      <c r="L57" s="13" t="inlineStr">
        <is>
          <t>4</t>
        </is>
      </c>
      <c r="M57" s="13" t="inlineStr">
        <is>
          <t>8192</t>
        </is>
      </c>
      <c r="N57" s="13" t="inlineStr">
        <is>
          <t>1024</t>
        </is>
      </c>
      <c r="O57" s="13" t="inlineStr">
        <is>
          <t>agentic_from_long_chat</t>
        </is>
      </c>
      <c r="P57" s="13" t="inlineStr">
        <is>
          <t>dynamic_reasoning_proxy</t>
        </is>
      </c>
      <c r="Q57" s="13" t="inlineStr">
        <is>
          <t>medium_low</t>
        </is>
      </c>
      <c r="R57" s="13" t="inlineStr">
        <is>
          <t>2025-11-04T00:00:00.000Z</t>
        </is>
      </c>
      <c r="S57" s="13" t="inlineStr">
        <is>
          <t>Agentic throughput = long-chat output TPS/MW divided by 9.2x LLM call multiplier from dynamic reasoning / AgentBench analysis. Long-chat source selection: selected_public_max; agentic_target_met_from_long_chat.</t>
        </is>
      </c>
    </row>
    <row r="58">
      <c r="A58" s="13" t="inlineStr">
        <is>
          <t>frontier_composite</t>
        </is>
      </c>
      <c r="B58" s="13" t="inlineStr">
        <is>
          <t>gptoss120b</t>
        </is>
      </c>
      <c r="C58" s="13" t="inlineStr">
        <is>
          <t>H200</t>
        </is>
      </c>
      <c r="D58" s="13" t="inlineStr">
        <is>
          <t>agentic</t>
        </is>
      </c>
      <c r="E58" s="13" t="inlineStr">
        <is>
          <t>30</t>
        </is>
      </c>
      <c r="F58" s="13" t="inlineStr">
        <is>
          <t>False</t>
        </is>
      </c>
      <c r="G58" s="14" t="inlineStr">
        <is>
          <t>0.48380434782608694</t>
        </is>
      </c>
      <c r="H58" s="15" t="inlineStr">
        <is>
          <t>35805.86956521739</t>
        </is>
      </c>
      <c r="I58" s="16" t="inlineStr">
        <is>
          <t>15.485869565217392</t>
        </is>
      </c>
      <c r="J58" s="13" t="inlineStr">
        <is>
          <t>fp4</t>
        </is>
      </c>
      <c r="K58" s="13" t="inlineStr">
        <is>
          <t>vllm</t>
        </is>
      </c>
      <c r="L58" s="13" t="inlineStr">
        <is>
          <t>4</t>
        </is>
      </c>
      <c r="M58" s="13" t="inlineStr">
        <is>
          <t>8192</t>
        </is>
      </c>
      <c r="N58" s="13" t="inlineStr">
        <is>
          <t>1024</t>
        </is>
      </c>
      <c r="O58" s="13" t="inlineStr">
        <is>
          <t>agentic_from_long_chat</t>
        </is>
      </c>
      <c r="P58" s="13" t="inlineStr">
        <is>
          <t>dynamic_reasoning_proxy</t>
        </is>
      </c>
      <c r="Q58" s="13" t="inlineStr">
        <is>
          <t>low_target_gap</t>
        </is>
      </c>
      <c r="R58" s="13" t="inlineStr">
        <is>
          <t>2025-11-04T00:00:00.000Z</t>
        </is>
      </c>
      <c r="S5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59">
      <c r="A59" s="13" t="inlineStr">
        <is>
          <t>frontier_composite</t>
        </is>
      </c>
      <c r="B59" s="13" t="inlineStr">
        <is>
          <t>gptoss120b</t>
        </is>
      </c>
      <c r="C59" s="13" t="inlineStr">
        <is>
          <t>H200</t>
        </is>
      </c>
      <c r="D59" s="13" t="inlineStr">
        <is>
          <t>agentic</t>
        </is>
      </c>
      <c r="E59" s="13" t="inlineStr">
        <is>
          <t>50</t>
        </is>
      </c>
      <c r="F59" s="13" t="inlineStr">
        <is>
          <t>False</t>
        </is>
      </c>
      <c r="G59" s="14" t="inlineStr">
        <is>
          <t>0.6902826086956522</t>
        </is>
      </c>
      <c r="H59" s="15" t="inlineStr">
        <is>
          <t>35805.86956521739</t>
        </is>
      </c>
      <c r="I59" s="16" t="inlineStr">
        <is>
          <t>15.485869565217392</t>
        </is>
      </c>
      <c r="J59" s="13" t="inlineStr">
        <is>
          <t>fp4</t>
        </is>
      </c>
      <c r="K59" s="13" t="inlineStr">
        <is>
          <t>vllm</t>
        </is>
      </c>
      <c r="L59" s="13" t="inlineStr">
        <is>
          <t>4</t>
        </is>
      </c>
      <c r="M59" s="13" t="inlineStr">
        <is>
          <t>8192</t>
        </is>
      </c>
      <c r="N59" s="13" t="inlineStr">
        <is>
          <t>1024</t>
        </is>
      </c>
      <c r="O59" s="13" t="inlineStr">
        <is>
          <t>agentic_from_long_chat</t>
        </is>
      </c>
      <c r="P59" s="13" t="inlineStr">
        <is>
          <t>dynamic_reasoning_proxy</t>
        </is>
      </c>
      <c r="Q59" s="13" t="inlineStr">
        <is>
          <t>low_target_gap</t>
        </is>
      </c>
      <c r="R59" s="13" t="inlineStr">
        <is>
          <t>2025-11-04T00:00:00.000Z</t>
        </is>
      </c>
      <c r="S5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60">
      <c r="A60" s="13" t="inlineStr">
        <is>
          <t>frontier_composite</t>
        </is>
      </c>
      <c r="B60" s="13" t="inlineStr">
        <is>
          <t>gptoss120b</t>
        </is>
      </c>
      <c r="C60" s="13" t="inlineStr">
        <is>
          <t>H200</t>
        </is>
      </c>
      <c r="D60" s="13" t="inlineStr">
        <is>
          <t>agentic</t>
        </is>
      </c>
      <c r="E60" s="13" t="inlineStr">
        <is>
          <t>70</t>
        </is>
      </c>
      <c r="F60" s="13" t="inlineStr">
        <is>
          <t>False</t>
        </is>
      </c>
      <c r="G60" s="14" t="inlineStr">
        <is>
          <t>0.7787732919254658</t>
        </is>
      </c>
      <c r="H60" s="15" t="inlineStr">
        <is>
          <t>35805.86956521739</t>
        </is>
      </c>
      <c r="I60" s="16" t="inlineStr">
        <is>
          <t>15.485869565217392</t>
        </is>
      </c>
      <c r="J60" s="13" t="inlineStr">
        <is>
          <t>fp4</t>
        </is>
      </c>
      <c r="K60" s="13" t="inlineStr">
        <is>
          <t>vllm</t>
        </is>
      </c>
      <c r="L60" s="13" t="inlineStr">
        <is>
          <t>4</t>
        </is>
      </c>
      <c r="M60" s="13" t="inlineStr">
        <is>
          <t>8192</t>
        </is>
      </c>
      <c r="N60" s="13" t="inlineStr">
        <is>
          <t>1024</t>
        </is>
      </c>
      <c r="O60" s="13" t="inlineStr">
        <is>
          <t>agentic_from_long_chat</t>
        </is>
      </c>
      <c r="P60" s="13" t="inlineStr">
        <is>
          <t>dynamic_reasoning_proxy</t>
        </is>
      </c>
      <c r="Q60" s="13" t="inlineStr">
        <is>
          <t>low_target_gap</t>
        </is>
      </c>
      <c r="R60" s="13" t="inlineStr">
        <is>
          <t>2025-11-04T00:00:00.000Z</t>
        </is>
      </c>
      <c r="S6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61">
      <c r="A61" s="13" t="inlineStr">
        <is>
          <t>frontier_composite</t>
        </is>
      </c>
      <c r="B61" s="13" t="inlineStr">
        <is>
          <t>gptoss120b</t>
        </is>
      </c>
      <c r="C61" s="13" t="inlineStr">
        <is>
          <t>H200</t>
        </is>
      </c>
      <c r="D61" s="13" t="inlineStr">
        <is>
          <t>agentic</t>
        </is>
      </c>
      <c r="E61" s="13" t="inlineStr">
        <is>
          <t>100</t>
        </is>
      </c>
      <c r="F61" s="13" t="inlineStr">
        <is>
          <t>False</t>
        </is>
      </c>
      <c r="G61" s="14" t="inlineStr">
        <is>
          <t>0.845141304347826</t>
        </is>
      </c>
      <c r="H61" s="15" t="inlineStr">
        <is>
          <t>35805.86956521739</t>
        </is>
      </c>
      <c r="I61" s="16" t="inlineStr">
        <is>
          <t>15.485869565217392</t>
        </is>
      </c>
      <c r="J61" s="13" t="inlineStr">
        <is>
          <t>fp4</t>
        </is>
      </c>
      <c r="K61" s="13" t="inlineStr">
        <is>
          <t>vllm</t>
        </is>
      </c>
      <c r="L61" s="13" t="inlineStr">
        <is>
          <t>4</t>
        </is>
      </c>
      <c r="M61" s="13" t="inlineStr">
        <is>
          <t>8192</t>
        </is>
      </c>
      <c r="N61" s="13" t="inlineStr">
        <is>
          <t>1024</t>
        </is>
      </c>
      <c r="O61" s="13" t="inlineStr">
        <is>
          <t>agentic_from_long_chat</t>
        </is>
      </c>
      <c r="P61" s="13" t="inlineStr">
        <is>
          <t>dynamic_reasoning_proxy</t>
        </is>
      </c>
      <c r="Q61" s="13" t="inlineStr">
        <is>
          <t>low_target_gap</t>
        </is>
      </c>
      <c r="R61" s="13" t="inlineStr">
        <is>
          <t>2025-11-04T00:00:00.000Z</t>
        </is>
      </c>
      <c r="S6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62">
      <c r="A62" s="5" t="inlineStr">
        <is>
          <t>frontier_composite</t>
        </is>
      </c>
      <c r="B62" s="5" t="inlineStr">
        <is>
          <t>dsv4+kimik2.5</t>
        </is>
      </c>
      <c r="C62" s="5" t="inlineStr">
        <is>
          <t>B200</t>
        </is>
      </c>
      <c r="D62" s="5" t="inlineStr">
        <is>
          <t>short</t>
        </is>
      </c>
      <c r="E62" s="5" t="inlineStr">
        <is>
          <t>10</t>
        </is>
      </c>
      <c r="F62" s="5" t="inlineStr">
        <is>
          <t>True</t>
        </is>
      </c>
      <c r="G62" s="6" t="inlineStr">
        <is>
          <t>0.0</t>
        </is>
      </c>
      <c r="H62" s="7" t="inlineStr">
        <is>
          <t>40586.0</t>
        </is>
      </c>
      <c r="I62" s="8" t="inlineStr">
        <is>
          <t>11.01</t>
        </is>
      </c>
      <c r="J62" s="5" t="inlineStr">
        <is>
          <t>int4</t>
        </is>
      </c>
      <c r="K62" s="5" t="inlineStr">
        <is>
          <t>vllm</t>
        </is>
      </c>
      <c r="L62" s="5" t="inlineStr">
        <is>
          <t>8</t>
        </is>
      </c>
      <c r="M62" s="5" t="inlineStr">
        <is>
          <t>1024</t>
        </is>
      </c>
      <c r="N62" s="5" t="inlineStr">
        <is>
          <t>1024</t>
        </is>
      </c>
      <c r="O62" s="5" t="inlineStr">
        <is>
          <t>selected_public_max</t>
        </is>
      </c>
      <c r="P62" s="5" t="inlineStr">
        <is>
          <t>direct_target_row</t>
        </is>
      </c>
      <c r="Q62" s="5" t="inlineStr">
        <is>
          <t>medium</t>
        </is>
      </c>
      <c r="R62" s="5" t="inlineStr">
        <is>
          <t>2026-05-16T00:00:00.000Z</t>
        </is>
      </c>
      <c r="S62" s="5" t="inlineStr">
        <is>
          <t>tok_s_user is computed as output_tok_s_gpu/concurrency when source tok_s_user is blank; agentic_derived uses long_chat rows multiplied by the Kimi K2.5 agentic/long ratio.</t>
        </is>
      </c>
    </row>
    <row r="63">
      <c r="A63" s="9" t="inlineStr">
        <is>
          <t>frontier_composite</t>
        </is>
      </c>
      <c r="B63" s="9" t="inlineStr">
        <is>
          <t>dsv4+kimik2.5</t>
        </is>
      </c>
      <c r="C63" s="9" t="inlineStr">
        <is>
          <t>B200</t>
        </is>
      </c>
      <c r="D63" s="9" t="inlineStr">
        <is>
          <t>short</t>
        </is>
      </c>
      <c r="E63" s="9" t="inlineStr">
        <is>
          <t>30</t>
        </is>
      </c>
      <c r="F63" s="9" t="inlineStr">
        <is>
          <t>False</t>
        </is>
      </c>
      <c r="G63" s="10" t="inlineStr">
        <is>
          <t>0.6330000000000001</t>
        </is>
      </c>
      <c r="H63" s="11" t="inlineStr">
        <is>
          <t>40586.0</t>
        </is>
      </c>
      <c r="I63" s="12" t="inlineStr">
        <is>
          <t>11.01</t>
        </is>
      </c>
      <c r="J63" s="9" t="inlineStr">
        <is>
          <t>int4</t>
        </is>
      </c>
      <c r="K63" s="9" t="inlineStr">
        <is>
          <t>vllm</t>
        </is>
      </c>
      <c r="L63" s="9" t="inlineStr">
        <is>
          <t>8</t>
        </is>
      </c>
      <c r="M63" s="9" t="inlineStr">
        <is>
          <t>1024</t>
        </is>
      </c>
      <c r="N63" s="9" t="inlineStr">
        <is>
          <t>1024</t>
        </is>
      </c>
      <c r="O63" s="9" t="inlineStr">
        <is>
          <t>selected_public_max</t>
        </is>
      </c>
      <c r="P63" s="9" t="inlineStr">
        <is>
          <t>best_available_below_target</t>
        </is>
      </c>
      <c r="Q63" s="9" t="inlineStr">
        <is>
          <t>low_target_gap</t>
        </is>
      </c>
      <c r="R63" s="9" t="inlineStr">
        <is>
          <t>2026-05-16T00:00:00.000Z</t>
        </is>
      </c>
      <c r="S63" s="9" t="inlineStr">
        <is>
          <t>tok_s_user is computed as output_tok_s_gpu/concurrency when source tok_s_user is blank; agentic_derived uses long_chat rows multiplied by the Kimi K2.5 agentic/long ratio.</t>
        </is>
      </c>
    </row>
    <row r="64">
      <c r="A64" s="9" t="inlineStr">
        <is>
          <t>frontier_composite</t>
        </is>
      </c>
      <c r="B64" s="9" t="inlineStr">
        <is>
          <t>dsv4+kimik2.5</t>
        </is>
      </c>
      <c r="C64" s="9" t="inlineStr">
        <is>
          <t>B200</t>
        </is>
      </c>
      <c r="D64" s="9" t="inlineStr">
        <is>
          <t>short</t>
        </is>
      </c>
      <c r="E64" s="9" t="inlineStr">
        <is>
          <t>50</t>
        </is>
      </c>
      <c r="F64" s="9" t="inlineStr">
        <is>
          <t>False</t>
        </is>
      </c>
      <c r="G64" s="10" t="inlineStr">
        <is>
          <t>0.7798</t>
        </is>
      </c>
      <c r="H64" s="11" t="inlineStr">
        <is>
          <t>40586.0</t>
        </is>
      </c>
      <c r="I64" s="12" t="inlineStr">
        <is>
          <t>11.01</t>
        </is>
      </c>
      <c r="J64" s="9" t="inlineStr">
        <is>
          <t>int4</t>
        </is>
      </c>
      <c r="K64" s="9" t="inlineStr">
        <is>
          <t>vllm</t>
        </is>
      </c>
      <c r="L64" s="9" t="inlineStr">
        <is>
          <t>8</t>
        </is>
      </c>
      <c r="M64" s="9" t="inlineStr">
        <is>
          <t>1024</t>
        </is>
      </c>
      <c r="N64" s="9" t="inlineStr">
        <is>
          <t>1024</t>
        </is>
      </c>
      <c r="O64" s="9" t="inlineStr">
        <is>
          <t>selected_public_max</t>
        </is>
      </c>
      <c r="P64" s="9" t="inlineStr">
        <is>
          <t>best_available_below_target</t>
        </is>
      </c>
      <c r="Q64" s="9" t="inlineStr">
        <is>
          <t>low_target_gap</t>
        </is>
      </c>
      <c r="R64" s="9" t="inlineStr">
        <is>
          <t>2026-05-16T00:00:00.000Z</t>
        </is>
      </c>
      <c r="S64" s="9" t="inlineStr">
        <is>
          <t>tok_s_user is computed as output_tok_s_gpu/concurrency when source tok_s_user is blank; agentic_derived uses long_chat rows multiplied by the Kimi K2.5 agentic/long ratio.</t>
        </is>
      </c>
    </row>
    <row r="65">
      <c r="A65" s="9" t="inlineStr">
        <is>
          <t>frontier_composite</t>
        </is>
      </c>
      <c r="B65" s="9" t="inlineStr">
        <is>
          <t>dsv4+kimik2.5</t>
        </is>
      </c>
      <c r="C65" s="9" t="inlineStr">
        <is>
          <t>B200</t>
        </is>
      </c>
      <c r="D65" s="9" t="inlineStr">
        <is>
          <t>short</t>
        </is>
      </c>
      <c r="E65" s="9" t="inlineStr">
        <is>
          <t>70</t>
        </is>
      </c>
      <c r="F65" s="9" t="inlineStr">
        <is>
          <t>False</t>
        </is>
      </c>
      <c r="G65" s="10" t="inlineStr">
        <is>
          <t>0.8427142857142857</t>
        </is>
      </c>
      <c r="H65" s="11" t="inlineStr">
        <is>
          <t>40586.0</t>
        </is>
      </c>
      <c r="I65" s="12" t="inlineStr">
        <is>
          <t>11.01</t>
        </is>
      </c>
      <c r="J65" s="9" t="inlineStr">
        <is>
          <t>int4</t>
        </is>
      </c>
      <c r="K65" s="9" t="inlineStr">
        <is>
          <t>vllm</t>
        </is>
      </c>
      <c r="L65" s="9" t="inlineStr">
        <is>
          <t>8</t>
        </is>
      </c>
      <c r="M65" s="9" t="inlineStr">
        <is>
          <t>1024</t>
        </is>
      </c>
      <c r="N65" s="9" t="inlineStr">
        <is>
          <t>1024</t>
        </is>
      </c>
      <c r="O65" s="9" t="inlineStr">
        <is>
          <t>selected_public_max</t>
        </is>
      </c>
      <c r="P65" s="9" t="inlineStr">
        <is>
          <t>best_available_below_target</t>
        </is>
      </c>
      <c r="Q65" s="9" t="inlineStr">
        <is>
          <t>low_target_gap</t>
        </is>
      </c>
      <c r="R65" s="9" t="inlineStr">
        <is>
          <t>2026-05-16T00:00:00.000Z</t>
        </is>
      </c>
      <c r="S65" s="9" t="inlineStr">
        <is>
          <t>tok_s_user is computed as output_tok_s_gpu/concurrency when source tok_s_user is blank; agentic_derived uses long_chat rows multiplied by the Kimi K2.5 agentic/long ratio.</t>
        </is>
      </c>
    </row>
    <row r="66">
      <c r="A66" s="9" t="inlineStr">
        <is>
          <t>frontier_composite</t>
        </is>
      </c>
      <c r="B66" s="9" t="inlineStr">
        <is>
          <t>dsv4+kimik2.5</t>
        </is>
      </c>
      <c r="C66" s="9" t="inlineStr">
        <is>
          <t>B200</t>
        </is>
      </c>
      <c r="D66" s="9" t="inlineStr">
        <is>
          <t>short</t>
        </is>
      </c>
      <c r="E66" s="9" t="inlineStr">
        <is>
          <t>100</t>
        </is>
      </c>
      <c r="F66" s="9" t="inlineStr">
        <is>
          <t>False</t>
        </is>
      </c>
      <c r="G66" s="10" t="inlineStr">
        <is>
          <t>0.8898999999999999</t>
        </is>
      </c>
      <c r="H66" s="11" t="inlineStr">
        <is>
          <t>40586.0</t>
        </is>
      </c>
      <c r="I66" s="12" t="inlineStr">
        <is>
          <t>11.01</t>
        </is>
      </c>
      <c r="J66" s="9" t="inlineStr">
        <is>
          <t>int4</t>
        </is>
      </c>
      <c r="K66" s="9" t="inlineStr">
        <is>
          <t>vllm</t>
        </is>
      </c>
      <c r="L66" s="9" t="inlineStr">
        <is>
          <t>8</t>
        </is>
      </c>
      <c r="M66" s="9" t="inlineStr">
        <is>
          <t>1024</t>
        </is>
      </c>
      <c r="N66" s="9" t="inlineStr">
        <is>
          <t>1024</t>
        </is>
      </c>
      <c r="O66" s="9" t="inlineStr">
        <is>
          <t>selected_public_max</t>
        </is>
      </c>
      <c r="P66" s="9" t="inlineStr">
        <is>
          <t>best_available_below_target</t>
        </is>
      </c>
      <c r="Q66" s="9" t="inlineStr">
        <is>
          <t>low_target_gap</t>
        </is>
      </c>
      <c r="R66" s="9" t="inlineStr">
        <is>
          <t>2026-05-16T00:00:00.000Z</t>
        </is>
      </c>
      <c r="S66" s="9" t="inlineStr">
        <is>
          <t>tok_s_user is computed as output_tok_s_gpu/concurrency when source tok_s_user is blank; agentic_derived uses long_chat rows multiplied by the Kimi K2.5 agentic/long ratio.</t>
        </is>
      </c>
    </row>
    <row r="67">
      <c r="A67" s="5" t="inlineStr">
        <is>
          <t>frontier_composite</t>
        </is>
      </c>
      <c r="B67" s="5" t="inlineStr">
        <is>
          <t>dsv4+kimik2.5</t>
        </is>
      </c>
      <c r="C67" s="5" t="inlineStr">
        <is>
          <t>B200</t>
        </is>
      </c>
      <c r="D67" s="5" t="inlineStr">
        <is>
          <t>long</t>
        </is>
      </c>
      <c r="E67" s="5" t="inlineStr">
        <is>
          <t>10</t>
        </is>
      </c>
      <c r="F67" s="5" t="inlineStr">
        <is>
          <t>True</t>
        </is>
      </c>
      <c r="G67" s="6" t="inlineStr">
        <is>
          <t>0.0</t>
        </is>
      </c>
      <c r="H67" s="7" t="inlineStr">
        <is>
          <t>22902.0</t>
        </is>
      </c>
      <c r="I67" s="8" t="inlineStr">
        <is>
          <t>12.42</t>
        </is>
      </c>
      <c r="J67" s="5" t="inlineStr">
        <is>
          <t>int4</t>
        </is>
      </c>
      <c r="K67" s="5" t="inlineStr">
        <is>
          <t>vllm</t>
        </is>
      </c>
      <c r="L67" s="5" t="inlineStr">
        <is>
          <t>4</t>
        </is>
      </c>
      <c r="M67" s="5" t="inlineStr">
        <is>
          <t>8192</t>
        </is>
      </c>
      <c r="N67" s="5" t="inlineStr">
        <is>
          <t>1024</t>
        </is>
      </c>
      <c r="O67" s="5" t="inlineStr">
        <is>
          <t>selected_public_max</t>
        </is>
      </c>
      <c r="P67" s="5" t="inlineStr">
        <is>
          <t>direct_target_row</t>
        </is>
      </c>
      <c r="Q67" s="5" t="inlineStr">
        <is>
          <t>medium</t>
        </is>
      </c>
      <c r="R67" s="5" t="inlineStr">
        <is>
          <t>2026-05-16T00:00:00.000Z</t>
        </is>
      </c>
      <c r="S67" s="5" t="inlineStr">
        <is>
          <t>tok_s_user is computed as output_tok_s_gpu/concurrency when source tok_s_user is blank; agentic_derived uses long_chat rows multiplied by the Kimi K2.5 agentic/long ratio.</t>
        </is>
      </c>
    </row>
    <row r="68">
      <c r="A68" s="9" t="inlineStr">
        <is>
          <t>frontier_composite</t>
        </is>
      </c>
      <c r="B68" s="9" t="inlineStr">
        <is>
          <t>dsv4+kimik2.5</t>
        </is>
      </c>
      <c r="C68" s="9" t="inlineStr">
        <is>
          <t>B200</t>
        </is>
      </c>
      <c r="D68" s="9" t="inlineStr">
        <is>
          <t>long</t>
        </is>
      </c>
      <c r="E68" s="9" t="inlineStr">
        <is>
          <t>30</t>
        </is>
      </c>
      <c r="F68" s="9" t="inlineStr">
        <is>
          <t>False</t>
        </is>
      </c>
      <c r="G68" s="10" t="inlineStr">
        <is>
          <t>0.586</t>
        </is>
      </c>
      <c r="H68" s="11" t="inlineStr">
        <is>
          <t>22902.0</t>
        </is>
      </c>
      <c r="I68" s="12" t="inlineStr">
        <is>
          <t>12.42</t>
        </is>
      </c>
      <c r="J68" s="9" t="inlineStr">
        <is>
          <t>int4</t>
        </is>
      </c>
      <c r="K68" s="9" t="inlineStr">
        <is>
          <t>vllm</t>
        </is>
      </c>
      <c r="L68" s="9" t="inlineStr">
        <is>
          <t>4</t>
        </is>
      </c>
      <c r="M68" s="9" t="inlineStr">
        <is>
          <t>8192</t>
        </is>
      </c>
      <c r="N68" s="9" t="inlineStr">
        <is>
          <t>1024</t>
        </is>
      </c>
      <c r="O68" s="9" t="inlineStr">
        <is>
          <t>selected_public_max</t>
        </is>
      </c>
      <c r="P68" s="9" t="inlineStr">
        <is>
          <t>best_available_below_target</t>
        </is>
      </c>
      <c r="Q68" s="9" t="inlineStr">
        <is>
          <t>low_target_gap</t>
        </is>
      </c>
      <c r="R68" s="9" t="inlineStr">
        <is>
          <t>2026-05-16T00:00:00.000Z</t>
        </is>
      </c>
      <c r="S68" s="9" t="inlineStr">
        <is>
          <t>tok_s_user is computed as output_tok_s_gpu/concurrency when source tok_s_user is blank; agentic_derived uses long_chat rows multiplied by the Kimi K2.5 agentic/long ratio.</t>
        </is>
      </c>
    </row>
    <row r="69">
      <c r="A69" s="9" t="inlineStr">
        <is>
          <t>frontier_composite</t>
        </is>
      </c>
      <c r="B69" s="9" t="inlineStr">
        <is>
          <t>dsv4+kimik2.5</t>
        </is>
      </c>
      <c r="C69" s="9" t="inlineStr">
        <is>
          <t>B200</t>
        </is>
      </c>
      <c r="D69" s="9" t="inlineStr">
        <is>
          <t>long</t>
        </is>
      </c>
      <c r="E69" s="9" t="inlineStr">
        <is>
          <t>50</t>
        </is>
      </c>
      <c r="F69" s="9" t="inlineStr">
        <is>
          <t>False</t>
        </is>
      </c>
      <c r="G69" s="10" t="inlineStr">
        <is>
          <t>0.7515999999999999</t>
        </is>
      </c>
      <c r="H69" s="11" t="inlineStr">
        <is>
          <t>22902.0</t>
        </is>
      </c>
      <c r="I69" s="12" t="inlineStr">
        <is>
          <t>12.42</t>
        </is>
      </c>
      <c r="J69" s="9" t="inlineStr">
        <is>
          <t>int4</t>
        </is>
      </c>
      <c r="K69" s="9" t="inlineStr">
        <is>
          <t>vllm</t>
        </is>
      </c>
      <c r="L69" s="9" t="inlineStr">
        <is>
          <t>4</t>
        </is>
      </c>
      <c r="M69" s="9" t="inlineStr">
        <is>
          <t>8192</t>
        </is>
      </c>
      <c r="N69" s="9" t="inlineStr">
        <is>
          <t>1024</t>
        </is>
      </c>
      <c r="O69" s="9" t="inlineStr">
        <is>
          <t>selected_public_max</t>
        </is>
      </c>
      <c r="P69" s="9" t="inlineStr">
        <is>
          <t>best_available_below_target</t>
        </is>
      </c>
      <c r="Q69" s="9" t="inlineStr">
        <is>
          <t>low_target_gap</t>
        </is>
      </c>
      <c r="R69" s="9" t="inlineStr">
        <is>
          <t>2026-05-16T00:00:00.000Z</t>
        </is>
      </c>
      <c r="S69" s="9" t="inlineStr">
        <is>
          <t>tok_s_user is computed as output_tok_s_gpu/concurrency when source tok_s_user is blank; agentic_derived uses long_chat rows multiplied by the Kimi K2.5 agentic/long ratio.</t>
        </is>
      </c>
    </row>
    <row r="70">
      <c r="A70" s="9" t="inlineStr">
        <is>
          <t>frontier_composite</t>
        </is>
      </c>
      <c r="B70" s="9" t="inlineStr">
        <is>
          <t>dsv4+kimik2.5</t>
        </is>
      </c>
      <c r="C70" s="9" t="inlineStr">
        <is>
          <t>B200</t>
        </is>
      </c>
      <c r="D70" s="9" t="inlineStr">
        <is>
          <t>long</t>
        </is>
      </c>
      <c r="E70" s="9" t="inlineStr">
        <is>
          <t>70</t>
        </is>
      </c>
      <c r="F70" s="9" t="inlineStr">
        <is>
          <t>False</t>
        </is>
      </c>
      <c r="G70" s="10" t="inlineStr">
        <is>
          <t>0.8225714285714285</t>
        </is>
      </c>
      <c r="H70" s="11" t="inlineStr">
        <is>
          <t>22902.0</t>
        </is>
      </c>
      <c r="I70" s="12" t="inlineStr">
        <is>
          <t>12.42</t>
        </is>
      </c>
      <c r="J70" s="9" t="inlineStr">
        <is>
          <t>int4</t>
        </is>
      </c>
      <c r="K70" s="9" t="inlineStr">
        <is>
          <t>vllm</t>
        </is>
      </c>
      <c r="L70" s="9" t="inlineStr">
        <is>
          <t>4</t>
        </is>
      </c>
      <c r="M70" s="9" t="inlineStr">
        <is>
          <t>8192</t>
        </is>
      </c>
      <c r="N70" s="9" t="inlineStr">
        <is>
          <t>1024</t>
        </is>
      </c>
      <c r="O70" s="9" t="inlineStr">
        <is>
          <t>selected_public_max</t>
        </is>
      </c>
      <c r="P70" s="9" t="inlineStr">
        <is>
          <t>best_available_below_target</t>
        </is>
      </c>
      <c r="Q70" s="9" t="inlineStr">
        <is>
          <t>low_target_gap</t>
        </is>
      </c>
      <c r="R70" s="9" t="inlineStr">
        <is>
          <t>2026-05-16T00:00:00.000Z</t>
        </is>
      </c>
      <c r="S70" s="9" t="inlineStr">
        <is>
          <t>tok_s_user is computed as output_tok_s_gpu/concurrency when source tok_s_user is blank; agentic_derived uses long_chat rows multiplied by the Kimi K2.5 agentic/long ratio.</t>
        </is>
      </c>
    </row>
    <row r="71">
      <c r="A71" s="9" t="inlineStr">
        <is>
          <t>frontier_composite</t>
        </is>
      </c>
      <c r="B71" s="9" t="inlineStr">
        <is>
          <t>dsv4+kimik2.5</t>
        </is>
      </c>
      <c r="C71" s="9" t="inlineStr">
        <is>
          <t>B200</t>
        </is>
      </c>
      <c r="D71" s="9" t="inlineStr">
        <is>
          <t>long</t>
        </is>
      </c>
      <c r="E71" s="9" t="inlineStr">
        <is>
          <t>100</t>
        </is>
      </c>
      <c r="F71" s="9" t="inlineStr">
        <is>
          <t>False</t>
        </is>
      </c>
      <c r="G71" s="10" t="inlineStr">
        <is>
          <t>0.8758</t>
        </is>
      </c>
      <c r="H71" s="11" t="inlineStr">
        <is>
          <t>22902.0</t>
        </is>
      </c>
      <c r="I71" s="12" t="inlineStr">
        <is>
          <t>12.42</t>
        </is>
      </c>
      <c r="J71" s="9" t="inlineStr">
        <is>
          <t>int4</t>
        </is>
      </c>
      <c r="K71" s="9" t="inlineStr">
        <is>
          <t>vllm</t>
        </is>
      </c>
      <c r="L71" s="9" t="inlineStr">
        <is>
          <t>4</t>
        </is>
      </c>
      <c r="M71" s="9" t="inlineStr">
        <is>
          <t>8192</t>
        </is>
      </c>
      <c r="N71" s="9" t="inlineStr">
        <is>
          <t>1024</t>
        </is>
      </c>
      <c r="O71" s="9" t="inlineStr">
        <is>
          <t>selected_public_max</t>
        </is>
      </c>
      <c r="P71" s="9" t="inlineStr">
        <is>
          <t>best_available_below_target</t>
        </is>
      </c>
      <c r="Q71" s="9" t="inlineStr">
        <is>
          <t>low_target_gap</t>
        </is>
      </c>
      <c r="R71" s="9" t="inlineStr">
        <is>
          <t>2026-05-16T00:00:00.000Z</t>
        </is>
      </c>
      <c r="S71" s="9" t="inlineStr">
        <is>
          <t>tok_s_user is computed as output_tok_s_gpu/concurrency when source tok_s_user is blank; agentic_derived uses long_chat rows multiplied by the Kimi K2.5 agentic/long ratio.</t>
        </is>
      </c>
    </row>
    <row r="72">
      <c r="A72" s="13" t="inlineStr">
        <is>
          <t>frontier_composite</t>
        </is>
      </c>
      <c r="B72" s="13" t="inlineStr">
        <is>
          <t>dsv4+kimik2.5</t>
        </is>
      </c>
      <c r="C72" s="13" t="inlineStr">
        <is>
          <t>B200</t>
        </is>
      </c>
      <c r="D72" s="13" t="inlineStr">
        <is>
          <t>agentic</t>
        </is>
      </c>
      <c r="E72" s="13" t="inlineStr">
        <is>
          <t>10</t>
        </is>
      </c>
      <c r="F72" s="13" t="inlineStr">
        <is>
          <t>False</t>
        </is>
      </c>
      <c r="G72" s="14" t="inlineStr">
        <is>
          <t>0.865</t>
        </is>
      </c>
      <c r="H72" s="15" t="inlineStr">
        <is>
          <t>2489.3478260869565</t>
        </is>
      </c>
      <c r="I72" s="16" t="inlineStr">
        <is>
          <t>1.35</t>
        </is>
      </c>
      <c r="J72" s="13" t="inlineStr">
        <is>
          <t>int4</t>
        </is>
      </c>
      <c r="K72" s="13" t="inlineStr">
        <is>
          <t>vllm</t>
        </is>
      </c>
      <c r="L72" s="13" t="inlineStr">
        <is>
          <t>4</t>
        </is>
      </c>
      <c r="M72" s="13" t="inlineStr">
        <is>
          <t>8192</t>
        </is>
      </c>
      <c r="N72" s="13" t="inlineStr">
        <is>
          <t>1024</t>
        </is>
      </c>
      <c r="O72" s="13" t="inlineStr">
        <is>
          <t>agentic_from_long_chat</t>
        </is>
      </c>
      <c r="P72" s="13" t="inlineStr">
        <is>
          <t>dynamic_reasoning_proxy</t>
        </is>
      </c>
      <c r="Q72" s="13" t="inlineStr">
        <is>
          <t>low_target_gap</t>
        </is>
      </c>
      <c r="R72" s="13" t="inlineStr">
        <is>
          <t>2026-05-16T00:00:00.000Z</t>
        </is>
      </c>
      <c r="S72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3">
      <c r="A73" s="13" t="inlineStr">
        <is>
          <t>frontier_composite</t>
        </is>
      </c>
      <c r="B73" s="13" t="inlineStr">
        <is>
          <t>dsv4+kimik2.5</t>
        </is>
      </c>
      <c r="C73" s="13" t="inlineStr">
        <is>
          <t>B200</t>
        </is>
      </c>
      <c r="D73" s="13" t="inlineStr">
        <is>
          <t>agentic</t>
        </is>
      </c>
      <c r="E73" s="13" t="inlineStr">
        <is>
          <t>30</t>
        </is>
      </c>
      <c r="F73" s="13" t="inlineStr">
        <is>
          <t>False</t>
        </is>
      </c>
      <c r="G73" s="14" t="inlineStr">
        <is>
          <t>0.955</t>
        </is>
      </c>
      <c r="H73" s="15" t="inlineStr">
        <is>
          <t>2489.3478260869565</t>
        </is>
      </c>
      <c r="I73" s="16" t="inlineStr">
        <is>
          <t>1.35</t>
        </is>
      </c>
      <c r="J73" s="13" t="inlineStr">
        <is>
          <t>int4</t>
        </is>
      </c>
      <c r="K73" s="13" t="inlineStr">
        <is>
          <t>vllm</t>
        </is>
      </c>
      <c r="L73" s="13" t="inlineStr">
        <is>
          <t>4</t>
        </is>
      </c>
      <c r="M73" s="13" t="inlineStr">
        <is>
          <t>8192</t>
        </is>
      </c>
      <c r="N73" s="13" t="inlineStr">
        <is>
          <t>1024</t>
        </is>
      </c>
      <c r="O73" s="13" t="inlineStr">
        <is>
          <t>agentic_from_long_chat</t>
        </is>
      </c>
      <c r="P73" s="13" t="inlineStr">
        <is>
          <t>dynamic_reasoning_proxy</t>
        </is>
      </c>
      <c r="Q73" s="13" t="inlineStr">
        <is>
          <t>low_target_gap</t>
        </is>
      </c>
      <c r="R73" s="13" t="inlineStr">
        <is>
          <t>2026-05-16T00:00:00.000Z</t>
        </is>
      </c>
      <c r="S7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4">
      <c r="A74" s="13" t="inlineStr">
        <is>
          <t>frontier_composite</t>
        </is>
      </c>
      <c r="B74" s="13" t="inlineStr">
        <is>
          <t>dsv4+kimik2.5</t>
        </is>
      </c>
      <c r="C74" s="13" t="inlineStr">
        <is>
          <t>B200</t>
        </is>
      </c>
      <c r="D74" s="13" t="inlineStr">
        <is>
          <t>agentic</t>
        </is>
      </c>
      <c r="E74" s="13" t="inlineStr">
        <is>
          <t>50</t>
        </is>
      </c>
      <c r="F74" s="13" t="inlineStr">
        <is>
          <t>False</t>
        </is>
      </c>
      <c r="G74" s="14" t="inlineStr">
        <is>
          <t>0.973</t>
        </is>
      </c>
      <c r="H74" s="15" t="inlineStr">
        <is>
          <t>2489.3478260869565</t>
        </is>
      </c>
      <c r="I74" s="16" t="inlineStr">
        <is>
          <t>1.35</t>
        </is>
      </c>
      <c r="J74" s="13" t="inlineStr">
        <is>
          <t>int4</t>
        </is>
      </c>
      <c r="K74" s="13" t="inlineStr">
        <is>
          <t>vllm</t>
        </is>
      </c>
      <c r="L74" s="13" t="inlineStr">
        <is>
          <t>4</t>
        </is>
      </c>
      <c r="M74" s="13" t="inlineStr">
        <is>
          <t>8192</t>
        </is>
      </c>
      <c r="N74" s="13" t="inlineStr">
        <is>
          <t>1024</t>
        </is>
      </c>
      <c r="O74" s="13" t="inlineStr">
        <is>
          <t>agentic_from_long_chat</t>
        </is>
      </c>
      <c r="P74" s="13" t="inlineStr">
        <is>
          <t>dynamic_reasoning_proxy</t>
        </is>
      </c>
      <c r="Q74" s="13" t="inlineStr">
        <is>
          <t>low_target_gap</t>
        </is>
      </c>
      <c r="R74" s="13" t="inlineStr">
        <is>
          <t>2026-05-16T00:00:00.000Z</t>
        </is>
      </c>
      <c r="S7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5">
      <c r="A75" s="13" t="inlineStr">
        <is>
          <t>frontier_composite</t>
        </is>
      </c>
      <c r="B75" s="13" t="inlineStr">
        <is>
          <t>dsv4+kimik2.5</t>
        </is>
      </c>
      <c r="C75" s="13" t="inlineStr">
        <is>
          <t>B200</t>
        </is>
      </c>
      <c r="D75" s="13" t="inlineStr">
        <is>
          <t>agentic</t>
        </is>
      </c>
      <c r="E75" s="13" t="inlineStr">
        <is>
          <t>70</t>
        </is>
      </c>
      <c r="F75" s="13" t="inlineStr">
        <is>
          <t>False</t>
        </is>
      </c>
      <c r="G75" s="14" t="inlineStr">
        <is>
          <t>0.9807142857142858</t>
        </is>
      </c>
      <c r="H75" s="15" t="inlineStr">
        <is>
          <t>2489.3478260869565</t>
        </is>
      </c>
      <c r="I75" s="16" t="inlineStr">
        <is>
          <t>1.35</t>
        </is>
      </c>
      <c r="J75" s="13" t="inlineStr">
        <is>
          <t>int4</t>
        </is>
      </c>
      <c r="K75" s="13" t="inlineStr">
        <is>
          <t>vllm</t>
        </is>
      </c>
      <c r="L75" s="13" t="inlineStr">
        <is>
          <t>4</t>
        </is>
      </c>
      <c r="M75" s="13" t="inlineStr">
        <is>
          <t>8192</t>
        </is>
      </c>
      <c r="N75" s="13" t="inlineStr">
        <is>
          <t>1024</t>
        </is>
      </c>
      <c r="O75" s="13" t="inlineStr">
        <is>
          <t>agentic_from_long_chat</t>
        </is>
      </c>
      <c r="P75" s="13" t="inlineStr">
        <is>
          <t>dynamic_reasoning_proxy</t>
        </is>
      </c>
      <c r="Q75" s="13" t="inlineStr">
        <is>
          <t>low_target_gap</t>
        </is>
      </c>
      <c r="R75" s="13" t="inlineStr">
        <is>
          <t>2026-05-16T00:00:00.000Z</t>
        </is>
      </c>
      <c r="S7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6">
      <c r="A76" s="13" t="inlineStr">
        <is>
          <t>frontier_composite</t>
        </is>
      </c>
      <c r="B76" s="13" t="inlineStr">
        <is>
          <t>dsv4+kimik2.5</t>
        </is>
      </c>
      <c r="C76" s="13" t="inlineStr">
        <is>
          <t>B200</t>
        </is>
      </c>
      <c r="D76" s="13" t="inlineStr">
        <is>
          <t>agentic</t>
        </is>
      </c>
      <c r="E76" s="13" t="inlineStr">
        <is>
          <t>100</t>
        </is>
      </c>
      <c r="F76" s="13" t="inlineStr">
        <is>
          <t>False</t>
        </is>
      </c>
      <c r="G76" s="14" t="inlineStr">
        <is>
          <t>0.9865</t>
        </is>
      </c>
      <c r="H76" s="15" t="inlineStr">
        <is>
          <t>2489.3478260869565</t>
        </is>
      </c>
      <c r="I76" s="16" t="inlineStr">
        <is>
          <t>1.35</t>
        </is>
      </c>
      <c r="J76" s="13" t="inlineStr">
        <is>
          <t>int4</t>
        </is>
      </c>
      <c r="K76" s="13" t="inlineStr">
        <is>
          <t>vllm</t>
        </is>
      </c>
      <c r="L76" s="13" t="inlineStr">
        <is>
          <t>4</t>
        </is>
      </c>
      <c r="M76" s="13" t="inlineStr">
        <is>
          <t>8192</t>
        </is>
      </c>
      <c r="N76" s="13" t="inlineStr">
        <is>
          <t>1024</t>
        </is>
      </c>
      <c r="O76" s="13" t="inlineStr">
        <is>
          <t>agentic_from_long_chat</t>
        </is>
      </c>
      <c r="P76" s="13" t="inlineStr">
        <is>
          <t>dynamic_reasoning_proxy</t>
        </is>
      </c>
      <c r="Q76" s="13" t="inlineStr">
        <is>
          <t>low_target_gap</t>
        </is>
      </c>
      <c r="R76" s="13" t="inlineStr">
        <is>
          <t>2026-05-16T00:00:00.000Z</t>
        </is>
      </c>
      <c r="S7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7">
      <c r="A77" s="9" t="inlineStr">
        <is>
          <t>frontier_composite</t>
        </is>
      </c>
      <c r="B77" s="9" t="inlineStr"/>
      <c r="C77" s="9" t="inlineStr">
        <is>
          <t>GB200</t>
        </is>
      </c>
      <c r="D77" s="9" t="inlineStr">
        <is>
          <t>short</t>
        </is>
      </c>
      <c r="E77" s="9" t="inlineStr">
        <is>
          <t>10</t>
        </is>
      </c>
      <c r="F77" s="9" t="inlineStr">
        <is>
          <t>False</t>
        </is>
      </c>
      <c r="G77" s="10" t="inlineStr"/>
      <c r="H77" s="11" t="inlineStr"/>
      <c r="I77" s="12" t="inlineStr"/>
      <c r="J77" s="9" t="inlineStr"/>
      <c r="K77" s="9" t="inlineStr"/>
      <c r="L77" s="9" t="inlineStr"/>
      <c r="M77" s="9" t="inlineStr"/>
      <c r="N77" s="9" t="inlineStr"/>
      <c r="O77" s="9" t="inlineStr">
        <is>
          <t>missing</t>
        </is>
      </c>
      <c r="P77" s="9" t="inlineStr">
        <is>
          <t>no_benchmark_row</t>
        </is>
      </c>
      <c r="Q77" s="9" t="inlineStr">
        <is>
          <t>missing</t>
        </is>
      </c>
      <c r="R77" s="9" t="inlineStr"/>
      <c r="S77" s="9" t="inlineStr">
        <is>
          <t>No model/GPU/workload benchmark row was available.</t>
        </is>
      </c>
    </row>
    <row r="78">
      <c r="A78" s="9" t="inlineStr">
        <is>
          <t>frontier_composite</t>
        </is>
      </c>
      <c r="B78" s="9" t="inlineStr"/>
      <c r="C78" s="9" t="inlineStr">
        <is>
          <t>GB200</t>
        </is>
      </c>
      <c r="D78" s="9" t="inlineStr">
        <is>
          <t>short</t>
        </is>
      </c>
      <c r="E78" s="9" t="inlineStr">
        <is>
          <t>30</t>
        </is>
      </c>
      <c r="F78" s="9" t="inlineStr">
        <is>
          <t>False</t>
        </is>
      </c>
      <c r="G78" s="10" t="inlineStr"/>
      <c r="H78" s="11" t="inlineStr"/>
      <c r="I78" s="12" t="inlineStr"/>
      <c r="J78" s="9" t="inlineStr"/>
      <c r="K78" s="9" t="inlineStr"/>
      <c r="L78" s="9" t="inlineStr"/>
      <c r="M78" s="9" t="inlineStr"/>
      <c r="N78" s="9" t="inlineStr"/>
      <c r="O78" s="9" t="inlineStr">
        <is>
          <t>missing</t>
        </is>
      </c>
      <c r="P78" s="9" t="inlineStr">
        <is>
          <t>no_benchmark_row</t>
        </is>
      </c>
      <c r="Q78" s="9" t="inlineStr">
        <is>
          <t>missing</t>
        </is>
      </c>
      <c r="R78" s="9" t="inlineStr"/>
      <c r="S78" s="9" t="inlineStr">
        <is>
          <t>No model/GPU/workload benchmark row was available.</t>
        </is>
      </c>
    </row>
    <row r="79">
      <c r="A79" s="9" t="inlineStr">
        <is>
          <t>frontier_composite</t>
        </is>
      </c>
      <c r="B79" s="9" t="inlineStr"/>
      <c r="C79" s="9" t="inlineStr">
        <is>
          <t>GB200</t>
        </is>
      </c>
      <c r="D79" s="9" t="inlineStr">
        <is>
          <t>short</t>
        </is>
      </c>
      <c r="E79" s="9" t="inlineStr">
        <is>
          <t>50</t>
        </is>
      </c>
      <c r="F79" s="9" t="inlineStr">
        <is>
          <t>False</t>
        </is>
      </c>
      <c r="G79" s="10" t="inlineStr"/>
      <c r="H79" s="11" t="inlineStr"/>
      <c r="I79" s="12" t="inlineStr"/>
      <c r="J79" s="9" t="inlineStr"/>
      <c r="K79" s="9" t="inlineStr"/>
      <c r="L79" s="9" t="inlineStr"/>
      <c r="M79" s="9" t="inlineStr"/>
      <c r="N79" s="9" t="inlineStr"/>
      <c r="O79" s="9" t="inlineStr">
        <is>
          <t>missing</t>
        </is>
      </c>
      <c r="P79" s="9" t="inlineStr">
        <is>
          <t>no_benchmark_row</t>
        </is>
      </c>
      <c r="Q79" s="9" t="inlineStr">
        <is>
          <t>missing</t>
        </is>
      </c>
      <c r="R79" s="9" t="inlineStr"/>
      <c r="S79" s="9" t="inlineStr">
        <is>
          <t>No model/GPU/workload benchmark row was available.</t>
        </is>
      </c>
    </row>
    <row r="80">
      <c r="A80" s="9" t="inlineStr">
        <is>
          <t>frontier_composite</t>
        </is>
      </c>
      <c r="B80" s="9" t="inlineStr"/>
      <c r="C80" s="9" t="inlineStr">
        <is>
          <t>GB200</t>
        </is>
      </c>
      <c r="D80" s="9" t="inlineStr">
        <is>
          <t>short</t>
        </is>
      </c>
      <c r="E80" s="9" t="inlineStr">
        <is>
          <t>70</t>
        </is>
      </c>
      <c r="F80" s="9" t="inlineStr">
        <is>
          <t>False</t>
        </is>
      </c>
      <c r="G80" s="10" t="inlineStr"/>
      <c r="H80" s="11" t="inlineStr"/>
      <c r="I80" s="12" t="inlineStr"/>
      <c r="J80" s="9" t="inlineStr"/>
      <c r="K80" s="9" t="inlineStr"/>
      <c r="L80" s="9" t="inlineStr"/>
      <c r="M80" s="9" t="inlineStr"/>
      <c r="N80" s="9" t="inlineStr"/>
      <c r="O80" s="9" t="inlineStr">
        <is>
          <t>missing</t>
        </is>
      </c>
      <c r="P80" s="9" t="inlineStr">
        <is>
          <t>no_benchmark_row</t>
        </is>
      </c>
      <c r="Q80" s="9" t="inlineStr">
        <is>
          <t>missing</t>
        </is>
      </c>
      <c r="R80" s="9" t="inlineStr"/>
      <c r="S80" s="9" t="inlineStr">
        <is>
          <t>No model/GPU/workload benchmark row was available.</t>
        </is>
      </c>
    </row>
    <row r="81">
      <c r="A81" s="9" t="inlineStr">
        <is>
          <t>frontier_composite</t>
        </is>
      </c>
      <c r="B81" s="9" t="inlineStr"/>
      <c r="C81" s="9" t="inlineStr">
        <is>
          <t>GB200</t>
        </is>
      </c>
      <c r="D81" s="9" t="inlineStr">
        <is>
          <t>short</t>
        </is>
      </c>
      <c r="E81" s="9" t="inlineStr">
        <is>
          <t>100</t>
        </is>
      </c>
      <c r="F81" s="9" t="inlineStr">
        <is>
          <t>False</t>
        </is>
      </c>
      <c r="G81" s="10" t="inlineStr"/>
      <c r="H81" s="11" t="inlineStr"/>
      <c r="I81" s="12" t="inlineStr"/>
      <c r="J81" s="9" t="inlineStr"/>
      <c r="K81" s="9" t="inlineStr"/>
      <c r="L81" s="9" t="inlineStr"/>
      <c r="M81" s="9" t="inlineStr"/>
      <c r="N81" s="9" t="inlineStr"/>
      <c r="O81" s="9" t="inlineStr">
        <is>
          <t>missing</t>
        </is>
      </c>
      <c r="P81" s="9" t="inlineStr">
        <is>
          <t>no_benchmark_row</t>
        </is>
      </c>
      <c r="Q81" s="9" t="inlineStr">
        <is>
          <t>missing</t>
        </is>
      </c>
      <c r="R81" s="9" t="inlineStr"/>
      <c r="S81" s="9" t="inlineStr">
        <is>
          <t>No model/GPU/workload benchmark row was available.</t>
        </is>
      </c>
    </row>
    <row r="82">
      <c r="A82" s="5" t="inlineStr">
        <is>
          <t>frontier_composite</t>
        </is>
      </c>
      <c r="B82" s="5" t="inlineStr">
        <is>
          <t>dsv4+kimik2.5</t>
        </is>
      </c>
      <c r="C82" s="5" t="inlineStr">
        <is>
          <t>GB200</t>
        </is>
      </c>
      <c r="D82" s="5" t="inlineStr">
        <is>
          <t>long</t>
        </is>
      </c>
      <c r="E82" s="5" t="inlineStr">
        <is>
          <t>10</t>
        </is>
      </c>
      <c r="F82" s="5" t="inlineStr">
        <is>
          <t>True</t>
        </is>
      </c>
      <c r="G82" s="6" t="inlineStr">
        <is>
          <t>0.0</t>
        </is>
      </c>
      <c r="H82" s="7" t="inlineStr">
        <is>
          <t>7963.0</t>
        </is>
      </c>
      <c r="I82" s="8" t="inlineStr">
        <is>
          <t>16.72</t>
        </is>
      </c>
      <c r="J82" s="5" t="inlineStr">
        <is>
          <t>fp4</t>
        </is>
      </c>
      <c r="K82" s="5" t="inlineStr">
        <is>
          <t>dynamo-vllm</t>
        </is>
      </c>
      <c r="L82" s="5" t="inlineStr">
        <is>
          <t>1</t>
        </is>
      </c>
      <c r="M82" s="5" t="inlineStr">
        <is>
          <t>8192</t>
        </is>
      </c>
      <c r="N82" s="5" t="inlineStr">
        <is>
          <t>1024</t>
        </is>
      </c>
      <c r="O82" s="5" t="inlineStr">
        <is>
          <t>selected_optimized_stack</t>
        </is>
      </c>
      <c r="P82" s="5" t="inlineStr">
        <is>
          <t>direct_target_row</t>
        </is>
      </c>
      <c r="Q82" s="5" t="inlineStr">
        <is>
          <t>medium</t>
        </is>
      </c>
      <c r="R82" s="5" t="inlineStr">
        <is>
          <t>2026-05-19T00:00:00.000Z</t>
        </is>
      </c>
      <c r="S82" s="5" t="inlineStr">
        <is>
          <t>tok_s_user is computed as output_tok_s_gpu/concurrency when source tok_s_user is blank; agentic_derived uses long_chat rows multiplied by the Kimi K2.5 agentic/long ratio.</t>
        </is>
      </c>
    </row>
    <row r="83">
      <c r="A83" s="9" t="inlineStr">
        <is>
          <t>frontier_composite</t>
        </is>
      </c>
      <c r="B83" s="9" t="inlineStr">
        <is>
          <t>dsv4+kimik2.5</t>
        </is>
      </c>
      <c r="C83" s="9" t="inlineStr">
        <is>
          <t>GB200</t>
        </is>
      </c>
      <c r="D83" s="9" t="inlineStr">
        <is>
          <t>long</t>
        </is>
      </c>
      <c r="E83" s="9" t="inlineStr">
        <is>
          <t>30</t>
        </is>
      </c>
      <c r="F83" s="9" t="inlineStr">
        <is>
          <t>False</t>
        </is>
      </c>
      <c r="G83" s="10" t="inlineStr">
        <is>
          <t>0.4426666666666667</t>
        </is>
      </c>
      <c r="H83" s="11" t="inlineStr">
        <is>
          <t>7963.0</t>
        </is>
      </c>
      <c r="I83" s="12" t="inlineStr">
        <is>
          <t>16.72</t>
        </is>
      </c>
      <c r="J83" s="9" t="inlineStr">
        <is>
          <t>fp4</t>
        </is>
      </c>
      <c r="K83" s="9" t="inlineStr">
        <is>
          <t>dynamo-vllm</t>
        </is>
      </c>
      <c r="L83" s="9" t="inlineStr">
        <is>
          <t>1</t>
        </is>
      </c>
      <c r="M83" s="9" t="inlineStr">
        <is>
          <t>8192</t>
        </is>
      </c>
      <c r="N83" s="9" t="inlineStr">
        <is>
          <t>1024</t>
        </is>
      </c>
      <c r="O83" s="9" t="inlineStr">
        <is>
          <t>selected_optimized_stack</t>
        </is>
      </c>
      <c r="P83" s="9" t="inlineStr">
        <is>
          <t>best_available_below_target</t>
        </is>
      </c>
      <c r="Q83" s="9" t="inlineStr">
        <is>
          <t>low_target_gap</t>
        </is>
      </c>
      <c r="R83" s="9" t="inlineStr">
        <is>
          <t>2026-05-19T00:00:00.000Z</t>
        </is>
      </c>
      <c r="S83" s="9" t="inlineStr">
        <is>
          <t>tok_s_user is computed as output_tok_s_gpu/concurrency when source tok_s_user is blank; agentic_derived uses long_chat rows multiplied by the Kimi K2.5 agentic/long ratio.</t>
        </is>
      </c>
    </row>
    <row r="84">
      <c r="A84" s="9" t="inlineStr">
        <is>
          <t>frontier_composite</t>
        </is>
      </c>
      <c r="B84" s="9" t="inlineStr">
        <is>
          <t>dsv4+kimik2.5</t>
        </is>
      </c>
      <c r="C84" s="9" t="inlineStr">
        <is>
          <t>GB200</t>
        </is>
      </c>
      <c r="D84" s="9" t="inlineStr">
        <is>
          <t>long</t>
        </is>
      </c>
      <c r="E84" s="9" t="inlineStr">
        <is>
          <t>50</t>
        </is>
      </c>
      <c r="F84" s="9" t="inlineStr">
        <is>
          <t>False</t>
        </is>
      </c>
      <c r="G84" s="10" t="inlineStr">
        <is>
          <t>0.6656</t>
        </is>
      </c>
      <c r="H84" s="11" t="inlineStr">
        <is>
          <t>7963.0</t>
        </is>
      </c>
      <c r="I84" s="12" t="inlineStr">
        <is>
          <t>16.72</t>
        </is>
      </c>
      <c r="J84" s="9" t="inlineStr">
        <is>
          <t>fp4</t>
        </is>
      </c>
      <c r="K84" s="9" t="inlineStr">
        <is>
          <t>dynamo-vllm</t>
        </is>
      </c>
      <c r="L84" s="9" t="inlineStr">
        <is>
          <t>1</t>
        </is>
      </c>
      <c r="M84" s="9" t="inlineStr">
        <is>
          <t>8192</t>
        </is>
      </c>
      <c r="N84" s="9" t="inlineStr">
        <is>
          <t>1024</t>
        </is>
      </c>
      <c r="O84" s="9" t="inlineStr">
        <is>
          <t>selected_optimized_stack</t>
        </is>
      </c>
      <c r="P84" s="9" t="inlineStr">
        <is>
          <t>best_available_below_target</t>
        </is>
      </c>
      <c r="Q84" s="9" t="inlineStr">
        <is>
          <t>low_target_gap</t>
        </is>
      </c>
      <c r="R84" s="9" t="inlineStr">
        <is>
          <t>2026-05-19T00:00:00.000Z</t>
        </is>
      </c>
      <c r="S84" s="9" t="inlineStr">
        <is>
          <t>tok_s_user is computed as output_tok_s_gpu/concurrency when source tok_s_user is blank; agentic_derived uses long_chat rows multiplied by the Kimi K2.5 agentic/long ratio.</t>
        </is>
      </c>
    </row>
    <row r="85">
      <c r="A85" s="9" t="inlineStr">
        <is>
          <t>frontier_composite</t>
        </is>
      </c>
      <c r="B85" s="9" t="inlineStr">
        <is>
          <t>dsv4+kimik2.5</t>
        </is>
      </c>
      <c r="C85" s="9" t="inlineStr">
        <is>
          <t>GB200</t>
        </is>
      </c>
      <c r="D85" s="9" t="inlineStr">
        <is>
          <t>long</t>
        </is>
      </c>
      <c r="E85" s="9" t="inlineStr">
        <is>
          <t>70</t>
        </is>
      </c>
      <c r="F85" s="9" t="inlineStr">
        <is>
          <t>False</t>
        </is>
      </c>
      <c r="G85" s="10" t="inlineStr">
        <is>
          <t>0.7611428571428571</t>
        </is>
      </c>
      <c r="H85" s="11" t="inlineStr">
        <is>
          <t>7963.0</t>
        </is>
      </c>
      <c r="I85" s="12" t="inlineStr">
        <is>
          <t>16.72</t>
        </is>
      </c>
      <c r="J85" s="9" t="inlineStr">
        <is>
          <t>fp4</t>
        </is>
      </c>
      <c r="K85" s="9" t="inlineStr">
        <is>
          <t>dynamo-vllm</t>
        </is>
      </c>
      <c r="L85" s="9" t="inlineStr">
        <is>
          <t>1</t>
        </is>
      </c>
      <c r="M85" s="9" t="inlineStr">
        <is>
          <t>8192</t>
        </is>
      </c>
      <c r="N85" s="9" t="inlineStr">
        <is>
          <t>1024</t>
        </is>
      </c>
      <c r="O85" s="9" t="inlineStr">
        <is>
          <t>selected_optimized_stack</t>
        </is>
      </c>
      <c r="P85" s="9" t="inlineStr">
        <is>
          <t>best_available_below_target</t>
        </is>
      </c>
      <c r="Q85" s="9" t="inlineStr">
        <is>
          <t>low_target_gap</t>
        </is>
      </c>
      <c r="R85" s="9" t="inlineStr">
        <is>
          <t>2026-05-19T00:00:00.000Z</t>
        </is>
      </c>
      <c r="S85" s="9" t="inlineStr">
        <is>
          <t>tok_s_user is computed as output_tok_s_gpu/concurrency when source tok_s_user is blank; agentic_derived uses long_chat rows multiplied by the Kimi K2.5 agentic/long ratio.</t>
        </is>
      </c>
    </row>
    <row r="86">
      <c r="A86" s="9" t="inlineStr">
        <is>
          <t>frontier_composite</t>
        </is>
      </c>
      <c r="B86" s="9" t="inlineStr">
        <is>
          <t>dsv4+kimik2.5</t>
        </is>
      </c>
      <c r="C86" s="9" t="inlineStr">
        <is>
          <t>GB200</t>
        </is>
      </c>
      <c r="D86" s="9" t="inlineStr">
        <is>
          <t>long</t>
        </is>
      </c>
      <c r="E86" s="9" t="inlineStr">
        <is>
          <t>100</t>
        </is>
      </c>
      <c r="F86" s="9" t="inlineStr">
        <is>
          <t>False</t>
        </is>
      </c>
      <c r="G86" s="10" t="inlineStr">
        <is>
          <t>0.8328</t>
        </is>
      </c>
      <c r="H86" s="11" t="inlineStr">
        <is>
          <t>7963.0</t>
        </is>
      </c>
      <c r="I86" s="12" t="inlineStr">
        <is>
          <t>16.72</t>
        </is>
      </c>
      <c r="J86" s="9" t="inlineStr">
        <is>
          <t>fp4</t>
        </is>
      </c>
      <c r="K86" s="9" t="inlineStr">
        <is>
          <t>dynamo-vllm</t>
        </is>
      </c>
      <c r="L86" s="9" t="inlineStr">
        <is>
          <t>1</t>
        </is>
      </c>
      <c r="M86" s="9" t="inlineStr">
        <is>
          <t>8192</t>
        </is>
      </c>
      <c r="N86" s="9" t="inlineStr">
        <is>
          <t>1024</t>
        </is>
      </c>
      <c r="O86" s="9" t="inlineStr">
        <is>
          <t>selected_optimized_stack</t>
        </is>
      </c>
      <c r="P86" s="9" t="inlineStr">
        <is>
          <t>best_available_below_target</t>
        </is>
      </c>
      <c r="Q86" s="9" t="inlineStr">
        <is>
          <t>low_target_gap</t>
        </is>
      </c>
      <c r="R86" s="9" t="inlineStr">
        <is>
          <t>2026-05-19T00:00:00.000Z</t>
        </is>
      </c>
      <c r="S86" s="9" t="inlineStr">
        <is>
          <t>tok_s_user is computed as output_tok_s_gpu/concurrency when source tok_s_user is blank; agentic_derived uses long_chat rows multiplied by the Kimi K2.5 agentic/long ratio.</t>
        </is>
      </c>
    </row>
    <row r="87">
      <c r="A87" s="13" t="inlineStr">
        <is>
          <t>frontier_composite</t>
        </is>
      </c>
      <c r="B87" s="13" t="inlineStr">
        <is>
          <t>dsv4+kimik2.5</t>
        </is>
      </c>
      <c r="C87" s="13" t="inlineStr">
        <is>
          <t>GB200</t>
        </is>
      </c>
      <c r="D87" s="13" t="inlineStr">
        <is>
          <t>agentic</t>
        </is>
      </c>
      <c r="E87" s="13" t="inlineStr">
        <is>
          <t>10</t>
        </is>
      </c>
      <c r="F87" s="13" t="inlineStr">
        <is>
          <t>False</t>
        </is>
      </c>
      <c r="G87" s="14" t="inlineStr">
        <is>
          <t>0.8182608695652174</t>
        </is>
      </c>
      <c r="H87" s="15" t="inlineStr">
        <is>
          <t>865.5434782608696</t>
        </is>
      </c>
      <c r="I87" s="16" t="inlineStr">
        <is>
          <t>1.817391304347826</t>
        </is>
      </c>
      <c r="J87" s="13" t="inlineStr">
        <is>
          <t>fp4</t>
        </is>
      </c>
      <c r="K87" s="13" t="inlineStr">
        <is>
          <t>dynamo-vllm</t>
        </is>
      </c>
      <c r="L87" s="13" t="inlineStr">
        <is>
          <t>1</t>
        </is>
      </c>
      <c r="M87" s="13" t="inlineStr">
        <is>
          <t>8192</t>
        </is>
      </c>
      <c r="N87" s="13" t="inlineStr">
        <is>
          <t>1024</t>
        </is>
      </c>
      <c r="O87" s="13" t="inlineStr">
        <is>
          <t>agentic_from_long_chat</t>
        </is>
      </c>
      <c r="P87" s="13" t="inlineStr">
        <is>
          <t>dynamic_reasoning_proxy</t>
        </is>
      </c>
      <c r="Q87" s="13" t="inlineStr">
        <is>
          <t>low_target_gap</t>
        </is>
      </c>
      <c r="R87" s="13" t="inlineStr">
        <is>
          <t>2026-05-19T00:00:00.000Z</t>
        </is>
      </c>
      <c r="S87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88">
      <c r="A88" s="13" t="inlineStr">
        <is>
          <t>frontier_composite</t>
        </is>
      </c>
      <c r="B88" s="13" t="inlineStr">
        <is>
          <t>dsv4+kimik2.5</t>
        </is>
      </c>
      <c r="C88" s="13" t="inlineStr">
        <is>
          <t>GB200</t>
        </is>
      </c>
      <c r="D88" s="13" t="inlineStr">
        <is>
          <t>agentic</t>
        </is>
      </c>
      <c r="E88" s="13" t="inlineStr">
        <is>
          <t>30</t>
        </is>
      </c>
      <c r="F88" s="13" t="inlineStr">
        <is>
          <t>False</t>
        </is>
      </c>
      <c r="G88" s="14" t="inlineStr">
        <is>
          <t>0.9394202898550724</t>
        </is>
      </c>
      <c r="H88" s="15" t="inlineStr">
        <is>
          <t>865.5434782608696</t>
        </is>
      </c>
      <c r="I88" s="16" t="inlineStr">
        <is>
          <t>1.817391304347826</t>
        </is>
      </c>
      <c r="J88" s="13" t="inlineStr">
        <is>
          <t>fp4</t>
        </is>
      </c>
      <c r="K88" s="13" t="inlineStr">
        <is>
          <t>dynamo-vllm</t>
        </is>
      </c>
      <c r="L88" s="13" t="inlineStr">
        <is>
          <t>1</t>
        </is>
      </c>
      <c r="M88" s="13" t="inlineStr">
        <is>
          <t>8192</t>
        </is>
      </c>
      <c r="N88" s="13" t="inlineStr">
        <is>
          <t>1024</t>
        </is>
      </c>
      <c r="O88" s="13" t="inlineStr">
        <is>
          <t>agentic_from_long_chat</t>
        </is>
      </c>
      <c r="P88" s="13" t="inlineStr">
        <is>
          <t>dynamic_reasoning_proxy</t>
        </is>
      </c>
      <c r="Q88" s="13" t="inlineStr">
        <is>
          <t>low_target_gap</t>
        </is>
      </c>
      <c r="R88" s="13" t="inlineStr">
        <is>
          <t>2026-05-19T00:00:00.000Z</t>
        </is>
      </c>
      <c r="S88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89">
      <c r="A89" s="13" t="inlineStr">
        <is>
          <t>frontier_composite</t>
        </is>
      </c>
      <c r="B89" s="13" t="inlineStr">
        <is>
          <t>dsv4+kimik2.5</t>
        </is>
      </c>
      <c r="C89" s="13" t="inlineStr">
        <is>
          <t>GB200</t>
        </is>
      </c>
      <c r="D89" s="13" t="inlineStr">
        <is>
          <t>agentic</t>
        </is>
      </c>
      <c r="E89" s="13" t="inlineStr">
        <is>
          <t>50</t>
        </is>
      </c>
      <c r="F89" s="13" t="inlineStr">
        <is>
          <t>False</t>
        </is>
      </c>
      <c r="G89" s="14" t="inlineStr">
        <is>
          <t>0.9636521739130434</t>
        </is>
      </c>
      <c r="H89" s="15" t="inlineStr">
        <is>
          <t>865.5434782608696</t>
        </is>
      </c>
      <c r="I89" s="16" t="inlineStr">
        <is>
          <t>1.817391304347826</t>
        </is>
      </c>
      <c r="J89" s="13" t="inlineStr">
        <is>
          <t>fp4</t>
        </is>
      </c>
      <c r="K89" s="13" t="inlineStr">
        <is>
          <t>dynamo-vllm</t>
        </is>
      </c>
      <c r="L89" s="13" t="inlineStr">
        <is>
          <t>1</t>
        </is>
      </c>
      <c r="M89" s="13" t="inlineStr">
        <is>
          <t>8192</t>
        </is>
      </c>
      <c r="N89" s="13" t="inlineStr">
        <is>
          <t>1024</t>
        </is>
      </c>
      <c r="O89" s="13" t="inlineStr">
        <is>
          <t>agentic_from_long_chat</t>
        </is>
      </c>
      <c r="P89" s="13" t="inlineStr">
        <is>
          <t>dynamic_reasoning_proxy</t>
        </is>
      </c>
      <c r="Q89" s="13" t="inlineStr">
        <is>
          <t>low_target_gap</t>
        </is>
      </c>
      <c r="R89" s="13" t="inlineStr">
        <is>
          <t>2026-05-19T00:00:00.000Z</t>
        </is>
      </c>
      <c r="S89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90">
      <c r="A90" s="13" t="inlineStr">
        <is>
          <t>frontier_composite</t>
        </is>
      </c>
      <c r="B90" s="13" t="inlineStr">
        <is>
          <t>dsv4+kimik2.5</t>
        </is>
      </c>
      <c r="C90" s="13" t="inlineStr">
        <is>
          <t>GB200</t>
        </is>
      </c>
      <c r="D90" s="13" t="inlineStr">
        <is>
          <t>agentic</t>
        </is>
      </c>
      <c r="E90" s="13" t="inlineStr">
        <is>
          <t>70</t>
        </is>
      </c>
      <c r="F90" s="13" t="inlineStr">
        <is>
          <t>False</t>
        </is>
      </c>
      <c r="G90" s="14" t="inlineStr">
        <is>
          <t>0.9740372670807455</t>
        </is>
      </c>
      <c r="H90" s="15" t="inlineStr">
        <is>
          <t>865.5434782608696</t>
        </is>
      </c>
      <c r="I90" s="16" t="inlineStr">
        <is>
          <t>1.817391304347826</t>
        </is>
      </c>
      <c r="J90" s="13" t="inlineStr">
        <is>
          <t>fp4</t>
        </is>
      </c>
      <c r="K90" s="13" t="inlineStr">
        <is>
          <t>dynamo-vllm</t>
        </is>
      </c>
      <c r="L90" s="13" t="inlineStr">
        <is>
          <t>1</t>
        </is>
      </c>
      <c r="M90" s="13" t="inlineStr">
        <is>
          <t>8192</t>
        </is>
      </c>
      <c r="N90" s="13" t="inlineStr">
        <is>
          <t>1024</t>
        </is>
      </c>
      <c r="O90" s="13" t="inlineStr">
        <is>
          <t>agentic_from_long_chat</t>
        </is>
      </c>
      <c r="P90" s="13" t="inlineStr">
        <is>
          <t>dynamic_reasoning_proxy</t>
        </is>
      </c>
      <c r="Q90" s="13" t="inlineStr">
        <is>
          <t>low_target_gap</t>
        </is>
      </c>
      <c r="R90" s="13" t="inlineStr">
        <is>
          <t>2026-05-19T00:00:00.000Z</t>
        </is>
      </c>
      <c r="S90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91">
      <c r="A91" s="13" t="inlineStr">
        <is>
          <t>frontier_composite</t>
        </is>
      </c>
      <c r="B91" s="13" t="inlineStr">
        <is>
          <t>dsv4+kimik2.5</t>
        </is>
      </c>
      <c r="C91" s="13" t="inlineStr">
        <is>
          <t>GB200</t>
        </is>
      </c>
      <c r="D91" s="13" t="inlineStr">
        <is>
          <t>agentic</t>
        </is>
      </c>
      <c r="E91" s="13" t="inlineStr">
        <is>
          <t>100</t>
        </is>
      </c>
      <c r="F91" s="13" t="inlineStr">
        <is>
          <t>False</t>
        </is>
      </c>
      <c r="G91" s="14" t="inlineStr">
        <is>
          <t>0.9818260869565217</t>
        </is>
      </c>
      <c r="H91" s="15" t="inlineStr">
        <is>
          <t>865.5434782608696</t>
        </is>
      </c>
      <c r="I91" s="16" t="inlineStr">
        <is>
          <t>1.817391304347826</t>
        </is>
      </c>
      <c r="J91" s="13" t="inlineStr">
        <is>
          <t>fp4</t>
        </is>
      </c>
      <c r="K91" s="13" t="inlineStr">
        <is>
          <t>dynamo-vllm</t>
        </is>
      </c>
      <c r="L91" s="13" t="inlineStr">
        <is>
          <t>1</t>
        </is>
      </c>
      <c r="M91" s="13" t="inlineStr">
        <is>
          <t>8192</t>
        </is>
      </c>
      <c r="N91" s="13" t="inlineStr">
        <is>
          <t>1024</t>
        </is>
      </c>
      <c r="O91" s="13" t="inlineStr">
        <is>
          <t>agentic_from_long_chat</t>
        </is>
      </c>
      <c r="P91" s="13" t="inlineStr">
        <is>
          <t>dynamic_reasoning_proxy</t>
        </is>
      </c>
      <c r="Q91" s="13" t="inlineStr">
        <is>
          <t>low_target_gap</t>
        </is>
      </c>
      <c r="R91" s="13" t="inlineStr">
        <is>
          <t>2026-05-19T00:00:00.000Z</t>
        </is>
      </c>
      <c r="S91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92">
      <c r="A92" s="5" t="inlineStr">
        <is>
          <t>gptoss120b</t>
        </is>
      </c>
      <c r="B92" s="5" t="inlineStr">
        <is>
          <t>gptoss120b</t>
        </is>
      </c>
      <c r="C92" s="5" t="inlineStr">
        <is>
          <t>H200</t>
        </is>
      </c>
      <c r="D92" s="5" t="inlineStr">
        <is>
          <t>short</t>
        </is>
      </c>
      <c r="E92" s="5" t="inlineStr">
        <is>
          <t>10</t>
        </is>
      </c>
      <c r="F92" s="5" t="inlineStr">
        <is>
          <t>True</t>
        </is>
      </c>
      <c r="G92" s="6" t="inlineStr">
        <is>
          <t>0.0</t>
        </is>
      </c>
      <c r="H92" s="7" t="inlineStr">
        <is>
          <t>1459609.0</t>
        </is>
      </c>
      <c r="I92" s="8" t="inlineStr">
        <is>
          <t>39.46</t>
        </is>
      </c>
      <c r="J92" s="5" t="inlineStr">
        <is>
          <t>fp4</t>
        </is>
      </c>
      <c r="K92" s="5" t="inlineStr">
        <is>
          <t>vllm</t>
        </is>
      </c>
      <c r="L92" s="5" t="inlineStr">
        <is>
          <t>64</t>
        </is>
      </c>
      <c r="M92" s="5" t="inlineStr">
        <is>
          <t>1024</t>
        </is>
      </c>
      <c r="N92" s="5" t="inlineStr">
        <is>
          <t>1024</t>
        </is>
      </c>
      <c r="O92" s="5" t="inlineStr">
        <is>
          <t>selected_public_max</t>
        </is>
      </c>
      <c r="P92" s="5" t="inlineStr">
        <is>
          <t>direct_target_row</t>
        </is>
      </c>
      <c r="Q92" s="5" t="inlineStr">
        <is>
          <t>medium</t>
        </is>
      </c>
      <c r="R92" s="5" t="inlineStr">
        <is>
          <t>2025-10-20T00:00:00.000Z</t>
        </is>
      </c>
      <c r="S92" s="5" t="inlineStr">
        <is>
          <t>tok_s_user is computed as output_tok_s_gpu/concurrency when source tok_s_user is blank; agentic_derived uses long_chat rows multiplied by the Kimi K2.5 agentic/long ratio.</t>
        </is>
      </c>
    </row>
    <row r="93">
      <c r="A93" s="5" t="inlineStr">
        <is>
          <t>gptoss120b</t>
        </is>
      </c>
      <c r="B93" s="5" t="inlineStr">
        <is>
          <t>gptoss120b</t>
        </is>
      </c>
      <c r="C93" s="5" t="inlineStr">
        <is>
          <t>H200</t>
        </is>
      </c>
      <c r="D93" s="5" t="inlineStr">
        <is>
          <t>short</t>
        </is>
      </c>
      <c r="E93" s="5" t="inlineStr">
        <is>
          <t>30</t>
        </is>
      </c>
      <c r="F93" s="5" t="inlineStr">
        <is>
          <t>True</t>
        </is>
      </c>
      <c r="G93" s="6" t="inlineStr">
        <is>
          <t>0.0</t>
        </is>
      </c>
      <c r="H93" s="7" t="inlineStr">
        <is>
          <t>1459609.0</t>
        </is>
      </c>
      <c r="I93" s="8" t="inlineStr">
        <is>
          <t>39.46</t>
        </is>
      </c>
      <c r="J93" s="5" t="inlineStr">
        <is>
          <t>fp4</t>
        </is>
      </c>
      <c r="K93" s="5" t="inlineStr">
        <is>
          <t>vllm</t>
        </is>
      </c>
      <c r="L93" s="5" t="inlineStr">
        <is>
          <t>64</t>
        </is>
      </c>
      <c r="M93" s="5" t="inlineStr">
        <is>
          <t>1024</t>
        </is>
      </c>
      <c r="N93" s="5" t="inlineStr">
        <is>
          <t>1024</t>
        </is>
      </c>
      <c r="O93" s="5" t="inlineStr">
        <is>
          <t>selected_public_max</t>
        </is>
      </c>
      <c r="P93" s="5" t="inlineStr">
        <is>
          <t>direct_target_row</t>
        </is>
      </c>
      <c r="Q93" s="5" t="inlineStr">
        <is>
          <t>medium</t>
        </is>
      </c>
      <c r="R93" s="5" t="inlineStr">
        <is>
          <t>2025-10-20T00:00:00.000Z</t>
        </is>
      </c>
      <c r="S93" s="5" t="inlineStr">
        <is>
          <t>tok_s_user is computed as output_tok_s_gpu/concurrency when source tok_s_user is blank; agentic_derived uses long_chat rows multiplied by the Kimi K2.5 agentic/long ratio.</t>
        </is>
      </c>
    </row>
    <row r="94">
      <c r="A94" s="5" t="inlineStr">
        <is>
          <t>gptoss120b</t>
        </is>
      </c>
      <c r="B94" s="5" t="inlineStr">
        <is>
          <t>gptoss120b</t>
        </is>
      </c>
      <c r="C94" s="5" t="inlineStr">
        <is>
          <t>H200</t>
        </is>
      </c>
      <c r="D94" s="5" t="inlineStr">
        <is>
          <t>short</t>
        </is>
      </c>
      <c r="E94" s="5" t="inlineStr">
        <is>
          <t>50</t>
        </is>
      </c>
      <c r="F94" s="5" t="inlineStr">
        <is>
          <t>True</t>
        </is>
      </c>
      <c r="G94" s="6" t="inlineStr">
        <is>
          <t>0.0</t>
        </is>
      </c>
      <c r="H94" s="7" t="inlineStr">
        <is>
          <t>1037487.0</t>
        </is>
      </c>
      <c r="I94" s="8" t="inlineStr">
        <is>
          <t>56.09</t>
        </is>
      </c>
      <c r="J94" s="5" t="inlineStr">
        <is>
          <t>fp4</t>
        </is>
      </c>
      <c r="K94" s="5" t="inlineStr">
        <is>
          <t>vllm</t>
        </is>
      </c>
      <c r="L94" s="5" t="inlineStr">
        <is>
          <t>32</t>
        </is>
      </c>
      <c r="M94" s="5" t="inlineStr">
        <is>
          <t>1024</t>
        </is>
      </c>
      <c r="N94" s="5" t="inlineStr">
        <is>
          <t>1024</t>
        </is>
      </c>
      <c r="O94" s="5" t="inlineStr">
        <is>
          <t>selected_public_max</t>
        </is>
      </c>
      <c r="P94" s="5" t="inlineStr">
        <is>
          <t>direct_target_row</t>
        </is>
      </c>
      <c r="Q94" s="5" t="inlineStr">
        <is>
          <t>medium</t>
        </is>
      </c>
      <c r="R94" s="5" t="inlineStr">
        <is>
          <t>2025-10-31T00:00:00.000Z</t>
        </is>
      </c>
      <c r="S94" s="5" t="inlineStr">
        <is>
          <t>tok_s_user is computed as output_tok_s_gpu/concurrency when source tok_s_user is blank; agentic_derived uses long_chat rows multiplied by the Kimi K2.5 agentic/long ratio.</t>
        </is>
      </c>
    </row>
    <row r="95">
      <c r="A95" s="5" t="inlineStr">
        <is>
          <t>gptoss120b</t>
        </is>
      </c>
      <c r="B95" s="5" t="inlineStr">
        <is>
          <t>gptoss120b</t>
        </is>
      </c>
      <c r="C95" s="5" t="inlineStr">
        <is>
          <t>H200</t>
        </is>
      </c>
      <c r="D95" s="5" t="inlineStr">
        <is>
          <t>short</t>
        </is>
      </c>
      <c r="E95" s="5" t="inlineStr">
        <is>
          <t>70</t>
        </is>
      </c>
      <c r="F95" s="5" t="inlineStr">
        <is>
          <t>True</t>
        </is>
      </c>
      <c r="G95" s="6" t="inlineStr">
        <is>
          <t>0.0</t>
        </is>
      </c>
      <c r="H95" s="7" t="inlineStr">
        <is>
          <t>728459.0</t>
        </is>
      </c>
      <c r="I95" s="8" t="inlineStr">
        <is>
          <t>78.76</t>
        </is>
      </c>
      <c r="J95" s="5" t="inlineStr">
        <is>
          <t>fp4</t>
        </is>
      </c>
      <c r="K95" s="5" t="inlineStr">
        <is>
          <t>vllm</t>
        </is>
      </c>
      <c r="L95" s="5" t="inlineStr">
        <is>
          <t>16</t>
        </is>
      </c>
      <c r="M95" s="5" t="inlineStr">
        <is>
          <t>1024</t>
        </is>
      </c>
      <c r="N95" s="5" t="inlineStr">
        <is>
          <t>1024</t>
        </is>
      </c>
      <c r="O95" s="5" t="inlineStr">
        <is>
          <t>selected_public_max</t>
        </is>
      </c>
      <c r="P95" s="5" t="inlineStr">
        <is>
          <t>direct_target_row</t>
        </is>
      </c>
      <c r="Q95" s="5" t="inlineStr">
        <is>
          <t>medium</t>
        </is>
      </c>
      <c r="R95" s="5" t="inlineStr">
        <is>
          <t>2025-10-20T00:00:00.000Z</t>
        </is>
      </c>
      <c r="S95" s="5" t="inlineStr">
        <is>
          <t>tok_s_user is computed as output_tok_s_gpu/concurrency when source tok_s_user is blank; agentic_derived uses long_chat rows multiplied by the Kimi K2.5 agentic/long ratio.</t>
        </is>
      </c>
    </row>
    <row r="96">
      <c r="A96" s="5" t="inlineStr">
        <is>
          <t>gptoss120b</t>
        </is>
      </c>
      <c r="B96" s="5" t="inlineStr">
        <is>
          <t>gptoss120b</t>
        </is>
      </c>
      <c r="C96" s="5" t="inlineStr">
        <is>
          <t>H200</t>
        </is>
      </c>
      <c r="D96" s="5" t="inlineStr">
        <is>
          <t>short</t>
        </is>
      </c>
      <c r="E96" s="5" t="inlineStr">
        <is>
          <t>100</t>
        </is>
      </c>
      <c r="F96" s="5" t="inlineStr">
        <is>
          <t>True</t>
        </is>
      </c>
      <c r="G96" s="6" t="inlineStr">
        <is>
          <t>0.0</t>
        </is>
      </c>
      <c r="H96" s="7" t="inlineStr">
        <is>
          <t>505857.0</t>
        </is>
      </c>
      <c r="I96" s="8" t="inlineStr">
        <is>
          <t>109.39</t>
        </is>
      </c>
      <c r="J96" s="5" t="inlineStr">
        <is>
          <t>fp4</t>
        </is>
      </c>
      <c r="K96" s="5" t="inlineStr">
        <is>
          <t>vllm</t>
        </is>
      </c>
      <c r="L96" s="5" t="inlineStr">
        <is>
          <t>8</t>
        </is>
      </c>
      <c r="M96" s="5" t="inlineStr">
        <is>
          <t>1024</t>
        </is>
      </c>
      <c r="N96" s="5" t="inlineStr">
        <is>
          <t>1024</t>
        </is>
      </c>
      <c r="O96" s="5" t="inlineStr">
        <is>
          <t>selected_public_max</t>
        </is>
      </c>
      <c r="P96" s="5" t="inlineStr">
        <is>
          <t>direct_target_row</t>
        </is>
      </c>
      <c r="Q96" s="5" t="inlineStr">
        <is>
          <t>medium</t>
        </is>
      </c>
      <c r="R96" s="5" t="inlineStr">
        <is>
          <t>2025-10-30T00:00:00.000Z</t>
        </is>
      </c>
      <c r="S96" s="5" t="inlineStr">
        <is>
          <t>tok_s_user is computed as output_tok_s_gpu/concurrency when source tok_s_user is blank; agentic_derived uses long_chat rows multiplied by the Kimi K2.5 agentic/long ratio.</t>
        </is>
      </c>
    </row>
    <row r="97">
      <c r="A97" s="5" t="inlineStr">
        <is>
          <t>gptoss120b</t>
        </is>
      </c>
      <c r="B97" s="5" t="inlineStr">
        <is>
          <t>gptoss120b</t>
        </is>
      </c>
      <c r="C97" s="5" t="inlineStr">
        <is>
          <t>H200</t>
        </is>
      </c>
      <c r="D97" s="5" t="inlineStr">
        <is>
          <t>long</t>
        </is>
      </c>
      <c r="E97" s="5" t="inlineStr">
        <is>
          <t>10</t>
        </is>
      </c>
      <c r="F97" s="5" t="inlineStr">
        <is>
          <t>True</t>
        </is>
      </c>
      <c r="G97" s="6" t="inlineStr">
        <is>
          <t>0.0</t>
        </is>
      </c>
      <c r="H97" s="7" t="inlineStr">
        <is>
          <t>1451169.0</t>
        </is>
      </c>
      <c r="I97" s="8" t="inlineStr">
        <is>
          <t>39.23</t>
        </is>
      </c>
      <c r="J97" s="5" t="inlineStr">
        <is>
          <t>fp4</t>
        </is>
      </c>
      <c r="K97" s="5" t="inlineStr">
        <is>
          <t>vllm</t>
        </is>
      </c>
      <c r="L97" s="5" t="inlineStr">
        <is>
          <t>64</t>
        </is>
      </c>
      <c r="M97" s="5" t="inlineStr">
        <is>
          <t>8192</t>
        </is>
      </c>
      <c r="N97" s="5" t="inlineStr">
        <is>
          <t>1024</t>
        </is>
      </c>
      <c r="O97" s="5" t="inlineStr">
        <is>
          <t>selected_public_max</t>
        </is>
      </c>
      <c r="P97" s="5" t="inlineStr">
        <is>
          <t>direct_target_row</t>
        </is>
      </c>
      <c r="Q97" s="5" t="inlineStr">
        <is>
          <t>medium</t>
        </is>
      </c>
      <c r="R97" s="5" t="inlineStr">
        <is>
          <t>2025-11-04T00:00:00.000Z</t>
        </is>
      </c>
      <c r="S97" s="5" t="inlineStr">
        <is>
          <t>tok_s_user is computed as output_tok_s_gpu/concurrency when source tok_s_user is blank; agentic_derived uses long_chat rows multiplied by the Kimi K2.5 agentic/long ratio.</t>
        </is>
      </c>
    </row>
    <row r="98">
      <c r="A98" s="5" t="inlineStr">
        <is>
          <t>gptoss120b</t>
        </is>
      </c>
      <c r="B98" s="5" t="inlineStr">
        <is>
          <t>gptoss120b</t>
        </is>
      </c>
      <c r="C98" s="5" t="inlineStr">
        <is>
          <t>H200</t>
        </is>
      </c>
      <c r="D98" s="5" t="inlineStr">
        <is>
          <t>long</t>
        </is>
      </c>
      <c r="E98" s="5" t="inlineStr">
        <is>
          <t>30</t>
        </is>
      </c>
      <c r="F98" s="5" t="inlineStr">
        <is>
          <t>True</t>
        </is>
      </c>
      <c r="G98" s="6" t="inlineStr">
        <is>
          <t>0.0</t>
        </is>
      </c>
      <c r="H98" s="7" t="inlineStr">
        <is>
          <t>1451169.0</t>
        </is>
      </c>
      <c r="I98" s="8" t="inlineStr">
        <is>
          <t>39.23</t>
        </is>
      </c>
      <c r="J98" s="5" t="inlineStr">
        <is>
          <t>fp4</t>
        </is>
      </c>
      <c r="K98" s="5" t="inlineStr">
        <is>
          <t>vllm</t>
        </is>
      </c>
      <c r="L98" s="5" t="inlineStr">
        <is>
          <t>64</t>
        </is>
      </c>
      <c r="M98" s="5" t="inlineStr">
        <is>
          <t>8192</t>
        </is>
      </c>
      <c r="N98" s="5" t="inlineStr">
        <is>
          <t>1024</t>
        </is>
      </c>
      <c r="O98" s="5" t="inlineStr">
        <is>
          <t>selected_public_max</t>
        </is>
      </c>
      <c r="P98" s="5" t="inlineStr">
        <is>
          <t>direct_target_row</t>
        </is>
      </c>
      <c r="Q98" s="5" t="inlineStr">
        <is>
          <t>medium</t>
        </is>
      </c>
      <c r="R98" s="5" t="inlineStr">
        <is>
          <t>2025-11-04T00:00:00.000Z</t>
        </is>
      </c>
      <c r="S98" s="5" t="inlineStr">
        <is>
          <t>tok_s_user is computed as output_tok_s_gpu/concurrency when source tok_s_user is blank; agentic_derived uses long_chat rows multiplied by the Kimi K2.5 agentic/long ratio.</t>
        </is>
      </c>
    </row>
    <row r="99">
      <c r="A99" s="5" t="inlineStr">
        <is>
          <t>gptoss120b</t>
        </is>
      </c>
      <c r="B99" s="5" t="inlineStr">
        <is>
          <t>gptoss120b</t>
        </is>
      </c>
      <c r="C99" s="5" t="inlineStr">
        <is>
          <t>H200</t>
        </is>
      </c>
      <c r="D99" s="5" t="inlineStr">
        <is>
          <t>long</t>
        </is>
      </c>
      <c r="E99" s="5" t="inlineStr">
        <is>
          <t>50</t>
        </is>
      </c>
      <c r="F99" s="5" t="inlineStr">
        <is>
          <t>True</t>
        </is>
      </c>
      <c r="G99" s="6" t="inlineStr">
        <is>
          <t>0.0</t>
        </is>
      </c>
      <c r="H99" s="7" t="inlineStr">
        <is>
          <t>1035150.0</t>
        </is>
      </c>
      <c r="I99" s="8" t="inlineStr">
        <is>
          <t>55.96</t>
        </is>
      </c>
      <c r="J99" s="5" t="inlineStr">
        <is>
          <t>fp4</t>
        </is>
      </c>
      <c r="K99" s="5" t="inlineStr">
        <is>
          <t>vllm</t>
        </is>
      </c>
      <c r="L99" s="5" t="inlineStr">
        <is>
          <t>32</t>
        </is>
      </c>
      <c r="M99" s="5" t="inlineStr">
        <is>
          <t>8192</t>
        </is>
      </c>
      <c r="N99" s="5" t="inlineStr">
        <is>
          <t>1024</t>
        </is>
      </c>
      <c r="O99" s="5" t="inlineStr">
        <is>
          <t>selected_public_max</t>
        </is>
      </c>
      <c r="P99" s="5" t="inlineStr">
        <is>
          <t>direct_target_row</t>
        </is>
      </c>
      <c r="Q99" s="5" t="inlineStr">
        <is>
          <t>medium</t>
        </is>
      </c>
      <c r="R99" s="5" t="inlineStr">
        <is>
          <t>2025-11-04T00:00:00.000Z</t>
        </is>
      </c>
      <c r="S99" s="5" t="inlineStr">
        <is>
          <t>tok_s_user is computed as output_tok_s_gpu/concurrency when source tok_s_user is blank; agentic_derived uses long_chat rows multiplied by the Kimi K2.5 agentic/long ratio.</t>
        </is>
      </c>
    </row>
    <row r="100">
      <c r="A100" s="5" t="inlineStr">
        <is>
          <t>gptoss120b</t>
        </is>
      </c>
      <c r="B100" s="5" t="inlineStr">
        <is>
          <t>gptoss120b</t>
        </is>
      </c>
      <c r="C100" s="5" t="inlineStr">
        <is>
          <t>H200</t>
        </is>
      </c>
      <c r="D100" s="5" t="inlineStr">
        <is>
          <t>long</t>
        </is>
      </c>
      <c r="E100" s="5" t="inlineStr">
        <is>
          <t>70</t>
        </is>
      </c>
      <c r="F100" s="5" t="inlineStr">
        <is>
          <t>True</t>
        </is>
      </c>
      <c r="G100" s="6" t="inlineStr">
        <is>
          <t>0.0</t>
        </is>
      </c>
      <c r="H100" s="7" t="inlineStr">
        <is>
          <t>649279.0</t>
        </is>
      </c>
      <c r="I100" s="8" t="inlineStr">
        <is>
          <t>70.2</t>
        </is>
      </c>
      <c r="J100" s="5" t="inlineStr">
        <is>
          <t>fp4</t>
        </is>
      </c>
      <c r="K100" s="5" t="inlineStr">
        <is>
          <t>vllm</t>
        </is>
      </c>
      <c r="L100" s="5" t="inlineStr">
        <is>
          <t>16</t>
        </is>
      </c>
      <c r="M100" s="5" t="inlineStr">
        <is>
          <t>8192</t>
        </is>
      </c>
      <c r="N100" s="5" t="inlineStr">
        <is>
          <t>1024</t>
        </is>
      </c>
      <c r="O100" s="5" t="inlineStr">
        <is>
          <t>selected_public_max</t>
        </is>
      </c>
      <c r="P100" s="5" t="inlineStr">
        <is>
          <t>direct_target_row</t>
        </is>
      </c>
      <c r="Q100" s="5" t="inlineStr">
        <is>
          <t>medium</t>
        </is>
      </c>
      <c r="R100" s="5" t="inlineStr">
        <is>
          <t>2026-05-13T00:00:00.000Z</t>
        </is>
      </c>
      <c r="S100" s="5" t="inlineStr">
        <is>
          <t>tok_s_user is computed as output_tok_s_gpu/concurrency when source tok_s_user is blank; agentic_derived uses long_chat rows multiplied by the Kimi K2.5 agentic/long ratio.</t>
        </is>
      </c>
    </row>
    <row r="101">
      <c r="A101" s="5" t="inlineStr">
        <is>
          <t>gptoss120b</t>
        </is>
      </c>
      <c r="B101" s="5" t="inlineStr">
        <is>
          <t>gptoss120b</t>
        </is>
      </c>
      <c r="C101" s="5" t="inlineStr">
        <is>
          <t>H200</t>
        </is>
      </c>
      <c r="D101" s="5" t="inlineStr">
        <is>
          <t>long</t>
        </is>
      </c>
      <c r="E101" s="5" t="inlineStr">
        <is>
          <t>100</t>
        </is>
      </c>
      <c r="F101" s="5" t="inlineStr">
        <is>
          <t>True</t>
        </is>
      </c>
      <c r="G101" s="6" t="inlineStr">
        <is>
          <t>0.0</t>
        </is>
      </c>
      <c r="H101" s="7" t="inlineStr">
        <is>
          <t>329414.0</t>
        </is>
      </c>
      <c r="I101" s="8" t="inlineStr">
        <is>
          <t>142.47</t>
        </is>
      </c>
      <c r="J101" s="5" t="inlineStr">
        <is>
          <t>fp4</t>
        </is>
      </c>
      <c r="K101" s="5" t="inlineStr">
        <is>
          <t>vllm</t>
        </is>
      </c>
      <c r="L101" s="5" t="inlineStr">
        <is>
          <t>4</t>
        </is>
      </c>
      <c r="M101" s="5" t="inlineStr">
        <is>
          <t>8192</t>
        </is>
      </c>
      <c r="N101" s="5" t="inlineStr">
        <is>
          <t>1024</t>
        </is>
      </c>
      <c r="O101" s="5" t="inlineStr">
        <is>
          <t>selected_public_max</t>
        </is>
      </c>
      <c r="P101" s="5" t="inlineStr">
        <is>
          <t>direct_target_row</t>
        </is>
      </c>
      <c r="Q101" s="5" t="inlineStr">
        <is>
          <t>medium</t>
        </is>
      </c>
      <c r="R101" s="5" t="inlineStr">
        <is>
          <t>2025-11-04T00:00:00.000Z</t>
        </is>
      </c>
      <c r="S101" s="5" t="inlineStr">
        <is>
          <t>tok_s_user is computed as output_tok_s_gpu/concurrency when source tok_s_user is blank; agentic_derived uses long_chat rows multiplied by the Kimi K2.5 agentic/long ratio.</t>
        </is>
      </c>
    </row>
    <row r="102">
      <c r="A102" s="13" t="inlineStr">
        <is>
          <t>gptoss120b</t>
        </is>
      </c>
      <c r="B102" s="13" t="inlineStr">
        <is>
          <t>gptoss120b</t>
        </is>
      </c>
      <c r="C102" s="13" t="inlineStr">
        <is>
          <t>H200</t>
        </is>
      </c>
      <c r="D102" s="13" t="inlineStr">
        <is>
          <t>agentic</t>
        </is>
      </c>
      <c r="E102" s="13" t="inlineStr">
        <is>
          <t>10</t>
        </is>
      </c>
      <c r="F102" s="13" t="inlineStr">
        <is>
          <t>True</t>
        </is>
      </c>
      <c r="G102" s="14" t="inlineStr">
        <is>
          <t>0.0</t>
        </is>
      </c>
      <c r="H102" s="15" t="inlineStr">
        <is>
          <t>35805.86956521739</t>
        </is>
      </c>
      <c r="I102" s="16" t="inlineStr">
        <is>
          <t>15.485869565217392</t>
        </is>
      </c>
      <c r="J102" s="13" t="inlineStr">
        <is>
          <t>fp4</t>
        </is>
      </c>
      <c r="K102" s="13" t="inlineStr">
        <is>
          <t>vllm</t>
        </is>
      </c>
      <c r="L102" s="13" t="inlineStr">
        <is>
          <t>4</t>
        </is>
      </c>
      <c r="M102" s="13" t="inlineStr">
        <is>
          <t>8192</t>
        </is>
      </c>
      <c r="N102" s="13" t="inlineStr">
        <is>
          <t>1024</t>
        </is>
      </c>
      <c r="O102" s="13" t="inlineStr">
        <is>
          <t>agentic_from_long_chat</t>
        </is>
      </c>
      <c r="P102" s="13" t="inlineStr">
        <is>
          <t>dynamic_reasoning_proxy</t>
        </is>
      </c>
      <c r="Q102" s="13" t="inlineStr">
        <is>
          <t>medium_low</t>
        </is>
      </c>
      <c r="R102" s="13" t="inlineStr">
        <is>
          <t>2025-11-04T00:00:00.000Z</t>
        </is>
      </c>
      <c r="S102" s="13" t="inlineStr">
        <is>
          <t>Agentic throughput = long-chat output TPS/MW divided by 9.2x LLM call multiplier from dynamic reasoning / AgentBench analysis. Long-chat source selection: selected_public_max; agentic_target_met_from_long_chat.</t>
        </is>
      </c>
    </row>
    <row r="103">
      <c r="A103" s="13" t="inlineStr">
        <is>
          <t>gptoss120b</t>
        </is>
      </c>
      <c r="B103" s="13" t="inlineStr">
        <is>
          <t>gptoss120b</t>
        </is>
      </c>
      <c r="C103" s="13" t="inlineStr">
        <is>
          <t>H200</t>
        </is>
      </c>
      <c r="D103" s="13" t="inlineStr">
        <is>
          <t>agentic</t>
        </is>
      </c>
      <c r="E103" s="13" t="inlineStr">
        <is>
          <t>30</t>
        </is>
      </c>
      <c r="F103" s="13" t="inlineStr">
        <is>
          <t>False</t>
        </is>
      </c>
      <c r="G103" s="14" t="inlineStr">
        <is>
          <t>0.48380434782608694</t>
        </is>
      </c>
      <c r="H103" s="15" t="inlineStr">
        <is>
          <t>35805.86956521739</t>
        </is>
      </c>
      <c r="I103" s="16" t="inlineStr">
        <is>
          <t>15.485869565217392</t>
        </is>
      </c>
      <c r="J103" s="13" t="inlineStr">
        <is>
          <t>fp4</t>
        </is>
      </c>
      <c r="K103" s="13" t="inlineStr">
        <is>
          <t>vllm</t>
        </is>
      </c>
      <c r="L103" s="13" t="inlineStr">
        <is>
          <t>4</t>
        </is>
      </c>
      <c r="M103" s="13" t="inlineStr">
        <is>
          <t>8192</t>
        </is>
      </c>
      <c r="N103" s="13" t="inlineStr">
        <is>
          <t>1024</t>
        </is>
      </c>
      <c r="O103" s="13" t="inlineStr">
        <is>
          <t>agentic_from_long_chat</t>
        </is>
      </c>
      <c r="P103" s="13" t="inlineStr">
        <is>
          <t>dynamic_reasoning_proxy</t>
        </is>
      </c>
      <c r="Q103" s="13" t="inlineStr">
        <is>
          <t>low_target_gap</t>
        </is>
      </c>
      <c r="R103" s="13" t="inlineStr">
        <is>
          <t>2025-11-04T00:00:00.000Z</t>
        </is>
      </c>
      <c r="S10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4">
      <c r="A104" s="13" t="inlineStr">
        <is>
          <t>gptoss120b</t>
        </is>
      </c>
      <c r="B104" s="13" t="inlineStr">
        <is>
          <t>gptoss120b</t>
        </is>
      </c>
      <c r="C104" s="13" t="inlineStr">
        <is>
          <t>H200</t>
        </is>
      </c>
      <c r="D104" s="13" t="inlineStr">
        <is>
          <t>agentic</t>
        </is>
      </c>
      <c r="E104" s="13" t="inlineStr">
        <is>
          <t>50</t>
        </is>
      </c>
      <c r="F104" s="13" t="inlineStr">
        <is>
          <t>False</t>
        </is>
      </c>
      <c r="G104" s="14" t="inlineStr">
        <is>
          <t>0.6902826086956522</t>
        </is>
      </c>
      <c r="H104" s="15" t="inlineStr">
        <is>
          <t>35805.86956521739</t>
        </is>
      </c>
      <c r="I104" s="16" t="inlineStr">
        <is>
          <t>15.485869565217392</t>
        </is>
      </c>
      <c r="J104" s="13" t="inlineStr">
        <is>
          <t>fp4</t>
        </is>
      </c>
      <c r="K104" s="13" t="inlineStr">
        <is>
          <t>vllm</t>
        </is>
      </c>
      <c r="L104" s="13" t="inlineStr">
        <is>
          <t>4</t>
        </is>
      </c>
      <c r="M104" s="13" t="inlineStr">
        <is>
          <t>8192</t>
        </is>
      </c>
      <c r="N104" s="13" t="inlineStr">
        <is>
          <t>1024</t>
        </is>
      </c>
      <c r="O104" s="13" t="inlineStr">
        <is>
          <t>agentic_from_long_chat</t>
        </is>
      </c>
      <c r="P104" s="13" t="inlineStr">
        <is>
          <t>dynamic_reasoning_proxy</t>
        </is>
      </c>
      <c r="Q104" s="13" t="inlineStr">
        <is>
          <t>low_target_gap</t>
        </is>
      </c>
      <c r="R104" s="13" t="inlineStr">
        <is>
          <t>2025-11-04T00:00:00.000Z</t>
        </is>
      </c>
      <c r="S10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5">
      <c r="A105" s="13" t="inlineStr">
        <is>
          <t>gptoss120b</t>
        </is>
      </c>
      <c r="B105" s="13" t="inlineStr">
        <is>
          <t>gptoss120b</t>
        </is>
      </c>
      <c r="C105" s="13" t="inlineStr">
        <is>
          <t>H200</t>
        </is>
      </c>
      <c r="D105" s="13" t="inlineStr">
        <is>
          <t>agentic</t>
        </is>
      </c>
      <c r="E105" s="13" t="inlineStr">
        <is>
          <t>70</t>
        </is>
      </c>
      <c r="F105" s="13" t="inlineStr">
        <is>
          <t>False</t>
        </is>
      </c>
      <c r="G105" s="14" t="inlineStr">
        <is>
          <t>0.7787732919254658</t>
        </is>
      </c>
      <c r="H105" s="15" t="inlineStr">
        <is>
          <t>35805.86956521739</t>
        </is>
      </c>
      <c r="I105" s="16" t="inlineStr">
        <is>
          <t>15.485869565217392</t>
        </is>
      </c>
      <c r="J105" s="13" t="inlineStr">
        <is>
          <t>fp4</t>
        </is>
      </c>
      <c r="K105" s="13" t="inlineStr">
        <is>
          <t>vllm</t>
        </is>
      </c>
      <c r="L105" s="13" t="inlineStr">
        <is>
          <t>4</t>
        </is>
      </c>
      <c r="M105" s="13" t="inlineStr">
        <is>
          <t>8192</t>
        </is>
      </c>
      <c r="N105" s="13" t="inlineStr">
        <is>
          <t>1024</t>
        </is>
      </c>
      <c r="O105" s="13" t="inlineStr">
        <is>
          <t>agentic_from_long_chat</t>
        </is>
      </c>
      <c r="P105" s="13" t="inlineStr">
        <is>
          <t>dynamic_reasoning_proxy</t>
        </is>
      </c>
      <c r="Q105" s="13" t="inlineStr">
        <is>
          <t>low_target_gap</t>
        </is>
      </c>
      <c r="R105" s="13" t="inlineStr">
        <is>
          <t>2025-11-04T00:00:00.000Z</t>
        </is>
      </c>
      <c r="S10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6">
      <c r="A106" s="13" t="inlineStr">
        <is>
          <t>gptoss120b</t>
        </is>
      </c>
      <c r="B106" s="13" t="inlineStr">
        <is>
          <t>gptoss120b</t>
        </is>
      </c>
      <c r="C106" s="13" t="inlineStr">
        <is>
          <t>H200</t>
        </is>
      </c>
      <c r="D106" s="13" t="inlineStr">
        <is>
          <t>agentic</t>
        </is>
      </c>
      <c r="E106" s="13" t="inlineStr">
        <is>
          <t>100</t>
        </is>
      </c>
      <c r="F106" s="13" t="inlineStr">
        <is>
          <t>False</t>
        </is>
      </c>
      <c r="G106" s="14" t="inlineStr">
        <is>
          <t>0.845141304347826</t>
        </is>
      </c>
      <c r="H106" s="15" t="inlineStr">
        <is>
          <t>35805.86956521739</t>
        </is>
      </c>
      <c r="I106" s="16" t="inlineStr">
        <is>
          <t>15.485869565217392</t>
        </is>
      </c>
      <c r="J106" s="13" t="inlineStr">
        <is>
          <t>fp4</t>
        </is>
      </c>
      <c r="K106" s="13" t="inlineStr">
        <is>
          <t>vllm</t>
        </is>
      </c>
      <c r="L106" s="13" t="inlineStr">
        <is>
          <t>4</t>
        </is>
      </c>
      <c r="M106" s="13" t="inlineStr">
        <is>
          <t>8192</t>
        </is>
      </c>
      <c r="N106" s="13" t="inlineStr">
        <is>
          <t>1024</t>
        </is>
      </c>
      <c r="O106" s="13" t="inlineStr">
        <is>
          <t>agentic_from_long_chat</t>
        </is>
      </c>
      <c r="P106" s="13" t="inlineStr">
        <is>
          <t>dynamic_reasoning_proxy</t>
        </is>
      </c>
      <c r="Q106" s="13" t="inlineStr">
        <is>
          <t>low_target_gap</t>
        </is>
      </c>
      <c r="R106" s="13" t="inlineStr">
        <is>
          <t>2025-11-04T00:00:00.000Z</t>
        </is>
      </c>
      <c r="S10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7">
      <c r="A107" s="5" t="inlineStr">
        <is>
          <t>gptoss120b</t>
        </is>
      </c>
      <c r="B107" s="5" t="inlineStr">
        <is>
          <t>gptoss120b</t>
        </is>
      </c>
      <c r="C107" s="5" t="inlineStr">
        <is>
          <t>B200</t>
        </is>
      </c>
      <c r="D107" s="5" t="inlineStr">
        <is>
          <t>short</t>
        </is>
      </c>
      <c r="E107" s="5" t="inlineStr">
        <is>
          <t>10</t>
        </is>
      </c>
      <c r="F107" s="5" t="inlineStr">
        <is>
          <t>True</t>
        </is>
      </c>
      <c r="G107" s="6" t="inlineStr">
        <is>
          <t>0.0</t>
        </is>
      </c>
      <c r="H107" s="7" t="inlineStr">
        <is>
          <t>4516967.0</t>
        </is>
      </c>
      <c r="I107" s="8" t="inlineStr">
        <is>
          <t>76.58</t>
        </is>
      </c>
      <c r="J107" s="5" t="inlineStr">
        <is>
          <t>fp4</t>
        </is>
      </c>
      <c r="K107" s="5" t="inlineStr">
        <is>
          <t>vllm</t>
        </is>
      </c>
      <c r="L107" s="5" t="inlineStr">
        <is>
          <t>128</t>
        </is>
      </c>
      <c r="M107" s="5" t="inlineStr">
        <is>
          <t>1024</t>
        </is>
      </c>
      <c r="N107" s="5" t="inlineStr">
        <is>
          <t>1024</t>
        </is>
      </c>
      <c r="O107" s="5" t="inlineStr">
        <is>
          <t>selected_public_max</t>
        </is>
      </c>
      <c r="P107" s="5" t="inlineStr">
        <is>
          <t>direct_target_row</t>
        </is>
      </c>
      <c r="Q107" s="5" t="inlineStr">
        <is>
          <t>medium</t>
        </is>
      </c>
      <c r="R107" s="5" t="inlineStr">
        <is>
          <t>2026-05-31T00:00:00.000Z</t>
        </is>
      </c>
      <c r="S107" s="5" t="inlineStr">
        <is>
          <t>tok_s_user is computed as output_tok_s_gpu/concurrency when source tok_s_user is blank; agentic_derived uses long_chat rows multiplied by the Kimi K2.5 agentic/long ratio.</t>
        </is>
      </c>
    </row>
    <row r="108">
      <c r="A108" s="5" t="inlineStr">
        <is>
          <t>gptoss120b</t>
        </is>
      </c>
      <c r="B108" s="5" t="inlineStr">
        <is>
          <t>gptoss120b</t>
        </is>
      </c>
      <c r="C108" s="5" t="inlineStr">
        <is>
          <t>B200</t>
        </is>
      </c>
      <c r="D108" s="5" t="inlineStr">
        <is>
          <t>short</t>
        </is>
      </c>
      <c r="E108" s="5" t="inlineStr">
        <is>
          <t>30</t>
        </is>
      </c>
      <c r="F108" s="5" t="inlineStr">
        <is>
          <t>True</t>
        </is>
      </c>
      <c r="G108" s="6" t="inlineStr">
        <is>
          <t>0.0</t>
        </is>
      </c>
      <c r="H108" s="7" t="inlineStr">
        <is>
          <t>4516967.0</t>
        </is>
      </c>
      <c r="I108" s="8" t="inlineStr">
        <is>
          <t>76.58</t>
        </is>
      </c>
      <c r="J108" s="5" t="inlineStr">
        <is>
          <t>fp4</t>
        </is>
      </c>
      <c r="K108" s="5" t="inlineStr">
        <is>
          <t>vllm</t>
        </is>
      </c>
      <c r="L108" s="5" t="inlineStr">
        <is>
          <t>128</t>
        </is>
      </c>
      <c r="M108" s="5" t="inlineStr">
        <is>
          <t>1024</t>
        </is>
      </c>
      <c r="N108" s="5" t="inlineStr">
        <is>
          <t>1024</t>
        </is>
      </c>
      <c r="O108" s="5" t="inlineStr">
        <is>
          <t>selected_public_max</t>
        </is>
      </c>
      <c r="P108" s="5" t="inlineStr">
        <is>
          <t>direct_target_row</t>
        </is>
      </c>
      <c r="Q108" s="5" t="inlineStr">
        <is>
          <t>medium</t>
        </is>
      </c>
      <c r="R108" s="5" t="inlineStr">
        <is>
          <t>2026-05-31T00:00:00.000Z</t>
        </is>
      </c>
      <c r="S108" s="5" t="inlineStr">
        <is>
          <t>tok_s_user is computed as output_tok_s_gpu/concurrency when source tok_s_user is blank; agentic_derived uses long_chat rows multiplied by the Kimi K2.5 agentic/long ratio.</t>
        </is>
      </c>
    </row>
    <row r="109">
      <c r="A109" s="5" t="inlineStr">
        <is>
          <t>gptoss120b</t>
        </is>
      </c>
      <c r="B109" s="5" t="inlineStr">
        <is>
          <t>gptoss120b</t>
        </is>
      </c>
      <c r="C109" s="5" t="inlineStr">
        <is>
          <t>B200</t>
        </is>
      </c>
      <c r="D109" s="5" t="inlineStr">
        <is>
          <t>short</t>
        </is>
      </c>
      <c r="E109" s="5" t="inlineStr">
        <is>
          <t>50</t>
        </is>
      </c>
      <c r="F109" s="5" t="inlineStr">
        <is>
          <t>True</t>
        </is>
      </c>
      <c r="G109" s="6" t="inlineStr">
        <is>
          <t>0.0</t>
        </is>
      </c>
      <c r="H109" s="7" t="inlineStr">
        <is>
          <t>4516967.0</t>
        </is>
      </c>
      <c r="I109" s="8" t="inlineStr">
        <is>
          <t>76.58</t>
        </is>
      </c>
      <c r="J109" s="5" t="inlineStr">
        <is>
          <t>fp4</t>
        </is>
      </c>
      <c r="K109" s="5" t="inlineStr">
        <is>
          <t>vllm</t>
        </is>
      </c>
      <c r="L109" s="5" t="inlineStr">
        <is>
          <t>128</t>
        </is>
      </c>
      <c r="M109" s="5" t="inlineStr">
        <is>
          <t>1024</t>
        </is>
      </c>
      <c r="N109" s="5" t="inlineStr">
        <is>
          <t>1024</t>
        </is>
      </c>
      <c r="O109" s="5" t="inlineStr">
        <is>
          <t>selected_public_max</t>
        </is>
      </c>
      <c r="P109" s="5" t="inlineStr">
        <is>
          <t>direct_target_row</t>
        </is>
      </c>
      <c r="Q109" s="5" t="inlineStr">
        <is>
          <t>medium</t>
        </is>
      </c>
      <c r="R109" s="5" t="inlineStr">
        <is>
          <t>2026-05-31T00:00:00.000Z</t>
        </is>
      </c>
      <c r="S109" s="5" t="inlineStr">
        <is>
          <t>tok_s_user is computed as output_tok_s_gpu/concurrency when source tok_s_user is blank; agentic_derived uses long_chat rows multiplied by the Kimi K2.5 agentic/long ratio.</t>
        </is>
      </c>
    </row>
    <row r="110">
      <c r="A110" s="5" t="inlineStr">
        <is>
          <t>gptoss120b</t>
        </is>
      </c>
      <c r="B110" s="5" t="inlineStr">
        <is>
          <t>gptoss120b</t>
        </is>
      </c>
      <c r="C110" s="5" t="inlineStr">
        <is>
          <t>B200</t>
        </is>
      </c>
      <c r="D110" s="5" t="inlineStr">
        <is>
          <t>short</t>
        </is>
      </c>
      <c r="E110" s="5" t="inlineStr">
        <is>
          <t>70</t>
        </is>
      </c>
      <c r="F110" s="5" t="inlineStr">
        <is>
          <t>True</t>
        </is>
      </c>
      <c r="G110" s="6" t="inlineStr">
        <is>
          <t>0.0</t>
        </is>
      </c>
      <c r="H110" s="7" t="inlineStr">
        <is>
          <t>4516967.0</t>
        </is>
      </c>
      <c r="I110" s="8" t="inlineStr">
        <is>
          <t>76.58</t>
        </is>
      </c>
      <c r="J110" s="5" t="inlineStr">
        <is>
          <t>fp4</t>
        </is>
      </c>
      <c r="K110" s="5" t="inlineStr">
        <is>
          <t>vllm</t>
        </is>
      </c>
      <c r="L110" s="5" t="inlineStr">
        <is>
          <t>128</t>
        </is>
      </c>
      <c r="M110" s="5" t="inlineStr">
        <is>
          <t>1024</t>
        </is>
      </c>
      <c r="N110" s="5" t="inlineStr">
        <is>
          <t>1024</t>
        </is>
      </c>
      <c r="O110" s="5" t="inlineStr">
        <is>
          <t>selected_public_max</t>
        </is>
      </c>
      <c r="P110" s="5" t="inlineStr">
        <is>
          <t>direct_target_row</t>
        </is>
      </c>
      <c r="Q110" s="5" t="inlineStr">
        <is>
          <t>medium</t>
        </is>
      </c>
      <c r="R110" s="5" t="inlineStr">
        <is>
          <t>2026-05-31T00:00:00.000Z</t>
        </is>
      </c>
      <c r="S110" s="5" t="inlineStr">
        <is>
          <t>tok_s_user is computed as output_tok_s_gpu/concurrency when source tok_s_user is blank; agentic_derived uses long_chat rows multiplied by the Kimi K2.5 agentic/long ratio.</t>
        </is>
      </c>
    </row>
    <row r="111">
      <c r="A111" s="5" t="inlineStr">
        <is>
          <t>gptoss120b</t>
        </is>
      </c>
      <c r="B111" s="5" t="inlineStr">
        <is>
          <t>gptoss120b</t>
        </is>
      </c>
      <c r="C111" s="5" t="inlineStr">
        <is>
          <t>B200</t>
        </is>
      </c>
      <c r="D111" s="5" t="inlineStr">
        <is>
          <t>short</t>
        </is>
      </c>
      <c r="E111" s="5" t="inlineStr">
        <is>
          <t>100</t>
        </is>
      </c>
      <c r="F111" s="5" t="inlineStr">
        <is>
          <t>True</t>
        </is>
      </c>
      <c r="G111" s="6" t="inlineStr">
        <is>
          <t>0.0</t>
        </is>
      </c>
      <c r="H111" s="7" t="inlineStr">
        <is>
          <t>2983848.0</t>
        </is>
      </c>
      <c r="I111" s="8" t="inlineStr">
        <is>
          <t>101.17</t>
        </is>
      </c>
      <c r="J111" s="5" t="inlineStr">
        <is>
          <t>fp4</t>
        </is>
      </c>
      <c r="K111" s="5" t="inlineStr">
        <is>
          <t>vllm</t>
        </is>
      </c>
      <c r="L111" s="5" t="inlineStr">
        <is>
          <t>64</t>
        </is>
      </c>
      <c r="M111" s="5" t="inlineStr">
        <is>
          <t>1024</t>
        </is>
      </c>
      <c r="N111" s="5" t="inlineStr">
        <is>
          <t>1024</t>
        </is>
      </c>
      <c r="O111" s="5" t="inlineStr">
        <is>
          <t>selected_public_max</t>
        </is>
      </c>
      <c r="P111" s="5" t="inlineStr">
        <is>
          <t>direct_target_row</t>
        </is>
      </c>
      <c r="Q111" s="5" t="inlineStr">
        <is>
          <t>medium</t>
        </is>
      </c>
      <c r="R111" s="5" t="inlineStr">
        <is>
          <t>2026-05-17T00:00:00.000Z</t>
        </is>
      </c>
      <c r="S111" s="5" t="inlineStr">
        <is>
          <t>tok_s_user is computed as output_tok_s_gpu/concurrency when source tok_s_user is blank; agentic_derived uses long_chat rows multiplied by the Kimi K2.5 agentic/long ratio.</t>
        </is>
      </c>
    </row>
    <row r="112">
      <c r="A112" s="5" t="inlineStr">
        <is>
          <t>gptoss120b</t>
        </is>
      </c>
      <c r="B112" s="5" t="inlineStr">
        <is>
          <t>gptoss120b</t>
        </is>
      </c>
      <c r="C112" s="5" t="inlineStr">
        <is>
          <t>B200</t>
        </is>
      </c>
      <c r="D112" s="5" t="inlineStr">
        <is>
          <t>long</t>
        </is>
      </c>
      <c r="E112" s="5" t="inlineStr">
        <is>
          <t>10</t>
        </is>
      </c>
      <c r="F112" s="5" t="inlineStr">
        <is>
          <t>True</t>
        </is>
      </c>
      <c r="G112" s="6" t="inlineStr">
        <is>
          <t>0.0</t>
        </is>
      </c>
      <c r="H112" s="7" t="inlineStr">
        <is>
          <t>2629943.0</t>
        </is>
      </c>
      <c r="I112" s="8" t="inlineStr">
        <is>
          <t>44.59</t>
        </is>
      </c>
      <c r="J112" s="5" t="inlineStr">
        <is>
          <t>fp4</t>
        </is>
      </c>
      <c r="K112" s="5" t="inlineStr">
        <is>
          <t>vllm</t>
        </is>
      </c>
      <c r="L112" s="5" t="inlineStr">
        <is>
          <t>128</t>
        </is>
      </c>
      <c r="M112" s="5" t="inlineStr">
        <is>
          <t>8192</t>
        </is>
      </c>
      <c r="N112" s="5" t="inlineStr">
        <is>
          <t>1024</t>
        </is>
      </c>
      <c r="O112" s="5" t="inlineStr">
        <is>
          <t>selected_public_max</t>
        </is>
      </c>
      <c r="P112" s="5" t="inlineStr">
        <is>
          <t>direct_target_row</t>
        </is>
      </c>
      <c r="Q112" s="5" t="inlineStr">
        <is>
          <t>medium</t>
        </is>
      </c>
      <c r="R112" s="5" t="inlineStr">
        <is>
          <t>2026-02-25T00:00:00.000Z</t>
        </is>
      </c>
      <c r="S112" s="5" t="inlineStr">
        <is>
          <t>tok_s_user is computed as output_tok_s_gpu/concurrency when source tok_s_user is blank; agentic_derived uses long_chat rows multiplied by the Kimi K2.5 agentic/long ratio.</t>
        </is>
      </c>
    </row>
    <row r="113">
      <c r="A113" s="5" t="inlineStr">
        <is>
          <t>gptoss120b</t>
        </is>
      </c>
      <c r="B113" s="5" t="inlineStr">
        <is>
          <t>gptoss120b</t>
        </is>
      </c>
      <c r="C113" s="5" t="inlineStr">
        <is>
          <t>B200</t>
        </is>
      </c>
      <c r="D113" s="5" t="inlineStr">
        <is>
          <t>long</t>
        </is>
      </c>
      <c r="E113" s="5" t="inlineStr">
        <is>
          <t>30</t>
        </is>
      </c>
      <c r="F113" s="5" t="inlineStr">
        <is>
          <t>True</t>
        </is>
      </c>
      <c r="G113" s="6" t="inlineStr">
        <is>
          <t>0.0</t>
        </is>
      </c>
      <c r="H113" s="7" t="inlineStr">
        <is>
          <t>2629943.0</t>
        </is>
      </c>
      <c r="I113" s="8" t="inlineStr">
        <is>
          <t>44.59</t>
        </is>
      </c>
      <c r="J113" s="5" t="inlineStr">
        <is>
          <t>fp4</t>
        </is>
      </c>
      <c r="K113" s="5" t="inlineStr">
        <is>
          <t>vllm</t>
        </is>
      </c>
      <c r="L113" s="5" t="inlineStr">
        <is>
          <t>128</t>
        </is>
      </c>
      <c r="M113" s="5" t="inlineStr">
        <is>
          <t>8192</t>
        </is>
      </c>
      <c r="N113" s="5" t="inlineStr">
        <is>
          <t>1024</t>
        </is>
      </c>
      <c r="O113" s="5" t="inlineStr">
        <is>
          <t>selected_public_max</t>
        </is>
      </c>
      <c r="P113" s="5" t="inlineStr">
        <is>
          <t>direct_target_row</t>
        </is>
      </c>
      <c r="Q113" s="5" t="inlineStr">
        <is>
          <t>medium</t>
        </is>
      </c>
      <c r="R113" s="5" t="inlineStr">
        <is>
          <t>2026-02-25T00:00:00.000Z</t>
        </is>
      </c>
      <c r="S113" s="5" t="inlineStr">
        <is>
          <t>tok_s_user is computed as output_tok_s_gpu/concurrency when source tok_s_user is blank; agentic_derived uses long_chat rows multiplied by the Kimi K2.5 agentic/long ratio.</t>
        </is>
      </c>
    </row>
    <row r="114">
      <c r="A114" s="5" t="inlineStr">
        <is>
          <t>gptoss120b</t>
        </is>
      </c>
      <c r="B114" s="5" t="inlineStr">
        <is>
          <t>gptoss120b</t>
        </is>
      </c>
      <c r="C114" s="5" t="inlineStr">
        <is>
          <t>B200</t>
        </is>
      </c>
      <c r="D114" s="5" t="inlineStr">
        <is>
          <t>long</t>
        </is>
      </c>
      <c r="E114" s="5" t="inlineStr">
        <is>
          <t>50</t>
        </is>
      </c>
      <c r="F114" s="5" t="inlineStr">
        <is>
          <t>True</t>
        </is>
      </c>
      <c r="G114" s="6" t="inlineStr">
        <is>
          <t>0.0</t>
        </is>
      </c>
      <c r="H114" s="7" t="inlineStr">
        <is>
          <t>1978039.0</t>
        </is>
      </c>
      <c r="I114" s="8" t="inlineStr">
        <is>
          <t>67.07</t>
        </is>
      </c>
      <c r="J114" s="5" t="inlineStr">
        <is>
          <t>fp4</t>
        </is>
      </c>
      <c r="K114" s="5" t="inlineStr">
        <is>
          <t>vllm</t>
        </is>
      </c>
      <c r="L114" s="5" t="inlineStr">
        <is>
          <t>64</t>
        </is>
      </c>
      <c r="M114" s="5" t="inlineStr">
        <is>
          <t>8192</t>
        </is>
      </c>
      <c r="N114" s="5" t="inlineStr">
        <is>
          <t>1024</t>
        </is>
      </c>
      <c r="O114" s="5" t="inlineStr">
        <is>
          <t>selected_public_max</t>
        </is>
      </c>
      <c r="P114" s="5" t="inlineStr">
        <is>
          <t>direct_target_row</t>
        </is>
      </c>
      <c r="Q114" s="5" t="inlineStr">
        <is>
          <t>medium</t>
        </is>
      </c>
      <c r="R114" s="5" t="inlineStr">
        <is>
          <t>2026-02-25T00:00:00.000Z</t>
        </is>
      </c>
      <c r="S114" s="5" t="inlineStr">
        <is>
          <t>tok_s_user is computed as output_tok_s_gpu/concurrency when source tok_s_user is blank; agentic_derived uses long_chat rows multiplied by the Kimi K2.5 agentic/long ratio.</t>
        </is>
      </c>
    </row>
    <row r="115">
      <c r="A115" s="5" t="inlineStr">
        <is>
          <t>gptoss120b</t>
        </is>
      </c>
      <c r="B115" s="5" t="inlineStr">
        <is>
          <t>gptoss120b</t>
        </is>
      </c>
      <c r="C115" s="5" t="inlineStr">
        <is>
          <t>B200</t>
        </is>
      </c>
      <c r="D115" s="5" t="inlineStr">
        <is>
          <t>long</t>
        </is>
      </c>
      <c r="E115" s="5" t="inlineStr">
        <is>
          <t>70</t>
        </is>
      </c>
      <c r="F115" s="5" t="inlineStr">
        <is>
          <t>True</t>
        </is>
      </c>
      <c r="G115" s="6" t="inlineStr">
        <is>
          <t>0.0</t>
        </is>
      </c>
      <c r="H115" s="7" t="inlineStr">
        <is>
          <t>1699929.0</t>
        </is>
      </c>
      <c r="I115" s="8" t="inlineStr">
        <is>
          <t>115.28</t>
        </is>
      </c>
      <c r="J115" s="5" t="inlineStr">
        <is>
          <t>fp4</t>
        </is>
      </c>
      <c r="K115" s="5" t="inlineStr">
        <is>
          <t>vllm</t>
        </is>
      </c>
      <c r="L115" s="5" t="inlineStr">
        <is>
          <t>32</t>
        </is>
      </c>
      <c r="M115" s="5" t="inlineStr">
        <is>
          <t>8192</t>
        </is>
      </c>
      <c r="N115" s="5" t="inlineStr">
        <is>
          <t>1024</t>
        </is>
      </c>
      <c r="O115" s="5" t="inlineStr">
        <is>
          <t>selected_public_max</t>
        </is>
      </c>
      <c r="P115" s="5" t="inlineStr">
        <is>
          <t>direct_target_row</t>
        </is>
      </c>
      <c r="Q115" s="5" t="inlineStr">
        <is>
          <t>medium</t>
        </is>
      </c>
      <c r="R115" s="5" t="inlineStr">
        <is>
          <t>2025-11-04T00:00:00.000Z</t>
        </is>
      </c>
      <c r="S115" s="5" t="inlineStr">
        <is>
          <t>tok_s_user is computed as output_tok_s_gpu/concurrency when source tok_s_user is blank; agentic_derived uses long_chat rows multiplied by the Kimi K2.5 agentic/long ratio.</t>
        </is>
      </c>
    </row>
    <row r="116">
      <c r="A116" s="5" t="inlineStr">
        <is>
          <t>gptoss120b</t>
        </is>
      </c>
      <c r="B116" s="5" t="inlineStr">
        <is>
          <t>gptoss120b</t>
        </is>
      </c>
      <c r="C116" s="5" t="inlineStr">
        <is>
          <t>B200</t>
        </is>
      </c>
      <c r="D116" s="5" t="inlineStr">
        <is>
          <t>long</t>
        </is>
      </c>
      <c r="E116" s="5" t="inlineStr">
        <is>
          <t>100</t>
        </is>
      </c>
      <c r="F116" s="5" t="inlineStr">
        <is>
          <t>True</t>
        </is>
      </c>
      <c r="G116" s="6" t="inlineStr">
        <is>
          <t>0.0</t>
        </is>
      </c>
      <c r="H116" s="7" t="inlineStr">
        <is>
          <t>1699929.0</t>
        </is>
      </c>
      <c r="I116" s="8" t="inlineStr">
        <is>
          <t>115.28</t>
        </is>
      </c>
      <c r="J116" s="5" t="inlineStr">
        <is>
          <t>fp4</t>
        </is>
      </c>
      <c r="K116" s="5" t="inlineStr">
        <is>
          <t>vllm</t>
        </is>
      </c>
      <c r="L116" s="5" t="inlineStr">
        <is>
          <t>32</t>
        </is>
      </c>
      <c r="M116" s="5" t="inlineStr">
        <is>
          <t>8192</t>
        </is>
      </c>
      <c r="N116" s="5" t="inlineStr">
        <is>
          <t>1024</t>
        </is>
      </c>
      <c r="O116" s="5" t="inlineStr">
        <is>
          <t>selected_public_max</t>
        </is>
      </c>
      <c r="P116" s="5" t="inlineStr">
        <is>
          <t>direct_target_row</t>
        </is>
      </c>
      <c r="Q116" s="5" t="inlineStr">
        <is>
          <t>medium</t>
        </is>
      </c>
      <c r="R116" s="5" t="inlineStr">
        <is>
          <t>2025-11-04T00:00:00.000Z</t>
        </is>
      </c>
      <c r="S116" s="5" t="inlineStr">
        <is>
          <t>tok_s_user is computed as output_tok_s_gpu/concurrency when source tok_s_user is blank; agentic_derived uses long_chat rows multiplied by the Kimi K2.5 agentic/long ratio.</t>
        </is>
      </c>
    </row>
    <row r="117">
      <c r="A117" s="13" t="inlineStr">
        <is>
          <t>gptoss120b</t>
        </is>
      </c>
      <c r="B117" s="13" t="inlineStr">
        <is>
          <t>gptoss120b</t>
        </is>
      </c>
      <c r="C117" s="13" t="inlineStr">
        <is>
          <t>B200</t>
        </is>
      </c>
      <c r="D117" s="13" t="inlineStr">
        <is>
          <t>agentic</t>
        </is>
      </c>
      <c r="E117" s="13" t="inlineStr">
        <is>
          <t>10</t>
        </is>
      </c>
      <c r="F117" s="13" t="inlineStr">
        <is>
          <t>True</t>
        </is>
      </c>
      <c r="G117" s="14" t="inlineStr">
        <is>
          <t>0.0</t>
        </is>
      </c>
      <c r="H117" s="15" t="inlineStr">
        <is>
          <t>184774.89130434784</t>
        </is>
      </c>
      <c r="I117" s="16" t="inlineStr">
        <is>
          <t>12.530434782608697</t>
        </is>
      </c>
      <c r="J117" s="13" t="inlineStr">
        <is>
          <t>fp4</t>
        </is>
      </c>
      <c r="K117" s="13" t="inlineStr">
        <is>
          <t>vllm</t>
        </is>
      </c>
      <c r="L117" s="13" t="inlineStr">
        <is>
          <t>32</t>
        </is>
      </c>
      <c r="M117" s="13" t="inlineStr">
        <is>
          <t>8192</t>
        </is>
      </c>
      <c r="N117" s="13" t="inlineStr">
        <is>
          <t>1024</t>
        </is>
      </c>
      <c r="O117" s="13" t="inlineStr">
        <is>
          <t>agentic_from_long_chat</t>
        </is>
      </c>
      <c r="P117" s="13" t="inlineStr">
        <is>
          <t>dynamic_reasoning_proxy</t>
        </is>
      </c>
      <c r="Q117" s="13" t="inlineStr">
        <is>
          <t>medium_low</t>
        </is>
      </c>
      <c r="R117" s="13" t="inlineStr">
        <is>
          <t>2025-11-04T00:00:00.000Z</t>
        </is>
      </c>
      <c r="S117" s="13" t="inlineStr">
        <is>
          <t>Agentic throughput = long-chat output TPS/MW divided by 9.2x LLM call multiplier from dynamic reasoning / AgentBench analysis. Long-chat source selection: selected_public_max; agentic_target_met_from_long_chat.</t>
        </is>
      </c>
    </row>
    <row r="118">
      <c r="A118" s="13" t="inlineStr">
        <is>
          <t>gptoss120b</t>
        </is>
      </c>
      <c r="B118" s="13" t="inlineStr">
        <is>
          <t>gptoss120b</t>
        </is>
      </c>
      <c r="C118" s="13" t="inlineStr">
        <is>
          <t>B200</t>
        </is>
      </c>
      <c r="D118" s="13" t="inlineStr">
        <is>
          <t>agentic</t>
        </is>
      </c>
      <c r="E118" s="13" t="inlineStr">
        <is>
          <t>30</t>
        </is>
      </c>
      <c r="F118" s="13" t="inlineStr">
        <is>
          <t>False</t>
        </is>
      </c>
      <c r="G118" s="14" t="inlineStr">
        <is>
          <t>0.5823188405797101</t>
        </is>
      </c>
      <c r="H118" s="15" t="inlineStr">
        <is>
          <t>184774.89130434784</t>
        </is>
      </c>
      <c r="I118" s="16" t="inlineStr">
        <is>
          <t>12.530434782608697</t>
        </is>
      </c>
      <c r="J118" s="13" t="inlineStr">
        <is>
          <t>fp4</t>
        </is>
      </c>
      <c r="K118" s="13" t="inlineStr">
        <is>
          <t>vllm</t>
        </is>
      </c>
      <c r="L118" s="13" t="inlineStr">
        <is>
          <t>32</t>
        </is>
      </c>
      <c r="M118" s="13" t="inlineStr">
        <is>
          <t>8192</t>
        </is>
      </c>
      <c r="N118" s="13" t="inlineStr">
        <is>
          <t>1024</t>
        </is>
      </c>
      <c r="O118" s="13" t="inlineStr">
        <is>
          <t>agentic_from_long_chat</t>
        </is>
      </c>
      <c r="P118" s="13" t="inlineStr">
        <is>
          <t>dynamic_reasoning_proxy</t>
        </is>
      </c>
      <c r="Q118" s="13" t="inlineStr">
        <is>
          <t>low_target_gap</t>
        </is>
      </c>
      <c r="R118" s="13" t="inlineStr">
        <is>
          <t>2025-11-04T00:00:00.000Z</t>
        </is>
      </c>
      <c r="S11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19">
      <c r="A119" s="13" t="inlineStr">
        <is>
          <t>gptoss120b</t>
        </is>
      </c>
      <c r="B119" s="13" t="inlineStr">
        <is>
          <t>gptoss120b</t>
        </is>
      </c>
      <c r="C119" s="13" t="inlineStr">
        <is>
          <t>B200</t>
        </is>
      </c>
      <c r="D119" s="13" t="inlineStr">
        <is>
          <t>agentic</t>
        </is>
      </c>
      <c r="E119" s="13" t="inlineStr">
        <is>
          <t>50</t>
        </is>
      </c>
      <c r="F119" s="13" t="inlineStr">
        <is>
          <t>False</t>
        </is>
      </c>
      <c r="G119" s="14" t="inlineStr">
        <is>
          <t>0.7493913043478261</t>
        </is>
      </c>
      <c r="H119" s="15" t="inlineStr">
        <is>
          <t>184774.89130434784</t>
        </is>
      </c>
      <c r="I119" s="16" t="inlineStr">
        <is>
          <t>12.530434782608697</t>
        </is>
      </c>
      <c r="J119" s="13" t="inlineStr">
        <is>
          <t>fp4</t>
        </is>
      </c>
      <c r="K119" s="13" t="inlineStr">
        <is>
          <t>vllm</t>
        </is>
      </c>
      <c r="L119" s="13" t="inlineStr">
        <is>
          <t>32</t>
        </is>
      </c>
      <c r="M119" s="13" t="inlineStr">
        <is>
          <t>8192</t>
        </is>
      </c>
      <c r="N119" s="13" t="inlineStr">
        <is>
          <t>1024</t>
        </is>
      </c>
      <c r="O119" s="13" t="inlineStr">
        <is>
          <t>agentic_from_long_chat</t>
        </is>
      </c>
      <c r="P119" s="13" t="inlineStr">
        <is>
          <t>dynamic_reasoning_proxy</t>
        </is>
      </c>
      <c r="Q119" s="13" t="inlineStr">
        <is>
          <t>low_target_gap</t>
        </is>
      </c>
      <c r="R119" s="13" t="inlineStr">
        <is>
          <t>2025-11-04T00:00:00.000Z</t>
        </is>
      </c>
      <c r="S11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20">
      <c r="A120" s="13" t="inlineStr">
        <is>
          <t>gptoss120b</t>
        </is>
      </c>
      <c r="B120" s="13" t="inlineStr">
        <is>
          <t>gptoss120b</t>
        </is>
      </c>
      <c r="C120" s="13" t="inlineStr">
        <is>
          <t>B200</t>
        </is>
      </c>
      <c r="D120" s="13" t="inlineStr">
        <is>
          <t>agentic</t>
        </is>
      </c>
      <c r="E120" s="13" t="inlineStr">
        <is>
          <t>70</t>
        </is>
      </c>
      <c r="F120" s="13" t="inlineStr">
        <is>
          <t>False</t>
        </is>
      </c>
      <c r="G120" s="14" t="inlineStr">
        <is>
          <t>0.8209937888198758</t>
        </is>
      </c>
      <c r="H120" s="15" t="inlineStr">
        <is>
          <t>184774.89130434784</t>
        </is>
      </c>
      <c r="I120" s="16" t="inlineStr">
        <is>
          <t>12.530434782608697</t>
        </is>
      </c>
      <c r="J120" s="13" t="inlineStr">
        <is>
          <t>fp4</t>
        </is>
      </c>
      <c r="K120" s="13" t="inlineStr">
        <is>
          <t>vllm</t>
        </is>
      </c>
      <c r="L120" s="13" t="inlineStr">
        <is>
          <t>32</t>
        </is>
      </c>
      <c r="M120" s="13" t="inlineStr">
        <is>
          <t>8192</t>
        </is>
      </c>
      <c r="N120" s="13" t="inlineStr">
        <is>
          <t>1024</t>
        </is>
      </c>
      <c r="O120" s="13" t="inlineStr">
        <is>
          <t>agentic_from_long_chat</t>
        </is>
      </c>
      <c r="P120" s="13" t="inlineStr">
        <is>
          <t>dynamic_reasoning_proxy</t>
        </is>
      </c>
      <c r="Q120" s="13" t="inlineStr">
        <is>
          <t>low_target_gap</t>
        </is>
      </c>
      <c r="R120" s="13" t="inlineStr">
        <is>
          <t>2025-11-04T00:00:00.000Z</t>
        </is>
      </c>
      <c r="S12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21">
      <c r="A121" s="13" t="inlineStr">
        <is>
          <t>gptoss120b</t>
        </is>
      </c>
      <c r="B121" s="13" t="inlineStr">
        <is>
          <t>gptoss120b</t>
        </is>
      </c>
      <c r="C121" s="13" t="inlineStr">
        <is>
          <t>B200</t>
        </is>
      </c>
      <c r="D121" s="13" t="inlineStr">
        <is>
          <t>agentic</t>
        </is>
      </c>
      <c r="E121" s="13" t="inlineStr">
        <is>
          <t>100</t>
        </is>
      </c>
      <c r="F121" s="13" t="inlineStr">
        <is>
          <t>False</t>
        </is>
      </c>
      <c r="G121" s="14" t="inlineStr">
        <is>
          <t>0.8746956521739131</t>
        </is>
      </c>
      <c r="H121" s="15" t="inlineStr">
        <is>
          <t>184774.89130434784</t>
        </is>
      </c>
      <c r="I121" s="16" t="inlineStr">
        <is>
          <t>12.530434782608697</t>
        </is>
      </c>
      <c r="J121" s="13" t="inlineStr">
        <is>
          <t>fp4</t>
        </is>
      </c>
      <c r="K121" s="13" t="inlineStr">
        <is>
          <t>vllm</t>
        </is>
      </c>
      <c r="L121" s="13" t="inlineStr">
        <is>
          <t>32</t>
        </is>
      </c>
      <c r="M121" s="13" t="inlineStr">
        <is>
          <t>8192</t>
        </is>
      </c>
      <c r="N121" s="13" t="inlineStr">
        <is>
          <t>1024</t>
        </is>
      </c>
      <c r="O121" s="13" t="inlineStr">
        <is>
          <t>agentic_from_long_chat</t>
        </is>
      </c>
      <c r="P121" s="13" t="inlineStr">
        <is>
          <t>dynamic_reasoning_proxy</t>
        </is>
      </c>
      <c r="Q121" s="13" t="inlineStr">
        <is>
          <t>low_target_gap</t>
        </is>
      </c>
      <c r="R121" s="13" t="inlineStr">
        <is>
          <t>2025-11-04T00:00:00.000Z</t>
        </is>
      </c>
      <c r="S12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22">
      <c r="A122" s="9" t="inlineStr">
        <is>
          <t>gptoss120b</t>
        </is>
      </c>
      <c r="B122" s="9" t="inlineStr"/>
      <c r="C122" s="9" t="inlineStr">
        <is>
          <t>GB200</t>
        </is>
      </c>
      <c r="D122" s="9" t="inlineStr">
        <is>
          <t>short</t>
        </is>
      </c>
      <c r="E122" s="9" t="inlineStr">
        <is>
          <t>10</t>
        </is>
      </c>
      <c r="F122" s="9" t="inlineStr">
        <is>
          <t>False</t>
        </is>
      </c>
      <c r="G122" s="10" t="inlineStr"/>
      <c r="H122" s="11" t="inlineStr"/>
      <c r="I122" s="12" t="inlineStr"/>
      <c r="J122" s="9" t="inlineStr"/>
      <c r="K122" s="9" t="inlineStr"/>
      <c r="L122" s="9" t="inlineStr"/>
      <c r="M122" s="9" t="inlineStr"/>
      <c r="N122" s="9" t="inlineStr"/>
      <c r="O122" s="9" t="inlineStr">
        <is>
          <t>missing</t>
        </is>
      </c>
      <c r="P122" s="9" t="inlineStr">
        <is>
          <t>no_benchmark_row</t>
        </is>
      </c>
      <c r="Q122" s="9" t="inlineStr">
        <is>
          <t>missing</t>
        </is>
      </c>
      <c r="R122" s="9" t="inlineStr"/>
      <c r="S122" s="9" t="inlineStr">
        <is>
          <t>No model/GPU/workload benchmark row was available.</t>
        </is>
      </c>
    </row>
    <row r="123">
      <c r="A123" s="9" t="inlineStr">
        <is>
          <t>gptoss120b</t>
        </is>
      </c>
      <c r="B123" s="9" t="inlineStr"/>
      <c r="C123" s="9" t="inlineStr">
        <is>
          <t>GB200</t>
        </is>
      </c>
      <c r="D123" s="9" t="inlineStr">
        <is>
          <t>short</t>
        </is>
      </c>
      <c r="E123" s="9" t="inlineStr">
        <is>
          <t>30</t>
        </is>
      </c>
      <c r="F123" s="9" t="inlineStr">
        <is>
          <t>False</t>
        </is>
      </c>
      <c r="G123" s="10" t="inlineStr"/>
      <c r="H123" s="11" t="inlineStr"/>
      <c r="I123" s="12" t="inlineStr"/>
      <c r="J123" s="9" t="inlineStr"/>
      <c r="K123" s="9" t="inlineStr"/>
      <c r="L123" s="9" t="inlineStr"/>
      <c r="M123" s="9" t="inlineStr"/>
      <c r="N123" s="9" t="inlineStr"/>
      <c r="O123" s="9" t="inlineStr">
        <is>
          <t>missing</t>
        </is>
      </c>
      <c r="P123" s="9" t="inlineStr">
        <is>
          <t>no_benchmark_row</t>
        </is>
      </c>
      <c r="Q123" s="9" t="inlineStr">
        <is>
          <t>missing</t>
        </is>
      </c>
      <c r="R123" s="9" t="inlineStr"/>
      <c r="S123" s="9" t="inlineStr">
        <is>
          <t>No model/GPU/workload benchmark row was available.</t>
        </is>
      </c>
    </row>
    <row r="124">
      <c r="A124" s="9" t="inlineStr">
        <is>
          <t>gptoss120b</t>
        </is>
      </c>
      <c r="B124" s="9" t="inlineStr"/>
      <c r="C124" s="9" t="inlineStr">
        <is>
          <t>GB200</t>
        </is>
      </c>
      <c r="D124" s="9" t="inlineStr">
        <is>
          <t>short</t>
        </is>
      </c>
      <c r="E124" s="9" t="inlineStr">
        <is>
          <t>50</t>
        </is>
      </c>
      <c r="F124" s="9" t="inlineStr">
        <is>
          <t>False</t>
        </is>
      </c>
      <c r="G124" s="10" t="inlineStr"/>
      <c r="H124" s="11" t="inlineStr"/>
      <c r="I124" s="12" t="inlineStr"/>
      <c r="J124" s="9" t="inlineStr"/>
      <c r="K124" s="9" t="inlineStr"/>
      <c r="L124" s="9" t="inlineStr"/>
      <c r="M124" s="9" t="inlineStr"/>
      <c r="N124" s="9" t="inlineStr"/>
      <c r="O124" s="9" t="inlineStr">
        <is>
          <t>missing</t>
        </is>
      </c>
      <c r="P124" s="9" t="inlineStr">
        <is>
          <t>no_benchmark_row</t>
        </is>
      </c>
      <c r="Q124" s="9" t="inlineStr">
        <is>
          <t>missing</t>
        </is>
      </c>
      <c r="R124" s="9" t="inlineStr"/>
      <c r="S124" s="9" t="inlineStr">
        <is>
          <t>No model/GPU/workload benchmark row was available.</t>
        </is>
      </c>
    </row>
    <row r="125">
      <c r="A125" s="9" t="inlineStr">
        <is>
          <t>gptoss120b</t>
        </is>
      </c>
      <c r="B125" s="9" t="inlineStr"/>
      <c r="C125" s="9" t="inlineStr">
        <is>
          <t>GB200</t>
        </is>
      </c>
      <c r="D125" s="9" t="inlineStr">
        <is>
          <t>short</t>
        </is>
      </c>
      <c r="E125" s="9" t="inlineStr">
        <is>
          <t>70</t>
        </is>
      </c>
      <c r="F125" s="9" t="inlineStr">
        <is>
          <t>False</t>
        </is>
      </c>
      <c r="G125" s="10" t="inlineStr"/>
      <c r="H125" s="11" t="inlineStr"/>
      <c r="I125" s="12" t="inlineStr"/>
      <c r="J125" s="9" t="inlineStr"/>
      <c r="K125" s="9" t="inlineStr"/>
      <c r="L125" s="9" t="inlineStr"/>
      <c r="M125" s="9" t="inlineStr"/>
      <c r="N125" s="9" t="inlineStr"/>
      <c r="O125" s="9" t="inlineStr">
        <is>
          <t>missing</t>
        </is>
      </c>
      <c r="P125" s="9" t="inlineStr">
        <is>
          <t>no_benchmark_row</t>
        </is>
      </c>
      <c r="Q125" s="9" t="inlineStr">
        <is>
          <t>missing</t>
        </is>
      </c>
      <c r="R125" s="9" t="inlineStr"/>
      <c r="S125" s="9" t="inlineStr">
        <is>
          <t>No model/GPU/workload benchmark row was available.</t>
        </is>
      </c>
    </row>
    <row r="126">
      <c r="A126" s="9" t="inlineStr">
        <is>
          <t>gptoss120b</t>
        </is>
      </c>
      <c r="B126" s="9" t="inlineStr"/>
      <c r="C126" s="9" t="inlineStr">
        <is>
          <t>GB200</t>
        </is>
      </c>
      <c r="D126" s="9" t="inlineStr">
        <is>
          <t>short</t>
        </is>
      </c>
      <c r="E126" s="9" t="inlineStr">
        <is>
          <t>100</t>
        </is>
      </c>
      <c r="F126" s="9" t="inlineStr">
        <is>
          <t>False</t>
        </is>
      </c>
      <c r="G126" s="10" t="inlineStr"/>
      <c r="H126" s="11" t="inlineStr"/>
      <c r="I126" s="12" t="inlineStr"/>
      <c r="J126" s="9" t="inlineStr"/>
      <c r="K126" s="9" t="inlineStr"/>
      <c r="L126" s="9" t="inlineStr"/>
      <c r="M126" s="9" t="inlineStr"/>
      <c r="N126" s="9" t="inlineStr"/>
      <c r="O126" s="9" t="inlineStr">
        <is>
          <t>missing</t>
        </is>
      </c>
      <c r="P126" s="9" t="inlineStr">
        <is>
          <t>no_benchmark_row</t>
        </is>
      </c>
      <c r="Q126" s="9" t="inlineStr">
        <is>
          <t>missing</t>
        </is>
      </c>
      <c r="R126" s="9" t="inlineStr"/>
      <c r="S126" s="9" t="inlineStr">
        <is>
          <t>No model/GPU/workload benchmark row was available.</t>
        </is>
      </c>
    </row>
    <row r="127">
      <c r="A127" s="9" t="inlineStr">
        <is>
          <t>gptoss120b</t>
        </is>
      </c>
      <c r="B127" s="9" t="inlineStr"/>
      <c r="C127" s="9" t="inlineStr">
        <is>
          <t>GB200</t>
        </is>
      </c>
      <c r="D127" s="9" t="inlineStr">
        <is>
          <t>long</t>
        </is>
      </c>
      <c r="E127" s="9" t="inlineStr">
        <is>
          <t>10</t>
        </is>
      </c>
      <c r="F127" s="9" t="inlineStr">
        <is>
          <t>False</t>
        </is>
      </c>
      <c r="G127" s="10" t="inlineStr"/>
      <c r="H127" s="11" t="inlineStr"/>
      <c r="I127" s="12" t="inlineStr"/>
      <c r="J127" s="9" t="inlineStr"/>
      <c r="K127" s="9" t="inlineStr"/>
      <c r="L127" s="9" t="inlineStr"/>
      <c r="M127" s="9" t="inlineStr"/>
      <c r="N127" s="9" t="inlineStr"/>
      <c r="O127" s="9" t="inlineStr">
        <is>
          <t>missing</t>
        </is>
      </c>
      <c r="P127" s="9" t="inlineStr">
        <is>
          <t>no_benchmark_row</t>
        </is>
      </c>
      <c r="Q127" s="9" t="inlineStr">
        <is>
          <t>missing</t>
        </is>
      </c>
      <c r="R127" s="9" t="inlineStr"/>
      <c r="S127" s="9" t="inlineStr">
        <is>
          <t>No model/GPU/workload benchmark row was available.</t>
        </is>
      </c>
    </row>
    <row r="128">
      <c r="A128" s="9" t="inlineStr">
        <is>
          <t>gptoss120b</t>
        </is>
      </c>
      <c r="B128" s="9" t="inlineStr"/>
      <c r="C128" s="9" t="inlineStr">
        <is>
          <t>GB200</t>
        </is>
      </c>
      <c r="D128" s="9" t="inlineStr">
        <is>
          <t>long</t>
        </is>
      </c>
      <c r="E128" s="9" t="inlineStr">
        <is>
          <t>30</t>
        </is>
      </c>
      <c r="F128" s="9" t="inlineStr">
        <is>
          <t>False</t>
        </is>
      </c>
      <c r="G128" s="10" t="inlineStr"/>
      <c r="H128" s="11" t="inlineStr"/>
      <c r="I128" s="12" t="inlineStr"/>
      <c r="J128" s="9" t="inlineStr"/>
      <c r="K128" s="9" t="inlineStr"/>
      <c r="L128" s="9" t="inlineStr"/>
      <c r="M128" s="9" t="inlineStr"/>
      <c r="N128" s="9" t="inlineStr"/>
      <c r="O128" s="9" t="inlineStr">
        <is>
          <t>missing</t>
        </is>
      </c>
      <c r="P128" s="9" t="inlineStr">
        <is>
          <t>no_benchmark_row</t>
        </is>
      </c>
      <c r="Q128" s="9" t="inlineStr">
        <is>
          <t>missing</t>
        </is>
      </c>
      <c r="R128" s="9" t="inlineStr"/>
      <c r="S128" s="9" t="inlineStr">
        <is>
          <t>No model/GPU/workload benchmark row was available.</t>
        </is>
      </c>
    </row>
    <row r="129">
      <c r="A129" s="9" t="inlineStr">
        <is>
          <t>gptoss120b</t>
        </is>
      </c>
      <c r="B129" s="9" t="inlineStr"/>
      <c r="C129" s="9" t="inlineStr">
        <is>
          <t>GB200</t>
        </is>
      </c>
      <c r="D129" s="9" t="inlineStr">
        <is>
          <t>long</t>
        </is>
      </c>
      <c r="E129" s="9" t="inlineStr">
        <is>
          <t>50</t>
        </is>
      </c>
      <c r="F129" s="9" t="inlineStr">
        <is>
          <t>False</t>
        </is>
      </c>
      <c r="G129" s="10" t="inlineStr"/>
      <c r="H129" s="11" t="inlineStr"/>
      <c r="I129" s="12" t="inlineStr"/>
      <c r="J129" s="9" t="inlineStr"/>
      <c r="K129" s="9" t="inlineStr"/>
      <c r="L129" s="9" t="inlineStr"/>
      <c r="M129" s="9" t="inlineStr"/>
      <c r="N129" s="9" t="inlineStr"/>
      <c r="O129" s="9" t="inlineStr">
        <is>
          <t>missing</t>
        </is>
      </c>
      <c r="P129" s="9" t="inlineStr">
        <is>
          <t>no_benchmark_row</t>
        </is>
      </c>
      <c r="Q129" s="9" t="inlineStr">
        <is>
          <t>missing</t>
        </is>
      </c>
      <c r="R129" s="9" t="inlineStr"/>
      <c r="S129" s="9" t="inlineStr">
        <is>
          <t>No model/GPU/workload benchmark row was available.</t>
        </is>
      </c>
    </row>
    <row r="130">
      <c r="A130" s="9" t="inlineStr">
        <is>
          <t>gptoss120b</t>
        </is>
      </c>
      <c r="B130" s="9" t="inlineStr"/>
      <c r="C130" s="9" t="inlineStr">
        <is>
          <t>GB200</t>
        </is>
      </c>
      <c r="D130" s="9" t="inlineStr">
        <is>
          <t>long</t>
        </is>
      </c>
      <c r="E130" s="9" t="inlineStr">
        <is>
          <t>70</t>
        </is>
      </c>
      <c r="F130" s="9" t="inlineStr">
        <is>
          <t>False</t>
        </is>
      </c>
      <c r="G130" s="10" t="inlineStr"/>
      <c r="H130" s="11" t="inlineStr"/>
      <c r="I130" s="12" t="inlineStr"/>
      <c r="J130" s="9" t="inlineStr"/>
      <c r="K130" s="9" t="inlineStr"/>
      <c r="L130" s="9" t="inlineStr"/>
      <c r="M130" s="9" t="inlineStr"/>
      <c r="N130" s="9" t="inlineStr"/>
      <c r="O130" s="9" t="inlineStr">
        <is>
          <t>missing</t>
        </is>
      </c>
      <c r="P130" s="9" t="inlineStr">
        <is>
          <t>no_benchmark_row</t>
        </is>
      </c>
      <c r="Q130" s="9" t="inlineStr">
        <is>
          <t>missing</t>
        </is>
      </c>
      <c r="R130" s="9" t="inlineStr"/>
      <c r="S130" s="9" t="inlineStr">
        <is>
          <t>No model/GPU/workload benchmark row was available.</t>
        </is>
      </c>
    </row>
    <row r="131">
      <c r="A131" s="9" t="inlineStr">
        <is>
          <t>gptoss120b</t>
        </is>
      </c>
      <c r="B131" s="9" t="inlineStr"/>
      <c r="C131" s="9" t="inlineStr">
        <is>
          <t>GB200</t>
        </is>
      </c>
      <c r="D131" s="9" t="inlineStr">
        <is>
          <t>long</t>
        </is>
      </c>
      <c r="E131" s="9" t="inlineStr">
        <is>
          <t>100</t>
        </is>
      </c>
      <c r="F131" s="9" t="inlineStr">
        <is>
          <t>False</t>
        </is>
      </c>
      <c r="G131" s="10" t="inlineStr"/>
      <c r="H131" s="11" t="inlineStr"/>
      <c r="I131" s="12" t="inlineStr"/>
      <c r="J131" s="9" t="inlineStr"/>
      <c r="K131" s="9" t="inlineStr"/>
      <c r="L131" s="9" t="inlineStr"/>
      <c r="M131" s="9" t="inlineStr"/>
      <c r="N131" s="9" t="inlineStr"/>
      <c r="O131" s="9" t="inlineStr">
        <is>
          <t>missing</t>
        </is>
      </c>
      <c r="P131" s="9" t="inlineStr">
        <is>
          <t>no_benchmark_row</t>
        </is>
      </c>
      <c r="Q131" s="9" t="inlineStr">
        <is>
          <t>missing</t>
        </is>
      </c>
      <c r="R131" s="9" t="inlineStr"/>
      <c r="S131" s="9" t="inlineStr">
        <is>
          <t>No model/GPU/workload benchmark row was available.</t>
        </is>
      </c>
    </row>
    <row r="132">
      <c r="A132" s="9" t="inlineStr">
        <is>
          <t>gptoss120b</t>
        </is>
      </c>
      <c r="B132" s="9" t="inlineStr"/>
      <c r="C132" s="9" t="inlineStr">
        <is>
          <t>GB200</t>
        </is>
      </c>
      <c r="D132" s="9" t="inlineStr">
        <is>
          <t>agentic</t>
        </is>
      </c>
      <c r="E132" s="9" t="inlineStr">
        <is>
          <t>10</t>
        </is>
      </c>
      <c r="F132" s="9" t="inlineStr">
        <is>
          <t>False</t>
        </is>
      </c>
      <c r="G132" s="10" t="inlineStr"/>
      <c r="H132" s="11" t="inlineStr"/>
      <c r="I132" s="12" t="inlineStr"/>
      <c r="J132" s="9" t="inlineStr"/>
      <c r="K132" s="9" t="inlineStr"/>
      <c r="L132" s="9" t="inlineStr"/>
      <c r="M132" s="9" t="inlineStr"/>
      <c r="N132" s="9" t="inlineStr"/>
      <c r="O132" s="9" t="inlineStr">
        <is>
          <t>missing</t>
        </is>
      </c>
      <c r="P132" s="9" t="inlineStr">
        <is>
          <t>no_long_chat_proxy_row</t>
        </is>
      </c>
      <c r="Q132" s="9" t="inlineStr">
        <is>
          <t>missing</t>
        </is>
      </c>
      <c r="R132" s="9" t="inlineStr"/>
      <c r="S132" s="9" t="inlineStr">
        <is>
          <t>Agentic proxy could not be derived because no long-chat benchmark row was available.</t>
        </is>
      </c>
    </row>
    <row r="133">
      <c r="A133" s="9" t="inlineStr">
        <is>
          <t>gptoss120b</t>
        </is>
      </c>
      <c r="B133" s="9" t="inlineStr"/>
      <c r="C133" s="9" t="inlineStr">
        <is>
          <t>GB200</t>
        </is>
      </c>
      <c r="D133" s="9" t="inlineStr">
        <is>
          <t>agentic</t>
        </is>
      </c>
      <c r="E133" s="9" t="inlineStr">
        <is>
          <t>30</t>
        </is>
      </c>
      <c r="F133" s="9" t="inlineStr">
        <is>
          <t>False</t>
        </is>
      </c>
      <c r="G133" s="10" t="inlineStr"/>
      <c r="H133" s="11" t="inlineStr"/>
      <c r="I133" s="12" t="inlineStr"/>
      <c r="J133" s="9" t="inlineStr"/>
      <c r="K133" s="9" t="inlineStr"/>
      <c r="L133" s="9" t="inlineStr"/>
      <c r="M133" s="9" t="inlineStr"/>
      <c r="N133" s="9" t="inlineStr"/>
      <c r="O133" s="9" t="inlineStr">
        <is>
          <t>missing</t>
        </is>
      </c>
      <c r="P133" s="9" t="inlineStr">
        <is>
          <t>no_long_chat_proxy_row</t>
        </is>
      </c>
      <c r="Q133" s="9" t="inlineStr">
        <is>
          <t>missing</t>
        </is>
      </c>
      <c r="R133" s="9" t="inlineStr"/>
      <c r="S133" s="9" t="inlineStr">
        <is>
          <t>Agentic proxy could not be derived because no long-chat benchmark row was available.</t>
        </is>
      </c>
    </row>
    <row r="134">
      <c r="A134" s="9" t="inlineStr">
        <is>
          <t>gptoss120b</t>
        </is>
      </c>
      <c r="B134" s="9" t="inlineStr"/>
      <c r="C134" s="9" t="inlineStr">
        <is>
          <t>GB200</t>
        </is>
      </c>
      <c r="D134" s="9" t="inlineStr">
        <is>
          <t>agentic</t>
        </is>
      </c>
      <c r="E134" s="9" t="inlineStr">
        <is>
          <t>50</t>
        </is>
      </c>
      <c r="F134" s="9" t="inlineStr">
        <is>
          <t>False</t>
        </is>
      </c>
      <c r="G134" s="10" t="inlineStr"/>
      <c r="H134" s="11" t="inlineStr"/>
      <c r="I134" s="12" t="inlineStr"/>
      <c r="J134" s="9" t="inlineStr"/>
      <c r="K134" s="9" t="inlineStr"/>
      <c r="L134" s="9" t="inlineStr"/>
      <c r="M134" s="9" t="inlineStr"/>
      <c r="N134" s="9" t="inlineStr"/>
      <c r="O134" s="9" t="inlineStr">
        <is>
          <t>missing</t>
        </is>
      </c>
      <c r="P134" s="9" t="inlineStr">
        <is>
          <t>no_long_chat_proxy_row</t>
        </is>
      </c>
      <c r="Q134" s="9" t="inlineStr">
        <is>
          <t>missing</t>
        </is>
      </c>
      <c r="R134" s="9" t="inlineStr"/>
      <c r="S134" s="9" t="inlineStr">
        <is>
          <t>Agentic proxy could not be derived because no long-chat benchmark row was available.</t>
        </is>
      </c>
    </row>
    <row r="135">
      <c r="A135" s="9" t="inlineStr">
        <is>
          <t>gptoss120b</t>
        </is>
      </c>
      <c r="B135" s="9" t="inlineStr"/>
      <c r="C135" s="9" t="inlineStr">
        <is>
          <t>GB200</t>
        </is>
      </c>
      <c r="D135" s="9" t="inlineStr">
        <is>
          <t>agentic</t>
        </is>
      </c>
      <c r="E135" s="9" t="inlineStr">
        <is>
          <t>70</t>
        </is>
      </c>
      <c r="F135" s="9" t="inlineStr">
        <is>
          <t>False</t>
        </is>
      </c>
      <c r="G135" s="10" t="inlineStr"/>
      <c r="H135" s="11" t="inlineStr"/>
      <c r="I135" s="12" t="inlineStr"/>
      <c r="J135" s="9" t="inlineStr"/>
      <c r="K135" s="9" t="inlineStr"/>
      <c r="L135" s="9" t="inlineStr"/>
      <c r="M135" s="9" t="inlineStr"/>
      <c r="N135" s="9" t="inlineStr"/>
      <c r="O135" s="9" t="inlineStr">
        <is>
          <t>missing</t>
        </is>
      </c>
      <c r="P135" s="9" t="inlineStr">
        <is>
          <t>no_long_chat_proxy_row</t>
        </is>
      </c>
      <c r="Q135" s="9" t="inlineStr">
        <is>
          <t>missing</t>
        </is>
      </c>
      <c r="R135" s="9" t="inlineStr"/>
      <c r="S135" s="9" t="inlineStr">
        <is>
          <t>Agentic proxy could not be derived because no long-chat benchmark row was available.</t>
        </is>
      </c>
    </row>
    <row r="136">
      <c r="A136" s="9" t="inlineStr">
        <is>
          <t>gptoss120b</t>
        </is>
      </c>
      <c r="B136" s="9" t="inlineStr"/>
      <c r="C136" s="9" t="inlineStr">
        <is>
          <t>GB200</t>
        </is>
      </c>
      <c r="D136" s="9" t="inlineStr">
        <is>
          <t>agentic</t>
        </is>
      </c>
      <c r="E136" s="9" t="inlineStr">
        <is>
          <t>100</t>
        </is>
      </c>
      <c r="F136" s="9" t="inlineStr">
        <is>
          <t>False</t>
        </is>
      </c>
      <c r="G136" s="10" t="inlineStr"/>
      <c r="H136" s="11" t="inlineStr"/>
      <c r="I136" s="12" t="inlineStr"/>
      <c r="J136" s="9" t="inlineStr"/>
      <c r="K136" s="9" t="inlineStr"/>
      <c r="L136" s="9" t="inlineStr"/>
      <c r="M136" s="9" t="inlineStr"/>
      <c r="N136" s="9" t="inlineStr"/>
      <c r="O136" s="9" t="inlineStr">
        <is>
          <t>missing</t>
        </is>
      </c>
      <c r="P136" s="9" t="inlineStr">
        <is>
          <t>no_long_chat_proxy_row</t>
        </is>
      </c>
      <c r="Q136" s="9" t="inlineStr">
        <is>
          <t>missing</t>
        </is>
      </c>
      <c r="R136" s="9" t="inlineStr"/>
      <c r="S136" s="9" t="inlineStr">
        <is>
          <t>Agentic proxy could not be derived because no long-chat benchmark row was available.</t>
        </is>
      </c>
    </row>
    <row r="137">
      <c r="A137" s="5" t="inlineStr">
        <is>
          <t>llama70b</t>
        </is>
      </c>
      <c r="B137" s="5" t="inlineStr">
        <is>
          <t>llama70b</t>
        </is>
      </c>
      <c r="C137" s="5" t="inlineStr">
        <is>
          <t>H200</t>
        </is>
      </c>
      <c r="D137" s="5" t="inlineStr">
        <is>
          <t>short</t>
        </is>
      </c>
      <c r="E137" s="5" t="inlineStr">
        <is>
          <t>10</t>
        </is>
      </c>
      <c r="F137" s="5" t="inlineStr">
        <is>
          <t>True</t>
        </is>
      </c>
      <c r="G137" s="6" t="inlineStr">
        <is>
          <t>0.0</t>
        </is>
      </c>
      <c r="H137" s="7" t="inlineStr">
        <is>
          <t>965061.0</t>
        </is>
      </c>
      <c r="I137" s="8" t="inlineStr">
        <is>
          <t>26.09</t>
        </is>
      </c>
      <c r="J137" s="5" t="inlineStr">
        <is>
          <t>fp8</t>
        </is>
      </c>
      <c r="K137" s="5" t="inlineStr">
        <is>
          <t>vllm</t>
        </is>
      </c>
      <c r="L137" s="5" t="inlineStr">
        <is>
          <t>64</t>
        </is>
      </c>
      <c r="M137" s="5" t="inlineStr">
        <is>
          <t>1024</t>
        </is>
      </c>
      <c r="N137" s="5" t="inlineStr">
        <is>
          <t>1024</t>
        </is>
      </c>
      <c r="O137" s="5" t="inlineStr">
        <is>
          <t>selected_public_max</t>
        </is>
      </c>
      <c r="P137" s="5" t="inlineStr">
        <is>
          <t>direct_target_row</t>
        </is>
      </c>
      <c r="Q137" s="5" t="inlineStr">
        <is>
          <t>medium</t>
        </is>
      </c>
      <c r="R137" s="5" t="inlineStr">
        <is>
          <t>2025-10-28T00:00:00.000Z</t>
        </is>
      </c>
      <c r="S137" s="5" t="inlineStr">
        <is>
          <t>tok_s_user is computed as output_tok_s_gpu/concurrency when source tok_s_user is blank; agentic_derived uses long_chat rows multiplied by the Kimi K2.5 agentic/long ratio.</t>
        </is>
      </c>
    </row>
    <row r="138">
      <c r="A138" s="5" t="inlineStr">
        <is>
          <t>llama70b</t>
        </is>
      </c>
      <c r="B138" s="5" t="inlineStr">
        <is>
          <t>llama70b</t>
        </is>
      </c>
      <c r="C138" s="5" t="inlineStr">
        <is>
          <t>H200</t>
        </is>
      </c>
      <c r="D138" s="5" t="inlineStr">
        <is>
          <t>short</t>
        </is>
      </c>
      <c r="E138" s="5" t="inlineStr">
        <is>
          <t>30</t>
        </is>
      </c>
      <c r="F138" s="5" t="inlineStr">
        <is>
          <t>True</t>
        </is>
      </c>
      <c r="G138" s="6" t="inlineStr">
        <is>
          <t>0.0</t>
        </is>
      </c>
      <c r="H138" s="7" t="inlineStr">
        <is>
          <t>364069.0</t>
        </is>
      </c>
      <c r="I138" s="8" t="inlineStr">
        <is>
          <t>39.36</t>
        </is>
      </c>
      <c r="J138" s="5" t="inlineStr">
        <is>
          <t>fp8</t>
        </is>
      </c>
      <c r="K138" s="5" t="inlineStr">
        <is>
          <t>vllm</t>
        </is>
      </c>
      <c r="L138" s="5" t="inlineStr">
        <is>
          <t>16</t>
        </is>
      </c>
      <c r="M138" s="5" t="inlineStr">
        <is>
          <t>1024</t>
        </is>
      </c>
      <c r="N138" s="5" t="inlineStr">
        <is>
          <t>1024</t>
        </is>
      </c>
      <c r="O138" s="5" t="inlineStr">
        <is>
          <t>selected_public_max</t>
        </is>
      </c>
      <c r="P138" s="5" t="inlineStr">
        <is>
          <t>direct_target_row</t>
        </is>
      </c>
      <c r="Q138" s="5" t="inlineStr">
        <is>
          <t>medium</t>
        </is>
      </c>
      <c r="R138" s="5" t="inlineStr">
        <is>
          <t>2025-10-15T00:00:00.000Z</t>
        </is>
      </c>
      <c r="S138" s="5" t="inlineStr">
        <is>
          <t>tok_s_user is computed as output_tok_s_gpu/concurrency when source tok_s_user is blank; agentic_derived uses long_chat rows multiplied by the Kimi K2.5 agentic/long ratio.</t>
        </is>
      </c>
    </row>
    <row r="139">
      <c r="A139" s="9" t="inlineStr">
        <is>
          <t>llama70b</t>
        </is>
      </c>
      <c r="B139" s="9" t="inlineStr">
        <is>
          <t>llama70b</t>
        </is>
      </c>
      <c r="C139" s="9" t="inlineStr">
        <is>
          <t>H200</t>
        </is>
      </c>
      <c r="D139" s="9" t="inlineStr">
        <is>
          <t>short</t>
        </is>
      </c>
      <c r="E139" s="9" t="inlineStr">
        <is>
          <t>50</t>
        </is>
      </c>
      <c r="F139" s="9" t="inlineStr">
        <is>
          <t>False</t>
        </is>
      </c>
      <c r="G139" s="10" t="inlineStr">
        <is>
          <t>0.21280000000000002</t>
        </is>
      </c>
      <c r="H139" s="11" t="inlineStr">
        <is>
          <t>364069.0</t>
        </is>
      </c>
      <c r="I139" s="12" t="inlineStr">
        <is>
          <t>39.36</t>
        </is>
      </c>
      <c r="J139" s="9" t="inlineStr">
        <is>
          <t>fp8</t>
        </is>
      </c>
      <c r="K139" s="9" t="inlineStr">
        <is>
          <t>vllm</t>
        </is>
      </c>
      <c r="L139" s="9" t="inlineStr">
        <is>
          <t>16</t>
        </is>
      </c>
      <c r="M139" s="9" t="inlineStr">
        <is>
          <t>1024</t>
        </is>
      </c>
      <c r="N139" s="9" t="inlineStr">
        <is>
          <t>1024</t>
        </is>
      </c>
      <c r="O139" s="9" t="inlineStr">
        <is>
          <t>selected_public_max</t>
        </is>
      </c>
      <c r="P139" s="9" t="inlineStr">
        <is>
          <t>best_available_below_target</t>
        </is>
      </c>
      <c r="Q139" s="9" t="inlineStr">
        <is>
          <t>low_target_gap</t>
        </is>
      </c>
      <c r="R139" s="9" t="inlineStr">
        <is>
          <t>2025-10-15T00:00:00.000Z</t>
        </is>
      </c>
      <c r="S139" s="9" t="inlineStr">
        <is>
          <t>tok_s_user is computed as output_tok_s_gpu/concurrency when source tok_s_user is blank; agentic_derived uses long_chat rows multiplied by the Kimi K2.5 agentic/long ratio.</t>
        </is>
      </c>
    </row>
    <row r="140">
      <c r="A140" s="9" t="inlineStr">
        <is>
          <t>llama70b</t>
        </is>
      </c>
      <c r="B140" s="9" t="inlineStr">
        <is>
          <t>llama70b</t>
        </is>
      </c>
      <c r="C140" s="9" t="inlineStr">
        <is>
          <t>H200</t>
        </is>
      </c>
      <c r="D140" s="9" t="inlineStr">
        <is>
          <t>short</t>
        </is>
      </c>
      <c r="E140" s="9" t="inlineStr">
        <is>
          <t>70</t>
        </is>
      </c>
      <c r="F140" s="9" t="inlineStr">
        <is>
          <t>False</t>
        </is>
      </c>
      <c r="G140" s="10" t="inlineStr">
        <is>
          <t>0.4377142857142857</t>
        </is>
      </c>
      <c r="H140" s="11" t="inlineStr">
        <is>
          <t>364069.0</t>
        </is>
      </c>
      <c r="I140" s="12" t="inlineStr">
        <is>
          <t>39.36</t>
        </is>
      </c>
      <c r="J140" s="9" t="inlineStr">
        <is>
          <t>fp8</t>
        </is>
      </c>
      <c r="K140" s="9" t="inlineStr">
        <is>
          <t>vllm</t>
        </is>
      </c>
      <c r="L140" s="9" t="inlineStr">
        <is>
          <t>16</t>
        </is>
      </c>
      <c r="M140" s="9" t="inlineStr">
        <is>
          <t>1024</t>
        </is>
      </c>
      <c r="N140" s="9" t="inlineStr">
        <is>
          <t>1024</t>
        </is>
      </c>
      <c r="O140" s="9" t="inlineStr">
        <is>
          <t>selected_public_max</t>
        </is>
      </c>
      <c r="P140" s="9" t="inlineStr">
        <is>
          <t>best_available_below_target</t>
        </is>
      </c>
      <c r="Q140" s="9" t="inlineStr">
        <is>
          <t>low_target_gap</t>
        </is>
      </c>
      <c r="R140" s="9" t="inlineStr">
        <is>
          <t>2025-10-15T00:00:00.000Z</t>
        </is>
      </c>
      <c r="S140" s="9" t="inlineStr">
        <is>
          <t>tok_s_user is computed as output_tok_s_gpu/concurrency when source tok_s_user is blank; agentic_derived uses long_chat rows multiplied by the Kimi K2.5 agentic/long ratio.</t>
        </is>
      </c>
    </row>
    <row r="141">
      <c r="A141" s="9" t="inlineStr">
        <is>
          <t>llama70b</t>
        </is>
      </c>
      <c r="B141" s="9" t="inlineStr">
        <is>
          <t>llama70b</t>
        </is>
      </c>
      <c r="C141" s="9" t="inlineStr">
        <is>
          <t>H200</t>
        </is>
      </c>
      <c r="D141" s="9" t="inlineStr">
        <is>
          <t>short</t>
        </is>
      </c>
      <c r="E141" s="9" t="inlineStr">
        <is>
          <t>100</t>
        </is>
      </c>
      <c r="F141" s="9" t="inlineStr">
        <is>
          <t>False</t>
        </is>
      </c>
      <c r="G141" s="10" t="inlineStr">
        <is>
          <t>0.6064</t>
        </is>
      </c>
      <c r="H141" s="11" t="inlineStr">
        <is>
          <t>364069.0</t>
        </is>
      </c>
      <c r="I141" s="12" t="inlineStr">
        <is>
          <t>39.36</t>
        </is>
      </c>
      <c r="J141" s="9" t="inlineStr">
        <is>
          <t>fp8</t>
        </is>
      </c>
      <c r="K141" s="9" t="inlineStr">
        <is>
          <t>vllm</t>
        </is>
      </c>
      <c r="L141" s="9" t="inlineStr">
        <is>
          <t>16</t>
        </is>
      </c>
      <c r="M141" s="9" t="inlineStr">
        <is>
          <t>1024</t>
        </is>
      </c>
      <c r="N141" s="9" t="inlineStr">
        <is>
          <t>1024</t>
        </is>
      </c>
      <c r="O141" s="9" t="inlineStr">
        <is>
          <t>selected_public_max</t>
        </is>
      </c>
      <c r="P141" s="9" t="inlineStr">
        <is>
          <t>best_available_below_target</t>
        </is>
      </c>
      <c r="Q141" s="9" t="inlineStr">
        <is>
          <t>low_target_gap</t>
        </is>
      </c>
      <c r="R141" s="9" t="inlineStr">
        <is>
          <t>2025-10-15T00:00:00.000Z</t>
        </is>
      </c>
      <c r="S141" s="9" t="inlineStr">
        <is>
          <t>tok_s_user is computed as output_tok_s_gpu/concurrency when source tok_s_user is blank; agentic_derived uses long_chat rows multiplied by the Kimi K2.5 agentic/long ratio.</t>
        </is>
      </c>
    </row>
    <row r="142">
      <c r="A142" s="5" t="inlineStr">
        <is>
          <t>llama70b</t>
        </is>
      </c>
      <c r="B142" s="5" t="inlineStr">
        <is>
          <t>llama70b</t>
        </is>
      </c>
      <c r="C142" s="5" t="inlineStr">
        <is>
          <t>H200</t>
        </is>
      </c>
      <c r="D142" s="5" t="inlineStr">
        <is>
          <t>long</t>
        </is>
      </c>
      <c r="E142" s="5" t="inlineStr">
        <is>
          <t>10</t>
        </is>
      </c>
      <c r="F142" s="5" t="inlineStr">
        <is>
          <t>True</t>
        </is>
      </c>
      <c r="G142" s="6" t="inlineStr">
        <is>
          <t>0.0</t>
        </is>
      </c>
      <c r="H142" s="7" t="inlineStr">
        <is>
          <t>231275.0</t>
        </is>
      </c>
      <c r="I142" s="8" t="inlineStr">
        <is>
          <t>12.5</t>
        </is>
      </c>
      <c r="J142" s="5" t="inlineStr">
        <is>
          <t>fp8</t>
        </is>
      </c>
      <c r="K142" s="5" t="inlineStr">
        <is>
          <t>vllm</t>
        </is>
      </c>
      <c r="L142" s="5" t="inlineStr">
        <is>
          <t>32</t>
        </is>
      </c>
      <c r="M142" s="5" t="inlineStr">
        <is>
          <t>8192</t>
        </is>
      </c>
      <c r="N142" s="5" t="inlineStr">
        <is>
          <t>1024</t>
        </is>
      </c>
      <c r="O142" s="5" t="inlineStr">
        <is>
          <t>selected_public_max</t>
        </is>
      </c>
      <c r="P142" s="5" t="inlineStr">
        <is>
          <t>direct_target_row</t>
        </is>
      </c>
      <c r="Q142" s="5" t="inlineStr">
        <is>
          <t>medium</t>
        </is>
      </c>
      <c r="R142" s="5" t="inlineStr">
        <is>
          <t>2025-10-20T00:00:00.000Z</t>
        </is>
      </c>
      <c r="S142" s="5" t="inlineStr">
        <is>
          <t>tok_s_user is computed as output_tok_s_gpu/concurrency when source tok_s_user is blank; agentic_derived uses long_chat rows multiplied by the Kimi K2.5 agentic/long ratio.</t>
        </is>
      </c>
    </row>
    <row r="143">
      <c r="A143" s="5" t="inlineStr">
        <is>
          <t>llama70b</t>
        </is>
      </c>
      <c r="B143" s="5" t="inlineStr">
        <is>
          <t>llama70b</t>
        </is>
      </c>
      <c r="C143" s="5" t="inlineStr">
        <is>
          <t>H200</t>
        </is>
      </c>
      <c r="D143" s="5" t="inlineStr">
        <is>
          <t>long</t>
        </is>
      </c>
      <c r="E143" s="5" t="inlineStr">
        <is>
          <t>30</t>
        </is>
      </c>
      <c r="F143" s="5" t="inlineStr">
        <is>
          <t>True</t>
        </is>
      </c>
      <c r="G143" s="6" t="inlineStr">
        <is>
          <t>0.0</t>
        </is>
      </c>
      <c r="H143" s="7" t="inlineStr">
        <is>
          <t>83442.0</t>
        </is>
      </c>
      <c r="I143" s="8" t="inlineStr">
        <is>
          <t>36.09</t>
        </is>
      </c>
      <c r="J143" s="5" t="inlineStr">
        <is>
          <t>fp8</t>
        </is>
      </c>
      <c r="K143" s="5" t="inlineStr">
        <is>
          <t>vllm</t>
        </is>
      </c>
      <c r="L143" s="5" t="inlineStr">
        <is>
          <t>4</t>
        </is>
      </c>
      <c r="M143" s="5" t="inlineStr">
        <is>
          <t>8192</t>
        </is>
      </c>
      <c r="N143" s="5" t="inlineStr">
        <is>
          <t>1024</t>
        </is>
      </c>
      <c r="O143" s="5" t="inlineStr">
        <is>
          <t>selected_public_max</t>
        </is>
      </c>
      <c r="P143" s="5" t="inlineStr">
        <is>
          <t>direct_target_row</t>
        </is>
      </c>
      <c r="Q143" s="5" t="inlineStr">
        <is>
          <t>medium</t>
        </is>
      </c>
      <c r="R143" s="5" t="inlineStr">
        <is>
          <t>2025-10-15T00:00:00.000Z</t>
        </is>
      </c>
      <c r="S143" s="5" t="inlineStr">
        <is>
          <t>tok_s_user is computed as output_tok_s_gpu/concurrency when source tok_s_user is blank; agentic_derived uses long_chat rows multiplied by the Kimi K2.5 agentic/long ratio.</t>
        </is>
      </c>
    </row>
    <row r="144">
      <c r="A144" s="9" t="inlineStr">
        <is>
          <t>llama70b</t>
        </is>
      </c>
      <c r="B144" s="9" t="inlineStr">
        <is>
          <t>llama70b</t>
        </is>
      </c>
      <c r="C144" s="9" t="inlineStr">
        <is>
          <t>H200</t>
        </is>
      </c>
      <c r="D144" s="9" t="inlineStr">
        <is>
          <t>long</t>
        </is>
      </c>
      <c r="E144" s="9" t="inlineStr">
        <is>
          <t>50</t>
        </is>
      </c>
      <c r="F144" s="9" t="inlineStr">
        <is>
          <t>False</t>
        </is>
      </c>
      <c r="G144" s="10" t="inlineStr">
        <is>
          <t>0.27819999999999995</t>
        </is>
      </c>
      <c r="H144" s="11" t="inlineStr">
        <is>
          <t>83442.0</t>
        </is>
      </c>
      <c r="I144" s="12" t="inlineStr">
        <is>
          <t>36.09</t>
        </is>
      </c>
      <c r="J144" s="9" t="inlineStr">
        <is>
          <t>fp8</t>
        </is>
      </c>
      <c r="K144" s="9" t="inlineStr">
        <is>
          <t>vllm</t>
        </is>
      </c>
      <c r="L144" s="9" t="inlineStr">
        <is>
          <t>4</t>
        </is>
      </c>
      <c r="M144" s="9" t="inlineStr">
        <is>
          <t>8192</t>
        </is>
      </c>
      <c r="N144" s="9" t="inlineStr">
        <is>
          <t>1024</t>
        </is>
      </c>
      <c r="O144" s="9" t="inlineStr">
        <is>
          <t>selected_public_max</t>
        </is>
      </c>
      <c r="P144" s="9" t="inlineStr">
        <is>
          <t>best_available_below_target</t>
        </is>
      </c>
      <c r="Q144" s="9" t="inlineStr">
        <is>
          <t>low_target_gap</t>
        </is>
      </c>
      <c r="R144" s="9" t="inlineStr">
        <is>
          <t>2025-10-15T00:00:00.000Z</t>
        </is>
      </c>
      <c r="S144" s="9" t="inlineStr">
        <is>
          <t>tok_s_user is computed as output_tok_s_gpu/concurrency when source tok_s_user is blank; agentic_derived uses long_chat rows multiplied by the Kimi K2.5 agentic/long ratio.</t>
        </is>
      </c>
    </row>
    <row r="145">
      <c r="A145" s="9" t="inlineStr">
        <is>
          <t>llama70b</t>
        </is>
      </c>
      <c r="B145" s="9" t="inlineStr">
        <is>
          <t>llama70b</t>
        </is>
      </c>
      <c r="C145" s="9" t="inlineStr">
        <is>
          <t>H200</t>
        </is>
      </c>
      <c r="D145" s="9" t="inlineStr">
        <is>
          <t>long</t>
        </is>
      </c>
      <c r="E145" s="9" t="inlineStr">
        <is>
          <t>70</t>
        </is>
      </c>
      <c r="F145" s="9" t="inlineStr">
        <is>
          <t>False</t>
        </is>
      </c>
      <c r="G145" s="10" t="inlineStr">
        <is>
          <t>0.4844285714285714</t>
        </is>
      </c>
      <c r="H145" s="11" t="inlineStr">
        <is>
          <t>83442.0</t>
        </is>
      </c>
      <c r="I145" s="12" t="inlineStr">
        <is>
          <t>36.09</t>
        </is>
      </c>
      <c r="J145" s="9" t="inlineStr">
        <is>
          <t>fp8</t>
        </is>
      </c>
      <c r="K145" s="9" t="inlineStr">
        <is>
          <t>vllm</t>
        </is>
      </c>
      <c r="L145" s="9" t="inlineStr">
        <is>
          <t>4</t>
        </is>
      </c>
      <c r="M145" s="9" t="inlineStr">
        <is>
          <t>8192</t>
        </is>
      </c>
      <c r="N145" s="9" t="inlineStr">
        <is>
          <t>1024</t>
        </is>
      </c>
      <c r="O145" s="9" t="inlineStr">
        <is>
          <t>selected_public_max</t>
        </is>
      </c>
      <c r="P145" s="9" t="inlineStr">
        <is>
          <t>best_available_below_target</t>
        </is>
      </c>
      <c r="Q145" s="9" t="inlineStr">
        <is>
          <t>low_target_gap</t>
        </is>
      </c>
      <c r="R145" s="9" t="inlineStr">
        <is>
          <t>2025-10-15T00:00:00.000Z</t>
        </is>
      </c>
      <c r="S145" s="9" t="inlineStr">
        <is>
          <t>tok_s_user is computed as output_tok_s_gpu/concurrency when source tok_s_user is blank; agentic_derived uses long_chat rows multiplied by the Kimi K2.5 agentic/long ratio.</t>
        </is>
      </c>
    </row>
    <row r="146">
      <c r="A146" s="9" t="inlineStr">
        <is>
          <t>llama70b</t>
        </is>
      </c>
      <c r="B146" s="9" t="inlineStr">
        <is>
          <t>llama70b</t>
        </is>
      </c>
      <c r="C146" s="9" t="inlineStr">
        <is>
          <t>H200</t>
        </is>
      </c>
      <c r="D146" s="9" t="inlineStr">
        <is>
          <t>long</t>
        </is>
      </c>
      <c r="E146" s="9" t="inlineStr">
        <is>
          <t>100</t>
        </is>
      </c>
      <c r="F146" s="9" t="inlineStr">
        <is>
          <t>False</t>
        </is>
      </c>
      <c r="G146" s="10" t="inlineStr">
        <is>
          <t>0.6391</t>
        </is>
      </c>
      <c r="H146" s="11" t="inlineStr">
        <is>
          <t>83442.0</t>
        </is>
      </c>
      <c r="I146" s="12" t="inlineStr">
        <is>
          <t>36.09</t>
        </is>
      </c>
      <c r="J146" s="9" t="inlineStr">
        <is>
          <t>fp8</t>
        </is>
      </c>
      <c r="K146" s="9" t="inlineStr">
        <is>
          <t>vllm</t>
        </is>
      </c>
      <c r="L146" s="9" t="inlineStr">
        <is>
          <t>4</t>
        </is>
      </c>
      <c r="M146" s="9" t="inlineStr">
        <is>
          <t>8192</t>
        </is>
      </c>
      <c r="N146" s="9" t="inlineStr">
        <is>
          <t>1024</t>
        </is>
      </c>
      <c r="O146" s="9" t="inlineStr">
        <is>
          <t>selected_public_max</t>
        </is>
      </c>
      <c r="P146" s="9" t="inlineStr">
        <is>
          <t>best_available_below_target</t>
        </is>
      </c>
      <c r="Q146" s="9" t="inlineStr">
        <is>
          <t>low_target_gap</t>
        </is>
      </c>
      <c r="R146" s="9" t="inlineStr">
        <is>
          <t>2025-10-15T00:00:00.000Z</t>
        </is>
      </c>
      <c r="S146" s="9" t="inlineStr">
        <is>
          <t>tok_s_user is computed as output_tok_s_gpu/concurrency when source tok_s_user is blank; agentic_derived uses long_chat rows multiplied by the Kimi K2.5 agentic/long ratio.</t>
        </is>
      </c>
    </row>
    <row r="147">
      <c r="A147" s="13" t="inlineStr">
        <is>
          <t>llama70b</t>
        </is>
      </c>
      <c r="B147" s="13" t="inlineStr">
        <is>
          <t>llama70b</t>
        </is>
      </c>
      <c r="C147" s="13" t="inlineStr">
        <is>
          <t>H200</t>
        </is>
      </c>
      <c r="D147" s="13" t="inlineStr">
        <is>
          <t>agentic</t>
        </is>
      </c>
      <c r="E147" s="13" t="inlineStr">
        <is>
          <t>10</t>
        </is>
      </c>
      <c r="F147" s="13" t="inlineStr">
        <is>
          <t>False</t>
        </is>
      </c>
      <c r="G147" s="14" t="inlineStr">
        <is>
          <t>0.6077173913043478</t>
        </is>
      </c>
      <c r="H147" s="15" t="inlineStr">
        <is>
          <t>9069.782608695652</t>
        </is>
      </c>
      <c r="I147" s="16" t="inlineStr">
        <is>
          <t>3.9228260869565226</t>
        </is>
      </c>
      <c r="J147" s="13" t="inlineStr">
        <is>
          <t>fp8</t>
        </is>
      </c>
      <c r="K147" s="13" t="inlineStr">
        <is>
          <t>vllm</t>
        </is>
      </c>
      <c r="L147" s="13" t="inlineStr">
        <is>
          <t>4</t>
        </is>
      </c>
      <c r="M147" s="13" t="inlineStr">
        <is>
          <t>8192</t>
        </is>
      </c>
      <c r="N147" s="13" t="inlineStr">
        <is>
          <t>1024</t>
        </is>
      </c>
      <c r="O147" s="13" t="inlineStr">
        <is>
          <t>agentic_from_long_chat</t>
        </is>
      </c>
      <c r="P147" s="13" t="inlineStr">
        <is>
          <t>dynamic_reasoning_proxy</t>
        </is>
      </c>
      <c r="Q147" s="13" t="inlineStr">
        <is>
          <t>low_target_gap</t>
        </is>
      </c>
      <c r="R147" s="13" t="inlineStr">
        <is>
          <t>2025-10-15T00:00:00.000Z</t>
        </is>
      </c>
      <c r="S147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48">
      <c r="A148" s="13" t="inlineStr">
        <is>
          <t>llama70b</t>
        </is>
      </c>
      <c r="B148" s="13" t="inlineStr">
        <is>
          <t>llama70b</t>
        </is>
      </c>
      <c r="C148" s="13" t="inlineStr">
        <is>
          <t>H200</t>
        </is>
      </c>
      <c r="D148" s="13" t="inlineStr">
        <is>
          <t>agentic</t>
        </is>
      </c>
      <c r="E148" s="13" t="inlineStr">
        <is>
          <t>30</t>
        </is>
      </c>
      <c r="F148" s="13" t="inlineStr">
        <is>
          <t>False</t>
        </is>
      </c>
      <c r="G148" s="14" t="inlineStr">
        <is>
          <t>0.8692391304347826</t>
        </is>
      </c>
      <c r="H148" s="15" t="inlineStr">
        <is>
          <t>9069.782608695652</t>
        </is>
      </c>
      <c r="I148" s="16" t="inlineStr">
        <is>
          <t>3.9228260869565226</t>
        </is>
      </c>
      <c r="J148" s="13" t="inlineStr">
        <is>
          <t>fp8</t>
        </is>
      </c>
      <c r="K148" s="13" t="inlineStr">
        <is>
          <t>vllm</t>
        </is>
      </c>
      <c r="L148" s="13" t="inlineStr">
        <is>
          <t>4</t>
        </is>
      </c>
      <c r="M148" s="13" t="inlineStr">
        <is>
          <t>8192</t>
        </is>
      </c>
      <c r="N148" s="13" t="inlineStr">
        <is>
          <t>1024</t>
        </is>
      </c>
      <c r="O148" s="13" t="inlineStr">
        <is>
          <t>agentic_from_long_chat</t>
        </is>
      </c>
      <c r="P148" s="13" t="inlineStr">
        <is>
          <t>dynamic_reasoning_proxy</t>
        </is>
      </c>
      <c r="Q148" s="13" t="inlineStr">
        <is>
          <t>low_target_gap</t>
        </is>
      </c>
      <c r="R148" s="13" t="inlineStr">
        <is>
          <t>2025-10-15T00:00:00.000Z</t>
        </is>
      </c>
      <c r="S14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49">
      <c r="A149" s="13" t="inlineStr">
        <is>
          <t>llama70b</t>
        </is>
      </c>
      <c r="B149" s="13" t="inlineStr">
        <is>
          <t>llama70b</t>
        </is>
      </c>
      <c r="C149" s="13" t="inlineStr">
        <is>
          <t>H200</t>
        </is>
      </c>
      <c r="D149" s="13" t="inlineStr">
        <is>
          <t>agentic</t>
        </is>
      </c>
      <c r="E149" s="13" t="inlineStr">
        <is>
          <t>50</t>
        </is>
      </c>
      <c r="F149" s="13" t="inlineStr">
        <is>
          <t>False</t>
        </is>
      </c>
      <c r="G149" s="14" t="inlineStr">
        <is>
          <t>0.9215434782608696</t>
        </is>
      </c>
      <c r="H149" s="15" t="inlineStr">
        <is>
          <t>9069.782608695652</t>
        </is>
      </c>
      <c r="I149" s="16" t="inlineStr">
        <is>
          <t>3.9228260869565226</t>
        </is>
      </c>
      <c r="J149" s="13" t="inlineStr">
        <is>
          <t>fp8</t>
        </is>
      </c>
      <c r="K149" s="13" t="inlineStr">
        <is>
          <t>vllm</t>
        </is>
      </c>
      <c r="L149" s="13" t="inlineStr">
        <is>
          <t>4</t>
        </is>
      </c>
      <c r="M149" s="13" t="inlineStr">
        <is>
          <t>8192</t>
        </is>
      </c>
      <c r="N149" s="13" t="inlineStr">
        <is>
          <t>1024</t>
        </is>
      </c>
      <c r="O149" s="13" t="inlineStr">
        <is>
          <t>agentic_from_long_chat</t>
        </is>
      </c>
      <c r="P149" s="13" t="inlineStr">
        <is>
          <t>dynamic_reasoning_proxy</t>
        </is>
      </c>
      <c r="Q149" s="13" t="inlineStr">
        <is>
          <t>low_target_gap</t>
        </is>
      </c>
      <c r="R149" s="13" t="inlineStr">
        <is>
          <t>2025-10-15T00:00:00.000Z</t>
        </is>
      </c>
      <c r="S14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0">
      <c r="A150" s="13" t="inlineStr">
        <is>
          <t>llama70b</t>
        </is>
      </c>
      <c r="B150" s="13" t="inlineStr">
        <is>
          <t>llama70b</t>
        </is>
      </c>
      <c r="C150" s="13" t="inlineStr">
        <is>
          <t>H200</t>
        </is>
      </c>
      <c r="D150" s="13" t="inlineStr">
        <is>
          <t>agentic</t>
        </is>
      </c>
      <c r="E150" s="13" t="inlineStr">
        <is>
          <t>70</t>
        </is>
      </c>
      <c r="F150" s="13" t="inlineStr">
        <is>
          <t>False</t>
        </is>
      </c>
      <c r="G150" s="14" t="inlineStr">
        <is>
          <t>0.9439596273291926</t>
        </is>
      </c>
      <c r="H150" s="15" t="inlineStr">
        <is>
          <t>9069.782608695652</t>
        </is>
      </c>
      <c r="I150" s="16" t="inlineStr">
        <is>
          <t>3.9228260869565226</t>
        </is>
      </c>
      <c r="J150" s="13" t="inlineStr">
        <is>
          <t>fp8</t>
        </is>
      </c>
      <c r="K150" s="13" t="inlineStr">
        <is>
          <t>vllm</t>
        </is>
      </c>
      <c r="L150" s="13" t="inlineStr">
        <is>
          <t>4</t>
        </is>
      </c>
      <c r="M150" s="13" t="inlineStr">
        <is>
          <t>8192</t>
        </is>
      </c>
      <c r="N150" s="13" t="inlineStr">
        <is>
          <t>1024</t>
        </is>
      </c>
      <c r="O150" s="13" t="inlineStr">
        <is>
          <t>agentic_from_long_chat</t>
        </is>
      </c>
      <c r="P150" s="13" t="inlineStr">
        <is>
          <t>dynamic_reasoning_proxy</t>
        </is>
      </c>
      <c r="Q150" s="13" t="inlineStr">
        <is>
          <t>low_target_gap</t>
        </is>
      </c>
      <c r="R150" s="13" t="inlineStr">
        <is>
          <t>2025-10-15T00:00:00.000Z</t>
        </is>
      </c>
      <c r="S15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1">
      <c r="A151" s="13" t="inlineStr">
        <is>
          <t>llama70b</t>
        </is>
      </c>
      <c r="B151" s="13" t="inlineStr">
        <is>
          <t>llama70b</t>
        </is>
      </c>
      <c r="C151" s="13" t="inlineStr">
        <is>
          <t>H200</t>
        </is>
      </c>
      <c r="D151" s="13" t="inlineStr">
        <is>
          <t>agentic</t>
        </is>
      </c>
      <c r="E151" s="13" t="inlineStr">
        <is>
          <t>100</t>
        </is>
      </c>
      <c r="F151" s="13" t="inlineStr">
        <is>
          <t>False</t>
        </is>
      </c>
      <c r="G151" s="14" t="inlineStr">
        <is>
          <t>0.9607717391304348</t>
        </is>
      </c>
      <c r="H151" s="15" t="inlineStr">
        <is>
          <t>9069.782608695652</t>
        </is>
      </c>
      <c r="I151" s="16" t="inlineStr">
        <is>
          <t>3.9228260869565226</t>
        </is>
      </c>
      <c r="J151" s="13" t="inlineStr">
        <is>
          <t>fp8</t>
        </is>
      </c>
      <c r="K151" s="13" t="inlineStr">
        <is>
          <t>vllm</t>
        </is>
      </c>
      <c r="L151" s="13" t="inlineStr">
        <is>
          <t>4</t>
        </is>
      </c>
      <c r="M151" s="13" t="inlineStr">
        <is>
          <t>8192</t>
        </is>
      </c>
      <c r="N151" s="13" t="inlineStr">
        <is>
          <t>1024</t>
        </is>
      </c>
      <c r="O151" s="13" t="inlineStr">
        <is>
          <t>agentic_from_long_chat</t>
        </is>
      </c>
      <c r="P151" s="13" t="inlineStr">
        <is>
          <t>dynamic_reasoning_proxy</t>
        </is>
      </c>
      <c r="Q151" s="13" t="inlineStr">
        <is>
          <t>low_target_gap</t>
        </is>
      </c>
      <c r="R151" s="13" t="inlineStr">
        <is>
          <t>2025-10-15T00:00:00.000Z</t>
        </is>
      </c>
      <c r="S15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2">
      <c r="A152" s="5" t="inlineStr">
        <is>
          <t>llama70b</t>
        </is>
      </c>
      <c r="B152" s="5" t="inlineStr">
        <is>
          <t>llama70b</t>
        </is>
      </c>
      <c r="C152" s="5" t="inlineStr">
        <is>
          <t>B200</t>
        </is>
      </c>
      <c r="D152" s="5" t="inlineStr">
        <is>
          <t>short</t>
        </is>
      </c>
      <c r="E152" s="5" t="inlineStr">
        <is>
          <t>10</t>
        </is>
      </c>
      <c r="F152" s="5" t="inlineStr">
        <is>
          <t>True</t>
        </is>
      </c>
      <c r="G152" s="6" t="inlineStr">
        <is>
          <t>0.0</t>
        </is>
      </c>
      <c r="H152" s="7" t="inlineStr">
        <is>
          <t>1228515.0</t>
        </is>
      </c>
      <c r="I152" s="8" t="inlineStr">
        <is>
          <t>41.65</t>
        </is>
      </c>
      <c r="J152" s="5" t="inlineStr">
        <is>
          <t>fp8</t>
        </is>
      </c>
      <c r="K152" s="5" t="inlineStr">
        <is>
          <t>vllm</t>
        </is>
      </c>
      <c r="L152" s="5" t="inlineStr">
        <is>
          <t>64</t>
        </is>
      </c>
      <c r="M152" s="5" t="inlineStr">
        <is>
          <t>1024</t>
        </is>
      </c>
      <c r="N152" s="5" t="inlineStr">
        <is>
          <t>1024</t>
        </is>
      </c>
      <c r="O152" s="5" t="inlineStr">
        <is>
          <t>selected_public_max</t>
        </is>
      </c>
      <c r="P152" s="5" t="inlineStr">
        <is>
          <t>direct_target_row</t>
        </is>
      </c>
      <c r="Q152" s="5" t="inlineStr">
        <is>
          <t>medium</t>
        </is>
      </c>
      <c r="R152" s="5" t="inlineStr">
        <is>
          <t>2025-10-23T00:00:00.000Z</t>
        </is>
      </c>
      <c r="S152" s="5" t="inlineStr">
        <is>
          <t>tok_s_user is computed as output_tok_s_gpu/concurrency when source tok_s_user is blank; agentic_derived uses long_chat rows multiplied by the Kimi K2.5 agentic/long ratio.</t>
        </is>
      </c>
    </row>
    <row r="153">
      <c r="A153" s="5" t="inlineStr">
        <is>
          <t>llama70b</t>
        </is>
      </c>
      <c r="B153" s="5" t="inlineStr">
        <is>
          <t>llama70b</t>
        </is>
      </c>
      <c r="C153" s="5" t="inlineStr">
        <is>
          <t>B200</t>
        </is>
      </c>
      <c r="D153" s="5" t="inlineStr">
        <is>
          <t>short</t>
        </is>
      </c>
      <c r="E153" s="5" t="inlineStr">
        <is>
          <t>30</t>
        </is>
      </c>
      <c r="F153" s="5" t="inlineStr">
        <is>
          <t>True</t>
        </is>
      </c>
      <c r="G153" s="6" t="inlineStr">
        <is>
          <t>0.0</t>
        </is>
      </c>
      <c r="H153" s="7" t="inlineStr">
        <is>
          <t>1228515.0</t>
        </is>
      </c>
      <c r="I153" s="8" t="inlineStr">
        <is>
          <t>41.65</t>
        </is>
      </c>
      <c r="J153" s="5" t="inlineStr">
        <is>
          <t>fp8</t>
        </is>
      </c>
      <c r="K153" s="5" t="inlineStr">
        <is>
          <t>vllm</t>
        </is>
      </c>
      <c r="L153" s="5" t="inlineStr">
        <is>
          <t>64</t>
        </is>
      </c>
      <c r="M153" s="5" t="inlineStr">
        <is>
          <t>1024</t>
        </is>
      </c>
      <c r="N153" s="5" t="inlineStr">
        <is>
          <t>1024</t>
        </is>
      </c>
      <c r="O153" s="5" t="inlineStr">
        <is>
          <t>selected_public_max</t>
        </is>
      </c>
      <c r="P153" s="5" t="inlineStr">
        <is>
          <t>direct_target_row</t>
        </is>
      </c>
      <c r="Q153" s="5" t="inlineStr">
        <is>
          <t>medium</t>
        </is>
      </c>
      <c r="R153" s="5" t="inlineStr">
        <is>
          <t>2025-10-23T00:00:00.000Z</t>
        </is>
      </c>
      <c r="S153" s="5" t="inlineStr">
        <is>
          <t>tok_s_user is computed as output_tok_s_gpu/concurrency when source tok_s_user is blank; agentic_derived uses long_chat rows multiplied by the Kimi K2.5 agentic/long ratio.</t>
        </is>
      </c>
    </row>
    <row r="154">
      <c r="A154" s="5" t="inlineStr">
        <is>
          <t>llama70b</t>
        </is>
      </c>
      <c r="B154" s="5" t="inlineStr">
        <is>
          <t>llama70b</t>
        </is>
      </c>
      <c r="C154" s="5" t="inlineStr">
        <is>
          <t>B200</t>
        </is>
      </c>
      <c r="D154" s="5" t="inlineStr">
        <is>
          <t>short</t>
        </is>
      </c>
      <c r="E154" s="5" t="inlineStr">
        <is>
          <t>50</t>
        </is>
      </c>
      <c r="F154" s="5" t="inlineStr">
        <is>
          <t>True</t>
        </is>
      </c>
      <c r="G154" s="6" t="inlineStr">
        <is>
          <t>0.0</t>
        </is>
      </c>
      <c r="H154" s="7" t="inlineStr">
        <is>
          <t>412192.0</t>
        </is>
      </c>
      <c r="I154" s="8" t="inlineStr">
        <is>
          <t>55.9</t>
        </is>
      </c>
      <c r="J154" s="5" t="inlineStr">
        <is>
          <t>fp8</t>
        </is>
      </c>
      <c r="K154" s="5" t="inlineStr">
        <is>
          <t>vllm</t>
        </is>
      </c>
      <c r="L154" s="5" t="inlineStr">
        <is>
          <t>16</t>
        </is>
      </c>
      <c r="M154" s="5" t="inlineStr">
        <is>
          <t>1024</t>
        </is>
      </c>
      <c r="N154" s="5" t="inlineStr">
        <is>
          <t>1024</t>
        </is>
      </c>
      <c r="O154" s="5" t="inlineStr">
        <is>
          <t>selected_public_max</t>
        </is>
      </c>
      <c r="P154" s="5" t="inlineStr">
        <is>
          <t>direct_target_row</t>
        </is>
      </c>
      <c r="Q154" s="5" t="inlineStr">
        <is>
          <t>medium</t>
        </is>
      </c>
      <c r="R154" s="5" t="inlineStr">
        <is>
          <t>2025-10-16T00:00:00.000Z</t>
        </is>
      </c>
      <c r="S154" s="5" t="inlineStr">
        <is>
          <t>tok_s_user is computed as output_tok_s_gpu/concurrency when source tok_s_user is blank; agentic_derived uses long_chat rows multiplied by the Kimi K2.5 agentic/long ratio.</t>
        </is>
      </c>
    </row>
    <row r="155">
      <c r="A155" s="9" t="inlineStr">
        <is>
          <t>llama70b</t>
        </is>
      </c>
      <c r="B155" s="9" t="inlineStr">
        <is>
          <t>llama70b</t>
        </is>
      </c>
      <c r="C155" s="9" t="inlineStr">
        <is>
          <t>B200</t>
        </is>
      </c>
      <c r="D155" s="9" t="inlineStr">
        <is>
          <t>short</t>
        </is>
      </c>
      <c r="E155" s="9" t="inlineStr">
        <is>
          <t>70</t>
        </is>
      </c>
      <c r="F155" s="9" t="inlineStr">
        <is>
          <t>False</t>
        </is>
      </c>
      <c r="G155" s="10" t="inlineStr">
        <is>
          <t>0.20142857142857146</t>
        </is>
      </c>
      <c r="H155" s="11" t="inlineStr">
        <is>
          <t>412192.0</t>
        </is>
      </c>
      <c r="I155" s="12" t="inlineStr">
        <is>
          <t>55.9</t>
        </is>
      </c>
      <c r="J155" s="9" t="inlineStr">
        <is>
          <t>fp8</t>
        </is>
      </c>
      <c r="K155" s="9" t="inlineStr">
        <is>
          <t>vllm</t>
        </is>
      </c>
      <c r="L155" s="9" t="inlineStr">
        <is>
          <t>16</t>
        </is>
      </c>
      <c r="M155" s="9" t="inlineStr">
        <is>
          <t>1024</t>
        </is>
      </c>
      <c r="N155" s="9" t="inlineStr">
        <is>
          <t>1024</t>
        </is>
      </c>
      <c r="O155" s="9" t="inlineStr">
        <is>
          <t>selected_public_max</t>
        </is>
      </c>
      <c r="P155" s="9" t="inlineStr">
        <is>
          <t>best_available_below_target</t>
        </is>
      </c>
      <c r="Q155" s="9" t="inlineStr">
        <is>
          <t>low_target_gap</t>
        </is>
      </c>
      <c r="R155" s="9" t="inlineStr">
        <is>
          <t>2025-10-16T00:00:00.000Z</t>
        </is>
      </c>
      <c r="S155" s="9" t="inlineStr">
        <is>
          <t>tok_s_user is computed as output_tok_s_gpu/concurrency when source tok_s_user is blank; agentic_derived uses long_chat rows multiplied by the Kimi K2.5 agentic/long ratio.</t>
        </is>
      </c>
    </row>
    <row r="156">
      <c r="A156" s="9" t="inlineStr">
        <is>
          <t>llama70b</t>
        </is>
      </c>
      <c r="B156" s="9" t="inlineStr">
        <is>
          <t>llama70b</t>
        </is>
      </c>
      <c r="C156" s="9" t="inlineStr">
        <is>
          <t>B200</t>
        </is>
      </c>
      <c r="D156" s="9" t="inlineStr">
        <is>
          <t>short</t>
        </is>
      </c>
      <c r="E156" s="9" t="inlineStr">
        <is>
          <t>100</t>
        </is>
      </c>
      <c r="F156" s="9" t="inlineStr">
        <is>
          <t>False</t>
        </is>
      </c>
      <c r="G156" s="10" t="inlineStr">
        <is>
          <t>0.441</t>
        </is>
      </c>
      <c r="H156" s="11" t="inlineStr">
        <is>
          <t>412192.0</t>
        </is>
      </c>
      <c r="I156" s="12" t="inlineStr">
        <is>
          <t>55.9</t>
        </is>
      </c>
      <c r="J156" s="9" t="inlineStr">
        <is>
          <t>fp8</t>
        </is>
      </c>
      <c r="K156" s="9" t="inlineStr">
        <is>
          <t>vllm</t>
        </is>
      </c>
      <c r="L156" s="9" t="inlineStr">
        <is>
          <t>16</t>
        </is>
      </c>
      <c r="M156" s="9" t="inlineStr">
        <is>
          <t>1024</t>
        </is>
      </c>
      <c r="N156" s="9" t="inlineStr">
        <is>
          <t>1024</t>
        </is>
      </c>
      <c r="O156" s="9" t="inlineStr">
        <is>
          <t>selected_public_max</t>
        </is>
      </c>
      <c r="P156" s="9" t="inlineStr">
        <is>
          <t>best_available_below_target</t>
        </is>
      </c>
      <c r="Q156" s="9" t="inlineStr">
        <is>
          <t>low_target_gap</t>
        </is>
      </c>
      <c r="R156" s="9" t="inlineStr">
        <is>
          <t>2025-10-16T00:00:00.000Z</t>
        </is>
      </c>
      <c r="S156" s="9" t="inlineStr">
        <is>
          <t>tok_s_user is computed as output_tok_s_gpu/concurrency when source tok_s_user is blank; agentic_derived uses long_chat rows multiplied by the Kimi K2.5 agentic/long ratio.</t>
        </is>
      </c>
    </row>
    <row r="157">
      <c r="A157" s="5" t="inlineStr">
        <is>
          <t>llama70b</t>
        </is>
      </c>
      <c r="B157" s="5" t="inlineStr">
        <is>
          <t>llama70b</t>
        </is>
      </c>
      <c r="C157" s="5" t="inlineStr">
        <is>
          <t>B200</t>
        </is>
      </c>
      <c r="D157" s="5" t="inlineStr">
        <is>
          <t>long</t>
        </is>
      </c>
      <c r="E157" s="5" t="inlineStr">
        <is>
          <t>10</t>
        </is>
      </c>
      <c r="F157" s="5" t="inlineStr">
        <is>
          <t>True</t>
        </is>
      </c>
      <c r="G157" s="6" t="inlineStr">
        <is>
          <t>0.0</t>
        </is>
      </c>
      <c r="H157" s="7" t="inlineStr">
        <is>
          <t>384593.0</t>
        </is>
      </c>
      <c r="I157" s="8" t="inlineStr">
        <is>
          <t>13.04</t>
        </is>
      </c>
      <c r="J157" s="5" t="inlineStr">
        <is>
          <t>fp8</t>
        </is>
      </c>
      <c r="K157" s="5" t="inlineStr">
        <is>
          <t>vllm</t>
        </is>
      </c>
      <c r="L157" s="5" t="inlineStr">
        <is>
          <t>64</t>
        </is>
      </c>
      <c r="M157" s="5" t="inlineStr">
        <is>
          <t>8192</t>
        </is>
      </c>
      <c r="N157" s="5" t="inlineStr">
        <is>
          <t>1024</t>
        </is>
      </c>
      <c r="O157" s="5" t="inlineStr">
        <is>
          <t>selected_public_max</t>
        </is>
      </c>
      <c r="P157" s="5" t="inlineStr">
        <is>
          <t>direct_target_row</t>
        </is>
      </c>
      <c r="Q157" s="5" t="inlineStr">
        <is>
          <t>medium</t>
        </is>
      </c>
      <c r="R157" s="5" t="inlineStr">
        <is>
          <t>2025-10-22T00:00:00.000Z</t>
        </is>
      </c>
      <c r="S157" s="5" t="inlineStr">
        <is>
          <t>tok_s_user is computed as output_tok_s_gpu/concurrency when source tok_s_user is blank; agentic_derived uses long_chat rows multiplied by the Kimi K2.5 agentic/long ratio.</t>
        </is>
      </c>
    </row>
    <row r="158">
      <c r="A158" s="5" t="inlineStr">
        <is>
          <t>llama70b</t>
        </is>
      </c>
      <c r="B158" s="5" t="inlineStr">
        <is>
          <t>llama70b</t>
        </is>
      </c>
      <c r="C158" s="5" t="inlineStr">
        <is>
          <t>B200</t>
        </is>
      </c>
      <c r="D158" s="5" t="inlineStr">
        <is>
          <t>long</t>
        </is>
      </c>
      <c r="E158" s="5" t="inlineStr">
        <is>
          <t>30</t>
        </is>
      </c>
      <c r="F158" s="5" t="inlineStr">
        <is>
          <t>True</t>
        </is>
      </c>
      <c r="G158" s="6" t="inlineStr">
        <is>
          <t>0.0</t>
        </is>
      </c>
      <c r="H158" s="7" t="inlineStr">
        <is>
          <t>247359.0</t>
        </is>
      </c>
      <c r="I158" s="8" t="inlineStr">
        <is>
          <t>33.55</t>
        </is>
      </c>
      <c r="J158" s="5" t="inlineStr">
        <is>
          <t>fp8</t>
        </is>
      </c>
      <c r="K158" s="5" t="inlineStr">
        <is>
          <t>vllm</t>
        </is>
      </c>
      <c r="L158" s="5" t="inlineStr">
        <is>
          <t>16</t>
        </is>
      </c>
      <c r="M158" s="5" t="inlineStr">
        <is>
          <t>8192</t>
        </is>
      </c>
      <c r="N158" s="5" t="inlineStr">
        <is>
          <t>1024</t>
        </is>
      </c>
      <c r="O158" s="5" t="inlineStr">
        <is>
          <t>selected_public_max</t>
        </is>
      </c>
      <c r="P158" s="5" t="inlineStr">
        <is>
          <t>direct_target_row</t>
        </is>
      </c>
      <c r="Q158" s="5" t="inlineStr">
        <is>
          <t>medium</t>
        </is>
      </c>
      <c r="R158" s="5" t="inlineStr">
        <is>
          <t>2025-10-16T00:00:00.000Z</t>
        </is>
      </c>
      <c r="S158" s="5" t="inlineStr">
        <is>
          <t>tok_s_user is computed as output_tok_s_gpu/concurrency when source tok_s_user is blank; agentic_derived uses long_chat rows multiplied by the Kimi K2.5 agentic/long ratio.</t>
        </is>
      </c>
    </row>
    <row r="159">
      <c r="A159" s="5" t="inlineStr">
        <is>
          <t>llama70b</t>
        </is>
      </c>
      <c r="B159" s="5" t="inlineStr">
        <is>
          <t>llama70b</t>
        </is>
      </c>
      <c r="C159" s="5" t="inlineStr">
        <is>
          <t>B200</t>
        </is>
      </c>
      <c r="D159" s="5" t="inlineStr">
        <is>
          <t>long</t>
        </is>
      </c>
      <c r="E159" s="5" t="inlineStr">
        <is>
          <t>50</t>
        </is>
      </c>
      <c r="F159" s="5" t="inlineStr">
        <is>
          <t>True</t>
        </is>
      </c>
      <c r="G159" s="6" t="inlineStr">
        <is>
          <t>0.0</t>
        </is>
      </c>
      <c r="H159" s="7" t="inlineStr">
        <is>
          <t>95773.0</t>
        </is>
      </c>
      <c r="I159" s="8" t="inlineStr">
        <is>
          <t>51.96</t>
        </is>
      </c>
      <c r="J159" s="5" t="inlineStr">
        <is>
          <t>fp8</t>
        </is>
      </c>
      <c r="K159" s="5" t="inlineStr">
        <is>
          <t>vllm</t>
        </is>
      </c>
      <c r="L159" s="5" t="inlineStr">
        <is>
          <t>4</t>
        </is>
      </c>
      <c r="M159" s="5" t="inlineStr">
        <is>
          <t>8192</t>
        </is>
      </c>
      <c r="N159" s="5" t="inlineStr">
        <is>
          <t>1024</t>
        </is>
      </c>
      <c r="O159" s="5" t="inlineStr">
        <is>
          <t>selected_public_max</t>
        </is>
      </c>
      <c r="P159" s="5" t="inlineStr">
        <is>
          <t>direct_target_row</t>
        </is>
      </c>
      <c r="Q159" s="5" t="inlineStr">
        <is>
          <t>medium</t>
        </is>
      </c>
      <c r="R159" s="5" t="inlineStr">
        <is>
          <t>2025-10-21T00:00:00.000Z</t>
        </is>
      </c>
      <c r="S159" s="5" t="inlineStr">
        <is>
          <t>tok_s_user is computed as output_tok_s_gpu/concurrency when source tok_s_user is blank; agentic_derived uses long_chat rows multiplied by the Kimi K2.5 agentic/long ratio.</t>
        </is>
      </c>
    </row>
    <row r="160">
      <c r="A160" s="9" t="inlineStr">
        <is>
          <t>llama70b</t>
        </is>
      </c>
      <c r="B160" s="9" t="inlineStr">
        <is>
          <t>llama70b</t>
        </is>
      </c>
      <c r="C160" s="9" t="inlineStr">
        <is>
          <t>B200</t>
        </is>
      </c>
      <c r="D160" s="9" t="inlineStr">
        <is>
          <t>long</t>
        </is>
      </c>
      <c r="E160" s="9" t="inlineStr">
        <is>
          <t>70</t>
        </is>
      </c>
      <c r="F160" s="9" t="inlineStr">
        <is>
          <t>False</t>
        </is>
      </c>
      <c r="G160" s="10" t="inlineStr">
        <is>
          <t>0.25771428571428573</t>
        </is>
      </c>
      <c r="H160" s="11" t="inlineStr">
        <is>
          <t>95773.0</t>
        </is>
      </c>
      <c r="I160" s="12" t="inlineStr">
        <is>
          <t>51.96</t>
        </is>
      </c>
      <c r="J160" s="9" t="inlineStr">
        <is>
          <t>fp8</t>
        </is>
      </c>
      <c r="K160" s="9" t="inlineStr">
        <is>
          <t>vllm</t>
        </is>
      </c>
      <c r="L160" s="9" t="inlineStr">
        <is>
          <t>4</t>
        </is>
      </c>
      <c r="M160" s="9" t="inlineStr">
        <is>
          <t>8192</t>
        </is>
      </c>
      <c r="N160" s="9" t="inlineStr">
        <is>
          <t>1024</t>
        </is>
      </c>
      <c r="O160" s="9" t="inlineStr">
        <is>
          <t>selected_public_max</t>
        </is>
      </c>
      <c r="P160" s="9" t="inlineStr">
        <is>
          <t>best_available_below_target</t>
        </is>
      </c>
      <c r="Q160" s="9" t="inlineStr">
        <is>
          <t>low_target_gap</t>
        </is>
      </c>
      <c r="R160" s="9" t="inlineStr">
        <is>
          <t>2025-10-21T00:00:00.000Z</t>
        </is>
      </c>
      <c r="S160" s="9" t="inlineStr">
        <is>
          <t>tok_s_user is computed as output_tok_s_gpu/concurrency when source tok_s_user is blank; agentic_derived uses long_chat rows multiplied by the Kimi K2.5 agentic/long ratio.</t>
        </is>
      </c>
    </row>
    <row r="161">
      <c r="A161" s="9" t="inlineStr">
        <is>
          <t>llama70b</t>
        </is>
      </c>
      <c r="B161" s="9" t="inlineStr">
        <is>
          <t>llama70b</t>
        </is>
      </c>
      <c r="C161" s="9" t="inlineStr">
        <is>
          <t>B200</t>
        </is>
      </c>
      <c r="D161" s="9" t="inlineStr">
        <is>
          <t>long</t>
        </is>
      </c>
      <c r="E161" s="9" t="inlineStr">
        <is>
          <t>100</t>
        </is>
      </c>
      <c r="F161" s="9" t="inlineStr">
        <is>
          <t>False</t>
        </is>
      </c>
      <c r="G161" s="10" t="inlineStr">
        <is>
          <t>0.4804</t>
        </is>
      </c>
      <c r="H161" s="11" t="inlineStr">
        <is>
          <t>95773.0</t>
        </is>
      </c>
      <c r="I161" s="12" t="inlineStr">
        <is>
          <t>51.96</t>
        </is>
      </c>
      <c r="J161" s="9" t="inlineStr">
        <is>
          <t>fp8</t>
        </is>
      </c>
      <c r="K161" s="9" t="inlineStr">
        <is>
          <t>vllm</t>
        </is>
      </c>
      <c r="L161" s="9" t="inlineStr">
        <is>
          <t>4</t>
        </is>
      </c>
      <c r="M161" s="9" t="inlineStr">
        <is>
          <t>8192</t>
        </is>
      </c>
      <c r="N161" s="9" t="inlineStr">
        <is>
          <t>1024</t>
        </is>
      </c>
      <c r="O161" s="9" t="inlineStr">
        <is>
          <t>selected_public_max</t>
        </is>
      </c>
      <c r="P161" s="9" t="inlineStr">
        <is>
          <t>best_available_below_target</t>
        </is>
      </c>
      <c r="Q161" s="9" t="inlineStr">
        <is>
          <t>low_target_gap</t>
        </is>
      </c>
      <c r="R161" s="9" t="inlineStr">
        <is>
          <t>2025-10-21T00:00:00.000Z</t>
        </is>
      </c>
      <c r="S161" s="9" t="inlineStr">
        <is>
          <t>tok_s_user is computed as output_tok_s_gpu/concurrency when source tok_s_user is blank; agentic_derived uses long_chat rows multiplied by the Kimi K2.5 agentic/long ratio.</t>
        </is>
      </c>
    </row>
    <row r="162">
      <c r="A162" s="13" t="inlineStr">
        <is>
          <t>llama70b</t>
        </is>
      </c>
      <c r="B162" s="13" t="inlineStr">
        <is>
          <t>llama70b</t>
        </is>
      </c>
      <c r="C162" s="13" t="inlineStr">
        <is>
          <t>B200</t>
        </is>
      </c>
      <c r="D162" s="13" t="inlineStr">
        <is>
          <t>agentic</t>
        </is>
      </c>
      <c r="E162" s="13" t="inlineStr">
        <is>
          <t>10</t>
        </is>
      </c>
      <c r="F162" s="13" t="inlineStr">
        <is>
          <t>False</t>
        </is>
      </c>
      <c r="G162" s="14" t="inlineStr">
        <is>
          <t>0.4352173913043478</t>
        </is>
      </c>
      <c r="H162" s="15" t="inlineStr">
        <is>
          <t>10410.108695652174</t>
        </is>
      </c>
      <c r="I162" s="16" t="inlineStr">
        <is>
          <t>5.647826086956522</t>
        </is>
      </c>
      <c r="J162" s="13" t="inlineStr">
        <is>
          <t>fp8</t>
        </is>
      </c>
      <c r="K162" s="13" t="inlineStr">
        <is>
          <t>vllm</t>
        </is>
      </c>
      <c r="L162" s="13" t="inlineStr">
        <is>
          <t>4</t>
        </is>
      </c>
      <c r="M162" s="13" t="inlineStr">
        <is>
          <t>8192</t>
        </is>
      </c>
      <c r="N162" s="13" t="inlineStr">
        <is>
          <t>1024</t>
        </is>
      </c>
      <c r="O162" s="13" t="inlineStr">
        <is>
          <t>agentic_from_long_chat</t>
        </is>
      </c>
      <c r="P162" s="13" t="inlineStr">
        <is>
          <t>dynamic_reasoning_proxy</t>
        </is>
      </c>
      <c r="Q162" s="13" t="inlineStr">
        <is>
          <t>low_target_gap</t>
        </is>
      </c>
      <c r="R162" s="13" t="inlineStr">
        <is>
          <t>2025-10-21T00:00:00.000Z</t>
        </is>
      </c>
      <c r="S162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3">
      <c r="A163" s="13" t="inlineStr">
        <is>
          <t>llama70b</t>
        </is>
      </c>
      <c r="B163" s="13" t="inlineStr">
        <is>
          <t>llama70b</t>
        </is>
      </c>
      <c r="C163" s="13" t="inlineStr">
        <is>
          <t>B200</t>
        </is>
      </c>
      <c r="D163" s="13" t="inlineStr">
        <is>
          <t>agentic</t>
        </is>
      </c>
      <c r="E163" s="13" t="inlineStr">
        <is>
          <t>30</t>
        </is>
      </c>
      <c r="F163" s="13" t="inlineStr">
        <is>
          <t>False</t>
        </is>
      </c>
      <c r="G163" s="14" t="inlineStr">
        <is>
          <t>0.8117391304347826</t>
        </is>
      </c>
      <c r="H163" s="15" t="inlineStr">
        <is>
          <t>10410.108695652174</t>
        </is>
      </c>
      <c r="I163" s="16" t="inlineStr">
        <is>
          <t>5.647826086956522</t>
        </is>
      </c>
      <c r="J163" s="13" t="inlineStr">
        <is>
          <t>fp8</t>
        </is>
      </c>
      <c r="K163" s="13" t="inlineStr">
        <is>
          <t>vllm</t>
        </is>
      </c>
      <c r="L163" s="13" t="inlineStr">
        <is>
          <t>4</t>
        </is>
      </c>
      <c r="M163" s="13" t="inlineStr">
        <is>
          <t>8192</t>
        </is>
      </c>
      <c r="N163" s="13" t="inlineStr">
        <is>
          <t>1024</t>
        </is>
      </c>
      <c r="O163" s="13" t="inlineStr">
        <is>
          <t>agentic_from_long_chat</t>
        </is>
      </c>
      <c r="P163" s="13" t="inlineStr">
        <is>
          <t>dynamic_reasoning_proxy</t>
        </is>
      </c>
      <c r="Q163" s="13" t="inlineStr">
        <is>
          <t>low_target_gap</t>
        </is>
      </c>
      <c r="R163" s="13" t="inlineStr">
        <is>
          <t>2025-10-21T00:00:00.000Z</t>
        </is>
      </c>
      <c r="S16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4">
      <c r="A164" s="13" t="inlineStr">
        <is>
          <t>llama70b</t>
        </is>
      </c>
      <c r="B164" s="13" t="inlineStr">
        <is>
          <t>llama70b</t>
        </is>
      </c>
      <c r="C164" s="13" t="inlineStr">
        <is>
          <t>B200</t>
        </is>
      </c>
      <c r="D164" s="13" t="inlineStr">
        <is>
          <t>agentic</t>
        </is>
      </c>
      <c r="E164" s="13" t="inlineStr">
        <is>
          <t>50</t>
        </is>
      </c>
      <c r="F164" s="13" t="inlineStr">
        <is>
          <t>False</t>
        </is>
      </c>
      <c r="G164" s="14" t="inlineStr">
        <is>
          <t>0.8870434782608696</t>
        </is>
      </c>
      <c r="H164" s="15" t="inlineStr">
        <is>
          <t>10410.108695652174</t>
        </is>
      </c>
      <c r="I164" s="16" t="inlineStr">
        <is>
          <t>5.647826086956522</t>
        </is>
      </c>
      <c r="J164" s="13" t="inlineStr">
        <is>
          <t>fp8</t>
        </is>
      </c>
      <c r="K164" s="13" t="inlineStr">
        <is>
          <t>vllm</t>
        </is>
      </c>
      <c r="L164" s="13" t="inlineStr">
        <is>
          <t>4</t>
        </is>
      </c>
      <c r="M164" s="13" t="inlineStr">
        <is>
          <t>8192</t>
        </is>
      </c>
      <c r="N164" s="13" t="inlineStr">
        <is>
          <t>1024</t>
        </is>
      </c>
      <c r="O164" s="13" t="inlineStr">
        <is>
          <t>agentic_from_long_chat</t>
        </is>
      </c>
      <c r="P164" s="13" t="inlineStr">
        <is>
          <t>dynamic_reasoning_proxy</t>
        </is>
      </c>
      <c r="Q164" s="13" t="inlineStr">
        <is>
          <t>low_target_gap</t>
        </is>
      </c>
      <c r="R164" s="13" t="inlineStr">
        <is>
          <t>2025-10-21T00:00:00.000Z</t>
        </is>
      </c>
      <c r="S16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5">
      <c r="A165" s="13" t="inlineStr">
        <is>
          <t>llama70b</t>
        </is>
      </c>
      <c r="B165" s="13" t="inlineStr">
        <is>
          <t>llama70b</t>
        </is>
      </c>
      <c r="C165" s="13" t="inlineStr">
        <is>
          <t>B200</t>
        </is>
      </c>
      <c r="D165" s="13" t="inlineStr">
        <is>
          <t>agentic</t>
        </is>
      </c>
      <c r="E165" s="13" t="inlineStr">
        <is>
          <t>70</t>
        </is>
      </c>
      <c r="F165" s="13" t="inlineStr">
        <is>
          <t>False</t>
        </is>
      </c>
      <c r="G165" s="14" t="inlineStr">
        <is>
          <t>0.9193167701863353</t>
        </is>
      </c>
      <c r="H165" s="15" t="inlineStr">
        <is>
          <t>10410.108695652174</t>
        </is>
      </c>
      <c r="I165" s="16" t="inlineStr">
        <is>
          <t>5.647826086956522</t>
        </is>
      </c>
      <c r="J165" s="13" t="inlineStr">
        <is>
          <t>fp8</t>
        </is>
      </c>
      <c r="K165" s="13" t="inlineStr">
        <is>
          <t>vllm</t>
        </is>
      </c>
      <c r="L165" s="13" t="inlineStr">
        <is>
          <t>4</t>
        </is>
      </c>
      <c r="M165" s="13" t="inlineStr">
        <is>
          <t>8192</t>
        </is>
      </c>
      <c r="N165" s="13" t="inlineStr">
        <is>
          <t>1024</t>
        </is>
      </c>
      <c r="O165" s="13" t="inlineStr">
        <is>
          <t>agentic_from_long_chat</t>
        </is>
      </c>
      <c r="P165" s="13" t="inlineStr">
        <is>
          <t>dynamic_reasoning_proxy</t>
        </is>
      </c>
      <c r="Q165" s="13" t="inlineStr">
        <is>
          <t>low_target_gap</t>
        </is>
      </c>
      <c r="R165" s="13" t="inlineStr">
        <is>
          <t>2025-10-21T00:00:00.000Z</t>
        </is>
      </c>
      <c r="S16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6">
      <c r="A166" s="13" t="inlineStr">
        <is>
          <t>llama70b</t>
        </is>
      </c>
      <c r="B166" s="13" t="inlineStr">
        <is>
          <t>llama70b</t>
        </is>
      </c>
      <c r="C166" s="13" t="inlineStr">
        <is>
          <t>B200</t>
        </is>
      </c>
      <c r="D166" s="13" t="inlineStr">
        <is>
          <t>agentic</t>
        </is>
      </c>
      <c r="E166" s="13" t="inlineStr">
        <is>
          <t>100</t>
        </is>
      </c>
      <c r="F166" s="13" t="inlineStr">
        <is>
          <t>False</t>
        </is>
      </c>
      <c r="G166" s="14" t="inlineStr">
        <is>
          <t>0.9435217391304347</t>
        </is>
      </c>
      <c r="H166" s="15" t="inlineStr">
        <is>
          <t>10410.108695652174</t>
        </is>
      </c>
      <c r="I166" s="16" t="inlineStr">
        <is>
          <t>5.647826086956522</t>
        </is>
      </c>
      <c r="J166" s="13" t="inlineStr">
        <is>
          <t>fp8</t>
        </is>
      </c>
      <c r="K166" s="13" t="inlineStr">
        <is>
          <t>vllm</t>
        </is>
      </c>
      <c r="L166" s="13" t="inlineStr">
        <is>
          <t>4</t>
        </is>
      </c>
      <c r="M166" s="13" t="inlineStr">
        <is>
          <t>8192</t>
        </is>
      </c>
      <c r="N166" s="13" t="inlineStr">
        <is>
          <t>1024</t>
        </is>
      </c>
      <c r="O166" s="13" t="inlineStr">
        <is>
          <t>agentic_from_long_chat</t>
        </is>
      </c>
      <c r="P166" s="13" t="inlineStr">
        <is>
          <t>dynamic_reasoning_proxy</t>
        </is>
      </c>
      <c r="Q166" s="13" t="inlineStr">
        <is>
          <t>low_target_gap</t>
        </is>
      </c>
      <c r="R166" s="13" t="inlineStr">
        <is>
          <t>2025-10-21T00:00:00.000Z</t>
        </is>
      </c>
      <c r="S16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7">
      <c r="A167" s="9" t="inlineStr">
        <is>
          <t>llama70b</t>
        </is>
      </c>
      <c r="B167" s="9" t="inlineStr"/>
      <c r="C167" s="9" t="inlineStr">
        <is>
          <t>GB200</t>
        </is>
      </c>
      <c r="D167" s="9" t="inlineStr">
        <is>
          <t>short</t>
        </is>
      </c>
      <c r="E167" s="9" t="inlineStr">
        <is>
          <t>10</t>
        </is>
      </c>
      <c r="F167" s="9" t="inlineStr">
        <is>
          <t>False</t>
        </is>
      </c>
      <c r="G167" s="10" t="inlineStr"/>
      <c r="H167" s="11" t="inlineStr"/>
      <c r="I167" s="12" t="inlineStr"/>
      <c r="J167" s="9" t="inlineStr"/>
      <c r="K167" s="9" t="inlineStr"/>
      <c r="L167" s="9" t="inlineStr"/>
      <c r="M167" s="9" t="inlineStr"/>
      <c r="N167" s="9" t="inlineStr"/>
      <c r="O167" s="9" t="inlineStr">
        <is>
          <t>missing</t>
        </is>
      </c>
      <c r="P167" s="9" t="inlineStr">
        <is>
          <t>no_benchmark_row</t>
        </is>
      </c>
      <c r="Q167" s="9" t="inlineStr">
        <is>
          <t>missing</t>
        </is>
      </c>
      <c r="R167" s="9" t="inlineStr"/>
      <c r="S167" s="9" t="inlineStr">
        <is>
          <t>No model/GPU/workload benchmark row was available.</t>
        </is>
      </c>
    </row>
    <row r="168">
      <c r="A168" s="9" t="inlineStr">
        <is>
          <t>llama70b</t>
        </is>
      </c>
      <c r="B168" s="9" t="inlineStr"/>
      <c r="C168" s="9" t="inlineStr">
        <is>
          <t>GB200</t>
        </is>
      </c>
      <c r="D168" s="9" t="inlineStr">
        <is>
          <t>short</t>
        </is>
      </c>
      <c r="E168" s="9" t="inlineStr">
        <is>
          <t>30</t>
        </is>
      </c>
      <c r="F168" s="9" t="inlineStr">
        <is>
          <t>False</t>
        </is>
      </c>
      <c r="G168" s="10" t="inlineStr"/>
      <c r="H168" s="11" t="inlineStr"/>
      <c r="I168" s="12" t="inlineStr"/>
      <c r="J168" s="9" t="inlineStr"/>
      <c r="K168" s="9" t="inlineStr"/>
      <c r="L168" s="9" t="inlineStr"/>
      <c r="M168" s="9" t="inlineStr"/>
      <c r="N168" s="9" t="inlineStr"/>
      <c r="O168" s="9" t="inlineStr">
        <is>
          <t>missing</t>
        </is>
      </c>
      <c r="P168" s="9" t="inlineStr">
        <is>
          <t>no_benchmark_row</t>
        </is>
      </c>
      <c r="Q168" s="9" t="inlineStr">
        <is>
          <t>missing</t>
        </is>
      </c>
      <c r="R168" s="9" t="inlineStr"/>
      <c r="S168" s="9" t="inlineStr">
        <is>
          <t>No model/GPU/workload benchmark row was available.</t>
        </is>
      </c>
    </row>
    <row r="169">
      <c r="A169" s="9" t="inlineStr">
        <is>
          <t>llama70b</t>
        </is>
      </c>
      <c r="B169" s="9" t="inlineStr"/>
      <c r="C169" s="9" t="inlineStr">
        <is>
          <t>GB200</t>
        </is>
      </c>
      <c r="D169" s="9" t="inlineStr">
        <is>
          <t>short</t>
        </is>
      </c>
      <c r="E169" s="9" t="inlineStr">
        <is>
          <t>50</t>
        </is>
      </c>
      <c r="F169" s="9" t="inlineStr">
        <is>
          <t>False</t>
        </is>
      </c>
      <c r="G169" s="10" t="inlineStr"/>
      <c r="H169" s="11" t="inlineStr"/>
      <c r="I169" s="12" t="inlineStr"/>
      <c r="J169" s="9" t="inlineStr"/>
      <c r="K169" s="9" t="inlineStr"/>
      <c r="L169" s="9" t="inlineStr"/>
      <c r="M169" s="9" t="inlineStr"/>
      <c r="N169" s="9" t="inlineStr"/>
      <c r="O169" s="9" t="inlineStr">
        <is>
          <t>missing</t>
        </is>
      </c>
      <c r="P169" s="9" t="inlineStr">
        <is>
          <t>no_benchmark_row</t>
        </is>
      </c>
      <c r="Q169" s="9" t="inlineStr">
        <is>
          <t>missing</t>
        </is>
      </c>
      <c r="R169" s="9" t="inlineStr"/>
      <c r="S169" s="9" t="inlineStr">
        <is>
          <t>No model/GPU/workload benchmark row was available.</t>
        </is>
      </c>
    </row>
    <row r="170">
      <c r="A170" s="9" t="inlineStr">
        <is>
          <t>llama70b</t>
        </is>
      </c>
      <c r="B170" s="9" t="inlineStr"/>
      <c r="C170" s="9" t="inlineStr">
        <is>
          <t>GB200</t>
        </is>
      </c>
      <c r="D170" s="9" t="inlineStr">
        <is>
          <t>short</t>
        </is>
      </c>
      <c r="E170" s="9" t="inlineStr">
        <is>
          <t>70</t>
        </is>
      </c>
      <c r="F170" s="9" t="inlineStr">
        <is>
          <t>False</t>
        </is>
      </c>
      <c r="G170" s="10" t="inlineStr"/>
      <c r="H170" s="11" t="inlineStr"/>
      <c r="I170" s="12" t="inlineStr"/>
      <c r="J170" s="9" t="inlineStr"/>
      <c r="K170" s="9" t="inlineStr"/>
      <c r="L170" s="9" t="inlineStr"/>
      <c r="M170" s="9" t="inlineStr"/>
      <c r="N170" s="9" t="inlineStr"/>
      <c r="O170" s="9" t="inlineStr">
        <is>
          <t>missing</t>
        </is>
      </c>
      <c r="P170" s="9" t="inlineStr">
        <is>
          <t>no_benchmark_row</t>
        </is>
      </c>
      <c r="Q170" s="9" t="inlineStr">
        <is>
          <t>missing</t>
        </is>
      </c>
      <c r="R170" s="9" t="inlineStr"/>
      <c r="S170" s="9" t="inlineStr">
        <is>
          <t>No model/GPU/workload benchmark row was available.</t>
        </is>
      </c>
    </row>
    <row r="171">
      <c r="A171" s="9" t="inlineStr">
        <is>
          <t>llama70b</t>
        </is>
      </c>
      <c r="B171" s="9" t="inlineStr"/>
      <c r="C171" s="9" t="inlineStr">
        <is>
          <t>GB200</t>
        </is>
      </c>
      <c r="D171" s="9" t="inlineStr">
        <is>
          <t>short</t>
        </is>
      </c>
      <c r="E171" s="9" t="inlineStr">
        <is>
          <t>100</t>
        </is>
      </c>
      <c r="F171" s="9" t="inlineStr">
        <is>
          <t>False</t>
        </is>
      </c>
      <c r="G171" s="10" t="inlineStr"/>
      <c r="H171" s="11" t="inlineStr"/>
      <c r="I171" s="12" t="inlineStr"/>
      <c r="J171" s="9" t="inlineStr"/>
      <c r="K171" s="9" t="inlineStr"/>
      <c r="L171" s="9" t="inlineStr"/>
      <c r="M171" s="9" t="inlineStr"/>
      <c r="N171" s="9" t="inlineStr"/>
      <c r="O171" s="9" t="inlineStr">
        <is>
          <t>missing</t>
        </is>
      </c>
      <c r="P171" s="9" t="inlineStr">
        <is>
          <t>no_benchmark_row</t>
        </is>
      </c>
      <c r="Q171" s="9" t="inlineStr">
        <is>
          <t>missing</t>
        </is>
      </c>
      <c r="R171" s="9" t="inlineStr"/>
      <c r="S171" s="9" t="inlineStr">
        <is>
          <t>No model/GPU/workload benchmark row was available.</t>
        </is>
      </c>
    </row>
    <row r="172">
      <c r="A172" s="9" t="inlineStr">
        <is>
          <t>llama70b</t>
        </is>
      </c>
      <c r="B172" s="9" t="inlineStr"/>
      <c r="C172" s="9" t="inlineStr">
        <is>
          <t>GB200</t>
        </is>
      </c>
      <c r="D172" s="9" t="inlineStr">
        <is>
          <t>long</t>
        </is>
      </c>
      <c r="E172" s="9" t="inlineStr">
        <is>
          <t>10</t>
        </is>
      </c>
      <c r="F172" s="9" t="inlineStr">
        <is>
          <t>False</t>
        </is>
      </c>
      <c r="G172" s="10" t="inlineStr"/>
      <c r="H172" s="11" t="inlineStr"/>
      <c r="I172" s="12" t="inlineStr"/>
      <c r="J172" s="9" t="inlineStr"/>
      <c r="K172" s="9" t="inlineStr"/>
      <c r="L172" s="9" t="inlineStr"/>
      <c r="M172" s="9" t="inlineStr"/>
      <c r="N172" s="9" t="inlineStr"/>
      <c r="O172" s="9" t="inlineStr">
        <is>
          <t>missing</t>
        </is>
      </c>
      <c r="P172" s="9" t="inlineStr">
        <is>
          <t>no_benchmark_row</t>
        </is>
      </c>
      <c r="Q172" s="9" t="inlineStr">
        <is>
          <t>missing</t>
        </is>
      </c>
      <c r="R172" s="9" t="inlineStr"/>
      <c r="S172" s="9" t="inlineStr">
        <is>
          <t>No model/GPU/workload benchmark row was available.</t>
        </is>
      </c>
    </row>
    <row r="173">
      <c r="A173" s="9" t="inlineStr">
        <is>
          <t>llama70b</t>
        </is>
      </c>
      <c r="B173" s="9" t="inlineStr"/>
      <c r="C173" s="9" t="inlineStr">
        <is>
          <t>GB200</t>
        </is>
      </c>
      <c r="D173" s="9" t="inlineStr">
        <is>
          <t>long</t>
        </is>
      </c>
      <c r="E173" s="9" t="inlineStr">
        <is>
          <t>30</t>
        </is>
      </c>
      <c r="F173" s="9" t="inlineStr">
        <is>
          <t>False</t>
        </is>
      </c>
      <c r="G173" s="10" t="inlineStr"/>
      <c r="H173" s="11" t="inlineStr"/>
      <c r="I173" s="12" t="inlineStr"/>
      <c r="J173" s="9" t="inlineStr"/>
      <c r="K173" s="9" t="inlineStr"/>
      <c r="L173" s="9" t="inlineStr"/>
      <c r="M173" s="9" t="inlineStr"/>
      <c r="N173" s="9" t="inlineStr"/>
      <c r="O173" s="9" t="inlineStr">
        <is>
          <t>missing</t>
        </is>
      </c>
      <c r="P173" s="9" t="inlineStr">
        <is>
          <t>no_benchmark_row</t>
        </is>
      </c>
      <c r="Q173" s="9" t="inlineStr">
        <is>
          <t>missing</t>
        </is>
      </c>
      <c r="R173" s="9" t="inlineStr"/>
      <c r="S173" s="9" t="inlineStr">
        <is>
          <t>No model/GPU/workload benchmark row was available.</t>
        </is>
      </c>
    </row>
    <row r="174">
      <c r="A174" s="9" t="inlineStr">
        <is>
          <t>llama70b</t>
        </is>
      </c>
      <c r="B174" s="9" t="inlineStr"/>
      <c r="C174" s="9" t="inlineStr">
        <is>
          <t>GB200</t>
        </is>
      </c>
      <c r="D174" s="9" t="inlineStr">
        <is>
          <t>long</t>
        </is>
      </c>
      <c r="E174" s="9" t="inlineStr">
        <is>
          <t>50</t>
        </is>
      </c>
      <c r="F174" s="9" t="inlineStr">
        <is>
          <t>False</t>
        </is>
      </c>
      <c r="G174" s="10" t="inlineStr"/>
      <c r="H174" s="11" t="inlineStr"/>
      <c r="I174" s="12" t="inlineStr"/>
      <c r="J174" s="9" t="inlineStr"/>
      <c r="K174" s="9" t="inlineStr"/>
      <c r="L174" s="9" t="inlineStr"/>
      <c r="M174" s="9" t="inlineStr"/>
      <c r="N174" s="9" t="inlineStr"/>
      <c r="O174" s="9" t="inlineStr">
        <is>
          <t>missing</t>
        </is>
      </c>
      <c r="P174" s="9" t="inlineStr">
        <is>
          <t>no_benchmark_row</t>
        </is>
      </c>
      <c r="Q174" s="9" t="inlineStr">
        <is>
          <t>missing</t>
        </is>
      </c>
      <c r="R174" s="9" t="inlineStr"/>
      <c r="S174" s="9" t="inlineStr">
        <is>
          <t>No model/GPU/workload benchmark row was available.</t>
        </is>
      </c>
    </row>
    <row r="175">
      <c r="A175" s="9" t="inlineStr">
        <is>
          <t>llama70b</t>
        </is>
      </c>
      <c r="B175" s="9" t="inlineStr"/>
      <c r="C175" s="9" t="inlineStr">
        <is>
          <t>GB200</t>
        </is>
      </c>
      <c r="D175" s="9" t="inlineStr">
        <is>
          <t>long</t>
        </is>
      </c>
      <c r="E175" s="9" t="inlineStr">
        <is>
          <t>70</t>
        </is>
      </c>
      <c r="F175" s="9" t="inlineStr">
        <is>
          <t>False</t>
        </is>
      </c>
      <c r="G175" s="10" t="inlineStr"/>
      <c r="H175" s="11" t="inlineStr"/>
      <c r="I175" s="12" t="inlineStr"/>
      <c r="J175" s="9" t="inlineStr"/>
      <c r="K175" s="9" t="inlineStr"/>
      <c r="L175" s="9" t="inlineStr"/>
      <c r="M175" s="9" t="inlineStr"/>
      <c r="N175" s="9" t="inlineStr"/>
      <c r="O175" s="9" t="inlineStr">
        <is>
          <t>missing</t>
        </is>
      </c>
      <c r="P175" s="9" t="inlineStr">
        <is>
          <t>no_benchmark_row</t>
        </is>
      </c>
      <c r="Q175" s="9" t="inlineStr">
        <is>
          <t>missing</t>
        </is>
      </c>
      <c r="R175" s="9" t="inlineStr"/>
      <c r="S175" s="9" t="inlineStr">
        <is>
          <t>No model/GPU/workload benchmark row was available.</t>
        </is>
      </c>
    </row>
    <row r="176">
      <c r="A176" s="9" t="inlineStr">
        <is>
          <t>llama70b</t>
        </is>
      </c>
      <c r="B176" s="9" t="inlineStr"/>
      <c r="C176" s="9" t="inlineStr">
        <is>
          <t>GB200</t>
        </is>
      </c>
      <c r="D176" s="9" t="inlineStr">
        <is>
          <t>long</t>
        </is>
      </c>
      <c r="E176" s="9" t="inlineStr">
        <is>
          <t>100</t>
        </is>
      </c>
      <c r="F176" s="9" t="inlineStr">
        <is>
          <t>False</t>
        </is>
      </c>
      <c r="G176" s="10" t="inlineStr"/>
      <c r="H176" s="11" t="inlineStr"/>
      <c r="I176" s="12" t="inlineStr"/>
      <c r="J176" s="9" t="inlineStr"/>
      <c r="K176" s="9" t="inlineStr"/>
      <c r="L176" s="9" t="inlineStr"/>
      <c r="M176" s="9" t="inlineStr"/>
      <c r="N176" s="9" t="inlineStr"/>
      <c r="O176" s="9" t="inlineStr">
        <is>
          <t>missing</t>
        </is>
      </c>
      <c r="P176" s="9" t="inlineStr">
        <is>
          <t>no_benchmark_row</t>
        </is>
      </c>
      <c r="Q176" s="9" t="inlineStr">
        <is>
          <t>missing</t>
        </is>
      </c>
      <c r="R176" s="9" t="inlineStr"/>
      <c r="S176" s="9" t="inlineStr">
        <is>
          <t>No model/GPU/workload benchmark row was available.</t>
        </is>
      </c>
    </row>
    <row r="177">
      <c r="A177" s="9" t="inlineStr">
        <is>
          <t>llama70b</t>
        </is>
      </c>
      <c r="B177" s="9" t="inlineStr"/>
      <c r="C177" s="9" t="inlineStr">
        <is>
          <t>GB200</t>
        </is>
      </c>
      <c r="D177" s="9" t="inlineStr">
        <is>
          <t>agentic</t>
        </is>
      </c>
      <c r="E177" s="9" t="inlineStr">
        <is>
          <t>10</t>
        </is>
      </c>
      <c r="F177" s="9" t="inlineStr">
        <is>
          <t>False</t>
        </is>
      </c>
      <c r="G177" s="10" t="inlineStr"/>
      <c r="H177" s="11" t="inlineStr"/>
      <c r="I177" s="12" t="inlineStr"/>
      <c r="J177" s="9" t="inlineStr"/>
      <c r="K177" s="9" t="inlineStr"/>
      <c r="L177" s="9" t="inlineStr"/>
      <c r="M177" s="9" t="inlineStr"/>
      <c r="N177" s="9" t="inlineStr"/>
      <c r="O177" s="9" t="inlineStr">
        <is>
          <t>missing</t>
        </is>
      </c>
      <c r="P177" s="9" t="inlineStr">
        <is>
          <t>no_long_chat_proxy_row</t>
        </is>
      </c>
      <c r="Q177" s="9" t="inlineStr">
        <is>
          <t>missing</t>
        </is>
      </c>
      <c r="R177" s="9" t="inlineStr"/>
      <c r="S177" s="9" t="inlineStr">
        <is>
          <t>Agentic proxy could not be derived because no long-chat benchmark row was available.</t>
        </is>
      </c>
    </row>
    <row r="178">
      <c r="A178" s="9" t="inlineStr">
        <is>
          <t>llama70b</t>
        </is>
      </c>
      <c r="B178" s="9" t="inlineStr"/>
      <c r="C178" s="9" t="inlineStr">
        <is>
          <t>GB200</t>
        </is>
      </c>
      <c r="D178" s="9" t="inlineStr">
        <is>
          <t>agentic</t>
        </is>
      </c>
      <c r="E178" s="9" t="inlineStr">
        <is>
          <t>30</t>
        </is>
      </c>
      <c r="F178" s="9" t="inlineStr">
        <is>
          <t>False</t>
        </is>
      </c>
      <c r="G178" s="10" t="inlineStr"/>
      <c r="H178" s="11" t="inlineStr"/>
      <c r="I178" s="12" t="inlineStr"/>
      <c r="J178" s="9" t="inlineStr"/>
      <c r="K178" s="9" t="inlineStr"/>
      <c r="L178" s="9" t="inlineStr"/>
      <c r="M178" s="9" t="inlineStr"/>
      <c r="N178" s="9" t="inlineStr"/>
      <c r="O178" s="9" t="inlineStr">
        <is>
          <t>missing</t>
        </is>
      </c>
      <c r="P178" s="9" t="inlineStr">
        <is>
          <t>no_long_chat_proxy_row</t>
        </is>
      </c>
      <c r="Q178" s="9" t="inlineStr">
        <is>
          <t>missing</t>
        </is>
      </c>
      <c r="R178" s="9" t="inlineStr"/>
      <c r="S178" s="9" t="inlineStr">
        <is>
          <t>Agentic proxy could not be derived because no long-chat benchmark row was available.</t>
        </is>
      </c>
    </row>
    <row r="179">
      <c r="A179" s="9" t="inlineStr">
        <is>
          <t>llama70b</t>
        </is>
      </c>
      <c r="B179" s="9" t="inlineStr"/>
      <c r="C179" s="9" t="inlineStr">
        <is>
          <t>GB200</t>
        </is>
      </c>
      <c r="D179" s="9" t="inlineStr">
        <is>
          <t>agentic</t>
        </is>
      </c>
      <c r="E179" s="9" t="inlineStr">
        <is>
          <t>50</t>
        </is>
      </c>
      <c r="F179" s="9" t="inlineStr">
        <is>
          <t>False</t>
        </is>
      </c>
      <c r="G179" s="10" t="inlineStr"/>
      <c r="H179" s="11" t="inlineStr"/>
      <c r="I179" s="12" t="inlineStr"/>
      <c r="J179" s="9" t="inlineStr"/>
      <c r="K179" s="9" t="inlineStr"/>
      <c r="L179" s="9" t="inlineStr"/>
      <c r="M179" s="9" t="inlineStr"/>
      <c r="N179" s="9" t="inlineStr"/>
      <c r="O179" s="9" t="inlineStr">
        <is>
          <t>missing</t>
        </is>
      </c>
      <c r="P179" s="9" t="inlineStr">
        <is>
          <t>no_long_chat_proxy_row</t>
        </is>
      </c>
      <c r="Q179" s="9" t="inlineStr">
        <is>
          <t>missing</t>
        </is>
      </c>
      <c r="R179" s="9" t="inlineStr"/>
      <c r="S179" s="9" t="inlineStr">
        <is>
          <t>Agentic proxy could not be derived because no long-chat benchmark row was available.</t>
        </is>
      </c>
    </row>
    <row r="180">
      <c r="A180" s="9" t="inlineStr">
        <is>
          <t>llama70b</t>
        </is>
      </c>
      <c r="B180" s="9" t="inlineStr"/>
      <c r="C180" s="9" t="inlineStr">
        <is>
          <t>GB200</t>
        </is>
      </c>
      <c r="D180" s="9" t="inlineStr">
        <is>
          <t>agentic</t>
        </is>
      </c>
      <c r="E180" s="9" t="inlineStr">
        <is>
          <t>70</t>
        </is>
      </c>
      <c r="F180" s="9" t="inlineStr">
        <is>
          <t>False</t>
        </is>
      </c>
      <c r="G180" s="10" t="inlineStr"/>
      <c r="H180" s="11" t="inlineStr"/>
      <c r="I180" s="12" t="inlineStr"/>
      <c r="J180" s="9" t="inlineStr"/>
      <c r="K180" s="9" t="inlineStr"/>
      <c r="L180" s="9" t="inlineStr"/>
      <c r="M180" s="9" t="inlineStr"/>
      <c r="N180" s="9" t="inlineStr"/>
      <c r="O180" s="9" t="inlineStr">
        <is>
          <t>missing</t>
        </is>
      </c>
      <c r="P180" s="9" t="inlineStr">
        <is>
          <t>no_long_chat_proxy_row</t>
        </is>
      </c>
      <c r="Q180" s="9" t="inlineStr">
        <is>
          <t>missing</t>
        </is>
      </c>
      <c r="R180" s="9" t="inlineStr"/>
      <c r="S180" s="9" t="inlineStr">
        <is>
          <t>Agentic proxy could not be derived because no long-chat benchmark row was available.</t>
        </is>
      </c>
    </row>
    <row r="181">
      <c r="A181" s="9" t="inlineStr">
        <is>
          <t>llama70b</t>
        </is>
      </c>
      <c r="B181" s="9" t="inlineStr"/>
      <c r="C181" s="9" t="inlineStr">
        <is>
          <t>GB200</t>
        </is>
      </c>
      <c r="D181" s="9" t="inlineStr">
        <is>
          <t>agentic</t>
        </is>
      </c>
      <c r="E181" s="9" t="inlineStr">
        <is>
          <t>100</t>
        </is>
      </c>
      <c r="F181" s="9" t="inlineStr">
        <is>
          <t>False</t>
        </is>
      </c>
      <c r="G181" s="10" t="inlineStr"/>
      <c r="H181" s="11" t="inlineStr"/>
      <c r="I181" s="12" t="inlineStr"/>
      <c r="J181" s="9" t="inlineStr"/>
      <c r="K181" s="9" t="inlineStr"/>
      <c r="L181" s="9" t="inlineStr"/>
      <c r="M181" s="9" t="inlineStr"/>
      <c r="N181" s="9" t="inlineStr"/>
      <c r="O181" s="9" t="inlineStr">
        <is>
          <t>missing</t>
        </is>
      </c>
      <c r="P181" s="9" t="inlineStr">
        <is>
          <t>no_long_chat_proxy_row</t>
        </is>
      </c>
      <c r="Q181" s="9" t="inlineStr">
        <is>
          <t>missing</t>
        </is>
      </c>
      <c r="R181" s="9" t="inlineStr"/>
      <c r="S181" s="9" t="inlineStr">
        <is>
          <t>Agentic proxy could not be derived because no long-chat benchmark row was available.</t>
        </is>
      </c>
    </row>
    <row r="182">
      <c r="A182" s="5" t="inlineStr">
        <is>
          <t>qwen3.5</t>
        </is>
      </c>
      <c r="B182" s="5" t="inlineStr">
        <is>
          <t>qwen3.5</t>
        </is>
      </c>
      <c r="C182" s="5" t="inlineStr">
        <is>
          <t>H200</t>
        </is>
      </c>
      <c r="D182" s="5" t="inlineStr">
        <is>
          <t>short</t>
        </is>
      </c>
      <c r="E182" s="5" t="inlineStr">
        <is>
          <t>10</t>
        </is>
      </c>
      <c r="F182" s="5" t="inlineStr">
        <is>
          <t>True</t>
        </is>
      </c>
      <c r="G182" s="6" t="inlineStr">
        <is>
          <t>0.0</t>
        </is>
      </c>
      <c r="H182" s="7" t="inlineStr">
        <is>
          <t>67884.0</t>
        </is>
      </c>
      <c r="I182" s="8" t="inlineStr">
        <is>
          <t>14.68</t>
        </is>
      </c>
      <c r="J182" s="5" t="inlineStr">
        <is>
          <t>fp8</t>
        </is>
      </c>
      <c r="K182" s="5" t="inlineStr">
        <is>
          <t>sglang</t>
        </is>
      </c>
      <c r="L182" s="5" t="inlineStr">
        <is>
          <t>8</t>
        </is>
      </c>
      <c r="M182" s="5" t="inlineStr">
        <is>
          <t>1024</t>
        </is>
      </c>
      <c r="N182" s="5" t="inlineStr">
        <is>
          <t>1024</t>
        </is>
      </c>
      <c r="O182" s="5" t="inlineStr">
        <is>
          <t>selected_public_max</t>
        </is>
      </c>
      <c r="P182" s="5" t="inlineStr">
        <is>
          <t>direct_target_row</t>
        </is>
      </c>
      <c r="Q182" s="5" t="inlineStr">
        <is>
          <t>medium</t>
        </is>
      </c>
      <c r="R182" s="5" t="inlineStr">
        <is>
          <t>2026-05-17T00:00:00.000Z</t>
        </is>
      </c>
      <c r="S182" s="5" t="inlineStr">
        <is>
          <t>tok_s_user is computed as output_tok_s_gpu/concurrency when source tok_s_user is blank; agentic_derived uses long_chat rows multiplied by the Kimi K2.5 agentic/long ratio.</t>
        </is>
      </c>
    </row>
    <row r="183">
      <c r="A183" s="9" t="inlineStr">
        <is>
          <t>qwen3.5</t>
        </is>
      </c>
      <c r="B183" s="9" t="inlineStr">
        <is>
          <t>qwen3.5</t>
        </is>
      </c>
      <c r="C183" s="9" t="inlineStr">
        <is>
          <t>H200</t>
        </is>
      </c>
      <c r="D183" s="9" t="inlineStr">
        <is>
          <t>short</t>
        </is>
      </c>
      <c r="E183" s="9" t="inlineStr">
        <is>
          <t>30</t>
        </is>
      </c>
      <c r="F183" s="9" t="inlineStr">
        <is>
          <t>False</t>
        </is>
      </c>
      <c r="G183" s="10" t="inlineStr">
        <is>
          <t>0.5106666666666667</t>
        </is>
      </c>
      <c r="H183" s="11" t="inlineStr">
        <is>
          <t>67884.0</t>
        </is>
      </c>
      <c r="I183" s="12" t="inlineStr">
        <is>
          <t>14.68</t>
        </is>
      </c>
      <c r="J183" s="9" t="inlineStr">
        <is>
          <t>fp8</t>
        </is>
      </c>
      <c r="K183" s="9" t="inlineStr">
        <is>
          <t>sglang</t>
        </is>
      </c>
      <c r="L183" s="9" t="inlineStr">
        <is>
          <t>8</t>
        </is>
      </c>
      <c r="M183" s="9" t="inlineStr">
        <is>
          <t>1024</t>
        </is>
      </c>
      <c r="N183" s="9" t="inlineStr">
        <is>
          <t>1024</t>
        </is>
      </c>
      <c r="O183" s="9" t="inlineStr">
        <is>
          <t>selected_public_max</t>
        </is>
      </c>
      <c r="P183" s="9" t="inlineStr">
        <is>
          <t>best_available_below_target</t>
        </is>
      </c>
      <c r="Q183" s="9" t="inlineStr">
        <is>
          <t>low_target_gap</t>
        </is>
      </c>
      <c r="R183" s="9" t="inlineStr">
        <is>
          <t>2026-05-17T00:00:00.000Z</t>
        </is>
      </c>
      <c r="S183" s="9" t="inlineStr">
        <is>
          <t>tok_s_user is computed as output_tok_s_gpu/concurrency when source tok_s_user is blank; agentic_derived uses long_chat rows multiplied by the Kimi K2.5 agentic/long ratio.</t>
        </is>
      </c>
    </row>
    <row r="184">
      <c r="A184" s="9" t="inlineStr">
        <is>
          <t>qwen3.5</t>
        </is>
      </c>
      <c r="B184" s="9" t="inlineStr">
        <is>
          <t>qwen3.5</t>
        </is>
      </c>
      <c r="C184" s="9" t="inlineStr">
        <is>
          <t>H200</t>
        </is>
      </c>
      <c r="D184" s="9" t="inlineStr">
        <is>
          <t>short</t>
        </is>
      </c>
      <c r="E184" s="9" t="inlineStr">
        <is>
          <t>50</t>
        </is>
      </c>
      <c r="F184" s="9" t="inlineStr">
        <is>
          <t>False</t>
        </is>
      </c>
      <c r="G184" s="10" t="inlineStr">
        <is>
          <t>0.7064</t>
        </is>
      </c>
      <c r="H184" s="11" t="inlineStr">
        <is>
          <t>67884.0</t>
        </is>
      </c>
      <c r="I184" s="12" t="inlineStr">
        <is>
          <t>14.68</t>
        </is>
      </c>
      <c r="J184" s="9" t="inlineStr">
        <is>
          <t>fp8</t>
        </is>
      </c>
      <c r="K184" s="9" t="inlineStr">
        <is>
          <t>sglang</t>
        </is>
      </c>
      <c r="L184" s="9" t="inlineStr">
        <is>
          <t>8</t>
        </is>
      </c>
      <c r="M184" s="9" t="inlineStr">
        <is>
          <t>1024</t>
        </is>
      </c>
      <c r="N184" s="9" t="inlineStr">
        <is>
          <t>1024</t>
        </is>
      </c>
      <c r="O184" s="9" t="inlineStr">
        <is>
          <t>selected_public_max</t>
        </is>
      </c>
      <c r="P184" s="9" t="inlineStr">
        <is>
          <t>best_available_below_target</t>
        </is>
      </c>
      <c r="Q184" s="9" t="inlineStr">
        <is>
          <t>low_target_gap</t>
        </is>
      </c>
      <c r="R184" s="9" t="inlineStr">
        <is>
          <t>2026-05-17T00:00:00.000Z</t>
        </is>
      </c>
      <c r="S184" s="9" t="inlineStr">
        <is>
          <t>tok_s_user is computed as output_tok_s_gpu/concurrency when source tok_s_user is blank; agentic_derived uses long_chat rows multiplied by the Kimi K2.5 agentic/long ratio.</t>
        </is>
      </c>
    </row>
    <row r="185">
      <c r="A185" s="9" t="inlineStr">
        <is>
          <t>qwen3.5</t>
        </is>
      </c>
      <c r="B185" s="9" t="inlineStr">
        <is>
          <t>qwen3.5</t>
        </is>
      </c>
      <c r="C185" s="9" t="inlineStr">
        <is>
          <t>H200</t>
        </is>
      </c>
      <c r="D185" s="9" t="inlineStr">
        <is>
          <t>short</t>
        </is>
      </c>
      <c r="E185" s="9" t="inlineStr">
        <is>
          <t>70</t>
        </is>
      </c>
      <c r="F185" s="9" t="inlineStr">
        <is>
          <t>False</t>
        </is>
      </c>
      <c r="G185" s="10" t="inlineStr">
        <is>
          <t>0.7902857142857143</t>
        </is>
      </c>
      <c r="H185" s="11" t="inlineStr">
        <is>
          <t>67884.0</t>
        </is>
      </c>
      <c r="I185" s="12" t="inlineStr">
        <is>
          <t>14.68</t>
        </is>
      </c>
      <c r="J185" s="9" t="inlineStr">
        <is>
          <t>fp8</t>
        </is>
      </c>
      <c r="K185" s="9" t="inlineStr">
        <is>
          <t>sglang</t>
        </is>
      </c>
      <c r="L185" s="9" t="inlineStr">
        <is>
          <t>8</t>
        </is>
      </c>
      <c r="M185" s="9" t="inlineStr">
        <is>
          <t>1024</t>
        </is>
      </c>
      <c r="N185" s="9" t="inlineStr">
        <is>
          <t>1024</t>
        </is>
      </c>
      <c r="O185" s="9" t="inlineStr">
        <is>
          <t>selected_public_max</t>
        </is>
      </c>
      <c r="P185" s="9" t="inlineStr">
        <is>
          <t>best_available_below_target</t>
        </is>
      </c>
      <c r="Q185" s="9" t="inlineStr">
        <is>
          <t>low_target_gap</t>
        </is>
      </c>
      <c r="R185" s="9" t="inlineStr">
        <is>
          <t>2026-05-17T00:00:00.000Z</t>
        </is>
      </c>
      <c r="S185" s="9" t="inlineStr">
        <is>
          <t>tok_s_user is computed as output_tok_s_gpu/concurrency when source tok_s_user is blank; agentic_derived uses long_chat rows multiplied by the Kimi K2.5 agentic/long ratio.</t>
        </is>
      </c>
    </row>
    <row r="186">
      <c r="A186" s="9" t="inlineStr">
        <is>
          <t>qwen3.5</t>
        </is>
      </c>
      <c r="B186" s="9" t="inlineStr">
        <is>
          <t>qwen3.5</t>
        </is>
      </c>
      <c r="C186" s="9" t="inlineStr">
        <is>
          <t>H200</t>
        </is>
      </c>
      <c r="D186" s="9" t="inlineStr">
        <is>
          <t>short</t>
        </is>
      </c>
      <c r="E186" s="9" t="inlineStr">
        <is>
          <t>100</t>
        </is>
      </c>
      <c r="F186" s="9" t="inlineStr">
        <is>
          <t>False</t>
        </is>
      </c>
      <c r="G186" s="10" t="inlineStr">
        <is>
          <t>0.8532</t>
        </is>
      </c>
      <c r="H186" s="11" t="inlineStr">
        <is>
          <t>67884.0</t>
        </is>
      </c>
      <c r="I186" s="12" t="inlineStr">
        <is>
          <t>14.68</t>
        </is>
      </c>
      <c r="J186" s="9" t="inlineStr">
        <is>
          <t>fp8</t>
        </is>
      </c>
      <c r="K186" s="9" t="inlineStr">
        <is>
          <t>sglang</t>
        </is>
      </c>
      <c r="L186" s="9" t="inlineStr">
        <is>
          <t>8</t>
        </is>
      </c>
      <c r="M186" s="9" t="inlineStr">
        <is>
          <t>1024</t>
        </is>
      </c>
      <c r="N186" s="9" t="inlineStr">
        <is>
          <t>1024</t>
        </is>
      </c>
      <c r="O186" s="9" t="inlineStr">
        <is>
          <t>selected_public_max</t>
        </is>
      </c>
      <c r="P186" s="9" t="inlineStr">
        <is>
          <t>best_available_below_target</t>
        </is>
      </c>
      <c r="Q186" s="9" t="inlineStr">
        <is>
          <t>low_target_gap</t>
        </is>
      </c>
      <c r="R186" s="9" t="inlineStr">
        <is>
          <t>2026-05-17T00:00:00.000Z</t>
        </is>
      </c>
      <c r="S186" s="9" t="inlineStr">
        <is>
          <t>tok_s_user is computed as output_tok_s_gpu/concurrency when source tok_s_user is blank; agentic_derived uses long_chat rows multiplied by the Kimi K2.5 agentic/long ratio.</t>
        </is>
      </c>
    </row>
    <row r="187">
      <c r="A187" s="5" t="inlineStr">
        <is>
          <t>qwen3.5</t>
        </is>
      </c>
      <c r="B187" s="5" t="inlineStr">
        <is>
          <t>qwen3.5</t>
        </is>
      </c>
      <c r="C187" s="5" t="inlineStr">
        <is>
          <t>H200</t>
        </is>
      </c>
      <c r="D187" s="5" t="inlineStr">
        <is>
          <t>long</t>
        </is>
      </c>
      <c r="E187" s="5" t="inlineStr">
        <is>
          <t>10</t>
        </is>
      </c>
      <c r="F187" s="5" t="inlineStr">
        <is>
          <t>True</t>
        </is>
      </c>
      <c r="G187" s="6" t="inlineStr">
        <is>
          <t>0.0</t>
        </is>
      </c>
      <c r="H187" s="7" t="inlineStr">
        <is>
          <t>53892.0</t>
        </is>
      </c>
      <c r="I187" s="8" t="inlineStr">
        <is>
          <t>11.65</t>
        </is>
      </c>
      <c r="J187" s="5" t="inlineStr">
        <is>
          <t>fp8</t>
        </is>
      </c>
      <c r="K187" s="5" t="inlineStr">
        <is>
          <t>sglang</t>
        </is>
      </c>
      <c r="L187" s="5" t="inlineStr">
        <is>
          <t>8</t>
        </is>
      </c>
      <c r="M187" s="5" t="inlineStr">
        <is>
          <t>8192</t>
        </is>
      </c>
      <c r="N187" s="5" t="inlineStr">
        <is>
          <t>1024</t>
        </is>
      </c>
      <c r="O187" s="5" t="inlineStr">
        <is>
          <t>selected_public_max</t>
        </is>
      </c>
      <c r="P187" s="5" t="inlineStr">
        <is>
          <t>direct_target_row</t>
        </is>
      </c>
      <c r="Q187" s="5" t="inlineStr">
        <is>
          <t>medium</t>
        </is>
      </c>
      <c r="R187" s="5" t="inlineStr">
        <is>
          <t>2026-05-13T00:00:00.000Z</t>
        </is>
      </c>
      <c r="S187" s="5" t="inlineStr">
        <is>
          <t>tok_s_user is computed as output_tok_s_gpu/concurrency when source tok_s_user is blank; agentic_derived uses long_chat rows multiplied by the Kimi K2.5 agentic/long ratio.</t>
        </is>
      </c>
    </row>
    <row r="188">
      <c r="A188" s="9" t="inlineStr">
        <is>
          <t>qwen3.5</t>
        </is>
      </c>
      <c r="B188" s="9" t="inlineStr">
        <is>
          <t>qwen3.5</t>
        </is>
      </c>
      <c r="C188" s="9" t="inlineStr">
        <is>
          <t>H200</t>
        </is>
      </c>
      <c r="D188" s="9" t="inlineStr">
        <is>
          <t>long</t>
        </is>
      </c>
      <c r="E188" s="9" t="inlineStr">
        <is>
          <t>30</t>
        </is>
      </c>
      <c r="F188" s="9" t="inlineStr">
        <is>
          <t>False</t>
        </is>
      </c>
      <c r="G188" s="10" t="inlineStr">
        <is>
          <t>0.6116666666666667</t>
        </is>
      </c>
      <c r="H188" s="11" t="inlineStr">
        <is>
          <t>53892.0</t>
        </is>
      </c>
      <c r="I188" s="12" t="inlineStr">
        <is>
          <t>11.65</t>
        </is>
      </c>
      <c r="J188" s="9" t="inlineStr">
        <is>
          <t>fp8</t>
        </is>
      </c>
      <c r="K188" s="9" t="inlineStr">
        <is>
          <t>sglang</t>
        </is>
      </c>
      <c r="L188" s="9" t="inlineStr">
        <is>
          <t>8</t>
        </is>
      </c>
      <c r="M188" s="9" t="inlineStr">
        <is>
          <t>8192</t>
        </is>
      </c>
      <c r="N188" s="9" t="inlineStr">
        <is>
          <t>1024</t>
        </is>
      </c>
      <c r="O188" s="9" t="inlineStr">
        <is>
          <t>selected_public_max</t>
        </is>
      </c>
      <c r="P188" s="9" t="inlineStr">
        <is>
          <t>best_available_below_target</t>
        </is>
      </c>
      <c r="Q188" s="9" t="inlineStr">
        <is>
          <t>low_target_gap</t>
        </is>
      </c>
      <c r="R188" s="9" t="inlineStr">
        <is>
          <t>2026-05-13T00:00:00.000Z</t>
        </is>
      </c>
      <c r="S188" s="9" t="inlineStr">
        <is>
          <t>tok_s_user is computed as output_tok_s_gpu/concurrency when source tok_s_user is blank; agentic_derived uses long_chat rows multiplied by the Kimi K2.5 agentic/long ratio.</t>
        </is>
      </c>
    </row>
    <row r="189">
      <c r="A189" s="9" t="inlineStr">
        <is>
          <t>qwen3.5</t>
        </is>
      </c>
      <c r="B189" s="9" t="inlineStr">
        <is>
          <t>qwen3.5</t>
        </is>
      </c>
      <c r="C189" s="9" t="inlineStr">
        <is>
          <t>H200</t>
        </is>
      </c>
      <c r="D189" s="9" t="inlineStr">
        <is>
          <t>long</t>
        </is>
      </c>
      <c r="E189" s="9" t="inlineStr">
        <is>
          <t>50</t>
        </is>
      </c>
      <c r="F189" s="9" t="inlineStr">
        <is>
          <t>False</t>
        </is>
      </c>
      <c r="G189" s="10" t="inlineStr">
        <is>
          <t>0.767</t>
        </is>
      </c>
      <c r="H189" s="11" t="inlineStr">
        <is>
          <t>53892.0</t>
        </is>
      </c>
      <c r="I189" s="12" t="inlineStr">
        <is>
          <t>11.65</t>
        </is>
      </c>
      <c r="J189" s="9" t="inlineStr">
        <is>
          <t>fp8</t>
        </is>
      </c>
      <c r="K189" s="9" t="inlineStr">
        <is>
          <t>sglang</t>
        </is>
      </c>
      <c r="L189" s="9" t="inlineStr">
        <is>
          <t>8</t>
        </is>
      </c>
      <c r="M189" s="9" t="inlineStr">
        <is>
          <t>8192</t>
        </is>
      </c>
      <c r="N189" s="9" t="inlineStr">
        <is>
          <t>1024</t>
        </is>
      </c>
      <c r="O189" s="9" t="inlineStr">
        <is>
          <t>selected_public_max</t>
        </is>
      </c>
      <c r="P189" s="9" t="inlineStr">
        <is>
          <t>best_available_below_target</t>
        </is>
      </c>
      <c r="Q189" s="9" t="inlineStr">
        <is>
          <t>low_target_gap</t>
        </is>
      </c>
      <c r="R189" s="9" t="inlineStr">
        <is>
          <t>2026-05-13T00:00:00.000Z</t>
        </is>
      </c>
      <c r="S189" s="9" t="inlineStr">
        <is>
          <t>tok_s_user is computed as output_tok_s_gpu/concurrency when source tok_s_user is blank; agentic_derived uses long_chat rows multiplied by the Kimi K2.5 agentic/long ratio.</t>
        </is>
      </c>
    </row>
    <row r="190">
      <c r="A190" s="9" t="inlineStr">
        <is>
          <t>qwen3.5</t>
        </is>
      </c>
      <c r="B190" s="9" t="inlineStr">
        <is>
          <t>qwen3.5</t>
        </is>
      </c>
      <c r="C190" s="9" t="inlineStr">
        <is>
          <t>H200</t>
        </is>
      </c>
      <c r="D190" s="9" t="inlineStr">
        <is>
          <t>long</t>
        </is>
      </c>
      <c r="E190" s="9" t="inlineStr">
        <is>
          <t>70</t>
        </is>
      </c>
      <c r="F190" s="9" t="inlineStr">
        <is>
          <t>False</t>
        </is>
      </c>
      <c r="G190" s="10" t="inlineStr">
        <is>
          <t>0.8335714285714286</t>
        </is>
      </c>
      <c r="H190" s="11" t="inlineStr">
        <is>
          <t>53892.0</t>
        </is>
      </c>
      <c r="I190" s="12" t="inlineStr">
        <is>
          <t>11.65</t>
        </is>
      </c>
      <c r="J190" s="9" t="inlineStr">
        <is>
          <t>fp8</t>
        </is>
      </c>
      <c r="K190" s="9" t="inlineStr">
        <is>
          <t>sglang</t>
        </is>
      </c>
      <c r="L190" s="9" t="inlineStr">
        <is>
          <t>8</t>
        </is>
      </c>
      <c r="M190" s="9" t="inlineStr">
        <is>
          <t>8192</t>
        </is>
      </c>
      <c r="N190" s="9" t="inlineStr">
        <is>
          <t>1024</t>
        </is>
      </c>
      <c r="O190" s="9" t="inlineStr">
        <is>
          <t>selected_public_max</t>
        </is>
      </c>
      <c r="P190" s="9" t="inlineStr">
        <is>
          <t>best_available_below_target</t>
        </is>
      </c>
      <c r="Q190" s="9" t="inlineStr">
        <is>
          <t>low_target_gap</t>
        </is>
      </c>
      <c r="R190" s="9" t="inlineStr">
        <is>
          <t>2026-05-13T00:00:00.000Z</t>
        </is>
      </c>
      <c r="S190" s="9" t="inlineStr">
        <is>
          <t>tok_s_user is computed as output_tok_s_gpu/concurrency when source tok_s_user is blank; agentic_derived uses long_chat rows multiplied by the Kimi K2.5 agentic/long ratio.</t>
        </is>
      </c>
    </row>
    <row r="191">
      <c r="A191" s="9" t="inlineStr">
        <is>
          <t>qwen3.5</t>
        </is>
      </c>
      <c r="B191" s="9" t="inlineStr">
        <is>
          <t>qwen3.5</t>
        </is>
      </c>
      <c r="C191" s="9" t="inlineStr">
        <is>
          <t>H200</t>
        </is>
      </c>
      <c r="D191" s="9" t="inlineStr">
        <is>
          <t>long</t>
        </is>
      </c>
      <c r="E191" s="9" t="inlineStr">
        <is>
          <t>100</t>
        </is>
      </c>
      <c r="F191" s="9" t="inlineStr">
        <is>
          <t>False</t>
        </is>
      </c>
      <c r="G191" s="10" t="inlineStr">
        <is>
          <t>0.8835</t>
        </is>
      </c>
      <c r="H191" s="11" t="inlineStr">
        <is>
          <t>53892.0</t>
        </is>
      </c>
      <c r="I191" s="12" t="inlineStr">
        <is>
          <t>11.65</t>
        </is>
      </c>
      <c r="J191" s="9" t="inlineStr">
        <is>
          <t>fp8</t>
        </is>
      </c>
      <c r="K191" s="9" t="inlineStr">
        <is>
          <t>sglang</t>
        </is>
      </c>
      <c r="L191" s="9" t="inlineStr">
        <is>
          <t>8</t>
        </is>
      </c>
      <c r="M191" s="9" t="inlineStr">
        <is>
          <t>8192</t>
        </is>
      </c>
      <c r="N191" s="9" t="inlineStr">
        <is>
          <t>1024</t>
        </is>
      </c>
      <c r="O191" s="9" t="inlineStr">
        <is>
          <t>selected_public_max</t>
        </is>
      </c>
      <c r="P191" s="9" t="inlineStr">
        <is>
          <t>best_available_below_target</t>
        </is>
      </c>
      <c r="Q191" s="9" t="inlineStr">
        <is>
          <t>low_target_gap</t>
        </is>
      </c>
      <c r="R191" s="9" t="inlineStr">
        <is>
          <t>2026-05-13T00:00:00.000Z</t>
        </is>
      </c>
      <c r="S191" s="9" t="inlineStr">
        <is>
          <t>tok_s_user is computed as output_tok_s_gpu/concurrency when source tok_s_user is blank; agentic_derived uses long_chat rows multiplied by the Kimi K2.5 agentic/long ratio.</t>
        </is>
      </c>
    </row>
    <row r="192">
      <c r="A192" s="13" t="inlineStr">
        <is>
          <t>qwen3.5</t>
        </is>
      </c>
      <c r="B192" s="13" t="inlineStr">
        <is>
          <t>qwen3.5</t>
        </is>
      </c>
      <c r="C192" s="13" t="inlineStr">
        <is>
          <t>H200</t>
        </is>
      </c>
      <c r="D192" s="13" t="inlineStr">
        <is>
          <t>agentic</t>
        </is>
      </c>
      <c r="E192" s="13" t="inlineStr">
        <is>
          <t>10</t>
        </is>
      </c>
      <c r="F192" s="13" t="inlineStr">
        <is>
          <t>False</t>
        </is>
      </c>
      <c r="G192" s="14" t="inlineStr">
        <is>
          <t>0.8733695652173912</t>
        </is>
      </c>
      <c r="H192" s="15" t="inlineStr">
        <is>
          <t>5857.826086956522</t>
        </is>
      </c>
      <c r="I192" s="16" t="inlineStr">
        <is>
          <t>1.2663043478260871</t>
        </is>
      </c>
      <c r="J192" s="13" t="inlineStr">
        <is>
          <t>fp8</t>
        </is>
      </c>
      <c r="K192" s="13" t="inlineStr">
        <is>
          <t>sglang</t>
        </is>
      </c>
      <c r="L192" s="13" t="inlineStr">
        <is>
          <t>8</t>
        </is>
      </c>
      <c r="M192" s="13" t="inlineStr">
        <is>
          <t>8192</t>
        </is>
      </c>
      <c r="N192" s="13" t="inlineStr">
        <is>
          <t>1024</t>
        </is>
      </c>
      <c r="O192" s="13" t="inlineStr">
        <is>
          <t>agentic_from_long_chat</t>
        </is>
      </c>
      <c r="P192" s="13" t="inlineStr">
        <is>
          <t>dynamic_reasoning_proxy</t>
        </is>
      </c>
      <c r="Q192" s="13" t="inlineStr">
        <is>
          <t>low_target_gap</t>
        </is>
      </c>
      <c r="R192" s="13" t="inlineStr">
        <is>
          <t>2026-05-13T00:00:00.000Z</t>
        </is>
      </c>
      <c r="S192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3">
      <c r="A193" s="13" t="inlineStr">
        <is>
          <t>qwen3.5</t>
        </is>
      </c>
      <c r="B193" s="13" t="inlineStr">
        <is>
          <t>qwen3.5</t>
        </is>
      </c>
      <c r="C193" s="13" t="inlineStr">
        <is>
          <t>H200</t>
        </is>
      </c>
      <c r="D193" s="13" t="inlineStr">
        <is>
          <t>agentic</t>
        </is>
      </c>
      <c r="E193" s="13" t="inlineStr">
        <is>
          <t>30</t>
        </is>
      </c>
      <c r="F193" s="13" t="inlineStr">
        <is>
          <t>False</t>
        </is>
      </c>
      <c r="G193" s="14" t="inlineStr">
        <is>
          <t>0.9577898550724638</t>
        </is>
      </c>
      <c r="H193" s="15" t="inlineStr">
        <is>
          <t>5857.826086956522</t>
        </is>
      </c>
      <c r="I193" s="16" t="inlineStr">
        <is>
          <t>1.2663043478260871</t>
        </is>
      </c>
      <c r="J193" s="13" t="inlineStr">
        <is>
          <t>fp8</t>
        </is>
      </c>
      <c r="K193" s="13" t="inlineStr">
        <is>
          <t>sglang</t>
        </is>
      </c>
      <c r="L193" s="13" t="inlineStr">
        <is>
          <t>8</t>
        </is>
      </c>
      <c r="M193" s="13" t="inlineStr">
        <is>
          <t>8192</t>
        </is>
      </c>
      <c r="N193" s="13" t="inlineStr">
        <is>
          <t>1024</t>
        </is>
      </c>
      <c r="O193" s="13" t="inlineStr">
        <is>
          <t>agentic_from_long_chat</t>
        </is>
      </c>
      <c r="P193" s="13" t="inlineStr">
        <is>
          <t>dynamic_reasoning_proxy</t>
        </is>
      </c>
      <c r="Q193" s="13" t="inlineStr">
        <is>
          <t>low_target_gap</t>
        </is>
      </c>
      <c r="R193" s="13" t="inlineStr">
        <is>
          <t>2026-05-13T00:00:00.000Z</t>
        </is>
      </c>
      <c r="S19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4">
      <c r="A194" s="13" t="inlineStr">
        <is>
          <t>qwen3.5</t>
        </is>
      </c>
      <c r="B194" s="13" t="inlineStr">
        <is>
          <t>qwen3.5</t>
        </is>
      </c>
      <c r="C194" s="13" t="inlineStr">
        <is>
          <t>H200</t>
        </is>
      </c>
      <c r="D194" s="13" t="inlineStr">
        <is>
          <t>agentic</t>
        </is>
      </c>
      <c r="E194" s="13" t="inlineStr">
        <is>
          <t>50</t>
        </is>
      </c>
      <c r="F194" s="13" t="inlineStr">
        <is>
          <t>False</t>
        </is>
      </c>
      <c r="G194" s="14" t="inlineStr">
        <is>
          <t>0.9746739130434783</t>
        </is>
      </c>
      <c r="H194" s="15" t="inlineStr">
        <is>
          <t>5857.826086956522</t>
        </is>
      </c>
      <c r="I194" s="16" t="inlineStr">
        <is>
          <t>1.2663043478260871</t>
        </is>
      </c>
      <c r="J194" s="13" t="inlineStr">
        <is>
          <t>fp8</t>
        </is>
      </c>
      <c r="K194" s="13" t="inlineStr">
        <is>
          <t>sglang</t>
        </is>
      </c>
      <c r="L194" s="13" t="inlineStr">
        <is>
          <t>8</t>
        </is>
      </c>
      <c r="M194" s="13" t="inlineStr">
        <is>
          <t>8192</t>
        </is>
      </c>
      <c r="N194" s="13" t="inlineStr">
        <is>
          <t>1024</t>
        </is>
      </c>
      <c r="O194" s="13" t="inlineStr">
        <is>
          <t>agentic_from_long_chat</t>
        </is>
      </c>
      <c r="P194" s="13" t="inlineStr">
        <is>
          <t>dynamic_reasoning_proxy</t>
        </is>
      </c>
      <c r="Q194" s="13" t="inlineStr">
        <is>
          <t>low_target_gap</t>
        </is>
      </c>
      <c r="R194" s="13" t="inlineStr">
        <is>
          <t>2026-05-13T00:00:00.000Z</t>
        </is>
      </c>
      <c r="S19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5">
      <c r="A195" s="13" t="inlineStr">
        <is>
          <t>qwen3.5</t>
        </is>
      </c>
      <c r="B195" s="13" t="inlineStr">
        <is>
          <t>qwen3.5</t>
        </is>
      </c>
      <c r="C195" s="13" t="inlineStr">
        <is>
          <t>H200</t>
        </is>
      </c>
      <c r="D195" s="13" t="inlineStr">
        <is>
          <t>agentic</t>
        </is>
      </c>
      <c r="E195" s="13" t="inlineStr">
        <is>
          <t>70</t>
        </is>
      </c>
      <c r="F195" s="13" t="inlineStr">
        <is>
          <t>False</t>
        </is>
      </c>
      <c r="G195" s="14" t="inlineStr">
        <is>
          <t>0.9819099378881987</t>
        </is>
      </c>
      <c r="H195" s="15" t="inlineStr">
        <is>
          <t>5857.826086956522</t>
        </is>
      </c>
      <c r="I195" s="16" t="inlineStr">
        <is>
          <t>1.2663043478260871</t>
        </is>
      </c>
      <c r="J195" s="13" t="inlineStr">
        <is>
          <t>fp8</t>
        </is>
      </c>
      <c r="K195" s="13" t="inlineStr">
        <is>
          <t>sglang</t>
        </is>
      </c>
      <c r="L195" s="13" t="inlineStr">
        <is>
          <t>8</t>
        </is>
      </c>
      <c r="M195" s="13" t="inlineStr">
        <is>
          <t>8192</t>
        </is>
      </c>
      <c r="N195" s="13" t="inlineStr">
        <is>
          <t>1024</t>
        </is>
      </c>
      <c r="O195" s="13" t="inlineStr">
        <is>
          <t>agentic_from_long_chat</t>
        </is>
      </c>
      <c r="P195" s="13" t="inlineStr">
        <is>
          <t>dynamic_reasoning_proxy</t>
        </is>
      </c>
      <c r="Q195" s="13" t="inlineStr">
        <is>
          <t>low_target_gap</t>
        </is>
      </c>
      <c r="R195" s="13" t="inlineStr">
        <is>
          <t>2026-05-13T00:00:00.000Z</t>
        </is>
      </c>
      <c r="S19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6">
      <c r="A196" s="13" t="inlineStr">
        <is>
          <t>qwen3.5</t>
        </is>
      </c>
      <c r="B196" s="13" t="inlineStr">
        <is>
          <t>qwen3.5</t>
        </is>
      </c>
      <c r="C196" s="13" t="inlineStr">
        <is>
          <t>H200</t>
        </is>
      </c>
      <c r="D196" s="13" t="inlineStr">
        <is>
          <t>agentic</t>
        </is>
      </c>
      <c r="E196" s="13" t="inlineStr">
        <is>
          <t>100</t>
        </is>
      </c>
      <c r="F196" s="13" t="inlineStr">
        <is>
          <t>False</t>
        </is>
      </c>
      <c r="G196" s="14" t="inlineStr">
        <is>
          <t>0.987336956521739</t>
        </is>
      </c>
      <c r="H196" s="15" t="inlineStr">
        <is>
          <t>5857.826086956522</t>
        </is>
      </c>
      <c r="I196" s="16" t="inlineStr">
        <is>
          <t>1.2663043478260871</t>
        </is>
      </c>
      <c r="J196" s="13" t="inlineStr">
        <is>
          <t>fp8</t>
        </is>
      </c>
      <c r="K196" s="13" t="inlineStr">
        <is>
          <t>sglang</t>
        </is>
      </c>
      <c r="L196" s="13" t="inlineStr">
        <is>
          <t>8</t>
        </is>
      </c>
      <c r="M196" s="13" t="inlineStr">
        <is>
          <t>8192</t>
        </is>
      </c>
      <c r="N196" s="13" t="inlineStr">
        <is>
          <t>1024</t>
        </is>
      </c>
      <c r="O196" s="13" t="inlineStr">
        <is>
          <t>agentic_from_long_chat</t>
        </is>
      </c>
      <c r="P196" s="13" t="inlineStr">
        <is>
          <t>dynamic_reasoning_proxy</t>
        </is>
      </c>
      <c r="Q196" s="13" t="inlineStr">
        <is>
          <t>low_target_gap</t>
        </is>
      </c>
      <c r="R196" s="13" t="inlineStr">
        <is>
          <t>2026-05-13T00:00:00.000Z</t>
        </is>
      </c>
      <c r="S19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7">
      <c r="A197" s="5" t="inlineStr">
        <is>
          <t>qwen3.5</t>
        </is>
      </c>
      <c r="B197" s="5" t="inlineStr">
        <is>
          <t>qwen3.5</t>
        </is>
      </c>
      <c r="C197" s="5" t="inlineStr">
        <is>
          <t>B200</t>
        </is>
      </c>
      <c r="D197" s="5" t="inlineStr">
        <is>
          <t>short</t>
        </is>
      </c>
      <c r="E197" s="5" t="inlineStr">
        <is>
          <t>10</t>
        </is>
      </c>
      <c r="F197" s="5" t="inlineStr">
        <is>
          <t>True</t>
        </is>
      </c>
      <c r="G197" s="6" t="inlineStr">
        <is>
          <t>0.0</t>
        </is>
      </c>
      <c r="H197" s="7" t="inlineStr">
        <is>
          <t>806272.0</t>
        </is>
      </c>
      <c r="I197" s="8" t="inlineStr">
        <is>
          <t>13.67</t>
        </is>
      </c>
      <c r="J197" s="5" t="inlineStr">
        <is>
          <t>fp8</t>
        </is>
      </c>
      <c r="K197" s="5" t="inlineStr">
        <is>
          <t>sglang</t>
        </is>
      </c>
      <c r="L197" s="5" t="inlineStr">
        <is>
          <t>128</t>
        </is>
      </c>
      <c r="M197" s="5" t="inlineStr">
        <is>
          <t>1024</t>
        </is>
      </c>
      <c r="N197" s="5" t="inlineStr">
        <is>
          <t>1024</t>
        </is>
      </c>
      <c r="O197" s="5" t="inlineStr">
        <is>
          <t>selected_public_max</t>
        </is>
      </c>
      <c r="P197" s="5" t="inlineStr">
        <is>
          <t>direct_target_row</t>
        </is>
      </c>
      <c r="Q197" s="5" t="inlineStr">
        <is>
          <t>medium</t>
        </is>
      </c>
      <c r="R197" s="5" t="inlineStr">
        <is>
          <t>2026-05-18T00:00:00.000Z</t>
        </is>
      </c>
      <c r="S197" s="5" t="inlineStr">
        <is>
          <t>tok_s_user is computed as output_tok_s_gpu/concurrency when source tok_s_user is blank; agentic_derived uses long_chat rows multiplied by the Kimi K2.5 agentic/long ratio.</t>
        </is>
      </c>
    </row>
    <row r="198">
      <c r="A198" s="5" t="inlineStr">
        <is>
          <t>qwen3.5</t>
        </is>
      </c>
      <c r="B198" s="5" t="inlineStr">
        <is>
          <t>qwen3.5</t>
        </is>
      </c>
      <c r="C198" s="5" t="inlineStr">
        <is>
          <t>B200</t>
        </is>
      </c>
      <c r="D198" s="5" t="inlineStr">
        <is>
          <t>short</t>
        </is>
      </c>
      <c r="E198" s="5" t="inlineStr">
        <is>
          <t>30</t>
        </is>
      </c>
      <c r="F198" s="5" t="inlineStr">
        <is>
          <t>True</t>
        </is>
      </c>
      <c r="G198" s="6" t="inlineStr">
        <is>
          <t>0.0</t>
        </is>
      </c>
      <c r="H198" s="7" t="inlineStr">
        <is>
          <t>229498.0</t>
        </is>
      </c>
      <c r="I198" s="8" t="inlineStr">
        <is>
          <t>31.13</t>
        </is>
      </c>
      <c r="J198" s="5" t="inlineStr">
        <is>
          <t>fp8</t>
        </is>
      </c>
      <c r="K198" s="5" t="inlineStr">
        <is>
          <t>sglang</t>
        </is>
      </c>
      <c r="L198" s="5" t="inlineStr">
        <is>
          <t>16</t>
        </is>
      </c>
      <c r="M198" s="5" t="inlineStr">
        <is>
          <t>1024</t>
        </is>
      </c>
      <c r="N198" s="5" t="inlineStr">
        <is>
          <t>1024</t>
        </is>
      </c>
      <c r="O198" s="5" t="inlineStr">
        <is>
          <t>selected_public_max</t>
        </is>
      </c>
      <c r="P198" s="5" t="inlineStr">
        <is>
          <t>direct_target_row</t>
        </is>
      </c>
      <c r="Q198" s="5" t="inlineStr">
        <is>
          <t>medium</t>
        </is>
      </c>
      <c r="R198" s="5" t="inlineStr">
        <is>
          <t>2026-05-18T00:00:00.000Z</t>
        </is>
      </c>
      <c r="S198" s="5" t="inlineStr">
        <is>
          <t>tok_s_user is computed as output_tok_s_gpu/concurrency when source tok_s_user is blank; agentic_derived uses long_chat rows multiplied by the Kimi K2.5 agentic/long ratio.</t>
        </is>
      </c>
    </row>
    <row r="199">
      <c r="A199" s="9" t="inlineStr">
        <is>
          <t>qwen3.5</t>
        </is>
      </c>
      <c r="B199" s="9" t="inlineStr">
        <is>
          <t>qwen3.5</t>
        </is>
      </c>
      <c r="C199" s="9" t="inlineStr">
        <is>
          <t>B200</t>
        </is>
      </c>
      <c r="D199" s="9" t="inlineStr">
        <is>
          <t>short</t>
        </is>
      </c>
      <c r="E199" s="9" t="inlineStr">
        <is>
          <t>50</t>
        </is>
      </c>
      <c r="F199" s="9" t="inlineStr">
        <is>
          <t>False</t>
        </is>
      </c>
      <c r="G199" s="10" t="inlineStr">
        <is>
          <t>0.3774</t>
        </is>
      </c>
      <c r="H199" s="11" t="inlineStr">
        <is>
          <t>229498.0</t>
        </is>
      </c>
      <c r="I199" s="12" t="inlineStr">
        <is>
          <t>31.13</t>
        </is>
      </c>
      <c r="J199" s="9" t="inlineStr">
        <is>
          <t>fp8</t>
        </is>
      </c>
      <c r="K199" s="9" t="inlineStr">
        <is>
          <t>sglang</t>
        </is>
      </c>
      <c r="L199" s="9" t="inlineStr">
        <is>
          <t>16</t>
        </is>
      </c>
      <c r="M199" s="9" t="inlineStr">
        <is>
          <t>1024</t>
        </is>
      </c>
      <c r="N199" s="9" t="inlineStr">
        <is>
          <t>1024</t>
        </is>
      </c>
      <c r="O199" s="9" t="inlineStr">
        <is>
          <t>selected_public_max</t>
        </is>
      </c>
      <c r="P199" s="9" t="inlineStr">
        <is>
          <t>best_available_below_target</t>
        </is>
      </c>
      <c r="Q199" s="9" t="inlineStr">
        <is>
          <t>low_target_gap</t>
        </is>
      </c>
      <c r="R199" s="9" t="inlineStr">
        <is>
          <t>2026-05-18T00:00:00.000Z</t>
        </is>
      </c>
      <c r="S199" s="9" t="inlineStr">
        <is>
          <t>tok_s_user is computed as output_tok_s_gpu/concurrency when source tok_s_user is blank; agentic_derived uses long_chat rows multiplied by the Kimi K2.5 agentic/long ratio.</t>
        </is>
      </c>
    </row>
    <row r="200">
      <c r="A200" s="9" t="inlineStr">
        <is>
          <t>qwen3.5</t>
        </is>
      </c>
      <c r="B200" s="9" t="inlineStr">
        <is>
          <t>qwen3.5</t>
        </is>
      </c>
      <c r="C200" s="9" t="inlineStr">
        <is>
          <t>B200</t>
        </is>
      </c>
      <c r="D200" s="9" t="inlineStr">
        <is>
          <t>short</t>
        </is>
      </c>
      <c r="E200" s="9" t="inlineStr">
        <is>
          <t>70</t>
        </is>
      </c>
      <c r="F200" s="9" t="inlineStr">
        <is>
          <t>False</t>
        </is>
      </c>
      <c r="G200" s="10" t="inlineStr">
        <is>
          <t>0.5552857142857144</t>
        </is>
      </c>
      <c r="H200" s="11" t="inlineStr">
        <is>
          <t>229498.0</t>
        </is>
      </c>
      <c r="I200" s="12" t="inlineStr">
        <is>
          <t>31.13</t>
        </is>
      </c>
      <c r="J200" s="9" t="inlineStr">
        <is>
          <t>fp8</t>
        </is>
      </c>
      <c r="K200" s="9" t="inlineStr">
        <is>
          <t>sglang</t>
        </is>
      </c>
      <c r="L200" s="9" t="inlineStr">
        <is>
          <t>16</t>
        </is>
      </c>
      <c r="M200" s="9" t="inlineStr">
        <is>
          <t>1024</t>
        </is>
      </c>
      <c r="N200" s="9" t="inlineStr">
        <is>
          <t>1024</t>
        </is>
      </c>
      <c r="O200" s="9" t="inlineStr">
        <is>
          <t>selected_public_max</t>
        </is>
      </c>
      <c r="P200" s="9" t="inlineStr">
        <is>
          <t>best_available_below_target</t>
        </is>
      </c>
      <c r="Q200" s="9" t="inlineStr">
        <is>
          <t>low_target_gap</t>
        </is>
      </c>
      <c r="R200" s="9" t="inlineStr">
        <is>
          <t>2026-05-18T00:00:00.000Z</t>
        </is>
      </c>
      <c r="S200" s="9" t="inlineStr">
        <is>
          <t>tok_s_user is computed as output_tok_s_gpu/concurrency when source tok_s_user is blank; agentic_derived uses long_chat rows multiplied by the Kimi K2.5 agentic/long ratio.</t>
        </is>
      </c>
    </row>
    <row r="201">
      <c r="A201" s="9" t="inlineStr">
        <is>
          <t>qwen3.5</t>
        </is>
      </c>
      <c r="B201" s="9" t="inlineStr">
        <is>
          <t>qwen3.5</t>
        </is>
      </c>
      <c r="C201" s="9" t="inlineStr">
        <is>
          <t>B200</t>
        </is>
      </c>
      <c r="D201" s="9" t="inlineStr">
        <is>
          <t>short</t>
        </is>
      </c>
      <c r="E201" s="9" t="inlineStr">
        <is>
          <t>100</t>
        </is>
      </c>
      <c r="F201" s="9" t="inlineStr">
        <is>
          <t>False</t>
        </is>
      </c>
      <c r="G201" s="10" t="inlineStr">
        <is>
          <t>0.6887000000000001</t>
        </is>
      </c>
      <c r="H201" s="11" t="inlineStr">
        <is>
          <t>229498.0</t>
        </is>
      </c>
      <c r="I201" s="12" t="inlineStr">
        <is>
          <t>31.13</t>
        </is>
      </c>
      <c r="J201" s="9" t="inlineStr">
        <is>
          <t>fp8</t>
        </is>
      </c>
      <c r="K201" s="9" t="inlineStr">
        <is>
          <t>sglang</t>
        </is>
      </c>
      <c r="L201" s="9" t="inlineStr">
        <is>
          <t>16</t>
        </is>
      </c>
      <c r="M201" s="9" t="inlineStr">
        <is>
          <t>1024</t>
        </is>
      </c>
      <c r="N201" s="9" t="inlineStr">
        <is>
          <t>1024</t>
        </is>
      </c>
      <c r="O201" s="9" t="inlineStr">
        <is>
          <t>selected_public_max</t>
        </is>
      </c>
      <c r="P201" s="9" t="inlineStr">
        <is>
          <t>best_available_below_target</t>
        </is>
      </c>
      <c r="Q201" s="9" t="inlineStr">
        <is>
          <t>low_target_gap</t>
        </is>
      </c>
      <c r="R201" s="9" t="inlineStr">
        <is>
          <t>2026-05-18T00:00:00.000Z</t>
        </is>
      </c>
      <c r="S201" s="9" t="inlineStr">
        <is>
          <t>tok_s_user is computed as output_tok_s_gpu/concurrency when source tok_s_user is blank; agentic_derived uses long_chat rows multiplied by the Kimi K2.5 agentic/long ratio.</t>
        </is>
      </c>
    </row>
    <row r="202">
      <c r="A202" s="5" t="inlineStr">
        <is>
          <t>qwen3.5</t>
        </is>
      </c>
      <c r="B202" s="5" t="inlineStr">
        <is>
          <t>qwen3.5</t>
        </is>
      </c>
      <c r="C202" s="5" t="inlineStr">
        <is>
          <t>B200</t>
        </is>
      </c>
      <c r="D202" s="5" t="inlineStr">
        <is>
          <t>long</t>
        </is>
      </c>
      <c r="E202" s="5" t="inlineStr">
        <is>
          <t>10</t>
        </is>
      </c>
      <c r="F202" s="5" t="inlineStr">
        <is>
          <t>True</t>
        </is>
      </c>
      <c r="G202" s="6" t="inlineStr">
        <is>
          <t>0.0</t>
        </is>
      </c>
      <c r="H202" s="7" t="inlineStr">
        <is>
          <t>345338.0</t>
        </is>
      </c>
      <c r="I202" s="8" t="inlineStr">
        <is>
          <t>11.71</t>
        </is>
      </c>
      <c r="J202" s="5" t="inlineStr">
        <is>
          <t>fp8</t>
        </is>
      </c>
      <c r="K202" s="5" t="inlineStr">
        <is>
          <t>sglang</t>
        </is>
      </c>
      <c r="L202" s="5" t="inlineStr">
        <is>
          <t>64</t>
        </is>
      </c>
      <c r="M202" s="5" t="inlineStr">
        <is>
          <t>8192</t>
        </is>
      </c>
      <c r="N202" s="5" t="inlineStr">
        <is>
          <t>1024</t>
        </is>
      </c>
      <c r="O202" s="5" t="inlineStr">
        <is>
          <t>selected_public_max</t>
        </is>
      </c>
      <c r="P202" s="5" t="inlineStr">
        <is>
          <t>direct_target_row</t>
        </is>
      </c>
      <c r="Q202" s="5" t="inlineStr">
        <is>
          <t>medium</t>
        </is>
      </c>
      <c r="R202" s="5" t="inlineStr">
        <is>
          <t>2026-05-18T00:00:00.000Z</t>
        </is>
      </c>
      <c r="S202" s="5" t="inlineStr">
        <is>
          <t>tok_s_user is computed as output_tok_s_gpu/concurrency when source tok_s_user is blank; agentic_derived uses long_chat rows multiplied by the Kimi K2.5 agentic/long ratio.</t>
        </is>
      </c>
    </row>
    <row r="203">
      <c r="A203" s="5" t="inlineStr">
        <is>
          <t>qwen3.5</t>
        </is>
      </c>
      <c r="B203" s="5" t="inlineStr">
        <is>
          <t>qwen3.5</t>
        </is>
      </c>
      <c r="C203" s="5" t="inlineStr">
        <is>
          <t>B200</t>
        </is>
      </c>
      <c r="D203" s="5" t="inlineStr">
        <is>
          <t>long</t>
        </is>
      </c>
      <c r="E203" s="5" t="inlineStr">
        <is>
          <t>30</t>
        </is>
      </c>
      <c r="F203" s="5" t="inlineStr">
        <is>
          <t>True</t>
        </is>
      </c>
      <c r="G203" s="6" t="inlineStr">
        <is>
          <t>0.0</t>
        </is>
      </c>
      <c r="H203" s="7" t="inlineStr">
        <is>
          <t>132868.0</t>
        </is>
      </c>
      <c r="I203" s="8" t="inlineStr">
        <is>
          <t>36.04</t>
        </is>
      </c>
      <c r="J203" s="5" t="inlineStr">
        <is>
          <t>fp8</t>
        </is>
      </c>
      <c r="K203" s="5" t="inlineStr">
        <is>
          <t>sglang</t>
        </is>
      </c>
      <c r="L203" s="5" t="inlineStr">
        <is>
          <t>8</t>
        </is>
      </c>
      <c r="M203" s="5" t="inlineStr">
        <is>
          <t>8192</t>
        </is>
      </c>
      <c r="N203" s="5" t="inlineStr">
        <is>
          <t>1024</t>
        </is>
      </c>
      <c r="O203" s="5" t="inlineStr">
        <is>
          <t>selected_public_max</t>
        </is>
      </c>
      <c r="P203" s="5" t="inlineStr">
        <is>
          <t>direct_target_row</t>
        </is>
      </c>
      <c r="Q203" s="5" t="inlineStr">
        <is>
          <t>medium</t>
        </is>
      </c>
      <c r="R203" s="5" t="inlineStr">
        <is>
          <t>2026-05-18T00:00:00.000Z</t>
        </is>
      </c>
      <c r="S203" s="5" t="inlineStr">
        <is>
          <t>tok_s_user is computed as output_tok_s_gpu/concurrency when source tok_s_user is blank; agentic_derived uses long_chat rows multiplied by the Kimi K2.5 agentic/long ratio.</t>
        </is>
      </c>
    </row>
    <row r="204">
      <c r="A204" s="9" t="inlineStr">
        <is>
          <t>qwen3.5</t>
        </is>
      </c>
      <c r="B204" s="9" t="inlineStr">
        <is>
          <t>qwen3.5</t>
        </is>
      </c>
      <c r="C204" s="9" t="inlineStr">
        <is>
          <t>B200</t>
        </is>
      </c>
      <c r="D204" s="9" t="inlineStr">
        <is>
          <t>long</t>
        </is>
      </c>
      <c r="E204" s="9" t="inlineStr">
        <is>
          <t>50</t>
        </is>
      </c>
      <c r="F204" s="9" t="inlineStr">
        <is>
          <t>False</t>
        </is>
      </c>
      <c r="G204" s="10" t="inlineStr">
        <is>
          <t>0.2792</t>
        </is>
      </c>
      <c r="H204" s="11" t="inlineStr">
        <is>
          <t>132868.0</t>
        </is>
      </c>
      <c r="I204" s="12" t="inlineStr">
        <is>
          <t>36.04</t>
        </is>
      </c>
      <c r="J204" s="9" t="inlineStr">
        <is>
          <t>fp8</t>
        </is>
      </c>
      <c r="K204" s="9" t="inlineStr">
        <is>
          <t>sglang</t>
        </is>
      </c>
      <c r="L204" s="9" t="inlineStr">
        <is>
          <t>8</t>
        </is>
      </c>
      <c r="M204" s="9" t="inlineStr">
        <is>
          <t>8192</t>
        </is>
      </c>
      <c r="N204" s="9" t="inlineStr">
        <is>
          <t>1024</t>
        </is>
      </c>
      <c r="O204" s="9" t="inlineStr">
        <is>
          <t>selected_public_max</t>
        </is>
      </c>
      <c r="P204" s="9" t="inlineStr">
        <is>
          <t>best_available_below_target</t>
        </is>
      </c>
      <c r="Q204" s="9" t="inlineStr">
        <is>
          <t>low_target_gap</t>
        </is>
      </c>
      <c r="R204" s="9" t="inlineStr">
        <is>
          <t>2026-05-18T00:00:00.000Z</t>
        </is>
      </c>
      <c r="S204" s="9" t="inlineStr">
        <is>
          <t>tok_s_user is computed as output_tok_s_gpu/concurrency when source tok_s_user is blank; agentic_derived uses long_chat rows multiplied by the Kimi K2.5 agentic/long ratio.</t>
        </is>
      </c>
    </row>
    <row r="205">
      <c r="A205" s="9" t="inlineStr">
        <is>
          <t>qwen3.5</t>
        </is>
      </c>
      <c r="B205" s="9" t="inlineStr">
        <is>
          <t>qwen3.5</t>
        </is>
      </c>
      <c r="C205" s="9" t="inlineStr">
        <is>
          <t>B200</t>
        </is>
      </c>
      <c r="D205" s="9" t="inlineStr">
        <is>
          <t>long</t>
        </is>
      </c>
      <c r="E205" s="9" t="inlineStr">
        <is>
          <t>70</t>
        </is>
      </c>
      <c r="F205" s="9" t="inlineStr">
        <is>
          <t>False</t>
        </is>
      </c>
      <c r="G205" s="10" t="inlineStr">
        <is>
          <t>0.48514285714285715</t>
        </is>
      </c>
      <c r="H205" s="11" t="inlineStr">
        <is>
          <t>132868.0</t>
        </is>
      </c>
      <c r="I205" s="12" t="inlineStr">
        <is>
          <t>36.04</t>
        </is>
      </c>
      <c r="J205" s="9" t="inlineStr">
        <is>
          <t>fp8</t>
        </is>
      </c>
      <c r="K205" s="9" t="inlineStr">
        <is>
          <t>sglang</t>
        </is>
      </c>
      <c r="L205" s="9" t="inlineStr">
        <is>
          <t>8</t>
        </is>
      </c>
      <c r="M205" s="9" t="inlineStr">
        <is>
          <t>8192</t>
        </is>
      </c>
      <c r="N205" s="9" t="inlineStr">
        <is>
          <t>1024</t>
        </is>
      </c>
      <c r="O205" s="9" t="inlineStr">
        <is>
          <t>selected_public_max</t>
        </is>
      </c>
      <c r="P205" s="9" t="inlineStr">
        <is>
          <t>best_available_below_target</t>
        </is>
      </c>
      <c r="Q205" s="9" t="inlineStr">
        <is>
          <t>low_target_gap</t>
        </is>
      </c>
      <c r="R205" s="9" t="inlineStr">
        <is>
          <t>2026-05-18T00:00:00.000Z</t>
        </is>
      </c>
      <c r="S205" s="9" t="inlineStr">
        <is>
          <t>tok_s_user is computed as output_tok_s_gpu/concurrency when source tok_s_user is blank; agentic_derived uses long_chat rows multiplied by the Kimi K2.5 agentic/long ratio.</t>
        </is>
      </c>
    </row>
    <row r="206">
      <c r="A206" s="9" t="inlineStr">
        <is>
          <t>qwen3.5</t>
        </is>
      </c>
      <c r="B206" s="9" t="inlineStr">
        <is>
          <t>qwen3.5</t>
        </is>
      </c>
      <c r="C206" s="9" t="inlineStr">
        <is>
          <t>B200</t>
        </is>
      </c>
      <c r="D206" s="9" t="inlineStr">
        <is>
          <t>long</t>
        </is>
      </c>
      <c r="E206" s="9" t="inlineStr">
        <is>
          <t>100</t>
        </is>
      </c>
      <c r="F206" s="9" t="inlineStr">
        <is>
          <t>False</t>
        </is>
      </c>
      <c r="G206" s="10" t="inlineStr">
        <is>
          <t>0.6396000000000001</t>
        </is>
      </c>
      <c r="H206" s="11" t="inlineStr">
        <is>
          <t>132868.0</t>
        </is>
      </c>
      <c r="I206" s="12" t="inlineStr">
        <is>
          <t>36.04</t>
        </is>
      </c>
      <c r="J206" s="9" t="inlineStr">
        <is>
          <t>fp8</t>
        </is>
      </c>
      <c r="K206" s="9" t="inlineStr">
        <is>
          <t>sglang</t>
        </is>
      </c>
      <c r="L206" s="9" t="inlineStr">
        <is>
          <t>8</t>
        </is>
      </c>
      <c r="M206" s="9" t="inlineStr">
        <is>
          <t>8192</t>
        </is>
      </c>
      <c r="N206" s="9" t="inlineStr">
        <is>
          <t>1024</t>
        </is>
      </c>
      <c r="O206" s="9" t="inlineStr">
        <is>
          <t>selected_public_max</t>
        </is>
      </c>
      <c r="P206" s="9" t="inlineStr">
        <is>
          <t>best_available_below_target</t>
        </is>
      </c>
      <c r="Q206" s="9" t="inlineStr">
        <is>
          <t>low_target_gap</t>
        </is>
      </c>
      <c r="R206" s="9" t="inlineStr">
        <is>
          <t>2026-05-18T00:00:00.000Z</t>
        </is>
      </c>
      <c r="S206" s="9" t="inlineStr">
        <is>
          <t>tok_s_user is computed as output_tok_s_gpu/concurrency when source tok_s_user is blank; agentic_derived uses long_chat rows multiplied by the Kimi K2.5 agentic/long ratio.</t>
        </is>
      </c>
    </row>
    <row r="207">
      <c r="A207" s="13" t="inlineStr">
        <is>
          <t>qwen3.5</t>
        </is>
      </c>
      <c r="B207" s="13" t="inlineStr">
        <is>
          <t>qwen3.5</t>
        </is>
      </c>
      <c r="C207" s="13" t="inlineStr">
        <is>
          <t>B200</t>
        </is>
      </c>
      <c r="D207" s="13" t="inlineStr">
        <is>
          <t>agentic</t>
        </is>
      </c>
      <c r="E207" s="13" t="inlineStr">
        <is>
          <t>10</t>
        </is>
      </c>
      <c r="F207" s="13" t="inlineStr">
        <is>
          <t>False</t>
        </is>
      </c>
      <c r="G207" s="14" t="inlineStr">
        <is>
          <t>0.6082608695652174</t>
        </is>
      </c>
      <c r="H207" s="15" t="inlineStr">
        <is>
          <t>14442.17391304348</t>
        </is>
      </c>
      <c r="I207" s="16" t="inlineStr">
        <is>
          <t>3.9173913043478263</t>
        </is>
      </c>
      <c r="J207" s="13" t="inlineStr">
        <is>
          <t>fp8</t>
        </is>
      </c>
      <c r="K207" s="13" t="inlineStr">
        <is>
          <t>sglang</t>
        </is>
      </c>
      <c r="L207" s="13" t="inlineStr">
        <is>
          <t>8</t>
        </is>
      </c>
      <c r="M207" s="13" t="inlineStr">
        <is>
          <t>8192</t>
        </is>
      </c>
      <c r="N207" s="13" t="inlineStr">
        <is>
          <t>1024</t>
        </is>
      </c>
      <c r="O207" s="13" t="inlineStr">
        <is>
          <t>agentic_from_long_chat</t>
        </is>
      </c>
      <c r="P207" s="13" t="inlineStr">
        <is>
          <t>dynamic_reasoning_proxy</t>
        </is>
      </c>
      <c r="Q207" s="13" t="inlineStr">
        <is>
          <t>low_target_gap</t>
        </is>
      </c>
      <c r="R207" s="13" t="inlineStr">
        <is>
          <t>2026-05-18T00:00:00.000Z</t>
        </is>
      </c>
      <c r="S207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08">
      <c r="A208" s="13" t="inlineStr">
        <is>
          <t>qwen3.5</t>
        </is>
      </c>
      <c r="B208" s="13" t="inlineStr">
        <is>
          <t>qwen3.5</t>
        </is>
      </c>
      <c r="C208" s="13" t="inlineStr">
        <is>
          <t>B200</t>
        </is>
      </c>
      <c r="D208" s="13" t="inlineStr">
        <is>
          <t>agentic</t>
        </is>
      </c>
      <c r="E208" s="13" t="inlineStr">
        <is>
          <t>30</t>
        </is>
      </c>
      <c r="F208" s="13" t="inlineStr">
        <is>
          <t>False</t>
        </is>
      </c>
      <c r="G208" s="14" t="inlineStr">
        <is>
          <t>0.8694202898550725</t>
        </is>
      </c>
      <c r="H208" s="15" t="inlineStr">
        <is>
          <t>14442.17391304348</t>
        </is>
      </c>
      <c r="I208" s="16" t="inlineStr">
        <is>
          <t>3.9173913043478263</t>
        </is>
      </c>
      <c r="J208" s="13" t="inlineStr">
        <is>
          <t>fp8</t>
        </is>
      </c>
      <c r="K208" s="13" t="inlineStr">
        <is>
          <t>sglang</t>
        </is>
      </c>
      <c r="L208" s="13" t="inlineStr">
        <is>
          <t>8</t>
        </is>
      </c>
      <c r="M208" s="13" t="inlineStr">
        <is>
          <t>8192</t>
        </is>
      </c>
      <c r="N208" s="13" t="inlineStr">
        <is>
          <t>1024</t>
        </is>
      </c>
      <c r="O208" s="13" t="inlineStr">
        <is>
          <t>agentic_from_long_chat</t>
        </is>
      </c>
      <c r="P208" s="13" t="inlineStr">
        <is>
          <t>dynamic_reasoning_proxy</t>
        </is>
      </c>
      <c r="Q208" s="13" t="inlineStr">
        <is>
          <t>low_target_gap</t>
        </is>
      </c>
      <c r="R208" s="13" t="inlineStr">
        <is>
          <t>2026-05-18T00:00:00.000Z</t>
        </is>
      </c>
      <c r="S20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09">
      <c r="A209" s="13" t="inlineStr">
        <is>
          <t>qwen3.5</t>
        </is>
      </c>
      <c r="B209" s="13" t="inlineStr">
        <is>
          <t>qwen3.5</t>
        </is>
      </c>
      <c r="C209" s="13" t="inlineStr">
        <is>
          <t>B200</t>
        </is>
      </c>
      <c r="D209" s="13" t="inlineStr">
        <is>
          <t>agentic</t>
        </is>
      </c>
      <c r="E209" s="13" t="inlineStr">
        <is>
          <t>50</t>
        </is>
      </c>
      <c r="F209" s="13" t="inlineStr">
        <is>
          <t>False</t>
        </is>
      </c>
      <c r="G209" s="14" t="inlineStr">
        <is>
          <t>0.9216521739130435</t>
        </is>
      </c>
      <c r="H209" s="15" t="inlineStr">
        <is>
          <t>14442.17391304348</t>
        </is>
      </c>
      <c r="I209" s="16" t="inlineStr">
        <is>
          <t>3.9173913043478263</t>
        </is>
      </c>
      <c r="J209" s="13" t="inlineStr">
        <is>
          <t>fp8</t>
        </is>
      </c>
      <c r="K209" s="13" t="inlineStr">
        <is>
          <t>sglang</t>
        </is>
      </c>
      <c r="L209" s="13" t="inlineStr">
        <is>
          <t>8</t>
        </is>
      </c>
      <c r="M209" s="13" t="inlineStr">
        <is>
          <t>8192</t>
        </is>
      </c>
      <c r="N209" s="13" t="inlineStr">
        <is>
          <t>1024</t>
        </is>
      </c>
      <c r="O209" s="13" t="inlineStr">
        <is>
          <t>agentic_from_long_chat</t>
        </is>
      </c>
      <c r="P209" s="13" t="inlineStr">
        <is>
          <t>dynamic_reasoning_proxy</t>
        </is>
      </c>
      <c r="Q209" s="13" t="inlineStr">
        <is>
          <t>low_target_gap</t>
        </is>
      </c>
      <c r="R209" s="13" t="inlineStr">
        <is>
          <t>2026-05-18T00:00:00.000Z</t>
        </is>
      </c>
      <c r="S20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10">
      <c r="A210" s="13" t="inlineStr">
        <is>
          <t>qwen3.5</t>
        </is>
      </c>
      <c r="B210" s="13" t="inlineStr">
        <is>
          <t>qwen3.5</t>
        </is>
      </c>
      <c r="C210" s="13" t="inlineStr">
        <is>
          <t>B200</t>
        </is>
      </c>
      <c r="D210" s="13" t="inlineStr">
        <is>
          <t>agentic</t>
        </is>
      </c>
      <c r="E210" s="13" t="inlineStr">
        <is>
          <t>70</t>
        </is>
      </c>
      <c r="F210" s="13" t="inlineStr">
        <is>
          <t>False</t>
        </is>
      </c>
      <c r="G210" s="14" t="inlineStr">
        <is>
          <t>0.9440372670807453</t>
        </is>
      </c>
      <c r="H210" s="15" t="inlineStr">
        <is>
          <t>14442.17391304348</t>
        </is>
      </c>
      <c r="I210" s="16" t="inlineStr">
        <is>
          <t>3.9173913043478263</t>
        </is>
      </c>
      <c r="J210" s="13" t="inlineStr">
        <is>
          <t>fp8</t>
        </is>
      </c>
      <c r="K210" s="13" t="inlineStr">
        <is>
          <t>sglang</t>
        </is>
      </c>
      <c r="L210" s="13" t="inlineStr">
        <is>
          <t>8</t>
        </is>
      </c>
      <c r="M210" s="13" t="inlineStr">
        <is>
          <t>8192</t>
        </is>
      </c>
      <c r="N210" s="13" t="inlineStr">
        <is>
          <t>1024</t>
        </is>
      </c>
      <c r="O210" s="13" t="inlineStr">
        <is>
          <t>agentic_from_long_chat</t>
        </is>
      </c>
      <c r="P210" s="13" t="inlineStr">
        <is>
          <t>dynamic_reasoning_proxy</t>
        </is>
      </c>
      <c r="Q210" s="13" t="inlineStr">
        <is>
          <t>low_target_gap</t>
        </is>
      </c>
      <c r="R210" s="13" t="inlineStr">
        <is>
          <t>2026-05-18T00:00:00.000Z</t>
        </is>
      </c>
      <c r="S21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11">
      <c r="A211" s="13" t="inlineStr">
        <is>
          <t>qwen3.5</t>
        </is>
      </c>
      <c r="B211" s="13" t="inlineStr">
        <is>
          <t>qwen3.5</t>
        </is>
      </c>
      <c r="C211" s="13" t="inlineStr">
        <is>
          <t>B200</t>
        </is>
      </c>
      <c r="D211" s="13" t="inlineStr">
        <is>
          <t>agentic</t>
        </is>
      </c>
      <c r="E211" s="13" t="inlineStr">
        <is>
          <t>100</t>
        </is>
      </c>
      <c r="F211" s="13" t="inlineStr">
        <is>
          <t>False</t>
        </is>
      </c>
      <c r="G211" s="14" t="inlineStr">
        <is>
          <t>0.9608260869565217</t>
        </is>
      </c>
      <c r="H211" s="15" t="inlineStr">
        <is>
          <t>14442.17391304348</t>
        </is>
      </c>
      <c r="I211" s="16" t="inlineStr">
        <is>
          <t>3.9173913043478263</t>
        </is>
      </c>
      <c r="J211" s="13" t="inlineStr">
        <is>
          <t>fp8</t>
        </is>
      </c>
      <c r="K211" s="13" t="inlineStr">
        <is>
          <t>sglang</t>
        </is>
      </c>
      <c r="L211" s="13" t="inlineStr">
        <is>
          <t>8</t>
        </is>
      </c>
      <c r="M211" s="13" t="inlineStr">
        <is>
          <t>8192</t>
        </is>
      </c>
      <c r="N211" s="13" t="inlineStr">
        <is>
          <t>1024</t>
        </is>
      </c>
      <c r="O211" s="13" t="inlineStr">
        <is>
          <t>agentic_from_long_chat</t>
        </is>
      </c>
      <c r="P211" s="13" t="inlineStr">
        <is>
          <t>dynamic_reasoning_proxy</t>
        </is>
      </c>
      <c r="Q211" s="13" t="inlineStr">
        <is>
          <t>low_target_gap</t>
        </is>
      </c>
      <c r="R211" s="13" t="inlineStr">
        <is>
          <t>2026-05-18T00:00:00.000Z</t>
        </is>
      </c>
      <c r="S21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12">
      <c r="A212" s="9" t="inlineStr">
        <is>
          <t>qwen3.5</t>
        </is>
      </c>
      <c r="B212" s="9" t="inlineStr"/>
      <c r="C212" s="9" t="inlineStr">
        <is>
          <t>GB200</t>
        </is>
      </c>
      <c r="D212" s="9" t="inlineStr">
        <is>
          <t>short</t>
        </is>
      </c>
      <c r="E212" s="9" t="inlineStr">
        <is>
          <t>10</t>
        </is>
      </c>
      <c r="F212" s="9" t="inlineStr">
        <is>
          <t>False</t>
        </is>
      </c>
      <c r="G212" s="10" t="inlineStr"/>
      <c r="H212" s="11" t="inlineStr"/>
      <c r="I212" s="12" t="inlineStr"/>
      <c r="J212" s="9" t="inlineStr"/>
      <c r="K212" s="9" t="inlineStr"/>
      <c r="L212" s="9" t="inlineStr"/>
      <c r="M212" s="9" t="inlineStr"/>
      <c r="N212" s="9" t="inlineStr"/>
      <c r="O212" s="9" t="inlineStr">
        <is>
          <t>missing</t>
        </is>
      </c>
      <c r="P212" s="9" t="inlineStr">
        <is>
          <t>no_benchmark_row</t>
        </is>
      </c>
      <c r="Q212" s="9" t="inlineStr">
        <is>
          <t>missing</t>
        </is>
      </c>
      <c r="R212" s="9" t="inlineStr"/>
      <c r="S212" s="9" t="inlineStr">
        <is>
          <t>No model/GPU/workload benchmark row was available.</t>
        </is>
      </c>
    </row>
    <row r="213">
      <c r="A213" s="9" t="inlineStr">
        <is>
          <t>qwen3.5</t>
        </is>
      </c>
      <c r="B213" s="9" t="inlineStr"/>
      <c r="C213" s="9" t="inlineStr">
        <is>
          <t>GB200</t>
        </is>
      </c>
      <c r="D213" s="9" t="inlineStr">
        <is>
          <t>short</t>
        </is>
      </c>
      <c r="E213" s="9" t="inlineStr">
        <is>
          <t>30</t>
        </is>
      </c>
      <c r="F213" s="9" t="inlineStr">
        <is>
          <t>False</t>
        </is>
      </c>
      <c r="G213" s="10" t="inlineStr"/>
      <c r="H213" s="11" t="inlineStr"/>
      <c r="I213" s="12" t="inlineStr"/>
      <c r="J213" s="9" t="inlineStr"/>
      <c r="K213" s="9" t="inlineStr"/>
      <c r="L213" s="9" t="inlineStr"/>
      <c r="M213" s="9" t="inlineStr"/>
      <c r="N213" s="9" t="inlineStr"/>
      <c r="O213" s="9" t="inlineStr">
        <is>
          <t>missing</t>
        </is>
      </c>
      <c r="P213" s="9" t="inlineStr">
        <is>
          <t>no_benchmark_row</t>
        </is>
      </c>
      <c r="Q213" s="9" t="inlineStr">
        <is>
          <t>missing</t>
        </is>
      </c>
      <c r="R213" s="9" t="inlineStr"/>
      <c r="S213" s="9" t="inlineStr">
        <is>
          <t>No model/GPU/workload benchmark row was available.</t>
        </is>
      </c>
    </row>
    <row r="214">
      <c r="A214" s="9" t="inlineStr">
        <is>
          <t>qwen3.5</t>
        </is>
      </c>
      <c r="B214" s="9" t="inlineStr"/>
      <c r="C214" s="9" t="inlineStr">
        <is>
          <t>GB200</t>
        </is>
      </c>
      <c r="D214" s="9" t="inlineStr">
        <is>
          <t>short</t>
        </is>
      </c>
      <c r="E214" s="9" t="inlineStr">
        <is>
          <t>50</t>
        </is>
      </c>
      <c r="F214" s="9" t="inlineStr">
        <is>
          <t>False</t>
        </is>
      </c>
      <c r="G214" s="10" t="inlineStr"/>
      <c r="H214" s="11" t="inlineStr"/>
      <c r="I214" s="12" t="inlineStr"/>
      <c r="J214" s="9" t="inlineStr"/>
      <c r="K214" s="9" t="inlineStr"/>
      <c r="L214" s="9" t="inlineStr"/>
      <c r="M214" s="9" t="inlineStr"/>
      <c r="N214" s="9" t="inlineStr"/>
      <c r="O214" s="9" t="inlineStr">
        <is>
          <t>missing</t>
        </is>
      </c>
      <c r="P214" s="9" t="inlineStr">
        <is>
          <t>no_benchmark_row</t>
        </is>
      </c>
      <c r="Q214" s="9" t="inlineStr">
        <is>
          <t>missing</t>
        </is>
      </c>
      <c r="R214" s="9" t="inlineStr"/>
      <c r="S214" s="9" t="inlineStr">
        <is>
          <t>No model/GPU/workload benchmark row was available.</t>
        </is>
      </c>
    </row>
    <row r="215">
      <c r="A215" s="9" t="inlineStr">
        <is>
          <t>qwen3.5</t>
        </is>
      </c>
      <c r="B215" s="9" t="inlineStr"/>
      <c r="C215" s="9" t="inlineStr">
        <is>
          <t>GB200</t>
        </is>
      </c>
      <c r="D215" s="9" t="inlineStr">
        <is>
          <t>short</t>
        </is>
      </c>
      <c r="E215" s="9" t="inlineStr">
        <is>
          <t>70</t>
        </is>
      </c>
      <c r="F215" s="9" t="inlineStr">
        <is>
          <t>False</t>
        </is>
      </c>
      <c r="G215" s="10" t="inlineStr"/>
      <c r="H215" s="11" t="inlineStr"/>
      <c r="I215" s="12" t="inlineStr"/>
      <c r="J215" s="9" t="inlineStr"/>
      <c r="K215" s="9" t="inlineStr"/>
      <c r="L215" s="9" t="inlineStr"/>
      <c r="M215" s="9" t="inlineStr"/>
      <c r="N215" s="9" t="inlineStr"/>
      <c r="O215" s="9" t="inlineStr">
        <is>
          <t>missing</t>
        </is>
      </c>
      <c r="P215" s="9" t="inlineStr">
        <is>
          <t>no_benchmark_row</t>
        </is>
      </c>
      <c r="Q215" s="9" t="inlineStr">
        <is>
          <t>missing</t>
        </is>
      </c>
      <c r="R215" s="9" t="inlineStr"/>
      <c r="S215" s="9" t="inlineStr">
        <is>
          <t>No model/GPU/workload benchmark row was available.</t>
        </is>
      </c>
    </row>
    <row r="216">
      <c r="A216" s="9" t="inlineStr">
        <is>
          <t>qwen3.5</t>
        </is>
      </c>
      <c r="B216" s="9" t="inlineStr"/>
      <c r="C216" s="9" t="inlineStr">
        <is>
          <t>GB200</t>
        </is>
      </c>
      <c r="D216" s="9" t="inlineStr">
        <is>
          <t>short</t>
        </is>
      </c>
      <c r="E216" s="9" t="inlineStr">
        <is>
          <t>100</t>
        </is>
      </c>
      <c r="F216" s="9" t="inlineStr">
        <is>
          <t>False</t>
        </is>
      </c>
      <c r="G216" s="10" t="inlineStr"/>
      <c r="H216" s="11" t="inlineStr"/>
      <c r="I216" s="12" t="inlineStr"/>
      <c r="J216" s="9" t="inlineStr"/>
      <c r="K216" s="9" t="inlineStr"/>
      <c r="L216" s="9" t="inlineStr"/>
      <c r="M216" s="9" t="inlineStr"/>
      <c r="N216" s="9" t="inlineStr"/>
      <c r="O216" s="9" t="inlineStr">
        <is>
          <t>missing</t>
        </is>
      </c>
      <c r="P216" s="9" t="inlineStr">
        <is>
          <t>no_benchmark_row</t>
        </is>
      </c>
      <c r="Q216" s="9" t="inlineStr">
        <is>
          <t>missing</t>
        </is>
      </c>
      <c r="R216" s="9" t="inlineStr"/>
      <c r="S216" s="9" t="inlineStr">
        <is>
          <t>No model/GPU/workload benchmark row was available.</t>
        </is>
      </c>
    </row>
    <row r="217">
      <c r="A217" s="9" t="inlineStr">
        <is>
          <t>qwen3.5</t>
        </is>
      </c>
      <c r="B217" s="9" t="inlineStr"/>
      <c r="C217" s="9" t="inlineStr">
        <is>
          <t>GB200</t>
        </is>
      </c>
      <c r="D217" s="9" t="inlineStr">
        <is>
          <t>long</t>
        </is>
      </c>
      <c r="E217" s="9" t="inlineStr">
        <is>
          <t>10</t>
        </is>
      </c>
      <c r="F217" s="9" t="inlineStr">
        <is>
          <t>False</t>
        </is>
      </c>
      <c r="G217" s="10" t="inlineStr"/>
      <c r="H217" s="11" t="inlineStr"/>
      <c r="I217" s="12" t="inlineStr"/>
      <c r="J217" s="9" t="inlineStr"/>
      <c r="K217" s="9" t="inlineStr"/>
      <c r="L217" s="9" t="inlineStr"/>
      <c r="M217" s="9" t="inlineStr"/>
      <c r="N217" s="9" t="inlineStr"/>
      <c r="O217" s="9" t="inlineStr">
        <is>
          <t>missing</t>
        </is>
      </c>
      <c r="P217" s="9" t="inlineStr">
        <is>
          <t>no_benchmark_row</t>
        </is>
      </c>
      <c r="Q217" s="9" t="inlineStr">
        <is>
          <t>missing</t>
        </is>
      </c>
      <c r="R217" s="9" t="inlineStr"/>
      <c r="S217" s="9" t="inlineStr">
        <is>
          <t>No model/GPU/workload benchmark row was available.</t>
        </is>
      </c>
    </row>
    <row r="218">
      <c r="A218" s="9" t="inlineStr">
        <is>
          <t>qwen3.5</t>
        </is>
      </c>
      <c r="B218" s="9" t="inlineStr"/>
      <c r="C218" s="9" t="inlineStr">
        <is>
          <t>GB200</t>
        </is>
      </c>
      <c r="D218" s="9" t="inlineStr">
        <is>
          <t>long</t>
        </is>
      </c>
      <c r="E218" s="9" t="inlineStr">
        <is>
          <t>30</t>
        </is>
      </c>
      <c r="F218" s="9" t="inlineStr">
        <is>
          <t>False</t>
        </is>
      </c>
      <c r="G218" s="10" t="inlineStr"/>
      <c r="H218" s="11" t="inlineStr"/>
      <c r="I218" s="12" t="inlineStr"/>
      <c r="J218" s="9" t="inlineStr"/>
      <c r="K218" s="9" t="inlineStr"/>
      <c r="L218" s="9" t="inlineStr"/>
      <c r="M218" s="9" t="inlineStr"/>
      <c r="N218" s="9" t="inlineStr"/>
      <c r="O218" s="9" t="inlineStr">
        <is>
          <t>missing</t>
        </is>
      </c>
      <c r="P218" s="9" t="inlineStr">
        <is>
          <t>no_benchmark_row</t>
        </is>
      </c>
      <c r="Q218" s="9" t="inlineStr">
        <is>
          <t>missing</t>
        </is>
      </c>
      <c r="R218" s="9" t="inlineStr"/>
      <c r="S218" s="9" t="inlineStr">
        <is>
          <t>No model/GPU/workload benchmark row was available.</t>
        </is>
      </c>
    </row>
    <row r="219">
      <c r="A219" s="9" t="inlineStr">
        <is>
          <t>qwen3.5</t>
        </is>
      </c>
      <c r="B219" s="9" t="inlineStr"/>
      <c r="C219" s="9" t="inlineStr">
        <is>
          <t>GB200</t>
        </is>
      </c>
      <c r="D219" s="9" t="inlineStr">
        <is>
          <t>long</t>
        </is>
      </c>
      <c r="E219" s="9" t="inlineStr">
        <is>
          <t>50</t>
        </is>
      </c>
      <c r="F219" s="9" t="inlineStr">
        <is>
          <t>False</t>
        </is>
      </c>
      <c r="G219" s="10" t="inlineStr"/>
      <c r="H219" s="11" t="inlineStr"/>
      <c r="I219" s="12" t="inlineStr"/>
      <c r="J219" s="9" t="inlineStr"/>
      <c r="K219" s="9" t="inlineStr"/>
      <c r="L219" s="9" t="inlineStr"/>
      <c r="M219" s="9" t="inlineStr"/>
      <c r="N219" s="9" t="inlineStr"/>
      <c r="O219" s="9" t="inlineStr">
        <is>
          <t>missing</t>
        </is>
      </c>
      <c r="P219" s="9" t="inlineStr">
        <is>
          <t>no_benchmark_row</t>
        </is>
      </c>
      <c r="Q219" s="9" t="inlineStr">
        <is>
          <t>missing</t>
        </is>
      </c>
      <c r="R219" s="9" t="inlineStr"/>
      <c r="S219" s="9" t="inlineStr">
        <is>
          <t>No model/GPU/workload benchmark row was available.</t>
        </is>
      </c>
    </row>
    <row r="220">
      <c r="A220" s="9" t="inlineStr">
        <is>
          <t>qwen3.5</t>
        </is>
      </c>
      <c r="B220" s="9" t="inlineStr"/>
      <c r="C220" s="9" t="inlineStr">
        <is>
          <t>GB200</t>
        </is>
      </c>
      <c r="D220" s="9" t="inlineStr">
        <is>
          <t>long</t>
        </is>
      </c>
      <c r="E220" s="9" t="inlineStr">
        <is>
          <t>70</t>
        </is>
      </c>
      <c r="F220" s="9" t="inlineStr">
        <is>
          <t>False</t>
        </is>
      </c>
      <c r="G220" s="10" t="inlineStr"/>
      <c r="H220" s="11" t="inlineStr"/>
      <c r="I220" s="12" t="inlineStr"/>
      <c r="J220" s="9" t="inlineStr"/>
      <c r="K220" s="9" t="inlineStr"/>
      <c r="L220" s="9" t="inlineStr"/>
      <c r="M220" s="9" t="inlineStr"/>
      <c r="N220" s="9" t="inlineStr"/>
      <c r="O220" s="9" t="inlineStr">
        <is>
          <t>missing</t>
        </is>
      </c>
      <c r="P220" s="9" t="inlineStr">
        <is>
          <t>no_benchmark_row</t>
        </is>
      </c>
      <c r="Q220" s="9" t="inlineStr">
        <is>
          <t>missing</t>
        </is>
      </c>
      <c r="R220" s="9" t="inlineStr"/>
      <c r="S220" s="9" t="inlineStr">
        <is>
          <t>No model/GPU/workload benchmark row was available.</t>
        </is>
      </c>
    </row>
    <row r="221">
      <c r="A221" s="9" t="inlineStr">
        <is>
          <t>qwen3.5</t>
        </is>
      </c>
      <c r="B221" s="9" t="inlineStr"/>
      <c r="C221" s="9" t="inlineStr">
        <is>
          <t>GB200</t>
        </is>
      </c>
      <c r="D221" s="9" t="inlineStr">
        <is>
          <t>long</t>
        </is>
      </c>
      <c r="E221" s="9" t="inlineStr">
        <is>
          <t>100</t>
        </is>
      </c>
      <c r="F221" s="9" t="inlineStr">
        <is>
          <t>False</t>
        </is>
      </c>
      <c r="G221" s="10" t="inlineStr"/>
      <c r="H221" s="11" t="inlineStr"/>
      <c r="I221" s="12" t="inlineStr"/>
      <c r="J221" s="9" t="inlineStr"/>
      <c r="K221" s="9" t="inlineStr"/>
      <c r="L221" s="9" t="inlineStr"/>
      <c r="M221" s="9" t="inlineStr"/>
      <c r="N221" s="9" t="inlineStr"/>
      <c r="O221" s="9" t="inlineStr">
        <is>
          <t>missing</t>
        </is>
      </c>
      <c r="P221" s="9" t="inlineStr">
        <is>
          <t>no_benchmark_row</t>
        </is>
      </c>
      <c r="Q221" s="9" t="inlineStr">
        <is>
          <t>missing</t>
        </is>
      </c>
      <c r="R221" s="9" t="inlineStr"/>
      <c r="S221" s="9" t="inlineStr">
        <is>
          <t>No model/GPU/workload benchmark row was available.</t>
        </is>
      </c>
    </row>
    <row r="222">
      <c r="A222" s="9" t="inlineStr">
        <is>
          <t>qwen3.5</t>
        </is>
      </c>
      <c r="B222" s="9" t="inlineStr"/>
      <c r="C222" s="9" t="inlineStr">
        <is>
          <t>GB200</t>
        </is>
      </c>
      <c r="D222" s="9" t="inlineStr">
        <is>
          <t>agentic</t>
        </is>
      </c>
      <c r="E222" s="9" t="inlineStr">
        <is>
          <t>10</t>
        </is>
      </c>
      <c r="F222" s="9" t="inlineStr">
        <is>
          <t>False</t>
        </is>
      </c>
      <c r="G222" s="10" t="inlineStr"/>
      <c r="H222" s="11" t="inlineStr"/>
      <c r="I222" s="12" t="inlineStr"/>
      <c r="J222" s="9" t="inlineStr"/>
      <c r="K222" s="9" t="inlineStr"/>
      <c r="L222" s="9" t="inlineStr"/>
      <c r="M222" s="9" t="inlineStr"/>
      <c r="N222" s="9" t="inlineStr"/>
      <c r="O222" s="9" t="inlineStr">
        <is>
          <t>missing</t>
        </is>
      </c>
      <c r="P222" s="9" t="inlineStr">
        <is>
          <t>no_long_chat_proxy_row</t>
        </is>
      </c>
      <c r="Q222" s="9" t="inlineStr">
        <is>
          <t>missing</t>
        </is>
      </c>
      <c r="R222" s="9" t="inlineStr"/>
      <c r="S222" s="9" t="inlineStr">
        <is>
          <t>Agentic proxy could not be derived because no long-chat benchmark row was available.</t>
        </is>
      </c>
    </row>
    <row r="223">
      <c r="A223" s="9" t="inlineStr">
        <is>
          <t>qwen3.5</t>
        </is>
      </c>
      <c r="B223" s="9" t="inlineStr"/>
      <c r="C223" s="9" t="inlineStr">
        <is>
          <t>GB200</t>
        </is>
      </c>
      <c r="D223" s="9" t="inlineStr">
        <is>
          <t>agentic</t>
        </is>
      </c>
      <c r="E223" s="9" t="inlineStr">
        <is>
          <t>30</t>
        </is>
      </c>
      <c r="F223" s="9" t="inlineStr">
        <is>
          <t>False</t>
        </is>
      </c>
      <c r="G223" s="10" t="inlineStr"/>
      <c r="H223" s="11" t="inlineStr"/>
      <c r="I223" s="12" t="inlineStr"/>
      <c r="J223" s="9" t="inlineStr"/>
      <c r="K223" s="9" t="inlineStr"/>
      <c r="L223" s="9" t="inlineStr"/>
      <c r="M223" s="9" t="inlineStr"/>
      <c r="N223" s="9" t="inlineStr"/>
      <c r="O223" s="9" t="inlineStr">
        <is>
          <t>missing</t>
        </is>
      </c>
      <c r="P223" s="9" t="inlineStr">
        <is>
          <t>no_long_chat_proxy_row</t>
        </is>
      </c>
      <c r="Q223" s="9" t="inlineStr">
        <is>
          <t>missing</t>
        </is>
      </c>
      <c r="R223" s="9" t="inlineStr"/>
      <c r="S223" s="9" t="inlineStr">
        <is>
          <t>Agentic proxy could not be derived because no long-chat benchmark row was available.</t>
        </is>
      </c>
    </row>
    <row r="224">
      <c r="A224" s="9" t="inlineStr">
        <is>
          <t>qwen3.5</t>
        </is>
      </c>
      <c r="B224" s="9" t="inlineStr"/>
      <c r="C224" s="9" t="inlineStr">
        <is>
          <t>GB200</t>
        </is>
      </c>
      <c r="D224" s="9" t="inlineStr">
        <is>
          <t>agentic</t>
        </is>
      </c>
      <c r="E224" s="9" t="inlineStr">
        <is>
          <t>50</t>
        </is>
      </c>
      <c r="F224" s="9" t="inlineStr">
        <is>
          <t>False</t>
        </is>
      </c>
      <c r="G224" s="10" t="inlineStr"/>
      <c r="H224" s="11" t="inlineStr"/>
      <c r="I224" s="12" t="inlineStr"/>
      <c r="J224" s="9" t="inlineStr"/>
      <c r="K224" s="9" t="inlineStr"/>
      <c r="L224" s="9" t="inlineStr"/>
      <c r="M224" s="9" t="inlineStr"/>
      <c r="N224" s="9" t="inlineStr"/>
      <c r="O224" s="9" t="inlineStr">
        <is>
          <t>missing</t>
        </is>
      </c>
      <c r="P224" s="9" t="inlineStr">
        <is>
          <t>no_long_chat_proxy_row</t>
        </is>
      </c>
      <c r="Q224" s="9" t="inlineStr">
        <is>
          <t>missing</t>
        </is>
      </c>
      <c r="R224" s="9" t="inlineStr"/>
      <c r="S224" s="9" t="inlineStr">
        <is>
          <t>Agentic proxy could not be derived because no long-chat benchmark row was available.</t>
        </is>
      </c>
    </row>
    <row r="225">
      <c r="A225" s="9" t="inlineStr">
        <is>
          <t>qwen3.5</t>
        </is>
      </c>
      <c r="B225" s="9" t="inlineStr"/>
      <c r="C225" s="9" t="inlineStr">
        <is>
          <t>GB200</t>
        </is>
      </c>
      <c r="D225" s="9" t="inlineStr">
        <is>
          <t>agentic</t>
        </is>
      </c>
      <c r="E225" s="9" t="inlineStr">
        <is>
          <t>70</t>
        </is>
      </c>
      <c r="F225" s="9" t="inlineStr">
        <is>
          <t>False</t>
        </is>
      </c>
      <c r="G225" s="10" t="inlineStr"/>
      <c r="H225" s="11" t="inlineStr"/>
      <c r="I225" s="12" t="inlineStr"/>
      <c r="J225" s="9" t="inlineStr"/>
      <c r="K225" s="9" t="inlineStr"/>
      <c r="L225" s="9" t="inlineStr"/>
      <c r="M225" s="9" t="inlineStr"/>
      <c r="N225" s="9" t="inlineStr"/>
      <c r="O225" s="9" t="inlineStr">
        <is>
          <t>missing</t>
        </is>
      </c>
      <c r="P225" s="9" t="inlineStr">
        <is>
          <t>no_long_chat_proxy_row</t>
        </is>
      </c>
      <c r="Q225" s="9" t="inlineStr">
        <is>
          <t>missing</t>
        </is>
      </c>
      <c r="R225" s="9" t="inlineStr"/>
      <c r="S225" s="9" t="inlineStr">
        <is>
          <t>Agentic proxy could not be derived because no long-chat benchmark row was available.</t>
        </is>
      </c>
    </row>
    <row r="226">
      <c r="A226" s="9" t="inlineStr">
        <is>
          <t>qwen3.5</t>
        </is>
      </c>
      <c r="B226" s="9" t="inlineStr"/>
      <c r="C226" s="9" t="inlineStr">
        <is>
          <t>GB200</t>
        </is>
      </c>
      <c r="D226" s="9" t="inlineStr">
        <is>
          <t>agentic</t>
        </is>
      </c>
      <c r="E226" s="9" t="inlineStr">
        <is>
          <t>100</t>
        </is>
      </c>
      <c r="F226" s="9" t="inlineStr">
        <is>
          <t>False</t>
        </is>
      </c>
      <c r="G226" s="10" t="inlineStr"/>
      <c r="H226" s="11" t="inlineStr"/>
      <c r="I226" s="12" t="inlineStr"/>
      <c r="J226" s="9" t="inlineStr"/>
      <c r="K226" s="9" t="inlineStr"/>
      <c r="L226" s="9" t="inlineStr"/>
      <c r="M226" s="9" t="inlineStr"/>
      <c r="N226" s="9" t="inlineStr"/>
      <c r="O226" s="9" t="inlineStr">
        <is>
          <t>missing</t>
        </is>
      </c>
      <c r="P226" s="9" t="inlineStr">
        <is>
          <t>no_long_chat_proxy_row</t>
        </is>
      </c>
      <c r="Q226" s="9" t="inlineStr">
        <is>
          <t>missing</t>
        </is>
      </c>
      <c r="R226" s="9" t="inlineStr"/>
      <c r="S226" s="9" t="inlineStr">
        <is>
          <t>Agentic proxy could not be derived because no long-chat benchmark row was available.</t>
        </is>
      </c>
    </row>
  </sheetData>
  <autoFilter ref="A1:S2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17" customWidth="1" min="4" max="4"/>
    <col width="17" customWidth="1" min="5" max="5"/>
    <col width="17" customWidth="1" min="6" max="6"/>
    <col width="18" customWidth="1" min="7" max="7"/>
    <col width="22" customWidth="1" min="8" max="8"/>
    <col width="22" customWidth="1" min="9" max="9"/>
    <col width="22" customWidth="1" min="10" max="10"/>
    <col width="24" customWidth="1" min="11" max="11"/>
    <col width="45" customWidth="1" min="12" max="12"/>
    <col width="22" customWidth="1" min="13" max="13"/>
    <col width="22" customWidth="1" min="14" max="14"/>
    <col width="22" customWidth="1" min="15" max="15"/>
    <col width="24" customWidth="1" min="16" max="16"/>
    <col width="45" customWidth="1" min="17" max="17"/>
    <col width="22" customWidth="1" min="18" max="18"/>
    <col width="22" customWidth="1" min="19" max="19"/>
    <col width="22" customWidth="1" min="20" max="20"/>
    <col width="24" customWidth="1" min="21" max="21"/>
    <col width="58" customWidth="1" min="22" max="22"/>
    <col width="24" customWidth="1" min="23" max="23"/>
    <col width="24" customWidth="1" min="24" max="24"/>
    <col width="24" customWidth="1" min="25" max="25"/>
    <col width="26" customWidth="1" min="26" max="26"/>
    <col width="58" customWidth="1" min="27" max="27"/>
    <col width="17" customWidth="1" min="28" max="28"/>
    <col width="17" customWidth="1" min="29" max="29"/>
    <col width="17" customWidth="1" min="30" max="30"/>
    <col width="80" customWidth="1" min="31" max="31"/>
    <col width="50" customWidth="1" min="32" max="32"/>
    <col width="42" customWidth="1" min="33" max="33"/>
    <col width="42" customWidth="1" min="34" max="34"/>
    <col width="58" customWidth="1" min="35" max="35"/>
    <col width="72" customWidth="1" min="36" max="36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short_chat_share</t>
        </is>
      </c>
      <c r="E1" s="4" t="inlineStr">
        <is>
          <t>long_chat_share</t>
        </is>
      </c>
      <c r="F1" s="4" t="inlineStr">
        <is>
          <t>agentic_share</t>
        </is>
      </c>
      <c r="G1" s="4" t="inlineStr">
        <is>
          <t>chat_share_sum_check</t>
        </is>
      </c>
      <c r="H1" s="4" t="inlineStr">
        <is>
          <t>h200_short_chat_tps_per_mw</t>
        </is>
      </c>
      <c r="I1" s="4" t="inlineStr">
        <is>
          <t>h200_long_chat_tps_per_mw</t>
        </is>
      </c>
      <c r="J1" s="4" t="inlineStr">
        <is>
          <t>h200_agentic_tps_per_mw</t>
        </is>
      </c>
      <c r="K1" s="4" t="inlineStr">
        <is>
          <t>h200_workload_avg_tps_per_mw</t>
        </is>
      </c>
      <c r="L1" s="4" t="inlineStr">
        <is>
          <t>h200_status</t>
        </is>
      </c>
      <c r="M1" s="4" t="inlineStr">
        <is>
          <t>b200_short_chat_tps_per_mw</t>
        </is>
      </c>
      <c r="N1" s="4" t="inlineStr">
        <is>
          <t>b200_long_chat_tps_per_mw</t>
        </is>
      </c>
      <c r="O1" s="4" t="inlineStr">
        <is>
          <t>b200_agentic_tps_per_mw</t>
        </is>
      </c>
      <c r="P1" s="4" t="inlineStr">
        <is>
          <t>b200_workload_avg_tps_per_mw</t>
        </is>
      </c>
      <c r="Q1" s="4" t="inlineStr">
        <is>
          <t>b200_status</t>
        </is>
      </c>
      <c r="R1" s="4" t="inlineStr">
        <is>
          <t>gb200_short_chat_tps_per_mw</t>
        </is>
      </c>
      <c r="S1" s="4" t="inlineStr">
        <is>
          <t>gb200_long_chat_tps_per_mw</t>
        </is>
      </c>
      <c r="T1" s="4" t="inlineStr">
        <is>
          <t>gb200_agentic_tps_per_mw</t>
        </is>
      </c>
      <c r="U1" s="4" t="inlineStr">
        <is>
          <t>gb200_workload_avg_tps_per_mw</t>
        </is>
      </c>
      <c r="V1" s="4" t="inlineStr">
        <is>
          <t>gb200_status</t>
        </is>
      </c>
      <c r="W1" s="4" t="inlineStr">
        <is>
          <t>purpose_short_chat_tps_per_mw</t>
        </is>
      </c>
      <c r="X1" s="4" t="inlineStr">
        <is>
          <t>purpose_long_chat_tps_per_mw</t>
        </is>
      </c>
      <c r="Y1" s="4" t="inlineStr">
        <is>
          <t>purpose_agentic_tps_per_mw</t>
        </is>
      </c>
      <c r="Z1" s="4" t="inlineStr">
        <is>
          <t>purpose_workload_avg_tps_per_mw</t>
        </is>
      </c>
      <c r="AA1" s="4" t="inlineStr">
        <is>
          <t>purpose_status</t>
        </is>
      </c>
      <c r="AB1" s="4" t="inlineStr">
        <is>
          <t>bear_fit_factor</t>
        </is>
      </c>
      <c r="AC1" s="4" t="inlineStr">
        <is>
          <t>base_fit_factor</t>
        </is>
      </c>
      <c r="AD1" s="4" t="inlineStr">
        <is>
          <t>bull_fit_factor</t>
        </is>
      </c>
      <c r="AE1" s="4" t="inlineStr">
        <is>
          <t>rationale</t>
        </is>
      </c>
      <c r="AF1" s="4" t="inlineStr">
        <is>
          <t>source_ids</t>
        </is>
      </c>
      <c r="AG1" s="4" t="inlineStr">
        <is>
          <t>short_chat_condition</t>
        </is>
      </c>
      <c r="AH1" s="4" t="inlineStr">
        <is>
          <t>long_chat_condition</t>
        </is>
      </c>
      <c r="AI1" s="4" t="inlineStr">
        <is>
          <t>agentic_condition</t>
        </is>
      </c>
      <c r="AJ1" s="4" t="inlineStr">
        <is>
          <t>concurrency_interactivity_rule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17" t="n">
        <v>0.45</v>
      </c>
      <c r="E2" s="17" t="n">
        <v>0.3</v>
      </c>
      <c r="F2" s="17" t="n">
        <v>0.25</v>
      </c>
      <c r="G2" s="6">
        <f>SUM(D2:F2)</f>
        <v/>
      </c>
      <c r="H2" s="18" t="n">
        <v>1459609</v>
      </c>
      <c r="I2" s="18" t="n">
        <v>1451169</v>
      </c>
      <c r="J2" s="18" t="n">
        <v>157736</v>
      </c>
      <c r="K2" s="7">
        <f>D2*H2+E2*I2+F2*J2</f>
        <v/>
      </c>
      <c r="L2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2" s="18" t="n">
        <v>4516967</v>
      </c>
      <c r="N2" s="18" t="n">
        <v>2629943</v>
      </c>
      <c r="O2" s="18" t="n">
        <v>285863</v>
      </c>
      <c r="P2" s="7">
        <f>D2*M2+E2*N2+F2*O2</f>
        <v/>
      </c>
      <c r="Q2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2" s="18" t="n">
        <v>4516967</v>
      </c>
      <c r="S2" s="18" t="n">
        <v>2629943</v>
      </c>
      <c r="T2" s="18" t="n">
        <v>285863</v>
      </c>
      <c r="U2" s="7">
        <f>D2*R2+E2*S2+F2*T2</f>
        <v/>
      </c>
      <c r="V2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2" s="18" t="n">
        <v>4516967</v>
      </c>
      <c r="X2" s="18" t="n">
        <v>2629943</v>
      </c>
      <c r="Y2" s="18" t="n">
        <v>285863</v>
      </c>
      <c r="Z2" s="7">
        <f>D2*W2+E2*X2+F2*Y2</f>
        <v/>
      </c>
      <c r="AA2" s="3" t="inlineStr">
        <is>
          <t>B200 placeholder until comparable purpose-built output-token/MW benchmark is adopted.</t>
        </is>
      </c>
      <c r="AB2" s="17" t="n">
        <v>0.4</v>
      </c>
      <c r="AC2" s="17" t="n">
        <v>0.6</v>
      </c>
      <c r="AD2" s="17" t="n">
        <v>0.8</v>
      </c>
      <c r="AE2" s="3" t="inlineStr">
        <is>
          <t>Microsoft has broad Copilot surfaces plus GitHub/Codex-style developer workflows; agentic share is material but not dominant.</t>
        </is>
      </c>
      <c r="AF2" s="3" t="inlineStr">
        <is>
          <t>SRC_OPENAI_CODEX_RATE_CARD; SRC_AZURE_OPENAI; SRC_MS_MAIA200</t>
        </is>
      </c>
      <c r="AG2" s="3" t="inlineStr">
        <is>
          <t>ISL/OSL 1024/1024; concurrency 32-256; interactive balanced serving</t>
        </is>
      </c>
      <c r="AH2" s="3" t="inlineStr">
        <is>
          <t>ISL/OSL 8192/1024; concurrency 32-256; interactive long-context serving</t>
        </is>
      </c>
      <c r="AI2" s="3" t="inlineStr">
        <is>
          <t>Trace avg ISL/OSL 100947/860; derived from long_chat TPS/MW x 11%; agentic/tool workflow derived from Kimi K2.5 dynamic reasoning</t>
        </is>
      </c>
      <c r="AJ2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frontier_composite</t>
        </is>
      </c>
      <c r="D3" s="17" t="n">
        <v>0.4</v>
      </c>
      <c r="E3" s="17" t="n">
        <v>0.4</v>
      </c>
      <c r="F3" s="17" t="n">
        <v>0.2</v>
      </c>
      <c r="G3" s="6">
        <f>SUM(D3:F3)</f>
        <v/>
      </c>
      <c r="H3" s="18" t="n">
        <v>1459609</v>
      </c>
      <c r="I3" s="18" t="n">
        <v>1451169</v>
      </c>
      <c r="J3" s="18" t="n">
        <v>157736</v>
      </c>
      <c r="K3" s="7">
        <f>D3*H3+E3*I3+F3*J3</f>
        <v/>
      </c>
      <c r="L3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3" s="18" t="n">
        <v>135306</v>
      </c>
      <c r="N3" s="18" t="n">
        <v>269470</v>
      </c>
      <c r="O3" s="18" t="n">
        <v>29290</v>
      </c>
      <c r="P3" s="7">
        <f>D3*M3+E3*N3+F3*O3</f>
        <v/>
      </c>
      <c r="Q3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3" s="18" t="n">
        <v>105270</v>
      </c>
      <c r="S3" s="18" t="n">
        <v>422015</v>
      </c>
      <c r="T3" s="18" t="n">
        <v>45871</v>
      </c>
      <c r="U3" s="7">
        <f>D3*R3+E3*S3+F3*T3</f>
        <v/>
      </c>
      <c r="V3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3" s="18" t="n">
        <v>135306</v>
      </c>
      <c r="X3" s="18" t="n">
        <v>269470</v>
      </c>
      <c r="Y3" s="18" t="n">
        <v>29290</v>
      </c>
      <c r="Z3" s="7">
        <f>D3*W3+E3*X3+F3*Y3</f>
        <v/>
      </c>
      <c r="AA3" s="3" t="inlineStr">
        <is>
          <t>B200 placeholder until comparable purpose-built output-token/MW benchmark is adopted.</t>
        </is>
      </c>
      <c r="AB3" s="17" t="n">
        <v>0.4</v>
      </c>
      <c r="AC3" s="17" t="n">
        <v>0.6</v>
      </c>
      <c r="AD3" s="17" t="n">
        <v>0.8</v>
      </c>
      <c r="AE3" s="3" t="inlineStr">
        <is>
          <t>Gemini emphasizes long-context and enterprise agent platforms, but broad Workspace/Search-style assistant use remains large.</t>
        </is>
      </c>
      <c r="AF3" s="3" t="inlineStr">
        <is>
          <t>SRC_GOOGLE_GEMINI_LONG_CONTEXT; SRC_GOOGLE_GEMINI_AGENT_PLATFORM; SRC_GOOGLE_GEMINI_TOKENS</t>
        </is>
      </c>
      <c r="AG3" s="3" t="inlineStr">
        <is>
          <t>ISL/OSL 1024/1024; concurrency 32-256; interactive balanced serving</t>
        </is>
      </c>
      <c r="AH3" s="3" t="inlineStr">
        <is>
          <t>ISL/OSL 8192/1024; concurrency 32-256; interactive long-context serving</t>
        </is>
      </c>
      <c r="AI3" s="3" t="inlineStr">
        <is>
          <t>Trace avg ISL/OSL 100947/860; derived from long_chat TPS/MW x 11%; agentic/tool workflow derived from Kimi K2.5 dynamic reasoning</t>
        </is>
      </c>
      <c r="AJ3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17" t="n">
        <v>0.7</v>
      </c>
      <c r="E4" s="17" t="n">
        <v>0.2</v>
      </c>
      <c r="F4" s="17" t="n">
        <v>0.1</v>
      </c>
      <c r="G4" s="6">
        <f>SUM(D4:F4)</f>
        <v/>
      </c>
      <c r="H4" s="18" t="n">
        <v>965061</v>
      </c>
      <c r="I4" s="18" t="n">
        <v>247853</v>
      </c>
      <c r="J4" s="18" t="n">
        <v>26941</v>
      </c>
      <c r="K4" s="7">
        <f>D4*H4+E4*I4+F4*J4</f>
        <v/>
      </c>
      <c r="L4" s="3" t="inlineStr">
        <is>
          <t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t>
        </is>
      </c>
      <c r="M4" s="18" t="n">
        <v>1228515</v>
      </c>
      <c r="N4" s="18" t="n">
        <v>384593</v>
      </c>
      <c r="O4" s="18" t="n">
        <v>41804</v>
      </c>
      <c r="P4" s="7">
        <f>D4*M4+E4*N4+F4*O4</f>
        <v/>
      </c>
      <c r="Q4" s="3" t="inlineStr">
        <is>
          <t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t>
        </is>
      </c>
      <c r="R4" s="18" t="n">
        <v>1228515</v>
      </c>
      <c r="S4" s="18" t="n">
        <v>384593</v>
      </c>
      <c r="T4" s="18" t="n">
        <v>41804</v>
      </c>
      <c r="U4" s="7">
        <f>D4*R4+E4*S4+F4*T4</f>
        <v/>
      </c>
      <c r="V4" s="3" t="inlineStr">
        <is>
          <t>short: B200 placeholder - missing matched short-chat rows; public max - optimized stack unavailable; vllm/fp8, concurrency 64; long: B200 placeholder - insufficient/missing matched 8192/1024 rows; public max - optimized stack unavailable; vllm/fp8, concurrency 64; agentic: Derived from long_chat x Kimi K2.5 agentic/long ratio (10.9%)</t>
        </is>
      </c>
      <c r="W4" s="18" t="n">
        <v>1228515</v>
      </c>
      <c r="X4" s="18" t="n">
        <v>384593</v>
      </c>
      <c r="Y4" s="18" t="n">
        <v>41804</v>
      </c>
      <c r="Z4" s="7">
        <f>D4*W4+E4*X4+F4*Y4</f>
        <v/>
      </c>
      <c r="AA4" s="3" t="inlineStr">
        <is>
          <t>B200 placeholder until comparable purpose-built output-token/MW benchmark is adopted.</t>
        </is>
      </c>
      <c r="AB4" s="17" t="n">
        <v>0.75</v>
      </c>
      <c r="AC4" s="17" t="n">
        <v>0.9</v>
      </c>
      <c r="AD4" s="17" t="n">
        <v>1</v>
      </c>
      <c r="AE4" s="3" t="inlineStr">
        <is>
          <t>Meta AI and Business Agent are high-volume messaging/customer-service surfaces; agentic enterprise actions are emerging but smaller in Base.</t>
        </is>
      </c>
      <c r="AF4" s="3" t="inlineStr">
        <is>
          <t>SRC_META_BUSINESS_AGENT; SRC_META_LLAMA; SRC_META_MTIA_GENAI_2026</t>
        </is>
      </c>
      <c r="AG4" s="3" t="inlineStr">
        <is>
          <t>ISL/OSL 1024/1024; concurrency 32-256; interactive balanced serving</t>
        </is>
      </c>
      <c r="AH4" s="3" t="inlineStr">
        <is>
          <t>ISL/OSL 8192/1024; concurrency 32-256; interactive long-context serving</t>
        </is>
      </c>
      <c r="AI4" s="3" t="inlineStr">
        <is>
          <t>Trace avg ISL/OSL 100947/860; derived from long_chat TPS/MW x 11%; agentic/tool workflow derived from Kimi K2.5 dynamic reasoning</t>
        </is>
      </c>
      <c r="AJ4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17" t="n">
        <v>0.45</v>
      </c>
      <c r="E5" s="17" t="n">
        <v>0.35</v>
      </c>
      <c r="F5" s="17" t="n">
        <v>0.2</v>
      </c>
      <c r="G5" s="6">
        <f>SUM(D5:F5)</f>
        <v/>
      </c>
      <c r="H5" s="18" t="n">
        <v>1459609</v>
      </c>
      <c r="I5" s="18" t="n">
        <v>1451169</v>
      </c>
      <c r="J5" s="18" t="n">
        <v>157736</v>
      </c>
      <c r="K5" s="7">
        <f>D5*H5+E5*I5+F5*J5</f>
        <v/>
      </c>
      <c r="L5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5" s="18" t="n">
        <v>4516967</v>
      </c>
      <c r="N5" s="18" t="n">
        <v>2629943</v>
      </c>
      <c r="O5" s="18" t="n">
        <v>285863</v>
      </c>
      <c r="P5" s="7">
        <f>D5*M5+E5*N5+F5*O5</f>
        <v/>
      </c>
      <c r="Q5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5" s="18" t="n">
        <v>4516967</v>
      </c>
      <c r="S5" s="18" t="n">
        <v>2629943</v>
      </c>
      <c r="T5" s="18" t="n">
        <v>285863</v>
      </c>
      <c r="U5" s="7">
        <f>D5*R5+E5*S5+F5*T5</f>
        <v/>
      </c>
      <c r="V5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5" s="18" t="n">
        <v>4516967</v>
      </c>
      <c r="X5" s="18" t="n">
        <v>2629943</v>
      </c>
      <c r="Y5" s="18" t="n">
        <v>285863</v>
      </c>
      <c r="Z5" s="7">
        <f>D5*W5+E5*X5+F5*Y5</f>
        <v/>
      </c>
      <c r="AA5" s="3" t="inlineStr">
        <is>
          <t>B200 placeholder until comparable purpose-built output-token/MW benchmark is adopted.</t>
        </is>
      </c>
      <c r="AB5" s="17" t="n">
        <v>0.35</v>
      </c>
      <c r="AC5" s="17" t="n">
        <v>0.55</v>
      </c>
      <c r="AD5" s="17" t="n">
        <v>0.75</v>
      </c>
      <c r="AE5" s="3" t="inlineStr">
        <is>
          <t>Grok is modeled as interactive plus reasoning/search-style use; coding-agent share is not as directly evidenced as Anthropic/OpenAI.</t>
        </is>
      </c>
      <c r="AF5" s="3" t="inlineStr">
        <is>
          <t>SRC_XAI_MODELS; SRC_XAI_NVIDIA_COLOSSUS</t>
        </is>
      </c>
      <c r="AG5" s="3" t="inlineStr">
        <is>
          <t>ISL/OSL 1024/1024; concurrency 32-256; interactive balanced serving</t>
        </is>
      </c>
      <c r="AH5" s="3" t="inlineStr">
        <is>
          <t>ISL/OSL 8192/1024; concurrency 32-256; interactive long-context serving</t>
        </is>
      </c>
      <c r="AI5" s="3" t="inlineStr">
        <is>
          <t>Trace avg ISL/OSL 100947/860; derived from long_chat TPS/MW x 11%; agentic/tool workflow derived from Kimi K2.5 dynamic reasoning</t>
        </is>
      </c>
      <c r="AJ5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frontier_composite</t>
        </is>
      </c>
      <c r="D6" s="17" t="n">
        <v>0.45</v>
      </c>
      <c r="E6" s="17" t="n">
        <v>0.25</v>
      </c>
      <c r="F6" s="17" t="n">
        <v>0.3</v>
      </c>
      <c r="G6" s="6">
        <f>SUM(D6:F6)</f>
        <v/>
      </c>
      <c r="H6" s="18" t="n">
        <v>1459609</v>
      </c>
      <c r="I6" s="18" t="n">
        <v>1451169</v>
      </c>
      <c r="J6" s="18" t="n">
        <v>157736</v>
      </c>
      <c r="K6" s="7">
        <f>D6*H6+E6*I6+F6*J6</f>
        <v/>
      </c>
      <c r="L6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6" s="18" t="n">
        <v>135306</v>
      </c>
      <c r="N6" s="18" t="n">
        <v>269470</v>
      </c>
      <c r="O6" s="18" t="n">
        <v>29290</v>
      </c>
      <c r="P6" s="7">
        <f>D6*M6+E6*N6+F6*O6</f>
        <v/>
      </c>
      <c r="Q6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6" s="18" t="n">
        <v>105270</v>
      </c>
      <c r="S6" s="18" t="n">
        <v>422015</v>
      </c>
      <c r="T6" s="18" t="n">
        <v>45871</v>
      </c>
      <c r="U6" s="7">
        <f>D6*R6+E6*S6+F6*T6</f>
        <v/>
      </c>
      <c r="V6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6" s="18" t="n">
        <v>135306</v>
      </c>
      <c r="X6" s="18" t="n">
        <v>269470</v>
      </c>
      <c r="Y6" s="18" t="n">
        <v>29290</v>
      </c>
      <c r="Z6" s="7">
        <f>D6*W6+E6*X6+F6*Y6</f>
        <v/>
      </c>
      <c r="AA6" s="3" t="inlineStr">
        <is>
          <t>B200 placeholder until comparable purpose-built output-token/MW benchmark is adopted.</t>
        </is>
      </c>
      <c r="AB6" s="17" t="n">
        <v>0.3</v>
      </c>
      <c r="AC6" s="17" t="n">
        <v>0.5</v>
      </c>
      <c r="AD6" s="17" t="n">
        <v>0.7</v>
      </c>
      <c r="AE6" s="3" t="inlineStr">
        <is>
          <t>ChatGPT remains broad short-chat/API, while Codex token-based pricing and ChatGPT agentic features support a large agentic slice.</t>
        </is>
      </c>
      <c r="AF6" s="3" t="inlineStr">
        <is>
          <t>SRC_OPENAI_CODEX_RATE_CARD; SRC_OPENAI_CHATGPT_ENTERPRISE; SRC_OPENAI_API_PRICING</t>
        </is>
      </c>
      <c r="AG6" s="3" t="inlineStr">
        <is>
          <t>ISL/OSL 1024/1024; concurrency 32-256; interactive balanced serving</t>
        </is>
      </c>
      <c r="AH6" s="3" t="inlineStr">
        <is>
          <t>ISL/OSL 8192/1024; concurrency 32-256; interactive long-context serving</t>
        </is>
      </c>
      <c r="AI6" s="3" t="inlineStr">
        <is>
          <t>Trace avg ISL/OSL 100947/860; derived from long_chat TPS/MW x 11%; agentic/tool workflow derived from Kimi K2.5 dynamic reasoning</t>
        </is>
      </c>
      <c r="AJ6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frontier_composite</t>
        </is>
      </c>
      <c r="D7" s="17" t="n">
        <v>0.3</v>
      </c>
      <c r="E7" s="17" t="n">
        <v>0.3</v>
      </c>
      <c r="F7" s="17" t="n">
        <v>0.4</v>
      </c>
      <c r="G7" s="6">
        <f>SUM(D7:F7)</f>
        <v/>
      </c>
      <c r="H7" s="18" t="n">
        <v>1459609</v>
      </c>
      <c r="I7" s="18" t="n">
        <v>1451169</v>
      </c>
      <c r="J7" s="18" t="n">
        <v>157736</v>
      </c>
      <c r="K7" s="7">
        <f>D7*H7+E7*I7+F7*J7</f>
        <v/>
      </c>
      <c r="L7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7" s="18" t="n">
        <v>135306</v>
      </c>
      <c r="N7" s="18" t="n">
        <v>269470</v>
      </c>
      <c r="O7" s="18" t="n">
        <v>29290</v>
      </c>
      <c r="P7" s="7">
        <f>D7*M7+E7*N7+F7*O7</f>
        <v/>
      </c>
      <c r="Q7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7" s="18" t="n">
        <v>105270</v>
      </c>
      <c r="S7" s="18" t="n">
        <v>422015</v>
      </c>
      <c r="T7" s="18" t="n">
        <v>45871</v>
      </c>
      <c r="U7" s="7">
        <f>D7*R7+E7*S7+F7*T7</f>
        <v/>
      </c>
      <c r="V7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7" s="18" t="n">
        <v>135306</v>
      </c>
      <c r="X7" s="18" t="n">
        <v>269470</v>
      </c>
      <c r="Y7" s="18" t="n">
        <v>29290</v>
      </c>
      <c r="Z7" s="7">
        <f>D7*W7+E7*X7+F7*Y7</f>
        <v/>
      </c>
      <c r="AA7" s="3" t="inlineStr">
        <is>
          <t>B200 placeholder until comparable purpose-built output-token/MW benchmark is adopted.</t>
        </is>
      </c>
      <c r="AB7" s="17" t="n">
        <v>0.3</v>
      </c>
      <c r="AC7" s="17" t="n">
        <v>0.5</v>
      </c>
      <c r="AD7" s="17" t="n">
        <v>0.7</v>
      </c>
      <c r="AE7" s="3" t="inlineStr">
        <is>
          <t>Claude Enterprise guidance explicitly says Claude Code and Cowork are significantly more token-intensive than chat; Claude Code usage evidence supports the highest agentic mix.</t>
        </is>
      </c>
      <c r="AF7" s="3" t="inlineStr">
        <is>
          <t>SRC_ANTHROPIC_CONSUMPTION_GUIDE; SRC_ANTHROPIC_CODE_PRACTICE; SRC_ANTHROPIC_CLAUDE_DOCS</t>
        </is>
      </c>
      <c r="AG7" s="3" t="inlineStr">
        <is>
          <t>ISL/OSL 1024/1024; concurrency 32-256; interactive balanced serving</t>
        </is>
      </c>
      <c r="AH7" s="3" t="inlineStr">
        <is>
          <t>ISL/OSL 8192/1024; concurrency 32-256; interactive long-context serving</t>
        </is>
      </c>
      <c r="AI7" s="3" t="inlineStr">
        <is>
          <t>Trace avg ISL/OSL 100947/860; derived from long_chat TPS/MW x 11%; agentic/tool workflow derived from Kimi K2.5 dynamic reasoning</t>
        </is>
      </c>
      <c r="AJ7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17" t="n">
        <v>0.35</v>
      </c>
      <c r="E8" s="17" t="n">
        <v>0.4</v>
      </c>
      <c r="F8" s="17" t="n">
        <v>0.25</v>
      </c>
      <c r="G8" s="6">
        <f>SUM(D8:F8)</f>
        <v/>
      </c>
      <c r="H8" s="18" t="n">
        <v>150172</v>
      </c>
      <c r="I8" s="18" t="n">
        <v>104025</v>
      </c>
      <c r="J8" s="18" t="n">
        <v>11307</v>
      </c>
      <c r="K8" s="7">
        <f>D8*H8+E8*I8+F8*J8</f>
        <v/>
      </c>
      <c r="L8" s="3" t="inlineStr">
        <is>
          <t>short: Public 1024/1024 reference selected; public max - optimized stack unavailable; sglang/fp8, concurrency 64; long: Public 8192/1024 reference selected; public max - optimized stack unavailable; sglang/fp8, concurrency 64; agentic: Derived from long_chat x Kimi K2.5 agentic/long ratio (10.9%)</t>
        </is>
      </c>
      <c r="M8" s="18" t="n">
        <v>393572</v>
      </c>
      <c r="N8" s="18" t="n">
        <v>131309</v>
      </c>
      <c r="O8" s="18" t="n">
        <v>14273</v>
      </c>
      <c r="P8" s="7">
        <f>D8*M8+E8*N8+F8*O8</f>
        <v/>
      </c>
      <c r="Q8" s="3" t="inlineStr">
        <is>
          <t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t>
        </is>
      </c>
      <c r="R8" s="18" t="n">
        <v>393572</v>
      </c>
      <c r="S8" s="18" t="n">
        <v>131309</v>
      </c>
      <c r="T8" s="18" t="n">
        <v>14273</v>
      </c>
      <c r="U8" s="7">
        <f>D8*R8+E8*S8+F8*T8</f>
        <v/>
      </c>
      <c r="V8" s="3" t="inlineStr">
        <is>
          <t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t>
        </is>
      </c>
      <c r="W8" s="18" t="n">
        <v>393572</v>
      </c>
      <c r="X8" s="18" t="n">
        <v>131309</v>
      </c>
      <c r="Y8" s="18" t="n">
        <v>14273</v>
      </c>
      <c r="Z8" s="7">
        <f>D8*W8+E8*X8+F8*Y8</f>
        <v/>
      </c>
      <c r="AA8" s="3" t="inlineStr">
        <is>
          <t>B200 placeholder until comparable purpose-built output-token/MW benchmark is adopted.</t>
        </is>
      </c>
      <c r="AB8" s="17" t="n">
        <v>0.65</v>
      </c>
      <c r="AC8" s="17" t="n">
        <v>0.85</v>
      </c>
      <c r="AD8" s="17" t="n">
        <v>1</v>
      </c>
      <c r="AE8" s="3" t="inlineStr">
        <is>
          <t>DeepSeek R1/V3 traffic is modeled as reasoning/API-heavy with meaningful long-context and developer use, but no direct enterprise-agent surface disclosure.</t>
        </is>
      </c>
      <c r="AF8" s="3" t="inlineStr">
        <is>
          <t>SRC_DEEPSEEK_V3; SRC_DEEPSEEK_R1; SRC_DEEPSEEK_H800_INFERENCE</t>
        </is>
      </c>
      <c r="AG8" s="3" t="inlineStr">
        <is>
          <t>ISL/OSL 1024/1024; concurrency 32-256; interactive balanced serving</t>
        </is>
      </c>
      <c r="AH8" s="3" t="inlineStr">
        <is>
          <t>ISL/OSL 8192/1024; concurrency 32-256; interactive long-context serving</t>
        </is>
      </c>
      <c r="AI8" s="3" t="inlineStr">
        <is>
          <t>Trace avg ISL/OSL 100947/860; derived from long_chat TPS/MW x 11%; agentic/tool workflow derived from Kimi K2.5 dynamic reasoning</t>
        </is>
      </c>
      <c r="AJ8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17" t="n">
        <v>0.45</v>
      </c>
      <c r="E9" s="17" t="n">
        <v>0.35</v>
      </c>
      <c r="F9" s="17" t="n">
        <v>0.2</v>
      </c>
      <c r="G9" s="6">
        <f>SUM(D9:F9)</f>
        <v/>
      </c>
      <c r="H9" s="18" t="n">
        <v>246069</v>
      </c>
      <c r="I9" s="18" t="n">
        <v>150267</v>
      </c>
      <c r="J9" s="18" t="n">
        <v>16333</v>
      </c>
      <c r="K9" s="7">
        <f>D9*H9+E9*I9+F9*J9</f>
        <v/>
      </c>
      <c r="L9" s="3" t="inlineStr">
        <is>
          <t>short: Public 1024/1024 reference selected; public max - optimized stack unavailable; sglang/fp8, concurrency 128; long: Public 8192/1024 reference selected; public max - optimized stack unavailable; sglang/fp8, concurrency 128; agentic: Derived from long_chat x Kimi K2.5 agentic/long ratio (10.9%)</t>
        </is>
      </c>
      <c r="M9" s="18" t="n">
        <v>1106733</v>
      </c>
      <c r="N9" s="18" t="n">
        <v>506838</v>
      </c>
      <c r="O9" s="18" t="n">
        <v>55091</v>
      </c>
      <c r="P9" s="7">
        <f>D9*M9+E9*N9+F9*O9</f>
        <v/>
      </c>
      <c r="Q9" s="3" t="inlineStr">
        <is>
          <t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t>
        </is>
      </c>
      <c r="R9" s="18" t="n">
        <v>1106733</v>
      </c>
      <c r="S9" s="18" t="n">
        <v>506838</v>
      </c>
      <c r="T9" s="18" t="n">
        <v>55091</v>
      </c>
      <c r="U9" s="7">
        <f>D9*R9+E9*S9+F9*T9</f>
        <v/>
      </c>
      <c r="V9" s="3" t="inlineStr">
        <is>
          <t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t>
        </is>
      </c>
      <c r="W9" s="18" t="n">
        <v>1106733</v>
      </c>
      <c r="X9" s="18" t="n">
        <v>506838</v>
      </c>
      <c r="Y9" s="18" t="n">
        <v>55091</v>
      </c>
      <c r="Z9" s="7">
        <f>D9*W9+E9*X9+F9*Y9</f>
        <v/>
      </c>
      <c r="AA9" s="3" t="inlineStr">
        <is>
          <t>B200 placeholder until comparable purpose-built output-token/MW benchmark is adopted.</t>
        </is>
      </c>
      <c r="AB9" s="17" t="n">
        <v>0.7</v>
      </c>
      <c r="AC9" s="17" t="n">
        <v>0.9</v>
      </c>
      <c r="AD9" s="17" t="n">
        <v>1</v>
      </c>
      <c r="AE9" s="3" t="inlineStr">
        <is>
          <t>Qwen/Model Studio is enterprise/API-heavy; long/reasoning use is meaningful while broad cloud assistant traffic keeps short chat substantial.</t>
        </is>
      </c>
      <c r="AF9" s="3" t="inlineStr">
        <is>
          <t>SRC_QWEN3_GITHUB; SRC_ALIBABA_QWEN_GPU_DEPLOY</t>
        </is>
      </c>
      <c r="AG9" s="3" t="inlineStr">
        <is>
          <t>ISL/OSL 1024/1024; concurrency 32-256; interactive balanced serving</t>
        </is>
      </c>
      <c r="AH9" s="3" t="inlineStr">
        <is>
          <t>ISL/OSL 8192/1024; concurrency 32-256; interactive long-context serving</t>
        </is>
      </c>
      <c r="AI9" s="3" t="inlineStr">
        <is>
          <t>Trace avg ISL/OSL 100947/860; derived from long_chat TPS/MW x 11%; agentic/tool workflow derived from Kimi K2.5 dynamic reasoning</t>
        </is>
      </c>
      <c r="AJ9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17" t="n">
        <v>0.65</v>
      </c>
      <c r="E10" s="17" t="n">
        <v>0.25</v>
      </c>
      <c r="F10" s="17" t="n">
        <v>0.1</v>
      </c>
      <c r="G10" s="6">
        <f>SUM(D10:F10)</f>
        <v/>
      </c>
      <c r="H10" s="18" t="n">
        <v>1459609</v>
      </c>
      <c r="I10" s="18" t="n">
        <v>1451169</v>
      </c>
      <c r="J10" s="18" t="n">
        <v>157736</v>
      </c>
      <c r="K10" s="7">
        <f>D10*H10+E10*I10+F10*J10</f>
        <v/>
      </c>
      <c r="L10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10" s="18" t="n">
        <v>4516967</v>
      </c>
      <c r="N10" s="18" t="n">
        <v>2629943</v>
      </c>
      <c r="O10" s="18" t="n">
        <v>285863</v>
      </c>
      <c r="P10" s="7">
        <f>D10*M10+E10*N10+F10*O10</f>
        <v/>
      </c>
      <c r="Q10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10" s="18" t="n">
        <v>4516967</v>
      </c>
      <c r="S10" s="18" t="n">
        <v>2629943</v>
      </c>
      <c r="T10" s="18" t="n">
        <v>285863</v>
      </c>
      <c r="U10" s="7">
        <f>D10*R10+E10*S10+F10*T10</f>
        <v/>
      </c>
      <c r="V10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10" s="18" t="n">
        <v>4516967</v>
      </c>
      <c r="X10" s="18" t="n">
        <v>2629943</v>
      </c>
      <c r="Y10" s="18" t="n">
        <v>285863</v>
      </c>
      <c r="Z10" s="7">
        <f>D10*W10+E10*X10+F10*Y10</f>
        <v/>
      </c>
      <c r="AA10" s="3" t="inlineStr">
        <is>
          <t>B200 placeholder until comparable purpose-built output-token/MW benchmark is adopted.</t>
        </is>
      </c>
      <c r="AB10" s="17" t="n">
        <v>0.4</v>
      </c>
      <c r="AC10" s="17" t="n">
        <v>0.6</v>
      </c>
      <c r="AD10" s="17" t="n">
        <v>0.8</v>
      </c>
      <c r="AE10" s="3" t="inlineStr">
        <is>
          <t>Hunyuan/Yuanbao and WeChat/Tencent Cloud surfaces are modeled as consumer/business chat-heavy; agentic action use is emerging but lower in Base.</t>
        </is>
      </c>
      <c r="AF10" s="3" t="inlineStr">
        <is>
          <t>SRC_TENCENT_HUNYUAN; SRC_TENCENT_AI_INFRA_MOE</t>
        </is>
      </c>
      <c r="AG10" s="3" t="inlineStr">
        <is>
          <t>ISL/OSL 1024/1024; concurrency 32-256; interactive balanced serving</t>
        </is>
      </c>
      <c r="AH10" s="3" t="inlineStr">
        <is>
          <t>ISL/OSL 8192/1024; concurrency 32-256; interactive long-context serving</t>
        </is>
      </c>
      <c r="AI10" s="3" t="inlineStr">
        <is>
          <t>Trace avg ISL/OSL 100947/860; derived from long_chat TPS/MW x 11%; agentic/tool workflow derived from Kimi K2.5 dynamic reasoning</t>
        </is>
      </c>
      <c r="AJ10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</sheetData>
  <autoFilter ref="A1:AJ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8" customWidth="1" min="3" max="3"/>
    <col width="3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0" customWidth="1" min="10" max="10"/>
    <col width="24" customWidth="1" min="11" max="11"/>
    <col width="18" customWidth="1" min="12" max="12"/>
    <col width="18" customWidth="1" min="13" max="13"/>
    <col width="20" customWidth="1" min="14" max="14"/>
    <col width="18" customWidth="1" min="15" max="15"/>
    <col width="24" customWidth="1" min="16" max="16"/>
    <col width="34" customWidth="1" min="17" max="17"/>
    <col width="18" customWidth="1" min="18" max="18"/>
    <col width="92" customWidth="1" min="19" max="19"/>
  </cols>
  <sheetData>
    <row r="1">
      <c r="A1" s="4" t="inlineStr">
        <is>
          <t>proxy_model</t>
        </is>
      </c>
      <c r="B1" s="4" t="inlineStr">
        <is>
          <t>gpu</t>
        </is>
      </c>
      <c r="C1" s="4" t="inlineStr">
        <is>
          <t>workload_type</t>
        </is>
      </c>
      <c r="D1" s="4" t="inlineStr">
        <is>
          <t>source_model_scope</t>
        </is>
      </c>
      <c r="E1" s="4" t="inlineStr">
        <is>
          <t>target_tok_s_user</t>
        </is>
      </c>
      <c r="F1" s="4" t="inlineStr">
        <is>
          <t>selected_isl</t>
        </is>
      </c>
      <c r="G1" s="4" t="inlineStr">
        <is>
          <t>selected_osl</t>
        </is>
      </c>
      <c r="H1" s="4" t="inlineStr">
        <is>
          <t>candidate_rows</t>
        </is>
      </c>
      <c r="I1" s="4" t="inlineStr">
        <is>
          <t>eligible_rows</t>
        </is>
      </c>
      <c r="J1" s="4" t="inlineStr">
        <is>
          <t>optimized_eligible_rows</t>
        </is>
      </c>
      <c r="K1" s="4" t="inlineStr">
        <is>
          <t>selected_output_tps_per_mw</t>
        </is>
      </c>
      <c r="L1" s="4" t="inlineStr">
        <is>
          <t>selected_tok_s_user</t>
        </is>
      </c>
      <c r="M1" s="4" t="inlineStr">
        <is>
          <t>selected_concurrency</t>
        </is>
      </c>
      <c r="N1" s="4" t="inlineStr">
        <is>
          <t>selected_framework</t>
        </is>
      </c>
      <c r="O1" s="4" t="inlineStr">
        <is>
          <t>selected_precision</t>
        </is>
      </c>
      <c r="P1" s="4" t="inlineStr">
        <is>
          <t>selection_status</t>
        </is>
      </c>
      <c r="Q1" s="4" t="inlineStr">
        <is>
          <t>selection_basis</t>
        </is>
      </c>
      <c r="R1" s="4" t="inlineStr">
        <is>
          <t>benchmark_date</t>
        </is>
      </c>
      <c r="S1" s="4" t="inlineStr">
        <is>
          <t>method_note</t>
        </is>
      </c>
    </row>
    <row r="2">
      <c r="A2" s="3" t="inlineStr">
        <is>
          <t>gptoss120b</t>
        </is>
      </c>
      <c r="B2" s="3" t="inlineStr">
        <is>
          <t>h200</t>
        </is>
      </c>
      <c r="C2" s="3" t="inlineStr">
        <is>
          <t>short_chat</t>
        </is>
      </c>
      <c r="D2" s="3" t="inlineStr">
        <is>
          <t>gptoss120b</t>
        </is>
      </c>
      <c r="E2" s="3" t="n">
        <v>10</v>
      </c>
      <c r="F2" s="3" t="n">
        <v>1024</v>
      </c>
      <c r="G2" s="3" t="n">
        <v>1024</v>
      </c>
      <c r="H2" s="3" t="n">
        <v>990</v>
      </c>
      <c r="I2" s="3" t="n">
        <v>990</v>
      </c>
      <c r="J2" s="3" t="n">
        <v>0</v>
      </c>
      <c r="K2" s="19" t="n">
        <v>1459609</v>
      </c>
      <c r="L2" s="20" t="n">
        <v>39.46</v>
      </c>
      <c r="M2" s="3" t="n">
        <v>64</v>
      </c>
      <c r="N2" s="3" t="inlineStr">
        <is>
          <t>vllm</t>
        </is>
      </c>
      <c r="O2" s="3" t="inlineStr">
        <is>
          <t>fp4</t>
        </is>
      </c>
      <c r="P2" s="3" t="inlineStr">
        <is>
          <t>selected_public_max</t>
        </is>
      </c>
      <c r="Q2" s="3" t="inlineStr">
        <is>
          <t>public max among eligible rows</t>
        </is>
      </c>
      <c r="R2" s="3" t="inlineStr">
        <is>
          <t>2025-10-20T00:00:00.000Z</t>
        </is>
      </c>
      <c r="S2" s="3" t="inlineStr">
        <is>
          <t>tok_s_user is computed as output_tok_s_gpu/concurrency when source tok_s_user is blank; agentic_derived uses long_chat rows multiplied by the Kimi K2.5 agentic/long ratio.</t>
        </is>
      </c>
    </row>
    <row r="3">
      <c r="A3" s="3" t="inlineStr">
        <is>
          <t>gptoss120b</t>
        </is>
      </c>
      <c r="B3" s="3" t="inlineStr">
        <is>
          <t>h200</t>
        </is>
      </c>
      <c r="C3" s="3" t="inlineStr">
        <is>
          <t>short_chat</t>
        </is>
      </c>
      <c r="D3" s="3" t="inlineStr">
        <is>
          <t>gptoss120b</t>
        </is>
      </c>
      <c r="E3" s="3" t="n">
        <v>30</v>
      </c>
      <c r="F3" s="3" t="n">
        <v>1024</v>
      </c>
      <c r="G3" s="3" t="n">
        <v>1024</v>
      </c>
      <c r="H3" s="3" t="n">
        <v>990</v>
      </c>
      <c r="I3" s="3" t="n">
        <v>691</v>
      </c>
      <c r="J3" s="3" t="n">
        <v>0</v>
      </c>
      <c r="K3" s="19" t="n">
        <v>1459609</v>
      </c>
      <c r="L3" s="20" t="n">
        <v>39.46</v>
      </c>
      <c r="M3" s="3" t="n">
        <v>64</v>
      </c>
      <c r="N3" s="3" t="inlineStr">
        <is>
          <t>vllm</t>
        </is>
      </c>
      <c r="O3" s="3" t="inlineStr">
        <is>
          <t>fp4</t>
        </is>
      </c>
      <c r="P3" s="3" t="inlineStr">
        <is>
          <t>selected_public_max</t>
        </is>
      </c>
      <c r="Q3" s="3" t="inlineStr">
        <is>
          <t>public max among eligible rows</t>
        </is>
      </c>
      <c r="R3" s="3" t="inlineStr">
        <is>
          <t>2025-10-20T00:00:00.000Z</t>
        </is>
      </c>
      <c r="S3" s="3" t="inlineStr">
        <is>
          <t>tok_s_user is computed as output_tok_s_gpu/concurrency when source tok_s_user is blank; agentic_derived uses long_chat rows multiplied by the Kimi K2.5 agentic/long ratio.</t>
        </is>
      </c>
    </row>
    <row r="4">
      <c r="A4" s="3" t="inlineStr">
        <is>
          <t>gptoss120b</t>
        </is>
      </c>
      <c r="B4" s="3" t="inlineStr">
        <is>
          <t>h200</t>
        </is>
      </c>
      <c r="C4" s="3" t="inlineStr">
        <is>
          <t>short_chat</t>
        </is>
      </c>
      <c r="D4" s="3" t="inlineStr">
        <is>
          <t>gptoss120b</t>
        </is>
      </c>
      <c r="E4" s="3" t="n">
        <v>50</v>
      </c>
      <c r="F4" s="3" t="n">
        <v>1024</v>
      </c>
      <c r="G4" s="3" t="n">
        <v>1024</v>
      </c>
      <c r="H4" s="3" t="n">
        <v>990</v>
      </c>
      <c r="I4" s="3" t="n">
        <v>334</v>
      </c>
      <c r="J4" s="3" t="n">
        <v>0</v>
      </c>
      <c r="K4" s="19" t="n">
        <v>1037487</v>
      </c>
      <c r="L4" s="20" t="n">
        <v>56.09</v>
      </c>
      <c r="M4" s="3" t="n">
        <v>32</v>
      </c>
      <c r="N4" s="3" t="inlineStr">
        <is>
          <t>vllm</t>
        </is>
      </c>
      <c r="O4" s="3" t="inlineStr">
        <is>
          <t>fp4</t>
        </is>
      </c>
      <c r="P4" s="3" t="inlineStr">
        <is>
          <t>selected_public_max</t>
        </is>
      </c>
      <c r="Q4" s="3" t="inlineStr">
        <is>
          <t>public max among eligible rows</t>
        </is>
      </c>
      <c r="R4" s="3" t="inlineStr">
        <is>
          <t>2025-10-31T00:00:00.000Z</t>
        </is>
      </c>
      <c r="S4" s="3" t="inlineStr">
        <is>
          <t>tok_s_user is computed as output_tok_s_gpu/concurrency when source tok_s_user is blank; agentic_derived uses long_chat rows multiplied by the Kimi K2.5 agentic/long ratio.</t>
        </is>
      </c>
    </row>
    <row r="5">
      <c r="A5" s="3" t="inlineStr">
        <is>
          <t>gptoss120b</t>
        </is>
      </c>
      <c r="B5" s="3" t="inlineStr">
        <is>
          <t>h200</t>
        </is>
      </c>
      <c r="C5" s="3" t="inlineStr">
        <is>
          <t>short_chat</t>
        </is>
      </c>
      <c r="D5" s="3" t="inlineStr">
        <is>
          <t>gptoss120b</t>
        </is>
      </c>
      <c r="E5" s="3" t="n">
        <v>70</v>
      </c>
      <c r="F5" s="3" t="n">
        <v>1024</v>
      </c>
      <c r="G5" s="3" t="n">
        <v>1024</v>
      </c>
      <c r="H5" s="3" t="n">
        <v>990</v>
      </c>
      <c r="I5" s="3" t="n">
        <v>202</v>
      </c>
      <c r="J5" s="3" t="n">
        <v>0</v>
      </c>
      <c r="K5" s="19" t="n">
        <v>728459</v>
      </c>
      <c r="L5" s="20" t="n">
        <v>78.76000000000001</v>
      </c>
      <c r="M5" s="3" t="n">
        <v>16</v>
      </c>
      <c r="N5" s="3" t="inlineStr">
        <is>
          <t>vllm</t>
        </is>
      </c>
      <c r="O5" s="3" t="inlineStr">
        <is>
          <t>fp4</t>
        </is>
      </c>
      <c r="P5" s="3" t="inlineStr">
        <is>
          <t>selected_public_max</t>
        </is>
      </c>
      <c r="Q5" s="3" t="inlineStr">
        <is>
          <t>public max among eligible rows</t>
        </is>
      </c>
      <c r="R5" s="3" t="inlineStr">
        <is>
          <t>2025-10-20T00:00:00.000Z</t>
        </is>
      </c>
      <c r="S5" s="3" t="inlineStr">
        <is>
          <t>tok_s_user is computed as output_tok_s_gpu/concurrency when source tok_s_user is blank; agentic_derived uses long_chat rows multiplied by the Kimi K2.5 agentic/long ratio.</t>
        </is>
      </c>
    </row>
    <row r="6">
      <c r="A6" s="3" t="inlineStr">
        <is>
          <t>gptoss120b</t>
        </is>
      </c>
      <c r="B6" s="3" t="inlineStr">
        <is>
          <t>h200</t>
        </is>
      </c>
      <c r="C6" s="3" t="inlineStr">
        <is>
          <t>short_chat</t>
        </is>
      </c>
      <c r="D6" s="3" t="inlineStr">
        <is>
          <t>gptoss120b</t>
        </is>
      </c>
      <c r="E6" s="3" t="n">
        <v>100</v>
      </c>
      <c r="F6" s="3" t="n">
        <v>1024</v>
      </c>
      <c r="G6" s="3" t="n">
        <v>1024</v>
      </c>
      <c r="H6" s="3" t="n">
        <v>990</v>
      </c>
      <c r="I6" s="3" t="n">
        <v>73</v>
      </c>
      <c r="J6" s="3" t="n">
        <v>0</v>
      </c>
      <c r="K6" s="19" t="n">
        <v>505857</v>
      </c>
      <c r="L6" s="20" t="n">
        <v>109.39</v>
      </c>
      <c r="M6" s="3" t="n">
        <v>8</v>
      </c>
      <c r="N6" s="3" t="inlineStr">
        <is>
          <t>vllm</t>
        </is>
      </c>
      <c r="O6" s="3" t="inlineStr">
        <is>
          <t>fp4</t>
        </is>
      </c>
      <c r="P6" s="3" t="inlineStr">
        <is>
          <t>selected_public_max</t>
        </is>
      </c>
      <c r="Q6" s="3" t="inlineStr">
        <is>
          <t>public max among eligible rows</t>
        </is>
      </c>
      <c r="R6" s="3" t="inlineStr">
        <is>
          <t>2025-10-30T00:00:00.000Z</t>
        </is>
      </c>
      <c r="S6" s="3" t="inlineStr">
        <is>
          <t>tok_s_user is computed as output_tok_s_gpu/concurrency when source tok_s_user is blank; agentic_derived uses long_chat rows multiplied by the Kimi K2.5 agentic/long ratio.</t>
        </is>
      </c>
    </row>
    <row r="7">
      <c r="A7" s="3" t="inlineStr">
        <is>
          <t>gptoss120b</t>
        </is>
      </c>
      <c r="B7" s="3" t="inlineStr">
        <is>
          <t>h200</t>
        </is>
      </c>
      <c r="C7" s="3" t="inlineStr">
        <is>
          <t>long_chat</t>
        </is>
      </c>
      <c r="D7" s="3" t="inlineStr">
        <is>
          <t>gptoss120b</t>
        </is>
      </c>
      <c r="E7" s="3" t="n">
        <v>10</v>
      </c>
      <c r="F7" s="3" t="n">
        <v>8192</v>
      </c>
      <c r="G7" s="3" t="n">
        <v>1024</v>
      </c>
      <c r="H7" s="3" t="n">
        <v>1164</v>
      </c>
      <c r="I7" s="3" t="n">
        <v>1149</v>
      </c>
      <c r="J7" s="3" t="n">
        <v>0</v>
      </c>
      <c r="K7" s="19" t="n">
        <v>1451169</v>
      </c>
      <c r="L7" s="20" t="n">
        <v>39.23</v>
      </c>
      <c r="M7" s="3" t="n">
        <v>64</v>
      </c>
      <c r="N7" s="3" t="inlineStr">
        <is>
          <t>vllm</t>
        </is>
      </c>
      <c r="O7" s="3" t="inlineStr">
        <is>
          <t>fp4</t>
        </is>
      </c>
      <c r="P7" s="3" t="inlineStr">
        <is>
          <t>selected_public_max</t>
        </is>
      </c>
      <c r="Q7" s="3" t="inlineStr">
        <is>
          <t>public max among eligible rows</t>
        </is>
      </c>
      <c r="R7" s="3" t="inlineStr">
        <is>
          <t>2025-11-04T00:00:00.000Z</t>
        </is>
      </c>
      <c r="S7" s="3" t="inlineStr">
        <is>
          <t>tok_s_user is computed as output_tok_s_gpu/concurrency when source tok_s_user is blank; agentic_derived uses long_chat rows multiplied by the Kimi K2.5 agentic/long ratio.</t>
        </is>
      </c>
    </row>
    <row r="8">
      <c r="A8" s="3" t="inlineStr">
        <is>
          <t>gptoss120b</t>
        </is>
      </c>
      <c r="B8" s="3" t="inlineStr">
        <is>
          <t>h200</t>
        </is>
      </c>
      <c r="C8" s="3" t="inlineStr">
        <is>
          <t>long_chat</t>
        </is>
      </c>
      <c r="D8" s="3" t="inlineStr">
        <is>
          <t>gptoss120b</t>
        </is>
      </c>
      <c r="E8" s="3" t="n">
        <v>30</v>
      </c>
      <c r="F8" s="3" t="n">
        <v>8192</v>
      </c>
      <c r="G8" s="3" t="n">
        <v>1024</v>
      </c>
      <c r="H8" s="3" t="n">
        <v>1164</v>
      </c>
      <c r="I8" s="3" t="n">
        <v>619</v>
      </c>
      <c r="J8" s="3" t="n">
        <v>0</v>
      </c>
      <c r="K8" s="19" t="n">
        <v>1451169</v>
      </c>
      <c r="L8" s="20" t="n">
        <v>39.23</v>
      </c>
      <c r="M8" s="3" t="n">
        <v>64</v>
      </c>
      <c r="N8" s="3" t="inlineStr">
        <is>
          <t>vllm</t>
        </is>
      </c>
      <c r="O8" s="3" t="inlineStr">
        <is>
          <t>fp4</t>
        </is>
      </c>
      <c r="P8" s="3" t="inlineStr">
        <is>
          <t>selected_public_max</t>
        </is>
      </c>
      <c r="Q8" s="3" t="inlineStr">
        <is>
          <t>public max among eligible rows</t>
        </is>
      </c>
      <c r="R8" s="3" t="inlineStr">
        <is>
          <t>2025-11-04T00:00:00.000Z</t>
        </is>
      </c>
      <c r="S8" s="3" t="inlineStr">
        <is>
          <t>tok_s_user is computed as output_tok_s_gpu/concurrency when source tok_s_user is blank; agentic_derived uses long_chat rows multiplied by the Kimi K2.5 agentic/long ratio.</t>
        </is>
      </c>
    </row>
    <row r="9">
      <c r="A9" s="3" t="inlineStr">
        <is>
          <t>gptoss120b</t>
        </is>
      </c>
      <c r="B9" s="3" t="inlineStr">
        <is>
          <t>h200</t>
        </is>
      </c>
      <c r="C9" s="3" t="inlineStr">
        <is>
          <t>long_chat</t>
        </is>
      </c>
      <c r="D9" s="3" t="inlineStr">
        <is>
          <t>gptoss120b</t>
        </is>
      </c>
      <c r="E9" s="3" t="n">
        <v>50</v>
      </c>
      <c r="F9" s="3" t="n">
        <v>8192</v>
      </c>
      <c r="G9" s="3" t="n">
        <v>1024</v>
      </c>
      <c r="H9" s="3" t="n">
        <v>1164</v>
      </c>
      <c r="I9" s="3" t="n">
        <v>346</v>
      </c>
      <c r="J9" s="3" t="n">
        <v>0</v>
      </c>
      <c r="K9" s="19" t="n">
        <v>1035150</v>
      </c>
      <c r="L9" s="20" t="n">
        <v>55.96</v>
      </c>
      <c r="M9" s="3" t="n">
        <v>32</v>
      </c>
      <c r="N9" s="3" t="inlineStr">
        <is>
          <t>vllm</t>
        </is>
      </c>
      <c r="O9" s="3" t="inlineStr">
        <is>
          <t>fp4</t>
        </is>
      </c>
      <c r="P9" s="3" t="inlineStr">
        <is>
          <t>selected_public_max</t>
        </is>
      </c>
      <c r="Q9" s="3" t="inlineStr">
        <is>
          <t>public max among eligible rows</t>
        </is>
      </c>
      <c r="R9" s="3" t="inlineStr">
        <is>
          <t>2025-11-04T00:00:00.000Z</t>
        </is>
      </c>
      <c r="S9" s="3" t="inlineStr">
        <is>
          <t>tok_s_user is computed as output_tok_s_gpu/concurrency when source tok_s_user is blank; agentic_derived uses long_chat rows multiplied by the Kimi K2.5 agentic/long ratio.</t>
        </is>
      </c>
    </row>
    <row r="10">
      <c r="A10" s="3" t="inlineStr">
        <is>
          <t>gptoss120b</t>
        </is>
      </c>
      <c r="B10" s="3" t="inlineStr">
        <is>
          <t>h200</t>
        </is>
      </c>
      <c r="C10" s="3" t="inlineStr">
        <is>
          <t>long_chat</t>
        </is>
      </c>
      <c r="D10" s="3" t="inlineStr">
        <is>
          <t>gptoss120b</t>
        </is>
      </c>
      <c r="E10" s="3" t="n">
        <v>70</v>
      </c>
      <c r="F10" s="3" t="n">
        <v>8192</v>
      </c>
      <c r="G10" s="3" t="n">
        <v>1024</v>
      </c>
      <c r="H10" s="3" t="n">
        <v>1164</v>
      </c>
      <c r="I10" s="3" t="n">
        <v>184</v>
      </c>
      <c r="J10" s="3" t="n">
        <v>0</v>
      </c>
      <c r="K10" s="19" t="n">
        <v>649279</v>
      </c>
      <c r="L10" s="20" t="n">
        <v>70.2</v>
      </c>
      <c r="M10" s="3" t="n">
        <v>16</v>
      </c>
      <c r="N10" s="3" t="inlineStr">
        <is>
          <t>vllm</t>
        </is>
      </c>
      <c r="O10" s="3" t="inlineStr">
        <is>
          <t>fp4</t>
        </is>
      </c>
      <c r="P10" s="3" t="inlineStr">
        <is>
          <t>selected_public_max</t>
        </is>
      </c>
      <c r="Q10" s="3" t="inlineStr">
        <is>
          <t>public max among eligible rows</t>
        </is>
      </c>
      <c r="R10" s="3" t="inlineStr">
        <is>
          <t>2026-05-13T00:00:00.000Z</t>
        </is>
      </c>
      <c r="S10" s="3" t="inlineStr">
        <is>
          <t>tok_s_user is computed as output_tok_s_gpu/concurrency when source tok_s_user is blank; agentic_derived uses long_chat rows multiplied by the Kimi K2.5 agentic/long ratio.</t>
        </is>
      </c>
    </row>
    <row r="11">
      <c r="A11" s="3" t="inlineStr">
        <is>
          <t>gptoss120b</t>
        </is>
      </c>
      <c r="B11" s="3" t="inlineStr">
        <is>
          <t>h200</t>
        </is>
      </c>
      <c r="C11" s="3" t="inlineStr">
        <is>
          <t>long_chat</t>
        </is>
      </c>
      <c r="D11" s="3" t="inlineStr">
        <is>
          <t>gptoss120b</t>
        </is>
      </c>
      <c r="E11" s="3" t="n">
        <v>100</v>
      </c>
      <c r="F11" s="3" t="n">
        <v>8192</v>
      </c>
      <c r="G11" s="3" t="n">
        <v>1024</v>
      </c>
      <c r="H11" s="3" t="n">
        <v>1164</v>
      </c>
      <c r="I11" s="3" t="n">
        <v>62</v>
      </c>
      <c r="J11" s="3" t="n">
        <v>0</v>
      </c>
      <c r="K11" s="19" t="n">
        <v>329414</v>
      </c>
      <c r="L11" s="20" t="n">
        <v>142.47</v>
      </c>
      <c r="M11" s="3" t="n">
        <v>4</v>
      </c>
      <c r="N11" s="3" t="inlineStr">
        <is>
          <t>vllm</t>
        </is>
      </c>
      <c r="O11" s="3" t="inlineStr">
        <is>
          <t>fp4</t>
        </is>
      </c>
      <c r="P11" s="3" t="inlineStr">
        <is>
          <t>selected_public_max</t>
        </is>
      </c>
      <c r="Q11" s="3" t="inlineStr">
        <is>
          <t>public max among eligible rows</t>
        </is>
      </c>
      <c r="R11" s="3" t="inlineStr">
        <is>
          <t>2025-11-04T00:00:00.000Z</t>
        </is>
      </c>
      <c r="S11" s="3" t="inlineStr">
        <is>
          <t>tok_s_user is computed as output_tok_s_gpu/concurrency when source tok_s_user is blank; agentic_derived uses long_chat rows multiplied by the Kimi K2.5 agentic/long ratio.</t>
        </is>
      </c>
    </row>
    <row r="12">
      <c r="A12" s="3" t="inlineStr">
        <is>
          <t>gptoss120b</t>
        </is>
      </c>
      <c r="B12" s="3" t="inlineStr">
        <is>
          <t>h200</t>
        </is>
      </c>
      <c r="C12" s="3" t="inlineStr">
        <is>
          <t>agentic_derived</t>
        </is>
      </c>
      <c r="D12" s="3" t="inlineStr">
        <is>
          <t>gptoss120b</t>
        </is>
      </c>
      <c r="E12" s="3" t="n">
        <v>10</v>
      </c>
      <c r="F12" s="3" t="n">
        <v>8192</v>
      </c>
      <c r="G12" s="3" t="n">
        <v>1024</v>
      </c>
      <c r="H12" s="3" t="n">
        <v>1164</v>
      </c>
      <c r="I12" s="3" t="n">
        <v>62</v>
      </c>
      <c r="J12" s="3" t="n">
        <v>0</v>
      </c>
      <c r="K12" s="19" t="n">
        <v>35806</v>
      </c>
      <c r="L12" s="20" t="n">
        <v>15.49</v>
      </c>
      <c r="M12" s="3" t="n">
        <v>4</v>
      </c>
      <c r="N12" s="3" t="inlineStr">
        <is>
          <t>vllm</t>
        </is>
      </c>
      <c r="O12" s="3" t="inlineStr">
        <is>
          <t>fp4</t>
        </is>
      </c>
      <c r="P12" s="3" t="inlineStr">
        <is>
          <t>selected_public_max</t>
        </is>
      </c>
      <c r="Q12" s="3" t="inlineStr">
        <is>
          <t>public max among eligible rows</t>
        </is>
      </c>
      <c r="R12" s="3" t="inlineStr">
        <is>
          <t>2025-11-04T00:00:00.000Z</t>
        </is>
      </c>
      <c r="S12" s="3" t="inlineStr">
        <is>
          <t>tok_s_user is computed as output_tok_s_gpu/concurrency when source tok_s_user is blank; agentic_derived uses long_chat rows multiplied by the Kimi K2.5 agentic/long ratio.</t>
        </is>
      </c>
    </row>
    <row r="13">
      <c r="A13" s="9" t="inlineStr">
        <is>
          <t>gptoss120b</t>
        </is>
      </c>
      <c r="B13" s="9" t="inlineStr">
        <is>
          <t>h200</t>
        </is>
      </c>
      <c r="C13" s="9" t="inlineStr">
        <is>
          <t>agentic_derived</t>
        </is>
      </c>
      <c r="D13" s="9" t="inlineStr">
        <is>
          <t>gptoss120b</t>
        </is>
      </c>
      <c r="E13" s="9" t="n">
        <v>30</v>
      </c>
      <c r="F13" s="9" t="n">
        <v>100947</v>
      </c>
      <c r="G13" s="9" t="n">
        <v>860</v>
      </c>
      <c r="H13" s="9" t="n">
        <v>1164</v>
      </c>
      <c r="I13" s="9" t="n">
        <v>0</v>
      </c>
      <c r="J13" s="9" t="n">
        <v>0</v>
      </c>
      <c r="K13" s="11" t="inlineStr"/>
      <c r="L13" s="21" t="inlineStr"/>
      <c r="M13" s="9" t="inlineStr"/>
      <c r="N13" s="9" t="inlineStr"/>
      <c r="O13" s="9" t="inlineStr"/>
      <c r="P13" s="9" t="inlineStr">
        <is>
          <t>missing</t>
        </is>
      </c>
      <c r="Q13" s="9" t="inlineStr">
        <is>
          <t>no row meets target_tok_s_user</t>
        </is>
      </c>
      <c r="R13" s="9" t="inlineStr"/>
      <c r="S13" s="9" t="inlineStr">
        <is>
          <t>tok_s_user is computed as output_tok_s_gpu/concurrency when source tok_s_user is blank; agentic_derived uses long_chat rows multiplied by the Kimi K2.5 agentic/long ratio.</t>
        </is>
      </c>
    </row>
    <row r="14">
      <c r="A14" s="9" t="inlineStr">
        <is>
          <t>gptoss120b</t>
        </is>
      </c>
      <c r="B14" s="9" t="inlineStr">
        <is>
          <t>h200</t>
        </is>
      </c>
      <c r="C14" s="9" t="inlineStr">
        <is>
          <t>agentic_derived</t>
        </is>
      </c>
      <c r="D14" s="9" t="inlineStr">
        <is>
          <t>gptoss120b</t>
        </is>
      </c>
      <c r="E14" s="9" t="n">
        <v>50</v>
      </c>
      <c r="F14" s="9" t="n">
        <v>100947</v>
      </c>
      <c r="G14" s="9" t="n">
        <v>860</v>
      </c>
      <c r="H14" s="9" t="n">
        <v>1164</v>
      </c>
      <c r="I14" s="9" t="n">
        <v>0</v>
      </c>
      <c r="J14" s="9" t="n">
        <v>0</v>
      </c>
      <c r="K14" s="11" t="inlineStr"/>
      <c r="L14" s="21" t="inlineStr"/>
      <c r="M14" s="9" t="inlineStr"/>
      <c r="N14" s="9" t="inlineStr"/>
      <c r="O14" s="9" t="inlineStr"/>
      <c r="P14" s="9" t="inlineStr">
        <is>
          <t>missing</t>
        </is>
      </c>
      <c r="Q14" s="9" t="inlineStr">
        <is>
          <t>no row meets target_tok_s_user</t>
        </is>
      </c>
      <c r="R14" s="9" t="inlineStr"/>
      <c r="S14" s="9" t="inlineStr">
        <is>
          <t>tok_s_user is computed as output_tok_s_gpu/concurrency when source tok_s_user is blank; agentic_derived uses long_chat rows multiplied by the Kimi K2.5 agentic/long ratio.</t>
        </is>
      </c>
    </row>
    <row r="15">
      <c r="A15" s="9" t="inlineStr">
        <is>
          <t>gptoss120b</t>
        </is>
      </c>
      <c r="B15" s="9" t="inlineStr">
        <is>
          <t>h200</t>
        </is>
      </c>
      <c r="C15" s="9" t="inlineStr">
        <is>
          <t>agentic_derived</t>
        </is>
      </c>
      <c r="D15" s="9" t="inlineStr">
        <is>
          <t>gptoss120b</t>
        </is>
      </c>
      <c r="E15" s="9" t="n">
        <v>70</v>
      </c>
      <c r="F15" s="9" t="n">
        <v>100947</v>
      </c>
      <c r="G15" s="9" t="n">
        <v>860</v>
      </c>
      <c r="H15" s="9" t="n">
        <v>1164</v>
      </c>
      <c r="I15" s="9" t="n">
        <v>0</v>
      </c>
      <c r="J15" s="9" t="n">
        <v>0</v>
      </c>
      <c r="K15" s="11" t="inlineStr"/>
      <c r="L15" s="21" t="inlineStr"/>
      <c r="M15" s="9" t="inlineStr"/>
      <c r="N15" s="9" t="inlineStr"/>
      <c r="O15" s="9" t="inlineStr"/>
      <c r="P15" s="9" t="inlineStr">
        <is>
          <t>missing</t>
        </is>
      </c>
      <c r="Q15" s="9" t="inlineStr">
        <is>
          <t>no row meets target_tok_s_user</t>
        </is>
      </c>
      <c r="R15" s="9" t="inlineStr"/>
      <c r="S15" s="9" t="inlineStr">
        <is>
          <t>tok_s_user is computed as output_tok_s_gpu/concurrency when source tok_s_user is blank; agentic_derived uses long_chat rows multiplied by the Kimi K2.5 agentic/long ratio.</t>
        </is>
      </c>
    </row>
    <row r="16">
      <c r="A16" s="9" t="inlineStr">
        <is>
          <t>gptoss120b</t>
        </is>
      </c>
      <c r="B16" s="9" t="inlineStr">
        <is>
          <t>h200</t>
        </is>
      </c>
      <c r="C16" s="9" t="inlineStr">
        <is>
          <t>agentic_derived</t>
        </is>
      </c>
      <c r="D16" s="9" t="inlineStr">
        <is>
          <t>gptoss120b</t>
        </is>
      </c>
      <c r="E16" s="9" t="n">
        <v>100</v>
      </c>
      <c r="F16" s="9" t="n">
        <v>100947</v>
      </c>
      <c r="G16" s="9" t="n">
        <v>860</v>
      </c>
      <c r="H16" s="9" t="n">
        <v>1164</v>
      </c>
      <c r="I16" s="9" t="n">
        <v>0</v>
      </c>
      <c r="J16" s="9" t="n">
        <v>0</v>
      </c>
      <c r="K16" s="11" t="inlineStr"/>
      <c r="L16" s="21" t="inlineStr"/>
      <c r="M16" s="9" t="inlineStr"/>
      <c r="N16" s="9" t="inlineStr"/>
      <c r="O16" s="9" t="inlineStr"/>
      <c r="P16" s="9" t="inlineStr">
        <is>
          <t>missing</t>
        </is>
      </c>
      <c r="Q16" s="9" t="inlineStr">
        <is>
          <t>no row meets target_tok_s_user</t>
        </is>
      </c>
      <c r="R16" s="9" t="inlineStr"/>
      <c r="S16" s="9" t="inlineStr">
        <is>
          <t>tok_s_user is computed as output_tok_s_gpu/concurrency when source tok_s_user is blank; agentic_derived uses long_chat rows multiplied by the Kimi K2.5 agentic/long ratio.</t>
        </is>
      </c>
    </row>
    <row r="17">
      <c r="A17" s="3" t="inlineStr">
        <is>
          <t>gptoss120b</t>
        </is>
      </c>
      <c r="B17" s="3" t="inlineStr">
        <is>
          <t>b200</t>
        </is>
      </c>
      <c r="C17" s="3" t="inlineStr">
        <is>
          <t>short_chat</t>
        </is>
      </c>
      <c r="D17" s="3" t="inlineStr">
        <is>
          <t>gptoss120b</t>
        </is>
      </c>
      <c r="E17" s="3" t="n">
        <v>10</v>
      </c>
      <c r="F17" s="3" t="n">
        <v>1024</v>
      </c>
      <c r="G17" s="3" t="n">
        <v>1024</v>
      </c>
      <c r="H17" s="3" t="n">
        <v>1102</v>
      </c>
      <c r="I17" s="3" t="n">
        <v>1102</v>
      </c>
      <c r="J17" s="3" t="n">
        <v>0</v>
      </c>
      <c r="K17" s="19" t="n">
        <v>4516967</v>
      </c>
      <c r="L17" s="20" t="n">
        <v>76.58</v>
      </c>
      <c r="M17" s="3" t="n">
        <v>128</v>
      </c>
      <c r="N17" s="3" t="inlineStr">
        <is>
          <t>vllm</t>
        </is>
      </c>
      <c r="O17" s="3" t="inlineStr">
        <is>
          <t>fp4</t>
        </is>
      </c>
      <c r="P17" s="3" t="inlineStr">
        <is>
          <t>selected_public_max</t>
        </is>
      </c>
      <c r="Q17" s="3" t="inlineStr">
        <is>
          <t>public max among eligible rows</t>
        </is>
      </c>
      <c r="R17" s="3" t="inlineStr">
        <is>
          <t>2026-05-31T00:00:00.000Z</t>
        </is>
      </c>
      <c r="S17" s="3" t="inlineStr">
        <is>
          <t>tok_s_user is computed as output_tok_s_gpu/concurrency when source tok_s_user is blank; agentic_derived uses long_chat rows multiplied by the Kimi K2.5 agentic/long ratio.</t>
        </is>
      </c>
    </row>
    <row r="18">
      <c r="A18" s="3" t="inlineStr">
        <is>
          <t>gptoss120b</t>
        </is>
      </c>
      <c r="B18" s="3" t="inlineStr">
        <is>
          <t>b200</t>
        </is>
      </c>
      <c r="C18" s="3" t="inlineStr">
        <is>
          <t>short_chat</t>
        </is>
      </c>
      <c r="D18" s="3" t="inlineStr">
        <is>
          <t>gptoss120b</t>
        </is>
      </c>
      <c r="E18" s="3" t="n">
        <v>30</v>
      </c>
      <c r="F18" s="3" t="n">
        <v>1024</v>
      </c>
      <c r="G18" s="3" t="n">
        <v>1024</v>
      </c>
      <c r="H18" s="3" t="n">
        <v>1102</v>
      </c>
      <c r="I18" s="3" t="n">
        <v>1063</v>
      </c>
      <c r="J18" s="3" t="n">
        <v>0</v>
      </c>
      <c r="K18" s="19" t="n">
        <v>4516967</v>
      </c>
      <c r="L18" s="20" t="n">
        <v>76.58</v>
      </c>
      <c r="M18" s="3" t="n">
        <v>128</v>
      </c>
      <c r="N18" s="3" t="inlineStr">
        <is>
          <t>vllm</t>
        </is>
      </c>
      <c r="O18" s="3" t="inlineStr">
        <is>
          <t>fp4</t>
        </is>
      </c>
      <c r="P18" s="3" t="inlineStr">
        <is>
          <t>selected_public_max</t>
        </is>
      </c>
      <c r="Q18" s="3" t="inlineStr">
        <is>
          <t>public max among eligible rows</t>
        </is>
      </c>
      <c r="R18" s="3" t="inlineStr">
        <is>
          <t>2026-05-31T00:00:00.000Z</t>
        </is>
      </c>
      <c r="S18" s="3" t="inlineStr">
        <is>
          <t>tok_s_user is computed as output_tok_s_gpu/concurrency when source tok_s_user is blank; agentic_derived uses long_chat rows multiplied by the Kimi K2.5 agentic/long ratio.</t>
        </is>
      </c>
    </row>
    <row r="19">
      <c r="A19" s="3" t="inlineStr">
        <is>
          <t>gptoss120b</t>
        </is>
      </c>
      <c r="B19" s="3" t="inlineStr">
        <is>
          <t>b200</t>
        </is>
      </c>
      <c r="C19" s="3" t="inlineStr">
        <is>
          <t>short_chat</t>
        </is>
      </c>
      <c r="D19" s="3" t="inlineStr">
        <is>
          <t>gptoss120b</t>
        </is>
      </c>
      <c r="E19" s="3" t="n">
        <v>50</v>
      </c>
      <c r="F19" s="3" t="n">
        <v>1024</v>
      </c>
      <c r="G19" s="3" t="n">
        <v>1024</v>
      </c>
      <c r="H19" s="3" t="n">
        <v>1102</v>
      </c>
      <c r="I19" s="3" t="n">
        <v>848</v>
      </c>
      <c r="J19" s="3" t="n">
        <v>0</v>
      </c>
      <c r="K19" s="19" t="n">
        <v>4516967</v>
      </c>
      <c r="L19" s="20" t="n">
        <v>76.58</v>
      </c>
      <c r="M19" s="3" t="n">
        <v>128</v>
      </c>
      <c r="N19" s="3" t="inlineStr">
        <is>
          <t>vllm</t>
        </is>
      </c>
      <c r="O19" s="3" t="inlineStr">
        <is>
          <t>fp4</t>
        </is>
      </c>
      <c r="P19" s="3" t="inlineStr">
        <is>
          <t>selected_public_max</t>
        </is>
      </c>
      <c r="Q19" s="3" t="inlineStr">
        <is>
          <t>public max among eligible rows</t>
        </is>
      </c>
      <c r="R19" s="3" t="inlineStr">
        <is>
          <t>2026-05-31T00:00:00.000Z</t>
        </is>
      </c>
      <c r="S19" s="3" t="inlineStr">
        <is>
          <t>tok_s_user is computed as output_tok_s_gpu/concurrency when source tok_s_user is blank; agentic_derived uses long_chat rows multiplied by the Kimi K2.5 agentic/long ratio.</t>
        </is>
      </c>
    </row>
    <row r="20">
      <c r="A20" s="3" t="inlineStr">
        <is>
          <t>gptoss120b</t>
        </is>
      </c>
      <c r="B20" s="3" t="inlineStr">
        <is>
          <t>b200</t>
        </is>
      </c>
      <c r="C20" s="3" t="inlineStr">
        <is>
          <t>short_chat</t>
        </is>
      </c>
      <c r="D20" s="3" t="inlineStr">
        <is>
          <t>gptoss120b</t>
        </is>
      </c>
      <c r="E20" s="3" t="n">
        <v>70</v>
      </c>
      <c r="F20" s="3" t="n">
        <v>1024</v>
      </c>
      <c r="G20" s="3" t="n">
        <v>1024</v>
      </c>
      <c r="H20" s="3" t="n">
        <v>1102</v>
      </c>
      <c r="I20" s="3" t="n">
        <v>597</v>
      </c>
      <c r="J20" s="3" t="n">
        <v>0</v>
      </c>
      <c r="K20" s="19" t="n">
        <v>4516967</v>
      </c>
      <c r="L20" s="20" t="n">
        <v>76.58</v>
      </c>
      <c r="M20" s="3" t="n">
        <v>128</v>
      </c>
      <c r="N20" s="3" t="inlineStr">
        <is>
          <t>vllm</t>
        </is>
      </c>
      <c r="O20" s="3" t="inlineStr">
        <is>
          <t>fp4</t>
        </is>
      </c>
      <c r="P20" s="3" t="inlineStr">
        <is>
          <t>selected_public_max</t>
        </is>
      </c>
      <c r="Q20" s="3" t="inlineStr">
        <is>
          <t>public max among eligible rows</t>
        </is>
      </c>
      <c r="R20" s="3" t="inlineStr">
        <is>
          <t>2026-05-31T00:00:00.000Z</t>
        </is>
      </c>
      <c r="S20" s="3" t="inlineStr">
        <is>
          <t>tok_s_user is computed as output_tok_s_gpu/concurrency when source tok_s_user is blank; agentic_derived uses long_chat rows multiplied by the Kimi K2.5 agentic/long ratio.</t>
        </is>
      </c>
    </row>
    <row r="21">
      <c r="A21" s="3" t="inlineStr">
        <is>
          <t>gptoss120b</t>
        </is>
      </c>
      <c r="B21" s="3" t="inlineStr">
        <is>
          <t>b200</t>
        </is>
      </c>
      <c r="C21" s="3" t="inlineStr">
        <is>
          <t>short_chat</t>
        </is>
      </c>
      <c r="D21" s="3" t="inlineStr">
        <is>
          <t>gptoss120b</t>
        </is>
      </c>
      <c r="E21" s="3" t="n">
        <v>100</v>
      </c>
      <c r="F21" s="3" t="n">
        <v>1024</v>
      </c>
      <c r="G21" s="3" t="n">
        <v>1024</v>
      </c>
      <c r="H21" s="3" t="n">
        <v>1102</v>
      </c>
      <c r="I21" s="3" t="n">
        <v>358</v>
      </c>
      <c r="J21" s="3" t="n">
        <v>0</v>
      </c>
      <c r="K21" s="19" t="n">
        <v>2983848</v>
      </c>
      <c r="L21" s="20" t="n">
        <v>101.17</v>
      </c>
      <c r="M21" s="3" t="n">
        <v>64</v>
      </c>
      <c r="N21" s="3" t="inlineStr">
        <is>
          <t>vllm</t>
        </is>
      </c>
      <c r="O21" s="3" t="inlineStr">
        <is>
          <t>fp4</t>
        </is>
      </c>
      <c r="P21" s="3" t="inlineStr">
        <is>
          <t>selected_public_max</t>
        </is>
      </c>
      <c r="Q21" s="3" t="inlineStr">
        <is>
          <t>public max among eligible rows</t>
        </is>
      </c>
      <c r="R21" s="3" t="inlineStr">
        <is>
          <t>2026-05-17T00:00:00.000Z</t>
        </is>
      </c>
      <c r="S21" s="3" t="inlineStr">
        <is>
          <t>tok_s_user is computed as output_tok_s_gpu/concurrency when source tok_s_user is blank; agentic_derived uses long_chat rows multiplied by the Kimi K2.5 agentic/long ratio.</t>
        </is>
      </c>
    </row>
    <row r="22">
      <c r="A22" s="3" t="inlineStr">
        <is>
          <t>gptoss120b</t>
        </is>
      </c>
      <c r="B22" s="3" t="inlineStr">
        <is>
          <t>b200</t>
        </is>
      </c>
      <c r="C22" s="3" t="inlineStr">
        <is>
          <t>long_chat</t>
        </is>
      </c>
      <c r="D22" s="3" t="inlineStr">
        <is>
          <t>gptoss120b</t>
        </is>
      </c>
      <c r="E22" s="3" t="n">
        <v>10</v>
      </c>
      <c r="F22" s="3" t="n">
        <v>8192</v>
      </c>
      <c r="G22" s="3" t="n">
        <v>1024</v>
      </c>
      <c r="H22" s="3" t="n">
        <v>1056</v>
      </c>
      <c r="I22" s="3" t="n">
        <v>1056</v>
      </c>
      <c r="J22" s="3" t="n">
        <v>0</v>
      </c>
      <c r="K22" s="19" t="n">
        <v>2629943</v>
      </c>
      <c r="L22" s="20" t="n">
        <v>44.59</v>
      </c>
      <c r="M22" s="3" t="n">
        <v>128</v>
      </c>
      <c r="N22" s="3" t="inlineStr">
        <is>
          <t>vllm</t>
        </is>
      </c>
      <c r="O22" s="3" t="inlineStr">
        <is>
          <t>fp4</t>
        </is>
      </c>
      <c r="P22" s="3" t="inlineStr">
        <is>
          <t>selected_public_max</t>
        </is>
      </c>
      <c r="Q22" s="3" t="inlineStr">
        <is>
          <t>public max among eligible rows</t>
        </is>
      </c>
      <c r="R22" s="3" t="inlineStr">
        <is>
          <t>2026-02-25T00:00:00.000Z</t>
        </is>
      </c>
      <c r="S22" s="3" t="inlineStr">
        <is>
          <t>tok_s_user is computed as output_tok_s_gpu/concurrency when source tok_s_user is blank; agentic_derived uses long_chat rows multiplied by the Kimi K2.5 agentic/long ratio.</t>
        </is>
      </c>
    </row>
    <row r="23">
      <c r="A23" s="3" t="inlineStr">
        <is>
          <t>gptoss120b</t>
        </is>
      </c>
      <c r="B23" s="3" t="inlineStr">
        <is>
          <t>b200</t>
        </is>
      </c>
      <c r="C23" s="3" t="inlineStr">
        <is>
          <t>long_chat</t>
        </is>
      </c>
      <c r="D23" s="3" t="inlineStr">
        <is>
          <t>gptoss120b</t>
        </is>
      </c>
      <c r="E23" s="3" t="n">
        <v>30</v>
      </c>
      <c r="F23" s="3" t="n">
        <v>8192</v>
      </c>
      <c r="G23" s="3" t="n">
        <v>1024</v>
      </c>
      <c r="H23" s="3" t="n">
        <v>1056</v>
      </c>
      <c r="I23" s="3" t="n">
        <v>944</v>
      </c>
      <c r="J23" s="3" t="n">
        <v>0</v>
      </c>
      <c r="K23" s="19" t="n">
        <v>2629943</v>
      </c>
      <c r="L23" s="20" t="n">
        <v>44.59</v>
      </c>
      <c r="M23" s="3" t="n">
        <v>128</v>
      </c>
      <c r="N23" s="3" t="inlineStr">
        <is>
          <t>vllm</t>
        </is>
      </c>
      <c r="O23" s="3" t="inlineStr">
        <is>
          <t>fp4</t>
        </is>
      </c>
      <c r="P23" s="3" t="inlineStr">
        <is>
          <t>selected_public_max</t>
        </is>
      </c>
      <c r="Q23" s="3" t="inlineStr">
        <is>
          <t>public max among eligible rows</t>
        </is>
      </c>
      <c r="R23" s="3" t="inlineStr">
        <is>
          <t>2026-02-25T00:00:00.000Z</t>
        </is>
      </c>
      <c r="S23" s="3" t="inlineStr">
        <is>
          <t>tok_s_user is computed as output_tok_s_gpu/concurrency when source tok_s_user is blank; agentic_derived uses long_chat rows multiplied by the Kimi K2.5 agentic/long ratio.</t>
        </is>
      </c>
    </row>
    <row r="24">
      <c r="A24" s="3" t="inlineStr">
        <is>
          <t>gptoss120b</t>
        </is>
      </c>
      <c r="B24" s="3" t="inlineStr">
        <is>
          <t>b200</t>
        </is>
      </c>
      <c r="C24" s="3" t="inlineStr">
        <is>
          <t>long_chat</t>
        </is>
      </c>
      <c r="D24" s="3" t="inlineStr">
        <is>
          <t>gptoss120b</t>
        </is>
      </c>
      <c r="E24" s="3" t="n">
        <v>50</v>
      </c>
      <c r="F24" s="3" t="n">
        <v>8192</v>
      </c>
      <c r="G24" s="3" t="n">
        <v>1024</v>
      </c>
      <c r="H24" s="3" t="n">
        <v>1056</v>
      </c>
      <c r="I24" s="3" t="n">
        <v>679</v>
      </c>
      <c r="J24" s="3" t="n">
        <v>0</v>
      </c>
      <c r="K24" s="19" t="n">
        <v>1978039</v>
      </c>
      <c r="L24" s="20" t="n">
        <v>67.06999999999999</v>
      </c>
      <c r="M24" s="3" t="n">
        <v>64</v>
      </c>
      <c r="N24" s="3" t="inlineStr">
        <is>
          <t>vllm</t>
        </is>
      </c>
      <c r="O24" s="3" t="inlineStr">
        <is>
          <t>fp4</t>
        </is>
      </c>
      <c r="P24" s="3" t="inlineStr">
        <is>
          <t>selected_public_max</t>
        </is>
      </c>
      <c r="Q24" s="3" t="inlineStr">
        <is>
          <t>public max among eligible rows</t>
        </is>
      </c>
      <c r="R24" s="3" t="inlineStr">
        <is>
          <t>2026-02-25T00:00:00.000Z</t>
        </is>
      </c>
      <c r="S24" s="3" t="inlineStr">
        <is>
          <t>tok_s_user is computed as output_tok_s_gpu/concurrency when source tok_s_user is blank; agentic_derived uses long_chat rows multiplied by the Kimi K2.5 agentic/long ratio.</t>
        </is>
      </c>
    </row>
    <row r="25">
      <c r="A25" s="3" t="inlineStr">
        <is>
          <t>gptoss120b</t>
        </is>
      </c>
      <c r="B25" s="3" t="inlineStr">
        <is>
          <t>b200</t>
        </is>
      </c>
      <c r="C25" s="3" t="inlineStr">
        <is>
          <t>long_chat</t>
        </is>
      </c>
      <c r="D25" s="3" t="inlineStr">
        <is>
          <t>gptoss120b</t>
        </is>
      </c>
      <c r="E25" s="3" t="n">
        <v>70</v>
      </c>
      <c r="F25" s="3" t="n">
        <v>8192</v>
      </c>
      <c r="G25" s="3" t="n">
        <v>1024</v>
      </c>
      <c r="H25" s="3" t="n">
        <v>1056</v>
      </c>
      <c r="I25" s="3" t="n">
        <v>430</v>
      </c>
      <c r="J25" s="3" t="n">
        <v>0</v>
      </c>
      <c r="K25" s="19" t="n">
        <v>1699929</v>
      </c>
      <c r="L25" s="20" t="n">
        <v>115.28</v>
      </c>
      <c r="M25" s="3" t="n">
        <v>32</v>
      </c>
      <c r="N25" s="3" t="inlineStr">
        <is>
          <t>vllm</t>
        </is>
      </c>
      <c r="O25" s="3" t="inlineStr">
        <is>
          <t>fp4</t>
        </is>
      </c>
      <c r="P25" s="3" t="inlineStr">
        <is>
          <t>selected_public_max</t>
        </is>
      </c>
      <c r="Q25" s="3" t="inlineStr">
        <is>
          <t>public max among eligible rows</t>
        </is>
      </c>
      <c r="R25" s="3" t="inlineStr">
        <is>
          <t>2025-11-04T00:00:00.000Z</t>
        </is>
      </c>
      <c r="S25" s="3" t="inlineStr">
        <is>
          <t>tok_s_user is computed as output_tok_s_gpu/concurrency when source tok_s_user is blank; agentic_derived uses long_chat rows multiplied by the Kimi K2.5 agentic/long ratio.</t>
        </is>
      </c>
    </row>
    <row r="26">
      <c r="A26" s="3" t="inlineStr">
        <is>
          <t>gptoss120b</t>
        </is>
      </c>
      <c r="B26" s="3" t="inlineStr">
        <is>
          <t>b200</t>
        </is>
      </c>
      <c r="C26" s="3" t="inlineStr">
        <is>
          <t>long_chat</t>
        </is>
      </c>
      <c r="D26" s="3" t="inlineStr">
        <is>
          <t>gptoss120b</t>
        </is>
      </c>
      <c r="E26" s="3" t="n">
        <v>100</v>
      </c>
      <c r="F26" s="3" t="n">
        <v>8192</v>
      </c>
      <c r="G26" s="3" t="n">
        <v>1024</v>
      </c>
      <c r="H26" s="3" t="n">
        <v>1056</v>
      </c>
      <c r="I26" s="3" t="n">
        <v>291</v>
      </c>
      <c r="J26" s="3" t="n">
        <v>0</v>
      </c>
      <c r="K26" s="19" t="n">
        <v>1699929</v>
      </c>
      <c r="L26" s="20" t="n">
        <v>115.28</v>
      </c>
      <c r="M26" s="3" t="n">
        <v>32</v>
      </c>
      <c r="N26" s="3" t="inlineStr">
        <is>
          <t>vllm</t>
        </is>
      </c>
      <c r="O26" s="3" t="inlineStr">
        <is>
          <t>fp4</t>
        </is>
      </c>
      <c r="P26" s="3" t="inlineStr">
        <is>
          <t>selected_public_max</t>
        </is>
      </c>
      <c r="Q26" s="3" t="inlineStr">
        <is>
          <t>public max among eligible rows</t>
        </is>
      </c>
      <c r="R26" s="3" t="inlineStr">
        <is>
          <t>2025-11-04T00:00:00.000Z</t>
        </is>
      </c>
      <c r="S26" s="3" t="inlineStr">
        <is>
          <t>tok_s_user is computed as output_tok_s_gpu/concurrency when source tok_s_user is blank; agentic_derived uses long_chat rows multiplied by the Kimi K2.5 agentic/long ratio.</t>
        </is>
      </c>
    </row>
    <row r="27">
      <c r="A27" s="3" t="inlineStr">
        <is>
          <t>gptoss120b</t>
        </is>
      </c>
      <c r="B27" s="3" t="inlineStr">
        <is>
          <t>b200</t>
        </is>
      </c>
      <c r="C27" s="3" t="inlineStr">
        <is>
          <t>agentic_derived</t>
        </is>
      </c>
      <c r="D27" s="3" t="inlineStr">
        <is>
          <t>gptoss120b</t>
        </is>
      </c>
      <c r="E27" s="3" t="n">
        <v>10</v>
      </c>
      <c r="F27" s="3" t="n">
        <v>8192</v>
      </c>
      <c r="G27" s="3" t="n">
        <v>1024</v>
      </c>
      <c r="H27" s="3" t="n">
        <v>1056</v>
      </c>
      <c r="I27" s="3" t="n">
        <v>305</v>
      </c>
      <c r="J27" s="3" t="n">
        <v>0</v>
      </c>
      <c r="K27" s="19" t="n">
        <v>184775</v>
      </c>
      <c r="L27" s="20" t="n">
        <v>12.53</v>
      </c>
      <c r="M27" s="3" t="n">
        <v>32</v>
      </c>
      <c r="N27" s="3" t="inlineStr">
        <is>
          <t>vllm</t>
        </is>
      </c>
      <c r="O27" s="3" t="inlineStr">
        <is>
          <t>fp4</t>
        </is>
      </c>
      <c r="P27" s="3" t="inlineStr">
        <is>
          <t>selected_public_max</t>
        </is>
      </c>
      <c r="Q27" s="3" t="inlineStr">
        <is>
          <t>public max among eligible rows</t>
        </is>
      </c>
      <c r="R27" s="3" t="inlineStr">
        <is>
          <t>2025-11-04T00:00:00.000Z</t>
        </is>
      </c>
      <c r="S27" s="3" t="inlineStr">
        <is>
          <t>tok_s_user is computed as output_tok_s_gpu/concurrency when source tok_s_user is blank; agentic_derived uses long_chat rows multiplied by the Kimi K2.5 agentic/long ratio.</t>
        </is>
      </c>
    </row>
    <row r="28">
      <c r="A28" s="9" t="inlineStr">
        <is>
          <t>gptoss120b</t>
        </is>
      </c>
      <c r="B28" s="9" t="inlineStr">
        <is>
          <t>b200</t>
        </is>
      </c>
      <c r="C28" s="9" t="inlineStr">
        <is>
          <t>agentic_derived</t>
        </is>
      </c>
      <c r="D28" s="9" t="inlineStr">
        <is>
          <t>gptoss120b</t>
        </is>
      </c>
      <c r="E28" s="9" t="n">
        <v>30</v>
      </c>
      <c r="F28" s="9" t="n">
        <v>100947</v>
      </c>
      <c r="G28" s="9" t="n">
        <v>860</v>
      </c>
      <c r="H28" s="9" t="n">
        <v>1056</v>
      </c>
      <c r="I28" s="9" t="n">
        <v>0</v>
      </c>
      <c r="J28" s="9" t="n">
        <v>0</v>
      </c>
      <c r="K28" s="11" t="inlineStr"/>
      <c r="L28" s="21" t="inlineStr"/>
      <c r="M28" s="9" t="inlineStr"/>
      <c r="N28" s="9" t="inlineStr"/>
      <c r="O28" s="9" t="inlineStr"/>
      <c r="P28" s="9" t="inlineStr">
        <is>
          <t>missing</t>
        </is>
      </c>
      <c r="Q28" s="9" t="inlineStr">
        <is>
          <t>no row meets target_tok_s_user</t>
        </is>
      </c>
      <c r="R28" s="9" t="inlineStr"/>
      <c r="S28" s="9" t="inlineStr">
        <is>
          <t>tok_s_user is computed as output_tok_s_gpu/concurrency when source tok_s_user is blank; agentic_derived uses long_chat rows multiplied by the Kimi K2.5 agentic/long ratio.</t>
        </is>
      </c>
    </row>
    <row r="29">
      <c r="A29" s="9" t="inlineStr">
        <is>
          <t>gptoss120b</t>
        </is>
      </c>
      <c r="B29" s="9" t="inlineStr">
        <is>
          <t>b200</t>
        </is>
      </c>
      <c r="C29" s="9" t="inlineStr">
        <is>
          <t>agentic_derived</t>
        </is>
      </c>
      <c r="D29" s="9" t="inlineStr">
        <is>
          <t>gptoss120b</t>
        </is>
      </c>
      <c r="E29" s="9" t="n">
        <v>50</v>
      </c>
      <c r="F29" s="9" t="n">
        <v>100947</v>
      </c>
      <c r="G29" s="9" t="n">
        <v>860</v>
      </c>
      <c r="H29" s="9" t="n">
        <v>1056</v>
      </c>
      <c r="I29" s="9" t="n">
        <v>0</v>
      </c>
      <c r="J29" s="9" t="n">
        <v>0</v>
      </c>
      <c r="K29" s="11" t="inlineStr"/>
      <c r="L29" s="21" t="inlineStr"/>
      <c r="M29" s="9" t="inlineStr"/>
      <c r="N29" s="9" t="inlineStr"/>
      <c r="O29" s="9" t="inlineStr"/>
      <c r="P29" s="9" t="inlineStr">
        <is>
          <t>missing</t>
        </is>
      </c>
      <c r="Q29" s="9" t="inlineStr">
        <is>
          <t>no row meets target_tok_s_user</t>
        </is>
      </c>
      <c r="R29" s="9" t="inlineStr"/>
      <c r="S29" s="9" t="inlineStr">
        <is>
          <t>tok_s_user is computed as output_tok_s_gpu/concurrency when source tok_s_user is blank; agentic_derived uses long_chat rows multiplied by the Kimi K2.5 agentic/long ratio.</t>
        </is>
      </c>
    </row>
    <row r="30">
      <c r="A30" s="9" t="inlineStr">
        <is>
          <t>gptoss120b</t>
        </is>
      </c>
      <c r="B30" s="9" t="inlineStr">
        <is>
          <t>b200</t>
        </is>
      </c>
      <c r="C30" s="9" t="inlineStr">
        <is>
          <t>agentic_derived</t>
        </is>
      </c>
      <c r="D30" s="9" t="inlineStr">
        <is>
          <t>gptoss120b</t>
        </is>
      </c>
      <c r="E30" s="9" t="n">
        <v>70</v>
      </c>
      <c r="F30" s="9" t="n">
        <v>100947</v>
      </c>
      <c r="G30" s="9" t="n">
        <v>860</v>
      </c>
      <c r="H30" s="9" t="n">
        <v>1056</v>
      </c>
      <c r="I30" s="9" t="n">
        <v>0</v>
      </c>
      <c r="J30" s="9" t="n">
        <v>0</v>
      </c>
      <c r="K30" s="11" t="inlineStr"/>
      <c r="L30" s="21" t="inlineStr"/>
      <c r="M30" s="9" t="inlineStr"/>
      <c r="N30" s="9" t="inlineStr"/>
      <c r="O30" s="9" t="inlineStr"/>
      <c r="P30" s="9" t="inlineStr">
        <is>
          <t>missing</t>
        </is>
      </c>
      <c r="Q30" s="9" t="inlineStr">
        <is>
          <t>no row meets target_tok_s_user</t>
        </is>
      </c>
      <c r="R30" s="9" t="inlineStr"/>
      <c r="S30" s="9" t="inlineStr">
        <is>
          <t>tok_s_user is computed as output_tok_s_gpu/concurrency when source tok_s_user is blank; agentic_derived uses long_chat rows multiplied by the Kimi K2.5 agentic/long ratio.</t>
        </is>
      </c>
    </row>
    <row r="31">
      <c r="A31" s="9" t="inlineStr">
        <is>
          <t>gptoss120b</t>
        </is>
      </c>
      <c r="B31" s="9" t="inlineStr">
        <is>
          <t>b200</t>
        </is>
      </c>
      <c r="C31" s="9" t="inlineStr">
        <is>
          <t>agentic_derived</t>
        </is>
      </c>
      <c r="D31" s="9" t="inlineStr">
        <is>
          <t>gptoss120b</t>
        </is>
      </c>
      <c r="E31" s="9" t="n">
        <v>100</v>
      </c>
      <c r="F31" s="9" t="n">
        <v>100947</v>
      </c>
      <c r="G31" s="9" t="n">
        <v>860</v>
      </c>
      <c r="H31" s="9" t="n">
        <v>1056</v>
      </c>
      <c r="I31" s="9" t="n">
        <v>0</v>
      </c>
      <c r="J31" s="9" t="n">
        <v>0</v>
      </c>
      <c r="K31" s="11" t="inlineStr"/>
      <c r="L31" s="21" t="inlineStr"/>
      <c r="M31" s="9" t="inlineStr"/>
      <c r="N31" s="9" t="inlineStr"/>
      <c r="O31" s="9" t="inlineStr"/>
      <c r="P31" s="9" t="inlineStr">
        <is>
          <t>missing</t>
        </is>
      </c>
      <c r="Q31" s="9" t="inlineStr">
        <is>
          <t>no row meets target_tok_s_user</t>
        </is>
      </c>
      <c r="R31" s="9" t="inlineStr"/>
      <c r="S31" s="9" t="inlineStr">
        <is>
          <t>tok_s_user is computed as output_tok_s_gpu/concurrency when source tok_s_user is blank; agentic_derived uses long_chat rows multiplied by the Kimi K2.5 agentic/long ratio.</t>
        </is>
      </c>
    </row>
    <row r="32">
      <c r="A32" s="9" t="inlineStr">
        <is>
          <t>gptoss120b</t>
        </is>
      </c>
      <c r="B32" s="9" t="inlineStr">
        <is>
          <t>gb200</t>
        </is>
      </c>
      <c r="C32" s="9" t="inlineStr">
        <is>
          <t>short_chat</t>
        </is>
      </c>
      <c r="D32" s="9" t="inlineStr">
        <is>
          <t>gptoss120b</t>
        </is>
      </c>
      <c r="E32" s="9" t="n">
        <v>10</v>
      </c>
      <c r="F32" s="9" t="n">
        <v>1024</v>
      </c>
      <c r="G32" s="9" t="n">
        <v>1024</v>
      </c>
      <c r="H32" s="9" t="n">
        <v>0</v>
      </c>
      <c r="I32" s="9" t="n">
        <v>0</v>
      </c>
      <c r="J32" s="9" t="n">
        <v>0</v>
      </c>
      <c r="K32" s="11" t="inlineStr"/>
      <c r="L32" s="21" t="inlineStr"/>
      <c r="M32" s="9" t="inlineStr"/>
      <c r="N32" s="9" t="inlineStr"/>
      <c r="O32" s="9" t="inlineStr"/>
      <c r="P32" s="9" t="inlineStr">
        <is>
          <t>missing</t>
        </is>
      </c>
      <c r="Q32" s="9" t="inlineStr">
        <is>
          <t>no row meets target_tok_s_user</t>
        </is>
      </c>
      <c r="R32" s="9" t="inlineStr"/>
      <c r="S32" s="9" t="inlineStr">
        <is>
          <t>tok_s_user is computed as output_tok_s_gpu/concurrency when source tok_s_user is blank; agentic_derived uses long_chat rows multiplied by the Kimi K2.5 agentic/long ratio.</t>
        </is>
      </c>
    </row>
    <row r="33">
      <c r="A33" s="9" t="inlineStr">
        <is>
          <t>gptoss120b</t>
        </is>
      </c>
      <c r="B33" s="9" t="inlineStr">
        <is>
          <t>gb200</t>
        </is>
      </c>
      <c r="C33" s="9" t="inlineStr">
        <is>
          <t>short_chat</t>
        </is>
      </c>
      <c r="D33" s="9" t="inlineStr">
        <is>
          <t>gptoss120b</t>
        </is>
      </c>
      <c r="E33" s="9" t="n">
        <v>30</v>
      </c>
      <c r="F33" s="9" t="n">
        <v>1024</v>
      </c>
      <c r="G33" s="9" t="n">
        <v>1024</v>
      </c>
      <c r="H33" s="9" t="n">
        <v>0</v>
      </c>
      <c r="I33" s="9" t="n">
        <v>0</v>
      </c>
      <c r="J33" s="9" t="n">
        <v>0</v>
      </c>
      <c r="K33" s="11" t="inlineStr"/>
      <c r="L33" s="21" t="inlineStr"/>
      <c r="M33" s="9" t="inlineStr"/>
      <c r="N33" s="9" t="inlineStr"/>
      <c r="O33" s="9" t="inlineStr"/>
      <c r="P33" s="9" t="inlineStr">
        <is>
          <t>missing</t>
        </is>
      </c>
      <c r="Q33" s="9" t="inlineStr">
        <is>
          <t>no row meets target_tok_s_user</t>
        </is>
      </c>
      <c r="R33" s="9" t="inlineStr"/>
      <c r="S33" s="9" t="inlineStr">
        <is>
          <t>tok_s_user is computed as output_tok_s_gpu/concurrency when source tok_s_user is blank; agentic_derived uses long_chat rows multiplied by the Kimi K2.5 agentic/long ratio.</t>
        </is>
      </c>
    </row>
    <row r="34">
      <c r="A34" s="9" t="inlineStr">
        <is>
          <t>gptoss120b</t>
        </is>
      </c>
      <c r="B34" s="9" t="inlineStr">
        <is>
          <t>gb200</t>
        </is>
      </c>
      <c r="C34" s="9" t="inlineStr">
        <is>
          <t>short_chat</t>
        </is>
      </c>
      <c r="D34" s="9" t="inlineStr">
        <is>
          <t>gptoss120b</t>
        </is>
      </c>
      <c r="E34" s="9" t="n">
        <v>50</v>
      </c>
      <c r="F34" s="9" t="n">
        <v>1024</v>
      </c>
      <c r="G34" s="9" t="n">
        <v>1024</v>
      </c>
      <c r="H34" s="9" t="n">
        <v>0</v>
      </c>
      <c r="I34" s="9" t="n">
        <v>0</v>
      </c>
      <c r="J34" s="9" t="n">
        <v>0</v>
      </c>
      <c r="K34" s="11" t="inlineStr"/>
      <c r="L34" s="21" t="inlineStr"/>
      <c r="M34" s="9" t="inlineStr"/>
      <c r="N34" s="9" t="inlineStr"/>
      <c r="O34" s="9" t="inlineStr"/>
      <c r="P34" s="9" t="inlineStr">
        <is>
          <t>missing</t>
        </is>
      </c>
      <c r="Q34" s="9" t="inlineStr">
        <is>
          <t>no row meets target_tok_s_user</t>
        </is>
      </c>
      <c r="R34" s="9" t="inlineStr"/>
      <c r="S34" s="9" t="inlineStr">
        <is>
          <t>tok_s_user is computed as output_tok_s_gpu/concurrency when source tok_s_user is blank; agentic_derived uses long_chat rows multiplied by the Kimi K2.5 agentic/long ratio.</t>
        </is>
      </c>
    </row>
    <row r="35">
      <c r="A35" s="9" t="inlineStr">
        <is>
          <t>gptoss120b</t>
        </is>
      </c>
      <c r="B35" s="9" t="inlineStr">
        <is>
          <t>gb200</t>
        </is>
      </c>
      <c r="C35" s="9" t="inlineStr">
        <is>
          <t>short_chat</t>
        </is>
      </c>
      <c r="D35" s="9" t="inlineStr">
        <is>
          <t>gptoss120b</t>
        </is>
      </c>
      <c r="E35" s="9" t="n">
        <v>70</v>
      </c>
      <c r="F35" s="9" t="n">
        <v>1024</v>
      </c>
      <c r="G35" s="9" t="n">
        <v>1024</v>
      </c>
      <c r="H35" s="9" t="n">
        <v>0</v>
      </c>
      <c r="I35" s="9" t="n">
        <v>0</v>
      </c>
      <c r="J35" s="9" t="n">
        <v>0</v>
      </c>
      <c r="K35" s="11" t="inlineStr"/>
      <c r="L35" s="21" t="inlineStr"/>
      <c r="M35" s="9" t="inlineStr"/>
      <c r="N35" s="9" t="inlineStr"/>
      <c r="O35" s="9" t="inlineStr"/>
      <c r="P35" s="9" t="inlineStr">
        <is>
          <t>missing</t>
        </is>
      </c>
      <c r="Q35" s="9" t="inlineStr">
        <is>
          <t>no row meets target_tok_s_user</t>
        </is>
      </c>
      <c r="R35" s="9" t="inlineStr"/>
      <c r="S35" s="9" t="inlineStr">
        <is>
          <t>tok_s_user is computed as output_tok_s_gpu/concurrency when source tok_s_user is blank; agentic_derived uses long_chat rows multiplied by the Kimi K2.5 agentic/long ratio.</t>
        </is>
      </c>
    </row>
    <row r="36">
      <c r="A36" s="9" t="inlineStr">
        <is>
          <t>gptoss120b</t>
        </is>
      </c>
      <c r="B36" s="9" t="inlineStr">
        <is>
          <t>gb200</t>
        </is>
      </c>
      <c r="C36" s="9" t="inlineStr">
        <is>
          <t>short_chat</t>
        </is>
      </c>
      <c r="D36" s="9" t="inlineStr">
        <is>
          <t>gptoss120b</t>
        </is>
      </c>
      <c r="E36" s="9" t="n">
        <v>100</v>
      </c>
      <c r="F36" s="9" t="n">
        <v>1024</v>
      </c>
      <c r="G36" s="9" t="n">
        <v>1024</v>
      </c>
      <c r="H36" s="9" t="n">
        <v>0</v>
      </c>
      <c r="I36" s="9" t="n">
        <v>0</v>
      </c>
      <c r="J36" s="9" t="n">
        <v>0</v>
      </c>
      <c r="K36" s="11" t="inlineStr"/>
      <c r="L36" s="21" t="inlineStr"/>
      <c r="M36" s="9" t="inlineStr"/>
      <c r="N36" s="9" t="inlineStr"/>
      <c r="O36" s="9" t="inlineStr"/>
      <c r="P36" s="9" t="inlineStr">
        <is>
          <t>missing</t>
        </is>
      </c>
      <c r="Q36" s="9" t="inlineStr">
        <is>
          <t>no row meets target_tok_s_user</t>
        </is>
      </c>
      <c r="R36" s="9" t="inlineStr"/>
      <c r="S36" s="9" t="inlineStr">
        <is>
          <t>tok_s_user is computed as output_tok_s_gpu/concurrency when source tok_s_user is blank; agentic_derived uses long_chat rows multiplied by the Kimi K2.5 agentic/long ratio.</t>
        </is>
      </c>
    </row>
    <row r="37">
      <c r="A37" s="9" t="inlineStr">
        <is>
          <t>gptoss120b</t>
        </is>
      </c>
      <c r="B37" s="9" t="inlineStr">
        <is>
          <t>gb200</t>
        </is>
      </c>
      <c r="C37" s="9" t="inlineStr">
        <is>
          <t>long_chat</t>
        </is>
      </c>
      <c r="D37" s="9" t="inlineStr">
        <is>
          <t>gptoss120b</t>
        </is>
      </c>
      <c r="E37" s="9" t="n">
        <v>10</v>
      </c>
      <c r="F37" s="9" t="n">
        <v>8192</v>
      </c>
      <c r="G37" s="9" t="n">
        <v>1024</v>
      </c>
      <c r="H37" s="9" t="n">
        <v>0</v>
      </c>
      <c r="I37" s="9" t="n">
        <v>0</v>
      </c>
      <c r="J37" s="9" t="n">
        <v>0</v>
      </c>
      <c r="K37" s="11" t="inlineStr"/>
      <c r="L37" s="21" t="inlineStr"/>
      <c r="M37" s="9" t="inlineStr"/>
      <c r="N37" s="9" t="inlineStr"/>
      <c r="O37" s="9" t="inlineStr"/>
      <c r="P37" s="9" t="inlineStr">
        <is>
          <t>missing</t>
        </is>
      </c>
      <c r="Q37" s="9" t="inlineStr">
        <is>
          <t>no row meets target_tok_s_user</t>
        </is>
      </c>
      <c r="R37" s="9" t="inlineStr"/>
      <c r="S37" s="9" t="inlineStr">
        <is>
          <t>tok_s_user is computed as output_tok_s_gpu/concurrency when source tok_s_user is blank; agentic_derived uses long_chat rows multiplied by the Kimi K2.5 agentic/long ratio.</t>
        </is>
      </c>
    </row>
    <row r="38">
      <c r="A38" s="9" t="inlineStr">
        <is>
          <t>gptoss120b</t>
        </is>
      </c>
      <c r="B38" s="9" t="inlineStr">
        <is>
          <t>gb200</t>
        </is>
      </c>
      <c r="C38" s="9" t="inlineStr">
        <is>
          <t>long_chat</t>
        </is>
      </c>
      <c r="D38" s="9" t="inlineStr">
        <is>
          <t>gptoss120b</t>
        </is>
      </c>
      <c r="E38" s="9" t="n">
        <v>30</v>
      </c>
      <c r="F38" s="9" t="n">
        <v>8192</v>
      </c>
      <c r="G38" s="9" t="n">
        <v>1024</v>
      </c>
      <c r="H38" s="9" t="n">
        <v>0</v>
      </c>
      <c r="I38" s="9" t="n">
        <v>0</v>
      </c>
      <c r="J38" s="9" t="n">
        <v>0</v>
      </c>
      <c r="K38" s="11" t="inlineStr"/>
      <c r="L38" s="21" t="inlineStr"/>
      <c r="M38" s="9" t="inlineStr"/>
      <c r="N38" s="9" t="inlineStr"/>
      <c r="O38" s="9" t="inlineStr"/>
      <c r="P38" s="9" t="inlineStr">
        <is>
          <t>missing</t>
        </is>
      </c>
      <c r="Q38" s="9" t="inlineStr">
        <is>
          <t>no row meets target_tok_s_user</t>
        </is>
      </c>
      <c r="R38" s="9" t="inlineStr"/>
      <c r="S38" s="9" t="inlineStr">
        <is>
          <t>tok_s_user is computed as output_tok_s_gpu/concurrency when source tok_s_user is blank; agentic_derived uses long_chat rows multiplied by the Kimi K2.5 agentic/long ratio.</t>
        </is>
      </c>
    </row>
    <row r="39">
      <c r="A39" s="9" t="inlineStr">
        <is>
          <t>gptoss120b</t>
        </is>
      </c>
      <c r="B39" s="9" t="inlineStr">
        <is>
          <t>gb200</t>
        </is>
      </c>
      <c r="C39" s="9" t="inlineStr">
        <is>
          <t>long_chat</t>
        </is>
      </c>
      <c r="D39" s="9" t="inlineStr">
        <is>
          <t>gptoss120b</t>
        </is>
      </c>
      <c r="E39" s="9" t="n">
        <v>50</v>
      </c>
      <c r="F39" s="9" t="n">
        <v>8192</v>
      </c>
      <c r="G39" s="9" t="n">
        <v>1024</v>
      </c>
      <c r="H39" s="9" t="n">
        <v>0</v>
      </c>
      <c r="I39" s="9" t="n">
        <v>0</v>
      </c>
      <c r="J39" s="9" t="n">
        <v>0</v>
      </c>
      <c r="K39" s="11" t="inlineStr"/>
      <c r="L39" s="21" t="inlineStr"/>
      <c r="M39" s="9" t="inlineStr"/>
      <c r="N39" s="9" t="inlineStr"/>
      <c r="O39" s="9" t="inlineStr"/>
      <c r="P39" s="9" t="inlineStr">
        <is>
          <t>missing</t>
        </is>
      </c>
      <c r="Q39" s="9" t="inlineStr">
        <is>
          <t>no row meets target_tok_s_user</t>
        </is>
      </c>
      <c r="R39" s="9" t="inlineStr"/>
      <c r="S39" s="9" t="inlineStr">
        <is>
          <t>tok_s_user is computed as output_tok_s_gpu/concurrency when source tok_s_user is blank; agentic_derived uses long_chat rows multiplied by the Kimi K2.5 agentic/long ratio.</t>
        </is>
      </c>
    </row>
    <row r="40">
      <c r="A40" s="9" t="inlineStr">
        <is>
          <t>gptoss120b</t>
        </is>
      </c>
      <c r="B40" s="9" t="inlineStr">
        <is>
          <t>gb200</t>
        </is>
      </c>
      <c r="C40" s="9" t="inlineStr">
        <is>
          <t>long_chat</t>
        </is>
      </c>
      <c r="D40" s="9" t="inlineStr">
        <is>
          <t>gptoss120b</t>
        </is>
      </c>
      <c r="E40" s="9" t="n">
        <v>70</v>
      </c>
      <c r="F40" s="9" t="n">
        <v>8192</v>
      </c>
      <c r="G40" s="9" t="n">
        <v>1024</v>
      </c>
      <c r="H40" s="9" t="n">
        <v>0</v>
      </c>
      <c r="I40" s="9" t="n">
        <v>0</v>
      </c>
      <c r="J40" s="9" t="n">
        <v>0</v>
      </c>
      <c r="K40" s="11" t="inlineStr"/>
      <c r="L40" s="21" t="inlineStr"/>
      <c r="M40" s="9" t="inlineStr"/>
      <c r="N40" s="9" t="inlineStr"/>
      <c r="O40" s="9" t="inlineStr"/>
      <c r="P40" s="9" t="inlineStr">
        <is>
          <t>missing</t>
        </is>
      </c>
      <c r="Q40" s="9" t="inlineStr">
        <is>
          <t>no row meets target_tok_s_user</t>
        </is>
      </c>
      <c r="R40" s="9" t="inlineStr"/>
      <c r="S40" s="9" t="inlineStr">
        <is>
          <t>tok_s_user is computed as output_tok_s_gpu/concurrency when source tok_s_user is blank; agentic_derived uses long_chat rows multiplied by the Kimi K2.5 agentic/long ratio.</t>
        </is>
      </c>
    </row>
    <row r="41">
      <c r="A41" s="9" t="inlineStr">
        <is>
          <t>gptoss120b</t>
        </is>
      </c>
      <c r="B41" s="9" t="inlineStr">
        <is>
          <t>gb200</t>
        </is>
      </c>
      <c r="C41" s="9" t="inlineStr">
        <is>
          <t>long_chat</t>
        </is>
      </c>
      <c r="D41" s="9" t="inlineStr">
        <is>
          <t>gptoss120b</t>
        </is>
      </c>
      <c r="E41" s="9" t="n">
        <v>100</v>
      </c>
      <c r="F41" s="9" t="n">
        <v>8192</v>
      </c>
      <c r="G41" s="9" t="n">
        <v>1024</v>
      </c>
      <c r="H41" s="9" t="n">
        <v>0</v>
      </c>
      <c r="I41" s="9" t="n">
        <v>0</v>
      </c>
      <c r="J41" s="9" t="n">
        <v>0</v>
      </c>
      <c r="K41" s="11" t="inlineStr"/>
      <c r="L41" s="21" t="inlineStr"/>
      <c r="M41" s="9" t="inlineStr"/>
      <c r="N41" s="9" t="inlineStr"/>
      <c r="O41" s="9" t="inlineStr"/>
      <c r="P41" s="9" t="inlineStr">
        <is>
          <t>missing</t>
        </is>
      </c>
      <c r="Q41" s="9" t="inlineStr">
        <is>
          <t>no row meets target_tok_s_user</t>
        </is>
      </c>
      <c r="R41" s="9" t="inlineStr"/>
      <c r="S41" s="9" t="inlineStr">
        <is>
          <t>tok_s_user is computed as output_tok_s_gpu/concurrency when source tok_s_user is blank; agentic_derived uses long_chat rows multiplied by the Kimi K2.5 agentic/long ratio.</t>
        </is>
      </c>
    </row>
    <row r="42">
      <c r="A42" s="9" t="inlineStr">
        <is>
          <t>gptoss120b</t>
        </is>
      </c>
      <c r="B42" s="9" t="inlineStr">
        <is>
          <t>gb200</t>
        </is>
      </c>
      <c r="C42" s="9" t="inlineStr">
        <is>
          <t>agentic_derived</t>
        </is>
      </c>
      <c r="D42" s="9" t="inlineStr">
        <is>
          <t>gptoss120b</t>
        </is>
      </c>
      <c r="E42" s="9" t="n">
        <v>10</v>
      </c>
      <c r="F42" s="9" t="n">
        <v>100947</v>
      </c>
      <c r="G42" s="9" t="n">
        <v>860</v>
      </c>
      <c r="H42" s="9" t="n">
        <v>0</v>
      </c>
      <c r="I42" s="9" t="n">
        <v>0</v>
      </c>
      <c r="J42" s="9" t="n">
        <v>0</v>
      </c>
      <c r="K42" s="11" t="inlineStr"/>
      <c r="L42" s="21" t="inlineStr"/>
      <c r="M42" s="9" t="inlineStr"/>
      <c r="N42" s="9" t="inlineStr"/>
      <c r="O42" s="9" t="inlineStr"/>
      <c r="P42" s="9" t="inlineStr">
        <is>
          <t>missing</t>
        </is>
      </c>
      <c r="Q42" s="9" t="inlineStr">
        <is>
          <t>no row meets target_tok_s_user</t>
        </is>
      </c>
      <c r="R42" s="9" t="inlineStr"/>
      <c r="S42" s="9" t="inlineStr">
        <is>
          <t>tok_s_user is computed as output_tok_s_gpu/concurrency when source tok_s_user is blank; agentic_derived uses long_chat rows multiplied by the Kimi K2.5 agentic/long ratio.</t>
        </is>
      </c>
    </row>
    <row r="43">
      <c r="A43" s="9" t="inlineStr">
        <is>
          <t>gptoss120b</t>
        </is>
      </c>
      <c r="B43" s="9" t="inlineStr">
        <is>
          <t>gb200</t>
        </is>
      </c>
      <c r="C43" s="9" t="inlineStr">
        <is>
          <t>agentic_derived</t>
        </is>
      </c>
      <c r="D43" s="9" t="inlineStr">
        <is>
          <t>gptoss120b</t>
        </is>
      </c>
      <c r="E43" s="9" t="n">
        <v>30</v>
      </c>
      <c r="F43" s="9" t="n">
        <v>100947</v>
      </c>
      <c r="G43" s="9" t="n">
        <v>860</v>
      </c>
      <c r="H43" s="9" t="n">
        <v>0</v>
      </c>
      <c r="I43" s="9" t="n">
        <v>0</v>
      </c>
      <c r="J43" s="9" t="n">
        <v>0</v>
      </c>
      <c r="K43" s="11" t="inlineStr"/>
      <c r="L43" s="21" t="inlineStr"/>
      <c r="M43" s="9" t="inlineStr"/>
      <c r="N43" s="9" t="inlineStr"/>
      <c r="O43" s="9" t="inlineStr"/>
      <c r="P43" s="9" t="inlineStr">
        <is>
          <t>missing</t>
        </is>
      </c>
      <c r="Q43" s="9" t="inlineStr">
        <is>
          <t>no row meets target_tok_s_user</t>
        </is>
      </c>
      <c r="R43" s="9" t="inlineStr"/>
      <c r="S43" s="9" t="inlineStr">
        <is>
          <t>tok_s_user is computed as output_tok_s_gpu/concurrency when source tok_s_user is blank; agentic_derived uses long_chat rows multiplied by the Kimi K2.5 agentic/long ratio.</t>
        </is>
      </c>
    </row>
    <row r="44">
      <c r="A44" s="9" t="inlineStr">
        <is>
          <t>gptoss120b</t>
        </is>
      </c>
      <c r="B44" s="9" t="inlineStr">
        <is>
          <t>gb200</t>
        </is>
      </c>
      <c r="C44" s="9" t="inlineStr">
        <is>
          <t>agentic_derived</t>
        </is>
      </c>
      <c r="D44" s="9" t="inlineStr">
        <is>
          <t>gptoss120b</t>
        </is>
      </c>
      <c r="E44" s="9" t="n">
        <v>50</v>
      </c>
      <c r="F44" s="9" t="n">
        <v>100947</v>
      </c>
      <c r="G44" s="9" t="n">
        <v>860</v>
      </c>
      <c r="H44" s="9" t="n">
        <v>0</v>
      </c>
      <c r="I44" s="9" t="n">
        <v>0</v>
      </c>
      <c r="J44" s="9" t="n">
        <v>0</v>
      </c>
      <c r="K44" s="11" t="inlineStr"/>
      <c r="L44" s="21" t="inlineStr"/>
      <c r="M44" s="9" t="inlineStr"/>
      <c r="N44" s="9" t="inlineStr"/>
      <c r="O44" s="9" t="inlineStr"/>
      <c r="P44" s="9" t="inlineStr">
        <is>
          <t>missing</t>
        </is>
      </c>
      <c r="Q44" s="9" t="inlineStr">
        <is>
          <t>no row meets target_tok_s_user</t>
        </is>
      </c>
      <c r="R44" s="9" t="inlineStr"/>
      <c r="S44" s="9" t="inlineStr">
        <is>
          <t>tok_s_user is computed as output_tok_s_gpu/concurrency when source tok_s_user is blank; agentic_derived uses long_chat rows multiplied by the Kimi K2.5 agentic/long ratio.</t>
        </is>
      </c>
    </row>
    <row r="45">
      <c r="A45" s="9" t="inlineStr">
        <is>
          <t>gptoss120b</t>
        </is>
      </c>
      <c r="B45" s="9" t="inlineStr">
        <is>
          <t>gb200</t>
        </is>
      </c>
      <c r="C45" s="9" t="inlineStr">
        <is>
          <t>agentic_derived</t>
        </is>
      </c>
      <c r="D45" s="9" t="inlineStr">
        <is>
          <t>gptoss120b</t>
        </is>
      </c>
      <c r="E45" s="9" t="n">
        <v>70</v>
      </c>
      <c r="F45" s="9" t="n">
        <v>100947</v>
      </c>
      <c r="G45" s="9" t="n">
        <v>860</v>
      </c>
      <c r="H45" s="9" t="n">
        <v>0</v>
      </c>
      <c r="I45" s="9" t="n">
        <v>0</v>
      </c>
      <c r="J45" s="9" t="n">
        <v>0</v>
      </c>
      <c r="K45" s="11" t="inlineStr"/>
      <c r="L45" s="21" t="inlineStr"/>
      <c r="M45" s="9" t="inlineStr"/>
      <c r="N45" s="9" t="inlineStr"/>
      <c r="O45" s="9" t="inlineStr"/>
      <c r="P45" s="9" t="inlineStr">
        <is>
          <t>missing</t>
        </is>
      </c>
      <c r="Q45" s="9" t="inlineStr">
        <is>
          <t>no row meets target_tok_s_user</t>
        </is>
      </c>
      <c r="R45" s="9" t="inlineStr"/>
      <c r="S45" s="9" t="inlineStr">
        <is>
          <t>tok_s_user is computed as output_tok_s_gpu/concurrency when source tok_s_user is blank; agentic_derived uses long_chat rows multiplied by the Kimi K2.5 agentic/long ratio.</t>
        </is>
      </c>
    </row>
    <row r="46">
      <c r="A46" s="9" t="inlineStr">
        <is>
          <t>gptoss120b</t>
        </is>
      </c>
      <c r="B46" s="9" t="inlineStr">
        <is>
          <t>gb200</t>
        </is>
      </c>
      <c r="C46" s="9" t="inlineStr">
        <is>
          <t>agentic_derived</t>
        </is>
      </c>
      <c r="D46" s="9" t="inlineStr">
        <is>
          <t>gptoss120b</t>
        </is>
      </c>
      <c r="E46" s="9" t="n">
        <v>100</v>
      </c>
      <c r="F46" s="9" t="n">
        <v>100947</v>
      </c>
      <c r="G46" s="9" t="n">
        <v>860</v>
      </c>
      <c r="H46" s="9" t="n">
        <v>0</v>
      </c>
      <c r="I46" s="9" t="n">
        <v>0</v>
      </c>
      <c r="J46" s="9" t="n">
        <v>0</v>
      </c>
      <c r="K46" s="11" t="inlineStr"/>
      <c r="L46" s="21" t="inlineStr"/>
      <c r="M46" s="9" t="inlineStr"/>
      <c r="N46" s="9" t="inlineStr"/>
      <c r="O46" s="9" t="inlineStr"/>
      <c r="P46" s="9" t="inlineStr">
        <is>
          <t>missing</t>
        </is>
      </c>
      <c r="Q46" s="9" t="inlineStr">
        <is>
          <t>no row meets target_tok_s_user</t>
        </is>
      </c>
      <c r="R46" s="9" t="inlineStr"/>
      <c r="S46" s="9" t="inlineStr">
        <is>
          <t>tok_s_user is computed as output_tok_s_gpu/concurrency when source tok_s_user is blank; agentic_derived uses long_chat rows multiplied by the Kimi K2.5 agentic/long ratio.</t>
        </is>
      </c>
    </row>
    <row r="47">
      <c r="A47" s="3" t="inlineStr">
        <is>
          <t>frontier_composite</t>
        </is>
      </c>
      <c r="B47" s="3" t="inlineStr">
        <is>
          <t>h200</t>
        </is>
      </c>
      <c r="C47" s="3" t="inlineStr">
        <is>
          <t>short_chat</t>
        </is>
      </c>
      <c r="D47" s="3" t="inlineStr">
        <is>
          <t>gptoss120b</t>
        </is>
      </c>
      <c r="E47" s="3" t="n">
        <v>10</v>
      </c>
      <c r="F47" s="3" t="n">
        <v>1024</v>
      </c>
      <c r="G47" s="3" t="n">
        <v>1024</v>
      </c>
      <c r="H47" s="3" t="n">
        <v>990</v>
      </c>
      <c r="I47" s="3" t="n">
        <v>990</v>
      </c>
      <c r="J47" s="3" t="n">
        <v>0</v>
      </c>
      <c r="K47" s="19" t="n">
        <v>1459609</v>
      </c>
      <c r="L47" s="20" t="n">
        <v>39.46</v>
      </c>
      <c r="M47" s="3" t="n">
        <v>64</v>
      </c>
      <c r="N47" s="3" t="inlineStr">
        <is>
          <t>vllm</t>
        </is>
      </c>
      <c r="O47" s="3" t="inlineStr">
        <is>
          <t>fp4</t>
        </is>
      </c>
      <c r="P47" s="3" t="inlineStr">
        <is>
          <t>selected_public_max</t>
        </is>
      </c>
      <c r="Q47" s="3" t="inlineStr">
        <is>
          <t>public max among eligible rows</t>
        </is>
      </c>
      <c r="R47" s="3" t="inlineStr">
        <is>
          <t>2025-10-20T00:00:00.000Z</t>
        </is>
      </c>
      <c r="S47" s="3" t="inlineStr">
        <is>
          <t>tok_s_user is computed as output_tok_s_gpu/concurrency when source tok_s_user is blank; agentic_derived uses long_chat rows multiplied by the Kimi K2.5 agentic/long ratio.</t>
        </is>
      </c>
    </row>
    <row r="48">
      <c r="A48" s="3" t="inlineStr">
        <is>
          <t>frontier_composite</t>
        </is>
      </c>
      <c r="B48" s="3" t="inlineStr">
        <is>
          <t>h200</t>
        </is>
      </c>
      <c r="C48" s="3" t="inlineStr">
        <is>
          <t>short_chat</t>
        </is>
      </c>
      <c r="D48" s="3" t="inlineStr">
        <is>
          <t>gptoss120b</t>
        </is>
      </c>
      <c r="E48" s="3" t="n">
        <v>30</v>
      </c>
      <c r="F48" s="3" t="n">
        <v>1024</v>
      </c>
      <c r="G48" s="3" t="n">
        <v>1024</v>
      </c>
      <c r="H48" s="3" t="n">
        <v>990</v>
      </c>
      <c r="I48" s="3" t="n">
        <v>691</v>
      </c>
      <c r="J48" s="3" t="n">
        <v>0</v>
      </c>
      <c r="K48" s="19" t="n">
        <v>1459609</v>
      </c>
      <c r="L48" s="20" t="n">
        <v>39.46</v>
      </c>
      <c r="M48" s="3" t="n">
        <v>64</v>
      </c>
      <c r="N48" s="3" t="inlineStr">
        <is>
          <t>vllm</t>
        </is>
      </c>
      <c r="O48" s="3" t="inlineStr">
        <is>
          <t>fp4</t>
        </is>
      </c>
      <c r="P48" s="3" t="inlineStr">
        <is>
          <t>selected_public_max</t>
        </is>
      </c>
      <c r="Q48" s="3" t="inlineStr">
        <is>
          <t>public max among eligible rows</t>
        </is>
      </c>
      <c r="R48" s="3" t="inlineStr">
        <is>
          <t>2025-10-20T00:00:00.000Z</t>
        </is>
      </c>
      <c r="S48" s="3" t="inlineStr">
        <is>
          <t>tok_s_user is computed as output_tok_s_gpu/concurrency when source tok_s_user is blank; agentic_derived uses long_chat rows multiplied by the Kimi K2.5 agentic/long ratio.</t>
        </is>
      </c>
    </row>
    <row r="49">
      <c r="A49" s="3" t="inlineStr">
        <is>
          <t>frontier_composite</t>
        </is>
      </c>
      <c r="B49" s="3" t="inlineStr">
        <is>
          <t>h200</t>
        </is>
      </c>
      <c r="C49" s="3" t="inlineStr">
        <is>
          <t>short_chat</t>
        </is>
      </c>
      <c r="D49" s="3" t="inlineStr">
        <is>
          <t>gptoss120b</t>
        </is>
      </c>
      <c r="E49" s="3" t="n">
        <v>50</v>
      </c>
      <c r="F49" s="3" t="n">
        <v>1024</v>
      </c>
      <c r="G49" s="3" t="n">
        <v>1024</v>
      </c>
      <c r="H49" s="3" t="n">
        <v>990</v>
      </c>
      <c r="I49" s="3" t="n">
        <v>334</v>
      </c>
      <c r="J49" s="3" t="n">
        <v>0</v>
      </c>
      <c r="K49" s="19" t="n">
        <v>1037487</v>
      </c>
      <c r="L49" s="20" t="n">
        <v>56.09</v>
      </c>
      <c r="M49" s="3" t="n">
        <v>32</v>
      </c>
      <c r="N49" s="3" t="inlineStr">
        <is>
          <t>vllm</t>
        </is>
      </c>
      <c r="O49" s="3" t="inlineStr">
        <is>
          <t>fp4</t>
        </is>
      </c>
      <c r="P49" s="3" t="inlineStr">
        <is>
          <t>selected_public_max</t>
        </is>
      </c>
      <c r="Q49" s="3" t="inlineStr">
        <is>
          <t>public max among eligible rows</t>
        </is>
      </c>
      <c r="R49" s="3" t="inlineStr">
        <is>
          <t>2025-10-31T00:00:00.000Z</t>
        </is>
      </c>
      <c r="S49" s="3" t="inlineStr">
        <is>
          <t>tok_s_user is computed as output_tok_s_gpu/concurrency when source tok_s_user is blank; agentic_derived uses long_chat rows multiplied by the Kimi K2.5 agentic/long ratio.</t>
        </is>
      </c>
    </row>
    <row r="50">
      <c r="A50" s="3" t="inlineStr">
        <is>
          <t>frontier_composite</t>
        </is>
      </c>
      <c r="B50" s="3" t="inlineStr">
        <is>
          <t>h200</t>
        </is>
      </c>
      <c r="C50" s="3" t="inlineStr">
        <is>
          <t>short_chat</t>
        </is>
      </c>
      <c r="D50" s="3" t="inlineStr">
        <is>
          <t>gptoss120b</t>
        </is>
      </c>
      <c r="E50" s="3" t="n">
        <v>70</v>
      </c>
      <c r="F50" s="3" t="n">
        <v>1024</v>
      </c>
      <c r="G50" s="3" t="n">
        <v>1024</v>
      </c>
      <c r="H50" s="3" t="n">
        <v>990</v>
      </c>
      <c r="I50" s="3" t="n">
        <v>202</v>
      </c>
      <c r="J50" s="3" t="n">
        <v>0</v>
      </c>
      <c r="K50" s="19" t="n">
        <v>728459</v>
      </c>
      <c r="L50" s="20" t="n">
        <v>78.76000000000001</v>
      </c>
      <c r="M50" s="3" t="n">
        <v>16</v>
      </c>
      <c r="N50" s="3" t="inlineStr">
        <is>
          <t>vllm</t>
        </is>
      </c>
      <c r="O50" s="3" t="inlineStr">
        <is>
          <t>fp4</t>
        </is>
      </c>
      <c r="P50" s="3" t="inlineStr">
        <is>
          <t>selected_public_max</t>
        </is>
      </c>
      <c r="Q50" s="3" t="inlineStr">
        <is>
          <t>public max among eligible rows</t>
        </is>
      </c>
      <c r="R50" s="3" t="inlineStr">
        <is>
          <t>2025-10-20T00:00:00.000Z</t>
        </is>
      </c>
      <c r="S50" s="3" t="inlineStr">
        <is>
          <t>tok_s_user is computed as output_tok_s_gpu/concurrency when source tok_s_user is blank; agentic_derived uses long_chat rows multiplied by the Kimi K2.5 agentic/long ratio.</t>
        </is>
      </c>
    </row>
    <row r="51">
      <c r="A51" s="3" t="inlineStr">
        <is>
          <t>frontier_composite</t>
        </is>
      </c>
      <c r="B51" s="3" t="inlineStr">
        <is>
          <t>h200</t>
        </is>
      </c>
      <c r="C51" s="3" t="inlineStr">
        <is>
          <t>short_chat</t>
        </is>
      </c>
      <c r="D51" s="3" t="inlineStr">
        <is>
          <t>gptoss120b</t>
        </is>
      </c>
      <c r="E51" s="3" t="n">
        <v>100</v>
      </c>
      <c r="F51" s="3" t="n">
        <v>1024</v>
      </c>
      <c r="G51" s="3" t="n">
        <v>1024</v>
      </c>
      <c r="H51" s="3" t="n">
        <v>990</v>
      </c>
      <c r="I51" s="3" t="n">
        <v>73</v>
      </c>
      <c r="J51" s="3" t="n">
        <v>0</v>
      </c>
      <c r="K51" s="19" t="n">
        <v>505857</v>
      </c>
      <c r="L51" s="20" t="n">
        <v>109.39</v>
      </c>
      <c r="M51" s="3" t="n">
        <v>8</v>
      </c>
      <c r="N51" s="3" t="inlineStr">
        <is>
          <t>vllm</t>
        </is>
      </c>
      <c r="O51" s="3" t="inlineStr">
        <is>
          <t>fp4</t>
        </is>
      </c>
      <c r="P51" s="3" t="inlineStr">
        <is>
          <t>selected_public_max</t>
        </is>
      </c>
      <c r="Q51" s="3" t="inlineStr">
        <is>
          <t>public max among eligible rows</t>
        </is>
      </c>
      <c r="R51" s="3" t="inlineStr">
        <is>
          <t>2025-10-30T00:00:00.000Z</t>
        </is>
      </c>
      <c r="S51" s="3" t="inlineStr">
        <is>
          <t>tok_s_user is computed as output_tok_s_gpu/concurrency when source tok_s_user is blank; agentic_derived uses long_chat rows multiplied by the Kimi K2.5 agentic/long ratio.</t>
        </is>
      </c>
    </row>
    <row r="52">
      <c r="A52" s="3" t="inlineStr">
        <is>
          <t>frontier_composite</t>
        </is>
      </c>
      <c r="B52" s="3" t="inlineStr">
        <is>
          <t>h200</t>
        </is>
      </c>
      <c r="C52" s="3" t="inlineStr">
        <is>
          <t>long_chat</t>
        </is>
      </c>
      <c r="D52" s="3" t="inlineStr">
        <is>
          <t>gptoss120b</t>
        </is>
      </c>
      <c r="E52" s="3" t="n">
        <v>10</v>
      </c>
      <c r="F52" s="3" t="n">
        <v>8192</v>
      </c>
      <c r="G52" s="3" t="n">
        <v>1024</v>
      </c>
      <c r="H52" s="3" t="n">
        <v>1164</v>
      </c>
      <c r="I52" s="3" t="n">
        <v>1149</v>
      </c>
      <c r="J52" s="3" t="n">
        <v>0</v>
      </c>
      <c r="K52" s="19" t="n">
        <v>1451169</v>
      </c>
      <c r="L52" s="20" t="n">
        <v>39.23</v>
      </c>
      <c r="M52" s="3" t="n">
        <v>64</v>
      </c>
      <c r="N52" s="3" t="inlineStr">
        <is>
          <t>vllm</t>
        </is>
      </c>
      <c r="O52" s="3" t="inlineStr">
        <is>
          <t>fp4</t>
        </is>
      </c>
      <c r="P52" s="3" t="inlineStr">
        <is>
          <t>selected_public_max</t>
        </is>
      </c>
      <c r="Q52" s="3" t="inlineStr">
        <is>
          <t>public max among eligible rows</t>
        </is>
      </c>
      <c r="R52" s="3" t="inlineStr">
        <is>
          <t>2025-11-04T00:00:00.000Z</t>
        </is>
      </c>
      <c r="S52" s="3" t="inlineStr">
        <is>
          <t>tok_s_user is computed as output_tok_s_gpu/concurrency when source tok_s_user is blank; agentic_derived uses long_chat rows multiplied by the Kimi K2.5 agentic/long ratio.</t>
        </is>
      </c>
    </row>
    <row r="53">
      <c r="A53" s="3" t="inlineStr">
        <is>
          <t>frontier_composite</t>
        </is>
      </c>
      <c r="B53" s="3" t="inlineStr">
        <is>
          <t>h200</t>
        </is>
      </c>
      <c r="C53" s="3" t="inlineStr">
        <is>
          <t>long_chat</t>
        </is>
      </c>
      <c r="D53" s="3" t="inlineStr">
        <is>
          <t>gptoss120b</t>
        </is>
      </c>
      <c r="E53" s="3" t="n">
        <v>30</v>
      </c>
      <c r="F53" s="3" t="n">
        <v>8192</v>
      </c>
      <c r="G53" s="3" t="n">
        <v>1024</v>
      </c>
      <c r="H53" s="3" t="n">
        <v>1164</v>
      </c>
      <c r="I53" s="3" t="n">
        <v>619</v>
      </c>
      <c r="J53" s="3" t="n">
        <v>0</v>
      </c>
      <c r="K53" s="19" t="n">
        <v>1451169</v>
      </c>
      <c r="L53" s="20" t="n">
        <v>39.23</v>
      </c>
      <c r="M53" s="3" t="n">
        <v>64</v>
      </c>
      <c r="N53" s="3" t="inlineStr">
        <is>
          <t>vllm</t>
        </is>
      </c>
      <c r="O53" s="3" t="inlineStr">
        <is>
          <t>fp4</t>
        </is>
      </c>
      <c r="P53" s="3" t="inlineStr">
        <is>
          <t>selected_public_max</t>
        </is>
      </c>
      <c r="Q53" s="3" t="inlineStr">
        <is>
          <t>public max among eligible rows</t>
        </is>
      </c>
      <c r="R53" s="3" t="inlineStr">
        <is>
          <t>2025-11-04T00:00:00.000Z</t>
        </is>
      </c>
      <c r="S53" s="3" t="inlineStr">
        <is>
          <t>tok_s_user is computed as output_tok_s_gpu/concurrency when source tok_s_user is blank; agentic_derived uses long_chat rows multiplied by the Kimi K2.5 agentic/long ratio.</t>
        </is>
      </c>
    </row>
    <row r="54">
      <c r="A54" s="3" t="inlineStr">
        <is>
          <t>frontier_composite</t>
        </is>
      </c>
      <c r="B54" s="3" t="inlineStr">
        <is>
          <t>h200</t>
        </is>
      </c>
      <c r="C54" s="3" t="inlineStr">
        <is>
          <t>long_chat</t>
        </is>
      </c>
      <c r="D54" s="3" t="inlineStr">
        <is>
          <t>gptoss120b</t>
        </is>
      </c>
      <c r="E54" s="3" t="n">
        <v>50</v>
      </c>
      <c r="F54" s="3" t="n">
        <v>8192</v>
      </c>
      <c r="G54" s="3" t="n">
        <v>1024</v>
      </c>
      <c r="H54" s="3" t="n">
        <v>1164</v>
      </c>
      <c r="I54" s="3" t="n">
        <v>346</v>
      </c>
      <c r="J54" s="3" t="n">
        <v>0</v>
      </c>
      <c r="K54" s="19" t="n">
        <v>1035150</v>
      </c>
      <c r="L54" s="20" t="n">
        <v>55.96</v>
      </c>
      <c r="M54" s="3" t="n">
        <v>32</v>
      </c>
      <c r="N54" s="3" t="inlineStr">
        <is>
          <t>vllm</t>
        </is>
      </c>
      <c r="O54" s="3" t="inlineStr">
        <is>
          <t>fp4</t>
        </is>
      </c>
      <c r="P54" s="3" t="inlineStr">
        <is>
          <t>selected_public_max</t>
        </is>
      </c>
      <c r="Q54" s="3" t="inlineStr">
        <is>
          <t>public max among eligible rows</t>
        </is>
      </c>
      <c r="R54" s="3" t="inlineStr">
        <is>
          <t>2025-11-04T00:00:00.000Z</t>
        </is>
      </c>
      <c r="S54" s="3" t="inlineStr">
        <is>
          <t>tok_s_user is computed as output_tok_s_gpu/concurrency when source tok_s_user is blank; agentic_derived uses long_chat rows multiplied by the Kimi K2.5 agentic/long ratio.</t>
        </is>
      </c>
    </row>
    <row r="55">
      <c r="A55" s="3" t="inlineStr">
        <is>
          <t>frontier_composite</t>
        </is>
      </c>
      <c r="B55" s="3" t="inlineStr">
        <is>
          <t>h200</t>
        </is>
      </c>
      <c r="C55" s="3" t="inlineStr">
        <is>
          <t>long_chat</t>
        </is>
      </c>
      <c r="D55" s="3" t="inlineStr">
        <is>
          <t>gptoss120b</t>
        </is>
      </c>
      <c r="E55" s="3" t="n">
        <v>70</v>
      </c>
      <c r="F55" s="3" t="n">
        <v>8192</v>
      </c>
      <c r="G55" s="3" t="n">
        <v>1024</v>
      </c>
      <c r="H55" s="3" t="n">
        <v>1164</v>
      </c>
      <c r="I55" s="3" t="n">
        <v>184</v>
      </c>
      <c r="J55" s="3" t="n">
        <v>0</v>
      </c>
      <c r="K55" s="19" t="n">
        <v>649279</v>
      </c>
      <c r="L55" s="20" t="n">
        <v>70.2</v>
      </c>
      <c r="M55" s="3" t="n">
        <v>16</v>
      </c>
      <c r="N55" s="3" t="inlineStr">
        <is>
          <t>vllm</t>
        </is>
      </c>
      <c r="O55" s="3" t="inlineStr">
        <is>
          <t>fp4</t>
        </is>
      </c>
      <c r="P55" s="3" t="inlineStr">
        <is>
          <t>selected_public_max</t>
        </is>
      </c>
      <c r="Q55" s="3" t="inlineStr">
        <is>
          <t>public max among eligible rows</t>
        </is>
      </c>
      <c r="R55" s="3" t="inlineStr">
        <is>
          <t>2026-05-13T00:00:00.000Z</t>
        </is>
      </c>
      <c r="S55" s="3" t="inlineStr">
        <is>
          <t>tok_s_user is computed as output_tok_s_gpu/concurrency when source tok_s_user is blank; agentic_derived uses long_chat rows multiplied by the Kimi K2.5 agentic/long ratio.</t>
        </is>
      </c>
    </row>
    <row r="56">
      <c r="A56" s="3" t="inlineStr">
        <is>
          <t>frontier_composite</t>
        </is>
      </c>
      <c r="B56" s="3" t="inlineStr">
        <is>
          <t>h200</t>
        </is>
      </c>
      <c r="C56" s="3" t="inlineStr">
        <is>
          <t>long_chat</t>
        </is>
      </c>
      <c r="D56" s="3" t="inlineStr">
        <is>
          <t>gptoss120b</t>
        </is>
      </c>
      <c r="E56" s="3" t="n">
        <v>100</v>
      </c>
      <c r="F56" s="3" t="n">
        <v>8192</v>
      </c>
      <c r="G56" s="3" t="n">
        <v>1024</v>
      </c>
      <c r="H56" s="3" t="n">
        <v>1164</v>
      </c>
      <c r="I56" s="3" t="n">
        <v>62</v>
      </c>
      <c r="J56" s="3" t="n">
        <v>0</v>
      </c>
      <c r="K56" s="19" t="n">
        <v>329414</v>
      </c>
      <c r="L56" s="20" t="n">
        <v>142.47</v>
      </c>
      <c r="M56" s="3" t="n">
        <v>4</v>
      </c>
      <c r="N56" s="3" t="inlineStr">
        <is>
          <t>vllm</t>
        </is>
      </c>
      <c r="O56" s="3" t="inlineStr">
        <is>
          <t>fp4</t>
        </is>
      </c>
      <c r="P56" s="3" t="inlineStr">
        <is>
          <t>selected_public_max</t>
        </is>
      </c>
      <c r="Q56" s="3" t="inlineStr">
        <is>
          <t>public max among eligible rows</t>
        </is>
      </c>
      <c r="R56" s="3" t="inlineStr">
        <is>
          <t>2025-11-04T00:00:00.000Z</t>
        </is>
      </c>
      <c r="S56" s="3" t="inlineStr">
        <is>
          <t>tok_s_user is computed as output_tok_s_gpu/concurrency when source tok_s_user is blank; agentic_derived uses long_chat rows multiplied by the Kimi K2.5 agentic/long ratio.</t>
        </is>
      </c>
    </row>
    <row r="57">
      <c r="A57" s="3" t="inlineStr">
        <is>
          <t>frontier_composite</t>
        </is>
      </c>
      <c r="B57" s="3" t="inlineStr">
        <is>
          <t>h200</t>
        </is>
      </c>
      <c r="C57" s="3" t="inlineStr">
        <is>
          <t>agentic_derived</t>
        </is>
      </c>
      <c r="D57" s="3" t="inlineStr">
        <is>
          <t>gptoss120b</t>
        </is>
      </c>
      <c r="E57" s="3" t="n">
        <v>10</v>
      </c>
      <c r="F57" s="3" t="n">
        <v>8192</v>
      </c>
      <c r="G57" s="3" t="n">
        <v>1024</v>
      </c>
      <c r="H57" s="3" t="n">
        <v>1164</v>
      </c>
      <c r="I57" s="3" t="n">
        <v>62</v>
      </c>
      <c r="J57" s="3" t="n">
        <v>0</v>
      </c>
      <c r="K57" s="19" t="n">
        <v>35806</v>
      </c>
      <c r="L57" s="20" t="n">
        <v>15.49</v>
      </c>
      <c r="M57" s="3" t="n">
        <v>4</v>
      </c>
      <c r="N57" s="3" t="inlineStr">
        <is>
          <t>vllm</t>
        </is>
      </c>
      <c r="O57" s="3" t="inlineStr">
        <is>
          <t>fp4</t>
        </is>
      </c>
      <c r="P57" s="3" t="inlineStr">
        <is>
          <t>selected_public_max</t>
        </is>
      </c>
      <c r="Q57" s="3" t="inlineStr">
        <is>
          <t>public max among eligible rows</t>
        </is>
      </c>
      <c r="R57" s="3" t="inlineStr">
        <is>
          <t>2025-11-04T00:00:00.000Z</t>
        </is>
      </c>
      <c r="S57" s="3" t="inlineStr">
        <is>
          <t>tok_s_user is computed as output_tok_s_gpu/concurrency when source tok_s_user is blank; agentic_derived uses long_chat rows multiplied by the Kimi K2.5 agentic/long ratio.</t>
        </is>
      </c>
    </row>
    <row r="58">
      <c r="A58" s="9" t="inlineStr">
        <is>
          <t>frontier_composite</t>
        </is>
      </c>
      <c r="B58" s="9" t="inlineStr">
        <is>
          <t>h200</t>
        </is>
      </c>
      <c r="C58" s="9" t="inlineStr">
        <is>
          <t>agentic_derived</t>
        </is>
      </c>
      <c r="D58" s="9" t="inlineStr">
        <is>
          <t>gptoss120b</t>
        </is>
      </c>
      <c r="E58" s="9" t="n">
        <v>30</v>
      </c>
      <c r="F58" s="9" t="n">
        <v>100947</v>
      </c>
      <c r="G58" s="9" t="n">
        <v>860</v>
      </c>
      <c r="H58" s="9" t="n">
        <v>1164</v>
      </c>
      <c r="I58" s="9" t="n">
        <v>0</v>
      </c>
      <c r="J58" s="9" t="n">
        <v>0</v>
      </c>
      <c r="K58" s="11" t="inlineStr"/>
      <c r="L58" s="21" t="inlineStr"/>
      <c r="M58" s="9" t="inlineStr"/>
      <c r="N58" s="9" t="inlineStr"/>
      <c r="O58" s="9" t="inlineStr"/>
      <c r="P58" s="9" t="inlineStr">
        <is>
          <t>missing</t>
        </is>
      </c>
      <c r="Q58" s="9" t="inlineStr">
        <is>
          <t>no row meets target_tok_s_user</t>
        </is>
      </c>
      <c r="R58" s="9" t="inlineStr"/>
      <c r="S58" s="9" t="inlineStr">
        <is>
          <t>tok_s_user is computed as output_tok_s_gpu/concurrency when source tok_s_user is blank; agentic_derived uses long_chat rows multiplied by the Kimi K2.5 agentic/long ratio.</t>
        </is>
      </c>
    </row>
    <row r="59">
      <c r="A59" s="9" t="inlineStr">
        <is>
          <t>frontier_composite</t>
        </is>
      </c>
      <c r="B59" s="9" t="inlineStr">
        <is>
          <t>h200</t>
        </is>
      </c>
      <c r="C59" s="9" t="inlineStr">
        <is>
          <t>agentic_derived</t>
        </is>
      </c>
      <c r="D59" s="9" t="inlineStr">
        <is>
          <t>gptoss120b</t>
        </is>
      </c>
      <c r="E59" s="9" t="n">
        <v>50</v>
      </c>
      <c r="F59" s="9" t="n">
        <v>100947</v>
      </c>
      <c r="G59" s="9" t="n">
        <v>860</v>
      </c>
      <c r="H59" s="9" t="n">
        <v>1164</v>
      </c>
      <c r="I59" s="9" t="n">
        <v>0</v>
      </c>
      <c r="J59" s="9" t="n">
        <v>0</v>
      </c>
      <c r="K59" s="11" t="inlineStr"/>
      <c r="L59" s="21" t="inlineStr"/>
      <c r="M59" s="9" t="inlineStr"/>
      <c r="N59" s="9" t="inlineStr"/>
      <c r="O59" s="9" t="inlineStr"/>
      <c r="P59" s="9" t="inlineStr">
        <is>
          <t>missing</t>
        </is>
      </c>
      <c r="Q59" s="9" t="inlineStr">
        <is>
          <t>no row meets target_tok_s_user</t>
        </is>
      </c>
      <c r="R59" s="9" t="inlineStr"/>
      <c r="S59" s="9" t="inlineStr">
        <is>
          <t>tok_s_user is computed as output_tok_s_gpu/concurrency when source tok_s_user is blank; agentic_derived uses long_chat rows multiplied by the Kimi K2.5 agentic/long ratio.</t>
        </is>
      </c>
    </row>
    <row r="60">
      <c r="A60" s="9" t="inlineStr">
        <is>
          <t>frontier_composite</t>
        </is>
      </c>
      <c r="B60" s="9" t="inlineStr">
        <is>
          <t>h200</t>
        </is>
      </c>
      <c r="C60" s="9" t="inlineStr">
        <is>
          <t>agentic_derived</t>
        </is>
      </c>
      <c r="D60" s="9" t="inlineStr">
        <is>
          <t>gptoss120b</t>
        </is>
      </c>
      <c r="E60" s="9" t="n">
        <v>70</v>
      </c>
      <c r="F60" s="9" t="n">
        <v>100947</v>
      </c>
      <c r="G60" s="9" t="n">
        <v>860</v>
      </c>
      <c r="H60" s="9" t="n">
        <v>1164</v>
      </c>
      <c r="I60" s="9" t="n">
        <v>0</v>
      </c>
      <c r="J60" s="9" t="n">
        <v>0</v>
      </c>
      <c r="K60" s="11" t="inlineStr"/>
      <c r="L60" s="21" t="inlineStr"/>
      <c r="M60" s="9" t="inlineStr"/>
      <c r="N60" s="9" t="inlineStr"/>
      <c r="O60" s="9" t="inlineStr"/>
      <c r="P60" s="9" t="inlineStr">
        <is>
          <t>missing</t>
        </is>
      </c>
      <c r="Q60" s="9" t="inlineStr">
        <is>
          <t>no row meets target_tok_s_user</t>
        </is>
      </c>
      <c r="R60" s="9" t="inlineStr"/>
      <c r="S60" s="9" t="inlineStr">
        <is>
          <t>tok_s_user is computed as output_tok_s_gpu/concurrency when source tok_s_user is blank; agentic_derived uses long_chat rows multiplied by the Kimi K2.5 agentic/long ratio.</t>
        </is>
      </c>
    </row>
    <row r="61">
      <c r="A61" s="9" t="inlineStr">
        <is>
          <t>frontier_composite</t>
        </is>
      </c>
      <c r="B61" s="9" t="inlineStr">
        <is>
          <t>h200</t>
        </is>
      </c>
      <c r="C61" s="9" t="inlineStr">
        <is>
          <t>agentic_derived</t>
        </is>
      </c>
      <c r="D61" s="9" t="inlineStr">
        <is>
          <t>gptoss120b</t>
        </is>
      </c>
      <c r="E61" s="9" t="n">
        <v>100</v>
      </c>
      <c r="F61" s="9" t="n">
        <v>100947</v>
      </c>
      <c r="G61" s="9" t="n">
        <v>860</v>
      </c>
      <c r="H61" s="9" t="n">
        <v>1164</v>
      </c>
      <c r="I61" s="9" t="n">
        <v>0</v>
      </c>
      <c r="J61" s="9" t="n">
        <v>0</v>
      </c>
      <c r="K61" s="11" t="inlineStr"/>
      <c r="L61" s="21" t="inlineStr"/>
      <c r="M61" s="9" t="inlineStr"/>
      <c r="N61" s="9" t="inlineStr"/>
      <c r="O61" s="9" t="inlineStr"/>
      <c r="P61" s="9" t="inlineStr">
        <is>
          <t>missing</t>
        </is>
      </c>
      <c r="Q61" s="9" t="inlineStr">
        <is>
          <t>no row meets target_tok_s_user</t>
        </is>
      </c>
      <c r="R61" s="9" t="inlineStr"/>
      <c r="S61" s="9" t="inlineStr">
        <is>
          <t>tok_s_user is computed as output_tok_s_gpu/concurrency when source tok_s_user is blank; agentic_derived uses long_chat rows multiplied by the Kimi K2.5 agentic/long ratio.</t>
        </is>
      </c>
    </row>
    <row r="62">
      <c r="A62" s="3" t="inlineStr">
        <is>
          <t>frontier_composite</t>
        </is>
      </c>
      <c r="B62" s="3" t="inlineStr">
        <is>
          <t>b200</t>
        </is>
      </c>
      <c r="C62" s="3" t="inlineStr">
        <is>
          <t>short_chat</t>
        </is>
      </c>
      <c r="D62" s="3" t="inlineStr">
        <is>
          <t>dsv4+kimik2.5</t>
        </is>
      </c>
      <c r="E62" s="3" t="n">
        <v>10</v>
      </c>
      <c r="F62" s="3" t="n">
        <v>1024</v>
      </c>
      <c r="G62" s="3" t="n">
        <v>1024</v>
      </c>
      <c r="H62" s="3" t="n">
        <v>25</v>
      </c>
      <c r="I62" s="3" t="n">
        <v>8</v>
      </c>
      <c r="J62" s="3" t="n">
        <v>0</v>
      </c>
      <c r="K62" s="19" t="n">
        <v>40586</v>
      </c>
      <c r="L62" s="20" t="n">
        <v>11.01</v>
      </c>
      <c r="M62" s="3" t="n">
        <v>8</v>
      </c>
      <c r="N62" s="3" t="inlineStr">
        <is>
          <t>vllm</t>
        </is>
      </c>
      <c r="O62" s="3" t="inlineStr">
        <is>
          <t>int4</t>
        </is>
      </c>
      <c r="P62" s="3" t="inlineStr">
        <is>
          <t>selected_public_max</t>
        </is>
      </c>
      <c r="Q62" s="3" t="inlineStr">
        <is>
          <t>public max among eligible rows</t>
        </is>
      </c>
      <c r="R62" s="3" t="inlineStr">
        <is>
          <t>2026-05-16T00:00:00.000Z</t>
        </is>
      </c>
      <c r="S62" s="3" t="inlineStr">
        <is>
          <t>tok_s_user is computed as output_tok_s_gpu/concurrency when source tok_s_user is blank; agentic_derived uses long_chat rows multiplied by the Kimi K2.5 agentic/long ratio.</t>
        </is>
      </c>
    </row>
    <row r="63">
      <c r="A63" s="9" t="inlineStr">
        <is>
          <t>frontier_composite</t>
        </is>
      </c>
      <c r="B63" s="9" t="inlineStr">
        <is>
          <t>b200</t>
        </is>
      </c>
      <c r="C63" s="9" t="inlineStr">
        <is>
          <t>short_chat</t>
        </is>
      </c>
      <c r="D63" s="9" t="inlineStr">
        <is>
          <t>dsv4+kimik2.5</t>
        </is>
      </c>
      <c r="E63" s="9" t="n">
        <v>30</v>
      </c>
      <c r="F63" s="9" t="n">
        <v>1024</v>
      </c>
      <c r="G63" s="9" t="n">
        <v>1024</v>
      </c>
      <c r="H63" s="9" t="n">
        <v>25</v>
      </c>
      <c r="I63" s="9" t="n">
        <v>0</v>
      </c>
      <c r="J63" s="9" t="n">
        <v>0</v>
      </c>
      <c r="K63" s="11" t="inlineStr"/>
      <c r="L63" s="21" t="inlineStr"/>
      <c r="M63" s="9" t="inlineStr"/>
      <c r="N63" s="9" t="inlineStr"/>
      <c r="O63" s="9" t="inlineStr"/>
      <c r="P63" s="9" t="inlineStr">
        <is>
          <t>missing</t>
        </is>
      </c>
      <c r="Q63" s="9" t="inlineStr">
        <is>
          <t>no row meets target_tok_s_user</t>
        </is>
      </c>
      <c r="R63" s="9" t="inlineStr"/>
      <c r="S63" s="9" t="inlineStr">
        <is>
          <t>tok_s_user is computed as output_tok_s_gpu/concurrency when source tok_s_user is blank; agentic_derived uses long_chat rows multiplied by the Kimi K2.5 agentic/long ratio.</t>
        </is>
      </c>
    </row>
    <row r="64">
      <c r="A64" s="9" t="inlineStr">
        <is>
          <t>frontier_composite</t>
        </is>
      </c>
      <c r="B64" s="9" t="inlineStr">
        <is>
          <t>b200</t>
        </is>
      </c>
      <c r="C64" s="9" t="inlineStr">
        <is>
          <t>short_chat</t>
        </is>
      </c>
      <c r="D64" s="9" t="inlineStr">
        <is>
          <t>dsv4+kimik2.5</t>
        </is>
      </c>
      <c r="E64" s="9" t="n">
        <v>50</v>
      </c>
      <c r="F64" s="9" t="n">
        <v>1024</v>
      </c>
      <c r="G64" s="9" t="n">
        <v>1024</v>
      </c>
      <c r="H64" s="9" t="n">
        <v>25</v>
      </c>
      <c r="I64" s="9" t="n">
        <v>0</v>
      </c>
      <c r="J64" s="9" t="n">
        <v>0</v>
      </c>
      <c r="K64" s="11" t="inlineStr"/>
      <c r="L64" s="21" t="inlineStr"/>
      <c r="M64" s="9" t="inlineStr"/>
      <c r="N64" s="9" t="inlineStr"/>
      <c r="O64" s="9" t="inlineStr"/>
      <c r="P64" s="9" t="inlineStr">
        <is>
          <t>missing</t>
        </is>
      </c>
      <c r="Q64" s="9" t="inlineStr">
        <is>
          <t>no row meets target_tok_s_user</t>
        </is>
      </c>
      <c r="R64" s="9" t="inlineStr"/>
      <c r="S64" s="9" t="inlineStr">
        <is>
          <t>tok_s_user is computed as output_tok_s_gpu/concurrency when source tok_s_user is blank; agentic_derived uses long_chat rows multiplied by the Kimi K2.5 agentic/long ratio.</t>
        </is>
      </c>
    </row>
    <row r="65">
      <c r="A65" s="9" t="inlineStr">
        <is>
          <t>frontier_composite</t>
        </is>
      </c>
      <c r="B65" s="9" t="inlineStr">
        <is>
          <t>b200</t>
        </is>
      </c>
      <c r="C65" s="9" t="inlineStr">
        <is>
          <t>short_chat</t>
        </is>
      </c>
      <c r="D65" s="9" t="inlineStr">
        <is>
          <t>dsv4+kimik2.5</t>
        </is>
      </c>
      <c r="E65" s="9" t="n">
        <v>70</v>
      </c>
      <c r="F65" s="9" t="n">
        <v>1024</v>
      </c>
      <c r="G65" s="9" t="n">
        <v>1024</v>
      </c>
      <c r="H65" s="9" t="n">
        <v>25</v>
      </c>
      <c r="I65" s="9" t="n">
        <v>0</v>
      </c>
      <c r="J65" s="9" t="n">
        <v>0</v>
      </c>
      <c r="K65" s="11" t="inlineStr"/>
      <c r="L65" s="21" t="inlineStr"/>
      <c r="M65" s="9" t="inlineStr"/>
      <c r="N65" s="9" t="inlineStr"/>
      <c r="O65" s="9" t="inlineStr"/>
      <c r="P65" s="9" t="inlineStr">
        <is>
          <t>missing</t>
        </is>
      </c>
      <c r="Q65" s="9" t="inlineStr">
        <is>
          <t>no row meets target_tok_s_user</t>
        </is>
      </c>
      <c r="R65" s="9" t="inlineStr"/>
      <c r="S65" s="9" t="inlineStr">
        <is>
          <t>tok_s_user is computed as output_tok_s_gpu/concurrency when source tok_s_user is blank; agentic_derived uses long_chat rows multiplied by the Kimi K2.5 agentic/long ratio.</t>
        </is>
      </c>
    </row>
    <row r="66">
      <c r="A66" s="9" t="inlineStr">
        <is>
          <t>frontier_composite</t>
        </is>
      </c>
      <c r="B66" s="9" t="inlineStr">
        <is>
          <t>b200</t>
        </is>
      </c>
      <c r="C66" s="9" t="inlineStr">
        <is>
          <t>short_chat</t>
        </is>
      </c>
      <c r="D66" s="9" t="inlineStr">
        <is>
          <t>dsv4+kimik2.5</t>
        </is>
      </c>
      <c r="E66" s="9" t="n">
        <v>100</v>
      </c>
      <c r="F66" s="9" t="n">
        <v>1024</v>
      </c>
      <c r="G66" s="9" t="n">
        <v>1024</v>
      </c>
      <c r="H66" s="9" t="n">
        <v>25</v>
      </c>
      <c r="I66" s="9" t="n">
        <v>0</v>
      </c>
      <c r="J66" s="9" t="n">
        <v>0</v>
      </c>
      <c r="K66" s="11" t="inlineStr"/>
      <c r="L66" s="21" t="inlineStr"/>
      <c r="M66" s="9" t="inlineStr"/>
      <c r="N66" s="9" t="inlineStr"/>
      <c r="O66" s="9" t="inlineStr"/>
      <c r="P66" s="9" t="inlineStr">
        <is>
          <t>missing</t>
        </is>
      </c>
      <c r="Q66" s="9" t="inlineStr">
        <is>
          <t>no row meets target_tok_s_user</t>
        </is>
      </c>
      <c r="R66" s="9" t="inlineStr"/>
      <c r="S66" s="9" t="inlineStr">
        <is>
          <t>tok_s_user is computed as output_tok_s_gpu/concurrency when source tok_s_user is blank; agentic_derived uses long_chat rows multiplied by the Kimi K2.5 agentic/long ratio.</t>
        </is>
      </c>
    </row>
    <row r="67">
      <c r="A67" s="3" t="inlineStr">
        <is>
          <t>frontier_composite</t>
        </is>
      </c>
      <c r="B67" s="3" t="inlineStr">
        <is>
          <t>b200</t>
        </is>
      </c>
      <c r="C67" s="3" t="inlineStr">
        <is>
          <t>long_chat</t>
        </is>
      </c>
      <c r="D67" s="3" t="inlineStr">
        <is>
          <t>dsv4+kimik2.5</t>
        </is>
      </c>
      <c r="E67" s="3" t="n">
        <v>10</v>
      </c>
      <c r="F67" s="3" t="n">
        <v>8192</v>
      </c>
      <c r="G67" s="3" t="n">
        <v>1024</v>
      </c>
      <c r="H67" s="3" t="n">
        <v>35</v>
      </c>
      <c r="I67" s="3" t="n">
        <v>5</v>
      </c>
      <c r="J67" s="3" t="n">
        <v>0</v>
      </c>
      <c r="K67" s="19" t="n">
        <v>22902</v>
      </c>
      <c r="L67" s="20" t="n">
        <v>12.42</v>
      </c>
      <c r="M67" s="3" t="n">
        <v>4</v>
      </c>
      <c r="N67" s="3" t="inlineStr">
        <is>
          <t>vllm</t>
        </is>
      </c>
      <c r="O67" s="3" t="inlineStr">
        <is>
          <t>int4</t>
        </is>
      </c>
      <c r="P67" s="3" t="inlineStr">
        <is>
          <t>selected_public_max</t>
        </is>
      </c>
      <c r="Q67" s="3" t="inlineStr">
        <is>
          <t>public max among eligible rows</t>
        </is>
      </c>
      <c r="R67" s="3" t="inlineStr">
        <is>
          <t>2026-05-16T00:00:00.000Z</t>
        </is>
      </c>
      <c r="S67" s="3" t="inlineStr">
        <is>
          <t>tok_s_user is computed as output_tok_s_gpu/concurrency when source tok_s_user is blank; agentic_derived uses long_chat rows multiplied by the Kimi K2.5 agentic/long ratio.</t>
        </is>
      </c>
    </row>
    <row r="68">
      <c r="A68" s="9" t="inlineStr">
        <is>
          <t>frontier_composite</t>
        </is>
      </c>
      <c r="B68" s="9" t="inlineStr">
        <is>
          <t>b200</t>
        </is>
      </c>
      <c r="C68" s="9" t="inlineStr">
        <is>
          <t>long_chat</t>
        </is>
      </c>
      <c r="D68" s="9" t="inlineStr">
        <is>
          <t>dsv4+kimik2.5</t>
        </is>
      </c>
      <c r="E68" s="9" t="n">
        <v>30</v>
      </c>
      <c r="F68" s="9" t="n">
        <v>8192</v>
      </c>
      <c r="G68" s="9" t="n">
        <v>1024</v>
      </c>
      <c r="H68" s="9" t="n">
        <v>35</v>
      </c>
      <c r="I68" s="9" t="n">
        <v>0</v>
      </c>
      <c r="J68" s="9" t="n">
        <v>0</v>
      </c>
      <c r="K68" s="11" t="inlineStr"/>
      <c r="L68" s="21" t="inlineStr"/>
      <c r="M68" s="9" t="inlineStr"/>
      <c r="N68" s="9" t="inlineStr"/>
      <c r="O68" s="9" t="inlineStr"/>
      <c r="P68" s="9" t="inlineStr">
        <is>
          <t>missing</t>
        </is>
      </c>
      <c r="Q68" s="9" t="inlineStr">
        <is>
          <t>no row meets target_tok_s_user</t>
        </is>
      </c>
      <c r="R68" s="9" t="inlineStr"/>
      <c r="S68" s="9" t="inlineStr">
        <is>
          <t>tok_s_user is computed as output_tok_s_gpu/concurrency when source tok_s_user is blank; agentic_derived uses long_chat rows multiplied by the Kimi K2.5 agentic/long ratio.</t>
        </is>
      </c>
    </row>
    <row r="69">
      <c r="A69" s="9" t="inlineStr">
        <is>
          <t>frontier_composite</t>
        </is>
      </c>
      <c r="B69" s="9" t="inlineStr">
        <is>
          <t>b200</t>
        </is>
      </c>
      <c r="C69" s="9" t="inlineStr">
        <is>
          <t>long_chat</t>
        </is>
      </c>
      <c r="D69" s="9" t="inlineStr">
        <is>
          <t>dsv4+kimik2.5</t>
        </is>
      </c>
      <c r="E69" s="9" t="n">
        <v>50</v>
      </c>
      <c r="F69" s="9" t="n">
        <v>8192</v>
      </c>
      <c r="G69" s="9" t="n">
        <v>1024</v>
      </c>
      <c r="H69" s="9" t="n">
        <v>35</v>
      </c>
      <c r="I69" s="9" t="n">
        <v>0</v>
      </c>
      <c r="J69" s="9" t="n">
        <v>0</v>
      </c>
      <c r="K69" s="11" t="inlineStr"/>
      <c r="L69" s="21" t="inlineStr"/>
      <c r="M69" s="9" t="inlineStr"/>
      <c r="N69" s="9" t="inlineStr"/>
      <c r="O69" s="9" t="inlineStr"/>
      <c r="P69" s="9" t="inlineStr">
        <is>
          <t>missing</t>
        </is>
      </c>
      <c r="Q69" s="9" t="inlineStr">
        <is>
          <t>no row meets target_tok_s_user</t>
        </is>
      </c>
      <c r="R69" s="9" t="inlineStr"/>
      <c r="S69" s="9" t="inlineStr">
        <is>
          <t>tok_s_user is computed as output_tok_s_gpu/concurrency when source tok_s_user is blank; agentic_derived uses long_chat rows multiplied by the Kimi K2.5 agentic/long ratio.</t>
        </is>
      </c>
    </row>
    <row r="70">
      <c r="A70" s="9" t="inlineStr">
        <is>
          <t>frontier_composite</t>
        </is>
      </c>
      <c r="B70" s="9" t="inlineStr">
        <is>
          <t>b200</t>
        </is>
      </c>
      <c r="C70" s="9" t="inlineStr">
        <is>
          <t>long_chat</t>
        </is>
      </c>
      <c r="D70" s="9" t="inlineStr">
        <is>
          <t>dsv4+kimik2.5</t>
        </is>
      </c>
      <c r="E70" s="9" t="n">
        <v>70</v>
      </c>
      <c r="F70" s="9" t="n">
        <v>8192</v>
      </c>
      <c r="G70" s="9" t="n">
        <v>1024</v>
      </c>
      <c r="H70" s="9" t="n">
        <v>35</v>
      </c>
      <c r="I70" s="9" t="n">
        <v>0</v>
      </c>
      <c r="J70" s="9" t="n">
        <v>0</v>
      </c>
      <c r="K70" s="11" t="inlineStr"/>
      <c r="L70" s="21" t="inlineStr"/>
      <c r="M70" s="9" t="inlineStr"/>
      <c r="N70" s="9" t="inlineStr"/>
      <c r="O70" s="9" t="inlineStr"/>
      <c r="P70" s="9" t="inlineStr">
        <is>
          <t>missing</t>
        </is>
      </c>
      <c r="Q70" s="9" t="inlineStr">
        <is>
          <t>no row meets target_tok_s_user</t>
        </is>
      </c>
      <c r="R70" s="9" t="inlineStr"/>
      <c r="S70" s="9" t="inlineStr">
        <is>
          <t>tok_s_user is computed as output_tok_s_gpu/concurrency when source tok_s_user is blank; agentic_derived uses long_chat rows multiplied by the Kimi K2.5 agentic/long ratio.</t>
        </is>
      </c>
    </row>
    <row r="71">
      <c r="A71" s="9" t="inlineStr">
        <is>
          <t>frontier_composite</t>
        </is>
      </c>
      <c r="B71" s="9" t="inlineStr">
        <is>
          <t>b200</t>
        </is>
      </c>
      <c r="C71" s="9" t="inlineStr">
        <is>
          <t>long_chat</t>
        </is>
      </c>
      <c r="D71" s="9" t="inlineStr">
        <is>
          <t>dsv4+kimik2.5</t>
        </is>
      </c>
      <c r="E71" s="9" t="n">
        <v>100</v>
      </c>
      <c r="F71" s="9" t="n">
        <v>8192</v>
      </c>
      <c r="G71" s="9" t="n">
        <v>1024</v>
      </c>
      <c r="H71" s="9" t="n">
        <v>35</v>
      </c>
      <c r="I71" s="9" t="n">
        <v>0</v>
      </c>
      <c r="J71" s="9" t="n">
        <v>0</v>
      </c>
      <c r="K71" s="11" t="inlineStr"/>
      <c r="L71" s="21" t="inlineStr"/>
      <c r="M71" s="9" t="inlineStr"/>
      <c r="N71" s="9" t="inlineStr"/>
      <c r="O71" s="9" t="inlineStr"/>
      <c r="P71" s="9" t="inlineStr">
        <is>
          <t>missing</t>
        </is>
      </c>
      <c r="Q71" s="9" t="inlineStr">
        <is>
          <t>no row meets target_tok_s_user</t>
        </is>
      </c>
      <c r="R71" s="9" t="inlineStr"/>
      <c r="S71" s="9" t="inlineStr">
        <is>
          <t>tok_s_user is computed as output_tok_s_gpu/concurrency when source tok_s_user is blank; agentic_derived uses long_chat rows multiplied by the Kimi K2.5 agentic/long ratio.</t>
        </is>
      </c>
    </row>
    <row r="72">
      <c r="A72" s="9" t="inlineStr">
        <is>
          <t>frontier_composite</t>
        </is>
      </c>
      <c r="B72" s="9" t="inlineStr">
        <is>
          <t>b200</t>
        </is>
      </c>
      <c r="C72" s="9" t="inlineStr">
        <is>
          <t>agentic_derived</t>
        </is>
      </c>
      <c r="D72" s="9" t="inlineStr">
        <is>
          <t>dsv4+kimik2.5</t>
        </is>
      </c>
      <c r="E72" s="9" t="n">
        <v>10</v>
      </c>
      <c r="F72" s="9" t="n">
        <v>100947</v>
      </c>
      <c r="G72" s="9" t="n">
        <v>860</v>
      </c>
      <c r="H72" s="9" t="n">
        <v>35</v>
      </c>
      <c r="I72" s="9" t="n">
        <v>0</v>
      </c>
      <c r="J72" s="9" t="n">
        <v>0</v>
      </c>
      <c r="K72" s="11" t="inlineStr"/>
      <c r="L72" s="21" t="inlineStr"/>
      <c r="M72" s="9" t="inlineStr"/>
      <c r="N72" s="9" t="inlineStr"/>
      <c r="O72" s="9" t="inlineStr"/>
      <c r="P72" s="9" t="inlineStr">
        <is>
          <t>missing</t>
        </is>
      </c>
      <c r="Q72" s="9" t="inlineStr">
        <is>
          <t>no row meets target_tok_s_user</t>
        </is>
      </c>
      <c r="R72" s="9" t="inlineStr"/>
      <c r="S72" s="9" t="inlineStr">
        <is>
          <t>tok_s_user is computed as output_tok_s_gpu/concurrency when source tok_s_user is blank; agentic_derived uses long_chat rows multiplied by the Kimi K2.5 agentic/long ratio.</t>
        </is>
      </c>
    </row>
    <row r="73">
      <c r="A73" s="9" t="inlineStr">
        <is>
          <t>frontier_composite</t>
        </is>
      </c>
      <c r="B73" s="9" t="inlineStr">
        <is>
          <t>b200</t>
        </is>
      </c>
      <c r="C73" s="9" t="inlineStr">
        <is>
          <t>agentic_derived</t>
        </is>
      </c>
      <c r="D73" s="9" t="inlineStr">
        <is>
          <t>dsv4+kimik2.5</t>
        </is>
      </c>
      <c r="E73" s="9" t="n">
        <v>30</v>
      </c>
      <c r="F73" s="9" t="n">
        <v>100947</v>
      </c>
      <c r="G73" s="9" t="n">
        <v>860</v>
      </c>
      <c r="H73" s="9" t="n">
        <v>35</v>
      </c>
      <c r="I73" s="9" t="n">
        <v>0</v>
      </c>
      <c r="J73" s="9" t="n">
        <v>0</v>
      </c>
      <c r="K73" s="11" t="inlineStr"/>
      <c r="L73" s="21" t="inlineStr"/>
      <c r="M73" s="9" t="inlineStr"/>
      <c r="N73" s="9" t="inlineStr"/>
      <c r="O73" s="9" t="inlineStr"/>
      <c r="P73" s="9" t="inlineStr">
        <is>
          <t>missing</t>
        </is>
      </c>
      <c r="Q73" s="9" t="inlineStr">
        <is>
          <t>no row meets target_tok_s_user</t>
        </is>
      </c>
      <c r="R73" s="9" t="inlineStr"/>
      <c r="S73" s="9" t="inlineStr">
        <is>
          <t>tok_s_user is computed as output_tok_s_gpu/concurrency when source tok_s_user is blank; agentic_derived uses long_chat rows multiplied by the Kimi K2.5 agentic/long ratio.</t>
        </is>
      </c>
    </row>
    <row r="74">
      <c r="A74" s="9" t="inlineStr">
        <is>
          <t>frontier_composite</t>
        </is>
      </c>
      <c r="B74" s="9" t="inlineStr">
        <is>
          <t>b200</t>
        </is>
      </c>
      <c r="C74" s="9" t="inlineStr">
        <is>
          <t>agentic_derived</t>
        </is>
      </c>
      <c r="D74" s="9" t="inlineStr">
        <is>
          <t>dsv4+kimik2.5</t>
        </is>
      </c>
      <c r="E74" s="9" t="n">
        <v>50</v>
      </c>
      <c r="F74" s="9" t="n">
        <v>100947</v>
      </c>
      <c r="G74" s="9" t="n">
        <v>860</v>
      </c>
      <c r="H74" s="9" t="n">
        <v>35</v>
      </c>
      <c r="I74" s="9" t="n">
        <v>0</v>
      </c>
      <c r="J74" s="9" t="n">
        <v>0</v>
      </c>
      <c r="K74" s="11" t="inlineStr"/>
      <c r="L74" s="21" t="inlineStr"/>
      <c r="M74" s="9" t="inlineStr"/>
      <c r="N74" s="9" t="inlineStr"/>
      <c r="O74" s="9" t="inlineStr"/>
      <c r="P74" s="9" t="inlineStr">
        <is>
          <t>missing</t>
        </is>
      </c>
      <c r="Q74" s="9" t="inlineStr">
        <is>
          <t>no row meets target_tok_s_user</t>
        </is>
      </c>
      <c r="R74" s="9" t="inlineStr"/>
      <c r="S74" s="9" t="inlineStr">
        <is>
          <t>tok_s_user is computed as output_tok_s_gpu/concurrency when source tok_s_user is blank; agentic_derived uses long_chat rows multiplied by the Kimi K2.5 agentic/long ratio.</t>
        </is>
      </c>
    </row>
    <row r="75">
      <c r="A75" s="9" t="inlineStr">
        <is>
          <t>frontier_composite</t>
        </is>
      </c>
      <c r="B75" s="9" t="inlineStr">
        <is>
          <t>b200</t>
        </is>
      </c>
      <c r="C75" s="9" t="inlineStr">
        <is>
          <t>agentic_derived</t>
        </is>
      </c>
      <c r="D75" s="9" t="inlineStr">
        <is>
          <t>dsv4+kimik2.5</t>
        </is>
      </c>
      <c r="E75" s="9" t="n">
        <v>70</v>
      </c>
      <c r="F75" s="9" t="n">
        <v>100947</v>
      </c>
      <c r="G75" s="9" t="n">
        <v>860</v>
      </c>
      <c r="H75" s="9" t="n">
        <v>35</v>
      </c>
      <c r="I75" s="9" t="n">
        <v>0</v>
      </c>
      <c r="J75" s="9" t="n">
        <v>0</v>
      </c>
      <c r="K75" s="11" t="inlineStr"/>
      <c r="L75" s="21" t="inlineStr"/>
      <c r="M75" s="9" t="inlineStr"/>
      <c r="N75" s="9" t="inlineStr"/>
      <c r="O75" s="9" t="inlineStr"/>
      <c r="P75" s="9" t="inlineStr">
        <is>
          <t>missing</t>
        </is>
      </c>
      <c r="Q75" s="9" t="inlineStr">
        <is>
          <t>no row meets target_tok_s_user</t>
        </is>
      </c>
      <c r="R75" s="9" t="inlineStr"/>
      <c r="S75" s="9" t="inlineStr">
        <is>
          <t>tok_s_user is computed as output_tok_s_gpu/concurrency when source tok_s_user is blank; agentic_derived uses long_chat rows multiplied by the Kimi K2.5 agentic/long ratio.</t>
        </is>
      </c>
    </row>
    <row r="76">
      <c r="A76" s="9" t="inlineStr">
        <is>
          <t>frontier_composite</t>
        </is>
      </c>
      <c r="B76" s="9" t="inlineStr">
        <is>
          <t>b200</t>
        </is>
      </c>
      <c r="C76" s="9" t="inlineStr">
        <is>
          <t>agentic_derived</t>
        </is>
      </c>
      <c r="D76" s="9" t="inlineStr">
        <is>
          <t>dsv4+kimik2.5</t>
        </is>
      </c>
      <c r="E76" s="9" t="n">
        <v>100</v>
      </c>
      <c r="F76" s="9" t="n">
        <v>100947</v>
      </c>
      <c r="G76" s="9" t="n">
        <v>860</v>
      </c>
      <c r="H76" s="9" t="n">
        <v>35</v>
      </c>
      <c r="I76" s="9" t="n">
        <v>0</v>
      </c>
      <c r="J76" s="9" t="n">
        <v>0</v>
      </c>
      <c r="K76" s="11" t="inlineStr"/>
      <c r="L76" s="21" t="inlineStr"/>
      <c r="M76" s="9" t="inlineStr"/>
      <c r="N76" s="9" t="inlineStr"/>
      <c r="O76" s="9" t="inlineStr"/>
      <c r="P76" s="9" t="inlineStr">
        <is>
          <t>missing</t>
        </is>
      </c>
      <c r="Q76" s="9" t="inlineStr">
        <is>
          <t>no row meets target_tok_s_user</t>
        </is>
      </c>
      <c r="R76" s="9" t="inlineStr"/>
      <c r="S76" s="9" t="inlineStr">
        <is>
          <t>tok_s_user is computed as output_tok_s_gpu/concurrency when source tok_s_user is blank; agentic_derived uses long_chat rows multiplied by the Kimi K2.5 agentic/long ratio.</t>
        </is>
      </c>
    </row>
    <row r="77">
      <c r="A77" s="9" t="inlineStr">
        <is>
          <t>frontier_composite</t>
        </is>
      </c>
      <c r="B77" s="9" t="inlineStr">
        <is>
          <t>gb200</t>
        </is>
      </c>
      <c r="C77" s="9" t="inlineStr">
        <is>
          <t>short_chat</t>
        </is>
      </c>
      <c r="D77" s="9" t="inlineStr">
        <is>
          <t>dsv4+kimik2.5</t>
        </is>
      </c>
      <c r="E77" s="9" t="n">
        <v>10</v>
      </c>
      <c r="F77" s="9" t="n">
        <v>1024</v>
      </c>
      <c r="G77" s="9" t="n">
        <v>1024</v>
      </c>
      <c r="H77" s="9" t="n">
        <v>27</v>
      </c>
      <c r="I77" s="9" t="n">
        <v>0</v>
      </c>
      <c r="J77" s="9" t="n">
        <v>0</v>
      </c>
      <c r="K77" s="11" t="inlineStr"/>
      <c r="L77" s="21" t="inlineStr"/>
      <c r="M77" s="9" t="inlineStr"/>
      <c r="N77" s="9" t="inlineStr"/>
      <c r="O77" s="9" t="inlineStr"/>
      <c r="P77" s="9" t="inlineStr">
        <is>
          <t>missing</t>
        </is>
      </c>
      <c r="Q77" s="9" t="inlineStr">
        <is>
          <t>no row meets target_tok_s_user</t>
        </is>
      </c>
      <c r="R77" s="9" t="inlineStr"/>
      <c r="S77" s="9" t="inlineStr">
        <is>
          <t>tok_s_user is computed as output_tok_s_gpu/concurrency when source tok_s_user is blank; agentic_derived uses long_chat rows multiplied by the Kimi K2.5 agentic/long ratio.</t>
        </is>
      </c>
    </row>
    <row r="78">
      <c r="A78" s="9" t="inlineStr">
        <is>
          <t>frontier_composite</t>
        </is>
      </c>
      <c r="B78" s="9" t="inlineStr">
        <is>
          <t>gb200</t>
        </is>
      </c>
      <c r="C78" s="9" t="inlineStr">
        <is>
          <t>short_chat</t>
        </is>
      </c>
      <c r="D78" s="9" t="inlineStr">
        <is>
          <t>dsv4+kimik2.5</t>
        </is>
      </c>
      <c r="E78" s="9" t="n">
        <v>30</v>
      </c>
      <c r="F78" s="9" t="n">
        <v>1024</v>
      </c>
      <c r="G78" s="9" t="n">
        <v>1024</v>
      </c>
      <c r="H78" s="9" t="n">
        <v>27</v>
      </c>
      <c r="I78" s="9" t="n">
        <v>0</v>
      </c>
      <c r="J78" s="9" t="n">
        <v>0</v>
      </c>
      <c r="K78" s="11" t="inlineStr"/>
      <c r="L78" s="21" t="inlineStr"/>
      <c r="M78" s="9" t="inlineStr"/>
      <c r="N78" s="9" t="inlineStr"/>
      <c r="O78" s="9" t="inlineStr"/>
      <c r="P78" s="9" t="inlineStr">
        <is>
          <t>missing</t>
        </is>
      </c>
      <c r="Q78" s="9" t="inlineStr">
        <is>
          <t>no row meets target_tok_s_user</t>
        </is>
      </c>
      <c r="R78" s="9" t="inlineStr"/>
      <c r="S78" s="9" t="inlineStr">
        <is>
          <t>tok_s_user is computed as output_tok_s_gpu/concurrency when source tok_s_user is blank; agentic_derived uses long_chat rows multiplied by the Kimi K2.5 agentic/long ratio.</t>
        </is>
      </c>
    </row>
    <row r="79">
      <c r="A79" s="9" t="inlineStr">
        <is>
          <t>frontier_composite</t>
        </is>
      </c>
      <c r="B79" s="9" t="inlineStr">
        <is>
          <t>gb200</t>
        </is>
      </c>
      <c r="C79" s="9" t="inlineStr">
        <is>
          <t>short_chat</t>
        </is>
      </c>
      <c r="D79" s="9" t="inlineStr">
        <is>
          <t>dsv4+kimik2.5</t>
        </is>
      </c>
      <c r="E79" s="9" t="n">
        <v>50</v>
      </c>
      <c r="F79" s="9" t="n">
        <v>1024</v>
      </c>
      <c r="G79" s="9" t="n">
        <v>1024</v>
      </c>
      <c r="H79" s="9" t="n">
        <v>27</v>
      </c>
      <c r="I79" s="9" t="n">
        <v>0</v>
      </c>
      <c r="J79" s="9" t="n">
        <v>0</v>
      </c>
      <c r="K79" s="11" t="inlineStr"/>
      <c r="L79" s="21" t="inlineStr"/>
      <c r="M79" s="9" t="inlineStr"/>
      <c r="N79" s="9" t="inlineStr"/>
      <c r="O79" s="9" t="inlineStr"/>
      <c r="P79" s="9" t="inlineStr">
        <is>
          <t>missing</t>
        </is>
      </c>
      <c r="Q79" s="9" t="inlineStr">
        <is>
          <t>no row meets target_tok_s_user</t>
        </is>
      </c>
      <c r="R79" s="9" t="inlineStr"/>
      <c r="S79" s="9" t="inlineStr">
        <is>
          <t>tok_s_user is computed as output_tok_s_gpu/concurrency when source tok_s_user is blank; agentic_derived uses long_chat rows multiplied by the Kimi K2.5 agentic/long ratio.</t>
        </is>
      </c>
    </row>
    <row r="80">
      <c r="A80" s="9" t="inlineStr">
        <is>
          <t>frontier_composite</t>
        </is>
      </c>
      <c r="B80" s="9" t="inlineStr">
        <is>
          <t>gb200</t>
        </is>
      </c>
      <c r="C80" s="9" t="inlineStr">
        <is>
          <t>short_chat</t>
        </is>
      </c>
      <c r="D80" s="9" t="inlineStr">
        <is>
          <t>dsv4+kimik2.5</t>
        </is>
      </c>
      <c r="E80" s="9" t="n">
        <v>70</v>
      </c>
      <c r="F80" s="9" t="n">
        <v>1024</v>
      </c>
      <c r="G80" s="9" t="n">
        <v>1024</v>
      </c>
      <c r="H80" s="9" t="n">
        <v>27</v>
      </c>
      <c r="I80" s="9" t="n">
        <v>0</v>
      </c>
      <c r="J80" s="9" t="n">
        <v>0</v>
      </c>
      <c r="K80" s="11" t="inlineStr"/>
      <c r="L80" s="21" t="inlineStr"/>
      <c r="M80" s="9" t="inlineStr"/>
      <c r="N80" s="9" t="inlineStr"/>
      <c r="O80" s="9" t="inlineStr"/>
      <c r="P80" s="9" t="inlineStr">
        <is>
          <t>missing</t>
        </is>
      </c>
      <c r="Q80" s="9" t="inlineStr">
        <is>
          <t>no row meets target_tok_s_user</t>
        </is>
      </c>
      <c r="R80" s="9" t="inlineStr"/>
      <c r="S80" s="9" t="inlineStr">
        <is>
          <t>tok_s_user is computed as output_tok_s_gpu/concurrency when source tok_s_user is blank; agentic_derived uses long_chat rows multiplied by the Kimi K2.5 agentic/long ratio.</t>
        </is>
      </c>
    </row>
    <row r="81">
      <c r="A81" s="9" t="inlineStr">
        <is>
          <t>frontier_composite</t>
        </is>
      </c>
      <c r="B81" s="9" t="inlineStr">
        <is>
          <t>gb200</t>
        </is>
      </c>
      <c r="C81" s="9" t="inlineStr">
        <is>
          <t>short_chat</t>
        </is>
      </c>
      <c r="D81" s="9" t="inlineStr">
        <is>
          <t>dsv4+kimik2.5</t>
        </is>
      </c>
      <c r="E81" s="9" t="n">
        <v>100</v>
      </c>
      <c r="F81" s="9" t="n">
        <v>1024</v>
      </c>
      <c r="G81" s="9" t="n">
        <v>1024</v>
      </c>
      <c r="H81" s="9" t="n">
        <v>27</v>
      </c>
      <c r="I81" s="9" t="n">
        <v>0</v>
      </c>
      <c r="J81" s="9" t="n">
        <v>0</v>
      </c>
      <c r="K81" s="11" t="inlineStr"/>
      <c r="L81" s="21" t="inlineStr"/>
      <c r="M81" s="9" t="inlineStr"/>
      <c r="N81" s="9" t="inlineStr"/>
      <c r="O81" s="9" t="inlineStr"/>
      <c r="P81" s="9" t="inlineStr">
        <is>
          <t>missing</t>
        </is>
      </c>
      <c r="Q81" s="9" t="inlineStr">
        <is>
          <t>no row meets target_tok_s_user</t>
        </is>
      </c>
      <c r="R81" s="9" t="inlineStr"/>
      <c r="S81" s="9" t="inlineStr">
        <is>
          <t>tok_s_user is computed as output_tok_s_gpu/concurrency when source tok_s_user is blank; agentic_derived uses long_chat rows multiplied by the Kimi K2.5 agentic/long ratio.</t>
        </is>
      </c>
    </row>
    <row r="82">
      <c r="A82" s="5" t="inlineStr">
        <is>
          <t>frontier_composite</t>
        </is>
      </c>
      <c r="B82" s="5" t="inlineStr">
        <is>
          <t>gb200</t>
        </is>
      </c>
      <c r="C82" s="5" t="inlineStr">
        <is>
          <t>long_chat</t>
        </is>
      </c>
      <c r="D82" s="5" t="inlineStr">
        <is>
          <t>dsv4+kimik2.5</t>
        </is>
      </c>
      <c r="E82" s="5" t="n">
        <v>10</v>
      </c>
      <c r="F82" s="5" t="n">
        <v>8192</v>
      </c>
      <c r="G82" s="5" t="n">
        <v>1024</v>
      </c>
      <c r="H82" s="5" t="n">
        <v>61</v>
      </c>
      <c r="I82" s="5" t="n">
        <v>2</v>
      </c>
      <c r="J82" s="5" t="n">
        <v>2</v>
      </c>
      <c r="K82" s="7" t="n">
        <v>7963</v>
      </c>
      <c r="L82" s="22" t="n">
        <v>16.72</v>
      </c>
      <c r="M82" s="5" t="n">
        <v>1</v>
      </c>
      <c r="N82" s="5" t="inlineStr">
        <is>
          <t>dynamo-vllm</t>
        </is>
      </c>
      <c r="O82" s="5" t="inlineStr">
        <is>
          <t>fp4</t>
        </is>
      </c>
      <c r="P82" s="5" t="inlineStr">
        <is>
          <t>selected_optimized_stack</t>
        </is>
      </c>
      <c r="Q82" s="5" t="inlineStr">
        <is>
          <t>Dynamo/TRT-LLM/MTP eligible max</t>
        </is>
      </c>
      <c r="R82" s="5" t="inlineStr">
        <is>
          <t>2026-05-19T00:00:00.000Z</t>
        </is>
      </c>
      <c r="S82" s="5" t="inlineStr">
        <is>
          <t>tok_s_user is computed as output_tok_s_gpu/concurrency when source tok_s_user is blank; agentic_derived uses long_chat rows multiplied by the Kimi K2.5 agentic/long ratio.</t>
        </is>
      </c>
    </row>
    <row r="83">
      <c r="A83" s="9" t="inlineStr">
        <is>
          <t>frontier_composite</t>
        </is>
      </c>
      <c r="B83" s="9" t="inlineStr">
        <is>
          <t>gb200</t>
        </is>
      </c>
      <c r="C83" s="9" t="inlineStr">
        <is>
          <t>long_chat</t>
        </is>
      </c>
      <c r="D83" s="9" t="inlineStr">
        <is>
          <t>dsv4+kimik2.5</t>
        </is>
      </c>
      <c r="E83" s="9" t="n">
        <v>30</v>
      </c>
      <c r="F83" s="9" t="n">
        <v>8192</v>
      </c>
      <c r="G83" s="9" t="n">
        <v>1024</v>
      </c>
      <c r="H83" s="9" t="n">
        <v>61</v>
      </c>
      <c r="I83" s="9" t="n">
        <v>0</v>
      </c>
      <c r="J83" s="9" t="n">
        <v>0</v>
      </c>
      <c r="K83" s="11" t="inlineStr"/>
      <c r="L83" s="21" t="inlineStr"/>
      <c r="M83" s="9" t="inlineStr"/>
      <c r="N83" s="9" t="inlineStr"/>
      <c r="O83" s="9" t="inlineStr"/>
      <c r="P83" s="9" t="inlineStr">
        <is>
          <t>missing</t>
        </is>
      </c>
      <c r="Q83" s="9" t="inlineStr">
        <is>
          <t>no row meets target_tok_s_user</t>
        </is>
      </c>
      <c r="R83" s="9" t="inlineStr"/>
      <c r="S83" s="9" t="inlineStr">
        <is>
          <t>tok_s_user is computed as output_tok_s_gpu/concurrency when source tok_s_user is blank; agentic_derived uses long_chat rows multiplied by the Kimi K2.5 agentic/long ratio.</t>
        </is>
      </c>
    </row>
    <row r="84">
      <c r="A84" s="9" t="inlineStr">
        <is>
          <t>frontier_composite</t>
        </is>
      </c>
      <c r="B84" s="9" t="inlineStr">
        <is>
          <t>gb200</t>
        </is>
      </c>
      <c r="C84" s="9" t="inlineStr">
        <is>
          <t>long_chat</t>
        </is>
      </c>
      <c r="D84" s="9" t="inlineStr">
        <is>
          <t>dsv4+kimik2.5</t>
        </is>
      </c>
      <c r="E84" s="9" t="n">
        <v>50</v>
      </c>
      <c r="F84" s="9" t="n">
        <v>8192</v>
      </c>
      <c r="G84" s="9" t="n">
        <v>1024</v>
      </c>
      <c r="H84" s="9" t="n">
        <v>61</v>
      </c>
      <c r="I84" s="9" t="n">
        <v>0</v>
      </c>
      <c r="J84" s="9" t="n">
        <v>0</v>
      </c>
      <c r="K84" s="11" t="inlineStr"/>
      <c r="L84" s="21" t="inlineStr"/>
      <c r="M84" s="9" t="inlineStr"/>
      <c r="N84" s="9" t="inlineStr"/>
      <c r="O84" s="9" t="inlineStr"/>
      <c r="P84" s="9" t="inlineStr">
        <is>
          <t>missing</t>
        </is>
      </c>
      <c r="Q84" s="9" t="inlineStr">
        <is>
          <t>no row meets target_tok_s_user</t>
        </is>
      </c>
      <c r="R84" s="9" t="inlineStr"/>
      <c r="S84" s="9" t="inlineStr">
        <is>
          <t>tok_s_user is computed as output_tok_s_gpu/concurrency when source tok_s_user is blank; agentic_derived uses long_chat rows multiplied by the Kimi K2.5 agentic/long ratio.</t>
        </is>
      </c>
    </row>
    <row r="85">
      <c r="A85" s="9" t="inlineStr">
        <is>
          <t>frontier_composite</t>
        </is>
      </c>
      <c r="B85" s="9" t="inlineStr">
        <is>
          <t>gb200</t>
        </is>
      </c>
      <c r="C85" s="9" t="inlineStr">
        <is>
          <t>long_chat</t>
        </is>
      </c>
      <c r="D85" s="9" t="inlineStr">
        <is>
          <t>dsv4+kimik2.5</t>
        </is>
      </c>
      <c r="E85" s="9" t="n">
        <v>70</v>
      </c>
      <c r="F85" s="9" t="n">
        <v>8192</v>
      </c>
      <c r="G85" s="9" t="n">
        <v>1024</v>
      </c>
      <c r="H85" s="9" t="n">
        <v>61</v>
      </c>
      <c r="I85" s="9" t="n">
        <v>0</v>
      </c>
      <c r="J85" s="9" t="n">
        <v>0</v>
      </c>
      <c r="K85" s="11" t="inlineStr"/>
      <c r="L85" s="21" t="inlineStr"/>
      <c r="M85" s="9" t="inlineStr"/>
      <c r="N85" s="9" t="inlineStr"/>
      <c r="O85" s="9" t="inlineStr"/>
      <c r="P85" s="9" t="inlineStr">
        <is>
          <t>missing</t>
        </is>
      </c>
      <c r="Q85" s="9" t="inlineStr">
        <is>
          <t>no row meets target_tok_s_user</t>
        </is>
      </c>
      <c r="R85" s="9" t="inlineStr"/>
      <c r="S85" s="9" t="inlineStr">
        <is>
          <t>tok_s_user is computed as output_tok_s_gpu/concurrency when source tok_s_user is blank; agentic_derived uses long_chat rows multiplied by the Kimi K2.5 agentic/long ratio.</t>
        </is>
      </c>
    </row>
    <row r="86">
      <c r="A86" s="9" t="inlineStr">
        <is>
          <t>frontier_composite</t>
        </is>
      </c>
      <c r="B86" s="9" t="inlineStr">
        <is>
          <t>gb200</t>
        </is>
      </c>
      <c r="C86" s="9" t="inlineStr">
        <is>
          <t>long_chat</t>
        </is>
      </c>
      <c r="D86" s="9" t="inlineStr">
        <is>
          <t>dsv4+kimik2.5</t>
        </is>
      </c>
      <c r="E86" s="9" t="n">
        <v>100</v>
      </c>
      <c r="F86" s="9" t="n">
        <v>8192</v>
      </c>
      <c r="G86" s="9" t="n">
        <v>1024</v>
      </c>
      <c r="H86" s="9" t="n">
        <v>61</v>
      </c>
      <c r="I86" s="9" t="n">
        <v>0</v>
      </c>
      <c r="J86" s="9" t="n">
        <v>0</v>
      </c>
      <c r="K86" s="11" t="inlineStr"/>
      <c r="L86" s="21" t="inlineStr"/>
      <c r="M86" s="9" t="inlineStr"/>
      <c r="N86" s="9" t="inlineStr"/>
      <c r="O86" s="9" t="inlineStr"/>
      <c r="P86" s="9" t="inlineStr">
        <is>
          <t>missing</t>
        </is>
      </c>
      <c r="Q86" s="9" t="inlineStr">
        <is>
          <t>no row meets target_tok_s_user</t>
        </is>
      </c>
      <c r="R86" s="9" t="inlineStr"/>
      <c r="S86" s="9" t="inlineStr">
        <is>
          <t>tok_s_user is computed as output_tok_s_gpu/concurrency when source tok_s_user is blank; agentic_derived uses long_chat rows multiplied by the Kimi K2.5 agentic/long ratio.</t>
        </is>
      </c>
    </row>
    <row r="87">
      <c r="A87" s="9" t="inlineStr">
        <is>
          <t>frontier_composite</t>
        </is>
      </c>
      <c r="B87" s="9" t="inlineStr">
        <is>
          <t>gb200</t>
        </is>
      </c>
      <c r="C87" s="9" t="inlineStr">
        <is>
          <t>agentic_derived</t>
        </is>
      </c>
      <c r="D87" s="9" t="inlineStr">
        <is>
          <t>dsv4+kimik2.5</t>
        </is>
      </c>
      <c r="E87" s="9" t="n">
        <v>10</v>
      </c>
      <c r="F87" s="9" t="n">
        <v>100947</v>
      </c>
      <c r="G87" s="9" t="n">
        <v>860</v>
      </c>
      <c r="H87" s="9" t="n">
        <v>61</v>
      </c>
      <c r="I87" s="9" t="n">
        <v>0</v>
      </c>
      <c r="J87" s="9" t="n">
        <v>0</v>
      </c>
      <c r="K87" s="11" t="inlineStr"/>
      <c r="L87" s="21" t="inlineStr"/>
      <c r="M87" s="9" t="inlineStr"/>
      <c r="N87" s="9" t="inlineStr"/>
      <c r="O87" s="9" t="inlineStr"/>
      <c r="P87" s="9" t="inlineStr">
        <is>
          <t>missing</t>
        </is>
      </c>
      <c r="Q87" s="9" t="inlineStr">
        <is>
          <t>no row meets target_tok_s_user</t>
        </is>
      </c>
      <c r="R87" s="9" t="inlineStr"/>
      <c r="S87" s="9" t="inlineStr">
        <is>
          <t>tok_s_user is computed as output_tok_s_gpu/concurrency when source tok_s_user is blank; agentic_derived uses long_chat rows multiplied by the Kimi K2.5 agentic/long ratio.</t>
        </is>
      </c>
    </row>
    <row r="88">
      <c r="A88" s="9" t="inlineStr">
        <is>
          <t>frontier_composite</t>
        </is>
      </c>
      <c r="B88" s="9" t="inlineStr">
        <is>
          <t>gb200</t>
        </is>
      </c>
      <c r="C88" s="9" t="inlineStr">
        <is>
          <t>agentic_derived</t>
        </is>
      </c>
      <c r="D88" s="9" t="inlineStr">
        <is>
          <t>dsv4+kimik2.5</t>
        </is>
      </c>
      <c r="E88" s="9" t="n">
        <v>30</v>
      </c>
      <c r="F88" s="9" t="n">
        <v>100947</v>
      </c>
      <c r="G88" s="9" t="n">
        <v>860</v>
      </c>
      <c r="H88" s="9" t="n">
        <v>61</v>
      </c>
      <c r="I88" s="9" t="n">
        <v>0</v>
      </c>
      <c r="J88" s="9" t="n">
        <v>0</v>
      </c>
      <c r="K88" s="11" t="inlineStr"/>
      <c r="L88" s="21" t="inlineStr"/>
      <c r="M88" s="9" t="inlineStr"/>
      <c r="N88" s="9" t="inlineStr"/>
      <c r="O88" s="9" t="inlineStr"/>
      <c r="P88" s="9" t="inlineStr">
        <is>
          <t>missing</t>
        </is>
      </c>
      <c r="Q88" s="9" t="inlineStr">
        <is>
          <t>no row meets target_tok_s_user</t>
        </is>
      </c>
      <c r="R88" s="9" t="inlineStr"/>
      <c r="S88" s="9" t="inlineStr">
        <is>
          <t>tok_s_user is computed as output_tok_s_gpu/concurrency when source tok_s_user is blank; agentic_derived uses long_chat rows multiplied by the Kimi K2.5 agentic/long ratio.</t>
        </is>
      </c>
    </row>
    <row r="89">
      <c r="A89" s="9" t="inlineStr">
        <is>
          <t>frontier_composite</t>
        </is>
      </c>
      <c r="B89" s="9" t="inlineStr">
        <is>
          <t>gb200</t>
        </is>
      </c>
      <c r="C89" s="9" t="inlineStr">
        <is>
          <t>agentic_derived</t>
        </is>
      </c>
      <c r="D89" s="9" t="inlineStr">
        <is>
          <t>dsv4+kimik2.5</t>
        </is>
      </c>
      <c r="E89" s="9" t="n">
        <v>50</v>
      </c>
      <c r="F89" s="9" t="n">
        <v>100947</v>
      </c>
      <c r="G89" s="9" t="n">
        <v>860</v>
      </c>
      <c r="H89" s="9" t="n">
        <v>61</v>
      </c>
      <c r="I89" s="9" t="n">
        <v>0</v>
      </c>
      <c r="J89" s="9" t="n">
        <v>0</v>
      </c>
      <c r="K89" s="11" t="inlineStr"/>
      <c r="L89" s="21" t="inlineStr"/>
      <c r="M89" s="9" t="inlineStr"/>
      <c r="N89" s="9" t="inlineStr"/>
      <c r="O89" s="9" t="inlineStr"/>
      <c r="P89" s="9" t="inlineStr">
        <is>
          <t>missing</t>
        </is>
      </c>
      <c r="Q89" s="9" t="inlineStr">
        <is>
          <t>no row meets target_tok_s_user</t>
        </is>
      </c>
      <c r="R89" s="9" t="inlineStr"/>
      <c r="S89" s="9" t="inlineStr">
        <is>
          <t>tok_s_user is computed as output_tok_s_gpu/concurrency when source tok_s_user is blank; agentic_derived uses long_chat rows multiplied by the Kimi K2.5 agentic/long ratio.</t>
        </is>
      </c>
    </row>
    <row r="90">
      <c r="A90" s="9" t="inlineStr">
        <is>
          <t>frontier_composite</t>
        </is>
      </c>
      <c r="B90" s="9" t="inlineStr">
        <is>
          <t>gb200</t>
        </is>
      </c>
      <c r="C90" s="9" t="inlineStr">
        <is>
          <t>agentic_derived</t>
        </is>
      </c>
      <c r="D90" s="9" t="inlineStr">
        <is>
          <t>dsv4+kimik2.5</t>
        </is>
      </c>
      <c r="E90" s="9" t="n">
        <v>70</v>
      </c>
      <c r="F90" s="9" t="n">
        <v>100947</v>
      </c>
      <c r="G90" s="9" t="n">
        <v>860</v>
      </c>
      <c r="H90" s="9" t="n">
        <v>61</v>
      </c>
      <c r="I90" s="9" t="n">
        <v>0</v>
      </c>
      <c r="J90" s="9" t="n">
        <v>0</v>
      </c>
      <c r="K90" s="11" t="inlineStr"/>
      <c r="L90" s="21" t="inlineStr"/>
      <c r="M90" s="9" t="inlineStr"/>
      <c r="N90" s="9" t="inlineStr"/>
      <c r="O90" s="9" t="inlineStr"/>
      <c r="P90" s="9" t="inlineStr">
        <is>
          <t>missing</t>
        </is>
      </c>
      <c r="Q90" s="9" t="inlineStr">
        <is>
          <t>no row meets target_tok_s_user</t>
        </is>
      </c>
      <c r="R90" s="9" t="inlineStr"/>
      <c r="S90" s="9" t="inlineStr">
        <is>
          <t>tok_s_user is computed as output_tok_s_gpu/concurrency when source tok_s_user is blank; agentic_derived uses long_chat rows multiplied by the Kimi K2.5 agentic/long ratio.</t>
        </is>
      </c>
    </row>
    <row r="91">
      <c r="A91" s="9" t="inlineStr">
        <is>
          <t>frontier_composite</t>
        </is>
      </c>
      <c r="B91" s="9" t="inlineStr">
        <is>
          <t>gb200</t>
        </is>
      </c>
      <c r="C91" s="9" t="inlineStr">
        <is>
          <t>agentic_derived</t>
        </is>
      </c>
      <c r="D91" s="9" t="inlineStr">
        <is>
          <t>dsv4+kimik2.5</t>
        </is>
      </c>
      <c r="E91" s="9" t="n">
        <v>100</v>
      </c>
      <c r="F91" s="9" t="n">
        <v>100947</v>
      </c>
      <c r="G91" s="9" t="n">
        <v>860</v>
      </c>
      <c r="H91" s="9" t="n">
        <v>61</v>
      </c>
      <c r="I91" s="9" t="n">
        <v>0</v>
      </c>
      <c r="J91" s="9" t="n">
        <v>0</v>
      </c>
      <c r="K91" s="11" t="inlineStr"/>
      <c r="L91" s="21" t="inlineStr"/>
      <c r="M91" s="9" t="inlineStr"/>
      <c r="N91" s="9" t="inlineStr"/>
      <c r="O91" s="9" t="inlineStr"/>
      <c r="P91" s="9" t="inlineStr">
        <is>
          <t>missing</t>
        </is>
      </c>
      <c r="Q91" s="9" t="inlineStr">
        <is>
          <t>no row meets target_tok_s_user</t>
        </is>
      </c>
      <c r="R91" s="9" t="inlineStr"/>
      <c r="S91" s="9" t="inlineStr">
        <is>
          <t>tok_s_user is computed as output_tok_s_gpu/concurrency when source tok_s_user is blank; agentic_derived uses long_chat rows multiplied by the Kimi K2.5 agentic/long ratio.</t>
        </is>
      </c>
    </row>
    <row r="92">
      <c r="A92" s="3" t="inlineStr">
        <is>
          <t>llama70b</t>
        </is>
      </c>
      <c r="B92" s="3" t="inlineStr">
        <is>
          <t>h200</t>
        </is>
      </c>
      <c r="C92" s="3" t="inlineStr">
        <is>
          <t>short_chat</t>
        </is>
      </c>
      <c r="D92" s="3" t="inlineStr">
        <is>
          <t>llama70b</t>
        </is>
      </c>
      <c r="E92" s="3" t="n">
        <v>10</v>
      </c>
      <c r="F92" s="3" t="n">
        <v>1024</v>
      </c>
      <c r="G92" s="3" t="n">
        <v>1024</v>
      </c>
      <c r="H92" s="3" t="n">
        <v>234</v>
      </c>
      <c r="I92" s="3" t="n">
        <v>222</v>
      </c>
      <c r="J92" s="3" t="n">
        <v>0</v>
      </c>
      <c r="K92" s="19" t="n">
        <v>965061</v>
      </c>
      <c r="L92" s="20" t="n">
        <v>26.09</v>
      </c>
      <c r="M92" s="3" t="n">
        <v>64</v>
      </c>
      <c r="N92" s="3" t="inlineStr">
        <is>
          <t>vllm</t>
        </is>
      </c>
      <c r="O92" s="3" t="inlineStr">
        <is>
          <t>fp8</t>
        </is>
      </c>
      <c r="P92" s="3" t="inlineStr">
        <is>
          <t>selected_public_max</t>
        </is>
      </c>
      <c r="Q92" s="3" t="inlineStr">
        <is>
          <t>public max among eligible rows</t>
        </is>
      </c>
      <c r="R92" s="3" t="inlineStr">
        <is>
          <t>2025-10-28T00:00:00.000Z</t>
        </is>
      </c>
      <c r="S92" s="3" t="inlineStr">
        <is>
          <t>tok_s_user is computed as output_tok_s_gpu/concurrency when source tok_s_user is blank; agentic_derived uses long_chat rows multiplied by the Kimi K2.5 agentic/long ratio.</t>
        </is>
      </c>
    </row>
    <row r="93">
      <c r="A93" s="3" t="inlineStr">
        <is>
          <t>llama70b</t>
        </is>
      </c>
      <c r="B93" s="3" t="inlineStr">
        <is>
          <t>h200</t>
        </is>
      </c>
      <c r="C93" s="3" t="inlineStr">
        <is>
          <t>short_chat</t>
        </is>
      </c>
      <c r="D93" s="3" t="inlineStr">
        <is>
          <t>llama70b</t>
        </is>
      </c>
      <c r="E93" s="3" t="n">
        <v>30</v>
      </c>
      <c r="F93" s="3" t="n">
        <v>1024</v>
      </c>
      <c r="G93" s="3" t="n">
        <v>1024</v>
      </c>
      <c r="H93" s="3" t="n">
        <v>234</v>
      </c>
      <c r="I93" s="3" t="n">
        <v>71</v>
      </c>
      <c r="J93" s="3" t="n">
        <v>0</v>
      </c>
      <c r="K93" s="19" t="n">
        <v>364069</v>
      </c>
      <c r="L93" s="20" t="n">
        <v>39.36</v>
      </c>
      <c r="M93" s="3" t="n">
        <v>16</v>
      </c>
      <c r="N93" s="3" t="inlineStr">
        <is>
          <t>vllm</t>
        </is>
      </c>
      <c r="O93" s="3" t="inlineStr">
        <is>
          <t>fp8</t>
        </is>
      </c>
      <c r="P93" s="3" t="inlineStr">
        <is>
          <t>selected_public_max</t>
        </is>
      </c>
      <c r="Q93" s="3" t="inlineStr">
        <is>
          <t>public max among eligible rows</t>
        </is>
      </c>
      <c r="R93" s="3" t="inlineStr">
        <is>
          <t>2025-10-15T00:00:00.000Z</t>
        </is>
      </c>
      <c r="S93" s="3" t="inlineStr">
        <is>
          <t>tok_s_user is computed as output_tok_s_gpu/concurrency when source tok_s_user is blank; agentic_derived uses long_chat rows multiplied by the Kimi K2.5 agentic/long ratio.</t>
        </is>
      </c>
    </row>
    <row r="94">
      <c r="A94" s="9" t="inlineStr">
        <is>
          <t>llama70b</t>
        </is>
      </c>
      <c r="B94" s="9" t="inlineStr">
        <is>
          <t>h200</t>
        </is>
      </c>
      <c r="C94" s="9" t="inlineStr">
        <is>
          <t>short_chat</t>
        </is>
      </c>
      <c r="D94" s="9" t="inlineStr">
        <is>
          <t>llama70b</t>
        </is>
      </c>
      <c r="E94" s="9" t="n">
        <v>50</v>
      </c>
      <c r="F94" s="9" t="n">
        <v>1024</v>
      </c>
      <c r="G94" s="9" t="n">
        <v>1024</v>
      </c>
      <c r="H94" s="9" t="n">
        <v>234</v>
      </c>
      <c r="I94" s="9" t="n">
        <v>0</v>
      </c>
      <c r="J94" s="9" t="n">
        <v>0</v>
      </c>
      <c r="K94" s="11" t="inlineStr"/>
      <c r="L94" s="21" t="inlineStr"/>
      <c r="M94" s="9" t="inlineStr"/>
      <c r="N94" s="9" t="inlineStr"/>
      <c r="O94" s="9" t="inlineStr"/>
      <c r="P94" s="9" t="inlineStr">
        <is>
          <t>missing</t>
        </is>
      </c>
      <c r="Q94" s="9" t="inlineStr">
        <is>
          <t>no row meets target_tok_s_user</t>
        </is>
      </c>
      <c r="R94" s="9" t="inlineStr"/>
      <c r="S94" s="9" t="inlineStr">
        <is>
          <t>tok_s_user is computed as output_tok_s_gpu/concurrency when source tok_s_user is blank; agentic_derived uses long_chat rows multiplied by the Kimi K2.5 agentic/long ratio.</t>
        </is>
      </c>
    </row>
    <row r="95">
      <c r="A95" s="9" t="inlineStr">
        <is>
          <t>llama70b</t>
        </is>
      </c>
      <c r="B95" s="9" t="inlineStr">
        <is>
          <t>h200</t>
        </is>
      </c>
      <c r="C95" s="9" t="inlineStr">
        <is>
          <t>short_chat</t>
        </is>
      </c>
      <c r="D95" s="9" t="inlineStr">
        <is>
          <t>llama70b</t>
        </is>
      </c>
      <c r="E95" s="9" t="n">
        <v>70</v>
      </c>
      <c r="F95" s="9" t="n">
        <v>1024</v>
      </c>
      <c r="G95" s="9" t="n">
        <v>1024</v>
      </c>
      <c r="H95" s="9" t="n">
        <v>234</v>
      </c>
      <c r="I95" s="9" t="n">
        <v>0</v>
      </c>
      <c r="J95" s="9" t="n">
        <v>0</v>
      </c>
      <c r="K95" s="11" t="inlineStr"/>
      <c r="L95" s="21" t="inlineStr"/>
      <c r="M95" s="9" t="inlineStr"/>
      <c r="N95" s="9" t="inlineStr"/>
      <c r="O95" s="9" t="inlineStr"/>
      <c r="P95" s="9" t="inlineStr">
        <is>
          <t>missing</t>
        </is>
      </c>
      <c r="Q95" s="9" t="inlineStr">
        <is>
          <t>no row meets target_tok_s_user</t>
        </is>
      </c>
      <c r="R95" s="9" t="inlineStr"/>
      <c r="S95" s="9" t="inlineStr">
        <is>
          <t>tok_s_user is computed as output_tok_s_gpu/concurrency when source tok_s_user is blank; agentic_derived uses long_chat rows multiplied by the Kimi K2.5 agentic/long ratio.</t>
        </is>
      </c>
    </row>
    <row r="96">
      <c r="A96" s="9" t="inlineStr">
        <is>
          <t>llama70b</t>
        </is>
      </c>
      <c r="B96" s="9" t="inlineStr">
        <is>
          <t>h200</t>
        </is>
      </c>
      <c r="C96" s="9" t="inlineStr">
        <is>
          <t>short_chat</t>
        </is>
      </c>
      <c r="D96" s="9" t="inlineStr">
        <is>
          <t>llama70b</t>
        </is>
      </c>
      <c r="E96" s="9" t="n">
        <v>100</v>
      </c>
      <c r="F96" s="9" t="n">
        <v>1024</v>
      </c>
      <c r="G96" s="9" t="n">
        <v>1024</v>
      </c>
      <c r="H96" s="9" t="n">
        <v>234</v>
      </c>
      <c r="I96" s="9" t="n">
        <v>0</v>
      </c>
      <c r="J96" s="9" t="n">
        <v>0</v>
      </c>
      <c r="K96" s="11" t="inlineStr"/>
      <c r="L96" s="21" t="inlineStr"/>
      <c r="M96" s="9" t="inlineStr"/>
      <c r="N96" s="9" t="inlineStr"/>
      <c r="O96" s="9" t="inlineStr"/>
      <c r="P96" s="9" t="inlineStr">
        <is>
          <t>missing</t>
        </is>
      </c>
      <c r="Q96" s="9" t="inlineStr">
        <is>
          <t>no row meets target_tok_s_user</t>
        </is>
      </c>
      <c r="R96" s="9" t="inlineStr"/>
      <c r="S96" s="9" t="inlineStr">
        <is>
          <t>tok_s_user is computed as output_tok_s_gpu/concurrency when source tok_s_user is blank; agentic_derived uses long_chat rows multiplied by the Kimi K2.5 agentic/long ratio.</t>
        </is>
      </c>
    </row>
    <row r="97">
      <c r="A97" s="3" t="inlineStr">
        <is>
          <t>llama70b</t>
        </is>
      </c>
      <c r="B97" s="3" t="inlineStr">
        <is>
          <t>h200</t>
        </is>
      </c>
      <c r="C97" s="3" t="inlineStr">
        <is>
          <t>long_chat</t>
        </is>
      </c>
      <c r="D97" s="3" t="inlineStr">
        <is>
          <t>llama70b</t>
        </is>
      </c>
      <c r="E97" s="3" t="n">
        <v>10</v>
      </c>
      <c r="F97" s="3" t="n">
        <v>8192</v>
      </c>
      <c r="G97" s="3" t="n">
        <v>1024</v>
      </c>
      <c r="H97" s="3" t="n">
        <v>224</v>
      </c>
      <c r="I97" s="3" t="n">
        <v>147</v>
      </c>
      <c r="J97" s="3" t="n">
        <v>0</v>
      </c>
      <c r="K97" s="19" t="n">
        <v>231275</v>
      </c>
      <c r="L97" s="20" t="n">
        <v>12.5</v>
      </c>
      <c r="M97" s="3" t="n">
        <v>32</v>
      </c>
      <c r="N97" s="3" t="inlineStr">
        <is>
          <t>vllm</t>
        </is>
      </c>
      <c r="O97" s="3" t="inlineStr">
        <is>
          <t>fp8</t>
        </is>
      </c>
      <c r="P97" s="3" t="inlineStr">
        <is>
          <t>selected_public_max</t>
        </is>
      </c>
      <c r="Q97" s="3" t="inlineStr">
        <is>
          <t>public max among eligible rows</t>
        </is>
      </c>
      <c r="R97" s="3" t="inlineStr">
        <is>
          <t>2025-10-20T00:00:00.000Z</t>
        </is>
      </c>
      <c r="S97" s="3" t="inlineStr">
        <is>
          <t>tok_s_user is computed as output_tok_s_gpu/concurrency when source tok_s_user is blank; agentic_derived uses long_chat rows multiplied by the Kimi K2.5 agentic/long ratio.</t>
        </is>
      </c>
    </row>
    <row r="98">
      <c r="A98" s="3" t="inlineStr">
        <is>
          <t>llama70b</t>
        </is>
      </c>
      <c r="B98" s="3" t="inlineStr">
        <is>
          <t>h200</t>
        </is>
      </c>
      <c r="C98" s="3" t="inlineStr">
        <is>
          <t>long_chat</t>
        </is>
      </c>
      <c r="D98" s="3" t="inlineStr">
        <is>
          <t>llama70b</t>
        </is>
      </c>
      <c r="E98" s="3" t="n">
        <v>30</v>
      </c>
      <c r="F98" s="3" t="n">
        <v>8192</v>
      </c>
      <c r="G98" s="3" t="n">
        <v>1024</v>
      </c>
      <c r="H98" s="3" t="n">
        <v>224</v>
      </c>
      <c r="I98" s="3" t="n">
        <v>12</v>
      </c>
      <c r="J98" s="3" t="n">
        <v>0</v>
      </c>
      <c r="K98" s="19" t="n">
        <v>83442</v>
      </c>
      <c r="L98" s="20" t="n">
        <v>36.09</v>
      </c>
      <c r="M98" s="3" t="n">
        <v>4</v>
      </c>
      <c r="N98" s="3" t="inlineStr">
        <is>
          <t>vllm</t>
        </is>
      </c>
      <c r="O98" s="3" t="inlineStr">
        <is>
          <t>fp8</t>
        </is>
      </c>
      <c r="P98" s="3" t="inlineStr">
        <is>
          <t>selected_public_max</t>
        </is>
      </c>
      <c r="Q98" s="3" t="inlineStr">
        <is>
          <t>public max among eligible rows</t>
        </is>
      </c>
      <c r="R98" s="3" t="inlineStr">
        <is>
          <t>2025-10-15T00:00:00.000Z</t>
        </is>
      </c>
      <c r="S98" s="3" t="inlineStr">
        <is>
          <t>tok_s_user is computed as output_tok_s_gpu/concurrency when source tok_s_user is blank; agentic_derived uses long_chat rows multiplied by the Kimi K2.5 agentic/long ratio.</t>
        </is>
      </c>
    </row>
    <row r="99">
      <c r="A99" s="9" t="inlineStr">
        <is>
          <t>llama70b</t>
        </is>
      </c>
      <c r="B99" s="9" t="inlineStr">
        <is>
          <t>h200</t>
        </is>
      </c>
      <c r="C99" s="9" t="inlineStr">
        <is>
          <t>long_chat</t>
        </is>
      </c>
      <c r="D99" s="9" t="inlineStr">
        <is>
          <t>llama70b</t>
        </is>
      </c>
      <c r="E99" s="9" t="n">
        <v>50</v>
      </c>
      <c r="F99" s="9" t="n">
        <v>8192</v>
      </c>
      <c r="G99" s="9" t="n">
        <v>1024</v>
      </c>
      <c r="H99" s="9" t="n">
        <v>224</v>
      </c>
      <c r="I99" s="9" t="n">
        <v>0</v>
      </c>
      <c r="J99" s="9" t="n">
        <v>0</v>
      </c>
      <c r="K99" s="11" t="inlineStr"/>
      <c r="L99" s="21" t="inlineStr"/>
      <c r="M99" s="9" t="inlineStr"/>
      <c r="N99" s="9" t="inlineStr"/>
      <c r="O99" s="9" t="inlineStr"/>
      <c r="P99" s="9" t="inlineStr">
        <is>
          <t>missing</t>
        </is>
      </c>
      <c r="Q99" s="9" t="inlineStr">
        <is>
          <t>no row meets target_tok_s_user</t>
        </is>
      </c>
      <c r="R99" s="9" t="inlineStr"/>
      <c r="S99" s="9" t="inlineStr">
        <is>
          <t>tok_s_user is computed as output_tok_s_gpu/concurrency when source tok_s_user is blank; agentic_derived uses long_chat rows multiplied by the Kimi K2.5 agentic/long ratio.</t>
        </is>
      </c>
    </row>
    <row r="100">
      <c r="A100" s="9" t="inlineStr">
        <is>
          <t>llama70b</t>
        </is>
      </c>
      <c r="B100" s="9" t="inlineStr">
        <is>
          <t>h200</t>
        </is>
      </c>
      <c r="C100" s="9" t="inlineStr">
        <is>
          <t>long_chat</t>
        </is>
      </c>
      <c r="D100" s="9" t="inlineStr">
        <is>
          <t>llama70b</t>
        </is>
      </c>
      <c r="E100" s="9" t="n">
        <v>70</v>
      </c>
      <c r="F100" s="9" t="n">
        <v>8192</v>
      </c>
      <c r="G100" s="9" t="n">
        <v>1024</v>
      </c>
      <c r="H100" s="9" t="n">
        <v>224</v>
      </c>
      <c r="I100" s="9" t="n">
        <v>0</v>
      </c>
      <c r="J100" s="9" t="n">
        <v>0</v>
      </c>
      <c r="K100" s="11" t="inlineStr"/>
      <c r="L100" s="21" t="inlineStr"/>
      <c r="M100" s="9" t="inlineStr"/>
      <c r="N100" s="9" t="inlineStr"/>
      <c r="O100" s="9" t="inlineStr"/>
      <c r="P100" s="9" t="inlineStr">
        <is>
          <t>missing</t>
        </is>
      </c>
      <c r="Q100" s="9" t="inlineStr">
        <is>
          <t>no row meets target_tok_s_user</t>
        </is>
      </c>
      <c r="R100" s="9" t="inlineStr"/>
      <c r="S100" s="9" t="inlineStr">
        <is>
          <t>tok_s_user is computed as output_tok_s_gpu/concurrency when source tok_s_user is blank; agentic_derived uses long_chat rows multiplied by the Kimi K2.5 agentic/long ratio.</t>
        </is>
      </c>
    </row>
    <row r="101">
      <c r="A101" s="9" t="inlineStr">
        <is>
          <t>llama70b</t>
        </is>
      </c>
      <c r="B101" s="9" t="inlineStr">
        <is>
          <t>h200</t>
        </is>
      </c>
      <c r="C101" s="9" t="inlineStr">
        <is>
          <t>long_chat</t>
        </is>
      </c>
      <c r="D101" s="9" t="inlineStr">
        <is>
          <t>llama70b</t>
        </is>
      </c>
      <c r="E101" s="9" t="n">
        <v>100</v>
      </c>
      <c r="F101" s="9" t="n">
        <v>8192</v>
      </c>
      <c r="G101" s="9" t="n">
        <v>1024</v>
      </c>
      <c r="H101" s="9" t="n">
        <v>224</v>
      </c>
      <c r="I101" s="9" t="n">
        <v>0</v>
      </c>
      <c r="J101" s="9" t="n">
        <v>0</v>
      </c>
      <c r="K101" s="11" t="inlineStr"/>
      <c r="L101" s="21" t="inlineStr"/>
      <c r="M101" s="9" t="inlineStr"/>
      <c r="N101" s="9" t="inlineStr"/>
      <c r="O101" s="9" t="inlineStr"/>
      <c r="P101" s="9" t="inlineStr">
        <is>
          <t>missing</t>
        </is>
      </c>
      <c r="Q101" s="9" t="inlineStr">
        <is>
          <t>no row meets target_tok_s_user</t>
        </is>
      </c>
      <c r="R101" s="9" t="inlineStr"/>
      <c r="S101" s="9" t="inlineStr">
        <is>
          <t>tok_s_user is computed as output_tok_s_gpu/concurrency when source tok_s_user is blank; agentic_derived uses long_chat rows multiplied by the Kimi K2.5 agentic/long ratio.</t>
        </is>
      </c>
    </row>
    <row r="102">
      <c r="A102" s="9" t="inlineStr">
        <is>
          <t>llama70b</t>
        </is>
      </c>
      <c r="B102" s="9" t="inlineStr">
        <is>
          <t>h200</t>
        </is>
      </c>
      <c r="C102" s="9" t="inlineStr">
        <is>
          <t>agentic_derived</t>
        </is>
      </c>
      <c r="D102" s="9" t="inlineStr">
        <is>
          <t>llama70b</t>
        </is>
      </c>
      <c r="E102" s="9" t="n">
        <v>10</v>
      </c>
      <c r="F102" s="9" t="n">
        <v>100947</v>
      </c>
      <c r="G102" s="9" t="n">
        <v>860</v>
      </c>
      <c r="H102" s="9" t="n">
        <v>224</v>
      </c>
      <c r="I102" s="9" t="n">
        <v>0</v>
      </c>
      <c r="J102" s="9" t="n">
        <v>0</v>
      </c>
      <c r="K102" s="11" t="inlineStr"/>
      <c r="L102" s="21" t="inlineStr"/>
      <c r="M102" s="9" t="inlineStr"/>
      <c r="N102" s="9" t="inlineStr"/>
      <c r="O102" s="9" t="inlineStr"/>
      <c r="P102" s="9" t="inlineStr">
        <is>
          <t>missing</t>
        </is>
      </c>
      <c r="Q102" s="9" t="inlineStr">
        <is>
          <t>no row meets target_tok_s_user</t>
        </is>
      </c>
      <c r="R102" s="9" t="inlineStr"/>
      <c r="S102" s="9" t="inlineStr">
        <is>
          <t>tok_s_user is computed as output_tok_s_gpu/concurrency when source tok_s_user is blank; agentic_derived uses long_chat rows multiplied by the Kimi K2.5 agentic/long ratio.</t>
        </is>
      </c>
    </row>
    <row r="103">
      <c r="A103" s="9" t="inlineStr">
        <is>
          <t>llama70b</t>
        </is>
      </c>
      <c r="B103" s="9" t="inlineStr">
        <is>
          <t>h200</t>
        </is>
      </c>
      <c r="C103" s="9" t="inlineStr">
        <is>
          <t>agentic_derived</t>
        </is>
      </c>
      <c r="D103" s="9" t="inlineStr">
        <is>
          <t>llama70b</t>
        </is>
      </c>
      <c r="E103" s="9" t="n">
        <v>30</v>
      </c>
      <c r="F103" s="9" t="n">
        <v>100947</v>
      </c>
      <c r="G103" s="9" t="n">
        <v>860</v>
      </c>
      <c r="H103" s="9" t="n">
        <v>224</v>
      </c>
      <c r="I103" s="9" t="n">
        <v>0</v>
      </c>
      <c r="J103" s="9" t="n">
        <v>0</v>
      </c>
      <c r="K103" s="11" t="inlineStr"/>
      <c r="L103" s="21" t="inlineStr"/>
      <c r="M103" s="9" t="inlineStr"/>
      <c r="N103" s="9" t="inlineStr"/>
      <c r="O103" s="9" t="inlineStr"/>
      <c r="P103" s="9" t="inlineStr">
        <is>
          <t>missing</t>
        </is>
      </c>
      <c r="Q103" s="9" t="inlineStr">
        <is>
          <t>no row meets target_tok_s_user</t>
        </is>
      </c>
      <c r="R103" s="9" t="inlineStr"/>
      <c r="S103" s="9" t="inlineStr">
        <is>
          <t>tok_s_user is computed as output_tok_s_gpu/concurrency when source tok_s_user is blank; agentic_derived uses long_chat rows multiplied by the Kimi K2.5 agentic/long ratio.</t>
        </is>
      </c>
    </row>
    <row r="104">
      <c r="A104" s="9" t="inlineStr">
        <is>
          <t>llama70b</t>
        </is>
      </c>
      <c r="B104" s="9" t="inlineStr">
        <is>
          <t>h200</t>
        </is>
      </c>
      <c r="C104" s="9" t="inlineStr">
        <is>
          <t>agentic_derived</t>
        </is>
      </c>
      <c r="D104" s="9" t="inlineStr">
        <is>
          <t>llama70b</t>
        </is>
      </c>
      <c r="E104" s="9" t="n">
        <v>50</v>
      </c>
      <c r="F104" s="9" t="n">
        <v>100947</v>
      </c>
      <c r="G104" s="9" t="n">
        <v>860</v>
      </c>
      <c r="H104" s="9" t="n">
        <v>224</v>
      </c>
      <c r="I104" s="9" t="n">
        <v>0</v>
      </c>
      <c r="J104" s="9" t="n">
        <v>0</v>
      </c>
      <c r="K104" s="11" t="inlineStr"/>
      <c r="L104" s="21" t="inlineStr"/>
      <c r="M104" s="9" t="inlineStr"/>
      <c r="N104" s="9" t="inlineStr"/>
      <c r="O104" s="9" t="inlineStr"/>
      <c r="P104" s="9" t="inlineStr">
        <is>
          <t>missing</t>
        </is>
      </c>
      <c r="Q104" s="9" t="inlineStr">
        <is>
          <t>no row meets target_tok_s_user</t>
        </is>
      </c>
      <c r="R104" s="9" t="inlineStr"/>
      <c r="S104" s="9" t="inlineStr">
        <is>
          <t>tok_s_user is computed as output_tok_s_gpu/concurrency when source tok_s_user is blank; agentic_derived uses long_chat rows multiplied by the Kimi K2.5 agentic/long ratio.</t>
        </is>
      </c>
    </row>
    <row r="105">
      <c r="A105" s="9" t="inlineStr">
        <is>
          <t>llama70b</t>
        </is>
      </c>
      <c r="B105" s="9" t="inlineStr">
        <is>
          <t>h200</t>
        </is>
      </c>
      <c r="C105" s="9" t="inlineStr">
        <is>
          <t>agentic_derived</t>
        </is>
      </c>
      <c r="D105" s="9" t="inlineStr">
        <is>
          <t>llama70b</t>
        </is>
      </c>
      <c r="E105" s="9" t="n">
        <v>70</v>
      </c>
      <c r="F105" s="9" t="n">
        <v>100947</v>
      </c>
      <c r="G105" s="9" t="n">
        <v>860</v>
      </c>
      <c r="H105" s="9" t="n">
        <v>224</v>
      </c>
      <c r="I105" s="9" t="n">
        <v>0</v>
      </c>
      <c r="J105" s="9" t="n">
        <v>0</v>
      </c>
      <c r="K105" s="11" t="inlineStr"/>
      <c r="L105" s="21" t="inlineStr"/>
      <c r="M105" s="9" t="inlineStr"/>
      <c r="N105" s="9" t="inlineStr"/>
      <c r="O105" s="9" t="inlineStr"/>
      <c r="P105" s="9" t="inlineStr">
        <is>
          <t>missing</t>
        </is>
      </c>
      <c r="Q105" s="9" t="inlineStr">
        <is>
          <t>no row meets target_tok_s_user</t>
        </is>
      </c>
      <c r="R105" s="9" t="inlineStr"/>
      <c r="S105" s="9" t="inlineStr">
        <is>
          <t>tok_s_user is computed as output_tok_s_gpu/concurrency when source tok_s_user is blank; agentic_derived uses long_chat rows multiplied by the Kimi K2.5 agentic/long ratio.</t>
        </is>
      </c>
    </row>
    <row r="106">
      <c r="A106" s="9" t="inlineStr">
        <is>
          <t>llama70b</t>
        </is>
      </c>
      <c r="B106" s="9" t="inlineStr">
        <is>
          <t>h200</t>
        </is>
      </c>
      <c r="C106" s="9" t="inlineStr">
        <is>
          <t>agentic_derived</t>
        </is>
      </c>
      <c r="D106" s="9" t="inlineStr">
        <is>
          <t>llama70b</t>
        </is>
      </c>
      <c r="E106" s="9" t="n">
        <v>100</v>
      </c>
      <c r="F106" s="9" t="n">
        <v>100947</v>
      </c>
      <c r="G106" s="9" t="n">
        <v>860</v>
      </c>
      <c r="H106" s="9" t="n">
        <v>224</v>
      </c>
      <c r="I106" s="9" t="n">
        <v>0</v>
      </c>
      <c r="J106" s="9" t="n">
        <v>0</v>
      </c>
      <c r="K106" s="11" t="inlineStr"/>
      <c r="L106" s="21" t="inlineStr"/>
      <c r="M106" s="9" t="inlineStr"/>
      <c r="N106" s="9" t="inlineStr"/>
      <c r="O106" s="9" t="inlineStr"/>
      <c r="P106" s="9" t="inlineStr">
        <is>
          <t>missing</t>
        </is>
      </c>
      <c r="Q106" s="9" t="inlineStr">
        <is>
          <t>no row meets target_tok_s_user</t>
        </is>
      </c>
      <c r="R106" s="9" t="inlineStr"/>
      <c r="S106" s="9" t="inlineStr">
        <is>
          <t>tok_s_user is computed as output_tok_s_gpu/concurrency when source tok_s_user is blank; agentic_derived uses long_chat rows multiplied by the Kimi K2.5 agentic/long ratio.</t>
        </is>
      </c>
    </row>
    <row r="107">
      <c r="A107" s="3" t="inlineStr">
        <is>
          <t>llama70b</t>
        </is>
      </c>
      <c r="B107" s="3" t="inlineStr">
        <is>
          <t>b200</t>
        </is>
      </c>
      <c r="C107" s="3" t="inlineStr">
        <is>
          <t>short_chat</t>
        </is>
      </c>
      <c r="D107" s="3" t="inlineStr">
        <is>
          <t>llama70b</t>
        </is>
      </c>
      <c r="E107" s="3" t="n">
        <v>10</v>
      </c>
      <c r="F107" s="3" t="n">
        <v>1024</v>
      </c>
      <c r="G107" s="3" t="n">
        <v>1024</v>
      </c>
      <c r="H107" s="3" t="n">
        <v>268</v>
      </c>
      <c r="I107" s="3" t="n">
        <v>255</v>
      </c>
      <c r="J107" s="3" t="n">
        <v>0</v>
      </c>
      <c r="K107" s="19" t="n">
        <v>1228515</v>
      </c>
      <c r="L107" s="20" t="n">
        <v>41.65</v>
      </c>
      <c r="M107" s="3" t="n">
        <v>64</v>
      </c>
      <c r="N107" s="3" t="inlineStr">
        <is>
          <t>vllm</t>
        </is>
      </c>
      <c r="O107" s="3" t="inlineStr">
        <is>
          <t>fp8</t>
        </is>
      </c>
      <c r="P107" s="3" t="inlineStr">
        <is>
          <t>selected_public_max</t>
        </is>
      </c>
      <c r="Q107" s="3" t="inlineStr">
        <is>
          <t>public max among eligible rows</t>
        </is>
      </c>
      <c r="R107" s="3" t="inlineStr">
        <is>
          <t>2025-10-23T00:00:00.000Z</t>
        </is>
      </c>
      <c r="S107" s="3" t="inlineStr">
        <is>
          <t>tok_s_user is computed as output_tok_s_gpu/concurrency when source tok_s_user is blank; agentic_derived uses long_chat rows multiplied by the Kimi K2.5 agentic/long ratio.</t>
        </is>
      </c>
    </row>
    <row r="108">
      <c r="A108" s="3" t="inlineStr">
        <is>
          <t>llama70b</t>
        </is>
      </c>
      <c r="B108" s="3" t="inlineStr">
        <is>
          <t>b200</t>
        </is>
      </c>
      <c r="C108" s="3" t="inlineStr">
        <is>
          <t>short_chat</t>
        </is>
      </c>
      <c r="D108" s="3" t="inlineStr">
        <is>
          <t>llama70b</t>
        </is>
      </c>
      <c r="E108" s="3" t="n">
        <v>30</v>
      </c>
      <c r="F108" s="3" t="n">
        <v>1024</v>
      </c>
      <c r="G108" s="3" t="n">
        <v>1024</v>
      </c>
      <c r="H108" s="3" t="n">
        <v>268</v>
      </c>
      <c r="I108" s="3" t="n">
        <v>144</v>
      </c>
      <c r="J108" s="3" t="n">
        <v>0</v>
      </c>
      <c r="K108" s="19" t="n">
        <v>1228515</v>
      </c>
      <c r="L108" s="20" t="n">
        <v>41.65</v>
      </c>
      <c r="M108" s="3" t="n">
        <v>64</v>
      </c>
      <c r="N108" s="3" t="inlineStr">
        <is>
          <t>vllm</t>
        </is>
      </c>
      <c r="O108" s="3" t="inlineStr">
        <is>
          <t>fp8</t>
        </is>
      </c>
      <c r="P108" s="3" t="inlineStr">
        <is>
          <t>selected_public_max</t>
        </is>
      </c>
      <c r="Q108" s="3" t="inlineStr">
        <is>
          <t>public max among eligible rows</t>
        </is>
      </c>
      <c r="R108" s="3" t="inlineStr">
        <is>
          <t>2025-10-23T00:00:00.000Z</t>
        </is>
      </c>
      <c r="S108" s="3" t="inlineStr">
        <is>
          <t>tok_s_user is computed as output_tok_s_gpu/concurrency when source tok_s_user is blank; agentic_derived uses long_chat rows multiplied by the Kimi K2.5 agentic/long ratio.</t>
        </is>
      </c>
    </row>
    <row r="109">
      <c r="A109" s="3" t="inlineStr">
        <is>
          <t>llama70b</t>
        </is>
      </c>
      <c r="B109" s="3" t="inlineStr">
        <is>
          <t>b200</t>
        </is>
      </c>
      <c r="C109" s="3" t="inlineStr">
        <is>
          <t>short_chat</t>
        </is>
      </c>
      <c r="D109" s="3" t="inlineStr">
        <is>
          <t>llama70b</t>
        </is>
      </c>
      <c r="E109" s="3" t="n">
        <v>50</v>
      </c>
      <c r="F109" s="3" t="n">
        <v>1024</v>
      </c>
      <c r="G109" s="3" t="n">
        <v>1024</v>
      </c>
      <c r="H109" s="3" t="n">
        <v>268</v>
      </c>
      <c r="I109" s="3" t="n">
        <v>40</v>
      </c>
      <c r="J109" s="3" t="n">
        <v>0</v>
      </c>
      <c r="K109" s="19" t="n">
        <v>412192</v>
      </c>
      <c r="L109" s="20" t="n">
        <v>55.9</v>
      </c>
      <c r="M109" s="3" t="n">
        <v>16</v>
      </c>
      <c r="N109" s="3" t="inlineStr">
        <is>
          <t>vllm</t>
        </is>
      </c>
      <c r="O109" s="3" t="inlineStr">
        <is>
          <t>fp8</t>
        </is>
      </c>
      <c r="P109" s="3" t="inlineStr">
        <is>
          <t>selected_public_max</t>
        </is>
      </c>
      <c r="Q109" s="3" t="inlineStr">
        <is>
          <t>public max among eligible rows</t>
        </is>
      </c>
      <c r="R109" s="3" t="inlineStr">
        <is>
          <t>2025-10-16T00:00:00.000Z</t>
        </is>
      </c>
      <c r="S109" s="3" t="inlineStr">
        <is>
          <t>tok_s_user is computed as output_tok_s_gpu/concurrency when source tok_s_user is blank; agentic_derived uses long_chat rows multiplied by the Kimi K2.5 agentic/long ratio.</t>
        </is>
      </c>
    </row>
    <row r="110">
      <c r="A110" s="9" t="inlineStr">
        <is>
          <t>llama70b</t>
        </is>
      </c>
      <c r="B110" s="9" t="inlineStr">
        <is>
          <t>b200</t>
        </is>
      </c>
      <c r="C110" s="9" t="inlineStr">
        <is>
          <t>short_chat</t>
        </is>
      </c>
      <c r="D110" s="9" t="inlineStr">
        <is>
          <t>llama70b</t>
        </is>
      </c>
      <c r="E110" s="9" t="n">
        <v>70</v>
      </c>
      <c r="F110" s="9" t="n">
        <v>1024</v>
      </c>
      <c r="G110" s="9" t="n">
        <v>1024</v>
      </c>
      <c r="H110" s="9" t="n">
        <v>268</v>
      </c>
      <c r="I110" s="9" t="n">
        <v>0</v>
      </c>
      <c r="J110" s="9" t="n">
        <v>0</v>
      </c>
      <c r="K110" s="11" t="inlineStr"/>
      <c r="L110" s="21" t="inlineStr"/>
      <c r="M110" s="9" t="inlineStr"/>
      <c r="N110" s="9" t="inlineStr"/>
      <c r="O110" s="9" t="inlineStr"/>
      <c r="P110" s="9" t="inlineStr">
        <is>
          <t>missing</t>
        </is>
      </c>
      <c r="Q110" s="9" t="inlineStr">
        <is>
          <t>no row meets target_tok_s_user</t>
        </is>
      </c>
      <c r="R110" s="9" t="inlineStr"/>
      <c r="S110" s="9" t="inlineStr">
        <is>
          <t>tok_s_user is computed as output_tok_s_gpu/concurrency when source tok_s_user is blank; agentic_derived uses long_chat rows multiplied by the Kimi K2.5 agentic/long ratio.</t>
        </is>
      </c>
    </row>
    <row r="111">
      <c r="A111" s="9" t="inlineStr">
        <is>
          <t>llama70b</t>
        </is>
      </c>
      <c r="B111" s="9" t="inlineStr">
        <is>
          <t>b200</t>
        </is>
      </c>
      <c r="C111" s="9" t="inlineStr">
        <is>
          <t>short_chat</t>
        </is>
      </c>
      <c r="D111" s="9" t="inlineStr">
        <is>
          <t>llama70b</t>
        </is>
      </c>
      <c r="E111" s="9" t="n">
        <v>100</v>
      </c>
      <c r="F111" s="9" t="n">
        <v>1024</v>
      </c>
      <c r="G111" s="9" t="n">
        <v>1024</v>
      </c>
      <c r="H111" s="9" t="n">
        <v>268</v>
      </c>
      <c r="I111" s="9" t="n">
        <v>0</v>
      </c>
      <c r="J111" s="9" t="n">
        <v>0</v>
      </c>
      <c r="K111" s="11" t="inlineStr"/>
      <c r="L111" s="21" t="inlineStr"/>
      <c r="M111" s="9" t="inlineStr"/>
      <c r="N111" s="9" t="inlineStr"/>
      <c r="O111" s="9" t="inlineStr"/>
      <c r="P111" s="9" t="inlineStr">
        <is>
          <t>missing</t>
        </is>
      </c>
      <c r="Q111" s="9" t="inlineStr">
        <is>
          <t>no row meets target_tok_s_user</t>
        </is>
      </c>
      <c r="R111" s="9" t="inlineStr"/>
      <c r="S111" s="9" t="inlineStr">
        <is>
          <t>tok_s_user is computed as output_tok_s_gpu/concurrency when source tok_s_user is blank; agentic_derived uses long_chat rows multiplied by the Kimi K2.5 agentic/long ratio.</t>
        </is>
      </c>
    </row>
    <row r="112">
      <c r="A112" s="3" t="inlineStr">
        <is>
          <t>llama70b</t>
        </is>
      </c>
      <c r="B112" s="3" t="inlineStr">
        <is>
          <t>b200</t>
        </is>
      </c>
      <c r="C112" s="3" t="inlineStr">
        <is>
          <t>long_chat</t>
        </is>
      </c>
      <c r="D112" s="3" t="inlineStr">
        <is>
          <t>llama70b</t>
        </is>
      </c>
      <c r="E112" s="3" t="n">
        <v>10</v>
      </c>
      <c r="F112" s="3" t="n">
        <v>8192</v>
      </c>
      <c r="G112" s="3" t="n">
        <v>1024</v>
      </c>
      <c r="H112" s="3" t="n">
        <v>198</v>
      </c>
      <c r="I112" s="3" t="n">
        <v>169</v>
      </c>
      <c r="J112" s="3" t="n">
        <v>0</v>
      </c>
      <c r="K112" s="19" t="n">
        <v>384593</v>
      </c>
      <c r="L112" s="20" t="n">
        <v>13.04</v>
      </c>
      <c r="M112" s="3" t="n">
        <v>64</v>
      </c>
      <c r="N112" s="3" t="inlineStr">
        <is>
          <t>vllm</t>
        </is>
      </c>
      <c r="O112" s="3" t="inlineStr">
        <is>
          <t>fp8</t>
        </is>
      </c>
      <c r="P112" s="3" t="inlineStr">
        <is>
          <t>selected_public_max</t>
        </is>
      </c>
      <c r="Q112" s="3" t="inlineStr">
        <is>
          <t>public max among eligible rows</t>
        </is>
      </c>
      <c r="R112" s="3" t="inlineStr">
        <is>
          <t>2025-10-22T00:00:00.000Z</t>
        </is>
      </c>
      <c r="S112" s="3" t="inlineStr">
        <is>
          <t>tok_s_user is computed as output_tok_s_gpu/concurrency when source tok_s_user is blank; agentic_derived uses long_chat rows multiplied by the Kimi K2.5 agentic/long ratio.</t>
        </is>
      </c>
    </row>
    <row r="113">
      <c r="A113" s="3" t="inlineStr">
        <is>
          <t>llama70b</t>
        </is>
      </c>
      <c r="B113" s="3" t="inlineStr">
        <is>
          <t>b200</t>
        </is>
      </c>
      <c r="C113" s="3" t="inlineStr">
        <is>
          <t>long_chat</t>
        </is>
      </c>
      <c r="D113" s="3" t="inlineStr">
        <is>
          <t>llama70b</t>
        </is>
      </c>
      <c r="E113" s="3" t="n">
        <v>30</v>
      </c>
      <c r="F113" s="3" t="n">
        <v>8192</v>
      </c>
      <c r="G113" s="3" t="n">
        <v>1024</v>
      </c>
      <c r="H113" s="3" t="n">
        <v>198</v>
      </c>
      <c r="I113" s="3" t="n">
        <v>49</v>
      </c>
      <c r="J113" s="3" t="n">
        <v>0</v>
      </c>
      <c r="K113" s="19" t="n">
        <v>247359</v>
      </c>
      <c r="L113" s="20" t="n">
        <v>33.55</v>
      </c>
      <c r="M113" s="3" t="n">
        <v>16</v>
      </c>
      <c r="N113" s="3" t="inlineStr">
        <is>
          <t>vllm</t>
        </is>
      </c>
      <c r="O113" s="3" t="inlineStr">
        <is>
          <t>fp8</t>
        </is>
      </c>
      <c r="P113" s="3" t="inlineStr">
        <is>
          <t>selected_public_max</t>
        </is>
      </c>
      <c r="Q113" s="3" t="inlineStr">
        <is>
          <t>public max among eligible rows</t>
        </is>
      </c>
      <c r="R113" s="3" t="inlineStr">
        <is>
          <t>2025-10-16T00:00:00.000Z</t>
        </is>
      </c>
      <c r="S113" s="3" t="inlineStr">
        <is>
          <t>tok_s_user is computed as output_tok_s_gpu/concurrency when source tok_s_user is blank; agentic_derived uses long_chat rows multiplied by the Kimi K2.5 agentic/long ratio.</t>
        </is>
      </c>
    </row>
    <row r="114">
      <c r="A114" s="3" t="inlineStr">
        <is>
          <t>llama70b</t>
        </is>
      </c>
      <c r="B114" s="3" t="inlineStr">
        <is>
          <t>b200</t>
        </is>
      </c>
      <c r="C114" s="3" t="inlineStr">
        <is>
          <t>long_chat</t>
        </is>
      </c>
      <c r="D114" s="3" t="inlineStr">
        <is>
          <t>llama70b</t>
        </is>
      </c>
      <c r="E114" s="3" t="n">
        <v>50</v>
      </c>
      <c r="F114" s="3" t="n">
        <v>8192</v>
      </c>
      <c r="G114" s="3" t="n">
        <v>1024</v>
      </c>
      <c r="H114" s="3" t="n">
        <v>198</v>
      </c>
      <c r="I114" s="3" t="n">
        <v>7</v>
      </c>
      <c r="J114" s="3" t="n">
        <v>0</v>
      </c>
      <c r="K114" s="19" t="n">
        <v>95773</v>
      </c>
      <c r="L114" s="20" t="n">
        <v>51.96</v>
      </c>
      <c r="M114" s="3" t="n">
        <v>4</v>
      </c>
      <c r="N114" s="3" t="inlineStr">
        <is>
          <t>vllm</t>
        </is>
      </c>
      <c r="O114" s="3" t="inlineStr">
        <is>
          <t>fp8</t>
        </is>
      </c>
      <c r="P114" s="3" t="inlineStr">
        <is>
          <t>selected_public_max</t>
        </is>
      </c>
      <c r="Q114" s="3" t="inlineStr">
        <is>
          <t>public max among eligible rows</t>
        </is>
      </c>
      <c r="R114" s="3" t="inlineStr">
        <is>
          <t>2025-10-21T00:00:00.000Z</t>
        </is>
      </c>
      <c r="S114" s="3" t="inlineStr">
        <is>
          <t>tok_s_user is computed as output_tok_s_gpu/concurrency when source tok_s_user is blank; agentic_derived uses long_chat rows multiplied by the Kimi K2.5 agentic/long ratio.</t>
        </is>
      </c>
    </row>
    <row r="115">
      <c r="A115" s="9" t="inlineStr">
        <is>
          <t>llama70b</t>
        </is>
      </c>
      <c r="B115" s="9" t="inlineStr">
        <is>
          <t>b200</t>
        </is>
      </c>
      <c r="C115" s="9" t="inlineStr">
        <is>
          <t>long_chat</t>
        </is>
      </c>
      <c r="D115" s="9" t="inlineStr">
        <is>
          <t>llama70b</t>
        </is>
      </c>
      <c r="E115" s="9" t="n">
        <v>70</v>
      </c>
      <c r="F115" s="9" t="n">
        <v>8192</v>
      </c>
      <c r="G115" s="9" t="n">
        <v>1024</v>
      </c>
      <c r="H115" s="9" t="n">
        <v>198</v>
      </c>
      <c r="I115" s="9" t="n">
        <v>0</v>
      </c>
      <c r="J115" s="9" t="n">
        <v>0</v>
      </c>
      <c r="K115" s="11" t="inlineStr"/>
      <c r="L115" s="21" t="inlineStr"/>
      <c r="M115" s="9" t="inlineStr"/>
      <c r="N115" s="9" t="inlineStr"/>
      <c r="O115" s="9" t="inlineStr"/>
      <c r="P115" s="9" t="inlineStr">
        <is>
          <t>missing</t>
        </is>
      </c>
      <c r="Q115" s="9" t="inlineStr">
        <is>
          <t>no row meets target_tok_s_user</t>
        </is>
      </c>
      <c r="R115" s="9" t="inlineStr"/>
      <c r="S115" s="9" t="inlineStr">
        <is>
          <t>tok_s_user is computed as output_tok_s_gpu/concurrency when source tok_s_user is blank; agentic_derived uses long_chat rows multiplied by the Kimi K2.5 agentic/long ratio.</t>
        </is>
      </c>
    </row>
    <row r="116">
      <c r="A116" s="9" t="inlineStr">
        <is>
          <t>llama70b</t>
        </is>
      </c>
      <c r="B116" s="9" t="inlineStr">
        <is>
          <t>b200</t>
        </is>
      </c>
      <c r="C116" s="9" t="inlineStr">
        <is>
          <t>long_chat</t>
        </is>
      </c>
      <c r="D116" s="9" t="inlineStr">
        <is>
          <t>llama70b</t>
        </is>
      </c>
      <c r="E116" s="9" t="n">
        <v>100</v>
      </c>
      <c r="F116" s="9" t="n">
        <v>8192</v>
      </c>
      <c r="G116" s="9" t="n">
        <v>1024</v>
      </c>
      <c r="H116" s="9" t="n">
        <v>198</v>
      </c>
      <c r="I116" s="9" t="n">
        <v>0</v>
      </c>
      <c r="J116" s="9" t="n">
        <v>0</v>
      </c>
      <c r="K116" s="11" t="inlineStr"/>
      <c r="L116" s="21" t="inlineStr"/>
      <c r="M116" s="9" t="inlineStr"/>
      <c r="N116" s="9" t="inlineStr"/>
      <c r="O116" s="9" t="inlineStr"/>
      <c r="P116" s="9" t="inlineStr">
        <is>
          <t>missing</t>
        </is>
      </c>
      <c r="Q116" s="9" t="inlineStr">
        <is>
          <t>no row meets target_tok_s_user</t>
        </is>
      </c>
      <c r="R116" s="9" t="inlineStr"/>
      <c r="S116" s="9" t="inlineStr">
        <is>
          <t>tok_s_user is computed as output_tok_s_gpu/concurrency when source tok_s_user is blank; agentic_derived uses long_chat rows multiplied by the Kimi K2.5 agentic/long ratio.</t>
        </is>
      </c>
    </row>
    <row r="117">
      <c r="A117" s="9" t="inlineStr">
        <is>
          <t>llama70b</t>
        </is>
      </c>
      <c r="B117" s="9" t="inlineStr">
        <is>
          <t>b200</t>
        </is>
      </c>
      <c r="C117" s="9" t="inlineStr">
        <is>
          <t>agentic_derived</t>
        </is>
      </c>
      <c r="D117" s="9" t="inlineStr">
        <is>
          <t>llama70b</t>
        </is>
      </c>
      <c r="E117" s="9" t="n">
        <v>10</v>
      </c>
      <c r="F117" s="9" t="n">
        <v>100947</v>
      </c>
      <c r="G117" s="9" t="n">
        <v>860</v>
      </c>
      <c r="H117" s="9" t="n">
        <v>198</v>
      </c>
      <c r="I117" s="9" t="n">
        <v>0</v>
      </c>
      <c r="J117" s="9" t="n">
        <v>0</v>
      </c>
      <c r="K117" s="11" t="inlineStr"/>
      <c r="L117" s="21" t="inlineStr"/>
      <c r="M117" s="9" t="inlineStr"/>
      <c r="N117" s="9" t="inlineStr"/>
      <c r="O117" s="9" t="inlineStr"/>
      <c r="P117" s="9" t="inlineStr">
        <is>
          <t>missing</t>
        </is>
      </c>
      <c r="Q117" s="9" t="inlineStr">
        <is>
          <t>no row meets target_tok_s_user</t>
        </is>
      </c>
      <c r="R117" s="9" t="inlineStr"/>
      <c r="S117" s="9" t="inlineStr">
        <is>
          <t>tok_s_user is computed as output_tok_s_gpu/concurrency when source tok_s_user is blank; agentic_derived uses long_chat rows multiplied by the Kimi K2.5 agentic/long ratio.</t>
        </is>
      </c>
    </row>
    <row r="118">
      <c r="A118" s="9" t="inlineStr">
        <is>
          <t>llama70b</t>
        </is>
      </c>
      <c r="B118" s="9" t="inlineStr">
        <is>
          <t>b200</t>
        </is>
      </c>
      <c r="C118" s="9" t="inlineStr">
        <is>
          <t>agentic_derived</t>
        </is>
      </c>
      <c r="D118" s="9" t="inlineStr">
        <is>
          <t>llama70b</t>
        </is>
      </c>
      <c r="E118" s="9" t="n">
        <v>30</v>
      </c>
      <c r="F118" s="9" t="n">
        <v>100947</v>
      </c>
      <c r="G118" s="9" t="n">
        <v>860</v>
      </c>
      <c r="H118" s="9" t="n">
        <v>198</v>
      </c>
      <c r="I118" s="9" t="n">
        <v>0</v>
      </c>
      <c r="J118" s="9" t="n">
        <v>0</v>
      </c>
      <c r="K118" s="11" t="inlineStr"/>
      <c r="L118" s="21" t="inlineStr"/>
      <c r="M118" s="9" t="inlineStr"/>
      <c r="N118" s="9" t="inlineStr"/>
      <c r="O118" s="9" t="inlineStr"/>
      <c r="P118" s="9" t="inlineStr">
        <is>
          <t>missing</t>
        </is>
      </c>
      <c r="Q118" s="9" t="inlineStr">
        <is>
          <t>no row meets target_tok_s_user</t>
        </is>
      </c>
      <c r="R118" s="9" t="inlineStr"/>
      <c r="S118" s="9" t="inlineStr">
        <is>
          <t>tok_s_user is computed as output_tok_s_gpu/concurrency when source tok_s_user is blank; agentic_derived uses long_chat rows multiplied by the Kimi K2.5 agentic/long ratio.</t>
        </is>
      </c>
    </row>
    <row r="119">
      <c r="A119" s="9" t="inlineStr">
        <is>
          <t>llama70b</t>
        </is>
      </c>
      <c r="B119" s="9" t="inlineStr">
        <is>
          <t>b200</t>
        </is>
      </c>
      <c r="C119" s="9" t="inlineStr">
        <is>
          <t>agentic_derived</t>
        </is>
      </c>
      <c r="D119" s="9" t="inlineStr">
        <is>
          <t>llama70b</t>
        </is>
      </c>
      <c r="E119" s="9" t="n">
        <v>50</v>
      </c>
      <c r="F119" s="9" t="n">
        <v>100947</v>
      </c>
      <c r="G119" s="9" t="n">
        <v>860</v>
      </c>
      <c r="H119" s="9" t="n">
        <v>198</v>
      </c>
      <c r="I119" s="9" t="n">
        <v>0</v>
      </c>
      <c r="J119" s="9" t="n">
        <v>0</v>
      </c>
      <c r="K119" s="11" t="inlineStr"/>
      <c r="L119" s="21" t="inlineStr"/>
      <c r="M119" s="9" t="inlineStr"/>
      <c r="N119" s="9" t="inlineStr"/>
      <c r="O119" s="9" t="inlineStr"/>
      <c r="P119" s="9" t="inlineStr">
        <is>
          <t>missing</t>
        </is>
      </c>
      <c r="Q119" s="9" t="inlineStr">
        <is>
          <t>no row meets target_tok_s_user</t>
        </is>
      </c>
      <c r="R119" s="9" t="inlineStr"/>
      <c r="S119" s="9" t="inlineStr">
        <is>
          <t>tok_s_user is computed as output_tok_s_gpu/concurrency when source tok_s_user is blank; agentic_derived uses long_chat rows multiplied by the Kimi K2.5 agentic/long ratio.</t>
        </is>
      </c>
    </row>
    <row r="120">
      <c r="A120" s="9" t="inlineStr">
        <is>
          <t>llama70b</t>
        </is>
      </c>
      <c r="B120" s="9" t="inlineStr">
        <is>
          <t>b200</t>
        </is>
      </c>
      <c r="C120" s="9" t="inlineStr">
        <is>
          <t>agentic_derived</t>
        </is>
      </c>
      <c r="D120" s="9" t="inlineStr">
        <is>
          <t>llama70b</t>
        </is>
      </c>
      <c r="E120" s="9" t="n">
        <v>70</v>
      </c>
      <c r="F120" s="9" t="n">
        <v>100947</v>
      </c>
      <c r="G120" s="9" t="n">
        <v>860</v>
      </c>
      <c r="H120" s="9" t="n">
        <v>198</v>
      </c>
      <c r="I120" s="9" t="n">
        <v>0</v>
      </c>
      <c r="J120" s="9" t="n">
        <v>0</v>
      </c>
      <c r="K120" s="11" t="inlineStr"/>
      <c r="L120" s="21" t="inlineStr"/>
      <c r="M120" s="9" t="inlineStr"/>
      <c r="N120" s="9" t="inlineStr"/>
      <c r="O120" s="9" t="inlineStr"/>
      <c r="P120" s="9" t="inlineStr">
        <is>
          <t>missing</t>
        </is>
      </c>
      <c r="Q120" s="9" t="inlineStr">
        <is>
          <t>no row meets target_tok_s_user</t>
        </is>
      </c>
      <c r="R120" s="9" t="inlineStr"/>
      <c r="S120" s="9" t="inlineStr">
        <is>
          <t>tok_s_user is computed as output_tok_s_gpu/concurrency when source tok_s_user is blank; agentic_derived uses long_chat rows multiplied by the Kimi K2.5 agentic/long ratio.</t>
        </is>
      </c>
    </row>
    <row r="121">
      <c r="A121" s="9" t="inlineStr">
        <is>
          <t>llama70b</t>
        </is>
      </c>
      <c r="B121" s="9" t="inlineStr">
        <is>
          <t>b200</t>
        </is>
      </c>
      <c r="C121" s="9" t="inlineStr">
        <is>
          <t>agentic_derived</t>
        </is>
      </c>
      <c r="D121" s="9" t="inlineStr">
        <is>
          <t>llama70b</t>
        </is>
      </c>
      <c r="E121" s="9" t="n">
        <v>100</v>
      </c>
      <c r="F121" s="9" t="n">
        <v>100947</v>
      </c>
      <c r="G121" s="9" t="n">
        <v>860</v>
      </c>
      <c r="H121" s="9" t="n">
        <v>198</v>
      </c>
      <c r="I121" s="9" t="n">
        <v>0</v>
      </c>
      <c r="J121" s="9" t="n">
        <v>0</v>
      </c>
      <c r="K121" s="11" t="inlineStr"/>
      <c r="L121" s="21" t="inlineStr"/>
      <c r="M121" s="9" t="inlineStr"/>
      <c r="N121" s="9" t="inlineStr"/>
      <c r="O121" s="9" t="inlineStr"/>
      <c r="P121" s="9" t="inlineStr">
        <is>
          <t>missing</t>
        </is>
      </c>
      <c r="Q121" s="9" t="inlineStr">
        <is>
          <t>no row meets target_tok_s_user</t>
        </is>
      </c>
      <c r="R121" s="9" t="inlineStr"/>
      <c r="S121" s="9" t="inlineStr">
        <is>
          <t>tok_s_user is computed as output_tok_s_gpu/concurrency when source tok_s_user is blank; agentic_derived uses long_chat rows multiplied by the Kimi K2.5 agentic/long ratio.</t>
        </is>
      </c>
    </row>
    <row r="122">
      <c r="A122" s="9" t="inlineStr">
        <is>
          <t>llama70b</t>
        </is>
      </c>
      <c r="B122" s="9" t="inlineStr">
        <is>
          <t>gb200</t>
        </is>
      </c>
      <c r="C122" s="9" t="inlineStr">
        <is>
          <t>short_chat</t>
        </is>
      </c>
      <c r="D122" s="9" t="inlineStr">
        <is>
          <t>llama70b</t>
        </is>
      </c>
      <c r="E122" s="9" t="n">
        <v>10</v>
      </c>
      <c r="F122" s="9" t="n">
        <v>1024</v>
      </c>
      <c r="G122" s="9" t="n">
        <v>1024</v>
      </c>
      <c r="H122" s="9" t="n">
        <v>0</v>
      </c>
      <c r="I122" s="9" t="n">
        <v>0</v>
      </c>
      <c r="J122" s="9" t="n">
        <v>0</v>
      </c>
      <c r="K122" s="11" t="inlineStr"/>
      <c r="L122" s="21" t="inlineStr"/>
      <c r="M122" s="9" t="inlineStr"/>
      <c r="N122" s="9" t="inlineStr"/>
      <c r="O122" s="9" t="inlineStr"/>
      <c r="P122" s="9" t="inlineStr">
        <is>
          <t>missing</t>
        </is>
      </c>
      <c r="Q122" s="9" t="inlineStr">
        <is>
          <t>no row meets target_tok_s_user</t>
        </is>
      </c>
      <c r="R122" s="9" t="inlineStr"/>
      <c r="S122" s="9" t="inlineStr">
        <is>
          <t>tok_s_user is computed as output_tok_s_gpu/concurrency when source tok_s_user is blank; agentic_derived uses long_chat rows multiplied by the Kimi K2.5 agentic/long ratio.</t>
        </is>
      </c>
    </row>
    <row r="123">
      <c r="A123" s="9" t="inlineStr">
        <is>
          <t>llama70b</t>
        </is>
      </c>
      <c r="B123" s="9" t="inlineStr">
        <is>
          <t>gb200</t>
        </is>
      </c>
      <c r="C123" s="9" t="inlineStr">
        <is>
          <t>short_chat</t>
        </is>
      </c>
      <c r="D123" s="9" t="inlineStr">
        <is>
          <t>llama70b</t>
        </is>
      </c>
      <c r="E123" s="9" t="n">
        <v>30</v>
      </c>
      <c r="F123" s="9" t="n">
        <v>1024</v>
      </c>
      <c r="G123" s="9" t="n">
        <v>1024</v>
      </c>
      <c r="H123" s="9" t="n">
        <v>0</v>
      </c>
      <c r="I123" s="9" t="n">
        <v>0</v>
      </c>
      <c r="J123" s="9" t="n">
        <v>0</v>
      </c>
      <c r="K123" s="11" t="inlineStr"/>
      <c r="L123" s="21" t="inlineStr"/>
      <c r="M123" s="9" t="inlineStr"/>
      <c r="N123" s="9" t="inlineStr"/>
      <c r="O123" s="9" t="inlineStr"/>
      <c r="P123" s="9" t="inlineStr">
        <is>
          <t>missing</t>
        </is>
      </c>
      <c r="Q123" s="9" t="inlineStr">
        <is>
          <t>no row meets target_tok_s_user</t>
        </is>
      </c>
      <c r="R123" s="9" t="inlineStr"/>
      <c r="S123" s="9" t="inlineStr">
        <is>
          <t>tok_s_user is computed as output_tok_s_gpu/concurrency when source tok_s_user is blank; agentic_derived uses long_chat rows multiplied by the Kimi K2.5 agentic/long ratio.</t>
        </is>
      </c>
    </row>
    <row r="124">
      <c r="A124" s="9" t="inlineStr">
        <is>
          <t>llama70b</t>
        </is>
      </c>
      <c r="B124" s="9" t="inlineStr">
        <is>
          <t>gb200</t>
        </is>
      </c>
      <c r="C124" s="9" t="inlineStr">
        <is>
          <t>short_chat</t>
        </is>
      </c>
      <c r="D124" s="9" t="inlineStr">
        <is>
          <t>llama70b</t>
        </is>
      </c>
      <c r="E124" s="9" t="n">
        <v>50</v>
      </c>
      <c r="F124" s="9" t="n">
        <v>1024</v>
      </c>
      <c r="G124" s="9" t="n">
        <v>1024</v>
      </c>
      <c r="H124" s="9" t="n">
        <v>0</v>
      </c>
      <c r="I124" s="9" t="n">
        <v>0</v>
      </c>
      <c r="J124" s="9" t="n">
        <v>0</v>
      </c>
      <c r="K124" s="11" t="inlineStr"/>
      <c r="L124" s="21" t="inlineStr"/>
      <c r="M124" s="9" t="inlineStr"/>
      <c r="N124" s="9" t="inlineStr"/>
      <c r="O124" s="9" t="inlineStr"/>
      <c r="P124" s="9" t="inlineStr">
        <is>
          <t>missing</t>
        </is>
      </c>
      <c r="Q124" s="9" t="inlineStr">
        <is>
          <t>no row meets target_tok_s_user</t>
        </is>
      </c>
      <c r="R124" s="9" t="inlineStr"/>
      <c r="S124" s="9" t="inlineStr">
        <is>
          <t>tok_s_user is computed as output_tok_s_gpu/concurrency when source tok_s_user is blank; agentic_derived uses long_chat rows multiplied by the Kimi K2.5 agentic/long ratio.</t>
        </is>
      </c>
    </row>
    <row r="125">
      <c r="A125" s="9" t="inlineStr">
        <is>
          <t>llama70b</t>
        </is>
      </c>
      <c r="B125" s="9" t="inlineStr">
        <is>
          <t>gb200</t>
        </is>
      </c>
      <c r="C125" s="9" t="inlineStr">
        <is>
          <t>short_chat</t>
        </is>
      </c>
      <c r="D125" s="9" t="inlineStr">
        <is>
          <t>llama70b</t>
        </is>
      </c>
      <c r="E125" s="9" t="n">
        <v>70</v>
      </c>
      <c r="F125" s="9" t="n">
        <v>1024</v>
      </c>
      <c r="G125" s="9" t="n">
        <v>1024</v>
      </c>
      <c r="H125" s="9" t="n">
        <v>0</v>
      </c>
      <c r="I125" s="9" t="n">
        <v>0</v>
      </c>
      <c r="J125" s="9" t="n">
        <v>0</v>
      </c>
      <c r="K125" s="11" t="inlineStr"/>
      <c r="L125" s="21" t="inlineStr"/>
      <c r="M125" s="9" t="inlineStr"/>
      <c r="N125" s="9" t="inlineStr"/>
      <c r="O125" s="9" t="inlineStr"/>
      <c r="P125" s="9" t="inlineStr">
        <is>
          <t>missing</t>
        </is>
      </c>
      <c r="Q125" s="9" t="inlineStr">
        <is>
          <t>no row meets target_tok_s_user</t>
        </is>
      </c>
      <c r="R125" s="9" t="inlineStr"/>
      <c r="S125" s="9" t="inlineStr">
        <is>
          <t>tok_s_user is computed as output_tok_s_gpu/concurrency when source tok_s_user is blank; agentic_derived uses long_chat rows multiplied by the Kimi K2.5 agentic/long ratio.</t>
        </is>
      </c>
    </row>
    <row r="126">
      <c r="A126" s="9" t="inlineStr">
        <is>
          <t>llama70b</t>
        </is>
      </c>
      <c r="B126" s="9" t="inlineStr">
        <is>
          <t>gb200</t>
        </is>
      </c>
      <c r="C126" s="9" t="inlineStr">
        <is>
          <t>short_chat</t>
        </is>
      </c>
      <c r="D126" s="9" t="inlineStr">
        <is>
          <t>llama70b</t>
        </is>
      </c>
      <c r="E126" s="9" t="n">
        <v>100</v>
      </c>
      <c r="F126" s="9" t="n">
        <v>1024</v>
      </c>
      <c r="G126" s="9" t="n">
        <v>1024</v>
      </c>
      <c r="H126" s="9" t="n">
        <v>0</v>
      </c>
      <c r="I126" s="9" t="n">
        <v>0</v>
      </c>
      <c r="J126" s="9" t="n">
        <v>0</v>
      </c>
      <c r="K126" s="11" t="inlineStr"/>
      <c r="L126" s="21" t="inlineStr"/>
      <c r="M126" s="9" t="inlineStr"/>
      <c r="N126" s="9" t="inlineStr"/>
      <c r="O126" s="9" t="inlineStr"/>
      <c r="P126" s="9" t="inlineStr">
        <is>
          <t>missing</t>
        </is>
      </c>
      <c r="Q126" s="9" t="inlineStr">
        <is>
          <t>no row meets target_tok_s_user</t>
        </is>
      </c>
      <c r="R126" s="9" t="inlineStr"/>
      <c r="S126" s="9" t="inlineStr">
        <is>
          <t>tok_s_user is computed as output_tok_s_gpu/concurrency when source tok_s_user is blank; agentic_derived uses long_chat rows multiplied by the Kimi K2.5 agentic/long ratio.</t>
        </is>
      </c>
    </row>
    <row r="127">
      <c r="A127" s="9" t="inlineStr">
        <is>
          <t>llama70b</t>
        </is>
      </c>
      <c r="B127" s="9" t="inlineStr">
        <is>
          <t>gb200</t>
        </is>
      </c>
      <c r="C127" s="9" t="inlineStr">
        <is>
          <t>long_chat</t>
        </is>
      </c>
      <c r="D127" s="9" t="inlineStr">
        <is>
          <t>llama70b</t>
        </is>
      </c>
      <c r="E127" s="9" t="n">
        <v>10</v>
      </c>
      <c r="F127" s="9" t="n">
        <v>8192</v>
      </c>
      <c r="G127" s="9" t="n">
        <v>1024</v>
      </c>
      <c r="H127" s="9" t="n">
        <v>0</v>
      </c>
      <c r="I127" s="9" t="n">
        <v>0</v>
      </c>
      <c r="J127" s="9" t="n">
        <v>0</v>
      </c>
      <c r="K127" s="11" t="inlineStr"/>
      <c r="L127" s="21" t="inlineStr"/>
      <c r="M127" s="9" t="inlineStr"/>
      <c r="N127" s="9" t="inlineStr"/>
      <c r="O127" s="9" t="inlineStr"/>
      <c r="P127" s="9" t="inlineStr">
        <is>
          <t>missing</t>
        </is>
      </c>
      <c r="Q127" s="9" t="inlineStr">
        <is>
          <t>no row meets target_tok_s_user</t>
        </is>
      </c>
      <c r="R127" s="9" t="inlineStr"/>
      <c r="S127" s="9" t="inlineStr">
        <is>
          <t>tok_s_user is computed as output_tok_s_gpu/concurrency when source tok_s_user is blank; agentic_derived uses long_chat rows multiplied by the Kimi K2.5 agentic/long ratio.</t>
        </is>
      </c>
    </row>
    <row r="128">
      <c r="A128" s="9" t="inlineStr">
        <is>
          <t>llama70b</t>
        </is>
      </c>
      <c r="B128" s="9" t="inlineStr">
        <is>
          <t>gb200</t>
        </is>
      </c>
      <c r="C128" s="9" t="inlineStr">
        <is>
          <t>long_chat</t>
        </is>
      </c>
      <c r="D128" s="9" t="inlineStr">
        <is>
          <t>llama70b</t>
        </is>
      </c>
      <c r="E128" s="9" t="n">
        <v>30</v>
      </c>
      <c r="F128" s="9" t="n">
        <v>8192</v>
      </c>
      <c r="G128" s="9" t="n">
        <v>1024</v>
      </c>
      <c r="H128" s="9" t="n">
        <v>0</v>
      </c>
      <c r="I128" s="9" t="n">
        <v>0</v>
      </c>
      <c r="J128" s="9" t="n">
        <v>0</v>
      </c>
      <c r="K128" s="11" t="inlineStr"/>
      <c r="L128" s="21" t="inlineStr"/>
      <c r="M128" s="9" t="inlineStr"/>
      <c r="N128" s="9" t="inlineStr"/>
      <c r="O128" s="9" t="inlineStr"/>
      <c r="P128" s="9" t="inlineStr">
        <is>
          <t>missing</t>
        </is>
      </c>
      <c r="Q128" s="9" t="inlineStr">
        <is>
          <t>no row meets target_tok_s_user</t>
        </is>
      </c>
      <c r="R128" s="9" t="inlineStr"/>
      <c r="S128" s="9" t="inlineStr">
        <is>
          <t>tok_s_user is computed as output_tok_s_gpu/concurrency when source tok_s_user is blank; agentic_derived uses long_chat rows multiplied by the Kimi K2.5 agentic/long ratio.</t>
        </is>
      </c>
    </row>
    <row r="129">
      <c r="A129" s="9" t="inlineStr">
        <is>
          <t>llama70b</t>
        </is>
      </c>
      <c r="B129" s="9" t="inlineStr">
        <is>
          <t>gb200</t>
        </is>
      </c>
      <c r="C129" s="9" t="inlineStr">
        <is>
          <t>long_chat</t>
        </is>
      </c>
      <c r="D129" s="9" t="inlineStr">
        <is>
          <t>llama70b</t>
        </is>
      </c>
      <c r="E129" s="9" t="n">
        <v>50</v>
      </c>
      <c r="F129" s="9" t="n">
        <v>8192</v>
      </c>
      <c r="G129" s="9" t="n">
        <v>1024</v>
      </c>
      <c r="H129" s="9" t="n">
        <v>0</v>
      </c>
      <c r="I129" s="9" t="n">
        <v>0</v>
      </c>
      <c r="J129" s="9" t="n">
        <v>0</v>
      </c>
      <c r="K129" s="11" t="inlineStr"/>
      <c r="L129" s="21" t="inlineStr"/>
      <c r="M129" s="9" t="inlineStr"/>
      <c r="N129" s="9" t="inlineStr"/>
      <c r="O129" s="9" t="inlineStr"/>
      <c r="P129" s="9" t="inlineStr">
        <is>
          <t>missing</t>
        </is>
      </c>
      <c r="Q129" s="9" t="inlineStr">
        <is>
          <t>no row meets target_tok_s_user</t>
        </is>
      </c>
      <c r="R129" s="9" t="inlineStr"/>
      <c r="S129" s="9" t="inlineStr">
        <is>
          <t>tok_s_user is computed as output_tok_s_gpu/concurrency when source tok_s_user is blank; agentic_derived uses long_chat rows multiplied by the Kimi K2.5 agentic/long ratio.</t>
        </is>
      </c>
    </row>
    <row r="130">
      <c r="A130" s="9" t="inlineStr">
        <is>
          <t>llama70b</t>
        </is>
      </c>
      <c r="B130" s="9" t="inlineStr">
        <is>
          <t>gb200</t>
        </is>
      </c>
      <c r="C130" s="9" t="inlineStr">
        <is>
          <t>long_chat</t>
        </is>
      </c>
      <c r="D130" s="9" t="inlineStr">
        <is>
          <t>llama70b</t>
        </is>
      </c>
      <c r="E130" s="9" t="n">
        <v>70</v>
      </c>
      <c r="F130" s="9" t="n">
        <v>8192</v>
      </c>
      <c r="G130" s="9" t="n">
        <v>1024</v>
      </c>
      <c r="H130" s="9" t="n">
        <v>0</v>
      </c>
      <c r="I130" s="9" t="n">
        <v>0</v>
      </c>
      <c r="J130" s="9" t="n">
        <v>0</v>
      </c>
      <c r="K130" s="11" t="inlineStr"/>
      <c r="L130" s="21" t="inlineStr"/>
      <c r="M130" s="9" t="inlineStr"/>
      <c r="N130" s="9" t="inlineStr"/>
      <c r="O130" s="9" t="inlineStr"/>
      <c r="P130" s="9" t="inlineStr">
        <is>
          <t>missing</t>
        </is>
      </c>
      <c r="Q130" s="9" t="inlineStr">
        <is>
          <t>no row meets target_tok_s_user</t>
        </is>
      </c>
      <c r="R130" s="9" t="inlineStr"/>
      <c r="S130" s="9" t="inlineStr">
        <is>
          <t>tok_s_user is computed as output_tok_s_gpu/concurrency when source tok_s_user is blank; agentic_derived uses long_chat rows multiplied by the Kimi K2.5 agentic/long ratio.</t>
        </is>
      </c>
    </row>
    <row r="131">
      <c r="A131" s="9" t="inlineStr">
        <is>
          <t>llama70b</t>
        </is>
      </c>
      <c r="B131" s="9" t="inlineStr">
        <is>
          <t>gb200</t>
        </is>
      </c>
      <c r="C131" s="9" t="inlineStr">
        <is>
          <t>long_chat</t>
        </is>
      </c>
      <c r="D131" s="9" t="inlineStr">
        <is>
          <t>llama70b</t>
        </is>
      </c>
      <c r="E131" s="9" t="n">
        <v>100</v>
      </c>
      <c r="F131" s="9" t="n">
        <v>8192</v>
      </c>
      <c r="G131" s="9" t="n">
        <v>1024</v>
      </c>
      <c r="H131" s="9" t="n">
        <v>0</v>
      </c>
      <c r="I131" s="9" t="n">
        <v>0</v>
      </c>
      <c r="J131" s="9" t="n">
        <v>0</v>
      </c>
      <c r="K131" s="11" t="inlineStr"/>
      <c r="L131" s="21" t="inlineStr"/>
      <c r="M131" s="9" t="inlineStr"/>
      <c r="N131" s="9" t="inlineStr"/>
      <c r="O131" s="9" t="inlineStr"/>
      <c r="P131" s="9" t="inlineStr">
        <is>
          <t>missing</t>
        </is>
      </c>
      <c r="Q131" s="9" t="inlineStr">
        <is>
          <t>no row meets target_tok_s_user</t>
        </is>
      </c>
      <c r="R131" s="9" t="inlineStr"/>
      <c r="S131" s="9" t="inlineStr">
        <is>
          <t>tok_s_user is computed as output_tok_s_gpu/concurrency when source tok_s_user is blank; agentic_derived uses long_chat rows multiplied by the Kimi K2.5 agentic/long ratio.</t>
        </is>
      </c>
    </row>
    <row r="132">
      <c r="A132" s="9" t="inlineStr">
        <is>
          <t>llama70b</t>
        </is>
      </c>
      <c r="B132" s="9" t="inlineStr">
        <is>
          <t>gb200</t>
        </is>
      </c>
      <c r="C132" s="9" t="inlineStr">
        <is>
          <t>agentic_derived</t>
        </is>
      </c>
      <c r="D132" s="9" t="inlineStr">
        <is>
          <t>llama70b</t>
        </is>
      </c>
      <c r="E132" s="9" t="n">
        <v>10</v>
      </c>
      <c r="F132" s="9" t="n">
        <v>100947</v>
      </c>
      <c r="G132" s="9" t="n">
        <v>860</v>
      </c>
      <c r="H132" s="9" t="n">
        <v>0</v>
      </c>
      <c r="I132" s="9" t="n">
        <v>0</v>
      </c>
      <c r="J132" s="9" t="n">
        <v>0</v>
      </c>
      <c r="K132" s="11" t="inlineStr"/>
      <c r="L132" s="21" t="inlineStr"/>
      <c r="M132" s="9" t="inlineStr"/>
      <c r="N132" s="9" t="inlineStr"/>
      <c r="O132" s="9" t="inlineStr"/>
      <c r="P132" s="9" t="inlineStr">
        <is>
          <t>missing</t>
        </is>
      </c>
      <c r="Q132" s="9" t="inlineStr">
        <is>
          <t>no row meets target_tok_s_user</t>
        </is>
      </c>
      <c r="R132" s="9" t="inlineStr"/>
      <c r="S132" s="9" t="inlineStr">
        <is>
          <t>tok_s_user is computed as output_tok_s_gpu/concurrency when source tok_s_user is blank; agentic_derived uses long_chat rows multiplied by the Kimi K2.5 agentic/long ratio.</t>
        </is>
      </c>
    </row>
    <row r="133">
      <c r="A133" s="9" t="inlineStr">
        <is>
          <t>llama70b</t>
        </is>
      </c>
      <c r="B133" s="9" t="inlineStr">
        <is>
          <t>gb200</t>
        </is>
      </c>
      <c r="C133" s="9" t="inlineStr">
        <is>
          <t>agentic_derived</t>
        </is>
      </c>
      <c r="D133" s="9" t="inlineStr">
        <is>
          <t>llama70b</t>
        </is>
      </c>
      <c r="E133" s="9" t="n">
        <v>30</v>
      </c>
      <c r="F133" s="9" t="n">
        <v>100947</v>
      </c>
      <c r="G133" s="9" t="n">
        <v>860</v>
      </c>
      <c r="H133" s="9" t="n">
        <v>0</v>
      </c>
      <c r="I133" s="9" t="n">
        <v>0</v>
      </c>
      <c r="J133" s="9" t="n">
        <v>0</v>
      </c>
      <c r="K133" s="11" t="inlineStr"/>
      <c r="L133" s="21" t="inlineStr"/>
      <c r="M133" s="9" t="inlineStr"/>
      <c r="N133" s="9" t="inlineStr"/>
      <c r="O133" s="9" t="inlineStr"/>
      <c r="P133" s="9" t="inlineStr">
        <is>
          <t>missing</t>
        </is>
      </c>
      <c r="Q133" s="9" t="inlineStr">
        <is>
          <t>no row meets target_tok_s_user</t>
        </is>
      </c>
      <c r="R133" s="9" t="inlineStr"/>
      <c r="S133" s="9" t="inlineStr">
        <is>
          <t>tok_s_user is computed as output_tok_s_gpu/concurrency when source tok_s_user is blank; agentic_derived uses long_chat rows multiplied by the Kimi K2.5 agentic/long ratio.</t>
        </is>
      </c>
    </row>
    <row r="134">
      <c r="A134" s="9" t="inlineStr">
        <is>
          <t>llama70b</t>
        </is>
      </c>
      <c r="B134" s="9" t="inlineStr">
        <is>
          <t>gb200</t>
        </is>
      </c>
      <c r="C134" s="9" t="inlineStr">
        <is>
          <t>agentic_derived</t>
        </is>
      </c>
      <c r="D134" s="9" t="inlineStr">
        <is>
          <t>llama70b</t>
        </is>
      </c>
      <c r="E134" s="9" t="n">
        <v>50</v>
      </c>
      <c r="F134" s="9" t="n">
        <v>100947</v>
      </c>
      <c r="G134" s="9" t="n">
        <v>860</v>
      </c>
      <c r="H134" s="9" t="n">
        <v>0</v>
      </c>
      <c r="I134" s="9" t="n">
        <v>0</v>
      </c>
      <c r="J134" s="9" t="n">
        <v>0</v>
      </c>
      <c r="K134" s="11" t="inlineStr"/>
      <c r="L134" s="21" t="inlineStr"/>
      <c r="M134" s="9" t="inlineStr"/>
      <c r="N134" s="9" t="inlineStr"/>
      <c r="O134" s="9" t="inlineStr"/>
      <c r="P134" s="9" t="inlineStr">
        <is>
          <t>missing</t>
        </is>
      </c>
      <c r="Q134" s="9" t="inlineStr">
        <is>
          <t>no row meets target_tok_s_user</t>
        </is>
      </c>
      <c r="R134" s="9" t="inlineStr"/>
      <c r="S134" s="9" t="inlineStr">
        <is>
          <t>tok_s_user is computed as output_tok_s_gpu/concurrency when source tok_s_user is blank; agentic_derived uses long_chat rows multiplied by the Kimi K2.5 agentic/long ratio.</t>
        </is>
      </c>
    </row>
    <row r="135">
      <c r="A135" s="9" t="inlineStr">
        <is>
          <t>llama70b</t>
        </is>
      </c>
      <c r="B135" s="9" t="inlineStr">
        <is>
          <t>gb200</t>
        </is>
      </c>
      <c r="C135" s="9" t="inlineStr">
        <is>
          <t>agentic_derived</t>
        </is>
      </c>
      <c r="D135" s="9" t="inlineStr">
        <is>
          <t>llama70b</t>
        </is>
      </c>
      <c r="E135" s="9" t="n">
        <v>70</v>
      </c>
      <c r="F135" s="9" t="n">
        <v>100947</v>
      </c>
      <c r="G135" s="9" t="n">
        <v>860</v>
      </c>
      <c r="H135" s="9" t="n">
        <v>0</v>
      </c>
      <c r="I135" s="9" t="n">
        <v>0</v>
      </c>
      <c r="J135" s="9" t="n">
        <v>0</v>
      </c>
      <c r="K135" s="11" t="inlineStr"/>
      <c r="L135" s="21" t="inlineStr"/>
      <c r="M135" s="9" t="inlineStr"/>
      <c r="N135" s="9" t="inlineStr"/>
      <c r="O135" s="9" t="inlineStr"/>
      <c r="P135" s="9" t="inlineStr">
        <is>
          <t>missing</t>
        </is>
      </c>
      <c r="Q135" s="9" t="inlineStr">
        <is>
          <t>no row meets target_tok_s_user</t>
        </is>
      </c>
      <c r="R135" s="9" t="inlineStr"/>
      <c r="S135" s="9" t="inlineStr">
        <is>
          <t>tok_s_user is computed as output_tok_s_gpu/concurrency when source tok_s_user is blank; agentic_derived uses long_chat rows multiplied by the Kimi K2.5 agentic/long ratio.</t>
        </is>
      </c>
    </row>
    <row r="136">
      <c r="A136" s="9" t="inlineStr">
        <is>
          <t>llama70b</t>
        </is>
      </c>
      <c r="B136" s="9" t="inlineStr">
        <is>
          <t>gb200</t>
        </is>
      </c>
      <c r="C136" s="9" t="inlineStr">
        <is>
          <t>agentic_derived</t>
        </is>
      </c>
      <c r="D136" s="9" t="inlineStr">
        <is>
          <t>llama70b</t>
        </is>
      </c>
      <c r="E136" s="9" t="n">
        <v>100</v>
      </c>
      <c r="F136" s="9" t="n">
        <v>100947</v>
      </c>
      <c r="G136" s="9" t="n">
        <v>860</v>
      </c>
      <c r="H136" s="9" t="n">
        <v>0</v>
      </c>
      <c r="I136" s="9" t="n">
        <v>0</v>
      </c>
      <c r="J136" s="9" t="n">
        <v>0</v>
      </c>
      <c r="K136" s="11" t="inlineStr"/>
      <c r="L136" s="21" t="inlineStr"/>
      <c r="M136" s="9" t="inlineStr"/>
      <c r="N136" s="9" t="inlineStr"/>
      <c r="O136" s="9" t="inlineStr"/>
      <c r="P136" s="9" t="inlineStr">
        <is>
          <t>missing</t>
        </is>
      </c>
      <c r="Q136" s="9" t="inlineStr">
        <is>
          <t>no row meets target_tok_s_user</t>
        </is>
      </c>
      <c r="R136" s="9" t="inlineStr"/>
      <c r="S136" s="9" t="inlineStr">
        <is>
          <t>tok_s_user is computed as output_tok_s_gpu/concurrency when source tok_s_user is blank; agentic_derived uses long_chat rows multiplied by the Kimi K2.5 agentic/long ratio.</t>
        </is>
      </c>
    </row>
    <row r="137">
      <c r="A137" s="3" t="inlineStr">
        <is>
          <t>dsr1</t>
        </is>
      </c>
      <c r="B137" s="3" t="inlineStr">
        <is>
          <t>h200</t>
        </is>
      </c>
      <c r="C137" s="3" t="inlineStr">
        <is>
          <t>short_chat</t>
        </is>
      </c>
      <c r="D137" s="3" t="inlineStr">
        <is>
          <t>dsr1</t>
        </is>
      </c>
      <c r="E137" s="3" t="n">
        <v>10</v>
      </c>
      <c r="F137" s="3" t="n">
        <v>1024</v>
      </c>
      <c r="G137" s="3" t="n">
        <v>1024</v>
      </c>
      <c r="H137" s="3" t="n">
        <v>313</v>
      </c>
      <c r="I137" s="3" t="n">
        <v>40</v>
      </c>
      <c r="J137" s="3" t="n">
        <v>0</v>
      </c>
      <c r="K137" s="19" t="n">
        <v>47614</v>
      </c>
      <c r="L137" s="20" t="n">
        <v>10.3</v>
      </c>
      <c r="M137" s="3" t="n">
        <v>8</v>
      </c>
      <c r="N137" s="3" t="inlineStr">
        <is>
          <t>sglang</t>
        </is>
      </c>
      <c r="O137" s="3" t="inlineStr">
        <is>
          <t>fp8</t>
        </is>
      </c>
      <c r="P137" s="3" t="inlineStr">
        <is>
          <t>selected_public_max</t>
        </is>
      </c>
      <c r="Q137" s="3" t="inlineStr">
        <is>
          <t>public max among eligible rows</t>
        </is>
      </c>
      <c r="R137" s="3" t="inlineStr">
        <is>
          <t>2026-05-17T00:00:00.000Z</t>
        </is>
      </c>
      <c r="S137" s="3" t="inlineStr">
        <is>
          <t>tok_s_user is computed as output_tok_s_gpu/concurrency when source tok_s_user is blank; agentic_derived uses long_chat rows multiplied by the Kimi K2.5 agentic/long ratio.</t>
        </is>
      </c>
    </row>
    <row r="138">
      <c r="A138" s="9" t="inlineStr">
        <is>
          <t>dsr1</t>
        </is>
      </c>
      <c r="B138" s="9" t="inlineStr">
        <is>
          <t>h200</t>
        </is>
      </c>
      <c r="C138" s="9" t="inlineStr">
        <is>
          <t>short_chat</t>
        </is>
      </c>
      <c r="D138" s="9" t="inlineStr">
        <is>
          <t>dsr1</t>
        </is>
      </c>
      <c r="E138" s="9" t="n">
        <v>30</v>
      </c>
      <c r="F138" s="9" t="n">
        <v>1024</v>
      </c>
      <c r="G138" s="9" t="n">
        <v>1024</v>
      </c>
      <c r="H138" s="9" t="n">
        <v>313</v>
      </c>
      <c r="I138" s="9" t="n">
        <v>0</v>
      </c>
      <c r="J138" s="9" t="n">
        <v>0</v>
      </c>
      <c r="K138" s="11" t="inlineStr"/>
      <c r="L138" s="21" t="inlineStr"/>
      <c r="M138" s="9" t="inlineStr"/>
      <c r="N138" s="9" t="inlineStr"/>
      <c r="O138" s="9" t="inlineStr"/>
      <c r="P138" s="9" t="inlineStr">
        <is>
          <t>missing</t>
        </is>
      </c>
      <c r="Q138" s="9" t="inlineStr">
        <is>
          <t>no row meets target_tok_s_user</t>
        </is>
      </c>
      <c r="R138" s="9" t="inlineStr"/>
      <c r="S138" s="9" t="inlineStr">
        <is>
          <t>tok_s_user is computed as output_tok_s_gpu/concurrency when source tok_s_user is blank; agentic_derived uses long_chat rows multiplied by the Kimi K2.5 agentic/long ratio.</t>
        </is>
      </c>
    </row>
    <row r="139">
      <c r="A139" s="9" t="inlineStr">
        <is>
          <t>dsr1</t>
        </is>
      </c>
      <c r="B139" s="9" t="inlineStr">
        <is>
          <t>h200</t>
        </is>
      </c>
      <c r="C139" s="9" t="inlineStr">
        <is>
          <t>short_chat</t>
        </is>
      </c>
      <c r="D139" s="9" t="inlineStr">
        <is>
          <t>dsr1</t>
        </is>
      </c>
      <c r="E139" s="9" t="n">
        <v>50</v>
      </c>
      <c r="F139" s="9" t="n">
        <v>1024</v>
      </c>
      <c r="G139" s="9" t="n">
        <v>1024</v>
      </c>
      <c r="H139" s="9" t="n">
        <v>313</v>
      </c>
      <c r="I139" s="9" t="n">
        <v>0</v>
      </c>
      <c r="J139" s="9" t="n">
        <v>0</v>
      </c>
      <c r="K139" s="11" t="inlineStr"/>
      <c r="L139" s="21" t="inlineStr"/>
      <c r="M139" s="9" t="inlineStr"/>
      <c r="N139" s="9" t="inlineStr"/>
      <c r="O139" s="9" t="inlineStr"/>
      <c r="P139" s="9" t="inlineStr">
        <is>
          <t>missing</t>
        </is>
      </c>
      <c r="Q139" s="9" t="inlineStr">
        <is>
          <t>no row meets target_tok_s_user</t>
        </is>
      </c>
      <c r="R139" s="9" t="inlineStr"/>
      <c r="S139" s="9" t="inlineStr">
        <is>
          <t>tok_s_user is computed as output_tok_s_gpu/concurrency when source tok_s_user is blank; agentic_derived uses long_chat rows multiplied by the Kimi K2.5 agentic/long ratio.</t>
        </is>
      </c>
    </row>
    <row r="140">
      <c r="A140" s="9" t="inlineStr">
        <is>
          <t>dsr1</t>
        </is>
      </c>
      <c r="B140" s="9" t="inlineStr">
        <is>
          <t>h200</t>
        </is>
      </c>
      <c r="C140" s="9" t="inlineStr">
        <is>
          <t>short_chat</t>
        </is>
      </c>
      <c r="D140" s="9" t="inlineStr">
        <is>
          <t>dsr1</t>
        </is>
      </c>
      <c r="E140" s="9" t="n">
        <v>70</v>
      </c>
      <c r="F140" s="9" t="n">
        <v>1024</v>
      </c>
      <c r="G140" s="9" t="n">
        <v>1024</v>
      </c>
      <c r="H140" s="9" t="n">
        <v>313</v>
      </c>
      <c r="I140" s="9" t="n">
        <v>0</v>
      </c>
      <c r="J140" s="9" t="n">
        <v>0</v>
      </c>
      <c r="K140" s="11" t="inlineStr"/>
      <c r="L140" s="21" t="inlineStr"/>
      <c r="M140" s="9" t="inlineStr"/>
      <c r="N140" s="9" t="inlineStr"/>
      <c r="O140" s="9" t="inlineStr"/>
      <c r="P140" s="9" t="inlineStr">
        <is>
          <t>missing</t>
        </is>
      </c>
      <c r="Q140" s="9" t="inlineStr">
        <is>
          <t>no row meets target_tok_s_user</t>
        </is>
      </c>
      <c r="R140" s="9" t="inlineStr"/>
      <c r="S140" s="9" t="inlineStr">
        <is>
          <t>tok_s_user is computed as output_tok_s_gpu/concurrency when source tok_s_user is blank; agentic_derived uses long_chat rows multiplied by the Kimi K2.5 agentic/long ratio.</t>
        </is>
      </c>
    </row>
    <row r="141">
      <c r="A141" s="9" t="inlineStr">
        <is>
          <t>dsr1</t>
        </is>
      </c>
      <c r="B141" s="9" t="inlineStr">
        <is>
          <t>h200</t>
        </is>
      </c>
      <c r="C141" s="9" t="inlineStr">
        <is>
          <t>short_chat</t>
        </is>
      </c>
      <c r="D141" s="9" t="inlineStr">
        <is>
          <t>dsr1</t>
        </is>
      </c>
      <c r="E141" s="9" t="n">
        <v>100</v>
      </c>
      <c r="F141" s="9" t="n">
        <v>1024</v>
      </c>
      <c r="G141" s="9" t="n">
        <v>1024</v>
      </c>
      <c r="H141" s="9" t="n">
        <v>313</v>
      </c>
      <c r="I141" s="9" t="n">
        <v>0</v>
      </c>
      <c r="J141" s="9" t="n">
        <v>0</v>
      </c>
      <c r="K141" s="11" t="inlineStr"/>
      <c r="L141" s="21" t="inlineStr"/>
      <c r="M141" s="9" t="inlineStr"/>
      <c r="N141" s="9" t="inlineStr"/>
      <c r="O141" s="9" t="inlineStr"/>
      <c r="P141" s="9" t="inlineStr">
        <is>
          <t>missing</t>
        </is>
      </c>
      <c r="Q141" s="9" t="inlineStr">
        <is>
          <t>no row meets target_tok_s_user</t>
        </is>
      </c>
      <c r="R141" s="9" t="inlineStr"/>
      <c r="S141" s="9" t="inlineStr">
        <is>
          <t>tok_s_user is computed as output_tok_s_gpu/concurrency when source tok_s_user is blank; agentic_derived uses long_chat rows multiplied by the Kimi K2.5 agentic/long ratio.</t>
        </is>
      </c>
    </row>
    <row r="142">
      <c r="A142" s="3" t="inlineStr">
        <is>
          <t>dsr1</t>
        </is>
      </c>
      <c r="B142" s="3" t="inlineStr">
        <is>
          <t>h200</t>
        </is>
      </c>
      <c r="C142" s="3" t="inlineStr">
        <is>
          <t>long_chat</t>
        </is>
      </c>
      <c r="D142" s="3" t="inlineStr">
        <is>
          <t>dsr1</t>
        </is>
      </c>
      <c r="E142" s="3" t="n">
        <v>10</v>
      </c>
      <c r="F142" s="3" t="n">
        <v>8192</v>
      </c>
      <c r="G142" s="3" t="n">
        <v>1024</v>
      </c>
      <c r="H142" s="3" t="n">
        <v>305</v>
      </c>
      <c r="I142" s="3" t="n">
        <v>4</v>
      </c>
      <c r="J142" s="3" t="n">
        <v>0</v>
      </c>
      <c r="K142" s="19" t="n">
        <v>27722</v>
      </c>
      <c r="L142" s="20" t="n">
        <v>11.99</v>
      </c>
      <c r="M142" s="3" t="n">
        <v>4</v>
      </c>
      <c r="N142" s="3" t="inlineStr">
        <is>
          <t>sglang</t>
        </is>
      </c>
      <c r="O142" s="3" t="inlineStr">
        <is>
          <t>fp8</t>
        </is>
      </c>
      <c r="P142" s="3" t="inlineStr">
        <is>
          <t>selected_public_max</t>
        </is>
      </c>
      <c r="Q142" s="3" t="inlineStr">
        <is>
          <t>public max among eligible rows</t>
        </is>
      </c>
      <c r="R142" s="3" t="inlineStr">
        <is>
          <t>2026-05-20T00:00:00.000Z</t>
        </is>
      </c>
      <c r="S142" s="3" t="inlineStr">
        <is>
          <t>tok_s_user is computed as output_tok_s_gpu/concurrency when source tok_s_user is blank; agentic_derived uses long_chat rows multiplied by the Kimi K2.5 agentic/long ratio.</t>
        </is>
      </c>
    </row>
    <row r="143">
      <c r="A143" s="9" t="inlineStr">
        <is>
          <t>dsr1</t>
        </is>
      </c>
      <c r="B143" s="9" t="inlineStr">
        <is>
          <t>h200</t>
        </is>
      </c>
      <c r="C143" s="9" t="inlineStr">
        <is>
          <t>long_chat</t>
        </is>
      </c>
      <c r="D143" s="9" t="inlineStr">
        <is>
          <t>dsr1</t>
        </is>
      </c>
      <c r="E143" s="9" t="n">
        <v>30</v>
      </c>
      <c r="F143" s="9" t="n">
        <v>8192</v>
      </c>
      <c r="G143" s="9" t="n">
        <v>1024</v>
      </c>
      <c r="H143" s="9" t="n">
        <v>305</v>
      </c>
      <c r="I143" s="9" t="n">
        <v>0</v>
      </c>
      <c r="J143" s="9" t="n">
        <v>0</v>
      </c>
      <c r="K143" s="11" t="inlineStr"/>
      <c r="L143" s="21" t="inlineStr"/>
      <c r="M143" s="9" t="inlineStr"/>
      <c r="N143" s="9" t="inlineStr"/>
      <c r="O143" s="9" t="inlineStr"/>
      <c r="P143" s="9" t="inlineStr">
        <is>
          <t>missing</t>
        </is>
      </c>
      <c r="Q143" s="9" t="inlineStr">
        <is>
          <t>no row meets target_tok_s_user</t>
        </is>
      </c>
      <c r="R143" s="9" t="inlineStr"/>
      <c r="S143" s="9" t="inlineStr">
        <is>
          <t>tok_s_user is computed as output_tok_s_gpu/concurrency when source tok_s_user is blank; agentic_derived uses long_chat rows multiplied by the Kimi K2.5 agentic/long ratio.</t>
        </is>
      </c>
    </row>
    <row r="144">
      <c r="A144" s="9" t="inlineStr">
        <is>
          <t>dsr1</t>
        </is>
      </c>
      <c r="B144" s="9" t="inlineStr">
        <is>
          <t>h200</t>
        </is>
      </c>
      <c r="C144" s="9" t="inlineStr">
        <is>
          <t>long_chat</t>
        </is>
      </c>
      <c r="D144" s="9" t="inlineStr">
        <is>
          <t>dsr1</t>
        </is>
      </c>
      <c r="E144" s="9" t="n">
        <v>50</v>
      </c>
      <c r="F144" s="9" t="n">
        <v>8192</v>
      </c>
      <c r="G144" s="9" t="n">
        <v>1024</v>
      </c>
      <c r="H144" s="9" t="n">
        <v>305</v>
      </c>
      <c r="I144" s="9" t="n">
        <v>0</v>
      </c>
      <c r="J144" s="9" t="n">
        <v>0</v>
      </c>
      <c r="K144" s="11" t="inlineStr"/>
      <c r="L144" s="21" t="inlineStr"/>
      <c r="M144" s="9" t="inlineStr"/>
      <c r="N144" s="9" t="inlineStr"/>
      <c r="O144" s="9" t="inlineStr"/>
      <c r="P144" s="9" t="inlineStr">
        <is>
          <t>missing</t>
        </is>
      </c>
      <c r="Q144" s="9" t="inlineStr">
        <is>
          <t>no row meets target_tok_s_user</t>
        </is>
      </c>
      <c r="R144" s="9" t="inlineStr"/>
      <c r="S144" s="9" t="inlineStr">
        <is>
          <t>tok_s_user is computed as output_tok_s_gpu/concurrency when source tok_s_user is blank; agentic_derived uses long_chat rows multiplied by the Kimi K2.5 agentic/long ratio.</t>
        </is>
      </c>
    </row>
    <row r="145">
      <c r="A145" s="9" t="inlineStr">
        <is>
          <t>dsr1</t>
        </is>
      </c>
      <c r="B145" s="9" t="inlineStr">
        <is>
          <t>h200</t>
        </is>
      </c>
      <c r="C145" s="9" t="inlineStr">
        <is>
          <t>long_chat</t>
        </is>
      </c>
      <c r="D145" s="9" t="inlineStr">
        <is>
          <t>dsr1</t>
        </is>
      </c>
      <c r="E145" s="9" t="n">
        <v>70</v>
      </c>
      <c r="F145" s="9" t="n">
        <v>8192</v>
      </c>
      <c r="G145" s="9" t="n">
        <v>1024</v>
      </c>
      <c r="H145" s="9" t="n">
        <v>305</v>
      </c>
      <c r="I145" s="9" t="n">
        <v>0</v>
      </c>
      <c r="J145" s="9" t="n">
        <v>0</v>
      </c>
      <c r="K145" s="11" t="inlineStr"/>
      <c r="L145" s="21" t="inlineStr"/>
      <c r="M145" s="9" t="inlineStr"/>
      <c r="N145" s="9" t="inlineStr"/>
      <c r="O145" s="9" t="inlineStr"/>
      <c r="P145" s="9" t="inlineStr">
        <is>
          <t>missing</t>
        </is>
      </c>
      <c r="Q145" s="9" t="inlineStr">
        <is>
          <t>no row meets target_tok_s_user</t>
        </is>
      </c>
      <c r="R145" s="9" t="inlineStr"/>
      <c r="S145" s="9" t="inlineStr">
        <is>
          <t>tok_s_user is computed as output_tok_s_gpu/concurrency when source tok_s_user is blank; agentic_derived uses long_chat rows multiplied by the Kimi K2.5 agentic/long ratio.</t>
        </is>
      </c>
    </row>
    <row r="146">
      <c r="A146" s="9" t="inlineStr">
        <is>
          <t>dsr1</t>
        </is>
      </c>
      <c r="B146" s="9" t="inlineStr">
        <is>
          <t>h200</t>
        </is>
      </c>
      <c r="C146" s="9" t="inlineStr">
        <is>
          <t>long_chat</t>
        </is>
      </c>
      <c r="D146" s="9" t="inlineStr">
        <is>
          <t>dsr1</t>
        </is>
      </c>
      <c r="E146" s="9" t="n">
        <v>100</v>
      </c>
      <c r="F146" s="9" t="n">
        <v>8192</v>
      </c>
      <c r="G146" s="9" t="n">
        <v>1024</v>
      </c>
      <c r="H146" s="9" t="n">
        <v>305</v>
      </c>
      <c r="I146" s="9" t="n">
        <v>0</v>
      </c>
      <c r="J146" s="9" t="n">
        <v>0</v>
      </c>
      <c r="K146" s="11" t="inlineStr"/>
      <c r="L146" s="21" t="inlineStr"/>
      <c r="M146" s="9" t="inlineStr"/>
      <c r="N146" s="9" t="inlineStr"/>
      <c r="O146" s="9" t="inlineStr"/>
      <c r="P146" s="9" t="inlineStr">
        <is>
          <t>missing</t>
        </is>
      </c>
      <c r="Q146" s="9" t="inlineStr">
        <is>
          <t>no row meets target_tok_s_user</t>
        </is>
      </c>
      <c r="R146" s="9" t="inlineStr"/>
      <c r="S146" s="9" t="inlineStr">
        <is>
          <t>tok_s_user is computed as output_tok_s_gpu/concurrency when source tok_s_user is blank; agentic_derived uses long_chat rows multiplied by the Kimi K2.5 agentic/long ratio.</t>
        </is>
      </c>
    </row>
    <row r="147">
      <c r="A147" s="9" t="inlineStr">
        <is>
          <t>dsr1</t>
        </is>
      </c>
      <c r="B147" s="9" t="inlineStr">
        <is>
          <t>h200</t>
        </is>
      </c>
      <c r="C147" s="9" t="inlineStr">
        <is>
          <t>agentic_derived</t>
        </is>
      </c>
      <c r="D147" s="9" t="inlineStr">
        <is>
          <t>dsr1</t>
        </is>
      </c>
      <c r="E147" s="9" t="n">
        <v>10</v>
      </c>
      <c r="F147" s="9" t="n">
        <v>100947</v>
      </c>
      <c r="G147" s="9" t="n">
        <v>860</v>
      </c>
      <c r="H147" s="9" t="n">
        <v>305</v>
      </c>
      <c r="I147" s="9" t="n">
        <v>0</v>
      </c>
      <c r="J147" s="9" t="n">
        <v>0</v>
      </c>
      <c r="K147" s="11" t="inlineStr"/>
      <c r="L147" s="21" t="inlineStr"/>
      <c r="M147" s="9" t="inlineStr"/>
      <c r="N147" s="9" t="inlineStr"/>
      <c r="O147" s="9" t="inlineStr"/>
      <c r="P147" s="9" t="inlineStr">
        <is>
          <t>missing</t>
        </is>
      </c>
      <c r="Q147" s="9" t="inlineStr">
        <is>
          <t>no row meets target_tok_s_user</t>
        </is>
      </c>
      <c r="R147" s="9" t="inlineStr"/>
      <c r="S147" s="9" t="inlineStr">
        <is>
          <t>tok_s_user is computed as output_tok_s_gpu/concurrency when source tok_s_user is blank; agentic_derived uses long_chat rows multiplied by the Kimi K2.5 agentic/long ratio.</t>
        </is>
      </c>
    </row>
    <row r="148">
      <c r="A148" s="9" t="inlineStr">
        <is>
          <t>dsr1</t>
        </is>
      </c>
      <c r="B148" s="9" t="inlineStr">
        <is>
          <t>h200</t>
        </is>
      </c>
      <c r="C148" s="9" t="inlineStr">
        <is>
          <t>agentic_derived</t>
        </is>
      </c>
      <c r="D148" s="9" t="inlineStr">
        <is>
          <t>dsr1</t>
        </is>
      </c>
      <c r="E148" s="9" t="n">
        <v>30</v>
      </c>
      <c r="F148" s="9" t="n">
        <v>100947</v>
      </c>
      <c r="G148" s="9" t="n">
        <v>860</v>
      </c>
      <c r="H148" s="9" t="n">
        <v>305</v>
      </c>
      <c r="I148" s="9" t="n">
        <v>0</v>
      </c>
      <c r="J148" s="9" t="n">
        <v>0</v>
      </c>
      <c r="K148" s="11" t="inlineStr"/>
      <c r="L148" s="21" t="inlineStr"/>
      <c r="M148" s="9" t="inlineStr"/>
      <c r="N148" s="9" t="inlineStr"/>
      <c r="O148" s="9" t="inlineStr"/>
      <c r="P148" s="9" t="inlineStr">
        <is>
          <t>missing</t>
        </is>
      </c>
      <c r="Q148" s="9" t="inlineStr">
        <is>
          <t>no row meets target_tok_s_user</t>
        </is>
      </c>
      <c r="R148" s="9" t="inlineStr"/>
      <c r="S148" s="9" t="inlineStr">
        <is>
          <t>tok_s_user is computed as output_tok_s_gpu/concurrency when source tok_s_user is blank; agentic_derived uses long_chat rows multiplied by the Kimi K2.5 agentic/long ratio.</t>
        </is>
      </c>
    </row>
    <row r="149">
      <c r="A149" s="9" t="inlineStr">
        <is>
          <t>dsr1</t>
        </is>
      </c>
      <c r="B149" s="9" t="inlineStr">
        <is>
          <t>h200</t>
        </is>
      </c>
      <c r="C149" s="9" t="inlineStr">
        <is>
          <t>agentic_derived</t>
        </is>
      </c>
      <c r="D149" s="9" t="inlineStr">
        <is>
          <t>dsr1</t>
        </is>
      </c>
      <c r="E149" s="9" t="n">
        <v>50</v>
      </c>
      <c r="F149" s="9" t="n">
        <v>100947</v>
      </c>
      <c r="G149" s="9" t="n">
        <v>860</v>
      </c>
      <c r="H149" s="9" t="n">
        <v>305</v>
      </c>
      <c r="I149" s="9" t="n">
        <v>0</v>
      </c>
      <c r="J149" s="9" t="n">
        <v>0</v>
      </c>
      <c r="K149" s="11" t="inlineStr"/>
      <c r="L149" s="21" t="inlineStr"/>
      <c r="M149" s="9" t="inlineStr"/>
      <c r="N149" s="9" t="inlineStr"/>
      <c r="O149" s="9" t="inlineStr"/>
      <c r="P149" s="9" t="inlineStr">
        <is>
          <t>missing</t>
        </is>
      </c>
      <c r="Q149" s="9" t="inlineStr">
        <is>
          <t>no row meets target_tok_s_user</t>
        </is>
      </c>
      <c r="R149" s="9" t="inlineStr"/>
      <c r="S149" s="9" t="inlineStr">
        <is>
          <t>tok_s_user is computed as output_tok_s_gpu/concurrency when source tok_s_user is blank; agentic_derived uses long_chat rows multiplied by the Kimi K2.5 agentic/long ratio.</t>
        </is>
      </c>
    </row>
    <row r="150">
      <c r="A150" s="9" t="inlineStr">
        <is>
          <t>dsr1</t>
        </is>
      </c>
      <c r="B150" s="9" t="inlineStr">
        <is>
          <t>h200</t>
        </is>
      </c>
      <c r="C150" s="9" t="inlineStr">
        <is>
          <t>agentic_derived</t>
        </is>
      </c>
      <c r="D150" s="9" t="inlineStr">
        <is>
          <t>dsr1</t>
        </is>
      </c>
      <c r="E150" s="9" t="n">
        <v>70</v>
      </c>
      <c r="F150" s="9" t="n">
        <v>100947</v>
      </c>
      <c r="G150" s="9" t="n">
        <v>860</v>
      </c>
      <c r="H150" s="9" t="n">
        <v>305</v>
      </c>
      <c r="I150" s="9" t="n">
        <v>0</v>
      </c>
      <c r="J150" s="9" t="n">
        <v>0</v>
      </c>
      <c r="K150" s="11" t="inlineStr"/>
      <c r="L150" s="21" t="inlineStr"/>
      <c r="M150" s="9" t="inlineStr"/>
      <c r="N150" s="9" t="inlineStr"/>
      <c r="O150" s="9" t="inlineStr"/>
      <c r="P150" s="9" t="inlineStr">
        <is>
          <t>missing</t>
        </is>
      </c>
      <c r="Q150" s="9" t="inlineStr">
        <is>
          <t>no row meets target_tok_s_user</t>
        </is>
      </c>
      <c r="R150" s="9" t="inlineStr"/>
      <c r="S150" s="9" t="inlineStr">
        <is>
          <t>tok_s_user is computed as output_tok_s_gpu/concurrency when source tok_s_user is blank; agentic_derived uses long_chat rows multiplied by the Kimi K2.5 agentic/long ratio.</t>
        </is>
      </c>
    </row>
    <row r="151">
      <c r="A151" s="9" t="inlineStr">
        <is>
          <t>dsr1</t>
        </is>
      </c>
      <c r="B151" s="9" t="inlineStr">
        <is>
          <t>h200</t>
        </is>
      </c>
      <c r="C151" s="9" t="inlineStr">
        <is>
          <t>agentic_derived</t>
        </is>
      </c>
      <c r="D151" s="9" t="inlineStr">
        <is>
          <t>dsr1</t>
        </is>
      </c>
      <c r="E151" s="9" t="n">
        <v>100</v>
      </c>
      <c r="F151" s="9" t="n">
        <v>100947</v>
      </c>
      <c r="G151" s="9" t="n">
        <v>860</v>
      </c>
      <c r="H151" s="9" t="n">
        <v>305</v>
      </c>
      <c r="I151" s="9" t="n">
        <v>0</v>
      </c>
      <c r="J151" s="9" t="n">
        <v>0</v>
      </c>
      <c r="K151" s="11" t="inlineStr"/>
      <c r="L151" s="21" t="inlineStr"/>
      <c r="M151" s="9" t="inlineStr"/>
      <c r="N151" s="9" t="inlineStr"/>
      <c r="O151" s="9" t="inlineStr"/>
      <c r="P151" s="9" t="inlineStr">
        <is>
          <t>missing</t>
        </is>
      </c>
      <c r="Q151" s="9" t="inlineStr">
        <is>
          <t>no row meets target_tok_s_user</t>
        </is>
      </c>
      <c r="R151" s="9" t="inlineStr"/>
      <c r="S151" s="9" t="inlineStr">
        <is>
          <t>tok_s_user is computed as output_tok_s_gpu/concurrency when source tok_s_user is blank; agentic_derived uses long_chat rows multiplied by the Kimi K2.5 agentic/long ratio.</t>
        </is>
      </c>
    </row>
    <row r="152">
      <c r="A152" s="3" t="inlineStr">
        <is>
          <t>dsr1</t>
        </is>
      </c>
      <c r="B152" s="3" t="inlineStr">
        <is>
          <t>b200</t>
        </is>
      </c>
      <c r="C152" s="3" t="inlineStr">
        <is>
          <t>short_chat</t>
        </is>
      </c>
      <c r="D152" s="3" t="inlineStr">
        <is>
          <t>dsr1</t>
        </is>
      </c>
      <c r="E152" s="3" t="n">
        <v>10</v>
      </c>
      <c r="F152" s="3" t="n">
        <v>1024</v>
      </c>
      <c r="G152" s="3" t="n">
        <v>1024</v>
      </c>
      <c r="H152" s="3" t="n">
        <v>358</v>
      </c>
      <c r="I152" s="3" t="n">
        <v>138</v>
      </c>
      <c r="J152" s="3" t="n">
        <v>0</v>
      </c>
      <c r="K152" s="19" t="n">
        <v>87925</v>
      </c>
      <c r="L152" s="20" t="n">
        <v>11.92</v>
      </c>
      <c r="M152" s="3" t="n">
        <v>16</v>
      </c>
      <c r="N152" s="3" t="inlineStr">
        <is>
          <t>sglang</t>
        </is>
      </c>
      <c r="O152" s="3" t="inlineStr">
        <is>
          <t>fp8</t>
        </is>
      </c>
      <c r="P152" s="3" t="inlineStr">
        <is>
          <t>selected_public_max</t>
        </is>
      </c>
      <c r="Q152" s="3" t="inlineStr">
        <is>
          <t>public max among eligible rows</t>
        </is>
      </c>
      <c r="R152" s="3" t="inlineStr">
        <is>
          <t>2026-05-22T00:00:00.000Z</t>
        </is>
      </c>
      <c r="S152" s="3" t="inlineStr">
        <is>
          <t>tok_s_user is computed as output_tok_s_gpu/concurrency when source tok_s_user is blank; agentic_derived uses long_chat rows multiplied by the Kimi K2.5 agentic/long ratio.</t>
        </is>
      </c>
    </row>
    <row r="153">
      <c r="A153" s="9" t="inlineStr">
        <is>
          <t>dsr1</t>
        </is>
      </c>
      <c r="B153" s="9" t="inlineStr">
        <is>
          <t>b200</t>
        </is>
      </c>
      <c r="C153" s="9" t="inlineStr">
        <is>
          <t>short_chat</t>
        </is>
      </c>
      <c r="D153" s="9" t="inlineStr">
        <is>
          <t>dsr1</t>
        </is>
      </c>
      <c r="E153" s="9" t="n">
        <v>30</v>
      </c>
      <c r="F153" s="9" t="n">
        <v>1024</v>
      </c>
      <c r="G153" s="9" t="n">
        <v>1024</v>
      </c>
      <c r="H153" s="9" t="n">
        <v>358</v>
      </c>
      <c r="I153" s="9" t="n">
        <v>0</v>
      </c>
      <c r="J153" s="9" t="n">
        <v>0</v>
      </c>
      <c r="K153" s="11" t="inlineStr"/>
      <c r="L153" s="21" t="inlineStr"/>
      <c r="M153" s="9" t="inlineStr"/>
      <c r="N153" s="9" t="inlineStr"/>
      <c r="O153" s="9" t="inlineStr"/>
      <c r="P153" s="9" t="inlineStr">
        <is>
          <t>missing</t>
        </is>
      </c>
      <c r="Q153" s="9" t="inlineStr">
        <is>
          <t>no row meets target_tok_s_user</t>
        </is>
      </c>
      <c r="R153" s="9" t="inlineStr"/>
      <c r="S153" s="9" t="inlineStr">
        <is>
          <t>tok_s_user is computed as output_tok_s_gpu/concurrency when source tok_s_user is blank; agentic_derived uses long_chat rows multiplied by the Kimi K2.5 agentic/long ratio.</t>
        </is>
      </c>
    </row>
    <row r="154">
      <c r="A154" s="9" t="inlineStr">
        <is>
          <t>dsr1</t>
        </is>
      </c>
      <c r="B154" s="9" t="inlineStr">
        <is>
          <t>b200</t>
        </is>
      </c>
      <c r="C154" s="9" t="inlineStr">
        <is>
          <t>short_chat</t>
        </is>
      </c>
      <c r="D154" s="9" t="inlineStr">
        <is>
          <t>dsr1</t>
        </is>
      </c>
      <c r="E154" s="9" t="n">
        <v>50</v>
      </c>
      <c r="F154" s="9" t="n">
        <v>1024</v>
      </c>
      <c r="G154" s="9" t="n">
        <v>1024</v>
      </c>
      <c r="H154" s="9" t="n">
        <v>358</v>
      </c>
      <c r="I154" s="9" t="n">
        <v>0</v>
      </c>
      <c r="J154" s="9" t="n">
        <v>0</v>
      </c>
      <c r="K154" s="11" t="inlineStr"/>
      <c r="L154" s="21" t="inlineStr"/>
      <c r="M154" s="9" t="inlineStr"/>
      <c r="N154" s="9" t="inlineStr"/>
      <c r="O154" s="9" t="inlineStr"/>
      <c r="P154" s="9" t="inlineStr">
        <is>
          <t>missing</t>
        </is>
      </c>
      <c r="Q154" s="9" t="inlineStr">
        <is>
          <t>no row meets target_tok_s_user</t>
        </is>
      </c>
      <c r="R154" s="9" t="inlineStr"/>
      <c r="S154" s="9" t="inlineStr">
        <is>
          <t>tok_s_user is computed as output_tok_s_gpu/concurrency when source tok_s_user is blank; agentic_derived uses long_chat rows multiplied by the Kimi K2.5 agentic/long ratio.</t>
        </is>
      </c>
    </row>
    <row r="155">
      <c r="A155" s="9" t="inlineStr">
        <is>
          <t>dsr1</t>
        </is>
      </c>
      <c r="B155" s="9" t="inlineStr">
        <is>
          <t>b200</t>
        </is>
      </c>
      <c r="C155" s="9" t="inlineStr">
        <is>
          <t>short_chat</t>
        </is>
      </c>
      <c r="D155" s="9" t="inlineStr">
        <is>
          <t>dsr1</t>
        </is>
      </c>
      <c r="E155" s="9" t="n">
        <v>70</v>
      </c>
      <c r="F155" s="9" t="n">
        <v>1024</v>
      </c>
      <c r="G155" s="9" t="n">
        <v>1024</v>
      </c>
      <c r="H155" s="9" t="n">
        <v>358</v>
      </c>
      <c r="I155" s="9" t="n">
        <v>0</v>
      </c>
      <c r="J155" s="9" t="n">
        <v>0</v>
      </c>
      <c r="K155" s="11" t="inlineStr"/>
      <c r="L155" s="21" t="inlineStr"/>
      <c r="M155" s="9" t="inlineStr"/>
      <c r="N155" s="9" t="inlineStr"/>
      <c r="O155" s="9" t="inlineStr"/>
      <c r="P155" s="9" t="inlineStr">
        <is>
          <t>missing</t>
        </is>
      </c>
      <c r="Q155" s="9" t="inlineStr">
        <is>
          <t>no row meets target_tok_s_user</t>
        </is>
      </c>
      <c r="R155" s="9" t="inlineStr"/>
      <c r="S155" s="9" t="inlineStr">
        <is>
          <t>tok_s_user is computed as output_tok_s_gpu/concurrency when source tok_s_user is blank; agentic_derived uses long_chat rows multiplied by the Kimi K2.5 agentic/long ratio.</t>
        </is>
      </c>
    </row>
    <row r="156">
      <c r="A156" s="9" t="inlineStr">
        <is>
          <t>dsr1</t>
        </is>
      </c>
      <c r="B156" s="9" t="inlineStr">
        <is>
          <t>b200</t>
        </is>
      </c>
      <c r="C156" s="9" t="inlineStr">
        <is>
          <t>short_chat</t>
        </is>
      </c>
      <c r="D156" s="9" t="inlineStr">
        <is>
          <t>dsr1</t>
        </is>
      </c>
      <c r="E156" s="9" t="n">
        <v>100</v>
      </c>
      <c r="F156" s="9" t="n">
        <v>1024</v>
      </c>
      <c r="G156" s="9" t="n">
        <v>1024</v>
      </c>
      <c r="H156" s="9" t="n">
        <v>358</v>
      </c>
      <c r="I156" s="9" t="n">
        <v>0</v>
      </c>
      <c r="J156" s="9" t="n">
        <v>0</v>
      </c>
      <c r="K156" s="11" t="inlineStr"/>
      <c r="L156" s="21" t="inlineStr"/>
      <c r="M156" s="9" t="inlineStr"/>
      <c r="N156" s="9" t="inlineStr"/>
      <c r="O156" s="9" t="inlineStr"/>
      <c r="P156" s="9" t="inlineStr">
        <is>
          <t>missing</t>
        </is>
      </c>
      <c r="Q156" s="9" t="inlineStr">
        <is>
          <t>no row meets target_tok_s_user</t>
        </is>
      </c>
      <c r="R156" s="9" t="inlineStr"/>
      <c r="S156" s="9" t="inlineStr">
        <is>
          <t>tok_s_user is computed as output_tok_s_gpu/concurrency when source tok_s_user is blank; agentic_derived uses long_chat rows multiplied by the Kimi K2.5 agentic/long ratio.</t>
        </is>
      </c>
    </row>
    <row r="157">
      <c r="A157" s="3" t="inlineStr">
        <is>
          <t>dsr1</t>
        </is>
      </c>
      <c r="B157" s="3" t="inlineStr">
        <is>
          <t>b200</t>
        </is>
      </c>
      <c r="C157" s="3" t="inlineStr">
        <is>
          <t>long_chat</t>
        </is>
      </c>
      <c r="D157" s="3" t="inlineStr">
        <is>
          <t>dsr1</t>
        </is>
      </c>
      <c r="E157" s="3" t="n">
        <v>10</v>
      </c>
      <c r="F157" s="3" t="n">
        <v>8192</v>
      </c>
      <c r="G157" s="3" t="n">
        <v>1024</v>
      </c>
      <c r="H157" s="3" t="n">
        <v>343</v>
      </c>
      <c r="I157" s="3" t="n">
        <v>63</v>
      </c>
      <c r="J157" s="3" t="n">
        <v>0</v>
      </c>
      <c r="K157" s="19" t="n">
        <v>79568</v>
      </c>
      <c r="L157" s="20" t="n">
        <v>10.79</v>
      </c>
      <c r="M157" s="3" t="n">
        <v>16</v>
      </c>
      <c r="N157" s="3" t="inlineStr">
        <is>
          <t>sglang</t>
        </is>
      </c>
      <c r="O157" s="3" t="inlineStr">
        <is>
          <t>fp8</t>
        </is>
      </c>
      <c r="P157" s="3" t="inlineStr">
        <is>
          <t>selected_public_max</t>
        </is>
      </c>
      <c r="Q157" s="3" t="inlineStr">
        <is>
          <t>public max among eligible rows</t>
        </is>
      </c>
      <c r="R157" s="3" t="inlineStr">
        <is>
          <t>2026-05-20T00:00:00.000Z</t>
        </is>
      </c>
      <c r="S157" s="3" t="inlineStr">
        <is>
          <t>tok_s_user is computed as output_tok_s_gpu/concurrency when source tok_s_user is blank; agentic_derived uses long_chat rows multiplied by the Kimi K2.5 agentic/long ratio.</t>
        </is>
      </c>
    </row>
    <row r="158">
      <c r="A158" s="9" t="inlineStr">
        <is>
          <t>dsr1</t>
        </is>
      </c>
      <c r="B158" s="9" t="inlineStr">
        <is>
          <t>b200</t>
        </is>
      </c>
      <c r="C158" s="9" t="inlineStr">
        <is>
          <t>long_chat</t>
        </is>
      </c>
      <c r="D158" s="9" t="inlineStr">
        <is>
          <t>dsr1</t>
        </is>
      </c>
      <c r="E158" s="9" t="n">
        <v>30</v>
      </c>
      <c r="F158" s="9" t="n">
        <v>8192</v>
      </c>
      <c r="G158" s="9" t="n">
        <v>1024</v>
      </c>
      <c r="H158" s="9" t="n">
        <v>343</v>
      </c>
      <c r="I158" s="9" t="n">
        <v>0</v>
      </c>
      <c r="J158" s="9" t="n">
        <v>0</v>
      </c>
      <c r="K158" s="11" t="inlineStr"/>
      <c r="L158" s="21" t="inlineStr"/>
      <c r="M158" s="9" t="inlineStr"/>
      <c r="N158" s="9" t="inlineStr"/>
      <c r="O158" s="9" t="inlineStr"/>
      <c r="P158" s="9" t="inlineStr">
        <is>
          <t>missing</t>
        </is>
      </c>
      <c r="Q158" s="9" t="inlineStr">
        <is>
          <t>no row meets target_tok_s_user</t>
        </is>
      </c>
      <c r="R158" s="9" t="inlineStr"/>
      <c r="S158" s="9" t="inlineStr">
        <is>
          <t>tok_s_user is computed as output_tok_s_gpu/concurrency when source tok_s_user is blank; agentic_derived uses long_chat rows multiplied by the Kimi K2.5 agentic/long ratio.</t>
        </is>
      </c>
    </row>
    <row r="159">
      <c r="A159" s="9" t="inlineStr">
        <is>
          <t>dsr1</t>
        </is>
      </c>
      <c r="B159" s="9" t="inlineStr">
        <is>
          <t>b200</t>
        </is>
      </c>
      <c r="C159" s="9" t="inlineStr">
        <is>
          <t>long_chat</t>
        </is>
      </c>
      <c r="D159" s="9" t="inlineStr">
        <is>
          <t>dsr1</t>
        </is>
      </c>
      <c r="E159" s="9" t="n">
        <v>50</v>
      </c>
      <c r="F159" s="9" t="n">
        <v>8192</v>
      </c>
      <c r="G159" s="9" t="n">
        <v>1024</v>
      </c>
      <c r="H159" s="9" t="n">
        <v>343</v>
      </c>
      <c r="I159" s="9" t="n">
        <v>0</v>
      </c>
      <c r="J159" s="9" t="n">
        <v>0</v>
      </c>
      <c r="K159" s="11" t="inlineStr"/>
      <c r="L159" s="21" t="inlineStr"/>
      <c r="M159" s="9" t="inlineStr"/>
      <c r="N159" s="9" t="inlineStr"/>
      <c r="O159" s="9" t="inlineStr"/>
      <c r="P159" s="9" t="inlineStr">
        <is>
          <t>missing</t>
        </is>
      </c>
      <c r="Q159" s="9" t="inlineStr">
        <is>
          <t>no row meets target_tok_s_user</t>
        </is>
      </c>
      <c r="R159" s="9" t="inlineStr"/>
      <c r="S159" s="9" t="inlineStr">
        <is>
          <t>tok_s_user is computed as output_tok_s_gpu/concurrency when source tok_s_user is blank; agentic_derived uses long_chat rows multiplied by the Kimi K2.5 agentic/long ratio.</t>
        </is>
      </c>
    </row>
    <row r="160">
      <c r="A160" s="9" t="inlineStr">
        <is>
          <t>dsr1</t>
        </is>
      </c>
      <c r="B160" s="9" t="inlineStr">
        <is>
          <t>b200</t>
        </is>
      </c>
      <c r="C160" s="9" t="inlineStr">
        <is>
          <t>long_chat</t>
        </is>
      </c>
      <c r="D160" s="9" t="inlineStr">
        <is>
          <t>dsr1</t>
        </is>
      </c>
      <c r="E160" s="9" t="n">
        <v>70</v>
      </c>
      <c r="F160" s="9" t="n">
        <v>8192</v>
      </c>
      <c r="G160" s="9" t="n">
        <v>1024</v>
      </c>
      <c r="H160" s="9" t="n">
        <v>343</v>
      </c>
      <c r="I160" s="9" t="n">
        <v>0</v>
      </c>
      <c r="J160" s="9" t="n">
        <v>0</v>
      </c>
      <c r="K160" s="11" t="inlineStr"/>
      <c r="L160" s="21" t="inlineStr"/>
      <c r="M160" s="9" t="inlineStr"/>
      <c r="N160" s="9" t="inlineStr"/>
      <c r="O160" s="9" t="inlineStr"/>
      <c r="P160" s="9" t="inlineStr">
        <is>
          <t>missing</t>
        </is>
      </c>
      <c r="Q160" s="9" t="inlineStr">
        <is>
          <t>no row meets target_tok_s_user</t>
        </is>
      </c>
      <c r="R160" s="9" t="inlineStr"/>
      <c r="S160" s="9" t="inlineStr">
        <is>
          <t>tok_s_user is computed as output_tok_s_gpu/concurrency when source tok_s_user is blank; agentic_derived uses long_chat rows multiplied by the Kimi K2.5 agentic/long ratio.</t>
        </is>
      </c>
    </row>
    <row r="161">
      <c r="A161" s="9" t="inlineStr">
        <is>
          <t>dsr1</t>
        </is>
      </c>
      <c r="B161" s="9" t="inlineStr">
        <is>
          <t>b200</t>
        </is>
      </c>
      <c r="C161" s="9" t="inlineStr">
        <is>
          <t>long_chat</t>
        </is>
      </c>
      <c r="D161" s="9" t="inlineStr">
        <is>
          <t>dsr1</t>
        </is>
      </c>
      <c r="E161" s="9" t="n">
        <v>100</v>
      </c>
      <c r="F161" s="9" t="n">
        <v>8192</v>
      </c>
      <c r="G161" s="9" t="n">
        <v>1024</v>
      </c>
      <c r="H161" s="9" t="n">
        <v>343</v>
      </c>
      <c r="I161" s="9" t="n">
        <v>0</v>
      </c>
      <c r="J161" s="9" t="n">
        <v>0</v>
      </c>
      <c r="K161" s="11" t="inlineStr"/>
      <c r="L161" s="21" t="inlineStr"/>
      <c r="M161" s="9" t="inlineStr"/>
      <c r="N161" s="9" t="inlineStr"/>
      <c r="O161" s="9" t="inlineStr"/>
      <c r="P161" s="9" t="inlineStr">
        <is>
          <t>missing</t>
        </is>
      </c>
      <c r="Q161" s="9" t="inlineStr">
        <is>
          <t>no row meets target_tok_s_user</t>
        </is>
      </c>
      <c r="R161" s="9" t="inlineStr"/>
      <c r="S161" s="9" t="inlineStr">
        <is>
          <t>tok_s_user is computed as output_tok_s_gpu/concurrency when source tok_s_user is blank; agentic_derived uses long_chat rows multiplied by the Kimi K2.5 agentic/long ratio.</t>
        </is>
      </c>
    </row>
    <row r="162">
      <c r="A162" s="9" t="inlineStr">
        <is>
          <t>dsr1</t>
        </is>
      </c>
      <c r="B162" s="9" t="inlineStr">
        <is>
          <t>b200</t>
        </is>
      </c>
      <c r="C162" s="9" t="inlineStr">
        <is>
          <t>agentic_derived</t>
        </is>
      </c>
      <c r="D162" s="9" t="inlineStr">
        <is>
          <t>dsr1</t>
        </is>
      </c>
      <c r="E162" s="9" t="n">
        <v>10</v>
      </c>
      <c r="F162" s="9" t="n">
        <v>100947</v>
      </c>
      <c r="G162" s="9" t="n">
        <v>860</v>
      </c>
      <c r="H162" s="9" t="n">
        <v>343</v>
      </c>
      <c r="I162" s="9" t="n">
        <v>0</v>
      </c>
      <c r="J162" s="9" t="n">
        <v>0</v>
      </c>
      <c r="K162" s="11" t="inlineStr"/>
      <c r="L162" s="21" t="inlineStr"/>
      <c r="M162" s="9" t="inlineStr"/>
      <c r="N162" s="9" t="inlineStr"/>
      <c r="O162" s="9" t="inlineStr"/>
      <c r="P162" s="9" t="inlineStr">
        <is>
          <t>missing</t>
        </is>
      </c>
      <c r="Q162" s="9" t="inlineStr">
        <is>
          <t>no row meets target_tok_s_user</t>
        </is>
      </c>
      <c r="R162" s="9" t="inlineStr"/>
      <c r="S162" s="9" t="inlineStr">
        <is>
          <t>tok_s_user is computed as output_tok_s_gpu/concurrency when source tok_s_user is blank; agentic_derived uses long_chat rows multiplied by the Kimi K2.5 agentic/long ratio.</t>
        </is>
      </c>
    </row>
    <row r="163">
      <c r="A163" s="9" t="inlineStr">
        <is>
          <t>dsr1</t>
        </is>
      </c>
      <c r="B163" s="9" t="inlineStr">
        <is>
          <t>b200</t>
        </is>
      </c>
      <c r="C163" s="9" t="inlineStr">
        <is>
          <t>agentic_derived</t>
        </is>
      </c>
      <c r="D163" s="9" t="inlineStr">
        <is>
          <t>dsr1</t>
        </is>
      </c>
      <c r="E163" s="9" t="n">
        <v>30</v>
      </c>
      <c r="F163" s="9" t="n">
        <v>100947</v>
      </c>
      <c r="G163" s="9" t="n">
        <v>860</v>
      </c>
      <c r="H163" s="9" t="n">
        <v>343</v>
      </c>
      <c r="I163" s="9" t="n">
        <v>0</v>
      </c>
      <c r="J163" s="9" t="n">
        <v>0</v>
      </c>
      <c r="K163" s="11" t="inlineStr"/>
      <c r="L163" s="21" t="inlineStr"/>
      <c r="M163" s="9" t="inlineStr"/>
      <c r="N163" s="9" t="inlineStr"/>
      <c r="O163" s="9" t="inlineStr"/>
      <c r="P163" s="9" t="inlineStr">
        <is>
          <t>missing</t>
        </is>
      </c>
      <c r="Q163" s="9" t="inlineStr">
        <is>
          <t>no row meets target_tok_s_user</t>
        </is>
      </c>
      <c r="R163" s="9" t="inlineStr"/>
      <c r="S163" s="9" t="inlineStr">
        <is>
          <t>tok_s_user is computed as output_tok_s_gpu/concurrency when source tok_s_user is blank; agentic_derived uses long_chat rows multiplied by the Kimi K2.5 agentic/long ratio.</t>
        </is>
      </c>
    </row>
    <row r="164">
      <c r="A164" s="9" t="inlineStr">
        <is>
          <t>dsr1</t>
        </is>
      </c>
      <c r="B164" s="9" t="inlineStr">
        <is>
          <t>b200</t>
        </is>
      </c>
      <c r="C164" s="9" t="inlineStr">
        <is>
          <t>agentic_derived</t>
        </is>
      </c>
      <c r="D164" s="9" t="inlineStr">
        <is>
          <t>dsr1</t>
        </is>
      </c>
      <c r="E164" s="9" t="n">
        <v>50</v>
      </c>
      <c r="F164" s="9" t="n">
        <v>100947</v>
      </c>
      <c r="G164" s="9" t="n">
        <v>860</v>
      </c>
      <c r="H164" s="9" t="n">
        <v>343</v>
      </c>
      <c r="I164" s="9" t="n">
        <v>0</v>
      </c>
      <c r="J164" s="9" t="n">
        <v>0</v>
      </c>
      <c r="K164" s="11" t="inlineStr"/>
      <c r="L164" s="21" t="inlineStr"/>
      <c r="M164" s="9" t="inlineStr"/>
      <c r="N164" s="9" t="inlineStr"/>
      <c r="O164" s="9" t="inlineStr"/>
      <c r="P164" s="9" t="inlineStr">
        <is>
          <t>missing</t>
        </is>
      </c>
      <c r="Q164" s="9" t="inlineStr">
        <is>
          <t>no row meets target_tok_s_user</t>
        </is>
      </c>
      <c r="R164" s="9" t="inlineStr"/>
      <c r="S164" s="9" t="inlineStr">
        <is>
          <t>tok_s_user is computed as output_tok_s_gpu/concurrency when source tok_s_user is blank; agentic_derived uses long_chat rows multiplied by the Kimi K2.5 agentic/long ratio.</t>
        </is>
      </c>
    </row>
    <row r="165">
      <c r="A165" s="9" t="inlineStr">
        <is>
          <t>dsr1</t>
        </is>
      </c>
      <c r="B165" s="9" t="inlineStr">
        <is>
          <t>b200</t>
        </is>
      </c>
      <c r="C165" s="9" t="inlineStr">
        <is>
          <t>agentic_derived</t>
        </is>
      </c>
      <c r="D165" s="9" t="inlineStr">
        <is>
          <t>dsr1</t>
        </is>
      </c>
      <c r="E165" s="9" t="n">
        <v>70</v>
      </c>
      <c r="F165" s="9" t="n">
        <v>100947</v>
      </c>
      <c r="G165" s="9" t="n">
        <v>860</v>
      </c>
      <c r="H165" s="9" t="n">
        <v>343</v>
      </c>
      <c r="I165" s="9" t="n">
        <v>0</v>
      </c>
      <c r="J165" s="9" t="n">
        <v>0</v>
      </c>
      <c r="K165" s="11" t="inlineStr"/>
      <c r="L165" s="21" t="inlineStr"/>
      <c r="M165" s="9" t="inlineStr"/>
      <c r="N165" s="9" t="inlineStr"/>
      <c r="O165" s="9" t="inlineStr"/>
      <c r="P165" s="9" t="inlineStr">
        <is>
          <t>missing</t>
        </is>
      </c>
      <c r="Q165" s="9" t="inlineStr">
        <is>
          <t>no row meets target_tok_s_user</t>
        </is>
      </c>
      <c r="R165" s="9" t="inlineStr"/>
      <c r="S165" s="9" t="inlineStr">
        <is>
          <t>tok_s_user is computed as output_tok_s_gpu/concurrency when source tok_s_user is blank; agentic_derived uses long_chat rows multiplied by the Kimi K2.5 agentic/long ratio.</t>
        </is>
      </c>
    </row>
    <row r="166">
      <c r="A166" s="9" t="inlineStr">
        <is>
          <t>dsr1</t>
        </is>
      </c>
      <c r="B166" s="9" t="inlineStr">
        <is>
          <t>b200</t>
        </is>
      </c>
      <c r="C166" s="9" t="inlineStr">
        <is>
          <t>agentic_derived</t>
        </is>
      </c>
      <c r="D166" s="9" t="inlineStr">
        <is>
          <t>dsr1</t>
        </is>
      </c>
      <c r="E166" s="9" t="n">
        <v>100</v>
      </c>
      <c r="F166" s="9" t="n">
        <v>100947</v>
      </c>
      <c r="G166" s="9" t="n">
        <v>860</v>
      </c>
      <c r="H166" s="9" t="n">
        <v>343</v>
      </c>
      <c r="I166" s="9" t="n">
        <v>0</v>
      </c>
      <c r="J166" s="9" t="n">
        <v>0</v>
      </c>
      <c r="K166" s="11" t="inlineStr"/>
      <c r="L166" s="21" t="inlineStr"/>
      <c r="M166" s="9" t="inlineStr"/>
      <c r="N166" s="9" t="inlineStr"/>
      <c r="O166" s="9" t="inlineStr"/>
      <c r="P166" s="9" t="inlineStr">
        <is>
          <t>missing</t>
        </is>
      </c>
      <c r="Q166" s="9" t="inlineStr">
        <is>
          <t>no row meets target_tok_s_user</t>
        </is>
      </c>
      <c r="R166" s="9" t="inlineStr"/>
      <c r="S166" s="9" t="inlineStr">
        <is>
          <t>tok_s_user is computed as output_tok_s_gpu/concurrency when source tok_s_user is blank; agentic_derived uses long_chat rows multiplied by the Kimi K2.5 agentic/long ratio.</t>
        </is>
      </c>
    </row>
    <row r="167">
      <c r="A167" s="9" t="inlineStr">
        <is>
          <t>dsr1</t>
        </is>
      </c>
      <c r="B167" s="9" t="inlineStr">
        <is>
          <t>gb200</t>
        </is>
      </c>
      <c r="C167" s="9" t="inlineStr">
        <is>
          <t>short_chat</t>
        </is>
      </c>
      <c r="D167" s="9" t="inlineStr">
        <is>
          <t>dsr1</t>
        </is>
      </c>
      <c r="E167" s="9" t="n">
        <v>10</v>
      </c>
      <c r="F167" s="9" t="n">
        <v>1024</v>
      </c>
      <c r="G167" s="9" t="n">
        <v>1024</v>
      </c>
      <c r="H167" s="9" t="n">
        <v>0</v>
      </c>
      <c r="I167" s="9" t="n">
        <v>0</v>
      </c>
      <c r="J167" s="9" t="n">
        <v>0</v>
      </c>
      <c r="K167" s="11" t="inlineStr"/>
      <c r="L167" s="21" t="inlineStr"/>
      <c r="M167" s="9" t="inlineStr"/>
      <c r="N167" s="9" t="inlineStr"/>
      <c r="O167" s="9" t="inlineStr"/>
      <c r="P167" s="9" t="inlineStr">
        <is>
          <t>missing</t>
        </is>
      </c>
      <c r="Q167" s="9" t="inlineStr">
        <is>
          <t>no row meets target_tok_s_user</t>
        </is>
      </c>
      <c r="R167" s="9" t="inlineStr"/>
      <c r="S167" s="9" t="inlineStr">
        <is>
          <t>tok_s_user is computed as output_tok_s_gpu/concurrency when source tok_s_user is blank; agentic_derived uses long_chat rows multiplied by the Kimi K2.5 agentic/long ratio.</t>
        </is>
      </c>
    </row>
    <row r="168">
      <c r="A168" s="9" t="inlineStr">
        <is>
          <t>dsr1</t>
        </is>
      </c>
      <c r="B168" s="9" t="inlineStr">
        <is>
          <t>gb200</t>
        </is>
      </c>
      <c r="C168" s="9" t="inlineStr">
        <is>
          <t>short_chat</t>
        </is>
      </c>
      <c r="D168" s="9" t="inlineStr">
        <is>
          <t>dsr1</t>
        </is>
      </c>
      <c r="E168" s="9" t="n">
        <v>30</v>
      </c>
      <c r="F168" s="9" t="n">
        <v>1024</v>
      </c>
      <c r="G168" s="9" t="n">
        <v>1024</v>
      </c>
      <c r="H168" s="9" t="n">
        <v>0</v>
      </c>
      <c r="I168" s="9" t="n">
        <v>0</v>
      </c>
      <c r="J168" s="9" t="n">
        <v>0</v>
      </c>
      <c r="K168" s="11" t="inlineStr"/>
      <c r="L168" s="21" t="inlineStr"/>
      <c r="M168" s="9" t="inlineStr"/>
      <c r="N168" s="9" t="inlineStr"/>
      <c r="O168" s="9" t="inlineStr"/>
      <c r="P168" s="9" t="inlineStr">
        <is>
          <t>missing</t>
        </is>
      </c>
      <c r="Q168" s="9" t="inlineStr">
        <is>
          <t>no row meets target_tok_s_user</t>
        </is>
      </c>
      <c r="R168" s="9" t="inlineStr"/>
      <c r="S168" s="9" t="inlineStr">
        <is>
          <t>tok_s_user is computed as output_tok_s_gpu/concurrency when source tok_s_user is blank; agentic_derived uses long_chat rows multiplied by the Kimi K2.5 agentic/long ratio.</t>
        </is>
      </c>
    </row>
    <row r="169">
      <c r="A169" s="9" t="inlineStr">
        <is>
          <t>dsr1</t>
        </is>
      </c>
      <c r="B169" s="9" t="inlineStr">
        <is>
          <t>gb200</t>
        </is>
      </c>
      <c r="C169" s="9" t="inlineStr">
        <is>
          <t>short_chat</t>
        </is>
      </c>
      <c r="D169" s="9" t="inlineStr">
        <is>
          <t>dsr1</t>
        </is>
      </c>
      <c r="E169" s="9" t="n">
        <v>50</v>
      </c>
      <c r="F169" s="9" t="n">
        <v>1024</v>
      </c>
      <c r="G169" s="9" t="n">
        <v>1024</v>
      </c>
      <c r="H169" s="9" t="n">
        <v>0</v>
      </c>
      <c r="I169" s="9" t="n">
        <v>0</v>
      </c>
      <c r="J169" s="9" t="n">
        <v>0</v>
      </c>
      <c r="K169" s="11" t="inlineStr"/>
      <c r="L169" s="21" t="inlineStr"/>
      <c r="M169" s="9" t="inlineStr"/>
      <c r="N169" s="9" t="inlineStr"/>
      <c r="O169" s="9" t="inlineStr"/>
      <c r="P169" s="9" t="inlineStr">
        <is>
          <t>missing</t>
        </is>
      </c>
      <c r="Q169" s="9" t="inlineStr">
        <is>
          <t>no row meets target_tok_s_user</t>
        </is>
      </c>
      <c r="R169" s="9" t="inlineStr"/>
      <c r="S169" s="9" t="inlineStr">
        <is>
          <t>tok_s_user is computed as output_tok_s_gpu/concurrency when source tok_s_user is blank; agentic_derived uses long_chat rows multiplied by the Kimi K2.5 agentic/long ratio.</t>
        </is>
      </c>
    </row>
    <row r="170">
      <c r="A170" s="9" t="inlineStr">
        <is>
          <t>dsr1</t>
        </is>
      </c>
      <c r="B170" s="9" t="inlineStr">
        <is>
          <t>gb200</t>
        </is>
      </c>
      <c r="C170" s="9" t="inlineStr">
        <is>
          <t>short_chat</t>
        </is>
      </c>
      <c r="D170" s="9" t="inlineStr">
        <is>
          <t>dsr1</t>
        </is>
      </c>
      <c r="E170" s="9" t="n">
        <v>70</v>
      </c>
      <c r="F170" s="9" t="n">
        <v>1024</v>
      </c>
      <c r="G170" s="9" t="n">
        <v>1024</v>
      </c>
      <c r="H170" s="9" t="n">
        <v>0</v>
      </c>
      <c r="I170" s="9" t="n">
        <v>0</v>
      </c>
      <c r="J170" s="9" t="n">
        <v>0</v>
      </c>
      <c r="K170" s="11" t="inlineStr"/>
      <c r="L170" s="21" t="inlineStr"/>
      <c r="M170" s="9" t="inlineStr"/>
      <c r="N170" s="9" t="inlineStr"/>
      <c r="O170" s="9" t="inlineStr"/>
      <c r="P170" s="9" t="inlineStr">
        <is>
          <t>missing</t>
        </is>
      </c>
      <c r="Q170" s="9" t="inlineStr">
        <is>
          <t>no row meets target_tok_s_user</t>
        </is>
      </c>
      <c r="R170" s="9" t="inlineStr"/>
      <c r="S170" s="9" t="inlineStr">
        <is>
          <t>tok_s_user is computed as output_tok_s_gpu/concurrency when source tok_s_user is blank; agentic_derived uses long_chat rows multiplied by the Kimi K2.5 agentic/long ratio.</t>
        </is>
      </c>
    </row>
    <row r="171">
      <c r="A171" s="9" t="inlineStr">
        <is>
          <t>dsr1</t>
        </is>
      </c>
      <c r="B171" s="9" t="inlineStr">
        <is>
          <t>gb200</t>
        </is>
      </c>
      <c r="C171" s="9" t="inlineStr">
        <is>
          <t>short_chat</t>
        </is>
      </c>
      <c r="D171" s="9" t="inlineStr">
        <is>
          <t>dsr1</t>
        </is>
      </c>
      <c r="E171" s="9" t="n">
        <v>100</v>
      </c>
      <c r="F171" s="9" t="n">
        <v>1024</v>
      </c>
      <c r="G171" s="9" t="n">
        <v>1024</v>
      </c>
      <c r="H171" s="9" t="n">
        <v>0</v>
      </c>
      <c r="I171" s="9" t="n">
        <v>0</v>
      </c>
      <c r="J171" s="9" t="n">
        <v>0</v>
      </c>
      <c r="K171" s="11" t="inlineStr"/>
      <c r="L171" s="21" t="inlineStr"/>
      <c r="M171" s="9" t="inlineStr"/>
      <c r="N171" s="9" t="inlineStr"/>
      <c r="O171" s="9" t="inlineStr"/>
      <c r="P171" s="9" t="inlineStr">
        <is>
          <t>missing</t>
        </is>
      </c>
      <c r="Q171" s="9" t="inlineStr">
        <is>
          <t>no row meets target_tok_s_user</t>
        </is>
      </c>
      <c r="R171" s="9" t="inlineStr"/>
      <c r="S171" s="9" t="inlineStr">
        <is>
          <t>tok_s_user is computed as output_tok_s_gpu/concurrency when source tok_s_user is blank; agentic_derived uses long_chat rows multiplied by the Kimi K2.5 agentic/long ratio.</t>
        </is>
      </c>
    </row>
    <row r="172">
      <c r="A172" s="9" t="inlineStr">
        <is>
          <t>dsr1</t>
        </is>
      </c>
      <c r="B172" s="9" t="inlineStr">
        <is>
          <t>gb200</t>
        </is>
      </c>
      <c r="C172" s="9" t="inlineStr">
        <is>
          <t>long_chat</t>
        </is>
      </c>
      <c r="D172" s="9" t="inlineStr">
        <is>
          <t>dsr1</t>
        </is>
      </c>
      <c r="E172" s="9" t="n">
        <v>10</v>
      </c>
      <c r="F172" s="9" t="n">
        <v>8192</v>
      </c>
      <c r="G172" s="9" t="n">
        <v>1024</v>
      </c>
      <c r="H172" s="9" t="n">
        <v>0</v>
      </c>
      <c r="I172" s="9" t="n">
        <v>0</v>
      </c>
      <c r="J172" s="9" t="n">
        <v>0</v>
      </c>
      <c r="K172" s="11" t="inlineStr"/>
      <c r="L172" s="21" t="inlineStr"/>
      <c r="M172" s="9" t="inlineStr"/>
      <c r="N172" s="9" t="inlineStr"/>
      <c r="O172" s="9" t="inlineStr"/>
      <c r="P172" s="9" t="inlineStr">
        <is>
          <t>missing</t>
        </is>
      </c>
      <c r="Q172" s="9" t="inlineStr">
        <is>
          <t>no row meets target_tok_s_user</t>
        </is>
      </c>
      <c r="R172" s="9" t="inlineStr"/>
      <c r="S172" s="9" t="inlineStr">
        <is>
          <t>tok_s_user is computed as output_tok_s_gpu/concurrency when source tok_s_user is blank; agentic_derived uses long_chat rows multiplied by the Kimi K2.5 agentic/long ratio.</t>
        </is>
      </c>
    </row>
    <row r="173">
      <c r="A173" s="9" t="inlineStr">
        <is>
          <t>dsr1</t>
        </is>
      </c>
      <c r="B173" s="9" t="inlineStr">
        <is>
          <t>gb200</t>
        </is>
      </c>
      <c r="C173" s="9" t="inlineStr">
        <is>
          <t>long_chat</t>
        </is>
      </c>
      <c r="D173" s="9" t="inlineStr">
        <is>
          <t>dsr1</t>
        </is>
      </c>
      <c r="E173" s="9" t="n">
        <v>30</v>
      </c>
      <c r="F173" s="9" t="n">
        <v>8192</v>
      </c>
      <c r="G173" s="9" t="n">
        <v>1024</v>
      </c>
      <c r="H173" s="9" t="n">
        <v>0</v>
      </c>
      <c r="I173" s="9" t="n">
        <v>0</v>
      </c>
      <c r="J173" s="9" t="n">
        <v>0</v>
      </c>
      <c r="K173" s="11" t="inlineStr"/>
      <c r="L173" s="21" t="inlineStr"/>
      <c r="M173" s="9" t="inlineStr"/>
      <c r="N173" s="9" t="inlineStr"/>
      <c r="O173" s="9" t="inlineStr"/>
      <c r="P173" s="9" t="inlineStr">
        <is>
          <t>missing</t>
        </is>
      </c>
      <c r="Q173" s="9" t="inlineStr">
        <is>
          <t>no row meets target_tok_s_user</t>
        </is>
      </c>
      <c r="R173" s="9" t="inlineStr"/>
      <c r="S173" s="9" t="inlineStr">
        <is>
          <t>tok_s_user is computed as output_tok_s_gpu/concurrency when source tok_s_user is blank; agentic_derived uses long_chat rows multiplied by the Kimi K2.5 agentic/long ratio.</t>
        </is>
      </c>
    </row>
    <row r="174">
      <c r="A174" s="9" t="inlineStr">
        <is>
          <t>dsr1</t>
        </is>
      </c>
      <c r="B174" s="9" t="inlineStr">
        <is>
          <t>gb200</t>
        </is>
      </c>
      <c r="C174" s="9" t="inlineStr">
        <is>
          <t>long_chat</t>
        </is>
      </c>
      <c r="D174" s="9" t="inlineStr">
        <is>
          <t>dsr1</t>
        </is>
      </c>
      <c r="E174" s="9" t="n">
        <v>50</v>
      </c>
      <c r="F174" s="9" t="n">
        <v>8192</v>
      </c>
      <c r="G174" s="9" t="n">
        <v>1024</v>
      </c>
      <c r="H174" s="9" t="n">
        <v>0</v>
      </c>
      <c r="I174" s="9" t="n">
        <v>0</v>
      </c>
      <c r="J174" s="9" t="n">
        <v>0</v>
      </c>
      <c r="K174" s="11" t="inlineStr"/>
      <c r="L174" s="21" t="inlineStr"/>
      <c r="M174" s="9" t="inlineStr"/>
      <c r="N174" s="9" t="inlineStr"/>
      <c r="O174" s="9" t="inlineStr"/>
      <c r="P174" s="9" t="inlineStr">
        <is>
          <t>missing</t>
        </is>
      </c>
      <c r="Q174" s="9" t="inlineStr">
        <is>
          <t>no row meets target_tok_s_user</t>
        </is>
      </c>
      <c r="R174" s="9" t="inlineStr"/>
      <c r="S174" s="9" t="inlineStr">
        <is>
          <t>tok_s_user is computed as output_tok_s_gpu/concurrency when source tok_s_user is blank; agentic_derived uses long_chat rows multiplied by the Kimi K2.5 agentic/long ratio.</t>
        </is>
      </c>
    </row>
    <row r="175">
      <c r="A175" s="9" t="inlineStr">
        <is>
          <t>dsr1</t>
        </is>
      </c>
      <c r="B175" s="9" t="inlineStr">
        <is>
          <t>gb200</t>
        </is>
      </c>
      <c r="C175" s="9" t="inlineStr">
        <is>
          <t>long_chat</t>
        </is>
      </c>
      <c r="D175" s="9" t="inlineStr">
        <is>
          <t>dsr1</t>
        </is>
      </c>
      <c r="E175" s="9" t="n">
        <v>70</v>
      </c>
      <c r="F175" s="9" t="n">
        <v>8192</v>
      </c>
      <c r="G175" s="9" t="n">
        <v>1024</v>
      </c>
      <c r="H175" s="9" t="n">
        <v>0</v>
      </c>
      <c r="I175" s="9" t="n">
        <v>0</v>
      </c>
      <c r="J175" s="9" t="n">
        <v>0</v>
      </c>
      <c r="K175" s="11" t="inlineStr"/>
      <c r="L175" s="21" t="inlineStr"/>
      <c r="M175" s="9" t="inlineStr"/>
      <c r="N175" s="9" t="inlineStr"/>
      <c r="O175" s="9" t="inlineStr"/>
      <c r="P175" s="9" t="inlineStr">
        <is>
          <t>missing</t>
        </is>
      </c>
      <c r="Q175" s="9" t="inlineStr">
        <is>
          <t>no row meets target_tok_s_user</t>
        </is>
      </c>
      <c r="R175" s="9" t="inlineStr"/>
      <c r="S175" s="9" t="inlineStr">
        <is>
          <t>tok_s_user is computed as output_tok_s_gpu/concurrency when source tok_s_user is blank; agentic_derived uses long_chat rows multiplied by the Kimi K2.5 agentic/long ratio.</t>
        </is>
      </c>
    </row>
    <row r="176">
      <c r="A176" s="9" t="inlineStr">
        <is>
          <t>dsr1</t>
        </is>
      </c>
      <c r="B176" s="9" t="inlineStr">
        <is>
          <t>gb200</t>
        </is>
      </c>
      <c r="C176" s="9" t="inlineStr">
        <is>
          <t>long_chat</t>
        </is>
      </c>
      <c r="D176" s="9" t="inlineStr">
        <is>
          <t>dsr1</t>
        </is>
      </c>
      <c r="E176" s="9" t="n">
        <v>100</v>
      </c>
      <c r="F176" s="9" t="n">
        <v>8192</v>
      </c>
      <c r="G176" s="9" t="n">
        <v>1024</v>
      </c>
      <c r="H176" s="9" t="n">
        <v>0</v>
      </c>
      <c r="I176" s="9" t="n">
        <v>0</v>
      </c>
      <c r="J176" s="9" t="n">
        <v>0</v>
      </c>
      <c r="K176" s="11" t="inlineStr"/>
      <c r="L176" s="21" t="inlineStr"/>
      <c r="M176" s="9" t="inlineStr"/>
      <c r="N176" s="9" t="inlineStr"/>
      <c r="O176" s="9" t="inlineStr"/>
      <c r="P176" s="9" t="inlineStr">
        <is>
          <t>missing</t>
        </is>
      </c>
      <c r="Q176" s="9" t="inlineStr">
        <is>
          <t>no row meets target_tok_s_user</t>
        </is>
      </c>
      <c r="R176" s="9" t="inlineStr"/>
      <c r="S176" s="9" t="inlineStr">
        <is>
          <t>tok_s_user is computed as output_tok_s_gpu/concurrency when source tok_s_user is blank; agentic_derived uses long_chat rows multiplied by the Kimi K2.5 agentic/long ratio.</t>
        </is>
      </c>
    </row>
    <row r="177">
      <c r="A177" s="9" t="inlineStr">
        <is>
          <t>dsr1</t>
        </is>
      </c>
      <c r="B177" s="9" t="inlineStr">
        <is>
          <t>gb200</t>
        </is>
      </c>
      <c r="C177" s="9" t="inlineStr">
        <is>
          <t>agentic_derived</t>
        </is>
      </c>
      <c r="D177" s="9" t="inlineStr">
        <is>
          <t>dsr1</t>
        </is>
      </c>
      <c r="E177" s="9" t="n">
        <v>10</v>
      </c>
      <c r="F177" s="9" t="n">
        <v>100947</v>
      </c>
      <c r="G177" s="9" t="n">
        <v>860</v>
      </c>
      <c r="H177" s="9" t="n">
        <v>0</v>
      </c>
      <c r="I177" s="9" t="n">
        <v>0</v>
      </c>
      <c r="J177" s="9" t="n">
        <v>0</v>
      </c>
      <c r="K177" s="11" t="inlineStr"/>
      <c r="L177" s="21" t="inlineStr"/>
      <c r="M177" s="9" t="inlineStr"/>
      <c r="N177" s="9" t="inlineStr"/>
      <c r="O177" s="9" t="inlineStr"/>
      <c r="P177" s="9" t="inlineStr">
        <is>
          <t>missing</t>
        </is>
      </c>
      <c r="Q177" s="9" t="inlineStr">
        <is>
          <t>no row meets target_tok_s_user</t>
        </is>
      </c>
      <c r="R177" s="9" t="inlineStr"/>
      <c r="S177" s="9" t="inlineStr">
        <is>
          <t>tok_s_user is computed as output_tok_s_gpu/concurrency when source tok_s_user is blank; agentic_derived uses long_chat rows multiplied by the Kimi K2.5 agentic/long ratio.</t>
        </is>
      </c>
    </row>
    <row r="178">
      <c r="A178" s="9" t="inlineStr">
        <is>
          <t>dsr1</t>
        </is>
      </c>
      <c r="B178" s="9" t="inlineStr">
        <is>
          <t>gb200</t>
        </is>
      </c>
      <c r="C178" s="9" t="inlineStr">
        <is>
          <t>agentic_derived</t>
        </is>
      </c>
      <c r="D178" s="9" t="inlineStr">
        <is>
          <t>dsr1</t>
        </is>
      </c>
      <c r="E178" s="9" t="n">
        <v>30</v>
      </c>
      <c r="F178" s="9" t="n">
        <v>100947</v>
      </c>
      <c r="G178" s="9" t="n">
        <v>860</v>
      </c>
      <c r="H178" s="9" t="n">
        <v>0</v>
      </c>
      <c r="I178" s="9" t="n">
        <v>0</v>
      </c>
      <c r="J178" s="9" t="n">
        <v>0</v>
      </c>
      <c r="K178" s="11" t="inlineStr"/>
      <c r="L178" s="21" t="inlineStr"/>
      <c r="M178" s="9" t="inlineStr"/>
      <c r="N178" s="9" t="inlineStr"/>
      <c r="O178" s="9" t="inlineStr"/>
      <c r="P178" s="9" t="inlineStr">
        <is>
          <t>missing</t>
        </is>
      </c>
      <c r="Q178" s="9" t="inlineStr">
        <is>
          <t>no row meets target_tok_s_user</t>
        </is>
      </c>
      <c r="R178" s="9" t="inlineStr"/>
      <c r="S178" s="9" t="inlineStr">
        <is>
          <t>tok_s_user is computed as output_tok_s_gpu/concurrency when source tok_s_user is blank; agentic_derived uses long_chat rows multiplied by the Kimi K2.5 agentic/long ratio.</t>
        </is>
      </c>
    </row>
    <row r="179">
      <c r="A179" s="9" t="inlineStr">
        <is>
          <t>dsr1</t>
        </is>
      </c>
      <c r="B179" s="9" t="inlineStr">
        <is>
          <t>gb200</t>
        </is>
      </c>
      <c r="C179" s="9" t="inlineStr">
        <is>
          <t>agentic_derived</t>
        </is>
      </c>
      <c r="D179" s="9" t="inlineStr">
        <is>
          <t>dsr1</t>
        </is>
      </c>
      <c r="E179" s="9" t="n">
        <v>50</v>
      </c>
      <c r="F179" s="9" t="n">
        <v>100947</v>
      </c>
      <c r="G179" s="9" t="n">
        <v>860</v>
      </c>
      <c r="H179" s="9" t="n">
        <v>0</v>
      </c>
      <c r="I179" s="9" t="n">
        <v>0</v>
      </c>
      <c r="J179" s="9" t="n">
        <v>0</v>
      </c>
      <c r="K179" s="11" t="inlineStr"/>
      <c r="L179" s="21" t="inlineStr"/>
      <c r="M179" s="9" t="inlineStr"/>
      <c r="N179" s="9" t="inlineStr"/>
      <c r="O179" s="9" t="inlineStr"/>
      <c r="P179" s="9" t="inlineStr">
        <is>
          <t>missing</t>
        </is>
      </c>
      <c r="Q179" s="9" t="inlineStr">
        <is>
          <t>no row meets target_tok_s_user</t>
        </is>
      </c>
      <c r="R179" s="9" t="inlineStr"/>
      <c r="S179" s="9" t="inlineStr">
        <is>
          <t>tok_s_user is computed as output_tok_s_gpu/concurrency when source tok_s_user is blank; agentic_derived uses long_chat rows multiplied by the Kimi K2.5 agentic/long ratio.</t>
        </is>
      </c>
    </row>
    <row r="180">
      <c r="A180" s="9" t="inlineStr">
        <is>
          <t>dsr1</t>
        </is>
      </c>
      <c r="B180" s="9" t="inlineStr">
        <is>
          <t>gb200</t>
        </is>
      </c>
      <c r="C180" s="9" t="inlineStr">
        <is>
          <t>agentic_derived</t>
        </is>
      </c>
      <c r="D180" s="9" t="inlineStr">
        <is>
          <t>dsr1</t>
        </is>
      </c>
      <c r="E180" s="9" t="n">
        <v>70</v>
      </c>
      <c r="F180" s="9" t="n">
        <v>100947</v>
      </c>
      <c r="G180" s="9" t="n">
        <v>860</v>
      </c>
      <c r="H180" s="9" t="n">
        <v>0</v>
      </c>
      <c r="I180" s="9" t="n">
        <v>0</v>
      </c>
      <c r="J180" s="9" t="n">
        <v>0</v>
      </c>
      <c r="K180" s="11" t="inlineStr"/>
      <c r="L180" s="21" t="inlineStr"/>
      <c r="M180" s="9" t="inlineStr"/>
      <c r="N180" s="9" t="inlineStr"/>
      <c r="O180" s="9" t="inlineStr"/>
      <c r="P180" s="9" t="inlineStr">
        <is>
          <t>missing</t>
        </is>
      </c>
      <c r="Q180" s="9" t="inlineStr">
        <is>
          <t>no row meets target_tok_s_user</t>
        </is>
      </c>
      <c r="R180" s="9" t="inlineStr"/>
      <c r="S180" s="9" t="inlineStr">
        <is>
          <t>tok_s_user is computed as output_tok_s_gpu/concurrency when source tok_s_user is blank; agentic_derived uses long_chat rows multiplied by the Kimi K2.5 agentic/long ratio.</t>
        </is>
      </c>
    </row>
    <row r="181">
      <c r="A181" s="9" t="inlineStr">
        <is>
          <t>dsr1</t>
        </is>
      </c>
      <c r="B181" s="9" t="inlineStr">
        <is>
          <t>gb200</t>
        </is>
      </c>
      <c r="C181" s="9" t="inlineStr">
        <is>
          <t>agentic_derived</t>
        </is>
      </c>
      <c r="D181" s="9" t="inlineStr">
        <is>
          <t>dsr1</t>
        </is>
      </c>
      <c r="E181" s="9" t="n">
        <v>100</v>
      </c>
      <c r="F181" s="9" t="n">
        <v>100947</v>
      </c>
      <c r="G181" s="9" t="n">
        <v>860</v>
      </c>
      <c r="H181" s="9" t="n">
        <v>0</v>
      </c>
      <c r="I181" s="9" t="n">
        <v>0</v>
      </c>
      <c r="J181" s="9" t="n">
        <v>0</v>
      </c>
      <c r="K181" s="11" t="inlineStr"/>
      <c r="L181" s="21" t="inlineStr"/>
      <c r="M181" s="9" t="inlineStr"/>
      <c r="N181" s="9" t="inlineStr"/>
      <c r="O181" s="9" t="inlineStr"/>
      <c r="P181" s="9" t="inlineStr">
        <is>
          <t>missing</t>
        </is>
      </c>
      <c r="Q181" s="9" t="inlineStr">
        <is>
          <t>no row meets target_tok_s_user</t>
        </is>
      </c>
      <c r="R181" s="9" t="inlineStr"/>
      <c r="S181" s="9" t="inlineStr">
        <is>
          <t>tok_s_user is computed as output_tok_s_gpu/concurrency when source tok_s_user is blank; agentic_derived uses long_chat rows multiplied by the Kimi K2.5 agentic/long ratio.</t>
        </is>
      </c>
    </row>
    <row r="182">
      <c r="A182" s="3" t="inlineStr">
        <is>
          <t>qwen3.5</t>
        </is>
      </c>
      <c r="B182" s="3" t="inlineStr">
        <is>
          <t>h200</t>
        </is>
      </c>
      <c r="C182" s="3" t="inlineStr">
        <is>
          <t>short_chat</t>
        </is>
      </c>
      <c r="D182" s="3" t="inlineStr">
        <is>
          <t>qwen3.5</t>
        </is>
      </c>
      <c r="E182" s="3" t="n">
        <v>10</v>
      </c>
      <c r="F182" s="3" t="n">
        <v>1024</v>
      </c>
      <c r="G182" s="3" t="n">
        <v>1024</v>
      </c>
      <c r="H182" s="3" t="n">
        <v>51</v>
      </c>
      <c r="I182" s="3" t="n">
        <v>18</v>
      </c>
      <c r="J182" s="3" t="n">
        <v>0</v>
      </c>
      <c r="K182" s="19" t="n">
        <v>67884</v>
      </c>
      <c r="L182" s="20" t="n">
        <v>14.68</v>
      </c>
      <c r="M182" s="3" t="n">
        <v>8</v>
      </c>
      <c r="N182" s="3" t="inlineStr">
        <is>
          <t>sglang</t>
        </is>
      </c>
      <c r="O182" s="3" t="inlineStr">
        <is>
          <t>fp8</t>
        </is>
      </c>
      <c r="P182" s="3" t="inlineStr">
        <is>
          <t>selected_public_max</t>
        </is>
      </c>
      <c r="Q182" s="3" t="inlineStr">
        <is>
          <t>public max among eligible rows</t>
        </is>
      </c>
      <c r="R182" s="3" t="inlineStr">
        <is>
          <t>2026-05-17T00:00:00.000Z</t>
        </is>
      </c>
      <c r="S182" s="3" t="inlineStr">
        <is>
          <t>tok_s_user is computed as output_tok_s_gpu/concurrency when source tok_s_user is blank; agentic_derived uses long_chat rows multiplied by the Kimi K2.5 agentic/long ratio.</t>
        </is>
      </c>
    </row>
    <row r="183">
      <c r="A183" s="9" t="inlineStr">
        <is>
          <t>qwen3.5</t>
        </is>
      </c>
      <c r="B183" s="9" t="inlineStr">
        <is>
          <t>h200</t>
        </is>
      </c>
      <c r="C183" s="9" t="inlineStr">
        <is>
          <t>short_chat</t>
        </is>
      </c>
      <c r="D183" s="9" t="inlineStr">
        <is>
          <t>qwen3.5</t>
        </is>
      </c>
      <c r="E183" s="9" t="n">
        <v>30</v>
      </c>
      <c r="F183" s="9" t="n">
        <v>1024</v>
      </c>
      <c r="G183" s="9" t="n">
        <v>1024</v>
      </c>
      <c r="H183" s="9" t="n">
        <v>51</v>
      </c>
      <c r="I183" s="9" t="n">
        <v>0</v>
      </c>
      <c r="J183" s="9" t="n">
        <v>0</v>
      </c>
      <c r="K183" s="11" t="inlineStr"/>
      <c r="L183" s="21" t="inlineStr"/>
      <c r="M183" s="9" t="inlineStr"/>
      <c r="N183" s="9" t="inlineStr"/>
      <c r="O183" s="9" t="inlineStr"/>
      <c r="P183" s="9" t="inlineStr">
        <is>
          <t>missing</t>
        </is>
      </c>
      <c r="Q183" s="9" t="inlineStr">
        <is>
          <t>no row meets target_tok_s_user</t>
        </is>
      </c>
      <c r="R183" s="9" t="inlineStr"/>
      <c r="S183" s="9" t="inlineStr">
        <is>
          <t>tok_s_user is computed as output_tok_s_gpu/concurrency when source tok_s_user is blank; agentic_derived uses long_chat rows multiplied by the Kimi K2.5 agentic/long ratio.</t>
        </is>
      </c>
    </row>
    <row r="184">
      <c r="A184" s="9" t="inlineStr">
        <is>
          <t>qwen3.5</t>
        </is>
      </c>
      <c r="B184" s="9" t="inlineStr">
        <is>
          <t>h200</t>
        </is>
      </c>
      <c r="C184" s="9" t="inlineStr">
        <is>
          <t>short_chat</t>
        </is>
      </c>
      <c r="D184" s="9" t="inlineStr">
        <is>
          <t>qwen3.5</t>
        </is>
      </c>
      <c r="E184" s="9" t="n">
        <v>50</v>
      </c>
      <c r="F184" s="9" t="n">
        <v>1024</v>
      </c>
      <c r="G184" s="9" t="n">
        <v>1024</v>
      </c>
      <c r="H184" s="9" t="n">
        <v>51</v>
      </c>
      <c r="I184" s="9" t="n">
        <v>0</v>
      </c>
      <c r="J184" s="9" t="n">
        <v>0</v>
      </c>
      <c r="K184" s="11" t="inlineStr"/>
      <c r="L184" s="21" t="inlineStr"/>
      <c r="M184" s="9" t="inlineStr"/>
      <c r="N184" s="9" t="inlineStr"/>
      <c r="O184" s="9" t="inlineStr"/>
      <c r="P184" s="9" t="inlineStr">
        <is>
          <t>missing</t>
        </is>
      </c>
      <c r="Q184" s="9" t="inlineStr">
        <is>
          <t>no row meets target_tok_s_user</t>
        </is>
      </c>
      <c r="R184" s="9" t="inlineStr"/>
      <c r="S184" s="9" t="inlineStr">
        <is>
          <t>tok_s_user is computed as output_tok_s_gpu/concurrency when source tok_s_user is blank; agentic_derived uses long_chat rows multiplied by the Kimi K2.5 agentic/long ratio.</t>
        </is>
      </c>
    </row>
    <row r="185">
      <c r="A185" s="9" t="inlineStr">
        <is>
          <t>qwen3.5</t>
        </is>
      </c>
      <c r="B185" s="9" t="inlineStr">
        <is>
          <t>h200</t>
        </is>
      </c>
      <c r="C185" s="9" t="inlineStr">
        <is>
          <t>short_chat</t>
        </is>
      </c>
      <c r="D185" s="9" t="inlineStr">
        <is>
          <t>qwen3.5</t>
        </is>
      </c>
      <c r="E185" s="9" t="n">
        <v>70</v>
      </c>
      <c r="F185" s="9" t="n">
        <v>1024</v>
      </c>
      <c r="G185" s="9" t="n">
        <v>1024</v>
      </c>
      <c r="H185" s="9" t="n">
        <v>51</v>
      </c>
      <c r="I185" s="9" t="n">
        <v>0</v>
      </c>
      <c r="J185" s="9" t="n">
        <v>0</v>
      </c>
      <c r="K185" s="11" t="inlineStr"/>
      <c r="L185" s="21" t="inlineStr"/>
      <c r="M185" s="9" t="inlineStr"/>
      <c r="N185" s="9" t="inlineStr"/>
      <c r="O185" s="9" t="inlineStr"/>
      <c r="P185" s="9" t="inlineStr">
        <is>
          <t>missing</t>
        </is>
      </c>
      <c r="Q185" s="9" t="inlineStr">
        <is>
          <t>no row meets target_tok_s_user</t>
        </is>
      </c>
      <c r="R185" s="9" t="inlineStr"/>
      <c r="S185" s="9" t="inlineStr">
        <is>
          <t>tok_s_user is computed as output_tok_s_gpu/concurrency when source tok_s_user is blank; agentic_derived uses long_chat rows multiplied by the Kimi K2.5 agentic/long ratio.</t>
        </is>
      </c>
    </row>
    <row r="186">
      <c r="A186" s="9" t="inlineStr">
        <is>
          <t>qwen3.5</t>
        </is>
      </c>
      <c r="B186" s="9" t="inlineStr">
        <is>
          <t>h200</t>
        </is>
      </c>
      <c r="C186" s="9" t="inlineStr">
        <is>
          <t>short_chat</t>
        </is>
      </c>
      <c r="D186" s="9" t="inlineStr">
        <is>
          <t>qwen3.5</t>
        </is>
      </c>
      <c r="E186" s="9" t="n">
        <v>100</v>
      </c>
      <c r="F186" s="9" t="n">
        <v>1024</v>
      </c>
      <c r="G186" s="9" t="n">
        <v>1024</v>
      </c>
      <c r="H186" s="9" t="n">
        <v>51</v>
      </c>
      <c r="I186" s="9" t="n">
        <v>0</v>
      </c>
      <c r="J186" s="9" t="n">
        <v>0</v>
      </c>
      <c r="K186" s="11" t="inlineStr"/>
      <c r="L186" s="21" t="inlineStr"/>
      <c r="M186" s="9" t="inlineStr"/>
      <c r="N186" s="9" t="inlineStr"/>
      <c r="O186" s="9" t="inlineStr"/>
      <c r="P186" s="9" t="inlineStr">
        <is>
          <t>missing</t>
        </is>
      </c>
      <c r="Q186" s="9" t="inlineStr">
        <is>
          <t>no row meets target_tok_s_user</t>
        </is>
      </c>
      <c r="R186" s="9" t="inlineStr"/>
      <c r="S186" s="9" t="inlineStr">
        <is>
          <t>tok_s_user is computed as output_tok_s_gpu/concurrency when source tok_s_user is blank; agentic_derived uses long_chat rows multiplied by the Kimi K2.5 agentic/long ratio.</t>
        </is>
      </c>
    </row>
    <row r="187">
      <c r="A187" s="3" t="inlineStr">
        <is>
          <t>qwen3.5</t>
        </is>
      </c>
      <c r="B187" s="3" t="inlineStr">
        <is>
          <t>h200</t>
        </is>
      </c>
      <c r="C187" s="3" t="inlineStr">
        <is>
          <t>long_chat</t>
        </is>
      </c>
      <c r="D187" s="3" t="inlineStr">
        <is>
          <t>qwen3.5</t>
        </is>
      </c>
      <c r="E187" s="3" t="n">
        <v>10</v>
      </c>
      <c r="F187" s="3" t="n">
        <v>8192</v>
      </c>
      <c r="G187" s="3" t="n">
        <v>1024</v>
      </c>
      <c r="H187" s="3" t="n">
        <v>49</v>
      </c>
      <c r="I187" s="3" t="n">
        <v>16</v>
      </c>
      <c r="J187" s="3" t="n">
        <v>0</v>
      </c>
      <c r="K187" s="19" t="n">
        <v>53892</v>
      </c>
      <c r="L187" s="20" t="n">
        <v>11.65</v>
      </c>
      <c r="M187" s="3" t="n">
        <v>8</v>
      </c>
      <c r="N187" s="3" t="inlineStr">
        <is>
          <t>sglang</t>
        </is>
      </c>
      <c r="O187" s="3" t="inlineStr">
        <is>
          <t>fp8</t>
        </is>
      </c>
      <c r="P187" s="3" t="inlineStr">
        <is>
          <t>selected_public_max</t>
        </is>
      </c>
      <c r="Q187" s="3" t="inlineStr">
        <is>
          <t>public max among eligible rows</t>
        </is>
      </c>
      <c r="R187" s="3" t="inlineStr">
        <is>
          <t>2026-05-13T00:00:00.000Z</t>
        </is>
      </c>
      <c r="S187" s="3" t="inlineStr">
        <is>
          <t>tok_s_user is computed as output_tok_s_gpu/concurrency when source tok_s_user is blank; agentic_derived uses long_chat rows multiplied by the Kimi K2.5 agentic/long ratio.</t>
        </is>
      </c>
    </row>
    <row r="188">
      <c r="A188" s="9" t="inlineStr">
        <is>
          <t>qwen3.5</t>
        </is>
      </c>
      <c r="B188" s="9" t="inlineStr">
        <is>
          <t>h200</t>
        </is>
      </c>
      <c r="C188" s="9" t="inlineStr">
        <is>
          <t>long_chat</t>
        </is>
      </c>
      <c r="D188" s="9" t="inlineStr">
        <is>
          <t>qwen3.5</t>
        </is>
      </c>
      <c r="E188" s="9" t="n">
        <v>30</v>
      </c>
      <c r="F188" s="9" t="n">
        <v>8192</v>
      </c>
      <c r="G188" s="9" t="n">
        <v>1024</v>
      </c>
      <c r="H188" s="9" t="n">
        <v>49</v>
      </c>
      <c r="I188" s="9" t="n">
        <v>0</v>
      </c>
      <c r="J188" s="9" t="n">
        <v>0</v>
      </c>
      <c r="K188" s="11" t="inlineStr"/>
      <c r="L188" s="21" t="inlineStr"/>
      <c r="M188" s="9" t="inlineStr"/>
      <c r="N188" s="9" t="inlineStr"/>
      <c r="O188" s="9" t="inlineStr"/>
      <c r="P188" s="9" t="inlineStr">
        <is>
          <t>missing</t>
        </is>
      </c>
      <c r="Q188" s="9" t="inlineStr">
        <is>
          <t>no row meets target_tok_s_user</t>
        </is>
      </c>
      <c r="R188" s="9" t="inlineStr"/>
      <c r="S188" s="9" t="inlineStr">
        <is>
          <t>tok_s_user is computed as output_tok_s_gpu/concurrency when source tok_s_user is blank; agentic_derived uses long_chat rows multiplied by the Kimi K2.5 agentic/long ratio.</t>
        </is>
      </c>
    </row>
    <row r="189">
      <c r="A189" s="9" t="inlineStr">
        <is>
          <t>qwen3.5</t>
        </is>
      </c>
      <c r="B189" s="9" t="inlineStr">
        <is>
          <t>h200</t>
        </is>
      </c>
      <c r="C189" s="9" t="inlineStr">
        <is>
          <t>long_chat</t>
        </is>
      </c>
      <c r="D189" s="9" t="inlineStr">
        <is>
          <t>qwen3.5</t>
        </is>
      </c>
      <c r="E189" s="9" t="n">
        <v>50</v>
      </c>
      <c r="F189" s="9" t="n">
        <v>8192</v>
      </c>
      <c r="G189" s="9" t="n">
        <v>1024</v>
      </c>
      <c r="H189" s="9" t="n">
        <v>49</v>
      </c>
      <c r="I189" s="9" t="n">
        <v>0</v>
      </c>
      <c r="J189" s="9" t="n">
        <v>0</v>
      </c>
      <c r="K189" s="11" t="inlineStr"/>
      <c r="L189" s="21" t="inlineStr"/>
      <c r="M189" s="9" t="inlineStr"/>
      <c r="N189" s="9" t="inlineStr"/>
      <c r="O189" s="9" t="inlineStr"/>
      <c r="P189" s="9" t="inlineStr">
        <is>
          <t>missing</t>
        </is>
      </c>
      <c r="Q189" s="9" t="inlineStr">
        <is>
          <t>no row meets target_tok_s_user</t>
        </is>
      </c>
      <c r="R189" s="9" t="inlineStr"/>
      <c r="S189" s="9" t="inlineStr">
        <is>
          <t>tok_s_user is computed as output_tok_s_gpu/concurrency when source tok_s_user is blank; agentic_derived uses long_chat rows multiplied by the Kimi K2.5 agentic/long ratio.</t>
        </is>
      </c>
    </row>
    <row r="190">
      <c r="A190" s="9" t="inlineStr">
        <is>
          <t>qwen3.5</t>
        </is>
      </c>
      <c r="B190" s="9" t="inlineStr">
        <is>
          <t>h200</t>
        </is>
      </c>
      <c r="C190" s="9" t="inlineStr">
        <is>
          <t>long_chat</t>
        </is>
      </c>
      <c r="D190" s="9" t="inlineStr">
        <is>
          <t>qwen3.5</t>
        </is>
      </c>
      <c r="E190" s="9" t="n">
        <v>70</v>
      </c>
      <c r="F190" s="9" t="n">
        <v>8192</v>
      </c>
      <c r="G190" s="9" t="n">
        <v>1024</v>
      </c>
      <c r="H190" s="9" t="n">
        <v>49</v>
      </c>
      <c r="I190" s="9" t="n">
        <v>0</v>
      </c>
      <c r="J190" s="9" t="n">
        <v>0</v>
      </c>
      <c r="K190" s="11" t="inlineStr"/>
      <c r="L190" s="21" t="inlineStr"/>
      <c r="M190" s="9" t="inlineStr"/>
      <c r="N190" s="9" t="inlineStr"/>
      <c r="O190" s="9" t="inlineStr"/>
      <c r="P190" s="9" t="inlineStr">
        <is>
          <t>missing</t>
        </is>
      </c>
      <c r="Q190" s="9" t="inlineStr">
        <is>
          <t>no row meets target_tok_s_user</t>
        </is>
      </c>
      <c r="R190" s="9" t="inlineStr"/>
      <c r="S190" s="9" t="inlineStr">
        <is>
          <t>tok_s_user is computed as output_tok_s_gpu/concurrency when source tok_s_user is blank; agentic_derived uses long_chat rows multiplied by the Kimi K2.5 agentic/long ratio.</t>
        </is>
      </c>
    </row>
    <row r="191">
      <c r="A191" s="9" t="inlineStr">
        <is>
          <t>qwen3.5</t>
        </is>
      </c>
      <c r="B191" s="9" t="inlineStr">
        <is>
          <t>h200</t>
        </is>
      </c>
      <c r="C191" s="9" t="inlineStr">
        <is>
          <t>long_chat</t>
        </is>
      </c>
      <c r="D191" s="9" t="inlineStr">
        <is>
          <t>qwen3.5</t>
        </is>
      </c>
      <c r="E191" s="9" t="n">
        <v>100</v>
      </c>
      <c r="F191" s="9" t="n">
        <v>8192</v>
      </c>
      <c r="G191" s="9" t="n">
        <v>1024</v>
      </c>
      <c r="H191" s="9" t="n">
        <v>49</v>
      </c>
      <c r="I191" s="9" t="n">
        <v>0</v>
      </c>
      <c r="J191" s="9" t="n">
        <v>0</v>
      </c>
      <c r="K191" s="11" t="inlineStr"/>
      <c r="L191" s="21" t="inlineStr"/>
      <c r="M191" s="9" t="inlineStr"/>
      <c r="N191" s="9" t="inlineStr"/>
      <c r="O191" s="9" t="inlineStr"/>
      <c r="P191" s="9" t="inlineStr">
        <is>
          <t>missing</t>
        </is>
      </c>
      <c r="Q191" s="9" t="inlineStr">
        <is>
          <t>no row meets target_tok_s_user</t>
        </is>
      </c>
      <c r="R191" s="9" t="inlineStr"/>
      <c r="S191" s="9" t="inlineStr">
        <is>
          <t>tok_s_user is computed as output_tok_s_gpu/concurrency when source tok_s_user is blank; agentic_derived uses long_chat rows multiplied by the Kimi K2.5 agentic/long ratio.</t>
        </is>
      </c>
    </row>
    <row r="192">
      <c r="A192" s="9" t="inlineStr">
        <is>
          <t>qwen3.5</t>
        </is>
      </c>
      <c r="B192" s="9" t="inlineStr">
        <is>
          <t>h200</t>
        </is>
      </c>
      <c r="C192" s="9" t="inlineStr">
        <is>
          <t>agentic_derived</t>
        </is>
      </c>
      <c r="D192" s="9" t="inlineStr">
        <is>
          <t>qwen3.5</t>
        </is>
      </c>
      <c r="E192" s="9" t="n">
        <v>10</v>
      </c>
      <c r="F192" s="9" t="n">
        <v>100947</v>
      </c>
      <c r="G192" s="9" t="n">
        <v>860</v>
      </c>
      <c r="H192" s="9" t="n">
        <v>49</v>
      </c>
      <c r="I192" s="9" t="n">
        <v>0</v>
      </c>
      <c r="J192" s="9" t="n">
        <v>0</v>
      </c>
      <c r="K192" s="11" t="inlineStr"/>
      <c r="L192" s="21" t="inlineStr"/>
      <c r="M192" s="9" t="inlineStr"/>
      <c r="N192" s="9" t="inlineStr"/>
      <c r="O192" s="9" t="inlineStr"/>
      <c r="P192" s="9" t="inlineStr">
        <is>
          <t>missing</t>
        </is>
      </c>
      <c r="Q192" s="9" t="inlineStr">
        <is>
          <t>no row meets target_tok_s_user</t>
        </is>
      </c>
      <c r="R192" s="9" t="inlineStr"/>
      <c r="S192" s="9" t="inlineStr">
        <is>
          <t>tok_s_user is computed as output_tok_s_gpu/concurrency when source tok_s_user is blank; agentic_derived uses long_chat rows multiplied by the Kimi K2.5 agentic/long ratio.</t>
        </is>
      </c>
    </row>
    <row r="193">
      <c r="A193" s="9" t="inlineStr">
        <is>
          <t>qwen3.5</t>
        </is>
      </c>
      <c r="B193" s="9" t="inlineStr">
        <is>
          <t>h200</t>
        </is>
      </c>
      <c r="C193" s="9" t="inlineStr">
        <is>
          <t>agentic_derived</t>
        </is>
      </c>
      <c r="D193" s="9" t="inlineStr">
        <is>
          <t>qwen3.5</t>
        </is>
      </c>
      <c r="E193" s="9" t="n">
        <v>30</v>
      </c>
      <c r="F193" s="9" t="n">
        <v>100947</v>
      </c>
      <c r="G193" s="9" t="n">
        <v>860</v>
      </c>
      <c r="H193" s="9" t="n">
        <v>49</v>
      </c>
      <c r="I193" s="9" t="n">
        <v>0</v>
      </c>
      <c r="J193" s="9" t="n">
        <v>0</v>
      </c>
      <c r="K193" s="11" t="inlineStr"/>
      <c r="L193" s="21" t="inlineStr"/>
      <c r="M193" s="9" t="inlineStr"/>
      <c r="N193" s="9" t="inlineStr"/>
      <c r="O193" s="9" t="inlineStr"/>
      <c r="P193" s="9" t="inlineStr">
        <is>
          <t>missing</t>
        </is>
      </c>
      <c r="Q193" s="9" t="inlineStr">
        <is>
          <t>no row meets target_tok_s_user</t>
        </is>
      </c>
      <c r="R193" s="9" t="inlineStr"/>
      <c r="S193" s="9" t="inlineStr">
        <is>
          <t>tok_s_user is computed as output_tok_s_gpu/concurrency when source tok_s_user is blank; agentic_derived uses long_chat rows multiplied by the Kimi K2.5 agentic/long ratio.</t>
        </is>
      </c>
    </row>
    <row r="194">
      <c r="A194" s="9" t="inlineStr">
        <is>
          <t>qwen3.5</t>
        </is>
      </c>
      <c r="B194" s="9" t="inlineStr">
        <is>
          <t>h200</t>
        </is>
      </c>
      <c r="C194" s="9" t="inlineStr">
        <is>
          <t>agentic_derived</t>
        </is>
      </c>
      <c r="D194" s="9" t="inlineStr">
        <is>
          <t>qwen3.5</t>
        </is>
      </c>
      <c r="E194" s="9" t="n">
        <v>50</v>
      </c>
      <c r="F194" s="9" t="n">
        <v>100947</v>
      </c>
      <c r="G194" s="9" t="n">
        <v>860</v>
      </c>
      <c r="H194" s="9" t="n">
        <v>49</v>
      </c>
      <c r="I194" s="9" t="n">
        <v>0</v>
      </c>
      <c r="J194" s="9" t="n">
        <v>0</v>
      </c>
      <c r="K194" s="11" t="inlineStr"/>
      <c r="L194" s="21" t="inlineStr"/>
      <c r="M194" s="9" t="inlineStr"/>
      <c r="N194" s="9" t="inlineStr"/>
      <c r="O194" s="9" t="inlineStr"/>
      <c r="P194" s="9" t="inlineStr">
        <is>
          <t>missing</t>
        </is>
      </c>
      <c r="Q194" s="9" t="inlineStr">
        <is>
          <t>no row meets target_tok_s_user</t>
        </is>
      </c>
      <c r="R194" s="9" t="inlineStr"/>
      <c r="S194" s="9" t="inlineStr">
        <is>
          <t>tok_s_user is computed as output_tok_s_gpu/concurrency when source tok_s_user is blank; agentic_derived uses long_chat rows multiplied by the Kimi K2.5 agentic/long ratio.</t>
        </is>
      </c>
    </row>
    <row r="195">
      <c r="A195" s="9" t="inlineStr">
        <is>
          <t>qwen3.5</t>
        </is>
      </c>
      <c r="B195" s="9" t="inlineStr">
        <is>
          <t>h200</t>
        </is>
      </c>
      <c r="C195" s="9" t="inlineStr">
        <is>
          <t>agentic_derived</t>
        </is>
      </c>
      <c r="D195" s="9" t="inlineStr">
        <is>
          <t>qwen3.5</t>
        </is>
      </c>
      <c r="E195" s="9" t="n">
        <v>70</v>
      </c>
      <c r="F195" s="9" t="n">
        <v>100947</v>
      </c>
      <c r="G195" s="9" t="n">
        <v>860</v>
      </c>
      <c r="H195" s="9" t="n">
        <v>49</v>
      </c>
      <c r="I195" s="9" t="n">
        <v>0</v>
      </c>
      <c r="J195" s="9" t="n">
        <v>0</v>
      </c>
      <c r="K195" s="11" t="inlineStr"/>
      <c r="L195" s="21" t="inlineStr"/>
      <c r="M195" s="9" t="inlineStr"/>
      <c r="N195" s="9" t="inlineStr"/>
      <c r="O195" s="9" t="inlineStr"/>
      <c r="P195" s="9" t="inlineStr">
        <is>
          <t>missing</t>
        </is>
      </c>
      <c r="Q195" s="9" t="inlineStr">
        <is>
          <t>no row meets target_tok_s_user</t>
        </is>
      </c>
      <c r="R195" s="9" t="inlineStr"/>
      <c r="S195" s="9" t="inlineStr">
        <is>
          <t>tok_s_user is computed as output_tok_s_gpu/concurrency when source tok_s_user is blank; agentic_derived uses long_chat rows multiplied by the Kimi K2.5 agentic/long ratio.</t>
        </is>
      </c>
    </row>
    <row r="196">
      <c r="A196" s="9" t="inlineStr">
        <is>
          <t>qwen3.5</t>
        </is>
      </c>
      <c r="B196" s="9" t="inlineStr">
        <is>
          <t>h200</t>
        </is>
      </c>
      <c r="C196" s="9" t="inlineStr">
        <is>
          <t>agentic_derived</t>
        </is>
      </c>
      <c r="D196" s="9" t="inlineStr">
        <is>
          <t>qwen3.5</t>
        </is>
      </c>
      <c r="E196" s="9" t="n">
        <v>100</v>
      </c>
      <c r="F196" s="9" t="n">
        <v>100947</v>
      </c>
      <c r="G196" s="9" t="n">
        <v>860</v>
      </c>
      <c r="H196" s="9" t="n">
        <v>49</v>
      </c>
      <c r="I196" s="9" t="n">
        <v>0</v>
      </c>
      <c r="J196" s="9" t="n">
        <v>0</v>
      </c>
      <c r="K196" s="11" t="inlineStr"/>
      <c r="L196" s="21" t="inlineStr"/>
      <c r="M196" s="9" t="inlineStr"/>
      <c r="N196" s="9" t="inlineStr"/>
      <c r="O196" s="9" t="inlineStr"/>
      <c r="P196" s="9" t="inlineStr">
        <is>
          <t>missing</t>
        </is>
      </c>
      <c r="Q196" s="9" t="inlineStr">
        <is>
          <t>no row meets target_tok_s_user</t>
        </is>
      </c>
      <c r="R196" s="9" t="inlineStr"/>
      <c r="S196" s="9" t="inlineStr">
        <is>
          <t>tok_s_user is computed as output_tok_s_gpu/concurrency when source tok_s_user is blank; agentic_derived uses long_chat rows multiplied by the Kimi K2.5 agentic/long ratio.</t>
        </is>
      </c>
    </row>
    <row r="197">
      <c r="A197" s="3" t="inlineStr">
        <is>
          <t>qwen3.5</t>
        </is>
      </c>
      <c r="B197" s="3" t="inlineStr">
        <is>
          <t>b200</t>
        </is>
      </c>
      <c r="C197" s="3" t="inlineStr">
        <is>
          <t>short_chat</t>
        </is>
      </c>
      <c r="D197" s="3" t="inlineStr">
        <is>
          <t>qwen3.5</t>
        </is>
      </c>
      <c r="E197" s="3" t="n">
        <v>10</v>
      </c>
      <c r="F197" s="3" t="n">
        <v>1024</v>
      </c>
      <c r="G197" s="3" t="n">
        <v>1024</v>
      </c>
      <c r="H197" s="3" t="n">
        <v>60</v>
      </c>
      <c r="I197" s="3" t="n">
        <v>45</v>
      </c>
      <c r="J197" s="3" t="n">
        <v>0</v>
      </c>
      <c r="K197" s="19" t="n">
        <v>806272</v>
      </c>
      <c r="L197" s="20" t="n">
        <v>13.67</v>
      </c>
      <c r="M197" s="3" t="n">
        <v>128</v>
      </c>
      <c r="N197" s="3" t="inlineStr">
        <is>
          <t>sglang</t>
        </is>
      </c>
      <c r="O197" s="3" t="inlineStr">
        <is>
          <t>fp8</t>
        </is>
      </c>
      <c r="P197" s="3" t="inlineStr">
        <is>
          <t>selected_public_max</t>
        </is>
      </c>
      <c r="Q197" s="3" t="inlineStr">
        <is>
          <t>public max among eligible rows</t>
        </is>
      </c>
      <c r="R197" s="3" t="inlineStr">
        <is>
          <t>2026-05-18T00:00:00.000Z</t>
        </is>
      </c>
      <c r="S197" s="3" t="inlineStr">
        <is>
          <t>tok_s_user is computed as output_tok_s_gpu/concurrency when source tok_s_user is blank; agentic_derived uses long_chat rows multiplied by the Kimi K2.5 agentic/long ratio.</t>
        </is>
      </c>
    </row>
    <row r="198">
      <c r="A198" s="3" t="inlineStr">
        <is>
          <t>qwen3.5</t>
        </is>
      </c>
      <c r="B198" s="3" t="inlineStr">
        <is>
          <t>b200</t>
        </is>
      </c>
      <c r="C198" s="3" t="inlineStr">
        <is>
          <t>short_chat</t>
        </is>
      </c>
      <c r="D198" s="3" t="inlineStr">
        <is>
          <t>qwen3.5</t>
        </is>
      </c>
      <c r="E198" s="3" t="n">
        <v>30</v>
      </c>
      <c r="F198" s="3" t="n">
        <v>1024</v>
      </c>
      <c r="G198" s="3" t="n">
        <v>1024</v>
      </c>
      <c r="H198" s="3" t="n">
        <v>60</v>
      </c>
      <c r="I198" s="3" t="n">
        <v>7</v>
      </c>
      <c r="J198" s="3" t="n">
        <v>0</v>
      </c>
      <c r="K198" s="19" t="n">
        <v>229498</v>
      </c>
      <c r="L198" s="20" t="n">
        <v>31.13</v>
      </c>
      <c r="M198" s="3" t="n">
        <v>16</v>
      </c>
      <c r="N198" s="3" t="inlineStr">
        <is>
          <t>sglang</t>
        </is>
      </c>
      <c r="O198" s="3" t="inlineStr">
        <is>
          <t>fp8</t>
        </is>
      </c>
      <c r="P198" s="3" t="inlineStr">
        <is>
          <t>selected_public_max</t>
        </is>
      </c>
      <c r="Q198" s="3" t="inlineStr">
        <is>
          <t>public max among eligible rows</t>
        </is>
      </c>
      <c r="R198" s="3" t="inlineStr">
        <is>
          <t>2026-05-18T00:00:00.000Z</t>
        </is>
      </c>
      <c r="S198" s="3" t="inlineStr">
        <is>
          <t>tok_s_user is computed as output_tok_s_gpu/concurrency when source tok_s_user is blank; agentic_derived uses long_chat rows multiplied by the Kimi K2.5 agentic/long ratio.</t>
        </is>
      </c>
    </row>
    <row r="199">
      <c r="A199" s="9" t="inlineStr">
        <is>
          <t>qwen3.5</t>
        </is>
      </c>
      <c r="B199" s="9" t="inlineStr">
        <is>
          <t>b200</t>
        </is>
      </c>
      <c r="C199" s="9" t="inlineStr">
        <is>
          <t>short_chat</t>
        </is>
      </c>
      <c r="D199" s="9" t="inlineStr">
        <is>
          <t>qwen3.5</t>
        </is>
      </c>
      <c r="E199" s="9" t="n">
        <v>50</v>
      </c>
      <c r="F199" s="9" t="n">
        <v>1024</v>
      </c>
      <c r="G199" s="9" t="n">
        <v>1024</v>
      </c>
      <c r="H199" s="9" t="n">
        <v>60</v>
      </c>
      <c r="I199" s="9" t="n">
        <v>0</v>
      </c>
      <c r="J199" s="9" t="n">
        <v>0</v>
      </c>
      <c r="K199" s="11" t="inlineStr"/>
      <c r="L199" s="21" t="inlineStr"/>
      <c r="M199" s="9" t="inlineStr"/>
      <c r="N199" s="9" t="inlineStr"/>
      <c r="O199" s="9" t="inlineStr"/>
      <c r="P199" s="9" t="inlineStr">
        <is>
          <t>missing</t>
        </is>
      </c>
      <c r="Q199" s="9" t="inlineStr">
        <is>
          <t>no row meets target_tok_s_user</t>
        </is>
      </c>
      <c r="R199" s="9" t="inlineStr"/>
      <c r="S199" s="9" t="inlineStr">
        <is>
          <t>tok_s_user is computed as output_tok_s_gpu/concurrency when source tok_s_user is blank; agentic_derived uses long_chat rows multiplied by the Kimi K2.5 agentic/long ratio.</t>
        </is>
      </c>
    </row>
    <row r="200">
      <c r="A200" s="9" t="inlineStr">
        <is>
          <t>qwen3.5</t>
        </is>
      </c>
      <c r="B200" s="9" t="inlineStr">
        <is>
          <t>b200</t>
        </is>
      </c>
      <c r="C200" s="9" t="inlineStr">
        <is>
          <t>short_chat</t>
        </is>
      </c>
      <c r="D200" s="9" t="inlineStr">
        <is>
          <t>qwen3.5</t>
        </is>
      </c>
      <c r="E200" s="9" t="n">
        <v>70</v>
      </c>
      <c r="F200" s="9" t="n">
        <v>1024</v>
      </c>
      <c r="G200" s="9" t="n">
        <v>1024</v>
      </c>
      <c r="H200" s="9" t="n">
        <v>60</v>
      </c>
      <c r="I200" s="9" t="n">
        <v>0</v>
      </c>
      <c r="J200" s="9" t="n">
        <v>0</v>
      </c>
      <c r="K200" s="11" t="inlineStr"/>
      <c r="L200" s="21" t="inlineStr"/>
      <c r="M200" s="9" t="inlineStr"/>
      <c r="N200" s="9" t="inlineStr"/>
      <c r="O200" s="9" t="inlineStr"/>
      <c r="P200" s="9" t="inlineStr">
        <is>
          <t>missing</t>
        </is>
      </c>
      <c r="Q200" s="9" t="inlineStr">
        <is>
          <t>no row meets target_tok_s_user</t>
        </is>
      </c>
      <c r="R200" s="9" t="inlineStr"/>
      <c r="S200" s="9" t="inlineStr">
        <is>
          <t>tok_s_user is computed as output_tok_s_gpu/concurrency when source tok_s_user is blank; agentic_derived uses long_chat rows multiplied by the Kimi K2.5 agentic/long ratio.</t>
        </is>
      </c>
    </row>
    <row r="201">
      <c r="A201" s="9" t="inlineStr">
        <is>
          <t>qwen3.5</t>
        </is>
      </c>
      <c r="B201" s="9" t="inlineStr">
        <is>
          <t>b200</t>
        </is>
      </c>
      <c r="C201" s="9" t="inlineStr">
        <is>
          <t>short_chat</t>
        </is>
      </c>
      <c r="D201" s="9" t="inlineStr">
        <is>
          <t>qwen3.5</t>
        </is>
      </c>
      <c r="E201" s="9" t="n">
        <v>100</v>
      </c>
      <c r="F201" s="9" t="n">
        <v>1024</v>
      </c>
      <c r="G201" s="9" t="n">
        <v>1024</v>
      </c>
      <c r="H201" s="9" t="n">
        <v>60</v>
      </c>
      <c r="I201" s="9" t="n">
        <v>0</v>
      </c>
      <c r="J201" s="9" t="n">
        <v>0</v>
      </c>
      <c r="K201" s="11" t="inlineStr"/>
      <c r="L201" s="21" t="inlineStr"/>
      <c r="M201" s="9" t="inlineStr"/>
      <c r="N201" s="9" t="inlineStr"/>
      <c r="O201" s="9" t="inlineStr"/>
      <c r="P201" s="9" t="inlineStr">
        <is>
          <t>missing</t>
        </is>
      </c>
      <c r="Q201" s="9" t="inlineStr">
        <is>
          <t>no row meets target_tok_s_user</t>
        </is>
      </c>
      <c r="R201" s="9" t="inlineStr"/>
      <c r="S201" s="9" t="inlineStr">
        <is>
          <t>tok_s_user is computed as output_tok_s_gpu/concurrency when source tok_s_user is blank; agentic_derived uses long_chat rows multiplied by the Kimi K2.5 agentic/long ratio.</t>
        </is>
      </c>
    </row>
    <row r="202">
      <c r="A202" s="3" t="inlineStr">
        <is>
          <t>qwen3.5</t>
        </is>
      </c>
      <c r="B202" s="3" t="inlineStr">
        <is>
          <t>b200</t>
        </is>
      </c>
      <c r="C202" s="3" t="inlineStr">
        <is>
          <t>long_chat</t>
        </is>
      </c>
      <c r="D202" s="3" t="inlineStr">
        <is>
          <t>qwen3.5</t>
        </is>
      </c>
      <c r="E202" s="3" t="n">
        <v>10</v>
      </c>
      <c r="F202" s="3" t="n">
        <v>8192</v>
      </c>
      <c r="G202" s="3" t="n">
        <v>1024</v>
      </c>
      <c r="H202" s="3" t="n">
        <v>58</v>
      </c>
      <c r="I202" s="3" t="n">
        <v>38</v>
      </c>
      <c r="J202" s="3" t="n">
        <v>0</v>
      </c>
      <c r="K202" s="19" t="n">
        <v>345338</v>
      </c>
      <c r="L202" s="20" t="n">
        <v>11.71</v>
      </c>
      <c r="M202" s="3" t="n">
        <v>64</v>
      </c>
      <c r="N202" s="3" t="inlineStr">
        <is>
          <t>sglang</t>
        </is>
      </c>
      <c r="O202" s="3" t="inlineStr">
        <is>
          <t>fp8</t>
        </is>
      </c>
      <c r="P202" s="3" t="inlineStr">
        <is>
          <t>selected_public_max</t>
        </is>
      </c>
      <c r="Q202" s="3" t="inlineStr">
        <is>
          <t>public max among eligible rows</t>
        </is>
      </c>
      <c r="R202" s="3" t="inlineStr">
        <is>
          <t>2026-05-18T00:00:00.000Z</t>
        </is>
      </c>
      <c r="S202" s="3" t="inlineStr">
        <is>
          <t>tok_s_user is computed as output_tok_s_gpu/concurrency when source tok_s_user is blank; agentic_derived uses long_chat rows multiplied by the Kimi K2.5 agentic/long ratio.</t>
        </is>
      </c>
    </row>
    <row r="203">
      <c r="A203" s="3" t="inlineStr">
        <is>
          <t>qwen3.5</t>
        </is>
      </c>
      <c r="B203" s="3" t="inlineStr">
        <is>
          <t>b200</t>
        </is>
      </c>
      <c r="C203" s="3" t="inlineStr">
        <is>
          <t>long_chat</t>
        </is>
      </c>
      <c r="D203" s="3" t="inlineStr">
        <is>
          <t>qwen3.5</t>
        </is>
      </c>
      <c r="E203" s="3" t="n">
        <v>30</v>
      </c>
      <c r="F203" s="3" t="n">
        <v>8192</v>
      </c>
      <c r="G203" s="3" t="n">
        <v>1024</v>
      </c>
      <c r="H203" s="3" t="n">
        <v>58</v>
      </c>
      <c r="I203" s="3" t="n">
        <v>7</v>
      </c>
      <c r="J203" s="3" t="n">
        <v>0</v>
      </c>
      <c r="K203" s="19" t="n">
        <v>132868</v>
      </c>
      <c r="L203" s="20" t="n">
        <v>36.04</v>
      </c>
      <c r="M203" s="3" t="n">
        <v>8</v>
      </c>
      <c r="N203" s="3" t="inlineStr">
        <is>
          <t>sglang</t>
        </is>
      </c>
      <c r="O203" s="3" t="inlineStr">
        <is>
          <t>fp8</t>
        </is>
      </c>
      <c r="P203" s="3" t="inlineStr">
        <is>
          <t>selected_public_max</t>
        </is>
      </c>
      <c r="Q203" s="3" t="inlineStr">
        <is>
          <t>public max among eligible rows</t>
        </is>
      </c>
      <c r="R203" s="3" t="inlineStr">
        <is>
          <t>2026-05-18T00:00:00.000Z</t>
        </is>
      </c>
      <c r="S203" s="3" t="inlineStr">
        <is>
          <t>tok_s_user is computed as output_tok_s_gpu/concurrency when source tok_s_user is blank; agentic_derived uses long_chat rows multiplied by the Kimi K2.5 agentic/long ratio.</t>
        </is>
      </c>
    </row>
    <row r="204">
      <c r="A204" s="9" t="inlineStr">
        <is>
          <t>qwen3.5</t>
        </is>
      </c>
      <c r="B204" s="9" t="inlineStr">
        <is>
          <t>b200</t>
        </is>
      </c>
      <c r="C204" s="9" t="inlineStr">
        <is>
          <t>long_chat</t>
        </is>
      </c>
      <c r="D204" s="9" t="inlineStr">
        <is>
          <t>qwen3.5</t>
        </is>
      </c>
      <c r="E204" s="9" t="n">
        <v>50</v>
      </c>
      <c r="F204" s="9" t="n">
        <v>8192</v>
      </c>
      <c r="G204" s="9" t="n">
        <v>1024</v>
      </c>
      <c r="H204" s="9" t="n">
        <v>58</v>
      </c>
      <c r="I204" s="9" t="n">
        <v>0</v>
      </c>
      <c r="J204" s="9" t="n">
        <v>0</v>
      </c>
      <c r="K204" s="11" t="inlineStr"/>
      <c r="L204" s="21" t="inlineStr"/>
      <c r="M204" s="9" t="inlineStr"/>
      <c r="N204" s="9" t="inlineStr"/>
      <c r="O204" s="9" t="inlineStr"/>
      <c r="P204" s="9" t="inlineStr">
        <is>
          <t>missing</t>
        </is>
      </c>
      <c r="Q204" s="9" t="inlineStr">
        <is>
          <t>no row meets target_tok_s_user</t>
        </is>
      </c>
      <c r="R204" s="9" t="inlineStr"/>
      <c r="S204" s="9" t="inlineStr">
        <is>
          <t>tok_s_user is computed as output_tok_s_gpu/concurrency when source tok_s_user is blank; agentic_derived uses long_chat rows multiplied by the Kimi K2.5 agentic/long ratio.</t>
        </is>
      </c>
    </row>
    <row r="205">
      <c r="A205" s="9" t="inlineStr">
        <is>
          <t>qwen3.5</t>
        </is>
      </c>
      <c r="B205" s="9" t="inlineStr">
        <is>
          <t>b200</t>
        </is>
      </c>
      <c r="C205" s="9" t="inlineStr">
        <is>
          <t>long_chat</t>
        </is>
      </c>
      <c r="D205" s="9" t="inlineStr">
        <is>
          <t>qwen3.5</t>
        </is>
      </c>
      <c r="E205" s="9" t="n">
        <v>70</v>
      </c>
      <c r="F205" s="9" t="n">
        <v>8192</v>
      </c>
      <c r="G205" s="9" t="n">
        <v>1024</v>
      </c>
      <c r="H205" s="9" t="n">
        <v>58</v>
      </c>
      <c r="I205" s="9" t="n">
        <v>0</v>
      </c>
      <c r="J205" s="9" t="n">
        <v>0</v>
      </c>
      <c r="K205" s="11" t="inlineStr"/>
      <c r="L205" s="21" t="inlineStr"/>
      <c r="M205" s="9" t="inlineStr"/>
      <c r="N205" s="9" t="inlineStr"/>
      <c r="O205" s="9" t="inlineStr"/>
      <c r="P205" s="9" t="inlineStr">
        <is>
          <t>missing</t>
        </is>
      </c>
      <c r="Q205" s="9" t="inlineStr">
        <is>
          <t>no row meets target_tok_s_user</t>
        </is>
      </c>
      <c r="R205" s="9" t="inlineStr"/>
      <c r="S205" s="9" t="inlineStr">
        <is>
          <t>tok_s_user is computed as output_tok_s_gpu/concurrency when source tok_s_user is blank; agentic_derived uses long_chat rows multiplied by the Kimi K2.5 agentic/long ratio.</t>
        </is>
      </c>
    </row>
    <row r="206">
      <c r="A206" s="9" t="inlineStr">
        <is>
          <t>qwen3.5</t>
        </is>
      </c>
      <c r="B206" s="9" t="inlineStr">
        <is>
          <t>b200</t>
        </is>
      </c>
      <c r="C206" s="9" t="inlineStr">
        <is>
          <t>long_chat</t>
        </is>
      </c>
      <c r="D206" s="9" t="inlineStr">
        <is>
          <t>qwen3.5</t>
        </is>
      </c>
      <c r="E206" s="9" t="n">
        <v>100</v>
      </c>
      <c r="F206" s="9" t="n">
        <v>8192</v>
      </c>
      <c r="G206" s="9" t="n">
        <v>1024</v>
      </c>
      <c r="H206" s="9" t="n">
        <v>58</v>
      </c>
      <c r="I206" s="9" t="n">
        <v>0</v>
      </c>
      <c r="J206" s="9" t="n">
        <v>0</v>
      </c>
      <c r="K206" s="11" t="inlineStr"/>
      <c r="L206" s="21" t="inlineStr"/>
      <c r="M206" s="9" t="inlineStr"/>
      <c r="N206" s="9" t="inlineStr"/>
      <c r="O206" s="9" t="inlineStr"/>
      <c r="P206" s="9" t="inlineStr">
        <is>
          <t>missing</t>
        </is>
      </c>
      <c r="Q206" s="9" t="inlineStr">
        <is>
          <t>no row meets target_tok_s_user</t>
        </is>
      </c>
      <c r="R206" s="9" t="inlineStr"/>
      <c r="S206" s="9" t="inlineStr">
        <is>
          <t>tok_s_user is computed as output_tok_s_gpu/concurrency when source tok_s_user is blank; agentic_derived uses long_chat rows multiplied by the Kimi K2.5 agentic/long ratio.</t>
        </is>
      </c>
    </row>
    <row r="207">
      <c r="A207" s="9" t="inlineStr">
        <is>
          <t>qwen3.5</t>
        </is>
      </c>
      <c r="B207" s="9" t="inlineStr">
        <is>
          <t>b200</t>
        </is>
      </c>
      <c r="C207" s="9" t="inlineStr">
        <is>
          <t>agentic_derived</t>
        </is>
      </c>
      <c r="D207" s="9" t="inlineStr">
        <is>
          <t>qwen3.5</t>
        </is>
      </c>
      <c r="E207" s="9" t="n">
        <v>10</v>
      </c>
      <c r="F207" s="9" t="n">
        <v>100947</v>
      </c>
      <c r="G207" s="9" t="n">
        <v>860</v>
      </c>
      <c r="H207" s="9" t="n">
        <v>58</v>
      </c>
      <c r="I207" s="9" t="n">
        <v>0</v>
      </c>
      <c r="J207" s="9" t="n">
        <v>0</v>
      </c>
      <c r="K207" s="11" t="inlineStr"/>
      <c r="L207" s="21" t="inlineStr"/>
      <c r="M207" s="9" t="inlineStr"/>
      <c r="N207" s="9" t="inlineStr"/>
      <c r="O207" s="9" t="inlineStr"/>
      <c r="P207" s="9" t="inlineStr">
        <is>
          <t>missing</t>
        </is>
      </c>
      <c r="Q207" s="9" t="inlineStr">
        <is>
          <t>no row meets target_tok_s_user</t>
        </is>
      </c>
      <c r="R207" s="9" t="inlineStr"/>
      <c r="S207" s="9" t="inlineStr">
        <is>
          <t>tok_s_user is computed as output_tok_s_gpu/concurrency when source tok_s_user is blank; agentic_derived uses long_chat rows multiplied by the Kimi K2.5 agentic/long ratio.</t>
        </is>
      </c>
    </row>
    <row r="208">
      <c r="A208" s="9" t="inlineStr">
        <is>
          <t>qwen3.5</t>
        </is>
      </c>
      <c r="B208" s="9" t="inlineStr">
        <is>
          <t>b200</t>
        </is>
      </c>
      <c r="C208" s="9" t="inlineStr">
        <is>
          <t>agentic_derived</t>
        </is>
      </c>
      <c r="D208" s="9" t="inlineStr">
        <is>
          <t>qwen3.5</t>
        </is>
      </c>
      <c r="E208" s="9" t="n">
        <v>30</v>
      </c>
      <c r="F208" s="9" t="n">
        <v>100947</v>
      </c>
      <c r="G208" s="9" t="n">
        <v>860</v>
      </c>
      <c r="H208" s="9" t="n">
        <v>58</v>
      </c>
      <c r="I208" s="9" t="n">
        <v>0</v>
      </c>
      <c r="J208" s="9" t="n">
        <v>0</v>
      </c>
      <c r="K208" s="11" t="inlineStr"/>
      <c r="L208" s="21" t="inlineStr"/>
      <c r="M208" s="9" t="inlineStr"/>
      <c r="N208" s="9" t="inlineStr"/>
      <c r="O208" s="9" t="inlineStr"/>
      <c r="P208" s="9" t="inlineStr">
        <is>
          <t>missing</t>
        </is>
      </c>
      <c r="Q208" s="9" t="inlineStr">
        <is>
          <t>no row meets target_tok_s_user</t>
        </is>
      </c>
      <c r="R208" s="9" t="inlineStr"/>
      <c r="S208" s="9" t="inlineStr">
        <is>
          <t>tok_s_user is computed as output_tok_s_gpu/concurrency when source tok_s_user is blank; agentic_derived uses long_chat rows multiplied by the Kimi K2.5 agentic/long ratio.</t>
        </is>
      </c>
    </row>
    <row r="209">
      <c r="A209" s="9" t="inlineStr">
        <is>
          <t>qwen3.5</t>
        </is>
      </c>
      <c r="B209" s="9" t="inlineStr">
        <is>
          <t>b200</t>
        </is>
      </c>
      <c r="C209" s="9" t="inlineStr">
        <is>
          <t>agentic_derived</t>
        </is>
      </c>
      <c r="D209" s="9" t="inlineStr">
        <is>
          <t>qwen3.5</t>
        </is>
      </c>
      <c r="E209" s="9" t="n">
        <v>50</v>
      </c>
      <c r="F209" s="9" t="n">
        <v>100947</v>
      </c>
      <c r="G209" s="9" t="n">
        <v>860</v>
      </c>
      <c r="H209" s="9" t="n">
        <v>58</v>
      </c>
      <c r="I209" s="9" t="n">
        <v>0</v>
      </c>
      <c r="J209" s="9" t="n">
        <v>0</v>
      </c>
      <c r="K209" s="11" t="inlineStr"/>
      <c r="L209" s="21" t="inlineStr"/>
      <c r="M209" s="9" t="inlineStr"/>
      <c r="N209" s="9" t="inlineStr"/>
      <c r="O209" s="9" t="inlineStr"/>
      <c r="P209" s="9" t="inlineStr">
        <is>
          <t>missing</t>
        </is>
      </c>
      <c r="Q209" s="9" t="inlineStr">
        <is>
          <t>no row meets target_tok_s_user</t>
        </is>
      </c>
      <c r="R209" s="9" t="inlineStr"/>
      <c r="S209" s="9" t="inlineStr">
        <is>
          <t>tok_s_user is computed as output_tok_s_gpu/concurrency when source tok_s_user is blank; agentic_derived uses long_chat rows multiplied by the Kimi K2.5 agentic/long ratio.</t>
        </is>
      </c>
    </row>
    <row r="210">
      <c r="A210" s="9" t="inlineStr">
        <is>
          <t>qwen3.5</t>
        </is>
      </c>
      <c r="B210" s="9" t="inlineStr">
        <is>
          <t>b200</t>
        </is>
      </c>
      <c r="C210" s="9" t="inlineStr">
        <is>
          <t>agentic_derived</t>
        </is>
      </c>
      <c r="D210" s="9" t="inlineStr">
        <is>
          <t>qwen3.5</t>
        </is>
      </c>
      <c r="E210" s="9" t="n">
        <v>70</v>
      </c>
      <c r="F210" s="9" t="n">
        <v>100947</v>
      </c>
      <c r="G210" s="9" t="n">
        <v>860</v>
      </c>
      <c r="H210" s="9" t="n">
        <v>58</v>
      </c>
      <c r="I210" s="9" t="n">
        <v>0</v>
      </c>
      <c r="J210" s="9" t="n">
        <v>0</v>
      </c>
      <c r="K210" s="11" t="inlineStr"/>
      <c r="L210" s="21" t="inlineStr"/>
      <c r="M210" s="9" t="inlineStr"/>
      <c r="N210" s="9" t="inlineStr"/>
      <c r="O210" s="9" t="inlineStr"/>
      <c r="P210" s="9" t="inlineStr">
        <is>
          <t>missing</t>
        </is>
      </c>
      <c r="Q210" s="9" t="inlineStr">
        <is>
          <t>no row meets target_tok_s_user</t>
        </is>
      </c>
      <c r="R210" s="9" t="inlineStr"/>
      <c r="S210" s="9" t="inlineStr">
        <is>
          <t>tok_s_user is computed as output_tok_s_gpu/concurrency when source tok_s_user is blank; agentic_derived uses long_chat rows multiplied by the Kimi K2.5 agentic/long ratio.</t>
        </is>
      </c>
    </row>
    <row r="211">
      <c r="A211" s="9" t="inlineStr">
        <is>
          <t>qwen3.5</t>
        </is>
      </c>
      <c r="B211" s="9" t="inlineStr">
        <is>
          <t>b200</t>
        </is>
      </c>
      <c r="C211" s="9" t="inlineStr">
        <is>
          <t>agentic_derived</t>
        </is>
      </c>
      <c r="D211" s="9" t="inlineStr">
        <is>
          <t>qwen3.5</t>
        </is>
      </c>
      <c r="E211" s="9" t="n">
        <v>100</v>
      </c>
      <c r="F211" s="9" t="n">
        <v>100947</v>
      </c>
      <c r="G211" s="9" t="n">
        <v>860</v>
      </c>
      <c r="H211" s="9" t="n">
        <v>58</v>
      </c>
      <c r="I211" s="9" t="n">
        <v>0</v>
      </c>
      <c r="J211" s="9" t="n">
        <v>0</v>
      </c>
      <c r="K211" s="11" t="inlineStr"/>
      <c r="L211" s="21" t="inlineStr"/>
      <c r="M211" s="9" t="inlineStr"/>
      <c r="N211" s="9" t="inlineStr"/>
      <c r="O211" s="9" t="inlineStr"/>
      <c r="P211" s="9" t="inlineStr">
        <is>
          <t>missing</t>
        </is>
      </c>
      <c r="Q211" s="9" t="inlineStr">
        <is>
          <t>no row meets target_tok_s_user</t>
        </is>
      </c>
      <c r="R211" s="9" t="inlineStr"/>
      <c r="S211" s="9" t="inlineStr">
        <is>
          <t>tok_s_user is computed as output_tok_s_gpu/concurrency when source tok_s_user is blank; agentic_derived uses long_chat rows multiplied by the Kimi K2.5 agentic/long ratio.</t>
        </is>
      </c>
    </row>
    <row r="212">
      <c r="A212" s="9" t="inlineStr">
        <is>
          <t>qwen3.5</t>
        </is>
      </c>
      <c r="B212" s="9" t="inlineStr">
        <is>
          <t>gb200</t>
        </is>
      </c>
      <c r="C212" s="9" t="inlineStr">
        <is>
          <t>short_chat</t>
        </is>
      </c>
      <c r="D212" s="9" t="inlineStr">
        <is>
          <t>qwen3.5</t>
        </is>
      </c>
      <c r="E212" s="9" t="n">
        <v>10</v>
      </c>
      <c r="F212" s="9" t="n">
        <v>1024</v>
      </c>
      <c r="G212" s="9" t="n">
        <v>1024</v>
      </c>
      <c r="H212" s="9" t="n">
        <v>0</v>
      </c>
      <c r="I212" s="9" t="n">
        <v>0</v>
      </c>
      <c r="J212" s="9" t="n">
        <v>0</v>
      </c>
      <c r="K212" s="11" t="inlineStr"/>
      <c r="L212" s="21" t="inlineStr"/>
      <c r="M212" s="9" t="inlineStr"/>
      <c r="N212" s="9" t="inlineStr"/>
      <c r="O212" s="9" t="inlineStr"/>
      <c r="P212" s="9" t="inlineStr">
        <is>
          <t>missing</t>
        </is>
      </c>
      <c r="Q212" s="9" t="inlineStr">
        <is>
          <t>no row meets target_tok_s_user</t>
        </is>
      </c>
      <c r="R212" s="9" t="inlineStr"/>
      <c r="S212" s="9" t="inlineStr">
        <is>
          <t>tok_s_user is computed as output_tok_s_gpu/concurrency when source tok_s_user is blank; agentic_derived uses long_chat rows multiplied by the Kimi K2.5 agentic/long ratio.</t>
        </is>
      </c>
    </row>
    <row r="213">
      <c r="A213" s="9" t="inlineStr">
        <is>
          <t>qwen3.5</t>
        </is>
      </c>
      <c r="B213" s="9" t="inlineStr">
        <is>
          <t>gb200</t>
        </is>
      </c>
      <c r="C213" s="9" t="inlineStr">
        <is>
          <t>short_chat</t>
        </is>
      </c>
      <c r="D213" s="9" t="inlineStr">
        <is>
          <t>qwen3.5</t>
        </is>
      </c>
      <c r="E213" s="9" t="n">
        <v>30</v>
      </c>
      <c r="F213" s="9" t="n">
        <v>1024</v>
      </c>
      <c r="G213" s="9" t="n">
        <v>1024</v>
      </c>
      <c r="H213" s="9" t="n">
        <v>0</v>
      </c>
      <c r="I213" s="9" t="n">
        <v>0</v>
      </c>
      <c r="J213" s="9" t="n">
        <v>0</v>
      </c>
      <c r="K213" s="11" t="inlineStr"/>
      <c r="L213" s="21" t="inlineStr"/>
      <c r="M213" s="9" t="inlineStr"/>
      <c r="N213" s="9" t="inlineStr"/>
      <c r="O213" s="9" t="inlineStr"/>
      <c r="P213" s="9" t="inlineStr">
        <is>
          <t>missing</t>
        </is>
      </c>
      <c r="Q213" s="9" t="inlineStr">
        <is>
          <t>no row meets target_tok_s_user</t>
        </is>
      </c>
      <c r="R213" s="9" t="inlineStr"/>
      <c r="S213" s="9" t="inlineStr">
        <is>
          <t>tok_s_user is computed as output_tok_s_gpu/concurrency when source tok_s_user is blank; agentic_derived uses long_chat rows multiplied by the Kimi K2.5 agentic/long ratio.</t>
        </is>
      </c>
    </row>
    <row r="214">
      <c r="A214" s="9" t="inlineStr">
        <is>
          <t>qwen3.5</t>
        </is>
      </c>
      <c r="B214" s="9" t="inlineStr">
        <is>
          <t>gb200</t>
        </is>
      </c>
      <c r="C214" s="9" t="inlineStr">
        <is>
          <t>short_chat</t>
        </is>
      </c>
      <c r="D214" s="9" t="inlineStr">
        <is>
          <t>qwen3.5</t>
        </is>
      </c>
      <c r="E214" s="9" t="n">
        <v>50</v>
      </c>
      <c r="F214" s="9" t="n">
        <v>1024</v>
      </c>
      <c r="G214" s="9" t="n">
        <v>1024</v>
      </c>
      <c r="H214" s="9" t="n">
        <v>0</v>
      </c>
      <c r="I214" s="9" t="n">
        <v>0</v>
      </c>
      <c r="J214" s="9" t="n">
        <v>0</v>
      </c>
      <c r="K214" s="11" t="inlineStr"/>
      <c r="L214" s="21" t="inlineStr"/>
      <c r="M214" s="9" t="inlineStr"/>
      <c r="N214" s="9" t="inlineStr"/>
      <c r="O214" s="9" t="inlineStr"/>
      <c r="P214" s="9" t="inlineStr">
        <is>
          <t>missing</t>
        </is>
      </c>
      <c r="Q214" s="9" t="inlineStr">
        <is>
          <t>no row meets target_tok_s_user</t>
        </is>
      </c>
      <c r="R214" s="9" t="inlineStr"/>
      <c r="S214" s="9" t="inlineStr">
        <is>
          <t>tok_s_user is computed as output_tok_s_gpu/concurrency when source tok_s_user is blank; agentic_derived uses long_chat rows multiplied by the Kimi K2.5 agentic/long ratio.</t>
        </is>
      </c>
    </row>
    <row r="215">
      <c r="A215" s="9" t="inlineStr">
        <is>
          <t>qwen3.5</t>
        </is>
      </c>
      <c r="B215" s="9" t="inlineStr">
        <is>
          <t>gb200</t>
        </is>
      </c>
      <c r="C215" s="9" t="inlineStr">
        <is>
          <t>short_chat</t>
        </is>
      </c>
      <c r="D215" s="9" t="inlineStr">
        <is>
          <t>qwen3.5</t>
        </is>
      </c>
      <c r="E215" s="9" t="n">
        <v>70</v>
      </c>
      <c r="F215" s="9" t="n">
        <v>1024</v>
      </c>
      <c r="G215" s="9" t="n">
        <v>1024</v>
      </c>
      <c r="H215" s="9" t="n">
        <v>0</v>
      </c>
      <c r="I215" s="9" t="n">
        <v>0</v>
      </c>
      <c r="J215" s="9" t="n">
        <v>0</v>
      </c>
      <c r="K215" s="11" t="inlineStr"/>
      <c r="L215" s="21" t="inlineStr"/>
      <c r="M215" s="9" t="inlineStr"/>
      <c r="N215" s="9" t="inlineStr"/>
      <c r="O215" s="9" t="inlineStr"/>
      <c r="P215" s="9" t="inlineStr">
        <is>
          <t>missing</t>
        </is>
      </c>
      <c r="Q215" s="9" t="inlineStr">
        <is>
          <t>no row meets target_tok_s_user</t>
        </is>
      </c>
      <c r="R215" s="9" t="inlineStr"/>
      <c r="S215" s="9" t="inlineStr">
        <is>
          <t>tok_s_user is computed as output_tok_s_gpu/concurrency when source tok_s_user is blank; agentic_derived uses long_chat rows multiplied by the Kimi K2.5 agentic/long ratio.</t>
        </is>
      </c>
    </row>
    <row r="216">
      <c r="A216" s="9" t="inlineStr">
        <is>
          <t>qwen3.5</t>
        </is>
      </c>
      <c r="B216" s="9" t="inlineStr">
        <is>
          <t>gb200</t>
        </is>
      </c>
      <c r="C216" s="9" t="inlineStr">
        <is>
          <t>short_chat</t>
        </is>
      </c>
      <c r="D216" s="9" t="inlineStr">
        <is>
          <t>qwen3.5</t>
        </is>
      </c>
      <c r="E216" s="9" t="n">
        <v>100</v>
      </c>
      <c r="F216" s="9" t="n">
        <v>1024</v>
      </c>
      <c r="G216" s="9" t="n">
        <v>1024</v>
      </c>
      <c r="H216" s="9" t="n">
        <v>0</v>
      </c>
      <c r="I216" s="9" t="n">
        <v>0</v>
      </c>
      <c r="J216" s="9" t="n">
        <v>0</v>
      </c>
      <c r="K216" s="11" t="inlineStr"/>
      <c r="L216" s="21" t="inlineStr"/>
      <c r="M216" s="9" t="inlineStr"/>
      <c r="N216" s="9" t="inlineStr"/>
      <c r="O216" s="9" t="inlineStr"/>
      <c r="P216" s="9" t="inlineStr">
        <is>
          <t>missing</t>
        </is>
      </c>
      <c r="Q216" s="9" t="inlineStr">
        <is>
          <t>no row meets target_tok_s_user</t>
        </is>
      </c>
      <c r="R216" s="9" t="inlineStr"/>
      <c r="S216" s="9" t="inlineStr">
        <is>
          <t>tok_s_user is computed as output_tok_s_gpu/concurrency when source tok_s_user is blank; agentic_derived uses long_chat rows multiplied by the Kimi K2.5 agentic/long ratio.</t>
        </is>
      </c>
    </row>
    <row r="217">
      <c r="A217" s="9" t="inlineStr">
        <is>
          <t>qwen3.5</t>
        </is>
      </c>
      <c r="B217" s="9" t="inlineStr">
        <is>
          <t>gb200</t>
        </is>
      </c>
      <c r="C217" s="9" t="inlineStr">
        <is>
          <t>long_chat</t>
        </is>
      </c>
      <c r="D217" s="9" t="inlineStr">
        <is>
          <t>qwen3.5</t>
        </is>
      </c>
      <c r="E217" s="9" t="n">
        <v>10</v>
      </c>
      <c r="F217" s="9" t="n">
        <v>8192</v>
      </c>
      <c r="G217" s="9" t="n">
        <v>1024</v>
      </c>
      <c r="H217" s="9" t="n">
        <v>0</v>
      </c>
      <c r="I217" s="9" t="n">
        <v>0</v>
      </c>
      <c r="J217" s="9" t="n">
        <v>0</v>
      </c>
      <c r="K217" s="11" t="inlineStr"/>
      <c r="L217" s="21" t="inlineStr"/>
      <c r="M217" s="9" t="inlineStr"/>
      <c r="N217" s="9" t="inlineStr"/>
      <c r="O217" s="9" t="inlineStr"/>
      <c r="P217" s="9" t="inlineStr">
        <is>
          <t>missing</t>
        </is>
      </c>
      <c r="Q217" s="9" t="inlineStr">
        <is>
          <t>no row meets target_tok_s_user</t>
        </is>
      </c>
      <c r="R217" s="9" t="inlineStr"/>
      <c r="S217" s="9" t="inlineStr">
        <is>
          <t>tok_s_user is computed as output_tok_s_gpu/concurrency when source tok_s_user is blank; agentic_derived uses long_chat rows multiplied by the Kimi K2.5 agentic/long ratio.</t>
        </is>
      </c>
    </row>
    <row r="218">
      <c r="A218" s="9" t="inlineStr">
        <is>
          <t>qwen3.5</t>
        </is>
      </c>
      <c r="B218" s="9" t="inlineStr">
        <is>
          <t>gb200</t>
        </is>
      </c>
      <c r="C218" s="9" t="inlineStr">
        <is>
          <t>long_chat</t>
        </is>
      </c>
      <c r="D218" s="9" t="inlineStr">
        <is>
          <t>qwen3.5</t>
        </is>
      </c>
      <c r="E218" s="9" t="n">
        <v>30</v>
      </c>
      <c r="F218" s="9" t="n">
        <v>8192</v>
      </c>
      <c r="G218" s="9" t="n">
        <v>1024</v>
      </c>
      <c r="H218" s="9" t="n">
        <v>0</v>
      </c>
      <c r="I218" s="9" t="n">
        <v>0</v>
      </c>
      <c r="J218" s="9" t="n">
        <v>0</v>
      </c>
      <c r="K218" s="11" t="inlineStr"/>
      <c r="L218" s="21" t="inlineStr"/>
      <c r="M218" s="9" t="inlineStr"/>
      <c r="N218" s="9" t="inlineStr"/>
      <c r="O218" s="9" t="inlineStr"/>
      <c r="P218" s="9" t="inlineStr">
        <is>
          <t>missing</t>
        </is>
      </c>
      <c r="Q218" s="9" t="inlineStr">
        <is>
          <t>no row meets target_tok_s_user</t>
        </is>
      </c>
      <c r="R218" s="9" t="inlineStr"/>
      <c r="S218" s="9" t="inlineStr">
        <is>
          <t>tok_s_user is computed as output_tok_s_gpu/concurrency when source tok_s_user is blank; agentic_derived uses long_chat rows multiplied by the Kimi K2.5 agentic/long ratio.</t>
        </is>
      </c>
    </row>
    <row r="219">
      <c r="A219" s="9" t="inlineStr">
        <is>
          <t>qwen3.5</t>
        </is>
      </c>
      <c r="B219" s="9" t="inlineStr">
        <is>
          <t>gb200</t>
        </is>
      </c>
      <c r="C219" s="9" t="inlineStr">
        <is>
          <t>long_chat</t>
        </is>
      </c>
      <c r="D219" s="9" t="inlineStr">
        <is>
          <t>qwen3.5</t>
        </is>
      </c>
      <c r="E219" s="9" t="n">
        <v>50</v>
      </c>
      <c r="F219" s="9" t="n">
        <v>8192</v>
      </c>
      <c r="G219" s="9" t="n">
        <v>1024</v>
      </c>
      <c r="H219" s="9" t="n">
        <v>0</v>
      </c>
      <c r="I219" s="9" t="n">
        <v>0</v>
      </c>
      <c r="J219" s="9" t="n">
        <v>0</v>
      </c>
      <c r="K219" s="11" t="inlineStr"/>
      <c r="L219" s="21" t="inlineStr"/>
      <c r="M219" s="9" t="inlineStr"/>
      <c r="N219" s="9" t="inlineStr"/>
      <c r="O219" s="9" t="inlineStr"/>
      <c r="P219" s="9" t="inlineStr">
        <is>
          <t>missing</t>
        </is>
      </c>
      <c r="Q219" s="9" t="inlineStr">
        <is>
          <t>no row meets target_tok_s_user</t>
        </is>
      </c>
      <c r="R219" s="9" t="inlineStr"/>
      <c r="S219" s="9" t="inlineStr">
        <is>
          <t>tok_s_user is computed as output_tok_s_gpu/concurrency when source tok_s_user is blank; agentic_derived uses long_chat rows multiplied by the Kimi K2.5 agentic/long ratio.</t>
        </is>
      </c>
    </row>
    <row r="220">
      <c r="A220" s="9" t="inlineStr">
        <is>
          <t>qwen3.5</t>
        </is>
      </c>
      <c r="B220" s="9" t="inlineStr">
        <is>
          <t>gb200</t>
        </is>
      </c>
      <c r="C220" s="9" t="inlineStr">
        <is>
          <t>long_chat</t>
        </is>
      </c>
      <c r="D220" s="9" t="inlineStr">
        <is>
          <t>qwen3.5</t>
        </is>
      </c>
      <c r="E220" s="9" t="n">
        <v>70</v>
      </c>
      <c r="F220" s="9" t="n">
        <v>8192</v>
      </c>
      <c r="G220" s="9" t="n">
        <v>1024</v>
      </c>
      <c r="H220" s="9" t="n">
        <v>0</v>
      </c>
      <c r="I220" s="9" t="n">
        <v>0</v>
      </c>
      <c r="J220" s="9" t="n">
        <v>0</v>
      </c>
      <c r="K220" s="11" t="inlineStr"/>
      <c r="L220" s="21" t="inlineStr"/>
      <c r="M220" s="9" t="inlineStr"/>
      <c r="N220" s="9" t="inlineStr"/>
      <c r="O220" s="9" t="inlineStr"/>
      <c r="P220" s="9" t="inlineStr">
        <is>
          <t>missing</t>
        </is>
      </c>
      <c r="Q220" s="9" t="inlineStr">
        <is>
          <t>no row meets target_tok_s_user</t>
        </is>
      </c>
      <c r="R220" s="9" t="inlineStr"/>
      <c r="S220" s="9" t="inlineStr">
        <is>
          <t>tok_s_user is computed as output_tok_s_gpu/concurrency when source tok_s_user is blank; agentic_derived uses long_chat rows multiplied by the Kimi K2.5 agentic/long ratio.</t>
        </is>
      </c>
    </row>
    <row r="221">
      <c r="A221" s="9" t="inlineStr">
        <is>
          <t>qwen3.5</t>
        </is>
      </c>
      <c r="B221" s="9" t="inlineStr">
        <is>
          <t>gb200</t>
        </is>
      </c>
      <c r="C221" s="9" t="inlineStr">
        <is>
          <t>long_chat</t>
        </is>
      </c>
      <c r="D221" s="9" t="inlineStr">
        <is>
          <t>qwen3.5</t>
        </is>
      </c>
      <c r="E221" s="9" t="n">
        <v>100</v>
      </c>
      <c r="F221" s="9" t="n">
        <v>8192</v>
      </c>
      <c r="G221" s="9" t="n">
        <v>1024</v>
      </c>
      <c r="H221" s="9" t="n">
        <v>0</v>
      </c>
      <c r="I221" s="9" t="n">
        <v>0</v>
      </c>
      <c r="J221" s="9" t="n">
        <v>0</v>
      </c>
      <c r="K221" s="11" t="inlineStr"/>
      <c r="L221" s="21" t="inlineStr"/>
      <c r="M221" s="9" t="inlineStr"/>
      <c r="N221" s="9" t="inlineStr"/>
      <c r="O221" s="9" t="inlineStr"/>
      <c r="P221" s="9" t="inlineStr">
        <is>
          <t>missing</t>
        </is>
      </c>
      <c r="Q221" s="9" t="inlineStr">
        <is>
          <t>no row meets target_tok_s_user</t>
        </is>
      </c>
      <c r="R221" s="9" t="inlineStr"/>
      <c r="S221" s="9" t="inlineStr">
        <is>
          <t>tok_s_user is computed as output_tok_s_gpu/concurrency when source tok_s_user is blank; agentic_derived uses long_chat rows multiplied by the Kimi K2.5 agentic/long ratio.</t>
        </is>
      </c>
    </row>
    <row r="222">
      <c r="A222" s="9" t="inlineStr">
        <is>
          <t>qwen3.5</t>
        </is>
      </c>
      <c r="B222" s="9" t="inlineStr">
        <is>
          <t>gb200</t>
        </is>
      </c>
      <c r="C222" s="9" t="inlineStr">
        <is>
          <t>agentic_derived</t>
        </is>
      </c>
      <c r="D222" s="9" t="inlineStr">
        <is>
          <t>qwen3.5</t>
        </is>
      </c>
      <c r="E222" s="9" t="n">
        <v>10</v>
      </c>
      <c r="F222" s="9" t="n">
        <v>100947</v>
      </c>
      <c r="G222" s="9" t="n">
        <v>860</v>
      </c>
      <c r="H222" s="9" t="n">
        <v>0</v>
      </c>
      <c r="I222" s="9" t="n">
        <v>0</v>
      </c>
      <c r="J222" s="9" t="n">
        <v>0</v>
      </c>
      <c r="K222" s="11" t="inlineStr"/>
      <c r="L222" s="21" t="inlineStr"/>
      <c r="M222" s="9" t="inlineStr"/>
      <c r="N222" s="9" t="inlineStr"/>
      <c r="O222" s="9" t="inlineStr"/>
      <c r="P222" s="9" t="inlineStr">
        <is>
          <t>missing</t>
        </is>
      </c>
      <c r="Q222" s="9" t="inlineStr">
        <is>
          <t>no row meets target_tok_s_user</t>
        </is>
      </c>
      <c r="R222" s="9" t="inlineStr"/>
      <c r="S222" s="9" t="inlineStr">
        <is>
          <t>tok_s_user is computed as output_tok_s_gpu/concurrency when source tok_s_user is blank; agentic_derived uses long_chat rows multiplied by the Kimi K2.5 agentic/long ratio.</t>
        </is>
      </c>
    </row>
    <row r="223">
      <c r="A223" s="9" t="inlineStr">
        <is>
          <t>qwen3.5</t>
        </is>
      </c>
      <c r="B223" s="9" t="inlineStr">
        <is>
          <t>gb200</t>
        </is>
      </c>
      <c r="C223" s="9" t="inlineStr">
        <is>
          <t>agentic_derived</t>
        </is>
      </c>
      <c r="D223" s="9" t="inlineStr">
        <is>
          <t>qwen3.5</t>
        </is>
      </c>
      <c r="E223" s="9" t="n">
        <v>30</v>
      </c>
      <c r="F223" s="9" t="n">
        <v>100947</v>
      </c>
      <c r="G223" s="9" t="n">
        <v>860</v>
      </c>
      <c r="H223" s="9" t="n">
        <v>0</v>
      </c>
      <c r="I223" s="9" t="n">
        <v>0</v>
      </c>
      <c r="J223" s="9" t="n">
        <v>0</v>
      </c>
      <c r="K223" s="11" t="inlineStr"/>
      <c r="L223" s="21" t="inlineStr"/>
      <c r="M223" s="9" t="inlineStr"/>
      <c r="N223" s="9" t="inlineStr"/>
      <c r="O223" s="9" t="inlineStr"/>
      <c r="P223" s="9" t="inlineStr">
        <is>
          <t>missing</t>
        </is>
      </c>
      <c r="Q223" s="9" t="inlineStr">
        <is>
          <t>no row meets target_tok_s_user</t>
        </is>
      </c>
      <c r="R223" s="9" t="inlineStr"/>
      <c r="S223" s="9" t="inlineStr">
        <is>
          <t>tok_s_user is computed as output_tok_s_gpu/concurrency when source tok_s_user is blank; agentic_derived uses long_chat rows multiplied by the Kimi K2.5 agentic/long ratio.</t>
        </is>
      </c>
    </row>
    <row r="224">
      <c r="A224" s="9" t="inlineStr">
        <is>
          <t>qwen3.5</t>
        </is>
      </c>
      <c r="B224" s="9" t="inlineStr">
        <is>
          <t>gb200</t>
        </is>
      </c>
      <c r="C224" s="9" t="inlineStr">
        <is>
          <t>agentic_derived</t>
        </is>
      </c>
      <c r="D224" s="9" t="inlineStr">
        <is>
          <t>qwen3.5</t>
        </is>
      </c>
      <c r="E224" s="9" t="n">
        <v>50</v>
      </c>
      <c r="F224" s="9" t="n">
        <v>100947</v>
      </c>
      <c r="G224" s="9" t="n">
        <v>860</v>
      </c>
      <c r="H224" s="9" t="n">
        <v>0</v>
      </c>
      <c r="I224" s="9" t="n">
        <v>0</v>
      </c>
      <c r="J224" s="9" t="n">
        <v>0</v>
      </c>
      <c r="K224" s="11" t="inlineStr"/>
      <c r="L224" s="21" t="inlineStr"/>
      <c r="M224" s="9" t="inlineStr"/>
      <c r="N224" s="9" t="inlineStr"/>
      <c r="O224" s="9" t="inlineStr"/>
      <c r="P224" s="9" t="inlineStr">
        <is>
          <t>missing</t>
        </is>
      </c>
      <c r="Q224" s="9" t="inlineStr">
        <is>
          <t>no row meets target_tok_s_user</t>
        </is>
      </c>
      <c r="R224" s="9" t="inlineStr"/>
      <c r="S224" s="9" t="inlineStr">
        <is>
          <t>tok_s_user is computed as output_tok_s_gpu/concurrency when source tok_s_user is blank; agentic_derived uses long_chat rows multiplied by the Kimi K2.5 agentic/long ratio.</t>
        </is>
      </c>
    </row>
    <row r="225">
      <c r="A225" s="9" t="inlineStr">
        <is>
          <t>qwen3.5</t>
        </is>
      </c>
      <c r="B225" s="9" t="inlineStr">
        <is>
          <t>gb200</t>
        </is>
      </c>
      <c r="C225" s="9" t="inlineStr">
        <is>
          <t>agentic_derived</t>
        </is>
      </c>
      <c r="D225" s="9" t="inlineStr">
        <is>
          <t>qwen3.5</t>
        </is>
      </c>
      <c r="E225" s="9" t="n">
        <v>70</v>
      </c>
      <c r="F225" s="9" t="n">
        <v>100947</v>
      </c>
      <c r="G225" s="9" t="n">
        <v>860</v>
      </c>
      <c r="H225" s="9" t="n">
        <v>0</v>
      </c>
      <c r="I225" s="9" t="n">
        <v>0</v>
      </c>
      <c r="J225" s="9" t="n">
        <v>0</v>
      </c>
      <c r="K225" s="11" t="inlineStr"/>
      <c r="L225" s="21" t="inlineStr"/>
      <c r="M225" s="9" t="inlineStr"/>
      <c r="N225" s="9" t="inlineStr"/>
      <c r="O225" s="9" t="inlineStr"/>
      <c r="P225" s="9" t="inlineStr">
        <is>
          <t>missing</t>
        </is>
      </c>
      <c r="Q225" s="9" t="inlineStr">
        <is>
          <t>no row meets target_tok_s_user</t>
        </is>
      </c>
      <c r="R225" s="9" t="inlineStr"/>
      <c r="S225" s="9" t="inlineStr">
        <is>
          <t>tok_s_user is computed as output_tok_s_gpu/concurrency when source tok_s_user is blank; agentic_derived uses long_chat rows multiplied by the Kimi K2.5 agentic/long ratio.</t>
        </is>
      </c>
    </row>
    <row r="226">
      <c r="A226" s="9" t="inlineStr">
        <is>
          <t>qwen3.5</t>
        </is>
      </c>
      <c r="B226" s="9" t="inlineStr">
        <is>
          <t>gb200</t>
        </is>
      </c>
      <c r="C226" s="9" t="inlineStr">
        <is>
          <t>agentic_derived</t>
        </is>
      </c>
      <c r="D226" s="9" t="inlineStr">
        <is>
          <t>qwen3.5</t>
        </is>
      </c>
      <c r="E226" s="9" t="n">
        <v>100</v>
      </c>
      <c r="F226" s="9" t="n">
        <v>100947</v>
      </c>
      <c r="G226" s="9" t="n">
        <v>860</v>
      </c>
      <c r="H226" s="9" t="n">
        <v>0</v>
      </c>
      <c r="I226" s="9" t="n">
        <v>0</v>
      </c>
      <c r="J226" s="9" t="n">
        <v>0</v>
      </c>
      <c r="K226" s="11" t="inlineStr"/>
      <c r="L226" s="21" t="inlineStr"/>
      <c r="M226" s="9" t="inlineStr"/>
      <c r="N226" s="9" t="inlineStr"/>
      <c r="O226" s="9" t="inlineStr"/>
      <c r="P226" s="9" t="inlineStr">
        <is>
          <t>missing</t>
        </is>
      </c>
      <c r="Q226" s="9" t="inlineStr">
        <is>
          <t>no row meets target_tok_s_user</t>
        </is>
      </c>
      <c r="R226" s="9" t="inlineStr"/>
      <c r="S226" s="9" t="inlineStr">
        <is>
          <t>tok_s_user is computed as output_tok_s_gpu/concurrency when source tok_s_user is blank; agentic_derived uses long_chat rows multiplied by the Kimi K2.5 agentic/long ratio.</t>
        </is>
      </c>
    </row>
  </sheetData>
  <autoFilter ref="A1:S2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23" t="n">
        <v>4</v>
      </c>
      <c r="E2" s="24" t="n">
        <v>0.405</v>
      </c>
      <c r="F2" s="23" t="n">
        <v>1.2</v>
      </c>
      <c r="G2" s="24" t="n">
        <v>0.86</v>
      </c>
      <c r="H2" s="24" t="n">
        <v>0.47</v>
      </c>
      <c r="I2" s="5">
        <f>INDEX('01_Benchmark_Input'!$B$2:$B$10,MATCH(B2,'01_Benchmark_Input'!$A$2:$A$10,0))</f>
        <v/>
      </c>
      <c r="J2" s="5">
        <f>INDEX('01_Benchmark_Input'!$C$2:$C$10,MATCH(B2,'01_Benchmark_Input'!$A$2:$A$10,0))</f>
        <v/>
      </c>
      <c r="K2" s="6">
        <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23" t="n">
        <v>5.25</v>
      </c>
      <c r="E3" s="24" t="n">
        <v>0.48609524</v>
      </c>
      <c r="F3" s="23" t="n">
        <v>1.2</v>
      </c>
      <c r="G3" s="24" t="n">
        <v>0.86</v>
      </c>
      <c r="H3" s="24" t="n">
        <v>0.515</v>
      </c>
      <c r="I3" s="5">
        <f>INDEX('01_Benchmark_Input'!$B$2:$B$10,MATCH(B3,'01_Benchmark_Input'!$A$2:$A$10,0))</f>
        <v/>
      </c>
      <c r="J3" s="5">
        <f>INDEX('01_Benchmark_Input'!$C$2:$C$10,MATCH(B3,'01_Benchmark_Input'!$A$2:$A$10,0))</f>
        <v/>
      </c>
      <c r="K3" s="6">
        <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23" t="n">
        <v>6.5</v>
      </c>
      <c r="E4" s="24" t="n">
        <v>0.52923077</v>
      </c>
      <c r="F4" s="23" t="n">
        <v>1.2</v>
      </c>
      <c r="G4" s="24" t="n">
        <v>0.86</v>
      </c>
      <c r="H4" s="24" t="n">
        <v>0.5600000000000001</v>
      </c>
      <c r="I4" s="5">
        <f>INDEX('01_Benchmark_Input'!$B$2:$B$10,MATCH(B4,'01_Benchmark_Input'!$A$2:$A$10,0))</f>
        <v/>
      </c>
      <c r="J4" s="5">
        <f>INDEX('01_Benchmark_Input'!$C$2:$C$10,MATCH(B4,'01_Benchmark_Input'!$A$2:$A$10,0))</f>
        <v/>
      </c>
      <c r="K4" s="6">
        <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23" t="n">
        <v>7.75</v>
      </c>
      <c r="E5" s="24" t="n">
        <v>0.5527741900000001</v>
      </c>
      <c r="F5" s="23" t="n">
        <v>1.2</v>
      </c>
      <c r="G5" s="24" t="n">
        <v>0.86</v>
      </c>
      <c r="H5" s="24" t="n">
        <v>0.605</v>
      </c>
      <c r="I5" s="5">
        <f>INDEX('01_Benchmark_Input'!$B$2:$B$10,MATCH(B5,'01_Benchmark_Input'!$A$2:$A$10,0))</f>
        <v/>
      </c>
      <c r="J5" s="5">
        <f>INDEX('01_Benchmark_Input'!$C$2:$C$10,MATCH(B5,'01_Benchmark_Input'!$A$2:$A$10,0))</f>
        <v/>
      </c>
      <c r="K5" s="6">
        <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23" t="n">
        <v>9</v>
      </c>
      <c r="E6" s="24" t="n">
        <v>0.56488889</v>
      </c>
      <c r="F6" s="23" t="n">
        <v>1.2</v>
      </c>
      <c r="G6" s="24" t="n">
        <v>0.86</v>
      </c>
      <c r="H6" s="24" t="n">
        <v>0.65</v>
      </c>
      <c r="I6" s="5">
        <f>INDEX('01_Benchmark_Input'!$B$2:$B$10,MATCH(B6,'01_Benchmark_Input'!$A$2:$A$10,0))</f>
        <v/>
      </c>
      <c r="J6" s="5">
        <f>INDEX('01_Benchmark_Input'!$C$2:$C$10,MATCH(B6,'01_Benchmark_Input'!$A$2:$A$10,0))</f>
        <v/>
      </c>
      <c r="K6" s="6">
        <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23" t="n">
        <v>4.5</v>
      </c>
      <c r="E7" s="24" t="n">
        <v>0.44</v>
      </c>
      <c r="F7" s="23" t="n">
        <v>1.18</v>
      </c>
      <c r="G7" s="24" t="n">
        <v>0.88</v>
      </c>
      <c r="H7" s="24" t="n">
        <v>0.47</v>
      </c>
      <c r="I7" s="5">
        <f>INDEX('01_Benchmark_Input'!$B$2:$B$10,MATCH(B7,'01_Benchmark_Input'!$A$2:$A$10,0))</f>
        <v/>
      </c>
      <c r="J7" s="5">
        <f>INDEX('01_Benchmark_Input'!$C$2:$C$10,MATCH(B7,'01_Benchmark_Input'!$A$2:$A$10,0))</f>
        <v/>
      </c>
      <c r="K7" s="6">
        <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23" t="n">
        <v>5.375</v>
      </c>
      <c r="E8" s="24" t="n">
        <v>0.54846512</v>
      </c>
      <c r="F8" s="23" t="n">
        <v>1.18</v>
      </c>
      <c r="G8" s="24" t="n">
        <v>0.88</v>
      </c>
      <c r="H8" s="24" t="n">
        <v>0.508</v>
      </c>
      <c r="I8" s="5">
        <f>INDEX('01_Benchmark_Input'!$B$2:$B$10,MATCH(B8,'01_Benchmark_Input'!$A$2:$A$10,0))</f>
        <v/>
      </c>
      <c r="J8" s="5">
        <f>INDEX('01_Benchmark_Input'!$C$2:$C$10,MATCH(B8,'01_Benchmark_Input'!$A$2:$A$10,0))</f>
        <v/>
      </c>
      <c r="K8" s="6">
        <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23" t="n">
        <v>6.25</v>
      </c>
      <c r="E9" s="24" t="n">
        <v>0.6192</v>
      </c>
      <c r="F9" s="23" t="n">
        <v>1.18</v>
      </c>
      <c r="G9" s="24" t="n">
        <v>0.88</v>
      </c>
      <c r="H9" s="24" t="n">
        <v>0.545</v>
      </c>
      <c r="I9" s="5">
        <f>INDEX('01_Benchmark_Input'!$B$2:$B$10,MATCH(B9,'01_Benchmark_Input'!$A$2:$A$10,0))</f>
        <v/>
      </c>
      <c r="J9" s="5">
        <f>INDEX('01_Benchmark_Input'!$C$2:$C$10,MATCH(B9,'01_Benchmark_Input'!$A$2:$A$10,0))</f>
        <v/>
      </c>
      <c r="K9" s="6">
        <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23" t="n">
        <v>7.125</v>
      </c>
      <c r="E10" s="24" t="n">
        <v>0.66610526</v>
      </c>
      <c r="F10" s="23" t="n">
        <v>1.18</v>
      </c>
      <c r="G10" s="24" t="n">
        <v>0.88</v>
      </c>
      <c r="H10" s="24" t="n">
        <v>0.583</v>
      </c>
      <c r="I10" s="5">
        <f>INDEX('01_Benchmark_Input'!$B$2:$B$10,MATCH(B10,'01_Benchmark_Input'!$A$2:$A$10,0))</f>
        <v/>
      </c>
      <c r="J10" s="5">
        <f>INDEX('01_Benchmark_Input'!$C$2:$C$10,MATCH(B10,'01_Benchmark_Input'!$A$2:$A$10,0))</f>
        <v/>
      </c>
      <c r="K10" s="6">
        <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23" t="n">
        <v>8</v>
      </c>
      <c r="E11" s="24" t="n">
        <v>0.697</v>
      </c>
      <c r="F11" s="23" t="n">
        <v>1.18</v>
      </c>
      <c r="G11" s="24" t="n">
        <v>0.88</v>
      </c>
      <c r="H11" s="24" t="n">
        <v>0.62</v>
      </c>
      <c r="I11" s="5">
        <f>INDEX('01_Benchmark_Input'!$B$2:$B$10,MATCH(B11,'01_Benchmark_Input'!$A$2:$A$10,0))</f>
        <v/>
      </c>
      <c r="J11" s="5">
        <f>INDEX('01_Benchmark_Input'!$C$2:$C$10,MATCH(B11,'01_Benchmark_Input'!$A$2:$A$10,0))</f>
        <v/>
      </c>
      <c r="K11" s="6">
        <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23" t="n">
        <v>3.5</v>
      </c>
      <c r="E12" s="24" t="n">
        <v>0.41142857</v>
      </c>
      <c r="F12" s="23" t="n">
        <v>1.2</v>
      </c>
      <c r="G12" s="24" t="n">
        <v>0.87</v>
      </c>
      <c r="H12" s="24" t="n">
        <v>0.5</v>
      </c>
      <c r="I12" s="5">
        <f>INDEX('01_Benchmark_Input'!$B$2:$B$10,MATCH(B12,'01_Benchmark_Input'!$A$2:$A$10,0))</f>
        <v/>
      </c>
      <c r="J12" s="5">
        <f>INDEX('01_Benchmark_Input'!$C$2:$C$10,MATCH(B12,'01_Benchmark_Input'!$A$2:$A$10,0))</f>
        <v/>
      </c>
      <c r="K12" s="6">
        <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23" t="n">
        <v>4.375</v>
      </c>
      <c r="E13" s="24" t="n">
        <v>0.53302857</v>
      </c>
      <c r="F13" s="23" t="n">
        <v>1.2</v>
      </c>
      <c r="G13" s="24" t="n">
        <v>0.87</v>
      </c>
      <c r="H13" s="24" t="n">
        <v>0.545</v>
      </c>
      <c r="I13" s="5">
        <f>INDEX('01_Benchmark_Input'!$B$2:$B$10,MATCH(B13,'01_Benchmark_Input'!$A$2:$A$10,0))</f>
        <v/>
      </c>
      <c r="J13" s="5">
        <f>INDEX('01_Benchmark_Input'!$C$2:$C$10,MATCH(B13,'01_Benchmark_Input'!$A$2:$A$10,0))</f>
        <v/>
      </c>
      <c r="K13" s="6">
        <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23" t="n">
        <v>5.25</v>
      </c>
      <c r="E14" s="24" t="n">
        <v>0.60609524</v>
      </c>
      <c r="F14" s="23" t="n">
        <v>1.2</v>
      </c>
      <c r="G14" s="24" t="n">
        <v>0.87</v>
      </c>
      <c r="H14" s="24" t="n">
        <v>0.59</v>
      </c>
      <c r="I14" s="5">
        <f>INDEX('01_Benchmark_Input'!$B$2:$B$10,MATCH(B14,'01_Benchmark_Input'!$A$2:$A$10,0))</f>
        <v/>
      </c>
      <c r="J14" s="5">
        <f>INDEX('01_Benchmark_Input'!$C$2:$C$10,MATCH(B14,'01_Benchmark_Input'!$A$2:$A$10,0))</f>
        <v/>
      </c>
      <c r="K14" s="6">
        <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23" t="n">
        <v>6.125</v>
      </c>
      <c r="E15" s="24" t="n">
        <v>0.65142857</v>
      </c>
      <c r="F15" s="23" t="n">
        <v>1.2</v>
      </c>
      <c r="G15" s="24" t="n">
        <v>0.87</v>
      </c>
      <c r="H15" s="24" t="n">
        <v>0.635</v>
      </c>
      <c r="I15" s="5">
        <f>INDEX('01_Benchmark_Input'!$B$2:$B$10,MATCH(B15,'01_Benchmark_Input'!$A$2:$A$10,0))</f>
        <v/>
      </c>
      <c r="J15" s="5">
        <f>INDEX('01_Benchmark_Input'!$C$2:$C$10,MATCH(B15,'01_Benchmark_Input'!$A$2:$A$10,0))</f>
        <v/>
      </c>
      <c r="K15" s="6">
        <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23" t="n">
        <v>7</v>
      </c>
      <c r="E16" s="24" t="n">
        <v>0.67942857</v>
      </c>
      <c r="F16" s="23" t="n">
        <v>1.2</v>
      </c>
      <c r="G16" s="24" t="n">
        <v>0.87</v>
      </c>
      <c r="H16" s="24" t="n">
        <v>0.68</v>
      </c>
      <c r="I16" s="5">
        <f>INDEX('01_Benchmark_Input'!$B$2:$B$10,MATCH(B16,'01_Benchmark_Input'!$A$2:$A$10,0))</f>
        <v/>
      </c>
      <c r="J16" s="5">
        <f>INDEX('01_Benchmark_Input'!$C$2:$C$10,MATCH(B16,'01_Benchmark_Input'!$A$2:$A$10,0))</f>
        <v/>
      </c>
      <c r="K16" s="6">
        <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23" t="n">
        <v>1</v>
      </c>
      <c r="E17" s="24" t="n">
        <v>0.315</v>
      </c>
      <c r="F17" s="23" t="n">
        <v>1.22</v>
      </c>
      <c r="G17" s="24" t="n">
        <v>0.85</v>
      </c>
      <c r="H17" s="24" t="n">
        <v>0.37</v>
      </c>
      <c r="I17" s="5">
        <f>INDEX('01_Benchmark_Input'!$B$2:$B$10,MATCH(B17,'01_Benchmark_Input'!$A$2:$A$10,0))</f>
        <v/>
      </c>
      <c r="J17" s="5">
        <f>INDEX('01_Benchmark_Input'!$C$2:$C$10,MATCH(B17,'01_Benchmark_Input'!$A$2:$A$10,0))</f>
        <v/>
      </c>
      <c r="K17" s="6">
        <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23" t="n">
        <v>1.5</v>
      </c>
      <c r="E18" s="24" t="n">
        <v>0.52066667</v>
      </c>
      <c r="F18" s="23" t="n">
        <v>1.22</v>
      </c>
      <c r="G18" s="24" t="n">
        <v>0.85</v>
      </c>
      <c r="H18" s="24" t="n">
        <v>0.427</v>
      </c>
      <c r="I18" s="5">
        <f>INDEX('01_Benchmark_Input'!$B$2:$B$10,MATCH(B18,'01_Benchmark_Input'!$A$2:$A$10,0))</f>
        <v/>
      </c>
      <c r="J18" s="5">
        <f>INDEX('01_Benchmark_Input'!$C$2:$C$10,MATCH(B18,'01_Benchmark_Input'!$A$2:$A$10,0))</f>
        <v/>
      </c>
      <c r="K18" s="6">
        <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23" t="n">
        <v>2</v>
      </c>
      <c r="E19" s="24" t="n">
        <v>0.6125</v>
      </c>
      <c r="F19" s="23" t="n">
        <v>1.22</v>
      </c>
      <c r="G19" s="24" t="n">
        <v>0.85</v>
      </c>
      <c r="H19" s="24" t="n">
        <v>0.485</v>
      </c>
      <c r="I19" s="5">
        <f>INDEX('01_Benchmark_Input'!$B$2:$B$10,MATCH(B19,'01_Benchmark_Input'!$A$2:$A$10,0))</f>
        <v/>
      </c>
      <c r="J19" s="5">
        <f>INDEX('01_Benchmark_Input'!$C$2:$C$10,MATCH(B19,'01_Benchmark_Input'!$A$2:$A$10,0))</f>
        <v/>
      </c>
      <c r="K19" s="6">
        <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23" t="n">
        <v>2.5</v>
      </c>
      <c r="E20" s="24" t="n">
        <v>0.6592</v>
      </c>
      <c r="F20" s="23" t="n">
        <v>1.22</v>
      </c>
      <c r="G20" s="24" t="n">
        <v>0.85</v>
      </c>
      <c r="H20" s="24" t="n">
        <v>0.542</v>
      </c>
      <c r="I20" s="5">
        <f>INDEX('01_Benchmark_Input'!$B$2:$B$10,MATCH(B20,'01_Benchmark_Input'!$A$2:$A$10,0))</f>
        <v/>
      </c>
      <c r="J20" s="5">
        <f>INDEX('01_Benchmark_Input'!$C$2:$C$10,MATCH(B20,'01_Benchmark_Input'!$A$2:$A$10,0))</f>
        <v/>
      </c>
      <c r="K20" s="6">
        <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23" t="n">
        <v>3</v>
      </c>
      <c r="E21" s="24" t="n">
        <v>0.68333333</v>
      </c>
      <c r="F21" s="23" t="n">
        <v>1.22</v>
      </c>
      <c r="G21" s="24" t="n">
        <v>0.85</v>
      </c>
      <c r="H21" s="24" t="n">
        <v>0.6</v>
      </c>
      <c r="I21" s="5">
        <f>INDEX('01_Benchmark_Input'!$B$2:$B$10,MATCH(B21,'01_Benchmark_Input'!$A$2:$A$10,0))</f>
        <v/>
      </c>
      <c r="J21" s="5">
        <f>INDEX('01_Benchmark_Input'!$C$2:$C$10,MATCH(B21,'01_Benchmark_Input'!$A$2:$A$10,0))</f>
        <v/>
      </c>
      <c r="K21" s="6">
        <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23" t="n">
        <v>5</v>
      </c>
      <c r="E22" s="24" t="n">
        <v>0.252</v>
      </c>
      <c r="F22" s="23" t="n">
        <v>1.2</v>
      </c>
      <c r="G22" s="24" t="n">
        <v>0.88</v>
      </c>
      <c r="H22" s="24" t="n">
        <v>0.5</v>
      </c>
      <c r="I22" s="5">
        <f>INDEX('01_Benchmark_Input'!$B$2:$B$10,MATCH(B22,'01_Benchmark_Input'!$A$2:$A$10,0))</f>
        <v/>
      </c>
      <c r="J22" s="5">
        <f>INDEX('01_Benchmark_Input'!$C$2:$C$10,MATCH(B22,'01_Benchmark_Input'!$A$2:$A$10,0))</f>
        <v/>
      </c>
      <c r="K22" s="6">
        <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23" t="n">
        <v>6.75</v>
      </c>
      <c r="E23" s="24" t="n">
        <v>0.41392593</v>
      </c>
      <c r="F23" s="23" t="n">
        <v>1.2</v>
      </c>
      <c r="G23" s="24" t="n">
        <v>0.88</v>
      </c>
      <c r="H23" s="24" t="n">
        <v>0.545</v>
      </c>
      <c r="I23" s="5">
        <f>INDEX('01_Benchmark_Input'!$B$2:$B$10,MATCH(B23,'01_Benchmark_Input'!$A$2:$A$10,0))</f>
        <v/>
      </c>
      <c r="J23" s="5">
        <f>INDEX('01_Benchmark_Input'!$C$2:$C$10,MATCH(B23,'01_Benchmark_Input'!$A$2:$A$10,0))</f>
        <v/>
      </c>
      <c r="K23" s="6">
        <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23" t="n">
        <v>8.5</v>
      </c>
      <c r="E24" s="24" t="n">
        <v>0.50082353</v>
      </c>
      <c r="F24" s="23" t="n">
        <v>1.2</v>
      </c>
      <c r="G24" s="24" t="n">
        <v>0.88</v>
      </c>
      <c r="H24" s="24" t="n">
        <v>0.59</v>
      </c>
      <c r="I24" s="5">
        <f>INDEX('01_Benchmark_Input'!$B$2:$B$10,MATCH(B24,'01_Benchmark_Input'!$A$2:$A$10,0))</f>
        <v/>
      </c>
      <c r="J24" s="5">
        <f>INDEX('01_Benchmark_Input'!$C$2:$C$10,MATCH(B24,'01_Benchmark_Input'!$A$2:$A$10,0))</f>
        <v/>
      </c>
      <c r="K24" s="6">
        <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23" t="n">
        <v>10.25</v>
      </c>
      <c r="E25" s="24" t="n">
        <v>0.55112195</v>
      </c>
      <c r="F25" s="23" t="n">
        <v>1.2</v>
      </c>
      <c r="G25" s="24" t="n">
        <v>0.88</v>
      </c>
      <c r="H25" s="24" t="n">
        <v>0.635</v>
      </c>
      <c r="I25" s="5">
        <f>INDEX('01_Benchmark_Input'!$B$2:$B$10,MATCH(B25,'01_Benchmark_Input'!$A$2:$A$10,0))</f>
        <v/>
      </c>
      <c r="J25" s="5">
        <f>INDEX('01_Benchmark_Input'!$C$2:$C$10,MATCH(B25,'01_Benchmark_Input'!$A$2:$A$10,0))</f>
        <v/>
      </c>
      <c r="K25" s="6">
        <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23" t="n">
        <v>12</v>
      </c>
      <c r="E26" s="24" t="n">
        <v>0.58083333</v>
      </c>
      <c r="F26" s="23" t="n">
        <v>1.2</v>
      </c>
      <c r="G26" s="24" t="n">
        <v>0.88</v>
      </c>
      <c r="H26" s="24" t="n">
        <v>0.68</v>
      </c>
      <c r="I26" s="5">
        <f>INDEX('01_Benchmark_Input'!$B$2:$B$10,MATCH(B26,'01_Benchmark_Input'!$A$2:$A$10,0))</f>
        <v/>
      </c>
      <c r="J26" s="5">
        <f>INDEX('01_Benchmark_Input'!$C$2:$C$10,MATCH(B26,'01_Benchmark_Input'!$A$2:$A$10,0))</f>
        <v/>
      </c>
      <c r="K26" s="6">
        <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23" t="n">
        <v>3.5</v>
      </c>
      <c r="E27" s="24" t="n">
        <v>0.25714286</v>
      </c>
      <c r="F27" s="23" t="n">
        <v>1.18</v>
      </c>
      <c r="G27" s="24" t="n">
        <v>0.86</v>
      </c>
      <c r="H27" s="24" t="n">
        <v>0.44</v>
      </c>
      <c r="I27" s="5">
        <f>INDEX('01_Benchmark_Input'!$B$2:$B$10,MATCH(B27,'01_Benchmark_Input'!$A$2:$A$10,0))</f>
        <v/>
      </c>
      <c r="J27" s="5">
        <f>INDEX('01_Benchmark_Input'!$C$2:$C$10,MATCH(B27,'01_Benchmark_Input'!$A$2:$A$10,0))</f>
        <v/>
      </c>
      <c r="K27" s="6">
        <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23" t="n">
        <v>4.375</v>
      </c>
      <c r="E28" s="24" t="n">
        <v>0.42742857</v>
      </c>
      <c r="F28" s="23" t="n">
        <v>1.18</v>
      </c>
      <c r="G28" s="24" t="n">
        <v>0.86</v>
      </c>
      <c r="H28" s="24" t="n">
        <v>0.49</v>
      </c>
      <c r="I28" s="5">
        <f>INDEX('01_Benchmark_Input'!$B$2:$B$10,MATCH(B28,'01_Benchmark_Input'!$A$2:$A$10,0))</f>
        <v/>
      </c>
      <c r="J28" s="5">
        <f>INDEX('01_Benchmark_Input'!$C$2:$C$10,MATCH(B28,'01_Benchmark_Input'!$A$2:$A$10,0))</f>
        <v/>
      </c>
      <c r="K28" s="6">
        <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23" t="n">
        <v>5.25</v>
      </c>
      <c r="E29" s="24" t="n">
        <v>0.53238095</v>
      </c>
      <c r="F29" s="23" t="n">
        <v>1.18</v>
      </c>
      <c r="G29" s="24" t="n">
        <v>0.86</v>
      </c>
      <c r="H29" s="24" t="n">
        <v>0.54</v>
      </c>
      <c r="I29" s="5">
        <f>INDEX('01_Benchmark_Input'!$B$2:$B$10,MATCH(B29,'01_Benchmark_Input'!$A$2:$A$10,0))</f>
        <v/>
      </c>
      <c r="J29" s="5">
        <f>INDEX('01_Benchmark_Input'!$C$2:$C$10,MATCH(B29,'01_Benchmark_Input'!$A$2:$A$10,0))</f>
        <v/>
      </c>
      <c r="K29" s="6">
        <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23" t="n">
        <v>6.125</v>
      </c>
      <c r="E30" s="24" t="n">
        <v>0.6</v>
      </c>
      <c r="F30" s="23" t="n">
        <v>1.18</v>
      </c>
      <c r="G30" s="24" t="n">
        <v>0.86</v>
      </c>
      <c r="H30" s="24" t="n">
        <v>0.59</v>
      </c>
      <c r="I30" s="5">
        <f>INDEX('01_Benchmark_Input'!$B$2:$B$10,MATCH(B30,'01_Benchmark_Input'!$A$2:$A$10,0))</f>
        <v/>
      </c>
      <c r="J30" s="5">
        <f>INDEX('01_Benchmark_Input'!$C$2:$C$10,MATCH(B30,'01_Benchmark_Input'!$A$2:$A$10,0))</f>
        <v/>
      </c>
      <c r="K30" s="6">
        <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23" t="n">
        <v>7</v>
      </c>
      <c r="E31" s="24" t="n">
        <v>0.64428571</v>
      </c>
      <c r="F31" s="23" t="n">
        <v>1.18</v>
      </c>
      <c r="G31" s="24" t="n">
        <v>0.86</v>
      </c>
      <c r="H31" s="24" t="n">
        <v>0.64</v>
      </c>
      <c r="I31" s="5">
        <f>INDEX('01_Benchmark_Input'!$B$2:$B$10,MATCH(B31,'01_Benchmark_Input'!$A$2:$A$10,0))</f>
        <v/>
      </c>
      <c r="J31" s="5">
        <f>INDEX('01_Benchmark_Input'!$C$2:$C$10,MATCH(B31,'01_Benchmark_Input'!$A$2:$A$10,0))</f>
        <v/>
      </c>
      <c r="K31" s="6">
        <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23" t="n">
        <v>0.5</v>
      </c>
      <c r="E32" s="24" t="n">
        <v>0.27</v>
      </c>
      <c r="F32" s="23" t="n">
        <v>1.24</v>
      </c>
      <c r="G32" s="24" t="n">
        <v>0.82</v>
      </c>
      <c r="H32" s="24" t="n">
        <v>0.54</v>
      </c>
      <c r="I32" s="5">
        <f>INDEX('01_Benchmark_Input'!$B$2:$B$10,MATCH(B32,'01_Benchmark_Input'!$A$2:$A$10,0))</f>
        <v/>
      </c>
      <c r="J32" s="5">
        <f>INDEX('01_Benchmark_Input'!$C$2:$C$10,MATCH(B32,'01_Benchmark_Input'!$A$2:$A$10,0))</f>
        <v/>
      </c>
      <c r="K32" s="6">
        <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23" t="n">
        <v>0.825</v>
      </c>
      <c r="E33" s="24" t="n">
        <v>0.44</v>
      </c>
      <c r="F33" s="23" t="n">
        <v>1.24</v>
      </c>
      <c r="G33" s="24" t="n">
        <v>0.82</v>
      </c>
      <c r="H33" s="24" t="n">
        <v>0.585</v>
      </c>
      <c r="I33" s="5">
        <f>INDEX('01_Benchmark_Input'!$B$2:$B$10,MATCH(B33,'01_Benchmark_Input'!$A$2:$A$10,0))</f>
        <v/>
      </c>
      <c r="J33" s="5">
        <f>INDEX('01_Benchmark_Input'!$C$2:$C$10,MATCH(B33,'01_Benchmark_Input'!$A$2:$A$10,0))</f>
        <v/>
      </c>
      <c r="K33" s="6">
        <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23" t="n">
        <v>1.15</v>
      </c>
      <c r="E34" s="24" t="n">
        <v>0.50521739</v>
      </c>
      <c r="F34" s="23" t="n">
        <v>1.24</v>
      </c>
      <c r="G34" s="24" t="n">
        <v>0.82</v>
      </c>
      <c r="H34" s="24" t="n">
        <v>0.63</v>
      </c>
      <c r="I34" s="5">
        <f>INDEX('01_Benchmark_Input'!$B$2:$B$10,MATCH(B34,'01_Benchmark_Input'!$A$2:$A$10,0))</f>
        <v/>
      </c>
      <c r="J34" s="5">
        <f>INDEX('01_Benchmark_Input'!$C$2:$C$10,MATCH(B34,'01_Benchmark_Input'!$A$2:$A$10,0))</f>
        <v/>
      </c>
      <c r="K34" s="6">
        <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23" t="n">
        <v>1.475</v>
      </c>
      <c r="E35" s="24" t="n">
        <v>0.53423729</v>
      </c>
      <c r="F35" s="23" t="n">
        <v>1.24</v>
      </c>
      <c r="G35" s="24" t="n">
        <v>0.82</v>
      </c>
      <c r="H35" s="24" t="n">
        <v>0.675</v>
      </c>
      <c r="I35" s="5">
        <f>INDEX('01_Benchmark_Input'!$B$2:$B$10,MATCH(B35,'01_Benchmark_Input'!$A$2:$A$10,0))</f>
        <v/>
      </c>
      <c r="J35" s="5">
        <f>INDEX('01_Benchmark_Input'!$C$2:$C$10,MATCH(B35,'01_Benchmark_Input'!$A$2:$A$10,0))</f>
        <v/>
      </c>
      <c r="K35" s="6">
        <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23" t="n">
        <v>1.8</v>
      </c>
      <c r="E36" s="24" t="n">
        <v>0.54666667</v>
      </c>
      <c r="F36" s="23" t="n">
        <v>1.24</v>
      </c>
      <c r="G36" s="24" t="n">
        <v>0.82</v>
      </c>
      <c r="H36" s="24" t="n">
        <v>0.72</v>
      </c>
      <c r="I36" s="5">
        <f>INDEX('01_Benchmark_Input'!$B$2:$B$10,MATCH(B36,'01_Benchmark_Input'!$A$2:$A$10,0))</f>
        <v/>
      </c>
      <c r="J36" s="5">
        <f>INDEX('01_Benchmark_Input'!$C$2:$C$10,MATCH(B36,'01_Benchmark_Input'!$A$2:$A$10,0))</f>
        <v/>
      </c>
      <c r="K36" s="6">
        <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23" t="n">
        <v>1.8</v>
      </c>
      <c r="E37" s="24" t="n">
        <v>0.325</v>
      </c>
      <c r="F37" s="23" t="n">
        <v>1.23</v>
      </c>
      <c r="G37" s="24" t="n">
        <v>0.84</v>
      </c>
      <c r="H37" s="24" t="n">
        <v>0.52</v>
      </c>
      <c r="I37" s="5">
        <f>INDEX('01_Benchmark_Input'!$B$2:$B$10,MATCH(B37,'01_Benchmark_Input'!$A$2:$A$10,0))</f>
        <v/>
      </c>
      <c r="J37" s="5">
        <f>INDEX('01_Benchmark_Input'!$C$2:$C$10,MATCH(B37,'01_Benchmark_Input'!$A$2:$A$10,0))</f>
        <v/>
      </c>
      <c r="K37" s="6">
        <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23" t="n">
        <v>2.35</v>
      </c>
      <c r="E38" s="24" t="n">
        <v>0.48212766</v>
      </c>
      <c r="F38" s="23" t="n">
        <v>1.23</v>
      </c>
      <c r="G38" s="24" t="n">
        <v>0.84</v>
      </c>
      <c r="H38" s="24" t="n">
        <v>0.5649999999999999</v>
      </c>
      <c r="I38" s="5">
        <f>INDEX('01_Benchmark_Input'!$B$2:$B$10,MATCH(B38,'01_Benchmark_Input'!$A$2:$A$10,0))</f>
        <v/>
      </c>
      <c r="J38" s="5">
        <f>INDEX('01_Benchmark_Input'!$C$2:$C$10,MATCH(B38,'01_Benchmark_Input'!$A$2:$A$10,0))</f>
        <v/>
      </c>
      <c r="K38" s="6">
        <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23" t="n">
        <v>2.9</v>
      </c>
      <c r="E39" s="24" t="n">
        <v>0.57103448</v>
      </c>
      <c r="F39" s="23" t="n">
        <v>1.23</v>
      </c>
      <c r="G39" s="24" t="n">
        <v>0.84</v>
      </c>
      <c r="H39" s="24" t="n">
        <v>0.61</v>
      </c>
      <c r="I39" s="5">
        <f>INDEX('01_Benchmark_Input'!$B$2:$B$10,MATCH(B39,'01_Benchmark_Input'!$A$2:$A$10,0))</f>
        <v/>
      </c>
      <c r="J39" s="5">
        <f>INDEX('01_Benchmark_Input'!$C$2:$C$10,MATCH(B39,'01_Benchmark_Input'!$A$2:$A$10,0))</f>
        <v/>
      </c>
      <c r="K39" s="6">
        <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23" t="n">
        <v>3.45</v>
      </c>
      <c r="E40" s="24" t="n">
        <v>0.62376812</v>
      </c>
      <c r="F40" s="23" t="n">
        <v>1.23</v>
      </c>
      <c r="G40" s="24" t="n">
        <v>0.84</v>
      </c>
      <c r="H40" s="24" t="n">
        <v>0.655</v>
      </c>
      <c r="I40" s="5">
        <f>INDEX('01_Benchmark_Input'!$B$2:$B$10,MATCH(B40,'01_Benchmark_Input'!$A$2:$A$10,0))</f>
        <v/>
      </c>
      <c r="J40" s="5">
        <f>INDEX('01_Benchmark_Input'!$C$2:$C$10,MATCH(B40,'01_Benchmark_Input'!$A$2:$A$10,0))</f>
        <v/>
      </c>
      <c r="K40" s="6">
        <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23" t="n">
        <v>4</v>
      </c>
      <c r="E41" s="24" t="n">
        <v>0.656</v>
      </c>
      <c r="F41" s="23" t="n">
        <v>1.23</v>
      </c>
      <c r="G41" s="24" t="n">
        <v>0.84</v>
      </c>
      <c r="H41" s="24" t="n">
        <v>0.7</v>
      </c>
      <c r="I41" s="5">
        <f>INDEX('01_Benchmark_Input'!$B$2:$B$10,MATCH(B41,'01_Benchmark_Input'!$A$2:$A$10,0))</f>
        <v/>
      </c>
      <c r="J41" s="5">
        <f>INDEX('01_Benchmark_Input'!$C$2:$C$10,MATCH(B41,'01_Benchmark_Input'!$A$2:$A$10,0))</f>
        <v/>
      </c>
      <c r="K41" s="6">
        <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23" t="n">
        <v>1.2</v>
      </c>
      <c r="E42" s="24" t="n">
        <v>0.3375</v>
      </c>
      <c r="F42" s="23" t="n">
        <v>1.23</v>
      </c>
      <c r="G42" s="24" t="n">
        <v>0.84</v>
      </c>
      <c r="H42" s="24" t="n">
        <v>0.52</v>
      </c>
      <c r="I42" s="5">
        <f>INDEX('01_Benchmark_Input'!$B$2:$B$10,MATCH(B42,'01_Benchmark_Input'!$A$2:$A$10,0))</f>
        <v/>
      </c>
      <c r="J42" s="5">
        <f>INDEX('01_Benchmark_Input'!$C$2:$C$10,MATCH(B42,'01_Benchmark_Input'!$A$2:$A$10,0))</f>
        <v/>
      </c>
      <c r="K42" s="6">
        <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23" t="n">
        <v>1.65</v>
      </c>
      <c r="E43" s="24" t="n">
        <v>0.5</v>
      </c>
      <c r="F43" s="23" t="n">
        <v>1.23</v>
      </c>
      <c r="G43" s="24" t="n">
        <v>0.84</v>
      </c>
      <c r="H43" s="24" t="n">
        <v>0.5649999999999999</v>
      </c>
      <c r="I43" s="5">
        <f>INDEX('01_Benchmark_Input'!$B$2:$B$10,MATCH(B43,'01_Benchmark_Input'!$A$2:$A$10,0))</f>
        <v/>
      </c>
      <c r="J43" s="5">
        <f>INDEX('01_Benchmark_Input'!$C$2:$C$10,MATCH(B43,'01_Benchmark_Input'!$A$2:$A$10,0))</f>
        <v/>
      </c>
      <c r="K43" s="6">
        <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23" t="n">
        <v>2.1</v>
      </c>
      <c r="E44" s="24" t="n">
        <v>0.58380952</v>
      </c>
      <c r="F44" s="23" t="n">
        <v>1.23</v>
      </c>
      <c r="G44" s="24" t="n">
        <v>0.84</v>
      </c>
      <c r="H44" s="24" t="n">
        <v>0.61</v>
      </c>
      <c r="I44" s="5">
        <f>INDEX('01_Benchmark_Input'!$B$2:$B$10,MATCH(B44,'01_Benchmark_Input'!$A$2:$A$10,0))</f>
        <v/>
      </c>
      <c r="J44" s="5">
        <f>INDEX('01_Benchmark_Input'!$C$2:$C$10,MATCH(B44,'01_Benchmark_Input'!$A$2:$A$10,0))</f>
        <v/>
      </c>
      <c r="K44" s="6">
        <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23" t="n">
        <v>2.55</v>
      </c>
      <c r="E45" s="24" t="n">
        <v>0.62980392</v>
      </c>
      <c r="F45" s="23" t="n">
        <v>1.23</v>
      </c>
      <c r="G45" s="24" t="n">
        <v>0.84</v>
      </c>
      <c r="H45" s="24" t="n">
        <v>0.655</v>
      </c>
      <c r="I45" s="5">
        <f>INDEX('01_Benchmark_Input'!$B$2:$B$10,MATCH(B45,'01_Benchmark_Input'!$A$2:$A$10,0))</f>
        <v/>
      </c>
      <c r="J45" s="5">
        <f>INDEX('01_Benchmark_Input'!$C$2:$C$10,MATCH(B45,'01_Benchmark_Input'!$A$2:$A$10,0))</f>
        <v/>
      </c>
      <c r="K45" s="6">
        <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23" t="n">
        <v>3</v>
      </c>
      <c r="E46" s="24" t="n">
        <v>0.656</v>
      </c>
      <c r="F46" s="23" t="n">
        <v>1.23</v>
      </c>
      <c r="G46" s="24" t="n">
        <v>0.84</v>
      </c>
      <c r="H46" s="24" t="n">
        <v>0.7</v>
      </c>
      <c r="I46" s="5">
        <f>INDEX('01_Benchmark_Input'!$B$2:$B$10,MATCH(B46,'01_Benchmark_Input'!$A$2:$A$10,0))</f>
        <v/>
      </c>
      <c r="J46" s="5">
        <f>INDEX('01_Benchmark_Input'!$C$2:$C$10,MATCH(B46,'01_Benchmark_Input'!$A$2:$A$10,0))</f>
        <v/>
      </c>
      <c r="K46" s="6">
        <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23" t="n">
        <v>4</v>
      </c>
      <c r="E47" s="24" t="n">
        <v>0.45</v>
      </c>
      <c r="F47" s="23" t="n">
        <v>1.2</v>
      </c>
      <c r="G47" s="24" t="n">
        <v>0.86</v>
      </c>
      <c r="H47" s="24" t="n">
        <v>0.55</v>
      </c>
      <c r="I47" s="5">
        <f>INDEX('01_Benchmark_Input'!$B$2:$B$10,MATCH(B47,'01_Benchmark_Input'!$A$2:$A$10,0))</f>
        <v/>
      </c>
      <c r="J47" s="5">
        <f>INDEX('01_Benchmark_Input'!$C$2:$C$10,MATCH(B47,'01_Benchmark_Input'!$A$2:$A$10,0))</f>
        <v/>
      </c>
      <c r="K47" s="6">
        <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23" t="n">
        <v>5.25</v>
      </c>
      <c r="E48" s="24" t="n">
        <v>0.55238095</v>
      </c>
      <c r="F48" s="23" t="n">
        <v>1.2</v>
      </c>
      <c r="G48" s="24" t="n">
        <v>0.86</v>
      </c>
      <c r="H48" s="24" t="n">
        <v>0.6</v>
      </c>
      <c r="I48" s="5">
        <f>INDEX('01_Benchmark_Input'!$B$2:$B$10,MATCH(B48,'01_Benchmark_Input'!$A$2:$A$10,0))</f>
        <v/>
      </c>
      <c r="J48" s="5">
        <f>INDEX('01_Benchmark_Input'!$C$2:$C$10,MATCH(B48,'01_Benchmark_Input'!$A$2:$A$10,0))</f>
        <v/>
      </c>
      <c r="K48" s="6">
        <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23" t="n">
        <v>6.5</v>
      </c>
      <c r="E49" s="24" t="n">
        <v>0.61538462</v>
      </c>
      <c r="F49" s="23" t="n">
        <v>1.2</v>
      </c>
      <c r="G49" s="24" t="n">
        <v>0.86</v>
      </c>
      <c r="H49" s="24" t="n">
        <v>0.65</v>
      </c>
      <c r="I49" s="5">
        <f>INDEX('01_Benchmark_Input'!$B$2:$B$10,MATCH(B49,'01_Benchmark_Input'!$A$2:$A$10,0))</f>
        <v/>
      </c>
      <c r="J49" s="5">
        <f>INDEX('01_Benchmark_Input'!$C$2:$C$10,MATCH(B49,'01_Benchmark_Input'!$A$2:$A$10,0))</f>
        <v/>
      </c>
      <c r="K49" s="6">
        <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23" t="n">
        <v>7.75</v>
      </c>
      <c r="E50" s="24" t="n">
        <v>0.65806452</v>
      </c>
      <c r="F50" s="23" t="n">
        <v>1.2</v>
      </c>
      <c r="G50" s="24" t="n">
        <v>0.86</v>
      </c>
      <c r="H50" s="24" t="n">
        <v>0.7</v>
      </c>
      <c r="I50" s="5">
        <f>INDEX('01_Benchmark_Input'!$B$2:$B$10,MATCH(B50,'01_Benchmark_Input'!$A$2:$A$10,0))</f>
        <v/>
      </c>
      <c r="J50" s="5">
        <f>INDEX('01_Benchmark_Input'!$C$2:$C$10,MATCH(B50,'01_Benchmark_Input'!$A$2:$A$10,0))</f>
        <v/>
      </c>
      <c r="K50" s="6">
        <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23" t="n">
        <v>9</v>
      </c>
      <c r="E51" s="24" t="n">
        <v>0.68888889</v>
      </c>
      <c r="F51" s="23" t="n">
        <v>1.2</v>
      </c>
      <c r="G51" s="24" t="n">
        <v>0.86</v>
      </c>
      <c r="H51" s="24" t="n">
        <v>0.75</v>
      </c>
      <c r="I51" s="5">
        <f>INDEX('01_Benchmark_Input'!$B$2:$B$10,MATCH(B51,'01_Benchmark_Input'!$A$2:$A$10,0))</f>
        <v/>
      </c>
      <c r="J51" s="5">
        <f>INDEX('01_Benchmark_Input'!$C$2:$C$10,MATCH(B51,'01_Benchmark_Input'!$A$2:$A$10,0))</f>
        <v/>
      </c>
      <c r="K51" s="6">
        <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23" t="n">
        <v>4.5</v>
      </c>
      <c r="E52" s="24" t="n">
        <v>0.48888889</v>
      </c>
      <c r="F52" s="23" t="n">
        <v>1.18</v>
      </c>
      <c r="G52" s="24" t="n">
        <v>0.88</v>
      </c>
      <c r="H52" s="24" t="n">
        <v>0.55</v>
      </c>
      <c r="I52" s="5">
        <f>INDEX('01_Benchmark_Input'!$B$2:$B$10,MATCH(B52,'01_Benchmark_Input'!$A$2:$A$10,0))</f>
        <v/>
      </c>
      <c r="J52" s="5">
        <f>INDEX('01_Benchmark_Input'!$C$2:$C$10,MATCH(B52,'01_Benchmark_Input'!$A$2:$A$10,0))</f>
        <v/>
      </c>
      <c r="K52" s="6">
        <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23" t="n">
        <v>5.375</v>
      </c>
      <c r="E53" s="24" t="n">
        <v>0.62325581</v>
      </c>
      <c r="F53" s="23" t="n">
        <v>1.18</v>
      </c>
      <c r="G53" s="24" t="n">
        <v>0.88</v>
      </c>
      <c r="H53" s="24" t="n">
        <v>0.593</v>
      </c>
      <c r="I53" s="5">
        <f>INDEX('01_Benchmark_Input'!$B$2:$B$10,MATCH(B53,'01_Benchmark_Input'!$A$2:$A$10,0))</f>
        <v/>
      </c>
      <c r="J53" s="5">
        <f>INDEX('01_Benchmark_Input'!$C$2:$C$10,MATCH(B53,'01_Benchmark_Input'!$A$2:$A$10,0))</f>
        <v/>
      </c>
      <c r="K53" s="6">
        <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23" t="n">
        <v>6.25</v>
      </c>
      <c r="E54" s="24" t="n">
        <v>0.72</v>
      </c>
      <c r="F54" s="23" t="n">
        <v>1.18</v>
      </c>
      <c r="G54" s="24" t="n">
        <v>0.88</v>
      </c>
      <c r="H54" s="24" t="n">
        <v>0.635</v>
      </c>
      <c r="I54" s="5">
        <f>INDEX('01_Benchmark_Input'!$B$2:$B$10,MATCH(B54,'01_Benchmark_Input'!$A$2:$A$10,0))</f>
        <v/>
      </c>
      <c r="J54" s="5">
        <f>INDEX('01_Benchmark_Input'!$C$2:$C$10,MATCH(B54,'01_Benchmark_Input'!$A$2:$A$10,0))</f>
        <v/>
      </c>
      <c r="K54" s="6">
        <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23" t="n">
        <v>7.125</v>
      </c>
      <c r="E55" s="24" t="n">
        <v>0.7929824599999999</v>
      </c>
      <c r="F55" s="23" t="n">
        <v>1.18</v>
      </c>
      <c r="G55" s="24" t="n">
        <v>0.88</v>
      </c>
      <c r="H55" s="24" t="n">
        <v>0.677</v>
      </c>
      <c r="I55" s="5">
        <f>INDEX('01_Benchmark_Input'!$B$2:$B$10,MATCH(B55,'01_Benchmark_Input'!$A$2:$A$10,0))</f>
        <v/>
      </c>
      <c r="J55" s="5">
        <f>INDEX('01_Benchmark_Input'!$C$2:$C$10,MATCH(B55,'01_Benchmark_Input'!$A$2:$A$10,0))</f>
        <v/>
      </c>
      <c r="K55" s="6">
        <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23" t="n">
        <v>8</v>
      </c>
      <c r="E56" s="24" t="n">
        <v>0.85</v>
      </c>
      <c r="F56" s="23" t="n">
        <v>1.18</v>
      </c>
      <c r="G56" s="24" t="n">
        <v>0.88</v>
      </c>
      <c r="H56" s="24" t="n">
        <v>0.72</v>
      </c>
      <c r="I56" s="5">
        <f>INDEX('01_Benchmark_Input'!$B$2:$B$10,MATCH(B56,'01_Benchmark_Input'!$A$2:$A$10,0))</f>
        <v/>
      </c>
      <c r="J56" s="5">
        <f>INDEX('01_Benchmark_Input'!$C$2:$C$10,MATCH(B56,'01_Benchmark_Input'!$A$2:$A$10,0))</f>
        <v/>
      </c>
      <c r="K56" s="6">
        <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23" t="n">
        <v>3.5</v>
      </c>
      <c r="E57" s="24" t="n">
        <v>0.45714286</v>
      </c>
      <c r="F57" s="23" t="n">
        <v>1.2</v>
      </c>
      <c r="G57" s="24" t="n">
        <v>0.87</v>
      </c>
      <c r="H57" s="24" t="n">
        <v>0.58</v>
      </c>
      <c r="I57" s="5">
        <f>INDEX('01_Benchmark_Input'!$B$2:$B$10,MATCH(B57,'01_Benchmark_Input'!$A$2:$A$10,0))</f>
        <v/>
      </c>
      <c r="J57" s="5">
        <f>INDEX('01_Benchmark_Input'!$C$2:$C$10,MATCH(B57,'01_Benchmark_Input'!$A$2:$A$10,0))</f>
        <v/>
      </c>
      <c r="K57" s="6">
        <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23" t="n">
        <v>4.375</v>
      </c>
      <c r="E58" s="24" t="n">
        <v>0.60571429</v>
      </c>
      <c r="F58" s="23" t="n">
        <v>1.2</v>
      </c>
      <c r="G58" s="24" t="n">
        <v>0.87</v>
      </c>
      <c r="H58" s="24" t="n">
        <v>0.63</v>
      </c>
      <c r="I58" s="5">
        <f>INDEX('01_Benchmark_Input'!$B$2:$B$10,MATCH(B58,'01_Benchmark_Input'!$A$2:$A$10,0))</f>
        <v/>
      </c>
      <c r="J58" s="5">
        <f>INDEX('01_Benchmark_Input'!$C$2:$C$10,MATCH(B58,'01_Benchmark_Input'!$A$2:$A$10,0))</f>
        <v/>
      </c>
      <c r="K58" s="6">
        <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23" t="n">
        <v>5.25</v>
      </c>
      <c r="E59" s="24" t="n">
        <v>0.7047619000000001</v>
      </c>
      <c r="F59" s="23" t="n">
        <v>1.2</v>
      </c>
      <c r="G59" s="24" t="n">
        <v>0.87</v>
      </c>
      <c r="H59" s="24" t="n">
        <v>0.68</v>
      </c>
      <c r="I59" s="5">
        <f>INDEX('01_Benchmark_Input'!$B$2:$B$10,MATCH(B59,'01_Benchmark_Input'!$A$2:$A$10,0))</f>
        <v/>
      </c>
      <c r="J59" s="5">
        <f>INDEX('01_Benchmark_Input'!$C$2:$C$10,MATCH(B59,'01_Benchmark_Input'!$A$2:$A$10,0))</f>
        <v/>
      </c>
      <c r="K59" s="6">
        <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23" t="n">
        <v>6.125</v>
      </c>
      <c r="E60" s="24" t="n">
        <v>0.7755102</v>
      </c>
      <c r="F60" s="23" t="n">
        <v>1.2</v>
      </c>
      <c r="G60" s="24" t="n">
        <v>0.87</v>
      </c>
      <c r="H60" s="24" t="n">
        <v>0.73</v>
      </c>
      <c r="I60" s="5">
        <f>INDEX('01_Benchmark_Input'!$B$2:$B$10,MATCH(B60,'01_Benchmark_Input'!$A$2:$A$10,0))</f>
        <v/>
      </c>
      <c r="J60" s="5">
        <f>INDEX('01_Benchmark_Input'!$C$2:$C$10,MATCH(B60,'01_Benchmark_Input'!$A$2:$A$10,0))</f>
        <v/>
      </c>
      <c r="K60" s="6">
        <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23" t="n">
        <v>7</v>
      </c>
      <c r="E61" s="24" t="n">
        <v>0.82857143</v>
      </c>
      <c r="F61" s="23" t="n">
        <v>1.2</v>
      </c>
      <c r="G61" s="24" t="n">
        <v>0.87</v>
      </c>
      <c r="H61" s="24" t="n">
        <v>0.78</v>
      </c>
      <c r="I61" s="5">
        <f>INDEX('01_Benchmark_Input'!$B$2:$B$10,MATCH(B61,'01_Benchmark_Input'!$A$2:$A$10,0))</f>
        <v/>
      </c>
      <c r="J61" s="5">
        <f>INDEX('01_Benchmark_Input'!$C$2:$C$10,MATCH(B61,'01_Benchmark_Input'!$A$2:$A$10,0))</f>
        <v/>
      </c>
      <c r="K61" s="6">
        <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23" t="n">
        <v>1</v>
      </c>
      <c r="E62" s="24" t="n">
        <v>0.35</v>
      </c>
      <c r="F62" s="23" t="n">
        <v>1.22</v>
      </c>
      <c r="G62" s="24" t="n">
        <v>0.85</v>
      </c>
      <c r="H62" s="24" t="n">
        <v>0.45</v>
      </c>
      <c r="I62" s="5">
        <f>INDEX('01_Benchmark_Input'!$B$2:$B$10,MATCH(B62,'01_Benchmark_Input'!$A$2:$A$10,0))</f>
        <v/>
      </c>
      <c r="J62" s="5">
        <f>INDEX('01_Benchmark_Input'!$C$2:$C$10,MATCH(B62,'01_Benchmark_Input'!$A$2:$A$10,0))</f>
        <v/>
      </c>
      <c r="K62" s="6">
        <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23" t="n">
        <v>1.5</v>
      </c>
      <c r="E63" s="24" t="n">
        <v>0.59133333</v>
      </c>
      <c r="F63" s="23" t="n">
        <v>1.22</v>
      </c>
      <c r="G63" s="24" t="n">
        <v>0.85</v>
      </c>
      <c r="H63" s="24" t="n">
        <v>0.512</v>
      </c>
      <c r="I63" s="5">
        <f>INDEX('01_Benchmark_Input'!$B$2:$B$10,MATCH(B63,'01_Benchmark_Input'!$A$2:$A$10,0))</f>
        <v/>
      </c>
      <c r="J63" s="5">
        <f>INDEX('01_Benchmark_Input'!$C$2:$C$10,MATCH(B63,'01_Benchmark_Input'!$A$2:$A$10,0))</f>
        <v/>
      </c>
      <c r="K63" s="6">
        <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23" t="n">
        <v>2</v>
      </c>
      <c r="E64" s="24" t="n">
        <v>0.7125</v>
      </c>
      <c r="F64" s="23" t="n">
        <v>1.22</v>
      </c>
      <c r="G64" s="24" t="n">
        <v>0.85</v>
      </c>
      <c r="H64" s="24" t="n">
        <v>0.575</v>
      </c>
      <c r="I64" s="5">
        <f>INDEX('01_Benchmark_Input'!$B$2:$B$10,MATCH(B64,'01_Benchmark_Input'!$A$2:$A$10,0))</f>
        <v/>
      </c>
      <c r="J64" s="5">
        <f>INDEX('01_Benchmark_Input'!$C$2:$C$10,MATCH(B64,'01_Benchmark_Input'!$A$2:$A$10,0))</f>
        <v/>
      </c>
      <c r="K64" s="6">
        <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23" t="n">
        <v>2.5</v>
      </c>
      <c r="E65" s="24" t="n">
        <v>0.7848000000000001</v>
      </c>
      <c r="F65" s="23" t="n">
        <v>1.22</v>
      </c>
      <c r="G65" s="24" t="n">
        <v>0.85</v>
      </c>
      <c r="H65" s="24" t="n">
        <v>0.637</v>
      </c>
      <c r="I65" s="5">
        <f>INDEX('01_Benchmark_Input'!$B$2:$B$10,MATCH(B65,'01_Benchmark_Input'!$A$2:$A$10,0))</f>
        <v/>
      </c>
      <c r="J65" s="5">
        <f>INDEX('01_Benchmark_Input'!$C$2:$C$10,MATCH(B65,'01_Benchmark_Input'!$A$2:$A$10,0))</f>
        <v/>
      </c>
      <c r="K65" s="6">
        <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23" t="n">
        <v>3</v>
      </c>
      <c r="E66" s="24" t="n">
        <v>0.83333333</v>
      </c>
      <c r="F66" s="23" t="n">
        <v>1.22</v>
      </c>
      <c r="G66" s="24" t="n">
        <v>0.85</v>
      </c>
      <c r="H66" s="24" t="n">
        <v>0.7</v>
      </c>
      <c r="I66" s="5">
        <f>INDEX('01_Benchmark_Input'!$B$2:$B$10,MATCH(B66,'01_Benchmark_Input'!$A$2:$A$10,0))</f>
        <v/>
      </c>
      <c r="J66" s="5">
        <f>INDEX('01_Benchmark_Input'!$C$2:$C$10,MATCH(B66,'01_Benchmark_Input'!$A$2:$A$10,0))</f>
        <v/>
      </c>
      <c r="K66" s="6">
        <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23" t="n">
        <v>5</v>
      </c>
      <c r="E67" s="24" t="n">
        <v>0.28</v>
      </c>
      <c r="F67" s="23" t="n">
        <v>1.2</v>
      </c>
      <c r="G67" s="24" t="n">
        <v>0.88</v>
      </c>
      <c r="H67" s="24" t="n">
        <v>0.58</v>
      </c>
      <c r="I67" s="5">
        <f>INDEX('01_Benchmark_Input'!$B$2:$B$10,MATCH(B67,'01_Benchmark_Input'!$A$2:$A$10,0))</f>
        <v/>
      </c>
      <c r="J67" s="5">
        <f>INDEX('01_Benchmark_Input'!$C$2:$C$10,MATCH(B67,'01_Benchmark_Input'!$A$2:$A$10,0))</f>
        <v/>
      </c>
      <c r="K67" s="6">
        <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23" t="n">
        <v>6.75</v>
      </c>
      <c r="E68" s="24" t="n">
        <v>0.47037037</v>
      </c>
      <c r="F68" s="23" t="n">
        <v>1.2</v>
      </c>
      <c r="G68" s="24" t="n">
        <v>0.88</v>
      </c>
      <c r="H68" s="24" t="n">
        <v>0.63</v>
      </c>
      <c r="I68" s="5">
        <f>INDEX('01_Benchmark_Input'!$B$2:$B$10,MATCH(B68,'01_Benchmark_Input'!$A$2:$A$10,0))</f>
        <v/>
      </c>
      <c r="J68" s="5">
        <f>INDEX('01_Benchmark_Input'!$C$2:$C$10,MATCH(B68,'01_Benchmark_Input'!$A$2:$A$10,0))</f>
        <v/>
      </c>
      <c r="K68" s="6">
        <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23" t="n">
        <v>8.5</v>
      </c>
      <c r="E69" s="24" t="n">
        <v>0.58235294</v>
      </c>
      <c r="F69" s="23" t="n">
        <v>1.2</v>
      </c>
      <c r="G69" s="24" t="n">
        <v>0.88</v>
      </c>
      <c r="H69" s="24" t="n">
        <v>0.68</v>
      </c>
      <c r="I69" s="5">
        <f>INDEX('01_Benchmark_Input'!$B$2:$B$10,MATCH(B69,'01_Benchmark_Input'!$A$2:$A$10,0))</f>
        <v/>
      </c>
      <c r="J69" s="5">
        <f>INDEX('01_Benchmark_Input'!$C$2:$C$10,MATCH(B69,'01_Benchmark_Input'!$A$2:$A$10,0))</f>
        <v/>
      </c>
      <c r="K69" s="6">
        <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23" t="n">
        <v>10.25</v>
      </c>
      <c r="E70" s="24" t="n">
        <v>0.65609756</v>
      </c>
      <c r="F70" s="23" t="n">
        <v>1.2</v>
      </c>
      <c r="G70" s="24" t="n">
        <v>0.88</v>
      </c>
      <c r="H70" s="24" t="n">
        <v>0.73</v>
      </c>
      <c r="I70" s="5">
        <f>INDEX('01_Benchmark_Input'!$B$2:$B$10,MATCH(B70,'01_Benchmark_Input'!$A$2:$A$10,0))</f>
        <v/>
      </c>
      <c r="J70" s="5">
        <f>INDEX('01_Benchmark_Input'!$C$2:$C$10,MATCH(B70,'01_Benchmark_Input'!$A$2:$A$10,0))</f>
        <v/>
      </c>
      <c r="K70" s="6">
        <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23" t="n">
        <v>12</v>
      </c>
      <c r="E71" s="24" t="n">
        <v>0.70833333</v>
      </c>
      <c r="F71" s="23" t="n">
        <v>1.2</v>
      </c>
      <c r="G71" s="24" t="n">
        <v>0.88</v>
      </c>
      <c r="H71" s="24" t="n">
        <v>0.78</v>
      </c>
      <c r="I71" s="5">
        <f>INDEX('01_Benchmark_Input'!$B$2:$B$10,MATCH(B71,'01_Benchmark_Input'!$A$2:$A$10,0))</f>
        <v/>
      </c>
      <c r="J71" s="5">
        <f>INDEX('01_Benchmark_Input'!$C$2:$C$10,MATCH(B71,'01_Benchmark_Input'!$A$2:$A$10,0))</f>
        <v/>
      </c>
      <c r="K71" s="6">
        <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23" t="n">
        <v>3.5</v>
      </c>
      <c r="E72" s="24" t="n">
        <v>0.28571429</v>
      </c>
      <c r="F72" s="23" t="n">
        <v>1.18</v>
      </c>
      <c r="G72" s="24" t="n">
        <v>0.86</v>
      </c>
      <c r="H72" s="24" t="n">
        <v>0.52</v>
      </c>
      <c r="I72" s="5">
        <f>INDEX('01_Benchmark_Input'!$B$2:$B$10,MATCH(B72,'01_Benchmark_Input'!$A$2:$A$10,0))</f>
        <v/>
      </c>
      <c r="J72" s="5">
        <f>INDEX('01_Benchmark_Input'!$C$2:$C$10,MATCH(B72,'01_Benchmark_Input'!$A$2:$A$10,0))</f>
        <v/>
      </c>
      <c r="K72" s="6">
        <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23" t="n">
        <v>4.375</v>
      </c>
      <c r="E73" s="24" t="n">
        <v>0.48571429</v>
      </c>
      <c r="F73" s="23" t="n">
        <v>1.18</v>
      </c>
      <c r="G73" s="24" t="n">
        <v>0.86</v>
      </c>
      <c r="H73" s="24" t="n">
        <v>0.575</v>
      </c>
      <c r="I73" s="5">
        <f>INDEX('01_Benchmark_Input'!$B$2:$B$10,MATCH(B73,'01_Benchmark_Input'!$A$2:$A$10,0))</f>
        <v/>
      </c>
      <c r="J73" s="5">
        <f>INDEX('01_Benchmark_Input'!$C$2:$C$10,MATCH(B73,'01_Benchmark_Input'!$A$2:$A$10,0))</f>
        <v/>
      </c>
      <c r="K73" s="6">
        <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23" t="n">
        <v>5.25</v>
      </c>
      <c r="E74" s="24" t="n">
        <v>0.61904762</v>
      </c>
      <c r="F74" s="23" t="n">
        <v>1.18</v>
      </c>
      <c r="G74" s="24" t="n">
        <v>0.86</v>
      </c>
      <c r="H74" s="24" t="n">
        <v>0.63</v>
      </c>
      <c r="I74" s="5">
        <f>INDEX('01_Benchmark_Input'!$B$2:$B$10,MATCH(B74,'01_Benchmark_Input'!$A$2:$A$10,0))</f>
        <v/>
      </c>
      <c r="J74" s="5">
        <f>INDEX('01_Benchmark_Input'!$C$2:$C$10,MATCH(B74,'01_Benchmark_Input'!$A$2:$A$10,0))</f>
        <v/>
      </c>
      <c r="K74" s="6">
        <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23" t="n">
        <v>6.125</v>
      </c>
      <c r="E75" s="24" t="n">
        <v>0.71428571</v>
      </c>
      <c r="F75" s="23" t="n">
        <v>1.18</v>
      </c>
      <c r="G75" s="24" t="n">
        <v>0.86</v>
      </c>
      <c r="H75" s="24" t="n">
        <v>0.6850000000000001</v>
      </c>
      <c r="I75" s="5">
        <f>INDEX('01_Benchmark_Input'!$B$2:$B$10,MATCH(B75,'01_Benchmark_Input'!$A$2:$A$10,0))</f>
        <v/>
      </c>
      <c r="J75" s="5">
        <f>INDEX('01_Benchmark_Input'!$C$2:$C$10,MATCH(B75,'01_Benchmark_Input'!$A$2:$A$10,0))</f>
        <v/>
      </c>
      <c r="K75" s="6">
        <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23" t="n">
        <v>7</v>
      </c>
      <c r="E76" s="24" t="n">
        <v>0.78571429</v>
      </c>
      <c r="F76" s="23" t="n">
        <v>1.18</v>
      </c>
      <c r="G76" s="24" t="n">
        <v>0.86</v>
      </c>
      <c r="H76" s="24" t="n">
        <v>0.74</v>
      </c>
      <c r="I76" s="5">
        <f>INDEX('01_Benchmark_Input'!$B$2:$B$10,MATCH(B76,'01_Benchmark_Input'!$A$2:$A$10,0))</f>
        <v/>
      </c>
      <c r="J76" s="5">
        <f>INDEX('01_Benchmark_Input'!$C$2:$C$10,MATCH(B76,'01_Benchmark_Input'!$A$2:$A$10,0))</f>
        <v/>
      </c>
      <c r="K76" s="6">
        <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23" t="n">
        <v>0.5</v>
      </c>
      <c r="E77" s="24" t="n">
        <v>0.3</v>
      </c>
      <c r="F77" s="23" t="n">
        <v>1.24</v>
      </c>
      <c r="G77" s="24" t="n">
        <v>0.82</v>
      </c>
      <c r="H77" s="24" t="n">
        <v>0.62</v>
      </c>
      <c r="I77" s="5">
        <f>INDEX('01_Benchmark_Input'!$B$2:$B$10,MATCH(B77,'01_Benchmark_Input'!$A$2:$A$10,0))</f>
        <v/>
      </c>
      <c r="J77" s="5">
        <f>INDEX('01_Benchmark_Input'!$C$2:$C$10,MATCH(B77,'01_Benchmark_Input'!$A$2:$A$10,0))</f>
        <v/>
      </c>
      <c r="K77" s="6">
        <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23" t="n">
        <v>0.825</v>
      </c>
      <c r="E78" s="24" t="n">
        <v>0.49939394</v>
      </c>
      <c r="F78" s="23" t="n">
        <v>1.24</v>
      </c>
      <c r="G78" s="24" t="n">
        <v>0.82</v>
      </c>
      <c r="H78" s="24" t="n">
        <v>0.67</v>
      </c>
      <c r="I78" s="5">
        <f>INDEX('01_Benchmark_Input'!$B$2:$B$10,MATCH(B78,'01_Benchmark_Input'!$A$2:$A$10,0))</f>
        <v/>
      </c>
      <c r="J78" s="5">
        <f>INDEX('01_Benchmark_Input'!$C$2:$C$10,MATCH(B78,'01_Benchmark_Input'!$A$2:$A$10,0))</f>
        <v/>
      </c>
      <c r="K78" s="6">
        <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23" t="n">
        <v>1.15</v>
      </c>
      <c r="E79" s="24" t="n">
        <v>0.58695652</v>
      </c>
      <c r="F79" s="23" t="n">
        <v>1.24</v>
      </c>
      <c r="G79" s="24" t="n">
        <v>0.82</v>
      </c>
      <c r="H79" s="24" t="n">
        <v>0.72</v>
      </c>
      <c r="I79" s="5">
        <f>INDEX('01_Benchmark_Input'!$B$2:$B$10,MATCH(B79,'01_Benchmark_Input'!$A$2:$A$10,0))</f>
        <v/>
      </c>
      <c r="J79" s="5">
        <f>INDEX('01_Benchmark_Input'!$C$2:$C$10,MATCH(B79,'01_Benchmark_Input'!$A$2:$A$10,0))</f>
        <v/>
      </c>
      <c r="K79" s="6">
        <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23" t="n">
        <v>1.475</v>
      </c>
      <c r="E80" s="24" t="n">
        <v>0.6359321999999999</v>
      </c>
      <c r="F80" s="23" t="n">
        <v>1.24</v>
      </c>
      <c r="G80" s="24" t="n">
        <v>0.82</v>
      </c>
      <c r="H80" s="24" t="n">
        <v>0.77</v>
      </c>
      <c r="I80" s="5">
        <f>INDEX('01_Benchmark_Input'!$B$2:$B$10,MATCH(B80,'01_Benchmark_Input'!$A$2:$A$10,0))</f>
        <v/>
      </c>
      <c r="J80" s="5">
        <f>INDEX('01_Benchmark_Input'!$C$2:$C$10,MATCH(B80,'01_Benchmark_Input'!$A$2:$A$10,0))</f>
        <v/>
      </c>
      <c r="K80" s="6">
        <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23" t="n">
        <v>1.8</v>
      </c>
      <c r="E81" s="24" t="n">
        <v>0.66666667</v>
      </c>
      <c r="F81" s="23" t="n">
        <v>1.24</v>
      </c>
      <c r="G81" s="24" t="n">
        <v>0.82</v>
      </c>
      <c r="H81" s="24" t="n">
        <v>0.82</v>
      </c>
      <c r="I81" s="5">
        <f>INDEX('01_Benchmark_Input'!$B$2:$B$10,MATCH(B81,'01_Benchmark_Input'!$A$2:$A$10,0))</f>
        <v/>
      </c>
      <c r="J81" s="5">
        <f>INDEX('01_Benchmark_Input'!$C$2:$C$10,MATCH(B81,'01_Benchmark_Input'!$A$2:$A$10,0))</f>
        <v/>
      </c>
      <c r="K81" s="6">
        <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23" t="n">
        <v>1.8</v>
      </c>
      <c r="E82" s="24" t="n">
        <v>0.36111111</v>
      </c>
      <c r="F82" s="23" t="n">
        <v>1.23</v>
      </c>
      <c r="G82" s="24" t="n">
        <v>0.84</v>
      </c>
      <c r="H82" s="24" t="n">
        <v>0.6</v>
      </c>
      <c r="I82" s="5">
        <f>INDEX('01_Benchmark_Input'!$B$2:$B$10,MATCH(B82,'01_Benchmark_Input'!$A$2:$A$10,0))</f>
        <v/>
      </c>
      <c r="J82" s="5">
        <f>INDEX('01_Benchmark_Input'!$C$2:$C$10,MATCH(B82,'01_Benchmark_Input'!$A$2:$A$10,0))</f>
        <v/>
      </c>
      <c r="K82" s="6">
        <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23" t="n">
        <v>2.35</v>
      </c>
      <c r="E83" s="24" t="n">
        <v>0.54808511</v>
      </c>
      <c r="F83" s="23" t="n">
        <v>1.23</v>
      </c>
      <c r="G83" s="24" t="n">
        <v>0.84</v>
      </c>
      <c r="H83" s="24" t="n">
        <v>0.65</v>
      </c>
      <c r="I83" s="5">
        <f>INDEX('01_Benchmark_Input'!$B$2:$B$10,MATCH(B83,'01_Benchmark_Input'!$A$2:$A$10,0))</f>
        <v/>
      </c>
      <c r="J83" s="5">
        <f>INDEX('01_Benchmark_Input'!$C$2:$C$10,MATCH(B83,'01_Benchmark_Input'!$A$2:$A$10,0))</f>
        <v/>
      </c>
      <c r="K83" s="6">
        <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23" t="n">
        <v>2.9</v>
      </c>
      <c r="E84" s="24" t="n">
        <v>0.6637931</v>
      </c>
      <c r="F84" s="23" t="n">
        <v>1.23</v>
      </c>
      <c r="G84" s="24" t="n">
        <v>0.84</v>
      </c>
      <c r="H84" s="24" t="n">
        <v>0.7</v>
      </c>
      <c r="I84" s="5">
        <f>INDEX('01_Benchmark_Input'!$B$2:$B$10,MATCH(B84,'01_Benchmark_Input'!$A$2:$A$10,0))</f>
        <v/>
      </c>
      <c r="J84" s="5">
        <f>INDEX('01_Benchmark_Input'!$C$2:$C$10,MATCH(B84,'01_Benchmark_Input'!$A$2:$A$10,0))</f>
        <v/>
      </c>
      <c r="K84" s="6">
        <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23" t="n">
        <v>3.45</v>
      </c>
      <c r="E85" s="24" t="n">
        <v>0.7426087</v>
      </c>
      <c r="F85" s="23" t="n">
        <v>1.23</v>
      </c>
      <c r="G85" s="24" t="n">
        <v>0.84</v>
      </c>
      <c r="H85" s="24" t="n">
        <v>0.75</v>
      </c>
      <c r="I85" s="5">
        <f>INDEX('01_Benchmark_Input'!$B$2:$B$10,MATCH(B85,'01_Benchmark_Input'!$A$2:$A$10,0))</f>
        <v/>
      </c>
      <c r="J85" s="5">
        <f>INDEX('01_Benchmark_Input'!$C$2:$C$10,MATCH(B85,'01_Benchmark_Input'!$A$2:$A$10,0))</f>
        <v/>
      </c>
      <c r="K85" s="6">
        <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23" t="n">
        <v>4</v>
      </c>
      <c r="E86" s="24" t="n">
        <v>0.8</v>
      </c>
      <c r="F86" s="23" t="n">
        <v>1.23</v>
      </c>
      <c r="G86" s="24" t="n">
        <v>0.84</v>
      </c>
      <c r="H86" s="24" t="n">
        <v>0.8</v>
      </c>
      <c r="I86" s="5">
        <f>INDEX('01_Benchmark_Input'!$B$2:$B$10,MATCH(B86,'01_Benchmark_Input'!$A$2:$A$10,0))</f>
        <v/>
      </c>
      <c r="J86" s="5">
        <f>INDEX('01_Benchmark_Input'!$C$2:$C$10,MATCH(B86,'01_Benchmark_Input'!$A$2:$A$10,0))</f>
        <v/>
      </c>
      <c r="K86" s="6">
        <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23" t="n">
        <v>1.2</v>
      </c>
      <c r="E87" s="24" t="n">
        <v>0.375</v>
      </c>
      <c r="F87" s="23" t="n">
        <v>1.23</v>
      </c>
      <c r="G87" s="24" t="n">
        <v>0.84</v>
      </c>
      <c r="H87" s="24" t="n">
        <v>0.6</v>
      </c>
      <c r="I87" s="5">
        <f>INDEX('01_Benchmark_Input'!$B$2:$B$10,MATCH(B87,'01_Benchmark_Input'!$A$2:$A$10,0))</f>
        <v/>
      </c>
      <c r="J87" s="5">
        <f>INDEX('01_Benchmark_Input'!$C$2:$C$10,MATCH(B87,'01_Benchmark_Input'!$A$2:$A$10,0))</f>
        <v/>
      </c>
      <c r="K87" s="6">
        <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23" t="n">
        <v>1.65</v>
      </c>
      <c r="E88" s="24" t="n">
        <v>0.56848485</v>
      </c>
      <c r="F88" s="23" t="n">
        <v>1.23</v>
      </c>
      <c r="G88" s="24" t="n">
        <v>0.84</v>
      </c>
      <c r="H88" s="24" t="n">
        <v>0.65</v>
      </c>
      <c r="I88" s="5">
        <f>INDEX('01_Benchmark_Input'!$B$2:$B$10,MATCH(B88,'01_Benchmark_Input'!$A$2:$A$10,0))</f>
        <v/>
      </c>
      <c r="J88" s="5">
        <f>INDEX('01_Benchmark_Input'!$C$2:$C$10,MATCH(B88,'01_Benchmark_Input'!$A$2:$A$10,0))</f>
        <v/>
      </c>
      <c r="K88" s="6">
        <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23" t="n">
        <v>2.1</v>
      </c>
      <c r="E89" s="24" t="n">
        <v>0.67857143</v>
      </c>
      <c r="F89" s="23" t="n">
        <v>1.23</v>
      </c>
      <c r="G89" s="24" t="n">
        <v>0.84</v>
      </c>
      <c r="H89" s="24" t="n">
        <v>0.7</v>
      </c>
      <c r="I89" s="5">
        <f>INDEX('01_Benchmark_Input'!$B$2:$B$10,MATCH(B89,'01_Benchmark_Input'!$A$2:$A$10,0))</f>
        <v/>
      </c>
      <c r="J89" s="5">
        <f>INDEX('01_Benchmark_Input'!$C$2:$C$10,MATCH(B89,'01_Benchmark_Input'!$A$2:$A$10,0))</f>
        <v/>
      </c>
      <c r="K89" s="6">
        <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23" t="n">
        <v>2.55</v>
      </c>
      <c r="E90" s="24" t="n">
        <v>0.74980392</v>
      </c>
      <c r="F90" s="23" t="n">
        <v>1.23</v>
      </c>
      <c r="G90" s="24" t="n">
        <v>0.84</v>
      </c>
      <c r="H90" s="24" t="n">
        <v>0.75</v>
      </c>
      <c r="I90" s="5">
        <f>INDEX('01_Benchmark_Input'!$B$2:$B$10,MATCH(B90,'01_Benchmark_Input'!$A$2:$A$10,0))</f>
        <v/>
      </c>
      <c r="J90" s="5">
        <f>INDEX('01_Benchmark_Input'!$C$2:$C$10,MATCH(B90,'01_Benchmark_Input'!$A$2:$A$10,0))</f>
        <v/>
      </c>
      <c r="K90" s="6">
        <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23" t="n">
        <v>3</v>
      </c>
      <c r="E91" s="24" t="n">
        <v>0.8</v>
      </c>
      <c r="F91" s="23" t="n">
        <v>1.23</v>
      </c>
      <c r="G91" s="24" t="n">
        <v>0.84</v>
      </c>
      <c r="H91" s="24" t="n">
        <v>0.8</v>
      </c>
      <c r="I91" s="5">
        <f>INDEX('01_Benchmark_Input'!$B$2:$B$10,MATCH(B91,'01_Benchmark_Input'!$A$2:$A$10,0))</f>
        <v/>
      </c>
      <c r="J91" s="5">
        <f>INDEX('01_Benchmark_Input'!$C$2:$C$10,MATCH(B91,'01_Benchmark_Input'!$A$2:$A$10,0))</f>
        <v/>
      </c>
      <c r="K91" s="6">
        <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23" t="n">
        <v>4</v>
      </c>
      <c r="E92" s="24" t="n">
        <v>0.4725</v>
      </c>
      <c r="F92" s="23" t="n">
        <v>1.2</v>
      </c>
      <c r="G92" s="24" t="n">
        <v>0.86</v>
      </c>
      <c r="H92" s="24" t="n">
        <v>0.6</v>
      </c>
      <c r="I92" s="5">
        <f>INDEX('01_Benchmark_Input'!$B$2:$B$10,MATCH(B92,'01_Benchmark_Input'!$A$2:$A$10,0))</f>
        <v/>
      </c>
      <c r="J92" s="5">
        <f>INDEX('01_Benchmark_Input'!$C$2:$C$10,MATCH(B92,'01_Benchmark_Input'!$A$2:$A$10,0))</f>
        <v/>
      </c>
      <c r="K92" s="6">
        <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23" t="n">
        <v>5.25</v>
      </c>
      <c r="E93" s="24" t="n">
        <v>0.59790476</v>
      </c>
      <c r="F93" s="23" t="n">
        <v>1.2</v>
      </c>
      <c r="G93" s="24" t="n">
        <v>0.86</v>
      </c>
      <c r="H93" s="24" t="n">
        <v>0.658</v>
      </c>
      <c r="I93" s="5">
        <f>INDEX('01_Benchmark_Input'!$B$2:$B$10,MATCH(B93,'01_Benchmark_Input'!$A$2:$A$10,0))</f>
        <v/>
      </c>
      <c r="J93" s="5">
        <f>INDEX('01_Benchmark_Input'!$C$2:$C$10,MATCH(B93,'01_Benchmark_Input'!$A$2:$A$10,0))</f>
        <v/>
      </c>
      <c r="K93" s="6">
        <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23" t="n">
        <v>6.5</v>
      </c>
      <c r="E94" s="24" t="n">
        <v>0.68615385</v>
      </c>
      <c r="F94" s="23" t="n">
        <v>1.2</v>
      </c>
      <c r="G94" s="24" t="n">
        <v>0.86</v>
      </c>
      <c r="H94" s="24" t="n">
        <v>0.715</v>
      </c>
      <c r="I94" s="5">
        <f>INDEX('01_Benchmark_Input'!$B$2:$B$10,MATCH(B94,'01_Benchmark_Input'!$A$2:$A$10,0))</f>
        <v/>
      </c>
      <c r="J94" s="5">
        <f>INDEX('01_Benchmark_Input'!$C$2:$C$10,MATCH(B94,'01_Benchmark_Input'!$A$2:$A$10,0))</f>
        <v/>
      </c>
      <c r="K94" s="6">
        <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23" t="n">
        <v>7.75</v>
      </c>
      <c r="E95" s="24" t="n">
        <v>0.75509677</v>
      </c>
      <c r="F95" s="23" t="n">
        <v>1.2</v>
      </c>
      <c r="G95" s="24" t="n">
        <v>0.86</v>
      </c>
      <c r="H95" s="24" t="n">
        <v>0.772</v>
      </c>
      <c r="I95" s="5">
        <f>INDEX('01_Benchmark_Input'!$B$2:$B$10,MATCH(B95,'01_Benchmark_Input'!$A$2:$A$10,0))</f>
        <v/>
      </c>
      <c r="J95" s="5">
        <f>INDEX('01_Benchmark_Input'!$C$2:$C$10,MATCH(B95,'01_Benchmark_Input'!$A$2:$A$10,0))</f>
        <v/>
      </c>
      <c r="K95" s="6">
        <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23" t="n">
        <v>9</v>
      </c>
      <c r="E96" s="24" t="n">
        <v>0.81288889</v>
      </c>
      <c r="F96" s="23" t="n">
        <v>1.2</v>
      </c>
      <c r="G96" s="24" t="n">
        <v>0.86</v>
      </c>
      <c r="H96" s="24" t="n">
        <v>0.83</v>
      </c>
      <c r="I96" s="5">
        <f>INDEX('01_Benchmark_Input'!$B$2:$B$10,MATCH(B96,'01_Benchmark_Input'!$A$2:$A$10,0))</f>
        <v/>
      </c>
      <c r="J96" s="5">
        <f>INDEX('01_Benchmark_Input'!$C$2:$C$10,MATCH(B96,'01_Benchmark_Input'!$A$2:$A$10,0))</f>
        <v/>
      </c>
      <c r="K96" s="6">
        <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23" t="n">
        <v>4.5</v>
      </c>
      <c r="E97" s="24" t="n">
        <v>0.51333333</v>
      </c>
      <c r="F97" s="23" t="n">
        <v>1.18</v>
      </c>
      <c r="G97" s="24" t="n">
        <v>0.88</v>
      </c>
      <c r="H97" s="24" t="n">
        <v>0.6</v>
      </c>
      <c r="I97" s="5">
        <f>INDEX('01_Benchmark_Input'!$B$2:$B$10,MATCH(B97,'01_Benchmark_Input'!$A$2:$A$10,0))</f>
        <v/>
      </c>
      <c r="J97" s="5">
        <f>INDEX('01_Benchmark_Input'!$C$2:$C$10,MATCH(B97,'01_Benchmark_Input'!$A$2:$A$10,0))</f>
        <v/>
      </c>
      <c r="K97" s="6">
        <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23" t="n">
        <v>5.375</v>
      </c>
      <c r="E98" s="24" t="n">
        <v>0.67460465</v>
      </c>
      <c r="F98" s="23" t="n">
        <v>1.18</v>
      </c>
      <c r="G98" s="24" t="n">
        <v>0.88</v>
      </c>
      <c r="H98" s="24" t="n">
        <v>0.65</v>
      </c>
      <c r="I98" s="5">
        <f>INDEX('01_Benchmark_Input'!$B$2:$B$10,MATCH(B98,'01_Benchmark_Input'!$A$2:$A$10,0))</f>
        <v/>
      </c>
      <c r="J98" s="5">
        <f>INDEX('01_Benchmark_Input'!$C$2:$C$10,MATCH(B98,'01_Benchmark_Input'!$A$2:$A$10,0))</f>
        <v/>
      </c>
      <c r="K98" s="6">
        <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23" t="n">
        <v>6.25</v>
      </c>
      <c r="E99" s="24" t="n">
        <v>0.80288</v>
      </c>
      <c r="F99" s="23" t="n">
        <v>1.18</v>
      </c>
      <c r="G99" s="24" t="n">
        <v>0.88</v>
      </c>
      <c r="H99" s="24" t="n">
        <v>0.7</v>
      </c>
      <c r="I99" s="5">
        <f>INDEX('01_Benchmark_Input'!$B$2:$B$10,MATCH(B99,'01_Benchmark_Input'!$A$2:$A$10,0))</f>
        <v/>
      </c>
      <c r="J99" s="5">
        <f>INDEX('01_Benchmark_Input'!$C$2:$C$10,MATCH(B99,'01_Benchmark_Input'!$A$2:$A$10,0))</f>
        <v/>
      </c>
      <c r="K99" s="6">
        <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23" t="n">
        <v>7.125</v>
      </c>
      <c r="E100" s="24" t="n">
        <v>0.90989474</v>
      </c>
      <c r="F100" s="23" t="n">
        <v>1.18</v>
      </c>
      <c r="G100" s="24" t="n">
        <v>0.88</v>
      </c>
      <c r="H100" s="24" t="n">
        <v>0.75</v>
      </c>
      <c r="I100" s="5">
        <f>INDEX('01_Benchmark_Input'!$B$2:$B$10,MATCH(B100,'01_Benchmark_Input'!$A$2:$A$10,0))</f>
        <v/>
      </c>
      <c r="J100" s="5">
        <f>INDEX('01_Benchmark_Input'!$C$2:$C$10,MATCH(B100,'01_Benchmark_Input'!$A$2:$A$10,0))</f>
        <v/>
      </c>
      <c r="K100" s="6">
        <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23" t="n">
        <v>8</v>
      </c>
      <c r="E101" s="24" t="n">
        <v>1</v>
      </c>
      <c r="F101" s="23" t="n">
        <v>1.18</v>
      </c>
      <c r="G101" s="24" t="n">
        <v>0.88</v>
      </c>
      <c r="H101" s="24" t="n">
        <v>0.8</v>
      </c>
      <c r="I101" s="5">
        <f>INDEX('01_Benchmark_Input'!$B$2:$B$10,MATCH(B101,'01_Benchmark_Input'!$A$2:$A$10,0))</f>
        <v/>
      </c>
      <c r="J101" s="5">
        <f>INDEX('01_Benchmark_Input'!$C$2:$C$10,MATCH(B101,'01_Benchmark_Input'!$A$2:$A$10,0))</f>
        <v/>
      </c>
      <c r="K101" s="6">
        <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23" t="n">
        <v>3.5</v>
      </c>
      <c r="E102" s="24" t="n">
        <v>0.48</v>
      </c>
      <c r="F102" s="23" t="n">
        <v>1.2</v>
      </c>
      <c r="G102" s="24" t="n">
        <v>0.87</v>
      </c>
      <c r="H102" s="24" t="n">
        <v>0.63</v>
      </c>
      <c r="I102" s="5">
        <f>INDEX('01_Benchmark_Input'!$B$2:$B$10,MATCH(B102,'01_Benchmark_Input'!$A$2:$A$10,0))</f>
        <v/>
      </c>
      <c r="J102" s="5">
        <f>INDEX('01_Benchmark_Input'!$C$2:$C$10,MATCH(B102,'01_Benchmark_Input'!$A$2:$A$10,0))</f>
        <v/>
      </c>
      <c r="K102" s="6">
        <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23" t="n">
        <v>4.375</v>
      </c>
      <c r="E103" s="24" t="n">
        <v>0.65577143</v>
      </c>
      <c r="F103" s="23" t="n">
        <v>1.2</v>
      </c>
      <c r="G103" s="24" t="n">
        <v>0.87</v>
      </c>
      <c r="H103" s="24" t="n">
        <v>0.6879999999999999</v>
      </c>
      <c r="I103" s="5">
        <f>INDEX('01_Benchmark_Input'!$B$2:$B$10,MATCH(B103,'01_Benchmark_Input'!$A$2:$A$10,0))</f>
        <v/>
      </c>
      <c r="J103" s="5">
        <f>INDEX('01_Benchmark_Input'!$C$2:$C$10,MATCH(B103,'01_Benchmark_Input'!$A$2:$A$10,0))</f>
        <v/>
      </c>
      <c r="K103" s="6">
        <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23" t="n">
        <v>5.25</v>
      </c>
      <c r="E104" s="24" t="n">
        <v>0.78571429</v>
      </c>
      <c r="F104" s="23" t="n">
        <v>1.2</v>
      </c>
      <c r="G104" s="24" t="n">
        <v>0.87</v>
      </c>
      <c r="H104" s="24" t="n">
        <v>0.745</v>
      </c>
      <c r="I104" s="5">
        <f>INDEX('01_Benchmark_Input'!$B$2:$B$10,MATCH(B104,'01_Benchmark_Input'!$A$2:$A$10,0))</f>
        <v/>
      </c>
      <c r="J104" s="5">
        <f>INDEX('01_Benchmark_Input'!$C$2:$C$10,MATCH(B104,'01_Benchmark_Input'!$A$2:$A$10,0))</f>
        <v/>
      </c>
      <c r="K104" s="6">
        <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23" t="n">
        <v>6.125</v>
      </c>
      <c r="E105" s="24" t="n">
        <v>0.88995918</v>
      </c>
      <c r="F105" s="23" t="n">
        <v>1.2</v>
      </c>
      <c r="G105" s="24" t="n">
        <v>0.87</v>
      </c>
      <c r="H105" s="24" t="n">
        <v>0.802</v>
      </c>
      <c r="I105" s="5">
        <f>INDEX('01_Benchmark_Input'!$B$2:$B$10,MATCH(B105,'01_Benchmark_Input'!$A$2:$A$10,0))</f>
        <v/>
      </c>
      <c r="J105" s="5">
        <f>INDEX('01_Benchmark_Input'!$C$2:$C$10,MATCH(B105,'01_Benchmark_Input'!$A$2:$A$10,0))</f>
        <v/>
      </c>
      <c r="K105" s="6">
        <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23" t="n">
        <v>7</v>
      </c>
      <c r="E106" s="24" t="n">
        <v>0.97771429</v>
      </c>
      <c r="F106" s="23" t="n">
        <v>1.2</v>
      </c>
      <c r="G106" s="24" t="n">
        <v>0.87</v>
      </c>
      <c r="H106" s="24" t="n">
        <v>0.86</v>
      </c>
      <c r="I106" s="5">
        <f>INDEX('01_Benchmark_Input'!$B$2:$B$10,MATCH(B106,'01_Benchmark_Input'!$A$2:$A$10,0))</f>
        <v/>
      </c>
      <c r="J106" s="5">
        <f>INDEX('01_Benchmark_Input'!$C$2:$C$10,MATCH(B106,'01_Benchmark_Input'!$A$2:$A$10,0))</f>
        <v/>
      </c>
      <c r="K106" s="6">
        <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23" t="n">
        <v>1</v>
      </c>
      <c r="E107" s="24" t="n">
        <v>0.367</v>
      </c>
      <c r="F107" s="23" t="n">
        <v>1.22</v>
      </c>
      <c r="G107" s="24" t="n">
        <v>0.85</v>
      </c>
      <c r="H107" s="24" t="n">
        <v>0.5</v>
      </c>
      <c r="I107" s="5">
        <f>INDEX('01_Benchmark_Input'!$B$2:$B$10,MATCH(B107,'01_Benchmark_Input'!$A$2:$A$10,0))</f>
        <v/>
      </c>
      <c r="J107" s="5">
        <f>INDEX('01_Benchmark_Input'!$C$2:$C$10,MATCH(B107,'01_Benchmark_Input'!$A$2:$A$10,0))</f>
        <v/>
      </c>
      <c r="K107" s="6">
        <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23" t="n">
        <v>1.5</v>
      </c>
      <c r="E108" s="24" t="n">
        <v>0.64066667</v>
      </c>
      <c r="F108" s="23" t="n">
        <v>1.22</v>
      </c>
      <c r="G108" s="24" t="n">
        <v>0.85</v>
      </c>
      <c r="H108" s="24" t="n">
        <v>0.57</v>
      </c>
      <c r="I108" s="5">
        <f>INDEX('01_Benchmark_Input'!$B$2:$B$10,MATCH(B108,'01_Benchmark_Input'!$A$2:$A$10,0))</f>
        <v/>
      </c>
      <c r="J108" s="5">
        <f>INDEX('01_Benchmark_Input'!$C$2:$C$10,MATCH(B108,'01_Benchmark_Input'!$A$2:$A$10,0))</f>
        <v/>
      </c>
      <c r="K108" s="6">
        <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23" t="n">
        <v>2</v>
      </c>
      <c r="E109" s="24" t="n">
        <v>0.7945</v>
      </c>
      <c r="F109" s="23" t="n">
        <v>1.22</v>
      </c>
      <c r="G109" s="24" t="n">
        <v>0.85</v>
      </c>
      <c r="H109" s="24" t="n">
        <v>0.64</v>
      </c>
      <c r="I109" s="5">
        <f>INDEX('01_Benchmark_Input'!$B$2:$B$10,MATCH(B109,'01_Benchmark_Input'!$A$2:$A$10,0))</f>
        <v/>
      </c>
      <c r="J109" s="5">
        <f>INDEX('01_Benchmark_Input'!$C$2:$C$10,MATCH(B109,'01_Benchmark_Input'!$A$2:$A$10,0))</f>
        <v/>
      </c>
      <c r="K109" s="6">
        <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23" t="n">
        <v>2.5</v>
      </c>
      <c r="E110" s="24" t="n">
        <v>0.9008</v>
      </c>
      <c r="F110" s="23" t="n">
        <v>1.22</v>
      </c>
      <c r="G110" s="24" t="n">
        <v>0.85</v>
      </c>
      <c r="H110" s="24" t="n">
        <v>0.71</v>
      </c>
      <c r="I110" s="5">
        <f>INDEX('01_Benchmark_Input'!$B$2:$B$10,MATCH(B110,'01_Benchmark_Input'!$A$2:$A$10,0))</f>
        <v/>
      </c>
      <c r="J110" s="5">
        <f>INDEX('01_Benchmark_Input'!$C$2:$C$10,MATCH(B110,'01_Benchmark_Input'!$A$2:$A$10,0))</f>
        <v/>
      </c>
      <c r="K110" s="6">
        <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23" t="n">
        <v>3</v>
      </c>
      <c r="E111" s="24" t="n">
        <v>0.98333333</v>
      </c>
      <c r="F111" s="23" t="n">
        <v>1.22</v>
      </c>
      <c r="G111" s="24" t="n">
        <v>0.85</v>
      </c>
      <c r="H111" s="24" t="n">
        <v>0.78</v>
      </c>
      <c r="I111" s="5">
        <f>INDEX('01_Benchmark_Input'!$B$2:$B$10,MATCH(B111,'01_Benchmark_Input'!$A$2:$A$10,0))</f>
        <v/>
      </c>
      <c r="J111" s="5">
        <f>INDEX('01_Benchmark_Input'!$C$2:$C$10,MATCH(B111,'01_Benchmark_Input'!$A$2:$A$10,0))</f>
        <v/>
      </c>
      <c r="K111" s="6">
        <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23" t="n">
        <v>5</v>
      </c>
      <c r="E112" s="24" t="n">
        <v>0.294</v>
      </c>
      <c r="F112" s="23" t="n">
        <v>1.2</v>
      </c>
      <c r="G112" s="24" t="n">
        <v>0.88</v>
      </c>
      <c r="H112" s="24" t="n">
        <v>0.63</v>
      </c>
      <c r="I112" s="5">
        <f>INDEX('01_Benchmark_Input'!$B$2:$B$10,MATCH(B112,'01_Benchmark_Input'!$A$2:$A$10,0))</f>
        <v/>
      </c>
      <c r="J112" s="5">
        <f>INDEX('01_Benchmark_Input'!$C$2:$C$10,MATCH(B112,'01_Benchmark_Input'!$A$2:$A$10,0))</f>
        <v/>
      </c>
      <c r="K112" s="6">
        <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23" t="n">
        <v>6.75</v>
      </c>
      <c r="E113" s="24" t="n">
        <v>0.50918519</v>
      </c>
      <c r="F113" s="23" t="n">
        <v>1.2</v>
      </c>
      <c r="G113" s="24" t="n">
        <v>0.88</v>
      </c>
      <c r="H113" s="24" t="n">
        <v>0.6879999999999999</v>
      </c>
      <c r="I113" s="5">
        <f>INDEX('01_Benchmark_Input'!$B$2:$B$10,MATCH(B113,'01_Benchmark_Input'!$A$2:$A$10,0))</f>
        <v/>
      </c>
      <c r="J113" s="5">
        <f>INDEX('01_Benchmark_Input'!$C$2:$C$10,MATCH(B113,'01_Benchmark_Input'!$A$2:$A$10,0))</f>
        <v/>
      </c>
      <c r="K113" s="6">
        <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23" t="n">
        <v>8.5</v>
      </c>
      <c r="E114" s="24" t="n">
        <v>0.64929412</v>
      </c>
      <c r="F114" s="23" t="n">
        <v>1.2</v>
      </c>
      <c r="G114" s="24" t="n">
        <v>0.88</v>
      </c>
      <c r="H114" s="24" t="n">
        <v>0.745</v>
      </c>
      <c r="I114" s="5">
        <f>INDEX('01_Benchmark_Input'!$B$2:$B$10,MATCH(B114,'01_Benchmark_Input'!$A$2:$A$10,0))</f>
        <v/>
      </c>
      <c r="J114" s="5">
        <f>INDEX('01_Benchmark_Input'!$C$2:$C$10,MATCH(B114,'01_Benchmark_Input'!$A$2:$A$10,0))</f>
        <v/>
      </c>
      <c r="K114" s="6">
        <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23" t="n">
        <v>10.25</v>
      </c>
      <c r="E115" s="24" t="n">
        <v>0.75287805</v>
      </c>
      <c r="F115" s="23" t="n">
        <v>1.2</v>
      </c>
      <c r="G115" s="24" t="n">
        <v>0.88</v>
      </c>
      <c r="H115" s="24" t="n">
        <v>0.802</v>
      </c>
      <c r="I115" s="5">
        <f>INDEX('01_Benchmark_Input'!$B$2:$B$10,MATCH(B115,'01_Benchmark_Input'!$A$2:$A$10,0))</f>
        <v/>
      </c>
      <c r="J115" s="5">
        <f>INDEX('01_Benchmark_Input'!$C$2:$C$10,MATCH(B115,'01_Benchmark_Input'!$A$2:$A$10,0))</f>
        <v/>
      </c>
      <c r="K115" s="6">
        <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23" t="n">
        <v>12</v>
      </c>
      <c r="E116" s="24" t="n">
        <v>0.83583333</v>
      </c>
      <c r="F116" s="23" t="n">
        <v>1.2</v>
      </c>
      <c r="G116" s="24" t="n">
        <v>0.88</v>
      </c>
      <c r="H116" s="24" t="n">
        <v>0.86</v>
      </c>
      <c r="I116" s="5">
        <f>INDEX('01_Benchmark_Input'!$B$2:$B$10,MATCH(B116,'01_Benchmark_Input'!$A$2:$A$10,0))</f>
        <v/>
      </c>
      <c r="J116" s="5">
        <f>INDEX('01_Benchmark_Input'!$C$2:$C$10,MATCH(B116,'01_Benchmark_Input'!$A$2:$A$10,0))</f>
        <v/>
      </c>
      <c r="K116" s="6">
        <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23" t="n">
        <v>3.5</v>
      </c>
      <c r="E117" s="24" t="n">
        <v>0.3</v>
      </c>
      <c r="F117" s="23" t="n">
        <v>1.18</v>
      </c>
      <c r="G117" s="24" t="n">
        <v>0.86</v>
      </c>
      <c r="H117" s="24" t="n">
        <v>0.57</v>
      </c>
      <c r="I117" s="5">
        <f>INDEX('01_Benchmark_Input'!$B$2:$B$10,MATCH(B117,'01_Benchmark_Input'!$A$2:$A$10,0))</f>
        <v/>
      </c>
      <c r="J117" s="5">
        <f>INDEX('01_Benchmark_Input'!$C$2:$C$10,MATCH(B117,'01_Benchmark_Input'!$A$2:$A$10,0))</f>
        <v/>
      </c>
      <c r="K117" s="6">
        <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23" t="n">
        <v>4.375</v>
      </c>
      <c r="E118" s="24" t="n">
        <v>0.52571429</v>
      </c>
      <c r="F118" s="23" t="n">
        <v>1.18</v>
      </c>
      <c r="G118" s="24" t="n">
        <v>0.86</v>
      </c>
      <c r="H118" s="24" t="n">
        <v>0.632</v>
      </c>
      <c r="I118" s="5">
        <f>INDEX('01_Benchmark_Input'!$B$2:$B$10,MATCH(B118,'01_Benchmark_Input'!$A$2:$A$10,0))</f>
        <v/>
      </c>
      <c r="J118" s="5">
        <f>INDEX('01_Benchmark_Input'!$C$2:$C$10,MATCH(B118,'01_Benchmark_Input'!$A$2:$A$10,0))</f>
        <v/>
      </c>
      <c r="K118" s="6">
        <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23" t="n">
        <v>5.25</v>
      </c>
      <c r="E119" s="24" t="n">
        <v>0.6902857100000001</v>
      </c>
      <c r="F119" s="23" t="n">
        <v>1.18</v>
      </c>
      <c r="G119" s="24" t="n">
        <v>0.86</v>
      </c>
      <c r="H119" s="24" t="n">
        <v>0.695</v>
      </c>
      <c r="I119" s="5">
        <f>INDEX('01_Benchmark_Input'!$B$2:$B$10,MATCH(B119,'01_Benchmark_Input'!$A$2:$A$10,0))</f>
        <v/>
      </c>
      <c r="J119" s="5">
        <f>INDEX('01_Benchmark_Input'!$C$2:$C$10,MATCH(B119,'01_Benchmark_Input'!$A$2:$A$10,0))</f>
        <v/>
      </c>
      <c r="K119" s="6">
        <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23" t="n">
        <v>6.125</v>
      </c>
      <c r="E120" s="24" t="n">
        <v>0.81959184</v>
      </c>
      <c r="F120" s="23" t="n">
        <v>1.18</v>
      </c>
      <c r="G120" s="24" t="n">
        <v>0.86</v>
      </c>
      <c r="H120" s="24" t="n">
        <v>0.758</v>
      </c>
      <c r="I120" s="5">
        <f>INDEX('01_Benchmark_Input'!$B$2:$B$10,MATCH(B120,'01_Benchmark_Input'!$A$2:$A$10,0))</f>
        <v/>
      </c>
      <c r="J120" s="5">
        <f>INDEX('01_Benchmark_Input'!$C$2:$C$10,MATCH(B120,'01_Benchmark_Input'!$A$2:$A$10,0))</f>
        <v/>
      </c>
      <c r="K120" s="6">
        <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23" t="n">
        <v>7</v>
      </c>
      <c r="E121" s="24" t="n">
        <v>0.92714286</v>
      </c>
      <c r="F121" s="23" t="n">
        <v>1.18</v>
      </c>
      <c r="G121" s="24" t="n">
        <v>0.86</v>
      </c>
      <c r="H121" s="24" t="n">
        <v>0.82</v>
      </c>
      <c r="I121" s="5">
        <f>INDEX('01_Benchmark_Input'!$B$2:$B$10,MATCH(B121,'01_Benchmark_Input'!$A$2:$A$10,0))</f>
        <v/>
      </c>
      <c r="J121" s="5">
        <f>INDEX('01_Benchmark_Input'!$C$2:$C$10,MATCH(B121,'01_Benchmark_Input'!$A$2:$A$10,0))</f>
        <v/>
      </c>
      <c r="K121" s="6">
        <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23" t="n">
        <v>0.5</v>
      </c>
      <c r="E122" s="24" t="n">
        <v>0.316</v>
      </c>
      <c r="F122" s="23" t="n">
        <v>1.24</v>
      </c>
      <c r="G122" s="24" t="n">
        <v>0.82</v>
      </c>
      <c r="H122" s="24" t="n">
        <v>0.67</v>
      </c>
      <c r="I122" s="5">
        <f>INDEX('01_Benchmark_Input'!$B$2:$B$10,MATCH(B122,'01_Benchmark_Input'!$A$2:$A$10,0))</f>
        <v/>
      </c>
      <c r="J122" s="5">
        <f>INDEX('01_Benchmark_Input'!$C$2:$C$10,MATCH(B122,'01_Benchmark_Input'!$A$2:$A$10,0))</f>
        <v/>
      </c>
      <c r="K122" s="6">
        <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23" t="n">
        <v>0.825</v>
      </c>
      <c r="E123" s="24" t="n">
        <v>0.54181818</v>
      </c>
      <c r="F123" s="23" t="n">
        <v>1.24</v>
      </c>
      <c r="G123" s="24" t="n">
        <v>0.82</v>
      </c>
      <c r="H123" s="24" t="n">
        <v>0.727</v>
      </c>
      <c r="I123" s="5">
        <f>INDEX('01_Benchmark_Input'!$B$2:$B$10,MATCH(B123,'01_Benchmark_Input'!$A$2:$A$10,0))</f>
        <v/>
      </c>
      <c r="J123" s="5">
        <f>INDEX('01_Benchmark_Input'!$C$2:$C$10,MATCH(B123,'01_Benchmark_Input'!$A$2:$A$10,0))</f>
        <v/>
      </c>
      <c r="K123" s="6">
        <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23" t="n">
        <v>1.15</v>
      </c>
      <c r="E124" s="24" t="n">
        <v>0.65478261</v>
      </c>
      <c r="F124" s="23" t="n">
        <v>1.24</v>
      </c>
      <c r="G124" s="24" t="n">
        <v>0.82</v>
      </c>
      <c r="H124" s="24" t="n">
        <v>0.785</v>
      </c>
      <c r="I124" s="5">
        <f>INDEX('01_Benchmark_Input'!$B$2:$B$10,MATCH(B124,'01_Benchmark_Input'!$A$2:$A$10,0))</f>
        <v/>
      </c>
      <c r="J124" s="5">
        <f>INDEX('01_Benchmark_Input'!$C$2:$C$10,MATCH(B124,'01_Benchmark_Input'!$A$2:$A$10,0))</f>
        <v/>
      </c>
      <c r="K124" s="6">
        <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23" t="n">
        <v>1.475</v>
      </c>
      <c r="E125" s="24" t="n">
        <v>0.72949153</v>
      </c>
      <c r="F125" s="23" t="n">
        <v>1.24</v>
      </c>
      <c r="G125" s="24" t="n">
        <v>0.82</v>
      </c>
      <c r="H125" s="24" t="n">
        <v>0.843</v>
      </c>
      <c r="I125" s="5">
        <f>INDEX('01_Benchmark_Input'!$B$2:$B$10,MATCH(B125,'01_Benchmark_Input'!$A$2:$A$10,0))</f>
        <v/>
      </c>
      <c r="J125" s="5">
        <f>INDEX('01_Benchmark_Input'!$C$2:$C$10,MATCH(B125,'01_Benchmark_Input'!$A$2:$A$10,0))</f>
        <v/>
      </c>
      <c r="K125" s="6">
        <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23" t="n">
        <v>1.8</v>
      </c>
      <c r="E126" s="24" t="n">
        <v>0.78666667</v>
      </c>
      <c r="F126" s="23" t="n">
        <v>1.24</v>
      </c>
      <c r="G126" s="24" t="n">
        <v>0.82</v>
      </c>
      <c r="H126" s="24" t="n">
        <v>0.9</v>
      </c>
      <c r="I126" s="5">
        <f>INDEX('01_Benchmark_Input'!$B$2:$B$10,MATCH(B126,'01_Benchmark_Input'!$A$2:$A$10,0))</f>
        <v/>
      </c>
      <c r="J126" s="5">
        <f>INDEX('01_Benchmark_Input'!$C$2:$C$10,MATCH(B126,'01_Benchmark_Input'!$A$2:$A$10,0))</f>
        <v/>
      </c>
      <c r="K126" s="6">
        <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23" t="n">
        <v>1.8</v>
      </c>
      <c r="E127" s="24" t="n">
        <v>0.37944444</v>
      </c>
      <c r="F127" s="23" t="n">
        <v>1.23</v>
      </c>
      <c r="G127" s="24" t="n">
        <v>0.84</v>
      </c>
      <c r="H127" s="24" t="n">
        <v>0.65</v>
      </c>
      <c r="I127" s="5">
        <f>INDEX('01_Benchmark_Input'!$B$2:$B$10,MATCH(B127,'01_Benchmark_Input'!$A$2:$A$10,0))</f>
        <v/>
      </c>
      <c r="J127" s="5">
        <f>INDEX('01_Benchmark_Input'!$C$2:$C$10,MATCH(B127,'01_Benchmark_Input'!$A$2:$A$10,0))</f>
        <v/>
      </c>
      <c r="K127" s="6">
        <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23" t="n">
        <v>2.35</v>
      </c>
      <c r="E128" s="24" t="n">
        <v>0.59319149</v>
      </c>
      <c r="F128" s="23" t="n">
        <v>1.23</v>
      </c>
      <c r="G128" s="24" t="n">
        <v>0.84</v>
      </c>
      <c r="H128" s="24" t="n">
        <v>0.708</v>
      </c>
      <c r="I128" s="5">
        <f>INDEX('01_Benchmark_Input'!$B$2:$B$10,MATCH(B128,'01_Benchmark_Input'!$A$2:$A$10,0))</f>
        <v/>
      </c>
      <c r="J128" s="5">
        <f>INDEX('01_Benchmark_Input'!$C$2:$C$10,MATCH(B128,'01_Benchmark_Input'!$A$2:$A$10,0))</f>
        <v/>
      </c>
      <c r="K128" s="6">
        <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23" t="n">
        <v>2.9</v>
      </c>
      <c r="E129" s="24" t="n">
        <v>0.74</v>
      </c>
      <c r="F129" s="23" t="n">
        <v>1.23</v>
      </c>
      <c r="G129" s="24" t="n">
        <v>0.84</v>
      </c>
      <c r="H129" s="24" t="n">
        <v>0.765</v>
      </c>
      <c r="I129" s="5">
        <f>INDEX('01_Benchmark_Input'!$B$2:$B$10,MATCH(B129,'01_Benchmark_Input'!$A$2:$A$10,0))</f>
        <v/>
      </c>
      <c r="J129" s="5">
        <f>INDEX('01_Benchmark_Input'!$C$2:$C$10,MATCH(B129,'01_Benchmark_Input'!$A$2:$A$10,0))</f>
        <v/>
      </c>
      <c r="K129" s="6">
        <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23" t="n">
        <v>3.45</v>
      </c>
      <c r="E130" s="24" t="n">
        <v>0.85217391</v>
      </c>
      <c r="F130" s="23" t="n">
        <v>1.23</v>
      </c>
      <c r="G130" s="24" t="n">
        <v>0.84</v>
      </c>
      <c r="H130" s="24" t="n">
        <v>0.823</v>
      </c>
      <c r="I130" s="5">
        <f>INDEX('01_Benchmark_Input'!$B$2:$B$10,MATCH(B130,'01_Benchmark_Input'!$A$2:$A$10,0))</f>
        <v/>
      </c>
      <c r="J130" s="5">
        <f>INDEX('01_Benchmark_Input'!$C$2:$C$10,MATCH(B130,'01_Benchmark_Input'!$A$2:$A$10,0))</f>
        <v/>
      </c>
      <c r="K130" s="6">
        <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23" t="n">
        <v>4</v>
      </c>
      <c r="E131" s="24" t="n">
        <v>0.944</v>
      </c>
      <c r="F131" s="23" t="n">
        <v>1.23</v>
      </c>
      <c r="G131" s="24" t="n">
        <v>0.84</v>
      </c>
      <c r="H131" s="24" t="n">
        <v>0.88</v>
      </c>
      <c r="I131" s="5">
        <f>INDEX('01_Benchmark_Input'!$B$2:$B$10,MATCH(B131,'01_Benchmark_Input'!$A$2:$A$10,0))</f>
        <v/>
      </c>
      <c r="J131" s="5">
        <f>INDEX('01_Benchmark_Input'!$C$2:$C$10,MATCH(B131,'01_Benchmark_Input'!$A$2:$A$10,0))</f>
        <v/>
      </c>
      <c r="K131" s="6">
        <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23" t="n">
        <v>1.2</v>
      </c>
      <c r="E132" s="24" t="n">
        <v>0.39416667</v>
      </c>
      <c r="F132" s="23" t="n">
        <v>1.23</v>
      </c>
      <c r="G132" s="24" t="n">
        <v>0.84</v>
      </c>
      <c r="H132" s="24" t="n">
        <v>0.65</v>
      </c>
      <c r="I132" s="5">
        <f>INDEX('01_Benchmark_Input'!$B$2:$B$10,MATCH(B132,'01_Benchmark_Input'!$A$2:$A$10,0))</f>
        <v/>
      </c>
      <c r="J132" s="5">
        <f>INDEX('01_Benchmark_Input'!$C$2:$C$10,MATCH(B132,'01_Benchmark_Input'!$A$2:$A$10,0))</f>
        <v/>
      </c>
      <c r="K132" s="6">
        <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23" t="n">
        <v>1.65</v>
      </c>
      <c r="E133" s="24" t="n">
        <v>0.61515152</v>
      </c>
      <c r="F133" s="23" t="n">
        <v>1.23</v>
      </c>
      <c r="G133" s="24" t="n">
        <v>0.84</v>
      </c>
      <c r="H133" s="24" t="n">
        <v>0.708</v>
      </c>
      <c r="I133" s="5">
        <f>INDEX('01_Benchmark_Input'!$B$2:$B$10,MATCH(B133,'01_Benchmark_Input'!$A$2:$A$10,0))</f>
        <v/>
      </c>
      <c r="J133" s="5">
        <f>INDEX('01_Benchmark_Input'!$C$2:$C$10,MATCH(B133,'01_Benchmark_Input'!$A$2:$A$10,0))</f>
        <v/>
      </c>
      <c r="K133" s="6">
        <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23" t="n">
        <v>2.1</v>
      </c>
      <c r="E134" s="24" t="n">
        <v>0.75666667</v>
      </c>
      <c r="F134" s="23" t="n">
        <v>1.23</v>
      </c>
      <c r="G134" s="24" t="n">
        <v>0.84</v>
      </c>
      <c r="H134" s="24" t="n">
        <v>0.765</v>
      </c>
      <c r="I134" s="5">
        <f>INDEX('01_Benchmark_Input'!$B$2:$B$10,MATCH(B134,'01_Benchmark_Input'!$A$2:$A$10,0))</f>
        <v/>
      </c>
      <c r="J134" s="5">
        <f>INDEX('01_Benchmark_Input'!$C$2:$C$10,MATCH(B134,'01_Benchmark_Input'!$A$2:$A$10,0))</f>
        <v/>
      </c>
      <c r="K134" s="6">
        <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23" t="n">
        <v>2.55</v>
      </c>
      <c r="E135" s="24" t="n">
        <v>0.86078431</v>
      </c>
      <c r="F135" s="23" t="n">
        <v>1.23</v>
      </c>
      <c r="G135" s="24" t="n">
        <v>0.84</v>
      </c>
      <c r="H135" s="24" t="n">
        <v>0.823</v>
      </c>
      <c r="I135" s="5">
        <f>INDEX('01_Benchmark_Input'!$B$2:$B$10,MATCH(B135,'01_Benchmark_Input'!$A$2:$A$10,0))</f>
        <v/>
      </c>
      <c r="J135" s="5">
        <f>INDEX('01_Benchmark_Input'!$C$2:$C$10,MATCH(B135,'01_Benchmark_Input'!$A$2:$A$10,0))</f>
        <v/>
      </c>
      <c r="K135" s="6">
        <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23" t="n">
        <v>3</v>
      </c>
      <c r="E136" s="24" t="n">
        <v>0.944</v>
      </c>
      <c r="F136" s="23" t="n">
        <v>1.23</v>
      </c>
      <c r="G136" s="24" t="n">
        <v>0.84</v>
      </c>
      <c r="H136" s="24" t="n">
        <v>0.88</v>
      </c>
      <c r="I136" s="5">
        <f>INDEX('01_Benchmark_Input'!$B$2:$B$10,MATCH(B136,'01_Benchmark_Input'!$A$2:$A$10,0))</f>
        <v/>
      </c>
      <c r="J136" s="5">
        <f>INDEX('01_Benchmark_Input'!$C$2:$C$10,MATCH(B136,'01_Benchmark_Input'!$A$2:$A$10,0))</f>
        <v/>
      </c>
      <c r="K136" s="6">
        <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23" t="n">
        <v>4</v>
      </c>
      <c r="E137" s="24" t="n">
        <v>0.396</v>
      </c>
      <c r="F137" s="23" t="n">
        <v>1.2</v>
      </c>
      <c r="G137" s="24" t="n">
        <v>0.86</v>
      </c>
      <c r="H137" s="24" t="n">
        <v>0.57</v>
      </c>
      <c r="I137" s="5">
        <f>INDEX('01_Benchmark_Input'!$B$2:$B$10,MATCH(B137,'01_Benchmark_Input'!$A$2:$A$10,0))</f>
        <v/>
      </c>
      <c r="J137" s="5">
        <f>INDEX('01_Benchmark_Input'!$C$2:$C$10,MATCH(B137,'01_Benchmark_Input'!$A$2:$A$10,0))</f>
        <v/>
      </c>
      <c r="K137" s="6">
        <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23" t="n">
        <v>5.25</v>
      </c>
      <c r="E138" s="24" t="n">
        <v>0.464</v>
      </c>
      <c r="F138" s="23" t="n">
        <v>1.2</v>
      </c>
      <c r="G138" s="24" t="n">
        <v>0.86</v>
      </c>
      <c r="H138" s="24" t="n">
        <v>0.625</v>
      </c>
      <c r="I138" s="5">
        <f>INDEX('01_Benchmark_Input'!$B$2:$B$10,MATCH(B138,'01_Benchmark_Input'!$A$2:$A$10,0))</f>
        <v/>
      </c>
      <c r="J138" s="5">
        <f>INDEX('01_Benchmark_Input'!$C$2:$C$10,MATCH(B138,'01_Benchmark_Input'!$A$2:$A$10,0))</f>
        <v/>
      </c>
      <c r="K138" s="6">
        <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23" t="n">
        <v>6.5</v>
      </c>
      <c r="E139" s="24" t="n">
        <v>0.49230769</v>
      </c>
      <c r="F139" s="23" t="n">
        <v>1.2</v>
      </c>
      <c r="G139" s="24" t="n">
        <v>0.86</v>
      </c>
      <c r="H139" s="24" t="n">
        <v>0.68</v>
      </c>
      <c r="I139" s="5">
        <f>INDEX('01_Benchmark_Input'!$B$2:$B$10,MATCH(B139,'01_Benchmark_Input'!$A$2:$A$10,0))</f>
        <v/>
      </c>
      <c r="J139" s="5">
        <f>INDEX('01_Benchmark_Input'!$C$2:$C$10,MATCH(B139,'01_Benchmark_Input'!$A$2:$A$10,0))</f>
        <v/>
      </c>
      <c r="K139" s="6">
        <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23" t="n">
        <v>7.75</v>
      </c>
      <c r="E140" s="24" t="n">
        <v>0.50012903</v>
      </c>
      <c r="F140" s="23" t="n">
        <v>1.2</v>
      </c>
      <c r="G140" s="24" t="n">
        <v>0.86</v>
      </c>
      <c r="H140" s="24" t="n">
        <v>0.735</v>
      </c>
      <c r="I140" s="5">
        <f>INDEX('01_Benchmark_Input'!$B$2:$B$10,MATCH(B140,'01_Benchmark_Input'!$A$2:$A$10,0))</f>
        <v/>
      </c>
      <c r="J140" s="5">
        <f>INDEX('01_Benchmark_Input'!$C$2:$C$10,MATCH(B140,'01_Benchmark_Input'!$A$2:$A$10,0))</f>
        <v/>
      </c>
      <c r="K140" s="6">
        <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23" t="n">
        <v>9</v>
      </c>
      <c r="E141" s="24" t="n">
        <v>0.496</v>
      </c>
      <c r="F141" s="23" t="n">
        <v>1.2</v>
      </c>
      <c r="G141" s="24" t="n">
        <v>0.86</v>
      </c>
      <c r="H141" s="24" t="n">
        <v>0.79</v>
      </c>
      <c r="I141" s="5">
        <f>INDEX('01_Benchmark_Input'!$B$2:$B$10,MATCH(B141,'01_Benchmark_Input'!$A$2:$A$10,0))</f>
        <v/>
      </c>
      <c r="J141" s="5">
        <f>INDEX('01_Benchmark_Input'!$C$2:$C$10,MATCH(B141,'01_Benchmark_Input'!$A$2:$A$10,0))</f>
        <v/>
      </c>
      <c r="K141" s="6">
        <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23" t="n">
        <v>4.5</v>
      </c>
      <c r="E142" s="24" t="n">
        <v>0.43022222</v>
      </c>
      <c r="F142" s="23" t="n">
        <v>1.18</v>
      </c>
      <c r="G142" s="24" t="n">
        <v>0.88</v>
      </c>
      <c r="H142" s="24" t="n">
        <v>0.57</v>
      </c>
      <c r="I142" s="5">
        <f>INDEX('01_Benchmark_Input'!$B$2:$B$10,MATCH(B142,'01_Benchmark_Input'!$A$2:$A$10,0))</f>
        <v/>
      </c>
      <c r="J142" s="5">
        <f>INDEX('01_Benchmark_Input'!$C$2:$C$10,MATCH(B142,'01_Benchmark_Input'!$A$2:$A$10,0))</f>
        <v/>
      </c>
      <c r="K142" s="6">
        <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23" t="n">
        <v>5.375</v>
      </c>
      <c r="E143" s="24" t="n">
        <v>0.52353488</v>
      </c>
      <c r="F143" s="23" t="n">
        <v>1.18</v>
      </c>
      <c r="G143" s="24" t="n">
        <v>0.88</v>
      </c>
      <c r="H143" s="24" t="n">
        <v>0.618</v>
      </c>
      <c r="I143" s="5">
        <f>INDEX('01_Benchmark_Input'!$B$2:$B$10,MATCH(B143,'01_Benchmark_Input'!$A$2:$A$10,0))</f>
        <v/>
      </c>
      <c r="J143" s="5">
        <f>INDEX('01_Benchmark_Input'!$C$2:$C$10,MATCH(B143,'01_Benchmark_Input'!$A$2:$A$10,0))</f>
        <v/>
      </c>
      <c r="K143" s="6">
        <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23" t="n">
        <v>6.25</v>
      </c>
      <c r="E144" s="24" t="n">
        <v>0.576</v>
      </c>
      <c r="F144" s="23" t="n">
        <v>1.18</v>
      </c>
      <c r="G144" s="24" t="n">
        <v>0.88</v>
      </c>
      <c r="H144" s="24" t="n">
        <v>0.665</v>
      </c>
      <c r="I144" s="5">
        <f>INDEX('01_Benchmark_Input'!$B$2:$B$10,MATCH(B144,'01_Benchmark_Input'!$A$2:$A$10,0))</f>
        <v/>
      </c>
      <c r="J144" s="5">
        <f>INDEX('01_Benchmark_Input'!$C$2:$C$10,MATCH(B144,'01_Benchmark_Input'!$A$2:$A$10,0))</f>
        <v/>
      </c>
      <c r="K144" s="6">
        <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23" t="n">
        <v>7.125</v>
      </c>
      <c r="E145" s="24" t="n">
        <v>0.60266667</v>
      </c>
      <c r="F145" s="23" t="n">
        <v>1.18</v>
      </c>
      <c r="G145" s="24" t="n">
        <v>0.88</v>
      </c>
      <c r="H145" s="24" t="n">
        <v>0.713</v>
      </c>
      <c r="I145" s="5">
        <f>INDEX('01_Benchmark_Input'!$B$2:$B$10,MATCH(B145,'01_Benchmark_Input'!$A$2:$A$10,0))</f>
        <v/>
      </c>
      <c r="J145" s="5">
        <f>INDEX('01_Benchmark_Input'!$C$2:$C$10,MATCH(B145,'01_Benchmark_Input'!$A$2:$A$10,0))</f>
        <v/>
      </c>
      <c r="K145" s="6">
        <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23" t="n">
        <v>8</v>
      </c>
      <c r="E146" s="24" t="n">
        <v>0.612</v>
      </c>
      <c r="F146" s="23" t="n">
        <v>1.18</v>
      </c>
      <c r="G146" s="24" t="n">
        <v>0.88</v>
      </c>
      <c r="H146" s="24" t="n">
        <v>0.76</v>
      </c>
      <c r="I146" s="5">
        <f>INDEX('01_Benchmark_Input'!$B$2:$B$10,MATCH(B146,'01_Benchmark_Input'!$A$2:$A$10,0))</f>
        <v/>
      </c>
      <c r="J146" s="5">
        <f>INDEX('01_Benchmark_Input'!$C$2:$C$10,MATCH(B146,'01_Benchmark_Input'!$A$2:$A$10,0))</f>
        <v/>
      </c>
      <c r="K146" s="6">
        <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23" t="n">
        <v>3.5</v>
      </c>
      <c r="E147" s="24" t="n">
        <v>0.40228571</v>
      </c>
      <c r="F147" s="23" t="n">
        <v>1.2</v>
      </c>
      <c r="G147" s="24" t="n">
        <v>0.87</v>
      </c>
      <c r="H147" s="24" t="n">
        <v>0.6</v>
      </c>
      <c r="I147" s="5">
        <f>INDEX('01_Benchmark_Input'!$B$2:$B$10,MATCH(B147,'01_Benchmark_Input'!$A$2:$A$10,0))</f>
        <v/>
      </c>
      <c r="J147" s="5">
        <f>INDEX('01_Benchmark_Input'!$C$2:$C$10,MATCH(B147,'01_Benchmark_Input'!$A$2:$A$10,0))</f>
        <v/>
      </c>
      <c r="K147" s="6">
        <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23" t="n">
        <v>4.375</v>
      </c>
      <c r="E148" s="24" t="n">
        <v>0.5088</v>
      </c>
      <c r="F148" s="23" t="n">
        <v>1.2</v>
      </c>
      <c r="G148" s="24" t="n">
        <v>0.87</v>
      </c>
      <c r="H148" s="24" t="n">
        <v>0.655</v>
      </c>
      <c r="I148" s="5">
        <f>INDEX('01_Benchmark_Input'!$B$2:$B$10,MATCH(B148,'01_Benchmark_Input'!$A$2:$A$10,0))</f>
        <v/>
      </c>
      <c r="J148" s="5">
        <f>INDEX('01_Benchmark_Input'!$C$2:$C$10,MATCH(B148,'01_Benchmark_Input'!$A$2:$A$10,0))</f>
        <v/>
      </c>
      <c r="K148" s="6">
        <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23" t="n">
        <v>5.25</v>
      </c>
      <c r="E149" s="24" t="n">
        <v>0.56380952</v>
      </c>
      <c r="F149" s="23" t="n">
        <v>1.2</v>
      </c>
      <c r="G149" s="24" t="n">
        <v>0.87</v>
      </c>
      <c r="H149" s="24" t="n">
        <v>0.71</v>
      </c>
      <c r="I149" s="5">
        <f>INDEX('01_Benchmark_Input'!$B$2:$B$10,MATCH(B149,'01_Benchmark_Input'!$A$2:$A$10,0))</f>
        <v/>
      </c>
      <c r="J149" s="5">
        <f>INDEX('01_Benchmark_Input'!$C$2:$C$10,MATCH(B149,'01_Benchmark_Input'!$A$2:$A$10,0))</f>
        <v/>
      </c>
      <c r="K149" s="6">
        <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23" t="n">
        <v>6.125</v>
      </c>
      <c r="E150" s="24" t="n">
        <v>0.58938776</v>
      </c>
      <c r="F150" s="23" t="n">
        <v>1.2</v>
      </c>
      <c r="G150" s="24" t="n">
        <v>0.87</v>
      </c>
      <c r="H150" s="24" t="n">
        <v>0.765</v>
      </c>
      <c r="I150" s="5">
        <f>INDEX('01_Benchmark_Input'!$B$2:$B$10,MATCH(B150,'01_Benchmark_Input'!$A$2:$A$10,0))</f>
        <v/>
      </c>
      <c r="J150" s="5">
        <f>INDEX('01_Benchmark_Input'!$C$2:$C$10,MATCH(B150,'01_Benchmark_Input'!$A$2:$A$10,0))</f>
        <v/>
      </c>
      <c r="K150" s="6">
        <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23" t="n">
        <v>7</v>
      </c>
      <c r="E151" s="24" t="n">
        <v>0.59657143</v>
      </c>
      <c r="F151" s="23" t="n">
        <v>1.2</v>
      </c>
      <c r="G151" s="24" t="n">
        <v>0.87</v>
      </c>
      <c r="H151" s="24" t="n">
        <v>0.82</v>
      </c>
      <c r="I151" s="5">
        <f>INDEX('01_Benchmark_Input'!$B$2:$B$10,MATCH(B151,'01_Benchmark_Input'!$A$2:$A$10,0))</f>
        <v/>
      </c>
      <c r="J151" s="5">
        <f>INDEX('01_Benchmark_Input'!$C$2:$C$10,MATCH(B151,'01_Benchmark_Input'!$A$2:$A$10,0))</f>
        <v/>
      </c>
      <c r="K151" s="6">
        <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23" t="n">
        <v>1</v>
      </c>
      <c r="E152" s="24" t="n">
        <v>0.308</v>
      </c>
      <c r="F152" s="23" t="n">
        <v>1.22</v>
      </c>
      <c r="G152" s="24" t="n">
        <v>0.85</v>
      </c>
      <c r="H152" s="24" t="n">
        <v>0.47</v>
      </c>
      <c r="I152" s="5">
        <f>INDEX('01_Benchmark_Input'!$B$2:$B$10,MATCH(B152,'01_Benchmark_Input'!$A$2:$A$10,0))</f>
        <v/>
      </c>
      <c r="J152" s="5">
        <f>INDEX('01_Benchmark_Input'!$C$2:$C$10,MATCH(B152,'01_Benchmark_Input'!$A$2:$A$10,0))</f>
        <v/>
      </c>
      <c r="K152" s="6">
        <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23" t="n">
        <v>1.5</v>
      </c>
      <c r="E153" s="24" t="n">
        <v>0.49666667</v>
      </c>
      <c r="F153" s="23" t="n">
        <v>1.22</v>
      </c>
      <c r="G153" s="24" t="n">
        <v>0.85</v>
      </c>
      <c r="H153" s="24" t="n">
        <v>0.537</v>
      </c>
      <c r="I153" s="5">
        <f>INDEX('01_Benchmark_Input'!$B$2:$B$10,MATCH(B153,'01_Benchmark_Input'!$A$2:$A$10,0))</f>
        <v/>
      </c>
      <c r="J153" s="5">
        <f>INDEX('01_Benchmark_Input'!$C$2:$C$10,MATCH(B153,'01_Benchmark_Input'!$A$2:$A$10,0))</f>
        <v/>
      </c>
      <c r="K153" s="6">
        <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23" t="n">
        <v>2</v>
      </c>
      <c r="E154" s="24" t="n">
        <v>0.57</v>
      </c>
      <c r="F154" s="23" t="n">
        <v>1.22</v>
      </c>
      <c r="G154" s="24" t="n">
        <v>0.85</v>
      </c>
      <c r="H154" s="24" t="n">
        <v>0.605</v>
      </c>
      <c r="I154" s="5">
        <f>INDEX('01_Benchmark_Input'!$B$2:$B$10,MATCH(B154,'01_Benchmark_Input'!$A$2:$A$10,0))</f>
        <v/>
      </c>
      <c r="J154" s="5">
        <f>INDEX('01_Benchmark_Input'!$C$2:$C$10,MATCH(B154,'01_Benchmark_Input'!$A$2:$A$10,0))</f>
        <v/>
      </c>
      <c r="K154" s="6">
        <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23" t="n">
        <v>2.5</v>
      </c>
      <c r="E155" s="24" t="n">
        <v>0.5968</v>
      </c>
      <c r="F155" s="23" t="n">
        <v>1.22</v>
      </c>
      <c r="G155" s="24" t="n">
        <v>0.85</v>
      </c>
      <c r="H155" s="24" t="n">
        <v>0.672</v>
      </c>
      <c r="I155" s="5">
        <f>INDEX('01_Benchmark_Input'!$B$2:$B$10,MATCH(B155,'01_Benchmark_Input'!$A$2:$A$10,0))</f>
        <v/>
      </c>
      <c r="J155" s="5">
        <f>INDEX('01_Benchmark_Input'!$C$2:$C$10,MATCH(B155,'01_Benchmark_Input'!$A$2:$A$10,0))</f>
        <v/>
      </c>
      <c r="K155" s="6">
        <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23" t="n">
        <v>3</v>
      </c>
      <c r="E156" s="24" t="n">
        <v>0.6</v>
      </c>
      <c r="F156" s="23" t="n">
        <v>1.22</v>
      </c>
      <c r="G156" s="24" t="n">
        <v>0.85</v>
      </c>
      <c r="H156" s="24" t="n">
        <v>0.74</v>
      </c>
      <c r="I156" s="5">
        <f>INDEX('01_Benchmark_Input'!$B$2:$B$10,MATCH(B156,'01_Benchmark_Input'!$A$2:$A$10,0))</f>
        <v/>
      </c>
      <c r="J156" s="5">
        <f>INDEX('01_Benchmark_Input'!$C$2:$C$10,MATCH(B156,'01_Benchmark_Input'!$A$2:$A$10,0))</f>
        <v/>
      </c>
      <c r="K156" s="6">
        <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23" t="n">
        <v>5</v>
      </c>
      <c r="E157" s="24" t="n">
        <v>0.2464</v>
      </c>
      <c r="F157" s="23" t="n">
        <v>1.2</v>
      </c>
      <c r="G157" s="24" t="n">
        <v>0.88</v>
      </c>
      <c r="H157" s="24" t="n">
        <v>0.6</v>
      </c>
      <c r="I157" s="5">
        <f>INDEX('01_Benchmark_Input'!$B$2:$B$10,MATCH(B157,'01_Benchmark_Input'!$A$2:$A$10,0))</f>
        <v/>
      </c>
      <c r="J157" s="5">
        <f>INDEX('01_Benchmark_Input'!$C$2:$C$10,MATCH(B157,'01_Benchmark_Input'!$A$2:$A$10,0))</f>
        <v/>
      </c>
      <c r="K157" s="6">
        <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23" t="n">
        <v>6.75</v>
      </c>
      <c r="E158" s="24" t="n">
        <v>0.39511111</v>
      </c>
      <c r="F158" s="23" t="n">
        <v>1.2</v>
      </c>
      <c r="G158" s="24" t="n">
        <v>0.88</v>
      </c>
      <c r="H158" s="24" t="n">
        <v>0.655</v>
      </c>
      <c r="I158" s="5">
        <f>INDEX('01_Benchmark_Input'!$B$2:$B$10,MATCH(B158,'01_Benchmark_Input'!$A$2:$A$10,0))</f>
        <v/>
      </c>
      <c r="J158" s="5">
        <f>INDEX('01_Benchmark_Input'!$C$2:$C$10,MATCH(B158,'01_Benchmark_Input'!$A$2:$A$10,0))</f>
        <v/>
      </c>
      <c r="K158" s="6">
        <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23" t="n">
        <v>8.5</v>
      </c>
      <c r="E159" s="24" t="n">
        <v>0.46588235</v>
      </c>
      <c r="F159" s="23" t="n">
        <v>1.2</v>
      </c>
      <c r="G159" s="24" t="n">
        <v>0.88</v>
      </c>
      <c r="H159" s="24" t="n">
        <v>0.71</v>
      </c>
      <c r="I159" s="5">
        <f>INDEX('01_Benchmark_Input'!$B$2:$B$10,MATCH(B159,'01_Benchmark_Input'!$A$2:$A$10,0))</f>
        <v/>
      </c>
      <c r="J159" s="5">
        <f>INDEX('01_Benchmark_Input'!$C$2:$C$10,MATCH(B159,'01_Benchmark_Input'!$A$2:$A$10,0))</f>
        <v/>
      </c>
      <c r="K159" s="6">
        <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23" t="n">
        <v>10.25</v>
      </c>
      <c r="E160" s="24" t="n">
        <v>0.49863415</v>
      </c>
      <c r="F160" s="23" t="n">
        <v>1.2</v>
      </c>
      <c r="G160" s="24" t="n">
        <v>0.88</v>
      </c>
      <c r="H160" s="24" t="n">
        <v>0.765</v>
      </c>
      <c r="I160" s="5">
        <f>INDEX('01_Benchmark_Input'!$B$2:$B$10,MATCH(B160,'01_Benchmark_Input'!$A$2:$A$10,0))</f>
        <v/>
      </c>
      <c r="J160" s="5">
        <f>INDEX('01_Benchmark_Input'!$C$2:$C$10,MATCH(B160,'01_Benchmark_Input'!$A$2:$A$10,0))</f>
        <v/>
      </c>
      <c r="K160" s="6">
        <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23" t="n">
        <v>12</v>
      </c>
      <c r="E161" s="24" t="n">
        <v>0.51</v>
      </c>
      <c r="F161" s="23" t="n">
        <v>1.2</v>
      </c>
      <c r="G161" s="24" t="n">
        <v>0.88</v>
      </c>
      <c r="H161" s="24" t="n">
        <v>0.82</v>
      </c>
      <c r="I161" s="5">
        <f>INDEX('01_Benchmark_Input'!$B$2:$B$10,MATCH(B161,'01_Benchmark_Input'!$A$2:$A$10,0))</f>
        <v/>
      </c>
      <c r="J161" s="5">
        <f>INDEX('01_Benchmark_Input'!$C$2:$C$10,MATCH(B161,'01_Benchmark_Input'!$A$2:$A$10,0))</f>
        <v/>
      </c>
      <c r="K161" s="6">
        <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23" t="n">
        <v>3.5</v>
      </c>
      <c r="E162" s="24" t="n">
        <v>0.25142857</v>
      </c>
      <c r="F162" s="23" t="n">
        <v>1.18</v>
      </c>
      <c r="G162" s="24" t="n">
        <v>0.86</v>
      </c>
      <c r="H162" s="24" t="n">
        <v>0.54</v>
      </c>
      <c r="I162" s="5">
        <f>INDEX('01_Benchmark_Input'!$B$2:$B$10,MATCH(B162,'01_Benchmark_Input'!$A$2:$A$10,0))</f>
        <v/>
      </c>
      <c r="J162" s="5">
        <f>INDEX('01_Benchmark_Input'!$C$2:$C$10,MATCH(B162,'01_Benchmark_Input'!$A$2:$A$10,0))</f>
        <v/>
      </c>
      <c r="K162" s="6">
        <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23" t="n">
        <v>4.375</v>
      </c>
      <c r="E163" s="24" t="n">
        <v>0.408</v>
      </c>
      <c r="F163" s="23" t="n">
        <v>1.18</v>
      </c>
      <c r="G163" s="24" t="n">
        <v>0.86</v>
      </c>
      <c r="H163" s="24" t="n">
        <v>0.6</v>
      </c>
      <c r="I163" s="5">
        <f>INDEX('01_Benchmark_Input'!$B$2:$B$10,MATCH(B163,'01_Benchmark_Input'!$A$2:$A$10,0))</f>
        <v/>
      </c>
      <c r="J163" s="5">
        <f>INDEX('01_Benchmark_Input'!$C$2:$C$10,MATCH(B163,'01_Benchmark_Input'!$A$2:$A$10,0))</f>
        <v/>
      </c>
      <c r="K163" s="6">
        <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23" t="n">
        <v>5.25</v>
      </c>
      <c r="E164" s="24" t="n">
        <v>0.4952381</v>
      </c>
      <c r="F164" s="23" t="n">
        <v>1.18</v>
      </c>
      <c r="G164" s="24" t="n">
        <v>0.86</v>
      </c>
      <c r="H164" s="24" t="n">
        <v>0.66</v>
      </c>
      <c r="I164" s="5">
        <f>INDEX('01_Benchmark_Input'!$B$2:$B$10,MATCH(B164,'01_Benchmark_Input'!$A$2:$A$10,0))</f>
        <v/>
      </c>
      <c r="J164" s="5">
        <f>INDEX('01_Benchmark_Input'!$C$2:$C$10,MATCH(B164,'01_Benchmark_Input'!$A$2:$A$10,0))</f>
        <v/>
      </c>
      <c r="K164" s="6">
        <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23" t="n">
        <v>6.125</v>
      </c>
      <c r="E165" s="24" t="n">
        <v>0.54285714</v>
      </c>
      <c r="F165" s="23" t="n">
        <v>1.18</v>
      </c>
      <c r="G165" s="24" t="n">
        <v>0.86</v>
      </c>
      <c r="H165" s="24" t="n">
        <v>0.72</v>
      </c>
      <c r="I165" s="5">
        <f>INDEX('01_Benchmark_Input'!$B$2:$B$10,MATCH(B165,'01_Benchmark_Input'!$A$2:$A$10,0))</f>
        <v/>
      </c>
      <c r="J165" s="5">
        <f>INDEX('01_Benchmark_Input'!$C$2:$C$10,MATCH(B165,'01_Benchmark_Input'!$A$2:$A$10,0))</f>
        <v/>
      </c>
      <c r="K165" s="6">
        <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23" t="n">
        <v>7</v>
      </c>
      <c r="E166" s="24" t="n">
        <v>0.56571429</v>
      </c>
      <c r="F166" s="23" t="n">
        <v>1.18</v>
      </c>
      <c r="G166" s="24" t="n">
        <v>0.86</v>
      </c>
      <c r="H166" s="24" t="n">
        <v>0.78</v>
      </c>
      <c r="I166" s="5">
        <f>INDEX('01_Benchmark_Input'!$B$2:$B$10,MATCH(B166,'01_Benchmark_Input'!$A$2:$A$10,0))</f>
        <v/>
      </c>
      <c r="J166" s="5">
        <f>INDEX('01_Benchmark_Input'!$C$2:$C$10,MATCH(B166,'01_Benchmark_Input'!$A$2:$A$10,0))</f>
        <v/>
      </c>
      <c r="K166" s="6">
        <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23" t="n">
        <v>0.5</v>
      </c>
      <c r="E167" s="24" t="n">
        <v>0.264</v>
      </c>
      <c r="F167" s="23" t="n">
        <v>1.24</v>
      </c>
      <c r="G167" s="24" t="n">
        <v>0.82</v>
      </c>
      <c r="H167" s="24" t="n">
        <v>0.64</v>
      </c>
      <c r="I167" s="5">
        <f>INDEX('01_Benchmark_Input'!$B$2:$B$10,MATCH(B167,'01_Benchmark_Input'!$A$2:$A$10,0))</f>
        <v/>
      </c>
      <c r="J167" s="5">
        <f>INDEX('01_Benchmark_Input'!$C$2:$C$10,MATCH(B167,'01_Benchmark_Input'!$A$2:$A$10,0))</f>
        <v/>
      </c>
      <c r="K167" s="6">
        <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23" t="n">
        <v>0.825</v>
      </c>
      <c r="E168" s="24" t="n">
        <v>0.41939394</v>
      </c>
      <c r="F168" s="23" t="n">
        <v>1.24</v>
      </c>
      <c r="G168" s="24" t="n">
        <v>0.82</v>
      </c>
      <c r="H168" s="24" t="n">
        <v>0.695</v>
      </c>
      <c r="I168" s="5">
        <f>INDEX('01_Benchmark_Input'!$B$2:$B$10,MATCH(B168,'01_Benchmark_Input'!$A$2:$A$10,0))</f>
        <v/>
      </c>
      <c r="J168" s="5">
        <f>INDEX('01_Benchmark_Input'!$C$2:$C$10,MATCH(B168,'01_Benchmark_Input'!$A$2:$A$10,0))</f>
        <v/>
      </c>
      <c r="K168" s="6">
        <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23" t="n">
        <v>1.15</v>
      </c>
      <c r="E169" s="24" t="n">
        <v>0.46956522</v>
      </c>
      <c r="F169" s="23" t="n">
        <v>1.24</v>
      </c>
      <c r="G169" s="24" t="n">
        <v>0.82</v>
      </c>
      <c r="H169" s="24" t="n">
        <v>0.75</v>
      </c>
      <c r="I169" s="5">
        <f>INDEX('01_Benchmark_Input'!$B$2:$B$10,MATCH(B169,'01_Benchmark_Input'!$A$2:$A$10,0))</f>
        <v/>
      </c>
      <c r="J169" s="5">
        <f>INDEX('01_Benchmark_Input'!$C$2:$C$10,MATCH(B169,'01_Benchmark_Input'!$A$2:$A$10,0))</f>
        <v/>
      </c>
      <c r="K169" s="6">
        <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23" t="n">
        <v>1.475</v>
      </c>
      <c r="E170" s="24" t="n">
        <v>0.48338983</v>
      </c>
      <c r="F170" s="23" t="n">
        <v>1.24</v>
      </c>
      <c r="G170" s="24" t="n">
        <v>0.82</v>
      </c>
      <c r="H170" s="24" t="n">
        <v>0.805</v>
      </c>
      <c r="I170" s="5">
        <f>INDEX('01_Benchmark_Input'!$B$2:$B$10,MATCH(B170,'01_Benchmark_Input'!$A$2:$A$10,0))</f>
        <v/>
      </c>
      <c r="J170" s="5">
        <f>INDEX('01_Benchmark_Input'!$C$2:$C$10,MATCH(B170,'01_Benchmark_Input'!$A$2:$A$10,0))</f>
        <v/>
      </c>
      <c r="K170" s="6">
        <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23" t="n">
        <v>1.8</v>
      </c>
      <c r="E171" s="24" t="n">
        <v>0.48</v>
      </c>
      <c r="F171" s="23" t="n">
        <v>1.24</v>
      </c>
      <c r="G171" s="24" t="n">
        <v>0.82</v>
      </c>
      <c r="H171" s="24" t="n">
        <v>0.86</v>
      </c>
      <c r="I171" s="5">
        <f>INDEX('01_Benchmark_Input'!$B$2:$B$10,MATCH(B171,'01_Benchmark_Input'!$A$2:$A$10,0))</f>
        <v/>
      </c>
      <c r="J171" s="5">
        <f>INDEX('01_Benchmark_Input'!$C$2:$C$10,MATCH(B171,'01_Benchmark_Input'!$A$2:$A$10,0))</f>
        <v/>
      </c>
      <c r="K171" s="6">
        <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23" t="n">
        <v>1.8</v>
      </c>
      <c r="E172" s="24" t="n">
        <v>0.31777778</v>
      </c>
      <c r="F172" s="23" t="n">
        <v>1.23</v>
      </c>
      <c r="G172" s="24" t="n">
        <v>0.84</v>
      </c>
      <c r="H172" s="24" t="n">
        <v>0.62</v>
      </c>
      <c r="I172" s="5">
        <f>INDEX('01_Benchmark_Input'!$B$2:$B$10,MATCH(B172,'01_Benchmark_Input'!$A$2:$A$10,0))</f>
        <v/>
      </c>
      <c r="J172" s="5">
        <f>INDEX('01_Benchmark_Input'!$C$2:$C$10,MATCH(B172,'01_Benchmark_Input'!$A$2:$A$10,0))</f>
        <v/>
      </c>
      <c r="K172" s="6">
        <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23" t="n">
        <v>2.35</v>
      </c>
      <c r="E173" s="24" t="n">
        <v>0.46042553</v>
      </c>
      <c r="F173" s="23" t="n">
        <v>1.23</v>
      </c>
      <c r="G173" s="24" t="n">
        <v>0.84</v>
      </c>
      <c r="H173" s="24" t="n">
        <v>0.675</v>
      </c>
      <c r="I173" s="5">
        <f>INDEX('01_Benchmark_Input'!$B$2:$B$10,MATCH(B173,'01_Benchmark_Input'!$A$2:$A$10,0))</f>
        <v/>
      </c>
      <c r="J173" s="5">
        <f>INDEX('01_Benchmark_Input'!$C$2:$C$10,MATCH(B173,'01_Benchmark_Input'!$A$2:$A$10,0))</f>
        <v/>
      </c>
      <c r="K173" s="6">
        <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23" t="n">
        <v>2.9</v>
      </c>
      <c r="E174" s="24" t="n">
        <v>0.53103448</v>
      </c>
      <c r="F174" s="23" t="n">
        <v>1.23</v>
      </c>
      <c r="G174" s="24" t="n">
        <v>0.84</v>
      </c>
      <c r="H174" s="24" t="n">
        <v>0.73</v>
      </c>
      <c r="I174" s="5">
        <f>INDEX('01_Benchmark_Input'!$B$2:$B$10,MATCH(B174,'01_Benchmark_Input'!$A$2:$A$10,0))</f>
        <v/>
      </c>
      <c r="J174" s="5">
        <f>INDEX('01_Benchmark_Input'!$C$2:$C$10,MATCH(B174,'01_Benchmark_Input'!$A$2:$A$10,0))</f>
        <v/>
      </c>
      <c r="K174" s="6">
        <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23" t="n">
        <v>3.45</v>
      </c>
      <c r="E175" s="24" t="n">
        <v>0.56463768</v>
      </c>
      <c r="F175" s="23" t="n">
        <v>1.23</v>
      </c>
      <c r="G175" s="24" t="n">
        <v>0.84</v>
      </c>
      <c r="H175" s="24" t="n">
        <v>0.785</v>
      </c>
      <c r="I175" s="5">
        <f>INDEX('01_Benchmark_Input'!$B$2:$B$10,MATCH(B175,'01_Benchmark_Input'!$A$2:$A$10,0))</f>
        <v/>
      </c>
      <c r="J175" s="5">
        <f>INDEX('01_Benchmark_Input'!$C$2:$C$10,MATCH(B175,'01_Benchmark_Input'!$A$2:$A$10,0))</f>
        <v/>
      </c>
      <c r="K175" s="6">
        <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23" t="n">
        <v>4</v>
      </c>
      <c r="E176" s="24" t="n">
        <v>0.576</v>
      </c>
      <c r="F176" s="23" t="n">
        <v>1.23</v>
      </c>
      <c r="G176" s="24" t="n">
        <v>0.84</v>
      </c>
      <c r="H176" s="24" t="n">
        <v>0.84</v>
      </c>
      <c r="I176" s="5">
        <f>INDEX('01_Benchmark_Input'!$B$2:$B$10,MATCH(B176,'01_Benchmark_Input'!$A$2:$A$10,0))</f>
        <v/>
      </c>
      <c r="J176" s="5">
        <f>INDEX('01_Benchmark_Input'!$C$2:$C$10,MATCH(B176,'01_Benchmark_Input'!$A$2:$A$10,0))</f>
        <v/>
      </c>
      <c r="K176" s="6">
        <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23" t="n">
        <v>1.2</v>
      </c>
      <c r="E177" s="24" t="n">
        <v>0.33</v>
      </c>
      <c r="F177" s="23" t="n">
        <v>1.23</v>
      </c>
      <c r="G177" s="24" t="n">
        <v>0.84</v>
      </c>
      <c r="H177" s="24" t="n">
        <v>0.62</v>
      </c>
      <c r="I177" s="5">
        <f>INDEX('01_Benchmark_Input'!$B$2:$B$10,MATCH(B177,'01_Benchmark_Input'!$A$2:$A$10,0))</f>
        <v/>
      </c>
      <c r="J177" s="5">
        <f>INDEX('01_Benchmark_Input'!$C$2:$C$10,MATCH(B177,'01_Benchmark_Input'!$A$2:$A$10,0))</f>
        <v/>
      </c>
      <c r="K177" s="6">
        <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23" t="n">
        <v>1.65</v>
      </c>
      <c r="E178" s="24" t="n">
        <v>0.4769697</v>
      </c>
      <c r="F178" s="23" t="n">
        <v>1.23</v>
      </c>
      <c r="G178" s="24" t="n">
        <v>0.84</v>
      </c>
      <c r="H178" s="24" t="n">
        <v>0.675</v>
      </c>
      <c r="I178" s="5">
        <f>INDEX('01_Benchmark_Input'!$B$2:$B$10,MATCH(B178,'01_Benchmark_Input'!$A$2:$A$10,0))</f>
        <v/>
      </c>
      <c r="J178" s="5">
        <f>INDEX('01_Benchmark_Input'!$C$2:$C$10,MATCH(B178,'01_Benchmark_Input'!$A$2:$A$10,0))</f>
        <v/>
      </c>
      <c r="K178" s="6">
        <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23" t="n">
        <v>2.1</v>
      </c>
      <c r="E179" s="24" t="n">
        <v>0.54285714</v>
      </c>
      <c r="F179" s="23" t="n">
        <v>1.23</v>
      </c>
      <c r="G179" s="24" t="n">
        <v>0.84</v>
      </c>
      <c r="H179" s="24" t="n">
        <v>0.73</v>
      </c>
      <c r="I179" s="5">
        <f>INDEX('01_Benchmark_Input'!$B$2:$B$10,MATCH(B179,'01_Benchmark_Input'!$A$2:$A$10,0))</f>
        <v/>
      </c>
      <c r="J179" s="5">
        <f>INDEX('01_Benchmark_Input'!$C$2:$C$10,MATCH(B179,'01_Benchmark_Input'!$A$2:$A$10,0))</f>
        <v/>
      </c>
      <c r="K179" s="6">
        <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23" t="n">
        <v>2.55</v>
      </c>
      <c r="E180" s="24" t="n">
        <v>0.57019608</v>
      </c>
      <c r="F180" s="23" t="n">
        <v>1.23</v>
      </c>
      <c r="G180" s="24" t="n">
        <v>0.84</v>
      </c>
      <c r="H180" s="24" t="n">
        <v>0.785</v>
      </c>
      <c r="I180" s="5">
        <f>INDEX('01_Benchmark_Input'!$B$2:$B$10,MATCH(B180,'01_Benchmark_Input'!$A$2:$A$10,0))</f>
        <v/>
      </c>
      <c r="J180" s="5">
        <f>INDEX('01_Benchmark_Input'!$C$2:$C$10,MATCH(B180,'01_Benchmark_Input'!$A$2:$A$10,0))</f>
        <v/>
      </c>
      <c r="K180" s="6">
        <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23" t="n">
        <v>3</v>
      </c>
      <c r="E181" s="24" t="n">
        <v>0.576</v>
      </c>
      <c r="F181" s="23" t="n">
        <v>1.23</v>
      </c>
      <c r="G181" s="24" t="n">
        <v>0.84</v>
      </c>
      <c r="H181" s="24" t="n">
        <v>0.84</v>
      </c>
      <c r="I181" s="5">
        <f>INDEX('01_Benchmark_Input'!$B$2:$B$10,MATCH(B181,'01_Benchmark_Input'!$A$2:$A$10,0))</f>
        <v/>
      </c>
      <c r="J181" s="5">
        <f>INDEX('01_Benchmark_Input'!$C$2:$C$10,MATCH(B181,'01_Benchmark_Input'!$A$2:$A$10,0))</f>
        <v/>
      </c>
      <c r="K181" s="6">
        <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f>
        <v/>
      </c>
    </row>
  </sheetData>
  <autoFilter ref="A1:K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6" customWidth="1" min="3" max="3"/>
    <col width="20" customWidth="1" min="4" max="4"/>
    <col width="29" customWidth="1" min="5" max="5"/>
    <col width="38" customWidth="1" min="6" max="6"/>
    <col width="88" customWidth="1" min="7" max="7"/>
  </cols>
  <sheetData>
    <row r="1">
      <c r="A1" s="4" t="inlineStr">
        <is>
          <t>sort_order</t>
        </is>
      </c>
      <c r="B1" s="4" t="inlineStr">
        <is>
          <t>accelerator_type</t>
        </is>
      </c>
      <c r="C1" s="4" t="inlineStr">
        <is>
          <t>benchmark_bucket</t>
        </is>
      </c>
      <c r="D1" s="4" t="inlineStr">
        <is>
          <t>all_in_kw_per_unit</t>
        </is>
      </c>
      <c r="E1" s="4" t="inlineStr">
        <is>
          <t>source_type</t>
        </is>
      </c>
      <c r="F1" s="4" t="inlineStr">
        <is>
          <t>source_ids</t>
        </is>
      </c>
      <c r="G1" s="4" t="inlineStr">
        <is>
          <t>note</t>
        </is>
      </c>
    </row>
    <row r="2">
      <c r="A2" s="3" t="n">
        <v>1</v>
      </c>
      <c r="B2" s="25" t="inlineStr">
        <is>
          <t>H100/H200/A100 class</t>
        </is>
      </c>
      <c r="C2" s="25" t="inlineStr">
        <is>
          <t>h200_reference</t>
        </is>
      </c>
      <c r="D2" s="26" t="n">
        <v>1.73</v>
      </c>
      <c r="E2" s="3" t="inlineStr">
        <is>
          <t>user_supplied_power_seed</t>
        </is>
      </c>
      <c r="F2" s="3" t="inlineStr">
        <is>
          <t>SRC_EPOCH_AI_DATA_CENTERS; ASSUMP_NUMERIC_ACCELERATOR_MIX</t>
        </is>
      </c>
      <c r="G2" s="3" t="inlineStr">
        <is>
          <t>Hopper/legacy NVIDIA class mapped to H200 InferenceX reference until generation-specific TPS/MW is available.</t>
        </is>
      </c>
    </row>
    <row r="3">
      <c r="A3" s="3" t="n">
        <v>2</v>
      </c>
      <c r="B3" s="25" t="inlineStr">
        <is>
          <t>B200/B300 class</t>
        </is>
      </c>
      <c r="C3" s="25" t="inlineStr">
        <is>
          <t>b200_reference</t>
        </is>
      </c>
      <c r="D3" s="26" t="n">
        <v>2.17</v>
      </c>
      <c r="E3" s="3" t="inlineStr">
        <is>
          <t>user_supplied_power_seed</t>
        </is>
      </c>
      <c r="F3" s="3" t="inlineStr">
        <is>
          <t>SRC_EPOCH_AI_DATA_CENTERS; ASSUMP_NUMERIC_ACCELERATOR_MIX</t>
        </is>
      </c>
      <c r="G3" s="3" t="inlineStr">
        <is>
          <t>Blackwell discrete GPU class mapped to B200 InferenceX reference.</t>
        </is>
      </c>
    </row>
    <row r="4">
      <c r="A4" s="3" t="n">
        <v>3</v>
      </c>
      <c r="B4" s="25" t="inlineStr">
        <is>
          <t>GB200/GB300 class</t>
        </is>
      </c>
      <c r="C4" s="25" t="inlineStr">
        <is>
          <t>gb200_reference</t>
        </is>
      </c>
      <c r="D4" s="26" t="n">
        <v>2.1</v>
      </c>
      <c r="E4" s="3" t="inlineStr">
        <is>
          <t>user_supplied_power_seed</t>
        </is>
      </c>
      <c r="F4" s="3" t="inlineStr">
        <is>
          <t>SRC_EPOCH_AI_DATA_CENTERS; ASSUMP_NUMERIC_ACCELERATOR_MIX</t>
        </is>
      </c>
      <c r="G4" s="3" t="inlineStr">
        <is>
          <t>Rack-scale Grace Blackwell class mapped to GB200 InferenceX reference.</t>
        </is>
      </c>
    </row>
    <row r="5">
      <c r="A5" s="3" t="n">
        <v>4</v>
      </c>
      <c r="B5" s="25" t="inlineStr">
        <is>
          <t>R200/R300 future</t>
        </is>
      </c>
      <c r="C5" s="25" t="inlineStr">
        <is>
          <t>purpose_or_unbenchmarked</t>
        </is>
      </c>
      <c r="D5" s="26" t="inlineStr"/>
      <c r="E5" s="3" t="inlineStr">
        <is>
          <t>editable_future_accelerator</t>
        </is>
      </c>
      <c r="F5" s="3" t="inlineStr">
        <is>
          <t>SRC_EPOCH_AI_DATA_CENTERS; ASSUMP_NUMERIC_ACCELERATOR_MIX</t>
        </is>
      </c>
      <c r="G5" s="3" t="inlineStr">
        <is>
          <t>Future NVIDIA/Rubin family placeholder. Add all-in kW/unit and benchmark bucket when comparable serving TPS/MW exists.</t>
        </is>
      </c>
    </row>
    <row r="6">
      <c r="A6" s="3" t="n">
        <v>5</v>
      </c>
      <c r="B6" s="25" t="inlineStr">
        <is>
          <t>TPU</t>
        </is>
      </c>
      <c r="C6" s="25" t="inlineStr">
        <is>
          <t>purpose_or_unbenchmarked</t>
        </is>
      </c>
      <c r="D6" s="26" t="inlineStr"/>
      <c r="E6" s="3" t="inlineStr">
        <is>
          <t>editable_purpose_built</t>
        </is>
      </c>
      <c r="F6" s="3" t="inlineStr">
        <is>
          <t>SRC_EPOCH_AI_DATA_CENTERS; ASSUMP_NUMERIC_ACCELERATOR_MIX</t>
        </is>
      </c>
      <c r="G6" s="3" t="inlineStr">
        <is>
          <t>Google TPU/Ironwood class. Kept separate for power/count analysis; TPS/MW uses no-uplift placeholder until a comparable output-token benchmark is adopted.</t>
        </is>
      </c>
    </row>
    <row r="7">
      <c r="A7" s="3" t="n">
        <v>6</v>
      </c>
      <c r="B7" s="25" t="inlineStr">
        <is>
          <t>Trainium</t>
        </is>
      </c>
      <c r="C7" s="25" t="inlineStr">
        <is>
          <t>purpose_or_unbenchmarked</t>
        </is>
      </c>
      <c r="D7" s="26" t="inlineStr"/>
      <c r="E7" s="3" t="inlineStr">
        <is>
          <t>editable_purpose_built</t>
        </is>
      </c>
      <c r="F7" s="3" t="inlineStr">
        <is>
          <t>SRC_EPOCH_AI_DATA_CENTERS; ASSUMP_NUMERIC_ACCELERATOR_MIX</t>
        </is>
      </c>
      <c r="G7" s="3" t="inlineStr">
        <is>
          <t>AWS Trainium class. Kept separate for power/count analysis; TPS/MW uses no-uplift placeholder until a comparable output-token benchmark is adopted.</t>
        </is>
      </c>
    </row>
    <row r="8">
      <c r="A8" s="3" t="n">
        <v>7</v>
      </c>
      <c r="B8" s="25" t="inlineStr">
        <is>
          <t>Maia</t>
        </is>
      </c>
      <c r="C8" s="25" t="inlineStr">
        <is>
          <t>purpose_or_unbenchmarked</t>
        </is>
      </c>
      <c r="D8" s="26" t="inlineStr"/>
      <c r="E8" s="3" t="inlineStr">
        <is>
          <t>editable_purpose_built</t>
        </is>
      </c>
      <c r="F8" s="3" t="inlineStr">
        <is>
          <t>SRC_EPOCH_AI_DATA_CENTERS; ASSUMP_NUMERIC_ACCELERATOR_MIX</t>
        </is>
      </c>
      <c r="G8" s="3" t="inlineStr">
        <is>
          <t>Microsoft Maia class. Kept separate for power/count analysis; TPS/MW uses no-uplift placeholder until a comparable output-token benchmark is adopted.</t>
        </is>
      </c>
    </row>
    <row r="9">
      <c r="A9" s="3" t="n">
        <v>8</v>
      </c>
      <c r="B9" s="25" t="inlineStr">
        <is>
          <t>MTIA</t>
        </is>
      </c>
      <c r="C9" s="25" t="inlineStr">
        <is>
          <t>purpose_or_unbenchmarked</t>
        </is>
      </c>
      <c r="D9" s="26" t="inlineStr"/>
      <c r="E9" s="3" t="inlineStr">
        <is>
          <t>editable_purpose_built</t>
        </is>
      </c>
      <c r="F9" s="3" t="inlineStr">
        <is>
          <t>SRC_EPOCH_AI_DATA_CENTERS; ASSUMP_NUMERIC_ACCELERATOR_MIX</t>
        </is>
      </c>
      <c r="G9" s="3" t="inlineStr">
        <is>
          <t>Meta MTIA class. Kept separate for power/count analysis; TPS/MW uses no-uplift placeholder until a comparable output-token benchmark is adopted.</t>
        </is>
      </c>
    </row>
    <row r="10">
      <c r="A10" s="3" t="n">
        <v>9</v>
      </c>
      <c r="B10" s="25" t="inlineStr">
        <is>
          <t>Ascend</t>
        </is>
      </c>
      <c r="C10" s="25" t="inlineStr">
        <is>
          <t>purpose_or_unbenchmarked</t>
        </is>
      </c>
      <c r="D10" s="26" t="inlineStr"/>
      <c r="E10" s="3" t="inlineStr">
        <is>
          <t>editable_purpose_built</t>
        </is>
      </c>
      <c r="F10" s="3" t="inlineStr">
        <is>
          <t>SRC_EPOCH_AI_DATA_CENTERS; ASSUMP_NUMERIC_ACCELERATOR_MIX</t>
        </is>
      </c>
      <c r="G10" s="3" t="inlineStr">
        <is>
          <t>Huawei Ascend class, used for China-cloud seed rows when present.</t>
        </is>
      </c>
    </row>
    <row r="11">
      <c r="A11" s="3" t="n">
        <v>10</v>
      </c>
      <c r="B11" s="25" t="inlineStr">
        <is>
          <t>Other / unknown accelerator</t>
        </is>
      </c>
      <c r="C11" s="25" t="inlineStr">
        <is>
          <t>purpose_or_unbenchmarked</t>
        </is>
      </c>
      <c r="D11" s="26" t="inlineStr"/>
      <c r="E11" s="3" t="inlineStr">
        <is>
          <t>editable_fallback</t>
        </is>
      </c>
      <c r="F11" s="3" t="inlineStr">
        <is>
          <t>SRC_EPOCH_AI_DATA_CENTERS; ASSUMP_NUMERIC_ACCELERATOR_MIX</t>
        </is>
      </c>
      <c r="G11" s="3" t="inlineStr">
        <is>
          <t>Fallback bucket for unmapped accelerators. Add a catalog row and mapping rule when the accelerator becomes material.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38" customWidth="1" min="2" max="2"/>
    <col width="12" customWidth="1" min="3" max="3"/>
    <col width="12" customWidth="1" min="4" max="4"/>
    <col width="30" customWidth="1" min="5" max="5"/>
    <col width="20" customWidth="1" min="6" max="6"/>
    <col width="26" customWidth="1" min="7" max="7"/>
    <col width="22" customWidth="1" min="8" max="8"/>
    <col width="17" customWidth="1" min="9" max="9"/>
    <col width="16" customWidth="1" min="10" max="10"/>
    <col width="30" customWidth="1" min="11" max="11"/>
    <col width="38" customWidth="1" min="12" max="12"/>
    <col width="38" customWidth="1" min="13" max="13"/>
    <col width="76" customWidth="1" min="14" max="14"/>
  </cols>
  <sheetData>
    <row r="1">
      <c r="A1" s="4" t="inlineStr">
        <is>
          <t>allocation_key</t>
        </is>
      </c>
      <c r="B1" s="4" t="inlineStr">
        <is>
          <t>scenario</t>
        </is>
      </c>
      <c r="C1" s="4" t="inlineStr">
        <is>
          <t>company</t>
        </is>
      </c>
      <c r="D1" s="4" t="inlineStr">
        <is>
          <t>year</t>
        </is>
      </c>
      <c r="E1" s="4" t="inlineStr">
        <is>
          <t>csp</t>
        </is>
      </c>
      <c r="F1" s="4" t="inlineStr">
        <is>
          <t>csp_total_power_mw</t>
        </is>
      </c>
      <c r="G1" s="4" t="inlineStr">
        <is>
          <t>ai_contract_share_of_csp</t>
        </is>
      </c>
      <c r="H1" s="4" t="inlineStr">
        <is>
          <t>ai_contract_power_mw</t>
        </is>
      </c>
      <c r="I1" s="4" t="inlineStr">
        <is>
          <t>inference_share</t>
        </is>
      </c>
      <c r="J1" s="4" t="inlineStr">
        <is>
          <t>training_share</t>
        </is>
      </c>
      <c r="K1" s="4" t="inlineStr">
        <is>
          <t>contract_inference_weight_mw</t>
        </is>
      </c>
      <c r="L1" s="4" t="inlineStr">
        <is>
          <t>source_type</t>
        </is>
      </c>
      <c r="M1" s="4" t="inlineStr">
        <is>
          <t>source_ids</t>
        </is>
      </c>
      <c r="N1" s="4" t="inlineStr">
        <is>
          <t>note</t>
        </is>
      </c>
    </row>
    <row r="2">
      <c r="A2" s="3" t="inlineStr">
        <is>
          <t>Bear|Alibaba|2026|Alibaba</t>
        </is>
      </c>
      <c r="B2" s="3" t="inlineStr">
        <is>
          <t>Bear</t>
        </is>
      </c>
      <c r="C2" s="3" t="inlineStr">
        <is>
          <t>Alibaba</t>
        </is>
      </c>
      <c r="D2" s="3" t="n">
        <v>2026</v>
      </c>
      <c r="E2" s="3" t="inlineStr">
        <is>
          <t>Alibaba</t>
        </is>
      </c>
      <c r="F2" s="27" t="n">
        <v>169</v>
      </c>
      <c r="G2" s="17" t="n">
        <v>1</v>
      </c>
      <c r="H2" s="28">
        <f>F2*G2</f>
        <v/>
      </c>
      <c r="I2" s="17" t="n">
        <v>0.52</v>
      </c>
      <c r="J2" s="6">
        <f>1-I2</f>
        <v/>
      </c>
      <c r="K2" s="28">
        <f>H2*I2</f>
        <v/>
      </c>
      <c r="L2" s="3" t="inlineStr">
        <is>
          <t>epoch_csp_total_power_x_user_contract_share_seed</t>
        </is>
      </c>
      <c r="M2" s="3" t="inlineStr">
        <is>
          <t>SRC_EPOCH_AI_DATA_CENTERS; EPOCH_NORMALIZED_USER_SITES</t>
        </is>
      </c>
      <c r="N2" s="3" t="inlineStr">
        <is>
          <t>Seeded as CSP total power times AI-company attributed contract share. Replace csp_total_power_mw and ai_contract_share_of_csp with your long-term contract dataset.</t>
        </is>
      </c>
    </row>
    <row r="3">
      <c r="A3" s="3" t="inlineStr">
        <is>
          <t>Base|Alibaba|2026|Alibaba</t>
        </is>
      </c>
      <c r="B3" s="3" t="inlineStr">
        <is>
          <t>Base</t>
        </is>
      </c>
      <c r="C3" s="3" t="inlineStr">
        <is>
          <t>Alibaba</t>
        </is>
      </c>
      <c r="D3" s="3" t="n">
        <v>2026</v>
      </c>
      <c r="E3" s="3" t="inlineStr">
        <is>
          <t>Alibaba</t>
        </is>
      </c>
      <c r="F3" s="27" t="n">
        <v>169</v>
      </c>
      <c r="G3" s="17" t="n">
        <v>1</v>
      </c>
      <c r="H3" s="28">
        <f>F3*G3</f>
        <v/>
      </c>
      <c r="I3" s="17" t="n">
        <v>0.6</v>
      </c>
      <c r="J3" s="6">
        <f>1-I3</f>
        <v/>
      </c>
      <c r="K3" s="28">
        <f>H3*I3</f>
        <v/>
      </c>
      <c r="L3" s="3" t="inlineStr">
        <is>
          <t>epoch_csp_total_power_x_user_contract_share_seed</t>
        </is>
      </c>
      <c r="M3" s="3" t="inlineStr">
        <is>
          <t>SRC_EPOCH_AI_DATA_CENTERS; EPOCH_NORMALIZED_USER_SITES</t>
        </is>
      </c>
      <c r="N3" s="3" t="inlineStr">
        <is>
          <t>Seeded as CSP total power times AI-company attributed contract share. Replace csp_total_power_mw and ai_contract_share_of_csp with your long-term contract dataset.</t>
        </is>
      </c>
    </row>
    <row r="4">
      <c r="A4" s="3" t="inlineStr">
        <is>
          <t>Bull|Alibaba|2026|Alibaba</t>
        </is>
      </c>
      <c r="B4" s="3" t="inlineStr">
        <is>
          <t>Bull</t>
        </is>
      </c>
      <c r="C4" s="3" t="inlineStr">
        <is>
          <t>Alibaba</t>
        </is>
      </c>
      <c r="D4" s="3" t="n">
        <v>2026</v>
      </c>
      <c r="E4" s="3" t="inlineStr">
        <is>
          <t>Alibaba</t>
        </is>
      </c>
      <c r="F4" s="27" t="n">
        <v>169</v>
      </c>
      <c r="G4" s="17" t="n">
        <v>1</v>
      </c>
      <c r="H4" s="28">
        <f>F4*G4</f>
        <v/>
      </c>
      <c r="I4" s="17" t="n">
        <v>0.65</v>
      </c>
      <c r="J4" s="6">
        <f>1-I4</f>
        <v/>
      </c>
      <c r="K4" s="28">
        <f>H4*I4</f>
        <v/>
      </c>
      <c r="L4" s="3" t="inlineStr">
        <is>
          <t>epoch_csp_total_power_x_user_contract_share_seed</t>
        </is>
      </c>
      <c r="M4" s="3" t="inlineStr">
        <is>
          <t>SRC_EPOCH_AI_DATA_CENTERS; EPOCH_NORMALIZED_USER_SITES</t>
        </is>
      </c>
      <c r="N4" s="3" t="inlineStr">
        <is>
          <t>Seeded as CSP total power times AI-company attributed contract share. Replace csp_total_power_mw and ai_contract_share_of_csp with your long-term contract dataset.</t>
        </is>
      </c>
    </row>
    <row r="5">
      <c r="A5" s="3" t="inlineStr">
        <is>
          <t>Grid-Constrained / Efficiency-Upside|Alibaba|2026|Alibaba</t>
        </is>
      </c>
      <c r="B5" s="3" t="inlineStr">
        <is>
          <t>Grid-Constrained / Efficiency-Upside</t>
        </is>
      </c>
      <c r="C5" s="3" t="inlineStr">
        <is>
          <t>Alibaba</t>
        </is>
      </c>
      <c r="D5" s="3" t="n">
        <v>2026</v>
      </c>
      <c r="E5" s="3" t="inlineStr">
        <is>
          <t>Alibaba</t>
        </is>
      </c>
      <c r="F5" s="27" t="n">
        <v>169</v>
      </c>
      <c r="G5" s="17" t="n">
        <v>1</v>
      </c>
      <c r="H5" s="28">
        <f>F5*G5</f>
        <v/>
      </c>
      <c r="I5" s="17" t="n">
        <v>0.62</v>
      </c>
      <c r="J5" s="6">
        <f>1-I5</f>
        <v/>
      </c>
      <c r="K5" s="28">
        <f>H5*I5</f>
        <v/>
      </c>
      <c r="L5" s="3" t="inlineStr">
        <is>
          <t>epoch_csp_total_power_x_user_contract_share_seed</t>
        </is>
      </c>
      <c r="M5" s="3" t="inlineStr">
        <is>
          <t>SRC_EPOCH_AI_DATA_CENTERS; EPOCH_NORMALIZED_USER_SITES</t>
        </is>
      </c>
      <c r="N5" s="3" t="inlineStr">
        <is>
          <t>Seeded as CSP total power times AI-company attributed contract share. Replace csp_total_power_mw and ai_contract_share_of_csp with your long-term contract dataset.</t>
        </is>
      </c>
    </row>
    <row r="6">
      <c r="A6" s="3" t="inlineStr">
        <is>
          <t>Bear|Alibaba|2027|Alibaba</t>
        </is>
      </c>
      <c r="B6" s="3" t="inlineStr">
        <is>
          <t>Bear</t>
        </is>
      </c>
      <c r="C6" s="3" t="inlineStr">
        <is>
          <t>Alibaba</t>
        </is>
      </c>
      <c r="D6" s="3" t="n">
        <v>2027</v>
      </c>
      <c r="E6" s="3" t="inlineStr">
        <is>
          <t>Alibaba</t>
        </is>
      </c>
      <c r="F6" s="27" t="n">
        <v>169</v>
      </c>
      <c r="G6" s="17" t="n">
        <v>1</v>
      </c>
      <c r="H6" s="28">
        <f>F6*G6</f>
        <v/>
      </c>
      <c r="I6" s="17" t="n">
        <v>0.5649999999999999</v>
      </c>
      <c r="J6" s="6">
        <f>1-I6</f>
        <v/>
      </c>
      <c r="K6" s="28">
        <f>H6*I6</f>
        <v/>
      </c>
      <c r="L6" s="3" t="inlineStr">
        <is>
          <t>epoch_csp_total_power_x_user_contract_share_seed</t>
        </is>
      </c>
      <c r="M6" s="3" t="inlineStr">
        <is>
          <t>SRC_EPOCH_AI_DATA_CENTERS; EPOCH_NORMALIZED_USER_SITES</t>
        </is>
      </c>
      <c r="N6" s="3" t="inlineStr">
        <is>
          <t>Seeded as CSP total power times AI-company attributed contract share. Replace csp_total_power_mw and ai_contract_share_of_csp with your long-term contract dataset.</t>
        </is>
      </c>
    </row>
    <row r="7">
      <c r="A7" s="3" t="inlineStr">
        <is>
          <t>Base|Alibaba|2027|Alibaba</t>
        </is>
      </c>
      <c r="B7" s="3" t="inlineStr">
        <is>
          <t>Base</t>
        </is>
      </c>
      <c r="C7" s="3" t="inlineStr">
        <is>
          <t>Alibaba</t>
        </is>
      </c>
      <c r="D7" s="3" t="n">
        <v>2027</v>
      </c>
      <c r="E7" s="3" t="inlineStr">
        <is>
          <t>Alibaba</t>
        </is>
      </c>
      <c r="F7" s="27" t="n">
        <v>169</v>
      </c>
      <c r="G7" s="17" t="n">
        <v>1</v>
      </c>
      <c r="H7" s="28">
        <f>F7*G7</f>
        <v/>
      </c>
      <c r="I7" s="17" t="n">
        <v>0.65</v>
      </c>
      <c r="J7" s="6">
        <f>1-I7</f>
        <v/>
      </c>
      <c r="K7" s="28">
        <f>H7*I7</f>
        <v/>
      </c>
      <c r="L7" s="3" t="inlineStr">
        <is>
          <t>epoch_csp_total_power_x_user_contract_share_seed</t>
        </is>
      </c>
      <c r="M7" s="3" t="inlineStr">
        <is>
          <t>SRC_EPOCH_AI_DATA_CENTERS; EPOCH_NORMALIZED_USER_SITES</t>
        </is>
      </c>
      <c r="N7" s="3" t="inlineStr">
        <is>
          <t>Seeded as CSP total power times AI-company attributed contract share. Replace csp_total_power_mw and ai_contract_share_of_csp with your long-term contract dataset.</t>
        </is>
      </c>
    </row>
    <row r="8">
      <c r="A8" s="3" t="inlineStr">
        <is>
          <t>Bull|Alibaba|2027|Alibaba</t>
        </is>
      </c>
      <c r="B8" s="3" t="inlineStr">
        <is>
          <t>Bull</t>
        </is>
      </c>
      <c r="C8" s="3" t="inlineStr">
        <is>
          <t>Alibaba</t>
        </is>
      </c>
      <c r="D8" s="3" t="n">
        <v>2027</v>
      </c>
      <c r="E8" s="3" t="inlineStr">
        <is>
          <t>Alibaba</t>
        </is>
      </c>
      <c r="F8" s="27" t="n">
        <v>169</v>
      </c>
      <c r="G8" s="17" t="n">
        <v>1</v>
      </c>
      <c r="H8" s="28">
        <f>F8*G8</f>
        <v/>
      </c>
      <c r="I8" s="17" t="n">
        <v>0.708</v>
      </c>
      <c r="J8" s="6">
        <f>1-I8</f>
        <v/>
      </c>
      <c r="K8" s="28">
        <f>H8*I8</f>
        <v/>
      </c>
      <c r="L8" s="3" t="inlineStr">
        <is>
          <t>epoch_csp_total_power_x_user_contract_share_seed</t>
        </is>
      </c>
      <c r="M8" s="3" t="inlineStr">
        <is>
          <t>SRC_EPOCH_AI_DATA_CENTERS; EPOCH_NORMALIZED_USER_SITES</t>
        </is>
      </c>
      <c r="N8" s="3" t="inlineStr">
        <is>
          <t>Seeded as CSP total power times AI-company attributed contract share. Replace csp_total_power_mw and ai_contract_share_of_csp with your long-term contract dataset.</t>
        </is>
      </c>
    </row>
    <row r="9">
      <c r="A9" s="3" t="inlineStr">
        <is>
          <t>Grid-Constrained / Efficiency-Upside|Alibaba|2027|Alibaba</t>
        </is>
      </c>
      <c r="B9" s="3" t="inlineStr">
        <is>
          <t>Grid-Constrained / Efficiency-Upside</t>
        </is>
      </c>
      <c r="C9" s="3" t="inlineStr">
        <is>
          <t>Alibaba</t>
        </is>
      </c>
      <c r="D9" s="3" t="n">
        <v>2027</v>
      </c>
      <c r="E9" s="3" t="inlineStr">
        <is>
          <t>Alibaba</t>
        </is>
      </c>
      <c r="F9" s="27" t="n">
        <v>169</v>
      </c>
      <c r="G9" s="17" t="n">
        <v>1</v>
      </c>
      <c r="H9" s="28">
        <f>F9*G9</f>
        <v/>
      </c>
      <c r="I9" s="17" t="n">
        <v>0.675</v>
      </c>
      <c r="J9" s="6">
        <f>1-I9</f>
        <v/>
      </c>
      <c r="K9" s="28">
        <f>H9*I9</f>
        <v/>
      </c>
      <c r="L9" s="3" t="inlineStr">
        <is>
          <t>epoch_csp_total_power_x_user_contract_share_seed</t>
        </is>
      </c>
      <c r="M9" s="3" t="inlineStr">
        <is>
          <t>SRC_EPOCH_AI_DATA_CENTERS; EPOCH_NORMALIZED_USER_SITES</t>
        </is>
      </c>
      <c r="N9" s="3" t="inlineStr">
        <is>
          <t>Seeded as CSP total power times AI-company attributed contract share. Replace csp_total_power_mw and ai_contract_share_of_csp with your long-term contract dataset.</t>
        </is>
      </c>
    </row>
    <row r="10">
      <c r="A10" s="3" t="inlineStr">
        <is>
          <t>Bear|Alibaba|2028|Alibaba</t>
        </is>
      </c>
      <c r="B10" s="3" t="inlineStr">
        <is>
          <t>Bear</t>
        </is>
      </c>
      <c r="C10" s="3" t="inlineStr">
        <is>
          <t>Alibaba</t>
        </is>
      </c>
      <c r="D10" s="3" t="n">
        <v>2028</v>
      </c>
      <c r="E10" s="3" t="inlineStr">
        <is>
          <t>Alibaba</t>
        </is>
      </c>
      <c r="F10" s="27" t="n">
        <v>169</v>
      </c>
      <c r="G10" s="17" t="n">
        <v>1</v>
      </c>
      <c r="H10" s="28">
        <f>F10*G10</f>
        <v/>
      </c>
      <c r="I10" s="17" t="n">
        <v>0.61</v>
      </c>
      <c r="J10" s="6">
        <f>1-I10</f>
        <v/>
      </c>
      <c r="K10" s="28">
        <f>H10*I10</f>
        <v/>
      </c>
      <c r="L10" s="3" t="inlineStr">
        <is>
          <t>epoch_csp_total_power_x_user_contract_share_seed</t>
        </is>
      </c>
      <c r="M10" s="3" t="inlineStr">
        <is>
          <t>SRC_EPOCH_AI_DATA_CENTERS; EPOCH_NORMALIZED_USER_SITES</t>
        </is>
      </c>
      <c r="N10" s="3" t="inlineStr">
        <is>
          <t>Seeded as CSP total power times AI-company attributed contract share. Replace csp_total_power_mw and ai_contract_share_of_csp with your long-term contract dataset.</t>
        </is>
      </c>
    </row>
    <row r="11">
      <c r="A11" s="3" t="inlineStr">
        <is>
          <t>Base|Alibaba|2028|Alibaba</t>
        </is>
      </c>
      <c r="B11" s="3" t="inlineStr">
        <is>
          <t>Base</t>
        </is>
      </c>
      <c r="C11" s="3" t="inlineStr">
        <is>
          <t>Alibaba</t>
        </is>
      </c>
      <c r="D11" s="3" t="n">
        <v>2028</v>
      </c>
      <c r="E11" s="3" t="inlineStr">
        <is>
          <t>Alibaba</t>
        </is>
      </c>
      <c r="F11" s="27" t="n">
        <v>169</v>
      </c>
      <c r="G11" s="17" t="n">
        <v>1</v>
      </c>
      <c r="H11" s="28">
        <f>F11*G11</f>
        <v/>
      </c>
      <c r="I11" s="17" t="n">
        <v>0.7</v>
      </c>
      <c r="J11" s="6">
        <f>1-I11</f>
        <v/>
      </c>
      <c r="K11" s="28">
        <f>H11*I11</f>
        <v/>
      </c>
      <c r="L11" s="3" t="inlineStr">
        <is>
          <t>epoch_csp_total_power_x_user_contract_share_seed</t>
        </is>
      </c>
      <c r="M11" s="3" t="inlineStr">
        <is>
          <t>SRC_EPOCH_AI_DATA_CENTERS; EPOCH_NORMALIZED_USER_SITES</t>
        </is>
      </c>
      <c r="N11" s="3" t="inlineStr">
        <is>
          <t>Seeded as CSP total power times AI-company attributed contract share. Replace csp_total_power_mw and ai_contract_share_of_csp with your long-term contract dataset.</t>
        </is>
      </c>
    </row>
    <row r="12">
      <c r="A12" s="3" t="inlineStr">
        <is>
          <t>Bull|Alibaba|2028|Alibaba</t>
        </is>
      </c>
      <c r="B12" s="3" t="inlineStr">
        <is>
          <t>Bull</t>
        </is>
      </c>
      <c r="C12" s="3" t="inlineStr">
        <is>
          <t>Alibaba</t>
        </is>
      </c>
      <c r="D12" s="3" t="n">
        <v>2028</v>
      </c>
      <c r="E12" s="3" t="inlineStr">
        <is>
          <t>Alibaba</t>
        </is>
      </c>
      <c r="F12" s="27" t="n">
        <v>169</v>
      </c>
      <c r="G12" s="17" t="n">
        <v>1</v>
      </c>
      <c r="H12" s="28">
        <f>F12*G12</f>
        <v/>
      </c>
      <c r="I12" s="17" t="n">
        <v>0.765</v>
      </c>
      <c r="J12" s="6">
        <f>1-I12</f>
        <v/>
      </c>
      <c r="K12" s="28">
        <f>H12*I12</f>
        <v/>
      </c>
      <c r="L12" s="3" t="inlineStr">
        <is>
          <t>epoch_csp_total_power_x_user_contract_share_seed</t>
        </is>
      </c>
      <c r="M12" s="3" t="inlineStr">
        <is>
          <t>SRC_EPOCH_AI_DATA_CENTERS; EPOCH_NORMALIZED_USER_SITES</t>
        </is>
      </c>
      <c r="N12" s="3" t="inlineStr">
        <is>
          <t>Seeded as CSP total power times AI-company attributed contract share. Replace csp_total_power_mw and ai_contract_share_of_csp with your long-term contract dataset.</t>
        </is>
      </c>
    </row>
    <row r="13">
      <c r="A13" s="3" t="inlineStr">
        <is>
          <t>Grid-Constrained / Efficiency-Upside|Alibaba|2028|Alibaba</t>
        </is>
      </c>
      <c r="B13" s="3" t="inlineStr">
        <is>
          <t>Grid-Constrained / Efficiency-Upside</t>
        </is>
      </c>
      <c r="C13" s="3" t="inlineStr">
        <is>
          <t>Alibaba</t>
        </is>
      </c>
      <c r="D13" s="3" t="n">
        <v>2028</v>
      </c>
      <c r="E13" s="3" t="inlineStr">
        <is>
          <t>Alibaba</t>
        </is>
      </c>
      <c r="F13" s="27" t="n">
        <v>169</v>
      </c>
      <c r="G13" s="17" t="n">
        <v>1</v>
      </c>
      <c r="H13" s="28">
        <f>F13*G13</f>
        <v/>
      </c>
      <c r="I13" s="17" t="n">
        <v>0.73</v>
      </c>
      <c r="J13" s="6">
        <f>1-I13</f>
        <v/>
      </c>
      <c r="K13" s="28">
        <f>H13*I13</f>
        <v/>
      </c>
      <c r="L13" s="3" t="inlineStr">
        <is>
          <t>epoch_csp_total_power_x_user_contract_share_seed</t>
        </is>
      </c>
      <c r="M13" s="3" t="inlineStr">
        <is>
          <t>SRC_EPOCH_AI_DATA_CENTERS; EPOCH_NORMALIZED_USER_SITES</t>
        </is>
      </c>
      <c r="N13" s="3" t="inlineStr">
        <is>
          <t>Seeded as CSP total power times AI-company attributed contract share. Replace csp_total_power_mw and ai_contract_share_of_csp with your long-term contract dataset.</t>
        </is>
      </c>
    </row>
    <row r="14">
      <c r="A14" s="3" t="inlineStr">
        <is>
          <t>Bear|Alibaba|2029|Alibaba</t>
        </is>
      </c>
      <c r="B14" s="3" t="inlineStr">
        <is>
          <t>Bear</t>
        </is>
      </c>
      <c r="C14" s="3" t="inlineStr">
        <is>
          <t>Alibaba</t>
        </is>
      </c>
      <c r="D14" s="3" t="n">
        <v>2029</v>
      </c>
      <c r="E14" s="3" t="inlineStr">
        <is>
          <t>Alibaba</t>
        </is>
      </c>
      <c r="F14" s="27" t="n">
        <v>169</v>
      </c>
      <c r="G14" s="17" t="n">
        <v>1</v>
      </c>
      <c r="H14" s="28">
        <f>F14*G14</f>
        <v/>
      </c>
      <c r="I14" s="17" t="n">
        <v>0.655</v>
      </c>
      <c r="J14" s="6">
        <f>1-I14</f>
        <v/>
      </c>
      <c r="K14" s="28">
        <f>H14*I14</f>
        <v/>
      </c>
      <c r="L14" s="3" t="inlineStr">
        <is>
          <t>epoch_csp_total_power_x_user_contract_share_seed</t>
        </is>
      </c>
      <c r="M14" s="3" t="inlineStr">
        <is>
          <t>SRC_EPOCH_AI_DATA_CENTERS; EPOCH_NORMALIZED_USER_SITES</t>
        </is>
      </c>
      <c r="N14" s="3" t="inlineStr">
        <is>
          <t>Seeded as CSP total power times AI-company attributed contract share. Replace csp_total_power_mw and ai_contract_share_of_csp with your long-term contract dataset.</t>
        </is>
      </c>
    </row>
    <row r="15">
      <c r="A15" s="3" t="inlineStr">
        <is>
          <t>Base|Alibaba|2029|Alibaba</t>
        </is>
      </c>
      <c r="B15" s="3" t="inlineStr">
        <is>
          <t>Base</t>
        </is>
      </c>
      <c r="C15" s="3" t="inlineStr">
        <is>
          <t>Alibaba</t>
        </is>
      </c>
      <c r="D15" s="3" t="n">
        <v>2029</v>
      </c>
      <c r="E15" s="3" t="inlineStr">
        <is>
          <t>Alibaba</t>
        </is>
      </c>
      <c r="F15" s="27" t="n">
        <v>169</v>
      </c>
      <c r="G15" s="17" t="n">
        <v>1</v>
      </c>
      <c r="H15" s="28">
        <f>F15*G15</f>
        <v/>
      </c>
      <c r="I15" s="17" t="n">
        <v>0.75</v>
      </c>
      <c r="J15" s="6">
        <f>1-I15</f>
        <v/>
      </c>
      <c r="K15" s="28">
        <f>H15*I15</f>
        <v/>
      </c>
      <c r="L15" s="3" t="inlineStr">
        <is>
          <t>epoch_csp_total_power_x_user_contract_share_seed</t>
        </is>
      </c>
      <c r="M15" s="3" t="inlineStr">
        <is>
          <t>SRC_EPOCH_AI_DATA_CENTERS; EPOCH_NORMALIZED_USER_SITES</t>
        </is>
      </c>
      <c r="N15" s="3" t="inlineStr">
        <is>
          <t>Seeded as CSP total power times AI-company attributed contract share. Replace csp_total_power_mw and ai_contract_share_of_csp with your long-term contract dataset.</t>
        </is>
      </c>
    </row>
    <row r="16">
      <c r="A16" s="3" t="inlineStr">
        <is>
          <t>Bull|Alibaba|2029|Alibaba</t>
        </is>
      </c>
      <c r="B16" s="3" t="inlineStr">
        <is>
          <t>Bull</t>
        </is>
      </c>
      <c r="C16" s="3" t="inlineStr">
        <is>
          <t>Alibaba</t>
        </is>
      </c>
      <c r="D16" s="3" t="n">
        <v>2029</v>
      </c>
      <c r="E16" s="3" t="inlineStr">
        <is>
          <t>Alibaba</t>
        </is>
      </c>
      <c r="F16" s="27" t="n">
        <v>169</v>
      </c>
      <c r="G16" s="17" t="n">
        <v>1</v>
      </c>
      <c r="H16" s="28">
        <f>F16*G16</f>
        <v/>
      </c>
      <c r="I16" s="17" t="n">
        <v>0.823</v>
      </c>
      <c r="J16" s="6">
        <f>1-I16</f>
        <v/>
      </c>
      <c r="K16" s="28">
        <f>H16*I16</f>
        <v/>
      </c>
      <c r="L16" s="3" t="inlineStr">
        <is>
          <t>epoch_csp_total_power_x_user_contract_share_seed</t>
        </is>
      </c>
      <c r="M16" s="3" t="inlineStr">
        <is>
          <t>SRC_EPOCH_AI_DATA_CENTERS; EPOCH_NORMALIZED_USER_SITES</t>
        </is>
      </c>
      <c r="N16" s="3" t="inlineStr">
        <is>
          <t>Seeded as CSP total power times AI-company attributed contract share. Replace csp_total_power_mw and ai_contract_share_of_csp with your long-term contract dataset.</t>
        </is>
      </c>
    </row>
    <row r="17">
      <c r="A17" s="3" t="inlineStr">
        <is>
          <t>Grid-Constrained / Efficiency-Upside|Alibaba|2029|Alibaba</t>
        </is>
      </c>
      <c r="B17" s="3" t="inlineStr">
        <is>
          <t>Grid-Constrained / Efficiency-Upside</t>
        </is>
      </c>
      <c r="C17" s="3" t="inlineStr">
        <is>
          <t>Alibaba</t>
        </is>
      </c>
      <c r="D17" s="3" t="n">
        <v>2029</v>
      </c>
      <c r="E17" s="3" t="inlineStr">
        <is>
          <t>Alibaba</t>
        </is>
      </c>
      <c r="F17" s="27" t="n">
        <v>169</v>
      </c>
      <c r="G17" s="17" t="n">
        <v>1</v>
      </c>
      <c r="H17" s="28">
        <f>F17*G17</f>
        <v/>
      </c>
      <c r="I17" s="17" t="n">
        <v>0.785</v>
      </c>
      <c r="J17" s="6">
        <f>1-I17</f>
        <v/>
      </c>
      <c r="K17" s="28">
        <f>H17*I17</f>
        <v/>
      </c>
      <c r="L17" s="3" t="inlineStr">
        <is>
          <t>epoch_csp_total_power_x_user_contract_share_seed</t>
        </is>
      </c>
      <c r="M17" s="3" t="inlineStr">
        <is>
          <t>SRC_EPOCH_AI_DATA_CENTERS; EPOCH_NORMALIZED_USER_SITES</t>
        </is>
      </c>
      <c r="N17" s="3" t="inlineStr">
        <is>
          <t>Seeded as CSP total power times AI-company attributed contract share. Replace csp_total_power_mw and ai_contract_share_of_csp with your long-term contract dataset.</t>
        </is>
      </c>
    </row>
    <row r="18">
      <c r="A18" s="3" t="inlineStr">
        <is>
          <t>Bear|Alibaba|2030|Alibaba</t>
        </is>
      </c>
      <c r="B18" s="3" t="inlineStr">
        <is>
          <t>Bear</t>
        </is>
      </c>
      <c r="C18" s="3" t="inlineStr">
        <is>
          <t>Alibaba</t>
        </is>
      </c>
      <c r="D18" s="3" t="n">
        <v>2030</v>
      </c>
      <c r="E18" s="3" t="inlineStr">
        <is>
          <t>Alibaba</t>
        </is>
      </c>
      <c r="F18" s="27" t="n">
        <v>169</v>
      </c>
      <c r="G18" s="17" t="n">
        <v>1</v>
      </c>
      <c r="H18" s="28">
        <f>F18*G18</f>
        <v/>
      </c>
      <c r="I18" s="17" t="n">
        <v>0.7</v>
      </c>
      <c r="J18" s="6">
        <f>1-I18</f>
        <v/>
      </c>
      <c r="K18" s="28">
        <f>H18*I18</f>
        <v/>
      </c>
      <c r="L18" s="3" t="inlineStr">
        <is>
          <t>epoch_csp_total_power_x_user_contract_share_seed</t>
        </is>
      </c>
      <c r="M18" s="3" t="inlineStr">
        <is>
          <t>SRC_EPOCH_AI_DATA_CENTERS; EPOCH_NORMALIZED_USER_SITES</t>
        </is>
      </c>
      <c r="N18" s="3" t="inlineStr">
        <is>
          <t>Seeded as CSP total power times AI-company attributed contract share. Replace csp_total_power_mw and ai_contract_share_of_csp with your long-term contract dataset.</t>
        </is>
      </c>
    </row>
    <row r="19">
      <c r="A19" s="3" t="inlineStr">
        <is>
          <t>Base|Alibaba|2030|Alibaba</t>
        </is>
      </c>
      <c r="B19" s="3" t="inlineStr">
        <is>
          <t>Base</t>
        </is>
      </c>
      <c r="C19" s="3" t="inlineStr">
        <is>
          <t>Alibaba</t>
        </is>
      </c>
      <c r="D19" s="3" t="n">
        <v>2030</v>
      </c>
      <c r="E19" s="3" t="inlineStr">
        <is>
          <t>Alibaba</t>
        </is>
      </c>
      <c r="F19" s="27" t="n">
        <v>169</v>
      </c>
      <c r="G19" s="17" t="n">
        <v>1</v>
      </c>
      <c r="H19" s="28">
        <f>F19*G19</f>
        <v/>
      </c>
      <c r="I19" s="17" t="n">
        <v>0.8</v>
      </c>
      <c r="J19" s="6">
        <f>1-I19</f>
        <v/>
      </c>
      <c r="K19" s="28">
        <f>H19*I19</f>
        <v/>
      </c>
      <c r="L19" s="3" t="inlineStr">
        <is>
          <t>epoch_csp_total_power_x_user_contract_share_seed</t>
        </is>
      </c>
      <c r="M19" s="3" t="inlineStr">
        <is>
          <t>SRC_EPOCH_AI_DATA_CENTERS; EPOCH_NORMALIZED_USER_SITES</t>
        </is>
      </c>
      <c r="N19" s="3" t="inlineStr">
        <is>
          <t>Seeded as CSP total power times AI-company attributed contract share. Replace csp_total_power_mw and ai_contract_share_of_csp with your long-term contract dataset.</t>
        </is>
      </c>
    </row>
    <row r="20">
      <c r="A20" s="3" t="inlineStr">
        <is>
          <t>Bull|Alibaba|2030|Alibaba</t>
        </is>
      </c>
      <c r="B20" s="3" t="inlineStr">
        <is>
          <t>Bull</t>
        </is>
      </c>
      <c r="C20" s="3" t="inlineStr">
        <is>
          <t>Alibaba</t>
        </is>
      </c>
      <c r="D20" s="3" t="n">
        <v>2030</v>
      </c>
      <c r="E20" s="3" t="inlineStr">
        <is>
          <t>Alibaba</t>
        </is>
      </c>
      <c r="F20" s="27" t="n">
        <v>169</v>
      </c>
      <c r="G20" s="17" t="n">
        <v>1</v>
      </c>
      <c r="H20" s="28">
        <f>F20*G20</f>
        <v/>
      </c>
      <c r="I20" s="17" t="n">
        <v>0.88</v>
      </c>
      <c r="J20" s="6">
        <f>1-I20</f>
        <v/>
      </c>
      <c r="K20" s="28">
        <f>H20*I20</f>
        <v/>
      </c>
      <c r="L20" s="3" t="inlineStr">
        <is>
          <t>epoch_csp_total_power_x_user_contract_share_seed</t>
        </is>
      </c>
      <c r="M20" s="3" t="inlineStr">
        <is>
          <t>SRC_EPOCH_AI_DATA_CENTERS; EPOCH_NORMALIZED_USER_SITES</t>
        </is>
      </c>
      <c r="N20" s="3" t="inlineStr">
        <is>
          <t>Seeded as CSP total power times AI-company attributed contract share. Replace csp_total_power_mw and ai_contract_share_of_csp with your long-term contract dataset.</t>
        </is>
      </c>
    </row>
    <row r="21">
      <c r="A21" s="3" t="inlineStr">
        <is>
          <t>Grid-Constrained / Efficiency-Upside|Alibaba|2030|Alibaba</t>
        </is>
      </c>
      <c r="B21" s="3" t="inlineStr">
        <is>
          <t>Grid-Constrained / Efficiency-Upside</t>
        </is>
      </c>
      <c r="C21" s="3" t="inlineStr">
        <is>
          <t>Alibaba</t>
        </is>
      </c>
      <c r="D21" s="3" t="n">
        <v>2030</v>
      </c>
      <c r="E21" s="3" t="inlineStr">
        <is>
          <t>Alibaba</t>
        </is>
      </c>
      <c r="F21" s="27" t="n">
        <v>169</v>
      </c>
      <c r="G21" s="17" t="n">
        <v>1</v>
      </c>
      <c r="H21" s="28">
        <f>F21*G21</f>
        <v/>
      </c>
      <c r="I21" s="17" t="n">
        <v>0.84</v>
      </c>
      <c r="J21" s="6">
        <f>1-I21</f>
        <v/>
      </c>
      <c r="K21" s="28">
        <f>H21*I21</f>
        <v/>
      </c>
      <c r="L21" s="3" t="inlineStr">
        <is>
          <t>epoch_csp_total_power_x_user_contract_share_seed</t>
        </is>
      </c>
      <c r="M21" s="3" t="inlineStr">
        <is>
          <t>SRC_EPOCH_AI_DATA_CENTERS; EPOCH_NORMALIZED_USER_SITES</t>
        </is>
      </c>
      <c r="N21" s="3" t="inlineStr">
        <is>
          <t>Seeded as CSP total power times AI-company attributed contract share. Replace csp_total_power_mw and ai_contract_share_of_csp with your long-term contract dataset.</t>
        </is>
      </c>
    </row>
    <row r="22">
      <c r="A22" s="3" t="inlineStr">
        <is>
          <t>Bear|Anthropic|2026|Amazon</t>
        </is>
      </c>
      <c r="B22" s="3" t="inlineStr">
        <is>
          <t>Bear</t>
        </is>
      </c>
      <c r="C22" s="3" t="inlineStr">
        <is>
          <t>Anthropic</t>
        </is>
      </c>
      <c r="D22" s="3" t="n">
        <v>2026</v>
      </c>
      <c r="E22" s="3" t="inlineStr">
        <is>
          <t>Amazon</t>
        </is>
      </c>
      <c r="F22" s="27" t="n">
        <v>1422</v>
      </c>
      <c r="G22" s="17" t="n">
        <v>1</v>
      </c>
      <c r="H22" s="28">
        <f>F22*G22</f>
        <v/>
      </c>
      <c r="I22" s="17" t="n">
        <v>0.44</v>
      </c>
      <c r="J22" s="6">
        <f>1-I22</f>
        <v/>
      </c>
      <c r="K22" s="28">
        <f>H22*I22</f>
        <v/>
      </c>
      <c r="L22" s="3" t="inlineStr">
        <is>
          <t>epoch_csp_total_power_x_user_contract_share_seed</t>
        </is>
      </c>
      <c r="M22" s="3" t="inlineStr">
        <is>
          <t>SRC_EPOCH_AI_DATA_CENTERS; EPOCH_NORMALIZED_USER_SITES</t>
        </is>
      </c>
      <c r="N22" s="3" t="inlineStr">
        <is>
          <t>Seeded as CSP total power times AI-company attributed contract share. Replace csp_total_power_mw and ai_contract_share_of_csp with your long-term contract dataset.</t>
        </is>
      </c>
    </row>
    <row r="23">
      <c r="A23" s="3" t="inlineStr">
        <is>
          <t>Base|Anthropic|2026|Amazon</t>
        </is>
      </c>
      <c r="B23" s="3" t="inlineStr">
        <is>
          <t>Base</t>
        </is>
      </c>
      <c r="C23" s="3" t="inlineStr">
        <is>
          <t>Anthropic</t>
        </is>
      </c>
      <c r="D23" s="3" t="n">
        <v>2026</v>
      </c>
      <c r="E23" s="3" t="inlineStr">
        <is>
          <t>Amazon</t>
        </is>
      </c>
      <c r="F23" s="27" t="n">
        <v>1422</v>
      </c>
      <c r="G23" s="17" t="n">
        <v>1</v>
      </c>
      <c r="H23" s="28">
        <f>F23*G23</f>
        <v/>
      </c>
      <c r="I23" s="17" t="n">
        <v>0.52</v>
      </c>
      <c r="J23" s="6">
        <f>1-I23</f>
        <v/>
      </c>
      <c r="K23" s="28">
        <f>H23*I23</f>
        <v/>
      </c>
      <c r="L23" s="3" t="inlineStr">
        <is>
          <t>epoch_csp_total_power_x_user_contract_share_seed</t>
        </is>
      </c>
      <c r="M23" s="3" t="inlineStr">
        <is>
          <t>SRC_EPOCH_AI_DATA_CENTERS; EPOCH_NORMALIZED_USER_SITES</t>
        </is>
      </c>
      <c r="N23" s="3" t="inlineStr">
        <is>
          <t>Seeded as CSP total power times AI-company attributed contract share. Replace csp_total_power_mw and ai_contract_share_of_csp with your long-term contract dataset.</t>
        </is>
      </c>
    </row>
    <row r="24">
      <c r="A24" s="3" t="inlineStr">
        <is>
          <t>Bull|Anthropic|2026|Amazon</t>
        </is>
      </c>
      <c r="B24" s="3" t="inlineStr">
        <is>
          <t>Bull</t>
        </is>
      </c>
      <c r="C24" s="3" t="inlineStr">
        <is>
          <t>Anthropic</t>
        </is>
      </c>
      <c r="D24" s="3" t="n">
        <v>2026</v>
      </c>
      <c r="E24" s="3" t="inlineStr">
        <is>
          <t>Amazon</t>
        </is>
      </c>
      <c r="F24" s="27" t="n">
        <v>1422</v>
      </c>
      <c r="G24" s="17" t="n">
        <v>1</v>
      </c>
      <c r="H24" s="28">
        <f>F24*G24</f>
        <v/>
      </c>
      <c r="I24" s="17" t="n">
        <v>0.57</v>
      </c>
      <c r="J24" s="6">
        <f>1-I24</f>
        <v/>
      </c>
      <c r="K24" s="28">
        <f>H24*I24</f>
        <v/>
      </c>
      <c r="L24" s="3" t="inlineStr">
        <is>
          <t>epoch_csp_total_power_x_user_contract_share_seed</t>
        </is>
      </c>
      <c r="M24" s="3" t="inlineStr">
        <is>
          <t>SRC_EPOCH_AI_DATA_CENTERS; EPOCH_NORMALIZED_USER_SITES</t>
        </is>
      </c>
      <c r="N24" s="3" t="inlineStr">
        <is>
          <t>Seeded as CSP total power times AI-company attributed contract share. Replace csp_total_power_mw and ai_contract_share_of_csp with your long-term contract dataset.</t>
        </is>
      </c>
    </row>
    <row r="25">
      <c r="A25" s="3" t="inlineStr">
        <is>
          <t>Grid-Constrained / Efficiency-Upside|Anthropic|2026|Amazon</t>
        </is>
      </c>
      <c r="B25" s="3" t="inlineStr">
        <is>
          <t>Grid-Constrained / Efficiency-Upside</t>
        </is>
      </c>
      <c r="C25" s="3" t="inlineStr">
        <is>
          <t>Anthropic</t>
        </is>
      </c>
      <c r="D25" s="3" t="n">
        <v>2026</v>
      </c>
      <c r="E25" s="3" t="inlineStr">
        <is>
          <t>Amazon</t>
        </is>
      </c>
      <c r="F25" s="27" t="n">
        <v>1422</v>
      </c>
      <c r="G25" s="17" t="n">
        <v>1</v>
      </c>
      <c r="H25" s="28">
        <f>F25*G25</f>
        <v/>
      </c>
      <c r="I25" s="17" t="n">
        <v>0.54</v>
      </c>
      <c r="J25" s="6">
        <f>1-I25</f>
        <v/>
      </c>
      <c r="K25" s="28">
        <f>H25*I25</f>
        <v/>
      </c>
      <c r="L25" s="3" t="inlineStr">
        <is>
          <t>epoch_csp_total_power_x_user_contract_share_seed</t>
        </is>
      </c>
      <c r="M25" s="3" t="inlineStr">
        <is>
          <t>SRC_EPOCH_AI_DATA_CENTERS; EPOCH_NORMALIZED_USER_SITES</t>
        </is>
      </c>
      <c r="N25" s="3" t="inlineStr">
        <is>
          <t>Seeded as CSP total power times AI-company attributed contract share. Replace csp_total_power_mw and ai_contract_share_of_csp with your long-term contract dataset.</t>
        </is>
      </c>
    </row>
    <row r="26">
      <c r="A26" s="3" t="inlineStr">
        <is>
          <t>Bear|Anthropic|2027|Amazon</t>
        </is>
      </c>
      <c r="B26" s="3" t="inlineStr">
        <is>
          <t>Bear</t>
        </is>
      </c>
      <c r="C26" s="3" t="inlineStr">
        <is>
          <t>Anthropic</t>
        </is>
      </c>
      <c r="D26" s="3" t="n">
        <v>2027</v>
      </c>
      <c r="E26" s="3" t="inlineStr">
        <is>
          <t>Amazon</t>
        </is>
      </c>
      <c r="F26" s="27" t="n">
        <v>1422</v>
      </c>
      <c r="G26" s="17" t="n">
        <v>1</v>
      </c>
      <c r="H26" s="28">
        <f>F26*G26</f>
        <v/>
      </c>
      <c r="I26" s="17" t="n">
        <v>0.49</v>
      </c>
      <c r="J26" s="6">
        <f>1-I26</f>
        <v/>
      </c>
      <c r="K26" s="28">
        <f>H26*I26</f>
        <v/>
      </c>
      <c r="L26" s="3" t="inlineStr">
        <is>
          <t>epoch_csp_total_power_x_user_contract_share_seed</t>
        </is>
      </c>
      <c r="M26" s="3" t="inlineStr">
        <is>
          <t>SRC_EPOCH_AI_DATA_CENTERS; EPOCH_NORMALIZED_USER_SITES</t>
        </is>
      </c>
      <c r="N26" s="3" t="inlineStr">
        <is>
          <t>Seeded as CSP total power times AI-company attributed contract share. Replace csp_total_power_mw and ai_contract_share_of_csp with your long-term contract dataset.</t>
        </is>
      </c>
    </row>
    <row r="27">
      <c r="A27" s="3" t="inlineStr">
        <is>
          <t>Base|Anthropic|2027|Amazon</t>
        </is>
      </c>
      <c r="B27" s="3" t="inlineStr">
        <is>
          <t>Base</t>
        </is>
      </c>
      <c r="C27" s="3" t="inlineStr">
        <is>
          <t>Anthropic</t>
        </is>
      </c>
      <c r="D27" s="3" t="n">
        <v>2027</v>
      </c>
      <c r="E27" s="3" t="inlineStr">
        <is>
          <t>Amazon</t>
        </is>
      </c>
      <c r="F27" s="27" t="n">
        <v>1422</v>
      </c>
      <c r="G27" s="17" t="n">
        <v>1</v>
      </c>
      <c r="H27" s="28">
        <f>F27*G27</f>
        <v/>
      </c>
      <c r="I27" s="17" t="n">
        <v>0.575</v>
      </c>
      <c r="J27" s="6">
        <f>1-I27</f>
        <v/>
      </c>
      <c r="K27" s="28">
        <f>H27*I27</f>
        <v/>
      </c>
      <c r="L27" s="3" t="inlineStr">
        <is>
          <t>epoch_csp_total_power_x_user_contract_share_seed</t>
        </is>
      </c>
      <c r="M27" s="3" t="inlineStr">
        <is>
          <t>SRC_EPOCH_AI_DATA_CENTERS; EPOCH_NORMALIZED_USER_SITES</t>
        </is>
      </c>
      <c r="N27" s="3" t="inlineStr">
        <is>
          <t>Seeded as CSP total power times AI-company attributed contract share. Replace csp_total_power_mw and ai_contract_share_of_csp with your long-term contract dataset.</t>
        </is>
      </c>
    </row>
    <row r="28">
      <c r="A28" s="3" t="inlineStr">
        <is>
          <t>Bull|Anthropic|2027|Amazon</t>
        </is>
      </c>
      <c r="B28" s="3" t="inlineStr">
        <is>
          <t>Bull</t>
        </is>
      </c>
      <c r="C28" s="3" t="inlineStr">
        <is>
          <t>Anthropic</t>
        </is>
      </c>
      <c r="D28" s="3" t="n">
        <v>2027</v>
      </c>
      <c r="E28" s="3" t="inlineStr">
        <is>
          <t>Amazon</t>
        </is>
      </c>
      <c r="F28" s="27" t="n">
        <v>1422</v>
      </c>
      <c r="G28" s="17" t="n">
        <v>1</v>
      </c>
      <c r="H28" s="28">
        <f>F28*G28</f>
        <v/>
      </c>
      <c r="I28" s="17" t="n">
        <v>0.632</v>
      </c>
      <c r="J28" s="6">
        <f>1-I28</f>
        <v/>
      </c>
      <c r="K28" s="28">
        <f>H28*I28</f>
        <v/>
      </c>
      <c r="L28" s="3" t="inlineStr">
        <is>
          <t>epoch_csp_total_power_x_user_contract_share_seed</t>
        </is>
      </c>
      <c r="M28" s="3" t="inlineStr">
        <is>
          <t>SRC_EPOCH_AI_DATA_CENTERS; EPOCH_NORMALIZED_USER_SITES</t>
        </is>
      </c>
      <c r="N28" s="3" t="inlineStr">
        <is>
          <t>Seeded as CSP total power times AI-company attributed contract share. Replace csp_total_power_mw and ai_contract_share_of_csp with your long-term contract dataset.</t>
        </is>
      </c>
    </row>
    <row r="29">
      <c r="A29" s="3" t="inlineStr">
        <is>
          <t>Grid-Constrained / Efficiency-Upside|Anthropic|2027|Amazon</t>
        </is>
      </c>
      <c r="B29" s="3" t="inlineStr">
        <is>
          <t>Grid-Constrained / Efficiency-Upside</t>
        </is>
      </c>
      <c r="C29" s="3" t="inlineStr">
        <is>
          <t>Anthropic</t>
        </is>
      </c>
      <c r="D29" s="3" t="n">
        <v>2027</v>
      </c>
      <c r="E29" s="3" t="inlineStr">
        <is>
          <t>Amazon</t>
        </is>
      </c>
      <c r="F29" s="27" t="n">
        <v>1422</v>
      </c>
      <c r="G29" s="17" t="n">
        <v>1</v>
      </c>
      <c r="H29" s="28">
        <f>F29*G29</f>
        <v/>
      </c>
      <c r="I29" s="17" t="n">
        <v>0.6</v>
      </c>
      <c r="J29" s="6">
        <f>1-I29</f>
        <v/>
      </c>
      <c r="K29" s="28">
        <f>H29*I29</f>
        <v/>
      </c>
      <c r="L29" s="3" t="inlineStr">
        <is>
          <t>epoch_csp_total_power_x_user_contract_share_seed</t>
        </is>
      </c>
      <c r="M29" s="3" t="inlineStr">
        <is>
          <t>SRC_EPOCH_AI_DATA_CENTERS; EPOCH_NORMALIZED_USER_SITES</t>
        </is>
      </c>
      <c r="N29" s="3" t="inlineStr">
        <is>
          <t>Seeded as CSP total power times AI-company attributed contract share. Replace csp_total_power_mw and ai_contract_share_of_csp with your long-term contract dataset.</t>
        </is>
      </c>
    </row>
    <row r="30">
      <c r="A30" s="3" t="inlineStr">
        <is>
          <t>Bear|Anthropic|2028|Amazon</t>
        </is>
      </c>
      <c r="B30" s="3" t="inlineStr">
        <is>
          <t>Bear</t>
        </is>
      </c>
      <c r="C30" s="3" t="inlineStr">
        <is>
          <t>Anthropic</t>
        </is>
      </c>
      <c r="D30" s="3" t="n">
        <v>2028</v>
      </c>
      <c r="E30" s="3" t="inlineStr">
        <is>
          <t>Amazon</t>
        </is>
      </c>
      <c r="F30" s="27" t="n">
        <v>3448</v>
      </c>
      <c r="G30" s="17" t="n">
        <v>1</v>
      </c>
      <c r="H30" s="28">
        <f>F30*G30</f>
        <v/>
      </c>
      <c r="I30" s="17" t="n">
        <v>0.54</v>
      </c>
      <c r="J30" s="6">
        <f>1-I30</f>
        <v/>
      </c>
      <c r="K30" s="28">
        <f>H30*I30</f>
        <v/>
      </c>
      <c r="L30" s="3" t="inlineStr">
        <is>
          <t>epoch_csp_total_power_x_user_contract_share_seed</t>
        </is>
      </c>
      <c r="M30" s="3" t="inlineStr">
        <is>
          <t>SRC_EPOCH_AI_DATA_CENTERS; EPOCH_NORMALIZED_USER_SITES</t>
        </is>
      </c>
      <c r="N30" s="3" t="inlineStr">
        <is>
          <t>Seeded as CSP total power times AI-company attributed contract share. Replace csp_total_power_mw and ai_contract_share_of_csp with your long-term contract dataset.</t>
        </is>
      </c>
    </row>
    <row r="31">
      <c r="A31" s="3" t="inlineStr">
        <is>
          <t>Base|Anthropic|2028|Amazon</t>
        </is>
      </c>
      <c r="B31" s="3" t="inlineStr">
        <is>
          <t>Base</t>
        </is>
      </c>
      <c r="C31" s="3" t="inlineStr">
        <is>
          <t>Anthropic</t>
        </is>
      </c>
      <c r="D31" s="3" t="n">
        <v>2028</v>
      </c>
      <c r="E31" s="3" t="inlineStr">
        <is>
          <t>Amazon</t>
        </is>
      </c>
      <c r="F31" s="27" t="n">
        <v>3448</v>
      </c>
      <c r="G31" s="17" t="n">
        <v>1</v>
      </c>
      <c r="H31" s="28">
        <f>F31*G31</f>
        <v/>
      </c>
      <c r="I31" s="17" t="n">
        <v>0.63</v>
      </c>
      <c r="J31" s="6">
        <f>1-I31</f>
        <v/>
      </c>
      <c r="K31" s="28">
        <f>H31*I31</f>
        <v/>
      </c>
      <c r="L31" s="3" t="inlineStr">
        <is>
          <t>epoch_csp_total_power_x_user_contract_share_seed</t>
        </is>
      </c>
      <c r="M31" s="3" t="inlineStr">
        <is>
          <t>SRC_EPOCH_AI_DATA_CENTERS; EPOCH_NORMALIZED_USER_SITES</t>
        </is>
      </c>
      <c r="N31" s="3" t="inlineStr">
        <is>
          <t>Seeded as CSP total power times AI-company attributed contract share. Replace csp_total_power_mw and ai_contract_share_of_csp with your long-term contract dataset.</t>
        </is>
      </c>
    </row>
    <row r="32">
      <c r="A32" s="3" t="inlineStr">
        <is>
          <t>Bull|Anthropic|2028|Amazon</t>
        </is>
      </c>
      <c r="B32" s="3" t="inlineStr">
        <is>
          <t>Bull</t>
        </is>
      </c>
      <c r="C32" s="3" t="inlineStr">
        <is>
          <t>Anthropic</t>
        </is>
      </c>
      <c r="D32" s="3" t="n">
        <v>2028</v>
      </c>
      <c r="E32" s="3" t="inlineStr">
        <is>
          <t>Amazon</t>
        </is>
      </c>
      <c r="F32" s="27" t="n">
        <v>3448</v>
      </c>
      <c r="G32" s="17" t="n">
        <v>1</v>
      </c>
      <c r="H32" s="28">
        <f>F32*G32</f>
        <v/>
      </c>
      <c r="I32" s="17" t="n">
        <v>0.695</v>
      </c>
      <c r="J32" s="6">
        <f>1-I32</f>
        <v/>
      </c>
      <c r="K32" s="28">
        <f>H32*I32</f>
        <v/>
      </c>
      <c r="L32" s="3" t="inlineStr">
        <is>
          <t>epoch_csp_total_power_x_user_contract_share_seed</t>
        </is>
      </c>
      <c r="M32" s="3" t="inlineStr">
        <is>
          <t>SRC_EPOCH_AI_DATA_CENTERS; EPOCH_NORMALIZED_USER_SITES</t>
        </is>
      </c>
      <c r="N32" s="3" t="inlineStr">
        <is>
          <t>Seeded as CSP total power times AI-company attributed contract share. Replace csp_total_power_mw and ai_contract_share_of_csp with your long-term contract dataset.</t>
        </is>
      </c>
    </row>
    <row r="33">
      <c r="A33" s="3" t="inlineStr">
        <is>
          <t>Grid-Constrained / Efficiency-Upside|Anthropic|2028|Amazon</t>
        </is>
      </c>
      <c r="B33" s="3" t="inlineStr">
        <is>
          <t>Grid-Constrained / Efficiency-Upside</t>
        </is>
      </c>
      <c r="C33" s="3" t="inlineStr">
        <is>
          <t>Anthropic</t>
        </is>
      </c>
      <c r="D33" s="3" t="n">
        <v>2028</v>
      </c>
      <c r="E33" s="3" t="inlineStr">
        <is>
          <t>Amazon</t>
        </is>
      </c>
      <c r="F33" s="27" t="n">
        <v>3448</v>
      </c>
      <c r="G33" s="17" t="n">
        <v>1</v>
      </c>
      <c r="H33" s="28">
        <f>F33*G33</f>
        <v/>
      </c>
      <c r="I33" s="17" t="n">
        <v>0.66</v>
      </c>
      <c r="J33" s="6">
        <f>1-I33</f>
        <v/>
      </c>
      <c r="K33" s="28">
        <f>H33*I33</f>
        <v/>
      </c>
      <c r="L33" s="3" t="inlineStr">
        <is>
          <t>epoch_csp_total_power_x_user_contract_share_seed</t>
        </is>
      </c>
      <c r="M33" s="3" t="inlineStr">
        <is>
          <t>SRC_EPOCH_AI_DATA_CENTERS; EPOCH_NORMALIZED_USER_SITES</t>
        </is>
      </c>
      <c r="N33" s="3" t="inlineStr">
        <is>
          <t>Seeded as CSP total power times AI-company attributed contract share. Replace csp_total_power_mw and ai_contract_share_of_csp with your long-term contract dataset.</t>
        </is>
      </c>
    </row>
    <row r="34">
      <c r="A34" s="3" t="inlineStr">
        <is>
          <t>Bear|Anthropic|2029|Amazon</t>
        </is>
      </c>
      <c r="B34" s="3" t="inlineStr">
        <is>
          <t>Bear</t>
        </is>
      </c>
      <c r="C34" s="3" t="inlineStr">
        <is>
          <t>Anthropic</t>
        </is>
      </c>
      <c r="D34" s="3" t="n">
        <v>2029</v>
      </c>
      <c r="E34" s="3" t="inlineStr">
        <is>
          <t>Amazon</t>
        </is>
      </c>
      <c r="F34" s="27" t="n">
        <v>3448</v>
      </c>
      <c r="G34" s="17" t="n">
        <v>1</v>
      </c>
      <c r="H34" s="28">
        <f>F34*G34</f>
        <v/>
      </c>
      <c r="I34" s="17" t="n">
        <v>0.59</v>
      </c>
      <c r="J34" s="6">
        <f>1-I34</f>
        <v/>
      </c>
      <c r="K34" s="28">
        <f>H34*I34</f>
        <v/>
      </c>
      <c r="L34" s="3" t="inlineStr">
        <is>
          <t>epoch_csp_total_power_x_user_contract_share_seed</t>
        </is>
      </c>
      <c r="M34" s="3" t="inlineStr">
        <is>
          <t>SRC_EPOCH_AI_DATA_CENTERS; EPOCH_NORMALIZED_USER_SITES</t>
        </is>
      </c>
      <c r="N34" s="3" t="inlineStr">
        <is>
          <t>Seeded as CSP total power times AI-company attributed contract share. Replace csp_total_power_mw and ai_contract_share_of_csp with your long-term contract dataset.</t>
        </is>
      </c>
    </row>
    <row r="35">
      <c r="A35" s="3" t="inlineStr">
        <is>
          <t>Base|Anthropic|2029|Amazon</t>
        </is>
      </c>
      <c r="B35" s="3" t="inlineStr">
        <is>
          <t>Base</t>
        </is>
      </c>
      <c r="C35" s="3" t="inlineStr">
        <is>
          <t>Anthropic</t>
        </is>
      </c>
      <c r="D35" s="3" t="n">
        <v>2029</v>
      </c>
      <c r="E35" s="3" t="inlineStr">
        <is>
          <t>Amazon</t>
        </is>
      </c>
      <c r="F35" s="27" t="n">
        <v>3448</v>
      </c>
      <c r="G35" s="17" t="n">
        <v>1</v>
      </c>
      <c r="H35" s="28">
        <f>F35*G35</f>
        <v/>
      </c>
      <c r="I35" s="17" t="n">
        <v>0.6850000000000001</v>
      </c>
      <c r="J35" s="6">
        <f>1-I35</f>
        <v/>
      </c>
      <c r="K35" s="28">
        <f>H35*I35</f>
        <v/>
      </c>
      <c r="L35" s="3" t="inlineStr">
        <is>
          <t>epoch_csp_total_power_x_user_contract_share_seed</t>
        </is>
      </c>
      <c r="M35" s="3" t="inlineStr">
        <is>
          <t>SRC_EPOCH_AI_DATA_CENTERS; EPOCH_NORMALIZED_USER_SITES</t>
        </is>
      </c>
      <c r="N35" s="3" t="inlineStr">
        <is>
          <t>Seeded as CSP total power times AI-company attributed contract share. Replace csp_total_power_mw and ai_contract_share_of_csp with your long-term contract dataset.</t>
        </is>
      </c>
    </row>
    <row r="36">
      <c r="A36" s="3" t="inlineStr">
        <is>
          <t>Bull|Anthropic|2029|Amazon</t>
        </is>
      </c>
      <c r="B36" s="3" t="inlineStr">
        <is>
          <t>Bull</t>
        </is>
      </c>
      <c r="C36" s="3" t="inlineStr">
        <is>
          <t>Anthropic</t>
        </is>
      </c>
      <c r="D36" s="3" t="n">
        <v>2029</v>
      </c>
      <c r="E36" s="3" t="inlineStr">
        <is>
          <t>Amazon</t>
        </is>
      </c>
      <c r="F36" s="27" t="n">
        <v>3448</v>
      </c>
      <c r="G36" s="17" t="n">
        <v>1</v>
      </c>
      <c r="H36" s="28">
        <f>F36*G36</f>
        <v/>
      </c>
      <c r="I36" s="17" t="n">
        <v>0.758</v>
      </c>
      <c r="J36" s="6">
        <f>1-I36</f>
        <v/>
      </c>
      <c r="K36" s="28">
        <f>H36*I36</f>
        <v/>
      </c>
      <c r="L36" s="3" t="inlineStr">
        <is>
          <t>epoch_csp_total_power_x_user_contract_share_seed</t>
        </is>
      </c>
      <c r="M36" s="3" t="inlineStr">
        <is>
          <t>SRC_EPOCH_AI_DATA_CENTERS; EPOCH_NORMALIZED_USER_SITES</t>
        </is>
      </c>
      <c r="N36" s="3" t="inlineStr">
        <is>
          <t>Seeded as CSP total power times AI-company attributed contract share. Replace csp_total_power_mw and ai_contract_share_of_csp with your long-term contract dataset.</t>
        </is>
      </c>
    </row>
    <row r="37">
      <c r="A37" s="3" t="inlineStr">
        <is>
          <t>Grid-Constrained / Efficiency-Upside|Anthropic|2029|Amazon</t>
        </is>
      </c>
      <c r="B37" s="3" t="inlineStr">
        <is>
          <t>Grid-Constrained / Efficiency-Upside</t>
        </is>
      </c>
      <c r="C37" s="3" t="inlineStr">
        <is>
          <t>Anthropic</t>
        </is>
      </c>
      <c r="D37" s="3" t="n">
        <v>2029</v>
      </c>
      <c r="E37" s="3" t="inlineStr">
        <is>
          <t>Amazon</t>
        </is>
      </c>
      <c r="F37" s="27" t="n">
        <v>3448</v>
      </c>
      <c r="G37" s="17" t="n">
        <v>1</v>
      </c>
      <c r="H37" s="28">
        <f>F37*G37</f>
        <v/>
      </c>
      <c r="I37" s="17" t="n">
        <v>0.72</v>
      </c>
      <c r="J37" s="6">
        <f>1-I37</f>
        <v/>
      </c>
      <c r="K37" s="28">
        <f>H37*I37</f>
        <v/>
      </c>
      <c r="L37" s="3" t="inlineStr">
        <is>
          <t>epoch_csp_total_power_x_user_contract_share_seed</t>
        </is>
      </c>
      <c r="M37" s="3" t="inlineStr">
        <is>
          <t>SRC_EPOCH_AI_DATA_CENTERS; EPOCH_NORMALIZED_USER_SITES</t>
        </is>
      </c>
      <c r="N37" s="3" t="inlineStr">
        <is>
          <t>Seeded as CSP total power times AI-company attributed contract share. Replace csp_total_power_mw and ai_contract_share_of_csp with your long-term contract dataset.</t>
        </is>
      </c>
    </row>
    <row r="38">
      <c r="A38" s="3" t="inlineStr">
        <is>
          <t>Bear|Anthropic|2030|Amazon</t>
        </is>
      </c>
      <c r="B38" s="3" t="inlineStr">
        <is>
          <t>Bear</t>
        </is>
      </c>
      <c r="C38" s="3" t="inlineStr">
        <is>
          <t>Anthropic</t>
        </is>
      </c>
      <c r="D38" s="3" t="n">
        <v>2030</v>
      </c>
      <c r="E38" s="3" t="inlineStr">
        <is>
          <t>Amazon</t>
        </is>
      </c>
      <c r="F38" s="27" t="n">
        <v>3448</v>
      </c>
      <c r="G38" s="17" t="n">
        <v>1</v>
      </c>
      <c r="H38" s="28">
        <f>F38*G38</f>
        <v/>
      </c>
      <c r="I38" s="17" t="n">
        <v>0.64</v>
      </c>
      <c r="J38" s="6">
        <f>1-I38</f>
        <v/>
      </c>
      <c r="K38" s="28">
        <f>H38*I38</f>
        <v/>
      </c>
      <c r="L38" s="3" t="inlineStr">
        <is>
          <t>epoch_csp_total_power_x_user_contract_share_seed</t>
        </is>
      </c>
      <c r="M38" s="3" t="inlineStr">
        <is>
          <t>SRC_EPOCH_AI_DATA_CENTERS; EPOCH_NORMALIZED_USER_SITES</t>
        </is>
      </c>
      <c r="N38" s="3" t="inlineStr">
        <is>
          <t>Seeded as CSP total power times AI-company attributed contract share. Replace csp_total_power_mw and ai_contract_share_of_csp with your long-term contract dataset.</t>
        </is>
      </c>
    </row>
    <row r="39">
      <c r="A39" s="3" t="inlineStr">
        <is>
          <t>Base|Anthropic|2030|Amazon</t>
        </is>
      </c>
      <c r="B39" s="3" t="inlineStr">
        <is>
          <t>Base</t>
        </is>
      </c>
      <c r="C39" s="3" t="inlineStr">
        <is>
          <t>Anthropic</t>
        </is>
      </c>
      <c r="D39" s="3" t="n">
        <v>2030</v>
      </c>
      <c r="E39" s="3" t="inlineStr">
        <is>
          <t>Amazon</t>
        </is>
      </c>
      <c r="F39" s="27" t="n">
        <v>3448</v>
      </c>
      <c r="G39" s="17" t="n">
        <v>1</v>
      </c>
      <c r="H39" s="28">
        <f>F39*G39</f>
        <v/>
      </c>
      <c r="I39" s="17" t="n">
        <v>0.74</v>
      </c>
      <c r="J39" s="6">
        <f>1-I39</f>
        <v/>
      </c>
      <c r="K39" s="28">
        <f>H39*I39</f>
        <v/>
      </c>
      <c r="L39" s="3" t="inlineStr">
        <is>
          <t>epoch_csp_total_power_x_user_contract_share_seed</t>
        </is>
      </c>
      <c r="M39" s="3" t="inlineStr">
        <is>
          <t>SRC_EPOCH_AI_DATA_CENTERS; EPOCH_NORMALIZED_USER_SITES</t>
        </is>
      </c>
      <c r="N39" s="3" t="inlineStr">
        <is>
          <t>Seeded as CSP total power times AI-company attributed contract share. Replace csp_total_power_mw and ai_contract_share_of_csp with your long-term contract dataset.</t>
        </is>
      </c>
    </row>
    <row r="40">
      <c r="A40" s="3" t="inlineStr">
        <is>
          <t>Bull|Anthropic|2030|Amazon</t>
        </is>
      </c>
      <c r="B40" s="3" t="inlineStr">
        <is>
          <t>Bull</t>
        </is>
      </c>
      <c r="C40" s="3" t="inlineStr">
        <is>
          <t>Anthropic</t>
        </is>
      </c>
      <c r="D40" s="3" t="n">
        <v>2030</v>
      </c>
      <c r="E40" s="3" t="inlineStr">
        <is>
          <t>Amazon</t>
        </is>
      </c>
      <c r="F40" s="27" t="n">
        <v>3448</v>
      </c>
      <c r="G40" s="17" t="n">
        <v>1</v>
      </c>
      <c r="H40" s="28">
        <f>F40*G40</f>
        <v/>
      </c>
      <c r="I40" s="17" t="n">
        <v>0.82</v>
      </c>
      <c r="J40" s="6">
        <f>1-I40</f>
        <v/>
      </c>
      <c r="K40" s="28">
        <f>H40*I40</f>
        <v/>
      </c>
      <c r="L40" s="3" t="inlineStr">
        <is>
          <t>epoch_csp_total_power_x_user_contract_share_seed</t>
        </is>
      </c>
      <c r="M40" s="3" t="inlineStr">
        <is>
          <t>SRC_EPOCH_AI_DATA_CENTERS; EPOCH_NORMALIZED_USER_SITES</t>
        </is>
      </c>
      <c r="N40" s="3" t="inlineStr">
        <is>
          <t>Seeded as CSP total power times AI-company attributed contract share. Replace csp_total_power_mw and ai_contract_share_of_csp with your long-term contract dataset.</t>
        </is>
      </c>
    </row>
    <row r="41">
      <c r="A41" s="3" t="inlineStr">
        <is>
          <t>Grid-Constrained / Efficiency-Upside|Anthropic|2030|Amazon</t>
        </is>
      </c>
      <c r="B41" s="3" t="inlineStr">
        <is>
          <t>Grid-Constrained / Efficiency-Upside</t>
        </is>
      </c>
      <c r="C41" s="3" t="inlineStr">
        <is>
          <t>Anthropic</t>
        </is>
      </c>
      <c r="D41" s="3" t="n">
        <v>2030</v>
      </c>
      <c r="E41" s="3" t="inlineStr">
        <is>
          <t>Amazon</t>
        </is>
      </c>
      <c r="F41" s="27" t="n">
        <v>3448</v>
      </c>
      <c r="G41" s="17" t="n">
        <v>1</v>
      </c>
      <c r="H41" s="28">
        <f>F41*G41</f>
        <v/>
      </c>
      <c r="I41" s="17" t="n">
        <v>0.78</v>
      </c>
      <c r="J41" s="6">
        <f>1-I41</f>
        <v/>
      </c>
      <c r="K41" s="28">
        <f>H41*I41</f>
        <v/>
      </c>
      <c r="L41" s="3" t="inlineStr">
        <is>
          <t>epoch_csp_total_power_x_user_contract_share_seed</t>
        </is>
      </c>
      <c r="M41" s="3" t="inlineStr">
        <is>
          <t>SRC_EPOCH_AI_DATA_CENTERS; EPOCH_NORMALIZED_USER_SITES</t>
        </is>
      </c>
      <c r="N41" s="3" t="inlineStr">
        <is>
          <t>Seeded as CSP total power times AI-company attributed contract share. Replace csp_total_power_mw and ai_contract_share_of_csp with your long-term contract dataset.</t>
        </is>
      </c>
    </row>
    <row r="42">
      <c r="A42" s="3" t="inlineStr">
        <is>
          <t>Bear|Anthropic|2026|Fluidstack</t>
        </is>
      </c>
      <c r="B42" s="3" t="inlineStr">
        <is>
          <t>Bear</t>
        </is>
      </c>
      <c r="C42" s="3" t="inlineStr">
        <is>
          <t>Anthropic</t>
        </is>
      </c>
      <c r="D42" s="3" t="n">
        <v>2026</v>
      </c>
      <c r="E42" s="3" t="inlineStr">
        <is>
          <t>Fluidstack</t>
        </is>
      </c>
      <c r="F42" s="27" t="n">
        <v>100</v>
      </c>
      <c r="G42" s="17" t="n">
        <v>0.5</v>
      </c>
      <c r="H42" s="28">
        <f>F42*G42</f>
        <v/>
      </c>
      <c r="I42" s="17" t="n">
        <v>0.44</v>
      </c>
      <c r="J42" s="6">
        <f>1-I42</f>
        <v/>
      </c>
      <c r="K42" s="28">
        <f>H42*I42</f>
        <v/>
      </c>
      <c r="L42" s="3" t="inlineStr">
        <is>
          <t>epoch_csp_total_power_x_user_contract_share_seed</t>
        </is>
      </c>
      <c r="M42" s="3" t="inlineStr">
        <is>
          <t>SRC_EPOCH_AI_DATA_CENTERS; EPOCH_NORMALIZED_USER_SITES</t>
        </is>
      </c>
      <c r="N42" s="3" t="inlineStr">
        <is>
          <t>Seeded as CSP total power times AI-company attributed contract share. Replace csp_total_power_mw and ai_contract_share_of_csp with your long-term contract dataset.</t>
        </is>
      </c>
    </row>
    <row r="43">
      <c r="A43" s="3" t="inlineStr">
        <is>
          <t>Base|Anthropic|2026|Fluidstack</t>
        </is>
      </c>
      <c r="B43" s="3" t="inlineStr">
        <is>
          <t>Base</t>
        </is>
      </c>
      <c r="C43" s="3" t="inlineStr">
        <is>
          <t>Anthropic</t>
        </is>
      </c>
      <c r="D43" s="3" t="n">
        <v>2026</v>
      </c>
      <c r="E43" s="3" t="inlineStr">
        <is>
          <t>Fluidstack</t>
        </is>
      </c>
      <c r="F43" s="27" t="n">
        <v>100</v>
      </c>
      <c r="G43" s="17" t="n">
        <v>0.5</v>
      </c>
      <c r="H43" s="28">
        <f>F43*G43</f>
        <v/>
      </c>
      <c r="I43" s="17" t="n">
        <v>0.52</v>
      </c>
      <c r="J43" s="6">
        <f>1-I43</f>
        <v/>
      </c>
      <c r="K43" s="28">
        <f>H43*I43</f>
        <v/>
      </c>
      <c r="L43" s="3" t="inlineStr">
        <is>
          <t>epoch_csp_total_power_x_user_contract_share_seed</t>
        </is>
      </c>
      <c r="M43" s="3" t="inlineStr">
        <is>
          <t>SRC_EPOCH_AI_DATA_CENTERS; EPOCH_NORMALIZED_USER_SITES</t>
        </is>
      </c>
      <c r="N43" s="3" t="inlineStr">
        <is>
          <t>Seeded as CSP total power times AI-company attributed contract share. Replace csp_total_power_mw and ai_contract_share_of_csp with your long-term contract dataset.</t>
        </is>
      </c>
    </row>
    <row r="44">
      <c r="A44" s="3" t="inlineStr">
        <is>
          <t>Bull|Anthropic|2026|Fluidstack</t>
        </is>
      </c>
      <c r="B44" s="3" t="inlineStr">
        <is>
          <t>Bull</t>
        </is>
      </c>
      <c r="C44" s="3" t="inlineStr">
        <is>
          <t>Anthropic</t>
        </is>
      </c>
      <c r="D44" s="3" t="n">
        <v>2026</v>
      </c>
      <c r="E44" s="3" t="inlineStr">
        <is>
          <t>Fluidstack</t>
        </is>
      </c>
      <c r="F44" s="27" t="n">
        <v>100</v>
      </c>
      <c r="G44" s="17" t="n">
        <v>0.5</v>
      </c>
      <c r="H44" s="28">
        <f>F44*G44</f>
        <v/>
      </c>
      <c r="I44" s="17" t="n">
        <v>0.57</v>
      </c>
      <c r="J44" s="6">
        <f>1-I44</f>
        <v/>
      </c>
      <c r="K44" s="28">
        <f>H44*I44</f>
        <v/>
      </c>
      <c r="L44" s="3" t="inlineStr">
        <is>
          <t>epoch_csp_total_power_x_user_contract_share_seed</t>
        </is>
      </c>
      <c r="M44" s="3" t="inlineStr">
        <is>
          <t>SRC_EPOCH_AI_DATA_CENTERS; EPOCH_NORMALIZED_USER_SITES</t>
        </is>
      </c>
      <c r="N44" s="3" t="inlineStr">
        <is>
          <t>Seeded as CSP total power times AI-company attributed contract share. Replace csp_total_power_mw and ai_contract_share_of_csp with your long-term contract dataset.</t>
        </is>
      </c>
    </row>
    <row r="45">
      <c r="A45" s="3" t="inlineStr">
        <is>
          <t>Grid-Constrained / Efficiency-Upside|Anthropic|2026|Fluidstack</t>
        </is>
      </c>
      <c r="B45" s="3" t="inlineStr">
        <is>
          <t>Grid-Constrained / Efficiency-Upside</t>
        </is>
      </c>
      <c r="C45" s="3" t="inlineStr">
        <is>
          <t>Anthropic</t>
        </is>
      </c>
      <c r="D45" s="3" t="n">
        <v>2026</v>
      </c>
      <c r="E45" s="3" t="inlineStr">
        <is>
          <t>Fluidstack</t>
        </is>
      </c>
      <c r="F45" s="27" t="n">
        <v>100</v>
      </c>
      <c r="G45" s="17" t="n">
        <v>0.5</v>
      </c>
      <c r="H45" s="28">
        <f>F45*G45</f>
        <v/>
      </c>
      <c r="I45" s="17" t="n">
        <v>0.54</v>
      </c>
      <c r="J45" s="6">
        <f>1-I45</f>
        <v/>
      </c>
      <c r="K45" s="28">
        <f>H45*I45</f>
        <v/>
      </c>
      <c r="L45" s="3" t="inlineStr">
        <is>
          <t>epoch_csp_total_power_x_user_contract_share_seed</t>
        </is>
      </c>
      <c r="M45" s="3" t="inlineStr">
        <is>
          <t>SRC_EPOCH_AI_DATA_CENTERS; EPOCH_NORMALIZED_USER_SITES</t>
        </is>
      </c>
      <c r="N45" s="3" t="inlineStr">
        <is>
          <t>Seeded as CSP total power times AI-company attributed contract share. Replace csp_total_power_mw and ai_contract_share_of_csp with your long-term contract dataset.</t>
        </is>
      </c>
    </row>
    <row r="46">
      <c r="A46" s="3" t="inlineStr">
        <is>
          <t>Bear|Anthropic|2027|Fluidstack</t>
        </is>
      </c>
      <c r="B46" s="3" t="inlineStr">
        <is>
          <t>Bear</t>
        </is>
      </c>
      <c r="C46" s="3" t="inlineStr">
        <is>
          <t>Anthropic</t>
        </is>
      </c>
      <c r="D46" s="3" t="n">
        <v>2027</v>
      </c>
      <c r="E46" s="3" t="inlineStr">
        <is>
          <t>Fluidstack</t>
        </is>
      </c>
      <c r="F46" s="27" t="n">
        <v>436</v>
      </c>
      <c r="G46" s="17" t="n">
        <v>0.5</v>
      </c>
      <c r="H46" s="28">
        <f>F46*G46</f>
        <v/>
      </c>
      <c r="I46" s="17" t="n">
        <v>0.49</v>
      </c>
      <c r="J46" s="6">
        <f>1-I46</f>
        <v/>
      </c>
      <c r="K46" s="28">
        <f>H46*I46</f>
        <v/>
      </c>
      <c r="L46" s="3" t="inlineStr">
        <is>
          <t>epoch_csp_total_power_x_user_contract_share_seed</t>
        </is>
      </c>
      <c r="M46" s="3" t="inlineStr">
        <is>
          <t>SRC_EPOCH_AI_DATA_CENTERS; EPOCH_NORMALIZED_USER_SITES</t>
        </is>
      </c>
      <c r="N46" s="3" t="inlineStr">
        <is>
          <t>Seeded as CSP total power times AI-company attributed contract share. Replace csp_total_power_mw and ai_contract_share_of_csp with your long-term contract dataset.</t>
        </is>
      </c>
    </row>
    <row r="47">
      <c r="A47" s="3" t="inlineStr">
        <is>
          <t>Base|Anthropic|2027|Fluidstack</t>
        </is>
      </c>
      <c r="B47" s="3" t="inlineStr">
        <is>
          <t>Base</t>
        </is>
      </c>
      <c r="C47" s="3" t="inlineStr">
        <is>
          <t>Anthropic</t>
        </is>
      </c>
      <c r="D47" s="3" t="n">
        <v>2027</v>
      </c>
      <c r="E47" s="3" t="inlineStr">
        <is>
          <t>Fluidstack</t>
        </is>
      </c>
      <c r="F47" s="27" t="n">
        <v>436</v>
      </c>
      <c r="G47" s="17" t="n">
        <v>0.5</v>
      </c>
      <c r="H47" s="28">
        <f>F47*G47</f>
        <v/>
      </c>
      <c r="I47" s="17" t="n">
        <v>0.575</v>
      </c>
      <c r="J47" s="6">
        <f>1-I47</f>
        <v/>
      </c>
      <c r="K47" s="28">
        <f>H47*I47</f>
        <v/>
      </c>
      <c r="L47" s="3" t="inlineStr">
        <is>
          <t>epoch_csp_total_power_x_user_contract_share_seed</t>
        </is>
      </c>
      <c r="M47" s="3" t="inlineStr">
        <is>
          <t>SRC_EPOCH_AI_DATA_CENTERS; EPOCH_NORMALIZED_USER_SITES</t>
        </is>
      </c>
      <c r="N47" s="3" t="inlineStr">
        <is>
          <t>Seeded as CSP total power times AI-company attributed contract share. Replace csp_total_power_mw and ai_contract_share_of_csp with your long-term contract dataset.</t>
        </is>
      </c>
    </row>
    <row r="48">
      <c r="A48" s="3" t="inlineStr">
        <is>
          <t>Bull|Anthropic|2027|Fluidstack</t>
        </is>
      </c>
      <c r="B48" s="3" t="inlineStr">
        <is>
          <t>Bull</t>
        </is>
      </c>
      <c r="C48" s="3" t="inlineStr">
        <is>
          <t>Anthropic</t>
        </is>
      </c>
      <c r="D48" s="3" t="n">
        <v>2027</v>
      </c>
      <c r="E48" s="3" t="inlineStr">
        <is>
          <t>Fluidstack</t>
        </is>
      </c>
      <c r="F48" s="27" t="n">
        <v>436</v>
      </c>
      <c r="G48" s="17" t="n">
        <v>0.5</v>
      </c>
      <c r="H48" s="28">
        <f>F48*G48</f>
        <v/>
      </c>
      <c r="I48" s="17" t="n">
        <v>0.632</v>
      </c>
      <c r="J48" s="6">
        <f>1-I48</f>
        <v/>
      </c>
      <c r="K48" s="28">
        <f>H48*I48</f>
        <v/>
      </c>
      <c r="L48" s="3" t="inlineStr">
        <is>
          <t>epoch_csp_total_power_x_user_contract_share_seed</t>
        </is>
      </c>
      <c r="M48" s="3" t="inlineStr">
        <is>
          <t>SRC_EPOCH_AI_DATA_CENTERS; EPOCH_NORMALIZED_USER_SITES</t>
        </is>
      </c>
      <c r="N48" s="3" t="inlineStr">
        <is>
          <t>Seeded as CSP total power times AI-company attributed contract share. Replace csp_total_power_mw and ai_contract_share_of_csp with your long-term contract dataset.</t>
        </is>
      </c>
    </row>
    <row r="49">
      <c r="A49" s="3" t="inlineStr">
        <is>
          <t>Grid-Constrained / Efficiency-Upside|Anthropic|2027|Fluidstack</t>
        </is>
      </c>
      <c r="B49" s="3" t="inlineStr">
        <is>
          <t>Grid-Constrained / Efficiency-Upside</t>
        </is>
      </c>
      <c r="C49" s="3" t="inlineStr">
        <is>
          <t>Anthropic</t>
        </is>
      </c>
      <c r="D49" s="3" t="n">
        <v>2027</v>
      </c>
      <c r="E49" s="3" t="inlineStr">
        <is>
          <t>Fluidstack</t>
        </is>
      </c>
      <c r="F49" s="27" t="n">
        <v>436</v>
      </c>
      <c r="G49" s="17" t="n">
        <v>0.5</v>
      </c>
      <c r="H49" s="28">
        <f>F49*G49</f>
        <v/>
      </c>
      <c r="I49" s="17" t="n">
        <v>0.6</v>
      </c>
      <c r="J49" s="6">
        <f>1-I49</f>
        <v/>
      </c>
      <c r="K49" s="28">
        <f>H49*I49</f>
        <v/>
      </c>
      <c r="L49" s="3" t="inlineStr">
        <is>
          <t>epoch_csp_total_power_x_user_contract_share_seed</t>
        </is>
      </c>
      <c r="M49" s="3" t="inlineStr">
        <is>
          <t>SRC_EPOCH_AI_DATA_CENTERS; EPOCH_NORMALIZED_USER_SITES</t>
        </is>
      </c>
      <c r="N49" s="3" t="inlineStr">
        <is>
          <t>Seeded as CSP total power times AI-company attributed contract share. Replace csp_total_power_mw and ai_contract_share_of_csp with your long-term contract dataset.</t>
        </is>
      </c>
    </row>
    <row r="50">
      <c r="A50" s="3" t="inlineStr">
        <is>
          <t>Bear|Anthropic|2028|Fluidstack</t>
        </is>
      </c>
      <c r="B50" s="3" t="inlineStr">
        <is>
          <t>Bear</t>
        </is>
      </c>
      <c r="C50" s="3" t="inlineStr">
        <is>
          <t>Anthropic</t>
        </is>
      </c>
      <c r="D50" s="3" t="n">
        <v>2028</v>
      </c>
      <c r="E50" s="3" t="inlineStr">
        <is>
          <t>Fluidstack</t>
        </is>
      </c>
      <c r="F50" s="27" t="n">
        <v>436</v>
      </c>
      <c r="G50" s="17" t="n">
        <v>0.5</v>
      </c>
      <c r="H50" s="28">
        <f>F50*G50</f>
        <v/>
      </c>
      <c r="I50" s="17" t="n">
        <v>0.54</v>
      </c>
      <c r="J50" s="6">
        <f>1-I50</f>
        <v/>
      </c>
      <c r="K50" s="28">
        <f>H50*I50</f>
        <v/>
      </c>
      <c r="L50" s="3" t="inlineStr">
        <is>
          <t>epoch_csp_total_power_x_user_contract_share_seed</t>
        </is>
      </c>
      <c r="M50" s="3" t="inlineStr">
        <is>
          <t>SRC_EPOCH_AI_DATA_CENTERS; EPOCH_NORMALIZED_USER_SITES</t>
        </is>
      </c>
      <c r="N50" s="3" t="inlineStr">
        <is>
          <t>Seeded as CSP total power times AI-company attributed contract share. Replace csp_total_power_mw and ai_contract_share_of_csp with your long-term contract dataset.</t>
        </is>
      </c>
    </row>
    <row r="51">
      <c r="A51" s="3" t="inlineStr">
        <is>
          <t>Base|Anthropic|2028|Fluidstack</t>
        </is>
      </c>
      <c r="B51" s="3" t="inlineStr">
        <is>
          <t>Base</t>
        </is>
      </c>
      <c r="C51" s="3" t="inlineStr">
        <is>
          <t>Anthropic</t>
        </is>
      </c>
      <c r="D51" s="3" t="n">
        <v>2028</v>
      </c>
      <c r="E51" s="3" t="inlineStr">
        <is>
          <t>Fluidstack</t>
        </is>
      </c>
      <c r="F51" s="27" t="n">
        <v>436</v>
      </c>
      <c r="G51" s="17" t="n">
        <v>0.5</v>
      </c>
      <c r="H51" s="28">
        <f>F51*G51</f>
        <v/>
      </c>
      <c r="I51" s="17" t="n">
        <v>0.63</v>
      </c>
      <c r="J51" s="6">
        <f>1-I51</f>
        <v/>
      </c>
      <c r="K51" s="28">
        <f>H51*I51</f>
        <v/>
      </c>
      <c r="L51" s="3" t="inlineStr">
        <is>
          <t>epoch_csp_total_power_x_user_contract_share_seed</t>
        </is>
      </c>
      <c r="M51" s="3" t="inlineStr">
        <is>
          <t>SRC_EPOCH_AI_DATA_CENTERS; EPOCH_NORMALIZED_USER_SITES</t>
        </is>
      </c>
      <c r="N51" s="3" t="inlineStr">
        <is>
          <t>Seeded as CSP total power times AI-company attributed contract share. Replace csp_total_power_mw and ai_contract_share_of_csp with your long-term contract dataset.</t>
        </is>
      </c>
    </row>
    <row r="52">
      <c r="A52" s="3" t="inlineStr">
        <is>
          <t>Bull|Anthropic|2028|Fluidstack</t>
        </is>
      </c>
      <c r="B52" s="3" t="inlineStr">
        <is>
          <t>Bull</t>
        </is>
      </c>
      <c r="C52" s="3" t="inlineStr">
        <is>
          <t>Anthropic</t>
        </is>
      </c>
      <c r="D52" s="3" t="n">
        <v>2028</v>
      </c>
      <c r="E52" s="3" t="inlineStr">
        <is>
          <t>Fluidstack</t>
        </is>
      </c>
      <c r="F52" s="27" t="n">
        <v>436</v>
      </c>
      <c r="G52" s="17" t="n">
        <v>0.5</v>
      </c>
      <c r="H52" s="28">
        <f>F52*G52</f>
        <v/>
      </c>
      <c r="I52" s="17" t="n">
        <v>0.695</v>
      </c>
      <c r="J52" s="6">
        <f>1-I52</f>
        <v/>
      </c>
      <c r="K52" s="28">
        <f>H52*I52</f>
        <v/>
      </c>
      <c r="L52" s="3" t="inlineStr">
        <is>
          <t>epoch_csp_total_power_x_user_contract_share_seed</t>
        </is>
      </c>
      <c r="M52" s="3" t="inlineStr">
        <is>
          <t>SRC_EPOCH_AI_DATA_CENTERS; EPOCH_NORMALIZED_USER_SITES</t>
        </is>
      </c>
      <c r="N52" s="3" t="inlineStr">
        <is>
          <t>Seeded as CSP total power times AI-company attributed contract share. Replace csp_total_power_mw and ai_contract_share_of_csp with your long-term contract dataset.</t>
        </is>
      </c>
    </row>
    <row r="53">
      <c r="A53" s="3" t="inlineStr">
        <is>
          <t>Grid-Constrained / Efficiency-Upside|Anthropic|2028|Fluidstack</t>
        </is>
      </c>
      <c r="B53" s="3" t="inlineStr">
        <is>
          <t>Grid-Constrained / Efficiency-Upside</t>
        </is>
      </c>
      <c r="C53" s="3" t="inlineStr">
        <is>
          <t>Anthropic</t>
        </is>
      </c>
      <c r="D53" s="3" t="n">
        <v>2028</v>
      </c>
      <c r="E53" s="3" t="inlineStr">
        <is>
          <t>Fluidstack</t>
        </is>
      </c>
      <c r="F53" s="27" t="n">
        <v>436</v>
      </c>
      <c r="G53" s="17" t="n">
        <v>0.5</v>
      </c>
      <c r="H53" s="28">
        <f>F53*G53</f>
        <v/>
      </c>
      <c r="I53" s="17" t="n">
        <v>0.66</v>
      </c>
      <c r="J53" s="6">
        <f>1-I53</f>
        <v/>
      </c>
      <c r="K53" s="28">
        <f>H53*I53</f>
        <v/>
      </c>
      <c r="L53" s="3" t="inlineStr">
        <is>
          <t>epoch_csp_total_power_x_user_contract_share_seed</t>
        </is>
      </c>
      <c r="M53" s="3" t="inlineStr">
        <is>
          <t>SRC_EPOCH_AI_DATA_CENTERS; EPOCH_NORMALIZED_USER_SITES</t>
        </is>
      </c>
      <c r="N53" s="3" t="inlineStr">
        <is>
          <t>Seeded as CSP total power times AI-company attributed contract share. Replace csp_total_power_mw and ai_contract_share_of_csp with your long-term contract dataset.</t>
        </is>
      </c>
    </row>
    <row r="54">
      <c r="A54" s="3" t="inlineStr">
        <is>
          <t>Bear|Anthropic|2029|Fluidstack</t>
        </is>
      </c>
      <c r="B54" s="3" t="inlineStr">
        <is>
          <t>Bear</t>
        </is>
      </c>
      <c r="C54" s="3" t="inlineStr">
        <is>
          <t>Anthropic</t>
        </is>
      </c>
      <c r="D54" s="3" t="n">
        <v>2029</v>
      </c>
      <c r="E54" s="3" t="inlineStr">
        <is>
          <t>Fluidstack</t>
        </is>
      </c>
      <c r="F54" s="27" t="n">
        <v>436</v>
      </c>
      <c r="G54" s="17" t="n">
        <v>0.5</v>
      </c>
      <c r="H54" s="28">
        <f>F54*G54</f>
        <v/>
      </c>
      <c r="I54" s="17" t="n">
        <v>0.59</v>
      </c>
      <c r="J54" s="6">
        <f>1-I54</f>
        <v/>
      </c>
      <c r="K54" s="28">
        <f>H54*I54</f>
        <v/>
      </c>
      <c r="L54" s="3" t="inlineStr">
        <is>
          <t>epoch_csp_total_power_x_user_contract_share_seed</t>
        </is>
      </c>
      <c r="M54" s="3" t="inlineStr">
        <is>
          <t>SRC_EPOCH_AI_DATA_CENTERS; EPOCH_NORMALIZED_USER_SITES</t>
        </is>
      </c>
      <c r="N54" s="3" t="inlineStr">
        <is>
          <t>Seeded as CSP total power times AI-company attributed contract share. Replace csp_total_power_mw and ai_contract_share_of_csp with your long-term contract dataset.</t>
        </is>
      </c>
    </row>
    <row r="55">
      <c r="A55" s="3" t="inlineStr">
        <is>
          <t>Base|Anthropic|2029|Fluidstack</t>
        </is>
      </c>
      <c r="B55" s="3" t="inlineStr">
        <is>
          <t>Base</t>
        </is>
      </c>
      <c r="C55" s="3" t="inlineStr">
        <is>
          <t>Anthropic</t>
        </is>
      </c>
      <c r="D55" s="3" t="n">
        <v>2029</v>
      </c>
      <c r="E55" s="3" t="inlineStr">
        <is>
          <t>Fluidstack</t>
        </is>
      </c>
      <c r="F55" s="27" t="n">
        <v>436</v>
      </c>
      <c r="G55" s="17" t="n">
        <v>0.5</v>
      </c>
      <c r="H55" s="28">
        <f>F55*G55</f>
        <v/>
      </c>
      <c r="I55" s="17" t="n">
        <v>0.6850000000000001</v>
      </c>
      <c r="J55" s="6">
        <f>1-I55</f>
        <v/>
      </c>
      <c r="K55" s="28">
        <f>H55*I55</f>
        <v/>
      </c>
      <c r="L55" s="3" t="inlineStr">
        <is>
          <t>epoch_csp_total_power_x_user_contract_share_seed</t>
        </is>
      </c>
      <c r="M55" s="3" t="inlineStr">
        <is>
          <t>SRC_EPOCH_AI_DATA_CENTERS; EPOCH_NORMALIZED_USER_SITES</t>
        </is>
      </c>
      <c r="N55" s="3" t="inlineStr">
        <is>
          <t>Seeded as CSP total power times AI-company attributed contract share. Replace csp_total_power_mw and ai_contract_share_of_csp with your long-term contract dataset.</t>
        </is>
      </c>
    </row>
    <row r="56">
      <c r="A56" s="3" t="inlineStr">
        <is>
          <t>Bull|Anthropic|2029|Fluidstack</t>
        </is>
      </c>
      <c r="B56" s="3" t="inlineStr">
        <is>
          <t>Bull</t>
        </is>
      </c>
      <c r="C56" s="3" t="inlineStr">
        <is>
          <t>Anthropic</t>
        </is>
      </c>
      <c r="D56" s="3" t="n">
        <v>2029</v>
      </c>
      <c r="E56" s="3" t="inlineStr">
        <is>
          <t>Fluidstack</t>
        </is>
      </c>
      <c r="F56" s="27" t="n">
        <v>436</v>
      </c>
      <c r="G56" s="17" t="n">
        <v>0.5</v>
      </c>
      <c r="H56" s="28">
        <f>F56*G56</f>
        <v/>
      </c>
      <c r="I56" s="17" t="n">
        <v>0.758</v>
      </c>
      <c r="J56" s="6">
        <f>1-I56</f>
        <v/>
      </c>
      <c r="K56" s="28">
        <f>H56*I56</f>
        <v/>
      </c>
      <c r="L56" s="3" t="inlineStr">
        <is>
          <t>epoch_csp_total_power_x_user_contract_share_seed</t>
        </is>
      </c>
      <c r="M56" s="3" t="inlineStr">
        <is>
          <t>SRC_EPOCH_AI_DATA_CENTERS; EPOCH_NORMALIZED_USER_SITES</t>
        </is>
      </c>
      <c r="N56" s="3" t="inlineStr">
        <is>
          <t>Seeded as CSP total power times AI-company attributed contract share. Replace csp_total_power_mw and ai_contract_share_of_csp with your long-term contract dataset.</t>
        </is>
      </c>
    </row>
    <row r="57">
      <c r="A57" s="3" t="inlineStr">
        <is>
          <t>Grid-Constrained / Efficiency-Upside|Anthropic|2029|Fluidstack</t>
        </is>
      </c>
      <c r="B57" s="3" t="inlineStr">
        <is>
          <t>Grid-Constrained / Efficiency-Upside</t>
        </is>
      </c>
      <c r="C57" s="3" t="inlineStr">
        <is>
          <t>Anthropic</t>
        </is>
      </c>
      <c r="D57" s="3" t="n">
        <v>2029</v>
      </c>
      <c r="E57" s="3" t="inlineStr">
        <is>
          <t>Fluidstack</t>
        </is>
      </c>
      <c r="F57" s="27" t="n">
        <v>436</v>
      </c>
      <c r="G57" s="17" t="n">
        <v>0.5</v>
      </c>
      <c r="H57" s="28">
        <f>F57*G57</f>
        <v/>
      </c>
      <c r="I57" s="17" t="n">
        <v>0.72</v>
      </c>
      <c r="J57" s="6">
        <f>1-I57</f>
        <v/>
      </c>
      <c r="K57" s="28">
        <f>H57*I57</f>
        <v/>
      </c>
      <c r="L57" s="3" t="inlineStr">
        <is>
          <t>epoch_csp_total_power_x_user_contract_share_seed</t>
        </is>
      </c>
      <c r="M57" s="3" t="inlineStr">
        <is>
          <t>SRC_EPOCH_AI_DATA_CENTERS; EPOCH_NORMALIZED_USER_SITES</t>
        </is>
      </c>
      <c r="N57" s="3" t="inlineStr">
        <is>
          <t>Seeded as CSP total power times AI-company attributed contract share. Replace csp_total_power_mw and ai_contract_share_of_csp with your long-term contract dataset.</t>
        </is>
      </c>
    </row>
    <row r="58">
      <c r="A58" s="3" t="inlineStr">
        <is>
          <t>Bear|Anthropic|2030|Fluidstack</t>
        </is>
      </c>
      <c r="B58" s="3" t="inlineStr">
        <is>
          <t>Bear</t>
        </is>
      </c>
      <c r="C58" s="3" t="inlineStr">
        <is>
          <t>Anthropic</t>
        </is>
      </c>
      <c r="D58" s="3" t="n">
        <v>2030</v>
      </c>
      <c r="E58" s="3" t="inlineStr">
        <is>
          <t>Fluidstack</t>
        </is>
      </c>
      <c r="F58" s="27" t="n">
        <v>436</v>
      </c>
      <c r="G58" s="17" t="n">
        <v>0.5</v>
      </c>
      <c r="H58" s="28">
        <f>F58*G58</f>
        <v/>
      </c>
      <c r="I58" s="17" t="n">
        <v>0.64</v>
      </c>
      <c r="J58" s="6">
        <f>1-I58</f>
        <v/>
      </c>
      <c r="K58" s="28">
        <f>H58*I58</f>
        <v/>
      </c>
      <c r="L58" s="3" t="inlineStr">
        <is>
          <t>epoch_csp_total_power_x_user_contract_share_seed</t>
        </is>
      </c>
      <c r="M58" s="3" t="inlineStr">
        <is>
          <t>SRC_EPOCH_AI_DATA_CENTERS; EPOCH_NORMALIZED_USER_SITES</t>
        </is>
      </c>
      <c r="N58" s="3" t="inlineStr">
        <is>
          <t>Seeded as CSP total power times AI-company attributed contract share. Replace csp_total_power_mw and ai_contract_share_of_csp with your long-term contract dataset.</t>
        </is>
      </c>
    </row>
    <row r="59">
      <c r="A59" s="3" t="inlineStr">
        <is>
          <t>Base|Anthropic|2030|Fluidstack</t>
        </is>
      </c>
      <c r="B59" s="3" t="inlineStr">
        <is>
          <t>Base</t>
        </is>
      </c>
      <c r="C59" s="3" t="inlineStr">
        <is>
          <t>Anthropic</t>
        </is>
      </c>
      <c r="D59" s="3" t="n">
        <v>2030</v>
      </c>
      <c r="E59" s="3" t="inlineStr">
        <is>
          <t>Fluidstack</t>
        </is>
      </c>
      <c r="F59" s="27" t="n">
        <v>436</v>
      </c>
      <c r="G59" s="17" t="n">
        <v>0.5</v>
      </c>
      <c r="H59" s="28">
        <f>F59*G59</f>
        <v/>
      </c>
      <c r="I59" s="17" t="n">
        <v>0.74</v>
      </c>
      <c r="J59" s="6">
        <f>1-I59</f>
        <v/>
      </c>
      <c r="K59" s="28">
        <f>H59*I59</f>
        <v/>
      </c>
      <c r="L59" s="3" t="inlineStr">
        <is>
          <t>epoch_csp_total_power_x_user_contract_share_seed</t>
        </is>
      </c>
      <c r="M59" s="3" t="inlineStr">
        <is>
          <t>SRC_EPOCH_AI_DATA_CENTERS; EPOCH_NORMALIZED_USER_SITES</t>
        </is>
      </c>
      <c r="N59" s="3" t="inlineStr">
        <is>
          <t>Seeded as CSP total power times AI-company attributed contract share. Replace csp_total_power_mw and ai_contract_share_of_csp with your long-term contract dataset.</t>
        </is>
      </c>
    </row>
    <row r="60">
      <c r="A60" s="3" t="inlineStr">
        <is>
          <t>Bull|Anthropic|2030|Fluidstack</t>
        </is>
      </c>
      <c r="B60" s="3" t="inlineStr">
        <is>
          <t>Bull</t>
        </is>
      </c>
      <c r="C60" s="3" t="inlineStr">
        <is>
          <t>Anthropic</t>
        </is>
      </c>
      <c r="D60" s="3" t="n">
        <v>2030</v>
      </c>
      <c r="E60" s="3" t="inlineStr">
        <is>
          <t>Fluidstack</t>
        </is>
      </c>
      <c r="F60" s="27" t="n">
        <v>436</v>
      </c>
      <c r="G60" s="17" t="n">
        <v>0.5</v>
      </c>
      <c r="H60" s="28">
        <f>F60*G60</f>
        <v/>
      </c>
      <c r="I60" s="17" t="n">
        <v>0.82</v>
      </c>
      <c r="J60" s="6">
        <f>1-I60</f>
        <v/>
      </c>
      <c r="K60" s="28">
        <f>H60*I60</f>
        <v/>
      </c>
      <c r="L60" s="3" t="inlineStr">
        <is>
          <t>epoch_csp_total_power_x_user_contract_share_seed</t>
        </is>
      </c>
      <c r="M60" s="3" t="inlineStr">
        <is>
          <t>SRC_EPOCH_AI_DATA_CENTERS; EPOCH_NORMALIZED_USER_SITES</t>
        </is>
      </c>
      <c r="N60" s="3" t="inlineStr">
        <is>
          <t>Seeded as CSP total power times AI-company attributed contract share. Replace csp_total_power_mw and ai_contract_share_of_csp with your long-term contract dataset.</t>
        </is>
      </c>
    </row>
    <row r="61">
      <c r="A61" s="3" t="inlineStr">
        <is>
          <t>Grid-Constrained / Efficiency-Upside|Anthropic|2030|Fluidstack</t>
        </is>
      </c>
      <c r="B61" s="3" t="inlineStr">
        <is>
          <t>Grid-Constrained / Efficiency-Upside</t>
        </is>
      </c>
      <c r="C61" s="3" t="inlineStr">
        <is>
          <t>Anthropic</t>
        </is>
      </c>
      <c r="D61" s="3" t="n">
        <v>2030</v>
      </c>
      <c r="E61" s="3" t="inlineStr">
        <is>
          <t>Fluidstack</t>
        </is>
      </c>
      <c r="F61" s="27" t="n">
        <v>436</v>
      </c>
      <c r="G61" s="17" t="n">
        <v>0.5</v>
      </c>
      <c r="H61" s="28">
        <f>F61*G61</f>
        <v/>
      </c>
      <c r="I61" s="17" t="n">
        <v>0.78</v>
      </c>
      <c r="J61" s="6">
        <f>1-I61</f>
        <v/>
      </c>
      <c r="K61" s="28">
        <f>H61*I61</f>
        <v/>
      </c>
      <c r="L61" s="3" t="inlineStr">
        <is>
          <t>epoch_csp_total_power_x_user_contract_share_seed</t>
        </is>
      </c>
      <c r="M61" s="3" t="inlineStr">
        <is>
          <t>SRC_EPOCH_AI_DATA_CENTERS; EPOCH_NORMALIZED_USER_SITES</t>
        </is>
      </c>
      <c r="N61" s="3" t="inlineStr">
        <is>
          <t>Seeded as CSP total power times AI-company attributed contract share. Replace csp_total_power_mw and ai_contract_share_of_csp with your long-term contract dataset.</t>
        </is>
      </c>
    </row>
    <row r="62">
      <c r="A62" s="3" t="inlineStr">
        <is>
          <t>Bear|Anthropic|2026|SpaceXAI</t>
        </is>
      </c>
      <c r="B62" s="3" t="inlineStr">
        <is>
          <t>Bear</t>
        </is>
      </c>
      <c r="C62" s="3" t="inlineStr">
        <is>
          <t>Anthropic</t>
        </is>
      </c>
      <c r="D62" s="3" t="n">
        <v>2026</v>
      </c>
      <c r="E62" s="3" t="inlineStr">
        <is>
          <t>SpaceXAI</t>
        </is>
      </c>
      <c r="F62" s="27" t="n">
        <v>1286</v>
      </c>
      <c r="G62" s="17" t="n">
        <v>0.5095902</v>
      </c>
      <c r="H62" s="28">
        <f>F62*G62</f>
        <v/>
      </c>
      <c r="I62" s="17" t="n">
        <v>0.44</v>
      </c>
      <c r="J62" s="6">
        <f>1-I62</f>
        <v/>
      </c>
      <c r="K62" s="28">
        <f>H62*I62</f>
        <v/>
      </c>
      <c r="L62" s="3" t="inlineStr">
        <is>
          <t>epoch_csp_total_power_x_user_contract_share_seed</t>
        </is>
      </c>
      <c r="M62" s="3" t="inlineStr">
        <is>
          <t>SRC_EPOCH_AI_DATA_CENTERS; EPOCH_NORMALIZED_USER_SITES</t>
        </is>
      </c>
      <c r="N62" s="3" t="inlineStr">
        <is>
          <t>Seeded as CSP total power times AI-company attributed contract share. Replace csp_total_power_mw and ai_contract_share_of_csp with your long-term contract dataset.</t>
        </is>
      </c>
    </row>
    <row r="63">
      <c r="A63" s="3" t="inlineStr">
        <is>
          <t>Base|Anthropic|2026|SpaceXAI</t>
        </is>
      </c>
      <c r="B63" s="3" t="inlineStr">
        <is>
          <t>Base</t>
        </is>
      </c>
      <c r="C63" s="3" t="inlineStr">
        <is>
          <t>Anthropic</t>
        </is>
      </c>
      <c r="D63" s="3" t="n">
        <v>2026</v>
      </c>
      <c r="E63" s="3" t="inlineStr">
        <is>
          <t>SpaceXAI</t>
        </is>
      </c>
      <c r="F63" s="27" t="n">
        <v>1286</v>
      </c>
      <c r="G63" s="17" t="n">
        <v>0.5095902</v>
      </c>
      <c r="H63" s="28">
        <f>F63*G63</f>
        <v/>
      </c>
      <c r="I63" s="17" t="n">
        <v>0.52</v>
      </c>
      <c r="J63" s="6">
        <f>1-I63</f>
        <v/>
      </c>
      <c r="K63" s="28">
        <f>H63*I63</f>
        <v/>
      </c>
      <c r="L63" s="3" t="inlineStr">
        <is>
          <t>epoch_csp_total_power_x_user_contract_share_seed</t>
        </is>
      </c>
      <c r="M63" s="3" t="inlineStr">
        <is>
          <t>SRC_EPOCH_AI_DATA_CENTERS; EPOCH_NORMALIZED_USER_SITES</t>
        </is>
      </c>
      <c r="N63" s="3" t="inlineStr">
        <is>
          <t>Seeded as CSP total power times AI-company attributed contract share. Replace csp_total_power_mw and ai_contract_share_of_csp with your long-term contract dataset.</t>
        </is>
      </c>
    </row>
    <row r="64">
      <c r="A64" s="3" t="inlineStr">
        <is>
          <t>Bull|Anthropic|2026|SpaceXAI</t>
        </is>
      </c>
      <c r="B64" s="3" t="inlineStr">
        <is>
          <t>Bull</t>
        </is>
      </c>
      <c r="C64" s="3" t="inlineStr">
        <is>
          <t>Anthropic</t>
        </is>
      </c>
      <c r="D64" s="3" t="n">
        <v>2026</v>
      </c>
      <c r="E64" s="3" t="inlineStr">
        <is>
          <t>SpaceXAI</t>
        </is>
      </c>
      <c r="F64" s="27" t="n">
        <v>1286</v>
      </c>
      <c r="G64" s="17" t="n">
        <v>0.5095902</v>
      </c>
      <c r="H64" s="28">
        <f>F64*G64</f>
        <v/>
      </c>
      <c r="I64" s="17" t="n">
        <v>0.57</v>
      </c>
      <c r="J64" s="6">
        <f>1-I64</f>
        <v/>
      </c>
      <c r="K64" s="28">
        <f>H64*I64</f>
        <v/>
      </c>
      <c r="L64" s="3" t="inlineStr">
        <is>
          <t>epoch_csp_total_power_x_user_contract_share_seed</t>
        </is>
      </c>
      <c r="M64" s="3" t="inlineStr">
        <is>
          <t>SRC_EPOCH_AI_DATA_CENTERS; EPOCH_NORMALIZED_USER_SITES</t>
        </is>
      </c>
      <c r="N64" s="3" t="inlineStr">
        <is>
          <t>Seeded as CSP total power times AI-company attributed contract share. Replace csp_total_power_mw and ai_contract_share_of_csp with your long-term contract dataset.</t>
        </is>
      </c>
    </row>
    <row r="65">
      <c r="A65" s="3" t="inlineStr">
        <is>
          <t>Grid-Constrained / Efficiency-Upside|Anthropic|2026|SpaceXAI</t>
        </is>
      </c>
      <c r="B65" s="3" t="inlineStr">
        <is>
          <t>Grid-Constrained / Efficiency-Upside</t>
        </is>
      </c>
      <c r="C65" s="3" t="inlineStr">
        <is>
          <t>Anthropic</t>
        </is>
      </c>
      <c r="D65" s="3" t="n">
        <v>2026</v>
      </c>
      <c r="E65" s="3" t="inlineStr">
        <is>
          <t>SpaceXAI</t>
        </is>
      </c>
      <c r="F65" s="27" t="n">
        <v>1286</v>
      </c>
      <c r="G65" s="17" t="n">
        <v>0.5095902</v>
      </c>
      <c r="H65" s="28">
        <f>F65*G65</f>
        <v/>
      </c>
      <c r="I65" s="17" t="n">
        <v>0.54</v>
      </c>
      <c r="J65" s="6">
        <f>1-I65</f>
        <v/>
      </c>
      <c r="K65" s="28">
        <f>H65*I65</f>
        <v/>
      </c>
      <c r="L65" s="3" t="inlineStr">
        <is>
          <t>epoch_csp_total_power_x_user_contract_share_seed</t>
        </is>
      </c>
      <c r="M65" s="3" t="inlineStr">
        <is>
          <t>SRC_EPOCH_AI_DATA_CENTERS; EPOCH_NORMALIZED_USER_SITES</t>
        </is>
      </c>
      <c r="N65" s="3" t="inlineStr">
        <is>
          <t>Seeded as CSP total power times AI-company attributed contract share. Replace csp_total_power_mw and ai_contract_share_of_csp with your long-term contract dataset.</t>
        </is>
      </c>
    </row>
    <row r="66">
      <c r="A66" s="3" t="inlineStr">
        <is>
          <t>Bear|Anthropic|2027|SpaceXAI</t>
        </is>
      </c>
      <c r="B66" s="3" t="inlineStr">
        <is>
          <t>Bear</t>
        </is>
      </c>
      <c r="C66" s="3" t="inlineStr">
        <is>
          <t>Anthropic</t>
        </is>
      </c>
      <c r="D66" s="3" t="n">
        <v>2027</v>
      </c>
      <c r="E66" s="3" t="inlineStr">
        <is>
          <t>SpaceXAI</t>
        </is>
      </c>
      <c r="F66" s="27" t="n">
        <v>1286</v>
      </c>
      <c r="G66" s="17" t="n">
        <v>0.5095902</v>
      </c>
      <c r="H66" s="28">
        <f>F66*G66</f>
        <v/>
      </c>
      <c r="I66" s="17" t="n">
        <v>0.49</v>
      </c>
      <c r="J66" s="6">
        <f>1-I66</f>
        <v/>
      </c>
      <c r="K66" s="28">
        <f>H66*I66</f>
        <v/>
      </c>
      <c r="L66" s="3" t="inlineStr">
        <is>
          <t>epoch_csp_total_power_x_user_contract_share_seed</t>
        </is>
      </c>
      <c r="M66" s="3" t="inlineStr">
        <is>
          <t>SRC_EPOCH_AI_DATA_CENTERS; EPOCH_NORMALIZED_USER_SITES</t>
        </is>
      </c>
      <c r="N66" s="3" t="inlineStr">
        <is>
          <t>Seeded as CSP total power times AI-company attributed contract share. Replace csp_total_power_mw and ai_contract_share_of_csp with your long-term contract dataset.</t>
        </is>
      </c>
    </row>
    <row r="67">
      <c r="A67" s="3" t="inlineStr">
        <is>
          <t>Base|Anthropic|2027|SpaceXAI</t>
        </is>
      </c>
      <c r="B67" s="3" t="inlineStr">
        <is>
          <t>Base</t>
        </is>
      </c>
      <c r="C67" s="3" t="inlineStr">
        <is>
          <t>Anthropic</t>
        </is>
      </c>
      <c r="D67" s="3" t="n">
        <v>2027</v>
      </c>
      <c r="E67" s="3" t="inlineStr">
        <is>
          <t>SpaceXAI</t>
        </is>
      </c>
      <c r="F67" s="27" t="n">
        <v>1286</v>
      </c>
      <c r="G67" s="17" t="n">
        <v>0.5095902</v>
      </c>
      <c r="H67" s="28">
        <f>F67*G67</f>
        <v/>
      </c>
      <c r="I67" s="17" t="n">
        <v>0.575</v>
      </c>
      <c r="J67" s="6">
        <f>1-I67</f>
        <v/>
      </c>
      <c r="K67" s="28">
        <f>H67*I67</f>
        <v/>
      </c>
      <c r="L67" s="3" t="inlineStr">
        <is>
          <t>epoch_csp_total_power_x_user_contract_share_seed</t>
        </is>
      </c>
      <c r="M67" s="3" t="inlineStr">
        <is>
          <t>SRC_EPOCH_AI_DATA_CENTERS; EPOCH_NORMALIZED_USER_SITES</t>
        </is>
      </c>
      <c r="N67" s="3" t="inlineStr">
        <is>
          <t>Seeded as CSP total power times AI-company attributed contract share. Replace csp_total_power_mw and ai_contract_share_of_csp with your long-term contract dataset.</t>
        </is>
      </c>
    </row>
    <row r="68">
      <c r="A68" s="3" t="inlineStr">
        <is>
          <t>Bull|Anthropic|2027|SpaceXAI</t>
        </is>
      </c>
      <c r="B68" s="3" t="inlineStr">
        <is>
          <t>Bull</t>
        </is>
      </c>
      <c r="C68" s="3" t="inlineStr">
        <is>
          <t>Anthropic</t>
        </is>
      </c>
      <c r="D68" s="3" t="n">
        <v>2027</v>
      </c>
      <c r="E68" s="3" t="inlineStr">
        <is>
          <t>SpaceXAI</t>
        </is>
      </c>
      <c r="F68" s="27" t="n">
        <v>1286</v>
      </c>
      <c r="G68" s="17" t="n">
        <v>0.5095902</v>
      </c>
      <c r="H68" s="28">
        <f>F68*G68</f>
        <v/>
      </c>
      <c r="I68" s="17" t="n">
        <v>0.632</v>
      </c>
      <c r="J68" s="6">
        <f>1-I68</f>
        <v/>
      </c>
      <c r="K68" s="28">
        <f>H68*I68</f>
        <v/>
      </c>
      <c r="L68" s="3" t="inlineStr">
        <is>
          <t>epoch_csp_total_power_x_user_contract_share_seed</t>
        </is>
      </c>
      <c r="M68" s="3" t="inlineStr">
        <is>
          <t>SRC_EPOCH_AI_DATA_CENTERS; EPOCH_NORMALIZED_USER_SITES</t>
        </is>
      </c>
      <c r="N68" s="3" t="inlineStr">
        <is>
          <t>Seeded as CSP total power times AI-company attributed contract share. Replace csp_total_power_mw and ai_contract_share_of_csp with your long-term contract dataset.</t>
        </is>
      </c>
    </row>
    <row r="69">
      <c r="A69" s="3" t="inlineStr">
        <is>
          <t>Grid-Constrained / Efficiency-Upside|Anthropic|2027|SpaceXAI</t>
        </is>
      </c>
      <c r="B69" s="3" t="inlineStr">
        <is>
          <t>Grid-Constrained / Efficiency-Upside</t>
        </is>
      </c>
      <c r="C69" s="3" t="inlineStr">
        <is>
          <t>Anthropic</t>
        </is>
      </c>
      <c r="D69" s="3" t="n">
        <v>2027</v>
      </c>
      <c r="E69" s="3" t="inlineStr">
        <is>
          <t>SpaceXAI</t>
        </is>
      </c>
      <c r="F69" s="27" t="n">
        <v>1286</v>
      </c>
      <c r="G69" s="17" t="n">
        <v>0.5095902</v>
      </c>
      <c r="H69" s="28">
        <f>F69*G69</f>
        <v/>
      </c>
      <c r="I69" s="17" t="n">
        <v>0.6</v>
      </c>
      <c r="J69" s="6">
        <f>1-I69</f>
        <v/>
      </c>
      <c r="K69" s="28">
        <f>H69*I69</f>
        <v/>
      </c>
      <c r="L69" s="3" t="inlineStr">
        <is>
          <t>epoch_csp_total_power_x_user_contract_share_seed</t>
        </is>
      </c>
      <c r="M69" s="3" t="inlineStr">
        <is>
          <t>SRC_EPOCH_AI_DATA_CENTERS; EPOCH_NORMALIZED_USER_SITES</t>
        </is>
      </c>
      <c r="N69" s="3" t="inlineStr">
        <is>
          <t>Seeded as CSP total power times AI-company attributed contract share. Replace csp_total_power_mw and ai_contract_share_of_csp with your long-term contract dataset.</t>
        </is>
      </c>
    </row>
    <row r="70">
      <c r="A70" s="3" t="inlineStr">
        <is>
          <t>Bear|Anthropic|2028|SpaceXAI</t>
        </is>
      </c>
      <c r="B70" s="3" t="inlineStr">
        <is>
          <t>Bear</t>
        </is>
      </c>
      <c r="C70" s="3" t="inlineStr">
        <is>
          <t>Anthropic</t>
        </is>
      </c>
      <c r="D70" s="3" t="n">
        <v>2028</v>
      </c>
      <c r="E70" s="3" t="inlineStr">
        <is>
          <t>SpaceXAI</t>
        </is>
      </c>
      <c r="F70" s="27" t="n">
        <v>1286</v>
      </c>
      <c r="G70" s="17" t="n">
        <v>0.5095902</v>
      </c>
      <c r="H70" s="28">
        <f>F70*G70</f>
        <v/>
      </c>
      <c r="I70" s="17" t="n">
        <v>0.54</v>
      </c>
      <c r="J70" s="6">
        <f>1-I70</f>
        <v/>
      </c>
      <c r="K70" s="28">
        <f>H70*I70</f>
        <v/>
      </c>
      <c r="L70" s="3" t="inlineStr">
        <is>
          <t>epoch_csp_total_power_x_user_contract_share_seed</t>
        </is>
      </c>
      <c r="M70" s="3" t="inlineStr">
        <is>
          <t>SRC_EPOCH_AI_DATA_CENTERS; EPOCH_NORMALIZED_USER_SITES</t>
        </is>
      </c>
      <c r="N70" s="3" t="inlineStr">
        <is>
          <t>Seeded as CSP total power times AI-company attributed contract share. Replace csp_total_power_mw and ai_contract_share_of_csp with your long-term contract dataset.</t>
        </is>
      </c>
    </row>
    <row r="71">
      <c r="A71" s="3" t="inlineStr">
        <is>
          <t>Base|Anthropic|2028|SpaceXAI</t>
        </is>
      </c>
      <c r="B71" s="3" t="inlineStr">
        <is>
          <t>Base</t>
        </is>
      </c>
      <c r="C71" s="3" t="inlineStr">
        <is>
          <t>Anthropic</t>
        </is>
      </c>
      <c r="D71" s="3" t="n">
        <v>2028</v>
      </c>
      <c r="E71" s="3" t="inlineStr">
        <is>
          <t>SpaceXAI</t>
        </is>
      </c>
      <c r="F71" s="27" t="n">
        <v>1286</v>
      </c>
      <c r="G71" s="17" t="n">
        <v>0.5095902</v>
      </c>
      <c r="H71" s="28">
        <f>F71*G71</f>
        <v/>
      </c>
      <c r="I71" s="17" t="n">
        <v>0.63</v>
      </c>
      <c r="J71" s="6">
        <f>1-I71</f>
        <v/>
      </c>
      <c r="K71" s="28">
        <f>H71*I71</f>
        <v/>
      </c>
      <c r="L71" s="3" t="inlineStr">
        <is>
          <t>epoch_csp_total_power_x_user_contract_share_seed</t>
        </is>
      </c>
      <c r="M71" s="3" t="inlineStr">
        <is>
          <t>SRC_EPOCH_AI_DATA_CENTERS; EPOCH_NORMALIZED_USER_SITES</t>
        </is>
      </c>
      <c r="N71" s="3" t="inlineStr">
        <is>
          <t>Seeded as CSP total power times AI-company attributed contract share. Replace csp_total_power_mw and ai_contract_share_of_csp with your long-term contract dataset.</t>
        </is>
      </c>
    </row>
    <row r="72">
      <c r="A72" s="3" t="inlineStr">
        <is>
          <t>Bull|Anthropic|2028|SpaceXAI</t>
        </is>
      </c>
      <c r="B72" s="3" t="inlineStr">
        <is>
          <t>Bull</t>
        </is>
      </c>
      <c r="C72" s="3" t="inlineStr">
        <is>
          <t>Anthropic</t>
        </is>
      </c>
      <c r="D72" s="3" t="n">
        <v>2028</v>
      </c>
      <c r="E72" s="3" t="inlineStr">
        <is>
          <t>SpaceXAI</t>
        </is>
      </c>
      <c r="F72" s="27" t="n">
        <v>1286</v>
      </c>
      <c r="G72" s="17" t="n">
        <v>0.5095902</v>
      </c>
      <c r="H72" s="28">
        <f>F72*G72</f>
        <v/>
      </c>
      <c r="I72" s="17" t="n">
        <v>0.695</v>
      </c>
      <c r="J72" s="6">
        <f>1-I72</f>
        <v/>
      </c>
      <c r="K72" s="28">
        <f>H72*I72</f>
        <v/>
      </c>
      <c r="L72" s="3" t="inlineStr">
        <is>
          <t>epoch_csp_total_power_x_user_contract_share_seed</t>
        </is>
      </c>
      <c r="M72" s="3" t="inlineStr">
        <is>
          <t>SRC_EPOCH_AI_DATA_CENTERS; EPOCH_NORMALIZED_USER_SITES</t>
        </is>
      </c>
      <c r="N72" s="3" t="inlineStr">
        <is>
          <t>Seeded as CSP total power times AI-company attributed contract share. Replace csp_total_power_mw and ai_contract_share_of_csp with your long-term contract dataset.</t>
        </is>
      </c>
    </row>
    <row r="73">
      <c r="A73" s="3" t="inlineStr">
        <is>
          <t>Grid-Constrained / Efficiency-Upside|Anthropic|2028|SpaceXAI</t>
        </is>
      </c>
      <c r="B73" s="3" t="inlineStr">
        <is>
          <t>Grid-Constrained / Efficiency-Upside</t>
        </is>
      </c>
      <c r="C73" s="3" t="inlineStr">
        <is>
          <t>Anthropic</t>
        </is>
      </c>
      <c r="D73" s="3" t="n">
        <v>2028</v>
      </c>
      <c r="E73" s="3" t="inlineStr">
        <is>
          <t>SpaceXAI</t>
        </is>
      </c>
      <c r="F73" s="27" t="n">
        <v>1286</v>
      </c>
      <c r="G73" s="17" t="n">
        <v>0.5095902</v>
      </c>
      <c r="H73" s="28">
        <f>F73*G73</f>
        <v/>
      </c>
      <c r="I73" s="17" t="n">
        <v>0.66</v>
      </c>
      <c r="J73" s="6">
        <f>1-I73</f>
        <v/>
      </c>
      <c r="K73" s="28">
        <f>H73*I73</f>
        <v/>
      </c>
      <c r="L73" s="3" t="inlineStr">
        <is>
          <t>epoch_csp_total_power_x_user_contract_share_seed</t>
        </is>
      </c>
      <c r="M73" s="3" t="inlineStr">
        <is>
          <t>SRC_EPOCH_AI_DATA_CENTERS; EPOCH_NORMALIZED_USER_SITES</t>
        </is>
      </c>
      <c r="N73" s="3" t="inlineStr">
        <is>
          <t>Seeded as CSP total power times AI-company attributed contract share. Replace csp_total_power_mw and ai_contract_share_of_csp with your long-term contract dataset.</t>
        </is>
      </c>
    </row>
    <row r="74">
      <c r="A74" s="3" t="inlineStr">
        <is>
          <t>Bear|Anthropic|2029|SpaceXAI</t>
        </is>
      </c>
      <c r="B74" s="3" t="inlineStr">
        <is>
          <t>Bear</t>
        </is>
      </c>
      <c r="C74" s="3" t="inlineStr">
        <is>
          <t>Anthropic</t>
        </is>
      </c>
      <c r="D74" s="3" t="n">
        <v>2029</v>
      </c>
      <c r="E74" s="3" t="inlineStr">
        <is>
          <t>SpaceXAI</t>
        </is>
      </c>
      <c r="F74" s="27" t="n">
        <v>1286</v>
      </c>
      <c r="G74" s="17" t="n">
        <v>0.5095902</v>
      </c>
      <c r="H74" s="28">
        <f>F74*G74</f>
        <v/>
      </c>
      <c r="I74" s="17" t="n">
        <v>0.59</v>
      </c>
      <c r="J74" s="6">
        <f>1-I74</f>
        <v/>
      </c>
      <c r="K74" s="28">
        <f>H74*I74</f>
        <v/>
      </c>
      <c r="L74" s="3" t="inlineStr">
        <is>
          <t>epoch_csp_total_power_x_user_contract_share_seed</t>
        </is>
      </c>
      <c r="M74" s="3" t="inlineStr">
        <is>
          <t>SRC_EPOCH_AI_DATA_CENTERS; EPOCH_NORMALIZED_USER_SITES</t>
        </is>
      </c>
      <c r="N74" s="3" t="inlineStr">
        <is>
          <t>Seeded as CSP total power times AI-company attributed contract share. Replace csp_total_power_mw and ai_contract_share_of_csp with your long-term contract dataset.</t>
        </is>
      </c>
    </row>
    <row r="75">
      <c r="A75" s="3" t="inlineStr">
        <is>
          <t>Base|Anthropic|2029|SpaceXAI</t>
        </is>
      </c>
      <c r="B75" s="3" t="inlineStr">
        <is>
          <t>Base</t>
        </is>
      </c>
      <c r="C75" s="3" t="inlineStr">
        <is>
          <t>Anthropic</t>
        </is>
      </c>
      <c r="D75" s="3" t="n">
        <v>2029</v>
      </c>
      <c r="E75" s="3" t="inlineStr">
        <is>
          <t>SpaceXAI</t>
        </is>
      </c>
      <c r="F75" s="27" t="n">
        <v>1286</v>
      </c>
      <c r="G75" s="17" t="n">
        <v>0.5095902</v>
      </c>
      <c r="H75" s="28">
        <f>F75*G75</f>
        <v/>
      </c>
      <c r="I75" s="17" t="n">
        <v>0.6850000000000001</v>
      </c>
      <c r="J75" s="6">
        <f>1-I75</f>
        <v/>
      </c>
      <c r="K75" s="28">
        <f>H75*I75</f>
        <v/>
      </c>
      <c r="L75" s="3" t="inlineStr">
        <is>
          <t>epoch_csp_total_power_x_user_contract_share_seed</t>
        </is>
      </c>
      <c r="M75" s="3" t="inlineStr">
        <is>
          <t>SRC_EPOCH_AI_DATA_CENTERS; EPOCH_NORMALIZED_USER_SITES</t>
        </is>
      </c>
      <c r="N75" s="3" t="inlineStr">
        <is>
          <t>Seeded as CSP total power times AI-company attributed contract share. Replace csp_total_power_mw and ai_contract_share_of_csp with your long-term contract dataset.</t>
        </is>
      </c>
    </row>
    <row r="76">
      <c r="A76" s="3" t="inlineStr">
        <is>
          <t>Bull|Anthropic|2029|SpaceXAI</t>
        </is>
      </c>
      <c r="B76" s="3" t="inlineStr">
        <is>
          <t>Bull</t>
        </is>
      </c>
      <c r="C76" s="3" t="inlineStr">
        <is>
          <t>Anthropic</t>
        </is>
      </c>
      <c r="D76" s="3" t="n">
        <v>2029</v>
      </c>
      <c r="E76" s="3" t="inlineStr">
        <is>
          <t>SpaceXAI</t>
        </is>
      </c>
      <c r="F76" s="27" t="n">
        <v>1286</v>
      </c>
      <c r="G76" s="17" t="n">
        <v>0.5095902</v>
      </c>
      <c r="H76" s="28">
        <f>F76*G76</f>
        <v/>
      </c>
      <c r="I76" s="17" t="n">
        <v>0.758</v>
      </c>
      <c r="J76" s="6">
        <f>1-I76</f>
        <v/>
      </c>
      <c r="K76" s="28">
        <f>H76*I76</f>
        <v/>
      </c>
      <c r="L76" s="3" t="inlineStr">
        <is>
          <t>epoch_csp_total_power_x_user_contract_share_seed</t>
        </is>
      </c>
      <c r="M76" s="3" t="inlineStr">
        <is>
          <t>SRC_EPOCH_AI_DATA_CENTERS; EPOCH_NORMALIZED_USER_SITES</t>
        </is>
      </c>
      <c r="N76" s="3" t="inlineStr">
        <is>
          <t>Seeded as CSP total power times AI-company attributed contract share. Replace csp_total_power_mw and ai_contract_share_of_csp with your long-term contract dataset.</t>
        </is>
      </c>
    </row>
    <row r="77">
      <c r="A77" s="3" t="inlineStr">
        <is>
          <t>Grid-Constrained / Efficiency-Upside|Anthropic|2029|SpaceXAI</t>
        </is>
      </c>
      <c r="B77" s="3" t="inlineStr">
        <is>
          <t>Grid-Constrained / Efficiency-Upside</t>
        </is>
      </c>
      <c r="C77" s="3" t="inlineStr">
        <is>
          <t>Anthropic</t>
        </is>
      </c>
      <c r="D77" s="3" t="n">
        <v>2029</v>
      </c>
      <c r="E77" s="3" t="inlineStr">
        <is>
          <t>SpaceXAI</t>
        </is>
      </c>
      <c r="F77" s="27" t="n">
        <v>1286</v>
      </c>
      <c r="G77" s="17" t="n">
        <v>0.5095902</v>
      </c>
      <c r="H77" s="28">
        <f>F77*G77</f>
        <v/>
      </c>
      <c r="I77" s="17" t="n">
        <v>0.72</v>
      </c>
      <c r="J77" s="6">
        <f>1-I77</f>
        <v/>
      </c>
      <c r="K77" s="28">
        <f>H77*I77</f>
        <v/>
      </c>
      <c r="L77" s="3" t="inlineStr">
        <is>
          <t>epoch_csp_total_power_x_user_contract_share_seed</t>
        </is>
      </c>
      <c r="M77" s="3" t="inlineStr">
        <is>
          <t>SRC_EPOCH_AI_DATA_CENTERS; EPOCH_NORMALIZED_USER_SITES</t>
        </is>
      </c>
      <c r="N77" s="3" t="inlineStr">
        <is>
          <t>Seeded as CSP total power times AI-company attributed contract share. Replace csp_total_power_mw and ai_contract_share_of_csp with your long-term contract dataset.</t>
        </is>
      </c>
    </row>
    <row r="78">
      <c r="A78" s="3" t="inlineStr">
        <is>
          <t>Bear|Anthropic|2030|SpaceXAI</t>
        </is>
      </c>
      <c r="B78" s="3" t="inlineStr">
        <is>
          <t>Bear</t>
        </is>
      </c>
      <c r="C78" s="3" t="inlineStr">
        <is>
          <t>Anthropic</t>
        </is>
      </c>
      <c r="D78" s="3" t="n">
        <v>2030</v>
      </c>
      <c r="E78" s="3" t="inlineStr">
        <is>
          <t>SpaceXAI</t>
        </is>
      </c>
      <c r="F78" s="27" t="n">
        <v>1286</v>
      </c>
      <c r="G78" s="17" t="n">
        <v>0.5095902</v>
      </c>
      <c r="H78" s="28">
        <f>F78*G78</f>
        <v/>
      </c>
      <c r="I78" s="17" t="n">
        <v>0.64</v>
      </c>
      <c r="J78" s="6">
        <f>1-I78</f>
        <v/>
      </c>
      <c r="K78" s="28">
        <f>H78*I78</f>
        <v/>
      </c>
      <c r="L78" s="3" t="inlineStr">
        <is>
          <t>epoch_csp_total_power_x_user_contract_share_seed</t>
        </is>
      </c>
      <c r="M78" s="3" t="inlineStr">
        <is>
          <t>SRC_EPOCH_AI_DATA_CENTERS; EPOCH_NORMALIZED_USER_SITES</t>
        </is>
      </c>
      <c r="N78" s="3" t="inlineStr">
        <is>
          <t>Seeded as CSP total power times AI-company attributed contract share. Replace csp_total_power_mw and ai_contract_share_of_csp with your long-term contract dataset.</t>
        </is>
      </c>
    </row>
    <row r="79">
      <c r="A79" s="3" t="inlineStr">
        <is>
          <t>Base|Anthropic|2030|SpaceXAI</t>
        </is>
      </c>
      <c r="B79" s="3" t="inlineStr">
        <is>
          <t>Base</t>
        </is>
      </c>
      <c r="C79" s="3" t="inlineStr">
        <is>
          <t>Anthropic</t>
        </is>
      </c>
      <c r="D79" s="3" t="n">
        <v>2030</v>
      </c>
      <c r="E79" s="3" t="inlineStr">
        <is>
          <t>SpaceXAI</t>
        </is>
      </c>
      <c r="F79" s="27" t="n">
        <v>1286</v>
      </c>
      <c r="G79" s="17" t="n">
        <v>0.5095902</v>
      </c>
      <c r="H79" s="28">
        <f>F79*G79</f>
        <v/>
      </c>
      <c r="I79" s="17" t="n">
        <v>0.74</v>
      </c>
      <c r="J79" s="6">
        <f>1-I79</f>
        <v/>
      </c>
      <c r="K79" s="28">
        <f>H79*I79</f>
        <v/>
      </c>
      <c r="L79" s="3" t="inlineStr">
        <is>
          <t>epoch_csp_total_power_x_user_contract_share_seed</t>
        </is>
      </c>
      <c r="M79" s="3" t="inlineStr">
        <is>
          <t>SRC_EPOCH_AI_DATA_CENTERS; EPOCH_NORMALIZED_USER_SITES</t>
        </is>
      </c>
      <c r="N79" s="3" t="inlineStr">
        <is>
          <t>Seeded as CSP total power times AI-company attributed contract share. Replace csp_total_power_mw and ai_contract_share_of_csp with your long-term contract dataset.</t>
        </is>
      </c>
    </row>
    <row r="80">
      <c r="A80" s="3" t="inlineStr">
        <is>
          <t>Bull|Anthropic|2030|SpaceXAI</t>
        </is>
      </c>
      <c r="B80" s="3" t="inlineStr">
        <is>
          <t>Bull</t>
        </is>
      </c>
      <c r="C80" s="3" t="inlineStr">
        <is>
          <t>Anthropic</t>
        </is>
      </c>
      <c r="D80" s="3" t="n">
        <v>2030</v>
      </c>
      <c r="E80" s="3" t="inlineStr">
        <is>
          <t>SpaceXAI</t>
        </is>
      </c>
      <c r="F80" s="27" t="n">
        <v>1286</v>
      </c>
      <c r="G80" s="17" t="n">
        <v>0.5095902</v>
      </c>
      <c r="H80" s="28">
        <f>F80*G80</f>
        <v/>
      </c>
      <c r="I80" s="17" t="n">
        <v>0.82</v>
      </c>
      <c r="J80" s="6">
        <f>1-I80</f>
        <v/>
      </c>
      <c r="K80" s="28">
        <f>H80*I80</f>
        <v/>
      </c>
      <c r="L80" s="3" t="inlineStr">
        <is>
          <t>epoch_csp_total_power_x_user_contract_share_seed</t>
        </is>
      </c>
      <c r="M80" s="3" t="inlineStr">
        <is>
          <t>SRC_EPOCH_AI_DATA_CENTERS; EPOCH_NORMALIZED_USER_SITES</t>
        </is>
      </c>
      <c r="N80" s="3" t="inlineStr">
        <is>
          <t>Seeded as CSP total power times AI-company attributed contract share. Replace csp_total_power_mw and ai_contract_share_of_csp with your long-term contract dataset.</t>
        </is>
      </c>
    </row>
    <row r="81">
      <c r="A81" s="3" t="inlineStr">
        <is>
          <t>Grid-Constrained / Efficiency-Upside|Anthropic|2030|SpaceXAI</t>
        </is>
      </c>
      <c r="B81" s="3" t="inlineStr">
        <is>
          <t>Grid-Constrained / Efficiency-Upside</t>
        </is>
      </c>
      <c r="C81" s="3" t="inlineStr">
        <is>
          <t>Anthropic</t>
        </is>
      </c>
      <c r="D81" s="3" t="n">
        <v>2030</v>
      </c>
      <c r="E81" s="3" t="inlineStr">
        <is>
          <t>SpaceXAI</t>
        </is>
      </c>
      <c r="F81" s="27" t="n">
        <v>1286</v>
      </c>
      <c r="G81" s="17" t="n">
        <v>0.5095902</v>
      </c>
      <c r="H81" s="28">
        <f>F81*G81</f>
        <v/>
      </c>
      <c r="I81" s="17" t="n">
        <v>0.78</v>
      </c>
      <c r="J81" s="6">
        <f>1-I81</f>
        <v/>
      </c>
      <c r="K81" s="28">
        <f>H81*I81</f>
        <v/>
      </c>
      <c r="L81" s="3" t="inlineStr">
        <is>
          <t>epoch_csp_total_power_x_user_contract_share_seed</t>
        </is>
      </c>
      <c r="M81" s="3" t="inlineStr">
        <is>
          <t>SRC_EPOCH_AI_DATA_CENTERS; EPOCH_NORMALIZED_USER_SITES</t>
        </is>
      </c>
      <c r="N81" s="3" t="inlineStr">
        <is>
          <t>Seeded as CSP total power times AI-company attributed contract share. Replace csp_total_power_mw and ai_contract_share_of_csp with your long-term contract dataset.</t>
        </is>
      </c>
    </row>
    <row r="82">
      <c r="A82" s="3" t="inlineStr">
        <is>
          <t>Bear|Google|2026|Google</t>
        </is>
      </c>
      <c r="B82" s="3" t="inlineStr">
        <is>
          <t>Bear</t>
        </is>
      </c>
      <c r="C82" s="3" t="inlineStr">
        <is>
          <t>Google</t>
        </is>
      </c>
      <c r="D82" s="3" t="n">
        <v>2026</v>
      </c>
      <c r="E82" s="3" t="inlineStr">
        <is>
          <t>Google</t>
        </is>
      </c>
      <c r="F82" s="27" t="n">
        <v>3138</v>
      </c>
      <c r="G82" s="17" t="n">
        <v>0.66411727</v>
      </c>
      <c r="H82" s="28">
        <f>F82*G82</f>
        <v/>
      </c>
      <c r="I82" s="17" t="n">
        <v>0.47</v>
      </c>
      <c r="J82" s="6">
        <f>1-I82</f>
        <v/>
      </c>
      <c r="K82" s="28">
        <f>H82*I82</f>
        <v/>
      </c>
      <c r="L82" s="3" t="inlineStr">
        <is>
          <t>epoch_csp_total_power_x_user_contract_share_seed</t>
        </is>
      </c>
      <c r="M82" s="3" t="inlineStr">
        <is>
          <t>SRC_EPOCH_AI_DATA_CENTERS; EPOCH_NORMALIZED_USER_SITES</t>
        </is>
      </c>
      <c r="N82" s="3" t="inlineStr">
        <is>
          <t>Seeded as CSP total power times AI-company attributed contract share. Replace csp_total_power_mw and ai_contract_share_of_csp with your long-term contract dataset.</t>
        </is>
      </c>
    </row>
    <row r="83">
      <c r="A83" s="3" t="inlineStr">
        <is>
          <t>Base|Google|2026|Google</t>
        </is>
      </c>
      <c r="B83" s="3" t="inlineStr">
        <is>
          <t>Base</t>
        </is>
      </c>
      <c r="C83" s="3" t="inlineStr">
        <is>
          <t>Google</t>
        </is>
      </c>
      <c r="D83" s="3" t="n">
        <v>2026</v>
      </c>
      <c r="E83" s="3" t="inlineStr">
        <is>
          <t>Google</t>
        </is>
      </c>
      <c r="F83" s="27" t="n">
        <v>3138</v>
      </c>
      <c r="G83" s="17" t="n">
        <v>0.66411727</v>
      </c>
      <c r="H83" s="28">
        <f>F83*G83</f>
        <v/>
      </c>
      <c r="I83" s="17" t="n">
        <v>0.55</v>
      </c>
      <c r="J83" s="6">
        <f>1-I83</f>
        <v/>
      </c>
      <c r="K83" s="28">
        <f>H83*I83</f>
        <v/>
      </c>
      <c r="L83" s="3" t="inlineStr">
        <is>
          <t>epoch_csp_total_power_x_user_contract_share_seed</t>
        </is>
      </c>
      <c r="M83" s="3" t="inlineStr">
        <is>
          <t>SRC_EPOCH_AI_DATA_CENTERS; EPOCH_NORMALIZED_USER_SITES</t>
        </is>
      </c>
      <c r="N83" s="3" t="inlineStr">
        <is>
          <t>Seeded as CSP total power times AI-company attributed contract share. Replace csp_total_power_mw and ai_contract_share_of_csp with your long-term contract dataset.</t>
        </is>
      </c>
    </row>
    <row r="84">
      <c r="A84" s="3" t="inlineStr">
        <is>
          <t>Bull|Google|2026|Google</t>
        </is>
      </c>
      <c r="B84" s="3" t="inlineStr">
        <is>
          <t>Bull</t>
        </is>
      </c>
      <c r="C84" s="3" t="inlineStr">
        <is>
          <t>Google</t>
        </is>
      </c>
      <c r="D84" s="3" t="n">
        <v>2026</v>
      </c>
      <c r="E84" s="3" t="inlineStr">
        <is>
          <t>Google</t>
        </is>
      </c>
      <c r="F84" s="27" t="n">
        <v>3138</v>
      </c>
      <c r="G84" s="17" t="n">
        <v>0.66411727</v>
      </c>
      <c r="H84" s="28">
        <f>F84*G84</f>
        <v/>
      </c>
      <c r="I84" s="17" t="n">
        <v>0.6</v>
      </c>
      <c r="J84" s="6">
        <f>1-I84</f>
        <v/>
      </c>
      <c r="K84" s="28">
        <f>H84*I84</f>
        <v/>
      </c>
      <c r="L84" s="3" t="inlineStr">
        <is>
          <t>epoch_csp_total_power_x_user_contract_share_seed</t>
        </is>
      </c>
      <c r="M84" s="3" t="inlineStr">
        <is>
          <t>SRC_EPOCH_AI_DATA_CENTERS; EPOCH_NORMALIZED_USER_SITES</t>
        </is>
      </c>
      <c r="N84" s="3" t="inlineStr">
        <is>
          <t>Seeded as CSP total power times AI-company attributed contract share. Replace csp_total_power_mw and ai_contract_share_of_csp with your long-term contract dataset.</t>
        </is>
      </c>
    </row>
    <row r="85">
      <c r="A85" s="3" t="inlineStr">
        <is>
          <t>Grid-Constrained / Efficiency-Upside|Google|2026|Google</t>
        </is>
      </c>
      <c r="B85" s="3" t="inlineStr">
        <is>
          <t>Grid-Constrained / Efficiency-Upside</t>
        </is>
      </c>
      <c r="C85" s="3" t="inlineStr">
        <is>
          <t>Google</t>
        </is>
      </c>
      <c r="D85" s="3" t="n">
        <v>2026</v>
      </c>
      <c r="E85" s="3" t="inlineStr">
        <is>
          <t>Google</t>
        </is>
      </c>
      <c r="F85" s="27" t="n">
        <v>3138</v>
      </c>
      <c r="G85" s="17" t="n">
        <v>0.66411727</v>
      </c>
      <c r="H85" s="28">
        <f>F85*G85</f>
        <v/>
      </c>
      <c r="I85" s="17" t="n">
        <v>0.57</v>
      </c>
      <c r="J85" s="6">
        <f>1-I85</f>
        <v/>
      </c>
      <c r="K85" s="28">
        <f>H85*I85</f>
        <v/>
      </c>
      <c r="L85" s="3" t="inlineStr">
        <is>
          <t>epoch_csp_total_power_x_user_contract_share_seed</t>
        </is>
      </c>
      <c r="M85" s="3" t="inlineStr">
        <is>
          <t>SRC_EPOCH_AI_DATA_CENTERS; EPOCH_NORMALIZED_USER_SITES</t>
        </is>
      </c>
      <c r="N85" s="3" t="inlineStr">
        <is>
          <t>Seeded as CSP total power times AI-company attributed contract share. Replace csp_total_power_mw and ai_contract_share_of_csp with your long-term contract dataset.</t>
        </is>
      </c>
    </row>
    <row r="86">
      <c r="A86" s="3" t="inlineStr">
        <is>
          <t>Bear|Google|2027|Google</t>
        </is>
      </c>
      <c r="B86" s="3" t="inlineStr">
        <is>
          <t>Bear</t>
        </is>
      </c>
      <c r="C86" s="3" t="inlineStr">
        <is>
          <t>Google</t>
        </is>
      </c>
      <c r="D86" s="3" t="n">
        <v>2027</v>
      </c>
      <c r="E86" s="3" t="inlineStr">
        <is>
          <t>Google</t>
        </is>
      </c>
      <c r="F86" s="27" t="n">
        <v>4769</v>
      </c>
      <c r="G86" s="17" t="n">
        <v>0.7492136700000001</v>
      </c>
      <c r="H86" s="28">
        <f>F86*G86</f>
        <v/>
      </c>
      <c r="I86" s="17" t="n">
        <v>0.508</v>
      </c>
      <c r="J86" s="6">
        <f>1-I86</f>
        <v/>
      </c>
      <c r="K86" s="28">
        <f>H86*I86</f>
        <v/>
      </c>
      <c r="L86" s="3" t="inlineStr">
        <is>
          <t>epoch_csp_total_power_x_user_contract_share_seed</t>
        </is>
      </c>
      <c r="M86" s="3" t="inlineStr">
        <is>
          <t>SRC_EPOCH_AI_DATA_CENTERS; EPOCH_NORMALIZED_USER_SITES</t>
        </is>
      </c>
      <c r="N86" s="3" t="inlineStr">
        <is>
          <t>Seeded as CSP total power times AI-company attributed contract share. Replace csp_total_power_mw and ai_contract_share_of_csp with your long-term contract dataset.</t>
        </is>
      </c>
    </row>
    <row r="87">
      <c r="A87" s="3" t="inlineStr">
        <is>
          <t>Base|Google|2027|Google</t>
        </is>
      </c>
      <c r="B87" s="3" t="inlineStr">
        <is>
          <t>Base</t>
        </is>
      </c>
      <c r="C87" s="3" t="inlineStr">
        <is>
          <t>Google</t>
        </is>
      </c>
      <c r="D87" s="3" t="n">
        <v>2027</v>
      </c>
      <c r="E87" s="3" t="inlineStr">
        <is>
          <t>Google</t>
        </is>
      </c>
      <c r="F87" s="27" t="n">
        <v>4769</v>
      </c>
      <c r="G87" s="17" t="n">
        <v>0.7492136700000001</v>
      </c>
      <c r="H87" s="28">
        <f>F87*G87</f>
        <v/>
      </c>
      <c r="I87" s="17" t="n">
        <v>0.593</v>
      </c>
      <c r="J87" s="6">
        <f>1-I87</f>
        <v/>
      </c>
      <c r="K87" s="28">
        <f>H87*I87</f>
        <v/>
      </c>
      <c r="L87" s="3" t="inlineStr">
        <is>
          <t>epoch_csp_total_power_x_user_contract_share_seed</t>
        </is>
      </c>
      <c r="M87" s="3" t="inlineStr">
        <is>
          <t>SRC_EPOCH_AI_DATA_CENTERS; EPOCH_NORMALIZED_USER_SITES</t>
        </is>
      </c>
      <c r="N87" s="3" t="inlineStr">
        <is>
          <t>Seeded as CSP total power times AI-company attributed contract share. Replace csp_total_power_mw and ai_contract_share_of_csp with your long-term contract dataset.</t>
        </is>
      </c>
    </row>
    <row r="88">
      <c r="A88" s="3" t="inlineStr">
        <is>
          <t>Bull|Google|2027|Google</t>
        </is>
      </c>
      <c r="B88" s="3" t="inlineStr">
        <is>
          <t>Bull</t>
        </is>
      </c>
      <c r="C88" s="3" t="inlineStr">
        <is>
          <t>Google</t>
        </is>
      </c>
      <c r="D88" s="3" t="n">
        <v>2027</v>
      </c>
      <c r="E88" s="3" t="inlineStr">
        <is>
          <t>Google</t>
        </is>
      </c>
      <c r="F88" s="27" t="n">
        <v>4769</v>
      </c>
      <c r="G88" s="17" t="n">
        <v>0.7492136700000001</v>
      </c>
      <c r="H88" s="28">
        <f>F88*G88</f>
        <v/>
      </c>
      <c r="I88" s="17" t="n">
        <v>0.65</v>
      </c>
      <c r="J88" s="6">
        <f>1-I88</f>
        <v/>
      </c>
      <c r="K88" s="28">
        <f>H88*I88</f>
        <v/>
      </c>
      <c r="L88" s="3" t="inlineStr">
        <is>
          <t>epoch_csp_total_power_x_user_contract_share_seed</t>
        </is>
      </c>
      <c r="M88" s="3" t="inlineStr">
        <is>
          <t>SRC_EPOCH_AI_DATA_CENTERS; EPOCH_NORMALIZED_USER_SITES</t>
        </is>
      </c>
      <c r="N88" s="3" t="inlineStr">
        <is>
          <t>Seeded as CSP total power times AI-company attributed contract share. Replace csp_total_power_mw and ai_contract_share_of_csp with your long-term contract dataset.</t>
        </is>
      </c>
    </row>
    <row r="89">
      <c r="A89" s="3" t="inlineStr">
        <is>
          <t>Grid-Constrained / Efficiency-Upside|Google|2027|Google</t>
        </is>
      </c>
      <c r="B89" s="3" t="inlineStr">
        <is>
          <t>Grid-Constrained / Efficiency-Upside</t>
        </is>
      </c>
      <c r="C89" s="3" t="inlineStr">
        <is>
          <t>Google</t>
        </is>
      </c>
      <c r="D89" s="3" t="n">
        <v>2027</v>
      </c>
      <c r="E89" s="3" t="inlineStr">
        <is>
          <t>Google</t>
        </is>
      </c>
      <c r="F89" s="27" t="n">
        <v>4769</v>
      </c>
      <c r="G89" s="17" t="n">
        <v>0.7492136700000001</v>
      </c>
      <c r="H89" s="28">
        <f>F89*G89</f>
        <v/>
      </c>
      <c r="I89" s="17" t="n">
        <v>0.618</v>
      </c>
      <c r="J89" s="6">
        <f>1-I89</f>
        <v/>
      </c>
      <c r="K89" s="28">
        <f>H89*I89</f>
        <v/>
      </c>
      <c r="L89" s="3" t="inlineStr">
        <is>
          <t>epoch_csp_total_power_x_user_contract_share_seed</t>
        </is>
      </c>
      <c r="M89" s="3" t="inlineStr">
        <is>
          <t>SRC_EPOCH_AI_DATA_CENTERS; EPOCH_NORMALIZED_USER_SITES</t>
        </is>
      </c>
      <c r="N89" s="3" t="inlineStr">
        <is>
          <t>Seeded as CSP total power times AI-company attributed contract share. Replace csp_total_power_mw and ai_contract_share_of_csp with your long-term contract dataset.</t>
        </is>
      </c>
    </row>
    <row r="90">
      <c r="A90" s="3" t="inlineStr">
        <is>
          <t>Bear|Google|2028|Google</t>
        </is>
      </c>
      <c r="B90" s="3" t="inlineStr">
        <is>
          <t>Bear</t>
        </is>
      </c>
      <c r="C90" s="3" t="inlineStr">
        <is>
          <t>Google</t>
        </is>
      </c>
      <c r="D90" s="3" t="n">
        <v>2028</v>
      </c>
      <c r="E90" s="3" t="inlineStr">
        <is>
          <t>Google</t>
        </is>
      </c>
      <c r="F90" s="27" t="n">
        <v>5790</v>
      </c>
      <c r="G90" s="17" t="n">
        <v>0.79343696</v>
      </c>
      <c r="H90" s="28">
        <f>F90*G90</f>
        <v/>
      </c>
      <c r="I90" s="17" t="n">
        <v>0.545</v>
      </c>
      <c r="J90" s="6">
        <f>1-I90</f>
        <v/>
      </c>
      <c r="K90" s="28">
        <f>H90*I90</f>
        <v/>
      </c>
      <c r="L90" s="3" t="inlineStr">
        <is>
          <t>epoch_csp_total_power_x_user_contract_share_seed</t>
        </is>
      </c>
      <c r="M90" s="3" t="inlineStr">
        <is>
          <t>SRC_EPOCH_AI_DATA_CENTERS; EPOCH_NORMALIZED_USER_SITES</t>
        </is>
      </c>
      <c r="N90" s="3" t="inlineStr">
        <is>
          <t>Seeded as CSP total power times AI-company attributed contract share. Replace csp_total_power_mw and ai_contract_share_of_csp with your long-term contract dataset.</t>
        </is>
      </c>
    </row>
    <row r="91">
      <c r="A91" s="3" t="inlineStr">
        <is>
          <t>Base|Google|2028|Google</t>
        </is>
      </c>
      <c r="B91" s="3" t="inlineStr">
        <is>
          <t>Base</t>
        </is>
      </c>
      <c r="C91" s="3" t="inlineStr">
        <is>
          <t>Google</t>
        </is>
      </c>
      <c r="D91" s="3" t="n">
        <v>2028</v>
      </c>
      <c r="E91" s="3" t="inlineStr">
        <is>
          <t>Google</t>
        </is>
      </c>
      <c r="F91" s="27" t="n">
        <v>5790</v>
      </c>
      <c r="G91" s="17" t="n">
        <v>0.79343696</v>
      </c>
      <c r="H91" s="28">
        <f>F91*G91</f>
        <v/>
      </c>
      <c r="I91" s="17" t="n">
        <v>0.635</v>
      </c>
      <c r="J91" s="6">
        <f>1-I91</f>
        <v/>
      </c>
      <c r="K91" s="28">
        <f>H91*I91</f>
        <v/>
      </c>
      <c r="L91" s="3" t="inlineStr">
        <is>
          <t>epoch_csp_total_power_x_user_contract_share_seed</t>
        </is>
      </c>
      <c r="M91" s="3" t="inlineStr">
        <is>
          <t>SRC_EPOCH_AI_DATA_CENTERS; EPOCH_NORMALIZED_USER_SITES</t>
        </is>
      </c>
      <c r="N91" s="3" t="inlineStr">
        <is>
          <t>Seeded as CSP total power times AI-company attributed contract share. Replace csp_total_power_mw and ai_contract_share_of_csp with your long-term contract dataset.</t>
        </is>
      </c>
    </row>
    <row r="92">
      <c r="A92" s="3" t="inlineStr">
        <is>
          <t>Bull|Google|2028|Google</t>
        </is>
      </c>
      <c r="B92" s="3" t="inlineStr">
        <is>
          <t>Bull</t>
        </is>
      </c>
      <c r="C92" s="3" t="inlineStr">
        <is>
          <t>Google</t>
        </is>
      </c>
      <c r="D92" s="3" t="n">
        <v>2028</v>
      </c>
      <c r="E92" s="3" t="inlineStr">
        <is>
          <t>Google</t>
        </is>
      </c>
      <c r="F92" s="27" t="n">
        <v>5790</v>
      </c>
      <c r="G92" s="17" t="n">
        <v>0.79343696</v>
      </c>
      <c r="H92" s="28">
        <f>F92*G92</f>
        <v/>
      </c>
      <c r="I92" s="17" t="n">
        <v>0.7</v>
      </c>
      <c r="J92" s="6">
        <f>1-I92</f>
        <v/>
      </c>
      <c r="K92" s="28">
        <f>H92*I92</f>
        <v/>
      </c>
      <c r="L92" s="3" t="inlineStr">
        <is>
          <t>epoch_csp_total_power_x_user_contract_share_seed</t>
        </is>
      </c>
      <c r="M92" s="3" t="inlineStr">
        <is>
          <t>SRC_EPOCH_AI_DATA_CENTERS; EPOCH_NORMALIZED_USER_SITES</t>
        </is>
      </c>
      <c r="N92" s="3" t="inlineStr">
        <is>
          <t>Seeded as CSP total power times AI-company attributed contract share. Replace csp_total_power_mw and ai_contract_share_of_csp with your long-term contract dataset.</t>
        </is>
      </c>
    </row>
    <row r="93">
      <c r="A93" s="3" t="inlineStr">
        <is>
          <t>Grid-Constrained / Efficiency-Upside|Google|2028|Google</t>
        </is>
      </c>
      <c r="B93" s="3" t="inlineStr">
        <is>
          <t>Grid-Constrained / Efficiency-Upside</t>
        </is>
      </c>
      <c r="C93" s="3" t="inlineStr">
        <is>
          <t>Google</t>
        </is>
      </c>
      <c r="D93" s="3" t="n">
        <v>2028</v>
      </c>
      <c r="E93" s="3" t="inlineStr">
        <is>
          <t>Google</t>
        </is>
      </c>
      <c r="F93" s="27" t="n">
        <v>5790</v>
      </c>
      <c r="G93" s="17" t="n">
        <v>0.79343696</v>
      </c>
      <c r="H93" s="28">
        <f>F93*G93</f>
        <v/>
      </c>
      <c r="I93" s="17" t="n">
        <v>0.665</v>
      </c>
      <c r="J93" s="6">
        <f>1-I93</f>
        <v/>
      </c>
      <c r="K93" s="28">
        <f>H93*I93</f>
        <v/>
      </c>
      <c r="L93" s="3" t="inlineStr">
        <is>
          <t>epoch_csp_total_power_x_user_contract_share_seed</t>
        </is>
      </c>
      <c r="M93" s="3" t="inlineStr">
        <is>
          <t>SRC_EPOCH_AI_DATA_CENTERS; EPOCH_NORMALIZED_USER_SITES</t>
        </is>
      </c>
      <c r="N93" s="3" t="inlineStr">
        <is>
          <t>Seeded as CSP total power times AI-company attributed contract share. Replace csp_total_power_mw and ai_contract_share_of_csp with your long-term contract dataset.</t>
        </is>
      </c>
    </row>
    <row r="94">
      <c r="A94" s="3" t="inlineStr">
        <is>
          <t>Bear|Google|2029|Google</t>
        </is>
      </c>
      <c r="B94" s="3" t="inlineStr">
        <is>
          <t>Bear</t>
        </is>
      </c>
      <c r="C94" s="3" t="inlineStr">
        <is>
          <t>Google</t>
        </is>
      </c>
      <c r="D94" s="3" t="n">
        <v>2029</v>
      </c>
      <c r="E94" s="3" t="inlineStr">
        <is>
          <t>Google</t>
        </is>
      </c>
      <c r="F94" s="27" t="n">
        <v>5790</v>
      </c>
      <c r="G94" s="17" t="n">
        <v>0.79343696</v>
      </c>
      <c r="H94" s="28">
        <f>F94*G94</f>
        <v/>
      </c>
      <c r="I94" s="17" t="n">
        <v>0.583</v>
      </c>
      <c r="J94" s="6">
        <f>1-I94</f>
        <v/>
      </c>
      <c r="K94" s="28">
        <f>H94*I94</f>
        <v/>
      </c>
      <c r="L94" s="3" t="inlineStr">
        <is>
          <t>epoch_csp_total_power_x_user_contract_share_seed</t>
        </is>
      </c>
      <c r="M94" s="3" t="inlineStr">
        <is>
          <t>SRC_EPOCH_AI_DATA_CENTERS; EPOCH_NORMALIZED_USER_SITES</t>
        </is>
      </c>
      <c r="N94" s="3" t="inlineStr">
        <is>
          <t>Seeded as CSP total power times AI-company attributed contract share. Replace csp_total_power_mw and ai_contract_share_of_csp with your long-term contract dataset.</t>
        </is>
      </c>
    </row>
    <row r="95">
      <c r="A95" s="3" t="inlineStr">
        <is>
          <t>Base|Google|2029|Google</t>
        </is>
      </c>
      <c r="B95" s="3" t="inlineStr">
        <is>
          <t>Base</t>
        </is>
      </c>
      <c r="C95" s="3" t="inlineStr">
        <is>
          <t>Google</t>
        </is>
      </c>
      <c r="D95" s="3" t="n">
        <v>2029</v>
      </c>
      <c r="E95" s="3" t="inlineStr">
        <is>
          <t>Google</t>
        </is>
      </c>
      <c r="F95" s="27" t="n">
        <v>5790</v>
      </c>
      <c r="G95" s="17" t="n">
        <v>0.79343696</v>
      </c>
      <c r="H95" s="28">
        <f>F95*G95</f>
        <v/>
      </c>
      <c r="I95" s="17" t="n">
        <v>0.677</v>
      </c>
      <c r="J95" s="6">
        <f>1-I95</f>
        <v/>
      </c>
      <c r="K95" s="28">
        <f>H95*I95</f>
        <v/>
      </c>
      <c r="L95" s="3" t="inlineStr">
        <is>
          <t>epoch_csp_total_power_x_user_contract_share_seed</t>
        </is>
      </c>
      <c r="M95" s="3" t="inlineStr">
        <is>
          <t>SRC_EPOCH_AI_DATA_CENTERS; EPOCH_NORMALIZED_USER_SITES</t>
        </is>
      </c>
      <c r="N95" s="3" t="inlineStr">
        <is>
          <t>Seeded as CSP total power times AI-company attributed contract share. Replace csp_total_power_mw and ai_contract_share_of_csp with your long-term contract dataset.</t>
        </is>
      </c>
    </row>
    <row r="96">
      <c r="A96" s="3" t="inlineStr">
        <is>
          <t>Bull|Google|2029|Google</t>
        </is>
      </c>
      <c r="B96" s="3" t="inlineStr">
        <is>
          <t>Bull</t>
        </is>
      </c>
      <c r="C96" s="3" t="inlineStr">
        <is>
          <t>Google</t>
        </is>
      </c>
      <c r="D96" s="3" t="n">
        <v>2029</v>
      </c>
      <c r="E96" s="3" t="inlineStr">
        <is>
          <t>Google</t>
        </is>
      </c>
      <c r="F96" s="27" t="n">
        <v>5790</v>
      </c>
      <c r="G96" s="17" t="n">
        <v>0.79343696</v>
      </c>
      <c r="H96" s="28">
        <f>F96*G96</f>
        <v/>
      </c>
      <c r="I96" s="17" t="n">
        <v>0.75</v>
      </c>
      <c r="J96" s="6">
        <f>1-I96</f>
        <v/>
      </c>
      <c r="K96" s="28">
        <f>H96*I96</f>
        <v/>
      </c>
      <c r="L96" s="3" t="inlineStr">
        <is>
          <t>epoch_csp_total_power_x_user_contract_share_seed</t>
        </is>
      </c>
      <c r="M96" s="3" t="inlineStr">
        <is>
          <t>SRC_EPOCH_AI_DATA_CENTERS; EPOCH_NORMALIZED_USER_SITES</t>
        </is>
      </c>
      <c r="N96" s="3" t="inlineStr">
        <is>
          <t>Seeded as CSP total power times AI-company attributed contract share. Replace csp_total_power_mw and ai_contract_share_of_csp with your long-term contract dataset.</t>
        </is>
      </c>
    </row>
    <row r="97">
      <c r="A97" s="3" t="inlineStr">
        <is>
          <t>Grid-Constrained / Efficiency-Upside|Google|2029|Google</t>
        </is>
      </c>
      <c r="B97" s="3" t="inlineStr">
        <is>
          <t>Grid-Constrained / Efficiency-Upside</t>
        </is>
      </c>
      <c r="C97" s="3" t="inlineStr">
        <is>
          <t>Google</t>
        </is>
      </c>
      <c r="D97" s="3" t="n">
        <v>2029</v>
      </c>
      <c r="E97" s="3" t="inlineStr">
        <is>
          <t>Google</t>
        </is>
      </c>
      <c r="F97" s="27" t="n">
        <v>5790</v>
      </c>
      <c r="G97" s="17" t="n">
        <v>0.79343696</v>
      </c>
      <c r="H97" s="28">
        <f>F97*G97</f>
        <v/>
      </c>
      <c r="I97" s="17" t="n">
        <v>0.713</v>
      </c>
      <c r="J97" s="6">
        <f>1-I97</f>
        <v/>
      </c>
      <c r="K97" s="28">
        <f>H97*I97</f>
        <v/>
      </c>
      <c r="L97" s="3" t="inlineStr">
        <is>
          <t>epoch_csp_total_power_x_user_contract_share_seed</t>
        </is>
      </c>
      <c r="M97" s="3" t="inlineStr">
        <is>
          <t>SRC_EPOCH_AI_DATA_CENTERS; EPOCH_NORMALIZED_USER_SITES</t>
        </is>
      </c>
      <c r="N97" s="3" t="inlineStr">
        <is>
          <t>Seeded as CSP total power times AI-company attributed contract share. Replace csp_total_power_mw and ai_contract_share_of_csp with your long-term contract dataset.</t>
        </is>
      </c>
    </row>
    <row r="98">
      <c r="A98" s="3" t="inlineStr">
        <is>
          <t>Bear|Google|2030|Google</t>
        </is>
      </c>
      <c r="B98" s="3" t="inlineStr">
        <is>
          <t>Bear</t>
        </is>
      </c>
      <c r="C98" s="3" t="inlineStr">
        <is>
          <t>Google</t>
        </is>
      </c>
      <c r="D98" s="3" t="n">
        <v>2030</v>
      </c>
      <c r="E98" s="3" t="inlineStr">
        <is>
          <t>Google</t>
        </is>
      </c>
      <c r="F98" s="27" t="n">
        <v>5790</v>
      </c>
      <c r="G98" s="17" t="n">
        <v>0.79343696</v>
      </c>
      <c r="H98" s="28">
        <f>F98*G98</f>
        <v/>
      </c>
      <c r="I98" s="17" t="n">
        <v>0.62</v>
      </c>
      <c r="J98" s="6">
        <f>1-I98</f>
        <v/>
      </c>
      <c r="K98" s="28">
        <f>H98*I98</f>
        <v/>
      </c>
      <c r="L98" s="3" t="inlineStr">
        <is>
          <t>epoch_csp_total_power_x_user_contract_share_seed</t>
        </is>
      </c>
      <c r="M98" s="3" t="inlineStr">
        <is>
          <t>SRC_EPOCH_AI_DATA_CENTERS; EPOCH_NORMALIZED_USER_SITES</t>
        </is>
      </c>
      <c r="N98" s="3" t="inlineStr">
        <is>
          <t>Seeded as CSP total power times AI-company attributed contract share. Replace csp_total_power_mw and ai_contract_share_of_csp with your long-term contract dataset.</t>
        </is>
      </c>
    </row>
    <row r="99">
      <c r="A99" s="3" t="inlineStr">
        <is>
          <t>Base|Google|2030|Google</t>
        </is>
      </c>
      <c r="B99" s="3" t="inlineStr">
        <is>
          <t>Base</t>
        </is>
      </c>
      <c r="C99" s="3" t="inlineStr">
        <is>
          <t>Google</t>
        </is>
      </c>
      <c r="D99" s="3" t="n">
        <v>2030</v>
      </c>
      <c r="E99" s="3" t="inlineStr">
        <is>
          <t>Google</t>
        </is>
      </c>
      <c r="F99" s="27" t="n">
        <v>5790</v>
      </c>
      <c r="G99" s="17" t="n">
        <v>0.79343696</v>
      </c>
      <c r="H99" s="28">
        <f>F99*G99</f>
        <v/>
      </c>
      <c r="I99" s="17" t="n">
        <v>0.72</v>
      </c>
      <c r="J99" s="6">
        <f>1-I99</f>
        <v/>
      </c>
      <c r="K99" s="28">
        <f>H99*I99</f>
        <v/>
      </c>
      <c r="L99" s="3" t="inlineStr">
        <is>
          <t>epoch_csp_total_power_x_user_contract_share_seed</t>
        </is>
      </c>
      <c r="M99" s="3" t="inlineStr">
        <is>
          <t>SRC_EPOCH_AI_DATA_CENTERS; EPOCH_NORMALIZED_USER_SITES</t>
        </is>
      </c>
      <c r="N99" s="3" t="inlineStr">
        <is>
          <t>Seeded as CSP total power times AI-company attributed contract share. Replace csp_total_power_mw and ai_contract_share_of_csp with your long-term contract dataset.</t>
        </is>
      </c>
    </row>
    <row r="100">
      <c r="A100" s="3" t="inlineStr">
        <is>
          <t>Bull|Google|2030|Google</t>
        </is>
      </c>
      <c r="B100" s="3" t="inlineStr">
        <is>
          <t>Bull</t>
        </is>
      </c>
      <c r="C100" s="3" t="inlineStr">
        <is>
          <t>Google</t>
        </is>
      </c>
      <c r="D100" s="3" t="n">
        <v>2030</v>
      </c>
      <c r="E100" s="3" t="inlineStr">
        <is>
          <t>Google</t>
        </is>
      </c>
      <c r="F100" s="27" t="n">
        <v>5790</v>
      </c>
      <c r="G100" s="17" t="n">
        <v>0.79343696</v>
      </c>
      <c r="H100" s="28">
        <f>F100*G100</f>
        <v/>
      </c>
      <c r="I100" s="17" t="n">
        <v>0.8</v>
      </c>
      <c r="J100" s="6">
        <f>1-I100</f>
        <v/>
      </c>
      <c r="K100" s="28">
        <f>H100*I100</f>
        <v/>
      </c>
      <c r="L100" s="3" t="inlineStr">
        <is>
          <t>epoch_csp_total_power_x_user_contract_share_seed</t>
        </is>
      </c>
      <c r="M100" s="3" t="inlineStr">
        <is>
          <t>SRC_EPOCH_AI_DATA_CENTERS; EPOCH_NORMALIZED_USER_SITES</t>
        </is>
      </c>
      <c r="N100" s="3" t="inlineStr">
        <is>
          <t>Seeded as CSP total power times AI-company attributed contract share. Replace csp_total_power_mw and ai_contract_share_of_csp with your long-term contract dataset.</t>
        </is>
      </c>
    </row>
    <row r="101">
      <c r="A101" s="3" t="inlineStr">
        <is>
          <t>Grid-Constrained / Efficiency-Upside|Google|2030|Google</t>
        </is>
      </c>
      <c r="B101" s="3" t="inlineStr">
        <is>
          <t>Grid-Constrained / Efficiency-Upside</t>
        </is>
      </c>
      <c r="C101" s="3" t="inlineStr">
        <is>
          <t>Google</t>
        </is>
      </c>
      <c r="D101" s="3" t="n">
        <v>2030</v>
      </c>
      <c r="E101" s="3" t="inlineStr">
        <is>
          <t>Google</t>
        </is>
      </c>
      <c r="F101" s="27" t="n">
        <v>5790</v>
      </c>
      <c r="G101" s="17" t="n">
        <v>0.79343696</v>
      </c>
      <c r="H101" s="28">
        <f>F101*G101</f>
        <v/>
      </c>
      <c r="I101" s="17" t="n">
        <v>0.76</v>
      </c>
      <c r="J101" s="6">
        <f>1-I101</f>
        <v/>
      </c>
      <c r="K101" s="28">
        <f>H101*I101</f>
        <v/>
      </c>
      <c r="L101" s="3" t="inlineStr">
        <is>
          <t>epoch_csp_total_power_x_user_contract_share_seed</t>
        </is>
      </c>
      <c r="M101" s="3" t="inlineStr">
        <is>
          <t>SRC_EPOCH_AI_DATA_CENTERS; EPOCH_NORMALIZED_USER_SITES</t>
        </is>
      </c>
      <c r="N101" s="3" t="inlineStr">
        <is>
          <t>Seeded as CSP total power times AI-company attributed contract share. Replace csp_total_power_mw and ai_contract_share_of_csp with your long-term contract dataset.</t>
        </is>
      </c>
    </row>
    <row r="102">
      <c r="A102" s="3" t="inlineStr">
        <is>
          <t>Bear|Meta|2026|Meta</t>
        </is>
      </c>
      <c r="B102" s="3" t="inlineStr">
        <is>
          <t>Bear</t>
        </is>
      </c>
      <c r="C102" s="3" t="inlineStr">
        <is>
          <t>Meta</t>
        </is>
      </c>
      <c r="D102" s="3" t="n">
        <v>2026</v>
      </c>
      <c r="E102" s="3" t="inlineStr">
        <is>
          <t>Meta</t>
        </is>
      </c>
      <c r="F102" s="27" t="n">
        <v>2222</v>
      </c>
      <c r="G102" s="17" t="n">
        <v>1</v>
      </c>
      <c r="H102" s="28">
        <f>F102*G102</f>
        <v/>
      </c>
      <c r="I102" s="17" t="n">
        <v>0.5</v>
      </c>
      <c r="J102" s="6">
        <f>1-I102</f>
        <v/>
      </c>
      <c r="K102" s="28">
        <f>H102*I102</f>
        <v/>
      </c>
      <c r="L102" s="3" t="inlineStr">
        <is>
          <t>epoch_csp_total_power_x_user_contract_share_seed</t>
        </is>
      </c>
      <c r="M102" s="3" t="inlineStr">
        <is>
          <t>SRC_EPOCH_AI_DATA_CENTERS; EPOCH_NORMALIZED_USER_SITES</t>
        </is>
      </c>
      <c r="N102" s="3" t="inlineStr">
        <is>
          <t>Seeded as CSP total power times AI-company attributed contract share. Replace csp_total_power_mw and ai_contract_share_of_csp with your long-term contract dataset.</t>
        </is>
      </c>
    </row>
    <row r="103">
      <c r="A103" s="3" t="inlineStr">
        <is>
          <t>Base|Meta|2026|Meta</t>
        </is>
      </c>
      <c r="B103" s="3" t="inlineStr">
        <is>
          <t>Base</t>
        </is>
      </c>
      <c r="C103" s="3" t="inlineStr">
        <is>
          <t>Meta</t>
        </is>
      </c>
      <c r="D103" s="3" t="n">
        <v>2026</v>
      </c>
      <c r="E103" s="3" t="inlineStr">
        <is>
          <t>Meta</t>
        </is>
      </c>
      <c r="F103" s="27" t="n">
        <v>2222</v>
      </c>
      <c r="G103" s="17" t="n">
        <v>1</v>
      </c>
      <c r="H103" s="28">
        <f>F103*G103</f>
        <v/>
      </c>
      <c r="I103" s="17" t="n">
        <v>0.58</v>
      </c>
      <c r="J103" s="6">
        <f>1-I103</f>
        <v/>
      </c>
      <c r="K103" s="28">
        <f>H103*I103</f>
        <v/>
      </c>
      <c r="L103" s="3" t="inlineStr">
        <is>
          <t>epoch_csp_total_power_x_user_contract_share_seed</t>
        </is>
      </c>
      <c r="M103" s="3" t="inlineStr">
        <is>
          <t>SRC_EPOCH_AI_DATA_CENTERS; EPOCH_NORMALIZED_USER_SITES</t>
        </is>
      </c>
      <c r="N103" s="3" t="inlineStr">
        <is>
          <t>Seeded as CSP total power times AI-company attributed contract share. Replace csp_total_power_mw and ai_contract_share_of_csp with your long-term contract dataset.</t>
        </is>
      </c>
    </row>
    <row r="104">
      <c r="A104" s="3" t="inlineStr">
        <is>
          <t>Bull|Meta|2026|Meta</t>
        </is>
      </c>
      <c r="B104" s="3" t="inlineStr">
        <is>
          <t>Bull</t>
        </is>
      </c>
      <c r="C104" s="3" t="inlineStr">
        <is>
          <t>Meta</t>
        </is>
      </c>
      <c r="D104" s="3" t="n">
        <v>2026</v>
      </c>
      <c r="E104" s="3" t="inlineStr">
        <is>
          <t>Meta</t>
        </is>
      </c>
      <c r="F104" s="27" t="n">
        <v>2222</v>
      </c>
      <c r="G104" s="17" t="n">
        <v>1</v>
      </c>
      <c r="H104" s="28">
        <f>F104*G104</f>
        <v/>
      </c>
      <c r="I104" s="17" t="n">
        <v>0.63</v>
      </c>
      <c r="J104" s="6">
        <f>1-I104</f>
        <v/>
      </c>
      <c r="K104" s="28">
        <f>H104*I104</f>
        <v/>
      </c>
      <c r="L104" s="3" t="inlineStr">
        <is>
          <t>epoch_csp_total_power_x_user_contract_share_seed</t>
        </is>
      </c>
      <c r="M104" s="3" t="inlineStr">
        <is>
          <t>SRC_EPOCH_AI_DATA_CENTERS; EPOCH_NORMALIZED_USER_SITES</t>
        </is>
      </c>
      <c r="N104" s="3" t="inlineStr">
        <is>
          <t>Seeded as CSP total power times AI-company attributed contract share. Replace csp_total_power_mw and ai_contract_share_of_csp with your long-term contract dataset.</t>
        </is>
      </c>
    </row>
    <row r="105">
      <c r="A105" s="3" t="inlineStr">
        <is>
          <t>Grid-Constrained / Efficiency-Upside|Meta|2026|Meta</t>
        </is>
      </c>
      <c r="B105" s="3" t="inlineStr">
        <is>
          <t>Grid-Constrained / Efficiency-Upside</t>
        </is>
      </c>
      <c r="C105" s="3" t="inlineStr">
        <is>
          <t>Meta</t>
        </is>
      </c>
      <c r="D105" s="3" t="n">
        <v>2026</v>
      </c>
      <c r="E105" s="3" t="inlineStr">
        <is>
          <t>Meta</t>
        </is>
      </c>
      <c r="F105" s="27" t="n">
        <v>2222</v>
      </c>
      <c r="G105" s="17" t="n">
        <v>1</v>
      </c>
      <c r="H105" s="28">
        <f>F105*G105</f>
        <v/>
      </c>
      <c r="I105" s="17" t="n">
        <v>0.6</v>
      </c>
      <c r="J105" s="6">
        <f>1-I105</f>
        <v/>
      </c>
      <c r="K105" s="28">
        <f>H105*I105</f>
        <v/>
      </c>
      <c r="L105" s="3" t="inlineStr">
        <is>
          <t>epoch_csp_total_power_x_user_contract_share_seed</t>
        </is>
      </c>
      <c r="M105" s="3" t="inlineStr">
        <is>
          <t>SRC_EPOCH_AI_DATA_CENTERS; EPOCH_NORMALIZED_USER_SITES</t>
        </is>
      </c>
      <c r="N105" s="3" t="inlineStr">
        <is>
          <t>Seeded as CSP total power times AI-company attributed contract share. Replace csp_total_power_mw and ai_contract_share_of_csp with your long-term contract dataset.</t>
        </is>
      </c>
    </row>
    <row r="106">
      <c r="A106" s="3" t="inlineStr">
        <is>
          <t>Bear|Meta|2027|Meta</t>
        </is>
      </c>
      <c r="B106" s="3" t="inlineStr">
        <is>
          <t>Bear</t>
        </is>
      </c>
      <c r="C106" s="3" t="inlineStr">
        <is>
          <t>Meta</t>
        </is>
      </c>
      <c r="D106" s="3" t="n">
        <v>2027</v>
      </c>
      <c r="E106" s="3" t="inlineStr">
        <is>
          <t>Meta</t>
        </is>
      </c>
      <c r="F106" s="27" t="n">
        <v>2647</v>
      </c>
      <c r="G106" s="17" t="n">
        <v>1</v>
      </c>
      <c r="H106" s="28">
        <f>F106*G106</f>
        <v/>
      </c>
      <c r="I106" s="17" t="n">
        <v>0.545</v>
      </c>
      <c r="J106" s="6">
        <f>1-I106</f>
        <v/>
      </c>
      <c r="K106" s="28">
        <f>H106*I106</f>
        <v/>
      </c>
      <c r="L106" s="3" t="inlineStr">
        <is>
          <t>epoch_csp_total_power_x_user_contract_share_seed</t>
        </is>
      </c>
      <c r="M106" s="3" t="inlineStr">
        <is>
          <t>SRC_EPOCH_AI_DATA_CENTERS; EPOCH_NORMALIZED_USER_SITES</t>
        </is>
      </c>
      <c r="N106" s="3" t="inlineStr">
        <is>
          <t>Seeded as CSP total power times AI-company attributed contract share. Replace csp_total_power_mw and ai_contract_share_of_csp with your long-term contract dataset.</t>
        </is>
      </c>
    </row>
    <row r="107">
      <c r="A107" s="3" t="inlineStr">
        <is>
          <t>Base|Meta|2027|Meta</t>
        </is>
      </c>
      <c r="B107" s="3" t="inlineStr">
        <is>
          <t>Base</t>
        </is>
      </c>
      <c r="C107" s="3" t="inlineStr">
        <is>
          <t>Meta</t>
        </is>
      </c>
      <c r="D107" s="3" t="n">
        <v>2027</v>
      </c>
      <c r="E107" s="3" t="inlineStr">
        <is>
          <t>Meta</t>
        </is>
      </c>
      <c r="F107" s="27" t="n">
        <v>2647</v>
      </c>
      <c r="G107" s="17" t="n">
        <v>1</v>
      </c>
      <c r="H107" s="28">
        <f>F107*G107</f>
        <v/>
      </c>
      <c r="I107" s="17" t="n">
        <v>0.63</v>
      </c>
      <c r="J107" s="6">
        <f>1-I107</f>
        <v/>
      </c>
      <c r="K107" s="28">
        <f>H107*I107</f>
        <v/>
      </c>
      <c r="L107" s="3" t="inlineStr">
        <is>
          <t>epoch_csp_total_power_x_user_contract_share_seed</t>
        </is>
      </c>
      <c r="M107" s="3" t="inlineStr">
        <is>
          <t>SRC_EPOCH_AI_DATA_CENTERS; EPOCH_NORMALIZED_USER_SITES</t>
        </is>
      </c>
      <c r="N107" s="3" t="inlineStr">
        <is>
          <t>Seeded as CSP total power times AI-company attributed contract share. Replace csp_total_power_mw and ai_contract_share_of_csp with your long-term contract dataset.</t>
        </is>
      </c>
    </row>
    <row r="108">
      <c r="A108" s="3" t="inlineStr">
        <is>
          <t>Bull|Meta|2027|Meta</t>
        </is>
      </c>
      <c r="B108" s="3" t="inlineStr">
        <is>
          <t>Bull</t>
        </is>
      </c>
      <c r="C108" s="3" t="inlineStr">
        <is>
          <t>Meta</t>
        </is>
      </c>
      <c r="D108" s="3" t="n">
        <v>2027</v>
      </c>
      <c r="E108" s="3" t="inlineStr">
        <is>
          <t>Meta</t>
        </is>
      </c>
      <c r="F108" s="27" t="n">
        <v>2647</v>
      </c>
      <c r="G108" s="17" t="n">
        <v>1</v>
      </c>
      <c r="H108" s="28">
        <f>F108*G108</f>
        <v/>
      </c>
      <c r="I108" s="17" t="n">
        <v>0.6879999999999999</v>
      </c>
      <c r="J108" s="6">
        <f>1-I108</f>
        <v/>
      </c>
      <c r="K108" s="28">
        <f>H108*I108</f>
        <v/>
      </c>
      <c r="L108" s="3" t="inlineStr">
        <is>
          <t>epoch_csp_total_power_x_user_contract_share_seed</t>
        </is>
      </c>
      <c r="M108" s="3" t="inlineStr">
        <is>
          <t>SRC_EPOCH_AI_DATA_CENTERS; EPOCH_NORMALIZED_USER_SITES</t>
        </is>
      </c>
      <c r="N108" s="3" t="inlineStr">
        <is>
          <t>Seeded as CSP total power times AI-company attributed contract share. Replace csp_total_power_mw and ai_contract_share_of_csp with your long-term contract dataset.</t>
        </is>
      </c>
    </row>
    <row r="109">
      <c r="A109" s="3" t="inlineStr">
        <is>
          <t>Grid-Constrained / Efficiency-Upside|Meta|2027|Meta</t>
        </is>
      </c>
      <c r="B109" s="3" t="inlineStr">
        <is>
          <t>Grid-Constrained / Efficiency-Upside</t>
        </is>
      </c>
      <c r="C109" s="3" t="inlineStr">
        <is>
          <t>Meta</t>
        </is>
      </c>
      <c r="D109" s="3" t="n">
        <v>2027</v>
      </c>
      <c r="E109" s="3" t="inlineStr">
        <is>
          <t>Meta</t>
        </is>
      </c>
      <c r="F109" s="27" t="n">
        <v>2647</v>
      </c>
      <c r="G109" s="17" t="n">
        <v>1</v>
      </c>
      <c r="H109" s="28">
        <f>F109*G109</f>
        <v/>
      </c>
      <c r="I109" s="17" t="n">
        <v>0.655</v>
      </c>
      <c r="J109" s="6">
        <f>1-I109</f>
        <v/>
      </c>
      <c r="K109" s="28">
        <f>H109*I109</f>
        <v/>
      </c>
      <c r="L109" s="3" t="inlineStr">
        <is>
          <t>epoch_csp_total_power_x_user_contract_share_seed</t>
        </is>
      </c>
      <c r="M109" s="3" t="inlineStr">
        <is>
          <t>SRC_EPOCH_AI_DATA_CENTERS; EPOCH_NORMALIZED_USER_SITES</t>
        </is>
      </c>
      <c r="N109" s="3" t="inlineStr">
        <is>
          <t>Seeded as CSP total power times AI-company attributed contract share. Replace csp_total_power_mw and ai_contract_share_of_csp with your long-term contract dataset.</t>
        </is>
      </c>
    </row>
    <row r="110">
      <c r="A110" s="3" t="inlineStr">
        <is>
          <t>Bear|Meta|2028|Meta</t>
        </is>
      </c>
      <c r="B110" s="3" t="inlineStr">
        <is>
          <t>Bear</t>
        </is>
      </c>
      <c r="C110" s="3" t="inlineStr">
        <is>
          <t>Meta</t>
        </is>
      </c>
      <c r="D110" s="3" t="n">
        <v>2028</v>
      </c>
      <c r="E110" s="3" t="inlineStr">
        <is>
          <t>Meta</t>
        </is>
      </c>
      <c r="F110" s="27" t="n">
        <v>4323</v>
      </c>
      <c r="G110" s="17" t="n">
        <v>1</v>
      </c>
      <c r="H110" s="28">
        <f>F110*G110</f>
        <v/>
      </c>
      <c r="I110" s="17" t="n">
        <v>0.59</v>
      </c>
      <c r="J110" s="6">
        <f>1-I110</f>
        <v/>
      </c>
      <c r="K110" s="28">
        <f>H110*I110</f>
        <v/>
      </c>
      <c r="L110" s="3" t="inlineStr">
        <is>
          <t>epoch_csp_total_power_x_user_contract_share_seed</t>
        </is>
      </c>
      <c r="M110" s="3" t="inlineStr">
        <is>
          <t>SRC_EPOCH_AI_DATA_CENTERS; EPOCH_NORMALIZED_USER_SITES</t>
        </is>
      </c>
      <c r="N110" s="3" t="inlineStr">
        <is>
          <t>Seeded as CSP total power times AI-company attributed contract share. Replace csp_total_power_mw and ai_contract_share_of_csp with your long-term contract dataset.</t>
        </is>
      </c>
    </row>
    <row r="111">
      <c r="A111" s="3" t="inlineStr">
        <is>
          <t>Base|Meta|2028|Meta</t>
        </is>
      </c>
      <c r="B111" s="3" t="inlineStr">
        <is>
          <t>Base</t>
        </is>
      </c>
      <c r="C111" s="3" t="inlineStr">
        <is>
          <t>Meta</t>
        </is>
      </c>
      <c r="D111" s="3" t="n">
        <v>2028</v>
      </c>
      <c r="E111" s="3" t="inlineStr">
        <is>
          <t>Meta</t>
        </is>
      </c>
      <c r="F111" s="27" t="n">
        <v>4323</v>
      </c>
      <c r="G111" s="17" t="n">
        <v>1</v>
      </c>
      <c r="H111" s="28">
        <f>F111*G111</f>
        <v/>
      </c>
      <c r="I111" s="17" t="n">
        <v>0.68</v>
      </c>
      <c r="J111" s="6">
        <f>1-I111</f>
        <v/>
      </c>
      <c r="K111" s="28">
        <f>H111*I111</f>
        <v/>
      </c>
      <c r="L111" s="3" t="inlineStr">
        <is>
          <t>epoch_csp_total_power_x_user_contract_share_seed</t>
        </is>
      </c>
      <c r="M111" s="3" t="inlineStr">
        <is>
          <t>SRC_EPOCH_AI_DATA_CENTERS; EPOCH_NORMALIZED_USER_SITES</t>
        </is>
      </c>
      <c r="N111" s="3" t="inlineStr">
        <is>
          <t>Seeded as CSP total power times AI-company attributed contract share. Replace csp_total_power_mw and ai_contract_share_of_csp with your long-term contract dataset.</t>
        </is>
      </c>
    </row>
    <row r="112">
      <c r="A112" s="3" t="inlineStr">
        <is>
          <t>Bull|Meta|2028|Meta</t>
        </is>
      </c>
      <c r="B112" s="3" t="inlineStr">
        <is>
          <t>Bull</t>
        </is>
      </c>
      <c r="C112" s="3" t="inlineStr">
        <is>
          <t>Meta</t>
        </is>
      </c>
      <c r="D112" s="3" t="n">
        <v>2028</v>
      </c>
      <c r="E112" s="3" t="inlineStr">
        <is>
          <t>Meta</t>
        </is>
      </c>
      <c r="F112" s="27" t="n">
        <v>4323</v>
      </c>
      <c r="G112" s="17" t="n">
        <v>1</v>
      </c>
      <c r="H112" s="28">
        <f>F112*G112</f>
        <v/>
      </c>
      <c r="I112" s="17" t="n">
        <v>0.745</v>
      </c>
      <c r="J112" s="6">
        <f>1-I112</f>
        <v/>
      </c>
      <c r="K112" s="28">
        <f>H112*I112</f>
        <v/>
      </c>
      <c r="L112" s="3" t="inlineStr">
        <is>
          <t>epoch_csp_total_power_x_user_contract_share_seed</t>
        </is>
      </c>
      <c r="M112" s="3" t="inlineStr">
        <is>
          <t>SRC_EPOCH_AI_DATA_CENTERS; EPOCH_NORMALIZED_USER_SITES</t>
        </is>
      </c>
      <c r="N112" s="3" t="inlineStr">
        <is>
          <t>Seeded as CSP total power times AI-company attributed contract share. Replace csp_total_power_mw and ai_contract_share_of_csp with your long-term contract dataset.</t>
        </is>
      </c>
    </row>
    <row r="113">
      <c r="A113" s="3" t="inlineStr">
        <is>
          <t>Grid-Constrained / Efficiency-Upside|Meta|2028|Meta</t>
        </is>
      </c>
      <c r="B113" s="3" t="inlineStr">
        <is>
          <t>Grid-Constrained / Efficiency-Upside</t>
        </is>
      </c>
      <c r="C113" s="3" t="inlineStr">
        <is>
          <t>Meta</t>
        </is>
      </c>
      <c r="D113" s="3" t="n">
        <v>2028</v>
      </c>
      <c r="E113" s="3" t="inlineStr">
        <is>
          <t>Meta</t>
        </is>
      </c>
      <c r="F113" s="27" t="n">
        <v>4323</v>
      </c>
      <c r="G113" s="17" t="n">
        <v>1</v>
      </c>
      <c r="H113" s="28">
        <f>F113*G113</f>
        <v/>
      </c>
      <c r="I113" s="17" t="n">
        <v>0.71</v>
      </c>
      <c r="J113" s="6">
        <f>1-I113</f>
        <v/>
      </c>
      <c r="K113" s="28">
        <f>H113*I113</f>
        <v/>
      </c>
      <c r="L113" s="3" t="inlineStr">
        <is>
          <t>epoch_csp_total_power_x_user_contract_share_seed</t>
        </is>
      </c>
      <c r="M113" s="3" t="inlineStr">
        <is>
          <t>SRC_EPOCH_AI_DATA_CENTERS; EPOCH_NORMALIZED_USER_SITES</t>
        </is>
      </c>
      <c r="N113" s="3" t="inlineStr">
        <is>
          <t>Seeded as CSP total power times AI-company attributed contract share. Replace csp_total_power_mw and ai_contract_share_of_csp with your long-term contract dataset.</t>
        </is>
      </c>
    </row>
    <row r="114">
      <c r="A114" s="3" t="inlineStr">
        <is>
          <t>Bear|Meta|2029|Meta</t>
        </is>
      </c>
      <c r="B114" s="3" t="inlineStr">
        <is>
          <t>Bear</t>
        </is>
      </c>
      <c r="C114" s="3" t="inlineStr">
        <is>
          <t>Meta</t>
        </is>
      </c>
      <c r="D114" s="3" t="n">
        <v>2029</v>
      </c>
      <c r="E114" s="3" t="inlineStr">
        <is>
          <t>Meta</t>
        </is>
      </c>
      <c r="F114" s="27" t="n">
        <v>4323</v>
      </c>
      <c r="G114" s="17" t="n">
        <v>1</v>
      </c>
      <c r="H114" s="28">
        <f>F114*G114</f>
        <v/>
      </c>
      <c r="I114" s="17" t="n">
        <v>0.635</v>
      </c>
      <c r="J114" s="6">
        <f>1-I114</f>
        <v/>
      </c>
      <c r="K114" s="28">
        <f>H114*I114</f>
        <v/>
      </c>
      <c r="L114" s="3" t="inlineStr">
        <is>
          <t>epoch_csp_total_power_x_user_contract_share_seed</t>
        </is>
      </c>
      <c r="M114" s="3" t="inlineStr">
        <is>
          <t>SRC_EPOCH_AI_DATA_CENTERS; EPOCH_NORMALIZED_USER_SITES</t>
        </is>
      </c>
      <c r="N114" s="3" t="inlineStr">
        <is>
          <t>Seeded as CSP total power times AI-company attributed contract share. Replace csp_total_power_mw and ai_contract_share_of_csp with your long-term contract dataset.</t>
        </is>
      </c>
    </row>
    <row r="115">
      <c r="A115" s="3" t="inlineStr">
        <is>
          <t>Base|Meta|2029|Meta</t>
        </is>
      </c>
      <c r="B115" s="3" t="inlineStr">
        <is>
          <t>Base</t>
        </is>
      </c>
      <c r="C115" s="3" t="inlineStr">
        <is>
          <t>Meta</t>
        </is>
      </c>
      <c r="D115" s="3" t="n">
        <v>2029</v>
      </c>
      <c r="E115" s="3" t="inlineStr">
        <is>
          <t>Meta</t>
        </is>
      </c>
      <c r="F115" s="27" t="n">
        <v>4323</v>
      </c>
      <c r="G115" s="17" t="n">
        <v>1</v>
      </c>
      <c r="H115" s="28">
        <f>F115*G115</f>
        <v/>
      </c>
      <c r="I115" s="17" t="n">
        <v>0.73</v>
      </c>
      <c r="J115" s="6">
        <f>1-I115</f>
        <v/>
      </c>
      <c r="K115" s="28">
        <f>H115*I115</f>
        <v/>
      </c>
      <c r="L115" s="3" t="inlineStr">
        <is>
          <t>epoch_csp_total_power_x_user_contract_share_seed</t>
        </is>
      </c>
      <c r="M115" s="3" t="inlineStr">
        <is>
          <t>SRC_EPOCH_AI_DATA_CENTERS; EPOCH_NORMALIZED_USER_SITES</t>
        </is>
      </c>
      <c r="N115" s="3" t="inlineStr">
        <is>
          <t>Seeded as CSP total power times AI-company attributed contract share. Replace csp_total_power_mw and ai_contract_share_of_csp with your long-term contract dataset.</t>
        </is>
      </c>
    </row>
    <row r="116">
      <c r="A116" s="3" t="inlineStr">
        <is>
          <t>Bull|Meta|2029|Meta</t>
        </is>
      </c>
      <c r="B116" s="3" t="inlineStr">
        <is>
          <t>Bull</t>
        </is>
      </c>
      <c r="C116" s="3" t="inlineStr">
        <is>
          <t>Meta</t>
        </is>
      </c>
      <c r="D116" s="3" t="n">
        <v>2029</v>
      </c>
      <c r="E116" s="3" t="inlineStr">
        <is>
          <t>Meta</t>
        </is>
      </c>
      <c r="F116" s="27" t="n">
        <v>4323</v>
      </c>
      <c r="G116" s="17" t="n">
        <v>1</v>
      </c>
      <c r="H116" s="28">
        <f>F116*G116</f>
        <v/>
      </c>
      <c r="I116" s="17" t="n">
        <v>0.802</v>
      </c>
      <c r="J116" s="6">
        <f>1-I116</f>
        <v/>
      </c>
      <c r="K116" s="28">
        <f>H116*I116</f>
        <v/>
      </c>
      <c r="L116" s="3" t="inlineStr">
        <is>
          <t>epoch_csp_total_power_x_user_contract_share_seed</t>
        </is>
      </c>
      <c r="M116" s="3" t="inlineStr">
        <is>
          <t>SRC_EPOCH_AI_DATA_CENTERS; EPOCH_NORMALIZED_USER_SITES</t>
        </is>
      </c>
      <c r="N116" s="3" t="inlineStr">
        <is>
          <t>Seeded as CSP total power times AI-company attributed contract share. Replace csp_total_power_mw and ai_contract_share_of_csp with your long-term contract dataset.</t>
        </is>
      </c>
    </row>
    <row r="117">
      <c r="A117" s="3" t="inlineStr">
        <is>
          <t>Grid-Constrained / Efficiency-Upside|Meta|2029|Meta</t>
        </is>
      </c>
      <c r="B117" s="3" t="inlineStr">
        <is>
          <t>Grid-Constrained / Efficiency-Upside</t>
        </is>
      </c>
      <c r="C117" s="3" t="inlineStr">
        <is>
          <t>Meta</t>
        </is>
      </c>
      <c r="D117" s="3" t="n">
        <v>2029</v>
      </c>
      <c r="E117" s="3" t="inlineStr">
        <is>
          <t>Meta</t>
        </is>
      </c>
      <c r="F117" s="27" t="n">
        <v>4323</v>
      </c>
      <c r="G117" s="17" t="n">
        <v>1</v>
      </c>
      <c r="H117" s="28">
        <f>F117*G117</f>
        <v/>
      </c>
      <c r="I117" s="17" t="n">
        <v>0.765</v>
      </c>
      <c r="J117" s="6">
        <f>1-I117</f>
        <v/>
      </c>
      <c r="K117" s="28">
        <f>H117*I117</f>
        <v/>
      </c>
      <c r="L117" s="3" t="inlineStr">
        <is>
          <t>epoch_csp_total_power_x_user_contract_share_seed</t>
        </is>
      </c>
      <c r="M117" s="3" t="inlineStr">
        <is>
          <t>SRC_EPOCH_AI_DATA_CENTERS; EPOCH_NORMALIZED_USER_SITES</t>
        </is>
      </c>
      <c r="N117" s="3" t="inlineStr">
        <is>
          <t>Seeded as CSP total power times AI-company attributed contract share. Replace csp_total_power_mw and ai_contract_share_of_csp with your long-term contract dataset.</t>
        </is>
      </c>
    </row>
    <row r="118">
      <c r="A118" s="3" t="inlineStr">
        <is>
          <t>Bear|Meta|2030|Meta</t>
        </is>
      </c>
      <c r="B118" s="3" t="inlineStr">
        <is>
          <t>Bear</t>
        </is>
      </c>
      <c r="C118" s="3" t="inlineStr">
        <is>
          <t>Meta</t>
        </is>
      </c>
      <c r="D118" s="3" t="n">
        <v>2030</v>
      </c>
      <c r="E118" s="3" t="inlineStr">
        <is>
          <t>Meta</t>
        </is>
      </c>
      <c r="F118" s="27" t="n">
        <v>4323</v>
      </c>
      <c r="G118" s="17" t="n">
        <v>1</v>
      </c>
      <c r="H118" s="28">
        <f>F118*G118</f>
        <v/>
      </c>
      <c r="I118" s="17" t="n">
        <v>0.68</v>
      </c>
      <c r="J118" s="6">
        <f>1-I118</f>
        <v/>
      </c>
      <c r="K118" s="28">
        <f>H118*I118</f>
        <v/>
      </c>
      <c r="L118" s="3" t="inlineStr">
        <is>
          <t>epoch_csp_total_power_x_user_contract_share_seed</t>
        </is>
      </c>
      <c r="M118" s="3" t="inlineStr">
        <is>
          <t>SRC_EPOCH_AI_DATA_CENTERS; EPOCH_NORMALIZED_USER_SITES</t>
        </is>
      </c>
      <c r="N118" s="3" t="inlineStr">
        <is>
          <t>Seeded as CSP total power times AI-company attributed contract share. Replace csp_total_power_mw and ai_contract_share_of_csp with your long-term contract dataset.</t>
        </is>
      </c>
    </row>
    <row r="119">
      <c r="A119" s="3" t="inlineStr">
        <is>
          <t>Base|Meta|2030|Meta</t>
        </is>
      </c>
      <c r="B119" s="3" t="inlineStr">
        <is>
          <t>Base</t>
        </is>
      </c>
      <c r="C119" s="3" t="inlineStr">
        <is>
          <t>Meta</t>
        </is>
      </c>
      <c r="D119" s="3" t="n">
        <v>2030</v>
      </c>
      <c r="E119" s="3" t="inlineStr">
        <is>
          <t>Meta</t>
        </is>
      </c>
      <c r="F119" s="27" t="n">
        <v>4323</v>
      </c>
      <c r="G119" s="17" t="n">
        <v>1</v>
      </c>
      <c r="H119" s="28">
        <f>F119*G119</f>
        <v/>
      </c>
      <c r="I119" s="17" t="n">
        <v>0.78</v>
      </c>
      <c r="J119" s="6">
        <f>1-I119</f>
        <v/>
      </c>
      <c r="K119" s="28">
        <f>H119*I119</f>
        <v/>
      </c>
      <c r="L119" s="3" t="inlineStr">
        <is>
          <t>epoch_csp_total_power_x_user_contract_share_seed</t>
        </is>
      </c>
      <c r="M119" s="3" t="inlineStr">
        <is>
          <t>SRC_EPOCH_AI_DATA_CENTERS; EPOCH_NORMALIZED_USER_SITES</t>
        </is>
      </c>
      <c r="N119" s="3" t="inlineStr">
        <is>
          <t>Seeded as CSP total power times AI-company attributed contract share. Replace csp_total_power_mw and ai_contract_share_of_csp with your long-term contract dataset.</t>
        </is>
      </c>
    </row>
    <row r="120">
      <c r="A120" s="3" t="inlineStr">
        <is>
          <t>Bull|Meta|2030|Meta</t>
        </is>
      </c>
      <c r="B120" s="3" t="inlineStr">
        <is>
          <t>Bull</t>
        </is>
      </c>
      <c r="C120" s="3" t="inlineStr">
        <is>
          <t>Meta</t>
        </is>
      </c>
      <c r="D120" s="3" t="n">
        <v>2030</v>
      </c>
      <c r="E120" s="3" t="inlineStr">
        <is>
          <t>Meta</t>
        </is>
      </c>
      <c r="F120" s="27" t="n">
        <v>4323</v>
      </c>
      <c r="G120" s="17" t="n">
        <v>1</v>
      </c>
      <c r="H120" s="28">
        <f>F120*G120</f>
        <v/>
      </c>
      <c r="I120" s="17" t="n">
        <v>0.86</v>
      </c>
      <c r="J120" s="6">
        <f>1-I120</f>
        <v/>
      </c>
      <c r="K120" s="28">
        <f>H120*I120</f>
        <v/>
      </c>
      <c r="L120" s="3" t="inlineStr">
        <is>
          <t>epoch_csp_total_power_x_user_contract_share_seed</t>
        </is>
      </c>
      <c r="M120" s="3" t="inlineStr">
        <is>
          <t>SRC_EPOCH_AI_DATA_CENTERS; EPOCH_NORMALIZED_USER_SITES</t>
        </is>
      </c>
      <c r="N120" s="3" t="inlineStr">
        <is>
          <t>Seeded as CSP total power times AI-company attributed contract share. Replace csp_total_power_mw and ai_contract_share_of_csp with your long-term contract dataset.</t>
        </is>
      </c>
    </row>
    <row r="121">
      <c r="A121" s="3" t="inlineStr">
        <is>
          <t>Grid-Constrained / Efficiency-Upside|Meta|2030|Meta</t>
        </is>
      </c>
      <c r="B121" s="3" t="inlineStr">
        <is>
          <t>Grid-Constrained / Efficiency-Upside</t>
        </is>
      </c>
      <c r="C121" s="3" t="inlineStr">
        <is>
          <t>Meta</t>
        </is>
      </c>
      <c r="D121" s="3" t="n">
        <v>2030</v>
      </c>
      <c r="E121" s="3" t="inlineStr">
        <is>
          <t>Meta</t>
        </is>
      </c>
      <c r="F121" s="27" t="n">
        <v>4323</v>
      </c>
      <c r="G121" s="17" t="n">
        <v>1</v>
      </c>
      <c r="H121" s="28">
        <f>F121*G121</f>
        <v/>
      </c>
      <c r="I121" s="17" t="n">
        <v>0.82</v>
      </c>
      <c r="J121" s="6">
        <f>1-I121</f>
        <v/>
      </c>
      <c r="K121" s="28">
        <f>H121*I121</f>
        <v/>
      </c>
      <c r="L121" s="3" t="inlineStr">
        <is>
          <t>epoch_csp_total_power_x_user_contract_share_seed</t>
        </is>
      </c>
      <c r="M121" s="3" t="inlineStr">
        <is>
          <t>SRC_EPOCH_AI_DATA_CENTERS; EPOCH_NORMALIZED_USER_SITES</t>
        </is>
      </c>
      <c r="N121" s="3" t="inlineStr">
        <is>
          <t>Seeded as CSP total power times AI-company attributed contract share. Replace csp_total_power_mw and ai_contract_share_of_csp with your long-term contract dataset.</t>
        </is>
      </c>
    </row>
    <row r="122">
      <c r="A122" s="3" t="inlineStr">
        <is>
          <t>Bear|Microsoft|2026|Microsoft</t>
        </is>
      </c>
      <c r="B122" s="3" t="inlineStr">
        <is>
          <t>Bear</t>
        </is>
      </c>
      <c r="C122" s="3" t="inlineStr">
        <is>
          <t>Microsoft</t>
        </is>
      </c>
      <c r="D122" s="3" t="n">
        <v>2026</v>
      </c>
      <c r="E122" s="3" t="inlineStr">
        <is>
          <t>Microsoft</t>
        </is>
      </c>
      <c r="F122" s="27" t="n">
        <v>1519</v>
      </c>
      <c r="G122" s="17" t="n">
        <v>0.39730086</v>
      </c>
      <c r="H122" s="28">
        <f>F122*G122</f>
        <v/>
      </c>
      <c r="I122" s="17" t="n">
        <v>0.47</v>
      </c>
      <c r="J122" s="6">
        <f>1-I122</f>
        <v/>
      </c>
      <c r="K122" s="28">
        <f>H122*I122</f>
        <v/>
      </c>
      <c r="L122" s="3" t="inlineStr">
        <is>
          <t>epoch_csp_total_power_x_user_contract_share_seed</t>
        </is>
      </c>
      <c r="M122" s="3" t="inlineStr">
        <is>
          <t>SRC_EPOCH_AI_DATA_CENTERS; EPOCH_NORMALIZED_USER_SITES</t>
        </is>
      </c>
      <c r="N122" s="3" t="inlineStr">
        <is>
          <t>Seeded as CSP total power times AI-company attributed contract share. Replace csp_total_power_mw and ai_contract_share_of_csp with your long-term contract dataset.</t>
        </is>
      </c>
    </row>
    <row r="123">
      <c r="A123" s="3" t="inlineStr">
        <is>
          <t>Base|Microsoft|2026|Microsoft</t>
        </is>
      </c>
      <c r="B123" s="3" t="inlineStr">
        <is>
          <t>Base</t>
        </is>
      </c>
      <c r="C123" s="3" t="inlineStr">
        <is>
          <t>Microsoft</t>
        </is>
      </c>
      <c r="D123" s="3" t="n">
        <v>2026</v>
      </c>
      <c r="E123" s="3" t="inlineStr">
        <is>
          <t>Microsoft</t>
        </is>
      </c>
      <c r="F123" s="27" t="n">
        <v>1519</v>
      </c>
      <c r="G123" s="17" t="n">
        <v>0.39730086</v>
      </c>
      <c r="H123" s="28">
        <f>F123*G123</f>
        <v/>
      </c>
      <c r="I123" s="17" t="n">
        <v>0.55</v>
      </c>
      <c r="J123" s="6">
        <f>1-I123</f>
        <v/>
      </c>
      <c r="K123" s="28">
        <f>H123*I123</f>
        <v/>
      </c>
      <c r="L123" s="3" t="inlineStr">
        <is>
          <t>epoch_csp_total_power_x_user_contract_share_seed</t>
        </is>
      </c>
      <c r="M123" s="3" t="inlineStr">
        <is>
          <t>SRC_EPOCH_AI_DATA_CENTERS; EPOCH_NORMALIZED_USER_SITES</t>
        </is>
      </c>
      <c r="N123" s="3" t="inlineStr">
        <is>
          <t>Seeded as CSP total power times AI-company attributed contract share. Replace csp_total_power_mw and ai_contract_share_of_csp with your long-term contract dataset.</t>
        </is>
      </c>
    </row>
    <row r="124">
      <c r="A124" s="3" t="inlineStr">
        <is>
          <t>Bull|Microsoft|2026|Microsoft</t>
        </is>
      </c>
      <c r="B124" s="3" t="inlineStr">
        <is>
          <t>Bull</t>
        </is>
      </c>
      <c r="C124" s="3" t="inlineStr">
        <is>
          <t>Microsoft</t>
        </is>
      </c>
      <c r="D124" s="3" t="n">
        <v>2026</v>
      </c>
      <c r="E124" s="3" t="inlineStr">
        <is>
          <t>Microsoft</t>
        </is>
      </c>
      <c r="F124" s="27" t="n">
        <v>1519</v>
      </c>
      <c r="G124" s="17" t="n">
        <v>0.39730086</v>
      </c>
      <c r="H124" s="28">
        <f>F124*G124</f>
        <v/>
      </c>
      <c r="I124" s="17" t="n">
        <v>0.6</v>
      </c>
      <c r="J124" s="6">
        <f>1-I124</f>
        <v/>
      </c>
      <c r="K124" s="28">
        <f>H124*I124</f>
        <v/>
      </c>
      <c r="L124" s="3" t="inlineStr">
        <is>
          <t>epoch_csp_total_power_x_user_contract_share_seed</t>
        </is>
      </c>
      <c r="M124" s="3" t="inlineStr">
        <is>
          <t>SRC_EPOCH_AI_DATA_CENTERS; EPOCH_NORMALIZED_USER_SITES</t>
        </is>
      </c>
      <c r="N124" s="3" t="inlineStr">
        <is>
          <t>Seeded as CSP total power times AI-company attributed contract share. Replace csp_total_power_mw and ai_contract_share_of_csp with your long-term contract dataset.</t>
        </is>
      </c>
    </row>
    <row r="125">
      <c r="A125" s="3" t="inlineStr">
        <is>
          <t>Grid-Constrained / Efficiency-Upside|Microsoft|2026|Microsoft</t>
        </is>
      </c>
      <c r="B125" s="3" t="inlineStr">
        <is>
          <t>Grid-Constrained / Efficiency-Upside</t>
        </is>
      </c>
      <c r="C125" s="3" t="inlineStr">
        <is>
          <t>Microsoft</t>
        </is>
      </c>
      <c r="D125" s="3" t="n">
        <v>2026</v>
      </c>
      <c r="E125" s="3" t="inlineStr">
        <is>
          <t>Microsoft</t>
        </is>
      </c>
      <c r="F125" s="27" t="n">
        <v>1519</v>
      </c>
      <c r="G125" s="17" t="n">
        <v>0.39730086</v>
      </c>
      <c r="H125" s="28">
        <f>F125*G125</f>
        <v/>
      </c>
      <c r="I125" s="17" t="n">
        <v>0.57</v>
      </c>
      <c r="J125" s="6">
        <f>1-I125</f>
        <v/>
      </c>
      <c r="K125" s="28">
        <f>H125*I125</f>
        <v/>
      </c>
      <c r="L125" s="3" t="inlineStr">
        <is>
          <t>epoch_csp_total_power_x_user_contract_share_seed</t>
        </is>
      </c>
      <c r="M125" s="3" t="inlineStr">
        <is>
          <t>SRC_EPOCH_AI_DATA_CENTERS; EPOCH_NORMALIZED_USER_SITES</t>
        </is>
      </c>
      <c r="N125" s="3" t="inlineStr">
        <is>
          <t>Seeded as CSP total power times AI-company attributed contract share. Replace csp_total_power_mw and ai_contract_share_of_csp with your long-term contract dataset.</t>
        </is>
      </c>
    </row>
    <row r="126">
      <c r="A126" s="3" t="inlineStr">
        <is>
          <t>Bear|Microsoft|2027|Microsoft</t>
        </is>
      </c>
      <c r="B126" s="3" t="inlineStr">
        <is>
          <t>Bear</t>
        </is>
      </c>
      <c r="C126" s="3" t="inlineStr">
        <is>
          <t>Microsoft</t>
        </is>
      </c>
      <c r="D126" s="3" t="n">
        <v>2027</v>
      </c>
      <c r="E126" s="3" t="inlineStr">
        <is>
          <t>Microsoft</t>
        </is>
      </c>
      <c r="F126" s="27" t="n">
        <v>2191</v>
      </c>
      <c r="G126" s="17" t="n">
        <v>0.58215427</v>
      </c>
      <c r="H126" s="28">
        <f>F126*G126</f>
        <v/>
      </c>
      <c r="I126" s="17" t="n">
        <v>0.515</v>
      </c>
      <c r="J126" s="6">
        <f>1-I126</f>
        <v/>
      </c>
      <c r="K126" s="28">
        <f>H126*I126</f>
        <v/>
      </c>
      <c r="L126" s="3" t="inlineStr">
        <is>
          <t>epoch_csp_total_power_x_user_contract_share_seed</t>
        </is>
      </c>
      <c r="M126" s="3" t="inlineStr">
        <is>
          <t>SRC_EPOCH_AI_DATA_CENTERS; EPOCH_NORMALIZED_USER_SITES</t>
        </is>
      </c>
      <c r="N126" s="3" t="inlineStr">
        <is>
          <t>Seeded as CSP total power times AI-company attributed contract share. Replace csp_total_power_mw and ai_contract_share_of_csp with your long-term contract dataset.</t>
        </is>
      </c>
    </row>
    <row r="127">
      <c r="A127" s="3" t="inlineStr">
        <is>
          <t>Base|Microsoft|2027|Microsoft</t>
        </is>
      </c>
      <c r="B127" s="3" t="inlineStr">
        <is>
          <t>Base</t>
        </is>
      </c>
      <c r="C127" s="3" t="inlineStr">
        <is>
          <t>Microsoft</t>
        </is>
      </c>
      <c r="D127" s="3" t="n">
        <v>2027</v>
      </c>
      <c r="E127" s="3" t="inlineStr">
        <is>
          <t>Microsoft</t>
        </is>
      </c>
      <c r="F127" s="27" t="n">
        <v>2191</v>
      </c>
      <c r="G127" s="17" t="n">
        <v>0.58215427</v>
      </c>
      <c r="H127" s="28">
        <f>F127*G127</f>
        <v/>
      </c>
      <c r="I127" s="17" t="n">
        <v>0.6</v>
      </c>
      <c r="J127" s="6">
        <f>1-I127</f>
        <v/>
      </c>
      <c r="K127" s="28">
        <f>H127*I127</f>
        <v/>
      </c>
      <c r="L127" s="3" t="inlineStr">
        <is>
          <t>epoch_csp_total_power_x_user_contract_share_seed</t>
        </is>
      </c>
      <c r="M127" s="3" t="inlineStr">
        <is>
          <t>SRC_EPOCH_AI_DATA_CENTERS; EPOCH_NORMALIZED_USER_SITES</t>
        </is>
      </c>
      <c r="N127" s="3" t="inlineStr">
        <is>
          <t>Seeded as CSP total power times AI-company attributed contract share. Replace csp_total_power_mw and ai_contract_share_of_csp with your long-term contract dataset.</t>
        </is>
      </c>
    </row>
    <row r="128">
      <c r="A128" s="3" t="inlineStr">
        <is>
          <t>Bull|Microsoft|2027|Microsoft</t>
        </is>
      </c>
      <c r="B128" s="3" t="inlineStr">
        <is>
          <t>Bull</t>
        </is>
      </c>
      <c r="C128" s="3" t="inlineStr">
        <is>
          <t>Microsoft</t>
        </is>
      </c>
      <c r="D128" s="3" t="n">
        <v>2027</v>
      </c>
      <c r="E128" s="3" t="inlineStr">
        <is>
          <t>Microsoft</t>
        </is>
      </c>
      <c r="F128" s="27" t="n">
        <v>2191</v>
      </c>
      <c r="G128" s="17" t="n">
        <v>0.58215427</v>
      </c>
      <c r="H128" s="28">
        <f>F128*G128</f>
        <v/>
      </c>
      <c r="I128" s="17" t="n">
        <v>0.658</v>
      </c>
      <c r="J128" s="6">
        <f>1-I128</f>
        <v/>
      </c>
      <c r="K128" s="28">
        <f>H128*I128</f>
        <v/>
      </c>
      <c r="L128" s="3" t="inlineStr">
        <is>
          <t>epoch_csp_total_power_x_user_contract_share_seed</t>
        </is>
      </c>
      <c r="M128" s="3" t="inlineStr">
        <is>
          <t>SRC_EPOCH_AI_DATA_CENTERS; EPOCH_NORMALIZED_USER_SITES</t>
        </is>
      </c>
      <c r="N128" s="3" t="inlineStr">
        <is>
          <t>Seeded as CSP total power times AI-company attributed contract share. Replace csp_total_power_mw and ai_contract_share_of_csp with your long-term contract dataset.</t>
        </is>
      </c>
    </row>
    <row r="129">
      <c r="A129" s="3" t="inlineStr">
        <is>
          <t>Grid-Constrained / Efficiency-Upside|Microsoft|2027|Microsoft</t>
        </is>
      </c>
      <c r="B129" s="3" t="inlineStr">
        <is>
          <t>Grid-Constrained / Efficiency-Upside</t>
        </is>
      </c>
      <c r="C129" s="3" t="inlineStr">
        <is>
          <t>Microsoft</t>
        </is>
      </c>
      <c r="D129" s="3" t="n">
        <v>2027</v>
      </c>
      <c r="E129" s="3" t="inlineStr">
        <is>
          <t>Microsoft</t>
        </is>
      </c>
      <c r="F129" s="27" t="n">
        <v>2191</v>
      </c>
      <c r="G129" s="17" t="n">
        <v>0.58215427</v>
      </c>
      <c r="H129" s="28">
        <f>F129*G129</f>
        <v/>
      </c>
      <c r="I129" s="17" t="n">
        <v>0.625</v>
      </c>
      <c r="J129" s="6">
        <f>1-I129</f>
        <v/>
      </c>
      <c r="K129" s="28">
        <f>H129*I129</f>
        <v/>
      </c>
      <c r="L129" s="3" t="inlineStr">
        <is>
          <t>epoch_csp_total_power_x_user_contract_share_seed</t>
        </is>
      </c>
      <c r="M129" s="3" t="inlineStr">
        <is>
          <t>SRC_EPOCH_AI_DATA_CENTERS; EPOCH_NORMALIZED_USER_SITES</t>
        </is>
      </c>
      <c r="N129" s="3" t="inlineStr">
        <is>
          <t>Seeded as CSP total power times AI-company attributed contract share. Replace csp_total_power_mw and ai_contract_share_of_csp with your long-term contract dataset.</t>
        </is>
      </c>
    </row>
    <row r="130">
      <c r="A130" s="3" t="inlineStr">
        <is>
          <t>Bear|Microsoft|2028|Microsoft</t>
        </is>
      </c>
      <c r="B130" s="3" t="inlineStr">
        <is>
          <t>Bear</t>
        </is>
      </c>
      <c r="C130" s="3" t="inlineStr">
        <is>
          <t>Microsoft</t>
        </is>
      </c>
      <c r="D130" s="3" t="n">
        <v>2028</v>
      </c>
      <c r="E130" s="3" t="inlineStr">
        <is>
          <t>Microsoft</t>
        </is>
      </c>
      <c r="F130" s="27" t="n">
        <v>4085</v>
      </c>
      <c r="G130" s="17" t="n">
        <v>0.54406365</v>
      </c>
      <c r="H130" s="28">
        <f>F130*G130</f>
        <v/>
      </c>
      <c r="I130" s="17" t="n">
        <v>0.5600000000000001</v>
      </c>
      <c r="J130" s="6">
        <f>1-I130</f>
        <v/>
      </c>
      <c r="K130" s="28">
        <f>H130*I130</f>
        <v/>
      </c>
      <c r="L130" s="3" t="inlineStr">
        <is>
          <t>epoch_csp_total_power_x_user_contract_share_seed</t>
        </is>
      </c>
      <c r="M130" s="3" t="inlineStr">
        <is>
          <t>SRC_EPOCH_AI_DATA_CENTERS; EPOCH_NORMALIZED_USER_SITES</t>
        </is>
      </c>
      <c r="N130" s="3" t="inlineStr">
        <is>
          <t>Seeded as CSP total power times AI-company attributed contract share. Replace csp_total_power_mw and ai_contract_share_of_csp with your long-term contract dataset.</t>
        </is>
      </c>
    </row>
    <row r="131">
      <c r="A131" s="3" t="inlineStr">
        <is>
          <t>Base|Microsoft|2028|Microsoft</t>
        </is>
      </c>
      <c r="B131" s="3" t="inlineStr">
        <is>
          <t>Base</t>
        </is>
      </c>
      <c r="C131" s="3" t="inlineStr">
        <is>
          <t>Microsoft</t>
        </is>
      </c>
      <c r="D131" s="3" t="n">
        <v>2028</v>
      </c>
      <c r="E131" s="3" t="inlineStr">
        <is>
          <t>Microsoft</t>
        </is>
      </c>
      <c r="F131" s="27" t="n">
        <v>4085</v>
      </c>
      <c r="G131" s="17" t="n">
        <v>0.54406365</v>
      </c>
      <c r="H131" s="28">
        <f>F131*G131</f>
        <v/>
      </c>
      <c r="I131" s="17" t="n">
        <v>0.65</v>
      </c>
      <c r="J131" s="6">
        <f>1-I131</f>
        <v/>
      </c>
      <c r="K131" s="28">
        <f>H131*I131</f>
        <v/>
      </c>
      <c r="L131" s="3" t="inlineStr">
        <is>
          <t>epoch_csp_total_power_x_user_contract_share_seed</t>
        </is>
      </c>
      <c r="M131" s="3" t="inlineStr">
        <is>
          <t>SRC_EPOCH_AI_DATA_CENTERS; EPOCH_NORMALIZED_USER_SITES</t>
        </is>
      </c>
      <c r="N131" s="3" t="inlineStr">
        <is>
          <t>Seeded as CSP total power times AI-company attributed contract share. Replace csp_total_power_mw and ai_contract_share_of_csp with your long-term contract dataset.</t>
        </is>
      </c>
    </row>
    <row r="132">
      <c r="A132" s="3" t="inlineStr">
        <is>
          <t>Bull|Microsoft|2028|Microsoft</t>
        </is>
      </c>
      <c r="B132" s="3" t="inlineStr">
        <is>
          <t>Bull</t>
        </is>
      </c>
      <c r="C132" s="3" t="inlineStr">
        <is>
          <t>Microsoft</t>
        </is>
      </c>
      <c r="D132" s="3" t="n">
        <v>2028</v>
      </c>
      <c r="E132" s="3" t="inlineStr">
        <is>
          <t>Microsoft</t>
        </is>
      </c>
      <c r="F132" s="27" t="n">
        <v>4085</v>
      </c>
      <c r="G132" s="17" t="n">
        <v>0.54406365</v>
      </c>
      <c r="H132" s="28">
        <f>F132*G132</f>
        <v/>
      </c>
      <c r="I132" s="17" t="n">
        <v>0.715</v>
      </c>
      <c r="J132" s="6">
        <f>1-I132</f>
        <v/>
      </c>
      <c r="K132" s="28">
        <f>H132*I132</f>
        <v/>
      </c>
      <c r="L132" s="3" t="inlineStr">
        <is>
          <t>epoch_csp_total_power_x_user_contract_share_seed</t>
        </is>
      </c>
      <c r="M132" s="3" t="inlineStr">
        <is>
          <t>SRC_EPOCH_AI_DATA_CENTERS; EPOCH_NORMALIZED_USER_SITES</t>
        </is>
      </c>
      <c r="N132" s="3" t="inlineStr">
        <is>
          <t>Seeded as CSP total power times AI-company attributed contract share. Replace csp_total_power_mw and ai_contract_share_of_csp with your long-term contract dataset.</t>
        </is>
      </c>
    </row>
    <row r="133">
      <c r="A133" s="3" t="inlineStr">
        <is>
          <t>Grid-Constrained / Efficiency-Upside|Microsoft|2028|Microsoft</t>
        </is>
      </c>
      <c r="B133" s="3" t="inlineStr">
        <is>
          <t>Grid-Constrained / Efficiency-Upside</t>
        </is>
      </c>
      <c r="C133" s="3" t="inlineStr">
        <is>
          <t>Microsoft</t>
        </is>
      </c>
      <c r="D133" s="3" t="n">
        <v>2028</v>
      </c>
      <c r="E133" s="3" t="inlineStr">
        <is>
          <t>Microsoft</t>
        </is>
      </c>
      <c r="F133" s="27" t="n">
        <v>4085</v>
      </c>
      <c r="G133" s="17" t="n">
        <v>0.54406365</v>
      </c>
      <c r="H133" s="28">
        <f>F133*G133</f>
        <v/>
      </c>
      <c r="I133" s="17" t="n">
        <v>0.68</v>
      </c>
      <c r="J133" s="6">
        <f>1-I133</f>
        <v/>
      </c>
      <c r="K133" s="28">
        <f>H133*I133</f>
        <v/>
      </c>
      <c r="L133" s="3" t="inlineStr">
        <is>
          <t>epoch_csp_total_power_x_user_contract_share_seed</t>
        </is>
      </c>
      <c r="M133" s="3" t="inlineStr">
        <is>
          <t>SRC_EPOCH_AI_DATA_CENTERS; EPOCH_NORMALIZED_USER_SITES</t>
        </is>
      </c>
      <c r="N133" s="3" t="inlineStr">
        <is>
          <t>Seeded as CSP total power times AI-company attributed contract share. Replace csp_total_power_mw and ai_contract_share_of_csp with your long-term contract dataset.</t>
        </is>
      </c>
    </row>
    <row r="134">
      <c r="A134" s="3" t="inlineStr">
        <is>
          <t>Bear|Microsoft|2029|Microsoft</t>
        </is>
      </c>
      <c r="B134" s="3" t="inlineStr">
        <is>
          <t>Bear</t>
        </is>
      </c>
      <c r="C134" s="3" t="inlineStr">
        <is>
          <t>Microsoft</t>
        </is>
      </c>
      <c r="D134" s="3" t="n">
        <v>2029</v>
      </c>
      <c r="E134" s="3" t="inlineStr">
        <is>
          <t>Microsoft</t>
        </is>
      </c>
      <c r="F134" s="27" t="n">
        <v>4085</v>
      </c>
      <c r="G134" s="17" t="n">
        <v>0.54406365</v>
      </c>
      <c r="H134" s="28">
        <f>F134*G134</f>
        <v/>
      </c>
      <c r="I134" s="17" t="n">
        <v>0.605</v>
      </c>
      <c r="J134" s="6">
        <f>1-I134</f>
        <v/>
      </c>
      <c r="K134" s="28">
        <f>H134*I134</f>
        <v/>
      </c>
      <c r="L134" s="3" t="inlineStr">
        <is>
          <t>epoch_csp_total_power_x_user_contract_share_seed</t>
        </is>
      </c>
      <c r="M134" s="3" t="inlineStr">
        <is>
          <t>SRC_EPOCH_AI_DATA_CENTERS; EPOCH_NORMALIZED_USER_SITES</t>
        </is>
      </c>
      <c r="N134" s="3" t="inlineStr">
        <is>
          <t>Seeded as CSP total power times AI-company attributed contract share. Replace csp_total_power_mw and ai_contract_share_of_csp with your long-term contract dataset.</t>
        </is>
      </c>
    </row>
    <row r="135">
      <c r="A135" s="3" t="inlineStr">
        <is>
          <t>Base|Microsoft|2029|Microsoft</t>
        </is>
      </c>
      <c r="B135" s="3" t="inlineStr">
        <is>
          <t>Base</t>
        </is>
      </c>
      <c r="C135" s="3" t="inlineStr">
        <is>
          <t>Microsoft</t>
        </is>
      </c>
      <c r="D135" s="3" t="n">
        <v>2029</v>
      </c>
      <c r="E135" s="3" t="inlineStr">
        <is>
          <t>Microsoft</t>
        </is>
      </c>
      <c r="F135" s="27" t="n">
        <v>4085</v>
      </c>
      <c r="G135" s="17" t="n">
        <v>0.54406365</v>
      </c>
      <c r="H135" s="28">
        <f>F135*G135</f>
        <v/>
      </c>
      <c r="I135" s="17" t="n">
        <v>0.7</v>
      </c>
      <c r="J135" s="6">
        <f>1-I135</f>
        <v/>
      </c>
      <c r="K135" s="28">
        <f>H135*I135</f>
        <v/>
      </c>
      <c r="L135" s="3" t="inlineStr">
        <is>
          <t>epoch_csp_total_power_x_user_contract_share_seed</t>
        </is>
      </c>
      <c r="M135" s="3" t="inlineStr">
        <is>
          <t>SRC_EPOCH_AI_DATA_CENTERS; EPOCH_NORMALIZED_USER_SITES</t>
        </is>
      </c>
      <c r="N135" s="3" t="inlineStr">
        <is>
          <t>Seeded as CSP total power times AI-company attributed contract share. Replace csp_total_power_mw and ai_contract_share_of_csp with your long-term contract dataset.</t>
        </is>
      </c>
    </row>
    <row r="136">
      <c r="A136" s="3" t="inlineStr">
        <is>
          <t>Bull|Microsoft|2029|Microsoft</t>
        </is>
      </c>
      <c r="B136" s="3" t="inlineStr">
        <is>
          <t>Bull</t>
        </is>
      </c>
      <c r="C136" s="3" t="inlineStr">
        <is>
          <t>Microsoft</t>
        </is>
      </c>
      <c r="D136" s="3" t="n">
        <v>2029</v>
      </c>
      <c r="E136" s="3" t="inlineStr">
        <is>
          <t>Microsoft</t>
        </is>
      </c>
      <c r="F136" s="27" t="n">
        <v>4085</v>
      </c>
      <c r="G136" s="17" t="n">
        <v>0.54406365</v>
      </c>
      <c r="H136" s="28">
        <f>F136*G136</f>
        <v/>
      </c>
      <c r="I136" s="17" t="n">
        <v>0.772</v>
      </c>
      <c r="J136" s="6">
        <f>1-I136</f>
        <v/>
      </c>
      <c r="K136" s="28">
        <f>H136*I136</f>
        <v/>
      </c>
      <c r="L136" s="3" t="inlineStr">
        <is>
          <t>epoch_csp_total_power_x_user_contract_share_seed</t>
        </is>
      </c>
      <c r="M136" s="3" t="inlineStr">
        <is>
          <t>SRC_EPOCH_AI_DATA_CENTERS; EPOCH_NORMALIZED_USER_SITES</t>
        </is>
      </c>
      <c r="N136" s="3" t="inlineStr">
        <is>
          <t>Seeded as CSP total power times AI-company attributed contract share. Replace csp_total_power_mw and ai_contract_share_of_csp with your long-term contract dataset.</t>
        </is>
      </c>
    </row>
    <row r="137">
      <c r="A137" s="3" t="inlineStr">
        <is>
          <t>Grid-Constrained / Efficiency-Upside|Microsoft|2029|Microsoft</t>
        </is>
      </c>
      <c r="B137" s="3" t="inlineStr">
        <is>
          <t>Grid-Constrained / Efficiency-Upside</t>
        </is>
      </c>
      <c r="C137" s="3" t="inlineStr">
        <is>
          <t>Microsoft</t>
        </is>
      </c>
      <c r="D137" s="3" t="n">
        <v>2029</v>
      </c>
      <c r="E137" s="3" t="inlineStr">
        <is>
          <t>Microsoft</t>
        </is>
      </c>
      <c r="F137" s="27" t="n">
        <v>4085</v>
      </c>
      <c r="G137" s="17" t="n">
        <v>0.54406365</v>
      </c>
      <c r="H137" s="28">
        <f>F137*G137</f>
        <v/>
      </c>
      <c r="I137" s="17" t="n">
        <v>0.735</v>
      </c>
      <c r="J137" s="6">
        <f>1-I137</f>
        <v/>
      </c>
      <c r="K137" s="28">
        <f>H137*I137</f>
        <v/>
      </c>
      <c r="L137" s="3" t="inlineStr">
        <is>
          <t>epoch_csp_total_power_x_user_contract_share_seed</t>
        </is>
      </c>
      <c r="M137" s="3" t="inlineStr">
        <is>
          <t>SRC_EPOCH_AI_DATA_CENTERS; EPOCH_NORMALIZED_USER_SITES</t>
        </is>
      </c>
      <c r="N137" s="3" t="inlineStr">
        <is>
          <t>Seeded as CSP total power times AI-company attributed contract share. Replace csp_total_power_mw and ai_contract_share_of_csp with your long-term contract dataset.</t>
        </is>
      </c>
    </row>
    <row r="138">
      <c r="A138" s="3" t="inlineStr">
        <is>
          <t>Bear|Microsoft|2030|Microsoft</t>
        </is>
      </c>
      <c r="B138" s="3" t="inlineStr">
        <is>
          <t>Bear</t>
        </is>
      </c>
      <c r="C138" s="3" t="inlineStr">
        <is>
          <t>Microsoft</t>
        </is>
      </c>
      <c r="D138" s="3" t="n">
        <v>2030</v>
      </c>
      <c r="E138" s="3" t="inlineStr">
        <is>
          <t>Microsoft</t>
        </is>
      </c>
      <c r="F138" s="27" t="n">
        <v>4085</v>
      </c>
      <c r="G138" s="17" t="n">
        <v>0.54406365</v>
      </c>
      <c r="H138" s="28">
        <f>F138*G138</f>
        <v/>
      </c>
      <c r="I138" s="17" t="n">
        <v>0.65</v>
      </c>
      <c r="J138" s="6">
        <f>1-I138</f>
        <v/>
      </c>
      <c r="K138" s="28">
        <f>H138*I138</f>
        <v/>
      </c>
      <c r="L138" s="3" t="inlineStr">
        <is>
          <t>epoch_csp_total_power_x_user_contract_share_seed</t>
        </is>
      </c>
      <c r="M138" s="3" t="inlineStr">
        <is>
          <t>SRC_EPOCH_AI_DATA_CENTERS; EPOCH_NORMALIZED_USER_SITES</t>
        </is>
      </c>
      <c r="N138" s="3" t="inlineStr">
        <is>
          <t>Seeded as CSP total power times AI-company attributed contract share. Replace csp_total_power_mw and ai_contract_share_of_csp with your long-term contract dataset.</t>
        </is>
      </c>
    </row>
    <row r="139">
      <c r="A139" s="3" t="inlineStr">
        <is>
          <t>Base|Microsoft|2030|Microsoft</t>
        </is>
      </c>
      <c r="B139" s="3" t="inlineStr">
        <is>
          <t>Base</t>
        </is>
      </c>
      <c r="C139" s="3" t="inlineStr">
        <is>
          <t>Microsoft</t>
        </is>
      </c>
      <c r="D139" s="3" t="n">
        <v>2030</v>
      </c>
      <c r="E139" s="3" t="inlineStr">
        <is>
          <t>Microsoft</t>
        </is>
      </c>
      <c r="F139" s="27" t="n">
        <v>4085</v>
      </c>
      <c r="G139" s="17" t="n">
        <v>0.54406365</v>
      </c>
      <c r="H139" s="28">
        <f>F139*G139</f>
        <v/>
      </c>
      <c r="I139" s="17" t="n">
        <v>0.75</v>
      </c>
      <c r="J139" s="6">
        <f>1-I139</f>
        <v/>
      </c>
      <c r="K139" s="28">
        <f>H139*I139</f>
        <v/>
      </c>
      <c r="L139" s="3" t="inlineStr">
        <is>
          <t>epoch_csp_total_power_x_user_contract_share_seed</t>
        </is>
      </c>
      <c r="M139" s="3" t="inlineStr">
        <is>
          <t>SRC_EPOCH_AI_DATA_CENTERS; EPOCH_NORMALIZED_USER_SITES</t>
        </is>
      </c>
      <c r="N139" s="3" t="inlineStr">
        <is>
          <t>Seeded as CSP total power times AI-company attributed contract share. Replace csp_total_power_mw and ai_contract_share_of_csp with your long-term contract dataset.</t>
        </is>
      </c>
    </row>
    <row r="140">
      <c r="A140" s="3" t="inlineStr">
        <is>
          <t>Bull|Microsoft|2030|Microsoft</t>
        </is>
      </c>
      <c r="B140" s="3" t="inlineStr">
        <is>
          <t>Bull</t>
        </is>
      </c>
      <c r="C140" s="3" t="inlineStr">
        <is>
          <t>Microsoft</t>
        </is>
      </c>
      <c r="D140" s="3" t="n">
        <v>2030</v>
      </c>
      <c r="E140" s="3" t="inlineStr">
        <is>
          <t>Microsoft</t>
        </is>
      </c>
      <c r="F140" s="27" t="n">
        <v>4085</v>
      </c>
      <c r="G140" s="17" t="n">
        <v>0.54406365</v>
      </c>
      <c r="H140" s="28">
        <f>F140*G140</f>
        <v/>
      </c>
      <c r="I140" s="17" t="n">
        <v>0.83</v>
      </c>
      <c r="J140" s="6">
        <f>1-I140</f>
        <v/>
      </c>
      <c r="K140" s="28">
        <f>H140*I140</f>
        <v/>
      </c>
      <c r="L140" s="3" t="inlineStr">
        <is>
          <t>epoch_csp_total_power_x_user_contract_share_seed</t>
        </is>
      </c>
      <c r="M140" s="3" t="inlineStr">
        <is>
          <t>SRC_EPOCH_AI_DATA_CENTERS; EPOCH_NORMALIZED_USER_SITES</t>
        </is>
      </c>
      <c r="N140" s="3" t="inlineStr">
        <is>
          <t>Seeded as CSP total power times AI-company attributed contract share. Replace csp_total_power_mw and ai_contract_share_of_csp with your long-term contract dataset.</t>
        </is>
      </c>
    </row>
    <row r="141">
      <c r="A141" s="3" t="inlineStr">
        <is>
          <t>Grid-Constrained / Efficiency-Upside|Microsoft|2030|Microsoft</t>
        </is>
      </c>
      <c r="B141" s="3" t="inlineStr">
        <is>
          <t>Grid-Constrained / Efficiency-Upside</t>
        </is>
      </c>
      <c r="C141" s="3" t="inlineStr">
        <is>
          <t>Microsoft</t>
        </is>
      </c>
      <c r="D141" s="3" t="n">
        <v>2030</v>
      </c>
      <c r="E141" s="3" t="inlineStr">
        <is>
          <t>Microsoft</t>
        </is>
      </c>
      <c r="F141" s="27" t="n">
        <v>4085</v>
      </c>
      <c r="G141" s="17" t="n">
        <v>0.54406365</v>
      </c>
      <c r="H141" s="28">
        <f>F141*G141</f>
        <v/>
      </c>
      <c r="I141" s="17" t="n">
        <v>0.79</v>
      </c>
      <c r="J141" s="6">
        <f>1-I141</f>
        <v/>
      </c>
      <c r="K141" s="28">
        <f>H141*I141</f>
        <v/>
      </c>
      <c r="L141" s="3" t="inlineStr">
        <is>
          <t>epoch_csp_total_power_x_user_contract_share_seed</t>
        </is>
      </c>
      <c r="M141" s="3" t="inlineStr">
        <is>
          <t>SRC_EPOCH_AI_DATA_CENTERS; EPOCH_NORMALIZED_USER_SITES</t>
        </is>
      </c>
      <c r="N141" s="3" t="inlineStr">
        <is>
          <t>Seeded as CSP total power times AI-company attributed contract share. Replace csp_total_power_mw and ai_contract_share_of_csp with your long-term contract dataset.</t>
        </is>
      </c>
    </row>
    <row r="142">
      <c r="A142" s="3" t="inlineStr">
        <is>
          <t>Bear|Microsoft|2026|Nscale</t>
        </is>
      </c>
      <c r="B142" s="3" t="inlineStr">
        <is>
          <t>Bear</t>
        </is>
      </c>
      <c r="C142" s="3" t="inlineStr">
        <is>
          <t>Microsoft</t>
        </is>
      </c>
      <c r="D142" s="3" t="n">
        <v>2026</v>
      </c>
      <c r="E142" s="3" t="inlineStr">
        <is>
          <t>Nscale</t>
        </is>
      </c>
      <c r="F142" s="27" t="n">
        <v>33</v>
      </c>
      <c r="G142" s="17" t="n">
        <v>1</v>
      </c>
      <c r="H142" s="28">
        <f>F142*G142</f>
        <v/>
      </c>
      <c r="I142" s="17" t="n">
        <v>0.47</v>
      </c>
      <c r="J142" s="6">
        <f>1-I142</f>
        <v/>
      </c>
      <c r="K142" s="28">
        <f>H142*I142</f>
        <v/>
      </c>
      <c r="L142" s="3" t="inlineStr">
        <is>
          <t>epoch_csp_total_power_x_user_contract_share_seed</t>
        </is>
      </c>
      <c r="M142" s="3" t="inlineStr">
        <is>
          <t>SRC_EPOCH_AI_DATA_CENTERS; EPOCH_NORMALIZED_USER_SITES</t>
        </is>
      </c>
      <c r="N142" s="3" t="inlineStr">
        <is>
          <t>Seeded as CSP total power times AI-company attributed contract share. Replace csp_total_power_mw and ai_contract_share_of_csp with your long-term contract dataset.</t>
        </is>
      </c>
    </row>
    <row r="143">
      <c r="A143" s="3" t="inlineStr">
        <is>
          <t>Base|Microsoft|2026|Nscale</t>
        </is>
      </c>
      <c r="B143" s="3" t="inlineStr">
        <is>
          <t>Base</t>
        </is>
      </c>
      <c r="C143" s="3" t="inlineStr">
        <is>
          <t>Microsoft</t>
        </is>
      </c>
      <c r="D143" s="3" t="n">
        <v>2026</v>
      </c>
      <c r="E143" s="3" t="inlineStr">
        <is>
          <t>Nscale</t>
        </is>
      </c>
      <c r="F143" s="27" t="n">
        <v>33</v>
      </c>
      <c r="G143" s="17" t="n">
        <v>1</v>
      </c>
      <c r="H143" s="28">
        <f>F143*G143</f>
        <v/>
      </c>
      <c r="I143" s="17" t="n">
        <v>0.55</v>
      </c>
      <c r="J143" s="6">
        <f>1-I143</f>
        <v/>
      </c>
      <c r="K143" s="28">
        <f>H143*I143</f>
        <v/>
      </c>
      <c r="L143" s="3" t="inlineStr">
        <is>
          <t>epoch_csp_total_power_x_user_contract_share_seed</t>
        </is>
      </c>
      <c r="M143" s="3" t="inlineStr">
        <is>
          <t>SRC_EPOCH_AI_DATA_CENTERS; EPOCH_NORMALIZED_USER_SITES</t>
        </is>
      </c>
      <c r="N143" s="3" t="inlineStr">
        <is>
          <t>Seeded as CSP total power times AI-company attributed contract share. Replace csp_total_power_mw and ai_contract_share_of_csp with your long-term contract dataset.</t>
        </is>
      </c>
    </row>
    <row r="144">
      <c r="A144" s="3" t="inlineStr">
        <is>
          <t>Bull|Microsoft|2026|Nscale</t>
        </is>
      </c>
      <c r="B144" s="3" t="inlineStr">
        <is>
          <t>Bull</t>
        </is>
      </c>
      <c r="C144" s="3" t="inlineStr">
        <is>
          <t>Microsoft</t>
        </is>
      </c>
      <c r="D144" s="3" t="n">
        <v>2026</v>
      </c>
      <c r="E144" s="3" t="inlineStr">
        <is>
          <t>Nscale</t>
        </is>
      </c>
      <c r="F144" s="27" t="n">
        <v>33</v>
      </c>
      <c r="G144" s="17" t="n">
        <v>1</v>
      </c>
      <c r="H144" s="28">
        <f>F144*G144</f>
        <v/>
      </c>
      <c r="I144" s="17" t="n">
        <v>0.6</v>
      </c>
      <c r="J144" s="6">
        <f>1-I144</f>
        <v/>
      </c>
      <c r="K144" s="28">
        <f>H144*I144</f>
        <v/>
      </c>
      <c r="L144" s="3" t="inlineStr">
        <is>
          <t>epoch_csp_total_power_x_user_contract_share_seed</t>
        </is>
      </c>
      <c r="M144" s="3" t="inlineStr">
        <is>
          <t>SRC_EPOCH_AI_DATA_CENTERS; EPOCH_NORMALIZED_USER_SITES</t>
        </is>
      </c>
      <c r="N144" s="3" t="inlineStr">
        <is>
          <t>Seeded as CSP total power times AI-company attributed contract share. Replace csp_total_power_mw and ai_contract_share_of_csp with your long-term contract dataset.</t>
        </is>
      </c>
    </row>
    <row r="145">
      <c r="A145" s="3" t="inlineStr">
        <is>
          <t>Grid-Constrained / Efficiency-Upside|Microsoft|2026|Nscale</t>
        </is>
      </c>
      <c r="B145" s="3" t="inlineStr">
        <is>
          <t>Grid-Constrained / Efficiency-Upside</t>
        </is>
      </c>
      <c r="C145" s="3" t="inlineStr">
        <is>
          <t>Microsoft</t>
        </is>
      </c>
      <c r="D145" s="3" t="n">
        <v>2026</v>
      </c>
      <c r="E145" s="3" t="inlineStr">
        <is>
          <t>Nscale</t>
        </is>
      </c>
      <c r="F145" s="27" t="n">
        <v>33</v>
      </c>
      <c r="G145" s="17" t="n">
        <v>1</v>
      </c>
      <c r="H145" s="28">
        <f>F145*G145</f>
        <v/>
      </c>
      <c r="I145" s="17" t="n">
        <v>0.57</v>
      </c>
      <c r="J145" s="6">
        <f>1-I145</f>
        <v/>
      </c>
      <c r="K145" s="28">
        <f>H145*I145</f>
        <v/>
      </c>
      <c r="L145" s="3" t="inlineStr">
        <is>
          <t>epoch_csp_total_power_x_user_contract_share_seed</t>
        </is>
      </c>
      <c r="M145" s="3" t="inlineStr">
        <is>
          <t>SRC_EPOCH_AI_DATA_CENTERS; EPOCH_NORMALIZED_USER_SITES</t>
        </is>
      </c>
      <c r="N145" s="3" t="inlineStr">
        <is>
          <t>Seeded as CSP total power times AI-company attributed contract share. Replace csp_total_power_mw and ai_contract_share_of_csp with your long-term contract dataset.</t>
        </is>
      </c>
    </row>
    <row r="146">
      <c r="A146" s="3" t="inlineStr">
        <is>
          <t>Bear|Microsoft|2027|Nscale</t>
        </is>
      </c>
      <c r="B146" s="3" t="inlineStr">
        <is>
          <t>Bear</t>
        </is>
      </c>
      <c r="C146" s="3" t="inlineStr">
        <is>
          <t>Microsoft</t>
        </is>
      </c>
      <c r="D146" s="3" t="n">
        <v>2027</v>
      </c>
      <c r="E146" s="3" t="inlineStr">
        <is>
          <t>Nscale</t>
        </is>
      </c>
      <c r="F146" s="27" t="n">
        <v>233</v>
      </c>
      <c r="G146" s="17" t="n">
        <v>1</v>
      </c>
      <c r="H146" s="28">
        <f>F146*G146</f>
        <v/>
      </c>
      <c r="I146" s="17" t="n">
        <v>0.515</v>
      </c>
      <c r="J146" s="6">
        <f>1-I146</f>
        <v/>
      </c>
      <c r="K146" s="28">
        <f>H146*I146</f>
        <v/>
      </c>
      <c r="L146" s="3" t="inlineStr">
        <is>
          <t>epoch_csp_total_power_x_user_contract_share_seed</t>
        </is>
      </c>
      <c r="M146" s="3" t="inlineStr">
        <is>
          <t>SRC_EPOCH_AI_DATA_CENTERS; EPOCH_NORMALIZED_USER_SITES</t>
        </is>
      </c>
      <c r="N146" s="3" t="inlineStr">
        <is>
          <t>Seeded as CSP total power times AI-company attributed contract share. Replace csp_total_power_mw and ai_contract_share_of_csp with your long-term contract dataset.</t>
        </is>
      </c>
    </row>
    <row r="147">
      <c r="A147" s="3" t="inlineStr">
        <is>
          <t>Base|Microsoft|2027|Nscale</t>
        </is>
      </c>
      <c r="B147" s="3" t="inlineStr">
        <is>
          <t>Base</t>
        </is>
      </c>
      <c r="C147" s="3" t="inlineStr">
        <is>
          <t>Microsoft</t>
        </is>
      </c>
      <c r="D147" s="3" t="n">
        <v>2027</v>
      </c>
      <c r="E147" s="3" t="inlineStr">
        <is>
          <t>Nscale</t>
        </is>
      </c>
      <c r="F147" s="27" t="n">
        <v>233</v>
      </c>
      <c r="G147" s="17" t="n">
        <v>1</v>
      </c>
      <c r="H147" s="28">
        <f>F147*G147</f>
        <v/>
      </c>
      <c r="I147" s="17" t="n">
        <v>0.6</v>
      </c>
      <c r="J147" s="6">
        <f>1-I147</f>
        <v/>
      </c>
      <c r="K147" s="28">
        <f>H147*I147</f>
        <v/>
      </c>
      <c r="L147" s="3" t="inlineStr">
        <is>
          <t>epoch_csp_total_power_x_user_contract_share_seed</t>
        </is>
      </c>
      <c r="M147" s="3" t="inlineStr">
        <is>
          <t>SRC_EPOCH_AI_DATA_CENTERS; EPOCH_NORMALIZED_USER_SITES</t>
        </is>
      </c>
      <c r="N147" s="3" t="inlineStr">
        <is>
          <t>Seeded as CSP total power times AI-company attributed contract share. Replace csp_total_power_mw and ai_contract_share_of_csp with your long-term contract dataset.</t>
        </is>
      </c>
    </row>
    <row r="148">
      <c r="A148" s="3" t="inlineStr">
        <is>
          <t>Bull|Microsoft|2027|Nscale</t>
        </is>
      </c>
      <c r="B148" s="3" t="inlineStr">
        <is>
          <t>Bull</t>
        </is>
      </c>
      <c r="C148" s="3" t="inlineStr">
        <is>
          <t>Microsoft</t>
        </is>
      </c>
      <c r="D148" s="3" t="n">
        <v>2027</v>
      </c>
      <c r="E148" s="3" t="inlineStr">
        <is>
          <t>Nscale</t>
        </is>
      </c>
      <c r="F148" s="27" t="n">
        <v>233</v>
      </c>
      <c r="G148" s="17" t="n">
        <v>1</v>
      </c>
      <c r="H148" s="28">
        <f>F148*G148</f>
        <v/>
      </c>
      <c r="I148" s="17" t="n">
        <v>0.658</v>
      </c>
      <c r="J148" s="6">
        <f>1-I148</f>
        <v/>
      </c>
      <c r="K148" s="28">
        <f>H148*I148</f>
        <v/>
      </c>
      <c r="L148" s="3" t="inlineStr">
        <is>
          <t>epoch_csp_total_power_x_user_contract_share_seed</t>
        </is>
      </c>
      <c r="M148" s="3" t="inlineStr">
        <is>
          <t>SRC_EPOCH_AI_DATA_CENTERS; EPOCH_NORMALIZED_USER_SITES</t>
        </is>
      </c>
      <c r="N148" s="3" t="inlineStr">
        <is>
          <t>Seeded as CSP total power times AI-company attributed contract share. Replace csp_total_power_mw and ai_contract_share_of_csp with your long-term contract dataset.</t>
        </is>
      </c>
    </row>
    <row r="149">
      <c r="A149" s="3" t="inlineStr">
        <is>
          <t>Grid-Constrained / Efficiency-Upside|Microsoft|2027|Nscale</t>
        </is>
      </c>
      <c r="B149" s="3" t="inlineStr">
        <is>
          <t>Grid-Constrained / Efficiency-Upside</t>
        </is>
      </c>
      <c r="C149" s="3" t="inlineStr">
        <is>
          <t>Microsoft</t>
        </is>
      </c>
      <c r="D149" s="3" t="n">
        <v>2027</v>
      </c>
      <c r="E149" s="3" t="inlineStr">
        <is>
          <t>Nscale</t>
        </is>
      </c>
      <c r="F149" s="27" t="n">
        <v>233</v>
      </c>
      <c r="G149" s="17" t="n">
        <v>1</v>
      </c>
      <c r="H149" s="28">
        <f>F149*G149</f>
        <v/>
      </c>
      <c r="I149" s="17" t="n">
        <v>0.625</v>
      </c>
      <c r="J149" s="6">
        <f>1-I149</f>
        <v/>
      </c>
      <c r="K149" s="28">
        <f>H149*I149</f>
        <v/>
      </c>
      <c r="L149" s="3" t="inlineStr">
        <is>
          <t>epoch_csp_total_power_x_user_contract_share_seed</t>
        </is>
      </c>
      <c r="M149" s="3" t="inlineStr">
        <is>
          <t>SRC_EPOCH_AI_DATA_CENTERS; EPOCH_NORMALIZED_USER_SITES</t>
        </is>
      </c>
      <c r="N149" s="3" t="inlineStr">
        <is>
          <t>Seeded as CSP total power times AI-company attributed contract share. Replace csp_total_power_mw and ai_contract_share_of_csp with your long-term contract dataset.</t>
        </is>
      </c>
    </row>
    <row r="150">
      <c r="A150" s="3" t="inlineStr">
        <is>
          <t>Bear|Microsoft|2028|Nscale</t>
        </is>
      </c>
      <c r="B150" s="3" t="inlineStr">
        <is>
          <t>Bear</t>
        </is>
      </c>
      <c r="C150" s="3" t="inlineStr">
        <is>
          <t>Microsoft</t>
        </is>
      </c>
      <c r="D150" s="3" t="n">
        <v>2028</v>
      </c>
      <c r="E150" s="3" t="inlineStr">
        <is>
          <t>Nscale</t>
        </is>
      </c>
      <c r="F150" s="27" t="n">
        <v>233</v>
      </c>
      <c r="G150" s="17" t="n">
        <v>1</v>
      </c>
      <c r="H150" s="28">
        <f>F150*G150</f>
        <v/>
      </c>
      <c r="I150" s="17" t="n">
        <v>0.5600000000000001</v>
      </c>
      <c r="J150" s="6">
        <f>1-I150</f>
        <v/>
      </c>
      <c r="K150" s="28">
        <f>H150*I150</f>
        <v/>
      </c>
      <c r="L150" s="3" t="inlineStr">
        <is>
          <t>epoch_csp_total_power_x_user_contract_share_seed</t>
        </is>
      </c>
      <c r="M150" s="3" t="inlineStr">
        <is>
          <t>SRC_EPOCH_AI_DATA_CENTERS; EPOCH_NORMALIZED_USER_SITES</t>
        </is>
      </c>
      <c r="N150" s="3" t="inlineStr">
        <is>
          <t>Seeded as CSP total power times AI-company attributed contract share. Replace csp_total_power_mw and ai_contract_share_of_csp with your long-term contract dataset.</t>
        </is>
      </c>
    </row>
    <row r="151">
      <c r="A151" s="3" t="inlineStr">
        <is>
          <t>Base|Microsoft|2028|Nscale</t>
        </is>
      </c>
      <c r="B151" s="3" t="inlineStr">
        <is>
          <t>Base</t>
        </is>
      </c>
      <c r="C151" s="3" t="inlineStr">
        <is>
          <t>Microsoft</t>
        </is>
      </c>
      <c r="D151" s="3" t="n">
        <v>2028</v>
      </c>
      <c r="E151" s="3" t="inlineStr">
        <is>
          <t>Nscale</t>
        </is>
      </c>
      <c r="F151" s="27" t="n">
        <v>233</v>
      </c>
      <c r="G151" s="17" t="n">
        <v>1</v>
      </c>
      <c r="H151" s="28">
        <f>F151*G151</f>
        <v/>
      </c>
      <c r="I151" s="17" t="n">
        <v>0.65</v>
      </c>
      <c r="J151" s="6">
        <f>1-I151</f>
        <v/>
      </c>
      <c r="K151" s="28">
        <f>H151*I151</f>
        <v/>
      </c>
      <c r="L151" s="3" t="inlineStr">
        <is>
          <t>epoch_csp_total_power_x_user_contract_share_seed</t>
        </is>
      </c>
      <c r="M151" s="3" t="inlineStr">
        <is>
          <t>SRC_EPOCH_AI_DATA_CENTERS; EPOCH_NORMALIZED_USER_SITES</t>
        </is>
      </c>
      <c r="N151" s="3" t="inlineStr">
        <is>
          <t>Seeded as CSP total power times AI-company attributed contract share. Replace csp_total_power_mw and ai_contract_share_of_csp with your long-term contract dataset.</t>
        </is>
      </c>
    </row>
    <row r="152">
      <c r="A152" s="3" t="inlineStr">
        <is>
          <t>Bull|Microsoft|2028|Nscale</t>
        </is>
      </c>
      <c r="B152" s="3" t="inlineStr">
        <is>
          <t>Bull</t>
        </is>
      </c>
      <c r="C152" s="3" t="inlineStr">
        <is>
          <t>Microsoft</t>
        </is>
      </c>
      <c r="D152" s="3" t="n">
        <v>2028</v>
      </c>
      <c r="E152" s="3" t="inlineStr">
        <is>
          <t>Nscale</t>
        </is>
      </c>
      <c r="F152" s="27" t="n">
        <v>233</v>
      </c>
      <c r="G152" s="17" t="n">
        <v>1</v>
      </c>
      <c r="H152" s="28">
        <f>F152*G152</f>
        <v/>
      </c>
      <c r="I152" s="17" t="n">
        <v>0.715</v>
      </c>
      <c r="J152" s="6">
        <f>1-I152</f>
        <v/>
      </c>
      <c r="K152" s="28">
        <f>H152*I152</f>
        <v/>
      </c>
      <c r="L152" s="3" t="inlineStr">
        <is>
          <t>epoch_csp_total_power_x_user_contract_share_seed</t>
        </is>
      </c>
      <c r="M152" s="3" t="inlineStr">
        <is>
          <t>SRC_EPOCH_AI_DATA_CENTERS; EPOCH_NORMALIZED_USER_SITES</t>
        </is>
      </c>
      <c r="N152" s="3" t="inlineStr">
        <is>
          <t>Seeded as CSP total power times AI-company attributed contract share. Replace csp_total_power_mw and ai_contract_share_of_csp with your long-term contract dataset.</t>
        </is>
      </c>
    </row>
    <row r="153">
      <c r="A153" s="3" t="inlineStr">
        <is>
          <t>Grid-Constrained / Efficiency-Upside|Microsoft|2028|Nscale</t>
        </is>
      </c>
      <c r="B153" s="3" t="inlineStr">
        <is>
          <t>Grid-Constrained / Efficiency-Upside</t>
        </is>
      </c>
      <c r="C153" s="3" t="inlineStr">
        <is>
          <t>Microsoft</t>
        </is>
      </c>
      <c r="D153" s="3" t="n">
        <v>2028</v>
      </c>
      <c r="E153" s="3" t="inlineStr">
        <is>
          <t>Nscale</t>
        </is>
      </c>
      <c r="F153" s="27" t="n">
        <v>233</v>
      </c>
      <c r="G153" s="17" t="n">
        <v>1</v>
      </c>
      <c r="H153" s="28">
        <f>F153*G153</f>
        <v/>
      </c>
      <c r="I153" s="17" t="n">
        <v>0.68</v>
      </c>
      <c r="J153" s="6">
        <f>1-I153</f>
        <v/>
      </c>
      <c r="K153" s="28">
        <f>H153*I153</f>
        <v/>
      </c>
      <c r="L153" s="3" t="inlineStr">
        <is>
          <t>epoch_csp_total_power_x_user_contract_share_seed</t>
        </is>
      </c>
      <c r="M153" s="3" t="inlineStr">
        <is>
          <t>SRC_EPOCH_AI_DATA_CENTERS; EPOCH_NORMALIZED_USER_SITES</t>
        </is>
      </c>
      <c r="N153" s="3" t="inlineStr">
        <is>
          <t>Seeded as CSP total power times AI-company attributed contract share. Replace csp_total_power_mw and ai_contract_share_of_csp with your long-term contract dataset.</t>
        </is>
      </c>
    </row>
    <row r="154">
      <c r="A154" s="3" t="inlineStr">
        <is>
          <t>Bear|Microsoft|2029|Nscale</t>
        </is>
      </c>
      <c r="B154" s="3" t="inlineStr">
        <is>
          <t>Bear</t>
        </is>
      </c>
      <c r="C154" s="3" t="inlineStr">
        <is>
          <t>Microsoft</t>
        </is>
      </c>
      <c r="D154" s="3" t="n">
        <v>2029</v>
      </c>
      <c r="E154" s="3" t="inlineStr">
        <is>
          <t>Nscale</t>
        </is>
      </c>
      <c r="F154" s="27" t="n">
        <v>233</v>
      </c>
      <c r="G154" s="17" t="n">
        <v>1</v>
      </c>
      <c r="H154" s="28">
        <f>F154*G154</f>
        <v/>
      </c>
      <c r="I154" s="17" t="n">
        <v>0.605</v>
      </c>
      <c r="J154" s="6">
        <f>1-I154</f>
        <v/>
      </c>
      <c r="K154" s="28">
        <f>H154*I154</f>
        <v/>
      </c>
      <c r="L154" s="3" t="inlineStr">
        <is>
          <t>epoch_csp_total_power_x_user_contract_share_seed</t>
        </is>
      </c>
      <c r="M154" s="3" t="inlineStr">
        <is>
          <t>SRC_EPOCH_AI_DATA_CENTERS; EPOCH_NORMALIZED_USER_SITES</t>
        </is>
      </c>
      <c r="N154" s="3" t="inlineStr">
        <is>
          <t>Seeded as CSP total power times AI-company attributed contract share. Replace csp_total_power_mw and ai_contract_share_of_csp with your long-term contract dataset.</t>
        </is>
      </c>
    </row>
    <row r="155">
      <c r="A155" s="3" t="inlineStr">
        <is>
          <t>Base|Microsoft|2029|Nscale</t>
        </is>
      </c>
      <c r="B155" s="3" t="inlineStr">
        <is>
          <t>Base</t>
        </is>
      </c>
      <c r="C155" s="3" t="inlineStr">
        <is>
          <t>Microsoft</t>
        </is>
      </c>
      <c r="D155" s="3" t="n">
        <v>2029</v>
      </c>
      <c r="E155" s="3" t="inlineStr">
        <is>
          <t>Nscale</t>
        </is>
      </c>
      <c r="F155" s="27" t="n">
        <v>233</v>
      </c>
      <c r="G155" s="17" t="n">
        <v>1</v>
      </c>
      <c r="H155" s="28">
        <f>F155*G155</f>
        <v/>
      </c>
      <c r="I155" s="17" t="n">
        <v>0.7</v>
      </c>
      <c r="J155" s="6">
        <f>1-I155</f>
        <v/>
      </c>
      <c r="K155" s="28">
        <f>H155*I155</f>
        <v/>
      </c>
      <c r="L155" s="3" t="inlineStr">
        <is>
          <t>epoch_csp_total_power_x_user_contract_share_seed</t>
        </is>
      </c>
      <c r="M155" s="3" t="inlineStr">
        <is>
          <t>SRC_EPOCH_AI_DATA_CENTERS; EPOCH_NORMALIZED_USER_SITES</t>
        </is>
      </c>
      <c r="N155" s="3" t="inlineStr">
        <is>
          <t>Seeded as CSP total power times AI-company attributed contract share. Replace csp_total_power_mw and ai_contract_share_of_csp with your long-term contract dataset.</t>
        </is>
      </c>
    </row>
    <row r="156">
      <c r="A156" s="3" t="inlineStr">
        <is>
          <t>Bull|Microsoft|2029|Nscale</t>
        </is>
      </c>
      <c r="B156" s="3" t="inlineStr">
        <is>
          <t>Bull</t>
        </is>
      </c>
      <c r="C156" s="3" t="inlineStr">
        <is>
          <t>Microsoft</t>
        </is>
      </c>
      <c r="D156" s="3" t="n">
        <v>2029</v>
      </c>
      <c r="E156" s="3" t="inlineStr">
        <is>
          <t>Nscale</t>
        </is>
      </c>
      <c r="F156" s="27" t="n">
        <v>233</v>
      </c>
      <c r="G156" s="17" t="n">
        <v>1</v>
      </c>
      <c r="H156" s="28">
        <f>F156*G156</f>
        <v/>
      </c>
      <c r="I156" s="17" t="n">
        <v>0.772</v>
      </c>
      <c r="J156" s="6">
        <f>1-I156</f>
        <v/>
      </c>
      <c r="K156" s="28">
        <f>H156*I156</f>
        <v/>
      </c>
      <c r="L156" s="3" t="inlineStr">
        <is>
          <t>epoch_csp_total_power_x_user_contract_share_seed</t>
        </is>
      </c>
      <c r="M156" s="3" t="inlineStr">
        <is>
          <t>SRC_EPOCH_AI_DATA_CENTERS; EPOCH_NORMALIZED_USER_SITES</t>
        </is>
      </c>
      <c r="N156" s="3" t="inlineStr">
        <is>
          <t>Seeded as CSP total power times AI-company attributed contract share. Replace csp_total_power_mw and ai_contract_share_of_csp with your long-term contract dataset.</t>
        </is>
      </c>
    </row>
    <row r="157">
      <c r="A157" s="3" t="inlineStr">
        <is>
          <t>Grid-Constrained / Efficiency-Upside|Microsoft|2029|Nscale</t>
        </is>
      </c>
      <c r="B157" s="3" t="inlineStr">
        <is>
          <t>Grid-Constrained / Efficiency-Upside</t>
        </is>
      </c>
      <c r="C157" s="3" t="inlineStr">
        <is>
          <t>Microsoft</t>
        </is>
      </c>
      <c r="D157" s="3" t="n">
        <v>2029</v>
      </c>
      <c r="E157" s="3" t="inlineStr">
        <is>
          <t>Nscale</t>
        </is>
      </c>
      <c r="F157" s="27" t="n">
        <v>233</v>
      </c>
      <c r="G157" s="17" t="n">
        <v>1</v>
      </c>
      <c r="H157" s="28">
        <f>F157*G157</f>
        <v/>
      </c>
      <c r="I157" s="17" t="n">
        <v>0.735</v>
      </c>
      <c r="J157" s="6">
        <f>1-I157</f>
        <v/>
      </c>
      <c r="K157" s="28">
        <f>H157*I157</f>
        <v/>
      </c>
      <c r="L157" s="3" t="inlineStr">
        <is>
          <t>epoch_csp_total_power_x_user_contract_share_seed</t>
        </is>
      </c>
      <c r="M157" s="3" t="inlineStr">
        <is>
          <t>SRC_EPOCH_AI_DATA_CENTERS; EPOCH_NORMALIZED_USER_SITES</t>
        </is>
      </c>
      <c r="N157" s="3" t="inlineStr">
        <is>
          <t>Seeded as CSP total power times AI-company attributed contract share. Replace csp_total_power_mw and ai_contract_share_of_csp with your long-term contract dataset.</t>
        </is>
      </c>
    </row>
    <row r="158">
      <c r="A158" s="3" t="inlineStr">
        <is>
          <t>Bear|Microsoft|2030|Nscale</t>
        </is>
      </c>
      <c r="B158" s="3" t="inlineStr">
        <is>
          <t>Bear</t>
        </is>
      </c>
      <c r="C158" s="3" t="inlineStr">
        <is>
          <t>Microsoft</t>
        </is>
      </c>
      <c r="D158" s="3" t="n">
        <v>2030</v>
      </c>
      <c r="E158" s="3" t="inlineStr">
        <is>
          <t>Nscale</t>
        </is>
      </c>
      <c r="F158" s="27" t="n">
        <v>233</v>
      </c>
      <c r="G158" s="17" t="n">
        <v>1</v>
      </c>
      <c r="H158" s="28">
        <f>F158*G158</f>
        <v/>
      </c>
      <c r="I158" s="17" t="n">
        <v>0.65</v>
      </c>
      <c r="J158" s="6">
        <f>1-I158</f>
        <v/>
      </c>
      <c r="K158" s="28">
        <f>H158*I158</f>
        <v/>
      </c>
      <c r="L158" s="3" t="inlineStr">
        <is>
          <t>epoch_csp_total_power_x_user_contract_share_seed</t>
        </is>
      </c>
      <c r="M158" s="3" t="inlineStr">
        <is>
          <t>SRC_EPOCH_AI_DATA_CENTERS; EPOCH_NORMALIZED_USER_SITES</t>
        </is>
      </c>
      <c r="N158" s="3" t="inlineStr">
        <is>
          <t>Seeded as CSP total power times AI-company attributed contract share. Replace csp_total_power_mw and ai_contract_share_of_csp with your long-term contract dataset.</t>
        </is>
      </c>
    </row>
    <row r="159">
      <c r="A159" s="3" t="inlineStr">
        <is>
          <t>Base|Microsoft|2030|Nscale</t>
        </is>
      </c>
      <c r="B159" s="3" t="inlineStr">
        <is>
          <t>Base</t>
        </is>
      </c>
      <c r="C159" s="3" t="inlineStr">
        <is>
          <t>Microsoft</t>
        </is>
      </c>
      <c r="D159" s="3" t="n">
        <v>2030</v>
      </c>
      <c r="E159" s="3" t="inlineStr">
        <is>
          <t>Nscale</t>
        </is>
      </c>
      <c r="F159" s="27" t="n">
        <v>233</v>
      </c>
      <c r="G159" s="17" t="n">
        <v>1</v>
      </c>
      <c r="H159" s="28">
        <f>F159*G159</f>
        <v/>
      </c>
      <c r="I159" s="17" t="n">
        <v>0.75</v>
      </c>
      <c r="J159" s="6">
        <f>1-I159</f>
        <v/>
      </c>
      <c r="K159" s="28">
        <f>H159*I159</f>
        <v/>
      </c>
      <c r="L159" s="3" t="inlineStr">
        <is>
          <t>epoch_csp_total_power_x_user_contract_share_seed</t>
        </is>
      </c>
      <c r="M159" s="3" t="inlineStr">
        <is>
          <t>SRC_EPOCH_AI_DATA_CENTERS; EPOCH_NORMALIZED_USER_SITES</t>
        </is>
      </c>
      <c r="N159" s="3" t="inlineStr">
        <is>
          <t>Seeded as CSP total power times AI-company attributed contract share. Replace csp_total_power_mw and ai_contract_share_of_csp with your long-term contract dataset.</t>
        </is>
      </c>
    </row>
    <row r="160">
      <c r="A160" s="3" t="inlineStr">
        <is>
          <t>Bull|Microsoft|2030|Nscale</t>
        </is>
      </c>
      <c r="B160" s="3" t="inlineStr">
        <is>
          <t>Bull</t>
        </is>
      </c>
      <c r="C160" s="3" t="inlineStr">
        <is>
          <t>Microsoft</t>
        </is>
      </c>
      <c r="D160" s="3" t="n">
        <v>2030</v>
      </c>
      <c r="E160" s="3" t="inlineStr">
        <is>
          <t>Nscale</t>
        </is>
      </c>
      <c r="F160" s="27" t="n">
        <v>233</v>
      </c>
      <c r="G160" s="17" t="n">
        <v>1</v>
      </c>
      <c r="H160" s="28">
        <f>F160*G160</f>
        <v/>
      </c>
      <c r="I160" s="17" t="n">
        <v>0.83</v>
      </c>
      <c r="J160" s="6">
        <f>1-I160</f>
        <v/>
      </c>
      <c r="K160" s="28">
        <f>H160*I160</f>
        <v/>
      </c>
      <c r="L160" s="3" t="inlineStr">
        <is>
          <t>epoch_csp_total_power_x_user_contract_share_seed</t>
        </is>
      </c>
      <c r="M160" s="3" t="inlineStr">
        <is>
          <t>SRC_EPOCH_AI_DATA_CENTERS; EPOCH_NORMALIZED_USER_SITES</t>
        </is>
      </c>
      <c r="N160" s="3" t="inlineStr">
        <is>
          <t>Seeded as CSP total power times AI-company attributed contract share. Replace csp_total_power_mw and ai_contract_share_of_csp with your long-term contract dataset.</t>
        </is>
      </c>
    </row>
    <row r="161">
      <c r="A161" s="3" t="inlineStr">
        <is>
          <t>Grid-Constrained / Efficiency-Upside|Microsoft|2030|Nscale</t>
        </is>
      </c>
      <c r="B161" s="3" t="inlineStr">
        <is>
          <t>Grid-Constrained / Efficiency-Upside</t>
        </is>
      </c>
      <c r="C161" s="3" t="inlineStr">
        <is>
          <t>Microsoft</t>
        </is>
      </c>
      <c r="D161" s="3" t="n">
        <v>2030</v>
      </c>
      <c r="E161" s="3" t="inlineStr">
        <is>
          <t>Nscale</t>
        </is>
      </c>
      <c r="F161" s="27" t="n">
        <v>233</v>
      </c>
      <c r="G161" s="17" t="n">
        <v>1</v>
      </c>
      <c r="H161" s="28">
        <f>F161*G161</f>
        <v/>
      </c>
      <c r="I161" s="17" t="n">
        <v>0.79</v>
      </c>
      <c r="J161" s="6">
        <f>1-I161</f>
        <v/>
      </c>
      <c r="K161" s="28">
        <f>H161*I161</f>
        <v/>
      </c>
      <c r="L161" s="3" t="inlineStr">
        <is>
          <t>epoch_csp_total_power_x_user_contract_share_seed</t>
        </is>
      </c>
      <c r="M161" s="3" t="inlineStr">
        <is>
          <t>SRC_EPOCH_AI_DATA_CENTERS; EPOCH_NORMALIZED_USER_SITES</t>
        </is>
      </c>
      <c r="N161" s="3" t="inlineStr">
        <is>
          <t>Seeded as CSP total power times AI-company attributed contract share. Replace csp_total_power_mw and ai_contract_share_of_csp with your long-term contract dataset.</t>
        </is>
      </c>
    </row>
    <row r="162">
      <c r="A162" s="3" t="inlineStr">
        <is>
          <t>Bear|OpenAI|2026|CoreWeave</t>
        </is>
      </c>
      <c r="B162" s="3" t="inlineStr">
        <is>
          <t>Bear</t>
        </is>
      </c>
      <c r="C162" s="3" t="inlineStr">
        <is>
          <t>OpenAI</t>
        </is>
      </c>
      <c r="D162" s="3" t="n">
        <v>2026</v>
      </c>
      <c r="E162" s="3" t="inlineStr">
        <is>
          <t>CoreWeave</t>
        </is>
      </c>
      <c r="F162" s="27" t="n">
        <v>637</v>
      </c>
      <c r="G162" s="17" t="n">
        <v>1</v>
      </c>
      <c r="H162" s="28">
        <f>F162*G162</f>
        <v/>
      </c>
      <c r="I162" s="17" t="n">
        <v>0.5</v>
      </c>
      <c r="J162" s="6">
        <f>1-I162</f>
        <v/>
      </c>
      <c r="K162" s="28">
        <f>H162*I162</f>
        <v/>
      </c>
      <c r="L162" s="3" t="inlineStr">
        <is>
          <t>epoch_csp_total_power_x_user_contract_share_seed</t>
        </is>
      </c>
      <c r="M162" s="3" t="inlineStr">
        <is>
          <t>SRC_EPOCH_AI_DATA_CENTERS; EPOCH_NORMALIZED_USER_SITES</t>
        </is>
      </c>
      <c r="N162" s="3" t="inlineStr">
        <is>
          <t>Seeded as CSP total power times AI-company attributed contract share. Replace csp_total_power_mw and ai_contract_share_of_csp with your long-term contract dataset.</t>
        </is>
      </c>
    </row>
    <row r="163">
      <c r="A163" s="3" t="inlineStr">
        <is>
          <t>Base|OpenAI|2026|CoreWeave</t>
        </is>
      </c>
      <c r="B163" s="3" t="inlineStr">
        <is>
          <t>Base</t>
        </is>
      </c>
      <c r="C163" s="3" t="inlineStr">
        <is>
          <t>OpenAI</t>
        </is>
      </c>
      <c r="D163" s="3" t="n">
        <v>2026</v>
      </c>
      <c r="E163" s="3" t="inlineStr">
        <is>
          <t>CoreWeave</t>
        </is>
      </c>
      <c r="F163" s="27" t="n">
        <v>637</v>
      </c>
      <c r="G163" s="17" t="n">
        <v>1</v>
      </c>
      <c r="H163" s="28">
        <f>F163*G163</f>
        <v/>
      </c>
      <c r="I163" s="17" t="n">
        <v>0.58</v>
      </c>
      <c r="J163" s="6">
        <f>1-I163</f>
        <v/>
      </c>
      <c r="K163" s="28">
        <f>H163*I163</f>
        <v/>
      </c>
      <c r="L163" s="3" t="inlineStr">
        <is>
          <t>epoch_csp_total_power_x_user_contract_share_seed</t>
        </is>
      </c>
      <c r="M163" s="3" t="inlineStr">
        <is>
          <t>SRC_EPOCH_AI_DATA_CENTERS; EPOCH_NORMALIZED_USER_SITES</t>
        </is>
      </c>
      <c r="N163" s="3" t="inlineStr">
        <is>
          <t>Seeded as CSP total power times AI-company attributed contract share. Replace csp_total_power_mw and ai_contract_share_of_csp with your long-term contract dataset.</t>
        </is>
      </c>
    </row>
    <row r="164">
      <c r="A164" s="3" t="inlineStr">
        <is>
          <t>Bull|OpenAI|2026|CoreWeave</t>
        </is>
      </c>
      <c r="B164" s="3" t="inlineStr">
        <is>
          <t>Bull</t>
        </is>
      </c>
      <c r="C164" s="3" t="inlineStr">
        <is>
          <t>OpenAI</t>
        </is>
      </c>
      <c r="D164" s="3" t="n">
        <v>2026</v>
      </c>
      <c r="E164" s="3" t="inlineStr">
        <is>
          <t>CoreWeave</t>
        </is>
      </c>
      <c r="F164" s="27" t="n">
        <v>637</v>
      </c>
      <c r="G164" s="17" t="n">
        <v>1</v>
      </c>
      <c r="H164" s="28">
        <f>F164*G164</f>
        <v/>
      </c>
      <c r="I164" s="17" t="n">
        <v>0.63</v>
      </c>
      <c r="J164" s="6">
        <f>1-I164</f>
        <v/>
      </c>
      <c r="K164" s="28">
        <f>H164*I164</f>
        <v/>
      </c>
      <c r="L164" s="3" t="inlineStr">
        <is>
          <t>epoch_csp_total_power_x_user_contract_share_seed</t>
        </is>
      </c>
      <c r="M164" s="3" t="inlineStr">
        <is>
          <t>SRC_EPOCH_AI_DATA_CENTERS; EPOCH_NORMALIZED_USER_SITES</t>
        </is>
      </c>
      <c r="N164" s="3" t="inlineStr">
        <is>
          <t>Seeded as CSP total power times AI-company attributed contract share. Replace csp_total_power_mw and ai_contract_share_of_csp with your long-term contract dataset.</t>
        </is>
      </c>
    </row>
    <row r="165">
      <c r="A165" s="3" t="inlineStr">
        <is>
          <t>Grid-Constrained / Efficiency-Upside|OpenAI|2026|CoreWeave</t>
        </is>
      </c>
      <c r="B165" s="3" t="inlineStr">
        <is>
          <t>Grid-Constrained / Efficiency-Upside</t>
        </is>
      </c>
      <c r="C165" s="3" t="inlineStr">
        <is>
          <t>OpenAI</t>
        </is>
      </c>
      <c r="D165" s="3" t="n">
        <v>2026</v>
      </c>
      <c r="E165" s="3" t="inlineStr">
        <is>
          <t>CoreWeave</t>
        </is>
      </c>
      <c r="F165" s="27" t="n">
        <v>637</v>
      </c>
      <c r="G165" s="17" t="n">
        <v>1</v>
      </c>
      <c r="H165" s="28">
        <f>F165*G165</f>
        <v/>
      </c>
      <c r="I165" s="17" t="n">
        <v>0.6</v>
      </c>
      <c r="J165" s="6">
        <f>1-I165</f>
        <v/>
      </c>
      <c r="K165" s="28">
        <f>H165*I165</f>
        <v/>
      </c>
      <c r="L165" s="3" t="inlineStr">
        <is>
          <t>epoch_csp_total_power_x_user_contract_share_seed</t>
        </is>
      </c>
      <c r="M165" s="3" t="inlineStr">
        <is>
          <t>SRC_EPOCH_AI_DATA_CENTERS; EPOCH_NORMALIZED_USER_SITES</t>
        </is>
      </c>
      <c r="N165" s="3" t="inlineStr">
        <is>
          <t>Seeded as CSP total power times AI-company attributed contract share. Replace csp_total_power_mw and ai_contract_share_of_csp with your long-term contract dataset.</t>
        </is>
      </c>
    </row>
    <row r="166">
      <c r="A166" s="3" t="inlineStr">
        <is>
          <t>Bear|OpenAI|2027|CoreWeave</t>
        </is>
      </c>
      <c r="B166" s="3" t="inlineStr">
        <is>
          <t>Bear</t>
        </is>
      </c>
      <c r="C166" s="3" t="inlineStr">
        <is>
          <t>OpenAI</t>
        </is>
      </c>
      <c r="D166" s="3" t="n">
        <v>2027</v>
      </c>
      <c r="E166" s="3" t="inlineStr">
        <is>
          <t>CoreWeave</t>
        </is>
      </c>
      <c r="F166" s="27" t="n">
        <v>1153</v>
      </c>
      <c r="G166" s="17" t="n">
        <v>1</v>
      </c>
      <c r="H166" s="28">
        <f>F166*G166</f>
        <v/>
      </c>
      <c r="I166" s="17" t="n">
        <v>0.545</v>
      </c>
      <c r="J166" s="6">
        <f>1-I166</f>
        <v/>
      </c>
      <c r="K166" s="28">
        <f>H166*I166</f>
        <v/>
      </c>
      <c r="L166" s="3" t="inlineStr">
        <is>
          <t>epoch_csp_total_power_x_user_contract_share_seed</t>
        </is>
      </c>
      <c r="M166" s="3" t="inlineStr">
        <is>
          <t>SRC_EPOCH_AI_DATA_CENTERS; EPOCH_NORMALIZED_USER_SITES</t>
        </is>
      </c>
      <c r="N166" s="3" t="inlineStr">
        <is>
          <t>Seeded as CSP total power times AI-company attributed contract share. Replace csp_total_power_mw and ai_contract_share_of_csp with your long-term contract dataset.</t>
        </is>
      </c>
    </row>
    <row r="167">
      <c r="A167" s="3" t="inlineStr">
        <is>
          <t>Base|OpenAI|2027|CoreWeave</t>
        </is>
      </c>
      <c r="B167" s="3" t="inlineStr">
        <is>
          <t>Base</t>
        </is>
      </c>
      <c r="C167" s="3" t="inlineStr">
        <is>
          <t>OpenAI</t>
        </is>
      </c>
      <c r="D167" s="3" t="n">
        <v>2027</v>
      </c>
      <c r="E167" s="3" t="inlineStr">
        <is>
          <t>CoreWeave</t>
        </is>
      </c>
      <c r="F167" s="27" t="n">
        <v>1153</v>
      </c>
      <c r="G167" s="17" t="n">
        <v>1</v>
      </c>
      <c r="H167" s="28">
        <f>F167*G167</f>
        <v/>
      </c>
      <c r="I167" s="17" t="n">
        <v>0.63</v>
      </c>
      <c r="J167" s="6">
        <f>1-I167</f>
        <v/>
      </c>
      <c r="K167" s="28">
        <f>H167*I167</f>
        <v/>
      </c>
      <c r="L167" s="3" t="inlineStr">
        <is>
          <t>epoch_csp_total_power_x_user_contract_share_seed</t>
        </is>
      </c>
      <c r="M167" s="3" t="inlineStr">
        <is>
          <t>SRC_EPOCH_AI_DATA_CENTERS; EPOCH_NORMALIZED_USER_SITES</t>
        </is>
      </c>
      <c r="N167" s="3" t="inlineStr">
        <is>
          <t>Seeded as CSP total power times AI-company attributed contract share. Replace csp_total_power_mw and ai_contract_share_of_csp with your long-term contract dataset.</t>
        </is>
      </c>
    </row>
    <row r="168">
      <c r="A168" s="3" t="inlineStr">
        <is>
          <t>Bull|OpenAI|2027|CoreWeave</t>
        </is>
      </c>
      <c r="B168" s="3" t="inlineStr">
        <is>
          <t>Bull</t>
        </is>
      </c>
      <c r="C168" s="3" t="inlineStr">
        <is>
          <t>OpenAI</t>
        </is>
      </c>
      <c r="D168" s="3" t="n">
        <v>2027</v>
      </c>
      <c r="E168" s="3" t="inlineStr">
        <is>
          <t>CoreWeave</t>
        </is>
      </c>
      <c r="F168" s="27" t="n">
        <v>1153</v>
      </c>
      <c r="G168" s="17" t="n">
        <v>1</v>
      </c>
      <c r="H168" s="28">
        <f>F168*G168</f>
        <v/>
      </c>
      <c r="I168" s="17" t="n">
        <v>0.6879999999999999</v>
      </c>
      <c r="J168" s="6">
        <f>1-I168</f>
        <v/>
      </c>
      <c r="K168" s="28">
        <f>H168*I168</f>
        <v/>
      </c>
      <c r="L168" s="3" t="inlineStr">
        <is>
          <t>epoch_csp_total_power_x_user_contract_share_seed</t>
        </is>
      </c>
      <c r="M168" s="3" t="inlineStr">
        <is>
          <t>SRC_EPOCH_AI_DATA_CENTERS; EPOCH_NORMALIZED_USER_SITES</t>
        </is>
      </c>
      <c r="N168" s="3" t="inlineStr">
        <is>
          <t>Seeded as CSP total power times AI-company attributed contract share. Replace csp_total_power_mw and ai_contract_share_of_csp with your long-term contract dataset.</t>
        </is>
      </c>
    </row>
    <row r="169">
      <c r="A169" s="3" t="inlineStr">
        <is>
          <t>Grid-Constrained / Efficiency-Upside|OpenAI|2027|CoreWeave</t>
        </is>
      </c>
      <c r="B169" s="3" t="inlineStr">
        <is>
          <t>Grid-Constrained / Efficiency-Upside</t>
        </is>
      </c>
      <c r="C169" s="3" t="inlineStr">
        <is>
          <t>OpenAI</t>
        </is>
      </c>
      <c r="D169" s="3" t="n">
        <v>2027</v>
      </c>
      <c r="E169" s="3" t="inlineStr">
        <is>
          <t>CoreWeave</t>
        </is>
      </c>
      <c r="F169" s="27" t="n">
        <v>1153</v>
      </c>
      <c r="G169" s="17" t="n">
        <v>1</v>
      </c>
      <c r="H169" s="28">
        <f>F169*G169</f>
        <v/>
      </c>
      <c r="I169" s="17" t="n">
        <v>0.655</v>
      </c>
      <c r="J169" s="6">
        <f>1-I169</f>
        <v/>
      </c>
      <c r="K169" s="28">
        <f>H169*I169</f>
        <v/>
      </c>
      <c r="L169" s="3" t="inlineStr">
        <is>
          <t>epoch_csp_total_power_x_user_contract_share_seed</t>
        </is>
      </c>
      <c r="M169" s="3" t="inlineStr">
        <is>
          <t>SRC_EPOCH_AI_DATA_CENTERS; EPOCH_NORMALIZED_USER_SITES</t>
        </is>
      </c>
      <c r="N169" s="3" t="inlineStr">
        <is>
          <t>Seeded as CSP total power times AI-company attributed contract share. Replace csp_total_power_mw and ai_contract_share_of_csp with your long-term contract dataset.</t>
        </is>
      </c>
    </row>
    <row r="170">
      <c r="A170" s="3" t="inlineStr">
        <is>
          <t>Bear|OpenAI|2028|CoreWeave</t>
        </is>
      </c>
      <c r="B170" s="3" t="inlineStr">
        <is>
          <t>Bear</t>
        </is>
      </c>
      <c r="C170" s="3" t="inlineStr">
        <is>
          <t>OpenAI</t>
        </is>
      </c>
      <c r="D170" s="3" t="n">
        <v>2028</v>
      </c>
      <c r="E170" s="3" t="inlineStr">
        <is>
          <t>CoreWeave</t>
        </is>
      </c>
      <c r="F170" s="27" t="n">
        <v>1153</v>
      </c>
      <c r="G170" s="17" t="n">
        <v>1</v>
      </c>
      <c r="H170" s="28">
        <f>F170*G170</f>
        <v/>
      </c>
      <c r="I170" s="17" t="n">
        <v>0.59</v>
      </c>
      <c r="J170" s="6">
        <f>1-I170</f>
        <v/>
      </c>
      <c r="K170" s="28">
        <f>H170*I170</f>
        <v/>
      </c>
      <c r="L170" s="3" t="inlineStr">
        <is>
          <t>epoch_csp_total_power_x_user_contract_share_seed</t>
        </is>
      </c>
      <c r="M170" s="3" t="inlineStr">
        <is>
          <t>SRC_EPOCH_AI_DATA_CENTERS; EPOCH_NORMALIZED_USER_SITES</t>
        </is>
      </c>
      <c r="N170" s="3" t="inlineStr">
        <is>
          <t>Seeded as CSP total power times AI-company attributed contract share. Replace csp_total_power_mw and ai_contract_share_of_csp with your long-term contract dataset.</t>
        </is>
      </c>
    </row>
    <row r="171">
      <c r="A171" s="3" t="inlineStr">
        <is>
          <t>Base|OpenAI|2028|CoreWeave</t>
        </is>
      </c>
      <c r="B171" s="3" t="inlineStr">
        <is>
          <t>Base</t>
        </is>
      </c>
      <c r="C171" s="3" t="inlineStr">
        <is>
          <t>OpenAI</t>
        </is>
      </c>
      <c r="D171" s="3" t="n">
        <v>2028</v>
      </c>
      <c r="E171" s="3" t="inlineStr">
        <is>
          <t>CoreWeave</t>
        </is>
      </c>
      <c r="F171" s="27" t="n">
        <v>1153</v>
      </c>
      <c r="G171" s="17" t="n">
        <v>1</v>
      </c>
      <c r="H171" s="28">
        <f>F171*G171</f>
        <v/>
      </c>
      <c r="I171" s="17" t="n">
        <v>0.68</v>
      </c>
      <c r="J171" s="6">
        <f>1-I171</f>
        <v/>
      </c>
      <c r="K171" s="28">
        <f>H171*I171</f>
        <v/>
      </c>
      <c r="L171" s="3" t="inlineStr">
        <is>
          <t>epoch_csp_total_power_x_user_contract_share_seed</t>
        </is>
      </c>
      <c r="M171" s="3" t="inlineStr">
        <is>
          <t>SRC_EPOCH_AI_DATA_CENTERS; EPOCH_NORMALIZED_USER_SITES</t>
        </is>
      </c>
      <c r="N171" s="3" t="inlineStr">
        <is>
          <t>Seeded as CSP total power times AI-company attributed contract share. Replace csp_total_power_mw and ai_contract_share_of_csp with your long-term contract dataset.</t>
        </is>
      </c>
    </row>
    <row r="172">
      <c r="A172" s="3" t="inlineStr">
        <is>
          <t>Bull|OpenAI|2028|CoreWeave</t>
        </is>
      </c>
      <c r="B172" s="3" t="inlineStr">
        <is>
          <t>Bull</t>
        </is>
      </c>
      <c r="C172" s="3" t="inlineStr">
        <is>
          <t>OpenAI</t>
        </is>
      </c>
      <c r="D172" s="3" t="n">
        <v>2028</v>
      </c>
      <c r="E172" s="3" t="inlineStr">
        <is>
          <t>CoreWeave</t>
        </is>
      </c>
      <c r="F172" s="27" t="n">
        <v>1153</v>
      </c>
      <c r="G172" s="17" t="n">
        <v>1</v>
      </c>
      <c r="H172" s="28">
        <f>F172*G172</f>
        <v/>
      </c>
      <c r="I172" s="17" t="n">
        <v>0.745</v>
      </c>
      <c r="J172" s="6">
        <f>1-I172</f>
        <v/>
      </c>
      <c r="K172" s="28">
        <f>H172*I172</f>
        <v/>
      </c>
      <c r="L172" s="3" t="inlineStr">
        <is>
          <t>epoch_csp_total_power_x_user_contract_share_seed</t>
        </is>
      </c>
      <c r="M172" s="3" t="inlineStr">
        <is>
          <t>SRC_EPOCH_AI_DATA_CENTERS; EPOCH_NORMALIZED_USER_SITES</t>
        </is>
      </c>
      <c r="N172" s="3" t="inlineStr">
        <is>
          <t>Seeded as CSP total power times AI-company attributed contract share. Replace csp_total_power_mw and ai_contract_share_of_csp with your long-term contract dataset.</t>
        </is>
      </c>
    </row>
    <row r="173">
      <c r="A173" s="3" t="inlineStr">
        <is>
          <t>Grid-Constrained / Efficiency-Upside|OpenAI|2028|CoreWeave</t>
        </is>
      </c>
      <c r="B173" s="3" t="inlineStr">
        <is>
          <t>Grid-Constrained / Efficiency-Upside</t>
        </is>
      </c>
      <c r="C173" s="3" t="inlineStr">
        <is>
          <t>OpenAI</t>
        </is>
      </c>
      <c r="D173" s="3" t="n">
        <v>2028</v>
      </c>
      <c r="E173" s="3" t="inlineStr">
        <is>
          <t>CoreWeave</t>
        </is>
      </c>
      <c r="F173" s="27" t="n">
        <v>1153</v>
      </c>
      <c r="G173" s="17" t="n">
        <v>1</v>
      </c>
      <c r="H173" s="28">
        <f>F173*G173</f>
        <v/>
      </c>
      <c r="I173" s="17" t="n">
        <v>0.71</v>
      </c>
      <c r="J173" s="6">
        <f>1-I173</f>
        <v/>
      </c>
      <c r="K173" s="28">
        <f>H173*I173</f>
        <v/>
      </c>
      <c r="L173" s="3" t="inlineStr">
        <is>
          <t>epoch_csp_total_power_x_user_contract_share_seed</t>
        </is>
      </c>
      <c r="M173" s="3" t="inlineStr">
        <is>
          <t>SRC_EPOCH_AI_DATA_CENTERS; EPOCH_NORMALIZED_USER_SITES</t>
        </is>
      </c>
      <c r="N173" s="3" t="inlineStr">
        <is>
          <t>Seeded as CSP total power times AI-company attributed contract share. Replace csp_total_power_mw and ai_contract_share_of_csp with your long-term contract dataset.</t>
        </is>
      </c>
    </row>
    <row r="174">
      <c r="A174" s="3" t="inlineStr">
        <is>
          <t>Bear|OpenAI|2029|CoreWeave</t>
        </is>
      </c>
      <c r="B174" s="3" t="inlineStr">
        <is>
          <t>Bear</t>
        </is>
      </c>
      <c r="C174" s="3" t="inlineStr">
        <is>
          <t>OpenAI</t>
        </is>
      </c>
      <c r="D174" s="3" t="n">
        <v>2029</v>
      </c>
      <c r="E174" s="3" t="inlineStr">
        <is>
          <t>CoreWeave</t>
        </is>
      </c>
      <c r="F174" s="27" t="n">
        <v>1549</v>
      </c>
      <c r="G174" s="17" t="n">
        <v>1</v>
      </c>
      <c r="H174" s="28">
        <f>F174*G174</f>
        <v/>
      </c>
      <c r="I174" s="17" t="n">
        <v>0.635</v>
      </c>
      <c r="J174" s="6">
        <f>1-I174</f>
        <v/>
      </c>
      <c r="K174" s="28">
        <f>H174*I174</f>
        <v/>
      </c>
      <c r="L174" s="3" t="inlineStr">
        <is>
          <t>epoch_csp_total_power_x_user_contract_share_seed</t>
        </is>
      </c>
      <c r="M174" s="3" t="inlineStr">
        <is>
          <t>SRC_EPOCH_AI_DATA_CENTERS; EPOCH_NORMALIZED_USER_SITES</t>
        </is>
      </c>
      <c r="N174" s="3" t="inlineStr">
        <is>
          <t>Seeded as CSP total power times AI-company attributed contract share. Replace csp_total_power_mw and ai_contract_share_of_csp with your long-term contract dataset.</t>
        </is>
      </c>
    </row>
    <row r="175">
      <c r="A175" s="3" t="inlineStr">
        <is>
          <t>Base|OpenAI|2029|CoreWeave</t>
        </is>
      </c>
      <c r="B175" s="3" t="inlineStr">
        <is>
          <t>Base</t>
        </is>
      </c>
      <c r="C175" s="3" t="inlineStr">
        <is>
          <t>OpenAI</t>
        </is>
      </c>
      <c r="D175" s="3" t="n">
        <v>2029</v>
      </c>
      <c r="E175" s="3" t="inlineStr">
        <is>
          <t>CoreWeave</t>
        </is>
      </c>
      <c r="F175" s="27" t="n">
        <v>1549</v>
      </c>
      <c r="G175" s="17" t="n">
        <v>1</v>
      </c>
      <c r="H175" s="28">
        <f>F175*G175</f>
        <v/>
      </c>
      <c r="I175" s="17" t="n">
        <v>0.73</v>
      </c>
      <c r="J175" s="6">
        <f>1-I175</f>
        <v/>
      </c>
      <c r="K175" s="28">
        <f>H175*I175</f>
        <v/>
      </c>
      <c r="L175" s="3" t="inlineStr">
        <is>
          <t>epoch_csp_total_power_x_user_contract_share_seed</t>
        </is>
      </c>
      <c r="M175" s="3" t="inlineStr">
        <is>
          <t>SRC_EPOCH_AI_DATA_CENTERS; EPOCH_NORMALIZED_USER_SITES</t>
        </is>
      </c>
      <c r="N175" s="3" t="inlineStr">
        <is>
          <t>Seeded as CSP total power times AI-company attributed contract share. Replace csp_total_power_mw and ai_contract_share_of_csp with your long-term contract dataset.</t>
        </is>
      </c>
    </row>
    <row r="176">
      <c r="A176" s="3" t="inlineStr">
        <is>
          <t>Bull|OpenAI|2029|CoreWeave</t>
        </is>
      </c>
      <c r="B176" s="3" t="inlineStr">
        <is>
          <t>Bull</t>
        </is>
      </c>
      <c r="C176" s="3" t="inlineStr">
        <is>
          <t>OpenAI</t>
        </is>
      </c>
      <c r="D176" s="3" t="n">
        <v>2029</v>
      </c>
      <c r="E176" s="3" t="inlineStr">
        <is>
          <t>CoreWeave</t>
        </is>
      </c>
      <c r="F176" s="27" t="n">
        <v>1549</v>
      </c>
      <c r="G176" s="17" t="n">
        <v>1</v>
      </c>
      <c r="H176" s="28">
        <f>F176*G176</f>
        <v/>
      </c>
      <c r="I176" s="17" t="n">
        <v>0.802</v>
      </c>
      <c r="J176" s="6">
        <f>1-I176</f>
        <v/>
      </c>
      <c r="K176" s="28">
        <f>H176*I176</f>
        <v/>
      </c>
      <c r="L176" s="3" t="inlineStr">
        <is>
          <t>epoch_csp_total_power_x_user_contract_share_seed</t>
        </is>
      </c>
      <c r="M176" s="3" t="inlineStr">
        <is>
          <t>SRC_EPOCH_AI_DATA_CENTERS; EPOCH_NORMALIZED_USER_SITES</t>
        </is>
      </c>
      <c r="N176" s="3" t="inlineStr">
        <is>
          <t>Seeded as CSP total power times AI-company attributed contract share. Replace csp_total_power_mw and ai_contract_share_of_csp with your long-term contract dataset.</t>
        </is>
      </c>
    </row>
    <row r="177">
      <c r="A177" s="3" t="inlineStr">
        <is>
          <t>Grid-Constrained / Efficiency-Upside|OpenAI|2029|CoreWeave</t>
        </is>
      </c>
      <c r="B177" s="3" t="inlineStr">
        <is>
          <t>Grid-Constrained / Efficiency-Upside</t>
        </is>
      </c>
      <c r="C177" s="3" t="inlineStr">
        <is>
          <t>OpenAI</t>
        </is>
      </c>
      <c r="D177" s="3" t="n">
        <v>2029</v>
      </c>
      <c r="E177" s="3" t="inlineStr">
        <is>
          <t>CoreWeave</t>
        </is>
      </c>
      <c r="F177" s="27" t="n">
        <v>1549</v>
      </c>
      <c r="G177" s="17" t="n">
        <v>1</v>
      </c>
      <c r="H177" s="28">
        <f>F177*G177</f>
        <v/>
      </c>
      <c r="I177" s="17" t="n">
        <v>0.765</v>
      </c>
      <c r="J177" s="6">
        <f>1-I177</f>
        <v/>
      </c>
      <c r="K177" s="28">
        <f>H177*I177</f>
        <v/>
      </c>
      <c r="L177" s="3" t="inlineStr">
        <is>
          <t>epoch_csp_total_power_x_user_contract_share_seed</t>
        </is>
      </c>
      <c r="M177" s="3" t="inlineStr">
        <is>
          <t>SRC_EPOCH_AI_DATA_CENTERS; EPOCH_NORMALIZED_USER_SITES</t>
        </is>
      </c>
      <c r="N177" s="3" t="inlineStr">
        <is>
          <t>Seeded as CSP total power times AI-company attributed contract share. Replace csp_total_power_mw and ai_contract_share_of_csp with your long-term contract dataset.</t>
        </is>
      </c>
    </row>
    <row r="178">
      <c r="A178" s="3" t="inlineStr">
        <is>
          <t>Bear|OpenAI|2030|CoreWeave</t>
        </is>
      </c>
      <c r="B178" s="3" t="inlineStr">
        <is>
          <t>Bear</t>
        </is>
      </c>
      <c r="C178" s="3" t="inlineStr">
        <is>
          <t>OpenAI</t>
        </is>
      </c>
      <c r="D178" s="3" t="n">
        <v>2030</v>
      </c>
      <c r="E178" s="3" t="inlineStr">
        <is>
          <t>CoreWeave</t>
        </is>
      </c>
      <c r="F178" s="27" t="n">
        <v>1549</v>
      </c>
      <c r="G178" s="17" t="n">
        <v>1</v>
      </c>
      <c r="H178" s="28">
        <f>F178*G178</f>
        <v/>
      </c>
      <c r="I178" s="17" t="n">
        <v>0.68</v>
      </c>
      <c r="J178" s="6">
        <f>1-I178</f>
        <v/>
      </c>
      <c r="K178" s="28">
        <f>H178*I178</f>
        <v/>
      </c>
      <c r="L178" s="3" t="inlineStr">
        <is>
          <t>epoch_csp_total_power_x_user_contract_share_seed</t>
        </is>
      </c>
      <c r="M178" s="3" t="inlineStr">
        <is>
          <t>SRC_EPOCH_AI_DATA_CENTERS; EPOCH_NORMALIZED_USER_SITES</t>
        </is>
      </c>
      <c r="N178" s="3" t="inlineStr">
        <is>
          <t>Seeded as CSP total power times AI-company attributed contract share. Replace csp_total_power_mw and ai_contract_share_of_csp with your long-term contract dataset.</t>
        </is>
      </c>
    </row>
    <row r="179">
      <c r="A179" s="3" t="inlineStr">
        <is>
          <t>Base|OpenAI|2030|CoreWeave</t>
        </is>
      </c>
      <c r="B179" s="3" t="inlineStr">
        <is>
          <t>Base</t>
        </is>
      </c>
      <c r="C179" s="3" t="inlineStr">
        <is>
          <t>OpenAI</t>
        </is>
      </c>
      <c r="D179" s="3" t="n">
        <v>2030</v>
      </c>
      <c r="E179" s="3" t="inlineStr">
        <is>
          <t>CoreWeave</t>
        </is>
      </c>
      <c r="F179" s="27" t="n">
        <v>1549</v>
      </c>
      <c r="G179" s="17" t="n">
        <v>1</v>
      </c>
      <c r="H179" s="28">
        <f>F179*G179</f>
        <v/>
      </c>
      <c r="I179" s="17" t="n">
        <v>0.78</v>
      </c>
      <c r="J179" s="6">
        <f>1-I179</f>
        <v/>
      </c>
      <c r="K179" s="28">
        <f>H179*I179</f>
        <v/>
      </c>
      <c r="L179" s="3" t="inlineStr">
        <is>
          <t>epoch_csp_total_power_x_user_contract_share_seed</t>
        </is>
      </c>
      <c r="M179" s="3" t="inlineStr">
        <is>
          <t>SRC_EPOCH_AI_DATA_CENTERS; EPOCH_NORMALIZED_USER_SITES</t>
        </is>
      </c>
      <c r="N179" s="3" t="inlineStr">
        <is>
          <t>Seeded as CSP total power times AI-company attributed contract share. Replace csp_total_power_mw and ai_contract_share_of_csp with your long-term contract dataset.</t>
        </is>
      </c>
    </row>
    <row r="180">
      <c r="A180" s="3" t="inlineStr">
        <is>
          <t>Bull|OpenAI|2030|CoreWeave</t>
        </is>
      </c>
      <c r="B180" s="3" t="inlineStr">
        <is>
          <t>Bull</t>
        </is>
      </c>
      <c r="C180" s="3" t="inlineStr">
        <is>
          <t>OpenAI</t>
        </is>
      </c>
      <c r="D180" s="3" t="n">
        <v>2030</v>
      </c>
      <c r="E180" s="3" t="inlineStr">
        <is>
          <t>CoreWeave</t>
        </is>
      </c>
      <c r="F180" s="27" t="n">
        <v>1549</v>
      </c>
      <c r="G180" s="17" t="n">
        <v>1</v>
      </c>
      <c r="H180" s="28">
        <f>F180*G180</f>
        <v/>
      </c>
      <c r="I180" s="17" t="n">
        <v>0.86</v>
      </c>
      <c r="J180" s="6">
        <f>1-I180</f>
        <v/>
      </c>
      <c r="K180" s="28">
        <f>H180*I180</f>
        <v/>
      </c>
      <c r="L180" s="3" t="inlineStr">
        <is>
          <t>epoch_csp_total_power_x_user_contract_share_seed</t>
        </is>
      </c>
      <c r="M180" s="3" t="inlineStr">
        <is>
          <t>SRC_EPOCH_AI_DATA_CENTERS; EPOCH_NORMALIZED_USER_SITES</t>
        </is>
      </c>
      <c r="N180" s="3" t="inlineStr">
        <is>
          <t>Seeded as CSP total power times AI-company attributed contract share. Replace csp_total_power_mw and ai_contract_share_of_csp with your long-term contract dataset.</t>
        </is>
      </c>
    </row>
    <row r="181">
      <c r="A181" s="3" t="inlineStr">
        <is>
          <t>Grid-Constrained / Efficiency-Upside|OpenAI|2030|CoreWeave</t>
        </is>
      </c>
      <c r="B181" s="3" t="inlineStr">
        <is>
          <t>Grid-Constrained / Efficiency-Upside</t>
        </is>
      </c>
      <c r="C181" s="3" t="inlineStr">
        <is>
          <t>OpenAI</t>
        </is>
      </c>
      <c r="D181" s="3" t="n">
        <v>2030</v>
      </c>
      <c r="E181" s="3" t="inlineStr">
        <is>
          <t>CoreWeave</t>
        </is>
      </c>
      <c r="F181" s="27" t="n">
        <v>1549</v>
      </c>
      <c r="G181" s="17" t="n">
        <v>1</v>
      </c>
      <c r="H181" s="28">
        <f>F181*G181</f>
        <v/>
      </c>
      <c r="I181" s="17" t="n">
        <v>0.82</v>
      </c>
      <c r="J181" s="6">
        <f>1-I181</f>
        <v/>
      </c>
      <c r="K181" s="28">
        <f>H181*I181</f>
        <v/>
      </c>
      <c r="L181" s="3" t="inlineStr">
        <is>
          <t>epoch_csp_total_power_x_user_contract_share_seed</t>
        </is>
      </c>
      <c r="M181" s="3" t="inlineStr">
        <is>
          <t>SRC_EPOCH_AI_DATA_CENTERS; EPOCH_NORMALIZED_USER_SITES</t>
        </is>
      </c>
      <c r="N181" s="3" t="inlineStr">
        <is>
          <t>Seeded as CSP total power times AI-company attributed contract share. Replace csp_total_power_mw and ai_contract_share_of_csp with your long-term contract dataset.</t>
        </is>
      </c>
    </row>
    <row r="182">
      <c r="A182" s="3" t="inlineStr">
        <is>
          <t>Bear|OpenAI|2028|G42</t>
        </is>
      </c>
      <c r="B182" s="3" t="inlineStr">
        <is>
          <t>Bear</t>
        </is>
      </c>
      <c r="C182" s="3" t="inlineStr">
        <is>
          <t>OpenAI</t>
        </is>
      </c>
      <c r="D182" s="3" t="n">
        <v>2028</v>
      </c>
      <c r="E182" s="3" t="inlineStr">
        <is>
          <t>G42</t>
        </is>
      </c>
      <c r="F182" s="27" t="n">
        <v>1000</v>
      </c>
      <c r="G182" s="17" t="n">
        <v>1</v>
      </c>
      <c r="H182" s="28">
        <f>F182*G182</f>
        <v/>
      </c>
      <c r="I182" s="17" t="n">
        <v>0.59</v>
      </c>
      <c r="J182" s="6">
        <f>1-I182</f>
        <v/>
      </c>
      <c r="K182" s="28">
        <f>H182*I182</f>
        <v/>
      </c>
      <c r="L182" s="3" t="inlineStr">
        <is>
          <t>epoch_csp_total_power_x_user_contract_share_seed</t>
        </is>
      </c>
      <c r="M182" s="3" t="inlineStr">
        <is>
          <t>SRC_EPOCH_AI_DATA_CENTERS; EPOCH_NORMALIZED_USER_SITES</t>
        </is>
      </c>
      <c r="N182" s="3" t="inlineStr">
        <is>
          <t>Seeded as CSP total power times AI-company attributed contract share. Replace csp_total_power_mw and ai_contract_share_of_csp with your long-term contract dataset.</t>
        </is>
      </c>
    </row>
    <row r="183">
      <c r="A183" s="3" t="inlineStr">
        <is>
          <t>Base|OpenAI|2028|G42</t>
        </is>
      </c>
      <c r="B183" s="3" t="inlineStr">
        <is>
          <t>Base</t>
        </is>
      </c>
      <c r="C183" s="3" t="inlineStr">
        <is>
          <t>OpenAI</t>
        </is>
      </c>
      <c r="D183" s="3" t="n">
        <v>2028</v>
      </c>
      <c r="E183" s="3" t="inlineStr">
        <is>
          <t>G42</t>
        </is>
      </c>
      <c r="F183" s="27" t="n">
        <v>1000</v>
      </c>
      <c r="G183" s="17" t="n">
        <v>1</v>
      </c>
      <c r="H183" s="28">
        <f>F183*G183</f>
        <v/>
      </c>
      <c r="I183" s="17" t="n">
        <v>0.68</v>
      </c>
      <c r="J183" s="6">
        <f>1-I183</f>
        <v/>
      </c>
      <c r="K183" s="28">
        <f>H183*I183</f>
        <v/>
      </c>
      <c r="L183" s="3" t="inlineStr">
        <is>
          <t>epoch_csp_total_power_x_user_contract_share_seed</t>
        </is>
      </c>
      <c r="M183" s="3" t="inlineStr">
        <is>
          <t>SRC_EPOCH_AI_DATA_CENTERS; EPOCH_NORMALIZED_USER_SITES</t>
        </is>
      </c>
      <c r="N183" s="3" t="inlineStr">
        <is>
          <t>Seeded as CSP total power times AI-company attributed contract share. Replace csp_total_power_mw and ai_contract_share_of_csp with your long-term contract dataset.</t>
        </is>
      </c>
    </row>
    <row r="184">
      <c r="A184" s="3" t="inlineStr">
        <is>
          <t>Bull|OpenAI|2028|G42</t>
        </is>
      </c>
      <c r="B184" s="3" t="inlineStr">
        <is>
          <t>Bull</t>
        </is>
      </c>
      <c r="C184" s="3" t="inlineStr">
        <is>
          <t>OpenAI</t>
        </is>
      </c>
      <c r="D184" s="3" t="n">
        <v>2028</v>
      </c>
      <c r="E184" s="3" t="inlineStr">
        <is>
          <t>G42</t>
        </is>
      </c>
      <c r="F184" s="27" t="n">
        <v>1000</v>
      </c>
      <c r="G184" s="17" t="n">
        <v>1</v>
      </c>
      <c r="H184" s="28">
        <f>F184*G184</f>
        <v/>
      </c>
      <c r="I184" s="17" t="n">
        <v>0.745</v>
      </c>
      <c r="J184" s="6">
        <f>1-I184</f>
        <v/>
      </c>
      <c r="K184" s="28">
        <f>H184*I184</f>
        <v/>
      </c>
      <c r="L184" s="3" t="inlineStr">
        <is>
          <t>epoch_csp_total_power_x_user_contract_share_seed</t>
        </is>
      </c>
      <c r="M184" s="3" t="inlineStr">
        <is>
          <t>SRC_EPOCH_AI_DATA_CENTERS; EPOCH_NORMALIZED_USER_SITES</t>
        </is>
      </c>
      <c r="N184" s="3" t="inlineStr">
        <is>
          <t>Seeded as CSP total power times AI-company attributed contract share. Replace csp_total_power_mw and ai_contract_share_of_csp with your long-term contract dataset.</t>
        </is>
      </c>
    </row>
    <row r="185">
      <c r="A185" s="3" t="inlineStr">
        <is>
          <t>Grid-Constrained / Efficiency-Upside|OpenAI|2028|G42</t>
        </is>
      </c>
      <c r="B185" s="3" t="inlineStr">
        <is>
          <t>Grid-Constrained / Efficiency-Upside</t>
        </is>
      </c>
      <c r="C185" s="3" t="inlineStr">
        <is>
          <t>OpenAI</t>
        </is>
      </c>
      <c r="D185" s="3" t="n">
        <v>2028</v>
      </c>
      <c r="E185" s="3" t="inlineStr">
        <is>
          <t>G42</t>
        </is>
      </c>
      <c r="F185" s="27" t="n">
        <v>1000</v>
      </c>
      <c r="G185" s="17" t="n">
        <v>1</v>
      </c>
      <c r="H185" s="28">
        <f>F185*G185</f>
        <v/>
      </c>
      <c r="I185" s="17" t="n">
        <v>0.71</v>
      </c>
      <c r="J185" s="6">
        <f>1-I185</f>
        <v/>
      </c>
      <c r="K185" s="28">
        <f>H185*I185</f>
        <v/>
      </c>
      <c r="L185" s="3" t="inlineStr">
        <is>
          <t>epoch_csp_total_power_x_user_contract_share_seed</t>
        </is>
      </c>
      <c r="M185" s="3" t="inlineStr">
        <is>
          <t>SRC_EPOCH_AI_DATA_CENTERS; EPOCH_NORMALIZED_USER_SITES</t>
        </is>
      </c>
      <c r="N185" s="3" t="inlineStr">
        <is>
          <t>Seeded as CSP total power times AI-company attributed contract share. Replace csp_total_power_mw and ai_contract_share_of_csp with your long-term contract dataset.</t>
        </is>
      </c>
    </row>
    <row r="186">
      <c r="A186" s="3" t="inlineStr">
        <is>
          <t>Bear|OpenAI|2029|G42</t>
        </is>
      </c>
      <c r="B186" s="3" t="inlineStr">
        <is>
          <t>Bear</t>
        </is>
      </c>
      <c r="C186" s="3" t="inlineStr">
        <is>
          <t>OpenAI</t>
        </is>
      </c>
      <c r="D186" s="3" t="n">
        <v>2029</v>
      </c>
      <c r="E186" s="3" t="inlineStr">
        <is>
          <t>G42</t>
        </is>
      </c>
      <c r="F186" s="27" t="n">
        <v>1000</v>
      </c>
      <c r="G186" s="17" t="n">
        <v>1</v>
      </c>
      <c r="H186" s="28">
        <f>F186*G186</f>
        <v/>
      </c>
      <c r="I186" s="17" t="n">
        <v>0.635</v>
      </c>
      <c r="J186" s="6">
        <f>1-I186</f>
        <v/>
      </c>
      <c r="K186" s="28">
        <f>H186*I186</f>
        <v/>
      </c>
      <c r="L186" s="3" t="inlineStr">
        <is>
          <t>epoch_csp_total_power_x_user_contract_share_seed</t>
        </is>
      </c>
      <c r="M186" s="3" t="inlineStr">
        <is>
          <t>SRC_EPOCH_AI_DATA_CENTERS; EPOCH_NORMALIZED_USER_SITES</t>
        </is>
      </c>
      <c r="N186" s="3" t="inlineStr">
        <is>
          <t>Seeded as CSP total power times AI-company attributed contract share. Replace csp_total_power_mw and ai_contract_share_of_csp with your long-term contract dataset.</t>
        </is>
      </c>
    </row>
    <row r="187">
      <c r="A187" s="3" t="inlineStr">
        <is>
          <t>Base|OpenAI|2029|G42</t>
        </is>
      </c>
      <c r="B187" s="3" t="inlineStr">
        <is>
          <t>Base</t>
        </is>
      </c>
      <c r="C187" s="3" t="inlineStr">
        <is>
          <t>OpenAI</t>
        </is>
      </c>
      <c r="D187" s="3" t="n">
        <v>2029</v>
      </c>
      <c r="E187" s="3" t="inlineStr">
        <is>
          <t>G42</t>
        </is>
      </c>
      <c r="F187" s="27" t="n">
        <v>1000</v>
      </c>
      <c r="G187" s="17" t="n">
        <v>1</v>
      </c>
      <c r="H187" s="28">
        <f>F187*G187</f>
        <v/>
      </c>
      <c r="I187" s="17" t="n">
        <v>0.73</v>
      </c>
      <c r="J187" s="6">
        <f>1-I187</f>
        <v/>
      </c>
      <c r="K187" s="28">
        <f>H187*I187</f>
        <v/>
      </c>
      <c r="L187" s="3" t="inlineStr">
        <is>
          <t>epoch_csp_total_power_x_user_contract_share_seed</t>
        </is>
      </c>
      <c r="M187" s="3" t="inlineStr">
        <is>
          <t>SRC_EPOCH_AI_DATA_CENTERS; EPOCH_NORMALIZED_USER_SITES</t>
        </is>
      </c>
      <c r="N187" s="3" t="inlineStr">
        <is>
          <t>Seeded as CSP total power times AI-company attributed contract share. Replace csp_total_power_mw and ai_contract_share_of_csp with your long-term contract dataset.</t>
        </is>
      </c>
    </row>
    <row r="188">
      <c r="A188" s="3" t="inlineStr">
        <is>
          <t>Bull|OpenAI|2029|G42</t>
        </is>
      </c>
      <c r="B188" s="3" t="inlineStr">
        <is>
          <t>Bull</t>
        </is>
      </c>
      <c r="C188" s="3" t="inlineStr">
        <is>
          <t>OpenAI</t>
        </is>
      </c>
      <c r="D188" s="3" t="n">
        <v>2029</v>
      </c>
      <c r="E188" s="3" t="inlineStr">
        <is>
          <t>G42</t>
        </is>
      </c>
      <c r="F188" s="27" t="n">
        <v>1000</v>
      </c>
      <c r="G188" s="17" t="n">
        <v>1</v>
      </c>
      <c r="H188" s="28">
        <f>F188*G188</f>
        <v/>
      </c>
      <c r="I188" s="17" t="n">
        <v>0.802</v>
      </c>
      <c r="J188" s="6">
        <f>1-I188</f>
        <v/>
      </c>
      <c r="K188" s="28">
        <f>H188*I188</f>
        <v/>
      </c>
      <c r="L188" s="3" t="inlineStr">
        <is>
          <t>epoch_csp_total_power_x_user_contract_share_seed</t>
        </is>
      </c>
      <c r="M188" s="3" t="inlineStr">
        <is>
          <t>SRC_EPOCH_AI_DATA_CENTERS; EPOCH_NORMALIZED_USER_SITES</t>
        </is>
      </c>
      <c r="N188" s="3" t="inlineStr">
        <is>
          <t>Seeded as CSP total power times AI-company attributed contract share. Replace csp_total_power_mw and ai_contract_share_of_csp with your long-term contract dataset.</t>
        </is>
      </c>
    </row>
    <row r="189">
      <c r="A189" s="3" t="inlineStr">
        <is>
          <t>Grid-Constrained / Efficiency-Upside|OpenAI|2029|G42</t>
        </is>
      </c>
      <c r="B189" s="3" t="inlineStr">
        <is>
          <t>Grid-Constrained / Efficiency-Upside</t>
        </is>
      </c>
      <c r="C189" s="3" t="inlineStr">
        <is>
          <t>OpenAI</t>
        </is>
      </c>
      <c r="D189" s="3" t="n">
        <v>2029</v>
      </c>
      <c r="E189" s="3" t="inlineStr">
        <is>
          <t>G42</t>
        </is>
      </c>
      <c r="F189" s="27" t="n">
        <v>1000</v>
      </c>
      <c r="G189" s="17" t="n">
        <v>1</v>
      </c>
      <c r="H189" s="28">
        <f>F189*G189</f>
        <v/>
      </c>
      <c r="I189" s="17" t="n">
        <v>0.765</v>
      </c>
      <c r="J189" s="6">
        <f>1-I189</f>
        <v/>
      </c>
      <c r="K189" s="28">
        <f>H189*I189</f>
        <v/>
      </c>
      <c r="L189" s="3" t="inlineStr">
        <is>
          <t>epoch_csp_total_power_x_user_contract_share_seed</t>
        </is>
      </c>
      <c r="M189" s="3" t="inlineStr">
        <is>
          <t>SRC_EPOCH_AI_DATA_CENTERS; EPOCH_NORMALIZED_USER_SITES</t>
        </is>
      </c>
      <c r="N189" s="3" t="inlineStr">
        <is>
          <t>Seeded as CSP total power times AI-company attributed contract share. Replace csp_total_power_mw and ai_contract_share_of_csp with your long-term contract dataset.</t>
        </is>
      </c>
    </row>
    <row r="190">
      <c r="A190" s="3" t="inlineStr">
        <is>
          <t>Bear|OpenAI|2030|G42</t>
        </is>
      </c>
      <c r="B190" s="3" t="inlineStr">
        <is>
          <t>Bear</t>
        </is>
      </c>
      <c r="C190" s="3" t="inlineStr">
        <is>
          <t>OpenAI</t>
        </is>
      </c>
      <c r="D190" s="3" t="n">
        <v>2030</v>
      </c>
      <c r="E190" s="3" t="inlineStr">
        <is>
          <t>G42</t>
        </is>
      </c>
      <c r="F190" s="27" t="n">
        <v>1000</v>
      </c>
      <c r="G190" s="17" t="n">
        <v>1</v>
      </c>
      <c r="H190" s="28">
        <f>F190*G190</f>
        <v/>
      </c>
      <c r="I190" s="17" t="n">
        <v>0.68</v>
      </c>
      <c r="J190" s="6">
        <f>1-I190</f>
        <v/>
      </c>
      <c r="K190" s="28">
        <f>H190*I190</f>
        <v/>
      </c>
      <c r="L190" s="3" t="inlineStr">
        <is>
          <t>epoch_csp_total_power_x_user_contract_share_seed</t>
        </is>
      </c>
      <c r="M190" s="3" t="inlineStr">
        <is>
          <t>SRC_EPOCH_AI_DATA_CENTERS; EPOCH_NORMALIZED_USER_SITES</t>
        </is>
      </c>
      <c r="N190" s="3" t="inlineStr">
        <is>
          <t>Seeded as CSP total power times AI-company attributed contract share. Replace csp_total_power_mw and ai_contract_share_of_csp with your long-term contract dataset.</t>
        </is>
      </c>
    </row>
    <row r="191">
      <c r="A191" s="3" t="inlineStr">
        <is>
          <t>Base|OpenAI|2030|G42</t>
        </is>
      </c>
      <c r="B191" s="3" t="inlineStr">
        <is>
          <t>Base</t>
        </is>
      </c>
      <c r="C191" s="3" t="inlineStr">
        <is>
          <t>OpenAI</t>
        </is>
      </c>
      <c r="D191" s="3" t="n">
        <v>2030</v>
      </c>
      <c r="E191" s="3" t="inlineStr">
        <is>
          <t>G42</t>
        </is>
      </c>
      <c r="F191" s="27" t="n">
        <v>1000</v>
      </c>
      <c r="G191" s="17" t="n">
        <v>1</v>
      </c>
      <c r="H191" s="28">
        <f>F191*G191</f>
        <v/>
      </c>
      <c r="I191" s="17" t="n">
        <v>0.78</v>
      </c>
      <c r="J191" s="6">
        <f>1-I191</f>
        <v/>
      </c>
      <c r="K191" s="28">
        <f>H191*I191</f>
        <v/>
      </c>
      <c r="L191" s="3" t="inlineStr">
        <is>
          <t>epoch_csp_total_power_x_user_contract_share_seed</t>
        </is>
      </c>
      <c r="M191" s="3" t="inlineStr">
        <is>
          <t>SRC_EPOCH_AI_DATA_CENTERS; EPOCH_NORMALIZED_USER_SITES</t>
        </is>
      </c>
      <c r="N191" s="3" t="inlineStr">
        <is>
          <t>Seeded as CSP total power times AI-company attributed contract share. Replace csp_total_power_mw and ai_contract_share_of_csp with your long-term contract dataset.</t>
        </is>
      </c>
    </row>
    <row r="192">
      <c r="A192" s="3" t="inlineStr">
        <is>
          <t>Bull|OpenAI|2030|G42</t>
        </is>
      </c>
      <c r="B192" s="3" t="inlineStr">
        <is>
          <t>Bull</t>
        </is>
      </c>
      <c r="C192" s="3" t="inlineStr">
        <is>
          <t>OpenAI</t>
        </is>
      </c>
      <c r="D192" s="3" t="n">
        <v>2030</v>
      </c>
      <c r="E192" s="3" t="inlineStr">
        <is>
          <t>G42</t>
        </is>
      </c>
      <c r="F192" s="27" t="n">
        <v>1000</v>
      </c>
      <c r="G192" s="17" t="n">
        <v>1</v>
      </c>
      <c r="H192" s="28">
        <f>F192*G192</f>
        <v/>
      </c>
      <c r="I192" s="17" t="n">
        <v>0.86</v>
      </c>
      <c r="J192" s="6">
        <f>1-I192</f>
        <v/>
      </c>
      <c r="K192" s="28">
        <f>H192*I192</f>
        <v/>
      </c>
      <c r="L192" s="3" t="inlineStr">
        <is>
          <t>epoch_csp_total_power_x_user_contract_share_seed</t>
        </is>
      </c>
      <c r="M192" s="3" t="inlineStr">
        <is>
          <t>SRC_EPOCH_AI_DATA_CENTERS; EPOCH_NORMALIZED_USER_SITES</t>
        </is>
      </c>
      <c r="N192" s="3" t="inlineStr">
        <is>
          <t>Seeded as CSP total power times AI-company attributed contract share. Replace csp_total_power_mw and ai_contract_share_of_csp with your long-term contract dataset.</t>
        </is>
      </c>
    </row>
    <row r="193">
      <c r="A193" s="3" t="inlineStr">
        <is>
          <t>Grid-Constrained / Efficiency-Upside|OpenAI|2030|G42</t>
        </is>
      </c>
      <c r="B193" s="3" t="inlineStr">
        <is>
          <t>Grid-Constrained / Efficiency-Upside</t>
        </is>
      </c>
      <c r="C193" s="3" t="inlineStr">
        <is>
          <t>OpenAI</t>
        </is>
      </c>
      <c r="D193" s="3" t="n">
        <v>2030</v>
      </c>
      <c r="E193" s="3" t="inlineStr">
        <is>
          <t>G42</t>
        </is>
      </c>
      <c r="F193" s="27" t="n">
        <v>1000</v>
      </c>
      <c r="G193" s="17" t="n">
        <v>1</v>
      </c>
      <c r="H193" s="28">
        <f>F193*G193</f>
        <v/>
      </c>
      <c r="I193" s="17" t="n">
        <v>0.82</v>
      </c>
      <c r="J193" s="6">
        <f>1-I193</f>
        <v/>
      </c>
      <c r="K193" s="28">
        <f>H193*I193</f>
        <v/>
      </c>
      <c r="L193" s="3" t="inlineStr">
        <is>
          <t>epoch_csp_total_power_x_user_contract_share_seed</t>
        </is>
      </c>
      <c r="M193" s="3" t="inlineStr">
        <is>
          <t>SRC_EPOCH_AI_DATA_CENTERS; EPOCH_NORMALIZED_USER_SITES</t>
        </is>
      </c>
      <c r="N193" s="3" t="inlineStr">
        <is>
          <t>Seeded as CSP total power times AI-company attributed contract share. Replace csp_total_power_mw and ai_contract_share_of_csp with your long-term contract dataset.</t>
        </is>
      </c>
    </row>
    <row r="194">
      <c r="A194" s="3" t="inlineStr">
        <is>
          <t>Bear|OpenAI|2026|Microsoft</t>
        </is>
      </c>
      <c r="B194" s="3" t="inlineStr">
        <is>
          <t>Bear</t>
        </is>
      </c>
      <c r="C194" s="3" t="inlineStr">
        <is>
          <t>OpenAI</t>
        </is>
      </c>
      <c r="D194" s="3" t="n">
        <v>2026</v>
      </c>
      <c r="E194" s="3" t="inlineStr">
        <is>
          <t>Microsoft</t>
        </is>
      </c>
      <c r="F194" s="27" t="n">
        <v>1519</v>
      </c>
      <c r="G194" s="17" t="n">
        <v>0.52238315</v>
      </c>
      <c r="H194" s="28">
        <f>F194*G194</f>
        <v/>
      </c>
      <c r="I194" s="17" t="n">
        <v>0.5</v>
      </c>
      <c r="J194" s="6">
        <f>1-I194</f>
        <v/>
      </c>
      <c r="K194" s="28">
        <f>H194*I194</f>
        <v/>
      </c>
      <c r="L194" s="3" t="inlineStr">
        <is>
          <t>epoch_csp_total_power_x_user_contract_share_seed</t>
        </is>
      </c>
      <c r="M194" s="3" t="inlineStr">
        <is>
          <t>SRC_EPOCH_AI_DATA_CENTERS; EPOCH_NORMALIZED_USER_SITES</t>
        </is>
      </c>
      <c r="N194" s="3" t="inlineStr">
        <is>
          <t>Seeded as CSP total power times AI-company attributed contract share. Replace csp_total_power_mw and ai_contract_share_of_csp with your long-term contract dataset.</t>
        </is>
      </c>
    </row>
    <row r="195">
      <c r="A195" s="3" t="inlineStr">
        <is>
          <t>Base|OpenAI|2026|Microsoft</t>
        </is>
      </c>
      <c r="B195" s="3" t="inlineStr">
        <is>
          <t>Base</t>
        </is>
      </c>
      <c r="C195" s="3" t="inlineStr">
        <is>
          <t>OpenAI</t>
        </is>
      </c>
      <c r="D195" s="3" t="n">
        <v>2026</v>
      </c>
      <c r="E195" s="3" t="inlineStr">
        <is>
          <t>Microsoft</t>
        </is>
      </c>
      <c r="F195" s="27" t="n">
        <v>1519</v>
      </c>
      <c r="G195" s="17" t="n">
        <v>0.52238315</v>
      </c>
      <c r="H195" s="28">
        <f>F195*G195</f>
        <v/>
      </c>
      <c r="I195" s="17" t="n">
        <v>0.58</v>
      </c>
      <c r="J195" s="6">
        <f>1-I195</f>
        <v/>
      </c>
      <c r="K195" s="28">
        <f>H195*I195</f>
        <v/>
      </c>
      <c r="L195" s="3" t="inlineStr">
        <is>
          <t>epoch_csp_total_power_x_user_contract_share_seed</t>
        </is>
      </c>
      <c r="M195" s="3" t="inlineStr">
        <is>
          <t>SRC_EPOCH_AI_DATA_CENTERS; EPOCH_NORMALIZED_USER_SITES</t>
        </is>
      </c>
      <c r="N195" s="3" t="inlineStr">
        <is>
          <t>Seeded as CSP total power times AI-company attributed contract share. Replace csp_total_power_mw and ai_contract_share_of_csp with your long-term contract dataset.</t>
        </is>
      </c>
    </row>
    <row r="196">
      <c r="A196" s="3" t="inlineStr">
        <is>
          <t>Bull|OpenAI|2026|Microsoft</t>
        </is>
      </c>
      <c r="B196" s="3" t="inlineStr">
        <is>
          <t>Bull</t>
        </is>
      </c>
      <c r="C196" s="3" t="inlineStr">
        <is>
          <t>OpenAI</t>
        </is>
      </c>
      <c r="D196" s="3" t="n">
        <v>2026</v>
      </c>
      <c r="E196" s="3" t="inlineStr">
        <is>
          <t>Microsoft</t>
        </is>
      </c>
      <c r="F196" s="27" t="n">
        <v>1519</v>
      </c>
      <c r="G196" s="17" t="n">
        <v>0.52238315</v>
      </c>
      <c r="H196" s="28">
        <f>F196*G196</f>
        <v/>
      </c>
      <c r="I196" s="17" t="n">
        <v>0.63</v>
      </c>
      <c r="J196" s="6">
        <f>1-I196</f>
        <v/>
      </c>
      <c r="K196" s="28">
        <f>H196*I196</f>
        <v/>
      </c>
      <c r="L196" s="3" t="inlineStr">
        <is>
          <t>epoch_csp_total_power_x_user_contract_share_seed</t>
        </is>
      </c>
      <c r="M196" s="3" t="inlineStr">
        <is>
          <t>SRC_EPOCH_AI_DATA_CENTERS; EPOCH_NORMALIZED_USER_SITES</t>
        </is>
      </c>
      <c r="N196" s="3" t="inlineStr">
        <is>
          <t>Seeded as CSP total power times AI-company attributed contract share. Replace csp_total_power_mw and ai_contract_share_of_csp with your long-term contract dataset.</t>
        </is>
      </c>
    </row>
    <row r="197">
      <c r="A197" s="3" t="inlineStr">
        <is>
          <t>Grid-Constrained / Efficiency-Upside|OpenAI|2026|Microsoft</t>
        </is>
      </c>
      <c r="B197" s="3" t="inlineStr">
        <is>
          <t>Grid-Constrained / Efficiency-Upside</t>
        </is>
      </c>
      <c r="C197" s="3" t="inlineStr">
        <is>
          <t>OpenAI</t>
        </is>
      </c>
      <c r="D197" s="3" t="n">
        <v>2026</v>
      </c>
      <c r="E197" s="3" t="inlineStr">
        <is>
          <t>Microsoft</t>
        </is>
      </c>
      <c r="F197" s="27" t="n">
        <v>1519</v>
      </c>
      <c r="G197" s="17" t="n">
        <v>0.52238315</v>
      </c>
      <c r="H197" s="28">
        <f>F197*G197</f>
        <v/>
      </c>
      <c r="I197" s="17" t="n">
        <v>0.6</v>
      </c>
      <c r="J197" s="6">
        <f>1-I197</f>
        <v/>
      </c>
      <c r="K197" s="28">
        <f>H197*I197</f>
        <v/>
      </c>
      <c r="L197" s="3" t="inlineStr">
        <is>
          <t>epoch_csp_total_power_x_user_contract_share_seed</t>
        </is>
      </c>
      <c r="M197" s="3" t="inlineStr">
        <is>
          <t>SRC_EPOCH_AI_DATA_CENTERS; EPOCH_NORMALIZED_USER_SITES</t>
        </is>
      </c>
      <c r="N197" s="3" t="inlineStr">
        <is>
          <t>Seeded as CSP total power times AI-company attributed contract share. Replace csp_total_power_mw and ai_contract_share_of_csp with your long-term contract dataset.</t>
        </is>
      </c>
    </row>
    <row r="198">
      <c r="A198" s="3" t="inlineStr">
        <is>
          <t>Bear|OpenAI|2027|Microsoft</t>
        </is>
      </c>
      <c r="B198" s="3" t="inlineStr">
        <is>
          <t>Bear</t>
        </is>
      </c>
      <c r="C198" s="3" t="inlineStr">
        <is>
          <t>OpenAI</t>
        </is>
      </c>
      <c r="D198" s="3" t="n">
        <v>2027</v>
      </c>
      <c r="E198" s="3" t="inlineStr">
        <is>
          <t>Microsoft</t>
        </is>
      </c>
      <c r="F198" s="27" t="n">
        <v>2191</v>
      </c>
      <c r="G198" s="17" t="n">
        <v>0.3621634</v>
      </c>
      <c r="H198" s="28">
        <f>F198*G198</f>
        <v/>
      </c>
      <c r="I198" s="17" t="n">
        <v>0.545</v>
      </c>
      <c r="J198" s="6">
        <f>1-I198</f>
        <v/>
      </c>
      <c r="K198" s="28">
        <f>H198*I198</f>
        <v/>
      </c>
      <c r="L198" s="3" t="inlineStr">
        <is>
          <t>epoch_csp_total_power_x_user_contract_share_seed</t>
        </is>
      </c>
      <c r="M198" s="3" t="inlineStr">
        <is>
          <t>SRC_EPOCH_AI_DATA_CENTERS; EPOCH_NORMALIZED_USER_SITES</t>
        </is>
      </c>
      <c r="N198" s="3" t="inlineStr">
        <is>
          <t>Seeded as CSP total power times AI-company attributed contract share. Replace csp_total_power_mw and ai_contract_share_of_csp with your long-term contract dataset.</t>
        </is>
      </c>
    </row>
    <row r="199">
      <c r="A199" s="3" t="inlineStr">
        <is>
          <t>Base|OpenAI|2027|Microsoft</t>
        </is>
      </c>
      <c r="B199" s="3" t="inlineStr">
        <is>
          <t>Base</t>
        </is>
      </c>
      <c r="C199" s="3" t="inlineStr">
        <is>
          <t>OpenAI</t>
        </is>
      </c>
      <c r="D199" s="3" t="n">
        <v>2027</v>
      </c>
      <c r="E199" s="3" t="inlineStr">
        <is>
          <t>Microsoft</t>
        </is>
      </c>
      <c r="F199" s="27" t="n">
        <v>2191</v>
      </c>
      <c r="G199" s="17" t="n">
        <v>0.3621634</v>
      </c>
      <c r="H199" s="28">
        <f>F199*G199</f>
        <v/>
      </c>
      <c r="I199" s="17" t="n">
        <v>0.63</v>
      </c>
      <c r="J199" s="6">
        <f>1-I199</f>
        <v/>
      </c>
      <c r="K199" s="28">
        <f>H199*I199</f>
        <v/>
      </c>
      <c r="L199" s="3" t="inlineStr">
        <is>
          <t>epoch_csp_total_power_x_user_contract_share_seed</t>
        </is>
      </c>
      <c r="M199" s="3" t="inlineStr">
        <is>
          <t>SRC_EPOCH_AI_DATA_CENTERS; EPOCH_NORMALIZED_USER_SITES</t>
        </is>
      </c>
      <c r="N199" s="3" t="inlineStr">
        <is>
          <t>Seeded as CSP total power times AI-company attributed contract share. Replace csp_total_power_mw and ai_contract_share_of_csp with your long-term contract dataset.</t>
        </is>
      </c>
    </row>
    <row r="200">
      <c r="A200" s="3" t="inlineStr">
        <is>
          <t>Bull|OpenAI|2027|Microsoft</t>
        </is>
      </c>
      <c r="B200" s="3" t="inlineStr">
        <is>
          <t>Bull</t>
        </is>
      </c>
      <c r="C200" s="3" t="inlineStr">
        <is>
          <t>OpenAI</t>
        </is>
      </c>
      <c r="D200" s="3" t="n">
        <v>2027</v>
      </c>
      <c r="E200" s="3" t="inlineStr">
        <is>
          <t>Microsoft</t>
        </is>
      </c>
      <c r="F200" s="27" t="n">
        <v>2191</v>
      </c>
      <c r="G200" s="17" t="n">
        <v>0.3621634</v>
      </c>
      <c r="H200" s="28">
        <f>F200*G200</f>
        <v/>
      </c>
      <c r="I200" s="17" t="n">
        <v>0.6879999999999999</v>
      </c>
      <c r="J200" s="6">
        <f>1-I200</f>
        <v/>
      </c>
      <c r="K200" s="28">
        <f>H200*I200</f>
        <v/>
      </c>
      <c r="L200" s="3" t="inlineStr">
        <is>
          <t>epoch_csp_total_power_x_user_contract_share_seed</t>
        </is>
      </c>
      <c r="M200" s="3" t="inlineStr">
        <is>
          <t>SRC_EPOCH_AI_DATA_CENTERS; EPOCH_NORMALIZED_USER_SITES</t>
        </is>
      </c>
      <c r="N200" s="3" t="inlineStr">
        <is>
          <t>Seeded as CSP total power times AI-company attributed contract share. Replace csp_total_power_mw and ai_contract_share_of_csp with your long-term contract dataset.</t>
        </is>
      </c>
    </row>
    <row r="201">
      <c r="A201" s="3" t="inlineStr">
        <is>
          <t>Grid-Constrained / Efficiency-Upside|OpenAI|2027|Microsoft</t>
        </is>
      </c>
      <c r="B201" s="3" t="inlineStr">
        <is>
          <t>Grid-Constrained / Efficiency-Upside</t>
        </is>
      </c>
      <c r="C201" s="3" t="inlineStr">
        <is>
          <t>OpenAI</t>
        </is>
      </c>
      <c r="D201" s="3" t="n">
        <v>2027</v>
      </c>
      <c r="E201" s="3" t="inlineStr">
        <is>
          <t>Microsoft</t>
        </is>
      </c>
      <c r="F201" s="27" t="n">
        <v>2191</v>
      </c>
      <c r="G201" s="17" t="n">
        <v>0.3621634</v>
      </c>
      <c r="H201" s="28">
        <f>F201*G201</f>
        <v/>
      </c>
      <c r="I201" s="17" t="n">
        <v>0.655</v>
      </c>
      <c r="J201" s="6">
        <f>1-I201</f>
        <v/>
      </c>
      <c r="K201" s="28">
        <f>H201*I201</f>
        <v/>
      </c>
      <c r="L201" s="3" t="inlineStr">
        <is>
          <t>epoch_csp_total_power_x_user_contract_share_seed</t>
        </is>
      </c>
      <c r="M201" s="3" t="inlineStr">
        <is>
          <t>SRC_EPOCH_AI_DATA_CENTERS; EPOCH_NORMALIZED_USER_SITES</t>
        </is>
      </c>
      <c r="N201" s="3" t="inlineStr">
        <is>
          <t>Seeded as CSP total power times AI-company attributed contract share. Replace csp_total_power_mw and ai_contract_share_of_csp with your long-term contract dataset.</t>
        </is>
      </c>
    </row>
    <row r="202">
      <c r="A202" s="3" t="inlineStr">
        <is>
          <t>Bear|OpenAI|2028|Microsoft</t>
        </is>
      </c>
      <c r="B202" s="3" t="inlineStr">
        <is>
          <t>Bear</t>
        </is>
      </c>
      <c r="C202" s="3" t="inlineStr">
        <is>
          <t>OpenAI</t>
        </is>
      </c>
      <c r="D202" s="3" t="n">
        <v>2028</v>
      </c>
      <c r="E202" s="3" t="inlineStr">
        <is>
          <t>Microsoft</t>
        </is>
      </c>
      <c r="F202" s="27" t="n">
        <v>4085</v>
      </c>
      <c r="G202" s="17" t="n">
        <v>0.42607099</v>
      </c>
      <c r="H202" s="28">
        <f>F202*G202</f>
        <v/>
      </c>
      <c r="I202" s="17" t="n">
        <v>0.59</v>
      </c>
      <c r="J202" s="6">
        <f>1-I202</f>
        <v/>
      </c>
      <c r="K202" s="28">
        <f>H202*I202</f>
        <v/>
      </c>
      <c r="L202" s="3" t="inlineStr">
        <is>
          <t>epoch_csp_total_power_x_user_contract_share_seed</t>
        </is>
      </c>
      <c r="M202" s="3" t="inlineStr">
        <is>
          <t>SRC_EPOCH_AI_DATA_CENTERS; EPOCH_NORMALIZED_USER_SITES</t>
        </is>
      </c>
      <c r="N202" s="3" t="inlineStr">
        <is>
          <t>Seeded as CSP total power times AI-company attributed contract share. Replace csp_total_power_mw and ai_contract_share_of_csp with your long-term contract dataset.</t>
        </is>
      </c>
    </row>
    <row r="203">
      <c r="A203" s="3" t="inlineStr">
        <is>
          <t>Base|OpenAI|2028|Microsoft</t>
        </is>
      </c>
      <c r="B203" s="3" t="inlineStr">
        <is>
          <t>Base</t>
        </is>
      </c>
      <c r="C203" s="3" t="inlineStr">
        <is>
          <t>OpenAI</t>
        </is>
      </c>
      <c r="D203" s="3" t="n">
        <v>2028</v>
      </c>
      <c r="E203" s="3" t="inlineStr">
        <is>
          <t>Microsoft</t>
        </is>
      </c>
      <c r="F203" s="27" t="n">
        <v>4085</v>
      </c>
      <c r="G203" s="17" t="n">
        <v>0.42607099</v>
      </c>
      <c r="H203" s="28">
        <f>F203*G203</f>
        <v/>
      </c>
      <c r="I203" s="17" t="n">
        <v>0.68</v>
      </c>
      <c r="J203" s="6">
        <f>1-I203</f>
        <v/>
      </c>
      <c r="K203" s="28">
        <f>H203*I203</f>
        <v/>
      </c>
      <c r="L203" s="3" t="inlineStr">
        <is>
          <t>epoch_csp_total_power_x_user_contract_share_seed</t>
        </is>
      </c>
      <c r="M203" s="3" t="inlineStr">
        <is>
          <t>SRC_EPOCH_AI_DATA_CENTERS; EPOCH_NORMALIZED_USER_SITES</t>
        </is>
      </c>
      <c r="N203" s="3" t="inlineStr">
        <is>
          <t>Seeded as CSP total power times AI-company attributed contract share. Replace csp_total_power_mw and ai_contract_share_of_csp with your long-term contract dataset.</t>
        </is>
      </c>
    </row>
    <row r="204">
      <c r="A204" s="3" t="inlineStr">
        <is>
          <t>Bull|OpenAI|2028|Microsoft</t>
        </is>
      </c>
      <c r="B204" s="3" t="inlineStr">
        <is>
          <t>Bull</t>
        </is>
      </c>
      <c r="C204" s="3" t="inlineStr">
        <is>
          <t>OpenAI</t>
        </is>
      </c>
      <c r="D204" s="3" t="n">
        <v>2028</v>
      </c>
      <c r="E204" s="3" t="inlineStr">
        <is>
          <t>Microsoft</t>
        </is>
      </c>
      <c r="F204" s="27" t="n">
        <v>4085</v>
      </c>
      <c r="G204" s="17" t="n">
        <v>0.42607099</v>
      </c>
      <c r="H204" s="28">
        <f>F204*G204</f>
        <v/>
      </c>
      <c r="I204" s="17" t="n">
        <v>0.745</v>
      </c>
      <c r="J204" s="6">
        <f>1-I204</f>
        <v/>
      </c>
      <c r="K204" s="28">
        <f>H204*I204</f>
        <v/>
      </c>
      <c r="L204" s="3" t="inlineStr">
        <is>
          <t>epoch_csp_total_power_x_user_contract_share_seed</t>
        </is>
      </c>
      <c r="M204" s="3" t="inlineStr">
        <is>
          <t>SRC_EPOCH_AI_DATA_CENTERS; EPOCH_NORMALIZED_USER_SITES</t>
        </is>
      </c>
      <c r="N204" s="3" t="inlineStr">
        <is>
          <t>Seeded as CSP total power times AI-company attributed contract share. Replace csp_total_power_mw and ai_contract_share_of_csp with your long-term contract dataset.</t>
        </is>
      </c>
    </row>
    <row r="205">
      <c r="A205" s="3" t="inlineStr">
        <is>
          <t>Grid-Constrained / Efficiency-Upside|OpenAI|2028|Microsoft</t>
        </is>
      </c>
      <c r="B205" s="3" t="inlineStr">
        <is>
          <t>Grid-Constrained / Efficiency-Upside</t>
        </is>
      </c>
      <c r="C205" s="3" t="inlineStr">
        <is>
          <t>OpenAI</t>
        </is>
      </c>
      <c r="D205" s="3" t="n">
        <v>2028</v>
      </c>
      <c r="E205" s="3" t="inlineStr">
        <is>
          <t>Microsoft</t>
        </is>
      </c>
      <c r="F205" s="27" t="n">
        <v>4085</v>
      </c>
      <c r="G205" s="17" t="n">
        <v>0.42607099</v>
      </c>
      <c r="H205" s="28">
        <f>F205*G205</f>
        <v/>
      </c>
      <c r="I205" s="17" t="n">
        <v>0.71</v>
      </c>
      <c r="J205" s="6">
        <f>1-I205</f>
        <v/>
      </c>
      <c r="K205" s="28">
        <f>H205*I205</f>
        <v/>
      </c>
      <c r="L205" s="3" t="inlineStr">
        <is>
          <t>epoch_csp_total_power_x_user_contract_share_seed</t>
        </is>
      </c>
      <c r="M205" s="3" t="inlineStr">
        <is>
          <t>SRC_EPOCH_AI_DATA_CENTERS; EPOCH_NORMALIZED_USER_SITES</t>
        </is>
      </c>
      <c r="N205" s="3" t="inlineStr">
        <is>
          <t>Seeded as CSP total power times AI-company attributed contract share. Replace csp_total_power_mw and ai_contract_share_of_csp with your long-term contract dataset.</t>
        </is>
      </c>
    </row>
    <row r="206">
      <c r="A206" s="3" t="inlineStr">
        <is>
          <t>Bear|OpenAI|2029|Microsoft</t>
        </is>
      </c>
      <c r="B206" s="3" t="inlineStr">
        <is>
          <t>Bear</t>
        </is>
      </c>
      <c r="C206" s="3" t="inlineStr">
        <is>
          <t>OpenAI</t>
        </is>
      </c>
      <c r="D206" s="3" t="n">
        <v>2029</v>
      </c>
      <c r="E206" s="3" t="inlineStr">
        <is>
          <t>Microsoft</t>
        </is>
      </c>
      <c r="F206" s="27" t="n">
        <v>4085</v>
      </c>
      <c r="G206" s="17" t="n">
        <v>0.42607099</v>
      </c>
      <c r="H206" s="28">
        <f>F206*G206</f>
        <v/>
      </c>
      <c r="I206" s="17" t="n">
        <v>0.635</v>
      </c>
      <c r="J206" s="6">
        <f>1-I206</f>
        <v/>
      </c>
      <c r="K206" s="28">
        <f>H206*I206</f>
        <v/>
      </c>
      <c r="L206" s="3" t="inlineStr">
        <is>
          <t>epoch_csp_total_power_x_user_contract_share_seed</t>
        </is>
      </c>
      <c r="M206" s="3" t="inlineStr">
        <is>
          <t>SRC_EPOCH_AI_DATA_CENTERS; EPOCH_NORMALIZED_USER_SITES</t>
        </is>
      </c>
      <c r="N206" s="3" t="inlineStr">
        <is>
          <t>Seeded as CSP total power times AI-company attributed contract share. Replace csp_total_power_mw and ai_contract_share_of_csp with your long-term contract dataset.</t>
        </is>
      </c>
    </row>
    <row r="207">
      <c r="A207" s="3" t="inlineStr">
        <is>
          <t>Base|OpenAI|2029|Microsoft</t>
        </is>
      </c>
      <c r="B207" s="3" t="inlineStr">
        <is>
          <t>Base</t>
        </is>
      </c>
      <c r="C207" s="3" t="inlineStr">
        <is>
          <t>OpenAI</t>
        </is>
      </c>
      <c r="D207" s="3" t="n">
        <v>2029</v>
      </c>
      <c r="E207" s="3" t="inlineStr">
        <is>
          <t>Microsoft</t>
        </is>
      </c>
      <c r="F207" s="27" t="n">
        <v>4085</v>
      </c>
      <c r="G207" s="17" t="n">
        <v>0.42607099</v>
      </c>
      <c r="H207" s="28">
        <f>F207*G207</f>
        <v/>
      </c>
      <c r="I207" s="17" t="n">
        <v>0.73</v>
      </c>
      <c r="J207" s="6">
        <f>1-I207</f>
        <v/>
      </c>
      <c r="K207" s="28">
        <f>H207*I207</f>
        <v/>
      </c>
      <c r="L207" s="3" t="inlineStr">
        <is>
          <t>epoch_csp_total_power_x_user_contract_share_seed</t>
        </is>
      </c>
      <c r="M207" s="3" t="inlineStr">
        <is>
          <t>SRC_EPOCH_AI_DATA_CENTERS; EPOCH_NORMALIZED_USER_SITES</t>
        </is>
      </c>
      <c r="N207" s="3" t="inlineStr">
        <is>
          <t>Seeded as CSP total power times AI-company attributed contract share. Replace csp_total_power_mw and ai_contract_share_of_csp with your long-term contract dataset.</t>
        </is>
      </c>
    </row>
    <row r="208">
      <c r="A208" s="3" t="inlineStr">
        <is>
          <t>Bull|OpenAI|2029|Microsoft</t>
        </is>
      </c>
      <c r="B208" s="3" t="inlineStr">
        <is>
          <t>Bull</t>
        </is>
      </c>
      <c r="C208" s="3" t="inlineStr">
        <is>
          <t>OpenAI</t>
        </is>
      </c>
      <c r="D208" s="3" t="n">
        <v>2029</v>
      </c>
      <c r="E208" s="3" t="inlineStr">
        <is>
          <t>Microsoft</t>
        </is>
      </c>
      <c r="F208" s="27" t="n">
        <v>4085</v>
      </c>
      <c r="G208" s="17" t="n">
        <v>0.42607099</v>
      </c>
      <c r="H208" s="28">
        <f>F208*G208</f>
        <v/>
      </c>
      <c r="I208" s="17" t="n">
        <v>0.802</v>
      </c>
      <c r="J208" s="6">
        <f>1-I208</f>
        <v/>
      </c>
      <c r="K208" s="28">
        <f>H208*I208</f>
        <v/>
      </c>
      <c r="L208" s="3" t="inlineStr">
        <is>
          <t>epoch_csp_total_power_x_user_contract_share_seed</t>
        </is>
      </c>
      <c r="M208" s="3" t="inlineStr">
        <is>
          <t>SRC_EPOCH_AI_DATA_CENTERS; EPOCH_NORMALIZED_USER_SITES</t>
        </is>
      </c>
      <c r="N208" s="3" t="inlineStr">
        <is>
          <t>Seeded as CSP total power times AI-company attributed contract share. Replace csp_total_power_mw and ai_contract_share_of_csp with your long-term contract dataset.</t>
        </is>
      </c>
    </row>
    <row r="209">
      <c r="A209" s="3" t="inlineStr">
        <is>
          <t>Grid-Constrained / Efficiency-Upside|OpenAI|2029|Microsoft</t>
        </is>
      </c>
      <c r="B209" s="3" t="inlineStr">
        <is>
          <t>Grid-Constrained / Efficiency-Upside</t>
        </is>
      </c>
      <c r="C209" s="3" t="inlineStr">
        <is>
          <t>OpenAI</t>
        </is>
      </c>
      <c r="D209" s="3" t="n">
        <v>2029</v>
      </c>
      <c r="E209" s="3" t="inlineStr">
        <is>
          <t>Microsoft</t>
        </is>
      </c>
      <c r="F209" s="27" t="n">
        <v>4085</v>
      </c>
      <c r="G209" s="17" t="n">
        <v>0.42607099</v>
      </c>
      <c r="H209" s="28">
        <f>F209*G209</f>
        <v/>
      </c>
      <c r="I209" s="17" t="n">
        <v>0.765</v>
      </c>
      <c r="J209" s="6">
        <f>1-I209</f>
        <v/>
      </c>
      <c r="K209" s="28">
        <f>H209*I209</f>
        <v/>
      </c>
      <c r="L209" s="3" t="inlineStr">
        <is>
          <t>epoch_csp_total_power_x_user_contract_share_seed</t>
        </is>
      </c>
      <c r="M209" s="3" t="inlineStr">
        <is>
          <t>SRC_EPOCH_AI_DATA_CENTERS; EPOCH_NORMALIZED_USER_SITES</t>
        </is>
      </c>
      <c r="N209" s="3" t="inlineStr">
        <is>
          <t>Seeded as CSP total power times AI-company attributed contract share. Replace csp_total_power_mw and ai_contract_share_of_csp with your long-term contract dataset.</t>
        </is>
      </c>
    </row>
    <row r="210">
      <c r="A210" s="3" t="inlineStr">
        <is>
          <t>Bear|OpenAI|2030|Microsoft</t>
        </is>
      </c>
      <c r="B210" s="3" t="inlineStr">
        <is>
          <t>Bear</t>
        </is>
      </c>
      <c r="C210" s="3" t="inlineStr">
        <is>
          <t>OpenAI</t>
        </is>
      </c>
      <c r="D210" s="3" t="n">
        <v>2030</v>
      </c>
      <c r="E210" s="3" t="inlineStr">
        <is>
          <t>Microsoft</t>
        </is>
      </c>
      <c r="F210" s="27" t="n">
        <v>4085</v>
      </c>
      <c r="G210" s="17" t="n">
        <v>0.42607099</v>
      </c>
      <c r="H210" s="28">
        <f>F210*G210</f>
        <v/>
      </c>
      <c r="I210" s="17" t="n">
        <v>0.68</v>
      </c>
      <c r="J210" s="6">
        <f>1-I210</f>
        <v/>
      </c>
      <c r="K210" s="28">
        <f>H210*I210</f>
        <v/>
      </c>
      <c r="L210" s="3" t="inlineStr">
        <is>
          <t>epoch_csp_total_power_x_user_contract_share_seed</t>
        </is>
      </c>
      <c r="M210" s="3" t="inlineStr">
        <is>
          <t>SRC_EPOCH_AI_DATA_CENTERS; EPOCH_NORMALIZED_USER_SITES</t>
        </is>
      </c>
      <c r="N210" s="3" t="inlineStr">
        <is>
          <t>Seeded as CSP total power times AI-company attributed contract share. Replace csp_total_power_mw and ai_contract_share_of_csp with your long-term contract dataset.</t>
        </is>
      </c>
    </row>
    <row r="211">
      <c r="A211" s="3" t="inlineStr">
        <is>
          <t>Base|OpenAI|2030|Microsoft</t>
        </is>
      </c>
      <c r="B211" s="3" t="inlineStr">
        <is>
          <t>Base</t>
        </is>
      </c>
      <c r="C211" s="3" t="inlineStr">
        <is>
          <t>OpenAI</t>
        </is>
      </c>
      <c r="D211" s="3" t="n">
        <v>2030</v>
      </c>
      <c r="E211" s="3" t="inlineStr">
        <is>
          <t>Microsoft</t>
        </is>
      </c>
      <c r="F211" s="27" t="n">
        <v>4085</v>
      </c>
      <c r="G211" s="17" t="n">
        <v>0.42607099</v>
      </c>
      <c r="H211" s="28">
        <f>F211*G211</f>
        <v/>
      </c>
      <c r="I211" s="17" t="n">
        <v>0.78</v>
      </c>
      <c r="J211" s="6">
        <f>1-I211</f>
        <v/>
      </c>
      <c r="K211" s="28">
        <f>H211*I211</f>
        <v/>
      </c>
      <c r="L211" s="3" t="inlineStr">
        <is>
          <t>epoch_csp_total_power_x_user_contract_share_seed</t>
        </is>
      </c>
      <c r="M211" s="3" t="inlineStr">
        <is>
          <t>SRC_EPOCH_AI_DATA_CENTERS; EPOCH_NORMALIZED_USER_SITES</t>
        </is>
      </c>
      <c r="N211" s="3" t="inlineStr">
        <is>
          <t>Seeded as CSP total power times AI-company attributed contract share. Replace csp_total_power_mw and ai_contract_share_of_csp with your long-term contract dataset.</t>
        </is>
      </c>
    </row>
    <row r="212">
      <c r="A212" s="3" t="inlineStr">
        <is>
          <t>Bull|OpenAI|2030|Microsoft</t>
        </is>
      </c>
      <c r="B212" s="3" t="inlineStr">
        <is>
          <t>Bull</t>
        </is>
      </c>
      <c r="C212" s="3" t="inlineStr">
        <is>
          <t>OpenAI</t>
        </is>
      </c>
      <c r="D212" s="3" t="n">
        <v>2030</v>
      </c>
      <c r="E212" s="3" t="inlineStr">
        <is>
          <t>Microsoft</t>
        </is>
      </c>
      <c r="F212" s="27" t="n">
        <v>4085</v>
      </c>
      <c r="G212" s="17" t="n">
        <v>0.42607099</v>
      </c>
      <c r="H212" s="28">
        <f>F212*G212</f>
        <v/>
      </c>
      <c r="I212" s="17" t="n">
        <v>0.86</v>
      </c>
      <c r="J212" s="6">
        <f>1-I212</f>
        <v/>
      </c>
      <c r="K212" s="28">
        <f>H212*I212</f>
        <v/>
      </c>
      <c r="L212" s="3" t="inlineStr">
        <is>
          <t>epoch_csp_total_power_x_user_contract_share_seed</t>
        </is>
      </c>
      <c r="M212" s="3" t="inlineStr">
        <is>
          <t>SRC_EPOCH_AI_DATA_CENTERS; EPOCH_NORMALIZED_USER_SITES</t>
        </is>
      </c>
      <c r="N212" s="3" t="inlineStr">
        <is>
          <t>Seeded as CSP total power times AI-company attributed contract share. Replace csp_total_power_mw and ai_contract_share_of_csp with your long-term contract dataset.</t>
        </is>
      </c>
    </row>
    <row r="213">
      <c r="A213" s="3" t="inlineStr">
        <is>
          <t>Grid-Constrained / Efficiency-Upside|OpenAI|2030|Microsoft</t>
        </is>
      </c>
      <c r="B213" s="3" t="inlineStr">
        <is>
          <t>Grid-Constrained / Efficiency-Upside</t>
        </is>
      </c>
      <c r="C213" s="3" t="inlineStr">
        <is>
          <t>OpenAI</t>
        </is>
      </c>
      <c r="D213" s="3" t="n">
        <v>2030</v>
      </c>
      <c r="E213" s="3" t="inlineStr">
        <is>
          <t>Microsoft</t>
        </is>
      </c>
      <c r="F213" s="27" t="n">
        <v>4085</v>
      </c>
      <c r="G213" s="17" t="n">
        <v>0.42607099</v>
      </c>
      <c r="H213" s="28">
        <f>F213*G213</f>
        <v/>
      </c>
      <c r="I213" s="17" t="n">
        <v>0.82</v>
      </c>
      <c r="J213" s="6">
        <f>1-I213</f>
        <v/>
      </c>
      <c r="K213" s="28">
        <f>H213*I213</f>
        <v/>
      </c>
      <c r="L213" s="3" t="inlineStr">
        <is>
          <t>epoch_csp_total_power_x_user_contract_share_seed</t>
        </is>
      </c>
      <c r="M213" s="3" t="inlineStr">
        <is>
          <t>SRC_EPOCH_AI_DATA_CENTERS; EPOCH_NORMALIZED_USER_SITES</t>
        </is>
      </c>
      <c r="N213" s="3" t="inlineStr">
        <is>
          <t>Seeded as CSP total power times AI-company attributed contract share. Replace csp_total_power_mw and ai_contract_share_of_csp with your long-term contract dataset.</t>
        </is>
      </c>
    </row>
    <row r="214">
      <c r="A214" s="3" t="inlineStr">
        <is>
          <t>Bear|OpenAI|2026|Oracle</t>
        </is>
      </c>
      <c r="B214" s="3" t="inlineStr">
        <is>
          <t>Bear</t>
        </is>
      </c>
      <c r="C214" s="3" t="inlineStr">
        <is>
          <t>OpenAI</t>
        </is>
      </c>
      <c r="D214" s="3" t="n">
        <v>2026</v>
      </c>
      <c r="E214" s="3" t="inlineStr">
        <is>
          <t>Oracle</t>
        </is>
      </c>
      <c r="F214" s="27" t="n">
        <v>915</v>
      </c>
      <c r="G214" s="17" t="n">
        <v>0.92131148</v>
      </c>
      <c r="H214" s="28">
        <f>F214*G214</f>
        <v/>
      </c>
      <c r="I214" s="17" t="n">
        <v>0.5</v>
      </c>
      <c r="J214" s="6">
        <f>1-I214</f>
        <v/>
      </c>
      <c r="K214" s="28">
        <f>H214*I214</f>
        <v/>
      </c>
      <c r="L214" s="3" t="inlineStr">
        <is>
          <t>epoch_csp_total_power_x_user_contract_share_seed</t>
        </is>
      </c>
      <c r="M214" s="3" t="inlineStr">
        <is>
          <t>SRC_EPOCH_AI_DATA_CENTERS; EPOCH_NORMALIZED_USER_SITES</t>
        </is>
      </c>
      <c r="N214" s="3" t="inlineStr">
        <is>
          <t>Seeded as CSP total power times AI-company attributed contract share. Replace csp_total_power_mw and ai_contract_share_of_csp with your long-term contract dataset.</t>
        </is>
      </c>
    </row>
    <row r="215">
      <c r="A215" s="3" t="inlineStr">
        <is>
          <t>Base|OpenAI|2026|Oracle</t>
        </is>
      </c>
      <c r="B215" s="3" t="inlineStr">
        <is>
          <t>Base</t>
        </is>
      </c>
      <c r="C215" s="3" t="inlineStr">
        <is>
          <t>OpenAI</t>
        </is>
      </c>
      <c r="D215" s="3" t="n">
        <v>2026</v>
      </c>
      <c r="E215" s="3" t="inlineStr">
        <is>
          <t>Oracle</t>
        </is>
      </c>
      <c r="F215" s="27" t="n">
        <v>915</v>
      </c>
      <c r="G215" s="17" t="n">
        <v>0.92131148</v>
      </c>
      <c r="H215" s="28">
        <f>F215*G215</f>
        <v/>
      </c>
      <c r="I215" s="17" t="n">
        <v>0.58</v>
      </c>
      <c r="J215" s="6">
        <f>1-I215</f>
        <v/>
      </c>
      <c r="K215" s="28">
        <f>H215*I215</f>
        <v/>
      </c>
      <c r="L215" s="3" t="inlineStr">
        <is>
          <t>epoch_csp_total_power_x_user_contract_share_seed</t>
        </is>
      </c>
      <c r="M215" s="3" t="inlineStr">
        <is>
          <t>SRC_EPOCH_AI_DATA_CENTERS; EPOCH_NORMALIZED_USER_SITES</t>
        </is>
      </c>
      <c r="N215" s="3" t="inlineStr">
        <is>
          <t>Seeded as CSP total power times AI-company attributed contract share. Replace csp_total_power_mw and ai_contract_share_of_csp with your long-term contract dataset.</t>
        </is>
      </c>
    </row>
    <row r="216">
      <c r="A216" s="3" t="inlineStr">
        <is>
          <t>Bull|OpenAI|2026|Oracle</t>
        </is>
      </c>
      <c r="B216" s="3" t="inlineStr">
        <is>
          <t>Bull</t>
        </is>
      </c>
      <c r="C216" s="3" t="inlineStr">
        <is>
          <t>OpenAI</t>
        </is>
      </c>
      <c r="D216" s="3" t="n">
        <v>2026</v>
      </c>
      <c r="E216" s="3" t="inlineStr">
        <is>
          <t>Oracle</t>
        </is>
      </c>
      <c r="F216" s="27" t="n">
        <v>915</v>
      </c>
      <c r="G216" s="17" t="n">
        <v>0.92131148</v>
      </c>
      <c r="H216" s="28">
        <f>F216*G216</f>
        <v/>
      </c>
      <c r="I216" s="17" t="n">
        <v>0.63</v>
      </c>
      <c r="J216" s="6">
        <f>1-I216</f>
        <v/>
      </c>
      <c r="K216" s="28">
        <f>H216*I216</f>
        <v/>
      </c>
      <c r="L216" s="3" t="inlineStr">
        <is>
          <t>epoch_csp_total_power_x_user_contract_share_seed</t>
        </is>
      </c>
      <c r="M216" s="3" t="inlineStr">
        <is>
          <t>SRC_EPOCH_AI_DATA_CENTERS; EPOCH_NORMALIZED_USER_SITES</t>
        </is>
      </c>
      <c r="N216" s="3" t="inlineStr">
        <is>
          <t>Seeded as CSP total power times AI-company attributed contract share. Replace csp_total_power_mw and ai_contract_share_of_csp with your long-term contract dataset.</t>
        </is>
      </c>
    </row>
    <row r="217">
      <c r="A217" s="3" t="inlineStr">
        <is>
          <t>Grid-Constrained / Efficiency-Upside|OpenAI|2026|Oracle</t>
        </is>
      </c>
      <c r="B217" s="3" t="inlineStr">
        <is>
          <t>Grid-Constrained / Efficiency-Upside</t>
        </is>
      </c>
      <c r="C217" s="3" t="inlineStr">
        <is>
          <t>OpenAI</t>
        </is>
      </c>
      <c r="D217" s="3" t="n">
        <v>2026</v>
      </c>
      <c r="E217" s="3" t="inlineStr">
        <is>
          <t>Oracle</t>
        </is>
      </c>
      <c r="F217" s="27" t="n">
        <v>915</v>
      </c>
      <c r="G217" s="17" t="n">
        <v>0.92131148</v>
      </c>
      <c r="H217" s="28">
        <f>F217*G217</f>
        <v/>
      </c>
      <c r="I217" s="17" t="n">
        <v>0.6</v>
      </c>
      <c r="J217" s="6">
        <f>1-I217</f>
        <v/>
      </c>
      <c r="K217" s="28">
        <f>H217*I217</f>
        <v/>
      </c>
      <c r="L217" s="3" t="inlineStr">
        <is>
          <t>epoch_csp_total_power_x_user_contract_share_seed</t>
        </is>
      </c>
      <c r="M217" s="3" t="inlineStr">
        <is>
          <t>SRC_EPOCH_AI_DATA_CENTERS; EPOCH_NORMALIZED_USER_SITES</t>
        </is>
      </c>
      <c r="N217" s="3" t="inlineStr">
        <is>
          <t>Seeded as CSP total power times AI-company attributed contract share. Replace csp_total_power_mw and ai_contract_share_of_csp with your long-term contract dataset.</t>
        </is>
      </c>
    </row>
    <row r="218">
      <c r="A218" s="3" t="inlineStr">
        <is>
          <t>Bear|OpenAI|2027|Oracle</t>
        </is>
      </c>
      <c r="B218" s="3" t="inlineStr">
        <is>
          <t>Bear</t>
        </is>
      </c>
      <c r="C218" s="3" t="inlineStr">
        <is>
          <t>OpenAI</t>
        </is>
      </c>
      <c r="D218" s="3" t="n">
        <v>2027</v>
      </c>
      <c r="E218" s="3" t="inlineStr">
        <is>
          <t>Oracle</t>
        </is>
      </c>
      <c r="F218" s="27" t="n">
        <v>915</v>
      </c>
      <c r="G218" s="17" t="n">
        <v>0.92131148</v>
      </c>
      <c r="H218" s="28">
        <f>F218*G218</f>
        <v/>
      </c>
      <c r="I218" s="17" t="n">
        <v>0.545</v>
      </c>
      <c r="J218" s="6">
        <f>1-I218</f>
        <v/>
      </c>
      <c r="K218" s="28">
        <f>H218*I218</f>
        <v/>
      </c>
      <c r="L218" s="3" t="inlineStr">
        <is>
          <t>epoch_csp_total_power_x_user_contract_share_seed</t>
        </is>
      </c>
      <c r="M218" s="3" t="inlineStr">
        <is>
          <t>SRC_EPOCH_AI_DATA_CENTERS; EPOCH_NORMALIZED_USER_SITES</t>
        </is>
      </c>
      <c r="N218" s="3" t="inlineStr">
        <is>
          <t>Seeded as CSP total power times AI-company attributed contract share. Replace csp_total_power_mw and ai_contract_share_of_csp with your long-term contract dataset.</t>
        </is>
      </c>
    </row>
    <row r="219">
      <c r="A219" s="3" t="inlineStr">
        <is>
          <t>Base|OpenAI|2027|Oracle</t>
        </is>
      </c>
      <c r="B219" s="3" t="inlineStr">
        <is>
          <t>Base</t>
        </is>
      </c>
      <c r="C219" s="3" t="inlineStr">
        <is>
          <t>OpenAI</t>
        </is>
      </c>
      <c r="D219" s="3" t="n">
        <v>2027</v>
      </c>
      <c r="E219" s="3" t="inlineStr">
        <is>
          <t>Oracle</t>
        </is>
      </c>
      <c r="F219" s="27" t="n">
        <v>915</v>
      </c>
      <c r="G219" s="17" t="n">
        <v>0.92131148</v>
      </c>
      <c r="H219" s="28">
        <f>F219*G219</f>
        <v/>
      </c>
      <c r="I219" s="17" t="n">
        <v>0.63</v>
      </c>
      <c r="J219" s="6">
        <f>1-I219</f>
        <v/>
      </c>
      <c r="K219" s="28">
        <f>H219*I219</f>
        <v/>
      </c>
      <c r="L219" s="3" t="inlineStr">
        <is>
          <t>epoch_csp_total_power_x_user_contract_share_seed</t>
        </is>
      </c>
      <c r="M219" s="3" t="inlineStr">
        <is>
          <t>SRC_EPOCH_AI_DATA_CENTERS; EPOCH_NORMALIZED_USER_SITES</t>
        </is>
      </c>
      <c r="N219" s="3" t="inlineStr">
        <is>
          <t>Seeded as CSP total power times AI-company attributed contract share. Replace csp_total_power_mw and ai_contract_share_of_csp with your long-term contract dataset.</t>
        </is>
      </c>
    </row>
    <row r="220">
      <c r="A220" s="3" t="inlineStr">
        <is>
          <t>Bull|OpenAI|2027|Oracle</t>
        </is>
      </c>
      <c r="B220" s="3" t="inlineStr">
        <is>
          <t>Bull</t>
        </is>
      </c>
      <c r="C220" s="3" t="inlineStr">
        <is>
          <t>OpenAI</t>
        </is>
      </c>
      <c r="D220" s="3" t="n">
        <v>2027</v>
      </c>
      <c r="E220" s="3" t="inlineStr">
        <is>
          <t>Oracle</t>
        </is>
      </c>
      <c r="F220" s="27" t="n">
        <v>915</v>
      </c>
      <c r="G220" s="17" t="n">
        <v>0.92131148</v>
      </c>
      <c r="H220" s="28">
        <f>F220*G220</f>
        <v/>
      </c>
      <c r="I220" s="17" t="n">
        <v>0.6879999999999999</v>
      </c>
      <c r="J220" s="6">
        <f>1-I220</f>
        <v/>
      </c>
      <c r="K220" s="28">
        <f>H220*I220</f>
        <v/>
      </c>
      <c r="L220" s="3" t="inlineStr">
        <is>
          <t>epoch_csp_total_power_x_user_contract_share_seed</t>
        </is>
      </c>
      <c r="M220" s="3" t="inlineStr">
        <is>
          <t>SRC_EPOCH_AI_DATA_CENTERS; EPOCH_NORMALIZED_USER_SITES</t>
        </is>
      </c>
      <c r="N220" s="3" t="inlineStr">
        <is>
          <t>Seeded as CSP total power times AI-company attributed contract share. Replace csp_total_power_mw and ai_contract_share_of_csp with your long-term contract dataset.</t>
        </is>
      </c>
    </row>
    <row r="221">
      <c r="A221" s="3" t="inlineStr">
        <is>
          <t>Grid-Constrained / Efficiency-Upside|OpenAI|2027|Oracle</t>
        </is>
      </c>
      <c r="B221" s="3" t="inlineStr">
        <is>
          <t>Grid-Constrained / Efficiency-Upside</t>
        </is>
      </c>
      <c r="C221" s="3" t="inlineStr">
        <is>
          <t>OpenAI</t>
        </is>
      </c>
      <c r="D221" s="3" t="n">
        <v>2027</v>
      </c>
      <c r="E221" s="3" t="inlineStr">
        <is>
          <t>Oracle</t>
        </is>
      </c>
      <c r="F221" s="27" t="n">
        <v>915</v>
      </c>
      <c r="G221" s="17" t="n">
        <v>0.92131148</v>
      </c>
      <c r="H221" s="28">
        <f>F221*G221</f>
        <v/>
      </c>
      <c r="I221" s="17" t="n">
        <v>0.655</v>
      </c>
      <c r="J221" s="6">
        <f>1-I221</f>
        <v/>
      </c>
      <c r="K221" s="28">
        <f>H221*I221</f>
        <v/>
      </c>
      <c r="L221" s="3" t="inlineStr">
        <is>
          <t>epoch_csp_total_power_x_user_contract_share_seed</t>
        </is>
      </c>
      <c r="M221" s="3" t="inlineStr">
        <is>
          <t>SRC_EPOCH_AI_DATA_CENTERS; EPOCH_NORMALIZED_USER_SITES</t>
        </is>
      </c>
      <c r="N221" s="3" t="inlineStr">
        <is>
          <t>Seeded as CSP total power times AI-company attributed contract share. Replace csp_total_power_mw and ai_contract_share_of_csp with your long-term contract dataset.</t>
        </is>
      </c>
    </row>
    <row r="222">
      <c r="A222" s="3" t="inlineStr">
        <is>
          <t>Bear|OpenAI|2028|Oracle</t>
        </is>
      </c>
      <c r="B222" s="3" t="inlineStr">
        <is>
          <t>Bear</t>
        </is>
      </c>
      <c r="C222" s="3" t="inlineStr">
        <is>
          <t>OpenAI</t>
        </is>
      </c>
      <c r="D222" s="3" t="n">
        <v>2028</v>
      </c>
      <c r="E222" s="3" t="inlineStr">
        <is>
          <t>Oracle</t>
        </is>
      </c>
      <c r="F222" s="27" t="n">
        <v>5783</v>
      </c>
      <c r="G222" s="17" t="n">
        <v>0.98754971</v>
      </c>
      <c r="H222" s="28">
        <f>F222*G222</f>
        <v/>
      </c>
      <c r="I222" s="17" t="n">
        <v>0.59</v>
      </c>
      <c r="J222" s="6">
        <f>1-I222</f>
        <v/>
      </c>
      <c r="K222" s="28">
        <f>H222*I222</f>
        <v/>
      </c>
      <c r="L222" s="3" t="inlineStr">
        <is>
          <t>epoch_csp_total_power_x_user_contract_share_seed</t>
        </is>
      </c>
      <c r="M222" s="3" t="inlineStr">
        <is>
          <t>SRC_EPOCH_AI_DATA_CENTERS; EPOCH_NORMALIZED_USER_SITES</t>
        </is>
      </c>
      <c r="N222" s="3" t="inlineStr">
        <is>
          <t>Seeded as CSP total power times AI-company attributed contract share. Replace csp_total_power_mw and ai_contract_share_of_csp with your long-term contract dataset.</t>
        </is>
      </c>
    </row>
    <row r="223">
      <c r="A223" s="3" t="inlineStr">
        <is>
          <t>Base|OpenAI|2028|Oracle</t>
        </is>
      </c>
      <c r="B223" s="3" t="inlineStr">
        <is>
          <t>Base</t>
        </is>
      </c>
      <c r="C223" s="3" t="inlineStr">
        <is>
          <t>OpenAI</t>
        </is>
      </c>
      <c r="D223" s="3" t="n">
        <v>2028</v>
      </c>
      <c r="E223" s="3" t="inlineStr">
        <is>
          <t>Oracle</t>
        </is>
      </c>
      <c r="F223" s="27" t="n">
        <v>5783</v>
      </c>
      <c r="G223" s="17" t="n">
        <v>0.98754971</v>
      </c>
      <c r="H223" s="28">
        <f>F223*G223</f>
        <v/>
      </c>
      <c r="I223" s="17" t="n">
        <v>0.68</v>
      </c>
      <c r="J223" s="6">
        <f>1-I223</f>
        <v/>
      </c>
      <c r="K223" s="28">
        <f>H223*I223</f>
        <v/>
      </c>
      <c r="L223" s="3" t="inlineStr">
        <is>
          <t>epoch_csp_total_power_x_user_contract_share_seed</t>
        </is>
      </c>
      <c r="M223" s="3" t="inlineStr">
        <is>
          <t>SRC_EPOCH_AI_DATA_CENTERS; EPOCH_NORMALIZED_USER_SITES</t>
        </is>
      </c>
      <c r="N223" s="3" t="inlineStr">
        <is>
          <t>Seeded as CSP total power times AI-company attributed contract share. Replace csp_total_power_mw and ai_contract_share_of_csp with your long-term contract dataset.</t>
        </is>
      </c>
    </row>
    <row r="224">
      <c r="A224" s="3" t="inlineStr">
        <is>
          <t>Bull|OpenAI|2028|Oracle</t>
        </is>
      </c>
      <c r="B224" s="3" t="inlineStr">
        <is>
          <t>Bull</t>
        </is>
      </c>
      <c r="C224" s="3" t="inlineStr">
        <is>
          <t>OpenAI</t>
        </is>
      </c>
      <c r="D224" s="3" t="n">
        <v>2028</v>
      </c>
      <c r="E224" s="3" t="inlineStr">
        <is>
          <t>Oracle</t>
        </is>
      </c>
      <c r="F224" s="27" t="n">
        <v>5783</v>
      </c>
      <c r="G224" s="17" t="n">
        <v>0.98754971</v>
      </c>
      <c r="H224" s="28">
        <f>F224*G224</f>
        <v/>
      </c>
      <c r="I224" s="17" t="n">
        <v>0.745</v>
      </c>
      <c r="J224" s="6">
        <f>1-I224</f>
        <v/>
      </c>
      <c r="K224" s="28">
        <f>H224*I224</f>
        <v/>
      </c>
      <c r="L224" s="3" t="inlineStr">
        <is>
          <t>epoch_csp_total_power_x_user_contract_share_seed</t>
        </is>
      </c>
      <c r="M224" s="3" t="inlineStr">
        <is>
          <t>SRC_EPOCH_AI_DATA_CENTERS; EPOCH_NORMALIZED_USER_SITES</t>
        </is>
      </c>
      <c r="N224" s="3" t="inlineStr">
        <is>
          <t>Seeded as CSP total power times AI-company attributed contract share. Replace csp_total_power_mw and ai_contract_share_of_csp with your long-term contract dataset.</t>
        </is>
      </c>
    </row>
    <row r="225">
      <c r="A225" s="3" t="inlineStr">
        <is>
          <t>Grid-Constrained / Efficiency-Upside|OpenAI|2028|Oracle</t>
        </is>
      </c>
      <c r="B225" s="3" t="inlineStr">
        <is>
          <t>Grid-Constrained / Efficiency-Upside</t>
        </is>
      </c>
      <c r="C225" s="3" t="inlineStr">
        <is>
          <t>OpenAI</t>
        </is>
      </c>
      <c r="D225" s="3" t="n">
        <v>2028</v>
      </c>
      <c r="E225" s="3" t="inlineStr">
        <is>
          <t>Oracle</t>
        </is>
      </c>
      <c r="F225" s="27" t="n">
        <v>5783</v>
      </c>
      <c r="G225" s="17" t="n">
        <v>0.98754971</v>
      </c>
      <c r="H225" s="28">
        <f>F225*G225</f>
        <v/>
      </c>
      <c r="I225" s="17" t="n">
        <v>0.71</v>
      </c>
      <c r="J225" s="6">
        <f>1-I225</f>
        <v/>
      </c>
      <c r="K225" s="28">
        <f>H225*I225</f>
        <v/>
      </c>
      <c r="L225" s="3" t="inlineStr">
        <is>
          <t>epoch_csp_total_power_x_user_contract_share_seed</t>
        </is>
      </c>
      <c r="M225" s="3" t="inlineStr">
        <is>
          <t>SRC_EPOCH_AI_DATA_CENTERS; EPOCH_NORMALIZED_USER_SITES</t>
        </is>
      </c>
      <c r="N225" s="3" t="inlineStr">
        <is>
          <t>Seeded as CSP total power times AI-company attributed contract share. Replace csp_total_power_mw and ai_contract_share_of_csp with your long-term contract dataset.</t>
        </is>
      </c>
    </row>
    <row r="226">
      <c r="A226" s="3" t="inlineStr">
        <is>
          <t>Bear|OpenAI|2029|Oracle</t>
        </is>
      </c>
      <c r="B226" s="3" t="inlineStr">
        <is>
          <t>Bear</t>
        </is>
      </c>
      <c r="C226" s="3" t="inlineStr">
        <is>
          <t>OpenAI</t>
        </is>
      </c>
      <c r="D226" s="3" t="n">
        <v>2029</v>
      </c>
      <c r="E226" s="3" t="inlineStr">
        <is>
          <t>Oracle</t>
        </is>
      </c>
      <c r="F226" s="27" t="n">
        <v>5783</v>
      </c>
      <c r="G226" s="17" t="n">
        <v>0.98754971</v>
      </c>
      <c r="H226" s="28">
        <f>F226*G226</f>
        <v/>
      </c>
      <c r="I226" s="17" t="n">
        <v>0.635</v>
      </c>
      <c r="J226" s="6">
        <f>1-I226</f>
        <v/>
      </c>
      <c r="K226" s="28">
        <f>H226*I226</f>
        <v/>
      </c>
      <c r="L226" s="3" t="inlineStr">
        <is>
          <t>epoch_csp_total_power_x_user_contract_share_seed</t>
        </is>
      </c>
      <c r="M226" s="3" t="inlineStr">
        <is>
          <t>SRC_EPOCH_AI_DATA_CENTERS; EPOCH_NORMALIZED_USER_SITES</t>
        </is>
      </c>
      <c r="N226" s="3" t="inlineStr">
        <is>
          <t>Seeded as CSP total power times AI-company attributed contract share. Replace csp_total_power_mw and ai_contract_share_of_csp with your long-term contract dataset.</t>
        </is>
      </c>
    </row>
    <row r="227">
      <c r="A227" s="3" t="inlineStr">
        <is>
          <t>Base|OpenAI|2029|Oracle</t>
        </is>
      </c>
      <c r="B227" s="3" t="inlineStr">
        <is>
          <t>Base</t>
        </is>
      </c>
      <c r="C227" s="3" t="inlineStr">
        <is>
          <t>OpenAI</t>
        </is>
      </c>
      <c r="D227" s="3" t="n">
        <v>2029</v>
      </c>
      <c r="E227" s="3" t="inlineStr">
        <is>
          <t>Oracle</t>
        </is>
      </c>
      <c r="F227" s="27" t="n">
        <v>5783</v>
      </c>
      <c r="G227" s="17" t="n">
        <v>0.98754971</v>
      </c>
      <c r="H227" s="28">
        <f>F227*G227</f>
        <v/>
      </c>
      <c r="I227" s="17" t="n">
        <v>0.73</v>
      </c>
      <c r="J227" s="6">
        <f>1-I227</f>
        <v/>
      </c>
      <c r="K227" s="28">
        <f>H227*I227</f>
        <v/>
      </c>
      <c r="L227" s="3" t="inlineStr">
        <is>
          <t>epoch_csp_total_power_x_user_contract_share_seed</t>
        </is>
      </c>
      <c r="M227" s="3" t="inlineStr">
        <is>
          <t>SRC_EPOCH_AI_DATA_CENTERS; EPOCH_NORMALIZED_USER_SITES</t>
        </is>
      </c>
      <c r="N227" s="3" t="inlineStr">
        <is>
          <t>Seeded as CSP total power times AI-company attributed contract share. Replace csp_total_power_mw and ai_contract_share_of_csp with your long-term contract dataset.</t>
        </is>
      </c>
    </row>
    <row r="228">
      <c r="A228" s="3" t="inlineStr">
        <is>
          <t>Bull|OpenAI|2029|Oracle</t>
        </is>
      </c>
      <c r="B228" s="3" t="inlineStr">
        <is>
          <t>Bull</t>
        </is>
      </c>
      <c r="C228" s="3" t="inlineStr">
        <is>
          <t>OpenAI</t>
        </is>
      </c>
      <c r="D228" s="3" t="n">
        <v>2029</v>
      </c>
      <c r="E228" s="3" t="inlineStr">
        <is>
          <t>Oracle</t>
        </is>
      </c>
      <c r="F228" s="27" t="n">
        <v>5783</v>
      </c>
      <c r="G228" s="17" t="n">
        <v>0.98754971</v>
      </c>
      <c r="H228" s="28">
        <f>F228*G228</f>
        <v/>
      </c>
      <c r="I228" s="17" t="n">
        <v>0.802</v>
      </c>
      <c r="J228" s="6">
        <f>1-I228</f>
        <v/>
      </c>
      <c r="K228" s="28">
        <f>H228*I228</f>
        <v/>
      </c>
      <c r="L228" s="3" t="inlineStr">
        <is>
          <t>epoch_csp_total_power_x_user_contract_share_seed</t>
        </is>
      </c>
      <c r="M228" s="3" t="inlineStr">
        <is>
          <t>SRC_EPOCH_AI_DATA_CENTERS; EPOCH_NORMALIZED_USER_SITES</t>
        </is>
      </c>
      <c r="N228" s="3" t="inlineStr">
        <is>
          <t>Seeded as CSP total power times AI-company attributed contract share. Replace csp_total_power_mw and ai_contract_share_of_csp with your long-term contract dataset.</t>
        </is>
      </c>
    </row>
    <row r="229">
      <c r="A229" s="3" t="inlineStr">
        <is>
          <t>Grid-Constrained / Efficiency-Upside|OpenAI|2029|Oracle</t>
        </is>
      </c>
      <c r="B229" s="3" t="inlineStr">
        <is>
          <t>Grid-Constrained / Efficiency-Upside</t>
        </is>
      </c>
      <c r="C229" s="3" t="inlineStr">
        <is>
          <t>OpenAI</t>
        </is>
      </c>
      <c r="D229" s="3" t="n">
        <v>2029</v>
      </c>
      <c r="E229" s="3" t="inlineStr">
        <is>
          <t>Oracle</t>
        </is>
      </c>
      <c r="F229" s="27" t="n">
        <v>5783</v>
      </c>
      <c r="G229" s="17" t="n">
        <v>0.98754971</v>
      </c>
      <c r="H229" s="28">
        <f>F229*G229</f>
        <v/>
      </c>
      <c r="I229" s="17" t="n">
        <v>0.765</v>
      </c>
      <c r="J229" s="6">
        <f>1-I229</f>
        <v/>
      </c>
      <c r="K229" s="28">
        <f>H229*I229</f>
        <v/>
      </c>
      <c r="L229" s="3" t="inlineStr">
        <is>
          <t>epoch_csp_total_power_x_user_contract_share_seed</t>
        </is>
      </c>
      <c r="M229" s="3" t="inlineStr">
        <is>
          <t>SRC_EPOCH_AI_DATA_CENTERS; EPOCH_NORMALIZED_USER_SITES</t>
        </is>
      </c>
      <c r="N229" s="3" t="inlineStr">
        <is>
          <t>Seeded as CSP total power times AI-company attributed contract share. Replace csp_total_power_mw and ai_contract_share_of_csp with your long-term contract dataset.</t>
        </is>
      </c>
    </row>
    <row r="230">
      <c r="A230" s="3" t="inlineStr">
        <is>
          <t>Bear|OpenAI|2030|Oracle</t>
        </is>
      </c>
      <c r="B230" s="3" t="inlineStr">
        <is>
          <t>Bear</t>
        </is>
      </c>
      <c r="C230" s="3" t="inlineStr">
        <is>
          <t>OpenAI</t>
        </is>
      </c>
      <c r="D230" s="3" t="n">
        <v>2030</v>
      </c>
      <c r="E230" s="3" t="inlineStr">
        <is>
          <t>Oracle</t>
        </is>
      </c>
      <c r="F230" s="27" t="n">
        <v>5783</v>
      </c>
      <c r="G230" s="17" t="n">
        <v>0.98754971</v>
      </c>
      <c r="H230" s="28">
        <f>F230*G230</f>
        <v/>
      </c>
      <c r="I230" s="17" t="n">
        <v>0.68</v>
      </c>
      <c r="J230" s="6">
        <f>1-I230</f>
        <v/>
      </c>
      <c r="K230" s="28">
        <f>H230*I230</f>
        <v/>
      </c>
      <c r="L230" s="3" t="inlineStr">
        <is>
          <t>epoch_csp_total_power_x_user_contract_share_seed</t>
        </is>
      </c>
      <c r="M230" s="3" t="inlineStr">
        <is>
          <t>SRC_EPOCH_AI_DATA_CENTERS; EPOCH_NORMALIZED_USER_SITES</t>
        </is>
      </c>
      <c r="N230" s="3" t="inlineStr">
        <is>
          <t>Seeded as CSP total power times AI-company attributed contract share. Replace csp_total_power_mw and ai_contract_share_of_csp with your long-term contract dataset.</t>
        </is>
      </c>
    </row>
    <row r="231">
      <c r="A231" s="3" t="inlineStr">
        <is>
          <t>Base|OpenAI|2030|Oracle</t>
        </is>
      </c>
      <c r="B231" s="3" t="inlineStr">
        <is>
          <t>Base</t>
        </is>
      </c>
      <c r="C231" s="3" t="inlineStr">
        <is>
          <t>OpenAI</t>
        </is>
      </c>
      <c r="D231" s="3" t="n">
        <v>2030</v>
      </c>
      <c r="E231" s="3" t="inlineStr">
        <is>
          <t>Oracle</t>
        </is>
      </c>
      <c r="F231" s="27" t="n">
        <v>5783</v>
      </c>
      <c r="G231" s="17" t="n">
        <v>0.98754971</v>
      </c>
      <c r="H231" s="28">
        <f>F231*G231</f>
        <v/>
      </c>
      <c r="I231" s="17" t="n">
        <v>0.78</v>
      </c>
      <c r="J231" s="6">
        <f>1-I231</f>
        <v/>
      </c>
      <c r="K231" s="28">
        <f>H231*I231</f>
        <v/>
      </c>
      <c r="L231" s="3" t="inlineStr">
        <is>
          <t>epoch_csp_total_power_x_user_contract_share_seed</t>
        </is>
      </c>
      <c r="M231" s="3" t="inlineStr">
        <is>
          <t>SRC_EPOCH_AI_DATA_CENTERS; EPOCH_NORMALIZED_USER_SITES</t>
        </is>
      </c>
      <c r="N231" s="3" t="inlineStr">
        <is>
          <t>Seeded as CSP total power times AI-company attributed contract share. Replace csp_total_power_mw and ai_contract_share_of_csp with your long-term contract dataset.</t>
        </is>
      </c>
    </row>
    <row r="232">
      <c r="A232" s="3" t="inlineStr">
        <is>
          <t>Bull|OpenAI|2030|Oracle</t>
        </is>
      </c>
      <c r="B232" s="3" t="inlineStr">
        <is>
          <t>Bull</t>
        </is>
      </c>
      <c r="C232" s="3" t="inlineStr">
        <is>
          <t>OpenAI</t>
        </is>
      </c>
      <c r="D232" s="3" t="n">
        <v>2030</v>
      </c>
      <c r="E232" s="3" t="inlineStr">
        <is>
          <t>Oracle</t>
        </is>
      </c>
      <c r="F232" s="27" t="n">
        <v>5783</v>
      </c>
      <c r="G232" s="17" t="n">
        <v>0.98754971</v>
      </c>
      <c r="H232" s="28">
        <f>F232*G232</f>
        <v/>
      </c>
      <c r="I232" s="17" t="n">
        <v>0.86</v>
      </c>
      <c r="J232" s="6">
        <f>1-I232</f>
        <v/>
      </c>
      <c r="K232" s="28">
        <f>H232*I232</f>
        <v/>
      </c>
      <c r="L232" s="3" t="inlineStr">
        <is>
          <t>epoch_csp_total_power_x_user_contract_share_seed</t>
        </is>
      </c>
      <c r="M232" s="3" t="inlineStr">
        <is>
          <t>SRC_EPOCH_AI_DATA_CENTERS; EPOCH_NORMALIZED_USER_SITES</t>
        </is>
      </c>
      <c r="N232" s="3" t="inlineStr">
        <is>
          <t>Seeded as CSP total power times AI-company attributed contract share. Replace csp_total_power_mw and ai_contract_share_of_csp with your long-term contract dataset.</t>
        </is>
      </c>
    </row>
    <row r="233">
      <c r="A233" s="3" t="inlineStr">
        <is>
          <t>Grid-Constrained / Efficiency-Upside|OpenAI|2030|Oracle</t>
        </is>
      </c>
      <c r="B233" s="3" t="inlineStr">
        <is>
          <t>Grid-Constrained / Efficiency-Upside</t>
        </is>
      </c>
      <c r="C233" s="3" t="inlineStr">
        <is>
          <t>OpenAI</t>
        </is>
      </c>
      <c r="D233" s="3" t="n">
        <v>2030</v>
      </c>
      <c r="E233" s="3" t="inlineStr">
        <is>
          <t>Oracle</t>
        </is>
      </c>
      <c r="F233" s="27" t="n">
        <v>5783</v>
      </c>
      <c r="G233" s="17" t="n">
        <v>0.98754971</v>
      </c>
      <c r="H233" s="28">
        <f>F233*G233</f>
        <v/>
      </c>
      <c r="I233" s="17" t="n">
        <v>0.82</v>
      </c>
      <c r="J233" s="6">
        <f>1-I233</f>
        <v/>
      </c>
      <c r="K233" s="28">
        <f>H233*I233</f>
        <v/>
      </c>
      <c r="L233" s="3" t="inlineStr">
        <is>
          <t>epoch_csp_total_power_x_user_contract_share_seed</t>
        </is>
      </c>
      <c r="M233" s="3" t="inlineStr">
        <is>
          <t>SRC_EPOCH_AI_DATA_CENTERS; EPOCH_NORMALIZED_USER_SITES</t>
        </is>
      </c>
      <c r="N233" s="3" t="inlineStr">
        <is>
          <t>Seeded as CSP total power times AI-company attributed contract share. Replace csp_total_power_mw and ai_contract_share_of_csp with your long-term contract dataset.</t>
        </is>
      </c>
    </row>
    <row r="234">
      <c r="A234" s="3" t="inlineStr">
        <is>
          <t>Bear|OpenAI|2028|Softbank</t>
        </is>
      </c>
      <c r="B234" s="3" t="inlineStr">
        <is>
          <t>Bear</t>
        </is>
      </c>
      <c r="C234" s="3" t="inlineStr">
        <is>
          <t>OpenAI</t>
        </is>
      </c>
      <c r="D234" s="3" t="n">
        <v>2028</v>
      </c>
      <c r="E234" s="3" t="inlineStr">
        <is>
          <t>Softbank</t>
        </is>
      </c>
      <c r="F234" s="27" t="n">
        <v>857</v>
      </c>
      <c r="G234" s="17" t="n">
        <v>1</v>
      </c>
      <c r="H234" s="28">
        <f>F234*G234</f>
        <v/>
      </c>
      <c r="I234" s="17" t="n">
        <v>0.59</v>
      </c>
      <c r="J234" s="6">
        <f>1-I234</f>
        <v/>
      </c>
      <c r="K234" s="28">
        <f>H234*I234</f>
        <v/>
      </c>
      <c r="L234" s="3" t="inlineStr">
        <is>
          <t>epoch_csp_total_power_x_user_contract_share_seed</t>
        </is>
      </c>
      <c r="M234" s="3" t="inlineStr">
        <is>
          <t>SRC_EPOCH_AI_DATA_CENTERS; EPOCH_NORMALIZED_USER_SITES</t>
        </is>
      </c>
      <c r="N234" s="3" t="inlineStr">
        <is>
          <t>Seeded as CSP total power times AI-company attributed contract share. Replace csp_total_power_mw and ai_contract_share_of_csp with your long-term contract dataset.</t>
        </is>
      </c>
    </row>
    <row r="235">
      <c r="A235" s="3" t="inlineStr">
        <is>
          <t>Base|OpenAI|2028|Softbank</t>
        </is>
      </c>
      <c r="B235" s="3" t="inlineStr">
        <is>
          <t>Base</t>
        </is>
      </c>
      <c r="C235" s="3" t="inlineStr">
        <is>
          <t>OpenAI</t>
        </is>
      </c>
      <c r="D235" s="3" t="n">
        <v>2028</v>
      </c>
      <c r="E235" s="3" t="inlineStr">
        <is>
          <t>Softbank</t>
        </is>
      </c>
      <c r="F235" s="27" t="n">
        <v>857</v>
      </c>
      <c r="G235" s="17" t="n">
        <v>1</v>
      </c>
      <c r="H235" s="28">
        <f>F235*G235</f>
        <v/>
      </c>
      <c r="I235" s="17" t="n">
        <v>0.68</v>
      </c>
      <c r="J235" s="6">
        <f>1-I235</f>
        <v/>
      </c>
      <c r="K235" s="28">
        <f>H235*I235</f>
        <v/>
      </c>
      <c r="L235" s="3" t="inlineStr">
        <is>
          <t>epoch_csp_total_power_x_user_contract_share_seed</t>
        </is>
      </c>
      <c r="M235" s="3" t="inlineStr">
        <is>
          <t>SRC_EPOCH_AI_DATA_CENTERS; EPOCH_NORMALIZED_USER_SITES</t>
        </is>
      </c>
      <c r="N235" s="3" t="inlineStr">
        <is>
          <t>Seeded as CSP total power times AI-company attributed contract share. Replace csp_total_power_mw and ai_contract_share_of_csp with your long-term contract dataset.</t>
        </is>
      </c>
    </row>
    <row r="236">
      <c r="A236" s="3" t="inlineStr">
        <is>
          <t>Bull|OpenAI|2028|Softbank</t>
        </is>
      </c>
      <c r="B236" s="3" t="inlineStr">
        <is>
          <t>Bull</t>
        </is>
      </c>
      <c r="C236" s="3" t="inlineStr">
        <is>
          <t>OpenAI</t>
        </is>
      </c>
      <c r="D236" s="3" t="n">
        <v>2028</v>
      </c>
      <c r="E236" s="3" t="inlineStr">
        <is>
          <t>Softbank</t>
        </is>
      </c>
      <c r="F236" s="27" t="n">
        <v>857</v>
      </c>
      <c r="G236" s="17" t="n">
        <v>1</v>
      </c>
      <c r="H236" s="28">
        <f>F236*G236</f>
        <v/>
      </c>
      <c r="I236" s="17" t="n">
        <v>0.745</v>
      </c>
      <c r="J236" s="6">
        <f>1-I236</f>
        <v/>
      </c>
      <c r="K236" s="28">
        <f>H236*I236</f>
        <v/>
      </c>
      <c r="L236" s="3" t="inlineStr">
        <is>
          <t>epoch_csp_total_power_x_user_contract_share_seed</t>
        </is>
      </c>
      <c r="M236" s="3" t="inlineStr">
        <is>
          <t>SRC_EPOCH_AI_DATA_CENTERS; EPOCH_NORMALIZED_USER_SITES</t>
        </is>
      </c>
      <c r="N236" s="3" t="inlineStr">
        <is>
          <t>Seeded as CSP total power times AI-company attributed contract share. Replace csp_total_power_mw and ai_contract_share_of_csp with your long-term contract dataset.</t>
        </is>
      </c>
    </row>
    <row r="237">
      <c r="A237" s="3" t="inlineStr">
        <is>
          <t>Grid-Constrained / Efficiency-Upside|OpenAI|2028|Softbank</t>
        </is>
      </c>
      <c r="B237" s="3" t="inlineStr">
        <is>
          <t>Grid-Constrained / Efficiency-Upside</t>
        </is>
      </c>
      <c r="C237" s="3" t="inlineStr">
        <is>
          <t>OpenAI</t>
        </is>
      </c>
      <c r="D237" s="3" t="n">
        <v>2028</v>
      </c>
      <c r="E237" s="3" t="inlineStr">
        <is>
          <t>Softbank</t>
        </is>
      </c>
      <c r="F237" s="27" t="n">
        <v>857</v>
      </c>
      <c r="G237" s="17" t="n">
        <v>1</v>
      </c>
      <c r="H237" s="28">
        <f>F237*G237</f>
        <v/>
      </c>
      <c r="I237" s="17" t="n">
        <v>0.71</v>
      </c>
      <c r="J237" s="6">
        <f>1-I237</f>
        <v/>
      </c>
      <c r="K237" s="28">
        <f>H237*I237</f>
        <v/>
      </c>
      <c r="L237" s="3" t="inlineStr">
        <is>
          <t>epoch_csp_total_power_x_user_contract_share_seed</t>
        </is>
      </c>
      <c r="M237" s="3" t="inlineStr">
        <is>
          <t>SRC_EPOCH_AI_DATA_CENTERS; EPOCH_NORMALIZED_USER_SITES</t>
        </is>
      </c>
      <c r="N237" s="3" t="inlineStr">
        <is>
          <t>Seeded as CSP total power times AI-company attributed contract share. Replace csp_total_power_mw and ai_contract_share_of_csp with your long-term contract dataset.</t>
        </is>
      </c>
    </row>
    <row r="238">
      <c r="A238" s="3" t="inlineStr">
        <is>
          <t>Bear|OpenAI|2029|Softbank</t>
        </is>
      </c>
      <c r="B238" s="3" t="inlineStr">
        <is>
          <t>Bear</t>
        </is>
      </c>
      <c r="C238" s="3" t="inlineStr">
        <is>
          <t>OpenAI</t>
        </is>
      </c>
      <c r="D238" s="3" t="n">
        <v>2029</v>
      </c>
      <c r="E238" s="3" t="inlineStr">
        <is>
          <t>Softbank</t>
        </is>
      </c>
      <c r="F238" s="27" t="n">
        <v>857</v>
      </c>
      <c r="G238" s="17" t="n">
        <v>1</v>
      </c>
      <c r="H238" s="28">
        <f>F238*G238</f>
        <v/>
      </c>
      <c r="I238" s="17" t="n">
        <v>0.635</v>
      </c>
      <c r="J238" s="6">
        <f>1-I238</f>
        <v/>
      </c>
      <c r="K238" s="28">
        <f>H238*I238</f>
        <v/>
      </c>
      <c r="L238" s="3" t="inlineStr">
        <is>
          <t>epoch_csp_total_power_x_user_contract_share_seed</t>
        </is>
      </c>
      <c r="M238" s="3" t="inlineStr">
        <is>
          <t>SRC_EPOCH_AI_DATA_CENTERS; EPOCH_NORMALIZED_USER_SITES</t>
        </is>
      </c>
      <c r="N238" s="3" t="inlineStr">
        <is>
          <t>Seeded as CSP total power times AI-company attributed contract share. Replace csp_total_power_mw and ai_contract_share_of_csp with your long-term contract dataset.</t>
        </is>
      </c>
    </row>
    <row r="239">
      <c r="A239" s="3" t="inlineStr">
        <is>
          <t>Base|OpenAI|2029|Softbank</t>
        </is>
      </c>
      <c r="B239" s="3" t="inlineStr">
        <is>
          <t>Base</t>
        </is>
      </c>
      <c r="C239" s="3" t="inlineStr">
        <is>
          <t>OpenAI</t>
        </is>
      </c>
      <c r="D239" s="3" t="n">
        <v>2029</v>
      </c>
      <c r="E239" s="3" t="inlineStr">
        <is>
          <t>Softbank</t>
        </is>
      </c>
      <c r="F239" s="27" t="n">
        <v>857</v>
      </c>
      <c r="G239" s="17" t="n">
        <v>1</v>
      </c>
      <c r="H239" s="28">
        <f>F239*G239</f>
        <v/>
      </c>
      <c r="I239" s="17" t="n">
        <v>0.73</v>
      </c>
      <c r="J239" s="6">
        <f>1-I239</f>
        <v/>
      </c>
      <c r="K239" s="28">
        <f>H239*I239</f>
        <v/>
      </c>
      <c r="L239" s="3" t="inlineStr">
        <is>
          <t>epoch_csp_total_power_x_user_contract_share_seed</t>
        </is>
      </c>
      <c r="M239" s="3" t="inlineStr">
        <is>
          <t>SRC_EPOCH_AI_DATA_CENTERS; EPOCH_NORMALIZED_USER_SITES</t>
        </is>
      </c>
      <c r="N239" s="3" t="inlineStr">
        <is>
          <t>Seeded as CSP total power times AI-company attributed contract share. Replace csp_total_power_mw and ai_contract_share_of_csp with your long-term contract dataset.</t>
        </is>
      </c>
    </row>
    <row r="240">
      <c r="A240" s="3" t="inlineStr">
        <is>
          <t>Bull|OpenAI|2029|Softbank</t>
        </is>
      </c>
      <c r="B240" s="3" t="inlineStr">
        <is>
          <t>Bull</t>
        </is>
      </c>
      <c r="C240" s="3" t="inlineStr">
        <is>
          <t>OpenAI</t>
        </is>
      </c>
      <c r="D240" s="3" t="n">
        <v>2029</v>
      </c>
      <c r="E240" s="3" t="inlineStr">
        <is>
          <t>Softbank</t>
        </is>
      </c>
      <c r="F240" s="27" t="n">
        <v>857</v>
      </c>
      <c r="G240" s="17" t="n">
        <v>1</v>
      </c>
      <c r="H240" s="28">
        <f>F240*G240</f>
        <v/>
      </c>
      <c r="I240" s="17" t="n">
        <v>0.802</v>
      </c>
      <c r="J240" s="6">
        <f>1-I240</f>
        <v/>
      </c>
      <c r="K240" s="28">
        <f>H240*I240</f>
        <v/>
      </c>
      <c r="L240" s="3" t="inlineStr">
        <is>
          <t>epoch_csp_total_power_x_user_contract_share_seed</t>
        </is>
      </c>
      <c r="M240" s="3" t="inlineStr">
        <is>
          <t>SRC_EPOCH_AI_DATA_CENTERS; EPOCH_NORMALIZED_USER_SITES</t>
        </is>
      </c>
      <c r="N240" s="3" t="inlineStr">
        <is>
          <t>Seeded as CSP total power times AI-company attributed contract share. Replace csp_total_power_mw and ai_contract_share_of_csp with your long-term contract dataset.</t>
        </is>
      </c>
    </row>
    <row r="241">
      <c r="A241" s="3" t="inlineStr">
        <is>
          <t>Grid-Constrained / Efficiency-Upside|OpenAI|2029|Softbank</t>
        </is>
      </c>
      <c r="B241" s="3" t="inlineStr">
        <is>
          <t>Grid-Constrained / Efficiency-Upside</t>
        </is>
      </c>
      <c r="C241" s="3" t="inlineStr">
        <is>
          <t>OpenAI</t>
        </is>
      </c>
      <c r="D241" s="3" t="n">
        <v>2029</v>
      </c>
      <c r="E241" s="3" t="inlineStr">
        <is>
          <t>Softbank</t>
        </is>
      </c>
      <c r="F241" s="27" t="n">
        <v>857</v>
      </c>
      <c r="G241" s="17" t="n">
        <v>1</v>
      </c>
      <c r="H241" s="28">
        <f>F241*G241</f>
        <v/>
      </c>
      <c r="I241" s="17" t="n">
        <v>0.765</v>
      </c>
      <c r="J241" s="6">
        <f>1-I241</f>
        <v/>
      </c>
      <c r="K241" s="28">
        <f>H241*I241</f>
        <v/>
      </c>
      <c r="L241" s="3" t="inlineStr">
        <is>
          <t>epoch_csp_total_power_x_user_contract_share_seed</t>
        </is>
      </c>
      <c r="M241" s="3" t="inlineStr">
        <is>
          <t>SRC_EPOCH_AI_DATA_CENTERS; EPOCH_NORMALIZED_USER_SITES</t>
        </is>
      </c>
      <c r="N241" s="3" t="inlineStr">
        <is>
          <t>Seeded as CSP total power times AI-company attributed contract share. Replace csp_total_power_mw and ai_contract_share_of_csp with your long-term contract dataset.</t>
        </is>
      </c>
    </row>
    <row r="242">
      <c r="A242" s="3" t="inlineStr">
        <is>
          <t>Bear|OpenAI|2030|Softbank</t>
        </is>
      </c>
      <c r="B242" s="3" t="inlineStr">
        <is>
          <t>Bear</t>
        </is>
      </c>
      <c r="C242" s="3" t="inlineStr">
        <is>
          <t>OpenAI</t>
        </is>
      </c>
      <c r="D242" s="3" t="n">
        <v>2030</v>
      </c>
      <c r="E242" s="3" t="inlineStr">
        <is>
          <t>Softbank</t>
        </is>
      </c>
      <c r="F242" s="27" t="n">
        <v>857</v>
      </c>
      <c r="G242" s="17" t="n">
        <v>1</v>
      </c>
      <c r="H242" s="28">
        <f>F242*G242</f>
        <v/>
      </c>
      <c r="I242" s="17" t="n">
        <v>0.68</v>
      </c>
      <c r="J242" s="6">
        <f>1-I242</f>
        <v/>
      </c>
      <c r="K242" s="28">
        <f>H242*I242</f>
        <v/>
      </c>
      <c r="L242" s="3" t="inlineStr">
        <is>
          <t>epoch_csp_total_power_x_user_contract_share_seed</t>
        </is>
      </c>
      <c r="M242" s="3" t="inlineStr">
        <is>
          <t>SRC_EPOCH_AI_DATA_CENTERS; EPOCH_NORMALIZED_USER_SITES</t>
        </is>
      </c>
      <c r="N242" s="3" t="inlineStr">
        <is>
          <t>Seeded as CSP total power times AI-company attributed contract share. Replace csp_total_power_mw and ai_contract_share_of_csp with your long-term contract dataset.</t>
        </is>
      </c>
    </row>
    <row r="243">
      <c r="A243" s="3" t="inlineStr">
        <is>
          <t>Base|OpenAI|2030|Softbank</t>
        </is>
      </c>
      <c r="B243" s="3" t="inlineStr">
        <is>
          <t>Base</t>
        </is>
      </c>
      <c r="C243" s="3" t="inlineStr">
        <is>
          <t>OpenAI</t>
        </is>
      </c>
      <c r="D243" s="3" t="n">
        <v>2030</v>
      </c>
      <c r="E243" s="3" t="inlineStr">
        <is>
          <t>Softbank</t>
        </is>
      </c>
      <c r="F243" s="27" t="n">
        <v>857</v>
      </c>
      <c r="G243" s="17" t="n">
        <v>1</v>
      </c>
      <c r="H243" s="28">
        <f>F243*G243</f>
        <v/>
      </c>
      <c r="I243" s="17" t="n">
        <v>0.78</v>
      </c>
      <c r="J243" s="6">
        <f>1-I243</f>
        <v/>
      </c>
      <c r="K243" s="28">
        <f>H243*I243</f>
        <v/>
      </c>
      <c r="L243" s="3" t="inlineStr">
        <is>
          <t>epoch_csp_total_power_x_user_contract_share_seed</t>
        </is>
      </c>
      <c r="M243" s="3" t="inlineStr">
        <is>
          <t>SRC_EPOCH_AI_DATA_CENTERS; EPOCH_NORMALIZED_USER_SITES</t>
        </is>
      </c>
      <c r="N243" s="3" t="inlineStr">
        <is>
          <t>Seeded as CSP total power times AI-company attributed contract share. Replace csp_total_power_mw and ai_contract_share_of_csp with your long-term contract dataset.</t>
        </is>
      </c>
    </row>
    <row r="244">
      <c r="A244" s="3" t="inlineStr">
        <is>
          <t>Bull|OpenAI|2030|Softbank</t>
        </is>
      </c>
      <c r="B244" s="3" t="inlineStr">
        <is>
          <t>Bull</t>
        </is>
      </c>
      <c r="C244" s="3" t="inlineStr">
        <is>
          <t>OpenAI</t>
        </is>
      </c>
      <c r="D244" s="3" t="n">
        <v>2030</v>
      </c>
      <c r="E244" s="3" t="inlineStr">
        <is>
          <t>Softbank</t>
        </is>
      </c>
      <c r="F244" s="27" t="n">
        <v>857</v>
      </c>
      <c r="G244" s="17" t="n">
        <v>1</v>
      </c>
      <c r="H244" s="28">
        <f>F244*G244</f>
        <v/>
      </c>
      <c r="I244" s="17" t="n">
        <v>0.86</v>
      </c>
      <c r="J244" s="6">
        <f>1-I244</f>
        <v/>
      </c>
      <c r="K244" s="28">
        <f>H244*I244</f>
        <v/>
      </c>
      <c r="L244" s="3" t="inlineStr">
        <is>
          <t>epoch_csp_total_power_x_user_contract_share_seed</t>
        </is>
      </c>
      <c r="M244" s="3" t="inlineStr">
        <is>
          <t>SRC_EPOCH_AI_DATA_CENTERS; EPOCH_NORMALIZED_USER_SITES</t>
        </is>
      </c>
      <c r="N244" s="3" t="inlineStr">
        <is>
          <t>Seeded as CSP total power times AI-company attributed contract share. Replace csp_total_power_mw and ai_contract_share_of_csp with your long-term contract dataset.</t>
        </is>
      </c>
    </row>
    <row r="245">
      <c r="A245" s="3" t="inlineStr">
        <is>
          <t>Grid-Constrained / Efficiency-Upside|OpenAI|2030|Softbank</t>
        </is>
      </c>
      <c r="B245" s="3" t="inlineStr">
        <is>
          <t>Grid-Constrained / Efficiency-Upside</t>
        </is>
      </c>
      <c r="C245" s="3" t="inlineStr">
        <is>
          <t>OpenAI</t>
        </is>
      </c>
      <c r="D245" s="3" t="n">
        <v>2030</v>
      </c>
      <c r="E245" s="3" t="inlineStr">
        <is>
          <t>Softbank</t>
        </is>
      </c>
      <c r="F245" s="27" t="n">
        <v>857</v>
      </c>
      <c r="G245" s="17" t="n">
        <v>1</v>
      </c>
      <c r="H245" s="28">
        <f>F245*G245</f>
        <v/>
      </c>
      <c r="I245" s="17" t="n">
        <v>0.82</v>
      </c>
      <c r="J245" s="6">
        <f>1-I245</f>
        <v/>
      </c>
      <c r="K245" s="28">
        <f>H245*I245</f>
        <v/>
      </c>
      <c r="L245" s="3" t="inlineStr">
        <is>
          <t>epoch_csp_total_power_x_user_contract_share_seed</t>
        </is>
      </c>
      <c r="M245" s="3" t="inlineStr">
        <is>
          <t>SRC_EPOCH_AI_DATA_CENTERS; EPOCH_NORMALIZED_USER_SITES</t>
        </is>
      </c>
      <c r="N245" s="3" t="inlineStr">
        <is>
          <t>Seeded as CSP total power times AI-company attributed contract share. Replace csp_total_power_mw and ai_contract_share_of_csp with your long-term contract dataset.</t>
        </is>
      </c>
    </row>
    <row r="246">
      <c r="A246" s="3" t="inlineStr">
        <is>
          <t>Bear|xAI|2026|SpaceXAI</t>
        </is>
      </c>
      <c r="B246" s="3" t="inlineStr">
        <is>
          <t>Bear</t>
        </is>
      </c>
      <c r="C246" s="3" t="inlineStr">
        <is>
          <t>xAI</t>
        </is>
      </c>
      <c r="D246" s="3" t="n">
        <v>2026</v>
      </c>
      <c r="E246" s="3" t="inlineStr">
        <is>
          <t>SpaceXAI</t>
        </is>
      </c>
      <c r="F246" s="27" t="n">
        <v>1286</v>
      </c>
      <c r="G246" s="17" t="n">
        <v>0.24520451</v>
      </c>
      <c r="H246" s="28">
        <f>F246*G246</f>
        <v/>
      </c>
      <c r="I246" s="17" t="n">
        <v>0.37</v>
      </c>
      <c r="J246" s="6">
        <f>1-I246</f>
        <v/>
      </c>
      <c r="K246" s="28">
        <f>H246*I246</f>
        <v/>
      </c>
      <c r="L246" s="3" t="inlineStr">
        <is>
          <t>epoch_csp_total_power_x_user_contract_share_seed</t>
        </is>
      </c>
      <c r="M246" s="3" t="inlineStr">
        <is>
          <t>SRC_EPOCH_AI_DATA_CENTERS; EPOCH_NORMALIZED_USER_SITES</t>
        </is>
      </c>
      <c r="N246" s="3" t="inlineStr">
        <is>
          <t>Seeded as CSP total power times AI-company attributed contract share. Replace csp_total_power_mw and ai_contract_share_of_csp with your long-term contract dataset.</t>
        </is>
      </c>
    </row>
    <row r="247">
      <c r="A247" s="3" t="inlineStr">
        <is>
          <t>Base|xAI|2026|SpaceXAI</t>
        </is>
      </c>
      <c r="B247" s="3" t="inlineStr">
        <is>
          <t>Base</t>
        </is>
      </c>
      <c r="C247" s="3" t="inlineStr">
        <is>
          <t>xAI</t>
        </is>
      </c>
      <c r="D247" s="3" t="n">
        <v>2026</v>
      </c>
      <c r="E247" s="3" t="inlineStr">
        <is>
          <t>SpaceXAI</t>
        </is>
      </c>
      <c r="F247" s="27" t="n">
        <v>1286</v>
      </c>
      <c r="G247" s="17" t="n">
        <v>0.24520451</v>
      </c>
      <c r="H247" s="28">
        <f>F247*G247</f>
        <v/>
      </c>
      <c r="I247" s="17" t="n">
        <v>0.45</v>
      </c>
      <c r="J247" s="6">
        <f>1-I247</f>
        <v/>
      </c>
      <c r="K247" s="28">
        <f>H247*I247</f>
        <v/>
      </c>
      <c r="L247" s="3" t="inlineStr">
        <is>
          <t>epoch_csp_total_power_x_user_contract_share_seed</t>
        </is>
      </c>
      <c r="M247" s="3" t="inlineStr">
        <is>
          <t>SRC_EPOCH_AI_DATA_CENTERS; EPOCH_NORMALIZED_USER_SITES</t>
        </is>
      </c>
      <c r="N247" s="3" t="inlineStr">
        <is>
          <t>Seeded as CSP total power times AI-company attributed contract share. Replace csp_total_power_mw and ai_contract_share_of_csp with your long-term contract dataset.</t>
        </is>
      </c>
    </row>
    <row r="248">
      <c r="A248" s="3" t="inlineStr">
        <is>
          <t>Bull|xAI|2026|SpaceXAI</t>
        </is>
      </c>
      <c r="B248" s="3" t="inlineStr">
        <is>
          <t>Bull</t>
        </is>
      </c>
      <c r="C248" s="3" t="inlineStr">
        <is>
          <t>xAI</t>
        </is>
      </c>
      <c r="D248" s="3" t="n">
        <v>2026</v>
      </c>
      <c r="E248" s="3" t="inlineStr">
        <is>
          <t>SpaceXAI</t>
        </is>
      </c>
      <c r="F248" s="27" t="n">
        <v>1286</v>
      </c>
      <c r="G248" s="17" t="n">
        <v>0.24520451</v>
      </c>
      <c r="H248" s="28">
        <f>F248*G248</f>
        <v/>
      </c>
      <c r="I248" s="17" t="n">
        <v>0.5</v>
      </c>
      <c r="J248" s="6">
        <f>1-I248</f>
        <v/>
      </c>
      <c r="K248" s="28">
        <f>H248*I248</f>
        <v/>
      </c>
      <c r="L248" s="3" t="inlineStr">
        <is>
          <t>epoch_csp_total_power_x_user_contract_share_seed</t>
        </is>
      </c>
      <c r="M248" s="3" t="inlineStr">
        <is>
          <t>SRC_EPOCH_AI_DATA_CENTERS; EPOCH_NORMALIZED_USER_SITES</t>
        </is>
      </c>
      <c r="N248" s="3" t="inlineStr">
        <is>
          <t>Seeded as CSP total power times AI-company attributed contract share. Replace csp_total_power_mw and ai_contract_share_of_csp with your long-term contract dataset.</t>
        </is>
      </c>
    </row>
    <row r="249">
      <c r="A249" s="3" t="inlineStr">
        <is>
          <t>Grid-Constrained / Efficiency-Upside|xAI|2026|SpaceXAI</t>
        </is>
      </c>
      <c r="B249" s="3" t="inlineStr">
        <is>
          <t>Grid-Constrained / Efficiency-Upside</t>
        </is>
      </c>
      <c r="C249" s="3" t="inlineStr">
        <is>
          <t>xAI</t>
        </is>
      </c>
      <c r="D249" s="3" t="n">
        <v>2026</v>
      </c>
      <c r="E249" s="3" t="inlineStr">
        <is>
          <t>SpaceXAI</t>
        </is>
      </c>
      <c r="F249" s="27" t="n">
        <v>1286</v>
      </c>
      <c r="G249" s="17" t="n">
        <v>0.24520451</v>
      </c>
      <c r="H249" s="28">
        <f>F249*G249</f>
        <v/>
      </c>
      <c r="I249" s="17" t="n">
        <v>0.47</v>
      </c>
      <c r="J249" s="6">
        <f>1-I249</f>
        <v/>
      </c>
      <c r="K249" s="28">
        <f>H249*I249</f>
        <v/>
      </c>
      <c r="L249" s="3" t="inlineStr">
        <is>
          <t>epoch_csp_total_power_x_user_contract_share_seed</t>
        </is>
      </c>
      <c r="M249" s="3" t="inlineStr">
        <is>
          <t>SRC_EPOCH_AI_DATA_CENTERS; EPOCH_NORMALIZED_USER_SITES</t>
        </is>
      </c>
      <c r="N249" s="3" t="inlineStr">
        <is>
          <t>Seeded as CSP total power times AI-company attributed contract share. Replace csp_total_power_mw and ai_contract_share_of_csp with your long-term contract dataset.</t>
        </is>
      </c>
    </row>
    <row r="250">
      <c r="A250" s="3" t="inlineStr">
        <is>
          <t>Bear|xAI|2027|SpaceXAI</t>
        </is>
      </c>
      <c r="B250" s="3" t="inlineStr">
        <is>
          <t>Bear</t>
        </is>
      </c>
      <c r="C250" s="3" t="inlineStr">
        <is>
          <t>xAI</t>
        </is>
      </c>
      <c r="D250" s="3" t="n">
        <v>2027</v>
      </c>
      <c r="E250" s="3" t="inlineStr">
        <is>
          <t>SpaceXAI</t>
        </is>
      </c>
      <c r="F250" s="27" t="n">
        <v>1286</v>
      </c>
      <c r="G250" s="17" t="n">
        <v>0.24520451</v>
      </c>
      <c r="H250" s="28">
        <f>F250*G250</f>
        <v/>
      </c>
      <c r="I250" s="17" t="n">
        <v>0.427</v>
      </c>
      <c r="J250" s="6">
        <f>1-I250</f>
        <v/>
      </c>
      <c r="K250" s="28">
        <f>H250*I250</f>
        <v/>
      </c>
      <c r="L250" s="3" t="inlineStr">
        <is>
          <t>epoch_csp_total_power_x_user_contract_share_seed</t>
        </is>
      </c>
      <c r="M250" s="3" t="inlineStr">
        <is>
          <t>SRC_EPOCH_AI_DATA_CENTERS; EPOCH_NORMALIZED_USER_SITES</t>
        </is>
      </c>
      <c r="N250" s="3" t="inlineStr">
        <is>
          <t>Seeded as CSP total power times AI-company attributed contract share. Replace csp_total_power_mw and ai_contract_share_of_csp with your long-term contract dataset.</t>
        </is>
      </c>
    </row>
    <row r="251">
      <c r="A251" s="3" t="inlineStr">
        <is>
          <t>Base|xAI|2027|SpaceXAI</t>
        </is>
      </c>
      <c r="B251" s="3" t="inlineStr">
        <is>
          <t>Base</t>
        </is>
      </c>
      <c r="C251" s="3" t="inlineStr">
        <is>
          <t>xAI</t>
        </is>
      </c>
      <c r="D251" s="3" t="n">
        <v>2027</v>
      </c>
      <c r="E251" s="3" t="inlineStr">
        <is>
          <t>SpaceXAI</t>
        </is>
      </c>
      <c r="F251" s="27" t="n">
        <v>1286</v>
      </c>
      <c r="G251" s="17" t="n">
        <v>0.24520451</v>
      </c>
      <c r="H251" s="28">
        <f>F251*G251</f>
        <v/>
      </c>
      <c r="I251" s="17" t="n">
        <v>0.512</v>
      </c>
      <c r="J251" s="6">
        <f>1-I251</f>
        <v/>
      </c>
      <c r="K251" s="28">
        <f>H251*I251</f>
        <v/>
      </c>
      <c r="L251" s="3" t="inlineStr">
        <is>
          <t>epoch_csp_total_power_x_user_contract_share_seed</t>
        </is>
      </c>
      <c r="M251" s="3" t="inlineStr">
        <is>
          <t>SRC_EPOCH_AI_DATA_CENTERS; EPOCH_NORMALIZED_USER_SITES</t>
        </is>
      </c>
      <c r="N251" s="3" t="inlineStr">
        <is>
          <t>Seeded as CSP total power times AI-company attributed contract share. Replace csp_total_power_mw and ai_contract_share_of_csp with your long-term contract dataset.</t>
        </is>
      </c>
    </row>
    <row r="252">
      <c r="A252" s="3" t="inlineStr">
        <is>
          <t>Bull|xAI|2027|SpaceXAI</t>
        </is>
      </c>
      <c r="B252" s="3" t="inlineStr">
        <is>
          <t>Bull</t>
        </is>
      </c>
      <c r="C252" s="3" t="inlineStr">
        <is>
          <t>xAI</t>
        </is>
      </c>
      <c r="D252" s="3" t="n">
        <v>2027</v>
      </c>
      <c r="E252" s="3" t="inlineStr">
        <is>
          <t>SpaceXAI</t>
        </is>
      </c>
      <c r="F252" s="27" t="n">
        <v>1286</v>
      </c>
      <c r="G252" s="17" t="n">
        <v>0.24520451</v>
      </c>
      <c r="H252" s="28">
        <f>F252*G252</f>
        <v/>
      </c>
      <c r="I252" s="17" t="n">
        <v>0.57</v>
      </c>
      <c r="J252" s="6">
        <f>1-I252</f>
        <v/>
      </c>
      <c r="K252" s="28">
        <f>H252*I252</f>
        <v/>
      </c>
      <c r="L252" s="3" t="inlineStr">
        <is>
          <t>epoch_csp_total_power_x_user_contract_share_seed</t>
        </is>
      </c>
      <c r="M252" s="3" t="inlineStr">
        <is>
          <t>SRC_EPOCH_AI_DATA_CENTERS; EPOCH_NORMALIZED_USER_SITES</t>
        </is>
      </c>
      <c r="N252" s="3" t="inlineStr">
        <is>
          <t>Seeded as CSP total power times AI-company attributed contract share. Replace csp_total_power_mw and ai_contract_share_of_csp with your long-term contract dataset.</t>
        </is>
      </c>
    </row>
    <row r="253">
      <c r="A253" s="3" t="inlineStr">
        <is>
          <t>Grid-Constrained / Efficiency-Upside|xAI|2027|SpaceXAI</t>
        </is>
      </c>
      <c r="B253" s="3" t="inlineStr">
        <is>
          <t>Grid-Constrained / Efficiency-Upside</t>
        </is>
      </c>
      <c r="C253" s="3" t="inlineStr">
        <is>
          <t>xAI</t>
        </is>
      </c>
      <c r="D253" s="3" t="n">
        <v>2027</v>
      </c>
      <c r="E253" s="3" t="inlineStr">
        <is>
          <t>SpaceXAI</t>
        </is>
      </c>
      <c r="F253" s="27" t="n">
        <v>1286</v>
      </c>
      <c r="G253" s="17" t="n">
        <v>0.24520451</v>
      </c>
      <c r="H253" s="28">
        <f>F253*G253</f>
        <v/>
      </c>
      <c r="I253" s="17" t="n">
        <v>0.537</v>
      </c>
      <c r="J253" s="6">
        <f>1-I253</f>
        <v/>
      </c>
      <c r="K253" s="28">
        <f>H253*I253</f>
        <v/>
      </c>
      <c r="L253" s="3" t="inlineStr">
        <is>
          <t>epoch_csp_total_power_x_user_contract_share_seed</t>
        </is>
      </c>
      <c r="M253" s="3" t="inlineStr">
        <is>
          <t>SRC_EPOCH_AI_DATA_CENTERS; EPOCH_NORMALIZED_USER_SITES</t>
        </is>
      </c>
      <c r="N253" s="3" t="inlineStr">
        <is>
          <t>Seeded as CSP total power times AI-company attributed contract share. Replace csp_total_power_mw and ai_contract_share_of_csp with your long-term contract dataset.</t>
        </is>
      </c>
    </row>
    <row r="254">
      <c r="A254" s="3" t="inlineStr">
        <is>
          <t>Bear|xAI|2028|SpaceXAI</t>
        </is>
      </c>
      <c r="B254" s="3" t="inlineStr">
        <is>
          <t>Bear</t>
        </is>
      </c>
      <c r="C254" s="3" t="inlineStr">
        <is>
          <t>xAI</t>
        </is>
      </c>
      <c r="D254" s="3" t="n">
        <v>2028</v>
      </c>
      <c r="E254" s="3" t="inlineStr">
        <is>
          <t>SpaceXAI</t>
        </is>
      </c>
      <c r="F254" s="27" t="n">
        <v>1286</v>
      </c>
      <c r="G254" s="17" t="n">
        <v>0.24520451</v>
      </c>
      <c r="H254" s="28">
        <f>F254*G254</f>
        <v/>
      </c>
      <c r="I254" s="17" t="n">
        <v>0.485</v>
      </c>
      <c r="J254" s="6">
        <f>1-I254</f>
        <v/>
      </c>
      <c r="K254" s="28">
        <f>H254*I254</f>
        <v/>
      </c>
      <c r="L254" s="3" t="inlineStr">
        <is>
          <t>epoch_csp_total_power_x_user_contract_share_seed</t>
        </is>
      </c>
      <c r="M254" s="3" t="inlineStr">
        <is>
          <t>SRC_EPOCH_AI_DATA_CENTERS; EPOCH_NORMALIZED_USER_SITES</t>
        </is>
      </c>
      <c r="N254" s="3" t="inlineStr">
        <is>
          <t>Seeded as CSP total power times AI-company attributed contract share. Replace csp_total_power_mw and ai_contract_share_of_csp with your long-term contract dataset.</t>
        </is>
      </c>
    </row>
    <row r="255">
      <c r="A255" s="3" t="inlineStr">
        <is>
          <t>Base|xAI|2028|SpaceXAI</t>
        </is>
      </c>
      <c r="B255" s="3" t="inlineStr">
        <is>
          <t>Base</t>
        </is>
      </c>
      <c r="C255" s="3" t="inlineStr">
        <is>
          <t>xAI</t>
        </is>
      </c>
      <c r="D255" s="3" t="n">
        <v>2028</v>
      </c>
      <c r="E255" s="3" t="inlineStr">
        <is>
          <t>SpaceXAI</t>
        </is>
      </c>
      <c r="F255" s="27" t="n">
        <v>1286</v>
      </c>
      <c r="G255" s="17" t="n">
        <v>0.24520451</v>
      </c>
      <c r="H255" s="28">
        <f>F255*G255</f>
        <v/>
      </c>
      <c r="I255" s="17" t="n">
        <v>0.575</v>
      </c>
      <c r="J255" s="6">
        <f>1-I255</f>
        <v/>
      </c>
      <c r="K255" s="28">
        <f>H255*I255</f>
        <v/>
      </c>
      <c r="L255" s="3" t="inlineStr">
        <is>
          <t>epoch_csp_total_power_x_user_contract_share_seed</t>
        </is>
      </c>
      <c r="M255" s="3" t="inlineStr">
        <is>
          <t>SRC_EPOCH_AI_DATA_CENTERS; EPOCH_NORMALIZED_USER_SITES</t>
        </is>
      </c>
      <c r="N255" s="3" t="inlineStr">
        <is>
          <t>Seeded as CSP total power times AI-company attributed contract share. Replace csp_total_power_mw and ai_contract_share_of_csp with your long-term contract dataset.</t>
        </is>
      </c>
    </row>
    <row r="256">
      <c r="A256" s="3" t="inlineStr">
        <is>
          <t>Bull|xAI|2028|SpaceXAI</t>
        </is>
      </c>
      <c r="B256" s="3" t="inlineStr">
        <is>
          <t>Bull</t>
        </is>
      </c>
      <c r="C256" s="3" t="inlineStr">
        <is>
          <t>xAI</t>
        </is>
      </c>
      <c r="D256" s="3" t="n">
        <v>2028</v>
      </c>
      <c r="E256" s="3" t="inlineStr">
        <is>
          <t>SpaceXAI</t>
        </is>
      </c>
      <c r="F256" s="27" t="n">
        <v>1286</v>
      </c>
      <c r="G256" s="17" t="n">
        <v>0.24520451</v>
      </c>
      <c r="H256" s="28">
        <f>F256*G256</f>
        <v/>
      </c>
      <c r="I256" s="17" t="n">
        <v>0.64</v>
      </c>
      <c r="J256" s="6">
        <f>1-I256</f>
        <v/>
      </c>
      <c r="K256" s="28">
        <f>H256*I256</f>
        <v/>
      </c>
      <c r="L256" s="3" t="inlineStr">
        <is>
          <t>epoch_csp_total_power_x_user_contract_share_seed</t>
        </is>
      </c>
      <c r="M256" s="3" t="inlineStr">
        <is>
          <t>SRC_EPOCH_AI_DATA_CENTERS; EPOCH_NORMALIZED_USER_SITES</t>
        </is>
      </c>
      <c r="N256" s="3" t="inlineStr">
        <is>
          <t>Seeded as CSP total power times AI-company attributed contract share. Replace csp_total_power_mw and ai_contract_share_of_csp with your long-term contract dataset.</t>
        </is>
      </c>
    </row>
    <row r="257">
      <c r="A257" s="3" t="inlineStr">
        <is>
          <t>Grid-Constrained / Efficiency-Upside|xAI|2028|SpaceXAI</t>
        </is>
      </c>
      <c r="B257" s="3" t="inlineStr">
        <is>
          <t>Grid-Constrained / Efficiency-Upside</t>
        </is>
      </c>
      <c r="C257" s="3" t="inlineStr">
        <is>
          <t>xAI</t>
        </is>
      </c>
      <c r="D257" s="3" t="n">
        <v>2028</v>
      </c>
      <c r="E257" s="3" t="inlineStr">
        <is>
          <t>SpaceXAI</t>
        </is>
      </c>
      <c r="F257" s="27" t="n">
        <v>1286</v>
      </c>
      <c r="G257" s="17" t="n">
        <v>0.24520451</v>
      </c>
      <c r="H257" s="28">
        <f>F257*G257</f>
        <v/>
      </c>
      <c r="I257" s="17" t="n">
        <v>0.605</v>
      </c>
      <c r="J257" s="6">
        <f>1-I257</f>
        <v/>
      </c>
      <c r="K257" s="28">
        <f>H257*I257</f>
        <v/>
      </c>
      <c r="L257" s="3" t="inlineStr">
        <is>
          <t>epoch_csp_total_power_x_user_contract_share_seed</t>
        </is>
      </c>
      <c r="M257" s="3" t="inlineStr">
        <is>
          <t>SRC_EPOCH_AI_DATA_CENTERS; EPOCH_NORMALIZED_USER_SITES</t>
        </is>
      </c>
      <c r="N257" s="3" t="inlineStr">
        <is>
          <t>Seeded as CSP total power times AI-company attributed contract share. Replace csp_total_power_mw and ai_contract_share_of_csp with your long-term contract dataset.</t>
        </is>
      </c>
    </row>
    <row r="258">
      <c r="A258" s="3" t="inlineStr">
        <is>
          <t>Bear|xAI|2029|SpaceXAI</t>
        </is>
      </c>
      <c r="B258" s="3" t="inlineStr">
        <is>
          <t>Bear</t>
        </is>
      </c>
      <c r="C258" s="3" t="inlineStr">
        <is>
          <t>xAI</t>
        </is>
      </c>
      <c r="D258" s="3" t="n">
        <v>2029</v>
      </c>
      <c r="E258" s="3" t="inlineStr">
        <is>
          <t>SpaceXAI</t>
        </is>
      </c>
      <c r="F258" s="27" t="n">
        <v>1286</v>
      </c>
      <c r="G258" s="17" t="n">
        <v>0.24520451</v>
      </c>
      <c r="H258" s="28">
        <f>F258*G258</f>
        <v/>
      </c>
      <c r="I258" s="17" t="n">
        <v>0.542</v>
      </c>
      <c r="J258" s="6">
        <f>1-I258</f>
        <v/>
      </c>
      <c r="K258" s="28">
        <f>H258*I258</f>
        <v/>
      </c>
      <c r="L258" s="3" t="inlineStr">
        <is>
          <t>epoch_csp_total_power_x_user_contract_share_seed</t>
        </is>
      </c>
      <c r="M258" s="3" t="inlineStr">
        <is>
          <t>SRC_EPOCH_AI_DATA_CENTERS; EPOCH_NORMALIZED_USER_SITES</t>
        </is>
      </c>
      <c r="N258" s="3" t="inlineStr">
        <is>
          <t>Seeded as CSP total power times AI-company attributed contract share. Replace csp_total_power_mw and ai_contract_share_of_csp with your long-term contract dataset.</t>
        </is>
      </c>
    </row>
    <row r="259">
      <c r="A259" s="3" t="inlineStr">
        <is>
          <t>Base|xAI|2029|SpaceXAI</t>
        </is>
      </c>
      <c r="B259" s="3" t="inlineStr">
        <is>
          <t>Base</t>
        </is>
      </c>
      <c r="C259" s="3" t="inlineStr">
        <is>
          <t>xAI</t>
        </is>
      </c>
      <c r="D259" s="3" t="n">
        <v>2029</v>
      </c>
      <c r="E259" s="3" t="inlineStr">
        <is>
          <t>SpaceXAI</t>
        </is>
      </c>
      <c r="F259" s="27" t="n">
        <v>1286</v>
      </c>
      <c r="G259" s="17" t="n">
        <v>0.24520451</v>
      </c>
      <c r="H259" s="28">
        <f>F259*G259</f>
        <v/>
      </c>
      <c r="I259" s="17" t="n">
        <v>0.637</v>
      </c>
      <c r="J259" s="6">
        <f>1-I259</f>
        <v/>
      </c>
      <c r="K259" s="28">
        <f>H259*I259</f>
        <v/>
      </c>
      <c r="L259" s="3" t="inlineStr">
        <is>
          <t>epoch_csp_total_power_x_user_contract_share_seed</t>
        </is>
      </c>
      <c r="M259" s="3" t="inlineStr">
        <is>
          <t>SRC_EPOCH_AI_DATA_CENTERS; EPOCH_NORMALIZED_USER_SITES</t>
        </is>
      </c>
      <c r="N259" s="3" t="inlineStr">
        <is>
          <t>Seeded as CSP total power times AI-company attributed contract share. Replace csp_total_power_mw and ai_contract_share_of_csp with your long-term contract dataset.</t>
        </is>
      </c>
    </row>
    <row r="260">
      <c r="A260" s="3" t="inlineStr">
        <is>
          <t>Bull|xAI|2029|SpaceXAI</t>
        </is>
      </c>
      <c r="B260" s="3" t="inlineStr">
        <is>
          <t>Bull</t>
        </is>
      </c>
      <c r="C260" s="3" t="inlineStr">
        <is>
          <t>xAI</t>
        </is>
      </c>
      <c r="D260" s="3" t="n">
        <v>2029</v>
      </c>
      <c r="E260" s="3" t="inlineStr">
        <is>
          <t>SpaceXAI</t>
        </is>
      </c>
      <c r="F260" s="27" t="n">
        <v>1286</v>
      </c>
      <c r="G260" s="17" t="n">
        <v>0.24520451</v>
      </c>
      <c r="H260" s="28">
        <f>F260*G260</f>
        <v/>
      </c>
      <c r="I260" s="17" t="n">
        <v>0.71</v>
      </c>
      <c r="J260" s="6">
        <f>1-I260</f>
        <v/>
      </c>
      <c r="K260" s="28">
        <f>H260*I260</f>
        <v/>
      </c>
      <c r="L260" s="3" t="inlineStr">
        <is>
          <t>epoch_csp_total_power_x_user_contract_share_seed</t>
        </is>
      </c>
      <c r="M260" s="3" t="inlineStr">
        <is>
          <t>SRC_EPOCH_AI_DATA_CENTERS; EPOCH_NORMALIZED_USER_SITES</t>
        </is>
      </c>
      <c r="N260" s="3" t="inlineStr">
        <is>
          <t>Seeded as CSP total power times AI-company attributed contract share. Replace csp_total_power_mw and ai_contract_share_of_csp with your long-term contract dataset.</t>
        </is>
      </c>
    </row>
    <row r="261">
      <c r="A261" s="3" t="inlineStr">
        <is>
          <t>Grid-Constrained / Efficiency-Upside|xAI|2029|SpaceXAI</t>
        </is>
      </c>
      <c r="B261" s="3" t="inlineStr">
        <is>
          <t>Grid-Constrained / Efficiency-Upside</t>
        </is>
      </c>
      <c r="C261" s="3" t="inlineStr">
        <is>
          <t>xAI</t>
        </is>
      </c>
      <c r="D261" s="3" t="n">
        <v>2029</v>
      </c>
      <c r="E261" s="3" t="inlineStr">
        <is>
          <t>SpaceXAI</t>
        </is>
      </c>
      <c r="F261" s="27" t="n">
        <v>1286</v>
      </c>
      <c r="G261" s="17" t="n">
        <v>0.24520451</v>
      </c>
      <c r="H261" s="28">
        <f>F261*G261</f>
        <v/>
      </c>
      <c r="I261" s="17" t="n">
        <v>0.672</v>
      </c>
      <c r="J261" s="6">
        <f>1-I261</f>
        <v/>
      </c>
      <c r="K261" s="28">
        <f>H261*I261</f>
        <v/>
      </c>
      <c r="L261" s="3" t="inlineStr">
        <is>
          <t>epoch_csp_total_power_x_user_contract_share_seed</t>
        </is>
      </c>
      <c r="M261" s="3" t="inlineStr">
        <is>
          <t>SRC_EPOCH_AI_DATA_CENTERS; EPOCH_NORMALIZED_USER_SITES</t>
        </is>
      </c>
      <c r="N261" s="3" t="inlineStr">
        <is>
          <t>Seeded as CSP total power times AI-company attributed contract share. Replace csp_total_power_mw and ai_contract_share_of_csp with your long-term contract dataset.</t>
        </is>
      </c>
    </row>
    <row r="262">
      <c r="A262" s="3" t="inlineStr">
        <is>
          <t>Bear|xAI|2030|SpaceXAI</t>
        </is>
      </c>
      <c r="B262" s="3" t="inlineStr">
        <is>
          <t>Bear</t>
        </is>
      </c>
      <c r="C262" s="3" t="inlineStr">
        <is>
          <t>xAI</t>
        </is>
      </c>
      <c r="D262" s="3" t="n">
        <v>2030</v>
      </c>
      <c r="E262" s="3" t="inlineStr">
        <is>
          <t>SpaceXAI</t>
        </is>
      </c>
      <c r="F262" s="27" t="n">
        <v>1286</v>
      </c>
      <c r="G262" s="17" t="n">
        <v>0.24520451</v>
      </c>
      <c r="H262" s="28">
        <f>F262*G262</f>
        <v/>
      </c>
      <c r="I262" s="17" t="n">
        <v>0.6</v>
      </c>
      <c r="J262" s="6">
        <f>1-I262</f>
        <v/>
      </c>
      <c r="K262" s="28">
        <f>H262*I262</f>
        <v/>
      </c>
      <c r="L262" s="3" t="inlineStr">
        <is>
          <t>epoch_csp_total_power_x_user_contract_share_seed</t>
        </is>
      </c>
      <c r="M262" s="3" t="inlineStr">
        <is>
          <t>SRC_EPOCH_AI_DATA_CENTERS; EPOCH_NORMALIZED_USER_SITES</t>
        </is>
      </c>
      <c r="N262" s="3" t="inlineStr">
        <is>
          <t>Seeded as CSP total power times AI-company attributed contract share. Replace csp_total_power_mw and ai_contract_share_of_csp with your long-term contract dataset.</t>
        </is>
      </c>
    </row>
    <row r="263">
      <c r="A263" s="3" t="inlineStr">
        <is>
          <t>Base|xAI|2030|SpaceXAI</t>
        </is>
      </c>
      <c r="B263" s="3" t="inlineStr">
        <is>
          <t>Base</t>
        </is>
      </c>
      <c r="C263" s="3" t="inlineStr">
        <is>
          <t>xAI</t>
        </is>
      </c>
      <c r="D263" s="3" t="n">
        <v>2030</v>
      </c>
      <c r="E263" s="3" t="inlineStr">
        <is>
          <t>SpaceXAI</t>
        </is>
      </c>
      <c r="F263" s="27" t="n">
        <v>1286</v>
      </c>
      <c r="G263" s="17" t="n">
        <v>0.24520451</v>
      </c>
      <c r="H263" s="28">
        <f>F263*G263</f>
        <v/>
      </c>
      <c r="I263" s="17" t="n">
        <v>0.7</v>
      </c>
      <c r="J263" s="6">
        <f>1-I263</f>
        <v/>
      </c>
      <c r="K263" s="28">
        <f>H263*I263</f>
        <v/>
      </c>
      <c r="L263" s="3" t="inlineStr">
        <is>
          <t>epoch_csp_total_power_x_user_contract_share_seed</t>
        </is>
      </c>
      <c r="M263" s="3" t="inlineStr">
        <is>
          <t>SRC_EPOCH_AI_DATA_CENTERS; EPOCH_NORMALIZED_USER_SITES</t>
        </is>
      </c>
      <c r="N263" s="3" t="inlineStr">
        <is>
          <t>Seeded as CSP total power times AI-company attributed contract share. Replace csp_total_power_mw and ai_contract_share_of_csp with your long-term contract dataset.</t>
        </is>
      </c>
    </row>
    <row r="264">
      <c r="A264" s="3" t="inlineStr">
        <is>
          <t>Bull|xAI|2030|SpaceXAI</t>
        </is>
      </c>
      <c r="B264" s="3" t="inlineStr">
        <is>
          <t>Bull</t>
        </is>
      </c>
      <c r="C264" s="3" t="inlineStr">
        <is>
          <t>xAI</t>
        </is>
      </c>
      <c r="D264" s="3" t="n">
        <v>2030</v>
      </c>
      <c r="E264" s="3" t="inlineStr">
        <is>
          <t>SpaceXAI</t>
        </is>
      </c>
      <c r="F264" s="27" t="n">
        <v>1286</v>
      </c>
      <c r="G264" s="17" t="n">
        <v>0.24520451</v>
      </c>
      <c r="H264" s="28">
        <f>F264*G264</f>
        <v/>
      </c>
      <c r="I264" s="17" t="n">
        <v>0.78</v>
      </c>
      <c r="J264" s="6">
        <f>1-I264</f>
        <v/>
      </c>
      <c r="K264" s="28">
        <f>H264*I264</f>
        <v/>
      </c>
      <c r="L264" s="3" t="inlineStr">
        <is>
          <t>epoch_csp_total_power_x_user_contract_share_seed</t>
        </is>
      </c>
      <c r="M264" s="3" t="inlineStr">
        <is>
          <t>SRC_EPOCH_AI_DATA_CENTERS; EPOCH_NORMALIZED_USER_SITES</t>
        </is>
      </c>
      <c r="N264" s="3" t="inlineStr">
        <is>
          <t>Seeded as CSP total power times AI-company attributed contract share. Replace csp_total_power_mw and ai_contract_share_of_csp with your long-term contract dataset.</t>
        </is>
      </c>
    </row>
    <row r="265">
      <c r="A265" s="3" t="inlineStr">
        <is>
          <t>Grid-Constrained / Efficiency-Upside|xAI|2030|SpaceXAI</t>
        </is>
      </c>
      <c r="B265" s="3" t="inlineStr">
        <is>
          <t>Grid-Constrained / Efficiency-Upside</t>
        </is>
      </c>
      <c r="C265" s="3" t="inlineStr">
        <is>
          <t>xAI</t>
        </is>
      </c>
      <c r="D265" s="3" t="n">
        <v>2030</v>
      </c>
      <c r="E265" s="3" t="inlineStr">
        <is>
          <t>SpaceXAI</t>
        </is>
      </c>
      <c r="F265" s="27" t="n">
        <v>1286</v>
      </c>
      <c r="G265" s="17" t="n">
        <v>0.24520451</v>
      </c>
      <c r="H265" s="28">
        <f>F265*G265</f>
        <v/>
      </c>
      <c r="I265" s="17" t="n">
        <v>0.74</v>
      </c>
      <c r="J265" s="6">
        <f>1-I265</f>
        <v/>
      </c>
      <c r="K265" s="28">
        <f>H265*I265</f>
        <v/>
      </c>
      <c r="L265" s="3" t="inlineStr">
        <is>
          <t>epoch_csp_total_power_x_user_contract_share_seed</t>
        </is>
      </c>
      <c r="M265" s="3" t="inlineStr">
        <is>
          <t>SRC_EPOCH_AI_DATA_CENTERS; EPOCH_NORMALIZED_USER_SITES</t>
        </is>
      </c>
      <c r="N265" s="3" t="inlineStr">
        <is>
          <t>Seeded as CSP total power times AI-company attributed contract share. Replace csp_total_power_mw and ai_contract_share_of_csp with your long-term contract dataset.</t>
        </is>
      </c>
    </row>
    <row r="266">
      <c r="A266" s="3" t="inlineStr">
        <is>
          <t>Bear|DeepSeek|2026|Legacy company envelope - DeepSeek</t>
        </is>
      </c>
      <c r="B266" s="3" t="inlineStr">
        <is>
          <t>Bear</t>
        </is>
      </c>
      <c r="C266" s="3" t="inlineStr">
        <is>
          <t>DeepSeek</t>
        </is>
      </c>
      <c r="D266" s="3" t="n">
        <v>2026</v>
      </c>
      <c r="E266" s="3" t="inlineStr">
        <is>
          <t>Legacy company envelope - DeepSeek</t>
        </is>
      </c>
      <c r="F266" s="27" t="n">
        <v>89</v>
      </c>
      <c r="G266" s="17" t="n">
        <v>1</v>
      </c>
      <c r="H266" s="28">
        <f>F266*G266</f>
        <v/>
      </c>
      <c r="I266" s="17" t="n">
        <v>0.54</v>
      </c>
      <c r="J266" s="6">
        <f>1-I266</f>
        <v/>
      </c>
      <c r="K266" s="28">
        <f>H266*I266</f>
        <v/>
      </c>
      <c r="L266" s="3" t="inlineStr">
        <is>
          <t>legacy_company_envelope_fallback</t>
        </is>
      </c>
      <c r="M266" s="3" t="inlineStr">
        <is>
          <t>SRC_DEEPSEEK_V3; SRC_DEEPSEEK_R1; SRC_DEEPSEEK_H800_INFERENCE</t>
        </is>
      </c>
      <c r="N266" s="3" t="inlineStr">
        <is>
          <t>No mapped CSP contract rows were available, so the prior company-level accelerator mix remains as fallback.</t>
        </is>
      </c>
    </row>
    <row r="267">
      <c r="A267" s="3" t="inlineStr">
        <is>
          <t>Bear|DeepSeek|2027|Legacy company envelope - DeepSeek</t>
        </is>
      </c>
      <c r="B267" s="3" t="inlineStr">
        <is>
          <t>Bear</t>
        </is>
      </c>
      <c r="C267" s="3" t="inlineStr">
        <is>
          <t>DeepSeek</t>
        </is>
      </c>
      <c r="D267" s="3" t="n">
        <v>2027</v>
      </c>
      <c r="E267" s="3" t="inlineStr">
        <is>
          <t>Legacy company envelope - DeepSeek</t>
        </is>
      </c>
      <c r="F267" s="27" t="n">
        <v>240</v>
      </c>
      <c r="G267" s="17" t="n">
        <v>1</v>
      </c>
      <c r="H267" s="28">
        <f>F267*G267</f>
        <v/>
      </c>
      <c r="I267" s="17" t="n">
        <v>0.585</v>
      </c>
      <c r="J267" s="6">
        <f>1-I267</f>
        <v/>
      </c>
      <c r="K267" s="28">
        <f>H267*I267</f>
        <v/>
      </c>
      <c r="L267" s="3" t="inlineStr">
        <is>
          <t>legacy_company_envelope_fallback</t>
        </is>
      </c>
      <c r="M267" s="3" t="inlineStr">
        <is>
          <t>SRC_DEEPSEEK_V3; SRC_DEEPSEEK_R1; SRC_DEEPSEEK_H800_INFERENCE</t>
        </is>
      </c>
      <c r="N267" s="3" t="inlineStr">
        <is>
          <t>No mapped CSP contract rows were available, so the prior company-level accelerator mix remains as fallback.</t>
        </is>
      </c>
    </row>
    <row r="268">
      <c r="A268" s="3" t="inlineStr">
        <is>
          <t>Bear|DeepSeek|2028|Legacy company envelope - DeepSeek</t>
        </is>
      </c>
      <c r="B268" s="3" t="inlineStr">
        <is>
          <t>Bear</t>
        </is>
      </c>
      <c r="C268" s="3" t="inlineStr">
        <is>
          <t>DeepSeek</t>
        </is>
      </c>
      <c r="D268" s="3" t="n">
        <v>2028</v>
      </c>
      <c r="E268" s="3" t="inlineStr">
        <is>
          <t>Legacy company envelope - DeepSeek</t>
        </is>
      </c>
      <c r="F268" s="27" t="n">
        <v>384</v>
      </c>
      <c r="G268" s="17" t="n">
        <v>1</v>
      </c>
      <c r="H268" s="28">
        <f>F268*G268</f>
        <v/>
      </c>
      <c r="I268" s="17" t="n">
        <v>0.63</v>
      </c>
      <c r="J268" s="6">
        <f>1-I268</f>
        <v/>
      </c>
      <c r="K268" s="28">
        <f>H268*I268</f>
        <v/>
      </c>
      <c r="L268" s="3" t="inlineStr">
        <is>
          <t>legacy_company_envelope_fallback</t>
        </is>
      </c>
      <c r="M268" s="3" t="inlineStr">
        <is>
          <t>SRC_DEEPSEEK_V3; SRC_DEEPSEEK_R1; SRC_DEEPSEEK_H800_INFERENCE</t>
        </is>
      </c>
      <c r="N268" s="3" t="inlineStr">
        <is>
          <t>No mapped CSP contract rows were available, so the prior company-level accelerator mix remains as fallback.</t>
        </is>
      </c>
    </row>
    <row r="269">
      <c r="A269" s="3" t="inlineStr">
        <is>
          <t>Bear|DeepSeek|2029|Legacy company envelope - DeepSeek</t>
        </is>
      </c>
      <c r="B269" s="3" t="inlineStr">
        <is>
          <t>Bear</t>
        </is>
      </c>
      <c r="C269" s="3" t="inlineStr">
        <is>
          <t>DeepSeek</t>
        </is>
      </c>
      <c r="D269" s="3" t="n">
        <v>2029</v>
      </c>
      <c r="E269" s="3" t="inlineStr">
        <is>
          <t>Legacy company envelope - DeepSeek</t>
        </is>
      </c>
      <c r="F269" s="27" t="n">
        <v>521</v>
      </c>
      <c r="G269" s="17" t="n">
        <v>1</v>
      </c>
      <c r="H269" s="28">
        <f>F269*G269</f>
        <v/>
      </c>
      <c r="I269" s="17" t="n">
        <v>0.675</v>
      </c>
      <c r="J269" s="6">
        <f>1-I269</f>
        <v/>
      </c>
      <c r="K269" s="28">
        <f>H269*I269</f>
        <v/>
      </c>
      <c r="L269" s="3" t="inlineStr">
        <is>
          <t>legacy_company_envelope_fallback</t>
        </is>
      </c>
      <c r="M269" s="3" t="inlineStr">
        <is>
          <t>SRC_DEEPSEEK_V3; SRC_DEEPSEEK_R1; SRC_DEEPSEEK_H800_INFERENCE</t>
        </is>
      </c>
      <c r="N269" s="3" t="inlineStr">
        <is>
          <t>No mapped CSP contract rows were available, so the prior company-level accelerator mix remains as fallback.</t>
        </is>
      </c>
    </row>
    <row r="270">
      <c r="A270" s="3" t="inlineStr">
        <is>
          <t>Bear|DeepSeek|2030|Legacy company envelope - DeepSeek</t>
        </is>
      </c>
      <c r="B270" s="3" t="inlineStr">
        <is>
          <t>Bear</t>
        </is>
      </c>
      <c r="C270" s="3" t="inlineStr">
        <is>
          <t>DeepSeek</t>
        </is>
      </c>
      <c r="D270" s="3" t="n">
        <v>2030</v>
      </c>
      <c r="E270" s="3" t="inlineStr">
        <is>
          <t>Legacy company envelope - DeepSeek</t>
        </is>
      </c>
      <c r="F270" s="27" t="n">
        <v>651</v>
      </c>
      <c r="G270" s="17" t="n">
        <v>1</v>
      </c>
      <c r="H270" s="28">
        <f>F270*G270</f>
        <v/>
      </c>
      <c r="I270" s="17" t="n">
        <v>0.72</v>
      </c>
      <c r="J270" s="6">
        <f>1-I270</f>
        <v/>
      </c>
      <c r="K270" s="28">
        <f>H270*I270</f>
        <v/>
      </c>
      <c r="L270" s="3" t="inlineStr">
        <is>
          <t>legacy_company_envelope_fallback</t>
        </is>
      </c>
      <c r="M270" s="3" t="inlineStr">
        <is>
          <t>SRC_DEEPSEEK_V3; SRC_DEEPSEEK_R1; SRC_DEEPSEEK_H800_INFERENCE</t>
        </is>
      </c>
      <c r="N270" s="3" t="inlineStr">
        <is>
          <t>No mapped CSP contract rows were available, so the prior company-level accelerator mix remains as fallback.</t>
        </is>
      </c>
    </row>
    <row r="271">
      <c r="A271" s="3" t="inlineStr">
        <is>
          <t>Bear|Tencent|2026|Legacy company envelope - Tencent</t>
        </is>
      </c>
      <c r="B271" s="3" t="inlineStr">
        <is>
          <t>Bear</t>
        </is>
      </c>
      <c r="C271" s="3" t="inlineStr">
        <is>
          <t>Tencent</t>
        </is>
      </c>
      <c r="D271" s="3" t="n">
        <v>2026</v>
      </c>
      <c r="E271" s="3" t="inlineStr">
        <is>
          <t>Legacy company envelope - Tencent</t>
        </is>
      </c>
      <c r="F271" s="27" t="n">
        <v>277</v>
      </c>
      <c r="G271" s="17" t="n">
        <v>1</v>
      </c>
      <c r="H271" s="28">
        <f>F271*G271</f>
        <v/>
      </c>
      <c r="I271" s="17" t="n">
        <v>0.52</v>
      </c>
      <c r="J271" s="6">
        <f>1-I271</f>
        <v/>
      </c>
      <c r="K271" s="28">
        <f>H271*I271</f>
        <v/>
      </c>
      <c r="L271" s="3" t="inlineStr">
        <is>
          <t>legacy_company_envelope_fallback</t>
        </is>
      </c>
      <c r="M271" s="3" t="inlineStr">
        <is>
          <t>SRC_TENCENT_HUNYUAN; SRC_TENCENT_HY3; SRC_TENCENT_AI_INFRA_MOE</t>
        </is>
      </c>
      <c r="N271" s="3" t="inlineStr">
        <is>
          <t>No mapped CSP contract rows were available, so the prior company-level accelerator mix remains as fallback.</t>
        </is>
      </c>
    </row>
    <row r="272">
      <c r="A272" s="3" t="inlineStr">
        <is>
          <t>Bear|Tencent|2027|Legacy company envelope - Tencent</t>
        </is>
      </c>
      <c r="B272" s="3" t="inlineStr">
        <is>
          <t>Bear</t>
        </is>
      </c>
      <c r="C272" s="3" t="inlineStr">
        <is>
          <t>Tencent</t>
        </is>
      </c>
      <c r="D272" s="3" t="n">
        <v>2027</v>
      </c>
      <c r="E272" s="3" t="inlineStr">
        <is>
          <t>Legacy company envelope - Tencent</t>
        </is>
      </c>
      <c r="F272" s="27" t="n">
        <v>563</v>
      </c>
      <c r="G272" s="17" t="n">
        <v>1</v>
      </c>
      <c r="H272" s="28">
        <f>F272*G272</f>
        <v/>
      </c>
      <c r="I272" s="17" t="n">
        <v>0.5649999999999999</v>
      </c>
      <c r="J272" s="6">
        <f>1-I272</f>
        <v/>
      </c>
      <c r="K272" s="28">
        <f>H272*I272</f>
        <v/>
      </c>
      <c r="L272" s="3" t="inlineStr">
        <is>
          <t>legacy_company_envelope_fallback</t>
        </is>
      </c>
      <c r="M272" s="3" t="inlineStr">
        <is>
          <t>SRC_TENCENT_HUNYUAN; SRC_TENCENT_HY3; SRC_TENCENT_AI_INFRA_MOE</t>
        </is>
      </c>
      <c r="N272" s="3" t="inlineStr">
        <is>
          <t>No mapped CSP contract rows were available, so the prior company-level accelerator mix remains as fallback.</t>
        </is>
      </c>
    </row>
    <row r="273">
      <c r="A273" s="3" t="inlineStr">
        <is>
          <t>Bear|Tencent|2028|Legacy company envelope - Tencent</t>
        </is>
      </c>
      <c r="B273" s="3" t="inlineStr">
        <is>
          <t>Bear</t>
        </is>
      </c>
      <c r="C273" s="3" t="inlineStr">
        <is>
          <t>Tencent</t>
        </is>
      </c>
      <c r="D273" s="3" t="n">
        <v>2028</v>
      </c>
      <c r="E273" s="3" t="inlineStr">
        <is>
          <t>Legacy company envelope - Tencent</t>
        </is>
      </c>
      <c r="F273" s="27" t="n">
        <v>837</v>
      </c>
      <c r="G273" s="17" t="n">
        <v>1</v>
      </c>
      <c r="H273" s="28">
        <f>F273*G273</f>
        <v/>
      </c>
      <c r="I273" s="17" t="n">
        <v>0.61</v>
      </c>
      <c r="J273" s="6">
        <f>1-I273</f>
        <v/>
      </c>
      <c r="K273" s="28">
        <f>H273*I273</f>
        <v/>
      </c>
      <c r="L273" s="3" t="inlineStr">
        <is>
          <t>legacy_company_envelope_fallback</t>
        </is>
      </c>
      <c r="M273" s="3" t="inlineStr">
        <is>
          <t>SRC_TENCENT_HUNYUAN; SRC_TENCENT_HY3; SRC_TENCENT_AI_INFRA_MOE</t>
        </is>
      </c>
      <c r="N273" s="3" t="inlineStr">
        <is>
          <t>No mapped CSP contract rows were available, so the prior company-level accelerator mix remains as fallback.</t>
        </is>
      </c>
    </row>
    <row r="274">
      <c r="A274" s="3" t="inlineStr">
        <is>
          <t>Bear|Tencent|2029|Legacy company envelope - Tencent</t>
        </is>
      </c>
      <c r="B274" s="3" t="inlineStr">
        <is>
          <t>Bear</t>
        </is>
      </c>
      <c r="C274" s="3" t="inlineStr">
        <is>
          <t>Tencent</t>
        </is>
      </c>
      <c r="D274" s="3" t="n">
        <v>2029</v>
      </c>
      <c r="E274" s="3" t="inlineStr">
        <is>
          <t>Legacy company envelope - Tencent</t>
        </is>
      </c>
      <c r="F274" s="27" t="n">
        <v>1097</v>
      </c>
      <c r="G274" s="17" t="n">
        <v>1</v>
      </c>
      <c r="H274" s="28">
        <f>F274*G274</f>
        <v/>
      </c>
      <c r="I274" s="17" t="n">
        <v>0.655</v>
      </c>
      <c r="J274" s="6">
        <f>1-I274</f>
        <v/>
      </c>
      <c r="K274" s="28">
        <f>H274*I274</f>
        <v/>
      </c>
      <c r="L274" s="3" t="inlineStr">
        <is>
          <t>legacy_company_envelope_fallback</t>
        </is>
      </c>
      <c r="M274" s="3" t="inlineStr">
        <is>
          <t>SRC_TENCENT_HUNYUAN; SRC_TENCENT_HY3; SRC_TENCENT_AI_INFRA_MOE</t>
        </is>
      </c>
      <c r="N274" s="3" t="inlineStr">
        <is>
          <t>No mapped CSP contract rows were available, so the prior company-level accelerator mix remains as fallback.</t>
        </is>
      </c>
    </row>
    <row r="275">
      <c r="A275" s="3" t="inlineStr">
        <is>
          <t>Bear|Tencent|2030|Legacy company envelope - Tencent</t>
        </is>
      </c>
      <c r="B275" s="3" t="inlineStr">
        <is>
          <t>Bear</t>
        </is>
      </c>
      <c r="C275" s="3" t="inlineStr">
        <is>
          <t>Tencent</t>
        </is>
      </c>
      <c r="D275" s="3" t="n">
        <v>2030</v>
      </c>
      <c r="E275" s="3" t="inlineStr">
        <is>
          <t>Legacy company envelope - Tencent</t>
        </is>
      </c>
      <c r="F275" s="27" t="n">
        <v>1344</v>
      </c>
      <c r="G275" s="17" t="n">
        <v>1</v>
      </c>
      <c r="H275" s="28">
        <f>F275*G275</f>
        <v/>
      </c>
      <c r="I275" s="17" t="n">
        <v>0.7</v>
      </c>
      <c r="J275" s="6">
        <f>1-I275</f>
        <v/>
      </c>
      <c r="K275" s="28">
        <f>H275*I275</f>
        <v/>
      </c>
      <c r="L275" s="3" t="inlineStr">
        <is>
          <t>legacy_company_envelope_fallback</t>
        </is>
      </c>
      <c r="M275" s="3" t="inlineStr">
        <is>
          <t>SRC_TENCENT_HUNYUAN; SRC_TENCENT_HY3; SRC_TENCENT_AI_INFRA_MOE</t>
        </is>
      </c>
      <c r="N275" s="3" t="inlineStr">
        <is>
          <t>No mapped CSP contract rows were available, so the prior company-level accelerator mix remains as fallback.</t>
        </is>
      </c>
    </row>
    <row r="276">
      <c r="A276" s="3" t="inlineStr">
        <is>
          <t>Base|DeepSeek|2026|Legacy company envelope - DeepSeek</t>
        </is>
      </c>
      <c r="B276" s="3" t="inlineStr">
        <is>
          <t>Base</t>
        </is>
      </c>
      <c r="C276" s="3" t="inlineStr">
        <is>
          <t>DeepSeek</t>
        </is>
      </c>
      <c r="D276" s="3" t="n">
        <v>2026</v>
      </c>
      <c r="E276" s="3" t="inlineStr">
        <is>
          <t>Legacy company envelope - DeepSeek</t>
        </is>
      </c>
      <c r="F276" s="27" t="n">
        <v>99</v>
      </c>
      <c r="G276" s="17" t="n">
        <v>1</v>
      </c>
      <c r="H276" s="28">
        <f>F276*G276</f>
        <v/>
      </c>
      <c r="I276" s="17" t="n">
        <v>0.62</v>
      </c>
      <c r="J276" s="6">
        <f>1-I276</f>
        <v/>
      </c>
      <c r="K276" s="28">
        <f>H276*I276</f>
        <v/>
      </c>
      <c r="L276" s="3" t="inlineStr">
        <is>
          <t>legacy_company_envelope_fallback</t>
        </is>
      </c>
      <c r="M276" s="3" t="inlineStr">
        <is>
          <t>SRC_DEEPSEEK_V3; SRC_DEEPSEEK_R1; SRC_DEEPSEEK_H800_INFERENCE</t>
        </is>
      </c>
      <c r="N276" s="3" t="inlineStr">
        <is>
          <t>No mapped CSP contract rows were available, so the prior company-level accelerator mix remains as fallback.</t>
        </is>
      </c>
    </row>
    <row r="277">
      <c r="A277" s="3" t="inlineStr">
        <is>
          <t>Base|DeepSeek|2027|Legacy company envelope - DeepSeek</t>
        </is>
      </c>
      <c r="B277" s="3" t="inlineStr">
        <is>
          <t>Base</t>
        </is>
      </c>
      <c r="C277" s="3" t="inlineStr">
        <is>
          <t>DeepSeek</t>
        </is>
      </c>
      <c r="D277" s="3" t="n">
        <v>2027</v>
      </c>
      <c r="E277" s="3" t="inlineStr">
        <is>
          <t>Legacy company envelope - DeepSeek</t>
        </is>
      </c>
      <c r="F277" s="27" t="n">
        <v>273</v>
      </c>
      <c r="G277" s="17" t="n">
        <v>1</v>
      </c>
      <c r="H277" s="28">
        <f>F277*G277</f>
        <v/>
      </c>
      <c r="I277" s="17" t="n">
        <v>0.67</v>
      </c>
      <c r="J277" s="6">
        <f>1-I277</f>
        <v/>
      </c>
      <c r="K277" s="28">
        <f>H277*I277</f>
        <v/>
      </c>
      <c r="L277" s="3" t="inlineStr">
        <is>
          <t>legacy_company_envelope_fallback</t>
        </is>
      </c>
      <c r="M277" s="3" t="inlineStr">
        <is>
          <t>SRC_DEEPSEEK_V3; SRC_DEEPSEEK_R1; SRC_DEEPSEEK_H800_INFERENCE</t>
        </is>
      </c>
      <c r="N277" s="3" t="inlineStr">
        <is>
          <t>No mapped CSP contract rows were available, so the prior company-level accelerator mix remains as fallback.</t>
        </is>
      </c>
    </row>
    <row r="278">
      <c r="A278" s="3" t="inlineStr">
        <is>
          <t>Base|DeepSeek|2028|Legacy company envelope - DeepSeek</t>
        </is>
      </c>
      <c r="B278" s="3" t="inlineStr">
        <is>
          <t>Base</t>
        </is>
      </c>
      <c r="C278" s="3" t="inlineStr">
        <is>
          <t>DeepSeek</t>
        </is>
      </c>
      <c r="D278" s="3" t="n">
        <v>2028</v>
      </c>
      <c r="E278" s="3" t="inlineStr">
        <is>
          <t>Legacy company envelope - DeepSeek</t>
        </is>
      </c>
      <c r="F278" s="27" t="n">
        <v>446</v>
      </c>
      <c r="G278" s="17" t="n">
        <v>1</v>
      </c>
      <c r="H278" s="28">
        <f>F278*G278</f>
        <v/>
      </c>
      <c r="I278" s="17" t="n">
        <v>0.72</v>
      </c>
      <c r="J278" s="6">
        <f>1-I278</f>
        <v/>
      </c>
      <c r="K278" s="28">
        <f>H278*I278</f>
        <v/>
      </c>
      <c r="L278" s="3" t="inlineStr">
        <is>
          <t>legacy_company_envelope_fallback</t>
        </is>
      </c>
      <c r="M278" s="3" t="inlineStr">
        <is>
          <t>SRC_DEEPSEEK_V3; SRC_DEEPSEEK_R1; SRC_DEEPSEEK_H800_INFERENCE</t>
        </is>
      </c>
      <c r="N278" s="3" t="inlineStr">
        <is>
          <t>No mapped CSP contract rows were available, so the prior company-level accelerator mix remains as fallback.</t>
        </is>
      </c>
    </row>
    <row r="279">
      <c r="A279" s="3" t="inlineStr">
        <is>
          <t>Base|DeepSeek|2029|Legacy company envelope - DeepSeek</t>
        </is>
      </c>
      <c r="B279" s="3" t="inlineStr">
        <is>
          <t>Base</t>
        </is>
      </c>
      <c r="C279" s="3" t="inlineStr">
        <is>
          <t>DeepSeek</t>
        </is>
      </c>
      <c r="D279" s="3" t="n">
        <v>2029</v>
      </c>
      <c r="E279" s="3" t="inlineStr">
        <is>
          <t>Legacy company envelope - DeepSeek</t>
        </is>
      </c>
      <c r="F279" s="27" t="n">
        <v>620</v>
      </c>
      <c r="G279" s="17" t="n">
        <v>1</v>
      </c>
      <c r="H279" s="28">
        <f>F279*G279</f>
        <v/>
      </c>
      <c r="I279" s="17" t="n">
        <v>0.77</v>
      </c>
      <c r="J279" s="6">
        <f>1-I279</f>
        <v/>
      </c>
      <c r="K279" s="28">
        <f>H279*I279</f>
        <v/>
      </c>
      <c r="L279" s="3" t="inlineStr">
        <is>
          <t>legacy_company_envelope_fallback</t>
        </is>
      </c>
      <c r="M279" s="3" t="inlineStr">
        <is>
          <t>SRC_DEEPSEEK_V3; SRC_DEEPSEEK_R1; SRC_DEEPSEEK_H800_INFERENCE</t>
        </is>
      </c>
      <c r="N279" s="3" t="inlineStr">
        <is>
          <t>No mapped CSP contract rows were available, so the prior company-level accelerator mix remains as fallback.</t>
        </is>
      </c>
    </row>
    <row r="280">
      <c r="A280" s="3" t="inlineStr">
        <is>
          <t>Base|DeepSeek|2030|Legacy company envelope - DeepSeek</t>
        </is>
      </c>
      <c r="B280" s="3" t="inlineStr">
        <is>
          <t>Base</t>
        </is>
      </c>
      <c r="C280" s="3" t="inlineStr">
        <is>
          <t>DeepSeek</t>
        </is>
      </c>
      <c r="D280" s="3" t="n">
        <v>2030</v>
      </c>
      <c r="E280" s="3" t="inlineStr">
        <is>
          <t>Legacy company envelope - DeepSeek</t>
        </is>
      </c>
      <c r="F280" s="27" t="n">
        <v>794</v>
      </c>
      <c r="G280" s="17" t="n">
        <v>1</v>
      </c>
      <c r="H280" s="28">
        <f>F280*G280</f>
        <v/>
      </c>
      <c r="I280" s="17" t="n">
        <v>0.82</v>
      </c>
      <c r="J280" s="6">
        <f>1-I280</f>
        <v/>
      </c>
      <c r="K280" s="28">
        <f>H280*I280</f>
        <v/>
      </c>
      <c r="L280" s="3" t="inlineStr">
        <is>
          <t>legacy_company_envelope_fallback</t>
        </is>
      </c>
      <c r="M280" s="3" t="inlineStr">
        <is>
          <t>SRC_DEEPSEEK_V3; SRC_DEEPSEEK_R1; SRC_DEEPSEEK_H800_INFERENCE</t>
        </is>
      </c>
      <c r="N280" s="3" t="inlineStr">
        <is>
          <t>No mapped CSP contract rows were available, so the prior company-level accelerator mix remains as fallback.</t>
        </is>
      </c>
    </row>
    <row r="281">
      <c r="A281" s="3" t="inlineStr">
        <is>
          <t>Base|Tencent|2026|Legacy company envelope - Tencent</t>
        </is>
      </c>
      <c r="B281" s="3" t="inlineStr">
        <is>
          <t>Base</t>
        </is>
      </c>
      <c r="C281" s="3" t="inlineStr">
        <is>
          <t>Tencent</t>
        </is>
      </c>
      <c r="D281" s="3" t="n">
        <v>2026</v>
      </c>
      <c r="E281" s="3" t="inlineStr">
        <is>
          <t>Legacy company envelope - Tencent</t>
        </is>
      </c>
      <c r="F281" s="27" t="n">
        <v>307</v>
      </c>
      <c r="G281" s="17" t="n">
        <v>1</v>
      </c>
      <c r="H281" s="28">
        <f>F281*G281</f>
        <v/>
      </c>
      <c r="I281" s="17" t="n">
        <v>0.6</v>
      </c>
      <c r="J281" s="6">
        <f>1-I281</f>
        <v/>
      </c>
      <c r="K281" s="28">
        <f>H281*I281</f>
        <v/>
      </c>
      <c r="L281" s="3" t="inlineStr">
        <is>
          <t>legacy_company_envelope_fallback</t>
        </is>
      </c>
      <c r="M281" s="3" t="inlineStr">
        <is>
          <t>SRC_TENCENT_HUNYUAN; SRC_TENCENT_HY3; SRC_TENCENT_AI_INFRA_MOE</t>
        </is>
      </c>
      <c r="N281" s="3" t="inlineStr">
        <is>
          <t>No mapped CSP contract rows were available, so the prior company-level accelerator mix remains as fallback.</t>
        </is>
      </c>
    </row>
    <row r="282">
      <c r="A282" s="3" t="inlineStr">
        <is>
          <t>Base|Tencent|2027|Legacy company envelope - Tencent</t>
        </is>
      </c>
      <c r="B282" s="3" t="inlineStr">
        <is>
          <t>Base</t>
        </is>
      </c>
      <c r="C282" s="3" t="inlineStr">
        <is>
          <t>Tencent</t>
        </is>
      </c>
      <c r="D282" s="3" t="n">
        <v>2027</v>
      </c>
      <c r="E282" s="3" t="inlineStr">
        <is>
          <t>Legacy company envelope - Tencent</t>
        </is>
      </c>
      <c r="F282" s="27" t="n">
        <v>640</v>
      </c>
      <c r="G282" s="17" t="n">
        <v>1</v>
      </c>
      <c r="H282" s="28">
        <f>F282*G282</f>
        <v/>
      </c>
      <c r="I282" s="17" t="n">
        <v>0.65</v>
      </c>
      <c r="J282" s="6">
        <f>1-I282</f>
        <v/>
      </c>
      <c r="K282" s="28">
        <f>H282*I282</f>
        <v/>
      </c>
      <c r="L282" s="3" t="inlineStr">
        <is>
          <t>legacy_company_envelope_fallback</t>
        </is>
      </c>
      <c r="M282" s="3" t="inlineStr">
        <is>
          <t>SRC_TENCENT_HUNYUAN; SRC_TENCENT_HY3; SRC_TENCENT_AI_INFRA_MOE</t>
        </is>
      </c>
      <c r="N282" s="3" t="inlineStr">
        <is>
          <t>No mapped CSP contract rows were available, so the prior company-level accelerator mix remains as fallback.</t>
        </is>
      </c>
    </row>
    <row r="283">
      <c r="A283" s="3" t="inlineStr">
        <is>
          <t>Base|Tencent|2028|Legacy company envelope - Tencent</t>
        </is>
      </c>
      <c r="B283" s="3" t="inlineStr">
        <is>
          <t>Base</t>
        </is>
      </c>
      <c r="C283" s="3" t="inlineStr">
        <is>
          <t>Tencent</t>
        </is>
      </c>
      <c r="D283" s="3" t="n">
        <v>2028</v>
      </c>
      <c r="E283" s="3" t="inlineStr">
        <is>
          <t>Legacy company envelope - Tencent</t>
        </is>
      </c>
      <c r="F283" s="27" t="n">
        <v>973</v>
      </c>
      <c r="G283" s="17" t="n">
        <v>1</v>
      </c>
      <c r="H283" s="28">
        <f>F283*G283</f>
        <v/>
      </c>
      <c r="I283" s="17" t="n">
        <v>0.7</v>
      </c>
      <c r="J283" s="6">
        <f>1-I283</f>
        <v/>
      </c>
      <c r="K283" s="28">
        <f>H283*I283</f>
        <v/>
      </c>
      <c r="L283" s="3" t="inlineStr">
        <is>
          <t>legacy_company_envelope_fallback</t>
        </is>
      </c>
      <c r="M283" s="3" t="inlineStr">
        <is>
          <t>SRC_TENCENT_HUNYUAN; SRC_TENCENT_HY3; SRC_TENCENT_AI_INFRA_MOE</t>
        </is>
      </c>
      <c r="N283" s="3" t="inlineStr">
        <is>
          <t>No mapped CSP contract rows were available, so the prior company-level accelerator mix remains as fallback.</t>
        </is>
      </c>
    </row>
    <row r="284">
      <c r="A284" s="3" t="inlineStr">
        <is>
          <t>Base|Tencent|2029|Legacy company envelope - Tencent</t>
        </is>
      </c>
      <c r="B284" s="3" t="inlineStr">
        <is>
          <t>Base</t>
        </is>
      </c>
      <c r="C284" s="3" t="inlineStr">
        <is>
          <t>Tencent</t>
        </is>
      </c>
      <c r="D284" s="3" t="n">
        <v>2029</v>
      </c>
      <c r="E284" s="3" t="inlineStr">
        <is>
          <t>Legacy company envelope - Tencent</t>
        </is>
      </c>
      <c r="F284" s="27" t="n">
        <v>1306</v>
      </c>
      <c r="G284" s="17" t="n">
        <v>1</v>
      </c>
      <c r="H284" s="28">
        <f>F284*G284</f>
        <v/>
      </c>
      <c r="I284" s="17" t="n">
        <v>0.75</v>
      </c>
      <c r="J284" s="6">
        <f>1-I284</f>
        <v/>
      </c>
      <c r="K284" s="28">
        <f>H284*I284</f>
        <v/>
      </c>
      <c r="L284" s="3" t="inlineStr">
        <is>
          <t>legacy_company_envelope_fallback</t>
        </is>
      </c>
      <c r="M284" s="3" t="inlineStr">
        <is>
          <t>SRC_TENCENT_HUNYUAN; SRC_TENCENT_HY3; SRC_TENCENT_AI_INFRA_MOE</t>
        </is>
      </c>
      <c r="N284" s="3" t="inlineStr">
        <is>
          <t>No mapped CSP contract rows were available, so the prior company-level accelerator mix remains as fallback.</t>
        </is>
      </c>
    </row>
    <row r="285">
      <c r="A285" s="3" t="inlineStr">
        <is>
          <t>Base|Tencent|2030|Legacy company envelope - Tencent</t>
        </is>
      </c>
      <c r="B285" s="3" t="inlineStr">
        <is>
          <t>Base</t>
        </is>
      </c>
      <c r="C285" s="3" t="inlineStr">
        <is>
          <t>Tencent</t>
        </is>
      </c>
      <c r="D285" s="3" t="n">
        <v>2030</v>
      </c>
      <c r="E285" s="3" t="inlineStr">
        <is>
          <t>Legacy company envelope - Tencent</t>
        </is>
      </c>
      <c r="F285" s="27" t="n">
        <v>1639</v>
      </c>
      <c r="G285" s="17" t="n">
        <v>1</v>
      </c>
      <c r="H285" s="28">
        <f>F285*G285</f>
        <v/>
      </c>
      <c r="I285" s="17" t="n">
        <v>0.8</v>
      </c>
      <c r="J285" s="6">
        <f>1-I285</f>
        <v/>
      </c>
      <c r="K285" s="28">
        <f>H285*I285</f>
        <v/>
      </c>
      <c r="L285" s="3" t="inlineStr">
        <is>
          <t>legacy_company_envelope_fallback</t>
        </is>
      </c>
      <c r="M285" s="3" t="inlineStr">
        <is>
          <t>SRC_TENCENT_HUNYUAN; SRC_TENCENT_HY3; SRC_TENCENT_AI_INFRA_MOE</t>
        </is>
      </c>
      <c r="N285" s="3" t="inlineStr">
        <is>
          <t>No mapped CSP contract rows were available, so the prior company-level accelerator mix remains as fallback.</t>
        </is>
      </c>
    </row>
    <row r="286">
      <c r="A286" s="3" t="inlineStr">
        <is>
          <t>Bull|DeepSeek|2026|Legacy company envelope - DeepSeek</t>
        </is>
      </c>
      <c r="B286" s="3" t="inlineStr">
        <is>
          <t>Bull</t>
        </is>
      </c>
      <c r="C286" s="3" t="inlineStr">
        <is>
          <t>DeepSeek</t>
        </is>
      </c>
      <c r="D286" s="3" t="n">
        <v>2026</v>
      </c>
      <c r="E286" s="3" t="inlineStr">
        <is>
          <t>Legacy company envelope - DeepSeek</t>
        </is>
      </c>
      <c r="F286" s="27" t="n">
        <v>104</v>
      </c>
      <c r="G286" s="17" t="n">
        <v>1</v>
      </c>
      <c r="H286" s="28">
        <f>F286*G286</f>
        <v/>
      </c>
      <c r="I286" s="17" t="n">
        <v>0.67</v>
      </c>
      <c r="J286" s="6">
        <f>1-I286</f>
        <v/>
      </c>
      <c r="K286" s="28">
        <f>H286*I286</f>
        <v/>
      </c>
      <c r="L286" s="3" t="inlineStr">
        <is>
          <t>legacy_company_envelope_fallback</t>
        </is>
      </c>
      <c r="M286" s="3" t="inlineStr">
        <is>
          <t>SRC_DEEPSEEK_V3; SRC_DEEPSEEK_R1; SRC_DEEPSEEK_H800_INFERENCE</t>
        </is>
      </c>
      <c r="N286" s="3" t="inlineStr">
        <is>
          <t>No mapped CSP contract rows were available, so the prior company-level accelerator mix remains as fallback.</t>
        </is>
      </c>
    </row>
    <row r="287">
      <c r="A287" s="3" t="inlineStr">
        <is>
          <t>Bull|DeepSeek|2027|Legacy company envelope - DeepSeek</t>
        </is>
      </c>
      <c r="B287" s="3" t="inlineStr">
        <is>
          <t>Bull</t>
        </is>
      </c>
      <c r="C287" s="3" t="inlineStr">
        <is>
          <t>DeepSeek</t>
        </is>
      </c>
      <c r="D287" s="3" t="n">
        <v>2027</v>
      </c>
      <c r="E287" s="3" t="inlineStr">
        <is>
          <t>Legacy company envelope - DeepSeek</t>
        </is>
      </c>
      <c r="F287" s="27" t="n">
        <v>295</v>
      </c>
      <c r="G287" s="17" t="n">
        <v>1</v>
      </c>
      <c r="H287" s="28">
        <f>F287*G287</f>
        <v/>
      </c>
      <c r="I287" s="17" t="n">
        <v>0.727</v>
      </c>
      <c r="J287" s="6">
        <f>1-I287</f>
        <v/>
      </c>
      <c r="K287" s="28">
        <f>H287*I287</f>
        <v/>
      </c>
      <c r="L287" s="3" t="inlineStr">
        <is>
          <t>legacy_company_envelope_fallback</t>
        </is>
      </c>
      <c r="M287" s="3" t="inlineStr">
        <is>
          <t>SRC_DEEPSEEK_V3; SRC_DEEPSEEK_R1; SRC_DEEPSEEK_H800_INFERENCE</t>
        </is>
      </c>
      <c r="N287" s="3" t="inlineStr">
        <is>
          <t>No mapped CSP contract rows were available, so the prior company-level accelerator mix remains as fallback.</t>
        </is>
      </c>
    </row>
    <row r="288">
      <c r="A288" s="3" t="inlineStr">
        <is>
          <t>Bull|DeepSeek|2028|Legacy company envelope - DeepSeek</t>
        </is>
      </c>
      <c r="B288" s="3" t="inlineStr">
        <is>
          <t>Bull</t>
        </is>
      </c>
      <c r="C288" s="3" t="inlineStr">
        <is>
          <t>DeepSeek</t>
        </is>
      </c>
      <c r="D288" s="3" t="n">
        <v>2028</v>
      </c>
      <c r="E288" s="3" t="inlineStr">
        <is>
          <t>Legacy company envelope - DeepSeek</t>
        </is>
      </c>
      <c r="F288" s="27" t="n">
        <v>498</v>
      </c>
      <c r="G288" s="17" t="n">
        <v>1</v>
      </c>
      <c r="H288" s="28">
        <f>F288*G288</f>
        <v/>
      </c>
      <c r="I288" s="17" t="n">
        <v>0.785</v>
      </c>
      <c r="J288" s="6">
        <f>1-I288</f>
        <v/>
      </c>
      <c r="K288" s="28">
        <f>H288*I288</f>
        <v/>
      </c>
      <c r="L288" s="3" t="inlineStr">
        <is>
          <t>legacy_company_envelope_fallback</t>
        </is>
      </c>
      <c r="M288" s="3" t="inlineStr">
        <is>
          <t>SRC_DEEPSEEK_V3; SRC_DEEPSEEK_R1; SRC_DEEPSEEK_H800_INFERENCE</t>
        </is>
      </c>
      <c r="N288" s="3" t="inlineStr">
        <is>
          <t>No mapped CSP contract rows were available, so the prior company-level accelerator mix remains as fallback.</t>
        </is>
      </c>
    </row>
    <row r="289">
      <c r="A289" s="3" t="inlineStr">
        <is>
          <t>Bull|DeepSeek|2029|Legacy company envelope - DeepSeek</t>
        </is>
      </c>
      <c r="B289" s="3" t="inlineStr">
        <is>
          <t>Bull</t>
        </is>
      </c>
      <c r="C289" s="3" t="inlineStr">
        <is>
          <t>DeepSeek</t>
        </is>
      </c>
      <c r="D289" s="3" t="n">
        <v>2029</v>
      </c>
      <c r="E289" s="3" t="inlineStr">
        <is>
          <t>Legacy company envelope - DeepSeek</t>
        </is>
      </c>
      <c r="F289" s="27" t="n">
        <v>711</v>
      </c>
      <c r="G289" s="17" t="n">
        <v>1</v>
      </c>
      <c r="H289" s="28">
        <f>F289*G289</f>
        <v/>
      </c>
      <c r="I289" s="17" t="n">
        <v>0.843</v>
      </c>
      <c r="J289" s="6">
        <f>1-I289</f>
        <v/>
      </c>
      <c r="K289" s="28">
        <f>H289*I289</f>
        <v/>
      </c>
      <c r="L289" s="3" t="inlineStr">
        <is>
          <t>legacy_company_envelope_fallback</t>
        </is>
      </c>
      <c r="M289" s="3" t="inlineStr">
        <is>
          <t>SRC_DEEPSEEK_V3; SRC_DEEPSEEK_R1; SRC_DEEPSEEK_H800_INFERENCE</t>
        </is>
      </c>
      <c r="N289" s="3" t="inlineStr">
        <is>
          <t>No mapped CSP contract rows were available, so the prior company-level accelerator mix remains as fallback.</t>
        </is>
      </c>
    </row>
    <row r="290">
      <c r="A290" s="3" t="inlineStr">
        <is>
          <t>Bull|DeepSeek|2030|Legacy company envelope - DeepSeek</t>
        </is>
      </c>
      <c r="B290" s="3" t="inlineStr">
        <is>
          <t>Bull</t>
        </is>
      </c>
      <c r="C290" s="3" t="inlineStr">
        <is>
          <t>DeepSeek</t>
        </is>
      </c>
      <c r="D290" s="3" t="n">
        <v>2030</v>
      </c>
      <c r="E290" s="3" t="inlineStr">
        <is>
          <t>Legacy company envelope - DeepSeek</t>
        </is>
      </c>
      <c r="F290" s="27" t="n">
        <v>936</v>
      </c>
      <c r="G290" s="17" t="n">
        <v>1</v>
      </c>
      <c r="H290" s="28">
        <f>F290*G290</f>
        <v/>
      </c>
      <c r="I290" s="17" t="n">
        <v>0.9</v>
      </c>
      <c r="J290" s="6">
        <f>1-I290</f>
        <v/>
      </c>
      <c r="K290" s="28">
        <f>H290*I290</f>
        <v/>
      </c>
      <c r="L290" s="3" t="inlineStr">
        <is>
          <t>legacy_company_envelope_fallback</t>
        </is>
      </c>
      <c r="M290" s="3" t="inlineStr">
        <is>
          <t>SRC_DEEPSEEK_V3; SRC_DEEPSEEK_R1; SRC_DEEPSEEK_H800_INFERENCE</t>
        </is>
      </c>
      <c r="N290" s="3" t="inlineStr">
        <is>
          <t>No mapped CSP contract rows were available, so the prior company-level accelerator mix remains as fallback.</t>
        </is>
      </c>
    </row>
    <row r="291">
      <c r="A291" s="3" t="inlineStr">
        <is>
          <t>Bull|Tencent|2026|Legacy company envelope - Tencent</t>
        </is>
      </c>
      <c r="B291" s="3" t="inlineStr">
        <is>
          <t>Bull</t>
        </is>
      </c>
      <c r="C291" s="3" t="inlineStr">
        <is>
          <t>Tencent</t>
        </is>
      </c>
      <c r="D291" s="3" t="n">
        <v>2026</v>
      </c>
      <c r="E291" s="3" t="inlineStr">
        <is>
          <t>Legacy company envelope - Tencent</t>
        </is>
      </c>
      <c r="F291" s="27" t="n">
        <v>323</v>
      </c>
      <c r="G291" s="17" t="n">
        <v>1</v>
      </c>
      <c r="H291" s="28">
        <f>F291*G291</f>
        <v/>
      </c>
      <c r="I291" s="17" t="n">
        <v>0.65</v>
      </c>
      <c r="J291" s="6">
        <f>1-I291</f>
        <v/>
      </c>
      <c r="K291" s="28">
        <f>H291*I291</f>
        <v/>
      </c>
      <c r="L291" s="3" t="inlineStr">
        <is>
          <t>legacy_company_envelope_fallback</t>
        </is>
      </c>
      <c r="M291" s="3" t="inlineStr">
        <is>
          <t>SRC_TENCENT_HUNYUAN; SRC_TENCENT_HY3; SRC_TENCENT_AI_INFRA_MOE</t>
        </is>
      </c>
      <c r="N291" s="3" t="inlineStr">
        <is>
          <t>No mapped CSP contract rows were available, so the prior company-level accelerator mix remains as fallback.</t>
        </is>
      </c>
    </row>
    <row r="292">
      <c r="A292" s="3" t="inlineStr">
        <is>
          <t>Bull|Tencent|2027|Legacy company envelope - Tencent</t>
        </is>
      </c>
      <c r="B292" s="3" t="inlineStr">
        <is>
          <t>Bull</t>
        </is>
      </c>
      <c r="C292" s="3" t="inlineStr">
        <is>
          <t>Tencent</t>
        </is>
      </c>
      <c r="D292" s="3" t="n">
        <v>2027</v>
      </c>
      <c r="E292" s="3" t="inlineStr">
        <is>
          <t>Legacy company envelope - Tencent</t>
        </is>
      </c>
      <c r="F292" s="27" t="n">
        <v>693</v>
      </c>
      <c r="G292" s="17" t="n">
        <v>1</v>
      </c>
      <c r="H292" s="28">
        <f>F292*G292</f>
        <v/>
      </c>
      <c r="I292" s="17" t="n">
        <v>0.708</v>
      </c>
      <c r="J292" s="6">
        <f>1-I292</f>
        <v/>
      </c>
      <c r="K292" s="28">
        <f>H292*I292</f>
        <v/>
      </c>
      <c r="L292" s="3" t="inlineStr">
        <is>
          <t>legacy_company_envelope_fallback</t>
        </is>
      </c>
      <c r="M292" s="3" t="inlineStr">
        <is>
          <t>SRC_TENCENT_HUNYUAN; SRC_TENCENT_HY3; SRC_TENCENT_AI_INFRA_MOE</t>
        </is>
      </c>
      <c r="N292" s="3" t="inlineStr">
        <is>
          <t>No mapped CSP contract rows were available, so the prior company-level accelerator mix remains as fallback.</t>
        </is>
      </c>
    </row>
    <row r="293">
      <c r="A293" s="3" t="inlineStr">
        <is>
          <t>Bull|Tencent|2028|Legacy company envelope - Tencent</t>
        </is>
      </c>
      <c r="B293" s="3" t="inlineStr">
        <is>
          <t>Bull</t>
        </is>
      </c>
      <c r="C293" s="3" t="inlineStr">
        <is>
          <t>Tencent</t>
        </is>
      </c>
      <c r="D293" s="3" t="n">
        <v>2028</v>
      </c>
      <c r="E293" s="3" t="inlineStr">
        <is>
          <t>Legacy company envelope - Tencent</t>
        </is>
      </c>
      <c r="F293" s="27" t="n">
        <v>1085</v>
      </c>
      <c r="G293" s="17" t="n">
        <v>1</v>
      </c>
      <c r="H293" s="28">
        <f>F293*G293</f>
        <v/>
      </c>
      <c r="I293" s="17" t="n">
        <v>0.765</v>
      </c>
      <c r="J293" s="6">
        <f>1-I293</f>
        <v/>
      </c>
      <c r="K293" s="28">
        <f>H293*I293</f>
        <v/>
      </c>
      <c r="L293" s="3" t="inlineStr">
        <is>
          <t>legacy_company_envelope_fallback</t>
        </is>
      </c>
      <c r="M293" s="3" t="inlineStr">
        <is>
          <t>SRC_TENCENT_HUNYUAN; SRC_TENCENT_HY3; SRC_TENCENT_AI_INFRA_MOE</t>
        </is>
      </c>
      <c r="N293" s="3" t="inlineStr">
        <is>
          <t>No mapped CSP contract rows were available, so the prior company-level accelerator mix remains as fallback.</t>
        </is>
      </c>
    </row>
    <row r="294">
      <c r="A294" s="3" t="inlineStr">
        <is>
          <t>Bull|Tencent|2029|Legacy company envelope - Tencent</t>
        </is>
      </c>
      <c r="B294" s="3" t="inlineStr">
        <is>
          <t>Bull</t>
        </is>
      </c>
      <c r="C294" s="3" t="inlineStr">
        <is>
          <t>Tencent</t>
        </is>
      </c>
      <c r="D294" s="3" t="n">
        <v>2029</v>
      </c>
      <c r="E294" s="3" t="inlineStr">
        <is>
          <t>Legacy company envelope - Tencent</t>
        </is>
      </c>
      <c r="F294" s="27" t="n">
        <v>1499</v>
      </c>
      <c r="G294" s="17" t="n">
        <v>1</v>
      </c>
      <c r="H294" s="28">
        <f>F294*G294</f>
        <v/>
      </c>
      <c r="I294" s="17" t="n">
        <v>0.823</v>
      </c>
      <c r="J294" s="6">
        <f>1-I294</f>
        <v/>
      </c>
      <c r="K294" s="28">
        <f>H294*I294</f>
        <v/>
      </c>
      <c r="L294" s="3" t="inlineStr">
        <is>
          <t>legacy_company_envelope_fallback</t>
        </is>
      </c>
      <c r="M294" s="3" t="inlineStr">
        <is>
          <t>SRC_TENCENT_HUNYUAN; SRC_TENCENT_HY3; SRC_TENCENT_AI_INFRA_MOE</t>
        </is>
      </c>
      <c r="N294" s="3" t="inlineStr">
        <is>
          <t>No mapped CSP contract rows were available, so the prior company-level accelerator mix remains as fallback.</t>
        </is>
      </c>
    </row>
    <row r="295">
      <c r="A295" s="3" t="inlineStr">
        <is>
          <t>Bull|Tencent|2030|Legacy company envelope - Tencent</t>
        </is>
      </c>
      <c r="B295" s="3" t="inlineStr">
        <is>
          <t>Bull</t>
        </is>
      </c>
      <c r="C295" s="3" t="inlineStr">
        <is>
          <t>Tencent</t>
        </is>
      </c>
      <c r="D295" s="3" t="n">
        <v>2030</v>
      </c>
      <c r="E295" s="3" t="inlineStr">
        <is>
          <t>Legacy company envelope - Tencent</t>
        </is>
      </c>
      <c r="F295" s="27" t="n">
        <v>1934</v>
      </c>
      <c r="G295" s="17" t="n">
        <v>1</v>
      </c>
      <c r="H295" s="28">
        <f>F295*G295</f>
        <v/>
      </c>
      <c r="I295" s="17" t="n">
        <v>0.88</v>
      </c>
      <c r="J295" s="6">
        <f>1-I295</f>
        <v/>
      </c>
      <c r="K295" s="28">
        <f>H295*I295</f>
        <v/>
      </c>
      <c r="L295" s="3" t="inlineStr">
        <is>
          <t>legacy_company_envelope_fallback</t>
        </is>
      </c>
      <c r="M295" s="3" t="inlineStr">
        <is>
          <t>SRC_TENCENT_HUNYUAN; SRC_TENCENT_HY3; SRC_TENCENT_AI_INFRA_MOE</t>
        </is>
      </c>
      <c r="N295" s="3" t="inlineStr">
        <is>
          <t>No mapped CSP contract rows were available, so the prior company-level accelerator mix remains as fallback.</t>
        </is>
      </c>
    </row>
    <row r="296">
      <c r="A296" s="3" t="inlineStr">
        <is>
          <t>Grid-Constrained / Efficiency-Upside|DeepSeek|2026|Legacy company envelope - DeepSeek</t>
        </is>
      </c>
      <c r="B296" s="3" t="inlineStr">
        <is>
          <t>Grid-Constrained / Efficiency-Upside</t>
        </is>
      </c>
      <c r="C296" s="3" t="inlineStr">
        <is>
          <t>DeepSeek</t>
        </is>
      </c>
      <c r="D296" s="3" t="n">
        <v>2026</v>
      </c>
      <c r="E296" s="3" t="inlineStr">
        <is>
          <t>Legacy company envelope - DeepSeek</t>
        </is>
      </c>
      <c r="F296" s="27" t="n">
        <v>87</v>
      </c>
      <c r="G296" s="17" t="n">
        <v>1</v>
      </c>
      <c r="H296" s="28">
        <f>F296*G296</f>
        <v/>
      </c>
      <c r="I296" s="17" t="n">
        <v>0.64</v>
      </c>
      <c r="J296" s="6">
        <f>1-I296</f>
        <v/>
      </c>
      <c r="K296" s="28">
        <f>H296*I296</f>
        <v/>
      </c>
      <c r="L296" s="3" t="inlineStr">
        <is>
          <t>legacy_company_envelope_fallback</t>
        </is>
      </c>
      <c r="M296" s="3" t="inlineStr">
        <is>
          <t>SRC_DEEPSEEK_V3; SRC_DEEPSEEK_R1; SRC_DEEPSEEK_H800_INFERENCE</t>
        </is>
      </c>
      <c r="N296" s="3" t="inlineStr">
        <is>
          <t>No mapped CSP contract rows were available, so the prior company-level accelerator mix remains as fallback.</t>
        </is>
      </c>
    </row>
    <row r="297">
      <c r="A297" s="3" t="inlineStr">
        <is>
          <t>Grid-Constrained / Efficiency-Upside|DeepSeek|2027|Legacy company envelope - DeepSeek</t>
        </is>
      </c>
      <c r="B297" s="3" t="inlineStr">
        <is>
          <t>Grid-Constrained / Efficiency-Upside</t>
        </is>
      </c>
      <c r="C297" s="3" t="inlineStr">
        <is>
          <t>DeepSeek</t>
        </is>
      </c>
      <c r="D297" s="3" t="n">
        <v>2027</v>
      </c>
      <c r="E297" s="3" t="inlineStr">
        <is>
          <t>Legacy company envelope - DeepSeek</t>
        </is>
      </c>
      <c r="F297" s="27" t="n">
        <v>229</v>
      </c>
      <c r="G297" s="17" t="n">
        <v>1</v>
      </c>
      <c r="H297" s="28">
        <f>F297*G297</f>
        <v/>
      </c>
      <c r="I297" s="17" t="n">
        <v>0.695</v>
      </c>
      <c r="J297" s="6">
        <f>1-I297</f>
        <v/>
      </c>
      <c r="K297" s="28">
        <f>H297*I297</f>
        <v/>
      </c>
      <c r="L297" s="3" t="inlineStr">
        <is>
          <t>legacy_company_envelope_fallback</t>
        </is>
      </c>
      <c r="M297" s="3" t="inlineStr">
        <is>
          <t>SRC_DEEPSEEK_V3; SRC_DEEPSEEK_R1; SRC_DEEPSEEK_H800_INFERENCE</t>
        </is>
      </c>
      <c r="N297" s="3" t="inlineStr">
        <is>
          <t>No mapped CSP contract rows were available, so the prior company-level accelerator mix remains as fallback.</t>
        </is>
      </c>
    </row>
    <row r="298">
      <c r="A298" s="3" t="inlineStr">
        <is>
          <t>Grid-Constrained / Efficiency-Upside|DeepSeek|2028|Legacy company envelope - DeepSeek</t>
        </is>
      </c>
      <c r="B298" s="3" t="inlineStr">
        <is>
          <t>Grid-Constrained / Efficiency-Upside</t>
        </is>
      </c>
      <c r="C298" s="3" t="inlineStr">
        <is>
          <t>DeepSeek</t>
        </is>
      </c>
      <c r="D298" s="3" t="n">
        <v>2028</v>
      </c>
      <c r="E298" s="3" t="inlineStr">
        <is>
          <t>Legacy company envelope - DeepSeek</t>
        </is>
      </c>
      <c r="F298" s="27" t="n">
        <v>357</v>
      </c>
      <c r="G298" s="17" t="n">
        <v>1</v>
      </c>
      <c r="H298" s="28">
        <f>F298*G298</f>
        <v/>
      </c>
      <c r="I298" s="17" t="n">
        <v>0.75</v>
      </c>
      <c r="J298" s="6">
        <f>1-I298</f>
        <v/>
      </c>
      <c r="K298" s="28">
        <f>H298*I298</f>
        <v/>
      </c>
      <c r="L298" s="3" t="inlineStr">
        <is>
          <t>legacy_company_envelope_fallback</t>
        </is>
      </c>
      <c r="M298" s="3" t="inlineStr">
        <is>
          <t>SRC_DEEPSEEK_V3; SRC_DEEPSEEK_R1; SRC_DEEPSEEK_H800_INFERENCE</t>
        </is>
      </c>
      <c r="N298" s="3" t="inlineStr">
        <is>
          <t>No mapped CSP contract rows were available, so the prior company-level accelerator mix remains as fallback.</t>
        </is>
      </c>
    </row>
    <row r="299">
      <c r="A299" s="3" t="inlineStr">
        <is>
          <t>Grid-Constrained / Efficiency-Upside|DeepSeek|2029|Legacy company envelope - DeepSeek</t>
        </is>
      </c>
      <c r="B299" s="3" t="inlineStr">
        <is>
          <t>Grid-Constrained / Efficiency-Upside</t>
        </is>
      </c>
      <c r="C299" s="3" t="inlineStr">
        <is>
          <t>DeepSeek</t>
        </is>
      </c>
      <c r="D299" s="3" t="n">
        <v>2029</v>
      </c>
      <c r="E299" s="3" t="inlineStr">
        <is>
          <t>Legacy company envelope - DeepSeek</t>
        </is>
      </c>
      <c r="F299" s="27" t="n">
        <v>471</v>
      </c>
      <c r="G299" s="17" t="n">
        <v>1</v>
      </c>
      <c r="H299" s="28">
        <f>F299*G299</f>
        <v/>
      </c>
      <c r="I299" s="17" t="n">
        <v>0.805</v>
      </c>
      <c r="J299" s="6">
        <f>1-I299</f>
        <v/>
      </c>
      <c r="K299" s="28">
        <f>H299*I299</f>
        <v/>
      </c>
      <c r="L299" s="3" t="inlineStr">
        <is>
          <t>legacy_company_envelope_fallback</t>
        </is>
      </c>
      <c r="M299" s="3" t="inlineStr">
        <is>
          <t>SRC_DEEPSEEK_V3; SRC_DEEPSEEK_R1; SRC_DEEPSEEK_H800_INFERENCE</t>
        </is>
      </c>
      <c r="N299" s="3" t="inlineStr">
        <is>
          <t>No mapped CSP contract rows were available, so the prior company-level accelerator mix remains as fallback.</t>
        </is>
      </c>
    </row>
    <row r="300">
      <c r="A300" s="3" t="inlineStr">
        <is>
          <t>Grid-Constrained / Efficiency-Upside|DeepSeek|2030|Legacy company envelope - DeepSeek</t>
        </is>
      </c>
      <c r="B300" s="3" t="inlineStr">
        <is>
          <t>Grid-Constrained / Efficiency-Upside</t>
        </is>
      </c>
      <c r="C300" s="3" t="inlineStr">
        <is>
          <t>DeepSeek</t>
        </is>
      </c>
      <c r="D300" s="3" t="n">
        <v>2030</v>
      </c>
      <c r="E300" s="3" t="inlineStr">
        <is>
          <t>Legacy company envelope - DeepSeek</t>
        </is>
      </c>
      <c r="F300" s="27" t="n">
        <v>571</v>
      </c>
      <c r="G300" s="17" t="n">
        <v>1</v>
      </c>
      <c r="H300" s="28">
        <f>F300*G300</f>
        <v/>
      </c>
      <c r="I300" s="17" t="n">
        <v>0.86</v>
      </c>
      <c r="J300" s="6">
        <f>1-I300</f>
        <v/>
      </c>
      <c r="K300" s="28">
        <f>H300*I300</f>
        <v/>
      </c>
      <c r="L300" s="3" t="inlineStr">
        <is>
          <t>legacy_company_envelope_fallback</t>
        </is>
      </c>
      <c r="M300" s="3" t="inlineStr">
        <is>
          <t>SRC_DEEPSEEK_V3; SRC_DEEPSEEK_R1; SRC_DEEPSEEK_H800_INFERENCE</t>
        </is>
      </c>
      <c r="N300" s="3" t="inlineStr">
        <is>
          <t>No mapped CSP contract rows were available, so the prior company-level accelerator mix remains as fallback.</t>
        </is>
      </c>
    </row>
    <row r="301">
      <c r="A301" s="3" t="inlineStr">
        <is>
          <t>Grid-Constrained / Efficiency-Upside|Tencent|2026|Legacy company envelope - Tencent</t>
        </is>
      </c>
      <c r="B301" s="3" t="inlineStr">
        <is>
          <t>Grid-Constrained / Efficiency-Upside</t>
        </is>
      </c>
      <c r="C301" s="3" t="inlineStr">
        <is>
          <t>Tencent</t>
        </is>
      </c>
      <c r="D301" s="3" t="n">
        <v>2026</v>
      </c>
      <c r="E301" s="3" t="inlineStr">
        <is>
          <t>Legacy company envelope - Tencent</t>
        </is>
      </c>
      <c r="F301" s="27" t="n">
        <v>270</v>
      </c>
      <c r="G301" s="17" t="n">
        <v>1</v>
      </c>
      <c r="H301" s="28">
        <f>F301*G301</f>
        <v/>
      </c>
      <c r="I301" s="17" t="n">
        <v>0.62</v>
      </c>
      <c r="J301" s="6">
        <f>1-I301</f>
        <v/>
      </c>
      <c r="K301" s="28">
        <f>H301*I301</f>
        <v/>
      </c>
      <c r="L301" s="3" t="inlineStr">
        <is>
          <t>legacy_company_envelope_fallback</t>
        </is>
      </c>
      <c r="M301" s="3" t="inlineStr">
        <is>
          <t>SRC_TENCENT_HUNYUAN; SRC_TENCENT_HY3; SRC_TENCENT_AI_INFRA_MOE</t>
        </is>
      </c>
      <c r="N301" s="3" t="inlineStr">
        <is>
          <t>No mapped CSP contract rows were available, so the prior company-level accelerator mix remains as fallback.</t>
        </is>
      </c>
    </row>
    <row r="302">
      <c r="A302" s="3" t="inlineStr">
        <is>
          <t>Grid-Constrained / Efficiency-Upside|Tencent|2027|Legacy company envelope - Tencent</t>
        </is>
      </c>
      <c r="B302" s="3" t="inlineStr">
        <is>
          <t>Grid-Constrained / Efficiency-Upside</t>
        </is>
      </c>
      <c r="C302" s="3" t="inlineStr">
        <is>
          <t>Tencent</t>
        </is>
      </c>
      <c r="D302" s="3" t="n">
        <v>2027</v>
      </c>
      <c r="E302" s="3" t="inlineStr">
        <is>
          <t>Legacy company envelope - Tencent</t>
        </is>
      </c>
      <c r="F302" s="27" t="n">
        <v>538</v>
      </c>
      <c r="G302" s="17" t="n">
        <v>1</v>
      </c>
      <c r="H302" s="28">
        <f>F302*G302</f>
        <v/>
      </c>
      <c r="I302" s="17" t="n">
        <v>0.675</v>
      </c>
      <c r="J302" s="6">
        <f>1-I302</f>
        <v/>
      </c>
      <c r="K302" s="28">
        <f>H302*I302</f>
        <v/>
      </c>
      <c r="L302" s="3" t="inlineStr">
        <is>
          <t>legacy_company_envelope_fallback</t>
        </is>
      </c>
      <c r="M302" s="3" t="inlineStr">
        <is>
          <t>SRC_TENCENT_HUNYUAN; SRC_TENCENT_HY3; SRC_TENCENT_AI_INFRA_MOE</t>
        </is>
      </c>
      <c r="N302" s="3" t="inlineStr">
        <is>
          <t>No mapped CSP contract rows were available, so the prior company-level accelerator mix remains as fallback.</t>
        </is>
      </c>
    </row>
    <row r="303">
      <c r="A303" s="3" t="inlineStr">
        <is>
          <t>Grid-Constrained / Efficiency-Upside|Tencent|2028|Legacy company envelope - Tencent</t>
        </is>
      </c>
      <c r="B303" s="3" t="inlineStr">
        <is>
          <t>Grid-Constrained / Efficiency-Upside</t>
        </is>
      </c>
      <c r="C303" s="3" t="inlineStr">
        <is>
          <t>Tencent</t>
        </is>
      </c>
      <c r="D303" s="3" t="n">
        <v>2028</v>
      </c>
      <c r="E303" s="3" t="inlineStr">
        <is>
          <t>Legacy company envelope - Tencent</t>
        </is>
      </c>
      <c r="F303" s="27" t="n">
        <v>779</v>
      </c>
      <c r="G303" s="17" t="n">
        <v>1</v>
      </c>
      <c r="H303" s="28">
        <f>F303*G303</f>
        <v/>
      </c>
      <c r="I303" s="17" t="n">
        <v>0.73</v>
      </c>
      <c r="J303" s="6">
        <f>1-I303</f>
        <v/>
      </c>
      <c r="K303" s="28">
        <f>H303*I303</f>
        <v/>
      </c>
      <c r="L303" s="3" t="inlineStr">
        <is>
          <t>legacy_company_envelope_fallback</t>
        </is>
      </c>
      <c r="M303" s="3" t="inlineStr">
        <is>
          <t>SRC_TENCENT_HUNYUAN; SRC_TENCENT_HY3; SRC_TENCENT_AI_INFRA_MOE</t>
        </is>
      </c>
      <c r="N303" s="3" t="inlineStr">
        <is>
          <t>No mapped CSP contract rows were available, so the prior company-level accelerator mix remains as fallback.</t>
        </is>
      </c>
    </row>
    <row r="304">
      <c r="A304" s="3" t="inlineStr">
        <is>
          <t>Grid-Constrained / Efficiency-Upside|Tencent|2029|Legacy company envelope - Tencent</t>
        </is>
      </c>
      <c r="B304" s="3" t="inlineStr">
        <is>
          <t>Grid-Constrained / Efficiency-Upside</t>
        </is>
      </c>
      <c r="C304" s="3" t="inlineStr">
        <is>
          <t>Tencent</t>
        </is>
      </c>
      <c r="D304" s="3" t="n">
        <v>2029</v>
      </c>
      <c r="E304" s="3" t="inlineStr">
        <is>
          <t>Legacy company envelope - Tencent</t>
        </is>
      </c>
      <c r="F304" s="27" t="n">
        <v>993</v>
      </c>
      <c r="G304" s="17" t="n">
        <v>1</v>
      </c>
      <c r="H304" s="28">
        <f>F304*G304</f>
        <v/>
      </c>
      <c r="I304" s="17" t="n">
        <v>0.785</v>
      </c>
      <c r="J304" s="6">
        <f>1-I304</f>
        <v/>
      </c>
      <c r="K304" s="28">
        <f>H304*I304</f>
        <v/>
      </c>
      <c r="L304" s="3" t="inlineStr">
        <is>
          <t>legacy_company_envelope_fallback</t>
        </is>
      </c>
      <c r="M304" s="3" t="inlineStr">
        <is>
          <t>SRC_TENCENT_HUNYUAN; SRC_TENCENT_HY3; SRC_TENCENT_AI_INFRA_MOE</t>
        </is>
      </c>
      <c r="N304" s="3" t="inlineStr">
        <is>
          <t>No mapped CSP contract rows were available, so the prior company-level accelerator mix remains as fallback.</t>
        </is>
      </c>
    </row>
    <row r="305">
      <c r="A305" s="3" t="inlineStr">
        <is>
          <t>Grid-Constrained / Efficiency-Upside|Tencent|2030|Legacy company envelope - Tencent</t>
        </is>
      </c>
      <c r="B305" s="3" t="inlineStr">
        <is>
          <t>Grid-Constrained / Efficiency-Upside</t>
        </is>
      </c>
      <c r="C305" s="3" t="inlineStr">
        <is>
          <t>Tencent</t>
        </is>
      </c>
      <c r="D305" s="3" t="n">
        <v>2030</v>
      </c>
      <c r="E305" s="3" t="inlineStr">
        <is>
          <t>Legacy company envelope - Tencent</t>
        </is>
      </c>
      <c r="F305" s="27" t="n">
        <v>1180</v>
      </c>
      <c r="G305" s="17" t="n">
        <v>1</v>
      </c>
      <c r="H305" s="28">
        <f>F305*G305</f>
        <v/>
      </c>
      <c r="I305" s="17" t="n">
        <v>0.84</v>
      </c>
      <c r="J305" s="6">
        <f>1-I305</f>
        <v/>
      </c>
      <c r="K305" s="28">
        <f>H305*I305</f>
        <v/>
      </c>
      <c r="L305" s="3" t="inlineStr">
        <is>
          <t>legacy_company_envelope_fallback</t>
        </is>
      </c>
      <c r="M305" s="3" t="inlineStr">
        <is>
          <t>SRC_TENCENT_HUNYUAN; SRC_TENCENT_HY3; SRC_TENCENT_AI_INFRA_MOE</t>
        </is>
      </c>
      <c r="N305" s="3" t="inlineStr">
        <is>
          <t>No mapped CSP contract rows were available, so the prior company-level accelerator mix remains as fallback.</t>
        </is>
      </c>
    </row>
  </sheetData>
  <autoFilter ref="A1:N30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38" customWidth="1" min="2" max="2"/>
    <col width="30" customWidth="1" min="3" max="3"/>
    <col width="12" customWidth="1" min="4" max="4"/>
    <col width="28" customWidth="1" min="5" max="5"/>
    <col width="38" customWidth="1" min="6" max="6"/>
    <col width="38" customWidth="1" min="7" max="7"/>
    <col width="19" customWidth="1" min="8" max="8"/>
    <col width="38" customWidth="1" min="9" max="9"/>
    <col width="33" customWidth="1" min="10" max="10"/>
    <col width="38" customWidth="1" min="11" max="11"/>
    <col width="76" customWidth="1" min="12" max="12"/>
  </cols>
  <sheetData>
    <row r="1">
      <c r="A1" s="4" t="inlineStr">
        <is>
          <t>mix_key</t>
        </is>
      </c>
      <c r="B1" s="4" t="inlineStr">
        <is>
          <t>scenario</t>
        </is>
      </c>
      <c r="C1" s="4" t="inlineStr">
        <is>
          <t>csp</t>
        </is>
      </c>
      <c r="D1" s="4" t="inlineStr">
        <is>
          <t>year</t>
        </is>
      </c>
      <c r="E1" s="4" t="inlineStr">
        <is>
          <t>accelerator_type</t>
        </is>
      </c>
      <c r="F1" s="4" t="inlineStr">
        <is>
          <t>benchmark_bucket</t>
        </is>
      </c>
      <c r="G1" s="4" t="inlineStr">
        <is>
          <t>all_in_kw_per_unit</t>
        </is>
      </c>
      <c r="H1" s="4" t="inlineStr">
        <is>
          <t>accelerator_share</t>
        </is>
      </c>
      <c r="I1" s="4" t="inlineStr">
        <is>
          <t>share_sum_check</t>
        </is>
      </c>
      <c r="J1" s="4" t="inlineStr">
        <is>
          <t>source_type</t>
        </is>
      </c>
      <c r="K1" s="4" t="inlineStr">
        <is>
          <t>source_ids</t>
        </is>
      </c>
      <c r="L1" s="4" t="inlineStr">
        <is>
          <t>note</t>
        </is>
      </c>
    </row>
    <row r="2">
      <c r="A2" s="5">
        <f>B2&amp;"|"&amp;C2&amp;"|"&amp;D2&amp;"|"&amp;E2</f>
        <v/>
      </c>
      <c r="B2" s="3" t="inlineStr">
        <is>
          <t>Bear</t>
        </is>
      </c>
      <c r="C2" s="3" t="inlineStr">
        <is>
          <t>Alibaba</t>
        </is>
      </c>
      <c r="D2" s="3" t="n">
        <v>2026</v>
      </c>
      <c r="E2" s="25" t="inlineStr">
        <is>
          <t>H100/H200/A100 class</t>
        </is>
      </c>
      <c r="F2" s="5">
        <f>IFERROR(INDEX('02x_Accelerator_Catalog'!$C$2:$C$11,MATCH(E2,'02x_Accelerator_Catalog'!$B$2:$B$11,0)),"purpose_or_unbenchmarked")</f>
        <v/>
      </c>
      <c r="G2" s="8">
        <f>IFERROR(INDEX('02x_Accelerator_Catalog'!$D$2:$D$11,MATCH(E2,'02x_Accelerator_Catalog'!$B$2:$B$11,0)),"")</f>
        <v/>
      </c>
      <c r="H2" s="17" t="n">
        <v>1</v>
      </c>
      <c r="I2" s="6">
        <f>SUMIFS($H$2:$H$573,$B$2:$B$573,B2,$C$2:$C$573,C2,$D$2:$D$573,D2)</f>
        <v/>
      </c>
      <c r="J2" s="3" t="inlineStr">
        <is>
          <t>epoch_csp_chip_quantity_latest</t>
        </is>
      </c>
      <c r="K2" s="3" t="inlineStr">
        <is>
          <t>SRC_EPOCH_AI_DATA_CENTERS; EPOCH_RAW_CHIP_QUANTITIES</t>
        </is>
      </c>
      <c r="L2" s="3" t="inlineStr">
        <is>
          <t>Latest chip quantity per CSP/data-center/accelerator through year-end; normalized by unit count. Shares are editable.</t>
        </is>
      </c>
    </row>
    <row r="3">
      <c r="A3" s="5">
        <f>B3&amp;"|"&amp;C3&amp;"|"&amp;D3&amp;"|"&amp;E3</f>
        <v/>
      </c>
      <c r="B3" s="3" t="inlineStr">
        <is>
          <t>Base</t>
        </is>
      </c>
      <c r="C3" s="3" t="inlineStr">
        <is>
          <t>Alibaba</t>
        </is>
      </c>
      <c r="D3" s="3" t="n">
        <v>2026</v>
      </c>
      <c r="E3" s="25" t="inlineStr">
        <is>
          <t>H100/H200/A100 class</t>
        </is>
      </c>
      <c r="F3" s="5">
        <f>IFERROR(INDEX('02x_Accelerator_Catalog'!$C$2:$C$11,MATCH(E3,'02x_Accelerator_Catalog'!$B$2:$B$11,0)),"purpose_or_unbenchmarked")</f>
        <v/>
      </c>
      <c r="G3" s="8">
        <f>IFERROR(INDEX('02x_Accelerator_Catalog'!$D$2:$D$11,MATCH(E3,'02x_Accelerator_Catalog'!$B$2:$B$11,0)),"")</f>
        <v/>
      </c>
      <c r="H3" s="17" t="n">
        <v>1</v>
      </c>
      <c r="I3" s="6">
        <f>SUMIFS($H$2:$H$573,$B$2:$B$573,B3,$C$2:$C$573,C3,$D$2:$D$573,D3)</f>
        <v/>
      </c>
      <c r="J3" s="3" t="inlineStr">
        <is>
          <t>epoch_csp_chip_quantity_latest</t>
        </is>
      </c>
      <c r="K3" s="3" t="inlineStr">
        <is>
          <t>SRC_EPOCH_AI_DATA_CENTERS; EPOCH_RAW_CHIP_QUANTITIES</t>
        </is>
      </c>
      <c r="L3" s="3" t="inlineStr">
        <is>
          <t>Latest chip quantity per CSP/data-center/accelerator through year-end; normalized by unit count. Shares are editable.</t>
        </is>
      </c>
    </row>
    <row r="4">
      <c r="A4" s="5">
        <f>B4&amp;"|"&amp;C4&amp;"|"&amp;D4&amp;"|"&amp;E4</f>
        <v/>
      </c>
      <c r="B4" s="3" t="inlineStr">
        <is>
          <t>Bull</t>
        </is>
      </c>
      <c r="C4" s="3" t="inlineStr">
        <is>
          <t>Alibaba</t>
        </is>
      </c>
      <c r="D4" s="3" t="n">
        <v>2026</v>
      </c>
      <c r="E4" s="25" t="inlineStr">
        <is>
          <t>H100/H200/A100 class</t>
        </is>
      </c>
      <c r="F4" s="5">
        <f>IFERROR(INDEX('02x_Accelerator_Catalog'!$C$2:$C$11,MATCH(E4,'02x_Accelerator_Catalog'!$B$2:$B$11,0)),"purpose_or_unbenchmarked")</f>
        <v/>
      </c>
      <c r="G4" s="8">
        <f>IFERROR(INDEX('02x_Accelerator_Catalog'!$D$2:$D$11,MATCH(E4,'02x_Accelerator_Catalog'!$B$2:$B$11,0)),"")</f>
        <v/>
      </c>
      <c r="H4" s="17" t="n">
        <v>1</v>
      </c>
      <c r="I4" s="6">
        <f>SUMIFS($H$2:$H$573,$B$2:$B$573,B4,$C$2:$C$573,C4,$D$2:$D$573,D4)</f>
        <v/>
      </c>
      <c r="J4" s="3" t="inlineStr">
        <is>
          <t>epoch_csp_chip_quantity_latest</t>
        </is>
      </c>
      <c r="K4" s="3" t="inlineStr">
        <is>
          <t>SRC_EPOCH_AI_DATA_CENTERS; EPOCH_RAW_CHIP_QUANTITIES</t>
        </is>
      </c>
      <c r="L4" s="3" t="inlineStr">
        <is>
          <t>Latest chip quantity per CSP/data-center/accelerator through year-end; normalized by unit count. Shares are editable.</t>
        </is>
      </c>
    </row>
    <row r="5">
      <c r="A5" s="5">
        <f>B5&amp;"|"&amp;C5&amp;"|"&amp;D5&amp;"|"&amp;E5</f>
        <v/>
      </c>
      <c r="B5" s="3" t="inlineStr">
        <is>
          <t>Grid-Constrained / Efficiency-Upside</t>
        </is>
      </c>
      <c r="C5" s="3" t="inlineStr">
        <is>
          <t>Alibaba</t>
        </is>
      </c>
      <c r="D5" s="3" t="n">
        <v>2026</v>
      </c>
      <c r="E5" s="25" t="inlineStr">
        <is>
          <t>H100/H200/A100 class</t>
        </is>
      </c>
      <c r="F5" s="5">
        <f>IFERROR(INDEX('02x_Accelerator_Catalog'!$C$2:$C$11,MATCH(E5,'02x_Accelerator_Catalog'!$B$2:$B$11,0)),"purpose_or_unbenchmarked")</f>
        <v/>
      </c>
      <c r="G5" s="8">
        <f>IFERROR(INDEX('02x_Accelerator_Catalog'!$D$2:$D$11,MATCH(E5,'02x_Accelerator_Catalog'!$B$2:$B$11,0)),"")</f>
        <v/>
      </c>
      <c r="H5" s="17" t="n">
        <v>1</v>
      </c>
      <c r="I5" s="6">
        <f>SUMIFS($H$2:$H$573,$B$2:$B$573,B5,$C$2:$C$573,C5,$D$2:$D$573,D5)</f>
        <v/>
      </c>
      <c r="J5" s="3" t="inlineStr">
        <is>
          <t>epoch_csp_chip_quantity_latest</t>
        </is>
      </c>
      <c r="K5" s="3" t="inlineStr">
        <is>
          <t>SRC_EPOCH_AI_DATA_CENTERS; EPOCH_RAW_CHIP_QUANTITIES</t>
        </is>
      </c>
      <c r="L5" s="3" t="inlineStr">
        <is>
          <t>Latest chip quantity per CSP/data-center/accelerator through year-end; normalized by unit count. Shares are editable.</t>
        </is>
      </c>
    </row>
    <row r="6">
      <c r="A6" s="5">
        <f>B6&amp;"|"&amp;C6&amp;"|"&amp;D6&amp;"|"&amp;E6</f>
        <v/>
      </c>
      <c r="B6" s="3" t="inlineStr">
        <is>
          <t>Bear</t>
        </is>
      </c>
      <c r="C6" s="3" t="inlineStr">
        <is>
          <t>Alibaba</t>
        </is>
      </c>
      <c r="D6" s="3" t="n">
        <v>2027</v>
      </c>
      <c r="E6" s="25" t="inlineStr">
        <is>
          <t>H100/H200/A100 class</t>
        </is>
      </c>
      <c r="F6" s="5">
        <f>IFERROR(INDEX('02x_Accelerator_Catalog'!$C$2:$C$11,MATCH(E6,'02x_Accelerator_Catalog'!$B$2:$B$11,0)),"purpose_or_unbenchmarked")</f>
        <v/>
      </c>
      <c r="G6" s="8">
        <f>IFERROR(INDEX('02x_Accelerator_Catalog'!$D$2:$D$11,MATCH(E6,'02x_Accelerator_Catalog'!$B$2:$B$11,0)),"")</f>
        <v/>
      </c>
      <c r="H6" s="17" t="n">
        <v>1</v>
      </c>
      <c r="I6" s="6">
        <f>SUMIFS($H$2:$H$573,$B$2:$B$573,B6,$C$2:$C$573,C6,$D$2:$D$573,D6)</f>
        <v/>
      </c>
      <c r="J6" s="3" t="inlineStr">
        <is>
          <t>epoch_csp_chip_quantity_latest</t>
        </is>
      </c>
      <c r="K6" s="3" t="inlineStr">
        <is>
          <t>SRC_EPOCH_AI_DATA_CENTERS; EPOCH_RAW_CHIP_QUANTITIES</t>
        </is>
      </c>
      <c r="L6" s="3" t="inlineStr">
        <is>
          <t>Latest chip quantity per CSP/data-center/accelerator through year-end; normalized by unit count. Shares are editable.</t>
        </is>
      </c>
    </row>
    <row r="7">
      <c r="A7" s="5">
        <f>B7&amp;"|"&amp;C7&amp;"|"&amp;D7&amp;"|"&amp;E7</f>
        <v/>
      </c>
      <c r="B7" s="3" t="inlineStr">
        <is>
          <t>Base</t>
        </is>
      </c>
      <c r="C7" s="3" t="inlineStr">
        <is>
          <t>Alibaba</t>
        </is>
      </c>
      <c r="D7" s="3" t="n">
        <v>2027</v>
      </c>
      <c r="E7" s="25" t="inlineStr">
        <is>
          <t>H100/H200/A100 class</t>
        </is>
      </c>
      <c r="F7" s="5">
        <f>IFERROR(INDEX('02x_Accelerator_Catalog'!$C$2:$C$11,MATCH(E7,'02x_Accelerator_Catalog'!$B$2:$B$11,0)),"purpose_or_unbenchmarked")</f>
        <v/>
      </c>
      <c r="G7" s="8">
        <f>IFERROR(INDEX('02x_Accelerator_Catalog'!$D$2:$D$11,MATCH(E7,'02x_Accelerator_Catalog'!$B$2:$B$11,0)),"")</f>
        <v/>
      </c>
      <c r="H7" s="17" t="n">
        <v>1</v>
      </c>
      <c r="I7" s="6">
        <f>SUMIFS($H$2:$H$573,$B$2:$B$573,B7,$C$2:$C$573,C7,$D$2:$D$573,D7)</f>
        <v/>
      </c>
      <c r="J7" s="3" t="inlineStr">
        <is>
          <t>epoch_csp_chip_quantity_latest</t>
        </is>
      </c>
      <c r="K7" s="3" t="inlineStr">
        <is>
          <t>SRC_EPOCH_AI_DATA_CENTERS; EPOCH_RAW_CHIP_QUANTITIES</t>
        </is>
      </c>
      <c r="L7" s="3" t="inlineStr">
        <is>
          <t>Latest chip quantity per CSP/data-center/accelerator through year-end; normalized by unit count. Shares are editable.</t>
        </is>
      </c>
    </row>
    <row r="8">
      <c r="A8" s="5">
        <f>B8&amp;"|"&amp;C8&amp;"|"&amp;D8&amp;"|"&amp;E8</f>
        <v/>
      </c>
      <c r="B8" s="3" t="inlineStr">
        <is>
          <t>Bull</t>
        </is>
      </c>
      <c r="C8" s="3" t="inlineStr">
        <is>
          <t>Alibaba</t>
        </is>
      </c>
      <c r="D8" s="3" t="n">
        <v>2027</v>
      </c>
      <c r="E8" s="25" t="inlineStr">
        <is>
          <t>H100/H200/A100 class</t>
        </is>
      </c>
      <c r="F8" s="5">
        <f>IFERROR(INDEX('02x_Accelerator_Catalog'!$C$2:$C$11,MATCH(E8,'02x_Accelerator_Catalog'!$B$2:$B$11,0)),"purpose_or_unbenchmarked")</f>
        <v/>
      </c>
      <c r="G8" s="8">
        <f>IFERROR(INDEX('02x_Accelerator_Catalog'!$D$2:$D$11,MATCH(E8,'02x_Accelerator_Catalog'!$B$2:$B$11,0)),"")</f>
        <v/>
      </c>
      <c r="H8" s="17" t="n">
        <v>1</v>
      </c>
      <c r="I8" s="6">
        <f>SUMIFS($H$2:$H$573,$B$2:$B$573,B8,$C$2:$C$573,C8,$D$2:$D$573,D8)</f>
        <v/>
      </c>
      <c r="J8" s="3" t="inlineStr">
        <is>
          <t>epoch_csp_chip_quantity_latest</t>
        </is>
      </c>
      <c r="K8" s="3" t="inlineStr">
        <is>
          <t>SRC_EPOCH_AI_DATA_CENTERS; EPOCH_RAW_CHIP_QUANTITIES</t>
        </is>
      </c>
      <c r="L8" s="3" t="inlineStr">
        <is>
          <t>Latest chip quantity per CSP/data-center/accelerator through year-end; normalized by unit count. Shares are editable.</t>
        </is>
      </c>
    </row>
    <row r="9">
      <c r="A9" s="5">
        <f>B9&amp;"|"&amp;C9&amp;"|"&amp;D9&amp;"|"&amp;E9</f>
        <v/>
      </c>
      <c r="B9" s="3" t="inlineStr">
        <is>
          <t>Grid-Constrained / Efficiency-Upside</t>
        </is>
      </c>
      <c r="C9" s="3" t="inlineStr">
        <is>
          <t>Alibaba</t>
        </is>
      </c>
      <c r="D9" s="3" t="n">
        <v>2027</v>
      </c>
      <c r="E9" s="25" t="inlineStr">
        <is>
          <t>H100/H200/A100 class</t>
        </is>
      </c>
      <c r="F9" s="5">
        <f>IFERROR(INDEX('02x_Accelerator_Catalog'!$C$2:$C$11,MATCH(E9,'02x_Accelerator_Catalog'!$B$2:$B$11,0)),"purpose_or_unbenchmarked")</f>
        <v/>
      </c>
      <c r="G9" s="8">
        <f>IFERROR(INDEX('02x_Accelerator_Catalog'!$D$2:$D$11,MATCH(E9,'02x_Accelerator_Catalog'!$B$2:$B$11,0)),"")</f>
        <v/>
      </c>
      <c r="H9" s="17" t="n">
        <v>1</v>
      </c>
      <c r="I9" s="6">
        <f>SUMIFS($H$2:$H$573,$B$2:$B$573,B9,$C$2:$C$573,C9,$D$2:$D$573,D9)</f>
        <v/>
      </c>
      <c r="J9" s="3" t="inlineStr">
        <is>
          <t>epoch_csp_chip_quantity_latest</t>
        </is>
      </c>
      <c r="K9" s="3" t="inlineStr">
        <is>
          <t>SRC_EPOCH_AI_DATA_CENTERS; EPOCH_RAW_CHIP_QUANTITIES</t>
        </is>
      </c>
      <c r="L9" s="3" t="inlineStr">
        <is>
          <t>Latest chip quantity per CSP/data-center/accelerator through year-end; normalized by unit count. Shares are editable.</t>
        </is>
      </c>
    </row>
    <row r="10">
      <c r="A10" s="5">
        <f>B10&amp;"|"&amp;C10&amp;"|"&amp;D10&amp;"|"&amp;E10</f>
        <v/>
      </c>
      <c r="B10" s="3" t="inlineStr">
        <is>
          <t>Bear</t>
        </is>
      </c>
      <c r="C10" s="3" t="inlineStr">
        <is>
          <t>Alibaba</t>
        </is>
      </c>
      <c r="D10" s="3" t="n">
        <v>2028</v>
      </c>
      <c r="E10" s="25" t="inlineStr">
        <is>
          <t>H100/H200/A100 class</t>
        </is>
      </c>
      <c r="F10" s="5">
        <f>IFERROR(INDEX('02x_Accelerator_Catalog'!$C$2:$C$11,MATCH(E10,'02x_Accelerator_Catalog'!$B$2:$B$11,0)),"purpose_or_unbenchmarked")</f>
        <v/>
      </c>
      <c r="G10" s="8">
        <f>IFERROR(INDEX('02x_Accelerator_Catalog'!$D$2:$D$11,MATCH(E10,'02x_Accelerator_Catalog'!$B$2:$B$11,0)),"")</f>
        <v/>
      </c>
      <c r="H10" s="17" t="n">
        <v>1</v>
      </c>
      <c r="I10" s="6">
        <f>SUMIFS($H$2:$H$573,$B$2:$B$573,B10,$C$2:$C$573,C10,$D$2:$D$573,D10)</f>
        <v/>
      </c>
      <c r="J10" s="3" t="inlineStr">
        <is>
          <t>epoch_csp_chip_quantity_latest</t>
        </is>
      </c>
      <c r="K10" s="3" t="inlineStr">
        <is>
          <t>SRC_EPOCH_AI_DATA_CENTERS; EPOCH_RAW_CHIP_QUANTITIES</t>
        </is>
      </c>
      <c r="L10" s="3" t="inlineStr">
        <is>
          <t>Latest chip quantity per CSP/data-center/accelerator through year-end; normalized by unit count. Shares are editable.</t>
        </is>
      </c>
    </row>
    <row r="11">
      <c r="A11" s="5">
        <f>B11&amp;"|"&amp;C11&amp;"|"&amp;D11&amp;"|"&amp;E11</f>
        <v/>
      </c>
      <c r="B11" s="3" t="inlineStr">
        <is>
          <t>Base</t>
        </is>
      </c>
      <c r="C11" s="3" t="inlineStr">
        <is>
          <t>Alibaba</t>
        </is>
      </c>
      <c r="D11" s="3" t="n">
        <v>2028</v>
      </c>
      <c r="E11" s="25" t="inlineStr">
        <is>
          <t>H100/H200/A100 class</t>
        </is>
      </c>
      <c r="F11" s="5">
        <f>IFERROR(INDEX('02x_Accelerator_Catalog'!$C$2:$C$11,MATCH(E11,'02x_Accelerator_Catalog'!$B$2:$B$11,0)),"purpose_or_unbenchmarked")</f>
        <v/>
      </c>
      <c r="G11" s="8">
        <f>IFERROR(INDEX('02x_Accelerator_Catalog'!$D$2:$D$11,MATCH(E11,'02x_Accelerator_Catalog'!$B$2:$B$11,0)),"")</f>
        <v/>
      </c>
      <c r="H11" s="17" t="n">
        <v>1</v>
      </c>
      <c r="I11" s="6">
        <f>SUMIFS($H$2:$H$573,$B$2:$B$573,B11,$C$2:$C$573,C11,$D$2:$D$573,D11)</f>
        <v/>
      </c>
      <c r="J11" s="3" t="inlineStr">
        <is>
          <t>epoch_csp_chip_quantity_latest</t>
        </is>
      </c>
      <c r="K11" s="3" t="inlineStr">
        <is>
          <t>SRC_EPOCH_AI_DATA_CENTERS; EPOCH_RAW_CHIP_QUANTITIES</t>
        </is>
      </c>
      <c r="L11" s="3" t="inlineStr">
        <is>
          <t>Latest chip quantity per CSP/data-center/accelerator through year-end; normalized by unit count. Shares are editable.</t>
        </is>
      </c>
    </row>
    <row r="12">
      <c r="A12" s="5">
        <f>B12&amp;"|"&amp;C12&amp;"|"&amp;D12&amp;"|"&amp;E12</f>
        <v/>
      </c>
      <c r="B12" s="3" t="inlineStr">
        <is>
          <t>Bull</t>
        </is>
      </c>
      <c r="C12" s="3" t="inlineStr">
        <is>
          <t>Alibaba</t>
        </is>
      </c>
      <c r="D12" s="3" t="n">
        <v>2028</v>
      </c>
      <c r="E12" s="25" t="inlineStr">
        <is>
          <t>H100/H200/A100 class</t>
        </is>
      </c>
      <c r="F12" s="5">
        <f>IFERROR(INDEX('02x_Accelerator_Catalog'!$C$2:$C$11,MATCH(E12,'02x_Accelerator_Catalog'!$B$2:$B$11,0)),"purpose_or_unbenchmarked")</f>
        <v/>
      </c>
      <c r="G12" s="8">
        <f>IFERROR(INDEX('02x_Accelerator_Catalog'!$D$2:$D$11,MATCH(E12,'02x_Accelerator_Catalog'!$B$2:$B$11,0)),"")</f>
        <v/>
      </c>
      <c r="H12" s="17" t="n">
        <v>1</v>
      </c>
      <c r="I12" s="6">
        <f>SUMIFS($H$2:$H$573,$B$2:$B$573,B12,$C$2:$C$573,C12,$D$2:$D$573,D12)</f>
        <v/>
      </c>
      <c r="J12" s="3" t="inlineStr">
        <is>
          <t>epoch_csp_chip_quantity_latest</t>
        </is>
      </c>
      <c r="K12" s="3" t="inlineStr">
        <is>
          <t>SRC_EPOCH_AI_DATA_CENTERS; EPOCH_RAW_CHIP_QUANTITIES</t>
        </is>
      </c>
      <c r="L12" s="3" t="inlineStr">
        <is>
          <t>Latest chip quantity per CSP/data-center/accelerator through year-end; normalized by unit count. Shares are editable.</t>
        </is>
      </c>
    </row>
    <row r="13">
      <c r="A13" s="5">
        <f>B13&amp;"|"&amp;C13&amp;"|"&amp;D13&amp;"|"&amp;E13</f>
        <v/>
      </c>
      <c r="B13" s="3" t="inlineStr">
        <is>
          <t>Grid-Constrained / Efficiency-Upside</t>
        </is>
      </c>
      <c r="C13" s="3" t="inlineStr">
        <is>
          <t>Alibaba</t>
        </is>
      </c>
      <c r="D13" s="3" t="n">
        <v>2028</v>
      </c>
      <c r="E13" s="25" t="inlineStr">
        <is>
          <t>H100/H200/A100 class</t>
        </is>
      </c>
      <c r="F13" s="5">
        <f>IFERROR(INDEX('02x_Accelerator_Catalog'!$C$2:$C$11,MATCH(E13,'02x_Accelerator_Catalog'!$B$2:$B$11,0)),"purpose_or_unbenchmarked")</f>
        <v/>
      </c>
      <c r="G13" s="8">
        <f>IFERROR(INDEX('02x_Accelerator_Catalog'!$D$2:$D$11,MATCH(E13,'02x_Accelerator_Catalog'!$B$2:$B$11,0)),"")</f>
        <v/>
      </c>
      <c r="H13" s="17" t="n">
        <v>1</v>
      </c>
      <c r="I13" s="6">
        <f>SUMIFS($H$2:$H$573,$B$2:$B$573,B13,$C$2:$C$573,C13,$D$2:$D$573,D13)</f>
        <v/>
      </c>
      <c r="J13" s="3" t="inlineStr">
        <is>
          <t>epoch_csp_chip_quantity_latest</t>
        </is>
      </c>
      <c r="K13" s="3" t="inlineStr">
        <is>
          <t>SRC_EPOCH_AI_DATA_CENTERS; EPOCH_RAW_CHIP_QUANTITIES</t>
        </is>
      </c>
      <c r="L13" s="3" t="inlineStr">
        <is>
          <t>Latest chip quantity per CSP/data-center/accelerator through year-end; normalized by unit count. Shares are editable.</t>
        </is>
      </c>
    </row>
    <row r="14">
      <c r="A14" s="5">
        <f>B14&amp;"|"&amp;C14&amp;"|"&amp;D14&amp;"|"&amp;E14</f>
        <v/>
      </c>
      <c r="B14" s="3" t="inlineStr">
        <is>
          <t>Bear</t>
        </is>
      </c>
      <c r="C14" s="3" t="inlineStr">
        <is>
          <t>Alibaba</t>
        </is>
      </c>
      <c r="D14" s="3" t="n">
        <v>2029</v>
      </c>
      <c r="E14" s="25" t="inlineStr">
        <is>
          <t>H100/H200/A100 class</t>
        </is>
      </c>
      <c r="F14" s="5">
        <f>IFERROR(INDEX('02x_Accelerator_Catalog'!$C$2:$C$11,MATCH(E14,'02x_Accelerator_Catalog'!$B$2:$B$11,0)),"purpose_or_unbenchmarked")</f>
        <v/>
      </c>
      <c r="G14" s="8">
        <f>IFERROR(INDEX('02x_Accelerator_Catalog'!$D$2:$D$11,MATCH(E14,'02x_Accelerator_Catalog'!$B$2:$B$11,0)),"")</f>
        <v/>
      </c>
      <c r="H14" s="17" t="n">
        <v>1</v>
      </c>
      <c r="I14" s="6">
        <f>SUMIFS($H$2:$H$573,$B$2:$B$573,B14,$C$2:$C$573,C14,$D$2:$D$573,D14)</f>
        <v/>
      </c>
      <c r="J14" s="3" t="inlineStr">
        <is>
          <t>epoch_csp_chip_quantity_latest</t>
        </is>
      </c>
      <c r="K14" s="3" t="inlineStr">
        <is>
          <t>SRC_EPOCH_AI_DATA_CENTERS; EPOCH_RAW_CHIP_QUANTITIES</t>
        </is>
      </c>
      <c r="L14" s="3" t="inlineStr">
        <is>
          <t>Latest chip quantity per CSP/data-center/accelerator through year-end; normalized by unit count. Shares are editable.</t>
        </is>
      </c>
    </row>
    <row r="15">
      <c r="A15" s="5">
        <f>B15&amp;"|"&amp;C15&amp;"|"&amp;D15&amp;"|"&amp;E15</f>
        <v/>
      </c>
      <c r="B15" s="3" t="inlineStr">
        <is>
          <t>Base</t>
        </is>
      </c>
      <c r="C15" s="3" t="inlineStr">
        <is>
          <t>Alibaba</t>
        </is>
      </c>
      <c r="D15" s="3" t="n">
        <v>2029</v>
      </c>
      <c r="E15" s="25" t="inlineStr">
        <is>
          <t>H100/H200/A100 class</t>
        </is>
      </c>
      <c r="F15" s="5">
        <f>IFERROR(INDEX('02x_Accelerator_Catalog'!$C$2:$C$11,MATCH(E15,'02x_Accelerator_Catalog'!$B$2:$B$11,0)),"purpose_or_unbenchmarked")</f>
        <v/>
      </c>
      <c r="G15" s="8">
        <f>IFERROR(INDEX('02x_Accelerator_Catalog'!$D$2:$D$11,MATCH(E15,'02x_Accelerator_Catalog'!$B$2:$B$11,0)),"")</f>
        <v/>
      </c>
      <c r="H15" s="17" t="n">
        <v>1</v>
      </c>
      <c r="I15" s="6">
        <f>SUMIFS($H$2:$H$573,$B$2:$B$573,B15,$C$2:$C$573,C15,$D$2:$D$573,D15)</f>
        <v/>
      </c>
      <c r="J15" s="3" t="inlineStr">
        <is>
          <t>epoch_csp_chip_quantity_latest</t>
        </is>
      </c>
      <c r="K15" s="3" t="inlineStr">
        <is>
          <t>SRC_EPOCH_AI_DATA_CENTERS; EPOCH_RAW_CHIP_QUANTITIES</t>
        </is>
      </c>
      <c r="L15" s="3" t="inlineStr">
        <is>
          <t>Latest chip quantity per CSP/data-center/accelerator through year-end; normalized by unit count. Shares are editable.</t>
        </is>
      </c>
    </row>
    <row r="16">
      <c r="A16" s="5">
        <f>B16&amp;"|"&amp;C16&amp;"|"&amp;D16&amp;"|"&amp;E16</f>
        <v/>
      </c>
      <c r="B16" s="3" t="inlineStr">
        <is>
          <t>Bull</t>
        </is>
      </c>
      <c r="C16" s="3" t="inlineStr">
        <is>
          <t>Alibaba</t>
        </is>
      </c>
      <c r="D16" s="3" t="n">
        <v>2029</v>
      </c>
      <c r="E16" s="25" t="inlineStr">
        <is>
          <t>H100/H200/A100 class</t>
        </is>
      </c>
      <c r="F16" s="5">
        <f>IFERROR(INDEX('02x_Accelerator_Catalog'!$C$2:$C$11,MATCH(E16,'02x_Accelerator_Catalog'!$B$2:$B$11,0)),"purpose_or_unbenchmarked")</f>
        <v/>
      </c>
      <c r="G16" s="8">
        <f>IFERROR(INDEX('02x_Accelerator_Catalog'!$D$2:$D$11,MATCH(E16,'02x_Accelerator_Catalog'!$B$2:$B$11,0)),"")</f>
        <v/>
      </c>
      <c r="H16" s="17" t="n">
        <v>1</v>
      </c>
      <c r="I16" s="6">
        <f>SUMIFS($H$2:$H$573,$B$2:$B$573,B16,$C$2:$C$573,C16,$D$2:$D$573,D16)</f>
        <v/>
      </c>
      <c r="J16" s="3" t="inlineStr">
        <is>
          <t>epoch_csp_chip_quantity_latest</t>
        </is>
      </c>
      <c r="K16" s="3" t="inlineStr">
        <is>
          <t>SRC_EPOCH_AI_DATA_CENTERS; EPOCH_RAW_CHIP_QUANTITIES</t>
        </is>
      </c>
      <c r="L16" s="3" t="inlineStr">
        <is>
          <t>Latest chip quantity per CSP/data-center/accelerator through year-end; normalized by unit count. Shares are editable.</t>
        </is>
      </c>
    </row>
    <row r="17">
      <c r="A17" s="5">
        <f>B17&amp;"|"&amp;C17&amp;"|"&amp;D17&amp;"|"&amp;E17</f>
        <v/>
      </c>
      <c r="B17" s="3" t="inlineStr">
        <is>
          <t>Grid-Constrained / Efficiency-Upside</t>
        </is>
      </c>
      <c r="C17" s="3" t="inlineStr">
        <is>
          <t>Alibaba</t>
        </is>
      </c>
      <c r="D17" s="3" t="n">
        <v>2029</v>
      </c>
      <c r="E17" s="25" t="inlineStr">
        <is>
          <t>H100/H200/A100 class</t>
        </is>
      </c>
      <c r="F17" s="5">
        <f>IFERROR(INDEX('02x_Accelerator_Catalog'!$C$2:$C$11,MATCH(E17,'02x_Accelerator_Catalog'!$B$2:$B$11,0)),"purpose_or_unbenchmarked")</f>
        <v/>
      </c>
      <c r="G17" s="8">
        <f>IFERROR(INDEX('02x_Accelerator_Catalog'!$D$2:$D$11,MATCH(E17,'02x_Accelerator_Catalog'!$B$2:$B$11,0)),"")</f>
        <v/>
      </c>
      <c r="H17" s="17" t="n">
        <v>1</v>
      </c>
      <c r="I17" s="6">
        <f>SUMIFS($H$2:$H$573,$B$2:$B$573,B17,$C$2:$C$573,C17,$D$2:$D$573,D17)</f>
        <v/>
      </c>
      <c r="J17" s="3" t="inlineStr">
        <is>
          <t>epoch_csp_chip_quantity_latest</t>
        </is>
      </c>
      <c r="K17" s="3" t="inlineStr">
        <is>
          <t>SRC_EPOCH_AI_DATA_CENTERS; EPOCH_RAW_CHIP_QUANTITIES</t>
        </is>
      </c>
      <c r="L17" s="3" t="inlineStr">
        <is>
          <t>Latest chip quantity per CSP/data-center/accelerator through year-end; normalized by unit count. Shares are editable.</t>
        </is>
      </c>
    </row>
    <row r="18">
      <c r="A18" s="5">
        <f>B18&amp;"|"&amp;C18&amp;"|"&amp;D18&amp;"|"&amp;E18</f>
        <v/>
      </c>
      <c r="B18" s="3" t="inlineStr">
        <is>
          <t>Bear</t>
        </is>
      </c>
      <c r="C18" s="3" t="inlineStr">
        <is>
          <t>Alibaba</t>
        </is>
      </c>
      <c r="D18" s="3" t="n">
        <v>2030</v>
      </c>
      <c r="E18" s="25" t="inlineStr">
        <is>
          <t>H100/H200/A100 class</t>
        </is>
      </c>
      <c r="F18" s="5">
        <f>IFERROR(INDEX('02x_Accelerator_Catalog'!$C$2:$C$11,MATCH(E18,'02x_Accelerator_Catalog'!$B$2:$B$11,0)),"purpose_or_unbenchmarked")</f>
        <v/>
      </c>
      <c r="G18" s="8">
        <f>IFERROR(INDEX('02x_Accelerator_Catalog'!$D$2:$D$11,MATCH(E18,'02x_Accelerator_Catalog'!$B$2:$B$11,0)),"")</f>
        <v/>
      </c>
      <c r="H18" s="17" t="n">
        <v>1</v>
      </c>
      <c r="I18" s="6">
        <f>SUMIFS($H$2:$H$573,$B$2:$B$573,B18,$C$2:$C$573,C18,$D$2:$D$573,D18)</f>
        <v/>
      </c>
      <c r="J18" s="3" t="inlineStr">
        <is>
          <t>epoch_csp_chip_quantity_latest</t>
        </is>
      </c>
      <c r="K18" s="3" t="inlineStr">
        <is>
          <t>SRC_EPOCH_AI_DATA_CENTERS; EPOCH_RAW_CHIP_QUANTITIES</t>
        </is>
      </c>
      <c r="L18" s="3" t="inlineStr">
        <is>
          <t>Latest chip quantity per CSP/data-center/accelerator through year-end; normalized by unit count. Shares are editable.</t>
        </is>
      </c>
    </row>
    <row r="19">
      <c r="A19" s="5">
        <f>B19&amp;"|"&amp;C19&amp;"|"&amp;D19&amp;"|"&amp;E19</f>
        <v/>
      </c>
      <c r="B19" s="3" t="inlineStr">
        <is>
          <t>Base</t>
        </is>
      </c>
      <c r="C19" s="3" t="inlineStr">
        <is>
          <t>Alibaba</t>
        </is>
      </c>
      <c r="D19" s="3" t="n">
        <v>2030</v>
      </c>
      <c r="E19" s="25" t="inlineStr">
        <is>
          <t>H100/H200/A100 class</t>
        </is>
      </c>
      <c r="F19" s="5">
        <f>IFERROR(INDEX('02x_Accelerator_Catalog'!$C$2:$C$11,MATCH(E19,'02x_Accelerator_Catalog'!$B$2:$B$11,0)),"purpose_or_unbenchmarked")</f>
        <v/>
      </c>
      <c r="G19" s="8">
        <f>IFERROR(INDEX('02x_Accelerator_Catalog'!$D$2:$D$11,MATCH(E19,'02x_Accelerator_Catalog'!$B$2:$B$11,0)),"")</f>
        <v/>
      </c>
      <c r="H19" s="17" t="n">
        <v>1</v>
      </c>
      <c r="I19" s="6">
        <f>SUMIFS($H$2:$H$573,$B$2:$B$573,B19,$C$2:$C$573,C19,$D$2:$D$573,D19)</f>
        <v/>
      </c>
      <c r="J19" s="3" t="inlineStr">
        <is>
          <t>epoch_csp_chip_quantity_latest</t>
        </is>
      </c>
      <c r="K19" s="3" t="inlineStr">
        <is>
          <t>SRC_EPOCH_AI_DATA_CENTERS; EPOCH_RAW_CHIP_QUANTITIES</t>
        </is>
      </c>
      <c r="L19" s="3" t="inlineStr">
        <is>
          <t>Latest chip quantity per CSP/data-center/accelerator through year-end; normalized by unit count. Shares are editable.</t>
        </is>
      </c>
    </row>
    <row r="20">
      <c r="A20" s="5">
        <f>B20&amp;"|"&amp;C20&amp;"|"&amp;D20&amp;"|"&amp;E20</f>
        <v/>
      </c>
      <c r="B20" s="3" t="inlineStr">
        <is>
          <t>Bull</t>
        </is>
      </c>
      <c r="C20" s="3" t="inlineStr">
        <is>
          <t>Alibaba</t>
        </is>
      </c>
      <c r="D20" s="3" t="n">
        <v>2030</v>
      </c>
      <c r="E20" s="25" t="inlineStr">
        <is>
          <t>H100/H200/A100 class</t>
        </is>
      </c>
      <c r="F20" s="5">
        <f>IFERROR(INDEX('02x_Accelerator_Catalog'!$C$2:$C$11,MATCH(E20,'02x_Accelerator_Catalog'!$B$2:$B$11,0)),"purpose_or_unbenchmarked")</f>
        <v/>
      </c>
      <c r="G20" s="8">
        <f>IFERROR(INDEX('02x_Accelerator_Catalog'!$D$2:$D$11,MATCH(E20,'02x_Accelerator_Catalog'!$B$2:$B$11,0)),"")</f>
        <v/>
      </c>
      <c r="H20" s="17" t="n">
        <v>1</v>
      </c>
      <c r="I20" s="6">
        <f>SUMIFS($H$2:$H$573,$B$2:$B$573,B20,$C$2:$C$573,C20,$D$2:$D$573,D20)</f>
        <v/>
      </c>
      <c r="J20" s="3" t="inlineStr">
        <is>
          <t>epoch_csp_chip_quantity_latest</t>
        </is>
      </c>
      <c r="K20" s="3" t="inlineStr">
        <is>
          <t>SRC_EPOCH_AI_DATA_CENTERS; EPOCH_RAW_CHIP_QUANTITIES</t>
        </is>
      </c>
      <c r="L20" s="3" t="inlineStr">
        <is>
          <t>Latest chip quantity per CSP/data-center/accelerator through year-end; normalized by unit count. Shares are editable.</t>
        </is>
      </c>
    </row>
    <row r="21">
      <c r="A21" s="5">
        <f>B21&amp;"|"&amp;C21&amp;"|"&amp;D21&amp;"|"&amp;E21</f>
        <v/>
      </c>
      <c r="B21" s="3" t="inlineStr">
        <is>
          <t>Grid-Constrained / Efficiency-Upside</t>
        </is>
      </c>
      <c r="C21" s="3" t="inlineStr">
        <is>
          <t>Alibaba</t>
        </is>
      </c>
      <c r="D21" s="3" t="n">
        <v>2030</v>
      </c>
      <c r="E21" s="25" t="inlineStr">
        <is>
          <t>H100/H200/A100 class</t>
        </is>
      </c>
      <c r="F21" s="5">
        <f>IFERROR(INDEX('02x_Accelerator_Catalog'!$C$2:$C$11,MATCH(E21,'02x_Accelerator_Catalog'!$B$2:$B$11,0)),"purpose_or_unbenchmarked")</f>
        <v/>
      </c>
      <c r="G21" s="8">
        <f>IFERROR(INDEX('02x_Accelerator_Catalog'!$D$2:$D$11,MATCH(E21,'02x_Accelerator_Catalog'!$B$2:$B$11,0)),"")</f>
        <v/>
      </c>
      <c r="H21" s="17" t="n">
        <v>1</v>
      </c>
      <c r="I21" s="6">
        <f>SUMIFS($H$2:$H$573,$B$2:$B$573,B21,$C$2:$C$573,C21,$D$2:$D$573,D21)</f>
        <v/>
      </c>
      <c r="J21" s="3" t="inlineStr">
        <is>
          <t>epoch_csp_chip_quantity_latest</t>
        </is>
      </c>
      <c r="K21" s="3" t="inlineStr">
        <is>
          <t>SRC_EPOCH_AI_DATA_CENTERS; EPOCH_RAW_CHIP_QUANTITIES</t>
        </is>
      </c>
      <c r="L21" s="3" t="inlineStr">
        <is>
          <t>Latest chip quantity per CSP/data-center/accelerator through year-end; normalized by unit count. Shares are editable.</t>
        </is>
      </c>
    </row>
    <row r="22">
      <c r="A22" s="5">
        <f>B22&amp;"|"&amp;C22&amp;"|"&amp;D22&amp;"|"&amp;E22</f>
        <v/>
      </c>
      <c r="B22" s="3" t="inlineStr">
        <is>
          <t>Bear</t>
        </is>
      </c>
      <c r="C22" s="3" t="inlineStr">
        <is>
          <t>Amazon</t>
        </is>
      </c>
      <c r="D22" s="3" t="n">
        <v>2026</v>
      </c>
      <c r="E22" s="25" t="inlineStr">
        <is>
          <t>B200/B300 class</t>
        </is>
      </c>
      <c r="F22" s="5">
        <f>IFERROR(INDEX('02x_Accelerator_Catalog'!$C$2:$C$11,MATCH(E22,'02x_Accelerator_Catalog'!$B$2:$B$11,0)),"purpose_or_unbenchmarked")</f>
        <v/>
      </c>
      <c r="G22" s="8">
        <f>IFERROR(INDEX('02x_Accelerator_Catalog'!$D$2:$D$11,MATCH(E22,'02x_Accelerator_Catalog'!$B$2:$B$11,0)),"")</f>
        <v/>
      </c>
      <c r="H22" s="17" t="n">
        <v>0.01443794</v>
      </c>
      <c r="I22" s="6">
        <f>SUMIFS($H$2:$H$573,$B$2:$B$573,B22,$C$2:$C$573,C22,$D$2:$D$573,D22)</f>
        <v/>
      </c>
      <c r="J22" s="3" t="inlineStr">
        <is>
          <t>epoch_csp_chip_quantity_latest</t>
        </is>
      </c>
      <c r="K22" s="3" t="inlineStr">
        <is>
          <t>SRC_EPOCH_AI_DATA_CENTERS; EPOCH_RAW_CHIP_QUANTITIES</t>
        </is>
      </c>
      <c r="L22" s="3" t="inlineStr">
        <is>
          <t>Latest chip quantity per CSP/data-center/accelerator through year-end; normalized by unit count. Shares are editable.</t>
        </is>
      </c>
    </row>
    <row r="23">
      <c r="A23" s="5">
        <f>B23&amp;"|"&amp;C23&amp;"|"&amp;D23&amp;"|"&amp;E23</f>
        <v/>
      </c>
      <c r="B23" s="3" t="inlineStr">
        <is>
          <t>Bear</t>
        </is>
      </c>
      <c r="C23" s="3" t="inlineStr">
        <is>
          <t>Amazon</t>
        </is>
      </c>
      <c r="D23" s="3" t="n">
        <v>2026</v>
      </c>
      <c r="E23" s="25" t="inlineStr">
        <is>
          <t>H100/H200/A100 class</t>
        </is>
      </c>
      <c r="F23" s="5">
        <f>IFERROR(INDEX('02x_Accelerator_Catalog'!$C$2:$C$11,MATCH(E23,'02x_Accelerator_Catalog'!$B$2:$B$11,0)),"purpose_or_unbenchmarked")</f>
        <v/>
      </c>
      <c r="G23" s="8">
        <f>IFERROR(INDEX('02x_Accelerator_Catalog'!$D$2:$D$11,MATCH(E23,'02x_Accelerator_Catalog'!$B$2:$B$11,0)),"")</f>
        <v/>
      </c>
      <c r="H23" s="17" t="n">
        <v>0.03647721</v>
      </c>
      <c r="I23" s="6">
        <f>SUMIFS($H$2:$H$573,$B$2:$B$573,B23,$C$2:$C$573,C23,$D$2:$D$573,D23)</f>
        <v/>
      </c>
      <c r="J23" s="3" t="inlineStr">
        <is>
          <t>epoch_csp_chip_quantity_latest</t>
        </is>
      </c>
      <c r="K23" s="3" t="inlineStr">
        <is>
          <t>SRC_EPOCH_AI_DATA_CENTERS; EPOCH_RAW_CHIP_QUANTITIES</t>
        </is>
      </c>
      <c r="L23" s="3" t="inlineStr">
        <is>
          <t>Latest chip quantity per CSP/data-center/accelerator through year-end; normalized by unit count. Shares are editable.</t>
        </is>
      </c>
    </row>
    <row r="24">
      <c r="A24" s="5">
        <f>B24&amp;"|"&amp;C24&amp;"|"&amp;D24&amp;"|"&amp;E24</f>
        <v/>
      </c>
      <c r="B24" s="3" t="inlineStr">
        <is>
          <t>Bear</t>
        </is>
      </c>
      <c r="C24" s="3" t="inlineStr">
        <is>
          <t>Amazon</t>
        </is>
      </c>
      <c r="D24" s="3" t="n">
        <v>2026</v>
      </c>
      <c r="E24" s="25" t="inlineStr">
        <is>
          <t>Trainium</t>
        </is>
      </c>
      <c r="F24" s="5">
        <f>IFERROR(INDEX('02x_Accelerator_Catalog'!$C$2:$C$11,MATCH(E24,'02x_Accelerator_Catalog'!$B$2:$B$11,0)),"purpose_or_unbenchmarked")</f>
        <v/>
      </c>
      <c r="G24" s="8">
        <f>IFERROR(INDEX('02x_Accelerator_Catalog'!$D$2:$D$11,MATCH(E24,'02x_Accelerator_Catalog'!$B$2:$B$11,0)),"")</f>
        <v/>
      </c>
      <c r="H24" s="17" t="n">
        <v>0.94908485</v>
      </c>
      <c r="I24" s="6">
        <f>SUMIFS($H$2:$H$573,$B$2:$B$573,B24,$C$2:$C$573,C24,$D$2:$D$573,D24)</f>
        <v/>
      </c>
      <c r="J24" s="3" t="inlineStr">
        <is>
          <t>epoch_csp_chip_quantity_latest</t>
        </is>
      </c>
      <c r="K24" s="3" t="inlineStr">
        <is>
          <t>SRC_EPOCH_AI_DATA_CENTERS; EPOCH_RAW_CHIP_QUANTITIES</t>
        </is>
      </c>
      <c r="L24" s="3" t="inlineStr">
        <is>
          <t>Latest chip quantity per CSP/data-center/accelerator through year-end; normalized by unit count. Shares are editable.</t>
        </is>
      </c>
    </row>
    <row r="25">
      <c r="A25" s="5">
        <f>B25&amp;"|"&amp;C25&amp;"|"&amp;D25&amp;"|"&amp;E25</f>
        <v/>
      </c>
      <c r="B25" s="3" t="inlineStr">
        <is>
          <t>Base</t>
        </is>
      </c>
      <c r="C25" s="3" t="inlineStr">
        <is>
          <t>Amazon</t>
        </is>
      </c>
      <c r="D25" s="3" t="n">
        <v>2026</v>
      </c>
      <c r="E25" s="25" t="inlineStr">
        <is>
          <t>B200/B300 class</t>
        </is>
      </c>
      <c r="F25" s="5">
        <f>IFERROR(INDEX('02x_Accelerator_Catalog'!$C$2:$C$11,MATCH(E25,'02x_Accelerator_Catalog'!$B$2:$B$11,0)),"purpose_or_unbenchmarked")</f>
        <v/>
      </c>
      <c r="G25" s="8">
        <f>IFERROR(INDEX('02x_Accelerator_Catalog'!$D$2:$D$11,MATCH(E25,'02x_Accelerator_Catalog'!$B$2:$B$11,0)),"")</f>
        <v/>
      </c>
      <c r="H25" s="17" t="n">
        <v>0.01443794</v>
      </c>
      <c r="I25" s="6">
        <f>SUMIFS($H$2:$H$573,$B$2:$B$573,B25,$C$2:$C$573,C25,$D$2:$D$573,D25)</f>
        <v/>
      </c>
      <c r="J25" s="3" t="inlineStr">
        <is>
          <t>epoch_csp_chip_quantity_latest</t>
        </is>
      </c>
      <c r="K25" s="3" t="inlineStr">
        <is>
          <t>SRC_EPOCH_AI_DATA_CENTERS; EPOCH_RAW_CHIP_QUANTITIES</t>
        </is>
      </c>
      <c r="L25" s="3" t="inlineStr">
        <is>
          <t>Latest chip quantity per CSP/data-center/accelerator through year-end; normalized by unit count. Shares are editable.</t>
        </is>
      </c>
    </row>
    <row r="26">
      <c r="A26" s="5">
        <f>B26&amp;"|"&amp;C26&amp;"|"&amp;D26&amp;"|"&amp;E26</f>
        <v/>
      </c>
      <c r="B26" s="3" t="inlineStr">
        <is>
          <t>Base</t>
        </is>
      </c>
      <c r="C26" s="3" t="inlineStr">
        <is>
          <t>Amazon</t>
        </is>
      </c>
      <c r="D26" s="3" t="n">
        <v>2026</v>
      </c>
      <c r="E26" s="25" t="inlineStr">
        <is>
          <t>H100/H200/A100 class</t>
        </is>
      </c>
      <c r="F26" s="5">
        <f>IFERROR(INDEX('02x_Accelerator_Catalog'!$C$2:$C$11,MATCH(E26,'02x_Accelerator_Catalog'!$B$2:$B$11,0)),"purpose_or_unbenchmarked")</f>
        <v/>
      </c>
      <c r="G26" s="8">
        <f>IFERROR(INDEX('02x_Accelerator_Catalog'!$D$2:$D$11,MATCH(E26,'02x_Accelerator_Catalog'!$B$2:$B$11,0)),"")</f>
        <v/>
      </c>
      <c r="H26" s="17" t="n">
        <v>0.03647721</v>
      </c>
      <c r="I26" s="6">
        <f>SUMIFS($H$2:$H$573,$B$2:$B$573,B26,$C$2:$C$573,C26,$D$2:$D$573,D26)</f>
        <v/>
      </c>
      <c r="J26" s="3" t="inlineStr">
        <is>
          <t>epoch_csp_chip_quantity_latest</t>
        </is>
      </c>
      <c r="K26" s="3" t="inlineStr">
        <is>
          <t>SRC_EPOCH_AI_DATA_CENTERS; EPOCH_RAW_CHIP_QUANTITIES</t>
        </is>
      </c>
      <c r="L26" s="3" t="inlineStr">
        <is>
          <t>Latest chip quantity per CSP/data-center/accelerator through year-end; normalized by unit count. Shares are editable.</t>
        </is>
      </c>
    </row>
    <row r="27">
      <c r="A27" s="5">
        <f>B27&amp;"|"&amp;C27&amp;"|"&amp;D27&amp;"|"&amp;E27</f>
        <v/>
      </c>
      <c r="B27" s="3" t="inlineStr">
        <is>
          <t>Base</t>
        </is>
      </c>
      <c r="C27" s="3" t="inlineStr">
        <is>
          <t>Amazon</t>
        </is>
      </c>
      <c r="D27" s="3" t="n">
        <v>2026</v>
      </c>
      <c r="E27" s="25" t="inlineStr">
        <is>
          <t>Trainium</t>
        </is>
      </c>
      <c r="F27" s="5">
        <f>IFERROR(INDEX('02x_Accelerator_Catalog'!$C$2:$C$11,MATCH(E27,'02x_Accelerator_Catalog'!$B$2:$B$11,0)),"purpose_or_unbenchmarked")</f>
        <v/>
      </c>
      <c r="G27" s="8">
        <f>IFERROR(INDEX('02x_Accelerator_Catalog'!$D$2:$D$11,MATCH(E27,'02x_Accelerator_Catalog'!$B$2:$B$11,0)),"")</f>
        <v/>
      </c>
      <c r="H27" s="17" t="n">
        <v>0.94908485</v>
      </c>
      <c r="I27" s="6">
        <f>SUMIFS($H$2:$H$573,$B$2:$B$573,B27,$C$2:$C$573,C27,$D$2:$D$573,D27)</f>
        <v/>
      </c>
      <c r="J27" s="3" t="inlineStr">
        <is>
          <t>epoch_csp_chip_quantity_latest</t>
        </is>
      </c>
      <c r="K27" s="3" t="inlineStr">
        <is>
          <t>SRC_EPOCH_AI_DATA_CENTERS; EPOCH_RAW_CHIP_QUANTITIES</t>
        </is>
      </c>
      <c r="L27" s="3" t="inlineStr">
        <is>
          <t>Latest chip quantity per CSP/data-center/accelerator through year-end; normalized by unit count. Shares are editable.</t>
        </is>
      </c>
    </row>
    <row r="28">
      <c r="A28" s="5">
        <f>B28&amp;"|"&amp;C28&amp;"|"&amp;D28&amp;"|"&amp;E28</f>
        <v/>
      </c>
      <c r="B28" s="3" t="inlineStr">
        <is>
          <t>Bull</t>
        </is>
      </c>
      <c r="C28" s="3" t="inlineStr">
        <is>
          <t>Amazon</t>
        </is>
      </c>
      <c r="D28" s="3" t="n">
        <v>2026</v>
      </c>
      <c r="E28" s="25" t="inlineStr">
        <is>
          <t>B200/B300 class</t>
        </is>
      </c>
      <c r="F28" s="5">
        <f>IFERROR(INDEX('02x_Accelerator_Catalog'!$C$2:$C$11,MATCH(E28,'02x_Accelerator_Catalog'!$B$2:$B$11,0)),"purpose_or_unbenchmarked")</f>
        <v/>
      </c>
      <c r="G28" s="8">
        <f>IFERROR(INDEX('02x_Accelerator_Catalog'!$D$2:$D$11,MATCH(E28,'02x_Accelerator_Catalog'!$B$2:$B$11,0)),"")</f>
        <v/>
      </c>
      <c r="H28" s="17" t="n">
        <v>0.01443794</v>
      </c>
      <c r="I28" s="6">
        <f>SUMIFS($H$2:$H$573,$B$2:$B$573,B28,$C$2:$C$573,C28,$D$2:$D$573,D28)</f>
        <v/>
      </c>
      <c r="J28" s="3" t="inlineStr">
        <is>
          <t>epoch_csp_chip_quantity_latest</t>
        </is>
      </c>
      <c r="K28" s="3" t="inlineStr">
        <is>
          <t>SRC_EPOCH_AI_DATA_CENTERS; EPOCH_RAW_CHIP_QUANTITIES</t>
        </is>
      </c>
      <c r="L28" s="3" t="inlineStr">
        <is>
          <t>Latest chip quantity per CSP/data-center/accelerator through year-end; normalized by unit count. Shares are editable.</t>
        </is>
      </c>
    </row>
    <row r="29">
      <c r="A29" s="5">
        <f>B29&amp;"|"&amp;C29&amp;"|"&amp;D29&amp;"|"&amp;E29</f>
        <v/>
      </c>
      <c r="B29" s="3" t="inlineStr">
        <is>
          <t>Bull</t>
        </is>
      </c>
      <c r="C29" s="3" t="inlineStr">
        <is>
          <t>Amazon</t>
        </is>
      </c>
      <c r="D29" s="3" t="n">
        <v>2026</v>
      </c>
      <c r="E29" s="25" t="inlineStr">
        <is>
          <t>H100/H200/A100 class</t>
        </is>
      </c>
      <c r="F29" s="5">
        <f>IFERROR(INDEX('02x_Accelerator_Catalog'!$C$2:$C$11,MATCH(E29,'02x_Accelerator_Catalog'!$B$2:$B$11,0)),"purpose_or_unbenchmarked")</f>
        <v/>
      </c>
      <c r="G29" s="8">
        <f>IFERROR(INDEX('02x_Accelerator_Catalog'!$D$2:$D$11,MATCH(E29,'02x_Accelerator_Catalog'!$B$2:$B$11,0)),"")</f>
        <v/>
      </c>
      <c r="H29" s="17" t="n">
        <v>0.03647721</v>
      </c>
      <c r="I29" s="6">
        <f>SUMIFS($H$2:$H$573,$B$2:$B$573,B29,$C$2:$C$573,C29,$D$2:$D$573,D29)</f>
        <v/>
      </c>
      <c r="J29" s="3" t="inlineStr">
        <is>
          <t>epoch_csp_chip_quantity_latest</t>
        </is>
      </c>
      <c r="K29" s="3" t="inlineStr">
        <is>
          <t>SRC_EPOCH_AI_DATA_CENTERS; EPOCH_RAW_CHIP_QUANTITIES</t>
        </is>
      </c>
      <c r="L29" s="3" t="inlineStr">
        <is>
          <t>Latest chip quantity per CSP/data-center/accelerator through year-end; normalized by unit count. Shares are editable.</t>
        </is>
      </c>
    </row>
    <row r="30">
      <c r="A30" s="5">
        <f>B30&amp;"|"&amp;C30&amp;"|"&amp;D30&amp;"|"&amp;E30</f>
        <v/>
      </c>
      <c r="B30" s="3" t="inlineStr">
        <is>
          <t>Bull</t>
        </is>
      </c>
      <c r="C30" s="3" t="inlineStr">
        <is>
          <t>Amazon</t>
        </is>
      </c>
      <c r="D30" s="3" t="n">
        <v>2026</v>
      </c>
      <c r="E30" s="25" t="inlineStr">
        <is>
          <t>Trainium</t>
        </is>
      </c>
      <c r="F30" s="5">
        <f>IFERROR(INDEX('02x_Accelerator_Catalog'!$C$2:$C$11,MATCH(E30,'02x_Accelerator_Catalog'!$B$2:$B$11,0)),"purpose_or_unbenchmarked")</f>
        <v/>
      </c>
      <c r="G30" s="8">
        <f>IFERROR(INDEX('02x_Accelerator_Catalog'!$D$2:$D$11,MATCH(E30,'02x_Accelerator_Catalog'!$B$2:$B$11,0)),"")</f>
        <v/>
      </c>
      <c r="H30" s="17" t="n">
        <v>0.94908485</v>
      </c>
      <c r="I30" s="6">
        <f>SUMIFS($H$2:$H$573,$B$2:$B$573,B30,$C$2:$C$573,C30,$D$2:$D$573,D30)</f>
        <v/>
      </c>
      <c r="J30" s="3" t="inlineStr">
        <is>
          <t>epoch_csp_chip_quantity_latest</t>
        </is>
      </c>
      <c r="K30" s="3" t="inlineStr">
        <is>
          <t>SRC_EPOCH_AI_DATA_CENTERS; EPOCH_RAW_CHIP_QUANTITIES</t>
        </is>
      </c>
      <c r="L30" s="3" t="inlineStr">
        <is>
          <t>Latest chip quantity per CSP/data-center/accelerator through year-end; normalized by unit count. Shares are editable.</t>
        </is>
      </c>
    </row>
    <row r="31">
      <c r="A31" s="5">
        <f>B31&amp;"|"&amp;C31&amp;"|"&amp;D31&amp;"|"&amp;E31</f>
        <v/>
      </c>
      <c r="B31" s="3" t="inlineStr">
        <is>
          <t>Grid-Constrained / Efficiency-Upside</t>
        </is>
      </c>
      <c r="C31" s="3" t="inlineStr">
        <is>
          <t>Amazon</t>
        </is>
      </c>
      <c r="D31" s="3" t="n">
        <v>2026</v>
      </c>
      <c r="E31" s="25" t="inlineStr">
        <is>
          <t>B200/B300 class</t>
        </is>
      </c>
      <c r="F31" s="5">
        <f>IFERROR(INDEX('02x_Accelerator_Catalog'!$C$2:$C$11,MATCH(E31,'02x_Accelerator_Catalog'!$B$2:$B$11,0)),"purpose_or_unbenchmarked")</f>
        <v/>
      </c>
      <c r="G31" s="8">
        <f>IFERROR(INDEX('02x_Accelerator_Catalog'!$D$2:$D$11,MATCH(E31,'02x_Accelerator_Catalog'!$B$2:$B$11,0)),"")</f>
        <v/>
      </c>
      <c r="H31" s="17" t="n">
        <v>0.01443794</v>
      </c>
      <c r="I31" s="6">
        <f>SUMIFS($H$2:$H$573,$B$2:$B$573,B31,$C$2:$C$573,C31,$D$2:$D$573,D31)</f>
        <v/>
      </c>
      <c r="J31" s="3" t="inlineStr">
        <is>
          <t>epoch_csp_chip_quantity_latest</t>
        </is>
      </c>
      <c r="K31" s="3" t="inlineStr">
        <is>
          <t>SRC_EPOCH_AI_DATA_CENTERS; EPOCH_RAW_CHIP_QUANTITIES</t>
        </is>
      </c>
      <c r="L31" s="3" t="inlineStr">
        <is>
          <t>Latest chip quantity per CSP/data-center/accelerator through year-end; normalized by unit count. Shares are editable.</t>
        </is>
      </c>
    </row>
    <row r="32">
      <c r="A32" s="5">
        <f>B32&amp;"|"&amp;C32&amp;"|"&amp;D32&amp;"|"&amp;E32</f>
        <v/>
      </c>
      <c r="B32" s="3" t="inlineStr">
        <is>
          <t>Grid-Constrained / Efficiency-Upside</t>
        </is>
      </c>
      <c r="C32" s="3" t="inlineStr">
        <is>
          <t>Amazon</t>
        </is>
      </c>
      <c r="D32" s="3" t="n">
        <v>2026</v>
      </c>
      <c r="E32" s="25" t="inlineStr">
        <is>
          <t>H100/H200/A100 class</t>
        </is>
      </c>
      <c r="F32" s="5">
        <f>IFERROR(INDEX('02x_Accelerator_Catalog'!$C$2:$C$11,MATCH(E32,'02x_Accelerator_Catalog'!$B$2:$B$11,0)),"purpose_or_unbenchmarked")</f>
        <v/>
      </c>
      <c r="G32" s="8">
        <f>IFERROR(INDEX('02x_Accelerator_Catalog'!$D$2:$D$11,MATCH(E32,'02x_Accelerator_Catalog'!$B$2:$B$11,0)),"")</f>
        <v/>
      </c>
      <c r="H32" s="17" t="n">
        <v>0.03647721</v>
      </c>
      <c r="I32" s="6">
        <f>SUMIFS($H$2:$H$573,$B$2:$B$573,B32,$C$2:$C$573,C32,$D$2:$D$573,D32)</f>
        <v/>
      </c>
      <c r="J32" s="3" t="inlineStr">
        <is>
          <t>epoch_csp_chip_quantity_latest</t>
        </is>
      </c>
      <c r="K32" s="3" t="inlineStr">
        <is>
          <t>SRC_EPOCH_AI_DATA_CENTERS; EPOCH_RAW_CHIP_QUANTITIES</t>
        </is>
      </c>
      <c r="L32" s="3" t="inlineStr">
        <is>
          <t>Latest chip quantity per CSP/data-center/accelerator through year-end; normalized by unit count. Shares are editable.</t>
        </is>
      </c>
    </row>
    <row r="33">
      <c r="A33" s="5">
        <f>B33&amp;"|"&amp;C33&amp;"|"&amp;D33&amp;"|"&amp;E33</f>
        <v/>
      </c>
      <c r="B33" s="3" t="inlineStr">
        <is>
          <t>Grid-Constrained / Efficiency-Upside</t>
        </is>
      </c>
      <c r="C33" s="3" t="inlineStr">
        <is>
          <t>Amazon</t>
        </is>
      </c>
      <c r="D33" s="3" t="n">
        <v>2026</v>
      </c>
      <c r="E33" s="25" t="inlineStr">
        <is>
          <t>Trainium</t>
        </is>
      </c>
      <c r="F33" s="5">
        <f>IFERROR(INDEX('02x_Accelerator_Catalog'!$C$2:$C$11,MATCH(E33,'02x_Accelerator_Catalog'!$B$2:$B$11,0)),"purpose_or_unbenchmarked")</f>
        <v/>
      </c>
      <c r="G33" s="8">
        <f>IFERROR(INDEX('02x_Accelerator_Catalog'!$D$2:$D$11,MATCH(E33,'02x_Accelerator_Catalog'!$B$2:$B$11,0)),"")</f>
        <v/>
      </c>
      <c r="H33" s="17" t="n">
        <v>0.94908485</v>
      </c>
      <c r="I33" s="6">
        <f>SUMIFS($H$2:$H$573,$B$2:$B$573,B33,$C$2:$C$573,C33,$D$2:$D$573,D33)</f>
        <v/>
      </c>
      <c r="J33" s="3" t="inlineStr">
        <is>
          <t>epoch_csp_chip_quantity_latest</t>
        </is>
      </c>
      <c r="K33" s="3" t="inlineStr">
        <is>
          <t>SRC_EPOCH_AI_DATA_CENTERS; EPOCH_RAW_CHIP_QUANTITIES</t>
        </is>
      </c>
      <c r="L33" s="3" t="inlineStr">
        <is>
          <t>Latest chip quantity per CSP/data-center/accelerator through year-end; normalized by unit count. Shares are editable.</t>
        </is>
      </c>
    </row>
    <row r="34">
      <c r="A34" s="5">
        <f>B34&amp;"|"&amp;C34&amp;"|"&amp;D34&amp;"|"&amp;E34</f>
        <v/>
      </c>
      <c r="B34" s="3" t="inlineStr">
        <is>
          <t>Bear</t>
        </is>
      </c>
      <c r="C34" s="3" t="inlineStr">
        <is>
          <t>Amazon</t>
        </is>
      </c>
      <c r="D34" s="3" t="n">
        <v>2027</v>
      </c>
      <c r="E34" s="25" t="inlineStr">
        <is>
          <t>B200/B300 class</t>
        </is>
      </c>
      <c r="F34" s="5">
        <f>IFERROR(INDEX('02x_Accelerator_Catalog'!$C$2:$C$11,MATCH(E34,'02x_Accelerator_Catalog'!$B$2:$B$11,0)),"purpose_or_unbenchmarked")</f>
        <v/>
      </c>
      <c r="G34" s="8">
        <f>IFERROR(INDEX('02x_Accelerator_Catalog'!$D$2:$D$11,MATCH(E34,'02x_Accelerator_Catalog'!$B$2:$B$11,0)),"")</f>
        <v/>
      </c>
      <c r="H34" s="17" t="n">
        <v>0.02334012</v>
      </c>
      <c r="I34" s="6">
        <f>SUMIFS($H$2:$H$573,$B$2:$B$573,B34,$C$2:$C$573,C34,$D$2:$D$573,D34)</f>
        <v/>
      </c>
      <c r="J34" s="3" t="inlineStr">
        <is>
          <t>epoch_csp_chip_quantity_latest</t>
        </is>
      </c>
      <c r="K34" s="3" t="inlineStr">
        <is>
          <t>SRC_EPOCH_AI_DATA_CENTERS; EPOCH_RAW_CHIP_QUANTITIES</t>
        </is>
      </c>
      <c r="L34" s="3" t="inlineStr">
        <is>
          <t>Latest chip quantity per CSP/data-center/accelerator through year-end; normalized by unit count. Shares are editable.</t>
        </is>
      </c>
    </row>
    <row r="35">
      <c r="A35" s="5">
        <f>B35&amp;"|"&amp;C35&amp;"|"&amp;D35&amp;"|"&amp;E35</f>
        <v/>
      </c>
      <c r="B35" s="3" t="inlineStr">
        <is>
          <t>Bear</t>
        </is>
      </c>
      <c r="C35" s="3" t="inlineStr">
        <is>
          <t>Amazon</t>
        </is>
      </c>
      <c r="D35" s="3" t="n">
        <v>2027</v>
      </c>
      <c r="E35" s="25" t="inlineStr">
        <is>
          <t>H100/H200/A100 class</t>
        </is>
      </c>
      <c r="F35" s="5">
        <f>IFERROR(INDEX('02x_Accelerator_Catalog'!$C$2:$C$11,MATCH(E35,'02x_Accelerator_Catalog'!$B$2:$B$11,0)),"purpose_or_unbenchmarked")</f>
        <v/>
      </c>
      <c r="G35" s="8">
        <f>IFERROR(INDEX('02x_Accelerator_Catalog'!$D$2:$D$11,MATCH(E35,'02x_Accelerator_Catalog'!$B$2:$B$11,0)),"")</f>
        <v/>
      </c>
      <c r="H35" s="17" t="n">
        <v>0.05896926</v>
      </c>
      <c r="I35" s="6">
        <f>SUMIFS($H$2:$H$573,$B$2:$B$573,B35,$C$2:$C$573,C35,$D$2:$D$573,D35)</f>
        <v/>
      </c>
      <c r="J35" s="3" t="inlineStr">
        <is>
          <t>epoch_csp_chip_quantity_latest</t>
        </is>
      </c>
      <c r="K35" s="3" t="inlineStr">
        <is>
          <t>SRC_EPOCH_AI_DATA_CENTERS; EPOCH_RAW_CHIP_QUANTITIES</t>
        </is>
      </c>
      <c r="L35" s="3" t="inlineStr">
        <is>
          <t>Latest chip quantity per CSP/data-center/accelerator through year-end; normalized by unit count. Shares are editable.</t>
        </is>
      </c>
    </row>
    <row r="36">
      <c r="A36" s="5">
        <f>B36&amp;"|"&amp;C36&amp;"|"&amp;D36&amp;"|"&amp;E36</f>
        <v/>
      </c>
      <c r="B36" s="3" t="inlineStr">
        <is>
          <t>Bear</t>
        </is>
      </c>
      <c r="C36" s="3" t="inlineStr">
        <is>
          <t>Amazon</t>
        </is>
      </c>
      <c r="D36" s="3" t="n">
        <v>2027</v>
      </c>
      <c r="E36" s="25" t="inlineStr">
        <is>
          <t>Trainium</t>
        </is>
      </c>
      <c r="F36" s="5">
        <f>IFERROR(INDEX('02x_Accelerator_Catalog'!$C$2:$C$11,MATCH(E36,'02x_Accelerator_Catalog'!$B$2:$B$11,0)),"purpose_or_unbenchmarked")</f>
        <v/>
      </c>
      <c r="G36" s="8">
        <f>IFERROR(INDEX('02x_Accelerator_Catalog'!$D$2:$D$11,MATCH(E36,'02x_Accelerator_Catalog'!$B$2:$B$11,0)),"")</f>
        <v/>
      </c>
      <c r="H36" s="17" t="n">
        <v>0.91769062</v>
      </c>
      <c r="I36" s="6">
        <f>SUMIFS($H$2:$H$573,$B$2:$B$573,B36,$C$2:$C$573,C36,$D$2:$D$573,D36)</f>
        <v/>
      </c>
      <c r="J36" s="3" t="inlineStr">
        <is>
          <t>epoch_csp_chip_quantity_latest</t>
        </is>
      </c>
      <c r="K36" s="3" t="inlineStr">
        <is>
          <t>SRC_EPOCH_AI_DATA_CENTERS; EPOCH_RAW_CHIP_QUANTITIES</t>
        </is>
      </c>
      <c r="L36" s="3" t="inlineStr">
        <is>
          <t>Latest chip quantity per CSP/data-center/accelerator through year-end; normalized by unit count. Shares are editable.</t>
        </is>
      </c>
    </row>
    <row r="37">
      <c r="A37" s="5">
        <f>B37&amp;"|"&amp;C37&amp;"|"&amp;D37&amp;"|"&amp;E37</f>
        <v/>
      </c>
      <c r="B37" s="3" t="inlineStr">
        <is>
          <t>Base</t>
        </is>
      </c>
      <c r="C37" s="3" t="inlineStr">
        <is>
          <t>Amazon</t>
        </is>
      </c>
      <c r="D37" s="3" t="n">
        <v>2027</v>
      </c>
      <c r="E37" s="25" t="inlineStr">
        <is>
          <t>B200/B300 class</t>
        </is>
      </c>
      <c r="F37" s="5">
        <f>IFERROR(INDEX('02x_Accelerator_Catalog'!$C$2:$C$11,MATCH(E37,'02x_Accelerator_Catalog'!$B$2:$B$11,0)),"purpose_or_unbenchmarked")</f>
        <v/>
      </c>
      <c r="G37" s="8">
        <f>IFERROR(INDEX('02x_Accelerator_Catalog'!$D$2:$D$11,MATCH(E37,'02x_Accelerator_Catalog'!$B$2:$B$11,0)),"")</f>
        <v/>
      </c>
      <c r="H37" s="17" t="n">
        <v>0.02334012</v>
      </c>
      <c r="I37" s="6">
        <f>SUMIFS($H$2:$H$573,$B$2:$B$573,B37,$C$2:$C$573,C37,$D$2:$D$573,D37)</f>
        <v/>
      </c>
      <c r="J37" s="3" t="inlineStr">
        <is>
          <t>epoch_csp_chip_quantity_latest</t>
        </is>
      </c>
      <c r="K37" s="3" t="inlineStr">
        <is>
          <t>SRC_EPOCH_AI_DATA_CENTERS; EPOCH_RAW_CHIP_QUANTITIES</t>
        </is>
      </c>
      <c r="L37" s="3" t="inlineStr">
        <is>
          <t>Latest chip quantity per CSP/data-center/accelerator through year-end; normalized by unit count. Shares are editable.</t>
        </is>
      </c>
    </row>
    <row r="38">
      <c r="A38" s="5">
        <f>B38&amp;"|"&amp;C38&amp;"|"&amp;D38&amp;"|"&amp;E38</f>
        <v/>
      </c>
      <c r="B38" s="3" t="inlineStr">
        <is>
          <t>Base</t>
        </is>
      </c>
      <c r="C38" s="3" t="inlineStr">
        <is>
          <t>Amazon</t>
        </is>
      </c>
      <c r="D38" s="3" t="n">
        <v>2027</v>
      </c>
      <c r="E38" s="25" t="inlineStr">
        <is>
          <t>H100/H200/A100 class</t>
        </is>
      </c>
      <c r="F38" s="5">
        <f>IFERROR(INDEX('02x_Accelerator_Catalog'!$C$2:$C$11,MATCH(E38,'02x_Accelerator_Catalog'!$B$2:$B$11,0)),"purpose_or_unbenchmarked")</f>
        <v/>
      </c>
      <c r="G38" s="8">
        <f>IFERROR(INDEX('02x_Accelerator_Catalog'!$D$2:$D$11,MATCH(E38,'02x_Accelerator_Catalog'!$B$2:$B$11,0)),"")</f>
        <v/>
      </c>
      <c r="H38" s="17" t="n">
        <v>0.05896926</v>
      </c>
      <c r="I38" s="6">
        <f>SUMIFS($H$2:$H$573,$B$2:$B$573,B38,$C$2:$C$573,C38,$D$2:$D$573,D38)</f>
        <v/>
      </c>
      <c r="J38" s="3" t="inlineStr">
        <is>
          <t>epoch_csp_chip_quantity_latest</t>
        </is>
      </c>
      <c r="K38" s="3" t="inlineStr">
        <is>
          <t>SRC_EPOCH_AI_DATA_CENTERS; EPOCH_RAW_CHIP_QUANTITIES</t>
        </is>
      </c>
      <c r="L38" s="3" t="inlineStr">
        <is>
          <t>Latest chip quantity per CSP/data-center/accelerator through year-end; normalized by unit count. Shares are editable.</t>
        </is>
      </c>
    </row>
    <row r="39">
      <c r="A39" s="5">
        <f>B39&amp;"|"&amp;C39&amp;"|"&amp;D39&amp;"|"&amp;E39</f>
        <v/>
      </c>
      <c r="B39" s="3" t="inlineStr">
        <is>
          <t>Base</t>
        </is>
      </c>
      <c r="C39" s="3" t="inlineStr">
        <is>
          <t>Amazon</t>
        </is>
      </c>
      <c r="D39" s="3" t="n">
        <v>2027</v>
      </c>
      <c r="E39" s="25" t="inlineStr">
        <is>
          <t>Trainium</t>
        </is>
      </c>
      <c r="F39" s="5">
        <f>IFERROR(INDEX('02x_Accelerator_Catalog'!$C$2:$C$11,MATCH(E39,'02x_Accelerator_Catalog'!$B$2:$B$11,0)),"purpose_or_unbenchmarked")</f>
        <v/>
      </c>
      <c r="G39" s="8">
        <f>IFERROR(INDEX('02x_Accelerator_Catalog'!$D$2:$D$11,MATCH(E39,'02x_Accelerator_Catalog'!$B$2:$B$11,0)),"")</f>
        <v/>
      </c>
      <c r="H39" s="17" t="n">
        <v>0.91769062</v>
      </c>
      <c r="I39" s="6">
        <f>SUMIFS($H$2:$H$573,$B$2:$B$573,B39,$C$2:$C$573,C39,$D$2:$D$573,D39)</f>
        <v/>
      </c>
      <c r="J39" s="3" t="inlineStr">
        <is>
          <t>epoch_csp_chip_quantity_latest</t>
        </is>
      </c>
      <c r="K39" s="3" t="inlineStr">
        <is>
          <t>SRC_EPOCH_AI_DATA_CENTERS; EPOCH_RAW_CHIP_QUANTITIES</t>
        </is>
      </c>
      <c r="L39" s="3" t="inlineStr">
        <is>
          <t>Latest chip quantity per CSP/data-center/accelerator through year-end; normalized by unit count. Shares are editable.</t>
        </is>
      </c>
    </row>
    <row r="40">
      <c r="A40" s="5">
        <f>B40&amp;"|"&amp;C40&amp;"|"&amp;D40&amp;"|"&amp;E40</f>
        <v/>
      </c>
      <c r="B40" s="3" t="inlineStr">
        <is>
          <t>Bull</t>
        </is>
      </c>
      <c r="C40" s="3" t="inlineStr">
        <is>
          <t>Amazon</t>
        </is>
      </c>
      <c r="D40" s="3" t="n">
        <v>2027</v>
      </c>
      <c r="E40" s="25" t="inlineStr">
        <is>
          <t>B200/B300 class</t>
        </is>
      </c>
      <c r="F40" s="5">
        <f>IFERROR(INDEX('02x_Accelerator_Catalog'!$C$2:$C$11,MATCH(E40,'02x_Accelerator_Catalog'!$B$2:$B$11,0)),"purpose_or_unbenchmarked")</f>
        <v/>
      </c>
      <c r="G40" s="8">
        <f>IFERROR(INDEX('02x_Accelerator_Catalog'!$D$2:$D$11,MATCH(E40,'02x_Accelerator_Catalog'!$B$2:$B$11,0)),"")</f>
        <v/>
      </c>
      <c r="H40" s="17" t="n">
        <v>0.02334012</v>
      </c>
      <c r="I40" s="6">
        <f>SUMIFS($H$2:$H$573,$B$2:$B$573,B40,$C$2:$C$573,C40,$D$2:$D$573,D40)</f>
        <v/>
      </c>
      <c r="J40" s="3" t="inlineStr">
        <is>
          <t>epoch_csp_chip_quantity_latest</t>
        </is>
      </c>
      <c r="K40" s="3" t="inlineStr">
        <is>
          <t>SRC_EPOCH_AI_DATA_CENTERS; EPOCH_RAW_CHIP_QUANTITIES</t>
        </is>
      </c>
      <c r="L40" s="3" t="inlineStr">
        <is>
          <t>Latest chip quantity per CSP/data-center/accelerator through year-end; normalized by unit count. Shares are editable.</t>
        </is>
      </c>
    </row>
    <row r="41">
      <c r="A41" s="5">
        <f>B41&amp;"|"&amp;C41&amp;"|"&amp;D41&amp;"|"&amp;E41</f>
        <v/>
      </c>
      <c r="B41" s="3" t="inlineStr">
        <is>
          <t>Bull</t>
        </is>
      </c>
      <c r="C41" s="3" t="inlineStr">
        <is>
          <t>Amazon</t>
        </is>
      </c>
      <c r="D41" s="3" t="n">
        <v>2027</v>
      </c>
      <c r="E41" s="25" t="inlineStr">
        <is>
          <t>H100/H200/A100 class</t>
        </is>
      </c>
      <c r="F41" s="5">
        <f>IFERROR(INDEX('02x_Accelerator_Catalog'!$C$2:$C$11,MATCH(E41,'02x_Accelerator_Catalog'!$B$2:$B$11,0)),"purpose_or_unbenchmarked")</f>
        <v/>
      </c>
      <c r="G41" s="8">
        <f>IFERROR(INDEX('02x_Accelerator_Catalog'!$D$2:$D$11,MATCH(E41,'02x_Accelerator_Catalog'!$B$2:$B$11,0)),"")</f>
        <v/>
      </c>
      <c r="H41" s="17" t="n">
        <v>0.05896926</v>
      </c>
      <c r="I41" s="6">
        <f>SUMIFS($H$2:$H$573,$B$2:$B$573,B41,$C$2:$C$573,C41,$D$2:$D$573,D41)</f>
        <v/>
      </c>
      <c r="J41" s="3" t="inlineStr">
        <is>
          <t>epoch_csp_chip_quantity_latest</t>
        </is>
      </c>
      <c r="K41" s="3" t="inlineStr">
        <is>
          <t>SRC_EPOCH_AI_DATA_CENTERS; EPOCH_RAW_CHIP_QUANTITIES</t>
        </is>
      </c>
      <c r="L41" s="3" t="inlineStr">
        <is>
          <t>Latest chip quantity per CSP/data-center/accelerator through year-end; normalized by unit count. Shares are editable.</t>
        </is>
      </c>
    </row>
    <row r="42">
      <c r="A42" s="5">
        <f>B42&amp;"|"&amp;C42&amp;"|"&amp;D42&amp;"|"&amp;E42</f>
        <v/>
      </c>
      <c r="B42" s="3" t="inlineStr">
        <is>
          <t>Bull</t>
        </is>
      </c>
      <c r="C42" s="3" t="inlineStr">
        <is>
          <t>Amazon</t>
        </is>
      </c>
      <c r="D42" s="3" t="n">
        <v>2027</v>
      </c>
      <c r="E42" s="25" t="inlineStr">
        <is>
          <t>Trainium</t>
        </is>
      </c>
      <c r="F42" s="5">
        <f>IFERROR(INDEX('02x_Accelerator_Catalog'!$C$2:$C$11,MATCH(E42,'02x_Accelerator_Catalog'!$B$2:$B$11,0)),"purpose_or_unbenchmarked")</f>
        <v/>
      </c>
      <c r="G42" s="8">
        <f>IFERROR(INDEX('02x_Accelerator_Catalog'!$D$2:$D$11,MATCH(E42,'02x_Accelerator_Catalog'!$B$2:$B$11,0)),"")</f>
        <v/>
      </c>
      <c r="H42" s="17" t="n">
        <v>0.91769062</v>
      </c>
      <c r="I42" s="6">
        <f>SUMIFS($H$2:$H$573,$B$2:$B$573,B42,$C$2:$C$573,C42,$D$2:$D$573,D42)</f>
        <v/>
      </c>
      <c r="J42" s="3" t="inlineStr">
        <is>
          <t>epoch_csp_chip_quantity_latest</t>
        </is>
      </c>
      <c r="K42" s="3" t="inlineStr">
        <is>
          <t>SRC_EPOCH_AI_DATA_CENTERS; EPOCH_RAW_CHIP_QUANTITIES</t>
        </is>
      </c>
      <c r="L42" s="3" t="inlineStr">
        <is>
          <t>Latest chip quantity per CSP/data-center/accelerator through year-end; normalized by unit count. Shares are editable.</t>
        </is>
      </c>
    </row>
    <row r="43">
      <c r="A43" s="5">
        <f>B43&amp;"|"&amp;C43&amp;"|"&amp;D43&amp;"|"&amp;E43</f>
        <v/>
      </c>
      <c r="B43" s="3" t="inlineStr">
        <is>
          <t>Grid-Constrained / Efficiency-Upside</t>
        </is>
      </c>
      <c r="C43" s="3" t="inlineStr">
        <is>
          <t>Amazon</t>
        </is>
      </c>
      <c r="D43" s="3" t="n">
        <v>2027</v>
      </c>
      <c r="E43" s="25" t="inlineStr">
        <is>
          <t>B200/B300 class</t>
        </is>
      </c>
      <c r="F43" s="5">
        <f>IFERROR(INDEX('02x_Accelerator_Catalog'!$C$2:$C$11,MATCH(E43,'02x_Accelerator_Catalog'!$B$2:$B$11,0)),"purpose_or_unbenchmarked")</f>
        <v/>
      </c>
      <c r="G43" s="8">
        <f>IFERROR(INDEX('02x_Accelerator_Catalog'!$D$2:$D$11,MATCH(E43,'02x_Accelerator_Catalog'!$B$2:$B$11,0)),"")</f>
        <v/>
      </c>
      <c r="H43" s="17" t="n">
        <v>0.02334012</v>
      </c>
      <c r="I43" s="6">
        <f>SUMIFS($H$2:$H$573,$B$2:$B$573,B43,$C$2:$C$573,C43,$D$2:$D$573,D43)</f>
        <v/>
      </c>
      <c r="J43" s="3" t="inlineStr">
        <is>
          <t>epoch_csp_chip_quantity_latest</t>
        </is>
      </c>
      <c r="K43" s="3" t="inlineStr">
        <is>
          <t>SRC_EPOCH_AI_DATA_CENTERS; EPOCH_RAW_CHIP_QUANTITIES</t>
        </is>
      </c>
      <c r="L43" s="3" t="inlineStr">
        <is>
          <t>Latest chip quantity per CSP/data-center/accelerator through year-end; normalized by unit count. Shares are editable.</t>
        </is>
      </c>
    </row>
    <row r="44">
      <c r="A44" s="5">
        <f>B44&amp;"|"&amp;C44&amp;"|"&amp;D44&amp;"|"&amp;E44</f>
        <v/>
      </c>
      <c r="B44" s="3" t="inlineStr">
        <is>
          <t>Grid-Constrained / Efficiency-Upside</t>
        </is>
      </c>
      <c r="C44" s="3" t="inlineStr">
        <is>
          <t>Amazon</t>
        </is>
      </c>
      <c r="D44" s="3" t="n">
        <v>2027</v>
      </c>
      <c r="E44" s="25" t="inlineStr">
        <is>
          <t>H100/H200/A100 class</t>
        </is>
      </c>
      <c r="F44" s="5">
        <f>IFERROR(INDEX('02x_Accelerator_Catalog'!$C$2:$C$11,MATCH(E44,'02x_Accelerator_Catalog'!$B$2:$B$11,0)),"purpose_or_unbenchmarked")</f>
        <v/>
      </c>
      <c r="G44" s="8">
        <f>IFERROR(INDEX('02x_Accelerator_Catalog'!$D$2:$D$11,MATCH(E44,'02x_Accelerator_Catalog'!$B$2:$B$11,0)),"")</f>
        <v/>
      </c>
      <c r="H44" s="17" t="n">
        <v>0.05896926</v>
      </c>
      <c r="I44" s="6">
        <f>SUMIFS($H$2:$H$573,$B$2:$B$573,B44,$C$2:$C$573,C44,$D$2:$D$573,D44)</f>
        <v/>
      </c>
      <c r="J44" s="3" t="inlineStr">
        <is>
          <t>epoch_csp_chip_quantity_latest</t>
        </is>
      </c>
      <c r="K44" s="3" t="inlineStr">
        <is>
          <t>SRC_EPOCH_AI_DATA_CENTERS; EPOCH_RAW_CHIP_QUANTITIES</t>
        </is>
      </c>
      <c r="L44" s="3" t="inlineStr">
        <is>
          <t>Latest chip quantity per CSP/data-center/accelerator through year-end; normalized by unit count. Shares are editable.</t>
        </is>
      </c>
    </row>
    <row r="45">
      <c r="A45" s="5">
        <f>B45&amp;"|"&amp;C45&amp;"|"&amp;D45&amp;"|"&amp;E45</f>
        <v/>
      </c>
      <c r="B45" s="3" t="inlineStr">
        <is>
          <t>Grid-Constrained / Efficiency-Upside</t>
        </is>
      </c>
      <c r="C45" s="3" t="inlineStr">
        <is>
          <t>Amazon</t>
        </is>
      </c>
      <c r="D45" s="3" t="n">
        <v>2027</v>
      </c>
      <c r="E45" s="25" t="inlineStr">
        <is>
          <t>Trainium</t>
        </is>
      </c>
      <c r="F45" s="5">
        <f>IFERROR(INDEX('02x_Accelerator_Catalog'!$C$2:$C$11,MATCH(E45,'02x_Accelerator_Catalog'!$B$2:$B$11,0)),"purpose_or_unbenchmarked")</f>
        <v/>
      </c>
      <c r="G45" s="8">
        <f>IFERROR(INDEX('02x_Accelerator_Catalog'!$D$2:$D$11,MATCH(E45,'02x_Accelerator_Catalog'!$B$2:$B$11,0)),"")</f>
        <v/>
      </c>
      <c r="H45" s="17" t="n">
        <v>0.91769062</v>
      </c>
      <c r="I45" s="6">
        <f>SUMIFS($H$2:$H$573,$B$2:$B$573,B45,$C$2:$C$573,C45,$D$2:$D$573,D45)</f>
        <v/>
      </c>
      <c r="J45" s="3" t="inlineStr">
        <is>
          <t>epoch_csp_chip_quantity_latest</t>
        </is>
      </c>
      <c r="K45" s="3" t="inlineStr">
        <is>
          <t>SRC_EPOCH_AI_DATA_CENTERS; EPOCH_RAW_CHIP_QUANTITIES</t>
        </is>
      </c>
      <c r="L45" s="3" t="inlineStr">
        <is>
          <t>Latest chip quantity per CSP/data-center/accelerator through year-end; normalized by unit count. Shares are editable.</t>
        </is>
      </c>
    </row>
    <row r="46">
      <c r="A46" s="5">
        <f>B46&amp;"|"&amp;C46&amp;"|"&amp;D46&amp;"|"&amp;E46</f>
        <v/>
      </c>
      <c r="B46" s="3" t="inlineStr">
        <is>
          <t>Bear</t>
        </is>
      </c>
      <c r="C46" s="3" t="inlineStr">
        <is>
          <t>Amazon</t>
        </is>
      </c>
      <c r="D46" s="3" t="n">
        <v>2028</v>
      </c>
      <c r="E46" s="25" t="inlineStr">
        <is>
          <t>B200/B300 class</t>
        </is>
      </c>
      <c r="F46" s="5">
        <f>IFERROR(INDEX('02x_Accelerator_Catalog'!$C$2:$C$11,MATCH(E46,'02x_Accelerator_Catalog'!$B$2:$B$11,0)),"purpose_or_unbenchmarked")</f>
        <v/>
      </c>
      <c r="G46" s="8">
        <f>IFERROR(INDEX('02x_Accelerator_Catalog'!$D$2:$D$11,MATCH(E46,'02x_Accelerator_Catalog'!$B$2:$B$11,0)),"")</f>
        <v/>
      </c>
      <c r="H46" s="17" t="n">
        <v>0.01698393</v>
      </c>
      <c r="I46" s="6">
        <f>SUMIFS($H$2:$H$573,$B$2:$B$573,B46,$C$2:$C$573,C46,$D$2:$D$573,D46)</f>
        <v/>
      </c>
      <c r="J46" s="3" t="inlineStr">
        <is>
          <t>epoch_csp_chip_quantity_latest</t>
        </is>
      </c>
      <c r="K46" s="3" t="inlineStr">
        <is>
          <t>SRC_EPOCH_AI_DATA_CENTERS; EPOCH_RAW_CHIP_QUANTITIES</t>
        </is>
      </c>
      <c r="L46" s="3" t="inlineStr">
        <is>
          <t>Latest chip quantity per CSP/data-center/accelerator through year-end; normalized by unit count. Shares are editable.</t>
        </is>
      </c>
    </row>
    <row r="47">
      <c r="A47" s="5">
        <f>B47&amp;"|"&amp;C47&amp;"|"&amp;D47&amp;"|"&amp;E47</f>
        <v/>
      </c>
      <c r="B47" s="3" t="inlineStr">
        <is>
          <t>Bear</t>
        </is>
      </c>
      <c r="C47" s="3" t="inlineStr">
        <is>
          <t>Amazon</t>
        </is>
      </c>
      <c r="D47" s="3" t="n">
        <v>2028</v>
      </c>
      <c r="E47" s="25" t="inlineStr">
        <is>
          <t>H100/H200/A100 class</t>
        </is>
      </c>
      <c r="F47" s="5">
        <f>IFERROR(INDEX('02x_Accelerator_Catalog'!$C$2:$C$11,MATCH(E47,'02x_Accelerator_Catalog'!$B$2:$B$11,0)),"purpose_or_unbenchmarked")</f>
        <v/>
      </c>
      <c r="G47" s="8">
        <f>IFERROR(INDEX('02x_Accelerator_Catalog'!$D$2:$D$11,MATCH(E47,'02x_Accelerator_Catalog'!$B$2:$B$11,0)),"")</f>
        <v/>
      </c>
      <c r="H47" s="17" t="n">
        <v>0.04291022</v>
      </c>
      <c r="I47" s="6">
        <f>SUMIFS($H$2:$H$573,$B$2:$B$573,B47,$C$2:$C$573,C47,$D$2:$D$573,D47)</f>
        <v/>
      </c>
      <c r="J47" s="3" t="inlineStr">
        <is>
          <t>epoch_csp_chip_quantity_latest</t>
        </is>
      </c>
      <c r="K47" s="3" t="inlineStr">
        <is>
          <t>SRC_EPOCH_AI_DATA_CENTERS; EPOCH_RAW_CHIP_QUANTITIES</t>
        </is>
      </c>
      <c r="L47" s="3" t="inlineStr">
        <is>
          <t>Latest chip quantity per CSP/data-center/accelerator through year-end; normalized by unit count. Shares are editable.</t>
        </is>
      </c>
    </row>
    <row r="48">
      <c r="A48" s="5">
        <f>B48&amp;"|"&amp;C48&amp;"|"&amp;D48&amp;"|"&amp;E48</f>
        <v/>
      </c>
      <c r="B48" s="3" t="inlineStr">
        <is>
          <t>Bear</t>
        </is>
      </c>
      <c r="C48" s="3" t="inlineStr">
        <is>
          <t>Amazon</t>
        </is>
      </c>
      <c r="D48" s="3" t="n">
        <v>2028</v>
      </c>
      <c r="E48" s="25" t="inlineStr">
        <is>
          <t>Trainium</t>
        </is>
      </c>
      <c r="F48" s="5">
        <f>IFERROR(INDEX('02x_Accelerator_Catalog'!$C$2:$C$11,MATCH(E48,'02x_Accelerator_Catalog'!$B$2:$B$11,0)),"purpose_or_unbenchmarked")</f>
        <v/>
      </c>
      <c r="G48" s="8">
        <f>IFERROR(INDEX('02x_Accelerator_Catalog'!$D$2:$D$11,MATCH(E48,'02x_Accelerator_Catalog'!$B$2:$B$11,0)),"")</f>
        <v/>
      </c>
      <c r="H48" s="17" t="n">
        <v>0.94010585</v>
      </c>
      <c r="I48" s="6">
        <f>SUMIFS($H$2:$H$573,$B$2:$B$573,B48,$C$2:$C$573,C48,$D$2:$D$573,D48)</f>
        <v/>
      </c>
      <c r="J48" s="3" t="inlineStr">
        <is>
          <t>epoch_csp_chip_quantity_latest</t>
        </is>
      </c>
      <c r="K48" s="3" t="inlineStr">
        <is>
          <t>SRC_EPOCH_AI_DATA_CENTERS; EPOCH_RAW_CHIP_QUANTITIES</t>
        </is>
      </c>
      <c r="L48" s="3" t="inlineStr">
        <is>
          <t>Latest chip quantity per CSP/data-center/accelerator through year-end; normalized by unit count. Shares are editable.</t>
        </is>
      </c>
    </row>
    <row r="49">
      <c r="A49" s="5">
        <f>B49&amp;"|"&amp;C49&amp;"|"&amp;D49&amp;"|"&amp;E49</f>
        <v/>
      </c>
      <c r="B49" s="3" t="inlineStr">
        <is>
          <t>Base</t>
        </is>
      </c>
      <c r="C49" s="3" t="inlineStr">
        <is>
          <t>Amazon</t>
        </is>
      </c>
      <c r="D49" s="3" t="n">
        <v>2028</v>
      </c>
      <c r="E49" s="25" t="inlineStr">
        <is>
          <t>B200/B300 class</t>
        </is>
      </c>
      <c r="F49" s="5">
        <f>IFERROR(INDEX('02x_Accelerator_Catalog'!$C$2:$C$11,MATCH(E49,'02x_Accelerator_Catalog'!$B$2:$B$11,0)),"purpose_or_unbenchmarked")</f>
        <v/>
      </c>
      <c r="G49" s="8">
        <f>IFERROR(INDEX('02x_Accelerator_Catalog'!$D$2:$D$11,MATCH(E49,'02x_Accelerator_Catalog'!$B$2:$B$11,0)),"")</f>
        <v/>
      </c>
      <c r="H49" s="17" t="n">
        <v>0.01698393</v>
      </c>
      <c r="I49" s="6">
        <f>SUMIFS($H$2:$H$573,$B$2:$B$573,B49,$C$2:$C$573,C49,$D$2:$D$573,D49)</f>
        <v/>
      </c>
      <c r="J49" s="3" t="inlineStr">
        <is>
          <t>epoch_csp_chip_quantity_latest</t>
        </is>
      </c>
      <c r="K49" s="3" t="inlineStr">
        <is>
          <t>SRC_EPOCH_AI_DATA_CENTERS; EPOCH_RAW_CHIP_QUANTITIES</t>
        </is>
      </c>
      <c r="L49" s="3" t="inlineStr">
        <is>
          <t>Latest chip quantity per CSP/data-center/accelerator through year-end; normalized by unit count. Shares are editable.</t>
        </is>
      </c>
    </row>
    <row r="50">
      <c r="A50" s="5">
        <f>B50&amp;"|"&amp;C50&amp;"|"&amp;D50&amp;"|"&amp;E50</f>
        <v/>
      </c>
      <c r="B50" s="3" t="inlineStr">
        <is>
          <t>Base</t>
        </is>
      </c>
      <c r="C50" s="3" t="inlineStr">
        <is>
          <t>Amazon</t>
        </is>
      </c>
      <c r="D50" s="3" t="n">
        <v>2028</v>
      </c>
      <c r="E50" s="25" t="inlineStr">
        <is>
          <t>H100/H200/A100 class</t>
        </is>
      </c>
      <c r="F50" s="5">
        <f>IFERROR(INDEX('02x_Accelerator_Catalog'!$C$2:$C$11,MATCH(E50,'02x_Accelerator_Catalog'!$B$2:$B$11,0)),"purpose_or_unbenchmarked")</f>
        <v/>
      </c>
      <c r="G50" s="8">
        <f>IFERROR(INDEX('02x_Accelerator_Catalog'!$D$2:$D$11,MATCH(E50,'02x_Accelerator_Catalog'!$B$2:$B$11,0)),"")</f>
        <v/>
      </c>
      <c r="H50" s="17" t="n">
        <v>0.04291022</v>
      </c>
      <c r="I50" s="6">
        <f>SUMIFS($H$2:$H$573,$B$2:$B$573,B50,$C$2:$C$573,C50,$D$2:$D$573,D50)</f>
        <v/>
      </c>
      <c r="J50" s="3" t="inlineStr">
        <is>
          <t>epoch_csp_chip_quantity_latest</t>
        </is>
      </c>
      <c r="K50" s="3" t="inlineStr">
        <is>
          <t>SRC_EPOCH_AI_DATA_CENTERS; EPOCH_RAW_CHIP_QUANTITIES</t>
        </is>
      </c>
      <c r="L50" s="3" t="inlineStr">
        <is>
          <t>Latest chip quantity per CSP/data-center/accelerator through year-end; normalized by unit count. Shares are editable.</t>
        </is>
      </c>
    </row>
    <row r="51">
      <c r="A51" s="5">
        <f>B51&amp;"|"&amp;C51&amp;"|"&amp;D51&amp;"|"&amp;E51</f>
        <v/>
      </c>
      <c r="B51" s="3" t="inlineStr">
        <is>
          <t>Base</t>
        </is>
      </c>
      <c r="C51" s="3" t="inlineStr">
        <is>
          <t>Amazon</t>
        </is>
      </c>
      <c r="D51" s="3" t="n">
        <v>2028</v>
      </c>
      <c r="E51" s="25" t="inlineStr">
        <is>
          <t>Trainium</t>
        </is>
      </c>
      <c r="F51" s="5">
        <f>IFERROR(INDEX('02x_Accelerator_Catalog'!$C$2:$C$11,MATCH(E51,'02x_Accelerator_Catalog'!$B$2:$B$11,0)),"purpose_or_unbenchmarked")</f>
        <v/>
      </c>
      <c r="G51" s="8">
        <f>IFERROR(INDEX('02x_Accelerator_Catalog'!$D$2:$D$11,MATCH(E51,'02x_Accelerator_Catalog'!$B$2:$B$11,0)),"")</f>
        <v/>
      </c>
      <c r="H51" s="17" t="n">
        <v>0.94010585</v>
      </c>
      <c r="I51" s="6">
        <f>SUMIFS($H$2:$H$573,$B$2:$B$573,B51,$C$2:$C$573,C51,$D$2:$D$573,D51)</f>
        <v/>
      </c>
      <c r="J51" s="3" t="inlineStr">
        <is>
          <t>epoch_csp_chip_quantity_latest</t>
        </is>
      </c>
      <c r="K51" s="3" t="inlineStr">
        <is>
          <t>SRC_EPOCH_AI_DATA_CENTERS; EPOCH_RAW_CHIP_QUANTITIES</t>
        </is>
      </c>
      <c r="L51" s="3" t="inlineStr">
        <is>
          <t>Latest chip quantity per CSP/data-center/accelerator through year-end; normalized by unit count. Shares are editable.</t>
        </is>
      </c>
    </row>
    <row r="52">
      <c r="A52" s="5">
        <f>B52&amp;"|"&amp;C52&amp;"|"&amp;D52&amp;"|"&amp;E52</f>
        <v/>
      </c>
      <c r="B52" s="3" t="inlineStr">
        <is>
          <t>Bull</t>
        </is>
      </c>
      <c r="C52" s="3" t="inlineStr">
        <is>
          <t>Amazon</t>
        </is>
      </c>
      <c r="D52" s="3" t="n">
        <v>2028</v>
      </c>
      <c r="E52" s="25" t="inlineStr">
        <is>
          <t>B200/B300 class</t>
        </is>
      </c>
      <c r="F52" s="5">
        <f>IFERROR(INDEX('02x_Accelerator_Catalog'!$C$2:$C$11,MATCH(E52,'02x_Accelerator_Catalog'!$B$2:$B$11,0)),"purpose_or_unbenchmarked")</f>
        <v/>
      </c>
      <c r="G52" s="8">
        <f>IFERROR(INDEX('02x_Accelerator_Catalog'!$D$2:$D$11,MATCH(E52,'02x_Accelerator_Catalog'!$B$2:$B$11,0)),"")</f>
        <v/>
      </c>
      <c r="H52" s="17" t="n">
        <v>0.01698393</v>
      </c>
      <c r="I52" s="6">
        <f>SUMIFS($H$2:$H$573,$B$2:$B$573,B52,$C$2:$C$573,C52,$D$2:$D$573,D52)</f>
        <v/>
      </c>
      <c r="J52" s="3" t="inlineStr">
        <is>
          <t>epoch_csp_chip_quantity_latest</t>
        </is>
      </c>
      <c r="K52" s="3" t="inlineStr">
        <is>
          <t>SRC_EPOCH_AI_DATA_CENTERS; EPOCH_RAW_CHIP_QUANTITIES</t>
        </is>
      </c>
      <c r="L52" s="3" t="inlineStr">
        <is>
          <t>Latest chip quantity per CSP/data-center/accelerator through year-end; normalized by unit count. Shares are editable.</t>
        </is>
      </c>
    </row>
    <row r="53">
      <c r="A53" s="5">
        <f>B53&amp;"|"&amp;C53&amp;"|"&amp;D53&amp;"|"&amp;E53</f>
        <v/>
      </c>
      <c r="B53" s="3" t="inlineStr">
        <is>
          <t>Bull</t>
        </is>
      </c>
      <c r="C53" s="3" t="inlineStr">
        <is>
          <t>Amazon</t>
        </is>
      </c>
      <c r="D53" s="3" t="n">
        <v>2028</v>
      </c>
      <c r="E53" s="25" t="inlineStr">
        <is>
          <t>H100/H200/A100 class</t>
        </is>
      </c>
      <c r="F53" s="5">
        <f>IFERROR(INDEX('02x_Accelerator_Catalog'!$C$2:$C$11,MATCH(E53,'02x_Accelerator_Catalog'!$B$2:$B$11,0)),"purpose_or_unbenchmarked")</f>
        <v/>
      </c>
      <c r="G53" s="8">
        <f>IFERROR(INDEX('02x_Accelerator_Catalog'!$D$2:$D$11,MATCH(E53,'02x_Accelerator_Catalog'!$B$2:$B$11,0)),"")</f>
        <v/>
      </c>
      <c r="H53" s="17" t="n">
        <v>0.04291022</v>
      </c>
      <c r="I53" s="6">
        <f>SUMIFS($H$2:$H$573,$B$2:$B$573,B53,$C$2:$C$573,C53,$D$2:$D$573,D53)</f>
        <v/>
      </c>
      <c r="J53" s="3" t="inlineStr">
        <is>
          <t>epoch_csp_chip_quantity_latest</t>
        </is>
      </c>
      <c r="K53" s="3" t="inlineStr">
        <is>
          <t>SRC_EPOCH_AI_DATA_CENTERS; EPOCH_RAW_CHIP_QUANTITIES</t>
        </is>
      </c>
      <c r="L53" s="3" t="inlineStr">
        <is>
          <t>Latest chip quantity per CSP/data-center/accelerator through year-end; normalized by unit count. Shares are editable.</t>
        </is>
      </c>
    </row>
    <row r="54">
      <c r="A54" s="5">
        <f>B54&amp;"|"&amp;C54&amp;"|"&amp;D54&amp;"|"&amp;E54</f>
        <v/>
      </c>
      <c r="B54" s="3" t="inlineStr">
        <is>
          <t>Bull</t>
        </is>
      </c>
      <c r="C54" s="3" t="inlineStr">
        <is>
          <t>Amazon</t>
        </is>
      </c>
      <c r="D54" s="3" t="n">
        <v>2028</v>
      </c>
      <c r="E54" s="25" t="inlineStr">
        <is>
          <t>Trainium</t>
        </is>
      </c>
      <c r="F54" s="5">
        <f>IFERROR(INDEX('02x_Accelerator_Catalog'!$C$2:$C$11,MATCH(E54,'02x_Accelerator_Catalog'!$B$2:$B$11,0)),"purpose_or_unbenchmarked")</f>
        <v/>
      </c>
      <c r="G54" s="8">
        <f>IFERROR(INDEX('02x_Accelerator_Catalog'!$D$2:$D$11,MATCH(E54,'02x_Accelerator_Catalog'!$B$2:$B$11,0)),"")</f>
        <v/>
      </c>
      <c r="H54" s="17" t="n">
        <v>0.94010585</v>
      </c>
      <c r="I54" s="6">
        <f>SUMIFS($H$2:$H$573,$B$2:$B$573,B54,$C$2:$C$573,C54,$D$2:$D$573,D54)</f>
        <v/>
      </c>
      <c r="J54" s="3" t="inlineStr">
        <is>
          <t>epoch_csp_chip_quantity_latest</t>
        </is>
      </c>
      <c r="K54" s="3" t="inlineStr">
        <is>
          <t>SRC_EPOCH_AI_DATA_CENTERS; EPOCH_RAW_CHIP_QUANTITIES</t>
        </is>
      </c>
      <c r="L54" s="3" t="inlineStr">
        <is>
          <t>Latest chip quantity per CSP/data-center/accelerator through year-end; normalized by unit count. Shares are editable.</t>
        </is>
      </c>
    </row>
    <row r="55">
      <c r="A55" s="5">
        <f>B55&amp;"|"&amp;C55&amp;"|"&amp;D55&amp;"|"&amp;E55</f>
        <v/>
      </c>
      <c r="B55" s="3" t="inlineStr">
        <is>
          <t>Grid-Constrained / Efficiency-Upside</t>
        </is>
      </c>
      <c r="C55" s="3" t="inlineStr">
        <is>
          <t>Amazon</t>
        </is>
      </c>
      <c r="D55" s="3" t="n">
        <v>2028</v>
      </c>
      <c r="E55" s="25" t="inlineStr">
        <is>
          <t>B200/B300 class</t>
        </is>
      </c>
      <c r="F55" s="5">
        <f>IFERROR(INDEX('02x_Accelerator_Catalog'!$C$2:$C$11,MATCH(E55,'02x_Accelerator_Catalog'!$B$2:$B$11,0)),"purpose_or_unbenchmarked")</f>
        <v/>
      </c>
      <c r="G55" s="8">
        <f>IFERROR(INDEX('02x_Accelerator_Catalog'!$D$2:$D$11,MATCH(E55,'02x_Accelerator_Catalog'!$B$2:$B$11,0)),"")</f>
        <v/>
      </c>
      <c r="H55" s="17" t="n">
        <v>0.01698393</v>
      </c>
      <c r="I55" s="6">
        <f>SUMIFS($H$2:$H$573,$B$2:$B$573,B55,$C$2:$C$573,C55,$D$2:$D$573,D55)</f>
        <v/>
      </c>
      <c r="J55" s="3" t="inlineStr">
        <is>
          <t>epoch_csp_chip_quantity_latest</t>
        </is>
      </c>
      <c r="K55" s="3" t="inlineStr">
        <is>
          <t>SRC_EPOCH_AI_DATA_CENTERS; EPOCH_RAW_CHIP_QUANTITIES</t>
        </is>
      </c>
      <c r="L55" s="3" t="inlineStr">
        <is>
          <t>Latest chip quantity per CSP/data-center/accelerator through year-end; normalized by unit count. Shares are editable.</t>
        </is>
      </c>
    </row>
    <row r="56">
      <c r="A56" s="5">
        <f>B56&amp;"|"&amp;C56&amp;"|"&amp;D56&amp;"|"&amp;E56</f>
        <v/>
      </c>
      <c r="B56" s="3" t="inlineStr">
        <is>
          <t>Grid-Constrained / Efficiency-Upside</t>
        </is>
      </c>
      <c r="C56" s="3" t="inlineStr">
        <is>
          <t>Amazon</t>
        </is>
      </c>
      <c r="D56" s="3" t="n">
        <v>2028</v>
      </c>
      <c r="E56" s="25" t="inlineStr">
        <is>
          <t>H100/H200/A100 class</t>
        </is>
      </c>
      <c r="F56" s="5">
        <f>IFERROR(INDEX('02x_Accelerator_Catalog'!$C$2:$C$11,MATCH(E56,'02x_Accelerator_Catalog'!$B$2:$B$11,0)),"purpose_or_unbenchmarked")</f>
        <v/>
      </c>
      <c r="G56" s="8">
        <f>IFERROR(INDEX('02x_Accelerator_Catalog'!$D$2:$D$11,MATCH(E56,'02x_Accelerator_Catalog'!$B$2:$B$11,0)),"")</f>
        <v/>
      </c>
      <c r="H56" s="17" t="n">
        <v>0.04291022</v>
      </c>
      <c r="I56" s="6">
        <f>SUMIFS($H$2:$H$573,$B$2:$B$573,B56,$C$2:$C$573,C56,$D$2:$D$573,D56)</f>
        <v/>
      </c>
      <c r="J56" s="3" t="inlineStr">
        <is>
          <t>epoch_csp_chip_quantity_latest</t>
        </is>
      </c>
      <c r="K56" s="3" t="inlineStr">
        <is>
          <t>SRC_EPOCH_AI_DATA_CENTERS; EPOCH_RAW_CHIP_QUANTITIES</t>
        </is>
      </c>
      <c r="L56" s="3" t="inlineStr">
        <is>
          <t>Latest chip quantity per CSP/data-center/accelerator through year-end; normalized by unit count. Shares are editable.</t>
        </is>
      </c>
    </row>
    <row r="57">
      <c r="A57" s="5">
        <f>B57&amp;"|"&amp;C57&amp;"|"&amp;D57&amp;"|"&amp;E57</f>
        <v/>
      </c>
      <c r="B57" s="3" t="inlineStr">
        <is>
          <t>Grid-Constrained / Efficiency-Upside</t>
        </is>
      </c>
      <c r="C57" s="3" t="inlineStr">
        <is>
          <t>Amazon</t>
        </is>
      </c>
      <c r="D57" s="3" t="n">
        <v>2028</v>
      </c>
      <c r="E57" s="25" t="inlineStr">
        <is>
          <t>Trainium</t>
        </is>
      </c>
      <c r="F57" s="5">
        <f>IFERROR(INDEX('02x_Accelerator_Catalog'!$C$2:$C$11,MATCH(E57,'02x_Accelerator_Catalog'!$B$2:$B$11,0)),"purpose_or_unbenchmarked")</f>
        <v/>
      </c>
      <c r="G57" s="8">
        <f>IFERROR(INDEX('02x_Accelerator_Catalog'!$D$2:$D$11,MATCH(E57,'02x_Accelerator_Catalog'!$B$2:$B$11,0)),"")</f>
        <v/>
      </c>
      <c r="H57" s="17" t="n">
        <v>0.94010585</v>
      </c>
      <c r="I57" s="6">
        <f>SUMIFS($H$2:$H$573,$B$2:$B$573,B57,$C$2:$C$573,C57,$D$2:$D$573,D57)</f>
        <v/>
      </c>
      <c r="J57" s="3" t="inlineStr">
        <is>
          <t>epoch_csp_chip_quantity_latest</t>
        </is>
      </c>
      <c r="K57" s="3" t="inlineStr">
        <is>
          <t>SRC_EPOCH_AI_DATA_CENTERS; EPOCH_RAW_CHIP_QUANTITIES</t>
        </is>
      </c>
      <c r="L57" s="3" t="inlineStr">
        <is>
          <t>Latest chip quantity per CSP/data-center/accelerator through year-end; normalized by unit count. Shares are editable.</t>
        </is>
      </c>
    </row>
    <row r="58">
      <c r="A58" s="5">
        <f>B58&amp;"|"&amp;C58&amp;"|"&amp;D58&amp;"|"&amp;E58</f>
        <v/>
      </c>
      <c r="B58" s="3" t="inlineStr">
        <is>
          <t>Bear</t>
        </is>
      </c>
      <c r="C58" s="3" t="inlineStr">
        <is>
          <t>Amazon</t>
        </is>
      </c>
      <c r="D58" s="3" t="n">
        <v>2029</v>
      </c>
      <c r="E58" s="25" t="inlineStr">
        <is>
          <t>B200/B300 class</t>
        </is>
      </c>
      <c r="F58" s="5">
        <f>IFERROR(INDEX('02x_Accelerator_Catalog'!$C$2:$C$11,MATCH(E58,'02x_Accelerator_Catalog'!$B$2:$B$11,0)),"purpose_or_unbenchmarked")</f>
        <v/>
      </c>
      <c r="G58" s="8">
        <f>IFERROR(INDEX('02x_Accelerator_Catalog'!$D$2:$D$11,MATCH(E58,'02x_Accelerator_Catalog'!$B$2:$B$11,0)),"")</f>
        <v/>
      </c>
      <c r="H58" s="17" t="n">
        <v>0.01698393</v>
      </c>
      <c r="I58" s="6">
        <f>SUMIFS($H$2:$H$573,$B$2:$B$573,B58,$C$2:$C$573,C58,$D$2:$D$573,D58)</f>
        <v/>
      </c>
      <c r="J58" s="3" t="inlineStr">
        <is>
          <t>epoch_csp_chip_quantity_latest</t>
        </is>
      </c>
      <c r="K58" s="3" t="inlineStr">
        <is>
          <t>SRC_EPOCH_AI_DATA_CENTERS; EPOCH_RAW_CHIP_QUANTITIES</t>
        </is>
      </c>
      <c r="L58" s="3" t="inlineStr">
        <is>
          <t>Latest chip quantity per CSP/data-center/accelerator through year-end; normalized by unit count. Shares are editable.</t>
        </is>
      </c>
    </row>
    <row r="59">
      <c r="A59" s="5">
        <f>B59&amp;"|"&amp;C59&amp;"|"&amp;D59&amp;"|"&amp;E59</f>
        <v/>
      </c>
      <c r="B59" s="3" t="inlineStr">
        <is>
          <t>Bear</t>
        </is>
      </c>
      <c r="C59" s="3" t="inlineStr">
        <is>
          <t>Amazon</t>
        </is>
      </c>
      <c r="D59" s="3" t="n">
        <v>2029</v>
      </c>
      <c r="E59" s="25" t="inlineStr">
        <is>
          <t>H100/H200/A100 class</t>
        </is>
      </c>
      <c r="F59" s="5">
        <f>IFERROR(INDEX('02x_Accelerator_Catalog'!$C$2:$C$11,MATCH(E59,'02x_Accelerator_Catalog'!$B$2:$B$11,0)),"purpose_or_unbenchmarked")</f>
        <v/>
      </c>
      <c r="G59" s="8">
        <f>IFERROR(INDEX('02x_Accelerator_Catalog'!$D$2:$D$11,MATCH(E59,'02x_Accelerator_Catalog'!$B$2:$B$11,0)),"")</f>
        <v/>
      </c>
      <c r="H59" s="17" t="n">
        <v>0.04291022</v>
      </c>
      <c r="I59" s="6">
        <f>SUMIFS($H$2:$H$573,$B$2:$B$573,B59,$C$2:$C$573,C59,$D$2:$D$573,D59)</f>
        <v/>
      </c>
      <c r="J59" s="3" t="inlineStr">
        <is>
          <t>epoch_csp_chip_quantity_latest</t>
        </is>
      </c>
      <c r="K59" s="3" t="inlineStr">
        <is>
          <t>SRC_EPOCH_AI_DATA_CENTERS; EPOCH_RAW_CHIP_QUANTITIES</t>
        </is>
      </c>
      <c r="L59" s="3" t="inlineStr">
        <is>
          <t>Latest chip quantity per CSP/data-center/accelerator through year-end; normalized by unit count. Shares are editable.</t>
        </is>
      </c>
    </row>
    <row r="60">
      <c r="A60" s="5">
        <f>B60&amp;"|"&amp;C60&amp;"|"&amp;D60&amp;"|"&amp;E60</f>
        <v/>
      </c>
      <c r="B60" s="3" t="inlineStr">
        <is>
          <t>Bear</t>
        </is>
      </c>
      <c r="C60" s="3" t="inlineStr">
        <is>
          <t>Amazon</t>
        </is>
      </c>
      <c r="D60" s="3" t="n">
        <v>2029</v>
      </c>
      <c r="E60" s="25" t="inlineStr">
        <is>
          <t>Trainium</t>
        </is>
      </c>
      <c r="F60" s="5">
        <f>IFERROR(INDEX('02x_Accelerator_Catalog'!$C$2:$C$11,MATCH(E60,'02x_Accelerator_Catalog'!$B$2:$B$11,0)),"purpose_or_unbenchmarked")</f>
        <v/>
      </c>
      <c r="G60" s="8">
        <f>IFERROR(INDEX('02x_Accelerator_Catalog'!$D$2:$D$11,MATCH(E60,'02x_Accelerator_Catalog'!$B$2:$B$11,0)),"")</f>
        <v/>
      </c>
      <c r="H60" s="17" t="n">
        <v>0.94010585</v>
      </c>
      <c r="I60" s="6">
        <f>SUMIFS($H$2:$H$573,$B$2:$B$573,B60,$C$2:$C$573,C60,$D$2:$D$573,D60)</f>
        <v/>
      </c>
      <c r="J60" s="3" t="inlineStr">
        <is>
          <t>epoch_csp_chip_quantity_latest</t>
        </is>
      </c>
      <c r="K60" s="3" t="inlineStr">
        <is>
          <t>SRC_EPOCH_AI_DATA_CENTERS; EPOCH_RAW_CHIP_QUANTITIES</t>
        </is>
      </c>
      <c r="L60" s="3" t="inlineStr">
        <is>
          <t>Latest chip quantity per CSP/data-center/accelerator through year-end; normalized by unit count. Shares are editable.</t>
        </is>
      </c>
    </row>
    <row r="61">
      <c r="A61" s="5">
        <f>B61&amp;"|"&amp;C61&amp;"|"&amp;D61&amp;"|"&amp;E61</f>
        <v/>
      </c>
      <c r="B61" s="3" t="inlineStr">
        <is>
          <t>Base</t>
        </is>
      </c>
      <c r="C61" s="3" t="inlineStr">
        <is>
          <t>Amazon</t>
        </is>
      </c>
      <c r="D61" s="3" t="n">
        <v>2029</v>
      </c>
      <c r="E61" s="25" t="inlineStr">
        <is>
          <t>B200/B300 class</t>
        </is>
      </c>
      <c r="F61" s="5">
        <f>IFERROR(INDEX('02x_Accelerator_Catalog'!$C$2:$C$11,MATCH(E61,'02x_Accelerator_Catalog'!$B$2:$B$11,0)),"purpose_or_unbenchmarked")</f>
        <v/>
      </c>
      <c r="G61" s="8">
        <f>IFERROR(INDEX('02x_Accelerator_Catalog'!$D$2:$D$11,MATCH(E61,'02x_Accelerator_Catalog'!$B$2:$B$11,0)),"")</f>
        <v/>
      </c>
      <c r="H61" s="17" t="n">
        <v>0.01698393</v>
      </c>
      <c r="I61" s="6">
        <f>SUMIFS($H$2:$H$573,$B$2:$B$573,B61,$C$2:$C$573,C61,$D$2:$D$573,D61)</f>
        <v/>
      </c>
      <c r="J61" s="3" t="inlineStr">
        <is>
          <t>epoch_csp_chip_quantity_latest</t>
        </is>
      </c>
      <c r="K61" s="3" t="inlineStr">
        <is>
          <t>SRC_EPOCH_AI_DATA_CENTERS; EPOCH_RAW_CHIP_QUANTITIES</t>
        </is>
      </c>
      <c r="L61" s="3" t="inlineStr">
        <is>
          <t>Latest chip quantity per CSP/data-center/accelerator through year-end; normalized by unit count. Shares are editable.</t>
        </is>
      </c>
    </row>
    <row r="62">
      <c r="A62" s="5">
        <f>B62&amp;"|"&amp;C62&amp;"|"&amp;D62&amp;"|"&amp;E62</f>
        <v/>
      </c>
      <c r="B62" s="3" t="inlineStr">
        <is>
          <t>Base</t>
        </is>
      </c>
      <c r="C62" s="3" t="inlineStr">
        <is>
          <t>Amazon</t>
        </is>
      </c>
      <c r="D62" s="3" t="n">
        <v>2029</v>
      </c>
      <c r="E62" s="25" t="inlineStr">
        <is>
          <t>H100/H200/A100 class</t>
        </is>
      </c>
      <c r="F62" s="5">
        <f>IFERROR(INDEX('02x_Accelerator_Catalog'!$C$2:$C$11,MATCH(E62,'02x_Accelerator_Catalog'!$B$2:$B$11,0)),"purpose_or_unbenchmarked")</f>
        <v/>
      </c>
      <c r="G62" s="8">
        <f>IFERROR(INDEX('02x_Accelerator_Catalog'!$D$2:$D$11,MATCH(E62,'02x_Accelerator_Catalog'!$B$2:$B$11,0)),"")</f>
        <v/>
      </c>
      <c r="H62" s="17" t="n">
        <v>0.04291022</v>
      </c>
      <c r="I62" s="6">
        <f>SUMIFS($H$2:$H$573,$B$2:$B$573,B62,$C$2:$C$573,C62,$D$2:$D$573,D62)</f>
        <v/>
      </c>
      <c r="J62" s="3" t="inlineStr">
        <is>
          <t>epoch_csp_chip_quantity_latest</t>
        </is>
      </c>
      <c r="K62" s="3" t="inlineStr">
        <is>
          <t>SRC_EPOCH_AI_DATA_CENTERS; EPOCH_RAW_CHIP_QUANTITIES</t>
        </is>
      </c>
      <c r="L62" s="3" t="inlineStr">
        <is>
          <t>Latest chip quantity per CSP/data-center/accelerator through year-end; normalized by unit count. Shares are editable.</t>
        </is>
      </c>
    </row>
    <row r="63">
      <c r="A63" s="5">
        <f>B63&amp;"|"&amp;C63&amp;"|"&amp;D63&amp;"|"&amp;E63</f>
        <v/>
      </c>
      <c r="B63" s="3" t="inlineStr">
        <is>
          <t>Base</t>
        </is>
      </c>
      <c r="C63" s="3" t="inlineStr">
        <is>
          <t>Amazon</t>
        </is>
      </c>
      <c r="D63" s="3" t="n">
        <v>2029</v>
      </c>
      <c r="E63" s="25" t="inlineStr">
        <is>
          <t>Trainium</t>
        </is>
      </c>
      <c r="F63" s="5">
        <f>IFERROR(INDEX('02x_Accelerator_Catalog'!$C$2:$C$11,MATCH(E63,'02x_Accelerator_Catalog'!$B$2:$B$11,0)),"purpose_or_unbenchmarked")</f>
        <v/>
      </c>
      <c r="G63" s="8">
        <f>IFERROR(INDEX('02x_Accelerator_Catalog'!$D$2:$D$11,MATCH(E63,'02x_Accelerator_Catalog'!$B$2:$B$11,0)),"")</f>
        <v/>
      </c>
      <c r="H63" s="17" t="n">
        <v>0.94010585</v>
      </c>
      <c r="I63" s="6">
        <f>SUMIFS($H$2:$H$573,$B$2:$B$573,B63,$C$2:$C$573,C63,$D$2:$D$573,D63)</f>
        <v/>
      </c>
      <c r="J63" s="3" t="inlineStr">
        <is>
          <t>epoch_csp_chip_quantity_latest</t>
        </is>
      </c>
      <c r="K63" s="3" t="inlineStr">
        <is>
          <t>SRC_EPOCH_AI_DATA_CENTERS; EPOCH_RAW_CHIP_QUANTITIES</t>
        </is>
      </c>
      <c r="L63" s="3" t="inlineStr">
        <is>
          <t>Latest chip quantity per CSP/data-center/accelerator through year-end; normalized by unit count. Shares are editable.</t>
        </is>
      </c>
    </row>
    <row r="64">
      <c r="A64" s="5">
        <f>B64&amp;"|"&amp;C64&amp;"|"&amp;D64&amp;"|"&amp;E64</f>
        <v/>
      </c>
      <c r="B64" s="3" t="inlineStr">
        <is>
          <t>Bull</t>
        </is>
      </c>
      <c r="C64" s="3" t="inlineStr">
        <is>
          <t>Amazon</t>
        </is>
      </c>
      <c r="D64" s="3" t="n">
        <v>2029</v>
      </c>
      <c r="E64" s="25" t="inlineStr">
        <is>
          <t>B200/B300 class</t>
        </is>
      </c>
      <c r="F64" s="5">
        <f>IFERROR(INDEX('02x_Accelerator_Catalog'!$C$2:$C$11,MATCH(E64,'02x_Accelerator_Catalog'!$B$2:$B$11,0)),"purpose_or_unbenchmarked")</f>
        <v/>
      </c>
      <c r="G64" s="8">
        <f>IFERROR(INDEX('02x_Accelerator_Catalog'!$D$2:$D$11,MATCH(E64,'02x_Accelerator_Catalog'!$B$2:$B$11,0)),"")</f>
        <v/>
      </c>
      <c r="H64" s="17" t="n">
        <v>0.01698393</v>
      </c>
      <c r="I64" s="6">
        <f>SUMIFS($H$2:$H$573,$B$2:$B$573,B64,$C$2:$C$573,C64,$D$2:$D$573,D64)</f>
        <v/>
      </c>
      <c r="J64" s="3" t="inlineStr">
        <is>
          <t>epoch_csp_chip_quantity_latest</t>
        </is>
      </c>
      <c r="K64" s="3" t="inlineStr">
        <is>
          <t>SRC_EPOCH_AI_DATA_CENTERS; EPOCH_RAW_CHIP_QUANTITIES</t>
        </is>
      </c>
      <c r="L64" s="3" t="inlineStr">
        <is>
          <t>Latest chip quantity per CSP/data-center/accelerator through year-end; normalized by unit count. Shares are editable.</t>
        </is>
      </c>
    </row>
    <row r="65">
      <c r="A65" s="5">
        <f>B65&amp;"|"&amp;C65&amp;"|"&amp;D65&amp;"|"&amp;E65</f>
        <v/>
      </c>
      <c r="B65" s="3" t="inlineStr">
        <is>
          <t>Bull</t>
        </is>
      </c>
      <c r="C65" s="3" t="inlineStr">
        <is>
          <t>Amazon</t>
        </is>
      </c>
      <c r="D65" s="3" t="n">
        <v>2029</v>
      </c>
      <c r="E65" s="25" t="inlineStr">
        <is>
          <t>H100/H200/A100 class</t>
        </is>
      </c>
      <c r="F65" s="5">
        <f>IFERROR(INDEX('02x_Accelerator_Catalog'!$C$2:$C$11,MATCH(E65,'02x_Accelerator_Catalog'!$B$2:$B$11,0)),"purpose_or_unbenchmarked")</f>
        <v/>
      </c>
      <c r="G65" s="8">
        <f>IFERROR(INDEX('02x_Accelerator_Catalog'!$D$2:$D$11,MATCH(E65,'02x_Accelerator_Catalog'!$B$2:$B$11,0)),"")</f>
        <v/>
      </c>
      <c r="H65" s="17" t="n">
        <v>0.04291022</v>
      </c>
      <c r="I65" s="6">
        <f>SUMIFS($H$2:$H$573,$B$2:$B$573,B65,$C$2:$C$573,C65,$D$2:$D$573,D65)</f>
        <v/>
      </c>
      <c r="J65" s="3" t="inlineStr">
        <is>
          <t>epoch_csp_chip_quantity_latest</t>
        </is>
      </c>
      <c r="K65" s="3" t="inlineStr">
        <is>
          <t>SRC_EPOCH_AI_DATA_CENTERS; EPOCH_RAW_CHIP_QUANTITIES</t>
        </is>
      </c>
      <c r="L65" s="3" t="inlineStr">
        <is>
          <t>Latest chip quantity per CSP/data-center/accelerator through year-end; normalized by unit count. Shares are editable.</t>
        </is>
      </c>
    </row>
    <row r="66">
      <c r="A66" s="5">
        <f>B66&amp;"|"&amp;C66&amp;"|"&amp;D66&amp;"|"&amp;E66</f>
        <v/>
      </c>
      <c r="B66" s="3" t="inlineStr">
        <is>
          <t>Bull</t>
        </is>
      </c>
      <c r="C66" s="3" t="inlineStr">
        <is>
          <t>Amazon</t>
        </is>
      </c>
      <c r="D66" s="3" t="n">
        <v>2029</v>
      </c>
      <c r="E66" s="25" t="inlineStr">
        <is>
          <t>Trainium</t>
        </is>
      </c>
      <c r="F66" s="5">
        <f>IFERROR(INDEX('02x_Accelerator_Catalog'!$C$2:$C$11,MATCH(E66,'02x_Accelerator_Catalog'!$B$2:$B$11,0)),"purpose_or_unbenchmarked")</f>
        <v/>
      </c>
      <c r="G66" s="8">
        <f>IFERROR(INDEX('02x_Accelerator_Catalog'!$D$2:$D$11,MATCH(E66,'02x_Accelerator_Catalog'!$B$2:$B$11,0)),"")</f>
        <v/>
      </c>
      <c r="H66" s="17" t="n">
        <v>0.94010585</v>
      </c>
      <c r="I66" s="6">
        <f>SUMIFS($H$2:$H$573,$B$2:$B$573,B66,$C$2:$C$573,C66,$D$2:$D$573,D66)</f>
        <v/>
      </c>
      <c r="J66" s="3" t="inlineStr">
        <is>
          <t>epoch_csp_chip_quantity_latest</t>
        </is>
      </c>
      <c r="K66" s="3" t="inlineStr">
        <is>
          <t>SRC_EPOCH_AI_DATA_CENTERS; EPOCH_RAW_CHIP_QUANTITIES</t>
        </is>
      </c>
      <c r="L66" s="3" t="inlineStr">
        <is>
          <t>Latest chip quantity per CSP/data-center/accelerator through year-end; normalized by unit count. Shares are editable.</t>
        </is>
      </c>
    </row>
    <row r="67">
      <c r="A67" s="5">
        <f>B67&amp;"|"&amp;C67&amp;"|"&amp;D67&amp;"|"&amp;E67</f>
        <v/>
      </c>
      <c r="B67" s="3" t="inlineStr">
        <is>
          <t>Grid-Constrained / Efficiency-Upside</t>
        </is>
      </c>
      <c r="C67" s="3" t="inlineStr">
        <is>
          <t>Amazon</t>
        </is>
      </c>
      <c r="D67" s="3" t="n">
        <v>2029</v>
      </c>
      <c r="E67" s="25" t="inlineStr">
        <is>
          <t>B200/B300 class</t>
        </is>
      </c>
      <c r="F67" s="5">
        <f>IFERROR(INDEX('02x_Accelerator_Catalog'!$C$2:$C$11,MATCH(E67,'02x_Accelerator_Catalog'!$B$2:$B$11,0)),"purpose_or_unbenchmarked")</f>
        <v/>
      </c>
      <c r="G67" s="8">
        <f>IFERROR(INDEX('02x_Accelerator_Catalog'!$D$2:$D$11,MATCH(E67,'02x_Accelerator_Catalog'!$B$2:$B$11,0)),"")</f>
        <v/>
      </c>
      <c r="H67" s="17" t="n">
        <v>0.01698393</v>
      </c>
      <c r="I67" s="6">
        <f>SUMIFS($H$2:$H$573,$B$2:$B$573,B67,$C$2:$C$573,C67,$D$2:$D$573,D67)</f>
        <v/>
      </c>
      <c r="J67" s="3" t="inlineStr">
        <is>
          <t>epoch_csp_chip_quantity_latest</t>
        </is>
      </c>
      <c r="K67" s="3" t="inlineStr">
        <is>
          <t>SRC_EPOCH_AI_DATA_CENTERS; EPOCH_RAW_CHIP_QUANTITIES</t>
        </is>
      </c>
      <c r="L67" s="3" t="inlineStr">
        <is>
          <t>Latest chip quantity per CSP/data-center/accelerator through year-end; normalized by unit count. Shares are editable.</t>
        </is>
      </c>
    </row>
    <row r="68">
      <c r="A68" s="5">
        <f>B68&amp;"|"&amp;C68&amp;"|"&amp;D68&amp;"|"&amp;E68</f>
        <v/>
      </c>
      <c r="B68" s="3" t="inlineStr">
        <is>
          <t>Grid-Constrained / Efficiency-Upside</t>
        </is>
      </c>
      <c r="C68" s="3" t="inlineStr">
        <is>
          <t>Amazon</t>
        </is>
      </c>
      <c r="D68" s="3" t="n">
        <v>2029</v>
      </c>
      <c r="E68" s="25" t="inlineStr">
        <is>
          <t>H100/H200/A100 class</t>
        </is>
      </c>
      <c r="F68" s="5">
        <f>IFERROR(INDEX('02x_Accelerator_Catalog'!$C$2:$C$11,MATCH(E68,'02x_Accelerator_Catalog'!$B$2:$B$11,0)),"purpose_or_unbenchmarked")</f>
        <v/>
      </c>
      <c r="G68" s="8">
        <f>IFERROR(INDEX('02x_Accelerator_Catalog'!$D$2:$D$11,MATCH(E68,'02x_Accelerator_Catalog'!$B$2:$B$11,0)),"")</f>
        <v/>
      </c>
      <c r="H68" s="17" t="n">
        <v>0.04291022</v>
      </c>
      <c r="I68" s="6">
        <f>SUMIFS($H$2:$H$573,$B$2:$B$573,B68,$C$2:$C$573,C68,$D$2:$D$573,D68)</f>
        <v/>
      </c>
      <c r="J68" s="3" t="inlineStr">
        <is>
          <t>epoch_csp_chip_quantity_latest</t>
        </is>
      </c>
      <c r="K68" s="3" t="inlineStr">
        <is>
          <t>SRC_EPOCH_AI_DATA_CENTERS; EPOCH_RAW_CHIP_QUANTITIES</t>
        </is>
      </c>
      <c r="L68" s="3" t="inlineStr">
        <is>
          <t>Latest chip quantity per CSP/data-center/accelerator through year-end; normalized by unit count. Shares are editable.</t>
        </is>
      </c>
    </row>
    <row r="69">
      <c r="A69" s="5">
        <f>B69&amp;"|"&amp;C69&amp;"|"&amp;D69&amp;"|"&amp;E69</f>
        <v/>
      </c>
      <c r="B69" s="3" t="inlineStr">
        <is>
          <t>Grid-Constrained / Efficiency-Upside</t>
        </is>
      </c>
      <c r="C69" s="3" t="inlineStr">
        <is>
          <t>Amazon</t>
        </is>
      </c>
      <c r="D69" s="3" t="n">
        <v>2029</v>
      </c>
      <c r="E69" s="25" t="inlineStr">
        <is>
          <t>Trainium</t>
        </is>
      </c>
      <c r="F69" s="5">
        <f>IFERROR(INDEX('02x_Accelerator_Catalog'!$C$2:$C$11,MATCH(E69,'02x_Accelerator_Catalog'!$B$2:$B$11,0)),"purpose_or_unbenchmarked")</f>
        <v/>
      </c>
      <c r="G69" s="8">
        <f>IFERROR(INDEX('02x_Accelerator_Catalog'!$D$2:$D$11,MATCH(E69,'02x_Accelerator_Catalog'!$B$2:$B$11,0)),"")</f>
        <v/>
      </c>
      <c r="H69" s="17" t="n">
        <v>0.94010585</v>
      </c>
      <c r="I69" s="6">
        <f>SUMIFS($H$2:$H$573,$B$2:$B$573,B69,$C$2:$C$573,C69,$D$2:$D$573,D69)</f>
        <v/>
      </c>
      <c r="J69" s="3" t="inlineStr">
        <is>
          <t>epoch_csp_chip_quantity_latest</t>
        </is>
      </c>
      <c r="K69" s="3" t="inlineStr">
        <is>
          <t>SRC_EPOCH_AI_DATA_CENTERS; EPOCH_RAW_CHIP_QUANTITIES</t>
        </is>
      </c>
      <c r="L69" s="3" t="inlineStr">
        <is>
          <t>Latest chip quantity per CSP/data-center/accelerator through year-end; normalized by unit count. Shares are editable.</t>
        </is>
      </c>
    </row>
    <row r="70">
      <c r="A70" s="5">
        <f>B70&amp;"|"&amp;C70&amp;"|"&amp;D70&amp;"|"&amp;E70</f>
        <v/>
      </c>
      <c r="B70" s="3" t="inlineStr">
        <is>
          <t>Bear</t>
        </is>
      </c>
      <c r="C70" s="3" t="inlineStr">
        <is>
          <t>Amazon</t>
        </is>
      </c>
      <c r="D70" s="3" t="n">
        <v>2030</v>
      </c>
      <c r="E70" s="25" t="inlineStr">
        <is>
          <t>B200/B300 class</t>
        </is>
      </c>
      <c r="F70" s="5">
        <f>IFERROR(INDEX('02x_Accelerator_Catalog'!$C$2:$C$11,MATCH(E70,'02x_Accelerator_Catalog'!$B$2:$B$11,0)),"purpose_or_unbenchmarked")</f>
        <v/>
      </c>
      <c r="G70" s="8">
        <f>IFERROR(INDEX('02x_Accelerator_Catalog'!$D$2:$D$11,MATCH(E70,'02x_Accelerator_Catalog'!$B$2:$B$11,0)),"")</f>
        <v/>
      </c>
      <c r="H70" s="17" t="n">
        <v>0.01698393</v>
      </c>
      <c r="I70" s="6">
        <f>SUMIFS($H$2:$H$573,$B$2:$B$573,B70,$C$2:$C$573,C70,$D$2:$D$573,D70)</f>
        <v/>
      </c>
      <c r="J70" s="3" t="inlineStr">
        <is>
          <t>epoch_csp_chip_quantity_latest</t>
        </is>
      </c>
      <c r="K70" s="3" t="inlineStr">
        <is>
          <t>SRC_EPOCH_AI_DATA_CENTERS; EPOCH_RAW_CHIP_QUANTITIES</t>
        </is>
      </c>
      <c r="L70" s="3" t="inlineStr">
        <is>
          <t>Latest chip quantity per CSP/data-center/accelerator through year-end; normalized by unit count. Shares are editable.</t>
        </is>
      </c>
    </row>
    <row r="71">
      <c r="A71" s="5">
        <f>B71&amp;"|"&amp;C71&amp;"|"&amp;D71&amp;"|"&amp;E71</f>
        <v/>
      </c>
      <c r="B71" s="3" t="inlineStr">
        <is>
          <t>Bear</t>
        </is>
      </c>
      <c r="C71" s="3" t="inlineStr">
        <is>
          <t>Amazon</t>
        </is>
      </c>
      <c r="D71" s="3" t="n">
        <v>2030</v>
      </c>
      <c r="E71" s="25" t="inlineStr">
        <is>
          <t>H100/H200/A100 class</t>
        </is>
      </c>
      <c r="F71" s="5">
        <f>IFERROR(INDEX('02x_Accelerator_Catalog'!$C$2:$C$11,MATCH(E71,'02x_Accelerator_Catalog'!$B$2:$B$11,0)),"purpose_or_unbenchmarked")</f>
        <v/>
      </c>
      <c r="G71" s="8">
        <f>IFERROR(INDEX('02x_Accelerator_Catalog'!$D$2:$D$11,MATCH(E71,'02x_Accelerator_Catalog'!$B$2:$B$11,0)),"")</f>
        <v/>
      </c>
      <c r="H71" s="17" t="n">
        <v>0.04291022</v>
      </c>
      <c r="I71" s="6">
        <f>SUMIFS($H$2:$H$573,$B$2:$B$573,B71,$C$2:$C$573,C71,$D$2:$D$573,D71)</f>
        <v/>
      </c>
      <c r="J71" s="3" t="inlineStr">
        <is>
          <t>epoch_csp_chip_quantity_latest</t>
        </is>
      </c>
      <c r="K71" s="3" t="inlineStr">
        <is>
          <t>SRC_EPOCH_AI_DATA_CENTERS; EPOCH_RAW_CHIP_QUANTITIES</t>
        </is>
      </c>
      <c r="L71" s="3" t="inlineStr">
        <is>
          <t>Latest chip quantity per CSP/data-center/accelerator through year-end; normalized by unit count. Shares are editable.</t>
        </is>
      </c>
    </row>
    <row r="72">
      <c r="A72" s="5">
        <f>B72&amp;"|"&amp;C72&amp;"|"&amp;D72&amp;"|"&amp;E72</f>
        <v/>
      </c>
      <c r="B72" s="3" t="inlineStr">
        <is>
          <t>Bear</t>
        </is>
      </c>
      <c r="C72" s="3" t="inlineStr">
        <is>
          <t>Amazon</t>
        </is>
      </c>
      <c r="D72" s="3" t="n">
        <v>2030</v>
      </c>
      <c r="E72" s="25" t="inlineStr">
        <is>
          <t>Trainium</t>
        </is>
      </c>
      <c r="F72" s="5">
        <f>IFERROR(INDEX('02x_Accelerator_Catalog'!$C$2:$C$11,MATCH(E72,'02x_Accelerator_Catalog'!$B$2:$B$11,0)),"purpose_or_unbenchmarked")</f>
        <v/>
      </c>
      <c r="G72" s="8">
        <f>IFERROR(INDEX('02x_Accelerator_Catalog'!$D$2:$D$11,MATCH(E72,'02x_Accelerator_Catalog'!$B$2:$B$11,0)),"")</f>
        <v/>
      </c>
      <c r="H72" s="17" t="n">
        <v>0.94010585</v>
      </c>
      <c r="I72" s="6">
        <f>SUMIFS($H$2:$H$573,$B$2:$B$573,B72,$C$2:$C$573,C72,$D$2:$D$573,D72)</f>
        <v/>
      </c>
      <c r="J72" s="3" t="inlineStr">
        <is>
          <t>epoch_csp_chip_quantity_latest</t>
        </is>
      </c>
      <c r="K72" s="3" t="inlineStr">
        <is>
          <t>SRC_EPOCH_AI_DATA_CENTERS; EPOCH_RAW_CHIP_QUANTITIES</t>
        </is>
      </c>
      <c r="L72" s="3" t="inlineStr">
        <is>
          <t>Latest chip quantity per CSP/data-center/accelerator through year-end; normalized by unit count. Shares are editable.</t>
        </is>
      </c>
    </row>
    <row r="73">
      <c r="A73" s="5">
        <f>B73&amp;"|"&amp;C73&amp;"|"&amp;D73&amp;"|"&amp;E73</f>
        <v/>
      </c>
      <c r="B73" s="3" t="inlineStr">
        <is>
          <t>Base</t>
        </is>
      </c>
      <c r="C73" s="3" t="inlineStr">
        <is>
          <t>Amazon</t>
        </is>
      </c>
      <c r="D73" s="3" t="n">
        <v>2030</v>
      </c>
      <c r="E73" s="25" t="inlineStr">
        <is>
          <t>B200/B300 class</t>
        </is>
      </c>
      <c r="F73" s="5">
        <f>IFERROR(INDEX('02x_Accelerator_Catalog'!$C$2:$C$11,MATCH(E73,'02x_Accelerator_Catalog'!$B$2:$B$11,0)),"purpose_or_unbenchmarked")</f>
        <v/>
      </c>
      <c r="G73" s="8">
        <f>IFERROR(INDEX('02x_Accelerator_Catalog'!$D$2:$D$11,MATCH(E73,'02x_Accelerator_Catalog'!$B$2:$B$11,0)),"")</f>
        <v/>
      </c>
      <c r="H73" s="17" t="n">
        <v>0.01698393</v>
      </c>
      <c r="I73" s="6">
        <f>SUMIFS($H$2:$H$573,$B$2:$B$573,B73,$C$2:$C$573,C73,$D$2:$D$573,D73)</f>
        <v/>
      </c>
      <c r="J73" s="3" t="inlineStr">
        <is>
          <t>epoch_csp_chip_quantity_latest</t>
        </is>
      </c>
      <c r="K73" s="3" t="inlineStr">
        <is>
          <t>SRC_EPOCH_AI_DATA_CENTERS; EPOCH_RAW_CHIP_QUANTITIES</t>
        </is>
      </c>
      <c r="L73" s="3" t="inlineStr">
        <is>
          <t>Latest chip quantity per CSP/data-center/accelerator through year-end; normalized by unit count. Shares are editable.</t>
        </is>
      </c>
    </row>
    <row r="74">
      <c r="A74" s="5">
        <f>B74&amp;"|"&amp;C74&amp;"|"&amp;D74&amp;"|"&amp;E74</f>
        <v/>
      </c>
      <c r="B74" s="3" t="inlineStr">
        <is>
          <t>Base</t>
        </is>
      </c>
      <c r="C74" s="3" t="inlineStr">
        <is>
          <t>Amazon</t>
        </is>
      </c>
      <c r="D74" s="3" t="n">
        <v>2030</v>
      </c>
      <c r="E74" s="25" t="inlineStr">
        <is>
          <t>H100/H200/A100 class</t>
        </is>
      </c>
      <c r="F74" s="5">
        <f>IFERROR(INDEX('02x_Accelerator_Catalog'!$C$2:$C$11,MATCH(E74,'02x_Accelerator_Catalog'!$B$2:$B$11,0)),"purpose_or_unbenchmarked")</f>
        <v/>
      </c>
      <c r="G74" s="8">
        <f>IFERROR(INDEX('02x_Accelerator_Catalog'!$D$2:$D$11,MATCH(E74,'02x_Accelerator_Catalog'!$B$2:$B$11,0)),"")</f>
        <v/>
      </c>
      <c r="H74" s="17" t="n">
        <v>0.04291022</v>
      </c>
      <c r="I74" s="6">
        <f>SUMIFS($H$2:$H$573,$B$2:$B$573,B74,$C$2:$C$573,C74,$D$2:$D$573,D74)</f>
        <v/>
      </c>
      <c r="J74" s="3" t="inlineStr">
        <is>
          <t>epoch_csp_chip_quantity_latest</t>
        </is>
      </c>
      <c r="K74" s="3" t="inlineStr">
        <is>
          <t>SRC_EPOCH_AI_DATA_CENTERS; EPOCH_RAW_CHIP_QUANTITIES</t>
        </is>
      </c>
      <c r="L74" s="3" t="inlineStr">
        <is>
          <t>Latest chip quantity per CSP/data-center/accelerator through year-end; normalized by unit count. Shares are editable.</t>
        </is>
      </c>
    </row>
    <row r="75">
      <c r="A75" s="5">
        <f>B75&amp;"|"&amp;C75&amp;"|"&amp;D75&amp;"|"&amp;E75</f>
        <v/>
      </c>
      <c r="B75" s="3" t="inlineStr">
        <is>
          <t>Base</t>
        </is>
      </c>
      <c r="C75" s="3" t="inlineStr">
        <is>
          <t>Amazon</t>
        </is>
      </c>
      <c r="D75" s="3" t="n">
        <v>2030</v>
      </c>
      <c r="E75" s="25" t="inlineStr">
        <is>
          <t>Trainium</t>
        </is>
      </c>
      <c r="F75" s="5">
        <f>IFERROR(INDEX('02x_Accelerator_Catalog'!$C$2:$C$11,MATCH(E75,'02x_Accelerator_Catalog'!$B$2:$B$11,0)),"purpose_or_unbenchmarked")</f>
        <v/>
      </c>
      <c r="G75" s="8">
        <f>IFERROR(INDEX('02x_Accelerator_Catalog'!$D$2:$D$11,MATCH(E75,'02x_Accelerator_Catalog'!$B$2:$B$11,0)),"")</f>
        <v/>
      </c>
      <c r="H75" s="17" t="n">
        <v>0.94010585</v>
      </c>
      <c r="I75" s="6">
        <f>SUMIFS($H$2:$H$573,$B$2:$B$573,B75,$C$2:$C$573,C75,$D$2:$D$573,D75)</f>
        <v/>
      </c>
      <c r="J75" s="3" t="inlineStr">
        <is>
          <t>epoch_csp_chip_quantity_latest</t>
        </is>
      </c>
      <c r="K75" s="3" t="inlineStr">
        <is>
          <t>SRC_EPOCH_AI_DATA_CENTERS; EPOCH_RAW_CHIP_QUANTITIES</t>
        </is>
      </c>
      <c r="L75" s="3" t="inlineStr">
        <is>
          <t>Latest chip quantity per CSP/data-center/accelerator through year-end; normalized by unit count. Shares are editable.</t>
        </is>
      </c>
    </row>
    <row r="76">
      <c r="A76" s="5">
        <f>B76&amp;"|"&amp;C76&amp;"|"&amp;D76&amp;"|"&amp;E76</f>
        <v/>
      </c>
      <c r="B76" s="3" t="inlineStr">
        <is>
          <t>Bull</t>
        </is>
      </c>
      <c r="C76" s="3" t="inlineStr">
        <is>
          <t>Amazon</t>
        </is>
      </c>
      <c r="D76" s="3" t="n">
        <v>2030</v>
      </c>
      <c r="E76" s="25" t="inlineStr">
        <is>
          <t>B200/B300 class</t>
        </is>
      </c>
      <c r="F76" s="5">
        <f>IFERROR(INDEX('02x_Accelerator_Catalog'!$C$2:$C$11,MATCH(E76,'02x_Accelerator_Catalog'!$B$2:$B$11,0)),"purpose_or_unbenchmarked")</f>
        <v/>
      </c>
      <c r="G76" s="8">
        <f>IFERROR(INDEX('02x_Accelerator_Catalog'!$D$2:$D$11,MATCH(E76,'02x_Accelerator_Catalog'!$B$2:$B$11,0)),"")</f>
        <v/>
      </c>
      <c r="H76" s="17" t="n">
        <v>0.01698393</v>
      </c>
      <c r="I76" s="6">
        <f>SUMIFS($H$2:$H$573,$B$2:$B$573,B76,$C$2:$C$573,C76,$D$2:$D$573,D76)</f>
        <v/>
      </c>
      <c r="J76" s="3" t="inlineStr">
        <is>
          <t>epoch_csp_chip_quantity_latest</t>
        </is>
      </c>
      <c r="K76" s="3" t="inlineStr">
        <is>
          <t>SRC_EPOCH_AI_DATA_CENTERS; EPOCH_RAW_CHIP_QUANTITIES</t>
        </is>
      </c>
      <c r="L76" s="3" t="inlineStr">
        <is>
          <t>Latest chip quantity per CSP/data-center/accelerator through year-end; normalized by unit count. Shares are editable.</t>
        </is>
      </c>
    </row>
    <row r="77">
      <c r="A77" s="5">
        <f>B77&amp;"|"&amp;C77&amp;"|"&amp;D77&amp;"|"&amp;E77</f>
        <v/>
      </c>
      <c r="B77" s="3" t="inlineStr">
        <is>
          <t>Bull</t>
        </is>
      </c>
      <c r="C77" s="3" t="inlineStr">
        <is>
          <t>Amazon</t>
        </is>
      </c>
      <c r="D77" s="3" t="n">
        <v>2030</v>
      </c>
      <c r="E77" s="25" t="inlineStr">
        <is>
          <t>H100/H200/A100 class</t>
        </is>
      </c>
      <c r="F77" s="5">
        <f>IFERROR(INDEX('02x_Accelerator_Catalog'!$C$2:$C$11,MATCH(E77,'02x_Accelerator_Catalog'!$B$2:$B$11,0)),"purpose_or_unbenchmarked")</f>
        <v/>
      </c>
      <c r="G77" s="8">
        <f>IFERROR(INDEX('02x_Accelerator_Catalog'!$D$2:$D$11,MATCH(E77,'02x_Accelerator_Catalog'!$B$2:$B$11,0)),"")</f>
        <v/>
      </c>
      <c r="H77" s="17" t="n">
        <v>0.04291022</v>
      </c>
      <c r="I77" s="6">
        <f>SUMIFS($H$2:$H$573,$B$2:$B$573,B77,$C$2:$C$573,C77,$D$2:$D$573,D77)</f>
        <v/>
      </c>
      <c r="J77" s="3" t="inlineStr">
        <is>
          <t>epoch_csp_chip_quantity_latest</t>
        </is>
      </c>
      <c r="K77" s="3" t="inlineStr">
        <is>
          <t>SRC_EPOCH_AI_DATA_CENTERS; EPOCH_RAW_CHIP_QUANTITIES</t>
        </is>
      </c>
      <c r="L77" s="3" t="inlineStr">
        <is>
          <t>Latest chip quantity per CSP/data-center/accelerator through year-end; normalized by unit count. Shares are editable.</t>
        </is>
      </c>
    </row>
    <row r="78">
      <c r="A78" s="5">
        <f>B78&amp;"|"&amp;C78&amp;"|"&amp;D78&amp;"|"&amp;E78</f>
        <v/>
      </c>
      <c r="B78" s="3" t="inlineStr">
        <is>
          <t>Bull</t>
        </is>
      </c>
      <c r="C78" s="3" t="inlineStr">
        <is>
          <t>Amazon</t>
        </is>
      </c>
      <c r="D78" s="3" t="n">
        <v>2030</v>
      </c>
      <c r="E78" s="25" t="inlineStr">
        <is>
          <t>Trainium</t>
        </is>
      </c>
      <c r="F78" s="5">
        <f>IFERROR(INDEX('02x_Accelerator_Catalog'!$C$2:$C$11,MATCH(E78,'02x_Accelerator_Catalog'!$B$2:$B$11,0)),"purpose_or_unbenchmarked")</f>
        <v/>
      </c>
      <c r="G78" s="8">
        <f>IFERROR(INDEX('02x_Accelerator_Catalog'!$D$2:$D$11,MATCH(E78,'02x_Accelerator_Catalog'!$B$2:$B$11,0)),"")</f>
        <v/>
      </c>
      <c r="H78" s="17" t="n">
        <v>0.94010585</v>
      </c>
      <c r="I78" s="6">
        <f>SUMIFS($H$2:$H$573,$B$2:$B$573,B78,$C$2:$C$573,C78,$D$2:$D$573,D78)</f>
        <v/>
      </c>
      <c r="J78" s="3" t="inlineStr">
        <is>
          <t>epoch_csp_chip_quantity_latest</t>
        </is>
      </c>
      <c r="K78" s="3" t="inlineStr">
        <is>
          <t>SRC_EPOCH_AI_DATA_CENTERS; EPOCH_RAW_CHIP_QUANTITIES</t>
        </is>
      </c>
      <c r="L78" s="3" t="inlineStr">
        <is>
          <t>Latest chip quantity per CSP/data-center/accelerator through year-end; normalized by unit count. Shares are editable.</t>
        </is>
      </c>
    </row>
    <row r="79">
      <c r="A79" s="5">
        <f>B79&amp;"|"&amp;C79&amp;"|"&amp;D79&amp;"|"&amp;E79</f>
        <v/>
      </c>
      <c r="B79" s="3" t="inlineStr">
        <is>
          <t>Grid-Constrained / Efficiency-Upside</t>
        </is>
      </c>
      <c r="C79" s="3" t="inlineStr">
        <is>
          <t>Amazon</t>
        </is>
      </c>
      <c r="D79" s="3" t="n">
        <v>2030</v>
      </c>
      <c r="E79" s="25" t="inlineStr">
        <is>
          <t>B200/B300 class</t>
        </is>
      </c>
      <c r="F79" s="5">
        <f>IFERROR(INDEX('02x_Accelerator_Catalog'!$C$2:$C$11,MATCH(E79,'02x_Accelerator_Catalog'!$B$2:$B$11,0)),"purpose_or_unbenchmarked")</f>
        <v/>
      </c>
      <c r="G79" s="8">
        <f>IFERROR(INDEX('02x_Accelerator_Catalog'!$D$2:$D$11,MATCH(E79,'02x_Accelerator_Catalog'!$B$2:$B$11,0)),"")</f>
        <v/>
      </c>
      <c r="H79" s="17" t="n">
        <v>0.01698393</v>
      </c>
      <c r="I79" s="6">
        <f>SUMIFS($H$2:$H$573,$B$2:$B$573,B79,$C$2:$C$573,C79,$D$2:$D$573,D79)</f>
        <v/>
      </c>
      <c r="J79" s="3" t="inlineStr">
        <is>
          <t>epoch_csp_chip_quantity_latest</t>
        </is>
      </c>
      <c r="K79" s="3" t="inlineStr">
        <is>
          <t>SRC_EPOCH_AI_DATA_CENTERS; EPOCH_RAW_CHIP_QUANTITIES</t>
        </is>
      </c>
      <c r="L79" s="3" t="inlineStr">
        <is>
          <t>Latest chip quantity per CSP/data-center/accelerator through year-end; normalized by unit count. Shares are editable.</t>
        </is>
      </c>
    </row>
    <row r="80">
      <c r="A80" s="5">
        <f>B80&amp;"|"&amp;C80&amp;"|"&amp;D80&amp;"|"&amp;E80</f>
        <v/>
      </c>
      <c r="B80" s="3" t="inlineStr">
        <is>
          <t>Grid-Constrained / Efficiency-Upside</t>
        </is>
      </c>
      <c r="C80" s="3" t="inlineStr">
        <is>
          <t>Amazon</t>
        </is>
      </c>
      <c r="D80" s="3" t="n">
        <v>2030</v>
      </c>
      <c r="E80" s="25" t="inlineStr">
        <is>
          <t>H100/H200/A100 class</t>
        </is>
      </c>
      <c r="F80" s="5">
        <f>IFERROR(INDEX('02x_Accelerator_Catalog'!$C$2:$C$11,MATCH(E80,'02x_Accelerator_Catalog'!$B$2:$B$11,0)),"purpose_or_unbenchmarked")</f>
        <v/>
      </c>
      <c r="G80" s="8">
        <f>IFERROR(INDEX('02x_Accelerator_Catalog'!$D$2:$D$11,MATCH(E80,'02x_Accelerator_Catalog'!$B$2:$B$11,0)),"")</f>
        <v/>
      </c>
      <c r="H80" s="17" t="n">
        <v>0.04291022</v>
      </c>
      <c r="I80" s="6">
        <f>SUMIFS($H$2:$H$573,$B$2:$B$573,B80,$C$2:$C$573,C80,$D$2:$D$573,D80)</f>
        <v/>
      </c>
      <c r="J80" s="3" t="inlineStr">
        <is>
          <t>epoch_csp_chip_quantity_latest</t>
        </is>
      </c>
      <c r="K80" s="3" t="inlineStr">
        <is>
          <t>SRC_EPOCH_AI_DATA_CENTERS; EPOCH_RAW_CHIP_QUANTITIES</t>
        </is>
      </c>
      <c r="L80" s="3" t="inlineStr">
        <is>
          <t>Latest chip quantity per CSP/data-center/accelerator through year-end; normalized by unit count. Shares are editable.</t>
        </is>
      </c>
    </row>
    <row r="81">
      <c r="A81" s="5">
        <f>B81&amp;"|"&amp;C81&amp;"|"&amp;D81&amp;"|"&amp;E81</f>
        <v/>
      </c>
      <c r="B81" s="3" t="inlineStr">
        <is>
          <t>Grid-Constrained / Efficiency-Upside</t>
        </is>
      </c>
      <c r="C81" s="3" t="inlineStr">
        <is>
          <t>Amazon</t>
        </is>
      </c>
      <c r="D81" s="3" t="n">
        <v>2030</v>
      </c>
      <c r="E81" s="25" t="inlineStr">
        <is>
          <t>Trainium</t>
        </is>
      </c>
      <c r="F81" s="5">
        <f>IFERROR(INDEX('02x_Accelerator_Catalog'!$C$2:$C$11,MATCH(E81,'02x_Accelerator_Catalog'!$B$2:$B$11,0)),"purpose_or_unbenchmarked")</f>
        <v/>
      </c>
      <c r="G81" s="8">
        <f>IFERROR(INDEX('02x_Accelerator_Catalog'!$D$2:$D$11,MATCH(E81,'02x_Accelerator_Catalog'!$B$2:$B$11,0)),"")</f>
        <v/>
      </c>
      <c r="H81" s="17" t="n">
        <v>0.94010585</v>
      </c>
      <c r="I81" s="6">
        <f>SUMIFS($H$2:$H$573,$B$2:$B$573,B81,$C$2:$C$573,C81,$D$2:$D$573,D81)</f>
        <v/>
      </c>
      <c r="J81" s="3" t="inlineStr">
        <is>
          <t>epoch_csp_chip_quantity_latest</t>
        </is>
      </c>
      <c r="K81" s="3" t="inlineStr">
        <is>
          <t>SRC_EPOCH_AI_DATA_CENTERS; EPOCH_RAW_CHIP_QUANTITIES</t>
        </is>
      </c>
      <c r="L81" s="3" t="inlineStr">
        <is>
          <t>Latest chip quantity per CSP/data-center/accelerator through year-end; normalized by unit count. Shares are editable.</t>
        </is>
      </c>
    </row>
    <row r="82">
      <c r="A82" s="5">
        <f>B82&amp;"|"&amp;C82&amp;"|"&amp;D82&amp;"|"&amp;E82</f>
        <v/>
      </c>
      <c r="B82" s="3" t="inlineStr">
        <is>
          <t>Bear</t>
        </is>
      </c>
      <c r="C82" s="3" t="inlineStr">
        <is>
          <t>Fluidstack</t>
        </is>
      </c>
      <c r="D82" s="3" t="n">
        <v>2026</v>
      </c>
      <c r="E82" s="25" t="inlineStr">
        <is>
          <t>TPU</t>
        </is>
      </c>
      <c r="F82" s="5">
        <f>IFERROR(INDEX('02x_Accelerator_Catalog'!$C$2:$C$11,MATCH(E82,'02x_Accelerator_Catalog'!$B$2:$B$11,0)),"purpose_or_unbenchmarked")</f>
        <v/>
      </c>
      <c r="G82" s="8">
        <f>IFERROR(INDEX('02x_Accelerator_Catalog'!$D$2:$D$11,MATCH(E82,'02x_Accelerator_Catalog'!$B$2:$B$11,0)),"")</f>
        <v/>
      </c>
      <c r="H82" s="17" t="n">
        <v>1</v>
      </c>
      <c r="I82" s="6">
        <f>SUMIFS($H$2:$H$573,$B$2:$B$573,B82,$C$2:$C$573,C82,$D$2:$D$573,D82)</f>
        <v/>
      </c>
      <c r="J82" s="3" t="inlineStr">
        <is>
          <t>epoch_csp_chip_quantity_latest</t>
        </is>
      </c>
      <c r="K82" s="3" t="inlineStr">
        <is>
          <t>SRC_EPOCH_AI_DATA_CENTERS; EPOCH_RAW_CHIP_QUANTITIES</t>
        </is>
      </c>
      <c r="L82" s="3" t="inlineStr">
        <is>
          <t>Latest chip quantity per CSP/data-center/accelerator through year-end; normalized by unit count. Shares are editable.</t>
        </is>
      </c>
    </row>
    <row r="83">
      <c r="A83" s="5">
        <f>B83&amp;"|"&amp;C83&amp;"|"&amp;D83&amp;"|"&amp;E83</f>
        <v/>
      </c>
      <c r="B83" s="3" t="inlineStr">
        <is>
          <t>Base</t>
        </is>
      </c>
      <c r="C83" s="3" t="inlineStr">
        <is>
          <t>Fluidstack</t>
        </is>
      </c>
      <c r="D83" s="3" t="n">
        <v>2026</v>
      </c>
      <c r="E83" s="25" t="inlineStr">
        <is>
          <t>TPU</t>
        </is>
      </c>
      <c r="F83" s="5">
        <f>IFERROR(INDEX('02x_Accelerator_Catalog'!$C$2:$C$11,MATCH(E83,'02x_Accelerator_Catalog'!$B$2:$B$11,0)),"purpose_or_unbenchmarked")</f>
        <v/>
      </c>
      <c r="G83" s="8">
        <f>IFERROR(INDEX('02x_Accelerator_Catalog'!$D$2:$D$11,MATCH(E83,'02x_Accelerator_Catalog'!$B$2:$B$11,0)),"")</f>
        <v/>
      </c>
      <c r="H83" s="17" t="n">
        <v>1</v>
      </c>
      <c r="I83" s="6">
        <f>SUMIFS($H$2:$H$573,$B$2:$B$573,B83,$C$2:$C$573,C83,$D$2:$D$573,D83)</f>
        <v/>
      </c>
      <c r="J83" s="3" t="inlineStr">
        <is>
          <t>epoch_csp_chip_quantity_latest</t>
        </is>
      </c>
      <c r="K83" s="3" t="inlineStr">
        <is>
          <t>SRC_EPOCH_AI_DATA_CENTERS; EPOCH_RAW_CHIP_QUANTITIES</t>
        </is>
      </c>
      <c r="L83" s="3" t="inlineStr">
        <is>
          <t>Latest chip quantity per CSP/data-center/accelerator through year-end; normalized by unit count. Shares are editable.</t>
        </is>
      </c>
    </row>
    <row r="84">
      <c r="A84" s="5">
        <f>B84&amp;"|"&amp;C84&amp;"|"&amp;D84&amp;"|"&amp;E84</f>
        <v/>
      </c>
      <c r="B84" s="3" t="inlineStr">
        <is>
          <t>Bull</t>
        </is>
      </c>
      <c r="C84" s="3" t="inlineStr">
        <is>
          <t>Fluidstack</t>
        </is>
      </c>
      <c r="D84" s="3" t="n">
        <v>2026</v>
      </c>
      <c r="E84" s="25" t="inlineStr">
        <is>
          <t>TPU</t>
        </is>
      </c>
      <c r="F84" s="5">
        <f>IFERROR(INDEX('02x_Accelerator_Catalog'!$C$2:$C$11,MATCH(E84,'02x_Accelerator_Catalog'!$B$2:$B$11,0)),"purpose_or_unbenchmarked")</f>
        <v/>
      </c>
      <c r="G84" s="8">
        <f>IFERROR(INDEX('02x_Accelerator_Catalog'!$D$2:$D$11,MATCH(E84,'02x_Accelerator_Catalog'!$B$2:$B$11,0)),"")</f>
        <v/>
      </c>
      <c r="H84" s="17" t="n">
        <v>1</v>
      </c>
      <c r="I84" s="6">
        <f>SUMIFS($H$2:$H$573,$B$2:$B$573,B84,$C$2:$C$573,C84,$D$2:$D$573,D84)</f>
        <v/>
      </c>
      <c r="J84" s="3" t="inlineStr">
        <is>
          <t>epoch_csp_chip_quantity_latest</t>
        </is>
      </c>
      <c r="K84" s="3" t="inlineStr">
        <is>
          <t>SRC_EPOCH_AI_DATA_CENTERS; EPOCH_RAW_CHIP_QUANTITIES</t>
        </is>
      </c>
      <c r="L84" s="3" t="inlineStr">
        <is>
          <t>Latest chip quantity per CSP/data-center/accelerator through year-end; normalized by unit count. Shares are editable.</t>
        </is>
      </c>
    </row>
    <row r="85">
      <c r="A85" s="5">
        <f>B85&amp;"|"&amp;C85&amp;"|"&amp;D85&amp;"|"&amp;E85</f>
        <v/>
      </c>
      <c r="B85" s="3" t="inlineStr">
        <is>
          <t>Grid-Constrained / Efficiency-Upside</t>
        </is>
      </c>
      <c r="C85" s="3" t="inlineStr">
        <is>
          <t>Fluidstack</t>
        </is>
      </c>
      <c r="D85" s="3" t="n">
        <v>2026</v>
      </c>
      <c r="E85" s="25" t="inlineStr">
        <is>
          <t>TPU</t>
        </is>
      </c>
      <c r="F85" s="5">
        <f>IFERROR(INDEX('02x_Accelerator_Catalog'!$C$2:$C$11,MATCH(E85,'02x_Accelerator_Catalog'!$B$2:$B$11,0)),"purpose_or_unbenchmarked")</f>
        <v/>
      </c>
      <c r="G85" s="8">
        <f>IFERROR(INDEX('02x_Accelerator_Catalog'!$D$2:$D$11,MATCH(E85,'02x_Accelerator_Catalog'!$B$2:$B$11,0)),"")</f>
        <v/>
      </c>
      <c r="H85" s="17" t="n">
        <v>1</v>
      </c>
      <c r="I85" s="6">
        <f>SUMIFS($H$2:$H$573,$B$2:$B$573,B85,$C$2:$C$573,C85,$D$2:$D$573,D85)</f>
        <v/>
      </c>
      <c r="J85" s="3" t="inlineStr">
        <is>
          <t>epoch_csp_chip_quantity_latest</t>
        </is>
      </c>
      <c r="K85" s="3" t="inlineStr">
        <is>
          <t>SRC_EPOCH_AI_DATA_CENTERS; EPOCH_RAW_CHIP_QUANTITIES</t>
        </is>
      </c>
      <c r="L85" s="3" t="inlineStr">
        <is>
          <t>Latest chip quantity per CSP/data-center/accelerator through year-end; normalized by unit count. Shares are editable.</t>
        </is>
      </c>
    </row>
    <row r="86">
      <c r="A86" s="5">
        <f>B86&amp;"|"&amp;C86&amp;"|"&amp;D86&amp;"|"&amp;E86</f>
        <v/>
      </c>
      <c r="B86" s="3" t="inlineStr">
        <is>
          <t>Bear</t>
        </is>
      </c>
      <c r="C86" s="3" t="inlineStr">
        <is>
          <t>Fluidstack</t>
        </is>
      </c>
      <c r="D86" s="3" t="n">
        <v>2027</v>
      </c>
      <c r="E86" s="25" t="inlineStr">
        <is>
          <t>TPU</t>
        </is>
      </c>
      <c r="F86" s="5">
        <f>IFERROR(INDEX('02x_Accelerator_Catalog'!$C$2:$C$11,MATCH(E86,'02x_Accelerator_Catalog'!$B$2:$B$11,0)),"purpose_or_unbenchmarked")</f>
        <v/>
      </c>
      <c r="G86" s="8">
        <f>IFERROR(INDEX('02x_Accelerator_Catalog'!$D$2:$D$11,MATCH(E86,'02x_Accelerator_Catalog'!$B$2:$B$11,0)),"")</f>
        <v/>
      </c>
      <c r="H86" s="17" t="n">
        <v>1</v>
      </c>
      <c r="I86" s="6">
        <f>SUMIFS($H$2:$H$573,$B$2:$B$573,B86,$C$2:$C$573,C86,$D$2:$D$573,D86)</f>
        <v/>
      </c>
      <c r="J86" s="3" t="inlineStr">
        <is>
          <t>epoch_csp_chip_quantity_latest</t>
        </is>
      </c>
      <c r="K86" s="3" t="inlineStr">
        <is>
          <t>SRC_EPOCH_AI_DATA_CENTERS; EPOCH_RAW_CHIP_QUANTITIES</t>
        </is>
      </c>
      <c r="L86" s="3" t="inlineStr">
        <is>
          <t>Latest chip quantity per CSP/data-center/accelerator through year-end; normalized by unit count. Shares are editable.</t>
        </is>
      </c>
    </row>
    <row r="87">
      <c r="A87" s="5">
        <f>B87&amp;"|"&amp;C87&amp;"|"&amp;D87&amp;"|"&amp;E87</f>
        <v/>
      </c>
      <c r="B87" s="3" t="inlineStr">
        <is>
          <t>Base</t>
        </is>
      </c>
      <c r="C87" s="3" t="inlineStr">
        <is>
          <t>Fluidstack</t>
        </is>
      </c>
      <c r="D87" s="3" t="n">
        <v>2027</v>
      </c>
      <c r="E87" s="25" t="inlineStr">
        <is>
          <t>TPU</t>
        </is>
      </c>
      <c r="F87" s="5">
        <f>IFERROR(INDEX('02x_Accelerator_Catalog'!$C$2:$C$11,MATCH(E87,'02x_Accelerator_Catalog'!$B$2:$B$11,0)),"purpose_or_unbenchmarked")</f>
        <v/>
      </c>
      <c r="G87" s="8">
        <f>IFERROR(INDEX('02x_Accelerator_Catalog'!$D$2:$D$11,MATCH(E87,'02x_Accelerator_Catalog'!$B$2:$B$11,0)),"")</f>
        <v/>
      </c>
      <c r="H87" s="17" t="n">
        <v>1</v>
      </c>
      <c r="I87" s="6">
        <f>SUMIFS($H$2:$H$573,$B$2:$B$573,B87,$C$2:$C$573,C87,$D$2:$D$573,D87)</f>
        <v/>
      </c>
      <c r="J87" s="3" t="inlineStr">
        <is>
          <t>epoch_csp_chip_quantity_latest</t>
        </is>
      </c>
      <c r="K87" s="3" t="inlineStr">
        <is>
          <t>SRC_EPOCH_AI_DATA_CENTERS; EPOCH_RAW_CHIP_QUANTITIES</t>
        </is>
      </c>
      <c r="L87" s="3" t="inlineStr">
        <is>
          <t>Latest chip quantity per CSP/data-center/accelerator through year-end; normalized by unit count. Shares are editable.</t>
        </is>
      </c>
    </row>
    <row r="88">
      <c r="A88" s="5">
        <f>B88&amp;"|"&amp;C88&amp;"|"&amp;D88&amp;"|"&amp;E88</f>
        <v/>
      </c>
      <c r="B88" s="3" t="inlineStr">
        <is>
          <t>Bull</t>
        </is>
      </c>
      <c r="C88" s="3" t="inlineStr">
        <is>
          <t>Fluidstack</t>
        </is>
      </c>
      <c r="D88" s="3" t="n">
        <v>2027</v>
      </c>
      <c r="E88" s="25" t="inlineStr">
        <is>
          <t>TPU</t>
        </is>
      </c>
      <c r="F88" s="5">
        <f>IFERROR(INDEX('02x_Accelerator_Catalog'!$C$2:$C$11,MATCH(E88,'02x_Accelerator_Catalog'!$B$2:$B$11,0)),"purpose_or_unbenchmarked")</f>
        <v/>
      </c>
      <c r="G88" s="8">
        <f>IFERROR(INDEX('02x_Accelerator_Catalog'!$D$2:$D$11,MATCH(E88,'02x_Accelerator_Catalog'!$B$2:$B$11,0)),"")</f>
        <v/>
      </c>
      <c r="H88" s="17" t="n">
        <v>1</v>
      </c>
      <c r="I88" s="6">
        <f>SUMIFS($H$2:$H$573,$B$2:$B$573,B88,$C$2:$C$573,C88,$D$2:$D$573,D88)</f>
        <v/>
      </c>
      <c r="J88" s="3" t="inlineStr">
        <is>
          <t>epoch_csp_chip_quantity_latest</t>
        </is>
      </c>
      <c r="K88" s="3" t="inlineStr">
        <is>
          <t>SRC_EPOCH_AI_DATA_CENTERS; EPOCH_RAW_CHIP_QUANTITIES</t>
        </is>
      </c>
      <c r="L88" s="3" t="inlineStr">
        <is>
          <t>Latest chip quantity per CSP/data-center/accelerator through year-end; normalized by unit count. Shares are editable.</t>
        </is>
      </c>
    </row>
    <row r="89">
      <c r="A89" s="5">
        <f>B89&amp;"|"&amp;C89&amp;"|"&amp;D89&amp;"|"&amp;E89</f>
        <v/>
      </c>
      <c r="B89" s="3" t="inlineStr">
        <is>
          <t>Grid-Constrained / Efficiency-Upside</t>
        </is>
      </c>
      <c r="C89" s="3" t="inlineStr">
        <is>
          <t>Fluidstack</t>
        </is>
      </c>
      <c r="D89" s="3" t="n">
        <v>2027</v>
      </c>
      <c r="E89" s="25" t="inlineStr">
        <is>
          <t>TPU</t>
        </is>
      </c>
      <c r="F89" s="5">
        <f>IFERROR(INDEX('02x_Accelerator_Catalog'!$C$2:$C$11,MATCH(E89,'02x_Accelerator_Catalog'!$B$2:$B$11,0)),"purpose_or_unbenchmarked")</f>
        <v/>
      </c>
      <c r="G89" s="8">
        <f>IFERROR(INDEX('02x_Accelerator_Catalog'!$D$2:$D$11,MATCH(E89,'02x_Accelerator_Catalog'!$B$2:$B$11,0)),"")</f>
        <v/>
      </c>
      <c r="H89" s="17" t="n">
        <v>1</v>
      </c>
      <c r="I89" s="6">
        <f>SUMIFS($H$2:$H$573,$B$2:$B$573,B89,$C$2:$C$573,C89,$D$2:$D$573,D89)</f>
        <v/>
      </c>
      <c r="J89" s="3" t="inlineStr">
        <is>
          <t>epoch_csp_chip_quantity_latest</t>
        </is>
      </c>
      <c r="K89" s="3" t="inlineStr">
        <is>
          <t>SRC_EPOCH_AI_DATA_CENTERS; EPOCH_RAW_CHIP_QUANTITIES</t>
        </is>
      </c>
      <c r="L89" s="3" t="inlineStr">
        <is>
          <t>Latest chip quantity per CSP/data-center/accelerator through year-end; normalized by unit count. Shares are editable.</t>
        </is>
      </c>
    </row>
    <row r="90">
      <c r="A90" s="5">
        <f>B90&amp;"|"&amp;C90&amp;"|"&amp;D90&amp;"|"&amp;E90</f>
        <v/>
      </c>
      <c r="B90" s="3" t="inlineStr">
        <is>
          <t>Bear</t>
        </is>
      </c>
      <c r="C90" s="3" t="inlineStr">
        <is>
          <t>Fluidstack</t>
        </is>
      </c>
      <c r="D90" s="3" t="n">
        <v>2028</v>
      </c>
      <c r="E90" s="25" t="inlineStr">
        <is>
          <t>TPU</t>
        </is>
      </c>
      <c r="F90" s="5">
        <f>IFERROR(INDEX('02x_Accelerator_Catalog'!$C$2:$C$11,MATCH(E90,'02x_Accelerator_Catalog'!$B$2:$B$11,0)),"purpose_or_unbenchmarked")</f>
        <v/>
      </c>
      <c r="G90" s="8">
        <f>IFERROR(INDEX('02x_Accelerator_Catalog'!$D$2:$D$11,MATCH(E90,'02x_Accelerator_Catalog'!$B$2:$B$11,0)),"")</f>
        <v/>
      </c>
      <c r="H90" s="17" t="n">
        <v>1</v>
      </c>
      <c r="I90" s="6">
        <f>SUMIFS($H$2:$H$573,$B$2:$B$573,B90,$C$2:$C$573,C90,$D$2:$D$573,D90)</f>
        <v/>
      </c>
      <c r="J90" s="3" t="inlineStr">
        <is>
          <t>epoch_csp_chip_quantity_latest</t>
        </is>
      </c>
      <c r="K90" s="3" t="inlineStr">
        <is>
          <t>SRC_EPOCH_AI_DATA_CENTERS; EPOCH_RAW_CHIP_QUANTITIES</t>
        </is>
      </c>
      <c r="L90" s="3" t="inlineStr">
        <is>
          <t>Latest chip quantity per CSP/data-center/accelerator through year-end; normalized by unit count. Shares are editable.</t>
        </is>
      </c>
    </row>
    <row r="91">
      <c r="A91" s="5">
        <f>B91&amp;"|"&amp;C91&amp;"|"&amp;D91&amp;"|"&amp;E91</f>
        <v/>
      </c>
      <c r="B91" s="3" t="inlineStr">
        <is>
          <t>Base</t>
        </is>
      </c>
      <c r="C91" s="3" t="inlineStr">
        <is>
          <t>Fluidstack</t>
        </is>
      </c>
      <c r="D91" s="3" t="n">
        <v>2028</v>
      </c>
      <c r="E91" s="25" t="inlineStr">
        <is>
          <t>TPU</t>
        </is>
      </c>
      <c r="F91" s="5">
        <f>IFERROR(INDEX('02x_Accelerator_Catalog'!$C$2:$C$11,MATCH(E91,'02x_Accelerator_Catalog'!$B$2:$B$11,0)),"purpose_or_unbenchmarked")</f>
        <v/>
      </c>
      <c r="G91" s="8">
        <f>IFERROR(INDEX('02x_Accelerator_Catalog'!$D$2:$D$11,MATCH(E91,'02x_Accelerator_Catalog'!$B$2:$B$11,0)),"")</f>
        <v/>
      </c>
      <c r="H91" s="17" t="n">
        <v>1</v>
      </c>
      <c r="I91" s="6">
        <f>SUMIFS($H$2:$H$573,$B$2:$B$573,B91,$C$2:$C$573,C91,$D$2:$D$573,D91)</f>
        <v/>
      </c>
      <c r="J91" s="3" t="inlineStr">
        <is>
          <t>epoch_csp_chip_quantity_latest</t>
        </is>
      </c>
      <c r="K91" s="3" t="inlineStr">
        <is>
          <t>SRC_EPOCH_AI_DATA_CENTERS; EPOCH_RAW_CHIP_QUANTITIES</t>
        </is>
      </c>
      <c r="L91" s="3" t="inlineStr">
        <is>
          <t>Latest chip quantity per CSP/data-center/accelerator through year-end; normalized by unit count. Shares are editable.</t>
        </is>
      </c>
    </row>
    <row r="92">
      <c r="A92" s="5">
        <f>B92&amp;"|"&amp;C92&amp;"|"&amp;D92&amp;"|"&amp;E92</f>
        <v/>
      </c>
      <c r="B92" s="3" t="inlineStr">
        <is>
          <t>Bull</t>
        </is>
      </c>
      <c r="C92" s="3" t="inlineStr">
        <is>
          <t>Fluidstack</t>
        </is>
      </c>
      <c r="D92" s="3" t="n">
        <v>2028</v>
      </c>
      <c r="E92" s="25" t="inlineStr">
        <is>
          <t>TPU</t>
        </is>
      </c>
      <c r="F92" s="5">
        <f>IFERROR(INDEX('02x_Accelerator_Catalog'!$C$2:$C$11,MATCH(E92,'02x_Accelerator_Catalog'!$B$2:$B$11,0)),"purpose_or_unbenchmarked")</f>
        <v/>
      </c>
      <c r="G92" s="8">
        <f>IFERROR(INDEX('02x_Accelerator_Catalog'!$D$2:$D$11,MATCH(E92,'02x_Accelerator_Catalog'!$B$2:$B$11,0)),"")</f>
        <v/>
      </c>
      <c r="H92" s="17" t="n">
        <v>1</v>
      </c>
      <c r="I92" s="6">
        <f>SUMIFS($H$2:$H$573,$B$2:$B$573,B92,$C$2:$C$573,C92,$D$2:$D$573,D92)</f>
        <v/>
      </c>
      <c r="J92" s="3" t="inlineStr">
        <is>
          <t>epoch_csp_chip_quantity_latest</t>
        </is>
      </c>
      <c r="K92" s="3" t="inlineStr">
        <is>
          <t>SRC_EPOCH_AI_DATA_CENTERS; EPOCH_RAW_CHIP_QUANTITIES</t>
        </is>
      </c>
      <c r="L92" s="3" t="inlineStr">
        <is>
          <t>Latest chip quantity per CSP/data-center/accelerator through year-end; normalized by unit count. Shares are editable.</t>
        </is>
      </c>
    </row>
    <row r="93">
      <c r="A93" s="5">
        <f>B93&amp;"|"&amp;C93&amp;"|"&amp;D93&amp;"|"&amp;E93</f>
        <v/>
      </c>
      <c r="B93" s="3" t="inlineStr">
        <is>
          <t>Grid-Constrained / Efficiency-Upside</t>
        </is>
      </c>
      <c r="C93" s="3" t="inlineStr">
        <is>
          <t>Fluidstack</t>
        </is>
      </c>
      <c r="D93" s="3" t="n">
        <v>2028</v>
      </c>
      <c r="E93" s="25" t="inlineStr">
        <is>
          <t>TPU</t>
        </is>
      </c>
      <c r="F93" s="5">
        <f>IFERROR(INDEX('02x_Accelerator_Catalog'!$C$2:$C$11,MATCH(E93,'02x_Accelerator_Catalog'!$B$2:$B$11,0)),"purpose_or_unbenchmarked")</f>
        <v/>
      </c>
      <c r="G93" s="8">
        <f>IFERROR(INDEX('02x_Accelerator_Catalog'!$D$2:$D$11,MATCH(E93,'02x_Accelerator_Catalog'!$B$2:$B$11,0)),"")</f>
        <v/>
      </c>
      <c r="H93" s="17" t="n">
        <v>1</v>
      </c>
      <c r="I93" s="6">
        <f>SUMIFS($H$2:$H$573,$B$2:$B$573,B93,$C$2:$C$573,C93,$D$2:$D$573,D93)</f>
        <v/>
      </c>
      <c r="J93" s="3" t="inlineStr">
        <is>
          <t>epoch_csp_chip_quantity_latest</t>
        </is>
      </c>
      <c r="K93" s="3" t="inlineStr">
        <is>
          <t>SRC_EPOCH_AI_DATA_CENTERS; EPOCH_RAW_CHIP_QUANTITIES</t>
        </is>
      </c>
      <c r="L93" s="3" t="inlineStr">
        <is>
          <t>Latest chip quantity per CSP/data-center/accelerator through year-end; normalized by unit count. Shares are editable.</t>
        </is>
      </c>
    </row>
    <row r="94">
      <c r="A94" s="5">
        <f>B94&amp;"|"&amp;C94&amp;"|"&amp;D94&amp;"|"&amp;E94</f>
        <v/>
      </c>
      <c r="B94" s="3" t="inlineStr">
        <is>
          <t>Bear</t>
        </is>
      </c>
      <c r="C94" s="3" t="inlineStr">
        <is>
          <t>Fluidstack</t>
        </is>
      </c>
      <c r="D94" s="3" t="n">
        <v>2029</v>
      </c>
      <c r="E94" s="25" t="inlineStr">
        <is>
          <t>TPU</t>
        </is>
      </c>
      <c r="F94" s="5">
        <f>IFERROR(INDEX('02x_Accelerator_Catalog'!$C$2:$C$11,MATCH(E94,'02x_Accelerator_Catalog'!$B$2:$B$11,0)),"purpose_or_unbenchmarked")</f>
        <v/>
      </c>
      <c r="G94" s="8">
        <f>IFERROR(INDEX('02x_Accelerator_Catalog'!$D$2:$D$11,MATCH(E94,'02x_Accelerator_Catalog'!$B$2:$B$11,0)),"")</f>
        <v/>
      </c>
      <c r="H94" s="17" t="n">
        <v>1</v>
      </c>
      <c r="I94" s="6">
        <f>SUMIFS($H$2:$H$573,$B$2:$B$573,B94,$C$2:$C$573,C94,$D$2:$D$573,D94)</f>
        <v/>
      </c>
      <c r="J94" s="3" t="inlineStr">
        <is>
          <t>epoch_csp_chip_quantity_latest</t>
        </is>
      </c>
      <c r="K94" s="3" t="inlineStr">
        <is>
          <t>SRC_EPOCH_AI_DATA_CENTERS; EPOCH_RAW_CHIP_QUANTITIES</t>
        </is>
      </c>
      <c r="L94" s="3" t="inlineStr">
        <is>
          <t>Latest chip quantity per CSP/data-center/accelerator through year-end; normalized by unit count. Shares are editable.</t>
        </is>
      </c>
    </row>
    <row r="95">
      <c r="A95" s="5">
        <f>B95&amp;"|"&amp;C95&amp;"|"&amp;D95&amp;"|"&amp;E95</f>
        <v/>
      </c>
      <c r="B95" s="3" t="inlineStr">
        <is>
          <t>Base</t>
        </is>
      </c>
      <c r="C95" s="3" t="inlineStr">
        <is>
          <t>Fluidstack</t>
        </is>
      </c>
      <c r="D95" s="3" t="n">
        <v>2029</v>
      </c>
      <c r="E95" s="25" t="inlineStr">
        <is>
          <t>TPU</t>
        </is>
      </c>
      <c r="F95" s="5">
        <f>IFERROR(INDEX('02x_Accelerator_Catalog'!$C$2:$C$11,MATCH(E95,'02x_Accelerator_Catalog'!$B$2:$B$11,0)),"purpose_or_unbenchmarked")</f>
        <v/>
      </c>
      <c r="G95" s="8">
        <f>IFERROR(INDEX('02x_Accelerator_Catalog'!$D$2:$D$11,MATCH(E95,'02x_Accelerator_Catalog'!$B$2:$B$11,0)),"")</f>
        <v/>
      </c>
      <c r="H95" s="17" t="n">
        <v>1</v>
      </c>
      <c r="I95" s="6">
        <f>SUMIFS($H$2:$H$573,$B$2:$B$573,B95,$C$2:$C$573,C95,$D$2:$D$573,D95)</f>
        <v/>
      </c>
      <c r="J95" s="3" t="inlineStr">
        <is>
          <t>epoch_csp_chip_quantity_latest</t>
        </is>
      </c>
      <c r="K95" s="3" t="inlineStr">
        <is>
          <t>SRC_EPOCH_AI_DATA_CENTERS; EPOCH_RAW_CHIP_QUANTITIES</t>
        </is>
      </c>
      <c r="L95" s="3" t="inlineStr">
        <is>
          <t>Latest chip quantity per CSP/data-center/accelerator through year-end; normalized by unit count. Shares are editable.</t>
        </is>
      </c>
    </row>
    <row r="96">
      <c r="A96" s="5">
        <f>B96&amp;"|"&amp;C96&amp;"|"&amp;D96&amp;"|"&amp;E96</f>
        <v/>
      </c>
      <c r="B96" s="3" t="inlineStr">
        <is>
          <t>Bull</t>
        </is>
      </c>
      <c r="C96" s="3" t="inlineStr">
        <is>
          <t>Fluidstack</t>
        </is>
      </c>
      <c r="D96" s="3" t="n">
        <v>2029</v>
      </c>
      <c r="E96" s="25" t="inlineStr">
        <is>
          <t>TPU</t>
        </is>
      </c>
      <c r="F96" s="5">
        <f>IFERROR(INDEX('02x_Accelerator_Catalog'!$C$2:$C$11,MATCH(E96,'02x_Accelerator_Catalog'!$B$2:$B$11,0)),"purpose_or_unbenchmarked")</f>
        <v/>
      </c>
      <c r="G96" s="8">
        <f>IFERROR(INDEX('02x_Accelerator_Catalog'!$D$2:$D$11,MATCH(E96,'02x_Accelerator_Catalog'!$B$2:$B$11,0)),"")</f>
        <v/>
      </c>
      <c r="H96" s="17" t="n">
        <v>1</v>
      </c>
      <c r="I96" s="6">
        <f>SUMIFS($H$2:$H$573,$B$2:$B$573,B96,$C$2:$C$573,C96,$D$2:$D$573,D96)</f>
        <v/>
      </c>
      <c r="J96" s="3" t="inlineStr">
        <is>
          <t>epoch_csp_chip_quantity_latest</t>
        </is>
      </c>
      <c r="K96" s="3" t="inlineStr">
        <is>
          <t>SRC_EPOCH_AI_DATA_CENTERS; EPOCH_RAW_CHIP_QUANTITIES</t>
        </is>
      </c>
      <c r="L96" s="3" t="inlineStr">
        <is>
          <t>Latest chip quantity per CSP/data-center/accelerator through year-end; normalized by unit count. Shares are editable.</t>
        </is>
      </c>
    </row>
    <row r="97">
      <c r="A97" s="5">
        <f>B97&amp;"|"&amp;C97&amp;"|"&amp;D97&amp;"|"&amp;E97</f>
        <v/>
      </c>
      <c r="B97" s="3" t="inlineStr">
        <is>
          <t>Grid-Constrained / Efficiency-Upside</t>
        </is>
      </c>
      <c r="C97" s="3" t="inlineStr">
        <is>
          <t>Fluidstack</t>
        </is>
      </c>
      <c r="D97" s="3" t="n">
        <v>2029</v>
      </c>
      <c r="E97" s="25" t="inlineStr">
        <is>
          <t>TPU</t>
        </is>
      </c>
      <c r="F97" s="5">
        <f>IFERROR(INDEX('02x_Accelerator_Catalog'!$C$2:$C$11,MATCH(E97,'02x_Accelerator_Catalog'!$B$2:$B$11,0)),"purpose_or_unbenchmarked")</f>
        <v/>
      </c>
      <c r="G97" s="8">
        <f>IFERROR(INDEX('02x_Accelerator_Catalog'!$D$2:$D$11,MATCH(E97,'02x_Accelerator_Catalog'!$B$2:$B$11,0)),"")</f>
        <v/>
      </c>
      <c r="H97" s="17" t="n">
        <v>1</v>
      </c>
      <c r="I97" s="6">
        <f>SUMIFS($H$2:$H$573,$B$2:$B$573,B97,$C$2:$C$573,C97,$D$2:$D$573,D97)</f>
        <v/>
      </c>
      <c r="J97" s="3" t="inlineStr">
        <is>
          <t>epoch_csp_chip_quantity_latest</t>
        </is>
      </c>
      <c r="K97" s="3" t="inlineStr">
        <is>
          <t>SRC_EPOCH_AI_DATA_CENTERS; EPOCH_RAW_CHIP_QUANTITIES</t>
        </is>
      </c>
      <c r="L97" s="3" t="inlineStr">
        <is>
          <t>Latest chip quantity per CSP/data-center/accelerator through year-end; normalized by unit count. Shares are editable.</t>
        </is>
      </c>
    </row>
    <row r="98">
      <c r="A98" s="5">
        <f>B98&amp;"|"&amp;C98&amp;"|"&amp;D98&amp;"|"&amp;E98</f>
        <v/>
      </c>
      <c r="B98" s="3" t="inlineStr">
        <is>
          <t>Bear</t>
        </is>
      </c>
      <c r="C98" s="3" t="inlineStr">
        <is>
          <t>Fluidstack</t>
        </is>
      </c>
      <c r="D98" s="3" t="n">
        <v>2030</v>
      </c>
      <c r="E98" s="25" t="inlineStr">
        <is>
          <t>TPU</t>
        </is>
      </c>
      <c r="F98" s="5">
        <f>IFERROR(INDEX('02x_Accelerator_Catalog'!$C$2:$C$11,MATCH(E98,'02x_Accelerator_Catalog'!$B$2:$B$11,0)),"purpose_or_unbenchmarked")</f>
        <v/>
      </c>
      <c r="G98" s="8">
        <f>IFERROR(INDEX('02x_Accelerator_Catalog'!$D$2:$D$11,MATCH(E98,'02x_Accelerator_Catalog'!$B$2:$B$11,0)),"")</f>
        <v/>
      </c>
      <c r="H98" s="17" t="n">
        <v>1</v>
      </c>
      <c r="I98" s="6">
        <f>SUMIFS($H$2:$H$573,$B$2:$B$573,B98,$C$2:$C$573,C98,$D$2:$D$573,D98)</f>
        <v/>
      </c>
      <c r="J98" s="3" t="inlineStr">
        <is>
          <t>epoch_csp_chip_quantity_latest</t>
        </is>
      </c>
      <c r="K98" s="3" t="inlineStr">
        <is>
          <t>SRC_EPOCH_AI_DATA_CENTERS; EPOCH_RAW_CHIP_QUANTITIES</t>
        </is>
      </c>
      <c r="L98" s="3" t="inlineStr">
        <is>
          <t>Latest chip quantity per CSP/data-center/accelerator through year-end; normalized by unit count. Shares are editable.</t>
        </is>
      </c>
    </row>
    <row r="99">
      <c r="A99" s="5">
        <f>B99&amp;"|"&amp;C99&amp;"|"&amp;D99&amp;"|"&amp;E99</f>
        <v/>
      </c>
      <c r="B99" s="3" t="inlineStr">
        <is>
          <t>Base</t>
        </is>
      </c>
      <c r="C99" s="3" t="inlineStr">
        <is>
          <t>Fluidstack</t>
        </is>
      </c>
      <c r="D99" s="3" t="n">
        <v>2030</v>
      </c>
      <c r="E99" s="25" t="inlineStr">
        <is>
          <t>TPU</t>
        </is>
      </c>
      <c r="F99" s="5">
        <f>IFERROR(INDEX('02x_Accelerator_Catalog'!$C$2:$C$11,MATCH(E99,'02x_Accelerator_Catalog'!$B$2:$B$11,0)),"purpose_or_unbenchmarked")</f>
        <v/>
      </c>
      <c r="G99" s="8">
        <f>IFERROR(INDEX('02x_Accelerator_Catalog'!$D$2:$D$11,MATCH(E99,'02x_Accelerator_Catalog'!$B$2:$B$11,0)),"")</f>
        <v/>
      </c>
      <c r="H99" s="17" t="n">
        <v>1</v>
      </c>
      <c r="I99" s="6">
        <f>SUMIFS($H$2:$H$573,$B$2:$B$573,B99,$C$2:$C$573,C99,$D$2:$D$573,D99)</f>
        <v/>
      </c>
      <c r="J99" s="3" t="inlineStr">
        <is>
          <t>epoch_csp_chip_quantity_latest</t>
        </is>
      </c>
      <c r="K99" s="3" t="inlineStr">
        <is>
          <t>SRC_EPOCH_AI_DATA_CENTERS; EPOCH_RAW_CHIP_QUANTITIES</t>
        </is>
      </c>
      <c r="L99" s="3" t="inlineStr">
        <is>
          <t>Latest chip quantity per CSP/data-center/accelerator through year-end; normalized by unit count. Shares are editable.</t>
        </is>
      </c>
    </row>
    <row r="100">
      <c r="A100" s="5">
        <f>B100&amp;"|"&amp;C100&amp;"|"&amp;D100&amp;"|"&amp;E100</f>
        <v/>
      </c>
      <c r="B100" s="3" t="inlineStr">
        <is>
          <t>Bull</t>
        </is>
      </c>
      <c r="C100" s="3" t="inlineStr">
        <is>
          <t>Fluidstack</t>
        </is>
      </c>
      <c r="D100" s="3" t="n">
        <v>2030</v>
      </c>
      <c r="E100" s="25" t="inlineStr">
        <is>
          <t>TPU</t>
        </is>
      </c>
      <c r="F100" s="5">
        <f>IFERROR(INDEX('02x_Accelerator_Catalog'!$C$2:$C$11,MATCH(E100,'02x_Accelerator_Catalog'!$B$2:$B$11,0)),"purpose_or_unbenchmarked")</f>
        <v/>
      </c>
      <c r="G100" s="8">
        <f>IFERROR(INDEX('02x_Accelerator_Catalog'!$D$2:$D$11,MATCH(E100,'02x_Accelerator_Catalog'!$B$2:$B$11,0)),"")</f>
        <v/>
      </c>
      <c r="H100" s="17" t="n">
        <v>1</v>
      </c>
      <c r="I100" s="6">
        <f>SUMIFS($H$2:$H$573,$B$2:$B$573,B100,$C$2:$C$573,C100,$D$2:$D$573,D100)</f>
        <v/>
      </c>
      <c r="J100" s="3" t="inlineStr">
        <is>
          <t>epoch_csp_chip_quantity_latest</t>
        </is>
      </c>
      <c r="K100" s="3" t="inlineStr">
        <is>
          <t>SRC_EPOCH_AI_DATA_CENTERS; EPOCH_RAW_CHIP_QUANTITIES</t>
        </is>
      </c>
      <c r="L100" s="3" t="inlineStr">
        <is>
          <t>Latest chip quantity per CSP/data-center/accelerator through year-end; normalized by unit count. Shares are editable.</t>
        </is>
      </c>
    </row>
    <row r="101">
      <c r="A101" s="5">
        <f>B101&amp;"|"&amp;C101&amp;"|"&amp;D101&amp;"|"&amp;E101</f>
        <v/>
      </c>
      <c r="B101" s="3" t="inlineStr">
        <is>
          <t>Grid-Constrained / Efficiency-Upside</t>
        </is>
      </c>
      <c r="C101" s="3" t="inlineStr">
        <is>
          <t>Fluidstack</t>
        </is>
      </c>
      <c r="D101" s="3" t="n">
        <v>2030</v>
      </c>
      <c r="E101" s="25" t="inlineStr">
        <is>
          <t>TPU</t>
        </is>
      </c>
      <c r="F101" s="5">
        <f>IFERROR(INDEX('02x_Accelerator_Catalog'!$C$2:$C$11,MATCH(E101,'02x_Accelerator_Catalog'!$B$2:$B$11,0)),"purpose_or_unbenchmarked")</f>
        <v/>
      </c>
      <c r="G101" s="8">
        <f>IFERROR(INDEX('02x_Accelerator_Catalog'!$D$2:$D$11,MATCH(E101,'02x_Accelerator_Catalog'!$B$2:$B$11,0)),"")</f>
        <v/>
      </c>
      <c r="H101" s="17" t="n">
        <v>1</v>
      </c>
      <c r="I101" s="6">
        <f>SUMIFS($H$2:$H$573,$B$2:$B$573,B101,$C$2:$C$573,C101,$D$2:$D$573,D101)</f>
        <v/>
      </c>
      <c r="J101" s="3" t="inlineStr">
        <is>
          <t>epoch_csp_chip_quantity_latest</t>
        </is>
      </c>
      <c r="K101" s="3" t="inlineStr">
        <is>
          <t>SRC_EPOCH_AI_DATA_CENTERS; EPOCH_RAW_CHIP_QUANTITIES</t>
        </is>
      </c>
      <c r="L101" s="3" t="inlineStr">
        <is>
          <t>Latest chip quantity per CSP/data-center/accelerator through year-end; normalized by unit count. Shares are editable.</t>
        </is>
      </c>
    </row>
    <row r="102">
      <c r="A102" s="5">
        <f>B102&amp;"|"&amp;C102&amp;"|"&amp;D102&amp;"|"&amp;E102</f>
        <v/>
      </c>
      <c r="B102" s="3" t="inlineStr">
        <is>
          <t>Bear</t>
        </is>
      </c>
      <c r="C102" s="3" t="inlineStr">
        <is>
          <t>SpaceXAI</t>
        </is>
      </c>
      <c r="D102" s="3" t="n">
        <v>2026</v>
      </c>
      <c r="E102" s="25" t="inlineStr">
        <is>
          <t>B200/B300 class</t>
        </is>
      </c>
      <c r="F102" s="5">
        <f>IFERROR(INDEX('02x_Accelerator_Catalog'!$C$2:$C$11,MATCH(E102,'02x_Accelerator_Catalog'!$B$2:$B$11,0)),"purpose_or_unbenchmarked")</f>
        <v/>
      </c>
      <c r="G102" s="8">
        <f>IFERROR(INDEX('02x_Accelerator_Catalog'!$D$2:$D$11,MATCH(E102,'02x_Accelerator_Catalog'!$B$2:$B$11,0)),"")</f>
        <v/>
      </c>
      <c r="H102" s="17" t="n">
        <v>0.70588235</v>
      </c>
      <c r="I102" s="6">
        <f>SUMIFS($H$2:$H$573,$B$2:$B$573,B102,$C$2:$C$573,C102,$D$2:$D$573,D102)</f>
        <v/>
      </c>
      <c r="J102" s="3" t="inlineStr">
        <is>
          <t>epoch_csp_chip_quantity_latest</t>
        </is>
      </c>
      <c r="K102" s="3" t="inlineStr">
        <is>
          <t>SRC_EPOCH_AI_DATA_CENTERS; EPOCH_RAW_CHIP_QUANTITIES</t>
        </is>
      </c>
      <c r="L102" s="3" t="inlineStr">
        <is>
          <t>Latest chip quantity per CSP/data-center/accelerator through year-end; normalized by unit count. Shares are editable.</t>
        </is>
      </c>
    </row>
    <row r="103">
      <c r="A103" s="5">
        <f>B103&amp;"|"&amp;C103&amp;"|"&amp;D103&amp;"|"&amp;E103</f>
        <v/>
      </c>
      <c r="B103" s="3" t="inlineStr">
        <is>
          <t>Bear</t>
        </is>
      </c>
      <c r="C103" s="3" t="inlineStr">
        <is>
          <t>SpaceXAI</t>
        </is>
      </c>
      <c r="D103" s="3" t="n">
        <v>2026</v>
      </c>
      <c r="E103" s="25" t="inlineStr">
        <is>
          <t>H100/H200/A100 class</t>
        </is>
      </c>
      <c r="F103" s="5">
        <f>IFERROR(INDEX('02x_Accelerator_Catalog'!$C$2:$C$11,MATCH(E103,'02x_Accelerator_Catalog'!$B$2:$B$11,0)),"purpose_or_unbenchmarked")</f>
        <v/>
      </c>
      <c r="G103" s="8">
        <f>IFERROR(INDEX('02x_Accelerator_Catalog'!$D$2:$D$11,MATCH(E103,'02x_Accelerator_Catalog'!$B$2:$B$11,0)),"")</f>
        <v/>
      </c>
      <c r="H103" s="17" t="n">
        <v>0.29411765</v>
      </c>
      <c r="I103" s="6">
        <f>SUMIFS($H$2:$H$573,$B$2:$B$573,B103,$C$2:$C$573,C103,$D$2:$D$573,D103)</f>
        <v/>
      </c>
      <c r="J103" s="3" t="inlineStr">
        <is>
          <t>epoch_csp_chip_quantity_latest</t>
        </is>
      </c>
      <c r="K103" s="3" t="inlineStr">
        <is>
          <t>SRC_EPOCH_AI_DATA_CENTERS; EPOCH_RAW_CHIP_QUANTITIES</t>
        </is>
      </c>
      <c r="L103" s="3" t="inlineStr">
        <is>
          <t>Latest chip quantity per CSP/data-center/accelerator through year-end; normalized by unit count. Shares are editable.</t>
        </is>
      </c>
    </row>
    <row r="104">
      <c r="A104" s="5">
        <f>B104&amp;"|"&amp;C104&amp;"|"&amp;D104&amp;"|"&amp;E104</f>
        <v/>
      </c>
      <c r="B104" s="3" t="inlineStr">
        <is>
          <t>Base</t>
        </is>
      </c>
      <c r="C104" s="3" t="inlineStr">
        <is>
          <t>SpaceXAI</t>
        </is>
      </c>
      <c r="D104" s="3" t="n">
        <v>2026</v>
      </c>
      <c r="E104" s="25" t="inlineStr">
        <is>
          <t>B200/B300 class</t>
        </is>
      </c>
      <c r="F104" s="5">
        <f>IFERROR(INDEX('02x_Accelerator_Catalog'!$C$2:$C$11,MATCH(E104,'02x_Accelerator_Catalog'!$B$2:$B$11,0)),"purpose_or_unbenchmarked")</f>
        <v/>
      </c>
      <c r="G104" s="8">
        <f>IFERROR(INDEX('02x_Accelerator_Catalog'!$D$2:$D$11,MATCH(E104,'02x_Accelerator_Catalog'!$B$2:$B$11,0)),"")</f>
        <v/>
      </c>
      <c r="H104" s="17" t="n">
        <v>0.70588235</v>
      </c>
      <c r="I104" s="6">
        <f>SUMIFS($H$2:$H$573,$B$2:$B$573,B104,$C$2:$C$573,C104,$D$2:$D$573,D104)</f>
        <v/>
      </c>
      <c r="J104" s="3" t="inlineStr">
        <is>
          <t>epoch_csp_chip_quantity_latest</t>
        </is>
      </c>
      <c r="K104" s="3" t="inlineStr">
        <is>
          <t>SRC_EPOCH_AI_DATA_CENTERS; EPOCH_RAW_CHIP_QUANTITIES</t>
        </is>
      </c>
      <c r="L104" s="3" t="inlineStr">
        <is>
          <t>Latest chip quantity per CSP/data-center/accelerator through year-end; normalized by unit count. Shares are editable.</t>
        </is>
      </c>
    </row>
    <row r="105">
      <c r="A105" s="5">
        <f>B105&amp;"|"&amp;C105&amp;"|"&amp;D105&amp;"|"&amp;E105</f>
        <v/>
      </c>
      <c r="B105" s="3" t="inlineStr">
        <is>
          <t>Base</t>
        </is>
      </c>
      <c r="C105" s="3" t="inlineStr">
        <is>
          <t>SpaceXAI</t>
        </is>
      </c>
      <c r="D105" s="3" t="n">
        <v>2026</v>
      </c>
      <c r="E105" s="25" t="inlineStr">
        <is>
          <t>H100/H200/A100 class</t>
        </is>
      </c>
      <c r="F105" s="5">
        <f>IFERROR(INDEX('02x_Accelerator_Catalog'!$C$2:$C$11,MATCH(E105,'02x_Accelerator_Catalog'!$B$2:$B$11,0)),"purpose_or_unbenchmarked")</f>
        <v/>
      </c>
      <c r="G105" s="8">
        <f>IFERROR(INDEX('02x_Accelerator_Catalog'!$D$2:$D$11,MATCH(E105,'02x_Accelerator_Catalog'!$B$2:$B$11,0)),"")</f>
        <v/>
      </c>
      <c r="H105" s="17" t="n">
        <v>0.29411765</v>
      </c>
      <c r="I105" s="6">
        <f>SUMIFS($H$2:$H$573,$B$2:$B$573,B105,$C$2:$C$573,C105,$D$2:$D$573,D105)</f>
        <v/>
      </c>
      <c r="J105" s="3" t="inlineStr">
        <is>
          <t>epoch_csp_chip_quantity_latest</t>
        </is>
      </c>
      <c r="K105" s="3" t="inlineStr">
        <is>
          <t>SRC_EPOCH_AI_DATA_CENTERS; EPOCH_RAW_CHIP_QUANTITIES</t>
        </is>
      </c>
      <c r="L105" s="3" t="inlineStr">
        <is>
          <t>Latest chip quantity per CSP/data-center/accelerator through year-end; normalized by unit count. Shares are editable.</t>
        </is>
      </c>
    </row>
    <row r="106">
      <c r="A106" s="5">
        <f>B106&amp;"|"&amp;C106&amp;"|"&amp;D106&amp;"|"&amp;E106</f>
        <v/>
      </c>
      <c r="B106" s="3" t="inlineStr">
        <is>
          <t>Bull</t>
        </is>
      </c>
      <c r="C106" s="3" t="inlineStr">
        <is>
          <t>SpaceXAI</t>
        </is>
      </c>
      <c r="D106" s="3" t="n">
        <v>2026</v>
      </c>
      <c r="E106" s="25" t="inlineStr">
        <is>
          <t>B200/B300 class</t>
        </is>
      </c>
      <c r="F106" s="5">
        <f>IFERROR(INDEX('02x_Accelerator_Catalog'!$C$2:$C$11,MATCH(E106,'02x_Accelerator_Catalog'!$B$2:$B$11,0)),"purpose_or_unbenchmarked")</f>
        <v/>
      </c>
      <c r="G106" s="8">
        <f>IFERROR(INDEX('02x_Accelerator_Catalog'!$D$2:$D$11,MATCH(E106,'02x_Accelerator_Catalog'!$B$2:$B$11,0)),"")</f>
        <v/>
      </c>
      <c r="H106" s="17" t="n">
        <v>0.70588235</v>
      </c>
      <c r="I106" s="6">
        <f>SUMIFS($H$2:$H$573,$B$2:$B$573,B106,$C$2:$C$573,C106,$D$2:$D$573,D106)</f>
        <v/>
      </c>
      <c r="J106" s="3" t="inlineStr">
        <is>
          <t>epoch_csp_chip_quantity_latest</t>
        </is>
      </c>
      <c r="K106" s="3" t="inlineStr">
        <is>
          <t>SRC_EPOCH_AI_DATA_CENTERS; EPOCH_RAW_CHIP_QUANTITIES</t>
        </is>
      </c>
      <c r="L106" s="3" t="inlineStr">
        <is>
          <t>Latest chip quantity per CSP/data-center/accelerator through year-end; normalized by unit count. Shares are editable.</t>
        </is>
      </c>
    </row>
    <row r="107">
      <c r="A107" s="5">
        <f>B107&amp;"|"&amp;C107&amp;"|"&amp;D107&amp;"|"&amp;E107</f>
        <v/>
      </c>
      <c r="B107" s="3" t="inlineStr">
        <is>
          <t>Bull</t>
        </is>
      </c>
      <c r="C107" s="3" t="inlineStr">
        <is>
          <t>SpaceXAI</t>
        </is>
      </c>
      <c r="D107" s="3" t="n">
        <v>2026</v>
      </c>
      <c r="E107" s="25" t="inlineStr">
        <is>
          <t>H100/H200/A100 class</t>
        </is>
      </c>
      <c r="F107" s="5">
        <f>IFERROR(INDEX('02x_Accelerator_Catalog'!$C$2:$C$11,MATCH(E107,'02x_Accelerator_Catalog'!$B$2:$B$11,0)),"purpose_or_unbenchmarked")</f>
        <v/>
      </c>
      <c r="G107" s="8">
        <f>IFERROR(INDEX('02x_Accelerator_Catalog'!$D$2:$D$11,MATCH(E107,'02x_Accelerator_Catalog'!$B$2:$B$11,0)),"")</f>
        <v/>
      </c>
      <c r="H107" s="17" t="n">
        <v>0.29411765</v>
      </c>
      <c r="I107" s="6">
        <f>SUMIFS($H$2:$H$573,$B$2:$B$573,B107,$C$2:$C$573,C107,$D$2:$D$573,D107)</f>
        <v/>
      </c>
      <c r="J107" s="3" t="inlineStr">
        <is>
          <t>epoch_csp_chip_quantity_latest</t>
        </is>
      </c>
      <c r="K107" s="3" t="inlineStr">
        <is>
          <t>SRC_EPOCH_AI_DATA_CENTERS; EPOCH_RAW_CHIP_QUANTITIES</t>
        </is>
      </c>
      <c r="L107" s="3" t="inlineStr">
        <is>
          <t>Latest chip quantity per CSP/data-center/accelerator through year-end; normalized by unit count. Shares are editable.</t>
        </is>
      </c>
    </row>
    <row r="108">
      <c r="A108" s="5">
        <f>B108&amp;"|"&amp;C108&amp;"|"&amp;D108&amp;"|"&amp;E108</f>
        <v/>
      </c>
      <c r="B108" s="3" t="inlineStr">
        <is>
          <t>Grid-Constrained / Efficiency-Upside</t>
        </is>
      </c>
      <c r="C108" s="3" t="inlineStr">
        <is>
          <t>SpaceXAI</t>
        </is>
      </c>
      <c r="D108" s="3" t="n">
        <v>2026</v>
      </c>
      <c r="E108" s="25" t="inlineStr">
        <is>
          <t>B200/B300 class</t>
        </is>
      </c>
      <c r="F108" s="5">
        <f>IFERROR(INDEX('02x_Accelerator_Catalog'!$C$2:$C$11,MATCH(E108,'02x_Accelerator_Catalog'!$B$2:$B$11,0)),"purpose_or_unbenchmarked")</f>
        <v/>
      </c>
      <c r="G108" s="8">
        <f>IFERROR(INDEX('02x_Accelerator_Catalog'!$D$2:$D$11,MATCH(E108,'02x_Accelerator_Catalog'!$B$2:$B$11,0)),"")</f>
        <v/>
      </c>
      <c r="H108" s="17" t="n">
        <v>0.70588235</v>
      </c>
      <c r="I108" s="6">
        <f>SUMIFS($H$2:$H$573,$B$2:$B$573,B108,$C$2:$C$573,C108,$D$2:$D$573,D108)</f>
        <v/>
      </c>
      <c r="J108" s="3" t="inlineStr">
        <is>
          <t>epoch_csp_chip_quantity_latest</t>
        </is>
      </c>
      <c r="K108" s="3" t="inlineStr">
        <is>
          <t>SRC_EPOCH_AI_DATA_CENTERS; EPOCH_RAW_CHIP_QUANTITIES</t>
        </is>
      </c>
      <c r="L108" s="3" t="inlineStr">
        <is>
          <t>Latest chip quantity per CSP/data-center/accelerator through year-end; normalized by unit count. Shares are editable.</t>
        </is>
      </c>
    </row>
    <row r="109">
      <c r="A109" s="5">
        <f>B109&amp;"|"&amp;C109&amp;"|"&amp;D109&amp;"|"&amp;E109</f>
        <v/>
      </c>
      <c r="B109" s="3" t="inlineStr">
        <is>
          <t>Grid-Constrained / Efficiency-Upside</t>
        </is>
      </c>
      <c r="C109" s="3" t="inlineStr">
        <is>
          <t>SpaceXAI</t>
        </is>
      </c>
      <c r="D109" s="3" t="n">
        <v>2026</v>
      </c>
      <c r="E109" s="25" t="inlineStr">
        <is>
          <t>H100/H200/A100 class</t>
        </is>
      </c>
      <c r="F109" s="5">
        <f>IFERROR(INDEX('02x_Accelerator_Catalog'!$C$2:$C$11,MATCH(E109,'02x_Accelerator_Catalog'!$B$2:$B$11,0)),"purpose_or_unbenchmarked")</f>
        <v/>
      </c>
      <c r="G109" s="8">
        <f>IFERROR(INDEX('02x_Accelerator_Catalog'!$D$2:$D$11,MATCH(E109,'02x_Accelerator_Catalog'!$B$2:$B$11,0)),"")</f>
        <v/>
      </c>
      <c r="H109" s="17" t="n">
        <v>0.29411765</v>
      </c>
      <c r="I109" s="6">
        <f>SUMIFS($H$2:$H$573,$B$2:$B$573,B109,$C$2:$C$573,C109,$D$2:$D$573,D109)</f>
        <v/>
      </c>
      <c r="J109" s="3" t="inlineStr">
        <is>
          <t>epoch_csp_chip_quantity_latest</t>
        </is>
      </c>
      <c r="K109" s="3" t="inlineStr">
        <is>
          <t>SRC_EPOCH_AI_DATA_CENTERS; EPOCH_RAW_CHIP_QUANTITIES</t>
        </is>
      </c>
      <c r="L109" s="3" t="inlineStr">
        <is>
          <t>Latest chip quantity per CSP/data-center/accelerator through year-end; normalized by unit count. Shares are editable.</t>
        </is>
      </c>
    </row>
    <row r="110">
      <c r="A110" s="5">
        <f>B110&amp;"|"&amp;C110&amp;"|"&amp;D110&amp;"|"&amp;E110</f>
        <v/>
      </c>
      <c r="B110" s="3" t="inlineStr">
        <is>
          <t>Bear</t>
        </is>
      </c>
      <c r="C110" s="3" t="inlineStr">
        <is>
          <t>SpaceXAI</t>
        </is>
      </c>
      <c r="D110" s="3" t="n">
        <v>2027</v>
      </c>
      <c r="E110" s="25" t="inlineStr">
        <is>
          <t>B200/B300 class</t>
        </is>
      </c>
      <c r="F110" s="5">
        <f>IFERROR(INDEX('02x_Accelerator_Catalog'!$C$2:$C$11,MATCH(E110,'02x_Accelerator_Catalog'!$B$2:$B$11,0)),"purpose_or_unbenchmarked")</f>
        <v/>
      </c>
      <c r="G110" s="8">
        <f>IFERROR(INDEX('02x_Accelerator_Catalog'!$D$2:$D$11,MATCH(E110,'02x_Accelerator_Catalog'!$B$2:$B$11,0)),"")</f>
        <v/>
      </c>
      <c r="H110" s="17" t="n">
        <v>0.70588235</v>
      </c>
      <c r="I110" s="6">
        <f>SUMIFS($H$2:$H$573,$B$2:$B$573,B110,$C$2:$C$573,C110,$D$2:$D$573,D110)</f>
        <v/>
      </c>
      <c r="J110" s="3" t="inlineStr">
        <is>
          <t>epoch_csp_chip_quantity_latest</t>
        </is>
      </c>
      <c r="K110" s="3" t="inlineStr">
        <is>
          <t>SRC_EPOCH_AI_DATA_CENTERS; EPOCH_RAW_CHIP_QUANTITIES</t>
        </is>
      </c>
      <c r="L110" s="3" t="inlineStr">
        <is>
          <t>Latest chip quantity per CSP/data-center/accelerator through year-end; normalized by unit count. Shares are editable.</t>
        </is>
      </c>
    </row>
    <row r="111">
      <c r="A111" s="5">
        <f>B111&amp;"|"&amp;C111&amp;"|"&amp;D111&amp;"|"&amp;E111</f>
        <v/>
      </c>
      <c r="B111" s="3" t="inlineStr">
        <is>
          <t>Bear</t>
        </is>
      </c>
      <c r="C111" s="3" t="inlineStr">
        <is>
          <t>SpaceXAI</t>
        </is>
      </c>
      <c r="D111" s="3" t="n">
        <v>2027</v>
      </c>
      <c r="E111" s="25" t="inlineStr">
        <is>
          <t>H100/H200/A100 class</t>
        </is>
      </c>
      <c r="F111" s="5">
        <f>IFERROR(INDEX('02x_Accelerator_Catalog'!$C$2:$C$11,MATCH(E111,'02x_Accelerator_Catalog'!$B$2:$B$11,0)),"purpose_or_unbenchmarked")</f>
        <v/>
      </c>
      <c r="G111" s="8">
        <f>IFERROR(INDEX('02x_Accelerator_Catalog'!$D$2:$D$11,MATCH(E111,'02x_Accelerator_Catalog'!$B$2:$B$11,0)),"")</f>
        <v/>
      </c>
      <c r="H111" s="17" t="n">
        <v>0.29411765</v>
      </c>
      <c r="I111" s="6">
        <f>SUMIFS($H$2:$H$573,$B$2:$B$573,B111,$C$2:$C$573,C111,$D$2:$D$573,D111)</f>
        <v/>
      </c>
      <c r="J111" s="3" t="inlineStr">
        <is>
          <t>epoch_csp_chip_quantity_latest</t>
        </is>
      </c>
      <c r="K111" s="3" t="inlineStr">
        <is>
          <t>SRC_EPOCH_AI_DATA_CENTERS; EPOCH_RAW_CHIP_QUANTITIES</t>
        </is>
      </c>
      <c r="L111" s="3" t="inlineStr">
        <is>
          <t>Latest chip quantity per CSP/data-center/accelerator through year-end; normalized by unit count. Shares are editable.</t>
        </is>
      </c>
    </row>
    <row r="112">
      <c r="A112" s="5">
        <f>B112&amp;"|"&amp;C112&amp;"|"&amp;D112&amp;"|"&amp;E112</f>
        <v/>
      </c>
      <c r="B112" s="3" t="inlineStr">
        <is>
          <t>Base</t>
        </is>
      </c>
      <c r="C112" s="3" t="inlineStr">
        <is>
          <t>SpaceXAI</t>
        </is>
      </c>
      <c r="D112" s="3" t="n">
        <v>2027</v>
      </c>
      <c r="E112" s="25" t="inlineStr">
        <is>
          <t>B200/B300 class</t>
        </is>
      </c>
      <c r="F112" s="5">
        <f>IFERROR(INDEX('02x_Accelerator_Catalog'!$C$2:$C$11,MATCH(E112,'02x_Accelerator_Catalog'!$B$2:$B$11,0)),"purpose_or_unbenchmarked")</f>
        <v/>
      </c>
      <c r="G112" s="8">
        <f>IFERROR(INDEX('02x_Accelerator_Catalog'!$D$2:$D$11,MATCH(E112,'02x_Accelerator_Catalog'!$B$2:$B$11,0)),"")</f>
        <v/>
      </c>
      <c r="H112" s="17" t="n">
        <v>0.70588235</v>
      </c>
      <c r="I112" s="6">
        <f>SUMIFS($H$2:$H$573,$B$2:$B$573,B112,$C$2:$C$573,C112,$D$2:$D$573,D112)</f>
        <v/>
      </c>
      <c r="J112" s="3" t="inlineStr">
        <is>
          <t>epoch_csp_chip_quantity_latest</t>
        </is>
      </c>
      <c r="K112" s="3" t="inlineStr">
        <is>
          <t>SRC_EPOCH_AI_DATA_CENTERS; EPOCH_RAW_CHIP_QUANTITIES</t>
        </is>
      </c>
      <c r="L112" s="3" t="inlineStr">
        <is>
          <t>Latest chip quantity per CSP/data-center/accelerator through year-end; normalized by unit count. Shares are editable.</t>
        </is>
      </c>
    </row>
    <row r="113">
      <c r="A113" s="5">
        <f>B113&amp;"|"&amp;C113&amp;"|"&amp;D113&amp;"|"&amp;E113</f>
        <v/>
      </c>
      <c r="B113" s="3" t="inlineStr">
        <is>
          <t>Base</t>
        </is>
      </c>
      <c r="C113" s="3" t="inlineStr">
        <is>
          <t>SpaceXAI</t>
        </is>
      </c>
      <c r="D113" s="3" t="n">
        <v>2027</v>
      </c>
      <c r="E113" s="25" t="inlineStr">
        <is>
          <t>H100/H200/A100 class</t>
        </is>
      </c>
      <c r="F113" s="5">
        <f>IFERROR(INDEX('02x_Accelerator_Catalog'!$C$2:$C$11,MATCH(E113,'02x_Accelerator_Catalog'!$B$2:$B$11,0)),"purpose_or_unbenchmarked")</f>
        <v/>
      </c>
      <c r="G113" s="8">
        <f>IFERROR(INDEX('02x_Accelerator_Catalog'!$D$2:$D$11,MATCH(E113,'02x_Accelerator_Catalog'!$B$2:$B$11,0)),"")</f>
        <v/>
      </c>
      <c r="H113" s="17" t="n">
        <v>0.29411765</v>
      </c>
      <c r="I113" s="6">
        <f>SUMIFS($H$2:$H$573,$B$2:$B$573,B113,$C$2:$C$573,C113,$D$2:$D$573,D113)</f>
        <v/>
      </c>
      <c r="J113" s="3" t="inlineStr">
        <is>
          <t>epoch_csp_chip_quantity_latest</t>
        </is>
      </c>
      <c r="K113" s="3" t="inlineStr">
        <is>
          <t>SRC_EPOCH_AI_DATA_CENTERS; EPOCH_RAW_CHIP_QUANTITIES</t>
        </is>
      </c>
      <c r="L113" s="3" t="inlineStr">
        <is>
          <t>Latest chip quantity per CSP/data-center/accelerator through year-end; normalized by unit count. Shares are editable.</t>
        </is>
      </c>
    </row>
    <row r="114">
      <c r="A114" s="5">
        <f>B114&amp;"|"&amp;C114&amp;"|"&amp;D114&amp;"|"&amp;E114</f>
        <v/>
      </c>
      <c r="B114" s="3" t="inlineStr">
        <is>
          <t>Bull</t>
        </is>
      </c>
      <c r="C114" s="3" t="inlineStr">
        <is>
          <t>SpaceXAI</t>
        </is>
      </c>
      <c r="D114" s="3" t="n">
        <v>2027</v>
      </c>
      <c r="E114" s="25" t="inlineStr">
        <is>
          <t>B200/B300 class</t>
        </is>
      </c>
      <c r="F114" s="5">
        <f>IFERROR(INDEX('02x_Accelerator_Catalog'!$C$2:$C$11,MATCH(E114,'02x_Accelerator_Catalog'!$B$2:$B$11,0)),"purpose_or_unbenchmarked")</f>
        <v/>
      </c>
      <c r="G114" s="8">
        <f>IFERROR(INDEX('02x_Accelerator_Catalog'!$D$2:$D$11,MATCH(E114,'02x_Accelerator_Catalog'!$B$2:$B$11,0)),"")</f>
        <v/>
      </c>
      <c r="H114" s="17" t="n">
        <v>0.70588235</v>
      </c>
      <c r="I114" s="6">
        <f>SUMIFS($H$2:$H$573,$B$2:$B$573,B114,$C$2:$C$573,C114,$D$2:$D$573,D114)</f>
        <v/>
      </c>
      <c r="J114" s="3" t="inlineStr">
        <is>
          <t>epoch_csp_chip_quantity_latest</t>
        </is>
      </c>
      <c r="K114" s="3" t="inlineStr">
        <is>
          <t>SRC_EPOCH_AI_DATA_CENTERS; EPOCH_RAW_CHIP_QUANTITIES</t>
        </is>
      </c>
      <c r="L114" s="3" t="inlineStr">
        <is>
          <t>Latest chip quantity per CSP/data-center/accelerator through year-end; normalized by unit count. Shares are editable.</t>
        </is>
      </c>
    </row>
    <row r="115">
      <c r="A115" s="5">
        <f>B115&amp;"|"&amp;C115&amp;"|"&amp;D115&amp;"|"&amp;E115</f>
        <v/>
      </c>
      <c r="B115" s="3" t="inlineStr">
        <is>
          <t>Bull</t>
        </is>
      </c>
      <c r="C115" s="3" t="inlineStr">
        <is>
          <t>SpaceXAI</t>
        </is>
      </c>
      <c r="D115" s="3" t="n">
        <v>2027</v>
      </c>
      <c r="E115" s="25" t="inlineStr">
        <is>
          <t>H100/H200/A100 class</t>
        </is>
      </c>
      <c r="F115" s="5">
        <f>IFERROR(INDEX('02x_Accelerator_Catalog'!$C$2:$C$11,MATCH(E115,'02x_Accelerator_Catalog'!$B$2:$B$11,0)),"purpose_or_unbenchmarked")</f>
        <v/>
      </c>
      <c r="G115" s="8">
        <f>IFERROR(INDEX('02x_Accelerator_Catalog'!$D$2:$D$11,MATCH(E115,'02x_Accelerator_Catalog'!$B$2:$B$11,0)),"")</f>
        <v/>
      </c>
      <c r="H115" s="17" t="n">
        <v>0.29411765</v>
      </c>
      <c r="I115" s="6">
        <f>SUMIFS($H$2:$H$573,$B$2:$B$573,B115,$C$2:$C$573,C115,$D$2:$D$573,D115)</f>
        <v/>
      </c>
      <c r="J115" s="3" t="inlineStr">
        <is>
          <t>epoch_csp_chip_quantity_latest</t>
        </is>
      </c>
      <c r="K115" s="3" t="inlineStr">
        <is>
          <t>SRC_EPOCH_AI_DATA_CENTERS; EPOCH_RAW_CHIP_QUANTITIES</t>
        </is>
      </c>
      <c r="L115" s="3" t="inlineStr">
        <is>
          <t>Latest chip quantity per CSP/data-center/accelerator through year-end; normalized by unit count. Shares are editable.</t>
        </is>
      </c>
    </row>
    <row r="116">
      <c r="A116" s="5">
        <f>B116&amp;"|"&amp;C116&amp;"|"&amp;D116&amp;"|"&amp;E116</f>
        <v/>
      </c>
      <c r="B116" s="3" t="inlineStr">
        <is>
          <t>Grid-Constrained / Efficiency-Upside</t>
        </is>
      </c>
      <c r="C116" s="3" t="inlineStr">
        <is>
          <t>SpaceXAI</t>
        </is>
      </c>
      <c r="D116" s="3" t="n">
        <v>2027</v>
      </c>
      <c r="E116" s="25" t="inlineStr">
        <is>
          <t>B200/B300 class</t>
        </is>
      </c>
      <c r="F116" s="5">
        <f>IFERROR(INDEX('02x_Accelerator_Catalog'!$C$2:$C$11,MATCH(E116,'02x_Accelerator_Catalog'!$B$2:$B$11,0)),"purpose_or_unbenchmarked")</f>
        <v/>
      </c>
      <c r="G116" s="8">
        <f>IFERROR(INDEX('02x_Accelerator_Catalog'!$D$2:$D$11,MATCH(E116,'02x_Accelerator_Catalog'!$B$2:$B$11,0)),"")</f>
        <v/>
      </c>
      <c r="H116" s="17" t="n">
        <v>0.70588235</v>
      </c>
      <c r="I116" s="6">
        <f>SUMIFS($H$2:$H$573,$B$2:$B$573,B116,$C$2:$C$573,C116,$D$2:$D$573,D116)</f>
        <v/>
      </c>
      <c r="J116" s="3" t="inlineStr">
        <is>
          <t>epoch_csp_chip_quantity_latest</t>
        </is>
      </c>
      <c r="K116" s="3" t="inlineStr">
        <is>
          <t>SRC_EPOCH_AI_DATA_CENTERS; EPOCH_RAW_CHIP_QUANTITIES</t>
        </is>
      </c>
      <c r="L116" s="3" t="inlineStr">
        <is>
          <t>Latest chip quantity per CSP/data-center/accelerator through year-end; normalized by unit count. Shares are editable.</t>
        </is>
      </c>
    </row>
    <row r="117">
      <c r="A117" s="5">
        <f>B117&amp;"|"&amp;C117&amp;"|"&amp;D117&amp;"|"&amp;E117</f>
        <v/>
      </c>
      <c r="B117" s="3" t="inlineStr">
        <is>
          <t>Grid-Constrained / Efficiency-Upside</t>
        </is>
      </c>
      <c r="C117" s="3" t="inlineStr">
        <is>
          <t>SpaceXAI</t>
        </is>
      </c>
      <c r="D117" s="3" t="n">
        <v>2027</v>
      </c>
      <c r="E117" s="25" t="inlineStr">
        <is>
          <t>H100/H200/A100 class</t>
        </is>
      </c>
      <c r="F117" s="5">
        <f>IFERROR(INDEX('02x_Accelerator_Catalog'!$C$2:$C$11,MATCH(E117,'02x_Accelerator_Catalog'!$B$2:$B$11,0)),"purpose_or_unbenchmarked")</f>
        <v/>
      </c>
      <c r="G117" s="8">
        <f>IFERROR(INDEX('02x_Accelerator_Catalog'!$D$2:$D$11,MATCH(E117,'02x_Accelerator_Catalog'!$B$2:$B$11,0)),"")</f>
        <v/>
      </c>
      <c r="H117" s="17" t="n">
        <v>0.29411765</v>
      </c>
      <c r="I117" s="6">
        <f>SUMIFS($H$2:$H$573,$B$2:$B$573,B117,$C$2:$C$573,C117,$D$2:$D$573,D117)</f>
        <v/>
      </c>
      <c r="J117" s="3" t="inlineStr">
        <is>
          <t>epoch_csp_chip_quantity_latest</t>
        </is>
      </c>
      <c r="K117" s="3" t="inlineStr">
        <is>
          <t>SRC_EPOCH_AI_DATA_CENTERS; EPOCH_RAW_CHIP_QUANTITIES</t>
        </is>
      </c>
      <c r="L117" s="3" t="inlineStr">
        <is>
          <t>Latest chip quantity per CSP/data-center/accelerator through year-end; normalized by unit count. Shares are editable.</t>
        </is>
      </c>
    </row>
    <row r="118">
      <c r="A118" s="5">
        <f>B118&amp;"|"&amp;C118&amp;"|"&amp;D118&amp;"|"&amp;E118</f>
        <v/>
      </c>
      <c r="B118" s="3" t="inlineStr">
        <is>
          <t>Bear</t>
        </is>
      </c>
      <c r="C118" s="3" t="inlineStr">
        <is>
          <t>SpaceXAI</t>
        </is>
      </c>
      <c r="D118" s="3" t="n">
        <v>2028</v>
      </c>
      <c r="E118" s="25" t="inlineStr">
        <is>
          <t>B200/B300 class</t>
        </is>
      </c>
      <c r="F118" s="5">
        <f>IFERROR(INDEX('02x_Accelerator_Catalog'!$C$2:$C$11,MATCH(E118,'02x_Accelerator_Catalog'!$B$2:$B$11,0)),"purpose_or_unbenchmarked")</f>
        <v/>
      </c>
      <c r="G118" s="8">
        <f>IFERROR(INDEX('02x_Accelerator_Catalog'!$D$2:$D$11,MATCH(E118,'02x_Accelerator_Catalog'!$B$2:$B$11,0)),"")</f>
        <v/>
      </c>
      <c r="H118" s="17" t="n">
        <v>0.70588235</v>
      </c>
      <c r="I118" s="6">
        <f>SUMIFS($H$2:$H$573,$B$2:$B$573,B118,$C$2:$C$573,C118,$D$2:$D$573,D118)</f>
        <v/>
      </c>
      <c r="J118" s="3" t="inlineStr">
        <is>
          <t>epoch_csp_chip_quantity_latest</t>
        </is>
      </c>
      <c r="K118" s="3" t="inlineStr">
        <is>
          <t>SRC_EPOCH_AI_DATA_CENTERS; EPOCH_RAW_CHIP_QUANTITIES</t>
        </is>
      </c>
      <c r="L118" s="3" t="inlineStr">
        <is>
          <t>Latest chip quantity per CSP/data-center/accelerator through year-end; normalized by unit count. Shares are editable.</t>
        </is>
      </c>
    </row>
    <row r="119">
      <c r="A119" s="5">
        <f>B119&amp;"|"&amp;C119&amp;"|"&amp;D119&amp;"|"&amp;E119</f>
        <v/>
      </c>
      <c r="B119" s="3" t="inlineStr">
        <is>
          <t>Bear</t>
        </is>
      </c>
      <c r="C119" s="3" t="inlineStr">
        <is>
          <t>SpaceXAI</t>
        </is>
      </c>
      <c r="D119" s="3" t="n">
        <v>2028</v>
      </c>
      <c r="E119" s="25" t="inlineStr">
        <is>
          <t>H100/H200/A100 class</t>
        </is>
      </c>
      <c r="F119" s="5">
        <f>IFERROR(INDEX('02x_Accelerator_Catalog'!$C$2:$C$11,MATCH(E119,'02x_Accelerator_Catalog'!$B$2:$B$11,0)),"purpose_or_unbenchmarked")</f>
        <v/>
      </c>
      <c r="G119" s="8">
        <f>IFERROR(INDEX('02x_Accelerator_Catalog'!$D$2:$D$11,MATCH(E119,'02x_Accelerator_Catalog'!$B$2:$B$11,0)),"")</f>
        <v/>
      </c>
      <c r="H119" s="17" t="n">
        <v>0.29411765</v>
      </c>
      <c r="I119" s="6">
        <f>SUMIFS($H$2:$H$573,$B$2:$B$573,B119,$C$2:$C$573,C119,$D$2:$D$573,D119)</f>
        <v/>
      </c>
      <c r="J119" s="3" t="inlineStr">
        <is>
          <t>epoch_csp_chip_quantity_latest</t>
        </is>
      </c>
      <c r="K119" s="3" t="inlineStr">
        <is>
          <t>SRC_EPOCH_AI_DATA_CENTERS; EPOCH_RAW_CHIP_QUANTITIES</t>
        </is>
      </c>
      <c r="L119" s="3" t="inlineStr">
        <is>
          <t>Latest chip quantity per CSP/data-center/accelerator through year-end; normalized by unit count. Shares are editable.</t>
        </is>
      </c>
    </row>
    <row r="120">
      <c r="A120" s="5">
        <f>B120&amp;"|"&amp;C120&amp;"|"&amp;D120&amp;"|"&amp;E120</f>
        <v/>
      </c>
      <c r="B120" s="3" t="inlineStr">
        <is>
          <t>Base</t>
        </is>
      </c>
      <c r="C120" s="3" t="inlineStr">
        <is>
          <t>SpaceXAI</t>
        </is>
      </c>
      <c r="D120" s="3" t="n">
        <v>2028</v>
      </c>
      <c r="E120" s="25" t="inlineStr">
        <is>
          <t>B200/B300 class</t>
        </is>
      </c>
      <c r="F120" s="5">
        <f>IFERROR(INDEX('02x_Accelerator_Catalog'!$C$2:$C$11,MATCH(E120,'02x_Accelerator_Catalog'!$B$2:$B$11,0)),"purpose_or_unbenchmarked")</f>
        <v/>
      </c>
      <c r="G120" s="8">
        <f>IFERROR(INDEX('02x_Accelerator_Catalog'!$D$2:$D$11,MATCH(E120,'02x_Accelerator_Catalog'!$B$2:$B$11,0)),"")</f>
        <v/>
      </c>
      <c r="H120" s="17" t="n">
        <v>0.70588235</v>
      </c>
      <c r="I120" s="6">
        <f>SUMIFS($H$2:$H$573,$B$2:$B$573,B120,$C$2:$C$573,C120,$D$2:$D$573,D120)</f>
        <v/>
      </c>
      <c r="J120" s="3" t="inlineStr">
        <is>
          <t>epoch_csp_chip_quantity_latest</t>
        </is>
      </c>
      <c r="K120" s="3" t="inlineStr">
        <is>
          <t>SRC_EPOCH_AI_DATA_CENTERS; EPOCH_RAW_CHIP_QUANTITIES</t>
        </is>
      </c>
      <c r="L120" s="3" t="inlineStr">
        <is>
          <t>Latest chip quantity per CSP/data-center/accelerator through year-end; normalized by unit count. Shares are editable.</t>
        </is>
      </c>
    </row>
    <row r="121">
      <c r="A121" s="5">
        <f>B121&amp;"|"&amp;C121&amp;"|"&amp;D121&amp;"|"&amp;E121</f>
        <v/>
      </c>
      <c r="B121" s="3" t="inlineStr">
        <is>
          <t>Base</t>
        </is>
      </c>
      <c r="C121" s="3" t="inlineStr">
        <is>
          <t>SpaceXAI</t>
        </is>
      </c>
      <c r="D121" s="3" t="n">
        <v>2028</v>
      </c>
      <c r="E121" s="25" t="inlineStr">
        <is>
          <t>H100/H200/A100 class</t>
        </is>
      </c>
      <c r="F121" s="5">
        <f>IFERROR(INDEX('02x_Accelerator_Catalog'!$C$2:$C$11,MATCH(E121,'02x_Accelerator_Catalog'!$B$2:$B$11,0)),"purpose_or_unbenchmarked")</f>
        <v/>
      </c>
      <c r="G121" s="8">
        <f>IFERROR(INDEX('02x_Accelerator_Catalog'!$D$2:$D$11,MATCH(E121,'02x_Accelerator_Catalog'!$B$2:$B$11,0)),"")</f>
        <v/>
      </c>
      <c r="H121" s="17" t="n">
        <v>0.29411765</v>
      </c>
      <c r="I121" s="6">
        <f>SUMIFS($H$2:$H$573,$B$2:$B$573,B121,$C$2:$C$573,C121,$D$2:$D$573,D121)</f>
        <v/>
      </c>
      <c r="J121" s="3" t="inlineStr">
        <is>
          <t>epoch_csp_chip_quantity_latest</t>
        </is>
      </c>
      <c r="K121" s="3" t="inlineStr">
        <is>
          <t>SRC_EPOCH_AI_DATA_CENTERS; EPOCH_RAW_CHIP_QUANTITIES</t>
        </is>
      </c>
      <c r="L121" s="3" t="inlineStr">
        <is>
          <t>Latest chip quantity per CSP/data-center/accelerator through year-end; normalized by unit count. Shares are editable.</t>
        </is>
      </c>
    </row>
    <row r="122">
      <c r="A122" s="5">
        <f>B122&amp;"|"&amp;C122&amp;"|"&amp;D122&amp;"|"&amp;E122</f>
        <v/>
      </c>
      <c r="B122" s="3" t="inlineStr">
        <is>
          <t>Bull</t>
        </is>
      </c>
      <c r="C122" s="3" t="inlineStr">
        <is>
          <t>SpaceXAI</t>
        </is>
      </c>
      <c r="D122" s="3" t="n">
        <v>2028</v>
      </c>
      <c r="E122" s="25" t="inlineStr">
        <is>
          <t>B200/B300 class</t>
        </is>
      </c>
      <c r="F122" s="5">
        <f>IFERROR(INDEX('02x_Accelerator_Catalog'!$C$2:$C$11,MATCH(E122,'02x_Accelerator_Catalog'!$B$2:$B$11,0)),"purpose_or_unbenchmarked")</f>
        <v/>
      </c>
      <c r="G122" s="8">
        <f>IFERROR(INDEX('02x_Accelerator_Catalog'!$D$2:$D$11,MATCH(E122,'02x_Accelerator_Catalog'!$B$2:$B$11,0)),"")</f>
        <v/>
      </c>
      <c r="H122" s="17" t="n">
        <v>0.70588235</v>
      </c>
      <c r="I122" s="6">
        <f>SUMIFS($H$2:$H$573,$B$2:$B$573,B122,$C$2:$C$573,C122,$D$2:$D$573,D122)</f>
        <v/>
      </c>
      <c r="J122" s="3" t="inlineStr">
        <is>
          <t>epoch_csp_chip_quantity_latest</t>
        </is>
      </c>
      <c r="K122" s="3" t="inlineStr">
        <is>
          <t>SRC_EPOCH_AI_DATA_CENTERS; EPOCH_RAW_CHIP_QUANTITIES</t>
        </is>
      </c>
      <c r="L122" s="3" t="inlineStr">
        <is>
          <t>Latest chip quantity per CSP/data-center/accelerator through year-end; normalized by unit count. Shares are editable.</t>
        </is>
      </c>
    </row>
    <row r="123">
      <c r="A123" s="5">
        <f>B123&amp;"|"&amp;C123&amp;"|"&amp;D123&amp;"|"&amp;E123</f>
        <v/>
      </c>
      <c r="B123" s="3" t="inlineStr">
        <is>
          <t>Bull</t>
        </is>
      </c>
      <c r="C123" s="3" t="inlineStr">
        <is>
          <t>SpaceXAI</t>
        </is>
      </c>
      <c r="D123" s="3" t="n">
        <v>2028</v>
      </c>
      <c r="E123" s="25" t="inlineStr">
        <is>
          <t>H100/H200/A100 class</t>
        </is>
      </c>
      <c r="F123" s="5">
        <f>IFERROR(INDEX('02x_Accelerator_Catalog'!$C$2:$C$11,MATCH(E123,'02x_Accelerator_Catalog'!$B$2:$B$11,0)),"purpose_or_unbenchmarked")</f>
        <v/>
      </c>
      <c r="G123" s="8">
        <f>IFERROR(INDEX('02x_Accelerator_Catalog'!$D$2:$D$11,MATCH(E123,'02x_Accelerator_Catalog'!$B$2:$B$11,0)),"")</f>
        <v/>
      </c>
      <c r="H123" s="17" t="n">
        <v>0.29411765</v>
      </c>
      <c r="I123" s="6">
        <f>SUMIFS($H$2:$H$573,$B$2:$B$573,B123,$C$2:$C$573,C123,$D$2:$D$573,D123)</f>
        <v/>
      </c>
      <c r="J123" s="3" t="inlineStr">
        <is>
          <t>epoch_csp_chip_quantity_latest</t>
        </is>
      </c>
      <c r="K123" s="3" t="inlineStr">
        <is>
          <t>SRC_EPOCH_AI_DATA_CENTERS; EPOCH_RAW_CHIP_QUANTITIES</t>
        </is>
      </c>
      <c r="L123" s="3" t="inlineStr">
        <is>
          <t>Latest chip quantity per CSP/data-center/accelerator through year-end; normalized by unit count. Shares are editable.</t>
        </is>
      </c>
    </row>
    <row r="124">
      <c r="A124" s="5">
        <f>B124&amp;"|"&amp;C124&amp;"|"&amp;D124&amp;"|"&amp;E124</f>
        <v/>
      </c>
      <c r="B124" s="3" t="inlineStr">
        <is>
          <t>Grid-Constrained / Efficiency-Upside</t>
        </is>
      </c>
      <c r="C124" s="3" t="inlineStr">
        <is>
          <t>SpaceXAI</t>
        </is>
      </c>
      <c r="D124" s="3" t="n">
        <v>2028</v>
      </c>
      <c r="E124" s="25" t="inlineStr">
        <is>
          <t>B200/B300 class</t>
        </is>
      </c>
      <c r="F124" s="5">
        <f>IFERROR(INDEX('02x_Accelerator_Catalog'!$C$2:$C$11,MATCH(E124,'02x_Accelerator_Catalog'!$B$2:$B$11,0)),"purpose_or_unbenchmarked")</f>
        <v/>
      </c>
      <c r="G124" s="8">
        <f>IFERROR(INDEX('02x_Accelerator_Catalog'!$D$2:$D$11,MATCH(E124,'02x_Accelerator_Catalog'!$B$2:$B$11,0)),"")</f>
        <v/>
      </c>
      <c r="H124" s="17" t="n">
        <v>0.70588235</v>
      </c>
      <c r="I124" s="6">
        <f>SUMIFS($H$2:$H$573,$B$2:$B$573,B124,$C$2:$C$573,C124,$D$2:$D$573,D124)</f>
        <v/>
      </c>
      <c r="J124" s="3" t="inlineStr">
        <is>
          <t>epoch_csp_chip_quantity_latest</t>
        </is>
      </c>
      <c r="K124" s="3" t="inlineStr">
        <is>
          <t>SRC_EPOCH_AI_DATA_CENTERS; EPOCH_RAW_CHIP_QUANTITIES</t>
        </is>
      </c>
      <c r="L124" s="3" t="inlineStr">
        <is>
          <t>Latest chip quantity per CSP/data-center/accelerator through year-end; normalized by unit count. Shares are editable.</t>
        </is>
      </c>
    </row>
    <row r="125">
      <c r="A125" s="5">
        <f>B125&amp;"|"&amp;C125&amp;"|"&amp;D125&amp;"|"&amp;E125</f>
        <v/>
      </c>
      <c r="B125" s="3" t="inlineStr">
        <is>
          <t>Grid-Constrained / Efficiency-Upside</t>
        </is>
      </c>
      <c r="C125" s="3" t="inlineStr">
        <is>
          <t>SpaceXAI</t>
        </is>
      </c>
      <c r="D125" s="3" t="n">
        <v>2028</v>
      </c>
      <c r="E125" s="25" t="inlineStr">
        <is>
          <t>H100/H200/A100 class</t>
        </is>
      </c>
      <c r="F125" s="5">
        <f>IFERROR(INDEX('02x_Accelerator_Catalog'!$C$2:$C$11,MATCH(E125,'02x_Accelerator_Catalog'!$B$2:$B$11,0)),"purpose_or_unbenchmarked")</f>
        <v/>
      </c>
      <c r="G125" s="8">
        <f>IFERROR(INDEX('02x_Accelerator_Catalog'!$D$2:$D$11,MATCH(E125,'02x_Accelerator_Catalog'!$B$2:$B$11,0)),"")</f>
        <v/>
      </c>
      <c r="H125" s="17" t="n">
        <v>0.29411765</v>
      </c>
      <c r="I125" s="6">
        <f>SUMIFS($H$2:$H$573,$B$2:$B$573,B125,$C$2:$C$573,C125,$D$2:$D$573,D125)</f>
        <v/>
      </c>
      <c r="J125" s="3" t="inlineStr">
        <is>
          <t>epoch_csp_chip_quantity_latest</t>
        </is>
      </c>
      <c r="K125" s="3" t="inlineStr">
        <is>
          <t>SRC_EPOCH_AI_DATA_CENTERS; EPOCH_RAW_CHIP_QUANTITIES</t>
        </is>
      </c>
      <c r="L125" s="3" t="inlineStr">
        <is>
          <t>Latest chip quantity per CSP/data-center/accelerator through year-end; normalized by unit count. Shares are editable.</t>
        </is>
      </c>
    </row>
    <row r="126">
      <c r="A126" s="5">
        <f>B126&amp;"|"&amp;C126&amp;"|"&amp;D126&amp;"|"&amp;E126</f>
        <v/>
      </c>
      <c r="B126" s="3" t="inlineStr">
        <is>
          <t>Bear</t>
        </is>
      </c>
      <c r="C126" s="3" t="inlineStr">
        <is>
          <t>SpaceXAI</t>
        </is>
      </c>
      <c r="D126" s="3" t="n">
        <v>2029</v>
      </c>
      <c r="E126" s="25" t="inlineStr">
        <is>
          <t>B200/B300 class</t>
        </is>
      </c>
      <c r="F126" s="5">
        <f>IFERROR(INDEX('02x_Accelerator_Catalog'!$C$2:$C$11,MATCH(E126,'02x_Accelerator_Catalog'!$B$2:$B$11,0)),"purpose_or_unbenchmarked")</f>
        <v/>
      </c>
      <c r="G126" s="8">
        <f>IFERROR(INDEX('02x_Accelerator_Catalog'!$D$2:$D$11,MATCH(E126,'02x_Accelerator_Catalog'!$B$2:$B$11,0)),"")</f>
        <v/>
      </c>
      <c r="H126" s="17" t="n">
        <v>0.70588235</v>
      </c>
      <c r="I126" s="6">
        <f>SUMIFS($H$2:$H$573,$B$2:$B$573,B126,$C$2:$C$573,C126,$D$2:$D$573,D126)</f>
        <v/>
      </c>
      <c r="J126" s="3" t="inlineStr">
        <is>
          <t>epoch_csp_chip_quantity_latest</t>
        </is>
      </c>
      <c r="K126" s="3" t="inlineStr">
        <is>
          <t>SRC_EPOCH_AI_DATA_CENTERS; EPOCH_RAW_CHIP_QUANTITIES</t>
        </is>
      </c>
      <c r="L126" s="3" t="inlineStr">
        <is>
          <t>Latest chip quantity per CSP/data-center/accelerator through year-end; normalized by unit count. Shares are editable.</t>
        </is>
      </c>
    </row>
    <row r="127">
      <c r="A127" s="5">
        <f>B127&amp;"|"&amp;C127&amp;"|"&amp;D127&amp;"|"&amp;E127</f>
        <v/>
      </c>
      <c r="B127" s="3" t="inlineStr">
        <is>
          <t>Bear</t>
        </is>
      </c>
      <c r="C127" s="3" t="inlineStr">
        <is>
          <t>SpaceXAI</t>
        </is>
      </c>
      <c r="D127" s="3" t="n">
        <v>2029</v>
      </c>
      <c r="E127" s="25" t="inlineStr">
        <is>
          <t>H100/H200/A100 class</t>
        </is>
      </c>
      <c r="F127" s="5">
        <f>IFERROR(INDEX('02x_Accelerator_Catalog'!$C$2:$C$11,MATCH(E127,'02x_Accelerator_Catalog'!$B$2:$B$11,0)),"purpose_or_unbenchmarked")</f>
        <v/>
      </c>
      <c r="G127" s="8">
        <f>IFERROR(INDEX('02x_Accelerator_Catalog'!$D$2:$D$11,MATCH(E127,'02x_Accelerator_Catalog'!$B$2:$B$11,0)),"")</f>
        <v/>
      </c>
      <c r="H127" s="17" t="n">
        <v>0.29411765</v>
      </c>
      <c r="I127" s="6">
        <f>SUMIFS($H$2:$H$573,$B$2:$B$573,B127,$C$2:$C$573,C127,$D$2:$D$573,D127)</f>
        <v/>
      </c>
      <c r="J127" s="3" t="inlineStr">
        <is>
          <t>epoch_csp_chip_quantity_latest</t>
        </is>
      </c>
      <c r="K127" s="3" t="inlineStr">
        <is>
          <t>SRC_EPOCH_AI_DATA_CENTERS; EPOCH_RAW_CHIP_QUANTITIES</t>
        </is>
      </c>
      <c r="L127" s="3" t="inlineStr">
        <is>
          <t>Latest chip quantity per CSP/data-center/accelerator through year-end; normalized by unit count. Shares are editable.</t>
        </is>
      </c>
    </row>
    <row r="128">
      <c r="A128" s="5">
        <f>B128&amp;"|"&amp;C128&amp;"|"&amp;D128&amp;"|"&amp;E128</f>
        <v/>
      </c>
      <c r="B128" s="3" t="inlineStr">
        <is>
          <t>Base</t>
        </is>
      </c>
      <c r="C128" s="3" t="inlineStr">
        <is>
          <t>SpaceXAI</t>
        </is>
      </c>
      <c r="D128" s="3" t="n">
        <v>2029</v>
      </c>
      <c r="E128" s="25" t="inlineStr">
        <is>
          <t>B200/B300 class</t>
        </is>
      </c>
      <c r="F128" s="5">
        <f>IFERROR(INDEX('02x_Accelerator_Catalog'!$C$2:$C$11,MATCH(E128,'02x_Accelerator_Catalog'!$B$2:$B$11,0)),"purpose_or_unbenchmarked")</f>
        <v/>
      </c>
      <c r="G128" s="8">
        <f>IFERROR(INDEX('02x_Accelerator_Catalog'!$D$2:$D$11,MATCH(E128,'02x_Accelerator_Catalog'!$B$2:$B$11,0)),"")</f>
        <v/>
      </c>
      <c r="H128" s="17" t="n">
        <v>0.70588235</v>
      </c>
      <c r="I128" s="6">
        <f>SUMIFS($H$2:$H$573,$B$2:$B$573,B128,$C$2:$C$573,C128,$D$2:$D$573,D128)</f>
        <v/>
      </c>
      <c r="J128" s="3" t="inlineStr">
        <is>
          <t>epoch_csp_chip_quantity_latest</t>
        </is>
      </c>
      <c r="K128" s="3" t="inlineStr">
        <is>
          <t>SRC_EPOCH_AI_DATA_CENTERS; EPOCH_RAW_CHIP_QUANTITIES</t>
        </is>
      </c>
      <c r="L128" s="3" t="inlineStr">
        <is>
          <t>Latest chip quantity per CSP/data-center/accelerator through year-end; normalized by unit count. Shares are editable.</t>
        </is>
      </c>
    </row>
    <row r="129">
      <c r="A129" s="5">
        <f>B129&amp;"|"&amp;C129&amp;"|"&amp;D129&amp;"|"&amp;E129</f>
        <v/>
      </c>
      <c r="B129" s="3" t="inlineStr">
        <is>
          <t>Base</t>
        </is>
      </c>
      <c r="C129" s="3" t="inlineStr">
        <is>
          <t>SpaceXAI</t>
        </is>
      </c>
      <c r="D129" s="3" t="n">
        <v>2029</v>
      </c>
      <c r="E129" s="25" t="inlineStr">
        <is>
          <t>H100/H200/A100 class</t>
        </is>
      </c>
      <c r="F129" s="5">
        <f>IFERROR(INDEX('02x_Accelerator_Catalog'!$C$2:$C$11,MATCH(E129,'02x_Accelerator_Catalog'!$B$2:$B$11,0)),"purpose_or_unbenchmarked")</f>
        <v/>
      </c>
      <c r="G129" s="8">
        <f>IFERROR(INDEX('02x_Accelerator_Catalog'!$D$2:$D$11,MATCH(E129,'02x_Accelerator_Catalog'!$B$2:$B$11,0)),"")</f>
        <v/>
      </c>
      <c r="H129" s="17" t="n">
        <v>0.29411765</v>
      </c>
      <c r="I129" s="6">
        <f>SUMIFS($H$2:$H$573,$B$2:$B$573,B129,$C$2:$C$573,C129,$D$2:$D$573,D129)</f>
        <v/>
      </c>
      <c r="J129" s="3" t="inlineStr">
        <is>
          <t>epoch_csp_chip_quantity_latest</t>
        </is>
      </c>
      <c r="K129" s="3" t="inlineStr">
        <is>
          <t>SRC_EPOCH_AI_DATA_CENTERS; EPOCH_RAW_CHIP_QUANTITIES</t>
        </is>
      </c>
      <c r="L129" s="3" t="inlineStr">
        <is>
          <t>Latest chip quantity per CSP/data-center/accelerator through year-end; normalized by unit count. Shares are editable.</t>
        </is>
      </c>
    </row>
    <row r="130">
      <c r="A130" s="5">
        <f>B130&amp;"|"&amp;C130&amp;"|"&amp;D130&amp;"|"&amp;E130</f>
        <v/>
      </c>
      <c r="B130" s="3" t="inlineStr">
        <is>
          <t>Bull</t>
        </is>
      </c>
      <c r="C130" s="3" t="inlineStr">
        <is>
          <t>SpaceXAI</t>
        </is>
      </c>
      <c r="D130" s="3" t="n">
        <v>2029</v>
      </c>
      <c r="E130" s="25" t="inlineStr">
        <is>
          <t>B200/B300 class</t>
        </is>
      </c>
      <c r="F130" s="5">
        <f>IFERROR(INDEX('02x_Accelerator_Catalog'!$C$2:$C$11,MATCH(E130,'02x_Accelerator_Catalog'!$B$2:$B$11,0)),"purpose_or_unbenchmarked")</f>
        <v/>
      </c>
      <c r="G130" s="8">
        <f>IFERROR(INDEX('02x_Accelerator_Catalog'!$D$2:$D$11,MATCH(E130,'02x_Accelerator_Catalog'!$B$2:$B$11,0)),"")</f>
        <v/>
      </c>
      <c r="H130" s="17" t="n">
        <v>0.70588235</v>
      </c>
      <c r="I130" s="6">
        <f>SUMIFS($H$2:$H$573,$B$2:$B$573,B130,$C$2:$C$573,C130,$D$2:$D$573,D130)</f>
        <v/>
      </c>
      <c r="J130" s="3" t="inlineStr">
        <is>
          <t>epoch_csp_chip_quantity_latest</t>
        </is>
      </c>
      <c r="K130" s="3" t="inlineStr">
        <is>
          <t>SRC_EPOCH_AI_DATA_CENTERS; EPOCH_RAW_CHIP_QUANTITIES</t>
        </is>
      </c>
      <c r="L130" s="3" t="inlineStr">
        <is>
          <t>Latest chip quantity per CSP/data-center/accelerator through year-end; normalized by unit count. Shares are editable.</t>
        </is>
      </c>
    </row>
    <row r="131">
      <c r="A131" s="5">
        <f>B131&amp;"|"&amp;C131&amp;"|"&amp;D131&amp;"|"&amp;E131</f>
        <v/>
      </c>
      <c r="B131" s="3" t="inlineStr">
        <is>
          <t>Bull</t>
        </is>
      </c>
      <c r="C131" s="3" t="inlineStr">
        <is>
          <t>SpaceXAI</t>
        </is>
      </c>
      <c r="D131" s="3" t="n">
        <v>2029</v>
      </c>
      <c r="E131" s="25" t="inlineStr">
        <is>
          <t>H100/H200/A100 class</t>
        </is>
      </c>
      <c r="F131" s="5">
        <f>IFERROR(INDEX('02x_Accelerator_Catalog'!$C$2:$C$11,MATCH(E131,'02x_Accelerator_Catalog'!$B$2:$B$11,0)),"purpose_or_unbenchmarked")</f>
        <v/>
      </c>
      <c r="G131" s="8">
        <f>IFERROR(INDEX('02x_Accelerator_Catalog'!$D$2:$D$11,MATCH(E131,'02x_Accelerator_Catalog'!$B$2:$B$11,0)),"")</f>
        <v/>
      </c>
      <c r="H131" s="17" t="n">
        <v>0.29411765</v>
      </c>
      <c r="I131" s="6">
        <f>SUMIFS($H$2:$H$573,$B$2:$B$573,B131,$C$2:$C$573,C131,$D$2:$D$573,D131)</f>
        <v/>
      </c>
      <c r="J131" s="3" t="inlineStr">
        <is>
          <t>epoch_csp_chip_quantity_latest</t>
        </is>
      </c>
      <c r="K131" s="3" t="inlineStr">
        <is>
          <t>SRC_EPOCH_AI_DATA_CENTERS; EPOCH_RAW_CHIP_QUANTITIES</t>
        </is>
      </c>
      <c r="L131" s="3" t="inlineStr">
        <is>
          <t>Latest chip quantity per CSP/data-center/accelerator through year-end; normalized by unit count. Shares are editable.</t>
        </is>
      </c>
    </row>
    <row r="132">
      <c r="A132" s="5">
        <f>B132&amp;"|"&amp;C132&amp;"|"&amp;D132&amp;"|"&amp;E132</f>
        <v/>
      </c>
      <c r="B132" s="3" t="inlineStr">
        <is>
          <t>Grid-Constrained / Efficiency-Upside</t>
        </is>
      </c>
      <c r="C132" s="3" t="inlineStr">
        <is>
          <t>SpaceXAI</t>
        </is>
      </c>
      <c r="D132" s="3" t="n">
        <v>2029</v>
      </c>
      <c r="E132" s="25" t="inlineStr">
        <is>
          <t>B200/B300 class</t>
        </is>
      </c>
      <c r="F132" s="5">
        <f>IFERROR(INDEX('02x_Accelerator_Catalog'!$C$2:$C$11,MATCH(E132,'02x_Accelerator_Catalog'!$B$2:$B$11,0)),"purpose_or_unbenchmarked")</f>
        <v/>
      </c>
      <c r="G132" s="8">
        <f>IFERROR(INDEX('02x_Accelerator_Catalog'!$D$2:$D$11,MATCH(E132,'02x_Accelerator_Catalog'!$B$2:$B$11,0)),"")</f>
        <v/>
      </c>
      <c r="H132" s="17" t="n">
        <v>0.70588235</v>
      </c>
      <c r="I132" s="6">
        <f>SUMIFS($H$2:$H$573,$B$2:$B$573,B132,$C$2:$C$573,C132,$D$2:$D$573,D132)</f>
        <v/>
      </c>
      <c r="J132" s="3" t="inlineStr">
        <is>
          <t>epoch_csp_chip_quantity_latest</t>
        </is>
      </c>
      <c r="K132" s="3" t="inlineStr">
        <is>
          <t>SRC_EPOCH_AI_DATA_CENTERS; EPOCH_RAW_CHIP_QUANTITIES</t>
        </is>
      </c>
      <c r="L132" s="3" t="inlineStr">
        <is>
          <t>Latest chip quantity per CSP/data-center/accelerator through year-end; normalized by unit count. Shares are editable.</t>
        </is>
      </c>
    </row>
    <row r="133">
      <c r="A133" s="5">
        <f>B133&amp;"|"&amp;C133&amp;"|"&amp;D133&amp;"|"&amp;E133</f>
        <v/>
      </c>
      <c r="B133" s="3" t="inlineStr">
        <is>
          <t>Grid-Constrained / Efficiency-Upside</t>
        </is>
      </c>
      <c r="C133" s="3" t="inlineStr">
        <is>
          <t>SpaceXAI</t>
        </is>
      </c>
      <c r="D133" s="3" t="n">
        <v>2029</v>
      </c>
      <c r="E133" s="25" t="inlineStr">
        <is>
          <t>H100/H200/A100 class</t>
        </is>
      </c>
      <c r="F133" s="5">
        <f>IFERROR(INDEX('02x_Accelerator_Catalog'!$C$2:$C$11,MATCH(E133,'02x_Accelerator_Catalog'!$B$2:$B$11,0)),"purpose_or_unbenchmarked")</f>
        <v/>
      </c>
      <c r="G133" s="8">
        <f>IFERROR(INDEX('02x_Accelerator_Catalog'!$D$2:$D$11,MATCH(E133,'02x_Accelerator_Catalog'!$B$2:$B$11,0)),"")</f>
        <v/>
      </c>
      <c r="H133" s="17" t="n">
        <v>0.29411765</v>
      </c>
      <c r="I133" s="6">
        <f>SUMIFS($H$2:$H$573,$B$2:$B$573,B133,$C$2:$C$573,C133,$D$2:$D$573,D133)</f>
        <v/>
      </c>
      <c r="J133" s="3" t="inlineStr">
        <is>
          <t>epoch_csp_chip_quantity_latest</t>
        </is>
      </c>
      <c r="K133" s="3" t="inlineStr">
        <is>
          <t>SRC_EPOCH_AI_DATA_CENTERS; EPOCH_RAW_CHIP_QUANTITIES</t>
        </is>
      </c>
      <c r="L133" s="3" t="inlineStr">
        <is>
          <t>Latest chip quantity per CSP/data-center/accelerator through year-end; normalized by unit count. Shares are editable.</t>
        </is>
      </c>
    </row>
    <row r="134">
      <c r="A134" s="5">
        <f>B134&amp;"|"&amp;C134&amp;"|"&amp;D134&amp;"|"&amp;E134</f>
        <v/>
      </c>
      <c r="B134" s="3" t="inlineStr">
        <is>
          <t>Bear</t>
        </is>
      </c>
      <c r="C134" s="3" t="inlineStr">
        <is>
          <t>SpaceXAI</t>
        </is>
      </c>
      <c r="D134" s="3" t="n">
        <v>2030</v>
      </c>
      <c r="E134" s="25" t="inlineStr">
        <is>
          <t>B200/B300 class</t>
        </is>
      </c>
      <c r="F134" s="5">
        <f>IFERROR(INDEX('02x_Accelerator_Catalog'!$C$2:$C$11,MATCH(E134,'02x_Accelerator_Catalog'!$B$2:$B$11,0)),"purpose_or_unbenchmarked")</f>
        <v/>
      </c>
      <c r="G134" s="8">
        <f>IFERROR(INDEX('02x_Accelerator_Catalog'!$D$2:$D$11,MATCH(E134,'02x_Accelerator_Catalog'!$B$2:$B$11,0)),"")</f>
        <v/>
      </c>
      <c r="H134" s="17" t="n">
        <v>0.70588235</v>
      </c>
      <c r="I134" s="6">
        <f>SUMIFS($H$2:$H$573,$B$2:$B$573,B134,$C$2:$C$573,C134,$D$2:$D$573,D134)</f>
        <v/>
      </c>
      <c r="J134" s="3" t="inlineStr">
        <is>
          <t>epoch_csp_chip_quantity_latest</t>
        </is>
      </c>
      <c r="K134" s="3" t="inlineStr">
        <is>
          <t>SRC_EPOCH_AI_DATA_CENTERS; EPOCH_RAW_CHIP_QUANTITIES</t>
        </is>
      </c>
      <c r="L134" s="3" t="inlineStr">
        <is>
          <t>Latest chip quantity per CSP/data-center/accelerator through year-end; normalized by unit count. Shares are editable.</t>
        </is>
      </c>
    </row>
    <row r="135">
      <c r="A135" s="5">
        <f>B135&amp;"|"&amp;C135&amp;"|"&amp;D135&amp;"|"&amp;E135</f>
        <v/>
      </c>
      <c r="B135" s="3" t="inlineStr">
        <is>
          <t>Bear</t>
        </is>
      </c>
      <c r="C135" s="3" t="inlineStr">
        <is>
          <t>SpaceXAI</t>
        </is>
      </c>
      <c r="D135" s="3" t="n">
        <v>2030</v>
      </c>
      <c r="E135" s="25" t="inlineStr">
        <is>
          <t>H100/H200/A100 class</t>
        </is>
      </c>
      <c r="F135" s="5">
        <f>IFERROR(INDEX('02x_Accelerator_Catalog'!$C$2:$C$11,MATCH(E135,'02x_Accelerator_Catalog'!$B$2:$B$11,0)),"purpose_or_unbenchmarked")</f>
        <v/>
      </c>
      <c r="G135" s="8">
        <f>IFERROR(INDEX('02x_Accelerator_Catalog'!$D$2:$D$11,MATCH(E135,'02x_Accelerator_Catalog'!$B$2:$B$11,0)),"")</f>
        <v/>
      </c>
      <c r="H135" s="17" t="n">
        <v>0.29411765</v>
      </c>
      <c r="I135" s="6">
        <f>SUMIFS($H$2:$H$573,$B$2:$B$573,B135,$C$2:$C$573,C135,$D$2:$D$573,D135)</f>
        <v/>
      </c>
      <c r="J135" s="3" t="inlineStr">
        <is>
          <t>epoch_csp_chip_quantity_latest</t>
        </is>
      </c>
      <c r="K135" s="3" t="inlineStr">
        <is>
          <t>SRC_EPOCH_AI_DATA_CENTERS; EPOCH_RAW_CHIP_QUANTITIES</t>
        </is>
      </c>
      <c r="L135" s="3" t="inlineStr">
        <is>
          <t>Latest chip quantity per CSP/data-center/accelerator through year-end; normalized by unit count. Shares are editable.</t>
        </is>
      </c>
    </row>
    <row r="136">
      <c r="A136" s="5">
        <f>B136&amp;"|"&amp;C136&amp;"|"&amp;D136&amp;"|"&amp;E136</f>
        <v/>
      </c>
      <c r="B136" s="3" t="inlineStr">
        <is>
          <t>Base</t>
        </is>
      </c>
      <c r="C136" s="3" t="inlineStr">
        <is>
          <t>SpaceXAI</t>
        </is>
      </c>
      <c r="D136" s="3" t="n">
        <v>2030</v>
      </c>
      <c r="E136" s="25" t="inlineStr">
        <is>
          <t>B200/B300 class</t>
        </is>
      </c>
      <c r="F136" s="5">
        <f>IFERROR(INDEX('02x_Accelerator_Catalog'!$C$2:$C$11,MATCH(E136,'02x_Accelerator_Catalog'!$B$2:$B$11,0)),"purpose_or_unbenchmarked")</f>
        <v/>
      </c>
      <c r="G136" s="8">
        <f>IFERROR(INDEX('02x_Accelerator_Catalog'!$D$2:$D$11,MATCH(E136,'02x_Accelerator_Catalog'!$B$2:$B$11,0)),"")</f>
        <v/>
      </c>
      <c r="H136" s="17" t="n">
        <v>0.70588235</v>
      </c>
      <c r="I136" s="6">
        <f>SUMIFS($H$2:$H$573,$B$2:$B$573,B136,$C$2:$C$573,C136,$D$2:$D$573,D136)</f>
        <v/>
      </c>
      <c r="J136" s="3" t="inlineStr">
        <is>
          <t>epoch_csp_chip_quantity_latest</t>
        </is>
      </c>
      <c r="K136" s="3" t="inlineStr">
        <is>
          <t>SRC_EPOCH_AI_DATA_CENTERS; EPOCH_RAW_CHIP_QUANTITIES</t>
        </is>
      </c>
      <c r="L136" s="3" t="inlineStr">
        <is>
          <t>Latest chip quantity per CSP/data-center/accelerator through year-end; normalized by unit count. Shares are editable.</t>
        </is>
      </c>
    </row>
    <row r="137">
      <c r="A137" s="5">
        <f>B137&amp;"|"&amp;C137&amp;"|"&amp;D137&amp;"|"&amp;E137</f>
        <v/>
      </c>
      <c r="B137" s="3" t="inlineStr">
        <is>
          <t>Base</t>
        </is>
      </c>
      <c r="C137" s="3" t="inlineStr">
        <is>
          <t>SpaceXAI</t>
        </is>
      </c>
      <c r="D137" s="3" t="n">
        <v>2030</v>
      </c>
      <c r="E137" s="25" t="inlineStr">
        <is>
          <t>H100/H200/A100 class</t>
        </is>
      </c>
      <c r="F137" s="5">
        <f>IFERROR(INDEX('02x_Accelerator_Catalog'!$C$2:$C$11,MATCH(E137,'02x_Accelerator_Catalog'!$B$2:$B$11,0)),"purpose_or_unbenchmarked")</f>
        <v/>
      </c>
      <c r="G137" s="8">
        <f>IFERROR(INDEX('02x_Accelerator_Catalog'!$D$2:$D$11,MATCH(E137,'02x_Accelerator_Catalog'!$B$2:$B$11,0)),"")</f>
        <v/>
      </c>
      <c r="H137" s="17" t="n">
        <v>0.29411765</v>
      </c>
      <c r="I137" s="6">
        <f>SUMIFS($H$2:$H$573,$B$2:$B$573,B137,$C$2:$C$573,C137,$D$2:$D$573,D137)</f>
        <v/>
      </c>
      <c r="J137" s="3" t="inlineStr">
        <is>
          <t>epoch_csp_chip_quantity_latest</t>
        </is>
      </c>
      <c r="K137" s="3" t="inlineStr">
        <is>
          <t>SRC_EPOCH_AI_DATA_CENTERS; EPOCH_RAW_CHIP_QUANTITIES</t>
        </is>
      </c>
      <c r="L137" s="3" t="inlineStr">
        <is>
          <t>Latest chip quantity per CSP/data-center/accelerator through year-end; normalized by unit count. Shares are editable.</t>
        </is>
      </c>
    </row>
    <row r="138">
      <c r="A138" s="5">
        <f>B138&amp;"|"&amp;C138&amp;"|"&amp;D138&amp;"|"&amp;E138</f>
        <v/>
      </c>
      <c r="B138" s="3" t="inlineStr">
        <is>
          <t>Bull</t>
        </is>
      </c>
      <c r="C138" s="3" t="inlineStr">
        <is>
          <t>SpaceXAI</t>
        </is>
      </c>
      <c r="D138" s="3" t="n">
        <v>2030</v>
      </c>
      <c r="E138" s="25" t="inlineStr">
        <is>
          <t>B200/B300 class</t>
        </is>
      </c>
      <c r="F138" s="5">
        <f>IFERROR(INDEX('02x_Accelerator_Catalog'!$C$2:$C$11,MATCH(E138,'02x_Accelerator_Catalog'!$B$2:$B$11,0)),"purpose_or_unbenchmarked")</f>
        <v/>
      </c>
      <c r="G138" s="8">
        <f>IFERROR(INDEX('02x_Accelerator_Catalog'!$D$2:$D$11,MATCH(E138,'02x_Accelerator_Catalog'!$B$2:$B$11,0)),"")</f>
        <v/>
      </c>
      <c r="H138" s="17" t="n">
        <v>0.70588235</v>
      </c>
      <c r="I138" s="6">
        <f>SUMIFS($H$2:$H$573,$B$2:$B$573,B138,$C$2:$C$573,C138,$D$2:$D$573,D138)</f>
        <v/>
      </c>
      <c r="J138" s="3" t="inlineStr">
        <is>
          <t>epoch_csp_chip_quantity_latest</t>
        </is>
      </c>
      <c r="K138" s="3" t="inlineStr">
        <is>
          <t>SRC_EPOCH_AI_DATA_CENTERS; EPOCH_RAW_CHIP_QUANTITIES</t>
        </is>
      </c>
      <c r="L138" s="3" t="inlineStr">
        <is>
          <t>Latest chip quantity per CSP/data-center/accelerator through year-end; normalized by unit count. Shares are editable.</t>
        </is>
      </c>
    </row>
    <row r="139">
      <c r="A139" s="5">
        <f>B139&amp;"|"&amp;C139&amp;"|"&amp;D139&amp;"|"&amp;E139</f>
        <v/>
      </c>
      <c r="B139" s="3" t="inlineStr">
        <is>
          <t>Bull</t>
        </is>
      </c>
      <c r="C139" s="3" t="inlineStr">
        <is>
          <t>SpaceXAI</t>
        </is>
      </c>
      <c r="D139" s="3" t="n">
        <v>2030</v>
      </c>
      <c r="E139" s="25" t="inlineStr">
        <is>
          <t>H100/H200/A100 class</t>
        </is>
      </c>
      <c r="F139" s="5">
        <f>IFERROR(INDEX('02x_Accelerator_Catalog'!$C$2:$C$11,MATCH(E139,'02x_Accelerator_Catalog'!$B$2:$B$11,0)),"purpose_or_unbenchmarked")</f>
        <v/>
      </c>
      <c r="G139" s="8">
        <f>IFERROR(INDEX('02x_Accelerator_Catalog'!$D$2:$D$11,MATCH(E139,'02x_Accelerator_Catalog'!$B$2:$B$11,0)),"")</f>
        <v/>
      </c>
      <c r="H139" s="17" t="n">
        <v>0.29411765</v>
      </c>
      <c r="I139" s="6">
        <f>SUMIFS($H$2:$H$573,$B$2:$B$573,B139,$C$2:$C$573,C139,$D$2:$D$573,D139)</f>
        <v/>
      </c>
      <c r="J139" s="3" t="inlineStr">
        <is>
          <t>epoch_csp_chip_quantity_latest</t>
        </is>
      </c>
      <c r="K139" s="3" t="inlineStr">
        <is>
          <t>SRC_EPOCH_AI_DATA_CENTERS; EPOCH_RAW_CHIP_QUANTITIES</t>
        </is>
      </c>
      <c r="L139" s="3" t="inlineStr">
        <is>
          <t>Latest chip quantity per CSP/data-center/accelerator through year-end; normalized by unit count. Shares are editable.</t>
        </is>
      </c>
    </row>
    <row r="140">
      <c r="A140" s="5">
        <f>B140&amp;"|"&amp;C140&amp;"|"&amp;D140&amp;"|"&amp;E140</f>
        <v/>
      </c>
      <c r="B140" s="3" t="inlineStr">
        <is>
          <t>Grid-Constrained / Efficiency-Upside</t>
        </is>
      </c>
      <c r="C140" s="3" t="inlineStr">
        <is>
          <t>SpaceXAI</t>
        </is>
      </c>
      <c r="D140" s="3" t="n">
        <v>2030</v>
      </c>
      <c r="E140" s="25" t="inlineStr">
        <is>
          <t>B200/B300 class</t>
        </is>
      </c>
      <c r="F140" s="5">
        <f>IFERROR(INDEX('02x_Accelerator_Catalog'!$C$2:$C$11,MATCH(E140,'02x_Accelerator_Catalog'!$B$2:$B$11,0)),"purpose_or_unbenchmarked")</f>
        <v/>
      </c>
      <c r="G140" s="8">
        <f>IFERROR(INDEX('02x_Accelerator_Catalog'!$D$2:$D$11,MATCH(E140,'02x_Accelerator_Catalog'!$B$2:$B$11,0)),"")</f>
        <v/>
      </c>
      <c r="H140" s="17" t="n">
        <v>0.70588235</v>
      </c>
      <c r="I140" s="6">
        <f>SUMIFS($H$2:$H$573,$B$2:$B$573,B140,$C$2:$C$573,C140,$D$2:$D$573,D140)</f>
        <v/>
      </c>
      <c r="J140" s="3" t="inlineStr">
        <is>
          <t>epoch_csp_chip_quantity_latest</t>
        </is>
      </c>
      <c r="K140" s="3" t="inlineStr">
        <is>
          <t>SRC_EPOCH_AI_DATA_CENTERS; EPOCH_RAW_CHIP_QUANTITIES</t>
        </is>
      </c>
      <c r="L140" s="3" t="inlineStr">
        <is>
          <t>Latest chip quantity per CSP/data-center/accelerator through year-end; normalized by unit count. Shares are editable.</t>
        </is>
      </c>
    </row>
    <row r="141">
      <c r="A141" s="5">
        <f>B141&amp;"|"&amp;C141&amp;"|"&amp;D141&amp;"|"&amp;E141</f>
        <v/>
      </c>
      <c r="B141" s="3" t="inlineStr">
        <is>
          <t>Grid-Constrained / Efficiency-Upside</t>
        </is>
      </c>
      <c r="C141" s="3" t="inlineStr">
        <is>
          <t>SpaceXAI</t>
        </is>
      </c>
      <c r="D141" s="3" t="n">
        <v>2030</v>
      </c>
      <c r="E141" s="25" t="inlineStr">
        <is>
          <t>H100/H200/A100 class</t>
        </is>
      </c>
      <c r="F141" s="5">
        <f>IFERROR(INDEX('02x_Accelerator_Catalog'!$C$2:$C$11,MATCH(E141,'02x_Accelerator_Catalog'!$B$2:$B$11,0)),"purpose_or_unbenchmarked")</f>
        <v/>
      </c>
      <c r="G141" s="8">
        <f>IFERROR(INDEX('02x_Accelerator_Catalog'!$D$2:$D$11,MATCH(E141,'02x_Accelerator_Catalog'!$B$2:$B$11,0)),"")</f>
        <v/>
      </c>
      <c r="H141" s="17" t="n">
        <v>0.29411765</v>
      </c>
      <c r="I141" s="6">
        <f>SUMIFS($H$2:$H$573,$B$2:$B$573,B141,$C$2:$C$573,C141,$D$2:$D$573,D141)</f>
        <v/>
      </c>
      <c r="J141" s="3" t="inlineStr">
        <is>
          <t>epoch_csp_chip_quantity_latest</t>
        </is>
      </c>
      <c r="K141" s="3" t="inlineStr">
        <is>
          <t>SRC_EPOCH_AI_DATA_CENTERS; EPOCH_RAW_CHIP_QUANTITIES</t>
        </is>
      </c>
      <c r="L141" s="3" t="inlineStr">
        <is>
          <t>Latest chip quantity per CSP/data-center/accelerator through year-end; normalized by unit count. Shares are editable.</t>
        </is>
      </c>
    </row>
    <row r="142">
      <c r="A142" s="5">
        <f>B142&amp;"|"&amp;C142&amp;"|"&amp;D142&amp;"|"&amp;E142</f>
        <v/>
      </c>
      <c r="B142" s="3" t="inlineStr">
        <is>
          <t>Bear</t>
        </is>
      </c>
      <c r="C142" s="3" t="inlineStr">
        <is>
          <t>Google</t>
        </is>
      </c>
      <c r="D142" s="3" t="n">
        <v>2026</v>
      </c>
      <c r="E142" s="25" t="inlineStr">
        <is>
          <t>B200/B300 class</t>
        </is>
      </c>
      <c r="F142" s="5">
        <f>IFERROR(INDEX('02x_Accelerator_Catalog'!$C$2:$C$11,MATCH(E142,'02x_Accelerator_Catalog'!$B$2:$B$11,0)),"purpose_or_unbenchmarked")</f>
        <v/>
      </c>
      <c r="G142" s="8">
        <f>IFERROR(INDEX('02x_Accelerator_Catalog'!$D$2:$D$11,MATCH(E142,'02x_Accelerator_Catalog'!$B$2:$B$11,0)),"")</f>
        <v/>
      </c>
      <c r="H142" s="17" t="n">
        <v>0.05722254</v>
      </c>
      <c r="I142" s="6">
        <f>SUMIFS($H$2:$H$573,$B$2:$B$573,B142,$C$2:$C$573,C142,$D$2:$D$573,D142)</f>
        <v/>
      </c>
      <c r="J142" s="3" t="inlineStr">
        <is>
          <t>epoch_csp_chip_quantity_latest</t>
        </is>
      </c>
      <c r="K142" s="3" t="inlineStr">
        <is>
          <t>SRC_EPOCH_AI_DATA_CENTERS; EPOCH_RAW_CHIP_QUANTITIES</t>
        </is>
      </c>
      <c r="L142" s="3" t="inlineStr">
        <is>
          <t>Latest chip quantity per CSP/data-center/accelerator through year-end; normalized by unit count. Shares are editable.</t>
        </is>
      </c>
    </row>
    <row r="143">
      <c r="A143" s="5">
        <f>B143&amp;"|"&amp;C143&amp;"|"&amp;D143&amp;"|"&amp;E143</f>
        <v/>
      </c>
      <c r="B143" s="3" t="inlineStr">
        <is>
          <t>Bear</t>
        </is>
      </c>
      <c r="C143" s="3" t="inlineStr">
        <is>
          <t>Google</t>
        </is>
      </c>
      <c r="D143" s="3" t="n">
        <v>2026</v>
      </c>
      <c r="E143" s="25" t="inlineStr">
        <is>
          <t>TPU</t>
        </is>
      </c>
      <c r="F143" s="5">
        <f>IFERROR(INDEX('02x_Accelerator_Catalog'!$C$2:$C$11,MATCH(E143,'02x_Accelerator_Catalog'!$B$2:$B$11,0)),"purpose_or_unbenchmarked")</f>
        <v/>
      </c>
      <c r="G143" s="8">
        <f>IFERROR(INDEX('02x_Accelerator_Catalog'!$D$2:$D$11,MATCH(E143,'02x_Accelerator_Catalog'!$B$2:$B$11,0)),"")</f>
        <v/>
      </c>
      <c r="H143" s="17" t="n">
        <v>0.94277746</v>
      </c>
      <c r="I143" s="6">
        <f>SUMIFS($H$2:$H$573,$B$2:$B$573,B143,$C$2:$C$573,C143,$D$2:$D$573,D143)</f>
        <v/>
      </c>
      <c r="J143" s="3" t="inlineStr">
        <is>
          <t>epoch_csp_chip_quantity_latest</t>
        </is>
      </c>
      <c r="K143" s="3" t="inlineStr">
        <is>
          <t>SRC_EPOCH_AI_DATA_CENTERS; EPOCH_RAW_CHIP_QUANTITIES</t>
        </is>
      </c>
      <c r="L143" s="3" t="inlineStr">
        <is>
          <t>Latest chip quantity per CSP/data-center/accelerator through year-end; normalized by unit count. Shares are editable.</t>
        </is>
      </c>
    </row>
    <row r="144">
      <c r="A144" s="5">
        <f>B144&amp;"|"&amp;C144&amp;"|"&amp;D144&amp;"|"&amp;E144</f>
        <v/>
      </c>
      <c r="B144" s="3" t="inlineStr">
        <is>
          <t>Base</t>
        </is>
      </c>
      <c r="C144" s="3" t="inlineStr">
        <is>
          <t>Google</t>
        </is>
      </c>
      <c r="D144" s="3" t="n">
        <v>2026</v>
      </c>
      <c r="E144" s="25" t="inlineStr">
        <is>
          <t>B200/B300 class</t>
        </is>
      </c>
      <c r="F144" s="5">
        <f>IFERROR(INDEX('02x_Accelerator_Catalog'!$C$2:$C$11,MATCH(E144,'02x_Accelerator_Catalog'!$B$2:$B$11,0)),"purpose_or_unbenchmarked")</f>
        <v/>
      </c>
      <c r="G144" s="8">
        <f>IFERROR(INDEX('02x_Accelerator_Catalog'!$D$2:$D$11,MATCH(E144,'02x_Accelerator_Catalog'!$B$2:$B$11,0)),"")</f>
        <v/>
      </c>
      <c r="H144" s="17" t="n">
        <v>0.05722254</v>
      </c>
      <c r="I144" s="6">
        <f>SUMIFS($H$2:$H$573,$B$2:$B$573,B144,$C$2:$C$573,C144,$D$2:$D$573,D144)</f>
        <v/>
      </c>
      <c r="J144" s="3" t="inlineStr">
        <is>
          <t>epoch_csp_chip_quantity_latest</t>
        </is>
      </c>
      <c r="K144" s="3" t="inlineStr">
        <is>
          <t>SRC_EPOCH_AI_DATA_CENTERS; EPOCH_RAW_CHIP_QUANTITIES</t>
        </is>
      </c>
      <c r="L144" s="3" t="inlineStr">
        <is>
          <t>Latest chip quantity per CSP/data-center/accelerator through year-end; normalized by unit count. Shares are editable.</t>
        </is>
      </c>
    </row>
    <row r="145">
      <c r="A145" s="5">
        <f>B145&amp;"|"&amp;C145&amp;"|"&amp;D145&amp;"|"&amp;E145</f>
        <v/>
      </c>
      <c r="B145" s="3" t="inlineStr">
        <is>
          <t>Base</t>
        </is>
      </c>
      <c r="C145" s="3" t="inlineStr">
        <is>
          <t>Google</t>
        </is>
      </c>
      <c r="D145" s="3" t="n">
        <v>2026</v>
      </c>
      <c r="E145" s="25" t="inlineStr">
        <is>
          <t>TPU</t>
        </is>
      </c>
      <c r="F145" s="5">
        <f>IFERROR(INDEX('02x_Accelerator_Catalog'!$C$2:$C$11,MATCH(E145,'02x_Accelerator_Catalog'!$B$2:$B$11,0)),"purpose_or_unbenchmarked")</f>
        <v/>
      </c>
      <c r="G145" s="8">
        <f>IFERROR(INDEX('02x_Accelerator_Catalog'!$D$2:$D$11,MATCH(E145,'02x_Accelerator_Catalog'!$B$2:$B$11,0)),"")</f>
        <v/>
      </c>
      <c r="H145" s="17" t="n">
        <v>0.94277746</v>
      </c>
      <c r="I145" s="6">
        <f>SUMIFS($H$2:$H$573,$B$2:$B$573,B145,$C$2:$C$573,C145,$D$2:$D$573,D145)</f>
        <v/>
      </c>
      <c r="J145" s="3" t="inlineStr">
        <is>
          <t>epoch_csp_chip_quantity_latest</t>
        </is>
      </c>
      <c r="K145" s="3" t="inlineStr">
        <is>
          <t>SRC_EPOCH_AI_DATA_CENTERS; EPOCH_RAW_CHIP_QUANTITIES</t>
        </is>
      </c>
      <c r="L145" s="3" t="inlineStr">
        <is>
          <t>Latest chip quantity per CSP/data-center/accelerator through year-end; normalized by unit count. Shares are editable.</t>
        </is>
      </c>
    </row>
    <row r="146">
      <c r="A146" s="5">
        <f>B146&amp;"|"&amp;C146&amp;"|"&amp;D146&amp;"|"&amp;E146</f>
        <v/>
      </c>
      <c r="B146" s="3" t="inlineStr">
        <is>
          <t>Bull</t>
        </is>
      </c>
      <c r="C146" s="3" t="inlineStr">
        <is>
          <t>Google</t>
        </is>
      </c>
      <c r="D146" s="3" t="n">
        <v>2026</v>
      </c>
      <c r="E146" s="25" t="inlineStr">
        <is>
          <t>B200/B300 class</t>
        </is>
      </c>
      <c r="F146" s="5">
        <f>IFERROR(INDEX('02x_Accelerator_Catalog'!$C$2:$C$11,MATCH(E146,'02x_Accelerator_Catalog'!$B$2:$B$11,0)),"purpose_or_unbenchmarked")</f>
        <v/>
      </c>
      <c r="G146" s="8">
        <f>IFERROR(INDEX('02x_Accelerator_Catalog'!$D$2:$D$11,MATCH(E146,'02x_Accelerator_Catalog'!$B$2:$B$11,0)),"")</f>
        <v/>
      </c>
      <c r="H146" s="17" t="n">
        <v>0.05722254</v>
      </c>
      <c r="I146" s="6">
        <f>SUMIFS($H$2:$H$573,$B$2:$B$573,B146,$C$2:$C$573,C146,$D$2:$D$573,D146)</f>
        <v/>
      </c>
      <c r="J146" s="3" t="inlineStr">
        <is>
          <t>epoch_csp_chip_quantity_latest</t>
        </is>
      </c>
      <c r="K146" s="3" t="inlineStr">
        <is>
          <t>SRC_EPOCH_AI_DATA_CENTERS; EPOCH_RAW_CHIP_QUANTITIES</t>
        </is>
      </c>
      <c r="L146" s="3" t="inlineStr">
        <is>
          <t>Latest chip quantity per CSP/data-center/accelerator through year-end; normalized by unit count. Shares are editable.</t>
        </is>
      </c>
    </row>
    <row r="147">
      <c r="A147" s="5">
        <f>B147&amp;"|"&amp;C147&amp;"|"&amp;D147&amp;"|"&amp;E147</f>
        <v/>
      </c>
      <c r="B147" s="3" t="inlineStr">
        <is>
          <t>Bull</t>
        </is>
      </c>
      <c r="C147" s="3" t="inlineStr">
        <is>
          <t>Google</t>
        </is>
      </c>
      <c r="D147" s="3" t="n">
        <v>2026</v>
      </c>
      <c r="E147" s="25" t="inlineStr">
        <is>
          <t>TPU</t>
        </is>
      </c>
      <c r="F147" s="5">
        <f>IFERROR(INDEX('02x_Accelerator_Catalog'!$C$2:$C$11,MATCH(E147,'02x_Accelerator_Catalog'!$B$2:$B$11,0)),"purpose_or_unbenchmarked")</f>
        <v/>
      </c>
      <c r="G147" s="8">
        <f>IFERROR(INDEX('02x_Accelerator_Catalog'!$D$2:$D$11,MATCH(E147,'02x_Accelerator_Catalog'!$B$2:$B$11,0)),"")</f>
        <v/>
      </c>
      <c r="H147" s="17" t="n">
        <v>0.94277746</v>
      </c>
      <c r="I147" s="6">
        <f>SUMIFS($H$2:$H$573,$B$2:$B$573,B147,$C$2:$C$573,C147,$D$2:$D$573,D147)</f>
        <v/>
      </c>
      <c r="J147" s="3" t="inlineStr">
        <is>
          <t>epoch_csp_chip_quantity_latest</t>
        </is>
      </c>
      <c r="K147" s="3" t="inlineStr">
        <is>
          <t>SRC_EPOCH_AI_DATA_CENTERS; EPOCH_RAW_CHIP_QUANTITIES</t>
        </is>
      </c>
      <c r="L147" s="3" t="inlineStr">
        <is>
          <t>Latest chip quantity per CSP/data-center/accelerator through year-end; normalized by unit count. Shares are editable.</t>
        </is>
      </c>
    </row>
    <row r="148">
      <c r="A148" s="5">
        <f>B148&amp;"|"&amp;C148&amp;"|"&amp;D148&amp;"|"&amp;E148</f>
        <v/>
      </c>
      <c r="B148" s="3" t="inlineStr">
        <is>
          <t>Grid-Constrained / Efficiency-Upside</t>
        </is>
      </c>
      <c r="C148" s="3" t="inlineStr">
        <is>
          <t>Google</t>
        </is>
      </c>
      <c r="D148" s="3" t="n">
        <v>2026</v>
      </c>
      <c r="E148" s="25" t="inlineStr">
        <is>
          <t>B200/B300 class</t>
        </is>
      </c>
      <c r="F148" s="5">
        <f>IFERROR(INDEX('02x_Accelerator_Catalog'!$C$2:$C$11,MATCH(E148,'02x_Accelerator_Catalog'!$B$2:$B$11,0)),"purpose_or_unbenchmarked")</f>
        <v/>
      </c>
      <c r="G148" s="8">
        <f>IFERROR(INDEX('02x_Accelerator_Catalog'!$D$2:$D$11,MATCH(E148,'02x_Accelerator_Catalog'!$B$2:$B$11,0)),"")</f>
        <v/>
      </c>
      <c r="H148" s="17" t="n">
        <v>0.05722254</v>
      </c>
      <c r="I148" s="6">
        <f>SUMIFS($H$2:$H$573,$B$2:$B$573,B148,$C$2:$C$573,C148,$D$2:$D$573,D148)</f>
        <v/>
      </c>
      <c r="J148" s="3" t="inlineStr">
        <is>
          <t>epoch_csp_chip_quantity_latest</t>
        </is>
      </c>
      <c r="K148" s="3" t="inlineStr">
        <is>
          <t>SRC_EPOCH_AI_DATA_CENTERS; EPOCH_RAW_CHIP_QUANTITIES</t>
        </is>
      </c>
      <c r="L148" s="3" t="inlineStr">
        <is>
          <t>Latest chip quantity per CSP/data-center/accelerator through year-end; normalized by unit count. Shares are editable.</t>
        </is>
      </c>
    </row>
    <row r="149">
      <c r="A149" s="5">
        <f>B149&amp;"|"&amp;C149&amp;"|"&amp;D149&amp;"|"&amp;E149</f>
        <v/>
      </c>
      <c r="B149" s="3" t="inlineStr">
        <is>
          <t>Grid-Constrained / Efficiency-Upside</t>
        </is>
      </c>
      <c r="C149" s="3" t="inlineStr">
        <is>
          <t>Google</t>
        </is>
      </c>
      <c r="D149" s="3" t="n">
        <v>2026</v>
      </c>
      <c r="E149" s="25" t="inlineStr">
        <is>
          <t>TPU</t>
        </is>
      </c>
      <c r="F149" s="5">
        <f>IFERROR(INDEX('02x_Accelerator_Catalog'!$C$2:$C$11,MATCH(E149,'02x_Accelerator_Catalog'!$B$2:$B$11,0)),"purpose_or_unbenchmarked")</f>
        <v/>
      </c>
      <c r="G149" s="8">
        <f>IFERROR(INDEX('02x_Accelerator_Catalog'!$D$2:$D$11,MATCH(E149,'02x_Accelerator_Catalog'!$B$2:$B$11,0)),"")</f>
        <v/>
      </c>
      <c r="H149" s="17" t="n">
        <v>0.94277746</v>
      </c>
      <c r="I149" s="6">
        <f>SUMIFS($H$2:$H$573,$B$2:$B$573,B149,$C$2:$C$573,C149,$D$2:$D$573,D149)</f>
        <v/>
      </c>
      <c r="J149" s="3" t="inlineStr">
        <is>
          <t>epoch_csp_chip_quantity_latest</t>
        </is>
      </c>
      <c r="K149" s="3" t="inlineStr">
        <is>
          <t>SRC_EPOCH_AI_DATA_CENTERS; EPOCH_RAW_CHIP_QUANTITIES</t>
        </is>
      </c>
      <c r="L149" s="3" t="inlineStr">
        <is>
          <t>Latest chip quantity per CSP/data-center/accelerator through year-end; normalized by unit count. Shares are editable.</t>
        </is>
      </c>
    </row>
    <row r="150">
      <c r="A150" s="5">
        <f>B150&amp;"|"&amp;C150&amp;"|"&amp;D150&amp;"|"&amp;E150</f>
        <v/>
      </c>
      <c r="B150" s="3" t="inlineStr">
        <is>
          <t>Bear</t>
        </is>
      </c>
      <c r="C150" s="3" t="inlineStr">
        <is>
          <t>Google</t>
        </is>
      </c>
      <c r="D150" s="3" t="n">
        <v>2027</v>
      </c>
      <c r="E150" s="25" t="inlineStr">
        <is>
          <t>B200/B300 class</t>
        </is>
      </c>
      <c r="F150" s="5">
        <f>IFERROR(INDEX('02x_Accelerator_Catalog'!$C$2:$C$11,MATCH(E150,'02x_Accelerator_Catalog'!$B$2:$B$11,0)),"purpose_or_unbenchmarked")</f>
        <v/>
      </c>
      <c r="G150" s="8">
        <f>IFERROR(INDEX('02x_Accelerator_Catalog'!$D$2:$D$11,MATCH(E150,'02x_Accelerator_Catalog'!$B$2:$B$11,0)),"")</f>
        <v/>
      </c>
      <c r="H150" s="17" t="n">
        <v>0.08881066</v>
      </c>
      <c r="I150" s="6">
        <f>SUMIFS($H$2:$H$573,$B$2:$B$573,B150,$C$2:$C$573,C150,$D$2:$D$573,D150)</f>
        <v/>
      </c>
      <c r="J150" s="3" t="inlineStr">
        <is>
          <t>epoch_csp_chip_quantity_latest</t>
        </is>
      </c>
      <c r="K150" s="3" t="inlineStr">
        <is>
          <t>SRC_EPOCH_AI_DATA_CENTERS; EPOCH_RAW_CHIP_QUANTITIES</t>
        </is>
      </c>
      <c r="L150" s="3" t="inlineStr">
        <is>
          <t>Latest chip quantity per CSP/data-center/accelerator through year-end; normalized by unit count. Shares are editable.</t>
        </is>
      </c>
    </row>
    <row r="151">
      <c r="A151" s="5">
        <f>B151&amp;"|"&amp;C151&amp;"|"&amp;D151&amp;"|"&amp;E151</f>
        <v/>
      </c>
      <c r="B151" s="3" t="inlineStr">
        <is>
          <t>Bear</t>
        </is>
      </c>
      <c r="C151" s="3" t="inlineStr">
        <is>
          <t>Google</t>
        </is>
      </c>
      <c r="D151" s="3" t="n">
        <v>2027</v>
      </c>
      <c r="E151" s="25" t="inlineStr">
        <is>
          <t>R200/R300 future</t>
        </is>
      </c>
      <c r="F151" s="5">
        <f>IFERROR(INDEX('02x_Accelerator_Catalog'!$C$2:$C$11,MATCH(E151,'02x_Accelerator_Catalog'!$B$2:$B$11,0)),"purpose_or_unbenchmarked")</f>
        <v/>
      </c>
      <c r="G151" s="8">
        <f>IFERROR(INDEX('02x_Accelerator_Catalog'!$D$2:$D$11,MATCH(E151,'02x_Accelerator_Catalog'!$B$2:$B$11,0)),"")</f>
        <v/>
      </c>
      <c r="H151" s="17" t="n">
        <v>0.17959098</v>
      </c>
      <c r="I151" s="6">
        <f>SUMIFS($H$2:$H$573,$B$2:$B$573,B151,$C$2:$C$573,C151,$D$2:$D$573,D151)</f>
        <v/>
      </c>
      <c r="J151" s="3" t="inlineStr">
        <is>
          <t>epoch_csp_chip_quantity_latest</t>
        </is>
      </c>
      <c r="K151" s="3" t="inlineStr">
        <is>
          <t>SRC_EPOCH_AI_DATA_CENTERS; EPOCH_RAW_CHIP_QUANTITIES</t>
        </is>
      </c>
      <c r="L151" s="3" t="inlineStr">
        <is>
          <t>Latest chip quantity per CSP/data-center/accelerator through year-end; normalized by unit count. Shares are editable.</t>
        </is>
      </c>
    </row>
    <row r="152">
      <c r="A152" s="5">
        <f>B152&amp;"|"&amp;C152&amp;"|"&amp;D152&amp;"|"&amp;E152</f>
        <v/>
      </c>
      <c r="B152" s="3" t="inlineStr">
        <is>
          <t>Bear</t>
        </is>
      </c>
      <c r="C152" s="3" t="inlineStr">
        <is>
          <t>Google</t>
        </is>
      </c>
      <c r="D152" s="3" t="n">
        <v>2027</v>
      </c>
      <c r="E152" s="25" t="inlineStr">
        <is>
          <t>TPU</t>
        </is>
      </c>
      <c r="F152" s="5">
        <f>IFERROR(INDEX('02x_Accelerator_Catalog'!$C$2:$C$11,MATCH(E152,'02x_Accelerator_Catalog'!$B$2:$B$11,0)),"purpose_or_unbenchmarked")</f>
        <v/>
      </c>
      <c r="G152" s="8">
        <f>IFERROR(INDEX('02x_Accelerator_Catalog'!$D$2:$D$11,MATCH(E152,'02x_Accelerator_Catalog'!$B$2:$B$11,0)),"")</f>
        <v/>
      </c>
      <c r="H152" s="17" t="n">
        <v>0.73159836</v>
      </c>
      <c r="I152" s="6">
        <f>SUMIFS($H$2:$H$573,$B$2:$B$573,B152,$C$2:$C$573,C152,$D$2:$D$573,D152)</f>
        <v/>
      </c>
      <c r="J152" s="3" t="inlineStr">
        <is>
          <t>epoch_csp_chip_quantity_latest</t>
        </is>
      </c>
      <c r="K152" s="3" t="inlineStr">
        <is>
          <t>SRC_EPOCH_AI_DATA_CENTERS; EPOCH_RAW_CHIP_QUANTITIES</t>
        </is>
      </c>
      <c r="L152" s="3" t="inlineStr">
        <is>
          <t>Latest chip quantity per CSP/data-center/accelerator through year-end; normalized by unit count. Shares are editable.</t>
        </is>
      </c>
    </row>
    <row r="153">
      <c r="A153" s="5">
        <f>B153&amp;"|"&amp;C153&amp;"|"&amp;D153&amp;"|"&amp;E153</f>
        <v/>
      </c>
      <c r="B153" s="3" t="inlineStr">
        <is>
          <t>Base</t>
        </is>
      </c>
      <c r="C153" s="3" t="inlineStr">
        <is>
          <t>Google</t>
        </is>
      </c>
      <c r="D153" s="3" t="n">
        <v>2027</v>
      </c>
      <c r="E153" s="25" t="inlineStr">
        <is>
          <t>B200/B300 class</t>
        </is>
      </c>
      <c r="F153" s="5">
        <f>IFERROR(INDEX('02x_Accelerator_Catalog'!$C$2:$C$11,MATCH(E153,'02x_Accelerator_Catalog'!$B$2:$B$11,0)),"purpose_or_unbenchmarked")</f>
        <v/>
      </c>
      <c r="G153" s="8">
        <f>IFERROR(INDEX('02x_Accelerator_Catalog'!$D$2:$D$11,MATCH(E153,'02x_Accelerator_Catalog'!$B$2:$B$11,0)),"")</f>
        <v/>
      </c>
      <c r="H153" s="17" t="n">
        <v>0.08881066</v>
      </c>
      <c r="I153" s="6">
        <f>SUMIFS($H$2:$H$573,$B$2:$B$573,B153,$C$2:$C$573,C153,$D$2:$D$573,D153)</f>
        <v/>
      </c>
      <c r="J153" s="3" t="inlineStr">
        <is>
          <t>epoch_csp_chip_quantity_latest</t>
        </is>
      </c>
      <c r="K153" s="3" t="inlineStr">
        <is>
          <t>SRC_EPOCH_AI_DATA_CENTERS; EPOCH_RAW_CHIP_QUANTITIES</t>
        </is>
      </c>
      <c r="L153" s="3" t="inlineStr">
        <is>
          <t>Latest chip quantity per CSP/data-center/accelerator through year-end; normalized by unit count. Shares are editable.</t>
        </is>
      </c>
    </row>
    <row r="154">
      <c r="A154" s="5">
        <f>B154&amp;"|"&amp;C154&amp;"|"&amp;D154&amp;"|"&amp;E154</f>
        <v/>
      </c>
      <c r="B154" s="3" t="inlineStr">
        <is>
          <t>Base</t>
        </is>
      </c>
      <c r="C154" s="3" t="inlineStr">
        <is>
          <t>Google</t>
        </is>
      </c>
      <c r="D154" s="3" t="n">
        <v>2027</v>
      </c>
      <c r="E154" s="25" t="inlineStr">
        <is>
          <t>R200/R300 future</t>
        </is>
      </c>
      <c r="F154" s="5">
        <f>IFERROR(INDEX('02x_Accelerator_Catalog'!$C$2:$C$11,MATCH(E154,'02x_Accelerator_Catalog'!$B$2:$B$11,0)),"purpose_or_unbenchmarked")</f>
        <v/>
      </c>
      <c r="G154" s="8">
        <f>IFERROR(INDEX('02x_Accelerator_Catalog'!$D$2:$D$11,MATCH(E154,'02x_Accelerator_Catalog'!$B$2:$B$11,0)),"")</f>
        <v/>
      </c>
      <c r="H154" s="17" t="n">
        <v>0.17959098</v>
      </c>
      <c r="I154" s="6">
        <f>SUMIFS($H$2:$H$573,$B$2:$B$573,B154,$C$2:$C$573,C154,$D$2:$D$573,D154)</f>
        <v/>
      </c>
      <c r="J154" s="3" t="inlineStr">
        <is>
          <t>epoch_csp_chip_quantity_latest</t>
        </is>
      </c>
      <c r="K154" s="3" t="inlineStr">
        <is>
          <t>SRC_EPOCH_AI_DATA_CENTERS; EPOCH_RAW_CHIP_QUANTITIES</t>
        </is>
      </c>
      <c r="L154" s="3" t="inlineStr">
        <is>
          <t>Latest chip quantity per CSP/data-center/accelerator through year-end; normalized by unit count. Shares are editable.</t>
        </is>
      </c>
    </row>
    <row r="155">
      <c r="A155" s="5">
        <f>B155&amp;"|"&amp;C155&amp;"|"&amp;D155&amp;"|"&amp;E155</f>
        <v/>
      </c>
      <c r="B155" s="3" t="inlineStr">
        <is>
          <t>Base</t>
        </is>
      </c>
      <c r="C155" s="3" t="inlineStr">
        <is>
          <t>Google</t>
        </is>
      </c>
      <c r="D155" s="3" t="n">
        <v>2027</v>
      </c>
      <c r="E155" s="25" t="inlineStr">
        <is>
          <t>TPU</t>
        </is>
      </c>
      <c r="F155" s="5">
        <f>IFERROR(INDEX('02x_Accelerator_Catalog'!$C$2:$C$11,MATCH(E155,'02x_Accelerator_Catalog'!$B$2:$B$11,0)),"purpose_or_unbenchmarked")</f>
        <v/>
      </c>
      <c r="G155" s="8">
        <f>IFERROR(INDEX('02x_Accelerator_Catalog'!$D$2:$D$11,MATCH(E155,'02x_Accelerator_Catalog'!$B$2:$B$11,0)),"")</f>
        <v/>
      </c>
      <c r="H155" s="17" t="n">
        <v>0.73159836</v>
      </c>
      <c r="I155" s="6">
        <f>SUMIFS($H$2:$H$573,$B$2:$B$573,B155,$C$2:$C$573,C155,$D$2:$D$573,D155)</f>
        <v/>
      </c>
      <c r="J155" s="3" t="inlineStr">
        <is>
          <t>epoch_csp_chip_quantity_latest</t>
        </is>
      </c>
      <c r="K155" s="3" t="inlineStr">
        <is>
          <t>SRC_EPOCH_AI_DATA_CENTERS; EPOCH_RAW_CHIP_QUANTITIES</t>
        </is>
      </c>
      <c r="L155" s="3" t="inlineStr">
        <is>
          <t>Latest chip quantity per CSP/data-center/accelerator through year-end; normalized by unit count. Shares are editable.</t>
        </is>
      </c>
    </row>
    <row r="156">
      <c r="A156" s="5">
        <f>B156&amp;"|"&amp;C156&amp;"|"&amp;D156&amp;"|"&amp;E156</f>
        <v/>
      </c>
      <c r="B156" s="3" t="inlineStr">
        <is>
          <t>Bull</t>
        </is>
      </c>
      <c r="C156" s="3" t="inlineStr">
        <is>
          <t>Google</t>
        </is>
      </c>
      <c r="D156" s="3" t="n">
        <v>2027</v>
      </c>
      <c r="E156" s="25" t="inlineStr">
        <is>
          <t>B200/B300 class</t>
        </is>
      </c>
      <c r="F156" s="5">
        <f>IFERROR(INDEX('02x_Accelerator_Catalog'!$C$2:$C$11,MATCH(E156,'02x_Accelerator_Catalog'!$B$2:$B$11,0)),"purpose_or_unbenchmarked")</f>
        <v/>
      </c>
      <c r="G156" s="8">
        <f>IFERROR(INDEX('02x_Accelerator_Catalog'!$D$2:$D$11,MATCH(E156,'02x_Accelerator_Catalog'!$B$2:$B$11,0)),"")</f>
        <v/>
      </c>
      <c r="H156" s="17" t="n">
        <v>0.08881066</v>
      </c>
      <c r="I156" s="6">
        <f>SUMIFS($H$2:$H$573,$B$2:$B$573,B156,$C$2:$C$573,C156,$D$2:$D$573,D156)</f>
        <v/>
      </c>
      <c r="J156" s="3" t="inlineStr">
        <is>
          <t>epoch_csp_chip_quantity_latest</t>
        </is>
      </c>
      <c r="K156" s="3" t="inlineStr">
        <is>
          <t>SRC_EPOCH_AI_DATA_CENTERS; EPOCH_RAW_CHIP_QUANTITIES</t>
        </is>
      </c>
      <c r="L156" s="3" t="inlineStr">
        <is>
          <t>Latest chip quantity per CSP/data-center/accelerator through year-end; normalized by unit count. Shares are editable.</t>
        </is>
      </c>
    </row>
    <row r="157">
      <c r="A157" s="5">
        <f>B157&amp;"|"&amp;C157&amp;"|"&amp;D157&amp;"|"&amp;E157</f>
        <v/>
      </c>
      <c r="B157" s="3" t="inlineStr">
        <is>
          <t>Bull</t>
        </is>
      </c>
      <c r="C157" s="3" t="inlineStr">
        <is>
          <t>Google</t>
        </is>
      </c>
      <c r="D157" s="3" t="n">
        <v>2027</v>
      </c>
      <c r="E157" s="25" t="inlineStr">
        <is>
          <t>R200/R300 future</t>
        </is>
      </c>
      <c r="F157" s="5">
        <f>IFERROR(INDEX('02x_Accelerator_Catalog'!$C$2:$C$11,MATCH(E157,'02x_Accelerator_Catalog'!$B$2:$B$11,0)),"purpose_or_unbenchmarked")</f>
        <v/>
      </c>
      <c r="G157" s="8">
        <f>IFERROR(INDEX('02x_Accelerator_Catalog'!$D$2:$D$11,MATCH(E157,'02x_Accelerator_Catalog'!$B$2:$B$11,0)),"")</f>
        <v/>
      </c>
      <c r="H157" s="17" t="n">
        <v>0.17959098</v>
      </c>
      <c r="I157" s="6">
        <f>SUMIFS($H$2:$H$573,$B$2:$B$573,B157,$C$2:$C$573,C157,$D$2:$D$573,D157)</f>
        <v/>
      </c>
      <c r="J157" s="3" t="inlineStr">
        <is>
          <t>epoch_csp_chip_quantity_latest</t>
        </is>
      </c>
      <c r="K157" s="3" t="inlineStr">
        <is>
          <t>SRC_EPOCH_AI_DATA_CENTERS; EPOCH_RAW_CHIP_QUANTITIES</t>
        </is>
      </c>
      <c r="L157" s="3" t="inlineStr">
        <is>
          <t>Latest chip quantity per CSP/data-center/accelerator through year-end; normalized by unit count. Shares are editable.</t>
        </is>
      </c>
    </row>
    <row r="158">
      <c r="A158" s="5">
        <f>B158&amp;"|"&amp;C158&amp;"|"&amp;D158&amp;"|"&amp;E158</f>
        <v/>
      </c>
      <c r="B158" s="3" t="inlineStr">
        <is>
          <t>Bull</t>
        </is>
      </c>
      <c r="C158" s="3" t="inlineStr">
        <is>
          <t>Google</t>
        </is>
      </c>
      <c r="D158" s="3" t="n">
        <v>2027</v>
      </c>
      <c r="E158" s="25" t="inlineStr">
        <is>
          <t>TPU</t>
        </is>
      </c>
      <c r="F158" s="5">
        <f>IFERROR(INDEX('02x_Accelerator_Catalog'!$C$2:$C$11,MATCH(E158,'02x_Accelerator_Catalog'!$B$2:$B$11,0)),"purpose_or_unbenchmarked")</f>
        <v/>
      </c>
      <c r="G158" s="8">
        <f>IFERROR(INDEX('02x_Accelerator_Catalog'!$D$2:$D$11,MATCH(E158,'02x_Accelerator_Catalog'!$B$2:$B$11,0)),"")</f>
        <v/>
      </c>
      <c r="H158" s="17" t="n">
        <v>0.73159836</v>
      </c>
      <c r="I158" s="6">
        <f>SUMIFS($H$2:$H$573,$B$2:$B$573,B158,$C$2:$C$573,C158,$D$2:$D$573,D158)</f>
        <v/>
      </c>
      <c r="J158" s="3" t="inlineStr">
        <is>
          <t>epoch_csp_chip_quantity_latest</t>
        </is>
      </c>
      <c r="K158" s="3" t="inlineStr">
        <is>
          <t>SRC_EPOCH_AI_DATA_CENTERS; EPOCH_RAW_CHIP_QUANTITIES</t>
        </is>
      </c>
      <c r="L158" s="3" t="inlineStr">
        <is>
          <t>Latest chip quantity per CSP/data-center/accelerator through year-end; normalized by unit count. Shares are editable.</t>
        </is>
      </c>
    </row>
    <row r="159">
      <c r="A159" s="5">
        <f>B159&amp;"|"&amp;C159&amp;"|"&amp;D159&amp;"|"&amp;E159</f>
        <v/>
      </c>
      <c r="B159" s="3" t="inlineStr">
        <is>
          <t>Grid-Constrained / Efficiency-Upside</t>
        </is>
      </c>
      <c r="C159" s="3" t="inlineStr">
        <is>
          <t>Google</t>
        </is>
      </c>
      <c r="D159" s="3" t="n">
        <v>2027</v>
      </c>
      <c r="E159" s="25" t="inlineStr">
        <is>
          <t>B200/B300 class</t>
        </is>
      </c>
      <c r="F159" s="5">
        <f>IFERROR(INDEX('02x_Accelerator_Catalog'!$C$2:$C$11,MATCH(E159,'02x_Accelerator_Catalog'!$B$2:$B$11,0)),"purpose_or_unbenchmarked")</f>
        <v/>
      </c>
      <c r="G159" s="8">
        <f>IFERROR(INDEX('02x_Accelerator_Catalog'!$D$2:$D$11,MATCH(E159,'02x_Accelerator_Catalog'!$B$2:$B$11,0)),"")</f>
        <v/>
      </c>
      <c r="H159" s="17" t="n">
        <v>0.08881066</v>
      </c>
      <c r="I159" s="6">
        <f>SUMIFS($H$2:$H$573,$B$2:$B$573,B159,$C$2:$C$573,C159,$D$2:$D$573,D159)</f>
        <v/>
      </c>
      <c r="J159" s="3" t="inlineStr">
        <is>
          <t>epoch_csp_chip_quantity_latest</t>
        </is>
      </c>
      <c r="K159" s="3" t="inlineStr">
        <is>
          <t>SRC_EPOCH_AI_DATA_CENTERS; EPOCH_RAW_CHIP_QUANTITIES</t>
        </is>
      </c>
      <c r="L159" s="3" t="inlineStr">
        <is>
          <t>Latest chip quantity per CSP/data-center/accelerator through year-end; normalized by unit count. Shares are editable.</t>
        </is>
      </c>
    </row>
    <row r="160">
      <c r="A160" s="5">
        <f>B160&amp;"|"&amp;C160&amp;"|"&amp;D160&amp;"|"&amp;E160</f>
        <v/>
      </c>
      <c r="B160" s="3" t="inlineStr">
        <is>
          <t>Grid-Constrained / Efficiency-Upside</t>
        </is>
      </c>
      <c r="C160" s="3" t="inlineStr">
        <is>
          <t>Google</t>
        </is>
      </c>
      <c r="D160" s="3" t="n">
        <v>2027</v>
      </c>
      <c r="E160" s="25" t="inlineStr">
        <is>
          <t>R200/R300 future</t>
        </is>
      </c>
      <c r="F160" s="5">
        <f>IFERROR(INDEX('02x_Accelerator_Catalog'!$C$2:$C$11,MATCH(E160,'02x_Accelerator_Catalog'!$B$2:$B$11,0)),"purpose_or_unbenchmarked")</f>
        <v/>
      </c>
      <c r="G160" s="8">
        <f>IFERROR(INDEX('02x_Accelerator_Catalog'!$D$2:$D$11,MATCH(E160,'02x_Accelerator_Catalog'!$B$2:$B$11,0)),"")</f>
        <v/>
      </c>
      <c r="H160" s="17" t="n">
        <v>0.17959098</v>
      </c>
      <c r="I160" s="6">
        <f>SUMIFS($H$2:$H$573,$B$2:$B$573,B160,$C$2:$C$573,C160,$D$2:$D$573,D160)</f>
        <v/>
      </c>
      <c r="J160" s="3" t="inlineStr">
        <is>
          <t>epoch_csp_chip_quantity_latest</t>
        </is>
      </c>
      <c r="K160" s="3" t="inlineStr">
        <is>
          <t>SRC_EPOCH_AI_DATA_CENTERS; EPOCH_RAW_CHIP_QUANTITIES</t>
        </is>
      </c>
      <c r="L160" s="3" t="inlineStr">
        <is>
          <t>Latest chip quantity per CSP/data-center/accelerator through year-end; normalized by unit count. Shares are editable.</t>
        </is>
      </c>
    </row>
    <row r="161">
      <c r="A161" s="5">
        <f>B161&amp;"|"&amp;C161&amp;"|"&amp;D161&amp;"|"&amp;E161</f>
        <v/>
      </c>
      <c r="B161" s="3" t="inlineStr">
        <is>
          <t>Grid-Constrained / Efficiency-Upside</t>
        </is>
      </c>
      <c r="C161" s="3" t="inlineStr">
        <is>
          <t>Google</t>
        </is>
      </c>
      <c r="D161" s="3" t="n">
        <v>2027</v>
      </c>
      <c r="E161" s="25" t="inlineStr">
        <is>
          <t>TPU</t>
        </is>
      </c>
      <c r="F161" s="5">
        <f>IFERROR(INDEX('02x_Accelerator_Catalog'!$C$2:$C$11,MATCH(E161,'02x_Accelerator_Catalog'!$B$2:$B$11,0)),"purpose_or_unbenchmarked")</f>
        <v/>
      </c>
      <c r="G161" s="8">
        <f>IFERROR(INDEX('02x_Accelerator_Catalog'!$D$2:$D$11,MATCH(E161,'02x_Accelerator_Catalog'!$B$2:$B$11,0)),"")</f>
        <v/>
      </c>
      <c r="H161" s="17" t="n">
        <v>0.73159836</v>
      </c>
      <c r="I161" s="6">
        <f>SUMIFS($H$2:$H$573,$B$2:$B$573,B161,$C$2:$C$573,C161,$D$2:$D$573,D161)</f>
        <v/>
      </c>
      <c r="J161" s="3" t="inlineStr">
        <is>
          <t>epoch_csp_chip_quantity_latest</t>
        </is>
      </c>
      <c r="K161" s="3" t="inlineStr">
        <is>
          <t>SRC_EPOCH_AI_DATA_CENTERS; EPOCH_RAW_CHIP_QUANTITIES</t>
        </is>
      </c>
      <c r="L161" s="3" t="inlineStr">
        <is>
          <t>Latest chip quantity per CSP/data-center/accelerator through year-end; normalized by unit count. Shares are editable.</t>
        </is>
      </c>
    </row>
    <row r="162">
      <c r="A162" s="5">
        <f>B162&amp;"|"&amp;C162&amp;"|"&amp;D162&amp;"|"&amp;E162</f>
        <v/>
      </c>
      <c r="B162" s="3" t="inlineStr">
        <is>
          <t>Bear</t>
        </is>
      </c>
      <c r="C162" s="3" t="inlineStr">
        <is>
          <t>Google</t>
        </is>
      </c>
      <c r="D162" s="3" t="n">
        <v>2028</v>
      </c>
      <c r="E162" s="25" t="inlineStr">
        <is>
          <t>B200/B300 class</t>
        </is>
      </c>
      <c r="F162" s="5">
        <f>IFERROR(INDEX('02x_Accelerator_Catalog'!$C$2:$C$11,MATCH(E162,'02x_Accelerator_Catalog'!$B$2:$B$11,0)),"purpose_or_unbenchmarked")</f>
        <v/>
      </c>
      <c r="G162" s="8">
        <f>IFERROR(INDEX('02x_Accelerator_Catalog'!$D$2:$D$11,MATCH(E162,'02x_Accelerator_Catalog'!$B$2:$B$11,0)),"")</f>
        <v/>
      </c>
      <c r="H162" s="17" t="n">
        <v>0.08881066</v>
      </c>
      <c r="I162" s="6">
        <f>SUMIFS($H$2:$H$573,$B$2:$B$573,B162,$C$2:$C$573,C162,$D$2:$D$573,D162)</f>
        <v/>
      </c>
      <c r="J162" s="3" t="inlineStr">
        <is>
          <t>epoch_csp_chip_quantity_latest</t>
        </is>
      </c>
      <c r="K162" s="3" t="inlineStr">
        <is>
          <t>SRC_EPOCH_AI_DATA_CENTERS; EPOCH_RAW_CHIP_QUANTITIES</t>
        </is>
      </c>
      <c r="L162" s="3" t="inlineStr">
        <is>
          <t>Latest chip quantity per CSP/data-center/accelerator through year-end; normalized by unit count. Shares are editable.</t>
        </is>
      </c>
    </row>
    <row r="163">
      <c r="A163" s="5">
        <f>B163&amp;"|"&amp;C163&amp;"|"&amp;D163&amp;"|"&amp;E163</f>
        <v/>
      </c>
      <c r="B163" s="3" t="inlineStr">
        <is>
          <t>Bear</t>
        </is>
      </c>
      <c r="C163" s="3" t="inlineStr">
        <is>
          <t>Google</t>
        </is>
      </c>
      <c r="D163" s="3" t="n">
        <v>2028</v>
      </c>
      <c r="E163" s="25" t="inlineStr">
        <is>
          <t>R200/R300 future</t>
        </is>
      </c>
      <c r="F163" s="5">
        <f>IFERROR(INDEX('02x_Accelerator_Catalog'!$C$2:$C$11,MATCH(E163,'02x_Accelerator_Catalog'!$B$2:$B$11,0)),"purpose_or_unbenchmarked")</f>
        <v/>
      </c>
      <c r="G163" s="8">
        <f>IFERROR(INDEX('02x_Accelerator_Catalog'!$D$2:$D$11,MATCH(E163,'02x_Accelerator_Catalog'!$B$2:$B$11,0)),"")</f>
        <v/>
      </c>
      <c r="H163" s="17" t="n">
        <v>0.17959098</v>
      </c>
      <c r="I163" s="6">
        <f>SUMIFS($H$2:$H$573,$B$2:$B$573,B163,$C$2:$C$573,C163,$D$2:$D$573,D163)</f>
        <v/>
      </c>
      <c r="J163" s="3" t="inlineStr">
        <is>
          <t>epoch_csp_chip_quantity_latest</t>
        </is>
      </c>
      <c r="K163" s="3" t="inlineStr">
        <is>
          <t>SRC_EPOCH_AI_DATA_CENTERS; EPOCH_RAW_CHIP_QUANTITIES</t>
        </is>
      </c>
      <c r="L163" s="3" t="inlineStr">
        <is>
          <t>Latest chip quantity per CSP/data-center/accelerator through year-end; normalized by unit count. Shares are editable.</t>
        </is>
      </c>
    </row>
    <row r="164">
      <c r="A164" s="5">
        <f>B164&amp;"|"&amp;C164&amp;"|"&amp;D164&amp;"|"&amp;E164</f>
        <v/>
      </c>
      <c r="B164" s="3" t="inlineStr">
        <is>
          <t>Bear</t>
        </is>
      </c>
      <c r="C164" s="3" t="inlineStr">
        <is>
          <t>Google</t>
        </is>
      </c>
      <c r="D164" s="3" t="n">
        <v>2028</v>
      </c>
      <c r="E164" s="25" t="inlineStr">
        <is>
          <t>TPU</t>
        </is>
      </c>
      <c r="F164" s="5">
        <f>IFERROR(INDEX('02x_Accelerator_Catalog'!$C$2:$C$11,MATCH(E164,'02x_Accelerator_Catalog'!$B$2:$B$11,0)),"purpose_or_unbenchmarked")</f>
        <v/>
      </c>
      <c r="G164" s="8">
        <f>IFERROR(INDEX('02x_Accelerator_Catalog'!$D$2:$D$11,MATCH(E164,'02x_Accelerator_Catalog'!$B$2:$B$11,0)),"")</f>
        <v/>
      </c>
      <c r="H164" s="17" t="n">
        <v>0.73159836</v>
      </c>
      <c r="I164" s="6">
        <f>SUMIFS($H$2:$H$573,$B$2:$B$573,B164,$C$2:$C$573,C164,$D$2:$D$573,D164)</f>
        <v/>
      </c>
      <c r="J164" s="3" t="inlineStr">
        <is>
          <t>epoch_csp_chip_quantity_latest</t>
        </is>
      </c>
      <c r="K164" s="3" t="inlineStr">
        <is>
          <t>SRC_EPOCH_AI_DATA_CENTERS; EPOCH_RAW_CHIP_QUANTITIES</t>
        </is>
      </c>
      <c r="L164" s="3" t="inlineStr">
        <is>
          <t>Latest chip quantity per CSP/data-center/accelerator through year-end; normalized by unit count. Shares are editable.</t>
        </is>
      </c>
    </row>
    <row r="165">
      <c r="A165" s="5">
        <f>B165&amp;"|"&amp;C165&amp;"|"&amp;D165&amp;"|"&amp;E165</f>
        <v/>
      </c>
      <c r="B165" s="3" t="inlineStr">
        <is>
          <t>Base</t>
        </is>
      </c>
      <c r="C165" s="3" t="inlineStr">
        <is>
          <t>Google</t>
        </is>
      </c>
      <c r="D165" s="3" t="n">
        <v>2028</v>
      </c>
      <c r="E165" s="25" t="inlineStr">
        <is>
          <t>B200/B300 class</t>
        </is>
      </c>
      <c r="F165" s="5">
        <f>IFERROR(INDEX('02x_Accelerator_Catalog'!$C$2:$C$11,MATCH(E165,'02x_Accelerator_Catalog'!$B$2:$B$11,0)),"purpose_or_unbenchmarked")</f>
        <v/>
      </c>
      <c r="G165" s="8">
        <f>IFERROR(INDEX('02x_Accelerator_Catalog'!$D$2:$D$11,MATCH(E165,'02x_Accelerator_Catalog'!$B$2:$B$11,0)),"")</f>
        <v/>
      </c>
      <c r="H165" s="17" t="n">
        <v>0.08881066</v>
      </c>
      <c r="I165" s="6">
        <f>SUMIFS($H$2:$H$573,$B$2:$B$573,B165,$C$2:$C$573,C165,$D$2:$D$573,D165)</f>
        <v/>
      </c>
      <c r="J165" s="3" t="inlineStr">
        <is>
          <t>epoch_csp_chip_quantity_latest</t>
        </is>
      </c>
      <c r="K165" s="3" t="inlineStr">
        <is>
          <t>SRC_EPOCH_AI_DATA_CENTERS; EPOCH_RAW_CHIP_QUANTITIES</t>
        </is>
      </c>
      <c r="L165" s="3" t="inlineStr">
        <is>
          <t>Latest chip quantity per CSP/data-center/accelerator through year-end; normalized by unit count. Shares are editable.</t>
        </is>
      </c>
    </row>
    <row r="166">
      <c r="A166" s="5">
        <f>B166&amp;"|"&amp;C166&amp;"|"&amp;D166&amp;"|"&amp;E166</f>
        <v/>
      </c>
      <c r="B166" s="3" t="inlineStr">
        <is>
          <t>Base</t>
        </is>
      </c>
      <c r="C166" s="3" t="inlineStr">
        <is>
          <t>Google</t>
        </is>
      </c>
      <c r="D166" s="3" t="n">
        <v>2028</v>
      </c>
      <c r="E166" s="25" t="inlineStr">
        <is>
          <t>R200/R300 future</t>
        </is>
      </c>
      <c r="F166" s="5">
        <f>IFERROR(INDEX('02x_Accelerator_Catalog'!$C$2:$C$11,MATCH(E166,'02x_Accelerator_Catalog'!$B$2:$B$11,0)),"purpose_or_unbenchmarked")</f>
        <v/>
      </c>
      <c r="G166" s="8">
        <f>IFERROR(INDEX('02x_Accelerator_Catalog'!$D$2:$D$11,MATCH(E166,'02x_Accelerator_Catalog'!$B$2:$B$11,0)),"")</f>
        <v/>
      </c>
      <c r="H166" s="17" t="n">
        <v>0.17959098</v>
      </c>
      <c r="I166" s="6">
        <f>SUMIFS($H$2:$H$573,$B$2:$B$573,B166,$C$2:$C$573,C166,$D$2:$D$573,D166)</f>
        <v/>
      </c>
      <c r="J166" s="3" t="inlineStr">
        <is>
          <t>epoch_csp_chip_quantity_latest</t>
        </is>
      </c>
      <c r="K166" s="3" t="inlineStr">
        <is>
          <t>SRC_EPOCH_AI_DATA_CENTERS; EPOCH_RAW_CHIP_QUANTITIES</t>
        </is>
      </c>
      <c r="L166" s="3" t="inlineStr">
        <is>
          <t>Latest chip quantity per CSP/data-center/accelerator through year-end; normalized by unit count. Shares are editable.</t>
        </is>
      </c>
    </row>
    <row r="167">
      <c r="A167" s="5">
        <f>B167&amp;"|"&amp;C167&amp;"|"&amp;D167&amp;"|"&amp;E167</f>
        <v/>
      </c>
      <c r="B167" s="3" t="inlineStr">
        <is>
          <t>Base</t>
        </is>
      </c>
      <c r="C167" s="3" t="inlineStr">
        <is>
          <t>Google</t>
        </is>
      </c>
      <c r="D167" s="3" t="n">
        <v>2028</v>
      </c>
      <c r="E167" s="25" t="inlineStr">
        <is>
          <t>TPU</t>
        </is>
      </c>
      <c r="F167" s="5">
        <f>IFERROR(INDEX('02x_Accelerator_Catalog'!$C$2:$C$11,MATCH(E167,'02x_Accelerator_Catalog'!$B$2:$B$11,0)),"purpose_or_unbenchmarked")</f>
        <v/>
      </c>
      <c r="G167" s="8">
        <f>IFERROR(INDEX('02x_Accelerator_Catalog'!$D$2:$D$11,MATCH(E167,'02x_Accelerator_Catalog'!$B$2:$B$11,0)),"")</f>
        <v/>
      </c>
      <c r="H167" s="17" t="n">
        <v>0.73159836</v>
      </c>
      <c r="I167" s="6">
        <f>SUMIFS($H$2:$H$573,$B$2:$B$573,B167,$C$2:$C$573,C167,$D$2:$D$573,D167)</f>
        <v/>
      </c>
      <c r="J167" s="3" t="inlineStr">
        <is>
          <t>epoch_csp_chip_quantity_latest</t>
        </is>
      </c>
      <c r="K167" s="3" t="inlineStr">
        <is>
          <t>SRC_EPOCH_AI_DATA_CENTERS; EPOCH_RAW_CHIP_QUANTITIES</t>
        </is>
      </c>
      <c r="L167" s="3" t="inlineStr">
        <is>
          <t>Latest chip quantity per CSP/data-center/accelerator through year-end; normalized by unit count. Shares are editable.</t>
        </is>
      </c>
    </row>
    <row r="168">
      <c r="A168" s="5">
        <f>B168&amp;"|"&amp;C168&amp;"|"&amp;D168&amp;"|"&amp;E168</f>
        <v/>
      </c>
      <c r="B168" s="3" t="inlineStr">
        <is>
          <t>Bull</t>
        </is>
      </c>
      <c r="C168" s="3" t="inlineStr">
        <is>
          <t>Google</t>
        </is>
      </c>
      <c r="D168" s="3" t="n">
        <v>2028</v>
      </c>
      <c r="E168" s="25" t="inlineStr">
        <is>
          <t>B200/B300 class</t>
        </is>
      </c>
      <c r="F168" s="5">
        <f>IFERROR(INDEX('02x_Accelerator_Catalog'!$C$2:$C$11,MATCH(E168,'02x_Accelerator_Catalog'!$B$2:$B$11,0)),"purpose_or_unbenchmarked")</f>
        <v/>
      </c>
      <c r="G168" s="8">
        <f>IFERROR(INDEX('02x_Accelerator_Catalog'!$D$2:$D$11,MATCH(E168,'02x_Accelerator_Catalog'!$B$2:$B$11,0)),"")</f>
        <v/>
      </c>
      <c r="H168" s="17" t="n">
        <v>0.08881066</v>
      </c>
      <c r="I168" s="6">
        <f>SUMIFS($H$2:$H$573,$B$2:$B$573,B168,$C$2:$C$573,C168,$D$2:$D$573,D168)</f>
        <v/>
      </c>
      <c r="J168" s="3" t="inlineStr">
        <is>
          <t>epoch_csp_chip_quantity_latest</t>
        </is>
      </c>
      <c r="K168" s="3" t="inlineStr">
        <is>
          <t>SRC_EPOCH_AI_DATA_CENTERS; EPOCH_RAW_CHIP_QUANTITIES</t>
        </is>
      </c>
      <c r="L168" s="3" t="inlineStr">
        <is>
          <t>Latest chip quantity per CSP/data-center/accelerator through year-end; normalized by unit count. Shares are editable.</t>
        </is>
      </c>
    </row>
    <row r="169">
      <c r="A169" s="5">
        <f>B169&amp;"|"&amp;C169&amp;"|"&amp;D169&amp;"|"&amp;E169</f>
        <v/>
      </c>
      <c r="B169" s="3" t="inlineStr">
        <is>
          <t>Bull</t>
        </is>
      </c>
      <c r="C169" s="3" t="inlineStr">
        <is>
          <t>Google</t>
        </is>
      </c>
      <c r="D169" s="3" t="n">
        <v>2028</v>
      </c>
      <c r="E169" s="25" t="inlineStr">
        <is>
          <t>R200/R300 future</t>
        </is>
      </c>
      <c r="F169" s="5">
        <f>IFERROR(INDEX('02x_Accelerator_Catalog'!$C$2:$C$11,MATCH(E169,'02x_Accelerator_Catalog'!$B$2:$B$11,0)),"purpose_or_unbenchmarked")</f>
        <v/>
      </c>
      <c r="G169" s="8">
        <f>IFERROR(INDEX('02x_Accelerator_Catalog'!$D$2:$D$11,MATCH(E169,'02x_Accelerator_Catalog'!$B$2:$B$11,0)),"")</f>
        <v/>
      </c>
      <c r="H169" s="17" t="n">
        <v>0.17959098</v>
      </c>
      <c r="I169" s="6">
        <f>SUMIFS($H$2:$H$573,$B$2:$B$573,B169,$C$2:$C$573,C169,$D$2:$D$573,D169)</f>
        <v/>
      </c>
      <c r="J169" s="3" t="inlineStr">
        <is>
          <t>epoch_csp_chip_quantity_latest</t>
        </is>
      </c>
      <c r="K169" s="3" t="inlineStr">
        <is>
          <t>SRC_EPOCH_AI_DATA_CENTERS; EPOCH_RAW_CHIP_QUANTITIES</t>
        </is>
      </c>
      <c r="L169" s="3" t="inlineStr">
        <is>
          <t>Latest chip quantity per CSP/data-center/accelerator through year-end; normalized by unit count. Shares are editable.</t>
        </is>
      </c>
    </row>
    <row r="170">
      <c r="A170" s="5">
        <f>B170&amp;"|"&amp;C170&amp;"|"&amp;D170&amp;"|"&amp;E170</f>
        <v/>
      </c>
      <c r="B170" s="3" t="inlineStr">
        <is>
          <t>Bull</t>
        </is>
      </c>
      <c r="C170" s="3" t="inlineStr">
        <is>
          <t>Google</t>
        </is>
      </c>
      <c r="D170" s="3" t="n">
        <v>2028</v>
      </c>
      <c r="E170" s="25" t="inlineStr">
        <is>
          <t>TPU</t>
        </is>
      </c>
      <c r="F170" s="5">
        <f>IFERROR(INDEX('02x_Accelerator_Catalog'!$C$2:$C$11,MATCH(E170,'02x_Accelerator_Catalog'!$B$2:$B$11,0)),"purpose_or_unbenchmarked")</f>
        <v/>
      </c>
      <c r="G170" s="8">
        <f>IFERROR(INDEX('02x_Accelerator_Catalog'!$D$2:$D$11,MATCH(E170,'02x_Accelerator_Catalog'!$B$2:$B$11,0)),"")</f>
        <v/>
      </c>
      <c r="H170" s="17" t="n">
        <v>0.73159836</v>
      </c>
      <c r="I170" s="6">
        <f>SUMIFS($H$2:$H$573,$B$2:$B$573,B170,$C$2:$C$573,C170,$D$2:$D$573,D170)</f>
        <v/>
      </c>
      <c r="J170" s="3" t="inlineStr">
        <is>
          <t>epoch_csp_chip_quantity_latest</t>
        </is>
      </c>
      <c r="K170" s="3" t="inlineStr">
        <is>
          <t>SRC_EPOCH_AI_DATA_CENTERS; EPOCH_RAW_CHIP_QUANTITIES</t>
        </is>
      </c>
      <c r="L170" s="3" t="inlineStr">
        <is>
          <t>Latest chip quantity per CSP/data-center/accelerator through year-end; normalized by unit count. Shares are editable.</t>
        </is>
      </c>
    </row>
    <row r="171">
      <c r="A171" s="5">
        <f>B171&amp;"|"&amp;C171&amp;"|"&amp;D171&amp;"|"&amp;E171</f>
        <v/>
      </c>
      <c r="B171" s="3" t="inlineStr">
        <is>
          <t>Grid-Constrained / Efficiency-Upside</t>
        </is>
      </c>
      <c r="C171" s="3" t="inlineStr">
        <is>
          <t>Google</t>
        </is>
      </c>
      <c r="D171" s="3" t="n">
        <v>2028</v>
      </c>
      <c r="E171" s="25" t="inlineStr">
        <is>
          <t>B200/B300 class</t>
        </is>
      </c>
      <c r="F171" s="5">
        <f>IFERROR(INDEX('02x_Accelerator_Catalog'!$C$2:$C$11,MATCH(E171,'02x_Accelerator_Catalog'!$B$2:$B$11,0)),"purpose_or_unbenchmarked")</f>
        <v/>
      </c>
      <c r="G171" s="8">
        <f>IFERROR(INDEX('02x_Accelerator_Catalog'!$D$2:$D$11,MATCH(E171,'02x_Accelerator_Catalog'!$B$2:$B$11,0)),"")</f>
        <v/>
      </c>
      <c r="H171" s="17" t="n">
        <v>0.08881066</v>
      </c>
      <c r="I171" s="6">
        <f>SUMIFS($H$2:$H$573,$B$2:$B$573,B171,$C$2:$C$573,C171,$D$2:$D$573,D171)</f>
        <v/>
      </c>
      <c r="J171" s="3" t="inlineStr">
        <is>
          <t>epoch_csp_chip_quantity_latest</t>
        </is>
      </c>
      <c r="K171" s="3" t="inlineStr">
        <is>
          <t>SRC_EPOCH_AI_DATA_CENTERS; EPOCH_RAW_CHIP_QUANTITIES</t>
        </is>
      </c>
      <c r="L171" s="3" t="inlineStr">
        <is>
          <t>Latest chip quantity per CSP/data-center/accelerator through year-end; normalized by unit count. Shares are editable.</t>
        </is>
      </c>
    </row>
    <row r="172">
      <c r="A172" s="5">
        <f>B172&amp;"|"&amp;C172&amp;"|"&amp;D172&amp;"|"&amp;E172</f>
        <v/>
      </c>
      <c r="B172" s="3" t="inlineStr">
        <is>
          <t>Grid-Constrained / Efficiency-Upside</t>
        </is>
      </c>
      <c r="C172" s="3" t="inlineStr">
        <is>
          <t>Google</t>
        </is>
      </c>
      <c r="D172" s="3" t="n">
        <v>2028</v>
      </c>
      <c r="E172" s="25" t="inlineStr">
        <is>
          <t>R200/R300 future</t>
        </is>
      </c>
      <c r="F172" s="5">
        <f>IFERROR(INDEX('02x_Accelerator_Catalog'!$C$2:$C$11,MATCH(E172,'02x_Accelerator_Catalog'!$B$2:$B$11,0)),"purpose_or_unbenchmarked")</f>
        <v/>
      </c>
      <c r="G172" s="8">
        <f>IFERROR(INDEX('02x_Accelerator_Catalog'!$D$2:$D$11,MATCH(E172,'02x_Accelerator_Catalog'!$B$2:$B$11,0)),"")</f>
        <v/>
      </c>
      <c r="H172" s="17" t="n">
        <v>0.17959098</v>
      </c>
      <c r="I172" s="6">
        <f>SUMIFS($H$2:$H$573,$B$2:$B$573,B172,$C$2:$C$573,C172,$D$2:$D$573,D172)</f>
        <v/>
      </c>
      <c r="J172" s="3" t="inlineStr">
        <is>
          <t>epoch_csp_chip_quantity_latest</t>
        </is>
      </c>
      <c r="K172" s="3" t="inlineStr">
        <is>
          <t>SRC_EPOCH_AI_DATA_CENTERS; EPOCH_RAW_CHIP_QUANTITIES</t>
        </is>
      </c>
      <c r="L172" s="3" t="inlineStr">
        <is>
          <t>Latest chip quantity per CSP/data-center/accelerator through year-end; normalized by unit count. Shares are editable.</t>
        </is>
      </c>
    </row>
    <row r="173">
      <c r="A173" s="5">
        <f>B173&amp;"|"&amp;C173&amp;"|"&amp;D173&amp;"|"&amp;E173</f>
        <v/>
      </c>
      <c r="B173" s="3" t="inlineStr">
        <is>
          <t>Grid-Constrained / Efficiency-Upside</t>
        </is>
      </c>
      <c r="C173" s="3" t="inlineStr">
        <is>
          <t>Google</t>
        </is>
      </c>
      <c r="D173" s="3" t="n">
        <v>2028</v>
      </c>
      <c r="E173" s="25" t="inlineStr">
        <is>
          <t>TPU</t>
        </is>
      </c>
      <c r="F173" s="5">
        <f>IFERROR(INDEX('02x_Accelerator_Catalog'!$C$2:$C$11,MATCH(E173,'02x_Accelerator_Catalog'!$B$2:$B$11,0)),"purpose_or_unbenchmarked")</f>
        <v/>
      </c>
      <c r="G173" s="8">
        <f>IFERROR(INDEX('02x_Accelerator_Catalog'!$D$2:$D$11,MATCH(E173,'02x_Accelerator_Catalog'!$B$2:$B$11,0)),"")</f>
        <v/>
      </c>
      <c r="H173" s="17" t="n">
        <v>0.73159836</v>
      </c>
      <c r="I173" s="6">
        <f>SUMIFS($H$2:$H$573,$B$2:$B$573,B173,$C$2:$C$573,C173,$D$2:$D$573,D173)</f>
        <v/>
      </c>
      <c r="J173" s="3" t="inlineStr">
        <is>
          <t>epoch_csp_chip_quantity_latest</t>
        </is>
      </c>
      <c r="K173" s="3" t="inlineStr">
        <is>
          <t>SRC_EPOCH_AI_DATA_CENTERS; EPOCH_RAW_CHIP_QUANTITIES</t>
        </is>
      </c>
      <c r="L173" s="3" t="inlineStr">
        <is>
          <t>Latest chip quantity per CSP/data-center/accelerator through year-end; normalized by unit count. Shares are editable.</t>
        </is>
      </c>
    </row>
    <row r="174">
      <c r="A174" s="5">
        <f>B174&amp;"|"&amp;C174&amp;"|"&amp;D174&amp;"|"&amp;E174</f>
        <v/>
      </c>
      <c r="B174" s="3" t="inlineStr">
        <is>
          <t>Bear</t>
        </is>
      </c>
      <c r="C174" s="3" t="inlineStr">
        <is>
          <t>Google</t>
        </is>
      </c>
      <c r="D174" s="3" t="n">
        <v>2029</v>
      </c>
      <c r="E174" s="25" t="inlineStr">
        <is>
          <t>B200/B300 class</t>
        </is>
      </c>
      <c r="F174" s="5">
        <f>IFERROR(INDEX('02x_Accelerator_Catalog'!$C$2:$C$11,MATCH(E174,'02x_Accelerator_Catalog'!$B$2:$B$11,0)),"purpose_or_unbenchmarked")</f>
        <v/>
      </c>
      <c r="G174" s="8">
        <f>IFERROR(INDEX('02x_Accelerator_Catalog'!$D$2:$D$11,MATCH(E174,'02x_Accelerator_Catalog'!$B$2:$B$11,0)),"")</f>
        <v/>
      </c>
      <c r="H174" s="17" t="n">
        <v>0.08881066</v>
      </c>
      <c r="I174" s="6">
        <f>SUMIFS($H$2:$H$573,$B$2:$B$573,B174,$C$2:$C$573,C174,$D$2:$D$573,D174)</f>
        <v/>
      </c>
      <c r="J174" s="3" t="inlineStr">
        <is>
          <t>epoch_csp_chip_quantity_latest</t>
        </is>
      </c>
      <c r="K174" s="3" t="inlineStr">
        <is>
          <t>SRC_EPOCH_AI_DATA_CENTERS; EPOCH_RAW_CHIP_QUANTITIES</t>
        </is>
      </c>
      <c r="L174" s="3" t="inlineStr">
        <is>
          <t>Latest chip quantity per CSP/data-center/accelerator through year-end; normalized by unit count. Shares are editable.</t>
        </is>
      </c>
    </row>
    <row r="175">
      <c r="A175" s="5">
        <f>B175&amp;"|"&amp;C175&amp;"|"&amp;D175&amp;"|"&amp;E175</f>
        <v/>
      </c>
      <c r="B175" s="3" t="inlineStr">
        <is>
          <t>Bear</t>
        </is>
      </c>
      <c r="C175" s="3" t="inlineStr">
        <is>
          <t>Google</t>
        </is>
      </c>
      <c r="D175" s="3" t="n">
        <v>2029</v>
      </c>
      <c r="E175" s="25" t="inlineStr">
        <is>
          <t>R200/R300 future</t>
        </is>
      </c>
      <c r="F175" s="5">
        <f>IFERROR(INDEX('02x_Accelerator_Catalog'!$C$2:$C$11,MATCH(E175,'02x_Accelerator_Catalog'!$B$2:$B$11,0)),"purpose_or_unbenchmarked")</f>
        <v/>
      </c>
      <c r="G175" s="8">
        <f>IFERROR(INDEX('02x_Accelerator_Catalog'!$D$2:$D$11,MATCH(E175,'02x_Accelerator_Catalog'!$B$2:$B$11,0)),"")</f>
        <v/>
      </c>
      <c r="H175" s="17" t="n">
        <v>0.17959098</v>
      </c>
      <c r="I175" s="6">
        <f>SUMIFS($H$2:$H$573,$B$2:$B$573,B175,$C$2:$C$573,C175,$D$2:$D$573,D175)</f>
        <v/>
      </c>
      <c r="J175" s="3" t="inlineStr">
        <is>
          <t>epoch_csp_chip_quantity_latest</t>
        </is>
      </c>
      <c r="K175" s="3" t="inlineStr">
        <is>
          <t>SRC_EPOCH_AI_DATA_CENTERS; EPOCH_RAW_CHIP_QUANTITIES</t>
        </is>
      </c>
      <c r="L175" s="3" t="inlineStr">
        <is>
          <t>Latest chip quantity per CSP/data-center/accelerator through year-end; normalized by unit count. Shares are editable.</t>
        </is>
      </c>
    </row>
    <row r="176">
      <c r="A176" s="5">
        <f>B176&amp;"|"&amp;C176&amp;"|"&amp;D176&amp;"|"&amp;E176</f>
        <v/>
      </c>
      <c r="B176" s="3" t="inlineStr">
        <is>
          <t>Bear</t>
        </is>
      </c>
      <c r="C176" s="3" t="inlineStr">
        <is>
          <t>Google</t>
        </is>
      </c>
      <c r="D176" s="3" t="n">
        <v>2029</v>
      </c>
      <c r="E176" s="25" t="inlineStr">
        <is>
          <t>TPU</t>
        </is>
      </c>
      <c r="F176" s="5">
        <f>IFERROR(INDEX('02x_Accelerator_Catalog'!$C$2:$C$11,MATCH(E176,'02x_Accelerator_Catalog'!$B$2:$B$11,0)),"purpose_or_unbenchmarked")</f>
        <v/>
      </c>
      <c r="G176" s="8">
        <f>IFERROR(INDEX('02x_Accelerator_Catalog'!$D$2:$D$11,MATCH(E176,'02x_Accelerator_Catalog'!$B$2:$B$11,0)),"")</f>
        <v/>
      </c>
      <c r="H176" s="17" t="n">
        <v>0.73159836</v>
      </c>
      <c r="I176" s="6">
        <f>SUMIFS($H$2:$H$573,$B$2:$B$573,B176,$C$2:$C$573,C176,$D$2:$D$573,D176)</f>
        <v/>
      </c>
      <c r="J176" s="3" t="inlineStr">
        <is>
          <t>epoch_csp_chip_quantity_latest</t>
        </is>
      </c>
      <c r="K176" s="3" t="inlineStr">
        <is>
          <t>SRC_EPOCH_AI_DATA_CENTERS; EPOCH_RAW_CHIP_QUANTITIES</t>
        </is>
      </c>
      <c r="L176" s="3" t="inlineStr">
        <is>
          <t>Latest chip quantity per CSP/data-center/accelerator through year-end; normalized by unit count. Shares are editable.</t>
        </is>
      </c>
    </row>
    <row r="177">
      <c r="A177" s="5">
        <f>B177&amp;"|"&amp;C177&amp;"|"&amp;D177&amp;"|"&amp;E177</f>
        <v/>
      </c>
      <c r="B177" s="3" t="inlineStr">
        <is>
          <t>Base</t>
        </is>
      </c>
      <c r="C177" s="3" t="inlineStr">
        <is>
          <t>Google</t>
        </is>
      </c>
      <c r="D177" s="3" t="n">
        <v>2029</v>
      </c>
      <c r="E177" s="25" t="inlineStr">
        <is>
          <t>B200/B300 class</t>
        </is>
      </c>
      <c r="F177" s="5">
        <f>IFERROR(INDEX('02x_Accelerator_Catalog'!$C$2:$C$11,MATCH(E177,'02x_Accelerator_Catalog'!$B$2:$B$11,0)),"purpose_or_unbenchmarked")</f>
        <v/>
      </c>
      <c r="G177" s="8">
        <f>IFERROR(INDEX('02x_Accelerator_Catalog'!$D$2:$D$11,MATCH(E177,'02x_Accelerator_Catalog'!$B$2:$B$11,0)),"")</f>
        <v/>
      </c>
      <c r="H177" s="17" t="n">
        <v>0.08881066</v>
      </c>
      <c r="I177" s="6">
        <f>SUMIFS($H$2:$H$573,$B$2:$B$573,B177,$C$2:$C$573,C177,$D$2:$D$573,D177)</f>
        <v/>
      </c>
      <c r="J177" s="3" t="inlineStr">
        <is>
          <t>epoch_csp_chip_quantity_latest</t>
        </is>
      </c>
      <c r="K177" s="3" t="inlineStr">
        <is>
          <t>SRC_EPOCH_AI_DATA_CENTERS; EPOCH_RAW_CHIP_QUANTITIES</t>
        </is>
      </c>
      <c r="L177" s="3" t="inlineStr">
        <is>
          <t>Latest chip quantity per CSP/data-center/accelerator through year-end; normalized by unit count. Shares are editable.</t>
        </is>
      </c>
    </row>
    <row r="178">
      <c r="A178" s="5">
        <f>B178&amp;"|"&amp;C178&amp;"|"&amp;D178&amp;"|"&amp;E178</f>
        <v/>
      </c>
      <c r="B178" s="3" t="inlineStr">
        <is>
          <t>Base</t>
        </is>
      </c>
      <c r="C178" s="3" t="inlineStr">
        <is>
          <t>Google</t>
        </is>
      </c>
      <c r="D178" s="3" t="n">
        <v>2029</v>
      </c>
      <c r="E178" s="25" t="inlineStr">
        <is>
          <t>R200/R300 future</t>
        </is>
      </c>
      <c r="F178" s="5">
        <f>IFERROR(INDEX('02x_Accelerator_Catalog'!$C$2:$C$11,MATCH(E178,'02x_Accelerator_Catalog'!$B$2:$B$11,0)),"purpose_or_unbenchmarked")</f>
        <v/>
      </c>
      <c r="G178" s="8">
        <f>IFERROR(INDEX('02x_Accelerator_Catalog'!$D$2:$D$11,MATCH(E178,'02x_Accelerator_Catalog'!$B$2:$B$11,0)),"")</f>
        <v/>
      </c>
      <c r="H178" s="17" t="n">
        <v>0.17959098</v>
      </c>
      <c r="I178" s="6">
        <f>SUMIFS($H$2:$H$573,$B$2:$B$573,B178,$C$2:$C$573,C178,$D$2:$D$573,D178)</f>
        <v/>
      </c>
      <c r="J178" s="3" t="inlineStr">
        <is>
          <t>epoch_csp_chip_quantity_latest</t>
        </is>
      </c>
      <c r="K178" s="3" t="inlineStr">
        <is>
          <t>SRC_EPOCH_AI_DATA_CENTERS; EPOCH_RAW_CHIP_QUANTITIES</t>
        </is>
      </c>
      <c r="L178" s="3" t="inlineStr">
        <is>
          <t>Latest chip quantity per CSP/data-center/accelerator through year-end; normalized by unit count. Shares are editable.</t>
        </is>
      </c>
    </row>
    <row r="179">
      <c r="A179" s="5">
        <f>B179&amp;"|"&amp;C179&amp;"|"&amp;D179&amp;"|"&amp;E179</f>
        <v/>
      </c>
      <c r="B179" s="3" t="inlineStr">
        <is>
          <t>Base</t>
        </is>
      </c>
      <c r="C179" s="3" t="inlineStr">
        <is>
          <t>Google</t>
        </is>
      </c>
      <c r="D179" s="3" t="n">
        <v>2029</v>
      </c>
      <c r="E179" s="25" t="inlineStr">
        <is>
          <t>TPU</t>
        </is>
      </c>
      <c r="F179" s="5">
        <f>IFERROR(INDEX('02x_Accelerator_Catalog'!$C$2:$C$11,MATCH(E179,'02x_Accelerator_Catalog'!$B$2:$B$11,0)),"purpose_or_unbenchmarked")</f>
        <v/>
      </c>
      <c r="G179" s="8">
        <f>IFERROR(INDEX('02x_Accelerator_Catalog'!$D$2:$D$11,MATCH(E179,'02x_Accelerator_Catalog'!$B$2:$B$11,0)),"")</f>
        <v/>
      </c>
      <c r="H179" s="17" t="n">
        <v>0.73159836</v>
      </c>
      <c r="I179" s="6">
        <f>SUMIFS($H$2:$H$573,$B$2:$B$573,B179,$C$2:$C$573,C179,$D$2:$D$573,D179)</f>
        <v/>
      </c>
      <c r="J179" s="3" t="inlineStr">
        <is>
          <t>epoch_csp_chip_quantity_latest</t>
        </is>
      </c>
      <c r="K179" s="3" t="inlineStr">
        <is>
          <t>SRC_EPOCH_AI_DATA_CENTERS; EPOCH_RAW_CHIP_QUANTITIES</t>
        </is>
      </c>
      <c r="L179" s="3" t="inlineStr">
        <is>
          <t>Latest chip quantity per CSP/data-center/accelerator through year-end; normalized by unit count. Shares are editable.</t>
        </is>
      </c>
    </row>
    <row r="180">
      <c r="A180" s="5">
        <f>B180&amp;"|"&amp;C180&amp;"|"&amp;D180&amp;"|"&amp;E180</f>
        <v/>
      </c>
      <c r="B180" s="3" t="inlineStr">
        <is>
          <t>Bull</t>
        </is>
      </c>
      <c r="C180" s="3" t="inlineStr">
        <is>
          <t>Google</t>
        </is>
      </c>
      <c r="D180" s="3" t="n">
        <v>2029</v>
      </c>
      <c r="E180" s="25" t="inlineStr">
        <is>
          <t>B200/B300 class</t>
        </is>
      </c>
      <c r="F180" s="5">
        <f>IFERROR(INDEX('02x_Accelerator_Catalog'!$C$2:$C$11,MATCH(E180,'02x_Accelerator_Catalog'!$B$2:$B$11,0)),"purpose_or_unbenchmarked")</f>
        <v/>
      </c>
      <c r="G180" s="8">
        <f>IFERROR(INDEX('02x_Accelerator_Catalog'!$D$2:$D$11,MATCH(E180,'02x_Accelerator_Catalog'!$B$2:$B$11,0)),"")</f>
        <v/>
      </c>
      <c r="H180" s="17" t="n">
        <v>0.08881066</v>
      </c>
      <c r="I180" s="6">
        <f>SUMIFS($H$2:$H$573,$B$2:$B$573,B180,$C$2:$C$573,C180,$D$2:$D$573,D180)</f>
        <v/>
      </c>
      <c r="J180" s="3" t="inlineStr">
        <is>
          <t>epoch_csp_chip_quantity_latest</t>
        </is>
      </c>
      <c r="K180" s="3" t="inlineStr">
        <is>
          <t>SRC_EPOCH_AI_DATA_CENTERS; EPOCH_RAW_CHIP_QUANTITIES</t>
        </is>
      </c>
      <c r="L180" s="3" t="inlineStr">
        <is>
          <t>Latest chip quantity per CSP/data-center/accelerator through year-end; normalized by unit count. Shares are editable.</t>
        </is>
      </c>
    </row>
    <row r="181">
      <c r="A181" s="5">
        <f>B181&amp;"|"&amp;C181&amp;"|"&amp;D181&amp;"|"&amp;E181</f>
        <v/>
      </c>
      <c r="B181" s="3" t="inlineStr">
        <is>
          <t>Bull</t>
        </is>
      </c>
      <c r="C181" s="3" t="inlineStr">
        <is>
          <t>Google</t>
        </is>
      </c>
      <c r="D181" s="3" t="n">
        <v>2029</v>
      </c>
      <c r="E181" s="25" t="inlineStr">
        <is>
          <t>R200/R300 future</t>
        </is>
      </c>
      <c r="F181" s="5">
        <f>IFERROR(INDEX('02x_Accelerator_Catalog'!$C$2:$C$11,MATCH(E181,'02x_Accelerator_Catalog'!$B$2:$B$11,0)),"purpose_or_unbenchmarked")</f>
        <v/>
      </c>
      <c r="G181" s="8">
        <f>IFERROR(INDEX('02x_Accelerator_Catalog'!$D$2:$D$11,MATCH(E181,'02x_Accelerator_Catalog'!$B$2:$B$11,0)),"")</f>
        <v/>
      </c>
      <c r="H181" s="17" t="n">
        <v>0.17959098</v>
      </c>
      <c r="I181" s="6">
        <f>SUMIFS($H$2:$H$573,$B$2:$B$573,B181,$C$2:$C$573,C181,$D$2:$D$573,D181)</f>
        <v/>
      </c>
      <c r="J181" s="3" t="inlineStr">
        <is>
          <t>epoch_csp_chip_quantity_latest</t>
        </is>
      </c>
      <c r="K181" s="3" t="inlineStr">
        <is>
          <t>SRC_EPOCH_AI_DATA_CENTERS; EPOCH_RAW_CHIP_QUANTITIES</t>
        </is>
      </c>
      <c r="L181" s="3" t="inlineStr">
        <is>
          <t>Latest chip quantity per CSP/data-center/accelerator through year-end; normalized by unit count. Shares are editable.</t>
        </is>
      </c>
    </row>
    <row r="182">
      <c r="A182" s="5">
        <f>B182&amp;"|"&amp;C182&amp;"|"&amp;D182&amp;"|"&amp;E182</f>
        <v/>
      </c>
      <c r="B182" s="3" t="inlineStr">
        <is>
          <t>Bull</t>
        </is>
      </c>
      <c r="C182" s="3" t="inlineStr">
        <is>
          <t>Google</t>
        </is>
      </c>
      <c r="D182" s="3" t="n">
        <v>2029</v>
      </c>
      <c r="E182" s="25" t="inlineStr">
        <is>
          <t>TPU</t>
        </is>
      </c>
      <c r="F182" s="5">
        <f>IFERROR(INDEX('02x_Accelerator_Catalog'!$C$2:$C$11,MATCH(E182,'02x_Accelerator_Catalog'!$B$2:$B$11,0)),"purpose_or_unbenchmarked")</f>
        <v/>
      </c>
      <c r="G182" s="8">
        <f>IFERROR(INDEX('02x_Accelerator_Catalog'!$D$2:$D$11,MATCH(E182,'02x_Accelerator_Catalog'!$B$2:$B$11,0)),"")</f>
        <v/>
      </c>
      <c r="H182" s="17" t="n">
        <v>0.73159836</v>
      </c>
      <c r="I182" s="6">
        <f>SUMIFS($H$2:$H$573,$B$2:$B$573,B182,$C$2:$C$573,C182,$D$2:$D$573,D182)</f>
        <v/>
      </c>
      <c r="J182" s="3" t="inlineStr">
        <is>
          <t>epoch_csp_chip_quantity_latest</t>
        </is>
      </c>
      <c r="K182" s="3" t="inlineStr">
        <is>
          <t>SRC_EPOCH_AI_DATA_CENTERS; EPOCH_RAW_CHIP_QUANTITIES</t>
        </is>
      </c>
      <c r="L182" s="3" t="inlineStr">
        <is>
          <t>Latest chip quantity per CSP/data-center/accelerator through year-end; normalized by unit count. Shares are editable.</t>
        </is>
      </c>
    </row>
    <row r="183">
      <c r="A183" s="5">
        <f>B183&amp;"|"&amp;C183&amp;"|"&amp;D183&amp;"|"&amp;E183</f>
        <v/>
      </c>
      <c r="B183" s="3" t="inlineStr">
        <is>
          <t>Grid-Constrained / Efficiency-Upside</t>
        </is>
      </c>
      <c r="C183" s="3" t="inlineStr">
        <is>
          <t>Google</t>
        </is>
      </c>
      <c r="D183" s="3" t="n">
        <v>2029</v>
      </c>
      <c r="E183" s="25" t="inlineStr">
        <is>
          <t>B200/B300 class</t>
        </is>
      </c>
      <c r="F183" s="5">
        <f>IFERROR(INDEX('02x_Accelerator_Catalog'!$C$2:$C$11,MATCH(E183,'02x_Accelerator_Catalog'!$B$2:$B$11,0)),"purpose_or_unbenchmarked")</f>
        <v/>
      </c>
      <c r="G183" s="8">
        <f>IFERROR(INDEX('02x_Accelerator_Catalog'!$D$2:$D$11,MATCH(E183,'02x_Accelerator_Catalog'!$B$2:$B$11,0)),"")</f>
        <v/>
      </c>
      <c r="H183" s="17" t="n">
        <v>0.08881066</v>
      </c>
      <c r="I183" s="6">
        <f>SUMIFS($H$2:$H$573,$B$2:$B$573,B183,$C$2:$C$573,C183,$D$2:$D$573,D183)</f>
        <v/>
      </c>
      <c r="J183" s="3" t="inlineStr">
        <is>
          <t>epoch_csp_chip_quantity_latest</t>
        </is>
      </c>
      <c r="K183" s="3" t="inlineStr">
        <is>
          <t>SRC_EPOCH_AI_DATA_CENTERS; EPOCH_RAW_CHIP_QUANTITIES</t>
        </is>
      </c>
      <c r="L183" s="3" t="inlineStr">
        <is>
          <t>Latest chip quantity per CSP/data-center/accelerator through year-end; normalized by unit count. Shares are editable.</t>
        </is>
      </c>
    </row>
    <row r="184">
      <c r="A184" s="5">
        <f>B184&amp;"|"&amp;C184&amp;"|"&amp;D184&amp;"|"&amp;E184</f>
        <v/>
      </c>
      <c r="B184" s="3" t="inlineStr">
        <is>
          <t>Grid-Constrained / Efficiency-Upside</t>
        </is>
      </c>
      <c r="C184" s="3" t="inlineStr">
        <is>
          <t>Google</t>
        </is>
      </c>
      <c r="D184" s="3" t="n">
        <v>2029</v>
      </c>
      <c r="E184" s="25" t="inlineStr">
        <is>
          <t>R200/R300 future</t>
        </is>
      </c>
      <c r="F184" s="5">
        <f>IFERROR(INDEX('02x_Accelerator_Catalog'!$C$2:$C$11,MATCH(E184,'02x_Accelerator_Catalog'!$B$2:$B$11,0)),"purpose_or_unbenchmarked")</f>
        <v/>
      </c>
      <c r="G184" s="8">
        <f>IFERROR(INDEX('02x_Accelerator_Catalog'!$D$2:$D$11,MATCH(E184,'02x_Accelerator_Catalog'!$B$2:$B$11,0)),"")</f>
        <v/>
      </c>
      <c r="H184" s="17" t="n">
        <v>0.17959098</v>
      </c>
      <c r="I184" s="6">
        <f>SUMIFS($H$2:$H$573,$B$2:$B$573,B184,$C$2:$C$573,C184,$D$2:$D$573,D184)</f>
        <v/>
      </c>
      <c r="J184" s="3" t="inlineStr">
        <is>
          <t>epoch_csp_chip_quantity_latest</t>
        </is>
      </c>
      <c r="K184" s="3" t="inlineStr">
        <is>
          <t>SRC_EPOCH_AI_DATA_CENTERS; EPOCH_RAW_CHIP_QUANTITIES</t>
        </is>
      </c>
      <c r="L184" s="3" t="inlineStr">
        <is>
          <t>Latest chip quantity per CSP/data-center/accelerator through year-end; normalized by unit count. Shares are editable.</t>
        </is>
      </c>
    </row>
    <row r="185">
      <c r="A185" s="5">
        <f>B185&amp;"|"&amp;C185&amp;"|"&amp;D185&amp;"|"&amp;E185</f>
        <v/>
      </c>
      <c r="B185" s="3" t="inlineStr">
        <is>
          <t>Grid-Constrained / Efficiency-Upside</t>
        </is>
      </c>
      <c r="C185" s="3" t="inlineStr">
        <is>
          <t>Google</t>
        </is>
      </c>
      <c r="D185" s="3" t="n">
        <v>2029</v>
      </c>
      <c r="E185" s="25" t="inlineStr">
        <is>
          <t>TPU</t>
        </is>
      </c>
      <c r="F185" s="5">
        <f>IFERROR(INDEX('02x_Accelerator_Catalog'!$C$2:$C$11,MATCH(E185,'02x_Accelerator_Catalog'!$B$2:$B$11,0)),"purpose_or_unbenchmarked")</f>
        <v/>
      </c>
      <c r="G185" s="8">
        <f>IFERROR(INDEX('02x_Accelerator_Catalog'!$D$2:$D$11,MATCH(E185,'02x_Accelerator_Catalog'!$B$2:$B$11,0)),"")</f>
        <v/>
      </c>
      <c r="H185" s="17" t="n">
        <v>0.73159836</v>
      </c>
      <c r="I185" s="6">
        <f>SUMIFS($H$2:$H$573,$B$2:$B$573,B185,$C$2:$C$573,C185,$D$2:$D$573,D185)</f>
        <v/>
      </c>
      <c r="J185" s="3" t="inlineStr">
        <is>
          <t>epoch_csp_chip_quantity_latest</t>
        </is>
      </c>
      <c r="K185" s="3" t="inlineStr">
        <is>
          <t>SRC_EPOCH_AI_DATA_CENTERS; EPOCH_RAW_CHIP_QUANTITIES</t>
        </is>
      </c>
      <c r="L185" s="3" t="inlineStr">
        <is>
          <t>Latest chip quantity per CSP/data-center/accelerator through year-end; normalized by unit count. Shares are editable.</t>
        </is>
      </c>
    </row>
    <row r="186">
      <c r="A186" s="5">
        <f>B186&amp;"|"&amp;C186&amp;"|"&amp;D186&amp;"|"&amp;E186</f>
        <v/>
      </c>
      <c r="B186" s="3" t="inlineStr">
        <is>
          <t>Bear</t>
        </is>
      </c>
      <c r="C186" s="3" t="inlineStr">
        <is>
          <t>Google</t>
        </is>
      </c>
      <c r="D186" s="3" t="n">
        <v>2030</v>
      </c>
      <c r="E186" s="25" t="inlineStr">
        <is>
          <t>B200/B300 class</t>
        </is>
      </c>
      <c r="F186" s="5">
        <f>IFERROR(INDEX('02x_Accelerator_Catalog'!$C$2:$C$11,MATCH(E186,'02x_Accelerator_Catalog'!$B$2:$B$11,0)),"purpose_or_unbenchmarked")</f>
        <v/>
      </c>
      <c r="G186" s="8">
        <f>IFERROR(INDEX('02x_Accelerator_Catalog'!$D$2:$D$11,MATCH(E186,'02x_Accelerator_Catalog'!$B$2:$B$11,0)),"")</f>
        <v/>
      </c>
      <c r="H186" s="17" t="n">
        <v>0.08881066</v>
      </c>
      <c r="I186" s="6">
        <f>SUMIFS($H$2:$H$573,$B$2:$B$573,B186,$C$2:$C$573,C186,$D$2:$D$573,D186)</f>
        <v/>
      </c>
      <c r="J186" s="3" t="inlineStr">
        <is>
          <t>epoch_csp_chip_quantity_latest</t>
        </is>
      </c>
      <c r="K186" s="3" t="inlineStr">
        <is>
          <t>SRC_EPOCH_AI_DATA_CENTERS; EPOCH_RAW_CHIP_QUANTITIES</t>
        </is>
      </c>
      <c r="L186" s="3" t="inlineStr">
        <is>
          <t>Latest chip quantity per CSP/data-center/accelerator through year-end; normalized by unit count. Shares are editable.</t>
        </is>
      </c>
    </row>
    <row r="187">
      <c r="A187" s="5">
        <f>B187&amp;"|"&amp;C187&amp;"|"&amp;D187&amp;"|"&amp;E187</f>
        <v/>
      </c>
      <c r="B187" s="3" t="inlineStr">
        <is>
          <t>Bear</t>
        </is>
      </c>
      <c r="C187" s="3" t="inlineStr">
        <is>
          <t>Google</t>
        </is>
      </c>
      <c r="D187" s="3" t="n">
        <v>2030</v>
      </c>
      <c r="E187" s="25" t="inlineStr">
        <is>
          <t>R200/R300 future</t>
        </is>
      </c>
      <c r="F187" s="5">
        <f>IFERROR(INDEX('02x_Accelerator_Catalog'!$C$2:$C$11,MATCH(E187,'02x_Accelerator_Catalog'!$B$2:$B$11,0)),"purpose_or_unbenchmarked")</f>
        <v/>
      </c>
      <c r="G187" s="8">
        <f>IFERROR(INDEX('02x_Accelerator_Catalog'!$D$2:$D$11,MATCH(E187,'02x_Accelerator_Catalog'!$B$2:$B$11,0)),"")</f>
        <v/>
      </c>
      <c r="H187" s="17" t="n">
        <v>0.17959098</v>
      </c>
      <c r="I187" s="6">
        <f>SUMIFS($H$2:$H$573,$B$2:$B$573,B187,$C$2:$C$573,C187,$D$2:$D$573,D187)</f>
        <v/>
      </c>
      <c r="J187" s="3" t="inlineStr">
        <is>
          <t>epoch_csp_chip_quantity_latest</t>
        </is>
      </c>
      <c r="K187" s="3" t="inlineStr">
        <is>
          <t>SRC_EPOCH_AI_DATA_CENTERS; EPOCH_RAW_CHIP_QUANTITIES</t>
        </is>
      </c>
      <c r="L187" s="3" t="inlineStr">
        <is>
          <t>Latest chip quantity per CSP/data-center/accelerator through year-end; normalized by unit count. Shares are editable.</t>
        </is>
      </c>
    </row>
    <row r="188">
      <c r="A188" s="5">
        <f>B188&amp;"|"&amp;C188&amp;"|"&amp;D188&amp;"|"&amp;E188</f>
        <v/>
      </c>
      <c r="B188" s="3" t="inlineStr">
        <is>
          <t>Bear</t>
        </is>
      </c>
      <c r="C188" s="3" t="inlineStr">
        <is>
          <t>Google</t>
        </is>
      </c>
      <c r="D188" s="3" t="n">
        <v>2030</v>
      </c>
      <c r="E188" s="25" t="inlineStr">
        <is>
          <t>TPU</t>
        </is>
      </c>
      <c r="F188" s="5">
        <f>IFERROR(INDEX('02x_Accelerator_Catalog'!$C$2:$C$11,MATCH(E188,'02x_Accelerator_Catalog'!$B$2:$B$11,0)),"purpose_or_unbenchmarked")</f>
        <v/>
      </c>
      <c r="G188" s="8">
        <f>IFERROR(INDEX('02x_Accelerator_Catalog'!$D$2:$D$11,MATCH(E188,'02x_Accelerator_Catalog'!$B$2:$B$11,0)),"")</f>
        <v/>
      </c>
      <c r="H188" s="17" t="n">
        <v>0.73159836</v>
      </c>
      <c r="I188" s="6">
        <f>SUMIFS($H$2:$H$573,$B$2:$B$573,B188,$C$2:$C$573,C188,$D$2:$D$573,D188)</f>
        <v/>
      </c>
      <c r="J188" s="3" t="inlineStr">
        <is>
          <t>epoch_csp_chip_quantity_latest</t>
        </is>
      </c>
      <c r="K188" s="3" t="inlineStr">
        <is>
          <t>SRC_EPOCH_AI_DATA_CENTERS; EPOCH_RAW_CHIP_QUANTITIES</t>
        </is>
      </c>
      <c r="L188" s="3" t="inlineStr">
        <is>
          <t>Latest chip quantity per CSP/data-center/accelerator through year-end; normalized by unit count. Shares are editable.</t>
        </is>
      </c>
    </row>
    <row r="189">
      <c r="A189" s="5">
        <f>B189&amp;"|"&amp;C189&amp;"|"&amp;D189&amp;"|"&amp;E189</f>
        <v/>
      </c>
      <c r="B189" s="3" t="inlineStr">
        <is>
          <t>Base</t>
        </is>
      </c>
      <c r="C189" s="3" t="inlineStr">
        <is>
          <t>Google</t>
        </is>
      </c>
      <c r="D189" s="3" t="n">
        <v>2030</v>
      </c>
      <c r="E189" s="25" t="inlineStr">
        <is>
          <t>B200/B300 class</t>
        </is>
      </c>
      <c r="F189" s="5">
        <f>IFERROR(INDEX('02x_Accelerator_Catalog'!$C$2:$C$11,MATCH(E189,'02x_Accelerator_Catalog'!$B$2:$B$11,0)),"purpose_or_unbenchmarked")</f>
        <v/>
      </c>
      <c r="G189" s="8">
        <f>IFERROR(INDEX('02x_Accelerator_Catalog'!$D$2:$D$11,MATCH(E189,'02x_Accelerator_Catalog'!$B$2:$B$11,0)),"")</f>
        <v/>
      </c>
      <c r="H189" s="17" t="n">
        <v>0.08881066</v>
      </c>
      <c r="I189" s="6">
        <f>SUMIFS($H$2:$H$573,$B$2:$B$573,B189,$C$2:$C$573,C189,$D$2:$D$573,D189)</f>
        <v/>
      </c>
      <c r="J189" s="3" t="inlineStr">
        <is>
          <t>epoch_csp_chip_quantity_latest</t>
        </is>
      </c>
      <c r="K189" s="3" t="inlineStr">
        <is>
          <t>SRC_EPOCH_AI_DATA_CENTERS; EPOCH_RAW_CHIP_QUANTITIES</t>
        </is>
      </c>
      <c r="L189" s="3" t="inlineStr">
        <is>
          <t>Latest chip quantity per CSP/data-center/accelerator through year-end; normalized by unit count. Shares are editable.</t>
        </is>
      </c>
    </row>
    <row r="190">
      <c r="A190" s="5">
        <f>B190&amp;"|"&amp;C190&amp;"|"&amp;D190&amp;"|"&amp;E190</f>
        <v/>
      </c>
      <c r="B190" s="3" t="inlineStr">
        <is>
          <t>Base</t>
        </is>
      </c>
      <c r="C190" s="3" t="inlineStr">
        <is>
          <t>Google</t>
        </is>
      </c>
      <c r="D190" s="3" t="n">
        <v>2030</v>
      </c>
      <c r="E190" s="25" t="inlineStr">
        <is>
          <t>R200/R300 future</t>
        </is>
      </c>
      <c r="F190" s="5">
        <f>IFERROR(INDEX('02x_Accelerator_Catalog'!$C$2:$C$11,MATCH(E190,'02x_Accelerator_Catalog'!$B$2:$B$11,0)),"purpose_or_unbenchmarked")</f>
        <v/>
      </c>
      <c r="G190" s="8">
        <f>IFERROR(INDEX('02x_Accelerator_Catalog'!$D$2:$D$11,MATCH(E190,'02x_Accelerator_Catalog'!$B$2:$B$11,0)),"")</f>
        <v/>
      </c>
      <c r="H190" s="17" t="n">
        <v>0.17959098</v>
      </c>
      <c r="I190" s="6">
        <f>SUMIFS($H$2:$H$573,$B$2:$B$573,B190,$C$2:$C$573,C190,$D$2:$D$573,D190)</f>
        <v/>
      </c>
      <c r="J190" s="3" t="inlineStr">
        <is>
          <t>epoch_csp_chip_quantity_latest</t>
        </is>
      </c>
      <c r="K190" s="3" t="inlineStr">
        <is>
          <t>SRC_EPOCH_AI_DATA_CENTERS; EPOCH_RAW_CHIP_QUANTITIES</t>
        </is>
      </c>
      <c r="L190" s="3" t="inlineStr">
        <is>
          <t>Latest chip quantity per CSP/data-center/accelerator through year-end; normalized by unit count. Shares are editable.</t>
        </is>
      </c>
    </row>
    <row r="191">
      <c r="A191" s="5">
        <f>B191&amp;"|"&amp;C191&amp;"|"&amp;D191&amp;"|"&amp;E191</f>
        <v/>
      </c>
      <c r="B191" s="3" t="inlineStr">
        <is>
          <t>Base</t>
        </is>
      </c>
      <c r="C191" s="3" t="inlineStr">
        <is>
          <t>Google</t>
        </is>
      </c>
      <c r="D191" s="3" t="n">
        <v>2030</v>
      </c>
      <c r="E191" s="25" t="inlineStr">
        <is>
          <t>TPU</t>
        </is>
      </c>
      <c r="F191" s="5">
        <f>IFERROR(INDEX('02x_Accelerator_Catalog'!$C$2:$C$11,MATCH(E191,'02x_Accelerator_Catalog'!$B$2:$B$11,0)),"purpose_or_unbenchmarked")</f>
        <v/>
      </c>
      <c r="G191" s="8">
        <f>IFERROR(INDEX('02x_Accelerator_Catalog'!$D$2:$D$11,MATCH(E191,'02x_Accelerator_Catalog'!$B$2:$B$11,0)),"")</f>
        <v/>
      </c>
      <c r="H191" s="17" t="n">
        <v>0.73159836</v>
      </c>
      <c r="I191" s="6">
        <f>SUMIFS($H$2:$H$573,$B$2:$B$573,B191,$C$2:$C$573,C191,$D$2:$D$573,D191)</f>
        <v/>
      </c>
      <c r="J191" s="3" t="inlineStr">
        <is>
          <t>epoch_csp_chip_quantity_latest</t>
        </is>
      </c>
      <c r="K191" s="3" t="inlineStr">
        <is>
          <t>SRC_EPOCH_AI_DATA_CENTERS; EPOCH_RAW_CHIP_QUANTITIES</t>
        </is>
      </c>
      <c r="L191" s="3" t="inlineStr">
        <is>
          <t>Latest chip quantity per CSP/data-center/accelerator through year-end; normalized by unit count. Shares are editable.</t>
        </is>
      </c>
    </row>
    <row r="192">
      <c r="A192" s="5">
        <f>B192&amp;"|"&amp;C192&amp;"|"&amp;D192&amp;"|"&amp;E192</f>
        <v/>
      </c>
      <c r="B192" s="3" t="inlineStr">
        <is>
          <t>Bull</t>
        </is>
      </c>
      <c r="C192" s="3" t="inlineStr">
        <is>
          <t>Google</t>
        </is>
      </c>
      <c r="D192" s="3" t="n">
        <v>2030</v>
      </c>
      <c r="E192" s="25" t="inlineStr">
        <is>
          <t>B200/B300 class</t>
        </is>
      </c>
      <c r="F192" s="5">
        <f>IFERROR(INDEX('02x_Accelerator_Catalog'!$C$2:$C$11,MATCH(E192,'02x_Accelerator_Catalog'!$B$2:$B$11,0)),"purpose_or_unbenchmarked")</f>
        <v/>
      </c>
      <c r="G192" s="8">
        <f>IFERROR(INDEX('02x_Accelerator_Catalog'!$D$2:$D$11,MATCH(E192,'02x_Accelerator_Catalog'!$B$2:$B$11,0)),"")</f>
        <v/>
      </c>
      <c r="H192" s="17" t="n">
        <v>0.08881066</v>
      </c>
      <c r="I192" s="6">
        <f>SUMIFS($H$2:$H$573,$B$2:$B$573,B192,$C$2:$C$573,C192,$D$2:$D$573,D192)</f>
        <v/>
      </c>
      <c r="J192" s="3" t="inlineStr">
        <is>
          <t>epoch_csp_chip_quantity_latest</t>
        </is>
      </c>
      <c r="K192" s="3" t="inlineStr">
        <is>
          <t>SRC_EPOCH_AI_DATA_CENTERS; EPOCH_RAW_CHIP_QUANTITIES</t>
        </is>
      </c>
      <c r="L192" s="3" t="inlineStr">
        <is>
          <t>Latest chip quantity per CSP/data-center/accelerator through year-end; normalized by unit count. Shares are editable.</t>
        </is>
      </c>
    </row>
    <row r="193">
      <c r="A193" s="5">
        <f>B193&amp;"|"&amp;C193&amp;"|"&amp;D193&amp;"|"&amp;E193</f>
        <v/>
      </c>
      <c r="B193" s="3" t="inlineStr">
        <is>
          <t>Bull</t>
        </is>
      </c>
      <c r="C193" s="3" t="inlineStr">
        <is>
          <t>Google</t>
        </is>
      </c>
      <c r="D193" s="3" t="n">
        <v>2030</v>
      </c>
      <c r="E193" s="25" t="inlineStr">
        <is>
          <t>R200/R300 future</t>
        </is>
      </c>
      <c r="F193" s="5">
        <f>IFERROR(INDEX('02x_Accelerator_Catalog'!$C$2:$C$11,MATCH(E193,'02x_Accelerator_Catalog'!$B$2:$B$11,0)),"purpose_or_unbenchmarked")</f>
        <v/>
      </c>
      <c r="G193" s="8">
        <f>IFERROR(INDEX('02x_Accelerator_Catalog'!$D$2:$D$11,MATCH(E193,'02x_Accelerator_Catalog'!$B$2:$B$11,0)),"")</f>
        <v/>
      </c>
      <c r="H193" s="17" t="n">
        <v>0.17959098</v>
      </c>
      <c r="I193" s="6">
        <f>SUMIFS($H$2:$H$573,$B$2:$B$573,B193,$C$2:$C$573,C193,$D$2:$D$573,D193)</f>
        <v/>
      </c>
      <c r="J193" s="3" t="inlineStr">
        <is>
          <t>epoch_csp_chip_quantity_latest</t>
        </is>
      </c>
      <c r="K193" s="3" t="inlineStr">
        <is>
          <t>SRC_EPOCH_AI_DATA_CENTERS; EPOCH_RAW_CHIP_QUANTITIES</t>
        </is>
      </c>
      <c r="L193" s="3" t="inlineStr">
        <is>
          <t>Latest chip quantity per CSP/data-center/accelerator through year-end; normalized by unit count. Shares are editable.</t>
        </is>
      </c>
    </row>
    <row r="194">
      <c r="A194" s="5">
        <f>B194&amp;"|"&amp;C194&amp;"|"&amp;D194&amp;"|"&amp;E194</f>
        <v/>
      </c>
      <c r="B194" s="3" t="inlineStr">
        <is>
          <t>Bull</t>
        </is>
      </c>
      <c r="C194" s="3" t="inlineStr">
        <is>
          <t>Google</t>
        </is>
      </c>
      <c r="D194" s="3" t="n">
        <v>2030</v>
      </c>
      <c r="E194" s="25" t="inlineStr">
        <is>
          <t>TPU</t>
        </is>
      </c>
      <c r="F194" s="5">
        <f>IFERROR(INDEX('02x_Accelerator_Catalog'!$C$2:$C$11,MATCH(E194,'02x_Accelerator_Catalog'!$B$2:$B$11,0)),"purpose_or_unbenchmarked")</f>
        <v/>
      </c>
      <c r="G194" s="8">
        <f>IFERROR(INDEX('02x_Accelerator_Catalog'!$D$2:$D$11,MATCH(E194,'02x_Accelerator_Catalog'!$B$2:$B$11,0)),"")</f>
        <v/>
      </c>
      <c r="H194" s="17" t="n">
        <v>0.73159836</v>
      </c>
      <c r="I194" s="6">
        <f>SUMIFS($H$2:$H$573,$B$2:$B$573,B194,$C$2:$C$573,C194,$D$2:$D$573,D194)</f>
        <v/>
      </c>
      <c r="J194" s="3" t="inlineStr">
        <is>
          <t>epoch_csp_chip_quantity_latest</t>
        </is>
      </c>
      <c r="K194" s="3" t="inlineStr">
        <is>
          <t>SRC_EPOCH_AI_DATA_CENTERS; EPOCH_RAW_CHIP_QUANTITIES</t>
        </is>
      </c>
      <c r="L194" s="3" t="inlineStr">
        <is>
          <t>Latest chip quantity per CSP/data-center/accelerator through year-end; normalized by unit count. Shares are editable.</t>
        </is>
      </c>
    </row>
    <row r="195">
      <c r="A195" s="5">
        <f>B195&amp;"|"&amp;C195&amp;"|"&amp;D195&amp;"|"&amp;E195</f>
        <v/>
      </c>
      <c r="B195" s="3" t="inlineStr">
        <is>
          <t>Grid-Constrained / Efficiency-Upside</t>
        </is>
      </c>
      <c r="C195" s="3" t="inlineStr">
        <is>
          <t>Google</t>
        </is>
      </c>
      <c r="D195" s="3" t="n">
        <v>2030</v>
      </c>
      <c r="E195" s="25" t="inlineStr">
        <is>
          <t>B200/B300 class</t>
        </is>
      </c>
      <c r="F195" s="5">
        <f>IFERROR(INDEX('02x_Accelerator_Catalog'!$C$2:$C$11,MATCH(E195,'02x_Accelerator_Catalog'!$B$2:$B$11,0)),"purpose_or_unbenchmarked")</f>
        <v/>
      </c>
      <c r="G195" s="8">
        <f>IFERROR(INDEX('02x_Accelerator_Catalog'!$D$2:$D$11,MATCH(E195,'02x_Accelerator_Catalog'!$B$2:$B$11,0)),"")</f>
        <v/>
      </c>
      <c r="H195" s="17" t="n">
        <v>0.08881066</v>
      </c>
      <c r="I195" s="6">
        <f>SUMIFS($H$2:$H$573,$B$2:$B$573,B195,$C$2:$C$573,C195,$D$2:$D$573,D195)</f>
        <v/>
      </c>
      <c r="J195" s="3" t="inlineStr">
        <is>
          <t>epoch_csp_chip_quantity_latest</t>
        </is>
      </c>
      <c r="K195" s="3" t="inlineStr">
        <is>
          <t>SRC_EPOCH_AI_DATA_CENTERS; EPOCH_RAW_CHIP_QUANTITIES</t>
        </is>
      </c>
      <c r="L195" s="3" t="inlineStr">
        <is>
          <t>Latest chip quantity per CSP/data-center/accelerator through year-end; normalized by unit count. Shares are editable.</t>
        </is>
      </c>
    </row>
    <row r="196">
      <c r="A196" s="5">
        <f>B196&amp;"|"&amp;C196&amp;"|"&amp;D196&amp;"|"&amp;E196</f>
        <v/>
      </c>
      <c r="B196" s="3" t="inlineStr">
        <is>
          <t>Grid-Constrained / Efficiency-Upside</t>
        </is>
      </c>
      <c r="C196" s="3" t="inlineStr">
        <is>
          <t>Google</t>
        </is>
      </c>
      <c r="D196" s="3" t="n">
        <v>2030</v>
      </c>
      <c r="E196" s="25" t="inlineStr">
        <is>
          <t>R200/R300 future</t>
        </is>
      </c>
      <c r="F196" s="5">
        <f>IFERROR(INDEX('02x_Accelerator_Catalog'!$C$2:$C$11,MATCH(E196,'02x_Accelerator_Catalog'!$B$2:$B$11,0)),"purpose_or_unbenchmarked")</f>
        <v/>
      </c>
      <c r="G196" s="8">
        <f>IFERROR(INDEX('02x_Accelerator_Catalog'!$D$2:$D$11,MATCH(E196,'02x_Accelerator_Catalog'!$B$2:$B$11,0)),"")</f>
        <v/>
      </c>
      <c r="H196" s="17" t="n">
        <v>0.17959098</v>
      </c>
      <c r="I196" s="6">
        <f>SUMIFS($H$2:$H$573,$B$2:$B$573,B196,$C$2:$C$573,C196,$D$2:$D$573,D196)</f>
        <v/>
      </c>
      <c r="J196" s="3" t="inlineStr">
        <is>
          <t>epoch_csp_chip_quantity_latest</t>
        </is>
      </c>
      <c r="K196" s="3" t="inlineStr">
        <is>
          <t>SRC_EPOCH_AI_DATA_CENTERS; EPOCH_RAW_CHIP_QUANTITIES</t>
        </is>
      </c>
      <c r="L196" s="3" t="inlineStr">
        <is>
          <t>Latest chip quantity per CSP/data-center/accelerator through year-end; normalized by unit count. Shares are editable.</t>
        </is>
      </c>
    </row>
    <row r="197">
      <c r="A197" s="5">
        <f>B197&amp;"|"&amp;C197&amp;"|"&amp;D197&amp;"|"&amp;E197</f>
        <v/>
      </c>
      <c r="B197" s="3" t="inlineStr">
        <is>
          <t>Grid-Constrained / Efficiency-Upside</t>
        </is>
      </c>
      <c r="C197" s="3" t="inlineStr">
        <is>
          <t>Google</t>
        </is>
      </c>
      <c r="D197" s="3" t="n">
        <v>2030</v>
      </c>
      <c r="E197" s="25" t="inlineStr">
        <is>
          <t>TPU</t>
        </is>
      </c>
      <c r="F197" s="5">
        <f>IFERROR(INDEX('02x_Accelerator_Catalog'!$C$2:$C$11,MATCH(E197,'02x_Accelerator_Catalog'!$B$2:$B$11,0)),"purpose_or_unbenchmarked")</f>
        <v/>
      </c>
      <c r="G197" s="8">
        <f>IFERROR(INDEX('02x_Accelerator_Catalog'!$D$2:$D$11,MATCH(E197,'02x_Accelerator_Catalog'!$B$2:$B$11,0)),"")</f>
        <v/>
      </c>
      <c r="H197" s="17" t="n">
        <v>0.73159836</v>
      </c>
      <c r="I197" s="6">
        <f>SUMIFS($H$2:$H$573,$B$2:$B$573,B197,$C$2:$C$573,C197,$D$2:$D$573,D197)</f>
        <v/>
      </c>
      <c r="J197" s="3" t="inlineStr">
        <is>
          <t>epoch_csp_chip_quantity_latest</t>
        </is>
      </c>
      <c r="K197" s="3" t="inlineStr">
        <is>
          <t>SRC_EPOCH_AI_DATA_CENTERS; EPOCH_RAW_CHIP_QUANTITIES</t>
        </is>
      </c>
      <c r="L197" s="3" t="inlineStr">
        <is>
          <t>Latest chip quantity per CSP/data-center/accelerator through year-end; normalized by unit count. Shares are editable.</t>
        </is>
      </c>
    </row>
    <row r="198">
      <c r="A198" s="5">
        <f>B198&amp;"|"&amp;C198&amp;"|"&amp;D198&amp;"|"&amp;E198</f>
        <v/>
      </c>
      <c r="B198" s="3" t="inlineStr">
        <is>
          <t>Bear</t>
        </is>
      </c>
      <c r="C198" s="3" t="inlineStr">
        <is>
          <t>Meta</t>
        </is>
      </c>
      <c r="D198" s="3" t="n">
        <v>2026</v>
      </c>
      <c r="E198" s="25" t="inlineStr">
        <is>
          <t>B200/B300 class</t>
        </is>
      </c>
      <c r="F198" s="5">
        <f>IFERROR(INDEX('02x_Accelerator_Catalog'!$C$2:$C$11,MATCH(E198,'02x_Accelerator_Catalog'!$B$2:$B$11,0)),"purpose_or_unbenchmarked")</f>
        <v/>
      </c>
      <c r="G198" s="8">
        <f>IFERROR(INDEX('02x_Accelerator_Catalog'!$D$2:$D$11,MATCH(E198,'02x_Accelerator_Catalog'!$B$2:$B$11,0)),"")</f>
        <v/>
      </c>
      <c r="H198" s="17" t="n">
        <v>0.90397048</v>
      </c>
      <c r="I198" s="6">
        <f>SUMIFS($H$2:$H$573,$B$2:$B$573,B198,$C$2:$C$573,C198,$D$2:$D$573,D198)</f>
        <v/>
      </c>
      <c r="J198" s="3" t="inlineStr">
        <is>
          <t>epoch_csp_chip_quantity_latest</t>
        </is>
      </c>
      <c r="K198" s="3" t="inlineStr">
        <is>
          <t>SRC_EPOCH_AI_DATA_CENTERS; EPOCH_RAW_CHIP_QUANTITIES</t>
        </is>
      </c>
      <c r="L198" s="3" t="inlineStr">
        <is>
          <t>Latest chip quantity per CSP/data-center/accelerator through year-end; normalized by unit count. Shares are editable.</t>
        </is>
      </c>
    </row>
    <row r="199">
      <c r="A199" s="5">
        <f>B199&amp;"|"&amp;C199&amp;"|"&amp;D199&amp;"|"&amp;E199</f>
        <v/>
      </c>
      <c r="B199" s="3" t="inlineStr">
        <is>
          <t>Bear</t>
        </is>
      </c>
      <c r="C199" s="3" t="inlineStr">
        <is>
          <t>Meta</t>
        </is>
      </c>
      <c r="D199" s="3" t="n">
        <v>2026</v>
      </c>
      <c r="E199" s="25" t="inlineStr">
        <is>
          <t>H100/H200/A100 class</t>
        </is>
      </c>
      <c r="F199" s="5">
        <f>IFERROR(INDEX('02x_Accelerator_Catalog'!$C$2:$C$11,MATCH(E199,'02x_Accelerator_Catalog'!$B$2:$B$11,0)),"purpose_or_unbenchmarked")</f>
        <v/>
      </c>
      <c r="G199" s="8">
        <f>IFERROR(INDEX('02x_Accelerator_Catalog'!$D$2:$D$11,MATCH(E199,'02x_Accelerator_Catalog'!$B$2:$B$11,0)),"")</f>
        <v/>
      </c>
      <c r="H199" s="17" t="n">
        <v>0.09602951999999999</v>
      </c>
      <c r="I199" s="6">
        <f>SUMIFS($H$2:$H$573,$B$2:$B$573,B199,$C$2:$C$573,C199,$D$2:$D$573,D199)</f>
        <v/>
      </c>
      <c r="J199" s="3" t="inlineStr">
        <is>
          <t>epoch_csp_chip_quantity_latest</t>
        </is>
      </c>
      <c r="K199" s="3" t="inlineStr">
        <is>
          <t>SRC_EPOCH_AI_DATA_CENTERS; EPOCH_RAW_CHIP_QUANTITIES</t>
        </is>
      </c>
      <c r="L199" s="3" t="inlineStr">
        <is>
          <t>Latest chip quantity per CSP/data-center/accelerator through year-end; normalized by unit count. Shares are editable.</t>
        </is>
      </c>
    </row>
    <row r="200">
      <c r="A200" s="5">
        <f>B200&amp;"|"&amp;C200&amp;"|"&amp;D200&amp;"|"&amp;E200</f>
        <v/>
      </c>
      <c r="B200" s="3" t="inlineStr">
        <is>
          <t>Base</t>
        </is>
      </c>
      <c r="C200" s="3" t="inlineStr">
        <is>
          <t>Meta</t>
        </is>
      </c>
      <c r="D200" s="3" t="n">
        <v>2026</v>
      </c>
      <c r="E200" s="25" t="inlineStr">
        <is>
          <t>B200/B300 class</t>
        </is>
      </c>
      <c r="F200" s="5">
        <f>IFERROR(INDEX('02x_Accelerator_Catalog'!$C$2:$C$11,MATCH(E200,'02x_Accelerator_Catalog'!$B$2:$B$11,0)),"purpose_or_unbenchmarked")</f>
        <v/>
      </c>
      <c r="G200" s="8">
        <f>IFERROR(INDEX('02x_Accelerator_Catalog'!$D$2:$D$11,MATCH(E200,'02x_Accelerator_Catalog'!$B$2:$B$11,0)),"")</f>
        <v/>
      </c>
      <c r="H200" s="17" t="n">
        <v>0.90397048</v>
      </c>
      <c r="I200" s="6">
        <f>SUMIFS($H$2:$H$573,$B$2:$B$573,B200,$C$2:$C$573,C200,$D$2:$D$573,D200)</f>
        <v/>
      </c>
      <c r="J200" s="3" t="inlineStr">
        <is>
          <t>epoch_csp_chip_quantity_latest</t>
        </is>
      </c>
      <c r="K200" s="3" t="inlineStr">
        <is>
          <t>SRC_EPOCH_AI_DATA_CENTERS; EPOCH_RAW_CHIP_QUANTITIES</t>
        </is>
      </c>
      <c r="L200" s="3" t="inlineStr">
        <is>
          <t>Latest chip quantity per CSP/data-center/accelerator through year-end; normalized by unit count. Shares are editable.</t>
        </is>
      </c>
    </row>
    <row r="201">
      <c r="A201" s="5">
        <f>B201&amp;"|"&amp;C201&amp;"|"&amp;D201&amp;"|"&amp;E201</f>
        <v/>
      </c>
      <c r="B201" s="3" t="inlineStr">
        <is>
          <t>Base</t>
        </is>
      </c>
      <c r="C201" s="3" t="inlineStr">
        <is>
          <t>Meta</t>
        </is>
      </c>
      <c r="D201" s="3" t="n">
        <v>2026</v>
      </c>
      <c r="E201" s="25" t="inlineStr">
        <is>
          <t>H100/H200/A100 class</t>
        </is>
      </c>
      <c r="F201" s="5">
        <f>IFERROR(INDEX('02x_Accelerator_Catalog'!$C$2:$C$11,MATCH(E201,'02x_Accelerator_Catalog'!$B$2:$B$11,0)),"purpose_or_unbenchmarked")</f>
        <v/>
      </c>
      <c r="G201" s="8">
        <f>IFERROR(INDEX('02x_Accelerator_Catalog'!$D$2:$D$11,MATCH(E201,'02x_Accelerator_Catalog'!$B$2:$B$11,0)),"")</f>
        <v/>
      </c>
      <c r="H201" s="17" t="n">
        <v>0.09602951999999999</v>
      </c>
      <c r="I201" s="6">
        <f>SUMIFS($H$2:$H$573,$B$2:$B$573,B201,$C$2:$C$573,C201,$D$2:$D$573,D201)</f>
        <v/>
      </c>
      <c r="J201" s="3" t="inlineStr">
        <is>
          <t>epoch_csp_chip_quantity_latest</t>
        </is>
      </c>
      <c r="K201" s="3" t="inlineStr">
        <is>
          <t>SRC_EPOCH_AI_DATA_CENTERS; EPOCH_RAW_CHIP_QUANTITIES</t>
        </is>
      </c>
      <c r="L201" s="3" t="inlineStr">
        <is>
          <t>Latest chip quantity per CSP/data-center/accelerator through year-end; normalized by unit count. Shares are editable.</t>
        </is>
      </c>
    </row>
    <row r="202">
      <c r="A202" s="5">
        <f>B202&amp;"|"&amp;C202&amp;"|"&amp;D202&amp;"|"&amp;E202</f>
        <v/>
      </c>
      <c r="B202" s="3" t="inlineStr">
        <is>
          <t>Bull</t>
        </is>
      </c>
      <c r="C202" s="3" t="inlineStr">
        <is>
          <t>Meta</t>
        </is>
      </c>
      <c r="D202" s="3" t="n">
        <v>2026</v>
      </c>
      <c r="E202" s="25" t="inlineStr">
        <is>
          <t>B200/B300 class</t>
        </is>
      </c>
      <c r="F202" s="5">
        <f>IFERROR(INDEX('02x_Accelerator_Catalog'!$C$2:$C$11,MATCH(E202,'02x_Accelerator_Catalog'!$B$2:$B$11,0)),"purpose_or_unbenchmarked")</f>
        <v/>
      </c>
      <c r="G202" s="8">
        <f>IFERROR(INDEX('02x_Accelerator_Catalog'!$D$2:$D$11,MATCH(E202,'02x_Accelerator_Catalog'!$B$2:$B$11,0)),"")</f>
        <v/>
      </c>
      <c r="H202" s="17" t="n">
        <v>0.90397048</v>
      </c>
      <c r="I202" s="6">
        <f>SUMIFS($H$2:$H$573,$B$2:$B$573,B202,$C$2:$C$573,C202,$D$2:$D$573,D202)</f>
        <v/>
      </c>
      <c r="J202" s="3" t="inlineStr">
        <is>
          <t>epoch_csp_chip_quantity_latest</t>
        </is>
      </c>
      <c r="K202" s="3" t="inlineStr">
        <is>
          <t>SRC_EPOCH_AI_DATA_CENTERS; EPOCH_RAW_CHIP_QUANTITIES</t>
        </is>
      </c>
      <c r="L202" s="3" t="inlineStr">
        <is>
          <t>Latest chip quantity per CSP/data-center/accelerator through year-end; normalized by unit count. Shares are editable.</t>
        </is>
      </c>
    </row>
    <row r="203">
      <c r="A203" s="5">
        <f>B203&amp;"|"&amp;C203&amp;"|"&amp;D203&amp;"|"&amp;E203</f>
        <v/>
      </c>
      <c r="B203" s="3" t="inlineStr">
        <is>
          <t>Bull</t>
        </is>
      </c>
      <c r="C203" s="3" t="inlineStr">
        <is>
          <t>Meta</t>
        </is>
      </c>
      <c r="D203" s="3" t="n">
        <v>2026</v>
      </c>
      <c r="E203" s="25" t="inlineStr">
        <is>
          <t>H100/H200/A100 class</t>
        </is>
      </c>
      <c r="F203" s="5">
        <f>IFERROR(INDEX('02x_Accelerator_Catalog'!$C$2:$C$11,MATCH(E203,'02x_Accelerator_Catalog'!$B$2:$B$11,0)),"purpose_or_unbenchmarked")</f>
        <v/>
      </c>
      <c r="G203" s="8">
        <f>IFERROR(INDEX('02x_Accelerator_Catalog'!$D$2:$D$11,MATCH(E203,'02x_Accelerator_Catalog'!$B$2:$B$11,0)),"")</f>
        <v/>
      </c>
      <c r="H203" s="17" t="n">
        <v>0.09602951999999999</v>
      </c>
      <c r="I203" s="6">
        <f>SUMIFS($H$2:$H$573,$B$2:$B$573,B203,$C$2:$C$573,C203,$D$2:$D$573,D203)</f>
        <v/>
      </c>
      <c r="J203" s="3" t="inlineStr">
        <is>
          <t>epoch_csp_chip_quantity_latest</t>
        </is>
      </c>
      <c r="K203" s="3" t="inlineStr">
        <is>
          <t>SRC_EPOCH_AI_DATA_CENTERS; EPOCH_RAW_CHIP_QUANTITIES</t>
        </is>
      </c>
      <c r="L203" s="3" t="inlineStr">
        <is>
          <t>Latest chip quantity per CSP/data-center/accelerator through year-end; normalized by unit count. Shares are editable.</t>
        </is>
      </c>
    </row>
    <row r="204">
      <c r="A204" s="5">
        <f>B204&amp;"|"&amp;C204&amp;"|"&amp;D204&amp;"|"&amp;E204</f>
        <v/>
      </c>
      <c r="B204" s="3" t="inlineStr">
        <is>
          <t>Grid-Constrained / Efficiency-Upside</t>
        </is>
      </c>
      <c r="C204" s="3" t="inlineStr">
        <is>
          <t>Meta</t>
        </is>
      </c>
      <c r="D204" s="3" t="n">
        <v>2026</v>
      </c>
      <c r="E204" s="25" t="inlineStr">
        <is>
          <t>B200/B300 class</t>
        </is>
      </c>
      <c r="F204" s="5">
        <f>IFERROR(INDEX('02x_Accelerator_Catalog'!$C$2:$C$11,MATCH(E204,'02x_Accelerator_Catalog'!$B$2:$B$11,0)),"purpose_or_unbenchmarked")</f>
        <v/>
      </c>
      <c r="G204" s="8">
        <f>IFERROR(INDEX('02x_Accelerator_Catalog'!$D$2:$D$11,MATCH(E204,'02x_Accelerator_Catalog'!$B$2:$B$11,0)),"")</f>
        <v/>
      </c>
      <c r="H204" s="17" t="n">
        <v>0.90397048</v>
      </c>
      <c r="I204" s="6">
        <f>SUMIFS($H$2:$H$573,$B$2:$B$573,B204,$C$2:$C$573,C204,$D$2:$D$573,D204)</f>
        <v/>
      </c>
      <c r="J204" s="3" t="inlineStr">
        <is>
          <t>epoch_csp_chip_quantity_latest</t>
        </is>
      </c>
      <c r="K204" s="3" t="inlineStr">
        <is>
          <t>SRC_EPOCH_AI_DATA_CENTERS; EPOCH_RAW_CHIP_QUANTITIES</t>
        </is>
      </c>
      <c r="L204" s="3" t="inlineStr">
        <is>
          <t>Latest chip quantity per CSP/data-center/accelerator through year-end; normalized by unit count. Shares are editable.</t>
        </is>
      </c>
    </row>
    <row r="205">
      <c r="A205" s="5">
        <f>B205&amp;"|"&amp;C205&amp;"|"&amp;D205&amp;"|"&amp;E205</f>
        <v/>
      </c>
      <c r="B205" s="3" t="inlineStr">
        <is>
          <t>Grid-Constrained / Efficiency-Upside</t>
        </is>
      </c>
      <c r="C205" s="3" t="inlineStr">
        <is>
          <t>Meta</t>
        </is>
      </c>
      <c r="D205" s="3" t="n">
        <v>2026</v>
      </c>
      <c r="E205" s="25" t="inlineStr">
        <is>
          <t>H100/H200/A100 class</t>
        </is>
      </c>
      <c r="F205" s="5">
        <f>IFERROR(INDEX('02x_Accelerator_Catalog'!$C$2:$C$11,MATCH(E205,'02x_Accelerator_Catalog'!$B$2:$B$11,0)),"purpose_or_unbenchmarked")</f>
        <v/>
      </c>
      <c r="G205" s="8">
        <f>IFERROR(INDEX('02x_Accelerator_Catalog'!$D$2:$D$11,MATCH(E205,'02x_Accelerator_Catalog'!$B$2:$B$11,0)),"")</f>
        <v/>
      </c>
      <c r="H205" s="17" t="n">
        <v>0.09602951999999999</v>
      </c>
      <c r="I205" s="6">
        <f>SUMIFS($H$2:$H$573,$B$2:$B$573,B205,$C$2:$C$573,C205,$D$2:$D$573,D205)</f>
        <v/>
      </c>
      <c r="J205" s="3" t="inlineStr">
        <is>
          <t>epoch_csp_chip_quantity_latest</t>
        </is>
      </c>
      <c r="K205" s="3" t="inlineStr">
        <is>
          <t>SRC_EPOCH_AI_DATA_CENTERS; EPOCH_RAW_CHIP_QUANTITIES</t>
        </is>
      </c>
      <c r="L205" s="3" t="inlineStr">
        <is>
          <t>Latest chip quantity per CSP/data-center/accelerator through year-end; normalized by unit count. Shares are editable.</t>
        </is>
      </c>
    </row>
    <row r="206">
      <c r="A206" s="5">
        <f>B206&amp;"|"&amp;C206&amp;"|"&amp;D206&amp;"|"&amp;E206</f>
        <v/>
      </c>
      <c r="B206" s="3" t="inlineStr">
        <is>
          <t>Bear</t>
        </is>
      </c>
      <c r="C206" s="3" t="inlineStr">
        <is>
          <t>Meta</t>
        </is>
      </c>
      <c r="D206" s="3" t="n">
        <v>2027</v>
      </c>
      <c r="E206" s="25" t="inlineStr">
        <is>
          <t>B200/B300 class</t>
        </is>
      </c>
      <c r="F206" s="5">
        <f>IFERROR(INDEX('02x_Accelerator_Catalog'!$C$2:$C$11,MATCH(E206,'02x_Accelerator_Catalog'!$B$2:$B$11,0)),"purpose_or_unbenchmarked")</f>
        <v/>
      </c>
      <c r="G206" s="8">
        <f>IFERROR(INDEX('02x_Accelerator_Catalog'!$D$2:$D$11,MATCH(E206,'02x_Accelerator_Catalog'!$B$2:$B$11,0)),"")</f>
        <v/>
      </c>
      <c r="H206" s="17" t="n">
        <v>0.90784026</v>
      </c>
      <c r="I206" s="6">
        <f>SUMIFS($H$2:$H$573,$B$2:$B$573,B206,$C$2:$C$573,C206,$D$2:$D$573,D206)</f>
        <v/>
      </c>
      <c r="J206" s="3" t="inlineStr">
        <is>
          <t>epoch_csp_chip_quantity_latest</t>
        </is>
      </c>
      <c r="K206" s="3" t="inlineStr">
        <is>
          <t>SRC_EPOCH_AI_DATA_CENTERS; EPOCH_RAW_CHIP_QUANTITIES</t>
        </is>
      </c>
      <c r="L206" s="3" t="inlineStr">
        <is>
          <t>Latest chip quantity per CSP/data-center/accelerator through year-end; normalized by unit count. Shares are editable.</t>
        </is>
      </c>
    </row>
    <row r="207">
      <c r="A207" s="5">
        <f>B207&amp;"|"&amp;C207&amp;"|"&amp;D207&amp;"|"&amp;E207</f>
        <v/>
      </c>
      <c r="B207" s="3" t="inlineStr">
        <is>
          <t>Bear</t>
        </is>
      </c>
      <c r="C207" s="3" t="inlineStr">
        <is>
          <t>Meta</t>
        </is>
      </c>
      <c r="D207" s="3" t="n">
        <v>2027</v>
      </c>
      <c r="E207" s="25" t="inlineStr">
        <is>
          <t>H100/H200/A100 class</t>
        </is>
      </c>
      <c r="F207" s="5">
        <f>IFERROR(INDEX('02x_Accelerator_Catalog'!$C$2:$C$11,MATCH(E207,'02x_Accelerator_Catalog'!$B$2:$B$11,0)),"purpose_or_unbenchmarked")</f>
        <v/>
      </c>
      <c r="G207" s="8">
        <f>IFERROR(INDEX('02x_Accelerator_Catalog'!$D$2:$D$11,MATCH(E207,'02x_Accelerator_Catalog'!$B$2:$B$11,0)),"")</f>
        <v/>
      </c>
      <c r="H207" s="17" t="n">
        <v>0.09215974</v>
      </c>
      <c r="I207" s="6">
        <f>SUMIFS($H$2:$H$573,$B$2:$B$573,B207,$C$2:$C$573,C207,$D$2:$D$573,D207)</f>
        <v/>
      </c>
      <c r="J207" s="3" t="inlineStr">
        <is>
          <t>epoch_csp_chip_quantity_latest</t>
        </is>
      </c>
      <c r="K207" s="3" t="inlineStr">
        <is>
          <t>SRC_EPOCH_AI_DATA_CENTERS; EPOCH_RAW_CHIP_QUANTITIES</t>
        </is>
      </c>
      <c r="L207" s="3" t="inlineStr">
        <is>
          <t>Latest chip quantity per CSP/data-center/accelerator through year-end; normalized by unit count. Shares are editable.</t>
        </is>
      </c>
    </row>
    <row r="208">
      <c r="A208" s="5">
        <f>B208&amp;"|"&amp;C208&amp;"|"&amp;D208&amp;"|"&amp;E208</f>
        <v/>
      </c>
      <c r="B208" s="3" t="inlineStr">
        <is>
          <t>Base</t>
        </is>
      </c>
      <c r="C208" s="3" t="inlineStr">
        <is>
          <t>Meta</t>
        </is>
      </c>
      <c r="D208" s="3" t="n">
        <v>2027</v>
      </c>
      <c r="E208" s="25" t="inlineStr">
        <is>
          <t>B200/B300 class</t>
        </is>
      </c>
      <c r="F208" s="5">
        <f>IFERROR(INDEX('02x_Accelerator_Catalog'!$C$2:$C$11,MATCH(E208,'02x_Accelerator_Catalog'!$B$2:$B$11,0)),"purpose_or_unbenchmarked")</f>
        <v/>
      </c>
      <c r="G208" s="8">
        <f>IFERROR(INDEX('02x_Accelerator_Catalog'!$D$2:$D$11,MATCH(E208,'02x_Accelerator_Catalog'!$B$2:$B$11,0)),"")</f>
        <v/>
      </c>
      <c r="H208" s="17" t="n">
        <v>0.90784026</v>
      </c>
      <c r="I208" s="6">
        <f>SUMIFS($H$2:$H$573,$B$2:$B$573,B208,$C$2:$C$573,C208,$D$2:$D$573,D208)</f>
        <v/>
      </c>
      <c r="J208" s="3" t="inlineStr">
        <is>
          <t>epoch_csp_chip_quantity_latest</t>
        </is>
      </c>
      <c r="K208" s="3" t="inlineStr">
        <is>
          <t>SRC_EPOCH_AI_DATA_CENTERS; EPOCH_RAW_CHIP_QUANTITIES</t>
        </is>
      </c>
      <c r="L208" s="3" t="inlineStr">
        <is>
          <t>Latest chip quantity per CSP/data-center/accelerator through year-end; normalized by unit count. Shares are editable.</t>
        </is>
      </c>
    </row>
    <row r="209">
      <c r="A209" s="5">
        <f>B209&amp;"|"&amp;C209&amp;"|"&amp;D209&amp;"|"&amp;E209</f>
        <v/>
      </c>
      <c r="B209" s="3" t="inlineStr">
        <is>
          <t>Base</t>
        </is>
      </c>
      <c r="C209" s="3" t="inlineStr">
        <is>
          <t>Meta</t>
        </is>
      </c>
      <c r="D209" s="3" t="n">
        <v>2027</v>
      </c>
      <c r="E209" s="25" t="inlineStr">
        <is>
          <t>H100/H200/A100 class</t>
        </is>
      </c>
      <c r="F209" s="5">
        <f>IFERROR(INDEX('02x_Accelerator_Catalog'!$C$2:$C$11,MATCH(E209,'02x_Accelerator_Catalog'!$B$2:$B$11,0)),"purpose_or_unbenchmarked")</f>
        <v/>
      </c>
      <c r="G209" s="8">
        <f>IFERROR(INDEX('02x_Accelerator_Catalog'!$D$2:$D$11,MATCH(E209,'02x_Accelerator_Catalog'!$B$2:$B$11,0)),"")</f>
        <v/>
      </c>
      <c r="H209" s="17" t="n">
        <v>0.09215974</v>
      </c>
      <c r="I209" s="6">
        <f>SUMIFS($H$2:$H$573,$B$2:$B$573,B209,$C$2:$C$573,C209,$D$2:$D$573,D209)</f>
        <v/>
      </c>
      <c r="J209" s="3" t="inlineStr">
        <is>
          <t>epoch_csp_chip_quantity_latest</t>
        </is>
      </c>
      <c r="K209" s="3" t="inlineStr">
        <is>
          <t>SRC_EPOCH_AI_DATA_CENTERS; EPOCH_RAW_CHIP_QUANTITIES</t>
        </is>
      </c>
      <c r="L209" s="3" t="inlineStr">
        <is>
          <t>Latest chip quantity per CSP/data-center/accelerator through year-end; normalized by unit count. Shares are editable.</t>
        </is>
      </c>
    </row>
    <row r="210">
      <c r="A210" s="5">
        <f>B210&amp;"|"&amp;C210&amp;"|"&amp;D210&amp;"|"&amp;E210</f>
        <v/>
      </c>
      <c r="B210" s="3" t="inlineStr">
        <is>
          <t>Bull</t>
        </is>
      </c>
      <c r="C210" s="3" t="inlineStr">
        <is>
          <t>Meta</t>
        </is>
      </c>
      <c r="D210" s="3" t="n">
        <v>2027</v>
      </c>
      <c r="E210" s="25" t="inlineStr">
        <is>
          <t>B200/B300 class</t>
        </is>
      </c>
      <c r="F210" s="5">
        <f>IFERROR(INDEX('02x_Accelerator_Catalog'!$C$2:$C$11,MATCH(E210,'02x_Accelerator_Catalog'!$B$2:$B$11,0)),"purpose_or_unbenchmarked")</f>
        <v/>
      </c>
      <c r="G210" s="8">
        <f>IFERROR(INDEX('02x_Accelerator_Catalog'!$D$2:$D$11,MATCH(E210,'02x_Accelerator_Catalog'!$B$2:$B$11,0)),"")</f>
        <v/>
      </c>
      <c r="H210" s="17" t="n">
        <v>0.90784026</v>
      </c>
      <c r="I210" s="6">
        <f>SUMIFS($H$2:$H$573,$B$2:$B$573,B210,$C$2:$C$573,C210,$D$2:$D$573,D210)</f>
        <v/>
      </c>
      <c r="J210" s="3" t="inlineStr">
        <is>
          <t>epoch_csp_chip_quantity_latest</t>
        </is>
      </c>
      <c r="K210" s="3" t="inlineStr">
        <is>
          <t>SRC_EPOCH_AI_DATA_CENTERS; EPOCH_RAW_CHIP_QUANTITIES</t>
        </is>
      </c>
      <c r="L210" s="3" t="inlineStr">
        <is>
          <t>Latest chip quantity per CSP/data-center/accelerator through year-end; normalized by unit count. Shares are editable.</t>
        </is>
      </c>
    </row>
    <row r="211">
      <c r="A211" s="5">
        <f>B211&amp;"|"&amp;C211&amp;"|"&amp;D211&amp;"|"&amp;E211</f>
        <v/>
      </c>
      <c r="B211" s="3" t="inlineStr">
        <is>
          <t>Bull</t>
        </is>
      </c>
      <c r="C211" s="3" t="inlineStr">
        <is>
          <t>Meta</t>
        </is>
      </c>
      <c r="D211" s="3" t="n">
        <v>2027</v>
      </c>
      <c r="E211" s="25" t="inlineStr">
        <is>
          <t>H100/H200/A100 class</t>
        </is>
      </c>
      <c r="F211" s="5">
        <f>IFERROR(INDEX('02x_Accelerator_Catalog'!$C$2:$C$11,MATCH(E211,'02x_Accelerator_Catalog'!$B$2:$B$11,0)),"purpose_or_unbenchmarked")</f>
        <v/>
      </c>
      <c r="G211" s="8">
        <f>IFERROR(INDEX('02x_Accelerator_Catalog'!$D$2:$D$11,MATCH(E211,'02x_Accelerator_Catalog'!$B$2:$B$11,0)),"")</f>
        <v/>
      </c>
      <c r="H211" s="17" t="n">
        <v>0.09215974</v>
      </c>
      <c r="I211" s="6">
        <f>SUMIFS($H$2:$H$573,$B$2:$B$573,B211,$C$2:$C$573,C211,$D$2:$D$573,D211)</f>
        <v/>
      </c>
      <c r="J211" s="3" t="inlineStr">
        <is>
          <t>epoch_csp_chip_quantity_latest</t>
        </is>
      </c>
      <c r="K211" s="3" t="inlineStr">
        <is>
          <t>SRC_EPOCH_AI_DATA_CENTERS; EPOCH_RAW_CHIP_QUANTITIES</t>
        </is>
      </c>
      <c r="L211" s="3" t="inlineStr">
        <is>
          <t>Latest chip quantity per CSP/data-center/accelerator through year-end; normalized by unit count. Shares are editable.</t>
        </is>
      </c>
    </row>
    <row r="212">
      <c r="A212" s="5">
        <f>B212&amp;"|"&amp;C212&amp;"|"&amp;D212&amp;"|"&amp;E212</f>
        <v/>
      </c>
      <c r="B212" s="3" t="inlineStr">
        <is>
          <t>Grid-Constrained / Efficiency-Upside</t>
        </is>
      </c>
      <c r="C212" s="3" t="inlineStr">
        <is>
          <t>Meta</t>
        </is>
      </c>
      <c r="D212" s="3" t="n">
        <v>2027</v>
      </c>
      <c r="E212" s="25" t="inlineStr">
        <is>
          <t>B200/B300 class</t>
        </is>
      </c>
      <c r="F212" s="5">
        <f>IFERROR(INDEX('02x_Accelerator_Catalog'!$C$2:$C$11,MATCH(E212,'02x_Accelerator_Catalog'!$B$2:$B$11,0)),"purpose_or_unbenchmarked")</f>
        <v/>
      </c>
      <c r="G212" s="8">
        <f>IFERROR(INDEX('02x_Accelerator_Catalog'!$D$2:$D$11,MATCH(E212,'02x_Accelerator_Catalog'!$B$2:$B$11,0)),"")</f>
        <v/>
      </c>
      <c r="H212" s="17" t="n">
        <v>0.90784026</v>
      </c>
      <c r="I212" s="6">
        <f>SUMIFS($H$2:$H$573,$B$2:$B$573,B212,$C$2:$C$573,C212,$D$2:$D$573,D212)</f>
        <v/>
      </c>
      <c r="J212" s="3" t="inlineStr">
        <is>
          <t>epoch_csp_chip_quantity_latest</t>
        </is>
      </c>
      <c r="K212" s="3" t="inlineStr">
        <is>
          <t>SRC_EPOCH_AI_DATA_CENTERS; EPOCH_RAW_CHIP_QUANTITIES</t>
        </is>
      </c>
      <c r="L212" s="3" t="inlineStr">
        <is>
          <t>Latest chip quantity per CSP/data-center/accelerator through year-end; normalized by unit count. Shares are editable.</t>
        </is>
      </c>
    </row>
    <row r="213">
      <c r="A213" s="5">
        <f>B213&amp;"|"&amp;C213&amp;"|"&amp;D213&amp;"|"&amp;E213</f>
        <v/>
      </c>
      <c r="B213" s="3" t="inlineStr">
        <is>
          <t>Grid-Constrained / Efficiency-Upside</t>
        </is>
      </c>
      <c r="C213" s="3" t="inlineStr">
        <is>
          <t>Meta</t>
        </is>
      </c>
      <c r="D213" s="3" t="n">
        <v>2027</v>
      </c>
      <c r="E213" s="25" t="inlineStr">
        <is>
          <t>H100/H200/A100 class</t>
        </is>
      </c>
      <c r="F213" s="5">
        <f>IFERROR(INDEX('02x_Accelerator_Catalog'!$C$2:$C$11,MATCH(E213,'02x_Accelerator_Catalog'!$B$2:$B$11,0)),"purpose_or_unbenchmarked")</f>
        <v/>
      </c>
      <c r="G213" s="8">
        <f>IFERROR(INDEX('02x_Accelerator_Catalog'!$D$2:$D$11,MATCH(E213,'02x_Accelerator_Catalog'!$B$2:$B$11,0)),"")</f>
        <v/>
      </c>
      <c r="H213" s="17" t="n">
        <v>0.09215974</v>
      </c>
      <c r="I213" s="6">
        <f>SUMIFS($H$2:$H$573,$B$2:$B$573,B213,$C$2:$C$573,C213,$D$2:$D$573,D213)</f>
        <v/>
      </c>
      <c r="J213" s="3" t="inlineStr">
        <is>
          <t>epoch_csp_chip_quantity_latest</t>
        </is>
      </c>
      <c r="K213" s="3" t="inlineStr">
        <is>
          <t>SRC_EPOCH_AI_DATA_CENTERS; EPOCH_RAW_CHIP_QUANTITIES</t>
        </is>
      </c>
      <c r="L213" s="3" t="inlineStr">
        <is>
          <t>Latest chip quantity per CSP/data-center/accelerator through year-end; normalized by unit count. Shares are editable.</t>
        </is>
      </c>
    </row>
    <row r="214">
      <c r="A214" s="5">
        <f>B214&amp;"|"&amp;C214&amp;"|"&amp;D214&amp;"|"&amp;E214</f>
        <v/>
      </c>
      <c r="B214" s="3" t="inlineStr">
        <is>
          <t>Bear</t>
        </is>
      </c>
      <c r="C214" s="3" t="inlineStr">
        <is>
          <t>Meta</t>
        </is>
      </c>
      <c r="D214" s="3" t="n">
        <v>2028</v>
      </c>
      <c r="E214" s="25" t="inlineStr">
        <is>
          <t>B200/B300 class</t>
        </is>
      </c>
      <c r="F214" s="5">
        <f>IFERROR(INDEX('02x_Accelerator_Catalog'!$C$2:$C$11,MATCH(E214,'02x_Accelerator_Catalog'!$B$2:$B$11,0)),"purpose_or_unbenchmarked")</f>
        <v/>
      </c>
      <c r="G214" s="8">
        <f>IFERROR(INDEX('02x_Accelerator_Catalog'!$D$2:$D$11,MATCH(E214,'02x_Accelerator_Catalog'!$B$2:$B$11,0)),"")</f>
        <v/>
      </c>
      <c r="H214" s="17" t="n">
        <v>0.7380069</v>
      </c>
      <c r="I214" s="6">
        <f>SUMIFS($H$2:$H$573,$B$2:$B$573,B214,$C$2:$C$573,C214,$D$2:$D$573,D214)</f>
        <v/>
      </c>
      <c r="J214" s="3" t="inlineStr">
        <is>
          <t>epoch_csp_chip_quantity_latest</t>
        </is>
      </c>
      <c r="K214" s="3" t="inlineStr">
        <is>
          <t>SRC_EPOCH_AI_DATA_CENTERS; EPOCH_RAW_CHIP_QUANTITIES</t>
        </is>
      </c>
      <c r="L214" s="3" t="inlineStr">
        <is>
          <t>Latest chip quantity per CSP/data-center/accelerator through year-end; normalized by unit count. Shares are editable.</t>
        </is>
      </c>
    </row>
    <row r="215">
      <c r="A215" s="5">
        <f>B215&amp;"|"&amp;C215&amp;"|"&amp;D215&amp;"|"&amp;E215</f>
        <v/>
      </c>
      <c r="B215" s="3" t="inlineStr">
        <is>
          <t>Bear</t>
        </is>
      </c>
      <c r="C215" s="3" t="inlineStr">
        <is>
          <t>Meta</t>
        </is>
      </c>
      <c r="D215" s="3" t="n">
        <v>2028</v>
      </c>
      <c r="E215" s="25" t="inlineStr">
        <is>
          <t>H100/H200/A100 class</t>
        </is>
      </c>
      <c r="F215" s="5">
        <f>IFERROR(INDEX('02x_Accelerator_Catalog'!$C$2:$C$11,MATCH(E215,'02x_Accelerator_Catalog'!$B$2:$B$11,0)),"purpose_or_unbenchmarked")</f>
        <v/>
      </c>
      <c r="G215" s="8">
        <f>IFERROR(INDEX('02x_Accelerator_Catalog'!$D$2:$D$11,MATCH(E215,'02x_Accelerator_Catalog'!$B$2:$B$11,0)),"")</f>
        <v/>
      </c>
      <c r="H215" s="17" t="n">
        <v>0.07491904000000001</v>
      </c>
      <c r="I215" s="6">
        <f>SUMIFS($H$2:$H$573,$B$2:$B$573,B215,$C$2:$C$573,C215,$D$2:$D$573,D215)</f>
        <v/>
      </c>
      <c r="J215" s="3" t="inlineStr">
        <is>
          <t>epoch_csp_chip_quantity_latest</t>
        </is>
      </c>
      <c r="K215" s="3" t="inlineStr">
        <is>
          <t>SRC_EPOCH_AI_DATA_CENTERS; EPOCH_RAW_CHIP_QUANTITIES</t>
        </is>
      </c>
      <c r="L215" s="3" t="inlineStr">
        <is>
          <t>Latest chip quantity per CSP/data-center/accelerator through year-end; normalized by unit count. Shares are editable.</t>
        </is>
      </c>
    </row>
    <row r="216">
      <c r="A216" s="5">
        <f>B216&amp;"|"&amp;C216&amp;"|"&amp;D216&amp;"|"&amp;E216</f>
        <v/>
      </c>
      <c r="B216" s="3" t="inlineStr">
        <is>
          <t>Bear</t>
        </is>
      </c>
      <c r="C216" s="3" t="inlineStr">
        <is>
          <t>Meta</t>
        </is>
      </c>
      <c r="D216" s="3" t="n">
        <v>2028</v>
      </c>
      <c r="E216" s="25" t="inlineStr">
        <is>
          <t>R200/R300 future</t>
        </is>
      </c>
      <c r="F216" s="5">
        <f>IFERROR(INDEX('02x_Accelerator_Catalog'!$C$2:$C$11,MATCH(E216,'02x_Accelerator_Catalog'!$B$2:$B$11,0)),"purpose_or_unbenchmarked")</f>
        <v/>
      </c>
      <c r="G216" s="8">
        <f>IFERROR(INDEX('02x_Accelerator_Catalog'!$D$2:$D$11,MATCH(E216,'02x_Accelerator_Catalog'!$B$2:$B$11,0)),"")</f>
        <v/>
      </c>
      <c r="H216" s="17" t="n">
        <v>0.18707406</v>
      </c>
      <c r="I216" s="6">
        <f>SUMIFS($H$2:$H$573,$B$2:$B$573,B216,$C$2:$C$573,C216,$D$2:$D$573,D216)</f>
        <v/>
      </c>
      <c r="J216" s="3" t="inlineStr">
        <is>
          <t>epoch_csp_chip_quantity_latest</t>
        </is>
      </c>
      <c r="K216" s="3" t="inlineStr">
        <is>
          <t>SRC_EPOCH_AI_DATA_CENTERS; EPOCH_RAW_CHIP_QUANTITIES</t>
        </is>
      </c>
      <c r="L216" s="3" t="inlineStr">
        <is>
          <t>Latest chip quantity per CSP/data-center/accelerator through year-end; normalized by unit count. Shares are editable.</t>
        </is>
      </c>
    </row>
    <row r="217">
      <c r="A217" s="5">
        <f>B217&amp;"|"&amp;C217&amp;"|"&amp;D217&amp;"|"&amp;E217</f>
        <v/>
      </c>
      <c r="B217" s="3" t="inlineStr">
        <is>
          <t>Base</t>
        </is>
      </c>
      <c r="C217" s="3" t="inlineStr">
        <is>
          <t>Meta</t>
        </is>
      </c>
      <c r="D217" s="3" t="n">
        <v>2028</v>
      </c>
      <c r="E217" s="25" t="inlineStr">
        <is>
          <t>B200/B300 class</t>
        </is>
      </c>
      <c r="F217" s="5">
        <f>IFERROR(INDEX('02x_Accelerator_Catalog'!$C$2:$C$11,MATCH(E217,'02x_Accelerator_Catalog'!$B$2:$B$11,0)),"purpose_or_unbenchmarked")</f>
        <v/>
      </c>
      <c r="G217" s="8">
        <f>IFERROR(INDEX('02x_Accelerator_Catalog'!$D$2:$D$11,MATCH(E217,'02x_Accelerator_Catalog'!$B$2:$B$11,0)),"")</f>
        <v/>
      </c>
      <c r="H217" s="17" t="n">
        <v>0.7380069</v>
      </c>
      <c r="I217" s="6">
        <f>SUMIFS($H$2:$H$573,$B$2:$B$573,B217,$C$2:$C$573,C217,$D$2:$D$573,D217)</f>
        <v/>
      </c>
      <c r="J217" s="3" t="inlineStr">
        <is>
          <t>epoch_csp_chip_quantity_latest</t>
        </is>
      </c>
      <c r="K217" s="3" t="inlineStr">
        <is>
          <t>SRC_EPOCH_AI_DATA_CENTERS; EPOCH_RAW_CHIP_QUANTITIES</t>
        </is>
      </c>
      <c r="L217" s="3" t="inlineStr">
        <is>
          <t>Latest chip quantity per CSP/data-center/accelerator through year-end; normalized by unit count. Shares are editable.</t>
        </is>
      </c>
    </row>
    <row r="218">
      <c r="A218" s="5">
        <f>B218&amp;"|"&amp;C218&amp;"|"&amp;D218&amp;"|"&amp;E218</f>
        <v/>
      </c>
      <c r="B218" s="3" t="inlineStr">
        <is>
          <t>Base</t>
        </is>
      </c>
      <c r="C218" s="3" t="inlineStr">
        <is>
          <t>Meta</t>
        </is>
      </c>
      <c r="D218" s="3" t="n">
        <v>2028</v>
      </c>
      <c r="E218" s="25" t="inlineStr">
        <is>
          <t>H100/H200/A100 class</t>
        </is>
      </c>
      <c r="F218" s="5">
        <f>IFERROR(INDEX('02x_Accelerator_Catalog'!$C$2:$C$11,MATCH(E218,'02x_Accelerator_Catalog'!$B$2:$B$11,0)),"purpose_or_unbenchmarked")</f>
        <v/>
      </c>
      <c r="G218" s="8">
        <f>IFERROR(INDEX('02x_Accelerator_Catalog'!$D$2:$D$11,MATCH(E218,'02x_Accelerator_Catalog'!$B$2:$B$11,0)),"")</f>
        <v/>
      </c>
      <c r="H218" s="17" t="n">
        <v>0.07491904000000001</v>
      </c>
      <c r="I218" s="6">
        <f>SUMIFS($H$2:$H$573,$B$2:$B$573,B218,$C$2:$C$573,C218,$D$2:$D$573,D218)</f>
        <v/>
      </c>
      <c r="J218" s="3" t="inlineStr">
        <is>
          <t>epoch_csp_chip_quantity_latest</t>
        </is>
      </c>
      <c r="K218" s="3" t="inlineStr">
        <is>
          <t>SRC_EPOCH_AI_DATA_CENTERS; EPOCH_RAW_CHIP_QUANTITIES</t>
        </is>
      </c>
      <c r="L218" s="3" t="inlineStr">
        <is>
          <t>Latest chip quantity per CSP/data-center/accelerator through year-end; normalized by unit count. Shares are editable.</t>
        </is>
      </c>
    </row>
    <row r="219">
      <c r="A219" s="5">
        <f>B219&amp;"|"&amp;C219&amp;"|"&amp;D219&amp;"|"&amp;E219</f>
        <v/>
      </c>
      <c r="B219" s="3" t="inlineStr">
        <is>
          <t>Base</t>
        </is>
      </c>
      <c r="C219" s="3" t="inlineStr">
        <is>
          <t>Meta</t>
        </is>
      </c>
      <c r="D219" s="3" t="n">
        <v>2028</v>
      </c>
      <c r="E219" s="25" t="inlineStr">
        <is>
          <t>R200/R300 future</t>
        </is>
      </c>
      <c r="F219" s="5">
        <f>IFERROR(INDEX('02x_Accelerator_Catalog'!$C$2:$C$11,MATCH(E219,'02x_Accelerator_Catalog'!$B$2:$B$11,0)),"purpose_or_unbenchmarked")</f>
        <v/>
      </c>
      <c r="G219" s="8">
        <f>IFERROR(INDEX('02x_Accelerator_Catalog'!$D$2:$D$11,MATCH(E219,'02x_Accelerator_Catalog'!$B$2:$B$11,0)),"")</f>
        <v/>
      </c>
      <c r="H219" s="17" t="n">
        <v>0.18707406</v>
      </c>
      <c r="I219" s="6">
        <f>SUMIFS($H$2:$H$573,$B$2:$B$573,B219,$C$2:$C$573,C219,$D$2:$D$573,D219)</f>
        <v/>
      </c>
      <c r="J219" s="3" t="inlineStr">
        <is>
          <t>epoch_csp_chip_quantity_latest</t>
        </is>
      </c>
      <c r="K219" s="3" t="inlineStr">
        <is>
          <t>SRC_EPOCH_AI_DATA_CENTERS; EPOCH_RAW_CHIP_QUANTITIES</t>
        </is>
      </c>
      <c r="L219" s="3" t="inlineStr">
        <is>
          <t>Latest chip quantity per CSP/data-center/accelerator through year-end; normalized by unit count. Shares are editable.</t>
        </is>
      </c>
    </row>
    <row r="220">
      <c r="A220" s="5">
        <f>B220&amp;"|"&amp;C220&amp;"|"&amp;D220&amp;"|"&amp;E220</f>
        <v/>
      </c>
      <c r="B220" s="3" t="inlineStr">
        <is>
          <t>Bull</t>
        </is>
      </c>
      <c r="C220" s="3" t="inlineStr">
        <is>
          <t>Meta</t>
        </is>
      </c>
      <c r="D220" s="3" t="n">
        <v>2028</v>
      </c>
      <c r="E220" s="25" t="inlineStr">
        <is>
          <t>B200/B300 class</t>
        </is>
      </c>
      <c r="F220" s="5">
        <f>IFERROR(INDEX('02x_Accelerator_Catalog'!$C$2:$C$11,MATCH(E220,'02x_Accelerator_Catalog'!$B$2:$B$11,0)),"purpose_or_unbenchmarked")</f>
        <v/>
      </c>
      <c r="G220" s="8">
        <f>IFERROR(INDEX('02x_Accelerator_Catalog'!$D$2:$D$11,MATCH(E220,'02x_Accelerator_Catalog'!$B$2:$B$11,0)),"")</f>
        <v/>
      </c>
      <c r="H220" s="17" t="n">
        <v>0.7380069</v>
      </c>
      <c r="I220" s="6">
        <f>SUMIFS($H$2:$H$573,$B$2:$B$573,B220,$C$2:$C$573,C220,$D$2:$D$573,D220)</f>
        <v/>
      </c>
      <c r="J220" s="3" t="inlineStr">
        <is>
          <t>epoch_csp_chip_quantity_latest</t>
        </is>
      </c>
      <c r="K220" s="3" t="inlineStr">
        <is>
          <t>SRC_EPOCH_AI_DATA_CENTERS; EPOCH_RAW_CHIP_QUANTITIES</t>
        </is>
      </c>
      <c r="L220" s="3" t="inlineStr">
        <is>
          <t>Latest chip quantity per CSP/data-center/accelerator through year-end; normalized by unit count. Shares are editable.</t>
        </is>
      </c>
    </row>
    <row r="221">
      <c r="A221" s="5">
        <f>B221&amp;"|"&amp;C221&amp;"|"&amp;D221&amp;"|"&amp;E221</f>
        <v/>
      </c>
      <c r="B221" s="3" t="inlineStr">
        <is>
          <t>Bull</t>
        </is>
      </c>
      <c r="C221" s="3" t="inlineStr">
        <is>
          <t>Meta</t>
        </is>
      </c>
      <c r="D221" s="3" t="n">
        <v>2028</v>
      </c>
      <c r="E221" s="25" t="inlineStr">
        <is>
          <t>H100/H200/A100 class</t>
        </is>
      </c>
      <c r="F221" s="5">
        <f>IFERROR(INDEX('02x_Accelerator_Catalog'!$C$2:$C$11,MATCH(E221,'02x_Accelerator_Catalog'!$B$2:$B$11,0)),"purpose_or_unbenchmarked")</f>
        <v/>
      </c>
      <c r="G221" s="8">
        <f>IFERROR(INDEX('02x_Accelerator_Catalog'!$D$2:$D$11,MATCH(E221,'02x_Accelerator_Catalog'!$B$2:$B$11,0)),"")</f>
        <v/>
      </c>
      <c r="H221" s="17" t="n">
        <v>0.07491904000000001</v>
      </c>
      <c r="I221" s="6">
        <f>SUMIFS($H$2:$H$573,$B$2:$B$573,B221,$C$2:$C$573,C221,$D$2:$D$573,D221)</f>
        <v/>
      </c>
      <c r="J221" s="3" t="inlineStr">
        <is>
          <t>epoch_csp_chip_quantity_latest</t>
        </is>
      </c>
      <c r="K221" s="3" t="inlineStr">
        <is>
          <t>SRC_EPOCH_AI_DATA_CENTERS; EPOCH_RAW_CHIP_QUANTITIES</t>
        </is>
      </c>
      <c r="L221" s="3" t="inlineStr">
        <is>
          <t>Latest chip quantity per CSP/data-center/accelerator through year-end; normalized by unit count. Shares are editable.</t>
        </is>
      </c>
    </row>
    <row r="222">
      <c r="A222" s="5">
        <f>B222&amp;"|"&amp;C222&amp;"|"&amp;D222&amp;"|"&amp;E222</f>
        <v/>
      </c>
      <c r="B222" s="3" t="inlineStr">
        <is>
          <t>Bull</t>
        </is>
      </c>
      <c r="C222" s="3" t="inlineStr">
        <is>
          <t>Meta</t>
        </is>
      </c>
      <c r="D222" s="3" t="n">
        <v>2028</v>
      </c>
      <c r="E222" s="25" t="inlineStr">
        <is>
          <t>R200/R300 future</t>
        </is>
      </c>
      <c r="F222" s="5">
        <f>IFERROR(INDEX('02x_Accelerator_Catalog'!$C$2:$C$11,MATCH(E222,'02x_Accelerator_Catalog'!$B$2:$B$11,0)),"purpose_or_unbenchmarked")</f>
        <v/>
      </c>
      <c r="G222" s="8">
        <f>IFERROR(INDEX('02x_Accelerator_Catalog'!$D$2:$D$11,MATCH(E222,'02x_Accelerator_Catalog'!$B$2:$B$11,0)),"")</f>
        <v/>
      </c>
      <c r="H222" s="17" t="n">
        <v>0.18707406</v>
      </c>
      <c r="I222" s="6">
        <f>SUMIFS($H$2:$H$573,$B$2:$B$573,B222,$C$2:$C$573,C222,$D$2:$D$573,D222)</f>
        <v/>
      </c>
      <c r="J222" s="3" t="inlineStr">
        <is>
          <t>epoch_csp_chip_quantity_latest</t>
        </is>
      </c>
      <c r="K222" s="3" t="inlineStr">
        <is>
          <t>SRC_EPOCH_AI_DATA_CENTERS; EPOCH_RAW_CHIP_QUANTITIES</t>
        </is>
      </c>
      <c r="L222" s="3" t="inlineStr">
        <is>
          <t>Latest chip quantity per CSP/data-center/accelerator through year-end; normalized by unit count. Shares are editable.</t>
        </is>
      </c>
    </row>
    <row r="223">
      <c r="A223" s="5">
        <f>B223&amp;"|"&amp;C223&amp;"|"&amp;D223&amp;"|"&amp;E223</f>
        <v/>
      </c>
      <c r="B223" s="3" t="inlineStr">
        <is>
          <t>Grid-Constrained / Efficiency-Upside</t>
        </is>
      </c>
      <c r="C223" s="3" t="inlineStr">
        <is>
          <t>Meta</t>
        </is>
      </c>
      <c r="D223" s="3" t="n">
        <v>2028</v>
      </c>
      <c r="E223" s="25" t="inlineStr">
        <is>
          <t>B200/B300 class</t>
        </is>
      </c>
      <c r="F223" s="5">
        <f>IFERROR(INDEX('02x_Accelerator_Catalog'!$C$2:$C$11,MATCH(E223,'02x_Accelerator_Catalog'!$B$2:$B$11,0)),"purpose_or_unbenchmarked")</f>
        <v/>
      </c>
      <c r="G223" s="8">
        <f>IFERROR(INDEX('02x_Accelerator_Catalog'!$D$2:$D$11,MATCH(E223,'02x_Accelerator_Catalog'!$B$2:$B$11,0)),"")</f>
        <v/>
      </c>
      <c r="H223" s="17" t="n">
        <v>0.7380069</v>
      </c>
      <c r="I223" s="6">
        <f>SUMIFS($H$2:$H$573,$B$2:$B$573,B223,$C$2:$C$573,C223,$D$2:$D$573,D223)</f>
        <v/>
      </c>
      <c r="J223" s="3" t="inlineStr">
        <is>
          <t>epoch_csp_chip_quantity_latest</t>
        </is>
      </c>
      <c r="K223" s="3" t="inlineStr">
        <is>
          <t>SRC_EPOCH_AI_DATA_CENTERS; EPOCH_RAW_CHIP_QUANTITIES</t>
        </is>
      </c>
      <c r="L223" s="3" t="inlineStr">
        <is>
          <t>Latest chip quantity per CSP/data-center/accelerator through year-end; normalized by unit count. Shares are editable.</t>
        </is>
      </c>
    </row>
    <row r="224">
      <c r="A224" s="5">
        <f>B224&amp;"|"&amp;C224&amp;"|"&amp;D224&amp;"|"&amp;E224</f>
        <v/>
      </c>
      <c r="B224" s="3" t="inlineStr">
        <is>
          <t>Grid-Constrained / Efficiency-Upside</t>
        </is>
      </c>
      <c r="C224" s="3" t="inlineStr">
        <is>
          <t>Meta</t>
        </is>
      </c>
      <c r="D224" s="3" t="n">
        <v>2028</v>
      </c>
      <c r="E224" s="25" t="inlineStr">
        <is>
          <t>H100/H200/A100 class</t>
        </is>
      </c>
      <c r="F224" s="5">
        <f>IFERROR(INDEX('02x_Accelerator_Catalog'!$C$2:$C$11,MATCH(E224,'02x_Accelerator_Catalog'!$B$2:$B$11,0)),"purpose_or_unbenchmarked")</f>
        <v/>
      </c>
      <c r="G224" s="8">
        <f>IFERROR(INDEX('02x_Accelerator_Catalog'!$D$2:$D$11,MATCH(E224,'02x_Accelerator_Catalog'!$B$2:$B$11,0)),"")</f>
        <v/>
      </c>
      <c r="H224" s="17" t="n">
        <v>0.07491904000000001</v>
      </c>
      <c r="I224" s="6">
        <f>SUMIFS($H$2:$H$573,$B$2:$B$573,B224,$C$2:$C$573,C224,$D$2:$D$573,D224)</f>
        <v/>
      </c>
      <c r="J224" s="3" t="inlineStr">
        <is>
          <t>epoch_csp_chip_quantity_latest</t>
        </is>
      </c>
      <c r="K224" s="3" t="inlineStr">
        <is>
          <t>SRC_EPOCH_AI_DATA_CENTERS; EPOCH_RAW_CHIP_QUANTITIES</t>
        </is>
      </c>
      <c r="L224" s="3" t="inlineStr">
        <is>
          <t>Latest chip quantity per CSP/data-center/accelerator through year-end; normalized by unit count. Shares are editable.</t>
        </is>
      </c>
    </row>
    <row r="225">
      <c r="A225" s="5">
        <f>B225&amp;"|"&amp;C225&amp;"|"&amp;D225&amp;"|"&amp;E225</f>
        <v/>
      </c>
      <c r="B225" s="3" t="inlineStr">
        <is>
          <t>Grid-Constrained / Efficiency-Upside</t>
        </is>
      </c>
      <c r="C225" s="3" t="inlineStr">
        <is>
          <t>Meta</t>
        </is>
      </c>
      <c r="D225" s="3" t="n">
        <v>2028</v>
      </c>
      <c r="E225" s="25" t="inlineStr">
        <is>
          <t>R200/R300 future</t>
        </is>
      </c>
      <c r="F225" s="5">
        <f>IFERROR(INDEX('02x_Accelerator_Catalog'!$C$2:$C$11,MATCH(E225,'02x_Accelerator_Catalog'!$B$2:$B$11,0)),"purpose_or_unbenchmarked")</f>
        <v/>
      </c>
      <c r="G225" s="8">
        <f>IFERROR(INDEX('02x_Accelerator_Catalog'!$D$2:$D$11,MATCH(E225,'02x_Accelerator_Catalog'!$B$2:$B$11,0)),"")</f>
        <v/>
      </c>
      <c r="H225" s="17" t="n">
        <v>0.18707406</v>
      </c>
      <c r="I225" s="6">
        <f>SUMIFS($H$2:$H$573,$B$2:$B$573,B225,$C$2:$C$573,C225,$D$2:$D$573,D225)</f>
        <v/>
      </c>
      <c r="J225" s="3" t="inlineStr">
        <is>
          <t>epoch_csp_chip_quantity_latest</t>
        </is>
      </c>
      <c r="K225" s="3" t="inlineStr">
        <is>
          <t>SRC_EPOCH_AI_DATA_CENTERS; EPOCH_RAW_CHIP_QUANTITIES</t>
        </is>
      </c>
      <c r="L225" s="3" t="inlineStr">
        <is>
          <t>Latest chip quantity per CSP/data-center/accelerator through year-end; normalized by unit count. Shares are editable.</t>
        </is>
      </c>
    </row>
    <row r="226">
      <c r="A226" s="5">
        <f>B226&amp;"|"&amp;C226&amp;"|"&amp;D226&amp;"|"&amp;E226</f>
        <v/>
      </c>
      <c r="B226" s="3" t="inlineStr">
        <is>
          <t>Bear</t>
        </is>
      </c>
      <c r="C226" s="3" t="inlineStr">
        <is>
          <t>Meta</t>
        </is>
      </c>
      <c r="D226" s="3" t="n">
        <v>2029</v>
      </c>
      <c r="E226" s="25" t="inlineStr">
        <is>
          <t>B200/B300 class</t>
        </is>
      </c>
      <c r="F226" s="5">
        <f>IFERROR(INDEX('02x_Accelerator_Catalog'!$C$2:$C$11,MATCH(E226,'02x_Accelerator_Catalog'!$B$2:$B$11,0)),"purpose_or_unbenchmarked")</f>
        <v/>
      </c>
      <c r="G226" s="8">
        <f>IFERROR(INDEX('02x_Accelerator_Catalog'!$D$2:$D$11,MATCH(E226,'02x_Accelerator_Catalog'!$B$2:$B$11,0)),"")</f>
        <v/>
      </c>
      <c r="H226" s="17" t="n">
        <v>0.7380069</v>
      </c>
      <c r="I226" s="6">
        <f>SUMIFS($H$2:$H$573,$B$2:$B$573,B226,$C$2:$C$573,C226,$D$2:$D$573,D226)</f>
        <v/>
      </c>
      <c r="J226" s="3" t="inlineStr">
        <is>
          <t>epoch_csp_chip_quantity_latest</t>
        </is>
      </c>
      <c r="K226" s="3" t="inlineStr">
        <is>
          <t>SRC_EPOCH_AI_DATA_CENTERS; EPOCH_RAW_CHIP_QUANTITIES</t>
        </is>
      </c>
      <c r="L226" s="3" t="inlineStr">
        <is>
          <t>Latest chip quantity per CSP/data-center/accelerator through year-end; normalized by unit count. Shares are editable.</t>
        </is>
      </c>
    </row>
    <row r="227">
      <c r="A227" s="5">
        <f>B227&amp;"|"&amp;C227&amp;"|"&amp;D227&amp;"|"&amp;E227</f>
        <v/>
      </c>
      <c r="B227" s="3" t="inlineStr">
        <is>
          <t>Bear</t>
        </is>
      </c>
      <c r="C227" s="3" t="inlineStr">
        <is>
          <t>Meta</t>
        </is>
      </c>
      <c r="D227" s="3" t="n">
        <v>2029</v>
      </c>
      <c r="E227" s="25" t="inlineStr">
        <is>
          <t>H100/H200/A100 class</t>
        </is>
      </c>
      <c r="F227" s="5">
        <f>IFERROR(INDEX('02x_Accelerator_Catalog'!$C$2:$C$11,MATCH(E227,'02x_Accelerator_Catalog'!$B$2:$B$11,0)),"purpose_or_unbenchmarked")</f>
        <v/>
      </c>
      <c r="G227" s="8">
        <f>IFERROR(INDEX('02x_Accelerator_Catalog'!$D$2:$D$11,MATCH(E227,'02x_Accelerator_Catalog'!$B$2:$B$11,0)),"")</f>
        <v/>
      </c>
      <c r="H227" s="17" t="n">
        <v>0.07491904000000001</v>
      </c>
      <c r="I227" s="6">
        <f>SUMIFS($H$2:$H$573,$B$2:$B$573,B227,$C$2:$C$573,C227,$D$2:$D$573,D227)</f>
        <v/>
      </c>
      <c r="J227" s="3" t="inlineStr">
        <is>
          <t>epoch_csp_chip_quantity_latest</t>
        </is>
      </c>
      <c r="K227" s="3" t="inlineStr">
        <is>
          <t>SRC_EPOCH_AI_DATA_CENTERS; EPOCH_RAW_CHIP_QUANTITIES</t>
        </is>
      </c>
      <c r="L227" s="3" t="inlineStr">
        <is>
          <t>Latest chip quantity per CSP/data-center/accelerator through year-end; normalized by unit count. Shares are editable.</t>
        </is>
      </c>
    </row>
    <row r="228">
      <c r="A228" s="5">
        <f>B228&amp;"|"&amp;C228&amp;"|"&amp;D228&amp;"|"&amp;E228</f>
        <v/>
      </c>
      <c r="B228" s="3" t="inlineStr">
        <is>
          <t>Bear</t>
        </is>
      </c>
      <c r="C228" s="3" t="inlineStr">
        <is>
          <t>Meta</t>
        </is>
      </c>
      <c r="D228" s="3" t="n">
        <v>2029</v>
      </c>
      <c r="E228" s="25" t="inlineStr">
        <is>
          <t>R200/R300 future</t>
        </is>
      </c>
      <c r="F228" s="5">
        <f>IFERROR(INDEX('02x_Accelerator_Catalog'!$C$2:$C$11,MATCH(E228,'02x_Accelerator_Catalog'!$B$2:$B$11,0)),"purpose_or_unbenchmarked")</f>
        <v/>
      </c>
      <c r="G228" s="8">
        <f>IFERROR(INDEX('02x_Accelerator_Catalog'!$D$2:$D$11,MATCH(E228,'02x_Accelerator_Catalog'!$B$2:$B$11,0)),"")</f>
        <v/>
      </c>
      <c r="H228" s="17" t="n">
        <v>0.18707406</v>
      </c>
      <c r="I228" s="6">
        <f>SUMIFS($H$2:$H$573,$B$2:$B$573,B228,$C$2:$C$573,C228,$D$2:$D$573,D228)</f>
        <v/>
      </c>
      <c r="J228" s="3" t="inlineStr">
        <is>
          <t>epoch_csp_chip_quantity_latest</t>
        </is>
      </c>
      <c r="K228" s="3" t="inlineStr">
        <is>
          <t>SRC_EPOCH_AI_DATA_CENTERS; EPOCH_RAW_CHIP_QUANTITIES</t>
        </is>
      </c>
      <c r="L228" s="3" t="inlineStr">
        <is>
          <t>Latest chip quantity per CSP/data-center/accelerator through year-end; normalized by unit count. Shares are editable.</t>
        </is>
      </c>
    </row>
    <row r="229">
      <c r="A229" s="5">
        <f>B229&amp;"|"&amp;C229&amp;"|"&amp;D229&amp;"|"&amp;E229</f>
        <v/>
      </c>
      <c r="B229" s="3" t="inlineStr">
        <is>
          <t>Base</t>
        </is>
      </c>
      <c r="C229" s="3" t="inlineStr">
        <is>
          <t>Meta</t>
        </is>
      </c>
      <c r="D229" s="3" t="n">
        <v>2029</v>
      </c>
      <c r="E229" s="25" t="inlineStr">
        <is>
          <t>B200/B300 class</t>
        </is>
      </c>
      <c r="F229" s="5">
        <f>IFERROR(INDEX('02x_Accelerator_Catalog'!$C$2:$C$11,MATCH(E229,'02x_Accelerator_Catalog'!$B$2:$B$11,0)),"purpose_or_unbenchmarked")</f>
        <v/>
      </c>
      <c r="G229" s="8">
        <f>IFERROR(INDEX('02x_Accelerator_Catalog'!$D$2:$D$11,MATCH(E229,'02x_Accelerator_Catalog'!$B$2:$B$11,0)),"")</f>
        <v/>
      </c>
      <c r="H229" s="17" t="n">
        <v>0.7380069</v>
      </c>
      <c r="I229" s="6">
        <f>SUMIFS($H$2:$H$573,$B$2:$B$573,B229,$C$2:$C$573,C229,$D$2:$D$573,D229)</f>
        <v/>
      </c>
      <c r="J229" s="3" t="inlineStr">
        <is>
          <t>epoch_csp_chip_quantity_latest</t>
        </is>
      </c>
      <c r="K229" s="3" t="inlineStr">
        <is>
          <t>SRC_EPOCH_AI_DATA_CENTERS; EPOCH_RAW_CHIP_QUANTITIES</t>
        </is>
      </c>
      <c r="L229" s="3" t="inlineStr">
        <is>
          <t>Latest chip quantity per CSP/data-center/accelerator through year-end; normalized by unit count. Shares are editable.</t>
        </is>
      </c>
    </row>
    <row r="230">
      <c r="A230" s="5">
        <f>B230&amp;"|"&amp;C230&amp;"|"&amp;D230&amp;"|"&amp;E230</f>
        <v/>
      </c>
      <c r="B230" s="3" t="inlineStr">
        <is>
          <t>Base</t>
        </is>
      </c>
      <c r="C230" s="3" t="inlineStr">
        <is>
          <t>Meta</t>
        </is>
      </c>
      <c r="D230" s="3" t="n">
        <v>2029</v>
      </c>
      <c r="E230" s="25" t="inlineStr">
        <is>
          <t>H100/H200/A100 class</t>
        </is>
      </c>
      <c r="F230" s="5">
        <f>IFERROR(INDEX('02x_Accelerator_Catalog'!$C$2:$C$11,MATCH(E230,'02x_Accelerator_Catalog'!$B$2:$B$11,0)),"purpose_or_unbenchmarked")</f>
        <v/>
      </c>
      <c r="G230" s="8">
        <f>IFERROR(INDEX('02x_Accelerator_Catalog'!$D$2:$D$11,MATCH(E230,'02x_Accelerator_Catalog'!$B$2:$B$11,0)),"")</f>
        <v/>
      </c>
      <c r="H230" s="17" t="n">
        <v>0.07491904000000001</v>
      </c>
      <c r="I230" s="6">
        <f>SUMIFS($H$2:$H$573,$B$2:$B$573,B230,$C$2:$C$573,C230,$D$2:$D$573,D230)</f>
        <v/>
      </c>
      <c r="J230" s="3" t="inlineStr">
        <is>
          <t>epoch_csp_chip_quantity_latest</t>
        </is>
      </c>
      <c r="K230" s="3" t="inlineStr">
        <is>
          <t>SRC_EPOCH_AI_DATA_CENTERS; EPOCH_RAW_CHIP_QUANTITIES</t>
        </is>
      </c>
      <c r="L230" s="3" t="inlineStr">
        <is>
          <t>Latest chip quantity per CSP/data-center/accelerator through year-end; normalized by unit count. Shares are editable.</t>
        </is>
      </c>
    </row>
    <row r="231">
      <c r="A231" s="5">
        <f>B231&amp;"|"&amp;C231&amp;"|"&amp;D231&amp;"|"&amp;E231</f>
        <v/>
      </c>
      <c r="B231" s="3" t="inlineStr">
        <is>
          <t>Base</t>
        </is>
      </c>
      <c r="C231" s="3" t="inlineStr">
        <is>
          <t>Meta</t>
        </is>
      </c>
      <c r="D231" s="3" t="n">
        <v>2029</v>
      </c>
      <c r="E231" s="25" t="inlineStr">
        <is>
          <t>R200/R300 future</t>
        </is>
      </c>
      <c r="F231" s="5">
        <f>IFERROR(INDEX('02x_Accelerator_Catalog'!$C$2:$C$11,MATCH(E231,'02x_Accelerator_Catalog'!$B$2:$B$11,0)),"purpose_or_unbenchmarked")</f>
        <v/>
      </c>
      <c r="G231" s="8">
        <f>IFERROR(INDEX('02x_Accelerator_Catalog'!$D$2:$D$11,MATCH(E231,'02x_Accelerator_Catalog'!$B$2:$B$11,0)),"")</f>
        <v/>
      </c>
      <c r="H231" s="17" t="n">
        <v>0.18707406</v>
      </c>
      <c r="I231" s="6">
        <f>SUMIFS($H$2:$H$573,$B$2:$B$573,B231,$C$2:$C$573,C231,$D$2:$D$573,D231)</f>
        <v/>
      </c>
      <c r="J231" s="3" t="inlineStr">
        <is>
          <t>epoch_csp_chip_quantity_latest</t>
        </is>
      </c>
      <c r="K231" s="3" t="inlineStr">
        <is>
          <t>SRC_EPOCH_AI_DATA_CENTERS; EPOCH_RAW_CHIP_QUANTITIES</t>
        </is>
      </c>
      <c r="L231" s="3" t="inlineStr">
        <is>
          <t>Latest chip quantity per CSP/data-center/accelerator through year-end; normalized by unit count. Shares are editable.</t>
        </is>
      </c>
    </row>
    <row r="232">
      <c r="A232" s="5">
        <f>B232&amp;"|"&amp;C232&amp;"|"&amp;D232&amp;"|"&amp;E232</f>
        <v/>
      </c>
      <c r="B232" s="3" t="inlineStr">
        <is>
          <t>Bull</t>
        </is>
      </c>
      <c r="C232" s="3" t="inlineStr">
        <is>
          <t>Meta</t>
        </is>
      </c>
      <c r="D232" s="3" t="n">
        <v>2029</v>
      </c>
      <c r="E232" s="25" t="inlineStr">
        <is>
          <t>B200/B300 class</t>
        </is>
      </c>
      <c r="F232" s="5">
        <f>IFERROR(INDEX('02x_Accelerator_Catalog'!$C$2:$C$11,MATCH(E232,'02x_Accelerator_Catalog'!$B$2:$B$11,0)),"purpose_or_unbenchmarked")</f>
        <v/>
      </c>
      <c r="G232" s="8">
        <f>IFERROR(INDEX('02x_Accelerator_Catalog'!$D$2:$D$11,MATCH(E232,'02x_Accelerator_Catalog'!$B$2:$B$11,0)),"")</f>
        <v/>
      </c>
      <c r="H232" s="17" t="n">
        <v>0.7380069</v>
      </c>
      <c r="I232" s="6">
        <f>SUMIFS($H$2:$H$573,$B$2:$B$573,B232,$C$2:$C$573,C232,$D$2:$D$573,D232)</f>
        <v/>
      </c>
      <c r="J232" s="3" t="inlineStr">
        <is>
          <t>epoch_csp_chip_quantity_latest</t>
        </is>
      </c>
      <c r="K232" s="3" t="inlineStr">
        <is>
          <t>SRC_EPOCH_AI_DATA_CENTERS; EPOCH_RAW_CHIP_QUANTITIES</t>
        </is>
      </c>
      <c r="L232" s="3" t="inlineStr">
        <is>
          <t>Latest chip quantity per CSP/data-center/accelerator through year-end; normalized by unit count. Shares are editable.</t>
        </is>
      </c>
    </row>
    <row r="233">
      <c r="A233" s="5">
        <f>B233&amp;"|"&amp;C233&amp;"|"&amp;D233&amp;"|"&amp;E233</f>
        <v/>
      </c>
      <c r="B233" s="3" t="inlineStr">
        <is>
          <t>Bull</t>
        </is>
      </c>
      <c r="C233" s="3" t="inlineStr">
        <is>
          <t>Meta</t>
        </is>
      </c>
      <c r="D233" s="3" t="n">
        <v>2029</v>
      </c>
      <c r="E233" s="25" t="inlineStr">
        <is>
          <t>H100/H200/A100 class</t>
        </is>
      </c>
      <c r="F233" s="5">
        <f>IFERROR(INDEX('02x_Accelerator_Catalog'!$C$2:$C$11,MATCH(E233,'02x_Accelerator_Catalog'!$B$2:$B$11,0)),"purpose_or_unbenchmarked")</f>
        <v/>
      </c>
      <c r="G233" s="8">
        <f>IFERROR(INDEX('02x_Accelerator_Catalog'!$D$2:$D$11,MATCH(E233,'02x_Accelerator_Catalog'!$B$2:$B$11,0)),"")</f>
        <v/>
      </c>
      <c r="H233" s="17" t="n">
        <v>0.07491904000000001</v>
      </c>
      <c r="I233" s="6">
        <f>SUMIFS($H$2:$H$573,$B$2:$B$573,B233,$C$2:$C$573,C233,$D$2:$D$573,D233)</f>
        <v/>
      </c>
      <c r="J233" s="3" t="inlineStr">
        <is>
          <t>epoch_csp_chip_quantity_latest</t>
        </is>
      </c>
      <c r="K233" s="3" t="inlineStr">
        <is>
          <t>SRC_EPOCH_AI_DATA_CENTERS; EPOCH_RAW_CHIP_QUANTITIES</t>
        </is>
      </c>
      <c r="L233" s="3" t="inlineStr">
        <is>
          <t>Latest chip quantity per CSP/data-center/accelerator through year-end; normalized by unit count. Shares are editable.</t>
        </is>
      </c>
    </row>
    <row r="234">
      <c r="A234" s="5">
        <f>B234&amp;"|"&amp;C234&amp;"|"&amp;D234&amp;"|"&amp;E234</f>
        <v/>
      </c>
      <c r="B234" s="3" t="inlineStr">
        <is>
          <t>Bull</t>
        </is>
      </c>
      <c r="C234" s="3" t="inlineStr">
        <is>
          <t>Meta</t>
        </is>
      </c>
      <c r="D234" s="3" t="n">
        <v>2029</v>
      </c>
      <c r="E234" s="25" t="inlineStr">
        <is>
          <t>R200/R300 future</t>
        </is>
      </c>
      <c r="F234" s="5">
        <f>IFERROR(INDEX('02x_Accelerator_Catalog'!$C$2:$C$11,MATCH(E234,'02x_Accelerator_Catalog'!$B$2:$B$11,0)),"purpose_or_unbenchmarked")</f>
        <v/>
      </c>
      <c r="G234" s="8">
        <f>IFERROR(INDEX('02x_Accelerator_Catalog'!$D$2:$D$11,MATCH(E234,'02x_Accelerator_Catalog'!$B$2:$B$11,0)),"")</f>
        <v/>
      </c>
      <c r="H234" s="17" t="n">
        <v>0.18707406</v>
      </c>
      <c r="I234" s="6">
        <f>SUMIFS($H$2:$H$573,$B$2:$B$573,B234,$C$2:$C$573,C234,$D$2:$D$573,D234)</f>
        <v/>
      </c>
      <c r="J234" s="3" t="inlineStr">
        <is>
          <t>epoch_csp_chip_quantity_latest</t>
        </is>
      </c>
      <c r="K234" s="3" t="inlineStr">
        <is>
          <t>SRC_EPOCH_AI_DATA_CENTERS; EPOCH_RAW_CHIP_QUANTITIES</t>
        </is>
      </c>
      <c r="L234" s="3" t="inlineStr">
        <is>
          <t>Latest chip quantity per CSP/data-center/accelerator through year-end; normalized by unit count. Shares are editable.</t>
        </is>
      </c>
    </row>
    <row r="235">
      <c r="A235" s="5">
        <f>B235&amp;"|"&amp;C235&amp;"|"&amp;D235&amp;"|"&amp;E235</f>
        <v/>
      </c>
      <c r="B235" s="3" t="inlineStr">
        <is>
          <t>Grid-Constrained / Efficiency-Upside</t>
        </is>
      </c>
      <c r="C235" s="3" t="inlineStr">
        <is>
          <t>Meta</t>
        </is>
      </c>
      <c r="D235" s="3" t="n">
        <v>2029</v>
      </c>
      <c r="E235" s="25" t="inlineStr">
        <is>
          <t>B200/B300 class</t>
        </is>
      </c>
      <c r="F235" s="5">
        <f>IFERROR(INDEX('02x_Accelerator_Catalog'!$C$2:$C$11,MATCH(E235,'02x_Accelerator_Catalog'!$B$2:$B$11,0)),"purpose_or_unbenchmarked")</f>
        <v/>
      </c>
      <c r="G235" s="8">
        <f>IFERROR(INDEX('02x_Accelerator_Catalog'!$D$2:$D$11,MATCH(E235,'02x_Accelerator_Catalog'!$B$2:$B$11,0)),"")</f>
        <v/>
      </c>
      <c r="H235" s="17" t="n">
        <v>0.7380069</v>
      </c>
      <c r="I235" s="6">
        <f>SUMIFS($H$2:$H$573,$B$2:$B$573,B235,$C$2:$C$573,C235,$D$2:$D$573,D235)</f>
        <v/>
      </c>
      <c r="J235" s="3" t="inlineStr">
        <is>
          <t>epoch_csp_chip_quantity_latest</t>
        </is>
      </c>
      <c r="K235" s="3" t="inlineStr">
        <is>
          <t>SRC_EPOCH_AI_DATA_CENTERS; EPOCH_RAW_CHIP_QUANTITIES</t>
        </is>
      </c>
      <c r="L235" s="3" t="inlineStr">
        <is>
          <t>Latest chip quantity per CSP/data-center/accelerator through year-end; normalized by unit count. Shares are editable.</t>
        </is>
      </c>
    </row>
    <row r="236">
      <c r="A236" s="5">
        <f>B236&amp;"|"&amp;C236&amp;"|"&amp;D236&amp;"|"&amp;E236</f>
        <v/>
      </c>
      <c r="B236" s="3" t="inlineStr">
        <is>
          <t>Grid-Constrained / Efficiency-Upside</t>
        </is>
      </c>
      <c r="C236" s="3" t="inlineStr">
        <is>
          <t>Meta</t>
        </is>
      </c>
      <c r="D236" s="3" t="n">
        <v>2029</v>
      </c>
      <c r="E236" s="25" t="inlineStr">
        <is>
          <t>H100/H200/A100 class</t>
        </is>
      </c>
      <c r="F236" s="5">
        <f>IFERROR(INDEX('02x_Accelerator_Catalog'!$C$2:$C$11,MATCH(E236,'02x_Accelerator_Catalog'!$B$2:$B$11,0)),"purpose_or_unbenchmarked")</f>
        <v/>
      </c>
      <c r="G236" s="8">
        <f>IFERROR(INDEX('02x_Accelerator_Catalog'!$D$2:$D$11,MATCH(E236,'02x_Accelerator_Catalog'!$B$2:$B$11,0)),"")</f>
        <v/>
      </c>
      <c r="H236" s="17" t="n">
        <v>0.07491904000000001</v>
      </c>
      <c r="I236" s="6">
        <f>SUMIFS($H$2:$H$573,$B$2:$B$573,B236,$C$2:$C$573,C236,$D$2:$D$573,D236)</f>
        <v/>
      </c>
      <c r="J236" s="3" t="inlineStr">
        <is>
          <t>epoch_csp_chip_quantity_latest</t>
        </is>
      </c>
      <c r="K236" s="3" t="inlineStr">
        <is>
          <t>SRC_EPOCH_AI_DATA_CENTERS; EPOCH_RAW_CHIP_QUANTITIES</t>
        </is>
      </c>
      <c r="L236" s="3" t="inlineStr">
        <is>
          <t>Latest chip quantity per CSP/data-center/accelerator through year-end; normalized by unit count. Shares are editable.</t>
        </is>
      </c>
    </row>
    <row r="237">
      <c r="A237" s="5">
        <f>B237&amp;"|"&amp;C237&amp;"|"&amp;D237&amp;"|"&amp;E237</f>
        <v/>
      </c>
      <c r="B237" s="3" t="inlineStr">
        <is>
          <t>Grid-Constrained / Efficiency-Upside</t>
        </is>
      </c>
      <c r="C237" s="3" t="inlineStr">
        <is>
          <t>Meta</t>
        </is>
      </c>
      <c r="D237" s="3" t="n">
        <v>2029</v>
      </c>
      <c r="E237" s="25" t="inlineStr">
        <is>
          <t>R200/R300 future</t>
        </is>
      </c>
      <c r="F237" s="5">
        <f>IFERROR(INDEX('02x_Accelerator_Catalog'!$C$2:$C$11,MATCH(E237,'02x_Accelerator_Catalog'!$B$2:$B$11,0)),"purpose_or_unbenchmarked")</f>
        <v/>
      </c>
      <c r="G237" s="8">
        <f>IFERROR(INDEX('02x_Accelerator_Catalog'!$D$2:$D$11,MATCH(E237,'02x_Accelerator_Catalog'!$B$2:$B$11,0)),"")</f>
        <v/>
      </c>
      <c r="H237" s="17" t="n">
        <v>0.18707406</v>
      </c>
      <c r="I237" s="6">
        <f>SUMIFS($H$2:$H$573,$B$2:$B$573,B237,$C$2:$C$573,C237,$D$2:$D$573,D237)</f>
        <v/>
      </c>
      <c r="J237" s="3" t="inlineStr">
        <is>
          <t>epoch_csp_chip_quantity_latest</t>
        </is>
      </c>
      <c r="K237" s="3" t="inlineStr">
        <is>
          <t>SRC_EPOCH_AI_DATA_CENTERS; EPOCH_RAW_CHIP_QUANTITIES</t>
        </is>
      </c>
      <c r="L237" s="3" t="inlineStr">
        <is>
          <t>Latest chip quantity per CSP/data-center/accelerator through year-end; normalized by unit count. Shares are editable.</t>
        </is>
      </c>
    </row>
    <row r="238">
      <c r="A238" s="5">
        <f>B238&amp;"|"&amp;C238&amp;"|"&amp;D238&amp;"|"&amp;E238</f>
        <v/>
      </c>
      <c r="B238" s="3" t="inlineStr">
        <is>
          <t>Bear</t>
        </is>
      </c>
      <c r="C238" s="3" t="inlineStr">
        <is>
          <t>Meta</t>
        </is>
      </c>
      <c r="D238" s="3" t="n">
        <v>2030</v>
      </c>
      <c r="E238" s="25" t="inlineStr">
        <is>
          <t>B200/B300 class</t>
        </is>
      </c>
      <c r="F238" s="5">
        <f>IFERROR(INDEX('02x_Accelerator_Catalog'!$C$2:$C$11,MATCH(E238,'02x_Accelerator_Catalog'!$B$2:$B$11,0)),"purpose_or_unbenchmarked")</f>
        <v/>
      </c>
      <c r="G238" s="8">
        <f>IFERROR(INDEX('02x_Accelerator_Catalog'!$D$2:$D$11,MATCH(E238,'02x_Accelerator_Catalog'!$B$2:$B$11,0)),"")</f>
        <v/>
      </c>
      <c r="H238" s="17" t="n">
        <v>0.7380069</v>
      </c>
      <c r="I238" s="6">
        <f>SUMIFS($H$2:$H$573,$B$2:$B$573,B238,$C$2:$C$573,C238,$D$2:$D$573,D238)</f>
        <v/>
      </c>
      <c r="J238" s="3" t="inlineStr">
        <is>
          <t>epoch_csp_chip_quantity_latest</t>
        </is>
      </c>
      <c r="K238" s="3" t="inlineStr">
        <is>
          <t>SRC_EPOCH_AI_DATA_CENTERS; EPOCH_RAW_CHIP_QUANTITIES</t>
        </is>
      </c>
      <c r="L238" s="3" t="inlineStr">
        <is>
          <t>Latest chip quantity per CSP/data-center/accelerator through year-end; normalized by unit count. Shares are editable.</t>
        </is>
      </c>
    </row>
    <row r="239">
      <c r="A239" s="5">
        <f>B239&amp;"|"&amp;C239&amp;"|"&amp;D239&amp;"|"&amp;E239</f>
        <v/>
      </c>
      <c r="B239" s="3" t="inlineStr">
        <is>
          <t>Bear</t>
        </is>
      </c>
      <c r="C239" s="3" t="inlineStr">
        <is>
          <t>Meta</t>
        </is>
      </c>
      <c r="D239" s="3" t="n">
        <v>2030</v>
      </c>
      <c r="E239" s="25" t="inlineStr">
        <is>
          <t>H100/H200/A100 class</t>
        </is>
      </c>
      <c r="F239" s="5">
        <f>IFERROR(INDEX('02x_Accelerator_Catalog'!$C$2:$C$11,MATCH(E239,'02x_Accelerator_Catalog'!$B$2:$B$11,0)),"purpose_or_unbenchmarked")</f>
        <v/>
      </c>
      <c r="G239" s="8">
        <f>IFERROR(INDEX('02x_Accelerator_Catalog'!$D$2:$D$11,MATCH(E239,'02x_Accelerator_Catalog'!$B$2:$B$11,0)),"")</f>
        <v/>
      </c>
      <c r="H239" s="17" t="n">
        <v>0.07491904000000001</v>
      </c>
      <c r="I239" s="6">
        <f>SUMIFS($H$2:$H$573,$B$2:$B$573,B239,$C$2:$C$573,C239,$D$2:$D$573,D239)</f>
        <v/>
      </c>
      <c r="J239" s="3" t="inlineStr">
        <is>
          <t>epoch_csp_chip_quantity_latest</t>
        </is>
      </c>
      <c r="K239" s="3" t="inlineStr">
        <is>
          <t>SRC_EPOCH_AI_DATA_CENTERS; EPOCH_RAW_CHIP_QUANTITIES</t>
        </is>
      </c>
      <c r="L239" s="3" t="inlineStr">
        <is>
          <t>Latest chip quantity per CSP/data-center/accelerator through year-end; normalized by unit count. Shares are editable.</t>
        </is>
      </c>
    </row>
    <row r="240">
      <c r="A240" s="5">
        <f>B240&amp;"|"&amp;C240&amp;"|"&amp;D240&amp;"|"&amp;E240</f>
        <v/>
      </c>
      <c r="B240" s="3" t="inlineStr">
        <is>
          <t>Bear</t>
        </is>
      </c>
      <c r="C240" s="3" t="inlineStr">
        <is>
          <t>Meta</t>
        </is>
      </c>
      <c r="D240" s="3" t="n">
        <v>2030</v>
      </c>
      <c r="E240" s="25" t="inlineStr">
        <is>
          <t>R200/R300 future</t>
        </is>
      </c>
      <c r="F240" s="5">
        <f>IFERROR(INDEX('02x_Accelerator_Catalog'!$C$2:$C$11,MATCH(E240,'02x_Accelerator_Catalog'!$B$2:$B$11,0)),"purpose_or_unbenchmarked")</f>
        <v/>
      </c>
      <c r="G240" s="8">
        <f>IFERROR(INDEX('02x_Accelerator_Catalog'!$D$2:$D$11,MATCH(E240,'02x_Accelerator_Catalog'!$B$2:$B$11,0)),"")</f>
        <v/>
      </c>
      <c r="H240" s="17" t="n">
        <v>0.18707406</v>
      </c>
      <c r="I240" s="6">
        <f>SUMIFS($H$2:$H$573,$B$2:$B$573,B240,$C$2:$C$573,C240,$D$2:$D$573,D240)</f>
        <v/>
      </c>
      <c r="J240" s="3" t="inlineStr">
        <is>
          <t>epoch_csp_chip_quantity_latest</t>
        </is>
      </c>
      <c r="K240" s="3" t="inlineStr">
        <is>
          <t>SRC_EPOCH_AI_DATA_CENTERS; EPOCH_RAW_CHIP_QUANTITIES</t>
        </is>
      </c>
      <c r="L240" s="3" t="inlineStr">
        <is>
          <t>Latest chip quantity per CSP/data-center/accelerator through year-end; normalized by unit count. Shares are editable.</t>
        </is>
      </c>
    </row>
    <row r="241">
      <c r="A241" s="5">
        <f>B241&amp;"|"&amp;C241&amp;"|"&amp;D241&amp;"|"&amp;E241</f>
        <v/>
      </c>
      <c r="B241" s="3" t="inlineStr">
        <is>
          <t>Base</t>
        </is>
      </c>
      <c r="C241" s="3" t="inlineStr">
        <is>
          <t>Meta</t>
        </is>
      </c>
      <c r="D241" s="3" t="n">
        <v>2030</v>
      </c>
      <c r="E241" s="25" t="inlineStr">
        <is>
          <t>B200/B300 class</t>
        </is>
      </c>
      <c r="F241" s="5">
        <f>IFERROR(INDEX('02x_Accelerator_Catalog'!$C$2:$C$11,MATCH(E241,'02x_Accelerator_Catalog'!$B$2:$B$11,0)),"purpose_or_unbenchmarked")</f>
        <v/>
      </c>
      <c r="G241" s="8">
        <f>IFERROR(INDEX('02x_Accelerator_Catalog'!$D$2:$D$11,MATCH(E241,'02x_Accelerator_Catalog'!$B$2:$B$11,0)),"")</f>
        <v/>
      </c>
      <c r="H241" s="17" t="n">
        <v>0.7380069</v>
      </c>
      <c r="I241" s="6">
        <f>SUMIFS($H$2:$H$573,$B$2:$B$573,B241,$C$2:$C$573,C241,$D$2:$D$573,D241)</f>
        <v/>
      </c>
      <c r="J241" s="3" t="inlineStr">
        <is>
          <t>epoch_csp_chip_quantity_latest</t>
        </is>
      </c>
      <c r="K241" s="3" t="inlineStr">
        <is>
          <t>SRC_EPOCH_AI_DATA_CENTERS; EPOCH_RAW_CHIP_QUANTITIES</t>
        </is>
      </c>
      <c r="L241" s="3" t="inlineStr">
        <is>
          <t>Latest chip quantity per CSP/data-center/accelerator through year-end; normalized by unit count. Shares are editable.</t>
        </is>
      </c>
    </row>
    <row r="242">
      <c r="A242" s="5">
        <f>B242&amp;"|"&amp;C242&amp;"|"&amp;D242&amp;"|"&amp;E242</f>
        <v/>
      </c>
      <c r="B242" s="3" t="inlineStr">
        <is>
          <t>Base</t>
        </is>
      </c>
      <c r="C242" s="3" t="inlineStr">
        <is>
          <t>Meta</t>
        </is>
      </c>
      <c r="D242" s="3" t="n">
        <v>2030</v>
      </c>
      <c r="E242" s="25" t="inlineStr">
        <is>
          <t>H100/H200/A100 class</t>
        </is>
      </c>
      <c r="F242" s="5">
        <f>IFERROR(INDEX('02x_Accelerator_Catalog'!$C$2:$C$11,MATCH(E242,'02x_Accelerator_Catalog'!$B$2:$B$11,0)),"purpose_or_unbenchmarked")</f>
        <v/>
      </c>
      <c r="G242" s="8">
        <f>IFERROR(INDEX('02x_Accelerator_Catalog'!$D$2:$D$11,MATCH(E242,'02x_Accelerator_Catalog'!$B$2:$B$11,0)),"")</f>
        <v/>
      </c>
      <c r="H242" s="17" t="n">
        <v>0.07491904000000001</v>
      </c>
      <c r="I242" s="6">
        <f>SUMIFS($H$2:$H$573,$B$2:$B$573,B242,$C$2:$C$573,C242,$D$2:$D$573,D242)</f>
        <v/>
      </c>
      <c r="J242" s="3" t="inlineStr">
        <is>
          <t>epoch_csp_chip_quantity_latest</t>
        </is>
      </c>
      <c r="K242" s="3" t="inlineStr">
        <is>
          <t>SRC_EPOCH_AI_DATA_CENTERS; EPOCH_RAW_CHIP_QUANTITIES</t>
        </is>
      </c>
      <c r="L242" s="3" t="inlineStr">
        <is>
          <t>Latest chip quantity per CSP/data-center/accelerator through year-end; normalized by unit count. Shares are editable.</t>
        </is>
      </c>
    </row>
    <row r="243">
      <c r="A243" s="5">
        <f>B243&amp;"|"&amp;C243&amp;"|"&amp;D243&amp;"|"&amp;E243</f>
        <v/>
      </c>
      <c r="B243" s="3" t="inlineStr">
        <is>
          <t>Base</t>
        </is>
      </c>
      <c r="C243" s="3" t="inlineStr">
        <is>
          <t>Meta</t>
        </is>
      </c>
      <c r="D243" s="3" t="n">
        <v>2030</v>
      </c>
      <c r="E243" s="25" t="inlineStr">
        <is>
          <t>R200/R300 future</t>
        </is>
      </c>
      <c r="F243" s="5">
        <f>IFERROR(INDEX('02x_Accelerator_Catalog'!$C$2:$C$11,MATCH(E243,'02x_Accelerator_Catalog'!$B$2:$B$11,0)),"purpose_or_unbenchmarked")</f>
        <v/>
      </c>
      <c r="G243" s="8">
        <f>IFERROR(INDEX('02x_Accelerator_Catalog'!$D$2:$D$11,MATCH(E243,'02x_Accelerator_Catalog'!$B$2:$B$11,0)),"")</f>
        <v/>
      </c>
      <c r="H243" s="17" t="n">
        <v>0.18707406</v>
      </c>
      <c r="I243" s="6">
        <f>SUMIFS($H$2:$H$573,$B$2:$B$573,B243,$C$2:$C$573,C243,$D$2:$D$573,D243)</f>
        <v/>
      </c>
      <c r="J243" s="3" t="inlineStr">
        <is>
          <t>epoch_csp_chip_quantity_latest</t>
        </is>
      </c>
      <c r="K243" s="3" t="inlineStr">
        <is>
          <t>SRC_EPOCH_AI_DATA_CENTERS; EPOCH_RAW_CHIP_QUANTITIES</t>
        </is>
      </c>
      <c r="L243" s="3" t="inlineStr">
        <is>
          <t>Latest chip quantity per CSP/data-center/accelerator through year-end; normalized by unit count. Shares are editable.</t>
        </is>
      </c>
    </row>
    <row r="244">
      <c r="A244" s="5">
        <f>B244&amp;"|"&amp;C244&amp;"|"&amp;D244&amp;"|"&amp;E244</f>
        <v/>
      </c>
      <c r="B244" s="3" t="inlineStr">
        <is>
          <t>Bull</t>
        </is>
      </c>
      <c r="C244" s="3" t="inlineStr">
        <is>
          <t>Meta</t>
        </is>
      </c>
      <c r="D244" s="3" t="n">
        <v>2030</v>
      </c>
      <c r="E244" s="25" t="inlineStr">
        <is>
          <t>B200/B300 class</t>
        </is>
      </c>
      <c r="F244" s="5">
        <f>IFERROR(INDEX('02x_Accelerator_Catalog'!$C$2:$C$11,MATCH(E244,'02x_Accelerator_Catalog'!$B$2:$B$11,0)),"purpose_or_unbenchmarked")</f>
        <v/>
      </c>
      <c r="G244" s="8">
        <f>IFERROR(INDEX('02x_Accelerator_Catalog'!$D$2:$D$11,MATCH(E244,'02x_Accelerator_Catalog'!$B$2:$B$11,0)),"")</f>
        <v/>
      </c>
      <c r="H244" s="17" t="n">
        <v>0.7380069</v>
      </c>
      <c r="I244" s="6">
        <f>SUMIFS($H$2:$H$573,$B$2:$B$573,B244,$C$2:$C$573,C244,$D$2:$D$573,D244)</f>
        <v/>
      </c>
      <c r="J244" s="3" t="inlineStr">
        <is>
          <t>epoch_csp_chip_quantity_latest</t>
        </is>
      </c>
      <c r="K244" s="3" t="inlineStr">
        <is>
          <t>SRC_EPOCH_AI_DATA_CENTERS; EPOCH_RAW_CHIP_QUANTITIES</t>
        </is>
      </c>
      <c r="L244" s="3" t="inlineStr">
        <is>
          <t>Latest chip quantity per CSP/data-center/accelerator through year-end; normalized by unit count. Shares are editable.</t>
        </is>
      </c>
    </row>
    <row r="245">
      <c r="A245" s="5">
        <f>B245&amp;"|"&amp;C245&amp;"|"&amp;D245&amp;"|"&amp;E245</f>
        <v/>
      </c>
      <c r="B245" s="3" t="inlineStr">
        <is>
          <t>Bull</t>
        </is>
      </c>
      <c r="C245" s="3" t="inlineStr">
        <is>
          <t>Meta</t>
        </is>
      </c>
      <c r="D245" s="3" t="n">
        <v>2030</v>
      </c>
      <c r="E245" s="25" t="inlineStr">
        <is>
          <t>H100/H200/A100 class</t>
        </is>
      </c>
      <c r="F245" s="5">
        <f>IFERROR(INDEX('02x_Accelerator_Catalog'!$C$2:$C$11,MATCH(E245,'02x_Accelerator_Catalog'!$B$2:$B$11,0)),"purpose_or_unbenchmarked")</f>
        <v/>
      </c>
      <c r="G245" s="8">
        <f>IFERROR(INDEX('02x_Accelerator_Catalog'!$D$2:$D$11,MATCH(E245,'02x_Accelerator_Catalog'!$B$2:$B$11,0)),"")</f>
        <v/>
      </c>
      <c r="H245" s="17" t="n">
        <v>0.07491904000000001</v>
      </c>
      <c r="I245" s="6">
        <f>SUMIFS($H$2:$H$573,$B$2:$B$573,B245,$C$2:$C$573,C245,$D$2:$D$573,D245)</f>
        <v/>
      </c>
      <c r="J245" s="3" t="inlineStr">
        <is>
          <t>epoch_csp_chip_quantity_latest</t>
        </is>
      </c>
      <c r="K245" s="3" t="inlineStr">
        <is>
          <t>SRC_EPOCH_AI_DATA_CENTERS; EPOCH_RAW_CHIP_QUANTITIES</t>
        </is>
      </c>
      <c r="L245" s="3" t="inlineStr">
        <is>
          <t>Latest chip quantity per CSP/data-center/accelerator through year-end; normalized by unit count. Shares are editable.</t>
        </is>
      </c>
    </row>
    <row r="246">
      <c r="A246" s="5">
        <f>B246&amp;"|"&amp;C246&amp;"|"&amp;D246&amp;"|"&amp;E246</f>
        <v/>
      </c>
      <c r="B246" s="3" t="inlineStr">
        <is>
          <t>Bull</t>
        </is>
      </c>
      <c r="C246" s="3" t="inlineStr">
        <is>
          <t>Meta</t>
        </is>
      </c>
      <c r="D246" s="3" t="n">
        <v>2030</v>
      </c>
      <c r="E246" s="25" t="inlineStr">
        <is>
          <t>R200/R300 future</t>
        </is>
      </c>
      <c r="F246" s="5">
        <f>IFERROR(INDEX('02x_Accelerator_Catalog'!$C$2:$C$11,MATCH(E246,'02x_Accelerator_Catalog'!$B$2:$B$11,0)),"purpose_or_unbenchmarked")</f>
        <v/>
      </c>
      <c r="G246" s="8">
        <f>IFERROR(INDEX('02x_Accelerator_Catalog'!$D$2:$D$11,MATCH(E246,'02x_Accelerator_Catalog'!$B$2:$B$11,0)),"")</f>
        <v/>
      </c>
      <c r="H246" s="17" t="n">
        <v>0.18707406</v>
      </c>
      <c r="I246" s="6">
        <f>SUMIFS($H$2:$H$573,$B$2:$B$573,B246,$C$2:$C$573,C246,$D$2:$D$573,D246)</f>
        <v/>
      </c>
      <c r="J246" s="3" t="inlineStr">
        <is>
          <t>epoch_csp_chip_quantity_latest</t>
        </is>
      </c>
      <c r="K246" s="3" t="inlineStr">
        <is>
          <t>SRC_EPOCH_AI_DATA_CENTERS; EPOCH_RAW_CHIP_QUANTITIES</t>
        </is>
      </c>
      <c r="L246" s="3" t="inlineStr">
        <is>
          <t>Latest chip quantity per CSP/data-center/accelerator through year-end; normalized by unit count. Shares are editable.</t>
        </is>
      </c>
    </row>
    <row r="247">
      <c r="A247" s="5">
        <f>B247&amp;"|"&amp;C247&amp;"|"&amp;D247&amp;"|"&amp;E247</f>
        <v/>
      </c>
      <c r="B247" s="3" t="inlineStr">
        <is>
          <t>Grid-Constrained / Efficiency-Upside</t>
        </is>
      </c>
      <c r="C247" s="3" t="inlineStr">
        <is>
          <t>Meta</t>
        </is>
      </c>
      <c r="D247" s="3" t="n">
        <v>2030</v>
      </c>
      <c r="E247" s="25" t="inlineStr">
        <is>
          <t>B200/B300 class</t>
        </is>
      </c>
      <c r="F247" s="5">
        <f>IFERROR(INDEX('02x_Accelerator_Catalog'!$C$2:$C$11,MATCH(E247,'02x_Accelerator_Catalog'!$B$2:$B$11,0)),"purpose_or_unbenchmarked")</f>
        <v/>
      </c>
      <c r="G247" s="8">
        <f>IFERROR(INDEX('02x_Accelerator_Catalog'!$D$2:$D$11,MATCH(E247,'02x_Accelerator_Catalog'!$B$2:$B$11,0)),"")</f>
        <v/>
      </c>
      <c r="H247" s="17" t="n">
        <v>0.7380069</v>
      </c>
      <c r="I247" s="6">
        <f>SUMIFS($H$2:$H$573,$B$2:$B$573,B247,$C$2:$C$573,C247,$D$2:$D$573,D247)</f>
        <v/>
      </c>
      <c r="J247" s="3" t="inlineStr">
        <is>
          <t>epoch_csp_chip_quantity_latest</t>
        </is>
      </c>
      <c r="K247" s="3" t="inlineStr">
        <is>
          <t>SRC_EPOCH_AI_DATA_CENTERS; EPOCH_RAW_CHIP_QUANTITIES</t>
        </is>
      </c>
      <c r="L247" s="3" t="inlineStr">
        <is>
          <t>Latest chip quantity per CSP/data-center/accelerator through year-end; normalized by unit count. Shares are editable.</t>
        </is>
      </c>
    </row>
    <row r="248">
      <c r="A248" s="5">
        <f>B248&amp;"|"&amp;C248&amp;"|"&amp;D248&amp;"|"&amp;E248</f>
        <v/>
      </c>
      <c r="B248" s="3" t="inlineStr">
        <is>
          <t>Grid-Constrained / Efficiency-Upside</t>
        </is>
      </c>
      <c r="C248" s="3" t="inlineStr">
        <is>
          <t>Meta</t>
        </is>
      </c>
      <c r="D248" s="3" t="n">
        <v>2030</v>
      </c>
      <c r="E248" s="25" t="inlineStr">
        <is>
          <t>H100/H200/A100 class</t>
        </is>
      </c>
      <c r="F248" s="5">
        <f>IFERROR(INDEX('02x_Accelerator_Catalog'!$C$2:$C$11,MATCH(E248,'02x_Accelerator_Catalog'!$B$2:$B$11,0)),"purpose_or_unbenchmarked")</f>
        <v/>
      </c>
      <c r="G248" s="8">
        <f>IFERROR(INDEX('02x_Accelerator_Catalog'!$D$2:$D$11,MATCH(E248,'02x_Accelerator_Catalog'!$B$2:$B$11,0)),"")</f>
        <v/>
      </c>
      <c r="H248" s="17" t="n">
        <v>0.07491904000000001</v>
      </c>
      <c r="I248" s="6">
        <f>SUMIFS($H$2:$H$573,$B$2:$B$573,B248,$C$2:$C$573,C248,$D$2:$D$573,D248)</f>
        <v/>
      </c>
      <c r="J248" s="3" t="inlineStr">
        <is>
          <t>epoch_csp_chip_quantity_latest</t>
        </is>
      </c>
      <c r="K248" s="3" t="inlineStr">
        <is>
          <t>SRC_EPOCH_AI_DATA_CENTERS; EPOCH_RAW_CHIP_QUANTITIES</t>
        </is>
      </c>
      <c r="L248" s="3" t="inlineStr">
        <is>
          <t>Latest chip quantity per CSP/data-center/accelerator through year-end; normalized by unit count. Shares are editable.</t>
        </is>
      </c>
    </row>
    <row r="249">
      <c r="A249" s="5">
        <f>B249&amp;"|"&amp;C249&amp;"|"&amp;D249&amp;"|"&amp;E249</f>
        <v/>
      </c>
      <c r="B249" s="3" t="inlineStr">
        <is>
          <t>Grid-Constrained / Efficiency-Upside</t>
        </is>
      </c>
      <c r="C249" s="3" t="inlineStr">
        <is>
          <t>Meta</t>
        </is>
      </c>
      <c r="D249" s="3" t="n">
        <v>2030</v>
      </c>
      <c r="E249" s="25" t="inlineStr">
        <is>
          <t>R200/R300 future</t>
        </is>
      </c>
      <c r="F249" s="5">
        <f>IFERROR(INDEX('02x_Accelerator_Catalog'!$C$2:$C$11,MATCH(E249,'02x_Accelerator_Catalog'!$B$2:$B$11,0)),"purpose_or_unbenchmarked")</f>
        <v/>
      </c>
      <c r="G249" s="8">
        <f>IFERROR(INDEX('02x_Accelerator_Catalog'!$D$2:$D$11,MATCH(E249,'02x_Accelerator_Catalog'!$B$2:$B$11,0)),"")</f>
        <v/>
      </c>
      <c r="H249" s="17" t="n">
        <v>0.18707406</v>
      </c>
      <c r="I249" s="6">
        <f>SUMIFS($H$2:$H$573,$B$2:$B$573,B249,$C$2:$C$573,C249,$D$2:$D$573,D249)</f>
        <v/>
      </c>
      <c r="J249" s="3" t="inlineStr">
        <is>
          <t>epoch_csp_chip_quantity_latest</t>
        </is>
      </c>
      <c r="K249" s="3" t="inlineStr">
        <is>
          <t>SRC_EPOCH_AI_DATA_CENTERS; EPOCH_RAW_CHIP_QUANTITIES</t>
        </is>
      </c>
      <c r="L249" s="3" t="inlineStr">
        <is>
          <t>Latest chip quantity per CSP/data-center/accelerator through year-end; normalized by unit count. Shares are editable.</t>
        </is>
      </c>
    </row>
    <row r="250">
      <c r="A250" s="5">
        <f>B250&amp;"|"&amp;C250&amp;"|"&amp;D250&amp;"|"&amp;E250</f>
        <v/>
      </c>
      <c r="B250" s="3" t="inlineStr">
        <is>
          <t>Bear</t>
        </is>
      </c>
      <c r="C250" s="3" t="inlineStr">
        <is>
          <t>Microsoft</t>
        </is>
      </c>
      <c r="D250" s="3" t="n">
        <v>2026</v>
      </c>
      <c r="E250" s="25" t="inlineStr">
        <is>
          <t>B200/B300 class</t>
        </is>
      </c>
      <c r="F250" s="5">
        <f>IFERROR(INDEX('02x_Accelerator_Catalog'!$C$2:$C$11,MATCH(E250,'02x_Accelerator_Catalog'!$B$2:$B$11,0)),"purpose_or_unbenchmarked")</f>
        <v/>
      </c>
      <c r="G250" s="8">
        <f>IFERROR(INDEX('02x_Accelerator_Catalog'!$D$2:$D$11,MATCH(E250,'02x_Accelerator_Catalog'!$B$2:$B$11,0)),"")</f>
        <v/>
      </c>
      <c r="H250" s="17" t="n">
        <v>0.81724653</v>
      </c>
      <c r="I250" s="6">
        <f>SUMIFS($H$2:$H$573,$B$2:$B$573,B250,$C$2:$C$573,C250,$D$2:$D$573,D250)</f>
        <v/>
      </c>
      <c r="J250" s="3" t="inlineStr">
        <is>
          <t>epoch_csp_chip_quantity_latest</t>
        </is>
      </c>
      <c r="K250" s="3" t="inlineStr">
        <is>
          <t>SRC_EPOCH_AI_DATA_CENTERS; EPOCH_RAW_CHIP_QUANTITIES</t>
        </is>
      </c>
      <c r="L250" s="3" t="inlineStr">
        <is>
          <t>Latest chip quantity per CSP/data-center/accelerator through year-end; normalized by unit count. Shares are editable.</t>
        </is>
      </c>
    </row>
    <row r="251">
      <c r="A251" s="5">
        <f>B251&amp;"|"&amp;C251&amp;"|"&amp;D251&amp;"|"&amp;E251</f>
        <v/>
      </c>
      <c r="B251" s="3" t="inlineStr">
        <is>
          <t>Bear</t>
        </is>
      </c>
      <c r="C251" s="3" t="inlineStr">
        <is>
          <t>Microsoft</t>
        </is>
      </c>
      <c r="D251" s="3" t="n">
        <v>2026</v>
      </c>
      <c r="E251" s="25" t="inlineStr">
        <is>
          <t>H100/H200/A100 class</t>
        </is>
      </c>
      <c r="F251" s="5">
        <f>IFERROR(INDEX('02x_Accelerator_Catalog'!$C$2:$C$11,MATCH(E251,'02x_Accelerator_Catalog'!$B$2:$B$11,0)),"purpose_or_unbenchmarked")</f>
        <v/>
      </c>
      <c r="G251" s="8">
        <f>IFERROR(INDEX('02x_Accelerator_Catalog'!$D$2:$D$11,MATCH(E251,'02x_Accelerator_Catalog'!$B$2:$B$11,0)),"")</f>
        <v/>
      </c>
      <c r="H251" s="17" t="n">
        <v>0.18275347</v>
      </c>
      <c r="I251" s="6">
        <f>SUMIFS($H$2:$H$573,$B$2:$B$573,B251,$C$2:$C$573,C251,$D$2:$D$573,D251)</f>
        <v/>
      </c>
      <c r="J251" s="3" t="inlineStr">
        <is>
          <t>epoch_csp_chip_quantity_latest</t>
        </is>
      </c>
      <c r="K251" s="3" t="inlineStr">
        <is>
          <t>SRC_EPOCH_AI_DATA_CENTERS; EPOCH_RAW_CHIP_QUANTITIES</t>
        </is>
      </c>
      <c r="L251" s="3" t="inlineStr">
        <is>
          <t>Latest chip quantity per CSP/data-center/accelerator through year-end; normalized by unit count. Shares are editable.</t>
        </is>
      </c>
    </row>
    <row r="252">
      <c r="A252" s="5">
        <f>B252&amp;"|"&amp;C252&amp;"|"&amp;D252&amp;"|"&amp;E252</f>
        <v/>
      </c>
      <c r="B252" s="3" t="inlineStr">
        <is>
          <t>Base</t>
        </is>
      </c>
      <c r="C252" s="3" t="inlineStr">
        <is>
          <t>Microsoft</t>
        </is>
      </c>
      <c r="D252" s="3" t="n">
        <v>2026</v>
      </c>
      <c r="E252" s="25" t="inlineStr">
        <is>
          <t>B200/B300 class</t>
        </is>
      </c>
      <c r="F252" s="5">
        <f>IFERROR(INDEX('02x_Accelerator_Catalog'!$C$2:$C$11,MATCH(E252,'02x_Accelerator_Catalog'!$B$2:$B$11,0)),"purpose_or_unbenchmarked")</f>
        <v/>
      </c>
      <c r="G252" s="8">
        <f>IFERROR(INDEX('02x_Accelerator_Catalog'!$D$2:$D$11,MATCH(E252,'02x_Accelerator_Catalog'!$B$2:$B$11,0)),"")</f>
        <v/>
      </c>
      <c r="H252" s="17" t="n">
        <v>0.81724653</v>
      </c>
      <c r="I252" s="6">
        <f>SUMIFS($H$2:$H$573,$B$2:$B$573,B252,$C$2:$C$573,C252,$D$2:$D$573,D252)</f>
        <v/>
      </c>
      <c r="J252" s="3" t="inlineStr">
        <is>
          <t>epoch_csp_chip_quantity_latest</t>
        </is>
      </c>
      <c r="K252" s="3" t="inlineStr">
        <is>
          <t>SRC_EPOCH_AI_DATA_CENTERS; EPOCH_RAW_CHIP_QUANTITIES</t>
        </is>
      </c>
      <c r="L252" s="3" t="inlineStr">
        <is>
          <t>Latest chip quantity per CSP/data-center/accelerator through year-end; normalized by unit count. Shares are editable.</t>
        </is>
      </c>
    </row>
    <row r="253">
      <c r="A253" s="5">
        <f>B253&amp;"|"&amp;C253&amp;"|"&amp;D253&amp;"|"&amp;E253</f>
        <v/>
      </c>
      <c r="B253" s="3" t="inlineStr">
        <is>
          <t>Base</t>
        </is>
      </c>
      <c r="C253" s="3" t="inlineStr">
        <is>
          <t>Microsoft</t>
        </is>
      </c>
      <c r="D253" s="3" t="n">
        <v>2026</v>
      </c>
      <c r="E253" s="25" t="inlineStr">
        <is>
          <t>H100/H200/A100 class</t>
        </is>
      </c>
      <c r="F253" s="5">
        <f>IFERROR(INDEX('02x_Accelerator_Catalog'!$C$2:$C$11,MATCH(E253,'02x_Accelerator_Catalog'!$B$2:$B$11,0)),"purpose_or_unbenchmarked")</f>
        <v/>
      </c>
      <c r="G253" s="8">
        <f>IFERROR(INDEX('02x_Accelerator_Catalog'!$D$2:$D$11,MATCH(E253,'02x_Accelerator_Catalog'!$B$2:$B$11,0)),"")</f>
        <v/>
      </c>
      <c r="H253" s="17" t="n">
        <v>0.18275347</v>
      </c>
      <c r="I253" s="6">
        <f>SUMIFS($H$2:$H$573,$B$2:$B$573,B253,$C$2:$C$573,C253,$D$2:$D$573,D253)</f>
        <v/>
      </c>
      <c r="J253" s="3" t="inlineStr">
        <is>
          <t>epoch_csp_chip_quantity_latest</t>
        </is>
      </c>
      <c r="K253" s="3" t="inlineStr">
        <is>
          <t>SRC_EPOCH_AI_DATA_CENTERS; EPOCH_RAW_CHIP_QUANTITIES</t>
        </is>
      </c>
      <c r="L253" s="3" t="inlineStr">
        <is>
          <t>Latest chip quantity per CSP/data-center/accelerator through year-end; normalized by unit count. Shares are editable.</t>
        </is>
      </c>
    </row>
    <row r="254">
      <c r="A254" s="5">
        <f>B254&amp;"|"&amp;C254&amp;"|"&amp;D254&amp;"|"&amp;E254</f>
        <v/>
      </c>
      <c r="B254" s="3" t="inlineStr">
        <is>
          <t>Bull</t>
        </is>
      </c>
      <c r="C254" s="3" t="inlineStr">
        <is>
          <t>Microsoft</t>
        </is>
      </c>
      <c r="D254" s="3" t="n">
        <v>2026</v>
      </c>
      <c r="E254" s="25" t="inlineStr">
        <is>
          <t>B200/B300 class</t>
        </is>
      </c>
      <c r="F254" s="5">
        <f>IFERROR(INDEX('02x_Accelerator_Catalog'!$C$2:$C$11,MATCH(E254,'02x_Accelerator_Catalog'!$B$2:$B$11,0)),"purpose_or_unbenchmarked")</f>
        <v/>
      </c>
      <c r="G254" s="8">
        <f>IFERROR(INDEX('02x_Accelerator_Catalog'!$D$2:$D$11,MATCH(E254,'02x_Accelerator_Catalog'!$B$2:$B$11,0)),"")</f>
        <v/>
      </c>
      <c r="H254" s="17" t="n">
        <v>0.81724653</v>
      </c>
      <c r="I254" s="6">
        <f>SUMIFS($H$2:$H$573,$B$2:$B$573,B254,$C$2:$C$573,C254,$D$2:$D$573,D254)</f>
        <v/>
      </c>
      <c r="J254" s="3" t="inlineStr">
        <is>
          <t>epoch_csp_chip_quantity_latest</t>
        </is>
      </c>
      <c r="K254" s="3" t="inlineStr">
        <is>
          <t>SRC_EPOCH_AI_DATA_CENTERS; EPOCH_RAW_CHIP_QUANTITIES</t>
        </is>
      </c>
      <c r="L254" s="3" t="inlineStr">
        <is>
          <t>Latest chip quantity per CSP/data-center/accelerator through year-end; normalized by unit count. Shares are editable.</t>
        </is>
      </c>
    </row>
    <row r="255">
      <c r="A255" s="5">
        <f>B255&amp;"|"&amp;C255&amp;"|"&amp;D255&amp;"|"&amp;E255</f>
        <v/>
      </c>
      <c r="B255" s="3" t="inlineStr">
        <is>
          <t>Bull</t>
        </is>
      </c>
      <c r="C255" s="3" t="inlineStr">
        <is>
          <t>Microsoft</t>
        </is>
      </c>
      <c r="D255" s="3" t="n">
        <v>2026</v>
      </c>
      <c r="E255" s="25" t="inlineStr">
        <is>
          <t>H100/H200/A100 class</t>
        </is>
      </c>
      <c r="F255" s="5">
        <f>IFERROR(INDEX('02x_Accelerator_Catalog'!$C$2:$C$11,MATCH(E255,'02x_Accelerator_Catalog'!$B$2:$B$11,0)),"purpose_or_unbenchmarked")</f>
        <v/>
      </c>
      <c r="G255" s="8">
        <f>IFERROR(INDEX('02x_Accelerator_Catalog'!$D$2:$D$11,MATCH(E255,'02x_Accelerator_Catalog'!$B$2:$B$11,0)),"")</f>
        <v/>
      </c>
      <c r="H255" s="17" t="n">
        <v>0.18275347</v>
      </c>
      <c r="I255" s="6">
        <f>SUMIFS($H$2:$H$573,$B$2:$B$573,B255,$C$2:$C$573,C255,$D$2:$D$573,D255)</f>
        <v/>
      </c>
      <c r="J255" s="3" t="inlineStr">
        <is>
          <t>epoch_csp_chip_quantity_latest</t>
        </is>
      </c>
      <c r="K255" s="3" t="inlineStr">
        <is>
          <t>SRC_EPOCH_AI_DATA_CENTERS; EPOCH_RAW_CHIP_QUANTITIES</t>
        </is>
      </c>
      <c r="L255" s="3" t="inlineStr">
        <is>
          <t>Latest chip quantity per CSP/data-center/accelerator through year-end; normalized by unit count. Shares are editable.</t>
        </is>
      </c>
    </row>
    <row r="256">
      <c r="A256" s="5">
        <f>B256&amp;"|"&amp;C256&amp;"|"&amp;D256&amp;"|"&amp;E256</f>
        <v/>
      </c>
      <c r="B256" s="3" t="inlineStr">
        <is>
          <t>Grid-Constrained / Efficiency-Upside</t>
        </is>
      </c>
      <c r="C256" s="3" t="inlineStr">
        <is>
          <t>Microsoft</t>
        </is>
      </c>
      <c r="D256" s="3" t="n">
        <v>2026</v>
      </c>
      <c r="E256" s="25" t="inlineStr">
        <is>
          <t>B200/B300 class</t>
        </is>
      </c>
      <c r="F256" s="5">
        <f>IFERROR(INDEX('02x_Accelerator_Catalog'!$C$2:$C$11,MATCH(E256,'02x_Accelerator_Catalog'!$B$2:$B$11,0)),"purpose_or_unbenchmarked")</f>
        <v/>
      </c>
      <c r="G256" s="8">
        <f>IFERROR(INDEX('02x_Accelerator_Catalog'!$D$2:$D$11,MATCH(E256,'02x_Accelerator_Catalog'!$B$2:$B$11,0)),"")</f>
        <v/>
      </c>
      <c r="H256" s="17" t="n">
        <v>0.81724653</v>
      </c>
      <c r="I256" s="6">
        <f>SUMIFS($H$2:$H$573,$B$2:$B$573,B256,$C$2:$C$573,C256,$D$2:$D$573,D256)</f>
        <v/>
      </c>
      <c r="J256" s="3" t="inlineStr">
        <is>
          <t>epoch_csp_chip_quantity_latest</t>
        </is>
      </c>
      <c r="K256" s="3" t="inlineStr">
        <is>
          <t>SRC_EPOCH_AI_DATA_CENTERS; EPOCH_RAW_CHIP_QUANTITIES</t>
        </is>
      </c>
      <c r="L256" s="3" t="inlineStr">
        <is>
          <t>Latest chip quantity per CSP/data-center/accelerator through year-end; normalized by unit count. Shares are editable.</t>
        </is>
      </c>
    </row>
    <row r="257">
      <c r="A257" s="5">
        <f>B257&amp;"|"&amp;C257&amp;"|"&amp;D257&amp;"|"&amp;E257</f>
        <v/>
      </c>
      <c r="B257" s="3" t="inlineStr">
        <is>
          <t>Grid-Constrained / Efficiency-Upside</t>
        </is>
      </c>
      <c r="C257" s="3" t="inlineStr">
        <is>
          <t>Microsoft</t>
        </is>
      </c>
      <c r="D257" s="3" t="n">
        <v>2026</v>
      </c>
      <c r="E257" s="25" t="inlineStr">
        <is>
          <t>H100/H200/A100 class</t>
        </is>
      </c>
      <c r="F257" s="5">
        <f>IFERROR(INDEX('02x_Accelerator_Catalog'!$C$2:$C$11,MATCH(E257,'02x_Accelerator_Catalog'!$B$2:$B$11,0)),"purpose_or_unbenchmarked")</f>
        <v/>
      </c>
      <c r="G257" s="8">
        <f>IFERROR(INDEX('02x_Accelerator_Catalog'!$D$2:$D$11,MATCH(E257,'02x_Accelerator_Catalog'!$B$2:$B$11,0)),"")</f>
        <v/>
      </c>
      <c r="H257" s="17" t="n">
        <v>0.18275347</v>
      </c>
      <c r="I257" s="6">
        <f>SUMIFS($H$2:$H$573,$B$2:$B$573,B257,$C$2:$C$573,C257,$D$2:$D$573,D257)</f>
        <v/>
      </c>
      <c r="J257" s="3" t="inlineStr">
        <is>
          <t>epoch_csp_chip_quantity_latest</t>
        </is>
      </c>
      <c r="K257" s="3" t="inlineStr">
        <is>
          <t>SRC_EPOCH_AI_DATA_CENTERS; EPOCH_RAW_CHIP_QUANTITIES</t>
        </is>
      </c>
      <c r="L257" s="3" t="inlineStr">
        <is>
          <t>Latest chip quantity per CSP/data-center/accelerator through year-end; normalized by unit count. Shares are editable.</t>
        </is>
      </c>
    </row>
    <row r="258">
      <c r="A258" s="5">
        <f>B258&amp;"|"&amp;C258&amp;"|"&amp;D258&amp;"|"&amp;E258</f>
        <v/>
      </c>
      <c r="B258" s="3" t="inlineStr">
        <is>
          <t>Bear</t>
        </is>
      </c>
      <c r="C258" s="3" t="inlineStr">
        <is>
          <t>Microsoft</t>
        </is>
      </c>
      <c r="D258" s="3" t="n">
        <v>2027</v>
      </c>
      <c r="E258" s="25" t="inlineStr">
        <is>
          <t>B200/B300 class</t>
        </is>
      </c>
      <c r="F258" s="5">
        <f>IFERROR(INDEX('02x_Accelerator_Catalog'!$C$2:$C$11,MATCH(E258,'02x_Accelerator_Catalog'!$B$2:$B$11,0)),"purpose_or_unbenchmarked")</f>
        <v/>
      </c>
      <c r="G258" s="8">
        <f>IFERROR(INDEX('02x_Accelerator_Catalog'!$D$2:$D$11,MATCH(E258,'02x_Accelerator_Catalog'!$B$2:$B$11,0)),"")</f>
        <v/>
      </c>
      <c r="H258" s="17" t="n">
        <v>0.85219119</v>
      </c>
      <c r="I258" s="6">
        <f>SUMIFS($H$2:$H$573,$B$2:$B$573,B258,$C$2:$C$573,C258,$D$2:$D$573,D258)</f>
        <v/>
      </c>
      <c r="J258" s="3" t="inlineStr">
        <is>
          <t>epoch_csp_chip_quantity_latest</t>
        </is>
      </c>
      <c r="K258" s="3" t="inlineStr">
        <is>
          <t>SRC_EPOCH_AI_DATA_CENTERS; EPOCH_RAW_CHIP_QUANTITIES</t>
        </is>
      </c>
      <c r="L258" s="3" t="inlineStr">
        <is>
          <t>Latest chip quantity per CSP/data-center/accelerator through year-end; normalized by unit count. Shares are editable.</t>
        </is>
      </c>
    </row>
    <row r="259">
      <c r="A259" s="5">
        <f>B259&amp;"|"&amp;C259&amp;"|"&amp;D259&amp;"|"&amp;E259</f>
        <v/>
      </c>
      <c r="B259" s="3" t="inlineStr">
        <is>
          <t>Bear</t>
        </is>
      </c>
      <c r="C259" s="3" t="inlineStr">
        <is>
          <t>Microsoft</t>
        </is>
      </c>
      <c r="D259" s="3" t="n">
        <v>2027</v>
      </c>
      <c r="E259" s="25" t="inlineStr">
        <is>
          <t>H100/H200/A100 class</t>
        </is>
      </c>
      <c r="F259" s="5">
        <f>IFERROR(INDEX('02x_Accelerator_Catalog'!$C$2:$C$11,MATCH(E259,'02x_Accelerator_Catalog'!$B$2:$B$11,0)),"purpose_or_unbenchmarked")</f>
        <v/>
      </c>
      <c r="G259" s="8">
        <f>IFERROR(INDEX('02x_Accelerator_Catalog'!$D$2:$D$11,MATCH(E259,'02x_Accelerator_Catalog'!$B$2:$B$11,0)),"")</f>
        <v/>
      </c>
      <c r="H259" s="17" t="n">
        <v>0.14780881</v>
      </c>
      <c r="I259" s="6">
        <f>SUMIFS($H$2:$H$573,$B$2:$B$573,B259,$C$2:$C$573,C259,$D$2:$D$573,D259)</f>
        <v/>
      </c>
      <c r="J259" s="3" t="inlineStr">
        <is>
          <t>epoch_csp_chip_quantity_latest</t>
        </is>
      </c>
      <c r="K259" s="3" t="inlineStr">
        <is>
          <t>SRC_EPOCH_AI_DATA_CENTERS; EPOCH_RAW_CHIP_QUANTITIES</t>
        </is>
      </c>
      <c r="L259" s="3" t="inlineStr">
        <is>
          <t>Latest chip quantity per CSP/data-center/accelerator through year-end; normalized by unit count. Shares are editable.</t>
        </is>
      </c>
    </row>
    <row r="260">
      <c r="A260" s="5">
        <f>B260&amp;"|"&amp;C260&amp;"|"&amp;D260&amp;"|"&amp;E260</f>
        <v/>
      </c>
      <c r="B260" s="3" t="inlineStr">
        <is>
          <t>Base</t>
        </is>
      </c>
      <c r="C260" s="3" t="inlineStr">
        <is>
          <t>Microsoft</t>
        </is>
      </c>
      <c r="D260" s="3" t="n">
        <v>2027</v>
      </c>
      <c r="E260" s="25" t="inlineStr">
        <is>
          <t>B200/B300 class</t>
        </is>
      </c>
      <c r="F260" s="5">
        <f>IFERROR(INDEX('02x_Accelerator_Catalog'!$C$2:$C$11,MATCH(E260,'02x_Accelerator_Catalog'!$B$2:$B$11,0)),"purpose_or_unbenchmarked")</f>
        <v/>
      </c>
      <c r="G260" s="8">
        <f>IFERROR(INDEX('02x_Accelerator_Catalog'!$D$2:$D$11,MATCH(E260,'02x_Accelerator_Catalog'!$B$2:$B$11,0)),"")</f>
        <v/>
      </c>
      <c r="H260" s="17" t="n">
        <v>0.85219119</v>
      </c>
      <c r="I260" s="6">
        <f>SUMIFS($H$2:$H$573,$B$2:$B$573,B260,$C$2:$C$573,C260,$D$2:$D$573,D260)</f>
        <v/>
      </c>
      <c r="J260" s="3" t="inlineStr">
        <is>
          <t>epoch_csp_chip_quantity_latest</t>
        </is>
      </c>
      <c r="K260" s="3" t="inlineStr">
        <is>
          <t>SRC_EPOCH_AI_DATA_CENTERS; EPOCH_RAW_CHIP_QUANTITIES</t>
        </is>
      </c>
      <c r="L260" s="3" t="inlineStr">
        <is>
          <t>Latest chip quantity per CSP/data-center/accelerator through year-end; normalized by unit count. Shares are editable.</t>
        </is>
      </c>
    </row>
    <row r="261">
      <c r="A261" s="5">
        <f>B261&amp;"|"&amp;C261&amp;"|"&amp;D261&amp;"|"&amp;E261</f>
        <v/>
      </c>
      <c r="B261" s="3" t="inlineStr">
        <is>
          <t>Base</t>
        </is>
      </c>
      <c r="C261" s="3" t="inlineStr">
        <is>
          <t>Microsoft</t>
        </is>
      </c>
      <c r="D261" s="3" t="n">
        <v>2027</v>
      </c>
      <c r="E261" s="25" t="inlineStr">
        <is>
          <t>H100/H200/A100 class</t>
        </is>
      </c>
      <c r="F261" s="5">
        <f>IFERROR(INDEX('02x_Accelerator_Catalog'!$C$2:$C$11,MATCH(E261,'02x_Accelerator_Catalog'!$B$2:$B$11,0)),"purpose_or_unbenchmarked")</f>
        <v/>
      </c>
      <c r="G261" s="8">
        <f>IFERROR(INDEX('02x_Accelerator_Catalog'!$D$2:$D$11,MATCH(E261,'02x_Accelerator_Catalog'!$B$2:$B$11,0)),"")</f>
        <v/>
      </c>
      <c r="H261" s="17" t="n">
        <v>0.14780881</v>
      </c>
      <c r="I261" s="6">
        <f>SUMIFS($H$2:$H$573,$B$2:$B$573,B261,$C$2:$C$573,C261,$D$2:$D$573,D261)</f>
        <v/>
      </c>
      <c r="J261" s="3" t="inlineStr">
        <is>
          <t>epoch_csp_chip_quantity_latest</t>
        </is>
      </c>
      <c r="K261" s="3" t="inlineStr">
        <is>
          <t>SRC_EPOCH_AI_DATA_CENTERS; EPOCH_RAW_CHIP_QUANTITIES</t>
        </is>
      </c>
      <c r="L261" s="3" t="inlineStr">
        <is>
          <t>Latest chip quantity per CSP/data-center/accelerator through year-end; normalized by unit count. Shares are editable.</t>
        </is>
      </c>
    </row>
    <row r="262">
      <c r="A262" s="5">
        <f>B262&amp;"|"&amp;C262&amp;"|"&amp;D262&amp;"|"&amp;E262</f>
        <v/>
      </c>
      <c r="B262" s="3" t="inlineStr">
        <is>
          <t>Bull</t>
        </is>
      </c>
      <c r="C262" s="3" t="inlineStr">
        <is>
          <t>Microsoft</t>
        </is>
      </c>
      <c r="D262" s="3" t="n">
        <v>2027</v>
      </c>
      <c r="E262" s="25" t="inlineStr">
        <is>
          <t>B200/B300 class</t>
        </is>
      </c>
      <c r="F262" s="5">
        <f>IFERROR(INDEX('02x_Accelerator_Catalog'!$C$2:$C$11,MATCH(E262,'02x_Accelerator_Catalog'!$B$2:$B$11,0)),"purpose_or_unbenchmarked")</f>
        <v/>
      </c>
      <c r="G262" s="8">
        <f>IFERROR(INDEX('02x_Accelerator_Catalog'!$D$2:$D$11,MATCH(E262,'02x_Accelerator_Catalog'!$B$2:$B$11,0)),"")</f>
        <v/>
      </c>
      <c r="H262" s="17" t="n">
        <v>0.85219119</v>
      </c>
      <c r="I262" s="6">
        <f>SUMIFS($H$2:$H$573,$B$2:$B$573,B262,$C$2:$C$573,C262,$D$2:$D$573,D262)</f>
        <v/>
      </c>
      <c r="J262" s="3" t="inlineStr">
        <is>
          <t>epoch_csp_chip_quantity_latest</t>
        </is>
      </c>
      <c r="K262" s="3" t="inlineStr">
        <is>
          <t>SRC_EPOCH_AI_DATA_CENTERS; EPOCH_RAW_CHIP_QUANTITIES</t>
        </is>
      </c>
      <c r="L262" s="3" t="inlineStr">
        <is>
          <t>Latest chip quantity per CSP/data-center/accelerator through year-end; normalized by unit count. Shares are editable.</t>
        </is>
      </c>
    </row>
    <row r="263">
      <c r="A263" s="5">
        <f>B263&amp;"|"&amp;C263&amp;"|"&amp;D263&amp;"|"&amp;E263</f>
        <v/>
      </c>
      <c r="B263" s="3" t="inlineStr">
        <is>
          <t>Bull</t>
        </is>
      </c>
      <c r="C263" s="3" t="inlineStr">
        <is>
          <t>Microsoft</t>
        </is>
      </c>
      <c r="D263" s="3" t="n">
        <v>2027</v>
      </c>
      <c r="E263" s="25" t="inlineStr">
        <is>
          <t>H100/H200/A100 class</t>
        </is>
      </c>
      <c r="F263" s="5">
        <f>IFERROR(INDEX('02x_Accelerator_Catalog'!$C$2:$C$11,MATCH(E263,'02x_Accelerator_Catalog'!$B$2:$B$11,0)),"purpose_or_unbenchmarked")</f>
        <v/>
      </c>
      <c r="G263" s="8">
        <f>IFERROR(INDEX('02x_Accelerator_Catalog'!$D$2:$D$11,MATCH(E263,'02x_Accelerator_Catalog'!$B$2:$B$11,0)),"")</f>
        <v/>
      </c>
      <c r="H263" s="17" t="n">
        <v>0.14780881</v>
      </c>
      <c r="I263" s="6">
        <f>SUMIFS($H$2:$H$573,$B$2:$B$573,B263,$C$2:$C$573,C263,$D$2:$D$573,D263)</f>
        <v/>
      </c>
      <c r="J263" s="3" t="inlineStr">
        <is>
          <t>epoch_csp_chip_quantity_latest</t>
        </is>
      </c>
      <c r="K263" s="3" t="inlineStr">
        <is>
          <t>SRC_EPOCH_AI_DATA_CENTERS; EPOCH_RAW_CHIP_QUANTITIES</t>
        </is>
      </c>
      <c r="L263" s="3" t="inlineStr">
        <is>
          <t>Latest chip quantity per CSP/data-center/accelerator through year-end; normalized by unit count. Shares are editable.</t>
        </is>
      </c>
    </row>
    <row r="264">
      <c r="A264" s="5">
        <f>B264&amp;"|"&amp;C264&amp;"|"&amp;D264&amp;"|"&amp;E264</f>
        <v/>
      </c>
      <c r="B264" s="3" t="inlineStr">
        <is>
          <t>Grid-Constrained / Efficiency-Upside</t>
        </is>
      </c>
      <c r="C264" s="3" t="inlineStr">
        <is>
          <t>Microsoft</t>
        </is>
      </c>
      <c r="D264" s="3" t="n">
        <v>2027</v>
      </c>
      <c r="E264" s="25" t="inlineStr">
        <is>
          <t>B200/B300 class</t>
        </is>
      </c>
      <c r="F264" s="5">
        <f>IFERROR(INDEX('02x_Accelerator_Catalog'!$C$2:$C$11,MATCH(E264,'02x_Accelerator_Catalog'!$B$2:$B$11,0)),"purpose_or_unbenchmarked")</f>
        <v/>
      </c>
      <c r="G264" s="8">
        <f>IFERROR(INDEX('02x_Accelerator_Catalog'!$D$2:$D$11,MATCH(E264,'02x_Accelerator_Catalog'!$B$2:$B$11,0)),"")</f>
        <v/>
      </c>
      <c r="H264" s="17" t="n">
        <v>0.85219119</v>
      </c>
      <c r="I264" s="6">
        <f>SUMIFS($H$2:$H$573,$B$2:$B$573,B264,$C$2:$C$573,C264,$D$2:$D$573,D264)</f>
        <v/>
      </c>
      <c r="J264" s="3" t="inlineStr">
        <is>
          <t>epoch_csp_chip_quantity_latest</t>
        </is>
      </c>
      <c r="K264" s="3" t="inlineStr">
        <is>
          <t>SRC_EPOCH_AI_DATA_CENTERS; EPOCH_RAW_CHIP_QUANTITIES</t>
        </is>
      </c>
      <c r="L264" s="3" t="inlineStr">
        <is>
          <t>Latest chip quantity per CSP/data-center/accelerator through year-end; normalized by unit count. Shares are editable.</t>
        </is>
      </c>
    </row>
    <row r="265">
      <c r="A265" s="5">
        <f>B265&amp;"|"&amp;C265&amp;"|"&amp;D265&amp;"|"&amp;E265</f>
        <v/>
      </c>
      <c r="B265" s="3" t="inlineStr">
        <is>
          <t>Grid-Constrained / Efficiency-Upside</t>
        </is>
      </c>
      <c r="C265" s="3" t="inlineStr">
        <is>
          <t>Microsoft</t>
        </is>
      </c>
      <c r="D265" s="3" t="n">
        <v>2027</v>
      </c>
      <c r="E265" s="25" t="inlineStr">
        <is>
          <t>H100/H200/A100 class</t>
        </is>
      </c>
      <c r="F265" s="5">
        <f>IFERROR(INDEX('02x_Accelerator_Catalog'!$C$2:$C$11,MATCH(E265,'02x_Accelerator_Catalog'!$B$2:$B$11,0)),"purpose_or_unbenchmarked")</f>
        <v/>
      </c>
      <c r="G265" s="8">
        <f>IFERROR(INDEX('02x_Accelerator_Catalog'!$D$2:$D$11,MATCH(E265,'02x_Accelerator_Catalog'!$B$2:$B$11,0)),"")</f>
        <v/>
      </c>
      <c r="H265" s="17" t="n">
        <v>0.14780881</v>
      </c>
      <c r="I265" s="6">
        <f>SUMIFS($H$2:$H$573,$B$2:$B$573,B265,$C$2:$C$573,C265,$D$2:$D$573,D265)</f>
        <v/>
      </c>
      <c r="J265" s="3" t="inlineStr">
        <is>
          <t>epoch_csp_chip_quantity_latest</t>
        </is>
      </c>
      <c r="K265" s="3" t="inlineStr">
        <is>
          <t>SRC_EPOCH_AI_DATA_CENTERS; EPOCH_RAW_CHIP_QUANTITIES</t>
        </is>
      </c>
      <c r="L265" s="3" t="inlineStr">
        <is>
          <t>Latest chip quantity per CSP/data-center/accelerator through year-end; normalized by unit count. Shares are editable.</t>
        </is>
      </c>
    </row>
    <row r="266">
      <c r="A266" s="5">
        <f>B266&amp;"|"&amp;C266&amp;"|"&amp;D266&amp;"|"&amp;E266</f>
        <v/>
      </c>
      <c r="B266" s="3" t="inlineStr">
        <is>
          <t>Bear</t>
        </is>
      </c>
      <c r="C266" s="3" t="inlineStr">
        <is>
          <t>Microsoft</t>
        </is>
      </c>
      <c r="D266" s="3" t="n">
        <v>2028</v>
      </c>
      <c r="E266" s="25" t="inlineStr">
        <is>
          <t>B200/B300 class</t>
        </is>
      </c>
      <c r="F266" s="5">
        <f>IFERROR(INDEX('02x_Accelerator_Catalog'!$C$2:$C$11,MATCH(E266,'02x_Accelerator_Catalog'!$B$2:$B$11,0)),"purpose_or_unbenchmarked")</f>
        <v/>
      </c>
      <c r="G266" s="8">
        <f>IFERROR(INDEX('02x_Accelerator_Catalog'!$D$2:$D$11,MATCH(E266,'02x_Accelerator_Catalog'!$B$2:$B$11,0)),"")</f>
        <v/>
      </c>
      <c r="H266" s="17" t="n">
        <v>0.94226297</v>
      </c>
      <c r="I266" s="6">
        <f>SUMIFS($H$2:$H$573,$B$2:$B$573,B266,$C$2:$C$573,C266,$D$2:$D$573,D266)</f>
        <v/>
      </c>
      <c r="J266" s="3" t="inlineStr">
        <is>
          <t>epoch_csp_chip_quantity_latest</t>
        </is>
      </c>
      <c r="K266" s="3" t="inlineStr">
        <is>
          <t>SRC_EPOCH_AI_DATA_CENTERS; EPOCH_RAW_CHIP_QUANTITIES</t>
        </is>
      </c>
      <c r="L266" s="3" t="inlineStr">
        <is>
          <t>Latest chip quantity per CSP/data-center/accelerator through year-end; normalized by unit count. Shares are editable.</t>
        </is>
      </c>
    </row>
    <row r="267">
      <c r="A267" s="5">
        <f>B267&amp;"|"&amp;C267&amp;"|"&amp;D267&amp;"|"&amp;E267</f>
        <v/>
      </c>
      <c r="B267" s="3" t="inlineStr">
        <is>
          <t>Bear</t>
        </is>
      </c>
      <c r="C267" s="3" t="inlineStr">
        <is>
          <t>Microsoft</t>
        </is>
      </c>
      <c r="D267" s="3" t="n">
        <v>2028</v>
      </c>
      <c r="E267" s="25" t="inlineStr">
        <is>
          <t>H100/H200/A100 class</t>
        </is>
      </c>
      <c r="F267" s="5">
        <f>IFERROR(INDEX('02x_Accelerator_Catalog'!$C$2:$C$11,MATCH(E267,'02x_Accelerator_Catalog'!$B$2:$B$11,0)),"purpose_or_unbenchmarked")</f>
        <v/>
      </c>
      <c r="G267" s="8">
        <f>IFERROR(INDEX('02x_Accelerator_Catalog'!$D$2:$D$11,MATCH(E267,'02x_Accelerator_Catalog'!$B$2:$B$11,0)),"")</f>
        <v/>
      </c>
      <c r="H267" s="17" t="n">
        <v>0.05773703</v>
      </c>
      <c r="I267" s="6">
        <f>SUMIFS($H$2:$H$573,$B$2:$B$573,B267,$C$2:$C$573,C267,$D$2:$D$573,D267)</f>
        <v/>
      </c>
      <c r="J267" s="3" t="inlineStr">
        <is>
          <t>epoch_csp_chip_quantity_latest</t>
        </is>
      </c>
      <c r="K267" s="3" t="inlineStr">
        <is>
          <t>SRC_EPOCH_AI_DATA_CENTERS; EPOCH_RAW_CHIP_QUANTITIES</t>
        </is>
      </c>
      <c r="L267" s="3" t="inlineStr">
        <is>
          <t>Latest chip quantity per CSP/data-center/accelerator through year-end; normalized by unit count. Shares are editable.</t>
        </is>
      </c>
    </row>
    <row r="268">
      <c r="A268" s="5">
        <f>B268&amp;"|"&amp;C268&amp;"|"&amp;D268&amp;"|"&amp;E268</f>
        <v/>
      </c>
      <c r="B268" s="3" t="inlineStr">
        <is>
          <t>Base</t>
        </is>
      </c>
      <c r="C268" s="3" t="inlineStr">
        <is>
          <t>Microsoft</t>
        </is>
      </c>
      <c r="D268" s="3" t="n">
        <v>2028</v>
      </c>
      <c r="E268" s="25" t="inlineStr">
        <is>
          <t>B200/B300 class</t>
        </is>
      </c>
      <c r="F268" s="5">
        <f>IFERROR(INDEX('02x_Accelerator_Catalog'!$C$2:$C$11,MATCH(E268,'02x_Accelerator_Catalog'!$B$2:$B$11,0)),"purpose_or_unbenchmarked")</f>
        <v/>
      </c>
      <c r="G268" s="8">
        <f>IFERROR(INDEX('02x_Accelerator_Catalog'!$D$2:$D$11,MATCH(E268,'02x_Accelerator_Catalog'!$B$2:$B$11,0)),"")</f>
        <v/>
      </c>
      <c r="H268" s="17" t="n">
        <v>0.94226297</v>
      </c>
      <c r="I268" s="6">
        <f>SUMIFS($H$2:$H$573,$B$2:$B$573,B268,$C$2:$C$573,C268,$D$2:$D$573,D268)</f>
        <v/>
      </c>
      <c r="J268" s="3" t="inlineStr">
        <is>
          <t>epoch_csp_chip_quantity_latest</t>
        </is>
      </c>
      <c r="K268" s="3" t="inlineStr">
        <is>
          <t>SRC_EPOCH_AI_DATA_CENTERS; EPOCH_RAW_CHIP_QUANTITIES</t>
        </is>
      </c>
      <c r="L268" s="3" t="inlineStr">
        <is>
          <t>Latest chip quantity per CSP/data-center/accelerator through year-end; normalized by unit count. Shares are editable.</t>
        </is>
      </c>
    </row>
    <row r="269">
      <c r="A269" s="5">
        <f>B269&amp;"|"&amp;C269&amp;"|"&amp;D269&amp;"|"&amp;E269</f>
        <v/>
      </c>
      <c r="B269" s="3" t="inlineStr">
        <is>
          <t>Base</t>
        </is>
      </c>
      <c r="C269" s="3" t="inlineStr">
        <is>
          <t>Microsoft</t>
        </is>
      </c>
      <c r="D269" s="3" t="n">
        <v>2028</v>
      </c>
      <c r="E269" s="25" t="inlineStr">
        <is>
          <t>H100/H200/A100 class</t>
        </is>
      </c>
      <c r="F269" s="5">
        <f>IFERROR(INDEX('02x_Accelerator_Catalog'!$C$2:$C$11,MATCH(E269,'02x_Accelerator_Catalog'!$B$2:$B$11,0)),"purpose_or_unbenchmarked")</f>
        <v/>
      </c>
      <c r="G269" s="8">
        <f>IFERROR(INDEX('02x_Accelerator_Catalog'!$D$2:$D$11,MATCH(E269,'02x_Accelerator_Catalog'!$B$2:$B$11,0)),"")</f>
        <v/>
      </c>
      <c r="H269" s="17" t="n">
        <v>0.05773703</v>
      </c>
      <c r="I269" s="6">
        <f>SUMIFS($H$2:$H$573,$B$2:$B$573,B269,$C$2:$C$573,C269,$D$2:$D$573,D269)</f>
        <v/>
      </c>
      <c r="J269" s="3" t="inlineStr">
        <is>
          <t>epoch_csp_chip_quantity_latest</t>
        </is>
      </c>
      <c r="K269" s="3" t="inlineStr">
        <is>
          <t>SRC_EPOCH_AI_DATA_CENTERS; EPOCH_RAW_CHIP_QUANTITIES</t>
        </is>
      </c>
      <c r="L269" s="3" t="inlineStr">
        <is>
          <t>Latest chip quantity per CSP/data-center/accelerator through year-end; normalized by unit count. Shares are editable.</t>
        </is>
      </c>
    </row>
    <row r="270">
      <c r="A270" s="5">
        <f>B270&amp;"|"&amp;C270&amp;"|"&amp;D270&amp;"|"&amp;E270</f>
        <v/>
      </c>
      <c r="B270" s="3" t="inlineStr">
        <is>
          <t>Bull</t>
        </is>
      </c>
      <c r="C270" s="3" t="inlineStr">
        <is>
          <t>Microsoft</t>
        </is>
      </c>
      <c r="D270" s="3" t="n">
        <v>2028</v>
      </c>
      <c r="E270" s="25" t="inlineStr">
        <is>
          <t>B200/B300 class</t>
        </is>
      </c>
      <c r="F270" s="5">
        <f>IFERROR(INDEX('02x_Accelerator_Catalog'!$C$2:$C$11,MATCH(E270,'02x_Accelerator_Catalog'!$B$2:$B$11,0)),"purpose_or_unbenchmarked")</f>
        <v/>
      </c>
      <c r="G270" s="8">
        <f>IFERROR(INDEX('02x_Accelerator_Catalog'!$D$2:$D$11,MATCH(E270,'02x_Accelerator_Catalog'!$B$2:$B$11,0)),"")</f>
        <v/>
      </c>
      <c r="H270" s="17" t="n">
        <v>0.94226297</v>
      </c>
      <c r="I270" s="6">
        <f>SUMIFS($H$2:$H$573,$B$2:$B$573,B270,$C$2:$C$573,C270,$D$2:$D$573,D270)</f>
        <v/>
      </c>
      <c r="J270" s="3" t="inlineStr">
        <is>
          <t>epoch_csp_chip_quantity_latest</t>
        </is>
      </c>
      <c r="K270" s="3" t="inlineStr">
        <is>
          <t>SRC_EPOCH_AI_DATA_CENTERS; EPOCH_RAW_CHIP_QUANTITIES</t>
        </is>
      </c>
      <c r="L270" s="3" t="inlineStr">
        <is>
          <t>Latest chip quantity per CSP/data-center/accelerator through year-end; normalized by unit count. Shares are editable.</t>
        </is>
      </c>
    </row>
    <row r="271">
      <c r="A271" s="5">
        <f>B271&amp;"|"&amp;C271&amp;"|"&amp;D271&amp;"|"&amp;E271</f>
        <v/>
      </c>
      <c r="B271" s="3" t="inlineStr">
        <is>
          <t>Bull</t>
        </is>
      </c>
      <c r="C271" s="3" t="inlineStr">
        <is>
          <t>Microsoft</t>
        </is>
      </c>
      <c r="D271" s="3" t="n">
        <v>2028</v>
      </c>
      <c r="E271" s="25" t="inlineStr">
        <is>
          <t>H100/H200/A100 class</t>
        </is>
      </c>
      <c r="F271" s="5">
        <f>IFERROR(INDEX('02x_Accelerator_Catalog'!$C$2:$C$11,MATCH(E271,'02x_Accelerator_Catalog'!$B$2:$B$11,0)),"purpose_or_unbenchmarked")</f>
        <v/>
      </c>
      <c r="G271" s="8">
        <f>IFERROR(INDEX('02x_Accelerator_Catalog'!$D$2:$D$11,MATCH(E271,'02x_Accelerator_Catalog'!$B$2:$B$11,0)),"")</f>
        <v/>
      </c>
      <c r="H271" s="17" t="n">
        <v>0.05773703</v>
      </c>
      <c r="I271" s="6">
        <f>SUMIFS($H$2:$H$573,$B$2:$B$573,B271,$C$2:$C$573,C271,$D$2:$D$573,D271)</f>
        <v/>
      </c>
      <c r="J271" s="3" t="inlineStr">
        <is>
          <t>epoch_csp_chip_quantity_latest</t>
        </is>
      </c>
      <c r="K271" s="3" t="inlineStr">
        <is>
          <t>SRC_EPOCH_AI_DATA_CENTERS; EPOCH_RAW_CHIP_QUANTITIES</t>
        </is>
      </c>
      <c r="L271" s="3" t="inlineStr">
        <is>
          <t>Latest chip quantity per CSP/data-center/accelerator through year-end; normalized by unit count. Shares are editable.</t>
        </is>
      </c>
    </row>
    <row r="272">
      <c r="A272" s="5">
        <f>B272&amp;"|"&amp;C272&amp;"|"&amp;D272&amp;"|"&amp;E272</f>
        <v/>
      </c>
      <c r="B272" s="3" t="inlineStr">
        <is>
          <t>Grid-Constrained / Efficiency-Upside</t>
        </is>
      </c>
      <c r="C272" s="3" t="inlineStr">
        <is>
          <t>Microsoft</t>
        </is>
      </c>
      <c r="D272" s="3" t="n">
        <v>2028</v>
      </c>
      <c r="E272" s="25" t="inlineStr">
        <is>
          <t>B200/B300 class</t>
        </is>
      </c>
      <c r="F272" s="5">
        <f>IFERROR(INDEX('02x_Accelerator_Catalog'!$C$2:$C$11,MATCH(E272,'02x_Accelerator_Catalog'!$B$2:$B$11,0)),"purpose_or_unbenchmarked")</f>
        <v/>
      </c>
      <c r="G272" s="8">
        <f>IFERROR(INDEX('02x_Accelerator_Catalog'!$D$2:$D$11,MATCH(E272,'02x_Accelerator_Catalog'!$B$2:$B$11,0)),"")</f>
        <v/>
      </c>
      <c r="H272" s="17" t="n">
        <v>0.94226297</v>
      </c>
      <c r="I272" s="6">
        <f>SUMIFS($H$2:$H$573,$B$2:$B$573,B272,$C$2:$C$573,C272,$D$2:$D$573,D272)</f>
        <v/>
      </c>
      <c r="J272" s="3" t="inlineStr">
        <is>
          <t>epoch_csp_chip_quantity_latest</t>
        </is>
      </c>
      <c r="K272" s="3" t="inlineStr">
        <is>
          <t>SRC_EPOCH_AI_DATA_CENTERS; EPOCH_RAW_CHIP_QUANTITIES</t>
        </is>
      </c>
      <c r="L272" s="3" t="inlineStr">
        <is>
          <t>Latest chip quantity per CSP/data-center/accelerator through year-end; normalized by unit count. Shares are editable.</t>
        </is>
      </c>
    </row>
    <row r="273">
      <c r="A273" s="5">
        <f>B273&amp;"|"&amp;C273&amp;"|"&amp;D273&amp;"|"&amp;E273</f>
        <v/>
      </c>
      <c r="B273" s="3" t="inlineStr">
        <is>
          <t>Grid-Constrained / Efficiency-Upside</t>
        </is>
      </c>
      <c r="C273" s="3" t="inlineStr">
        <is>
          <t>Microsoft</t>
        </is>
      </c>
      <c r="D273" s="3" t="n">
        <v>2028</v>
      </c>
      <c r="E273" s="25" t="inlineStr">
        <is>
          <t>H100/H200/A100 class</t>
        </is>
      </c>
      <c r="F273" s="5">
        <f>IFERROR(INDEX('02x_Accelerator_Catalog'!$C$2:$C$11,MATCH(E273,'02x_Accelerator_Catalog'!$B$2:$B$11,0)),"purpose_or_unbenchmarked")</f>
        <v/>
      </c>
      <c r="G273" s="8">
        <f>IFERROR(INDEX('02x_Accelerator_Catalog'!$D$2:$D$11,MATCH(E273,'02x_Accelerator_Catalog'!$B$2:$B$11,0)),"")</f>
        <v/>
      </c>
      <c r="H273" s="17" t="n">
        <v>0.05773703</v>
      </c>
      <c r="I273" s="6">
        <f>SUMIFS($H$2:$H$573,$B$2:$B$573,B273,$C$2:$C$573,C273,$D$2:$D$573,D273)</f>
        <v/>
      </c>
      <c r="J273" s="3" t="inlineStr">
        <is>
          <t>epoch_csp_chip_quantity_latest</t>
        </is>
      </c>
      <c r="K273" s="3" t="inlineStr">
        <is>
          <t>SRC_EPOCH_AI_DATA_CENTERS; EPOCH_RAW_CHIP_QUANTITIES</t>
        </is>
      </c>
      <c r="L273" s="3" t="inlineStr">
        <is>
          <t>Latest chip quantity per CSP/data-center/accelerator through year-end; normalized by unit count. Shares are editable.</t>
        </is>
      </c>
    </row>
    <row r="274">
      <c r="A274" s="5">
        <f>B274&amp;"|"&amp;C274&amp;"|"&amp;D274&amp;"|"&amp;E274</f>
        <v/>
      </c>
      <c r="B274" s="3" t="inlineStr">
        <is>
          <t>Bear</t>
        </is>
      </c>
      <c r="C274" s="3" t="inlineStr">
        <is>
          <t>Microsoft</t>
        </is>
      </c>
      <c r="D274" s="3" t="n">
        <v>2029</v>
      </c>
      <c r="E274" s="25" t="inlineStr">
        <is>
          <t>B200/B300 class</t>
        </is>
      </c>
      <c r="F274" s="5">
        <f>IFERROR(INDEX('02x_Accelerator_Catalog'!$C$2:$C$11,MATCH(E274,'02x_Accelerator_Catalog'!$B$2:$B$11,0)),"purpose_or_unbenchmarked")</f>
        <v/>
      </c>
      <c r="G274" s="8">
        <f>IFERROR(INDEX('02x_Accelerator_Catalog'!$D$2:$D$11,MATCH(E274,'02x_Accelerator_Catalog'!$B$2:$B$11,0)),"")</f>
        <v/>
      </c>
      <c r="H274" s="17" t="n">
        <v>0.94226297</v>
      </c>
      <c r="I274" s="6">
        <f>SUMIFS($H$2:$H$573,$B$2:$B$573,B274,$C$2:$C$573,C274,$D$2:$D$573,D274)</f>
        <v/>
      </c>
      <c r="J274" s="3" t="inlineStr">
        <is>
          <t>epoch_csp_chip_quantity_latest</t>
        </is>
      </c>
      <c r="K274" s="3" t="inlineStr">
        <is>
          <t>SRC_EPOCH_AI_DATA_CENTERS; EPOCH_RAW_CHIP_QUANTITIES</t>
        </is>
      </c>
      <c r="L274" s="3" t="inlineStr">
        <is>
          <t>Latest chip quantity per CSP/data-center/accelerator through year-end; normalized by unit count. Shares are editable.</t>
        </is>
      </c>
    </row>
    <row r="275">
      <c r="A275" s="5">
        <f>B275&amp;"|"&amp;C275&amp;"|"&amp;D275&amp;"|"&amp;E275</f>
        <v/>
      </c>
      <c r="B275" s="3" t="inlineStr">
        <is>
          <t>Bear</t>
        </is>
      </c>
      <c r="C275" s="3" t="inlineStr">
        <is>
          <t>Microsoft</t>
        </is>
      </c>
      <c r="D275" s="3" t="n">
        <v>2029</v>
      </c>
      <c r="E275" s="25" t="inlineStr">
        <is>
          <t>H100/H200/A100 class</t>
        </is>
      </c>
      <c r="F275" s="5">
        <f>IFERROR(INDEX('02x_Accelerator_Catalog'!$C$2:$C$11,MATCH(E275,'02x_Accelerator_Catalog'!$B$2:$B$11,0)),"purpose_or_unbenchmarked")</f>
        <v/>
      </c>
      <c r="G275" s="8">
        <f>IFERROR(INDEX('02x_Accelerator_Catalog'!$D$2:$D$11,MATCH(E275,'02x_Accelerator_Catalog'!$B$2:$B$11,0)),"")</f>
        <v/>
      </c>
      <c r="H275" s="17" t="n">
        <v>0.05773703</v>
      </c>
      <c r="I275" s="6">
        <f>SUMIFS($H$2:$H$573,$B$2:$B$573,B275,$C$2:$C$573,C275,$D$2:$D$573,D275)</f>
        <v/>
      </c>
      <c r="J275" s="3" t="inlineStr">
        <is>
          <t>epoch_csp_chip_quantity_latest</t>
        </is>
      </c>
      <c r="K275" s="3" t="inlineStr">
        <is>
          <t>SRC_EPOCH_AI_DATA_CENTERS; EPOCH_RAW_CHIP_QUANTITIES</t>
        </is>
      </c>
      <c r="L275" s="3" t="inlineStr">
        <is>
          <t>Latest chip quantity per CSP/data-center/accelerator through year-end; normalized by unit count. Shares are editable.</t>
        </is>
      </c>
    </row>
    <row r="276">
      <c r="A276" s="5">
        <f>B276&amp;"|"&amp;C276&amp;"|"&amp;D276&amp;"|"&amp;E276</f>
        <v/>
      </c>
      <c r="B276" s="3" t="inlineStr">
        <is>
          <t>Base</t>
        </is>
      </c>
      <c r="C276" s="3" t="inlineStr">
        <is>
          <t>Microsoft</t>
        </is>
      </c>
      <c r="D276" s="3" t="n">
        <v>2029</v>
      </c>
      <c r="E276" s="25" t="inlineStr">
        <is>
          <t>B200/B300 class</t>
        </is>
      </c>
      <c r="F276" s="5">
        <f>IFERROR(INDEX('02x_Accelerator_Catalog'!$C$2:$C$11,MATCH(E276,'02x_Accelerator_Catalog'!$B$2:$B$11,0)),"purpose_or_unbenchmarked")</f>
        <v/>
      </c>
      <c r="G276" s="8">
        <f>IFERROR(INDEX('02x_Accelerator_Catalog'!$D$2:$D$11,MATCH(E276,'02x_Accelerator_Catalog'!$B$2:$B$11,0)),"")</f>
        <v/>
      </c>
      <c r="H276" s="17" t="n">
        <v>0.94226297</v>
      </c>
      <c r="I276" s="6">
        <f>SUMIFS($H$2:$H$573,$B$2:$B$573,B276,$C$2:$C$573,C276,$D$2:$D$573,D276)</f>
        <v/>
      </c>
      <c r="J276" s="3" t="inlineStr">
        <is>
          <t>epoch_csp_chip_quantity_latest</t>
        </is>
      </c>
      <c r="K276" s="3" t="inlineStr">
        <is>
          <t>SRC_EPOCH_AI_DATA_CENTERS; EPOCH_RAW_CHIP_QUANTITIES</t>
        </is>
      </c>
      <c r="L276" s="3" t="inlineStr">
        <is>
          <t>Latest chip quantity per CSP/data-center/accelerator through year-end; normalized by unit count. Shares are editable.</t>
        </is>
      </c>
    </row>
    <row r="277">
      <c r="A277" s="5">
        <f>B277&amp;"|"&amp;C277&amp;"|"&amp;D277&amp;"|"&amp;E277</f>
        <v/>
      </c>
      <c r="B277" s="3" t="inlineStr">
        <is>
          <t>Base</t>
        </is>
      </c>
      <c r="C277" s="3" t="inlineStr">
        <is>
          <t>Microsoft</t>
        </is>
      </c>
      <c r="D277" s="3" t="n">
        <v>2029</v>
      </c>
      <c r="E277" s="25" t="inlineStr">
        <is>
          <t>H100/H200/A100 class</t>
        </is>
      </c>
      <c r="F277" s="5">
        <f>IFERROR(INDEX('02x_Accelerator_Catalog'!$C$2:$C$11,MATCH(E277,'02x_Accelerator_Catalog'!$B$2:$B$11,0)),"purpose_or_unbenchmarked")</f>
        <v/>
      </c>
      <c r="G277" s="8">
        <f>IFERROR(INDEX('02x_Accelerator_Catalog'!$D$2:$D$11,MATCH(E277,'02x_Accelerator_Catalog'!$B$2:$B$11,0)),"")</f>
        <v/>
      </c>
      <c r="H277" s="17" t="n">
        <v>0.05773703</v>
      </c>
      <c r="I277" s="6">
        <f>SUMIFS($H$2:$H$573,$B$2:$B$573,B277,$C$2:$C$573,C277,$D$2:$D$573,D277)</f>
        <v/>
      </c>
      <c r="J277" s="3" t="inlineStr">
        <is>
          <t>epoch_csp_chip_quantity_latest</t>
        </is>
      </c>
      <c r="K277" s="3" t="inlineStr">
        <is>
          <t>SRC_EPOCH_AI_DATA_CENTERS; EPOCH_RAW_CHIP_QUANTITIES</t>
        </is>
      </c>
      <c r="L277" s="3" t="inlineStr">
        <is>
          <t>Latest chip quantity per CSP/data-center/accelerator through year-end; normalized by unit count. Shares are editable.</t>
        </is>
      </c>
    </row>
    <row r="278">
      <c r="A278" s="5">
        <f>B278&amp;"|"&amp;C278&amp;"|"&amp;D278&amp;"|"&amp;E278</f>
        <v/>
      </c>
      <c r="B278" s="3" t="inlineStr">
        <is>
          <t>Bull</t>
        </is>
      </c>
      <c r="C278" s="3" t="inlineStr">
        <is>
          <t>Microsoft</t>
        </is>
      </c>
      <c r="D278" s="3" t="n">
        <v>2029</v>
      </c>
      <c r="E278" s="25" t="inlineStr">
        <is>
          <t>B200/B300 class</t>
        </is>
      </c>
      <c r="F278" s="5">
        <f>IFERROR(INDEX('02x_Accelerator_Catalog'!$C$2:$C$11,MATCH(E278,'02x_Accelerator_Catalog'!$B$2:$B$11,0)),"purpose_or_unbenchmarked")</f>
        <v/>
      </c>
      <c r="G278" s="8">
        <f>IFERROR(INDEX('02x_Accelerator_Catalog'!$D$2:$D$11,MATCH(E278,'02x_Accelerator_Catalog'!$B$2:$B$11,0)),"")</f>
        <v/>
      </c>
      <c r="H278" s="17" t="n">
        <v>0.94226297</v>
      </c>
      <c r="I278" s="6">
        <f>SUMIFS($H$2:$H$573,$B$2:$B$573,B278,$C$2:$C$573,C278,$D$2:$D$573,D278)</f>
        <v/>
      </c>
      <c r="J278" s="3" t="inlineStr">
        <is>
          <t>epoch_csp_chip_quantity_latest</t>
        </is>
      </c>
      <c r="K278" s="3" t="inlineStr">
        <is>
          <t>SRC_EPOCH_AI_DATA_CENTERS; EPOCH_RAW_CHIP_QUANTITIES</t>
        </is>
      </c>
      <c r="L278" s="3" t="inlineStr">
        <is>
          <t>Latest chip quantity per CSP/data-center/accelerator through year-end; normalized by unit count. Shares are editable.</t>
        </is>
      </c>
    </row>
    <row r="279">
      <c r="A279" s="5">
        <f>B279&amp;"|"&amp;C279&amp;"|"&amp;D279&amp;"|"&amp;E279</f>
        <v/>
      </c>
      <c r="B279" s="3" t="inlineStr">
        <is>
          <t>Bull</t>
        </is>
      </c>
      <c r="C279" s="3" t="inlineStr">
        <is>
          <t>Microsoft</t>
        </is>
      </c>
      <c r="D279" s="3" t="n">
        <v>2029</v>
      </c>
      <c r="E279" s="25" t="inlineStr">
        <is>
          <t>H100/H200/A100 class</t>
        </is>
      </c>
      <c r="F279" s="5">
        <f>IFERROR(INDEX('02x_Accelerator_Catalog'!$C$2:$C$11,MATCH(E279,'02x_Accelerator_Catalog'!$B$2:$B$11,0)),"purpose_or_unbenchmarked")</f>
        <v/>
      </c>
      <c r="G279" s="8">
        <f>IFERROR(INDEX('02x_Accelerator_Catalog'!$D$2:$D$11,MATCH(E279,'02x_Accelerator_Catalog'!$B$2:$B$11,0)),"")</f>
        <v/>
      </c>
      <c r="H279" s="17" t="n">
        <v>0.05773703</v>
      </c>
      <c r="I279" s="6">
        <f>SUMIFS($H$2:$H$573,$B$2:$B$573,B279,$C$2:$C$573,C279,$D$2:$D$573,D279)</f>
        <v/>
      </c>
      <c r="J279" s="3" t="inlineStr">
        <is>
          <t>epoch_csp_chip_quantity_latest</t>
        </is>
      </c>
      <c r="K279" s="3" t="inlineStr">
        <is>
          <t>SRC_EPOCH_AI_DATA_CENTERS; EPOCH_RAW_CHIP_QUANTITIES</t>
        </is>
      </c>
      <c r="L279" s="3" t="inlineStr">
        <is>
          <t>Latest chip quantity per CSP/data-center/accelerator through year-end; normalized by unit count. Shares are editable.</t>
        </is>
      </c>
    </row>
    <row r="280">
      <c r="A280" s="5">
        <f>B280&amp;"|"&amp;C280&amp;"|"&amp;D280&amp;"|"&amp;E280</f>
        <v/>
      </c>
      <c r="B280" s="3" t="inlineStr">
        <is>
          <t>Grid-Constrained / Efficiency-Upside</t>
        </is>
      </c>
      <c r="C280" s="3" t="inlineStr">
        <is>
          <t>Microsoft</t>
        </is>
      </c>
      <c r="D280" s="3" t="n">
        <v>2029</v>
      </c>
      <c r="E280" s="25" t="inlineStr">
        <is>
          <t>B200/B300 class</t>
        </is>
      </c>
      <c r="F280" s="5">
        <f>IFERROR(INDEX('02x_Accelerator_Catalog'!$C$2:$C$11,MATCH(E280,'02x_Accelerator_Catalog'!$B$2:$B$11,0)),"purpose_or_unbenchmarked")</f>
        <v/>
      </c>
      <c r="G280" s="8">
        <f>IFERROR(INDEX('02x_Accelerator_Catalog'!$D$2:$D$11,MATCH(E280,'02x_Accelerator_Catalog'!$B$2:$B$11,0)),"")</f>
        <v/>
      </c>
      <c r="H280" s="17" t="n">
        <v>0.94226297</v>
      </c>
      <c r="I280" s="6">
        <f>SUMIFS($H$2:$H$573,$B$2:$B$573,B280,$C$2:$C$573,C280,$D$2:$D$573,D280)</f>
        <v/>
      </c>
      <c r="J280" s="3" t="inlineStr">
        <is>
          <t>epoch_csp_chip_quantity_latest</t>
        </is>
      </c>
      <c r="K280" s="3" t="inlineStr">
        <is>
          <t>SRC_EPOCH_AI_DATA_CENTERS; EPOCH_RAW_CHIP_QUANTITIES</t>
        </is>
      </c>
      <c r="L280" s="3" t="inlineStr">
        <is>
          <t>Latest chip quantity per CSP/data-center/accelerator through year-end; normalized by unit count. Shares are editable.</t>
        </is>
      </c>
    </row>
    <row r="281">
      <c r="A281" s="5">
        <f>B281&amp;"|"&amp;C281&amp;"|"&amp;D281&amp;"|"&amp;E281</f>
        <v/>
      </c>
      <c r="B281" s="3" t="inlineStr">
        <is>
          <t>Grid-Constrained / Efficiency-Upside</t>
        </is>
      </c>
      <c r="C281" s="3" t="inlineStr">
        <is>
          <t>Microsoft</t>
        </is>
      </c>
      <c r="D281" s="3" t="n">
        <v>2029</v>
      </c>
      <c r="E281" s="25" t="inlineStr">
        <is>
          <t>H100/H200/A100 class</t>
        </is>
      </c>
      <c r="F281" s="5">
        <f>IFERROR(INDEX('02x_Accelerator_Catalog'!$C$2:$C$11,MATCH(E281,'02x_Accelerator_Catalog'!$B$2:$B$11,0)),"purpose_or_unbenchmarked")</f>
        <v/>
      </c>
      <c r="G281" s="8">
        <f>IFERROR(INDEX('02x_Accelerator_Catalog'!$D$2:$D$11,MATCH(E281,'02x_Accelerator_Catalog'!$B$2:$B$11,0)),"")</f>
        <v/>
      </c>
      <c r="H281" s="17" t="n">
        <v>0.05773703</v>
      </c>
      <c r="I281" s="6">
        <f>SUMIFS($H$2:$H$573,$B$2:$B$573,B281,$C$2:$C$573,C281,$D$2:$D$573,D281)</f>
        <v/>
      </c>
      <c r="J281" s="3" t="inlineStr">
        <is>
          <t>epoch_csp_chip_quantity_latest</t>
        </is>
      </c>
      <c r="K281" s="3" t="inlineStr">
        <is>
          <t>SRC_EPOCH_AI_DATA_CENTERS; EPOCH_RAW_CHIP_QUANTITIES</t>
        </is>
      </c>
      <c r="L281" s="3" t="inlineStr">
        <is>
          <t>Latest chip quantity per CSP/data-center/accelerator through year-end; normalized by unit count. Shares are editable.</t>
        </is>
      </c>
    </row>
    <row r="282">
      <c r="A282" s="5">
        <f>B282&amp;"|"&amp;C282&amp;"|"&amp;D282&amp;"|"&amp;E282</f>
        <v/>
      </c>
      <c r="B282" s="3" t="inlineStr">
        <is>
          <t>Bear</t>
        </is>
      </c>
      <c r="C282" s="3" t="inlineStr">
        <is>
          <t>Microsoft</t>
        </is>
      </c>
      <c r="D282" s="3" t="n">
        <v>2030</v>
      </c>
      <c r="E282" s="25" t="inlineStr">
        <is>
          <t>B200/B300 class</t>
        </is>
      </c>
      <c r="F282" s="5">
        <f>IFERROR(INDEX('02x_Accelerator_Catalog'!$C$2:$C$11,MATCH(E282,'02x_Accelerator_Catalog'!$B$2:$B$11,0)),"purpose_or_unbenchmarked")</f>
        <v/>
      </c>
      <c r="G282" s="8">
        <f>IFERROR(INDEX('02x_Accelerator_Catalog'!$D$2:$D$11,MATCH(E282,'02x_Accelerator_Catalog'!$B$2:$B$11,0)),"")</f>
        <v/>
      </c>
      <c r="H282" s="17" t="n">
        <v>0.94226297</v>
      </c>
      <c r="I282" s="6">
        <f>SUMIFS($H$2:$H$573,$B$2:$B$573,B282,$C$2:$C$573,C282,$D$2:$D$573,D282)</f>
        <v/>
      </c>
      <c r="J282" s="3" t="inlineStr">
        <is>
          <t>epoch_csp_chip_quantity_latest</t>
        </is>
      </c>
      <c r="K282" s="3" t="inlineStr">
        <is>
          <t>SRC_EPOCH_AI_DATA_CENTERS; EPOCH_RAW_CHIP_QUANTITIES</t>
        </is>
      </c>
      <c r="L282" s="3" t="inlineStr">
        <is>
          <t>Latest chip quantity per CSP/data-center/accelerator through year-end; normalized by unit count. Shares are editable.</t>
        </is>
      </c>
    </row>
    <row r="283">
      <c r="A283" s="5">
        <f>B283&amp;"|"&amp;C283&amp;"|"&amp;D283&amp;"|"&amp;E283</f>
        <v/>
      </c>
      <c r="B283" s="3" t="inlineStr">
        <is>
          <t>Bear</t>
        </is>
      </c>
      <c r="C283" s="3" t="inlineStr">
        <is>
          <t>Microsoft</t>
        </is>
      </c>
      <c r="D283" s="3" t="n">
        <v>2030</v>
      </c>
      <c r="E283" s="25" t="inlineStr">
        <is>
          <t>H100/H200/A100 class</t>
        </is>
      </c>
      <c r="F283" s="5">
        <f>IFERROR(INDEX('02x_Accelerator_Catalog'!$C$2:$C$11,MATCH(E283,'02x_Accelerator_Catalog'!$B$2:$B$11,0)),"purpose_or_unbenchmarked")</f>
        <v/>
      </c>
      <c r="G283" s="8">
        <f>IFERROR(INDEX('02x_Accelerator_Catalog'!$D$2:$D$11,MATCH(E283,'02x_Accelerator_Catalog'!$B$2:$B$11,0)),"")</f>
        <v/>
      </c>
      <c r="H283" s="17" t="n">
        <v>0.05773703</v>
      </c>
      <c r="I283" s="6">
        <f>SUMIFS($H$2:$H$573,$B$2:$B$573,B283,$C$2:$C$573,C283,$D$2:$D$573,D283)</f>
        <v/>
      </c>
      <c r="J283" s="3" t="inlineStr">
        <is>
          <t>epoch_csp_chip_quantity_latest</t>
        </is>
      </c>
      <c r="K283" s="3" t="inlineStr">
        <is>
          <t>SRC_EPOCH_AI_DATA_CENTERS; EPOCH_RAW_CHIP_QUANTITIES</t>
        </is>
      </c>
      <c r="L283" s="3" t="inlineStr">
        <is>
          <t>Latest chip quantity per CSP/data-center/accelerator through year-end; normalized by unit count. Shares are editable.</t>
        </is>
      </c>
    </row>
    <row r="284">
      <c r="A284" s="5">
        <f>B284&amp;"|"&amp;C284&amp;"|"&amp;D284&amp;"|"&amp;E284</f>
        <v/>
      </c>
      <c r="B284" s="3" t="inlineStr">
        <is>
          <t>Base</t>
        </is>
      </c>
      <c r="C284" s="3" t="inlineStr">
        <is>
          <t>Microsoft</t>
        </is>
      </c>
      <c r="D284" s="3" t="n">
        <v>2030</v>
      </c>
      <c r="E284" s="25" t="inlineStr">
        <is>
          <t>B200/B300 class</t>
        </is>
      </c>
      <c r="F284" s="5">
        <f>IFERROR(INDEX('02x_Accelerator_Catalog'!$C$2:$C$11,MATCH(E284,'02x_Accelerator_Catalog'!$B$2:$B$11,0)),"purpose_or_unbenchmarked")</f>
        <v/>
      </c>
      <c r="G284" s="8">
        <f>IFERROR(INDEX('02x_Accelerator_Catalog'!$D$2:$D$11,MATCH(E284,'02x_Accelerator_Catalog'!$B$2:$B$11,0)),"")</f>
        <v/>
      </c>
      <c r="H284" s="17" t="n">
        <v>0.94226297</v>
      </c>
      <c r="I284" s="6">
        <f>SUMIFS($H$2:$H$573,$B$2:$B$573,B284,$C$2:$C$573,C284,$D$2:$D$573,D284)</f>
        <v/>
      </c>
      <c r="J284" s="3" t="inlineStr">
        <is>
          <t>epoch_csp_chip_quantity_latest</t>
        </is>
      </c>
      <c r="K284" s="3" t="inlineStr">
        <is>
          <t>SRC_EPOCH_AI_DATA_CENTERS; EPOCH_RAW_CHIP_QUANTITIES</t>
        </is>
      </c>
      <c r="L284" s="3" t="inlineStr">
        <is>
          <t>Latest chip quantity per CSP/data-center/accelerator through year-end; normalized by unit count. Shares are editable.</t>
        </is>
      </c>
    </row>
    <row r="285">
      <c r="A285" s="5">
        <f>B285&amp;"|"&amp;C285&amp;"|"&amp;D285&amp;"|"&amp;E285</f>
        <v/>
      </c>
      <c r="B285" s="3" t="inlineStr">
        <is>
          <t>Base</t>
        </is>
      </c>
      <c r="C285" s="3" t="inlineStr">
        <is>
          <t>Microsoft</t>
        </is>
      </c>
      <c r="D285" s="3" t="n">
        <v>2030</v>
      </c>
      <c r="E285" s="25" t="inlineStr">
        <is>
          <t>H100/H200/A100 class</t>
        </is>
      </c>
      <c r="F285" s="5">
        <f>IFERROR(INDEX('02x_Accelerator_Catalog'!$C$2:$C$11,MATCH(E285,'02x_Accelerator_Catalog'!$B$2:$B$11,0)),"purpose_or_unbenchmarked")</f>
        <v/>
      </c>
      <c r="G285" s="8">
        <f>IFERROR(INDEX('02x_Accelerator_Catalog'!$D$2:$D$11,MATCH(E285,'02x_Accelerator_Catalog'!$B$2:$B$11,0)),"")</f>
        <v/>
      </c>
      <c r="H285" s="17" t="n">
        <v>0.05773703</v>
      </c>
      <c r="I285" s="6">
        <f>SUMIFS($H$2:$H$573,$B$2:$B$573,B285,$C$2:$C$573,C285,$D$2:$D$573,D285)</f>
        <v/>
      </c>
      <c r="J285" s="3" t="inlineStr">
        <is>
          <t>epoch_csp_chip_quantity_latest</t>
        </is>
      </c>
      <c r="K285" s="3" t="inlineStr">
        <is>
          <t>SRC_EPOCH_AI_DATA_CENTERS; EPOCH_RAW_CHIP_QUANTITIES</t>
        </is>
      </c>
      <c r="L285" s="3" t="inlineStr">
        <is>
          <t>Latest chip quantity per CSP/data-center/accelerator through year-end; normalized by unit count. Shares are editable.</t>
        </is>
      </c>
    </row>
    <row r="286">
      <c r="A286" s="5">
        <f>B286&amp;"|"&amp;C286&amp;"|"&amp;D286&amp;"|"&amp;E286</f>
        <v/>
      </c>
      <c r="B286" s="3" t="inlineStr">
        <is>
          <t>Bull</t>
        </is>
      </c>
      <c r="C286" s="3" t="inlineStr">
        <is>
          <t>Microsoft</t>
        </is>
      </c>
      <c r="D286" s="3" t="n">
        <v>2030</v>
      </c>
      <c r="E286" s="25" t="inlineStr">
        <is>
          <t>B200/B300 class</t>
        </is>
      </c>
      <c r="F286" s="5">
        <f>IFERROR(INDEX('02x_Accelerator_Catalog'!$C$2:$C$11,MATCH(E286,'02x_Accelerator_Catalog'!$B$2:$B$11,0)),"purpose_or_unbenchmarked")</f>
        <v/>
      </c>
      <c r="G286" s="8">
        <f>IFERROR(INDEX('02x_Accelerator_Catalog'!$D$2:$D$11,MATCH(E286,'02x_Accelerator_Catalog'!$B$2:$B$11,0)),"")</f>
        <v/>
      </c>
      <c r="H286" s="17" t="n">
        <v>0.94226297</v>
      </c>
      <c r="I286" s="6">
        <f>SUMIFS($H$2:$H$573,$B$2:$B$573,B286,$C$2:$C$573,C286,$D$2:$D$573,D286)</f>
        <v/>
      </c>
      <c r="J286" s="3" t="inlineStr">
        <is>
          <t>epoch_csp_chip_quantity_latest</t>
        </is>
      </c>
      <c r="K286" s="3" t="inlineStr">
        <is>
          <t>SRC_EPOCH_AI_DATA_CENTERS; EPOCH_RAW_CHIP_QUANTITIES</t>
        </is>
      </c>
      <c r="L286" s="3" t="inlineStr">
        <is>
          <t>Latest chip quantity per CSP/data-center/accelerator through year-end; normalized by unit count. Shares are editable.</t>
        </is>
      </c>
    </row>
    <row r="287">
      <c r="A287" s="5">
        <f>B287&amp;"|"&amp;C287&amp;"|"&amp;D287&amp;"|"&amp;E287</f>
        <v/>
      </c>
      <c r="B287" s="3" t="inlineStr">
        <is>
          <t>Bull</t>
        </is>
      </c>
      <c r="C287" s="3" t="inlineStr">
        <is>
          <t>Microsoft</t>
        </is>
      </c>
      <c r="D287" s="3" t="n">
        <v>2030</v>
      </c>
      <c r="E287" s="25" t="inlineStr">
        <is>
          <t>H100/H200/A100 class</t>
        </is>
      </c>
      <c r="F287" s="5">
        <f>IFERROR(INDEX('02x_Accelerator_Catalog'!$C$2:$C$11,MATCH(E287,'02x_Accelerator_Catalog'!$B$2:$B$11,0)),"purpose_or_unbenchmarked")</f>
        <v/>
      </c>
      <c r="G287" s="8">
        <f>IFERROR(INDEX('02x_Accelerator_Catalog'!$D$2:$D$11,MATCH(E287,'02x_Accelerator_Catalog'!$B$2:$B$11,0)),"")</f>
        <v/>
      </c>
      <c r="H287" s="17" t="n">
        <v>0.05773703</v>
      </c>
      <c r="I287" s="6">
        <f>SUMIFS($H$2:$H$573,$B$2:$B$573,B287,$C$2:$C$573,C287,$D$2:$D$573,D287)</f>
        <v/>
      </c>
      <c r="J287" s="3" t="inlineStr">
        <is>
          <t>epoch_csp_chip_quantity_latest</t>
        </is>
      </c>
      <c r="K287" s="3" t="inlineStr">
        <is>
          <t>SRC_EPOCH_AI_DATA_CENTERS; EPOCH_RAW_CHIP_QUANTITIES</t>
        </is>
      </c>
      <c r="L287" s="3" t="inlineStr">
        <is>
          <t>Latest chip quantity per CSP/data-center/accelerator through year-end; normalized by unit count. Shares are editable.</t>
        </is>
      </c>
    </row>
    <row r="288">
      <c r="A288" s="5">
        <f>B288&amp;"|"&amp;C288&amp;"|"&amp;D288&amp;"|"&amp;E288</f>
        <v/>
      </c>
      <c r="B288" s="3" t="inlineStr">
        <is>
          <t>Grid-Constrained / Efficiency-Upside</t>
        </is>
      </c>
      <c r="C288" s="3" t="inlineStr">
        <is>
          <t>Microsoft</t>
        </is>
      </c>
      <c r="D288" s="3" t="n">
        <v>2030</v>
      </c>
      <c r="E288" s="25" t="inlineStr">
        <is>
          <t>B200/B300 class</t>
        </is>
      </c>
      <c r="F288" s="5">
        <f>IFERROR(INDEX('02x_Accelerator_Catalog'!$C$2:$C$11,MATCH(E288,'02x_Accelerator_Catalog'!$B$2:$B$11,0)),"purpose_or_unbenchmarked")</f>
        <v/>
      </c>
      <c r="G288" s="8">
        <f>IFERROR(INDEX('02x_Accelerator_Catalog'!$D$2:$D$11,MATCH(E288,'02x_Accelerator_Catalog'!$B$2:$B$11,0)),"")</f>
        <v/>
      </c>
      <c r="H288" s="17" t="n">
        <v>0.94226297</v>
      </c>
      <c r="I288" s="6">
        <f>SUMIFS($H$2:$H$573,$B$2:$B$573,B288,$C$2:$C$573,C288,$D$2:$D$573,D288)</f>
        <v/>
      </c>
      <c r="J288" s="3" t="inlineStr">
        <is>
          <t>epoch_csp_chip_quantity_latest</t>
        </is>
      </c>
      <c r="K288" s="3" t="inlineStr">
        <is>
          <t>SRC_EPOCH_AI_DATA_CENTERS; EPOCH_RAW_CHIP_QUANTITIES</t>
        </is>
      </c>
      <c r="L288" s="3" t="inlineStr">
        <is>
          <t>Latest chip quantity per CSP/data-center/accelerator through year-end; normalized by unit count. Shares are editable.</t>
        </is>
      </c>
    </row>
    <row r="289">
      <c r="A289" s="5">
        <f>B289&amp;"|"&amp;C289&amp;"|"&amp;D289&amp;"|"&amp;E289</f>
        <v/>
      </c>
      <c r="B289" s="3" t="inlineStr">
        <is>
          <t>Grid-Constrained / Efficiency-Upside</t>
        </is>
      </c>
      <c r="C289" s="3" t="inlineStr">
        <is>
          <t>Microsoft</t>
        </is>
      </c>
      <c r="D289" s="3" t="n">
        <v>2030</v>
      </c>
      <c r="E289" s="25" t="inlineStr">
        <is>
          <t>H100/H200/A100 class</t>
        </is>
      </c>
      <c r="F289" s="5">
        <f>IFERROR(INDEX('02x_Accelerator_Catalog'!$C$2:$C$11,MATCH(E289,'02x_Accelerator_Catalog'!$B$2:$B$11,0)),"purpose_or_unbenchmarked")</f>
        <v/>
      </c>
      <c r="G289" s="8">
        <f>IFERROR(INDEX('02x_Accelerator_Catalog'!$D$2:$D$11,MATCH(E289,'02x_Accelerator_Catalog'!$B$2:$B$11,0)),"")</f>
        <v/>
      </c>
      <c r="H289" s="17" t="n">
        <v>0.05773703</v>
      </c>
      <c r="I289" s="6">
        <f>SUMIFS($H$2:$H$573,$B$2:$B$573,B289,$C$2:$C$573,C289,$D$2:$D$573,D289)</f>
        <v/>
      </c>
      <c r="J289" s="3" t="inlineStr">
        <is>
          <t>epoch_csp_chip_quantity_latest</t>
        </is>
      </c>
      <c r="K289" s="3" t="inlineStr">
        <is>
          <t>SRC_EPOCH_AI_DATA_CENTERS; EPOCH_RAW_CHIP_QUANTITIES</t>
        </is>
      </c>
      <c r="L289" s="3" t="inlineStr">
        <is>
          <t>Latest chip quantity per CSP/data-center/accelerator through year-end; normalized by unit count. Shares are editable.</t>
        </is>
      </c>
    </row>
    <row r="290">
      <c r="A290" s="5">
        <f>B290&amp;"|"&amp;C290&amp;"|"&amp;D290&amp;"|"&amp;E290</f>
        <v/>
      </c>
      <c r="B290" s="3" t="inlineStr">
        <is>
          <t>Bear</t>
        </is>
      </c>
      <c r="C290" s="3" t="inlineStr">
        <is>
          <t>Nscale</t>
        </is>
      </c>
      <c r="D290" s="3" t="n">
        <v>2026</v>
      </c>
      <c r="E290" s="25" t="inlineStr">
        <is>
          <t>B200/B300 class</t>
        </is>
      </c>
      <c r="F290" s="5">
        <f>IFERROR(INDEX('02x_Accelerator_Catalog'!$C$2:$C$11,MATCH(E290,'02x_Accelerator_Catalog'!$B$2:$B$11,0)),"purpose_or_unbenchmarked")</f>
        <v/>
      </c>
      <c r="G290" s="8">
        <f>IFERROR(INDEX('02x_Accelerator_Catalog'!$D$2:$D$11,MATCH(E290,'02x_Accelerator_Catalog'!$B$2:$B$11,0)),"")</f>
        <v/>
      </c>
      <c r="H290" s="17" t="n">
        <v>1</v>
      </c>
      <c r="I290" s="6">
        <f>SUMIFS($H$2:$H$573,$B$2:$B$573,B290,$C$2:$C$573,C290,$D$2:$D$573,D290)</f>
        <v/>
      </c>
      <c r="J290" s="3" t="inlineStr">
        <is>
          <t>epoch_csp_chip_quantity_latest</t>
        </is>
      </c>
      <c r="K290" s="3" t="inlineStr">
        <is>
          <t>SRC_EPOCH_AI_DATA_CENTERS; EPOCH_RAW_CHIP_QUANTITIES</t>
        </is>
      </c>
      <c r="L290" s="3" t="inlineStr">
        <is>
          <t>Latest chip quantity per CSP/data-center/accelerator through year-end; normalized by unit count. Shares are editable.</t>
        </is>
      </c>
    </row>
    <row r="291">
      <c r="A291" s="5">
        <f>B291&amp;"|"&amp;C291&amp;"|"&amp;D291&amp;"|"&amp;E291</f>
        <v/>
      </c>
      <c r="B291" s="3" t="inlineStr">
        <is>
          <t>Base</t>
        </is>
      </c>
      <c r="C291" s="3" t="inlineStr">
        <is>
          <t>Nscale</t>
        </is>
      </c>
      <c r="D291" s="3" t="n">
        <v>2026</v>
      </c>
      <c r="E291" s="25" t="inlineStr">
        <is>
          <t>B200/B300 class</t>
        </is>
      </c>
      <c r="F291" s="5">
        <f>IFERROR(INDEX('02x_Accelerator_Catalog'!$C$2:$C$11,MATCH(E291,'02x_Accelerator_Catalog'!$B$2:$B$11,0)),"purpose_or_unbenchmarked")</f>
        <v/>
      </c>
      <c r="G291" s="8">
        <f>IFERROR(INDEX('02x_Accelerator_Catalog'!$D$2:$D$11,MATCH(E291,'02x_Accelerator_Catalog'!$B$2:$B$11,0)),"")</f>
        <v/>
      </c>
      <c r="H291" s="17" t="n">
        <v>1</v>
      </c>
      <c r="I291" s="6">
        <f>SUMIFS($H$2:$H$573,$B$2:$B$573,B291,$C$2:$C$573,C291,$D$2:$D$573,D291)</f>
        <v/>
      </c>
      <c r="J291" s="3" t="inlineStr">
        <is>
          <t>epoch_csp_chip_quantity_latest</t>
        </is>
      </c>
      <c r="K291" s="3" t="inlineStr">
        <is>
          <t>SRC_EPOCH_AI_DATA_CENTERS; EPOCH_RAW_CHIP_QUANTITIES</t>
        </is>
      </c>
      <c r="L291" s="3" t="inlineStr">
        <is>
          <t>Latest chip quantity per CSP/data-center/accelerator through year-end; normalized by unit count. Shares are editable.</t>
        </is>
      </c>
    </row>
    <row r="292">
      <c r="A292" s="5">
        <f>B292&amp;"|"&amp;C292&amp;"|"&amp;D292&amp;"|"&amp;E292</f>
        <v/>
      </c>
      <c r="B292" s="3" t="inlineStr">
        <is>
          <t>Bull</t>
        </is>
      </c>
      <c r="C292" s="3" t="inlineStr">
        <is>
          <t>Nscale</t>
        </is>
      </c>
      <c r="D292" s="3" t="n">
        <v>2026</v>
      </c>
      <c r="E292" s="25" t="inlineStr">
        <is>
          <t>B200/B300 class</t>
        </is>
      </c>
      <c r="F292" s="5">
        <f>IFERROR(INDEX('02x_Accelerator_Catalog'!$C$2:$C$11,MATCH(E292,'02x_Accelerator_Catalog'!$B$2:$B$11,0)),"purpose_or_unbenchmarked")</f>
        <v/>
      </c>
      <c r="G292" s="8">
        <f>IFERROR(INDEX('02x_Accelerator_Catalog'!$D$2:$D$11,MATCH(E292,'02x_Accelerator_Catalog'!$B$2:$B$11,0)),"")</f>
        <v/>
      </c>
      <c r="H292" s="17" t="n">
        <v>1</v>
      </c>
      <c r="I292" s="6">
        <f>SUMIFS($H$2:$H$573,$B$2:$B$573,B292,$C$2:$C$573,C292,$D$2:$D$573,D292)</f>
        <v/>
      </c>
      <c r="J292" s="3" t="inlineStr">
        <is>
          <t>epoch_csp_chip_quantity_latest</t>
        </is>
      </c>
      <c r="K292" s="3" t="inlineStr">
        <is>
          <t>SRC_EPOCH_AI_DATA_CENTERS; EPOCH_RAW_CHIP_QUANTITIES</t>
        </is>
      </c>
      <c r="L292" s="3" t="inlineStr">
        <is>
          <t>Latest chip quantity per CSP/data-center/accelerator through year-end; normalized by unit count. Shares are editable.</t>
        </is>
      </c>
    </row>
    <row r="293">
      <c r="A293" s="5">
        <f>B293&amp;"|"&amp;C293&amp;"|"&amp;D293&amp;"|"&amp;E293</f>
        <v/>
      </c>
      <c r="B293" s="3" t="inlineStr">
        <is>
          <t>Grid-Constrained / Efficiency-Upside</t>
        </is>
      </c>
      <c r="C293" s="3" t="inlineStr">
        <is>
          <t>Nscale</t>
        </is>
      </c>
      <c r="D293" s="3" t="n">
        <v>2026</v>
      </c>
      <c r="E293" s="25" t="inlineStr">
        <is>
          <t>B200/B300 class</t>
        </is>
      </c>
      <c r="F293" s="5">
        <f>IFERROR(INDEX('02x_Accelerator_Catalog'!$C$2:$C$11,MATCH(E293,'02x_Accelerator_Catalog'!$B$2:$B$11,0)),"purpose_or_unbenchmarked")</f>
        <v/>
      </c>
      <c r="G293" s="8">
        <f>IFERROR(INDEX('02x_Accelerator_Catalog'!$D$2:$D$11,MATCH(E293,'02x_Accelerator_Catalog'!$B$2:$B$11,0)),"")</f>
        <v/>
      </c>
      <c r="H293" s="17" t="n">
        <v>1</v>
      </c>
      <c r="I293" s="6">
        <f>SUMIFS($H$2:$H$573,$B$2:$B$573,B293,$C$2:$C$573,C293,$D$2:$D$573,D293)</f>
        <v/>
      </c>
      <c r="J293" s="3" t="inlineStr">
        <is>
          <t>epoch_csp_chip_quantity_latest</t>
        </is>
      </c>
      <c r="K293" s="3" t="inlineStr">
        <is>
          <t>SRC_EPOCH_AI_DATA_CENTERS; EPOCH_RAW_CHIP_QUANTITIES</t>
        </is>
      </c>
      <c r="L293" s="3" t="inlineStr">
        <is>
          <t>Latest chip quantity per CSP/data-center/accelerator through year-end; normalized by unit count. Shares are editable.</t>
        </is>
      </c>
    </row>
    <row r="294">
      <c r="A294" s="5">
        <f>B294&amp;"|"&amp;C294&amp;"|"&amp;D294&amp;"|"&amp;E294</f>
        <v/>
      </c>
      <c r="B294" s="3" t="inlineStr">
        <is>
          <t>Bear</t>
        </is>
      </c>
      <c r="C294" s="3" t="inlineStr">
        <is>
          <t>Nscale</t>
        </is>
      </c>
      <c r="D294" s="3" t="n">
        <v>2027</v>
      </c>
      <c r="E294" s="25" t="inlineStr">
        <is>
          <t>B200/B300 class</t>
        </is>
      </c>
      <c r="F294" s="5">
        <f>IFERROR(INDEX('02x_Accelerator_Catalog'!$C$2:$C$11,MATCH(E294,'02x_Accelerator_Catalog'!$B$2:$B$11,0)),"purpose_or_unbenchmarked")</f>
        <v/>
      </c>
      <c r="G294" s="8">
        <f>IFERROR(INDEX('02x_Accelerator_Catalog'!$D$2:$D$11,MATCH(E294,'02x_Accelerator_Catalog'!$B$2:$B$11,0)),"")</f>
        <v/>
      </c>
      <c r="H294" s="17" t="n">
        <v>1</v>
      </c>
      <c r="I294" s="6">
        <f>SUMIFS($H$2:$H$573,$B$2:$B$573,B294,$C$2:$C$573,C294,$D$2:$D$573,D294)</f>
        <v/>
      </c>
      <c r="J294" s="3" t="inlineStr">
        <is>
          <t>epoch_csp_chip_quantity_latest</t>
        </is>
      </c>
      <c r="K294" s="3" t="inlineStr">
        <is>
          <t>SRC_EPOCH_AI_DATA_CENTERS; EPOCH_RAW_CHIP_QUANTITIES</t>
        </is>
      </c>
      <c r="L294" s="3" t="inlineStr">
        <is>
          <t>Latest chip quantity per CSP/data-center/accelerator through year-end; normalized by unit count. Shares are editable.</t>
        </is>
      </c>
    </row>
    <row r="295">
      <c r="A295" s="5">
        <f>B295&amp;"|"&amp;C295&amp;"|"&amp;D295&amp;"|"&amp;E295</f>
        <v/>
      </c>
      <c r="B295" s="3" t="inlineStr">
        <is>
          <t>Base</t>
        </is>
      </c>
      <c r="C295" s="3" t="inlineStr">
        <is>
          <t>Nscale</t>
        </is>
      </c>
      <c r="D295" s="3" t="n">
        <v>2027</v>
      </c>
      <c r="E295" s="25" t="inlineStr">
        <is>
          <t>B200/B300 class</t>
        </is>
      </c>
      <c r="F295" s="5">
        <f>IFERROR(INDEX('02x_Accelerator_Catalog'!$C$2:$C$11,MATCH(E295,'02x_Accelerator_Catalog'!$B$2:$B$11,0)),"purpose_or_unbenchmarked")</f>
        <v/>
      </c>
      <c r="G295" s="8">
        <f>IFERROR(INDEX('02x_Accelerator_Catalog'!$D$2:$D$11,MATCH(E295,'02x_Accelerator_Catalog'!$B$2:$B$11,0)),"")</f>
        <v/>
      </c>
      <c r="H295" s="17" t="n">
        <v>1</v>
      </c>
      <c r="I295" s="6">
        <f>SUMIFS($H$2:$H$573,$B$2:$B$573,B295,$C$2:$C$573,C295,$D$2:$D$573,D295)</f>
        <v/>
      </c>
      <c r="J295" s="3" t="inlineStr">
        <is>
          <t>epoch_csp_chip_quantity_latest</t>
        </is>
      </c>
      <c r="K295" s="3" t="inlineStr">
        <is>
          <t>SRC_EPOCH_AI_DATA_CENTERS; EPOCH_RAW_CHIP_QUANTITIES</t>
        </is>
      </c>
      <c r="L295" s="3" t="inlineStr">
        <is>
          <t>Latest chip quantity per CSP/data-center/accelerator through year-end; normalized by unit count. Shares are editable.</t>
        </is>
      </c>
    </row>
    <row r="296">
      <c r="A296" s="5">
        <f>B296&amp;"|"&amp;C296&amp;"|"&amp;D296&amp;"|"&amp;E296</f>
        <v/>
      </c>
      <c r="B296" s="3" t="inlineStr">
        <is>
          <t>Bull</t>
        </is>
      </c>
      <c r="C296" s="3" t="inlineStr">
        <is>
          <t>Nscale</t>
        </is>
      </c>
      <c r="D296" s="3" t="n">
        <v>2027</v>
      </c>
      <c r="E296" s="25" t="inlineStr">
        <is>
          <t>B200/B300 class</t>
        </is>
      </c>
      <c r="F296" s="5">
        <f>IFERROR(INDEX('02x_Accelerator_Catalog'!$C$2:$C$11,MATCH(E296,'02x_Accelerator_Catalog'!$B$2:$B$11,0)),"purpose_or_unbenchmarked")</f>
        <v/>
      </c>
      <c r="G296" s="8">
        <f>IFERROR(INDEX('02x_Accelerator_Catalog'!$D$2:$D$11,MATCH(E296,'02x_Accelerator_Catalog'!$B$2:$B$11,0)),"")</f>
        <v/>
      </c>
      <c r="H296" s="17" t="n">
        <v>1</v>
      </c>
      <c r="I296" s="6">
        <f>SUMIFS($H$2:$H$573,$B$2:$B$573,B296,$C$2:$C$573,C296,$D$2:$D$573,D296)</f>
        <v/>
      </c>
      <c r="J296" s="3" t="inlineStr">
        <is>
          <t>epoch_csp_chip_quantity_latest</t>
        </is>
      </c>
      <c r="K296" s="3" t="inlineStr">
        <is>
          <t>SRC_EPOCH_AI_DATA_CENTERS; EPOCH_RAW_CHIP_QUANTITIES</t>
        </is>
      </c>
      <c r="L296" s="3" t="inlineStr">
        <is>
          <t>Latest chip quantity per CSP/data-center/accelerator through year-end; normalized by unit count. Shares are editable.</t>
        </is>
      </c>
    </row>
    <row r="297">
      <c r="A297" s="5">
        <f>B297&amp;"|"&amp;C297&amp;"|"&amp;D297&amp;"|"&amp;E297</f>
        <v/>
      </c>
      <c r="B297" s="3" t="inlineStr">
        <is>
          <t>Grid-Constrained / Efficiency-Upside</t>
        </is>
      </c>
      <c r="C297" s="3" t="inlineStr">
        <is>
          <t>Nscale</t>
        </is>
      </c>
      <c r="D297" s="3" t="n">
        <v>2027</v>
      </c>
      <c r="E297" s="25" t="inlineStr">
        <is>
          <t>B200/B300 class</t>
        </is>
      </c>
      <c r="F297" s="5">
        <f>IFERROR(INDEX('02x_Accelerator_Catalog'!$C$2:$C$11,MATCH(E297,'02x_Accelerator_Catalog'!$B$2:$B$11,0)),"purpose_or_unbenchmarked")</f>
        <v/>
      </c>
      <c r="G297" s="8">
        <f>IFERROR(INDEX('02x_Accelerator_Catalog'!$D$2:$D$11,MATCH(E297,'02x_Accelerator_Catalog'!$B$2:$B$11,0)),"")</f>
        <v/>
      </c>
      <c r="H297" s="17" t="n">
        <v>1</v>
      </c>
      <c r="I297" s="6">
        <f>SUMIFS($H$2:$H$573,$B$2:$B$573,B297,$C$2:$C$573,C297,$D$2:$D$573,D297)</f>
        <v/>
      </c>
      <c r="J297" s="3" t="inlineStr">
        <is>
          <t>epoch_csp_chip_quantity_latest</t>
        </is>
      </c>
      <c r="K297" s="3" t="inlineStr">
        <is>
          <t>SRC_EPOCH_AI_DATA_CENTERS; EPOCH_RAW_CHIP_QUANTITIES</t>
        </is>
      </c>
      <c r="L297" s="3" t="inlineStr">
        <is>
          <t>Latest chip quantity per CSP/data-center/accelerator through year-end; normalized by unit count. Shares are editable.</t>
        </is>
      </c>
    </row>
    <row r="298">
      <c r="A298" s="5">
        <f>B298&amp;"|"&amp;C298&amp;"|"&amp;D298&amp;"|"&amp;E298</f>
        <v/>
      </c>
      <c r="B298" s="3" t="inlineStr">
        <is>
          <t>Bear</t>
        </is>
      </c>
      <c r="C298" s="3" t="inlineStr">
        <is>
          <t>Nscale</t>
        </is>
      </c>
      <c r="D298" s="3" t="n">
        <v>2028</v>
      </c>
      <c r="E298" s="25" t="inlineStr">
        <is>
          <t>B200/B300 class</t>
        </is>
      </c>
      <c r="F298" s="5">
        <f>IFERROR(INDEX('02x_Accelerator_Catalog'!$C$2:$C$11,MATCH(E298,'02x_Accelerator_Catalog'!$B$2:$B$11,0)),"purpose_or_unbenchmarked")</f>
        <v/>
      </c>
      <c r="G298" s="8">
        <f>IFERROR(INDEX('02x_Accelerator_Catalog'!$D$2:$D$11,MATCH(E298,'02x_Accelerator_Catalog'!$B$2:$B$11,0)),"")</f>
        <v/>
      </c>
      <c r="H298" s="17" t="n">
        <v>1</v>
      </c>
      <c r="I298" s="6">
        <f>SUMIFS($H$2:$H$573,$B$2:$B$573,B298,$C$2:$C$573,C298,$D$2:$D$573,D298)</f>
        <v/>
      </c>
      <c r="J298" s="3" t="inlineStr">
        <is>
          <t>epoch_csp_chip_quantity_latest</t>
        </is>
      </c>
      <c r="K298" s="3" t="inlineStr">
        <is>
          <t>SRC_EPOCH_AI_DATA_CENTERS; EPOCH_RAW_CHIP_QUANTITIES</t>
        </is>
      </c>
      <c r="L298" s="3" t="inlineStr">
        <is>
          <t>Latest chip quantity per CSP/data-center/accelerator through year-end; normalized by unit count. Shares are editable.</t>
        </is>
      </c>
    </row>
    <row r="299">
      <c r="A299" s="5">
        <f>B299&amp;"|"&amp;C299&amp;"|"&amp;D299&amp;"|"&amp;E299</f>
        <v/>
      </c>
      <c r="B299" s="3" t="inlineStr">
        <is>
          <t>Base</t>
        </is>
      </c>
      <c r="C299" s="3" t="inlineStr">
        <is>
          <t>Nscale</t>
        </is>
      </c>
      <c r="D299" s="3" t="n">
        <v>2028</v>
      </c>
      <c r="E299" s="25" t="inlineStr">
        <is>
          <t>B200/B300 class</t>
        </is>
      </c>
      <c r="F299" s="5">
        <f>IFERROR(INDEX('02x_Accelerator_Catalog'!$C$2:$C$11,MATCH(E299,'02x_Accelerator_Catalog'!$B$2:$B$11,0)),"purpose_or_unbenchmarked")</f>
        <v/>
      </c>
      <c r="G299" s="8">
        <f>IFERROR(INDEX('02x_Accelerator_Catalog'!$D$2:$D$11,MATCH(E299,'02x_Accelerator_Catalog'!$B$2:$B$11,0)),"")</f>
        <v/>
      </c>
      <c r="H299" s="17" t="n">
        <v>1</v>
      </c>
      <c r="I299" s="6">
        <f>SUMIFS($H$2:$H$573,$B$2:$B$573,B299,$C$2:$C$573,C299,$D$2:$D$573,D299)</f>
        <v/>
      </c>
      <c r="J299" s="3" t="inlineStr">
        <is>
          <t>epoch_csp_chip_quantity_latest</t>
        </is>
      </c>
      <c r="K299" s="3" t="inlineStr">
        <is>
          <t>SRC_EPOCH_AI_DATA_CENTERS; EPOCH_RAW_CHIP_QUANTITIES</t>
        </is>
      </c>
      <c r="L299" s="3" t="inlineStr">
        <is>
          <t>Latest chip quantity per CSP/data-center/accelerator through year-end; normalized by unit count. Shares are editable.</t>
        </is>
      </c>
    </row>
    <row r="300">
      <c r="A300" s="5">
        <f>B300&amp;"|"&amp;C300&amp;"|"&amp;D300&amp;"|"&amp;E300</f>
        <v/>
      </c>
      <c r="B300" s="3" t="inlineStr">
        <is>
          <t>Bull</t>
        </is>
      </c>
      <c r="C300" s="3" t="inlineStr">
        <is>
          <t>Nscale</t>
        </is>
      </c>
      <c r="D300" s="3" t="n">
        <v>2028</v>
      </c>
      <c r="E300" s="25" t="inlineStr">
        <is>
          <t>B200/B300 class</t>
        </is>
      </c>
      <c r="F300" s="5">
        <f>IFERROR(INDEX('02x_Accelerator_Catalog'!$C$2:$C$11,MATCH(E300,'02x_Accelerator_Catalog'!$B$2:$B$11,0)),"purpose_or_unbenchmarked")</f>
        <v/>
      </c>
      <c r="G300" s="8">
        <f>IFERROR(INDEX('02x_Accelerator_Catalog'!$D$2:$D$11,MATCH(E300,'02x_Accelerator_Catalog'!$B$2:$B$11,0)),"")</f>
        <v/>
      </c>
      <c r="H300" s="17" t="n">
        <v>1</v>
      </c>
      <c r="I300" s="6">
        <f>SUMIFS($H$2:$H$573,$B$2:$B$573,B300,$C$2:$C$573,C300,$D$2:$D$573,D300)</f>
        <v/>
      </c>
      <c r="J300" s="3" t="inlineStr">
        <is>
          <t>epoch_csp_chip_quantity_latest</t>
        </is>
      </c>
      <c r="K300" s="3" t="inlineStr">
        <is>
          <t>SRC_EPOCH_AI_DATA_CENTERS; EPOCH_RAW_CHIP_QUANTITIES</t>
        </is>
      </c>
      <c r="L300" s="3" t="inlineStr">
        <is>
          <t>Latest chip quantity per CSP/data-center/accelerator through year-end; normalized by unit count. Shares are editable.</t>
        </is>
      </c>
    </row>
    <row r="301">
      <c r="A301" s="5">
        <f>B301&amp;"|"&amp;C301&amp;"|"&amp;D301&amp;"|"&amp;E301</f>
        <v/>
      </c>
      <c r="B301" s="3" t="inlineStr">
        <is>
          <t>Grid-Constrained / Efficiency-Upside</t>
        </is>
      </c>
      <c r="C301" s="3" t="inlineStr">
        <is>
          <t>Nscale</t>
        </is>
      </c>
      <c r="D301" s="3" t="n">
        <v>2028</v>
      </c>
      <c r="E301" s="25" t="inlineStr">
        <is>
          <t>B200/B300 class</t>
        </is>
      </c>
      <c r="F301" s="5">
        <f>IFERROR(INDEX('02x_Accelerator_Catalog'!$C$2:$C$11,MATCH(E301,'02x_Accelerator_Catalog'!$B$2:$B$11,0)),"purpose_or_unbenchmarked")</f>
        <v/>
      </c>
      <c r="G301" s="8">
        <f>IFERROR(INDEX('02x_Accelerator_Catalog'!$D$2:$D$11,MATCH(E301,'02x_Accelerator_Catalog'!$B$2:$B$11,0)),"")</f>
        <v/>
      </c>
      <c r="H301" s="17" t="n">
        <v>1</v>
      </c>
      <c r="I301" s="6">
        <f>SUMIFS($H$2:$H$573,$B$2:$B$573,B301,$C$2:$C$573,C301,$D$2:$D$573,D301)</f>
        <v/>
      </c>
      <c r="J301" s="3" t="inlineStr">
        <is>
          <t>epoch_csp_chip_quantity_latest</t>
        </is>
      </c>
      <c r="K301" s="3" t="inlineStr">
        <is>
          <t>SRC_EPOCH_AI_DATA_CENTERS; EPOCH_RAW_CHIP_QUANTITIES</t>
        </is>
      </c>
      <c r="L301" s="3" t="inlineStr">
        <is>
          <t>Latest chip quantity per CSP/data-center/accelerator through year-end; normalized by unit count. Shares are editable.</t>
        </is>
      </c>
    </row>
    <row r="302">
      <c r="A302" s="5">
        <f>B302&amp;"|"&amp;C302&amp;"|"&amp;D302&amp;"|"&amp;E302</f>
        <v/>
      </c>
      <c r="B302" s="3" t="inlineStr">
        <is>
          <t>Bear</t>
        </is>
      </c>
      <c r="C302" s="3" t="inlineStr">
        <is>
          <t>Nscale</t>
        </is>
      </c>
      <c r="D302" s="3" t="n">
        <v>2029</v>
      </c>
      <c r="E302" s="25" t="inlineStr">
        <is>
          <t>B200/B300 class</t>
        </is>
      </c>
      <c r="F302" s="5">
        <f>IFERROR(INDEX('02x_Accelerator_Catalog'!$C$2:$C$11,MATCH(E302,'02x_Accelerator_Catalog'!$B$2:$B$11,0)),"purpose_or_unbenchmarked")</f>
        <v/>
      </c>
      <c r="G302" s="8">
        <f>IFERROR(INDEX('02x_Accelerator_Catalog'!$D$2:$D$11,MATCH(E302,'02x_Accelerator_Catalog'!$B$2:$B$11,0)),"")</f>
        <v/>
      </c>
      <c r="H302" s="17" t="n">
        <v>1</v>
      </c>
      <c r="I302" s="6">
        <f>SUMIFS($H$2:$H$573,$B$2:$B$573,B302,$C$2:$C$573,C302,$D$2:$D$573,D302)</f>
        <v/>
      </c>
      <c r="J302" s="3" t="inlineStr">
        <is>
          <t>epoch_csp_chip_quantity_latest</t>
        </is>
      </c>
      <c r="K302" s="3" t="inlineStr">
        <is>
          <t>SRC_EPOCH_AI_DATA_CENTERS; EPOCH_RAW_CHIP_QUANTITIES</t>
        </is>
      </c>
      <c r="L302" s="3" t="inlineStr">
        <is>
          <t>Latest chip quantity per CSP/data-center/accelerator through year-end; normalized by unit count. Shares are editable.</t>
        </is>
      </c>
    </row>
    <row r="303">
      <c r="A303" s="5">
        <f>B303&amp;"|"&amp;C303&amp;"|"&amp;D303&amp;"|"&amp;E303</f>
        <v/>
      </c>
      <c r="B303" s="3" t="inlineStr">
        <is>
          <t>Base</t>
        </is>
      </c>
      <c r="C303" s="3" t="inlineStr">
        <is>
          <t>Nscale</t>
        </is>
      </c>
      <c r="D303" s="3" t="n">
        <v>2029</v>
      </c>
      <c r="E303" s="25" t="inlineStr">
        <is>
          <t>B200/B300 class</t>
        </is>
      </c>
      <c r="F303" s="5">
        <f>IFERROR(INDEX('02x_Accelerator_Catalog'!$C$2:$C$11,MATCH(E303,'02x_Accelerator_Catalog'!$B$2:$B$11,0)),"purpose_or_unbenchmarked")</f>
        <v/>
      </c>
      <c r="G303" s="8">
        <f>IFERROR(INDEX('02x_Accelerator_Catalog'!$D$2:$D$11,MATCH(E303,'02x_Accelerator_Catalog'!$B$2:$B$11,0)),"")</f>
        <v/>
      </c>
      <c r="H303" s="17" t="n">
        <v>1</v>
      </c>
      <c r="I303" s="6">
        <f>SUMIFS($H$2:$H$573,$B$2:$B$573,B303,$C$2:$C$573,C303,$D$2:$D$573,D303)</f>
        <v/>
      </c>
      <c r="J303" s="3" t="inlineStr">
        <is>
          <t>epoch_csp_chip_quantity_latest</t>
        </is>
      </c>
      <c r="K303" s="3" t="inlineStr">
        <is>
          <t>SRC_EPOCH_AI_DATA_CENTERS; EPOCH_RAW_CHIP_QUANTITIES</t>
        </is>
      </c>
      <c r="L303" s="3" t="inlineStr">
        <is>
          <t>Latest chip quantity per CSP/data-center/accelerator through year-end; normalized by unit count. Shares are editable.</t>
        </is>
      </c>
    </row>
    <row r="304">
      <c r="A304" s="5">
        <f>B304&amp;"|"&amp;C304&amp;"|"&amp;D304&amp;"|"&amp;E304</f>
        <v/>
      </c>
      <c r="B304" s="3" t="inlineStr">
        <is>
          <t>Bull</t>
        </is>
      </c>
      <c r="C304" s="3" t="inlineStr">
        <is>
          <t>Nscale</t>
        </is>
      </c>
      <c r="D304" s="3" t="n">
        <v>2029</v>
      </c>
      <c r="E304" s="25" t="inlineStr">
        <is>
          <t>B200/B300 class</t>
        </is>
      </c>
      <c r="F304" s="5">
        <f>IFERROR(INDEX('02x_Accelerator_Catalog'!$C$2:$C$11,MATCH(E304,'02x_Accelerator_Catalog'!$B$2:$B$11,0)),"purpose_or_unbenchmarked")</f>
        <v/>
      </c>
      <c r="G304" s="8">
        <f>IFERROR(INDEX('02x_Accelerator_Catalog'!$D$2:$D$11,MATCH(E304,'02x_Accelerator_Catalog'!$B$2:$B$11,0)),"")</f>
        <v/>
      </c>
      <c r="H304" s="17" t="n">
        <v>1</v>
      </c>
      <c r="I304" s="6">
        <f>SUMIFS($H$2:$H$573,$B$2:$B$573,B304,$C$2:$C$573,C304,$D$2:$D$573,D304)</f>
        <v/>
      </c>
      <c r="J304" s="3" t="inlineStr">
        <is>
          <t>epoch_csp_chip_quantity_latest</t>
        </is>
      </c>
      <c r="K304" s="3" t="inlineStr">
        <is>
          <t>SRC_EPOCH_AI_DATA_CENTERS; EPOCH_RAW_CHIP_QUANTITIES</t>
        </is>
      </c>
      <c r="L304" s="3" t="inlineStr">
        <is>
          <t>Latest chip quantity per CSP/data-center/accelerator through year-end; normalized by unit count. Shares are editable.</t>
        </is>
      </c>
    </row>
    <row r="305">
      <c r="A305" s="5">
        <f>B305&amp;"|"&amp;C305&amp;"|"&amp;D305&amp;"|"&amp;E305</f>
        <v/>
      </c>
      <c r="B305" s="3" t="inlineStr">
        <is>
          <t>Grid-Constrained / Efficiency-Upside</t>
        </is>
      </c>
      <c r="C305" s="3" t="inlineStr">
        <is>
          <t>Nscale</t>
        </is>
      </c>
      <c r="D305" s="3" t="n">
        <v>2029</v>
      </c>
      <c r="E305" s="25" t="inlineStr">
        <is>
          <t>B200/B300 class</t>
        </is>
      </c>
      <c r="F305" s="5">
        <f>IFERROR(INDEX('02x_Accelerator_Catalog'!$C$2:$C$11,MATCH(E305,'02x_Accelerator_Catalog'!$B$2:$B$11,0)),"purpose_or_unbenchmarked")</f>
        <v/>
      </c>
      <c r="G305" s="8">
        <f>IFERROR(INDEX('02x_Accelerator_Catalog'!$D$2:$D$11,MATCH(E305,'02x_Accelerator_Catalog'!$B$2:$B$11,0)),"")</f>
        <v/>
      </c>
      <c r="H305" s="17" t="n">
        <v>1</v>
      </c>
      <c r="I305" s="6">
        <f>SUMIFS($H$2:$H$573,$B$2:$B$573,B305,$C$2:$C$573,C305,$D$2:$D$573,D305)</f>
        <v/>
      </c>
      <c r="J305" s="3" t="inlineStr">
        <is>
          <t>epoch_csp_chip_quantity_latest</t>
        </is>
      </c>
      <c r="K305" s="3" t="inlineStr">
        <is>
          <t>SRC_EPOCH_AI_DATA_CENTERS; EPOCH_RAW_CHIP_QUANTITIES</t>
        </is>
      </c>
      <c r="L305" s="3" t="inlineStr">
        <is>
          <t>Latest chip quantity per CSP/data-center/accelerator through year-end; normalized by unit count. Shares are editable.</t>
        </is>
      </c>
    </row>
    <row r="306">
      <c r="A306" s="5">
        <f>B306&amp;"|"&amp;C306&amp;"|"&amp;D306&amp;"|"&amp;E306</f>
        <v/>
      </c>
      <c r="B306" s="3" t="inlineStr">
        <is>
          <t>Bear</t>
        </is>
      </c>
      <c r="C306" s="3" t="inlineStr">
        <is>
          <t>Nscale</t>
        </is>
      </c>
      <c r="D306" s="3" t="n">
        <v>2030</v>
      </c>
      <c r="E306" s="25" t="inlineStr">
        <is>
          <t>B200/B300 class</t>
        </is>
      </c>
      <c r="F306" s="5">
        <f>IFERROR(INDEX('02x_Accelerator_Catalog'!$C$2:$C$11,MATCH(E306,'02x_Accelerator_Catalog'!$B$2:$B$11,0)),"purpose_or_unbenchmarked")</f>
        <v/>
      </c>
      <c r="G306" s="8">
        <f>IFERROR(INDEX('02x_Accelerator_Catalog'!$D$2:$D$11,MATCH(E306,'02x_Accelerator_Catalog'!$B$2:$B$11,0)),"")</f>
        <v/>
      </c>
      <c r="H306" s="17" t="n">
        <v>1</v>
      </c>
      <c r="I306" s="6">
        <f>SUMIFS($H$2:$H$573,$B$2:$B$573,B306,$C$2:$C$573,C306,$D$2:$D$573,D306)</f>
        <v/>
      </c>
      <c r="J306" s="3" t="inlineStr">
        <is>
          <t>epoch_csp_chip_quantity_latest</t>
        </is>
      </c>
      <c r="K306" s="3" t="inlineStr">
        <is>
          <t>SRC_EPOCH_AI_DATA_CENTERS; EPOCH_RAW_CHIP_QUANTITIES</t>
        </is>
      </c>
      <c r="L306" s="3" t="inlineStr">
        <is>
          <t>Latest chip quantity per CSP/data-center/accelerator through year-end; normalized by unit count. Shares are editable.</t>
        </is>
      </c>
    </row>
    <row r="307">
      <c r="A307" s="5">
        <f>B307&amp;"|"&amp;C307&amp;"|"&amp;D307&amp;"|"&amp;E307</f>
        <v/>
      </c>
      <c r="B307" s="3" t="inlineStr">
        <is>
          <t>Base</t>
        </is>
      </c>
      <c r="C307" s="3" t="inlineStr">
        <is>
          <t>Nscale</t>
        </is>
      </c>
      <c r="D307" s="3" t="n">
        <v>2030</v>
      </c>
      <c r="E307" s="25" t="inlineStr">
        <is>
          <t>B200/B300 class</t>
        </is>
      </c>
      <c r="F307" s="5">
        <f>IFERROR(INDEX('02x_Accelerator_Catalog'!$C$2:$C$11,MATCH(E307,'02x_Accelerator_Catalog'!$B$2:$B$11,0)),"purpose_or_unbenchmarked")</f>
        <v/>
      </c>
      <c r="G307" s="8">
        <f>IFERROR(INDEX('02x_Accelerator_Catalog'!$D$2:$D$11,MATCH(E307,'02x_Accelerator_Catalog'!$B$2:$B$11,0)),"")</f>
        <v/>
      </c>
      <c r="H307" s="17" t="n">
        <v>1</v>
      </c>
      <c r="I307" s="6">
        <f>SUMIFS($H$2:$H$573,$B$2:$B$573,B307,$C$2:$C$573,C307,$D$2:$D$573,D307)</f>
        <v/>
      </c>
      <c r="J307" s="3" t="inlineStr">
        <is>
          <t>epoch_csp_chip_quantity_latest</t>
        </is>
      </c>
      <c r="K307" s="3" t="inlineStr">
        <is>
          <t>SRC_EPOCH_AI_DATA_CENTERS; EPOCH_RAW_CHIP_QUANTITIES</t>
        </is>
      </c>
      <c r="L307" s="3" t="inlineStr">
        <is>
          <t>Latest chip quantity per CSP/data-center/accelerator through year-end; normalized by unit count. Shares are editable.</t>
        </is>
      </c>
    </row>
    <row r="308">
      <c r="A308" s="5">
        <f>B308&amp;"|"&amp;C308&amp;"|"&amp;D308&amp;"|"&amp;E308</f>
        <v/>
      </c>
      <c r="B308" s="3" t="inlineStr">
        <is>
          <t>Bull</t>
        </is>
      </c>
      <c r="C308" s="3" t="inlineStr">
        <is>
          <t>Nscale</t>
        </is>
      </c>
      <c r="D308" s="3" t="n">
        <v>2030</v>
      </c>
      <c r="E308" s="25" t="inlineStr">
        <is>
          <t>B200/B300 class</t>
        </is>
      </c>
      <c r="F308" s="5">
        <f>IFERROR(INDEX('02x_Accelerator_Catalog'!$C$2:$C$11,MATCH(E308,'02x_Accelerator_Catalog'!$B$2:$B$11,0)),"purpose_or_unbenchmarked")</f>
        <v/>
      </c>
      <c r="G308" s="8">
        <f>IFERROR(INDEX('02x_Accelerator_Catalog'!$D$2:$D$11,MATCH(E308,'02x_Accelerator_Catalog'!$B$2:$B$11,0)),"")</f>
        <v/>
      </c>
      <c r="H308" s="17" t="n">
        <v>1</v>
      </c>
      <c r="I308" s="6">
        <f>SUMIFS($H$2:$H$573,$B$2:$B$573,B308,$C$2:$C$573,C308,$D$2:$D$573,D308)</f>
        <v/>
      </c>
      <c r="J308" s="3" t="inlineStr">
        <is>
          <t>epoch_csp_chip_quantity_latest</t>
        </is>
      </c>
      <c r="K308" s="3" t="inlineStr">
        <is>
          <t>SRC_EPOCH_AI_DATA_CENTERS; EPOCH_RAW_CHIP_QUANTITIES</t>
        </is>
      </c>
      <c r="L308" s="3" t="inlineStr">
        <is>
          <t>Latest chip quantity per CSP/data-center/accelerator through year-end; normalized by unit count. Shares are editable.</t>
        </is>
      </c>
    </row>
    <row r="309">
      <c r="A309" s="5">
        <f>B309&amp;"|"&amp;C309&amp;"|"&amp;D309&amp;"|"&amp;E309</f>
        <v/>
      </c>
      <c r="B309" s="3" t="inlineStr">
        <is>
          <t>Grid-Constrained / Efficiency-Upside</t>
        </is>
      </c>
      <c r="C309" s="3" t="inlineStr">
        <is>
          <t>Nscale</t>
        </is>
      </c>
      <c r="D309" s="3" t="n">
        <v>2030</v>
      </c>
      <c r="E309" s="25" t="inlineStr">
        <is>
          <t>B200/B300 class</t>
        </is>
      </c>
      <c r="F309" s="5">
        <f>IFERROR(INDEX('02x_Accelerator_Catalog'!$C$2:$C$11,MATCH(E309,'02x_Accelerator_Catalog'!$B$2:$B$11,0)),"purpose_or_unbenchmarked")</f>
        <v/>
      </c>
      <c r="G309" s="8">
        <f>IFERROR(INDEX('02x_Accelerator_Catalog'!$D$2:$D$11,MATCH(E309,'02x_Accelerator_Catalog'!$B$2:$B$11,0)),"")</f>
        <v/>
      </c>
      <c r="H309" s="17" t="n">
        <v>1</v>
      </c>
      <c r="I309" s="6">
        <f>SUMIFS($H$2:$H$573,$B$2:$B$573,B309,$C$2:$C$573,C309,$D$2:$D$573,D309)</f>
        <v/>
      </c>
      <c r="J309" s="3" t="inlineStr">
        <is>
          <t>epoch_csp_chip_quantity_latest</t>
        </is>
      </c>
      <c r="K309" s="3" t="inlineStr">
        <is>
          <t>SRC_EPOCH_AI_DATA_CENTERS; EPOCH_RAW_CHIP_QUANTITIES</t>
        </is>
      </c>
      <c r="L309" s="3" t="inlineStr">
        <is>
          <t>Latest chip quantity per CSP/data-center/accelerator through year-end; normalized by unit count. Shares are editable.</t>
        </is>
      </c>
    </row>
    <row r="310">
      <c r="A310" s="5">
        <f>B310&amp;"|"&amp;C310&amp;"|"&amp;D310&amp;"|"&amp;E310</f>
        <v/>
      </c>
      <c r="B310" s="3" t="inlineStr">
        <is>
          <t>Bear</t>
        </is>
      </c>
      <c r="C310" s="3" t="inlineStr">
        <is>
          <t>CoreWeave</t>
        </is>
      </c>
      <c r="D310" s="3" t="n">
        <v>2026</v>
      </c>
      <c r="E310" s="25" t="inlineStr">
        <is>
          <t>B200/B300 class</t>
        </is>
      </c>
      <c r="F310" s="5">
        <f>IFERROR(INDEX('02x_Accelerator_Catalog'!$C$2:$C$11,MATCH(E310,'02x_Accelerator_Catalog'!$B$2:$B$11,0)),"purpose_or_unbenchmarked")</f>
        <v/>
      </c>
      <c r="G310" s="8">
        <f>IFERROR(INDEX('02x_Accelerator_Catalog'!$D$2:$D$11,MATCH(E310,'02x_Accelerator_Catalog'!$B$2:$B$11,0)),"")</f>
        <v/>
      </c>
      <c r="H310" s="17" t="n">
        <v>0.94979589</v>
      </c>
      <c r="I310" s="6">
        <f>SUMIFS($H$2:$H$573,$B$2:$B$573,B310,$C$2:$C$573,C310,$D$2:$D$573,D310)</f>
        <v/>
      </c>
      <c r="J310" s="3" t="inlineStr">
        <is>
          <t>epoch_csp_chip_quantity_latest</t>
        </is>
      </c>
      <c r="K310" s="3" t="inlineStr">
        <is>
          <t>SRC_EPOCH_AI_DATA_CENTERS; EPOCH_RAW_CHIP_QUANTITIES</t>
        </is>
      </c>
      <c r="L310" s="3" t="inlineStr">
        <is>
          <t>Latest chip quantity per CSP/data-center/accelerator through year-end; normalized by unit count. Shares are editable.</t>
        </is>
      </c>
    </row>
    <row r="311">
      <c r="A311" s="5">
        <f>B311&amp;"|"&amp;C311&amp;"|"&amp;D311&amp;"|"&amp;E311</f>
        <v/>
      </c>
      <c r="B311" s="3" t="inlineStr">
        <is>
          <t>Bear</t>
        </is>
      </c>
      <c r="C311" s="3" t="inlineStr">
        <is>
          <t>CoreWeave</t>
        </is>
      </c>
      <c r="D311" s="3" t="n">
        <v>2026</v>
      </c>
      <c r="E311" s="25" t="inlineStr">
        <is>
          <t>H100/H200/A100 class</t>
        </is>
      </c>
      <c r="F311" s="5">
        <f>IFERROR(INDEX('02x_Accelerator_Catalog'!$C$2:$C$11,MATCH(E311,'02x_Accelerator_Catalog'!$B$2:$B$11,0)),"purpose_or_unbenchmarked")</f>
        <v/>
      </c>
      <c r="G311" s="8">
        <f>IFERROR(INDEX('02x_Accelerator_Catalog'!$D$2:$D$11,MATCH(E311,'02x_Accelerator_Catalog'!$B$2:$B$11,0)),"")</f>
        <v/>
      </c>
      <c r="H311" s="17" t="n">
        <v>0.05020411</v>
      </c>
      <c r="I311" s="6">
        <f>SUMIFS($H$2:$H$573,$B$2:$B$573,B311,$C$2:$C$573,C311,$D$2:$D$573,D311)</f>
        <v/>
      </c>
      <c r="J311" s="3" t="inlineStr">
        <is>
          <t>epoch_csp_chip_quantity_latest</t>
        </is>
      </c>
      <c r="K311" s="3" t="inlineStr">
        <is>
          <t>SRC_EPOCH_AI_DATA_CENTERS; EPOCH_RAW_CHIP_QUANTITIES</t>
        </is>
      </c>
      <c r="L311" s="3" t="inlineStr">
        <is>
          <t>Latest chip quantity per CSP/data-center/accelerator through year-end; normalized by unit count. Shares are editable.</t>
        </is>
      </c>
    </row>
    <row r="312">
      <c r="A312" s="5">
        <f>B312&amp;"|"&amp;C312&amp;"|"&amp;D312&amp;"|"&amp;E312</f>
        <v/>
      </c>
      <c r="B312" s="3" t="inlineStr">
        <is>
          <t>Base</t>
        </is>
      </c>
      <c r="C312" s="3" t="inlineStr">
        <is>
          <t>CoreWeave</t>
        </is>
      </c>
      <c r="D312" s="3" t="n">
        <v>2026</v>
      </c>
      <c r="E312" s="25" t="inlineStr">
        <is>
          <t>B200/B300 class</t>
        </is>
      </c>
      <c r="F312" s="5">
        <f>IFERROR(INDEX('02x_Accelerator_Catalog'!$C$2:$C$11,MATCH(E312,'02x_Accelerator_Catalog'!$B$2:$B$11,0)),"purpose_or_unbenchmarked")</f>
        <v/>
      </c>
      <c r="G312" s="8">
        <f>IFERROR(INDEX('02x_Accelerator_Catalog'!$D$2:$D$11,MATCH(E312,'02x_Accelerator_Catalog'!$B$2:$B$11,0)),"")</f>
        <v/>
      </c>
      <c r="H312" s="17" t="n">
        <v>0.94979589</v>
      </c>
      <c r="I312" s="6">
        <f>SUMIFS($H$2:$H$573,$B$2:$B$573,B312,$C$2:$C$573,C312,$D$2:$D$573,D312)</f>
        <v/>
      </c>
      <c r="J312" s="3" t="inlineStr">
        <is>
          <t>epoch_csp_chip_quantity_latest</t>
        </is>
      </c>
      <c r="K312" s="3" t="inlineStr">
        <is>
          <t>SRC_EPOCH_AI_DATA_CENTERS; EPOCH_RAW_CHIP_QUANTITIES</t>
        </is>
      </c>
      <c r="L312" s="3" t="inlineStr">
        <is>
          <t>Latest chip quantity per CSP/data-center/accelerator through year-end; normalized by unit count. Shares are editable.</t>
        </is>
      </c>
    </row>
    <row r="313">
      <c r="A313" s="5">
        <f>B313&amp;"|"&amp;C313&amp;"|"&amp;D313&amp;"|"&amp;E313</f>
        <v/>
      </c>
      <c r="B313" s="3" t="inlineStr">
        <is>
          <t>Base</t>
        </is>
      </c>
      <c r="C313" s="3" t="inlineStr">
        <is>
          <t>CoreWeave</t>
        </is>
      </c>
      <c r="D313" s="3" t="n">
        <v>2026</v>
      </c>
      <c r="E313" s="25" t="inlineStr">
        <is>
          <t>H100/H200/A100 class</t>
        </is>
      </c>
      <c r="F313" s="5">
        <f>IFERROR(INDEX('02x_Accelerator_Catalog'!$C$2:$C$11,MATCH(E313,'02x_Accelerator_Catalog'!$B$2:$B$11,0)),"purpose_or_unbenchmarked")</f>
        <v/>
      </c>
      <c r="G313" s="8">
        <f>IFERROR(INDEX('02x_Accelerator_Catalog'!$D$2:$D$11,MATCH(E313,'02x_Accelerator_Catalog'!$B$2:$B$11,0)),"")</f>
        <v/>
      </c>
      <c r="H313" s="17" t="n">
        <v>0.05020411</v>
      </c>
      <c r="I313" s="6">
        <f>SUMIFS($H$2:$H$573,$B$2:$B$573,B313,$C$2:$C$573,C313,$D$2:$D$573,D313)</f>
        <v/>
      </c>
      <c r="J313" s="3" t="inlineStr">
        <is>
          <t>epoch_csp_chip_quantity_latest</t>
        </is>
      </c>
      <c r="K313" s="3" t="inlineStr">
        <is>
          <t>SRC_EPOCH_AI_DATA_CENTERS; EPOCH_RAW_CHIP_QUANTITIES</t>
        </is>
      </c>
      <c r="L313" s="3" t="inlineStr">
        <is>
          <t>Latest chip quantity per CSP/data-center/accelerator through year-end; normalized by unit count. Shares are editable.</t>
        </is>
      </c>
    </row>
    <row r="314">
      <c r="A314" s="5">
        <f>B314&amp;"|"&amp;C314&amp;"|"&amp;D314&amp;"|"&amp;E314</f>
        <v/>
      </c>
      <c r="B314" s="3" t="inlineStr">
        <is>
          <t>Bull</t>
        </is>
      </c>
      <c r="C314" s="3" t="inlineStr">
        <is>
          <t>CoreWeave</t>
        </is>
      </c>
      <c r="D314" s="3" t="n">
        <v>2026</v>
      </c>
      <c r="E314" s="25" t="inlineStr">
        <is>
          <t>B200/B300 class</t>
        </is>
      </c>
      <c r="F314" s="5">
        <f>IFERROR(INDEX('02x_Accelerator_Catalog'!$C$2:$C$11,MATCH(E314,'02x_Accelerator_Catalog'!$B$2:$B$11,0)),"purpose_or_unbenchmarked")</f>
        <v/>
      </c>
      <c r="G314" s="8">
        <f>IFERROR(INDEX('02x_Accelerator_Catalog'!$D$2:$D$11,MATCH(E314,'02x_Accelerator_Catalog'!$B$2:$B$11,0)),"")</f>
        <v/>
      </c>
      <c r="H314" s="17" t="n">
        <v>0.94979589</v>
      </c>
      <c r="I314" s="6">
        <f>SUMIFS($H$2:$H$573,$B$2:$B$573,B314,$C$2:$C$573,C314,$D$2:$D$573,D314)</f>
        <v/>
      </c>
      <c r="J314" s="3" t="inlineStr">
        <is>
          <t>epoch_csp_chip_quantity_latest</t>
        </is>
      </c>
      <c r="K314" s="3" t="inlineStr">
        <is>
          <t>SRC_EPOCH_AI_DATA_CENTERS; EPOCH_RAW_CHIP_QUANTITIES</t>
        </is>
      </c>
      <c r="L314" s="3" t="inlineStr">
        <is>
          <t>Latest chip quantity per CSP/data-center/accelerator through year-end; normalized by unit count. Shares are editable.</t>
        </is>
      </c>
    </row>
    <row r="315">
      <c r="A315" s="5">
        <f>B315&amp;"|"&amp;C315&amp;"|"&amp;D315&amp;"|"&amp;E315</f>
        <v/>
      </c>
      <c r="B315" s="3" t="inlineStr">
        <is>
          <t>Bull</t>
        </is>
      </c>
      <c r="C315" s="3" t="inlineStr">
        <is>
          <t>CoreWeave</t>
        </is>
      </c>
      <c r="D315" s="3" t="n">
        <v>2026</v>
      </c>
      <c r="E315" s="25" t="inlineStr">
        <is>
          <t>H100/H200/A100 class</t>
        </is>
      </c>
      <c r="F315" s="5">
        <f>IFERROR(INDEX('02x_Accelerator_Catalog'!$C$2:$C$11,MATCH(E315,'02x_Accelerator_Catalog'!$B$2:$B$11,0)),"purpose_or_unbenchmarked")</f>
        <v/>
      </c>
      <c r="G315" s="8">
        <f>IFERROR(INDEX('02x_Accelerator_Catalog'!$D$2:$D$11,MATCH(E315,'02x_Accelerator_Catalog'!$B$2:$B$11,0)),"")</f>
        <v/>
      </c>
      <c r="H315" s="17" t="n">
        <v>0.05020411</v>
      </c>
      <c r="I315" s="6">
        <f>SUMIFS($H$2:$H$573,$B$2:$B$573,B315,$C$2:$C$573,C315,$D$2:$D$573,D315)</f>
        <v/>
      </c>
      <c r="J315" s="3" t="inlineStr">
        <is>
          <t>epoch_csp_chip_quantity_latest</t>
        </is>
      </c>
      <c r="K315" s="3" t="inlineStr">
        <is>
          <t>SRC_EPOCH_AI_DATA_CENTERS; EPOCH_RAW_CHIP_QUANTITIES</t>
        </is>
      </c>
      <c r="L315" s="3" t="inlineStr">
        <is>
          <t>Latest chip quantity per CSP/data-center/accelerator through year-end; normalized by unit count. Shares are editable.</t>
        </is>
      </c>
    </row>
    <row r="316">
      <c r="A316" s="5">
        <f>B316&amp;"|"&amp;C316&amp;"|"&amp;D316&amp;"|"&amp;E316</f>
        <v/>
      </c>
      <c r="B316" s="3" t="inlineStr">
        <is>
          <t>Grid-Constrained / Efficiency-Upside</t>
        </is>
      </c>
      <c r="C316" s="3" t="inlineStr">
        <is>
          <t>CoreWeave</t>
        </is>
      </c>
      <c r="D316" s="3" t="n">
        <v>2026</v>
      </c>
      <c r="E316" s="25" t="inlineStr">
        <is>
          <t>B200/B300 class</t>
        </is>
      </c>
      <c r="F316" s="5">
        <f>IFERROR(INDEX('02x_Accelerator_Catalog'!$C$2:$C$11,MATCH(E316,'02x_Accelerator_Catalog'!$B$2:$B$11,0)),"purpose_or_unbenchmarked")</f>
        <v/>
      </c>
      <c r="G316" s="8">
        <f>IFERROR(INDEX('02x_Accelerator_Catalog'!$D$2:$D$11,MATCH(E316,'02x_Accelerator_Catalog'!$B$2:$B$11,0)),"")</f>
        <v/>
      </c>
      <c r="H316" s="17" t="n">
        <v>0.94979589</v>
      </c>
      <c r="I316" s="6">
        <f>SUMIFS($H$2:$H$573,$B$2:$B$573,B316,$C$2:$C$573,C316,$D$2:$D$573,D316)</f>
        <v/>
      </c>
      <c r="J316" s="3" t="inlineStr">
        <is>
          <t>epoch_csp_chip_quantity_latest</t>
        </is>
      </c>
      <c r="K316" s="3" t="inlineStr">
        <is>
          <t>SRC_EPOCH_AI_DATA_CENTERS; EPOCH_RAW_CHIP_QUANTITIES</t>
        </is>
      </c>
      <c r="L316" s="3" t="inlineStr">
        <is>
          <t>Latest chip quantity per CSP/data-center/accelerator through year-end; normalized by unit count. Shares are editable.</t>
        </is>
      </c>
    </row>
    <row r="317">
      <c r="A317" s="5">
        <f>B317&amp;"|"&amp;C317&amp;"|"&amp;D317&amp;"|"&amp;E317</f>
        <v/>
      </c>
      <c r="B317" s="3" t="inlineStr">
        <is>
          <t>Grid-Constrained / Efficiency-Upside</t>
        </is>
      </c>
      <c r="C317" s="3" t="inlineStr">
        <is>
          <t>CoreWeave</t>
        </is>
      </c>
      <c r="D317" s="3" t="n">
        <v>2026</v>
      </c>
      <c r="E317" s="25" t="inlineStr">
        <is>
          <t>H100/H200/A100 class</t>
        </is>
      </c>
      <c r="F317" s="5">
        <f>IFERROR(INDEX('02x_Accelerator_Catalog'!$C$2:$C$11,MATCH(E317,'02x_Accelerator_Catalog'!$B$2:$B$11,0)),"purpose_or_unbenchmarked")</f>
        <v/>
      </c>
      <c r="G317" s="8">
        <f>IFERROR(INDEX('02x_Accelerator_Catalog'!$D$2:$D$11,MATCH(E317,'02x_Accelerator_Catalog'!$B$2:$B$11,0)),"")</f>
        <v/>
      </c>
      <c r="H317" s="17" t="n">
        <v>0.05020411</v>
      </c>
      <c r="I317" s="6">
        <f>SUMIFS($H$2:$H$573,$B$2:$B$573,B317,$C$2:$C$573,C317,$D$2:$D$573,D317)</f>
        <v/>
      </c>
      <c r="J317" s="3" t="inlineStr">
        <is>
          <t>epoch_csp_chip_quantity_latest</t>
        </is>
      </c>
      <c r="K317" s="3" t="inlineStr">
        <is>
          <t>SRC_EPOCH_AI_DATA_CENTERS; EPOCH_RAW_CHIP_QUANTITIES</t>
        </is>
      </c>
      <c r="L317" s="3" t="inlineStr">
        <is>
          <t>Latest chip quantity per CSP/data-center/accelerator through year-end; normalized by unit count. Shares are editable.</t>
        </is>
      </c>
    </row>
    <row r="318">
      <c r="A318" s="5">
        <f>B318&amp;"|"&amp;C318&amp;"|"&amp;D318&amp;"|"&amp;E318</f>
        <v/>
      </c>
      <c r="B318" s="3" t="inlineStr">
        <is>
          <t>Bear</t>
        </is>
      </c>
      <c r="C318" s="3" t="inlineStr">
        <is>
          <t>CoreWeave</t>
        </is>
      </c>
      <c r="D318" s="3" t="n">
        <v>2027</v>
      </c>
      <c r="E318" s="25" t="inlineStr">
        <is>
          <t>B200/B300 class</t>
        </is>
      </c>
      <c r="F318" s="5">
        <f>IFERROR(INDEX('02x_Accelerator_Catalog'!$C$2:$C$11,MATCH(E318,'02x_Accelerator_Catalog'!$B$2:$B$11,0)),"purpose_or_unbenchmarked")</f>
        <v/>
      </c>
      <c r="G318" s="8">
        <f>IFERROR(INDEX('02x_Accelerator_Catalog'!$D$2:$D$11,MATCH(E318,'02x_Accelerator_Catalog'!$B$2:$B$11,0)),"")</f>
        <v/>
      </c>
      <c r="H318" s="17" t="n">
        <v>0.95883417</v>
      </c>
      <c r="I318" s="6">
        <f>SUMIFS($H$2:$H$573,$B$2:$B$573,B318,$C$2:$C$573,C318,$D$2:$D$573,D318)</f>
        <v/>
      </c>
      <c r="J318" s="3" t="inlineStr">
        <is>
          <t>epoch_csp_chip_quantity_latest</t>
        </is>
      </c>
      <c r="K318" s="3" t="inlineStr">
        <is>
          <t>SRC_EPOCH_AI_DATA_CENTERS; EPOCH_RAW_CHIP_QUANTITIES</t>
        </is>
      </c>
      <c r="L318" s="3" t="inlineStr">
        <is>
          <t>Latest chip quantity per CSP/data-center/accelerator through year-end; normalized by unit count. Shares are editable.</t>
        </is>
      </c>
    </row>
    <row r="319">
      <c r="A319" s="5">
        <f>B319&amp;"|"&amp;C319&amp;"|"&amp;D319&amp;"|"&amp;E319</f>
        <v/>
      </c>
      <c r="B319" s="3" t="inlineStr">
        <is>
          <t>Bear</t>
        </is>
      </c>
      <c r="C319" s="3" t="inlineStr">
        <is>
          <t>CoreWeave</t>
        </is>
      </c>
      <c r="D319" s="3" t="n">
        <v>2027</v>
      </c>
      <c r="E319" s="25" t="inlineStr">
        <is>
          <t>H100/H200/A100 class</t>
        </is>
      </c>
      <c r="F319" s="5">
        <f>IFERROR(INDEX('02x_Accelerator_Catalog'!$C$2:$C$11,MATCH(E319,'02x_Accelerator_Catalog'!$B$2:$B$11,0)),"purpose_or_unbenchmarked")</f>
        <v/>
      </c>
      <c r="G319" s="8">
        <f>IFERROR(INDEX('02x_Accelerator_Catalog'!$D$2:$D$11,MATCH(E319,'02x_Accelerator_Catalog'!$B$2:$B$11,0)),"")</f>
        <v/>
      </c>
      <c r="H319" s="17" t="n">
        <v>0.04116583</v>
      </c>
      <c r="I319" s="6">
        <f>SUMIFS($H$2:$H$573,$B$2:$B$573,B319,$C$2:$C$573,C319,$D$2:$D$573,D319)</f>
        <v/>
      </c>
      <c r="J319" s="3" t="inlineStr">
        <is>
          <t>epoch_csp_chip_quantity_latest</t>
        </is>
      </c>
      <c r="K319" s="3" t="inlineStr">
        <is>
          <t>SRC_EPOCH_AI_DATA_CENTERS; EPOCH_RAW_CHIP_QUANTITIES</t>
        </is>
      </c>
      <c r="L319" s="3" t="inlineStr">
        <is>
          <t>Latest chip quantity per CSP/data-center/accelerator through year-end; normalized by unit count. Shares are editable.</t>
        </is>
      </c>
    </row>
    <row r="320">
      <c r="A320" s="5">
        <f>B320&amp;"|"&amp;C320&amp;"|"&amp;D320&amp;"|"&amp;E320</f>
        <v/>
      </c>
      <c r="B320" s="3" t="inlineStr">
        <is>
          <t>Base</t>
        </is>
      </c>
      <c r="C320" s="3" t="inlineStr">
        <is>
          <t>CoreWeave</t>
        </is>
      </c>
      <c r="D320" s="3" t="n">
        <v>2027</v>
      </c>
      <c r="E320" s="25" t="inlineStr">
        <is>
          <t>B200/B300 class</t>
        </is>
      </c>
      <c r="F320" s="5">
        <f>IFERROR(INDEX('02x_Accelerator_Catalog'!$C$2:$C$11,MATCH(E320,'02x_Accelerator_Catalog'!$B$2:$B$11,0)),"purpose_or_unbenchmarked")</f>
        <v/>
      </c>
      <c r="G320" s="8">
        <f>IFERROR(INDEX('02x_Accelerator_Catalog'!$D$2:$D$11,MATCH(E320,'02x_Accelerator_Catalog'!$B$2:$B$11,0)),"")</f>
        <v/>
      </c>
      <c r="H320" s="17" t="n">
        <v>0.95883417</v>
      </c>
      <c r="I320" s="6">
        <f>SUMIFS($H$2:$H$573,$B$2:$B$573,B320,$C$2:$C$573,C320,$D$2:$D$573,D320)</f>
        <v/>
      </c>
      <c r="J320" s="3" t="inlineStr">
        <is>
          <t>epoch_csp_chip_quantity_latest</t>
        </is>
      </c>
      <c r="K320" s="3" t="inlineStr">
        <is>
          <t>SRC_EPOCH_AI_DATA_CENTERS; EPOCH_RAW_CHIP_QUANTITIES</t>
        </is>
      </c>
      <c r="L320" s="3" t="inlineStr">
        <is>
          <t>Latest chip quantity per CSP/data-center/accelerator through year-end; normalized by unit count. Shares are editable.</t>
        </is>
      </c>
    </row>
    <row r="321">
      <c r="A321" s="5">
        <f>B321&amp;"|"&amp;C321&amp;"|"&amp;D321&amp;"|"&amp;E321</f>
        <v/>
      </c>
      <c r="B321" s="3" t="inlineStr">
        <is>
          <t>Base</t>
        </is>
      </c>
      <c r="C321" s="3" t="inlineStr">
        <is>
          <t>CoreWeave</t>
        </is>
      </c>
      <c r="D321" s="3" t="n">
        <v>2027</v>
      </c>
      <c r="E321" s="25" t="inlineStr">
        <is>
          <t>H100/H200/A100 class</t>
        </is>
      </c>
      <c r="F321" s="5">
        <f>IFERROR(INDEX('02x_Accelerator_Catalog'!$C$2:$C$11,MATCH(E321,'02x_Accelerator_Catalog'!$B$2:$B$11,0)),"purpose_or_unbenchmarked")</f>
        <v/>
      </c>
      <c r="G321" s="8">
        <f>IFERROR(INDEX('02x_Accelerator_Catalog'!$D$2:$D$11,MATCH(E321,'02x_Accelerator_Catalog'!$B$2:$B$11,0)),"")</f>
        <v/>
      </c>
      <c r="H321" s="17" t="n">
        <v>0.04116583</v>
      </c>
      <c r="I321" s="6">
        <f>SUMIFS($H$2:$H$573,$B$2:$B$573,B321,$C$2:$C$573,C321,$D$2:$D$573,D321)</f>
        <v/>
      </c>
      <c r="J321" s="3" t="inlineStr">
        <is>
          <t>epoch_csp_chip_quantity_latest</t>
        </is>
      </c>
      <c r="K321" s="3" t="inlineStr">
        <is>
          <t>SRC_EPOCH_AI_DATA_CENTERS; EPOCH_RAW_CHIP_QUANTITIES</t>
        </is>
      </c>
      <c r="L321" s="3" t="inlineStr">
        <is>
          <t>Latest chip quantity per CSP/data-center/accelerator through year-end; normalized by unit count. Shares are editable.</t>
        </is>
      </c>
    </row>
    <row r="322">
      <c r="A322" s="5">
        <f>B322&amp;"|"&amp;C322&amp;"|"&amp;D322&amp;"|"&amp;E322</f>
        <v/>
      </c>
      <c r="B322" s="3" t="inlineStr">
        <is>
          <t>Bull</t>
        </is>
      </c>
      <c r="C322" s="3" t="inlineStr">
        <is>
          <t>CoreWeave</t>
        </is>
      </c>
      <c r="D322" s="3" t="n">
        <v>2027</v>
      </c>
      <c r="E322" s="25" t="inlineStr">
        <is>
          <t>B200/B300 class</t>
        </is>
      </c>
      <c r="F322" s="5">
        <f>IFERROR(INDEX('02x_Accelerator_Catalog'!$C$2:$C$11,MATCH(E322,'02x_Accelerator_Catalog'!$B$2:$B$11,0)),"purpose_or_unbenchmarked")</f>
        <v/>
      </c>
      <c r="G322" s="8">
        <f>IFERROR(INDEX('02x_Accelerator_Catalog'!$D$2:$D$11,MATCH(E322,'02x_Accelerator_Catalog'!$B$2:$B$11,0)),"")</f>
        <v/>
      </c>
      <c r="H322" s="17" t="n">
        <v>0.95883417</v>
      </c>
      <c r="I322" s="6">
        <f>SUMIFS($H$2:$H$573,$B$2:$B$573,B322,$C$2:$C$573,C322,$D$2:$D$573,D322)</f>
        <v/>
      </c>
      <c r="J322" s="3" t="inlineStr">
        <is>
          <t>epoch_csp_chip_quantity_latest</t>
        </is>
      </c>
      <c r="K322" s="3" t="inlineStr">
        <is>
          <t>SRC_EPOCH_AI_DATA_CENTERS; EPOCH_RAW_CHIP_QUANTITIES</t>
        </is>
      </c>
      <c r="L322" s="3" t="inlineStr">
        <is>
          <t>Latest chip quantity per CSP/data-center/accelerator through year-end; normalized by unit count. Shares are editable.</t>
        </is>
      </c>
    </row>
    <row r="323">
      <c r="A323" s="5">
        <f>B323&amp;"|"&amp;C323&amp;"|"&amp;D323&amp;"|"&amp;E323</f>
        <v/>
      </c>
      <c r="B323" s="3" t="inlineStr">
        <is>
          <t>Bull</t>
        </is>
      </c>
      <c r="C323" s="3" t="inlineStr">
        <is>
          <t>CoreWeave</t>
        </is>
      </c>
      <c r="D323" s="3" t="n">
        <v>2027</v>
      </c>
      <c r="E323" s="25" t="inlineStr">
        <is>
          <t>H100/H200/A100 class</t>
        </is>
      </c>
      <c r="F323" s="5">
        <f>IFERROR(INDEX('02x_Accelerator_Catalog'!$C$2:$C$11,MATCH(E323,'02x_Accelerator_Catalog'!$B$2:$B$11,0)),"purpose_or_unbenchmarked")</f>
        <v/>
      </c>
      <c r="G323" s="8">
        <f>IFERROR(INDEX('02x_Accelerator_Catalog'!$D$2:$D$11,MATCH(E323,'02x_Accelerator_Catalog'!$B$2:$B$11,0)),"")</f>
        <v/>
      </c>
      <c r="H323" s="17" t="n">
        <v>0.04116583</v>
      </c>
      <c r="I323" s="6">
        <f>SUMIFS($H$2:$H$573,$B$2:$B$573,B323,$C$2:$C$573,C323,$D$2:$D$573,D323)</f>
        <v/>
      </c>
      <c r="J323" s="3" t="inlineStr">
        <is>
          <t>epoch_csp_chip_quantity_latest</t>
        </is>
      </c>
      <c r="K323" s="3" t="inlineStr">
        <is>
          <t>SRC_EPOCH_AI_DATA_CENTERS; EPOCH_RAW_CHIP_QUANTITIES</t>
        </is>
      </c>
      <c r="L323" s="3" t="inlineStr">
        <is>
          <t>Latest chip quantity per CSP/data-center/accelerator through year-end; normalized by unit count. Shares are editable.</t>
        </is>
      </c>
    </row>
    <row r="324">
      <c r="A324" s="5">
        <f>B324&amp;"|"&amp;C324&amp;"|"&amp;D324&amp;"|"&amp;E324</f>
        <v/>
      </c>
      <c r="B324" s="3" t="inlineStr">
        <is>
          <t>Grid-Constrained / Efficiency-Upside</t>
        </is>
      </c>
      <c r="C324" s="3" t="inlineStr">
        <is>
          <t>CoreWeave</t>
        </is>
      </c>
      <c r="D324" s="3" t="n">
        <v>2027</v>
      </c>
      <c r="E324" s="25" t="inlineStr">
        <is>
          <t>B200/B300 class</t>
        </is>
      </c>
      <c r="F324" s="5">
        <f>IFERROR(INDEX('02x_Accelerator_Catalog'!$C$2:$C$11,MATCH(E324,'02x_Accelerator_Catalog'!$B$2:$B$11,0)),"purpose_or_unbenchmarked")</f>
        <v/>
      </c>
      <c r="G324" s="8">
        <f>IFERROR(INDEX('02x_Accelerator_Catalog'!$D$2:$D$11,MATCH(E324,'02x_Accelerator_Catalog'!$B$2:$B$11,0)),"")</f>
        <v/>
      </c>
      <c r="H324" s="17" t="n">
        <v>0.95883417</v>
      </c>
      <c r="I324" s="6">
        <f>SUMIFS($H$2:$H$573,$B$2:$B$573,B324,$C$2:$C$573,C324,$D$2:$D$573,D324)</f>
        <v/>
      </c>
      <c r="J324" s="3" t="inlineStr">
        <is>
          <t>epoch_csp_chip_quantity_latest</t>
        </is>
      </c>
      <c r="K324" s="3" t="inlineStr">
        <is>
          <t>SRC_EPOCH_AI_DATA_CENTERS; EPOCH_RAW_CHIP_QUANTITIES</t>
        </is>
      </c>
      <c r="L324" s="3" t="inlineStr">
        <is>
          <t>Latest chip quantity per CSP/data-center/accelerator through year-end; normalized by unit count. Shares are editable.</t>
        </is>
      </c>
    </row>
    <row r="325">
      <c r="A325" s="5">
        <f>B325&amp;"|"&amp;C325&amp;"|"&amp;D325&amp;"|"&amp;E325</f>
        <v/>
      </c>
      <c r="B325" s="3" t="inlineStr">
        <is>
          <t>Grid-Constrained / Efficiency-Upside</t>
        </is>
      </c>
      <c r="C325" s="3" t="inlineStr">
        <is>
          <t>CoreWeave</t>
        </is>
      </c>
      <c r="D325" s="3" t="n">
        <v>2027</v>
      </c>
      <c r="E325" s="25" t="inlineStr">
        <is>
          <t>H100/H200/A100 class</t>
        </is>
      </c>
      <c r="F325" s="5">
        <f>IFERROR(INDEX('02x_Accelerator_Catalog'!$C$2:$C$11,MATCH(E325,'02x_Accelerator_Catalog'!$B$2:$B$11,0)),"purpose_or_unbenchmarked")</f>
        <v/>
      </c>
      <c r="G325" s="8">
        <f>IFERROR(INDEX('02x_Accelerator_Catalog'!$D$2:$D$11,MATCH(E325,'02x_Accelerator_Catalog'!$B$2:$B$11,0)),"")</f>
        <v/>
      </c>
      <c r="H325" s="17" t="n">
        <v>0.04116583</v>
      </c>
      <c r="I325" s="6">
        <f>SUMIFS($H$2:$H$573,$B$2:$B$573,B325,$C$2:$C$573,C325,$D$2:$D$573,D325)</f>
        <v/>
      </c>
      <c r="J325" s="3" t="inlineStr">
        <is>
          <t>epoch_csp_chip_quantity_latest</t>
        </is>
      </c>
      <c r="K325" s="3" t="inlineStr">
        <is>
          <t>SRC_EPOCH_AI_DATA_CENTERS; EPOCH_RAW_CHIP_QUANTITIES</t>
        </is>
      </c>
      <c r="L325" s="3" t="inlineStr">
        <is>
          <t>Latest chip quantity per CSP/data-center/accelerator through year-end; normalized by unit count. Shares are editable.</t>
        </is>
      </c>
    </row>
    <row r="326">
      <c r="A326" s="5">
        <f>B326&amp;"|"&amp;C326&amp;"|"&amp;D326&amp;"|"&amp;E326</f>
        <v/>
      </c>
      <c r="B326" s="3" t="inlineStr">
        <is>
          <t>Bear</t>
        </is>
      </c>
      <c r="C326" s="3" t="inlineStr">
        <is>
          <t>CoreWeave</t>
        </is>
      </c>
      <c r="D326" s="3" t="n">
        <v>2028</v>
      </c>
      <c r="E326" s="25" t="inlineStr">
        <is>
          <t>B200/B300 class</t>
        </is>
      </c>
      <c r="F326" s="5">
        <f>IFERROR(INDEX('02x_Accelerator_Catalog'!$C$2:$C$11,MATCH(E326,'02x_Accelerator_Catalog'!$B$2:$B$11,0)),"purpose_or_unbenchmarked")</f>
        <v/>
      </c>
      <c r="G326" s="8">
        <f>IFERROR(INDEX('02x_Accelerator_Catalog'!$D$2:$D$11,MATCH(E326,'02x_Accelerator_Catalog'!$B$2:$B$11,0)),"")</f>
        <v/>
      </c>
      <c r="H326" s="17" t="n">
        <v>0.96667441</v>
      </c>
      <c r="I326" s="6">
        <f>SUMIFS($H$2:$H$573,$B$2:$B$573,B326,$C$2:$C$573,C326,$D$2:$D$573,D326)</f>
        <v/>
      </c>
      <c r="J326" s="3" t="inlineStr">
        <is>
          <t>epoch_csp_chip_quantity_latest</t>
        </is>
      </c>
      <c r="K326" s="3" t="inlineStr">
        <is>
          <t>SRC_EPOCH_AI_DATA_CENTERS; EPOCH_RAW_CHIP_QUANTITIES</t>
        </is>
      </c>
      <c r="L326" s="3" t="inlineStr">
        <is>
          <t>Latest chip quantity per CSP/data-center/accelerator through year-end; normalized by unit count. Shares are editable.</t>
        </is>
      </c>
    </row>
    <row r="327">
      <c r="A327" s="5">
        <f>B327&amp;"|"&amp;C327&amp;"|"&amp;D327&amp;"|"&amp;E327</f>
        <v/>
      </c>
      <c r="B327" s="3" t="inlineStr">
        <is>
          <t>Bear</t>
        </is>
      </c>
      <c r="C327" s="3" t="inlineStr">
        <is>
          <t>CoreWeave</t>
        </is>
      </c>
      <c r="D327" s="3" t="n">
        <v>2028</v>
      </c>
      <c r="E327" s="25" t="inlineStr">
        <is>
          <t>H100/H200/A100 class</t>
        </is>
      </c>
      <c r="F327" s="5">
        <f>IFERROR(INDEX('02x_Accelerator_Catalog'!$C$2:$C$11,MATCH(E327,'02x_Accelerator_Catalog'!$B$2:$B$11,0)),"purpose_or_unbenchmarked")</f>
        <v/>
      </c>
      <c r="G327" s="8">
        <f>IFERROR(INDEX('02x_Accelerator_Catalog'!$D$2:$D$11,MATCH(E327,'02x_Accelerator_Catalog'!$B$2:$B$11,0)),"")</f>
        <v/>
      </c>
      <c r="H327" s="17" t="n">
        <v>0.03332559</v>
      </c>
      <c r="I327" s="6">
        <f>SUMIFS($H$2:$H$573,$B$2:$B$573,B327,$C$2:$C$573,C327,$D$2:$D$573,D327)</f>
        <v/>
      </c>
      <c r="J327" s="3" t="inlineStr">
        <is>
          <t>epoch_csp_chip_quantity_latest</t>
        </is>
      </c>
      <c r="K327" s="3" t="inlineStr">
        <is>
          <t>SRC_EPOCH_AI_DATA_CENTERS; EPOCH_RAW_CHIP_QUANTITIES</t>
        </is>
      </c>
      <c r="L327" s="3" t="inlineStr">
        <is>
          <t>Latest chip quantity per CSP/data-center/accelerator through year-end; normalized by unit count. Shares are editable.</t>
        </is>
      </c>
    </row>
    <row r="328">
      <c r="A328" s="5">
        <f>B328&amp;"|"&amp;C328&amp;"|"&amp;D328&amp;"|"&amp;E328</f>
        <v/>
      </c>
      <c r="B328" s="3" t="inlineStr">
        <is>
          <t>Base</t>
        </is>
      </c>
      <c r="C328" s="3" t="inlineStr">
        <is>
          <t>CoreWeave</t>
        </is>
      </c>
      <c r="D328" s="3" t="n">
        <v>2028</v>
      </c>
      <c r="E328" s="25" t="inlineStr">
        <is>
          <t>B200/B300 class</t>
        </is>
      </c>
      <c r="F328" s="5">
        <f>IFERROR(INDEX('02x_Accelerator_Catalog'!$C$2:$C$11,MATCH(E328,'02x_Accelerator_Catalog'!$B$2:$B$11,0)),"purpose_or_unbenchmarked")</f>
        <v/>
      </c>
      <c r="G328" s="8">
        <f>IFERROR(INDEX('02x_Accelerator_Catalog'!$D$2:$D$11,MATCH(E328,'02x_Accelerator_Catalog'!$B$2:$B$11,0)),"")</f>
        <v/>
      </c>
      <c r="H328" s="17" t="n">
        <v>0.96667441</v>
      </c>
      <c r="I328" s="6">
        <f>SUMIFS($H$2:$H$573,$B$2:$B$573,B328,$C$2:$C$573,C328,$D$2:$D$573,D328)</f>
        <v/>
      </c>
      <c r="J328" s="3" t="inlineStr">
        <is>
          <t>epoch_csp_chip_quantity_latest</t>
        </is>
      </c>
      <c r="K328" s="3" t="inlineStr">
        <is>
          <t>SRC_EPOCH_AI_DATA_CENTERS; EPOCH_RAW_CHIP_QUANTITIES</t>
        </is>
      </c>
      <c r="L328" s="3" t="inlineStr">
        <is>
          <t>Latest chip quantity per CSP/data-center/accelerator through year-end; normalized by unit count. Shares are editable.</t>
        </is>
      </c>
    </row>
    <row r="329">
      <c r="A329" s="5">
        <f>B329&amp;"|"&amp;C329&amp;"|"&amp;D329&amp;"|"&amp;E329</f>
        <v/>
      </c>
      <c r="B329" s="3" t="inlineStr">
        <is>
          <t>Base</t>
        </is>
      </c>
      <c r="C329" s="3" t="inlineStr">
        <is>
          <t>CoreWeave</t>
        </is>
      </c>
      <c r="D329" s="3" t="n">
        <v>2028</v>
      </c>
      <c r="E329" s="25" t="inlineStr">
        <is>
          <t>H100/H200/A100 class</t>
        </is>
      </c>
      <c r="F329" s="5">
        <f>IFERROR(INDEX('02x_Accelerator_Catalog'!$C$2:$C$11,MATCH(E329,'02x_Accelerator_Catalog'!$B$2:$B$11,0)),"purpose_or_unbenchmarked")</f>
        <v/>
      </c>
      <c r="G329" s="8">
        <f>IFERROR(INDEX('02x_Accelerator_Catalog'!$D$2:$D$11,MATCH(E329,'02x_Accelerator_Catalog'!$B$2:$B$11,0)),"")</f>
        <v/>
      </c>
      <c r="H329" s="17" t="n">
        <v>0.03332559</v>
      </c>
      <c r="I329" s="6">
        <f>SUMIFS($H$2:$H$573,$B$2:$B$573,B329,$C$2:$C$573,C329,$D$2:$D$573,D329)</f>
        <v/>
      </c>
      <c r="J329" s="3" t="inlineStr">
        <is>
          <t>epoch_csp_chip_quantity_latest</t>
        </is>
      </c>
      <c r="K329" s="3" t="inlineStr">
        <is>
          <t>SRC_EPOCH_AI_DATA_CENTERS; EPOCH_RAW_CHIP_QUANTITIES</t>
        </is>
      </c>
      <c r="L329" s="3" t="inlineStr">
        <is>
          <t>Latest chip quantity per CSP/data-center/accelerator through year-end; normalized by unit count. Shares are editable.</t>
        </is>
      </c>
    </row>
    <row r="330">
      <c r="A330" s="5">
        <f>B330&amp;"|"&amp;C330&amp;"|"&amp;D330&amp;"|"&amp;E330</f>
        <v/>
      </c>
      <c r="B330" s="3" t="inlineStr">
        <is>
          <t>Bull</t>
        </is>
      </c>
      <c r="C330" s="3" t="inlineStr">
        <is>
          <t>CoreWeave</t>
        </is>
      </c>
      <c r="D330" s="3" t="n">
        <v>2028</v>
      </c>
      <c r="E330" s="25" t="inlineStr">
        <is>
          <t>B200/B300 class</t>
        </is>
      </c>
      <c r="F330" s="5">
        <f>IFERROR(INDEX('02x_Accelerator_Catalog'!$C$2:$C$11,MATCH(E330,'02x_Accelerator_Catalog'!$B$2:$B$11,0)),"purpose_or_unbenchmarked")</f>
        <v/>
      </c>
      <c r="G330" s="8">
        <f>IFERROR(INDEX('02x_Accelerator_Catalog'!$D$2:$D$11,MATCH(E330,'02x_Accelerator_Catalog'!$B$2:$B$11,0)),"")</f>
        <v/>
      </c>
      <c r="H330" s="17" t="n">
        <v>0.96667441</v>
      </c>
      <c r="I330" s="6">
        <f>SUMIFS($H$2:$H$573,$B$2:$B$573,B330,$C$2:$C$573,C330,$D$2:$D$573,D330)</f>
        <v/>
      </c>
      <c r="J330" s="3" t="inlineStr">
        <is>
          <t>epoch_csp_chip_quantity_latest</t>
        </is>
      </c>
      <c r="K330" s="3" t="inlineStr">
        <is>
          <t>SRC_EPOCH_AI_DATA_CENTERS; EPOCH_RAW_CHIP_QUANTITIES</t>
        </is>
      </c>
      <c r="L330" s="3" t="inlineStr">
        <is>
          <t>Latest chip quantity per CSP/data-center/accelerator through year-end; normalized by unit count. Shares are editable.</t>
        </is>
      </c>
    </row>
    <row r="331">
      <c r="A331" s="5">
        <f>B331&amp;"|"&amp;C331&amp;"|"&amp;D331&amp;"|"&amp;E331</f>
        <v/>
      </c>
      <c r="B331" s="3" t="inlineStr">
        <is>
          <t>Bull</t>
        </is>
      </c>
      <c r="C331" s="3" t="inlineStr">
        <is>
          <t>CoreWeave</t>
        </is>
      </c>
      <c r="D331" s="3" t="n">
        <v>2028</v>
      </c>
      <c r="E331" s="25" t="inlineStr">
        <is>
          <t>H100/H200/A100 class</t>
        </is>
      </c>
      <c r="F331" s="5">
        <f>IFERROR(INDEX('02x_Accelerator_Catalog'!$C$2:$C$11,MATCH(E331,'02x_Accelerator_Catalog'!$B$2:$B$11,0)),"purpose_or_unbenchmarked")</f>
        <v/>
      </c>
      <c r="G331" s="8">
        <f>IFERROR(INDEX('02x_Accelerator_Catalog'!$D$2:$D$11,MATCH(E331,'02x_Accelerator_Catalog'!$B$2:$B$11,0)),"")</f>
        <v/>
      </c>
      <c r="H331" s="17" t="n">
        <v>0.03332559</v>
      </c>
      <c r="I331" s="6">
        <f>SUMIFS($H$2:$H$573,$B$2:$B$573,B331,$C$2:$C$573,C331,$D$2:$D$573,D331)</f>
        <v/>
      </c>
      <c r="J331" s="3" t="inlineStr">
        <is>
          <t>epoch_csp_chip_quantity_latest</t>
        </is>
      </c>
      <c r="K331" s="3" t="inlineStr">
        <is>
          <t>SRC_EPOCH_AI_DATA_CENTERS; EPOCH_RAW_CHIP_QUANTITIES</t>
        </is>
      </c>
      <c r="L331" s="3" t="inlineStr">
        <is>
          <t>Latest chip quantity per CSP/data-center/accelerator through year-end; normalized by unit count. Shares are editable.</t>
        </is>
      </c>
    </row>
    <row r="332">
      <c r="A332" s="5">
        <f>B332&amp;"|"&amp;C332&amp;"|"&amp;D332&amp;"|"&amp;E332</f>
        <v/>
      </c>
      <c r="B332" s="3" t="inlineStr">
        <is>
          <t>Grid-Constrained / Efficiency-Upside</t>
        </is>
      </c>
      <c r="C332" s="3" t="inlineStr">
        <is>
          <t>CoreWeave</t>
        </is>
      </c>
      <c r="D332" s="3" t="n">
        <v>2028</v>
      </c>
      <c r="E332" s="25" t="inlineStr">
        <is>
          <t>B200/B300 class</t>
        </is>
      </c>
      <c r="F332" s="5">
        <f>IFERROR(INDEX('02x_Accelerator_Catalog'!$C$2:$C$11,MATCH(E332,'02x_Accelerator_Catalog'!$B$2:$B$11,0)),"purpose_or_unbenchmarked")</f>
        <v/>
      </c>
      <c r="G332" s="8">
        <f>IFERROR(INDEX('02x_Accelerator_Catalog'!$D$2:$D$11,MATCH(E332,'02x_Accelerator_Catalog'!$B$2:$B$11,0)),"")</f>
        <v/>
      </c>
      <c r="H332" s="17" t="n">
        <v>0.96667441</v>
      </c>
      <c r="I332" s="6">
        <f>SUMIFS($H$2:$H$573,$B$2:$B$573,B332,$C$2:$C$573,C332,$D$2:$D$573,D332)</f>
        <v/>
      </c>
      <c r="J332" s="3" t="inlineStr">
        <is>
          <t>epoch_csp_chip_quantity_latest</t>
        </is>
      </c>
      <c r="K332" s="3" t="inlineStr">
        <is>
          <t>SRC_EPOCH_AI_DATA_CENTERS; EPOCH_RAW_CHIP_QUANTITIES</t>
        </is>
      </c>
      <c r="L332" s="3" t="inlineStr">
        <is>
          <t>Latest chip quantity per CSP/data-center/accelerator through year-end; normalized by unit count. Shares are editable.</t>
        </is>
      </c>
    </row>
    <row r="333">
      <c r="A333" s="5">
        <f>B333&amp;"|"&amp;C333&amp;"|"&amp;D333&amp;"|"&amp;E333</f>
        <v/>
      </c>
      <c r="B333" s="3" t="inlineStr">
        <is>
          <t>Grid-Constrained / Efficiency-Upside</t>
        </is>
      </c>
      <c r="C333" s="3" t="inlineStr">
        <is>
          <t>CoreWeave</t>
        </is>
      </c>
      <c r="D333" s="3" t="n">
        <v>2028</v>
      </c>
      <c r="E333" s="25" t="inlineStr">
        <is>
          <t>H100/H200/A100 class</t>
        </is>
      </c>
      <c r="F333" s="5">
        <f>IFERROR(INDEX('02x_Accelerator_Catalog'!$C$2:$C$11,MATCH(E333,'02x_Accelerator_Catalog'!$B$2:$B$11,0)),"purpose_or_unbenchmarked")</f>
        <v/>
      </c>
      <c r="G333" s="8">
        <f>IFERROR(INDEX('02x_Accelerator_Catalog'!$D$2:$D$11,MATCH(E333,'02x_Accelerator_Catalog'!$B$2:$B$11,0)),"")</f>
        <v/>
      </c>
      <c r="H333" s="17" t="n">
        <v>0.03332559</v>
      </c>
      <c r="I333" s="6">
        <f>SUMIFS($H$2:$H$573,$B$2:$B$573,B333,$C$2:$C$573,C333,$D$2:$D$573,D333)</f>
        <v/>
      </c>
      <c r="J333" s="3" t="inlineStr">
        <is>
          <t>epoch_csp_chip_quantity_latest</t>
        </is>
      </c>
      <c r="K333" s="3" t="inlineStr">
        <is>
          <t>SRC_EPOCH_AI_DATA_CENTERS; EPOCH_RAW_CHIP_QUANTITIES</t>
        </is>
      </c>
      <c r="L333" s="3" t="inlineStr">
        <is>
          <t>Latest chip quantity per CSP/data-center/accelerator through year-end; normalized by unit count. Shares are editable.</t>
        </is>
      </c>
    </row>
    <row r="334">
      <c r="A334" s="5">
        <f>B334&amp;"|"&amp;C334&amp;"|"&amp;D334&amp;"|"&amp;E334</f>
        <v/>
      </c>
      <c r="B334" s="3" t="inlineStr">
        <is>
          <t>Bear</t>
        </is>
      </c>
      <c r="C334" s="3" t="inlineStr">
        <is>
          <t>CoreWeave</t>
        </is>
      </c>
      <c r="D334" s="3" t="n">
        <v>2029</v>
      </c>
      <c r="E334" s="25" t="inlineStr">
        <is>
          <t>B200/B300 class</t>
        </is>
      </c>
      <c r="F334" s="5">
        <f>IFERROR(INDEX('02x_Accelerator_Catalog'!$C$2:$C$11,MATCH(E334,'02x_Accelerator_Catalog'!$B$2:$B$11,0)),"purpose_or_unbenchmarked")</f>
        <v/>
      </c>
      <c r="G334" s="8">
        <f>IFERROR(INDEX('02x_Accelerator_Catalog'!$D$2:$D$11,MATCH(E334,'02x_Accelerator_Catalog'!$B$2:$B$11,0)),"")</f>
        <v/>
      </c>
      <c r="H334" s="17" t="n">
        <v>0.9695719699999999</v>
      </c>
      <c r="I334" s="6">
        <f>SUMIFS($H$2:$H$573,$B$2:$B$573,B334,$C$2:$C$573,C334,$D$2:$D$573,D334)</f>
        <v/>
      </c>
      <c r="J334" s="3" t="inlineStr">
        <is>
          <t>epoch_csp_chip_quantity_latest</t>
        </is>
      </c>
      <c r="K334" s="3" t="inlineStr">
        <is>
          <t>SRC_EPOCH_AI_DATA_CENTERS; EPOCH_RAW_CHIP_QUANTITIES</t>
        </is>
      </c>
      <c r="L334" s="3" t="inlineStr">
        <is>
          <t>Latest chip quantity per CSP/data-center/accelerator through year-end; normalized by unit count. Shares are editable.</t>
        </is>
      </c>
    </row>
    <row r="335">
      <c r="A335" s="5">
        <f>B335&amp;"|"&amp;C335&amp;"|"&amp;D335&amp;"|"&amp;E335</f>
        <v/>
      </c>
      <c r="B335" s="3" t="inlineStr">
        <is>
          <t>Bear</t>
        </is>
      </c>
      <c r="C335" s="3" t="inlineStr">
        <is>
          <t>CoreWeave</t>
        </is>
      </c>
      <c r="D335" s="3" t="n">
        <v>2029</v>
      </c>
      <c r="E335" s="25" t="inlineStr">
        <is>
          <t>H100/H200/A100 class</t>
        </is>
      </c>
      <c r="F335" s="5">
        <f>IFERROR(INDEX('02x_Accelerator_Catalog'!$C$2:$C$11,MATCH(E335,'02x_Accelerator_Catalog'!$B$2:$B$11,0)),"purpose_or_unbenchmarked")</f>
        <v/>
      </c>
      <c r="G335" s="8">
        <f>IFERROR(INDEX('02x_Accelerator_Catalog'!$D$2:$D$11,MATCH(E335,'02x_Accelerator_Catalog'!$B$2:$B$11,0)),"")</f>
        <v/>
      </c>
      <c r="H335" s="17" t="n">
        <v>0.03042803</v>
      </c>
      <c r="I335" s="6">
        <f>SUMIFS($H$2:$H$573,$B$2:$B$573,B335,$C$2:$C$573,C335,$D$2:$D$573,D335)</f>
        <v/>
      </c>
      <c r="J335" s="3" t="inlineStr">
        <is>
          <t>epoch_csp_chip_quantity_latest</t>
        </is>
      </c>
      <c r="K335" s="3" t="inlineStr">
        <is>
          <t>SRC_EPOCH_AI_DATA_CENTERS; EPOCH_RAW_CHIP_QUANTITIES</t>
        </is>
      </c>
      <c r="L335" s="3" t="inlineStr">
        <is>
          <t>Latest chip quantity per CSP/data-center/accelerator through year-end; normalized by unit count. Shares are editable.</t>
        </is>
      </c>
    </row>
    <row r="336">
      <c r="A336" s="5">
        <f>B336&amp;"|"&amp;C336&amp;"|"&amp;D336&amp;"|"&amp;E336</f>
        <v/>
      </c>
      <c r="B336" s="3" t="inlineStr">
        <is>
          <t>Base</t>
        </is>
      </c>
      <c r="C336" s="3" t="inlineStr">
        <is>
          <t>CoreWeave</t>
        </is>
      </c>
      <c r="D336" s="3" t="n">
        <v>2029</v>
      </c>
      <c r="E336" s="25" t="inlineStr">
        <is>
          <t>B200/B300 class</t>
        </is>
      </c>
      <c r="F336" s="5">
        <f>IFERROR(INDEX('02x_Accelerator_Catalog'!$C$2:$C$11,MATCH(E336,'02x_Accelerator_Catalog'!$B$2:$B$11,0)),"purpose_or_unbenchmarked")</f>
        <v/>
      </c>
      <c r="G336" s="8">
        <f>IFERROR(INDEX('02x_Accelerator_Catalog'!$D$2:$D$11,MATCH(E336,'02x_Accelerator_Catalog'!$B$2:$B$11,0)),"")</f>
        <v/>
      </c>
      <c r="H336" s="17" t="n">
        <v>0.9695719699999999</v>
      </c>
      <c r="I336" s="6">
        <f>SUMIFS($H$2:$H$573,$B$2:$B$573,B336,$C$2:$C$573,C336,$D$2:$D$573,D336)</f>
        <v/>
      </c>
      <c r="J336" s="3" t="inlineStr">
        <is>
          <t>epoch_csp_chip_quantity_latest</t>
        </is>
      </c>
      <c r="K336" s="3" t="inlineStr">
        <is>
          <t>SRC_EPOCH_AI_DATA_CENTERS; EPOCH_RAW_CHIP_QUANTITIES</t>
        </is>
      </c>
      <c r="L336" s="3" t="inlineStr">
        <is>
          <t>Latest chip quantity per CSP/data-center/accelerator through year-end; normalized by unit count. Shares are editable.</t>
        </is>
      </c>
    </row>
    <row r="337">
      <c r="A337" s="5">
        <f>B337&amp;"|"&amp;C337&amp;"|"&amp;D337&amp;"|"&amp;E337</f>
        <v/>
      </c>
      <c r="B337" s="3" t="inlineStr">
        <is>
          <t>Base</t>
        </is>
      </c>
      <c r="C337" s="3" t="inlineStr">
        <is>
          <t>CoreWeave</t>
        </is>
      </c>
      <c r="D337" s="3" t="n">
        <v>2029</v>
      </c>
      <c r="E337" s="25" t="inlineStr">
        <is>
          <t>H100/H200/A100 class</t>
        </is>
      </c>
      <c r="F337" s="5">
        <f>IFERROR(INDEX('02x_Accelerator_Catalog'!$C$2:$C$11,MATCH(E337,'02x_Accelerator_Catalog'!$B$2:$B$11,0)),"purpose_or_unbenchmarked")</f>
        <v/>
      </c>
      <c r="G337" s="8">
        <f>IFERROR(INDEX('02x_Accelerator_Catalog'!$D$2:$D$11,MATCH(E337,'02x_Accelerator_Catalog'!$B$2:$B$11,0)),"")</f>
        <v/>
      </c>
      <c r="H337" s="17" t="n">
        <v>0.03042803</v>
      </c>
      <c r="I337" s="6">
        <f>SUMIFS($H$2:$H$573,$B$2:$B$573,B337,$C$2:$C$573,C337,$D$2:$D$573,D337)</f>
        <v/>
      </c>
      <c r="J337" s="3" t="inlineStr">
        <is>
          <t>epoch_csp_chip_quantity_latest</t>
        </is>
      </c>
      <c r="K337" s="3" t="inlineStr">
        <is>
          <t>SRC_EPOCH_AI_DATA_CENTERS; EPOCH_RAW_CHIP_QUANTITIES</t>
        </is>
      </c>
      <c r="L337" s="3" t="inlineStr">
        <is>
          <t>Latest chip quantity per CSP/data-center/accelerator through year-end; normalized by unit count. Shares are editable.</t>
        </is>
      </c>
    </row>
    <row r="338">
      <c r="A338" s="5">
        <f>B338&amp;"|"&amp;C338&amp;"|"&amp;D338&amp;"|"&amp;E338</f>
        <v/>
      </c>
      <c r="B338" s="3" t="inlineStr">
        <is>
          <t>Bull</t>
        </is>
      </c>
      <c r="C338" s="3" t="inlineStr">
        <is>
          <t>CoreWeave</t>
        </is>
      </c>
      <c r="D338" s="3" t="n">
        <v>2029</v>
      </c>
      <c r="E338" s="25" t="inlineStr">
        <is>
          <t>B200/B300 class</t>
        </is>
      </c>
      <c r="F338" s="5">
        <f>IFERROR(INDEX('02x_Accelerator_Catalog'!$C$2:$C$11,MATCH(E338,'02x_Accelerator_Catalog'!$B$2:$B$11,0)),"purpose_or_unbenchmarked")</f>
        <v/>
      </c>
      <c r="G338" s="8">
        <f>IFERROR(INDEX('02x_Accelerator_Catalog'!$D$2:$D$11,MATCH(E338,'02x_Accelerator_Catalog'!$B$2:$B$11,0)),"")</f>
        <v/>
      </c>
      <c r="H338" s="17" t="n">
        <v>0.9695719699999999</v>
      </c>
      <c r="I338" s="6">
        <f>SUMIFS($H$2:$H$573,$B$2:$B$573,B338,$C$2:$C$573,C338,$D$2:$D$573,D338)</f>
        <v/>
      </c>
      <c r="J338" s="3" t="inlineStr">
        <is>
          <t>epoch_csp_chip_quantity_latest</t>
        </is>
      </c>
      <c r="K338" s="3" t="inlineStr">
        <is>
          <t>SRC_EPOCH_AI_DATA_CENTERS; EPOCH_RAW_CHIP_QUANTITIES</t>
        </is>
      </c>
      <c r="L338" s="3" t="inlineStr">
        <is>
          <t>Latest chip quantity per CSP/data-center/accelerator through year-end; normalized by unit count. Shares are editable.</t>
        </is>
      </c>
    </row>
    <row r="339">
      <c r="A339" s="5">
        <f>B339&amp;"|"&amp;C339&amp;"|"&amp;D339&amp;"|"&amp;E339</f>
        <v/>
      </c>
      <c r="B339" s="3" t="inlineStr">
        <is>
          <t>Bull</t>
        </is>
      </c>
      <c r="C339" s="3" t="inlineStr">
        <is>
          <t>CoreWeave</t>
        </is>
      </c>
      <c r="D339" s="3" t="n">
        <v>2029</v>
      </c>
      <c r="E339" s="25" t="inlineStr">
        <is>
          <t>H100/H200/A100 class</t>
        </is>
      </c>
      <c r="F339" s="5">
        <f>IFERROR(INDEX('02x_Accelerator_Catalog'!$C$2:$C$11,MATCH(E339,'02x_Accelerator_Catalog'!$B$2:$B$11,0)),"purpose_or_unbenchmarked")</f>
        <v/>
      </c>
      <c r="G339" s="8">
        <f>IFERROR(INDEX('02x_Accelerator_Catalog'!$D$2:$D$11,MATCH(E339,'02x_Accelerator_Catalog'!$B$2:$B$11,0)),"")</f>
        <v/>
      </c>
      <c r="H339" s="17" t="n">
        <v>0.03042803</v>
      </c>
      <c r="I339" s="6">
        <f>SUMIFS($H$2:$H$573,$B$2:$B$573,B339,$C$2:$C$573,C339,$D$2:$D$573,D339)</f>
        <v/>
      </c>
      <c r="J339" s="3" t="inlineStr">
        <is>
          <t>epoch_csp_chip_quantity_latest</t>
        </is>
      </c>
      <c r="K339" s="3" t="inlineStr">
        <is>
          <t>SRC_EPOCH_AI_DATA_CENTERS; EPOCH_RAW_CHIP_QUANTITIES</t>
        </is>
      </c>
      <c r="L339" s="3" t="inlineStr">
        <is>
          <t>Latest chip quantity per CSP/data-center/accelerator through year-end; normalized by unit count. Shares are editable.</t>
        </is>
      </c>
    </row>
    <row r="340">
      <c r="A340" s="5">
        <f>B340&amp;"|"&amp;C340&amp;"|"&amp;D340&amp;"|"&amp;E340</f>
        <v/>
      </c>
      <c r="B340" s="3" t="inlineStr">
        <is>
          <t>Grid-Constrained / Efficiency-Upside</t>
        </is>
      </c>
      <c r="C340" s="3" t="inlineStr">
        <is>
          <t>CoreWeave</t>
        </is>
      </c>
      <c r="D340" s="3" t="n">
        <v>2029</v>
      </c>
      <c r="E340" s="25" t="inlineStr">
        <is>
          <t>B200/B300 class</t>
        </is>
      </c>
      <c r="F340" s="5">
        <f>IFERROR(INDEX('02x_Accelerator_Catalog'!$C$2:$C$11,MATCH(E340,'02x_Accelerator_Catalog'!$B$2:$B$11,0)),"purpose_or_unbenchmarked")</f>
        <v/>
      </c>
      <c r="G340" s="8">
        <f>IFERROR(INDEX('02x_Accelerator_Catalog'!$D$2:$D$11,MATCH(E340,'02x_Accelerator_Catalog'!$B$2:$B$11,0)),"")</f>
        <v/>
      </c>
      <c r="H340" s="17" t="n">
        <v>0.9695719699999999</v>
      </c>
      <c r="I340" s="6">
        <f>SUMIFS($H$2:$H$573,$B$2:$B$573,B340,$C$2:$C$573,C340,$D$2:$D$573,D340)</f>
        <v/>
      </c>
      <c r="J340" s="3" t="inlineStr">
        <is>
          <t>epoch_csp_chip_quantity_latest</t>
        </is>
      </c>
      <c r="K340" s="3" t="inlineStr">
        <is>
          <t>SRC_EPOCH_AI_DATA_CENTERS; EPOCH_RAW_CHIP_QUANTITIES</t>
        </is>
      </c>
      <c r="L340" s="3" t="inlineStr">
        <is>
          <t>Latest chip quantity per CSP/data-center/accelerator through year-end; normalized by unit count. Shares are editable.</t>
        </is>
      </c>
    </row>
    <row r="341">
      <c r="A341" s="5">
        <f>B341&amp;"|"&amp;C341&amp;"|"&amp;D341&amp;"|"&amp;E341</f>
        <v/>
      </c>
      <c r="B341" s="3" t="inlineStr">
        <is>
          <t>Grid-Constrained / Efficiency-Upside</t>
        </is>
      </c>
      <c r="C341" s="3" t="inlineStr">
        <is>
          <t>CoreWeave</t>
        </is>
      </c>
      <c r="D341" s="3" t="n">
        <v>2029</v>
      </c>
      <c r="E341" s="25" t="inlineStr">
        <is>
          <t>H100/H200/A100 class</t>
        </is>
      </c>
      <c r="F341" s="5">
        <f>IFERROR(INDEX('02x_Accelerator_Catalog'!$C$2:$C$11,MATCH(E341,'02x_Accelerator_Catalog'!$B$2:$B$11,0)),"purpose_or_unbenchmarked")</f>
        <v/>
      </c>
      <c r="G341" s="8">
        <f>IFERROR(INDEX('02x_Accelerator_Catalog'!$D$2:$D$11,MATCH(E341,'02x_Accelerator_Catalog'!$B$2:$B$11,0)),"")</f>
        <v/>
      </c>
      <c r="H341" s="17" t="n">
        <v>0.03042803</v>
      </c>
      <c r="I341" s="6">
        <f>SUMIFS($H$2:$H$573,$B$2:$B$573,B341,$C$2:$C$573,C341,$D$2:$D$573,D341)</f>
        <v/>
      </c>
      <c r="J341" s="3" t="inlineStr">
        <is>
          <t>epoch_csp_chip_quantity_latest</t>
        </is>
      </c>
      <c r="K341" s="3" t="inlineStr">
        <is>
          <t>SRC_EPOCH_AI_DATA_CENTERS; EPOCH_RAW_CHIP_QUANTITIES</t>
        </is>
      </c>
      <c r="L341" s="3" t="inlineStr">
        <is>
          <t>Latest chip quantity per CSP/data-center/accelerator through year-end; normalized by unit count. Shares are editable.</t>
        </is>
      </c>
    </row>
    <row r="342">
      <c r="A342" s="5">
        <f>B342&amp;"|"&amp;C342&amp;"|"&amp;D342&amp;"|"&amp;E342</f>
        <v/>
      </c>
      <c r="B342" s="3" t="inlineStr">
        <is>
          <t>Bear</t>
        </is>
      </c>
      <c r="C342" s="3" t="inlineStr">
        <is>
          <t>CoreWeave</t>
        </is>
      </c>
      <c r="D342" s="3" t="n">
        <v>2030</v>
      </c>
      <c r="E342" s="25" t="inlineStr">
        <is>
          <t>B200/B300 class</t>
        </is>
      </c>
      <c r="F342" s="5">
        <f>IFERROR(INDEX('02x_Accelerator_Catalog'!$C$2:$C$11,MATCH(E342,'02x_Accelerator_Catalog'!$B$2:$B$11,0)),"purpose_or_unbenchmarked")</f>
        <v/>
      </c>
      <c r="G342" s="8">
        <f>IFERROR(INDEX('02x_Accelerator_Catalog'!$D$2:$D$11,MATCH(E342,'02x_Accelerator_Catalog'!$B$2:$B$11,0)),"")</f>
        <v/>
      </c>
      <c r="H342" s="17" t="n">
        <v>0.9695719699999999</v>
      </c>
      <c r="I342" s="6">
        <f>SUMIFS($H$2:$H$573,$B$2:$B$573,B342,$C$2:$C$573,C342,$D$2:$D$573,D342)</f>
        <v/>
      </c>
      <c r="J342" s="3" t="inlineStr">
        <is>
          <t>epoch_csp_chip_quantity_latest</t>
        </is>
      </c>
      <c r="K342" s="3" t="inlineStr">
        <is>
          <t>SRC_EPOCH_AI_DATA_CENTERS; EPOCH_RAW_CHIP_QUANTITIES</t>
        </is>
      </c>
      <c r="L342" s="3" t="inlineStr">
        <is>
          <t>Latest chip quantity per CSP/data-center/accelerator through year-end; normalized by unit count. Shares are editable.</t>
        </is>
      </c>
    </row>
    <row r="343">
      <c r="A343" s="5">
        <f>B343&amp;"|"&amp;C343&amp;"|"&amp;D343&amp;"|"&amp;E343</f>
        <v/>
      </c>
      <c r="B343" s="3" t="inlineStr">
        <is>
          <t>Bear</t>
        </is>
      </c>
      <c r="C343" s="3" t="inlineStr">
        <is>
          <t>CoreWeave</t>
        </is>
      </c>
      <c r="D343" s="3" t="n">
        <v>2030</v>
      </c>
      <c r="E343" s="25" t="inlineStr">
        <is>
          <t>H100/H200/A100 class</t>
        </is>
      </c>
      <c r="F343" s="5">
        <f>IFERROR(INDEX('02x_Accelerator_Catalog'!$C$2:$C$11,MATCH(E343,'02x_Accelerator_Catalog'!$B$2:$B$11,0)),"purpose_or_unbenchmarked")</f>
        <v/>
      </c>
      <c r="G343" s="8">
        <f>IFERROR(INDEX('02x_Accelerator_Catalog'!$D$2:$D$11,MATCH(E343,'02x_Accelerator_Catalog'!$B$2:$B$11,0)),"")</f>
        <v/>
      </c>
      <c r="H343" s="17" t="n">
        <v>0.03042803</v>
      </c>
      <c r="I343" s="6">
        <f>SUMIFS($H$2:$H$573,$B$2:$B$573,B343,$C$2:$C$573,C343,$D$2:$D$573,D343)</f>
        <v/>
      </c>
      <c r="J343" s="3" t="inlineStr">
        <is>
          <t>epoch_csp_chip_quantity_latest</t>
        </is>
      </c>
      <c r="K343" s="3" t="inlineStr">
        <is>
          <t>SRC_EPOCH_AI_DATA_CENTERS; EPOCH_RAW_CHIP_QUANTITIES</t>
        </is>
      </c>
      <c r="L343" s="3" t="inlineStr">
        <is>
          <t>Latest chip quantity per CSP/data-center/accelerator through year-end; normalized by unit count. Shares are editable.</t>
        </is>
      </c>
    </row>
    <row r="344">
      <c r="A344" s="5">
        <f>B344&amp;"|"&amp;C344&amp;"|"&amp;D344&amp;"|"&amp;E344</f>
        <v/>
      </c>
      <c r="B344" s="3" t="inlineStr">
        <is>
          <t>Base</t>
        </is>
      </c>
      <c r="C344" s="3" t="inlineStr">
        <is>
          <t>CoreWeave</t>
        </is>
      </c>
      <c r="D344" s="3" t="n">
        <v>2030</v>
      </c>
      <c r="E344" s="25" t="inlineStr">
        <is>
          <t>B200/B300 class</t>
        </is>
      </c>
      <c r="F344" s="5">
        <f>IFERROR(INDEX('02x_Accelerator_Catalog'!$C$2:$C$11,MATCH(E344,'02x_Accelerator_Catalog'!$B$2:$B$11,0)),"purpose_or_unbenchmarked")</f>
        <v/>
      </c>
      <c r="G344" s="8">
        <f>IFERROR(INDEX('02x_Accelerator_Catalog'!$D$2:$D$11,MATCH(E344,'02x_Accelerator_Catalog'!$B$2:$B$11,0)),"")</f>
        <v/>
      </c>
      <c r="H344" s="17" t="n">
        <v>0.9695719699999999</v>
      </c>
      <c r="I344" s="6">
        <f>SUMIFS($H$2:$H$573,$B$2:$B$573,B344,$C$2:$C$573,C344,$D$2:$D$573,D344)</f>
        <v/>
      </c>
      <c r="J344" s="3" t="inlineStr">
        <is>
          <t>epoch_csp_chip_quantity_latest</t>
        </is>
      </c>
      <c r="K344" s="3" t="inlineStr">
        <is>
          <t>SRC_EPOCH_AI_DATA_CENTERS; EPOCH_RAW_CHIP_QUANTITIES</t>
        </is>
      </c>
      <c r="L344" s="3" t="inlineStr">
        <is>
          <t>Latest chip quantity per CSP/data-center/accelerator through year-end; normalized by unit count. Shares are editable.</t>
        </is>
      </c>
    </row>
    <row r="345">
      <c r="A345" s="5">
        <f>B345&amp;"|"&amp;C345&amp;"|"&amp;D345&amp;"|"&amp;E345</f>
        <v/>
      </c>
      <c r="B345" s="3" t="inlineStr">
        <is>
          <t>Base</t>
        </is>
      </c>
      <c r="C345" s="3" t="inlineStr">
        <is>
          <t>CoreWeave</t>
        </is>
      </c>
      <c r="D345" s="3" t="n">
        <v>2030</v>
      </c>
      <c r="E345" s="25" t="inlineStr">
        <is>
          <t>H100/H200/A100 class</t>
        </is>
      </c>
      <c r="F345" s="5">
        <f>IFERROR(INDEX('02x_Accelerator_Catalog'!$C$2:$C$11,MATCH(E345,'02x_Accelerator_Catalog'!$B$2:$B$11,0)),"purpose_or_unbenchmarked")</f>
        <v/>
      </c>
      <c r="G345" s="8">
        <f>IFERROR(INDEX('02x_Accelerator_Catalog'!$D$2:$D$11,MATCH(E345,'02x_Accelerator_Catalog'!$B$2:$B$11,0)),"")</f>
        <v/>
      </c>
      <c r="H345" s="17" t="n">
        <v>0.03042803</v>
      </c>
      <c r="I345" s="6">
        <f>SUMIFS($H$2:$H$573,$B$2:$B$573,B345,$C$2:$C$573,C345,$D$2:$D$573,D345)</f>
        <v/>
      </c>
      <c r="J345" s="3" t="inlineStr">
        <is>
          <t>epoch_csp_chip_quantity_latest</t>
        </is>
      </c>
      <c r="K345" s="3" t="inlineStr">
        <is>
          <t>SRC_EPOCH_AI_DATA_CENTERS; EPOCH_RAW_CHIP_QUANTITIES</t>
        </is>
      </c>
      <c r="L345" s="3" t="inlineStr">
        <is>
          <t>Latest chip quantity per CSP/data-center/accelerator through year-end; normalized by unit count. Shares are editable.</t>
        </is>
      </c>
    </row>
    <row r="346">
      <c r="A346" s="5">
        <f>B346&amp;"|"&amp;C346&amp;"|"&amp;D346&amp;"|"&amp;E346</f>
        <v/>
      </c>
      <c r="B346" s="3" t="inlineStr">
        <is>
          <t>Bull</t>
        </is>
      </c>
      <c r="C346" s="3" t="inlineStr">
        <is>
          <t>CoreWeave</t>
        </is>
      </c>
      <c r="D346" s="3" t="n">
        <v>2030</v>
      </c>
      <c r="E346" s="25" t="inlineStr">
        <is>
          <t>B200/B300 class</t>
        </is>
      </c>
      <c r="F346" s="5">
        <f>IFERROR(INDEX('02x_Accelerator_Catalog'!$C$2:$C$11,MATCH(E346,'02x_Accelerator_Catalog'!$B$2:$B$11,0)),"purpose_or_unbenchmarked")</f>
        <v/>
      </c>
      <c r="G346" s="8">
        <f>IFERROR(INDEX('02x_Accelerator_Catalog'!$D$2:$D$11,MATCH(E346,'02x_Accelerator_Catalog'!$B$2:$B$11,0)),"")</f>
        <v/>
      </c>
      <c r="H346" s="17" t="n">
        <v>0.9695719699999999</v>
      </c>
      <c r="I346" s="6">
        <f>SUMIFS($H$2:$H$573,$B$2:$B$573,B346,$C$2:$C$573,C346,$D$2:$D$573,D346)</f>
        <v/>
      </c>
      <c r="J346" s="3" t="inlineStr">
        <is>
          <t>epoch_csp_chip_quantity_latest</t>
        </is>
      </c>
      <c r="K346" s="3" t="inlineStr">
        <is>
          <t>SRC_EPOCH_AI_DATA_CENTERS; EPOCH_RAW_CHIP_QUANTITIES</t>
        </is>
      </c>
      <c r="L346" s="3" t="inlineStr">
        <is>
          <t>Latest chip quantity per CSP/data-center/accelerator through year-end; normalized by unit count. Shares are editable.</t>
        </is>
      </c>
    </row>
    <row r="347">
      <c r="A347" s="5">
        <f>B347&amp;"|"&amp;C347&amp;"|"&amp;D347&amp;"|"&amp;E347</f>
        <v/>
      </c>
      <c r="B347" s="3" t="inlineStr">
        <is>
          <t>Bull</t>
        </is>
      </c>
      <c r="C347" s="3" t="inlineStr">
        <is>
          <t>CoreWeave</t>
        </is>
      </c>
      <c r="D347" s="3" t="n">
        <v>2030</v>
      </c>
      <c r="E347" s="25" t="inlineStr">
        <is>
          <t>H100/H200/A100 class</t>
        </is>
      </c>
      <c r="F347" s="5">
        <f>IFERROR(INDEX('02x_Accelerator_Catalog'!$C$2:$C$11,MATCH(E347,'02x_Accelerator_Catalog'!$B$2:$B$11,0)),"purpose_or_unbenchmarked")</f>
        <v/>
      </c>
      <c r="G347" s="8">
        <f>IFERROR(INDEX('02x_Accelerator_Catalog'!$D$2:$D$11,MATCH(E347,'02x_Accelerator_Catalog'!$B$2:$B$11,0)),"")</f>
        <v/>
      </c>
      <c r="H347" s="17" t="n">
        <v>0.03042803</v>
      </c>
      <c r="I347" s="6">
        <f>SUMIFS($H$2:$H$573,$B$2:$B$573,B347,$C$2:$C$573,C347,$D$2:$D$573,D347)</f>
        <v/>
      </c>
      <c r="J347" s="3" t="inlineStr">
        <is>
          <t>epoch_csp_chip_quantity_latest</t>
        </is>
      </c>
      <c r="K347" s="3" t="inlineStr">
        <is>
          <t>SRC_EPOCH_AI_DATA_CENTERS; EPOCH_RAW_CHIP_QUANTITIES</t>
        </is>
      </c>
      <c r="L347" s="3" t="inlineStr">
        <is>
          <t>Latest chip quantity per CSP/data-center/accelerator through year-end; normalized by unit count. Shares are editable.</t>
        </is>
      </c>
    </row>
    <row r="348">
      <c r="A348" s="5">
        <f>B348&amp;"|"&amp;C348&amp;"|"&amp;D348&amp;"|"&amp;E348</f>
        <v/>
      </c>
      <c r="B348" s="3" t="inlineStr">
        <is>
          <t>Grid-Constrained / Efficiency-Upside</t>
        </is>
      </c>
      <c r="C348" s="3" t="inlineStr">
        <is>
          <t>CoreWeave</t>
        </is>
      </c>
      <c r="D348" s="3" t="n">
        <v>2030</v>
      </c>
      <c r="E348" s="25" t="inlineStr">
        <is>
          <t>B200/B300 class</t>
        </is>
      </c>
      <c r="F348" s="5">
        <f>IFERROR(INDEX('02x_Accelerator_Catalog'!$C$2:$C$11,MATCH(E348,'02x_Accelerator_Catalog'!$B$2:$B$11,0)),"purpose_or_unbenchmarked")</f>
        <v/>
      </c>
      <c r="G348" s="8">
        <f>IFERROR(INDEX('02x_Accelerator_Catalog'!$D$2:$D$11,MATCH(E348,'02x_Accelerator_Catalog'!$B$2:$B$11,0)),"")</f>
        <v/>
      </c>
      <c r="H348" s="17" t="n">
        <v>0.9695719699999999</v>
      </c>
      <c r="I348" s="6">
        <f>SUMIFS($H$2:$H$573,$B$2:$B$573,B348,$C$2:$C$573,C348,$D$2:$D$573,D348)</f>
        <v/>
      </c>
      <c r="J348" s="3" t="inlineStr">
        <is>
          <t>epoch_csp_chip_quantity_latest</t>
        </is>
      </c>
      <c r="K348" s="3" t="inlineStr">
        <is>
          <t>SRC_EPOCH_AI_DATA_CENTERS; EPOCH_RAW_CHIP_QUANTITIES</t>
        </is>
      </c>
      <c r="L348" s="3" t="inlineStr">
        <is>
          <t>Latest chip quantity per CSP/data-center/accelerator through year-end; normalized by unit count. Shares are editable.</t>
        </is>
      </c>
    </row>
    <row r="349">
      <c r="A349" s="5">
        <f>B349&amp;"|"&amp;C349&amp;"|"&amp;D349&amp;"|"&amp;E349</f>
        <v/>
      </c>
      <c r="B349" s="3" t="inlineStr">
        <is>
          <t>Grid-Constrained / Efficiency-Upside</t>
        </is>
      </c>
      <c r="C349" s="3" t="inlineStr">
        <is>
          <t>CoreWeave</t>
        </is>
      </c>
      <c r="D349" s="3" t="n">
        <v>2030</v>
      </c>
      <c r="E349" s="25" t="inlineStr">
        <is>
          <t>H100/H200/A100 class</t>
        </is>
      </c>
      <c r="F349" s="5">
        <f>IFERROR(INDEX('02x_Accelerator_Catalog'!$C$2:$C$11,MATCH(E349,'02x_Accelerator_Catalog'!$B$2:$B$11,0)),"purpose_or_unbenchmarked")</f>
        <v/>
      </c>
      <c r="G349" s="8">
        <f>IFERROR(INDEX('02x_Accelerator_Catalog'!$D$2:$D$11,MATCH(E349,'02x_Accelerator_Catalog'!$B$2:$B$11,0)),"")</f>
        <v/>
      </c>
      <c r="H349" s="17" t="n">
        <v>0.03042803</v>
      </c>
      <c r="I349" s="6">
        <f>SUMIFS($H$2:$H$573,$B$2:$B$573,B349,$C$2:$C$573,C349,$D$2:$D$573,D349)</f>
        <v/>
      </c>
      <c r="J349" s="3" t="inlineStr">
        <is>
          <t>epoch_csp_chip_quantity_latest</t>
        </is>
      </c>
      <c r="K349" s="3" t="inlineStr">
        <is>
          <t>SRC_EPOCH_AI_DATA_CENTERS; EPOCH_RAW_CHIP_QUANTITIES</t>
        </is>
      </c>
      <c r="L349" s="3" t="inlineStr">
        <is>
          <t>Latest chip quantity per CSP/data-center/accelerator through year-end; normalized by unit count. Shares are editable.</t>
        </is>
      </c>
    </row>
    <row r="350">
      <c r="A350" s="5">
        <f>B350&amp;"|"&amp;C350&amp;"|"&amp;D350&amp;"|"&amp;E350</f>
        <v/>
      </c>
      <c r="B350" s="3" t="inlineStr">
        <is>
          <t>Bear</t>
        </is>
      </c>
      <c r="C350" s="3" t="inlineStr">
        <is>
          <t>G42</t>
        </is>
      </c>
      <c r="D350" s="3" t="n">
        <v>2028</v>
      </c>
      <c r="E350" s="25" t="inlineStr">
        <is>
          <t>B200/B300 class</t>
        </is>
      </c>
      <c r="F350" s="5">
        <f>IFERROR(INDEX('02x_Accelerator_Catalog'!$C$2:$C$11,MATCH(E350,'02x_Accelerator_Catalog'!$B$2:$B$11,0)),"purpose_or_unbenchmarked")</f>
        <v/>
      </c>
      <c r="G350" s="8">
        <f>IFERROR(INDEX('02x_Accelerator_Catalog'!$D$2:$D$11,MATCH(E350,'02x_Accelerator_Catalog'!$B$2:$B$11,0)),"")</f>
        <v/>
      </c>
      <c r="H350" s="17" t="n">
        <v>1</v>
      </c>
      <c r="I350" s="6">
        <f>SUMIFS($H$2:$H$573,$B$2:$B$573,B350,$C$2:$C$573,C350,$D$2:$D$573,D350)</f>
        <v/>
      </c>
      <c r="J350" s="3" t="inlineStr">
        <is>
          <t>epoch_csp_chip_quantity_latest</t>
        </is>
      </c>
      <c r="K350" s="3" t="inlineStr">
        <is>
          <t>SRC_EPOCH_AI_DATA_CENTERS; EPOCH_RAW_CHIP_QUANTITIES</t>
        </is>
      </c>
      <c r="L350" s="3" t="inlineStr">
        <is>
          <t>Latest chip quantity per CSP/data-center/accelerator through year-end; normalized by unit count. Shares are editable.</t>
        </is>
      </c>
    </row>
    <row r="351">
      <c r="A351" s="5">
        <f>B351&amp;"|"&amp;C351&amp;"|"&amp;D351&amp;"|"&amp;E351</f>
        <v/>
      </c>
      <c r="B351" s="3" t="inlineStr">
        <is>
          <t>Base</t>
        </is>
      </c>
      <c r="C351" s="3" t="inlineStr">
        <is>
          <t>G42</t>
        </is>
      </c>
      <c r="D351" s="3" t="n">
        <v>2028</v>
      </c>
      <c r="E351" s="25" t="inlineStr">
        <is>
          <t>B200/B300 class</t>
        </is>
      </c>
      <c r="F351" s="5">
        <f>IFERROR(INDEX('02x_Accelerator_Catalog'!$C$2:$C$11,MATCH(E351,'02x_Accelerator_Catalog'!$B$2:$B$11,0)),"purpose_or_unbenchmarked")</f>
        <v/>
      </c>
      <c r="G351" s="8">
        <f>IFERROR(INDEX('02x_Accelerator_Catalog'!$D$2:$D$11,MATCH(E351,'02x_Accelerator_Catalog'!$B$2:$B$11,0)),"")</f>
        <v/>
      </c>
      <c r="H351" s="17" t="n">
        <v>1</v>
      </c>
      <c r="I351" s="6">
        <f>SUMIFS($H$2:$H$573,$B$2:$B$573,B351,$C$2:$C$573,C351,$D$2:$D$573,D351)</f>
        <v/>
      </c>
      <c r="J351" s="3" t="inlineStr">
        <is>
          <t>epoch_csp_chip_quantity_latest</t>
        </is>
      </c>
      <c r="K351" s="3" t="inlineStr">
        <is>
          <t>SRC_EPOCH_AI_DATA_CENTERS; EPOCH_RAW_CHIP_QUANTITIES</t>
        </is>
      </c>
      <c r="L351" s="3" t="inlineStr">
        <is>
          <t>Latest chip quantity per CSP/data-center/accelerator through year-end; normalized by unit count. Shares are editable.</t>
        </is>
      </c>
    </row>
    <row r="352">
      <c r="A352" s="5">
        <f>B352&amp;"|"&amp;C352&amp;"|"&amp;D352&amp;"|"&amp;E352</f>
        <v/>
      </c>
      <c r="B352" s="3" t="inlineStr">
        <is>
          <t>Bull</t>
        </is>
      </c>
      <c r="C352" s="3" t="inlineStr">
        <is>
          <t>G42</t>
        </is>
      </c>
      <c r="D352" s="3" t="n">
        <v>2028</v>
      </c>
      <c r="E352" s="25" t="inlineStr">
        <is>
          <t>B200/B300 class</t>
        </is>
      </c>
      <c r="F352" s="5">
        <f>IFERROR(INDEX('02x_Accelerator_Catalog'!$C$2:$C$11,MATCH(E352,'02x_Accelerator_Catalog'!$B$2:$B$11,0)),"purpose_or_unbenchmarked")</f>
        <v/>
      </c>
      <c r="G352" s="8">
        <f>IFERROR(INDEX('02x_Accelerator_Catalog'!$D$2:$D$11,MATCH(E352,'02x_Accelerator_Catalog'!$B$2:$B$11,0)),"")</f>
        <v/>
      </c>
      <c r="H352" s="17" t="n">
        <v>1</v>
      </c>
      <c r="I352" s="6">
        <f>SUMIFS($H$2:$H$573,$B$2:$B$573,B352,$C$2:$C$573,C352,$D$2:$D$573,D352)</f>
        <v/>
      </c>
      <c r="J352" s="3" t="inlineStr">
        <is>
          <t>epoch_csp_chip_quantity_latest</t>
        </is>
      </c>
      <c r="K352" s="3" t="inlineStr">
        <is>
          <t>SRC_EPOCH_AI_DATA_CENTERS; EPOCH_RAW_CHIP_QUANTITIES</t>
        </is>
      </c>
      <c r="L352" s="3" t="inlineStr">
        <is>
          <t>Latest chip quantity per CSP/data-center/accelerator through year-end; normalized by unit count. Shares are editable.</t>
        </is>
      </c>
    </row>
    <row r="353">
      <c r="A353" s="5">
        <f>B353&amp;"|"&amp;C353&amp;"|"&amp;D353&amp;"|"&amp;E353</f>
        <v/>
      </c>
      <c r="B353" s="3" t="inlineStr">
        <is>
          <t>Grid-Constrained / Efficiency-Upside</t>
        </is>
      </c>
      <c r="C353" s="3" t="inlineStr">
        <is>
          <t>G42</t>
        </is>
      </c>
      <c r="D353" s="3" t="n">
        <v>2028</v>
      </c>
      <c r="E353" s="25" t="inlineStr">
        <is>
          <t>B200/B300 class</t>
        </is>
      </c>
      <c r="F353" s="5">
        <f>IFERROR(INDEX('02x_Accelerator_Catalog'!$C$2:$C$11,MATCH(E353,'02x_Accelerator_Catalog'!$B$2:$B$11,0)),"purpose_or_unbenchmarked")</f>
        <v/>
      </c>
      <c r="G353" s="8">
        <f>IFERROR(INDEX('02x_Accelerator_Catalog'!$D$2:$D$11,MATCH(E353,'02x_Accelerator_Catalog'!$B$2:$B$11,0)),"")</f>
        <v/>
      </c>
      <c r="H353" s="17" t="n">
        <v>1</v>
      </c>
      <c r="I353" s="6">
        <f>SUMIFS($H$2:$H$573,$B$2:$B$573,B353,$C$2:$C$573,C353,$D$2:$D$573,D353)</f>
        <v/>
      </c>
      <c r="J353" s="3" t="inlineStr">
        <is>
          <t>epoch_csp_chip_quantity_latest</t>
        </is>
      </c>
      <c r="K353" s="3" t="inlineStr">
        <is>
          <t>SRC_EPOCH_AI_DATA_CENTERS; EPOCH_RAW_CHIP_QUANTITIES</t>
        </is>
      </c>
      <c r="L353" s="3" t="inlineStr">
        <is>
          <t>Latest chip quantity per CSP/data-center/accelerator through year-end; normalized by unit count. Shares are editable.</t>
        </is>
      </c>
    </row>
    <row r="354">
      <c r="A354" s="5">
        <f>B354&amp;"|"&amp;C354&amp;"|"&amp;D354&amp;"|"&amp;E354</f>
        <v/>
      </c>
      <c r="B354" s="3" t="inlineStr">
        <is>
          <t>Bear</t>
        </is>
      </c>
      <c r="C354" s="3" t="inlineStr">
        <is>
          <t>G42</t>
        </is>
      </c>
      <c r="D354" s="3" t="n">
        <v>2029</v>
      </c>
      <c r="E354" s="25" t="inlineStr">
        <is>
          <t>B200/B300 class</t>
        </is>
      </c>
      <c r="F354" s="5">
        <f>IFERROR(INDEX('02x_Accelerator_Catalog'!$C$2:$C$11,MATCH(E354,'02x_Accelerator_Catalog'!$B$2:$B$11,0)),"purpose_or_unbenchmarked")</f>
        <v/>
      </c>
      <c r="G354" s="8">
        <f>IFERROR(INDEX('02x_Accelerator_Catalog'!$D$2:$D$11,MATCH(E354,'02x_Accelerator_Catalog'!$B$2:$B$11,0)),"")</f>
        <v/>
      </c>
      <c r="H354" s="17" t="n">
        <v>1</v>
      </c>
      <c r="I354" s="6">
        <f>SUMIFS($H$2:$H$573,$B$2:$B$573,B354,$C$2:$C$573,C354,$D$2:$D$573,D354)</f>
        <v/>
      </c>
      <c r="J354" s="3" t="inlineStr">
        <is>
          <t>epoch_csp_chip_quantity_latest</t>
        </is>
      </c>
      <c r="K354" s="3" t="inlineStr">
        <is>
          <t>SRC_EPOCH_AI_DATA_CENTERS; EPOCH_RAW_CHIP_QUANTITIES</t>
        </is>
      </c>
      <c r="L354" s="3" t="inlineStr">
        <is>
          <t>Latest chip quantity per CSP/data-center/accelerator through year-end; normalized by unit count. Shares are editable.</t>
        </is>
      </c>
    </row>
    <row r="355">
      <c r="A355" s="5">
        <f>B355&amp;"|"&amp;C355&amp;"|"&amp;D355&amp;"|"&amp;E355</f>
        <v/>
      </c>
      <c r="B355" s="3" t="inlineStr">
        <is>
          <t>Base</t>
        </is>
      </c>
      <c r="C355" s="3" t="inlineStr">
        <is>
          <t>G42</t>
        </is>
      </c>
      <c r="D355" s="3" t="n">
        <v>2029</v>
      </c>
      <c r="E355" s="25" t="inlineStr">
        <is>
          <t>B200/B300 class</t>
        </is>
      </c>
      <c r="F355" s="5">
        <f>IFERROR(INDEX('02x_Accelerator_Catalog'!$C$2:$C$11,MATCH(E355,'02x_Accelerator_Catalog'!$B$2:$B$11,0)),"purpose_or_unbenchmarked")</f>
        <v/>
      </c>
      <c r="G355" s="8">
        <f>IFERROR(INDEX('02x_Accelerator_Catalog'!$D$2:$D$11,MATCH(E355,'02x_Accelerator_Catalog'!$B$2:$B$11,0)),"")</f>
        <v/>
      </c>
      <c r="H355" s="17" t="n">
        <v>1</v>
      </c>
      <c r="I355" s="6">
        <f>SUMIFS($H$2:$H$573,$B$2:$B$573,B355,$C$2:$C$573,C355,$D$2:$D$573,D355)</f>
        <v/>
      </c>
      <c r="J355" s="3" t="inlineStr">
        <is>
          <t>epoch_csp_chip_quantity_latest</t>
        </is>
      </c>
      <c r="K355" s="3" t="inlineStr">
        <is>
          <t>SRC_EPOCH_AI_DATA_CENTERS; EPOCH_RAW_CHIP_QUANTITIES</t>
        </is>
      </c>
      <c r="L355" s="3" t="inlineStr">
        <is>
          <t>Latest chip quantity per CSP/data-center/accelerator through year-end; normalized by unit count. Shares are editable.</t>
        </is>
      </c>
    </row>
    <row r="356">
      <c r="A356" s="5">
        <f>B356&amp;"|"&amp;C356&amp;"|"&amp;D356&amp;"|"&amp;E356</f>
        <v/>
      </c>
      <c r="B356" s="3" t="inlineStr">
        <is>
          <t>Bull</t>
        </is>
      </c>
      <c r="C356" s="3" t="inlineStr">
        <is>
          <t>G42</t>
        </is>
      </c>
      <c r="D356" s="3" t="n">
        <v>2029</v>
      </c>
      <c r="E356" s="25" t="inlineStr">
        <is>
          <t>B200/B300 class</t>
        </is>
      </c>
      <c r="F356" s="5">
        <f>IFERROR(INDEX('02x_Accelerator_Catalog'!$C$2:$C$11,MATCH(E356,'02x_Accelerator_Catalog'!$B$2:$B$11,0)),"purpose_or_unbenchmarked")</f>
        <v/>
      </c>
      <c r="G356" s="8">
        <f>IFERROR(INDEX('02x_Accelerator_Catalog'!$D$2:$D$11,MATCH(E356,'02x_Accelerator_Catalog'!$B$2:$B$11,0)),"")</f>
        <v/>
      </c>
      <c r="H356" s="17" t="n">
        <v>1</v>
      </c>
      <c r="I356" s="6">
        <f>SUMIFS($H$2:$H$573,$B$2:$B$573,B356,$C$2:$C$573,C356,$D$2:$D$573,D356)</f>
        <v/>
      </c>
      <c r="J356" s="3" t="inlineStr">
        <is>
          <t>epoch_csp_chip_quantity_latest</t>
        </is>
      </c>
      <c r="K356" s="3" t="inlineStr">
        <is>
          <t>SRC_EPOCH_AI_DATA_CENTERS; EPOCH_RAW_CHIP_QUANTITIES</t>
        </is>
      </c>
      <c r="L356" s="3" t="inlineStr">
        <is>
          <t>Latest chip quantity per CSP/data-center/accelerator through year-end; normalized by unit count. Shares are editable.</t>
        </is>
      </c>
    </row>
    <row r="357">
      <c r="A357" s="5">
        <f>B357&amp;"|"&amp;C357&amp;"|"&amp;D357&amp;"|"&amp;E357</f>
        <v/>
      </c>
      <c r="B357" s="3" t="inlineStr">
        <is>
          <t>Grid-Constrained / Efficiency-Upside</t>
        </is>
      </c>
      <c r="C357" s="3" t="inlineStr">
        <is>
          <t>G42</t>
        </is>
      </c>
      <c r="D357" s="3" t="n">
        <v>2029</v>
      </c>
      <c r="E357" s="25" t="inlineStr">
        <is>
          <t>B200/B300 class</t>
        </is>
      </c>
      <c r="F357" s="5">
        <f>IFERROR(INDEX('02x_Accelerator_Catalog'!$C$2:$C$11,MATCH(E357,'02x_Accelerator_Catalog'!$B$2:$B$11,0)),"purpose_or_unbenchmarked")</f>
        <v/>
      </c>
      <c r="G357" s="8">
        <f>IFERROR(INDEX('02x_Accelerator_Catalog'!$D$2:$D$11,MATCH(E357,'02x_Accelerator_Catalog'!$B$2:$B$11,0)),"")</f>
        <v/>
      </c>
      <c r="H357" s="17" t="n">
        <v>1</v>
      </c>
      <c r="I357" s="6">
        <f>SUMIFS($H$2:$H$573,$B$2:$B$573,B357,$C$2:$C$573,C357,$D$2:$D$573,D357)</f>
        <v/>
      </c>
      <c r="J357" s="3" t="inlineStr">
        <is>
          <t>epoch_csp_chip_quantity_latest</t>
        </is>
      </c>
      <c r="K357" s="3" t="inlineStr">
        <is>
          <t>SRC_EPOCH_AI_DATA_CENTERS; EPOCH_RAW_CHIP_QUANTITIES</t>
        </is>
      </c>
      <c r="L357" s="3" t="inlineStr">
        <is>
          <t>Latest chip quantity per CSP/data-center/accelerator through year-end; normalized by unit count. Shares are editable.</t>
        </is>
      </c>
    </row>
    <row r="358">
      <c r="A358" s="5">
        <f>B358&amp;"|"&amp;C358&amp;"|"&amp;D358&amp;"|"&amp;E358</f>
        <v/>
      </c>
      <c r="B358" s="3" t="inlineStr">
        <is>
          <t>Bear</t>
        </is>
      </c>
      <c r="C358" s="3" t="inlineStr">
        <is>
          <t>G42</t>
        </is>
      </c>
      <c r="D358" s="3" t="n">
        <v>2030</v>
      </c>
      <c r="E358" s="25" t="inlineStr">
        <is>
          <t>B200/B300 class</t>
        </is>
      </c>
      <c r="F358" s="5">
        <f>IFERROR(INDEX('02x_Accelerator_Catalog'!$C$2:$C$11,MATCH(E358,'02x_Accelerator_Catalog'!$B$2:$B$11,0)),"purpose_or_unbenchmarked")</f>
        <v/>
      </c>
      <c r="G358" s="8">
        <f>IFERROR(INDEX('02x_Accelerator_Catalog'!$D$2:$D$11,MATCH(E358,'02x_Accelerator_Catalog'!$B$2:$B$11,0)),"")</f>
        <v/>
      </c>
      <c r="H358" s="17" t="n">
        <v>1</v>
      </c>
      <c r="I358" s="6">
        <f>SUMIFS($H$2:$H$573,$B$2:$B$573,B358,$C$2:$C$573,C358,$D$2:$D$573,D358)</f>
        <v/>
      </c>
      <c r="J358" s="3" t="inlineStr">
        <is>
          <t>epoch_csp_chip_quantity_latest</t>
        </is>
      </c>
      <c r="K358" s="3" t="inlineStr">
        <is>
          <t>SRC_EPOCH_AI_DATA_CENTERS; EPOCH_RAW_CHIP_QUANTITIES</t>
        </is>
      </c>
      <c r="L358" s="3" t="inlineStr">
        <is>
          <t>Latest chip quantity per CSP/data-center/accelerator through year-end; normalized by unit count. Shares are editable.</t>
        </is>
      </c>
    </row>
    <row r="359">
      <c r="A359" s="5">
        <f>B359&amp;"|"&amp;C359&amp;"|"&amp;D359&amp;"|"&amp;E359</f>
        <v/>
      </c>
      <c r="B359" s="3" t="inlineStr">
        <is>
          <t>Base</t>
        </is>
      </c>
      <c r="C359" s="3" t="inlineStr">
        <is>
          <t>G42</t>
        </is>
      </c>
      <c r="D359" s="3" t="n">
        <v>2030</v>
      </c>
      <c r="E359" s="25" t="inlineStr">
        <is>
          <t>B200/B300 class</t>
        </is>
      </c>
      <c r="F359" s="5">
        <f>IFERROR(INDEX('02x_Accelerator_Catalog'!$C$2:$C$11,MATCH(E359,'02x_Accelerator_Catalog'!$B$2:$B$11,0)),"purpose_or_unbenchmarked")</f>
        <v/>
      </c>
      <c r="G359" s="8">
        <f>IFERROR(INDEX('02x_Accelerator_Catalog'!$D$2:$D$11,MATCH(E359,'02x_Accelerator_Catalog'!$B$2:$B$11,0)),"")</f>
        <v/>
      </c>
      <c r="H359" s="17" t="n">
        <v>1</v>
      </c>
      <c r="I359" s="6">
        <f>SUMIFS($H$2:$H$573,$B$2:$B$573,B359,$C$2:$C$573,C359,$D$2:$D$573,D359)</f>
        <v/>
      </c>
      <c r="J359" s="3" t="inlineStr">
        <is>
          <t>epoch_csp_chip_quantity_latest</t>
        </is>
      </c>
      <c r="K359" s="3" t="inlineStr">
        <is>
          <t>SRC_EPOCH_AI_DATA_CENTERS; EPOCH_RAW_CHIP_QUANTITIES</t>
        </is>
      </c>
      <c r="L359" s="3" t="inlineStr">
        <is>
          <t>Latest chip quantity per CSP/data-center/accelerator through year-end; normalized by unit count. Shares are editable.</t>
        </is>
      </c>
    </row>
    <row r="360">
      <c r="A360" s="5">
        <f>B360&amp;"|"&amp;C360&amp;"|"&amp;D360&amp;"|"&amp;E360</f>
        <v/>
      </c>
      <c r="B360" s="3" t="inlineStr">
        <is>
          <t>Bull</t>
        </is>
      </c>
      <c r="C360" s="3" t="inlineStr">
        <is>
          <t>G42</t>
        </is>
      </c>
      <c r="D360" s="3" t="n">
        <v>2030</v>
      </c>
      <c r="E360" s="25" t="inlineStr">
        <is>
          <t>B200/B300 class</t>
        </is>
      </c>
      <c r="F360" s="5">
        <f>IFERROR(INDEX('02x_Accelerator_Catalog'!$C$2:$C$11,MATCH(E360,'02x_Accelerator_Catalog'!$B$2:$B$11,0)),"purpose_or_unbenchmarked")</f>
        <v/>
      </c>
      <c r="G360" s="8">
        <f>IFERROR(INDEX('02x_Accelerator_Catalog'!$D$2:$D$11,MATCH(E360,'02x_Accelerator_Catalog'!$B$2:$B$11,0)),"")</f>
        <v/>
      </c>
      <c r="H360" s="17" t="n">
        <v>1</v>
      </c>
      <c r="I360" s="6">
        <f>SUMIFS($H$2:$H$573,$B$2:$B$573,B360,$C$2:$C$573,C360,$D$2:$D$573,D360)</f>
        <v/>
      </c>
      <c r="J360" s="3" t="inlineStr">
        <is>
          <t>epoch_csp_chip_quantity_latest</t>
        </is>
      </c>
      <c r="K360" s="3" t="inlineStr">
        <is>
          <t>SRC_EPOCH_AI_DATA_CENTERS; EPOCH_RAW_CHIP_QUANTITIES</t>
        </is>
      </c>
      <c r="L360" s="3" t="inlineStr">
        <is>
          <t>Latest chip quantity per CSP/data-center/accelerator through year-end; normalized by unit count. Shares are editable.</t>
        </is>
      </c>
    </row>
    <row r="361">
      <c r="A361" s="5">
        <f>B361&amp;"|"&amp;C361&amp;"|"&amp;D361&amp;"|"&amp;E361</f>
        <v/>
      </c>
      <c r="B361" s="3" t="inlineStr">
        <is>
          <t>Grid-Constrained / Efficiency-Upside</t>
        </is>
      </c>
      <c r="C361" s="3" t="inlineStr">
        <is>
          <t>G42</t>
        </is>
      </c>
      <c r="D361" s="3" t="n">
        <v>2030</v>
      </c>
      <c r="E361" s="25" t="inlineStr">
        <is>
          <t>B200/B300 class</t>
        </is>
      </c>
      <c r="F361" s="5">
        <f>IFERROR(INDEX('02x_Accelerator_Catalog'!$C$2:$C$11,MATCH(E361,'02x_Accelerator_Catalog'!$B$2:$B$11,0)),"purpose_or_unbenchmarked")</f>
        <v/>
      </c>
      <c r="G361" s="8">
        <f>IFERROR(INDEX('02x_Accelerator_Catalog'!$D$2:$D$11,MATCH(E361,'02x_Accelerator_Catalog'!$B$2:$B$11,0)),"")</f>
        <v/>
      </c>
      <c r="H361" s="17" t="n">
        <v>1</v>
      </c>
      <c r="I361" s="6">
        <f>SUMIFS($H$2:$H$573,$B$2:$B$573,B361,$C$2:$C$573,C361,$D$2:$D$573,D361)</f>
        <v/>
      </c>
      <c r="J361" s="3" t="inlineStr">
        <is>
          <t>epoch_csp_chip_quantity_latest</t>
        </is>
      </c>
      <c r="K361" s="3" t="inlineStr">
        <is>
          <t>SRC_EPOCH_AI_DATA_CENTERS; EPOCH_RAW_CHIP_QUANTITIES</t>
        </is>
      </c>
      <c r="L361" s="3" t="inlineStr">
        <is>
          <t>Latest chip quantity per CSP/data-center/accelerator through year-end; normalized by unit count. Shares are editable.</t>
        </is>
      </c>
    </row>
    <row r="362">
      <c r="A362" s="5">
        <f>B362&amp;"|"&amp;C362&amp;"|"&amp;D362&amp;"|"&amp;E362</f>
        <v/>
      </c>
      <c r="B362" s="3" t="inlineStr">
        <is>
          <t>Bear</t>
        </is>
      </c>
      <c r="C362" s="3" t="inlineStr">
        <is>
          <t>Oracle</t>
        </is>
      </c>
      <c r="D362" s="3" t="n">
        <v>2026</v>
      </c>
      <c r="E362" s="25" t="inlineStr">
        <is>
          <t>B200/B300 class</t>
        </is>
      </c>
      <c r="F362" s="5">
        <f>IFERROR(INDEX('02x_Accelerator_Catalog'!$C$2:$C$11,MATCH(E362,'02x_Accelerator_Catalog'!$B$2:$B$11,0)),"purpose_or_unbenchmarked")</f>
        <v/>
      </c>
      <c r="G362" s="8">
        <f>IFERROR(INDEX('02x_Accelerator_Catalog'!$D$2:$D$11,MATCH(E362,'02x_Accelerator_Catalog'!$B$2:$B$11,0)),"")</f>
        <v/>
      </c>
      <c r="H362" s="17" t="n">
        <v>0.96141166</v>
      </c>
      <c r="I362" s="6">
        <f>SUMIFS($H$2:$H$573,$B$2:$B$573,B362,$C$2:$C$573,C362,$D$2:$D$573,D362)</f>
        <v/>
      </c>
      <c r="J362" s="3" t="inlineStr">
        <is>
          <t>epoch_csp_chip_quantity_latest</t>
        </is>
      </c>
      <c r="K362" s="3" t="inlineStr">
        <is>
          <t>SRC_EPOCH_AI_DATA_CENTERS; EPOCH_RAW_CHIP_QUANTITIES</t>
        </is>
      </c>
      <c r="L362" s="3" t="inlineStr">
        <is>
          <t>Latest chip quantity per CSP/data-center/accelerator through year-end; normalized by unit count. Shares are editable.</t>
        </is>
      </c>
    </row>
    <row r="363">
      <c r="A363" s="5">
        <f>B363&amp;"|"&amp;C363&amp;"|"&amp;D363&amp;"|"&amp;E363</f>
        <v/>
      </c>
      <c r="B363" s="3" t="inlineStr">
        <is>
          <t>Bear</t>
        </is>
      </c>
      <c r="C363" s="3" t="inlineStr">
        <is>
          <t>Oracle</t>
        </is>
      </c>
      <c r="D363" s="3" t="n">
        <v>2026</v>
      </c>
      <c r="E363" s="25" t="inlineStr">
        <is>
          <t>H100/H200/A100 class</t>
        </is>
      </c>
      <c r="F363" s="5">
        <f>IFERROR(INDEX('02x_Accelerator_Catalog'!$C$2:$C$11,MATCH(E363,'02x_Accelerator_Catalog'!$B$2:$B$11,0)),"purpose_or_unbenchmarked")</f>
        <v/>
      </c>
      <c r="G363" s="8">
        <f>IFERROR(INDEX('02x_Accelerator_Catalog'!$D$2:$D$11,MATCH(E363,'02x_Accelerator_Catalog'!$B$2:$B$11,0)),"")</f>
        <v/>
      </c>
      <c r="H363" s="17" t="n">
        <v>0.03858834</v>
      </c>
      <c r="I363" s="6">
        <f>SUMIFS($H$2:$H$573,$B$2:$B$573,B363,$C$2:$C$573,C363,$D$2:$D$573,D363)</f>
        <v/>
      </c>
      <c r="J363" s="3" t="inlineStr">
        <is>
          <t>epoch_csp_chip_quantity_latest</t>
        </is>
      </c>
      <c r="K363" s="3" t="inlineStr">
        <is>
          <t>SRC_EPOCH_AI_DATA_CENTERS; EPOCH_RAW_CHIP_QUANTITIES</t>
        </is>
      </c>
      <c r="L363" s="3" t="inlineStr">
        <is>
          <t>Latest chip quantity per CSP/data-center/accelerator through year-end; normalized by unit count. Shares are editable.</t>
        </is>
      </c>
    </row>
    <row r="364">
      <c r="A364" s="5">
        <f>B364&amp;"|"&amp;C364&amp;"|"&amp;D364&amp;"|"&amp;E364</f>
        <v/>
      </c>
      <c r="B364" s="3" t="inlineStr">
        <is>
          <t>Base</t>
        </is>
      </c>
      <c r="C364" s="3" t="inlineStr">
        <is>
          <t>Oracle</t>
        </is>
      </c>
      <c r="D364" s="3" t="n">
        <v>2026</v>
      </c>
      <c r="E364" s="25" t="inlineStr">
        <is>
          <t>B200/B300 class</t>
        </is>
      </c>
      <c r="F364" s="5">
        <f>IFERROR(INDEX('02x_Accelerator_Catalog'!$C$2:$C$11,MATCH(E364,'02x_Accelerator_Catalog'!$B$2:$B$11,0)),"purpose_or_unbenchmarked")</f>
        <v/>
      </c>
      <c r="G364" s="8">
        <f>IFERROR(INDEX('02x_Accelerator_Catalog'!$D$2:$D$11,MATCH(E364,'02x_Accelerator_Catalog'!$B$2:$B$11,0)),"")</f>
        <v/>
      </c>
      <c r="H364" s="17" t="n">
        <v>0.96141166</v>
      </c>
      <c r="I364" s="6">
        <f>SUMIFS($H$2:$H$573,$B$2:$B$573,B364,$C$2:$C$573,C364,$D$2:$D$573,D364)</f>
        <v/>
      </c>
      <c r="J364" s="3" t="inlineStr">
        <is>
          <t>epoch_csp_chip_quantity_latest</t>
        </is>
      </c>
      <c r="K364" s="3" t="inlineStr">
        <is>
          <t>SRC_EPOCH_AI_DATA_CENTERS; EPOCH_RAW_CHIP_QUANTITIES</t>
        </is>
      </c>
      <c r="L364" s="3" t="inlineStr">
        <is>
          <t>Latest chip quantity per CSP/data-center/accelerator through year-end; normalized by unit count. Shares are editable.</t>
        </is>
      </c>
    </row>
    <row r="365">
      <c r="A365" s="5">
        <f>B365&amp;"|"&amp;C365&amp;"|"&amp;D365&amp;"|"&amp;E365</f>
        <v/>
      </c>
      <c r="B365" s="3" t="inlineStr">
        <is>
          <t>Base</t>
        </is>
      </c>
      <c r="C365" s="3" t="inlineStr">
        <is>
          <t>Oracle</t>
        </is>
      </c>
      <c r="D365" s="3" t="n">
        <v>2026</v>
      </c>
      <c r="E365" s="25" t="inlineStr">
        <is>
          <t>H100/H200/A100 class</t>
        </is>
      </c>
      <c r="F365" s="5">
        <f>IFERROR(INDEX('02x_Accelerator_Catalog'!$C$2:$C$11,MATCH(E365,'02x_Accelerator_Catalog'!$B$2:$B$11,0)),"purpose_or_unbenchmarked")</f>
        <v/>
      </c>
      <c r="G365" s="8">
        <f>IFERROR(INDEX('02x_Accelerator_Catalog'!$D$2:$D$11,MATCH(E365,'02x_Accelerator_Catalog'!$B$2:$B$11,0)),"")</f>
        <v/>
      </c>
      <c r="H365" s="17" t="n">
        <v>0.03858834</v>
      </c>
      <c r="I365" s="6">
        <f>SUMIFS($H$2:$H$573,$B$2:$B$573,B365,$C$2:$C$573,C365,$D$2:$D$573,D365)</f>
        <v/>
      </c>
      <c r="J365" s="3" t="inlineStr">
        <is>
          <t>epoch_csp_chip_quantity_latest</t>
        </is>
      </c>
      <c r="K365" s="3" t="inlineStr">
        <is>
          <t>SRC_EPOCH_AI_DATA_CENTERS; EPOCH_RAW_CHIP_QUANTITIES</t>
        </is>
      </c>
      <c r="L365" s="3" t="inlineStr">
        <is>
          <t>Latest chip quantity per CSP/data-center/accelerator through year-end; normalized by unit count. Shares are editable.</t>
        </is>
      </c>
    </row>
    <row r="366">
      <c r="A366" s="5">
        <f>B366&amp;"|"&amp;C366&amp;"|"&amp;D366&amp;"|"&amp;E366</f>
        <v/>
      </c>
      <c r="B366" s="3" t="inlineStr">
        <is>
          <t>Bull</t>
        </is>
      </c>
      <c r="C366" s="3" t="inlineStr">
        <is>
          <t>Oracle</t>
        </is>
      </c>
      <c r="D366" s="3" t="n">
        <v>2026</v>
      </c>
      <c r="E366" s="25" t="inlineStr">
        <is>
          <t>B200/B300 class</t>
        </is>
      </c>
      <c r="F366" s="5">
        <f>IFERROR(INDEX('02x_Accelerator_Catalog'!$C$2:$C$11,MATCH(E366,'02x_Accelerator_Catalog'!$B$2:$B$11,0)),"purpose_or_unbenchmarked")</f>
        <v/>
      </c>
      <c r="G366" s="8">
        <f>IFERROR(INDEX('02x_Accelerator_Catalog'!$D$2:$D$11,MATCH(E366,'02x_Accelerator_Catalog'!$B$2:$B$11,0)),"")</f>
        <v/>
      </c>
      <c r="H366" s="17" t="n">
        <v>0.96141166</v>
      </c>
      <c r="I366" s="6">
        <f>SUMIFS($H$2:$H$573,$B$2:$B$573,B366,$C$2:$C$573,C366,$D$2:$D$573,D366)</f>
        <v/>
      </c>
      <c r="J366" s="3" t="inlineStr">
        <is>
          <t>epoch_csp_chip_quantity_latest</t>
        </is>
      </c>
      <c r="K366" s="3" t="inlineStr">
        <is>
          <t>SRC_EPOCH_AI_DATA_CENTERS; EPOCH_RAW_CHIP_QUANTITIES</t>
        </is>
      </c>
      <c r="L366" s="3" t="inlineStr">
        <is>
          <t>Latest chip quantity per CSP/data-center/accelerator through year-end; normalized by unit count. Shares are editable.</t>
        </is>
      </c>
    </row>
    <row r="367">
      <c r="A367" s="5">
        <f>B367&amp;"|"&amp;C367&amp;"|"&amp;D367&amp;"|"&amp;E367</f>
        <v/>
      </c>
      <c r="B367" s="3" t="inlineStr">
        <is>
          <t>Bull</t>
        </is>
      </c>
      <c r="C367" s="3" t="inlineStr">
        <is>
          <t>Oracle</t>
        </is>
      </c>
      <c r="D367" s="3" t="n">
        <v>2026</v>
      </c>
      <c r="E367" s="25" t="inlineStr">
        <is>
          <t>H100/H200/A100 class</t>
        </is>
      </c>
      <c r="F367" s="5">
        <f>IFERROR(INDEX('02x_Accelerator_Catalog'!$C$2:$C$11,MATCH(E367,'02x_Accelerator_Catalog'!$B$2:$B$11,0)),"purpose_or_unbenchmarked")</f>
        <v/>
      </c>
      <c r="G367" s="8">
        <f>IFERROR(INDEX('02x_Accelerator_Catalog'!$D$2:$D$11,MATCH(E367,'02x_Accelerator_Catalog'!$B$2:$B$11,0)),"")</f>
        <v/>
      </c>
      <c r="H367" s="17" t="n">
        <v>0.03858834</v>
      </c>
      <c r="I367" s="6">
        <f>SUMIFS($H$2:$H$573,$B$2:$B$573,B367,$C$2:$C$573,C367,$D$2:$D$573,D367)</f>
        <v/>
      </c>
      <c r="J367" s="3" t="inlineStr">
        <is>
          <t>epoch_csp_chip_quantity_latest</t>
        </is>
      </c>
      <c r="K367" s="3" t="inlineStr">
        <is>
          <t>SRC_EPOCH_AI_DATA_CENTERS; EPOCH_RAW_CHIP_QUANTITIES</t>
        </is>
      </c>
      <c r="L367" s="3" t="inlineStr">
        <is>
          <t>Latest chip quantity per CSP/data-center/accelerator through year-end; normalized by unit count. Shares are editable.</t>
        </is>
      </c>
    </row>
    <row r="368">
      <c r="A368" s="5">
        <f>B368&amp;"|"&amp;C368&amp;"|"&amp;D368&amp;"|"&amp;E368</f>
        <v/>
      </c>
      <c r="B368" s="3" t="inlineStr">
        <is>
          <t>Grid-Constrained / Efficiency-Upside</t>
        </is>
      </c>
      <c r="C368" s="3" t="inlineStr">
        <is>
          <t>Oracle</t>
        </is>
      </c>
      <c r="D368" s="3" t="n">
        <v>2026</v>
      </c>
      <c r="E368" s="25" t="inlineStr">
        <is>
          <t>B200/B300 class</t>
        </is>
      </c>
      <c r="F368" s="5">
        <f>IFERROR(INDEX('02x_Accelerator_Catalog'!$C$2:$C$11,MATCH(E368,'02x_Accelerator_Catalog'!$B$2:$B$11,0)),"purpose_or_unbenchmarked")</f>
        <v/>
      </c>
      <c r="G368" s="8">
        <f>IFERROR(INDEX('02x_Accelerator_Catalog'!$D$2:$D$11,MATCH(E368,'02x_Accelerator_Catalog'!$B$2:$B$11,0)),"")</f>
        <v/>
      </c>
      <c r="H368" s="17" t="n">
        <v>0.96141166</v>
      </c>
      <c r="I368" s="6">
        <f>SUMIFS($H$2:$H$573,$B$2:$B$573,B368,$C$2:$C$573,C368,$D$2:$D$573,D368)</f>
        <v/>
      </c>
      <c r="J368" s="3" t="inlineStr">
        <is>
          <t>epoch_csp_chip_quantity_latest</t>
        </is>
      </c>
      <c r="K368" s="3" t="inlineStr">
        <is>
          <t>SRC_EPOCH_AI_DATA_CENTERS; EPOCH_RAW_CHIP_QUANTITIES</t>
        </is>
      </c>
      <c r="L368" s="3" t="inlineStr">
        <is>
          <t>Latest chip quantity per CSP/data-center/accelerator through year-end; normalized by unit count. Shares are editable.</t>
        </is>
      </c>
    </row>
    <row r="369">
      <c r="A369" s="5">
        <f>B369&amp;"|"&amp;C369&amp;"|"&amp;D369&amp;"|"&amp;E369</f>
        <v/>
      </c>
      <c r="B369" s="3" t="inlineStr">
        <is>
          <t>Grid-Constrained / Efficiency-Upside</t>
        </is>
      </c>
      <c r="C369" s="3" t="inlineStr">
        <is>
          <t>Oracle</t>
        </is>
      </c>
      <c r="D369" s="3" t="n">
        <v>2026</v>
      </c>
      <c r="E369" s="25" t="inlineStr">
        <is>
          <t>H100/H200/A100 class</t>
        </is>
      </c>
      <c r="F369" s="5">
        <f>IFERROR(INDEX('02x_Accelerator_Catalog'!$C$2:$C$11,MATCH(E369,'02x_Accelerator_Catalog'!$B$2:$B$11,0)),"purpose_or_unbenchmarked")</f>
        <v/>
      </c>
      <c r="G369" s="8">
        <f>IFERROR(INDEX('02x_Accelerator_Catalog'!$D$2:$D$11,MATCH(E369,'02x_Accelerator_Catalog'!$B$2:$B$11,0)),"")</f>
        <v/>
      </c>
      <c r="H369" s="17" t="n">
        <v>0.03858834</v>
      </c>
      <c r="I369" s="6">
        <f>SUMIFS($H$2:$H$573,$B$2:$B$573,B369,$C$2:$C$573,C369,$D$2:$D$573,D369)</f>
        <v/>
      </c>
      <c r="J369" s="3" t="inlineStr">
        <is>
          <t>epoch_csp_chip_quantity_latest</t>
        </is>
      </c>
      <c r="K369" s="3" t="inlineStr">
        <is>
          <t>SRC_EPOCH_AI_DATA_CENTERS; EPOCH_RAW_CHIP_QUANTITIES</t>
        </is>
      </c>
      <c r="L369" s="3" t="inlineStr">
        <is>
          <t>Latest chip quantity per CSP/data-center/accelerator through year-end; normalized by unit count. Shares are editable.</t>
        </is>
      </c>
    </row>
    <row r="370">
      <c r="A370" s="5">
        <f>B370&amp;"|"&amp;C370&amp;"|"&amp;D370&amp;"|"&amp;E370</f>
        <v/>
      </c>
      <c r="B370" s="3" t="inlineStr">
        <is>
          <t>Bear</t>
        </is>
      </c>
      <c r="C370" s="3" t="inlineStr">
        <is>
          <t>Oracle</t>
        </is>
      </c>
      <c r="D370" s="3" t="n">
        <v>2027</v>
      </c>
      <c r="E370" s="25" t="inlineStr">
        <is>
          <t>B200/B300 class</t>
        </is>
      </c>
      <c r="F370" s="5">
        <f>IFERROR(INDEX('02x_Accelerator_Catalog'!$C$2:$C$11,MATCH(E370,'02x_Accelerator_Catalog'!$B$2:$B$11,0)),"purpose_or_unbenchmarked")</f>
        <v/>
      </c>
      <c r="G370" s="8">
        <f>IFERROR(INDEX('02x_Accelerator_Catalog'!$D$2:$D$11,MATCH(E370,'02x_Accelerator_Catalog'!$B$2:$B$11,0)),"")</f>
        <v/>
      </c>
      <c r="H370" s="17" t="n">
        <v>0.89163782</v>
      </c>
      <c r="I370" s="6">
        <f>SUMIFS($H$2:$H$573,$B$2:$B$573,B370,$C$2:$C$573,C370,$D$2:$D$573,D370)</f>
        <v/>
      </c>
      <c r="J370" s="3" t="inlineStr">
        <is>
          <t>epoch_csp_chip_quantity_latest</t>
        </is>
      </c>
      <c r="K370" s="3" t="inlineStr">
        <is>
          <t>SRC_EPOCH_AI_DATA_CENTERS; EPOCH_RAW_CHIP_QUANTITIES</t>
        </is>
      </c>
      <c r="L370" s="3" t="inlineStr">
        <is>
          <t>Latest chip quantity per CSP/data-center/accelerator through year-end; normalized by unit count. Shares are editable.</t>
        </is>
      </c>
    </row>
    <row r="371">
      <c r="A371" s="5">
        <f>B371&amp;"|"&amp;C371&amp;"|"&amp;D371&amp;"|"&amp;E371</f>
        <v/>
      </c>
      <c r="B371" s="3" t="inlineStr">
        <is>
          <t>Bear</t>
        </is>
      </c>
      <c r="C371" s="3" t="inlineStr">
        <is>
          <t>Oracle</t>
        </is>
      </c>
      <c r="D371" s="3" t="n">
        <v>2027</v>
      </c>
      <c r="E371" s="25" t="inlineStr">
        <is>
          <t>H100/H200/A100 class</t>
        </is>
      </c>
      <c r="F371" s="5">
        <f>IFERROR(INDEX('02x_Accelerator_Catalog'!$C$2:$C$11,MATCH(E371,'02x_Accelerator_Catalog'!$B$2:$B$11,0)),"purpose_or_unbenchmarked")</f>
        <v/>
      </c>
      <c r="G371" s="8">
        <f>IFERROR(INDEX('02x_Accelerator_Catalog'!$D$2:$D$11,MATCH(E371,'02x_Accelerator_Catalog'!$B$2:$B$11,0)),"")</f>
        <v/>
      </c>
      <c r="H371" s="17" t="n">
        <v>0.03578782</v>
      </c>
      <c r="I371" s="6">
        <f>SUMIFS($H$2:$H$573,$B$2:$B$573,B371,$C$2:$C$573,C371,$D$2:$D$573,D371)</f>
        <v/>
      </c>
      <c r="J371" s="3" t="inlineStr">
        <is>
          <t>epoch_csp_chip_quantity_latest</t>
        </is>
      </c>
      <c r="K371" s="3" t="inlineStr">
        <is>
          <t>SRC_EPOCH_AI_DATA_CENTERS; EPOCH_RAW_CHIP_QUANTITIES</t>
        </is>
      </c>
      <c r="L371" s="3" t="inlineStr">
        <is>
          <t>Latest chip quantity per CSP/data-center/accelerator through year-end; normalized by unit count. Shares are editable.</t>
        </is>
      </c>
    </row>
    <row r="372">
      <c r="A372" s="5">
        <f>B372&amp;"|"&amp;C372&amp;"|"&amp;D372&amp;"|"&amp;E372</f>
        <v/>
      </c>
      <c r="B372" s="3" t="inlineStr">
        <is>
          <t>Bear</t>
        </is>
      </c>
      <c r="C372" s="3" t="inlineStr">
        <is>
          <t>Oracle</t>
        </is>
      </c>
      <c r="D372" s="3" t="n">
        <v>2027</v>
      </c>
      <c r="E372" s="25" t="inlineStr">
        <is>
          <t>R200/R300 future</t>
        </is>
      </c>
      <c r="F372" s="5">
        <f>IFERROR(INDEX('02x_Accelerator_Catalog'!$C$2:$C$11,MATCH(E372,'02x_Accelerator_Catalog'!$B$2:$B$11,0)),"purpose_or_unbenchmarked")</f>
        <v/>
      </c>
      <c r="G372" s="8">
        <f>IFERROR(INDEX('02x_Accelerator_Catalog'!$D$2:$D$11,MATCH(E372,'02x_Accelerator_Catalog'!$B$2:$B$11,0)),"")</f>
        <v/>
      </c>
      <c r="H372" s="17" t="n">
        <v>0.07257436</v>
      </c>
      <c r="I372" s="6">
        <f>SUMIFS($H$2:$H$573,$B$2:$B$573,B372,$C$2:$C$573,C372,$D$2:$D$573,D372)</f>
        <v/>
      </c>
      <c r="J372" s="3" t="inlineStr">
        <is>
          <t>epoch_csp_chip_quantity_latest</t>
        </is>
      </c>
      <c r="K372" s="3" t="inlineStr">
        <is>
          <t>SRC_EPOCH_AI_DATA_CENTERS; EPOCH_RAW_CHIP_QUANTITIES</t>
        </is>
      </c>
      <c r="L372" s="3" t="inlineStr">
        <is>
          <t>Latest chip quantity per CSP/data-center/accelerator through year-end; normalized by unit count. Shares are editable.</t>
        </is>
      </c>
    </row>
    <row r="373">
      <c r="A373" s="5">
        <f>B373&amp;"|"&amp;C373&amp;"|"&amp;D373&amp;"|"&amp;E373</f>
        <v/>
      </c>
      <c r="B373" s="3" t="inlineStr">
        <is>
          <t>Base</t>
        </is>
      </c>
      <c r="C373" s="3" t="inlineStr">
        <is>
          <t>Oracle</t>
        </is>
      </c>
      <c r="D373" s="3" t="n">
        <v>2027</v>
      </c>
      <c r="E373" s="25" t="inlineStr">
        <is>
          <t>B200/B300 class</t>
        </is>
      </c>
      <c r="F373" s="5">
        <f>IFERROR(INDEX('02x_Accelerator_Catalog'!$C$2:$C$11,MATCH(E373,'02x_Accelerator_Catalog'!$B$2:$B$11,0)),"purpose_or_unbenchmarked")</f>
        <v/>
      </c>
      <c r="G373" s="8">
        <f>IFERROR(INDEX('02x_Accelerator_Catalog'!$D$2:$D$11,MATCH(E373,'02x_Accelerator_Catalog'!$B$2:$B$11,0)),"")</f>
        <v/>
      </c>
      <c r="H373" s="17" t="n">
        <v>0.89163782</v>
      </c>
      <c r="I373" s="6">
        <f>SUMIFS($H$2:$H$573,$B$2:$B$573,B373,$C$2:$C$573,C373,$D$2:$D$573,D373)</f>
        <v/>
      </c>
      <c r="J373" s="3" t="inlineStr">
        <is>
          <t>epoch_csp_chip_quantity_latest</t>
        </is>
      </c>
      <c r="K373" s="3" t="inlineStr">
        <is>
          <t>SRC_EPOCH_AI_DATA_CENTERS; EPOCH_RAW_CHIP_QUANTITIES</t>
        </is>
      </c>
      <c r="L373" s="3" t="inlineStr">
        <is>
          <t>Latest chip quantity per CSP/data-center/accelerator through year-end; normalized by unit count. Shares are editable.</t>
        </is>
      </c>
    </row>
    <row r="374">
      <c r="A374" s="5">
        <f>B374&amp;"|"&amp;C374&amp;"|"&amp;D374&amp;"|"&amp;E374</f>
        <v/>
      </c>
      <c r="B374" s="3" t="inlineStr">
        <is>
          <t>Base</t>
        </is>
      </c>
      <c r="C374" s="3" t="inlineStr">
        <is>
          <t>Oracle</t>
        </is>
      </c>
      <c r="D374" s="3" t="n">
        <v>2027</v>
      </c>
      <c r="E374" s="25" t="inlineStr">
        <is>
          <t>H100/H200/A100 class</t>
        </is>
      </c>
      <c r="F374" s="5">
        <f>IFERROR(INDEX('02x_Accelerator_Catalog'!$C$2:$C$11,MATCH(E374,'02x_Accelerator_Catalog'!$B$2:$B$11,0)),"purpose_or_unbenchmarked")</f>
        <v/>
      </c>
      <c r="G374" s="8">
        <f>IFERROR(INDEX('02x_Accelerator_Catalog'!$D$2:$D$11,MATCH(E374,'02x_Accelerator_Catalog'!$B$2:$B$11,0)),"")</f>
        <v/>
      </c>
      <c r="H374" s="17" t="n">
        <v>0.03578782</v>
      </c>
      <c r="I374" s="6">
        <f>SUMIFS($H$2:$H$573,$B$2:$B$573,B374,$C$2:$C$573,C374,$D$2:$D$573,D374)</f>
        <v/>
      </c>
      <c r="J374" s="3" t="inlineStr">
        <is>
          <t>epoch_csp_chip_quantity_latest</t>
        </is>
      </c>
      <c r="K374" s="3" t="inlineStr">
        <is>
          <t>SRC_EPOCH_AI_DATA_CENTERS; EPOCH_RAW_CHIP_QUANTITIES</t>
        </is>
      </c>
      <c r="L374" s="3" t="inlineStr">
        <is>
          <t>Latest chip quantity per CSP/data-center/accelerator through year-end; normalized by unit count. Shares are editable.</t>
        </is>
      </c>
    </row>
    <row r="375">
      <c r="A375" s="5">
        <f>B375&amp;"|"&amp;C375&amp;"|"&amp;D375&amp;"|"&amp;E375</f>
        <v/>
      </c>
      <c r="B375" s="3" t="inlineStr">
        <is>
          <t>Base</t>
        </is>
      </c>
      <c r="C375" s="3" t="inlineStr">
        <is>
          <t>Oracle</t>
        </is>
      </c>
      <c r="D375" s="3" t="n">
        <v>2027</v>
      </c>
      <c r="E375" s="25" t="inlineStr">
        <is>
          <t>R200/R300 future</t>
        </is>
      </c>
      <c r="F375" s="5">
        <f>IFERROR(INDEX('02x_Accelerator_Catalog'!$C$2:$C$11,MATCH(E375,'02x_Accelerator_Catalog'!$B$2:$B$11,0)),"purpose_or_unbenchmarked")</f>
        <v/>
      </c>
      <c r="G375" s="8">
        <f>IFERROR(INDEX('02x_Accelerator_Catalog'!$D$2:$D$11,MATCH(E375,'02x_Accelerator_Catalog'!$B$2:$B$11,0)),"")</f>
        <v/>
      </c>
      <c r="H375" s="17" t="n">
        <v>0.07257436</v>
      </c>
      <c r="I375" s="6">
        <f>SUMIFS($H$2:$H$573,$B$2:$B$573,B375,$C$2:$C$573,C375,$D$2:$D$573,D375)</f>
        <v/>
      </c>
      <c r="J375" s="3" t="inlineStr">
        <is>
          <t>epoch_csp_chip_quantity_latest</t>
        </is>
      </c>
      <c r="K375" s="3" t="inlineStr">
        <is>
          <t>SRC_EPOCH_AI_DATA_CENTERS; EPOCH_RAW_CHIP_QUANTITIES</t>
        </is>
      </c>
      <c r="L375" s="3" t="inlineStr">
        <is>
          <t>Latest chip quantity per CSP/data-center/accelerator through year-end; normalized by unit count. Shares are editable.</t>
        </is>
      </c>
    </row>
    <row r="376">
      <c r="A376" s="5">
        <f>B376&amp;"|"&amp;C376&amp;"|"&amp;D376&amp;"|"&amp;E376</f>
        <v/>
      </c>
      <c r="B376" s="3" t="inlineStr">
        <is>
          <t>Bull</t>
        </is>
      </c>
      <c r="C376" s="3" t="inlineStr">
        <is>
          <t>Oracle</t>
        </is>
      </c>
      <c r="D376" s="3" t="n">
        <v>2027</v>
      </c>
      <c r="E376" s="25" t="inlineStr">
        <is>
          <t>B200/B300 class</t>
        </is>
      </c>
      <c r="F376" s="5">
        <f>IFERROR(INDEX('02x_Accelerator_Catalog'!$C$2:$C$11,MATCH(E376,'02x_Accelerator_Catalog'!$B$2:$B$11,0)),"purpose_or_unbenchmarked")</f>
        <v/>
      </c>
      <c r="G376" s="8">
        <f>IFERROR(INDEX('02x_Accelerator_Catalog'!$D$2:$D$11,MATCH(E376,'02x_Accelerator_Catalog'!$B$2:$B$11,0)),"")</f>
        <v/>
      </c>
      <c r="H376" s="17" t="n">
        <v>0.89163782</v>
      </c>
      <c r="I376" s="6">
        <f>SUMIFS($H$2:$H$573,$B$2:$B$573,B376,$C$2:$C$573,C376,$D$2:$D$573,D376)</f>
        <v/>
      </c>
      <c r="J376" s="3" t="inlineStr">
        <is>
          <t>epoch_csp_chip_quantity_latest</t>
        </is>
      </c>
      <c r="K376" s="3" t="inlineStr">
        <is>
          <t>SRC_EPOCH_AI_DATA_CENTERS; EPOCH_RAW_CHIP_QUANTITIES</t>
        </is>
      </c>
      <c r="L376" s="3" t="inlineStr">
        <is>
          <t>Latest chip quantity per CSP/data-center/accelerator through year-end; normalized by unit count. Shares are editable.</t>
        </is>
      </c>
    </row>
    <row r="377">
      <c r="A377" s="5">
        <f>B377&amp;"|"&amp;C377&amp;"|"&amp;D377&amp;"|"&amp;E377</f>
        <v/>
      </c>
      <c r="B377" s="3" t="inlineStr">
        <is>
          <t>Bull</t>
        </is>
      </c>
      <c r="C377" s="3" t="inlineStr">
        <is>
          <t>Oracle</t>
        </is>
      </c>
      <c r="D377" s="3" t="n">
        <v>2027</v>
      </c>
      <c r="E377" s="25" t="inlineStr">
        <is>
          <t>H100/H200/A100 class</t>
        </is>
      </c>
      <c r="F377" s="5">
        <f>IFERROR(INDEX('02x_Accelerator_Catalog'!$C$2:$C$11,MATCH(E377,'02x_Accelerator_Catalog'!$B$2:$B$11,0)),"purpose_or_unbenchmarked")</f>
        <v/>
      </c>
      <c r="G377" s="8">
        <f>IFERROR(INDEX('02x_Accelerator_Catalog'!$D$2:$D$11,MATCH(E377,'02x_Accelerator_Catalog'!$B$2:$B$11,0)),"")</f>
        <v/>
      </c>
      <c r="H377" s="17" t="n">
        <v>0.03578782</v>
      </c>
      <c r="I377" s="6">
        <f>SUMIFS($H$2:$H$573,$B$2:$B$573,B377,$C$2:$C$573,C377,$D$2:$D$573,D377)</f>
        <v/>
      </c>
      <c r="J377" s="3" t="inlineStr">
        <is>
          <t>epoch_csp_chip_quantity_latest</t>
        </is>
      </c>
      <c r="K377" s="3" t="inlineStr">
        <is>
          <t>SRC_EPOCH_AI_DATA_CENTERS; EPOCH_RAW_CHIP_QUANTITIES</t>
        </is>
      </c>
      <c r="L377" s="3" t="inlineStr">
        <is>
          <t>Latest chip quantity per CSP/data-center/accelerator through year-end; normalized by unit count. Shares are editable.</t>
        </is>
      </c>
    </row>
    <row r="378">
      <c r="A378" s="5">
        <f>B378&amp;"|"&amp;C378&amp;"|"&amp;D378&amp;"|"&amp;E378</f>
        <v/>
      </c>
      <c r="B378" s="3" t="inlineStr">
        <is>
          <t>Bull</t>
        </is>
      </c>
      <c r="C378" s="3" t="inlineStr">
        <is>
          <t>Oracle</t>
        </is>
      </c>
      <c r="D378" s="3" t="n">
        <v>2027</v>
      </c>
      <c r="E378" s="25" t="inlineStr">
        <is>
          <t>R200/R300 future</t>
        </is>
      </c>
      <c r="F378" s="5">
        <f>IFERROR(INDEX('02x_Accelerator_Catalog'!$C$2:$C$11,MATCH(E378,'02x_Accelerator_Catalog'!$B$2:$B$11,0)),"purpose_or_unbenchmarked")</f>
        <v/>
      </c>
      <c r="G378" s="8">
        <f>IFERROR(INDEX('02x_Accelerator_Catalog'!$D$2:$D$11,MATCH(E378,'02x_Accelerator_Catalog'!$B$2:$B$11,0)),"")</f>
        <v/>
      </c>
      <c r="H378" s="17" t="n">
        <v>0.07257436</v>
      </c>
      <c r="I378" s="6">
        <f>SUMIFS($H$2:$H$573,$B$2:$B$573,B378,$C$2:$C$573,C378,$D$2:$D$573,D378)</f>
        <v/>
      </c>
      <c r="J378" s="3" t="inlineStr">
        <is>
          <t>epoch_csp_chip_quantity_latest</t>
        </is>
      </c>
      <c r="K378" s="3" t="inlineStr">
        <is>
          <t>SRC_EPOCH_AI_DATA_CENTERS; EPOCH_RAW_CHIP_QUANTITIES</t>
        </is>
      </c>
      <c r="L378" s="3" t="inlineStr">
        <is>
          <t>Latest chip quantity per CSP/data-center/accelerator through year-end; normalized by unit count. Shares are editable.</t>
        </is>
      </c>
    </row>
    <row r="379">
      <c r="A379" s="5">
        <f>B379&amp;"|"&amp;C379&amp;"|"&amp;D379&amp;"|"&amp;E379</f>
        <v/>
      </c>
      <c r="B379" s="3" t="inlineStr">
        <is>
          <t>Grid-Constrained / Efficiency-Upside</t>
        </is>
      </c>
      <c r="C379" s="3" t="inlineStr">
        <is>
          <t>Oracle</t>
        </is>
      </c>
      <c r="D379" s="3" t="n">
        <v>2027</v>
      </c>
      <c r="E379" s="25" t="inlineStr">
        <is>
          <t>B200/B300 class</t>
        </is>
      </c>
      <c r="F379" s="5">
        <f>IFERROR(INDEX('02x_Accelerator_Catalog'!$C$2:$C$11,MATCH(E379,'02x_Accelerator_Catalog'!$B$2:$B$11,0)),"purpose_or_unbenchmarked")</f>
        <v/>
      </c>
      <c r="G379" s="8">
        <f>IFERROR(INDEX('02x_Accelerator_Catalog'!$D$2:$D$11,MATCH(E379,'02x_Accelerator_Catalog'!$B$2:$B$11,0)),"")</f>
        <v/>
      </c>
      <c r="H379" s="17" t="n">
        <v>0.89163782</v>
      </c>
      <c r="I379" s="6">
        <f>SUMIFS($H$2:$H$573,$B$2:$B$573,B379,$C$2:$C$573,C379,$D$2:$D$573,D379)</f>
        <v/>
      </c>
      <c r="J379" s="3" t="inlineStr">
        <is>
          <t>epoch_csp_chip_quantity_latest</t>
        </is>
      </c>
      <c r="K379" s="3" t="inlineStr">
        <is>
          <t>SRC_EPOCH_AI_DATA_CENTERS; EPOCH_RAW_CHIP_QUANTITIES</t>
        </is>
      </c>
      <c r="L379" s="3" t="inlineStr">
        <is>
          <t>Latest chip quantity per CSP/data-center/accelerator through year-end; normalized by unit count. Shares are editable.</t>
        </is>
      </c>
    </row>
    <row r="380">
      <c r="A380" s="5">
        <f>B380&amp;"|"&amp;C380&amp;"|"&amp;D380&amp;"|"&amp;E380</f>
        <v/>
      </c>
      <c r="B380" s="3" t="inlineStr">
        <is>
          <t>Grid-Constrained / Efficiency-Upside</t>
        </is>
      </c>
      <c r="C380" s="3" t="inlineStr">
        <is>
          <t>Oracle</t>
        </is>
      </c>
      <c r="D380" s="3" t="n">
        <v>2027</v>
      </c>
      <c r="E380" s="25" t="inlineStr">
        <is>
          <t>H100/H200/A100 class</t>
        </is>
      </c>
      <c r="F380" s="5">
        <f>IFERROR(INDEX('02x_Accelerator_Catalog'!$C$2:$C$11,MATCH(E380,'02x_Accelerator_Catalog'!$B$2:$B$11,0)),"purpose_or_unbenchmarked")</f>
        <v/>
      </c>
      <c r="G380" s="8">
        <f>IFERROR(INDEX('02x_Accelerator_Catalog'!$D$2:$D$11,MATCH(E380,'02x_Accelerator_Catalog'!$B$2:$B$11,0)),"")</f>
        <v/>
      </c>
      <c r="H380" s="17" t="n">
        <v>0.03578782</v>
      </c>
      <c r="I380" s="6">
        <f>SUMIFS($H$2:$H$573,$B$2:$B$573,B380,$C$2:$C$573,C380,$D$2:$D$573,D380)</f>
        <v/>
      </c>
      <c r="J380" s="3" t="inlineStr">
        <is>
          <t>epoch_csp_chip_quantity_latest</t>
        </is>
      </c>
      <c r="K380" s="3" t="inlineStr">
        <is>
          <t>SRC_EPOCH_AI_DATA_CENTERS; EPOCH_RAW_CHIP_QUANTITIES</t>
        </is>
      </c>
      <c r="L380" s="3" t="inlineStr">
        <is>
          <t>Latest chip quantity per CSP/data-center/accelerator through year-end; normalized by unit count. Shares are editable.</t>
        </is>
      </c>
    </row>
    <row r="381">
      <c r="A381" s="5">
        <f>B381&amp;"|"&amp;C381&amp;"|"&amp;D381&amp;"|"&amp;E381</f>
        <v/>
      </c>
      <c r="B381" s="3" t="inlineStr">
        <is>
          <t>Grid-Constrained / Efficiency-Upside</t>
        </is>
      </c>
      <c r="C381" s="3" t="inlineStr">
        <is>
          <t>Oracle</t>
        </is>
      </c>
      <c r="D381" s="3" t="n">
        <v>2027</v>
      </c>
      <c r="E381" s="25" t="inlineStr">
        <is>
          <t>R200/R300 future</t>
        </is>
      </c>
      <c r="F381" s="5">
        <f>IFERROR(INDEX('02x_Accelerator_Catalog'!$C$2:$C$11,MATCH(E381,'02x_Accelerator_Catalog'!$B$2:$B$11,0)),"purpose_or_unbenchmarked")</f>
        <v/>
      </c>
      <c r="G381" s="8">
        <f>IFERROR(INDEX('02x_Accelerator_Catalog'!$D$2:$D$11,MATCH(E381,'02x_Accelerator_Catalog'!$B$2:$B$11,0)),"")</f>
        <v/>
      </c>
      <c r="H381" s="17" t="n">
        <v>0.07257436</v>
      </c>
      <c r="I381" s="6">
        <f>SUMIFS($H$2:$H$573,$B$2:$B$573,B381,$C$2:$C$573,C381,$D$2:$D$573,D381)</f>
        <v/>
      </c>
      <c r="J381" s="3" t="inlineStr">
        <is>
          <t>epoch_csp_chip_quantity_latest</t>
        </is>
      </c>
      <c r="K381" s="3" t="inlineStr">
        <is>
          <t>SRC_EPOCH_AI_DATA_CENTERS; EPOCH_RAW_CHIP_QUANTITIES</t>
        </is>
      </c>
      <c r="L381" s="3" t="inlineStr">
        <is>
          <t>Latest chip quantity per CSP/data-center/accelerator through year-end; normalized by unit count. Shares are editable.</t>
        </is>
      </c>
    </row>
    <row r="382">
      <c r="A382" s="5">
        <f>B382&amp;"|"&amp;C382&amp;"|"&amp;D382&amp;"|"&amp;E382</f>
        <v/>
      </c>
      <c r="B382" s="3" t="inlineStr">
        <is>
          <t>Bear</t>
        </is>
      </c>
      <c r="C382" s="3" t="inlineStr">
        <is>
          <t>Oracle</t>
        </is>
      </c>
      <c r="D382" s="3" t="n">
        <v>2028</v>
      </c>
      <c r="E382" s="25" t="inlineStr">
        <is>
          <t>B200/B300 class</t>
        </is>
      </c>
      <c r="F382" s="5">
        <f>IFERROR(INDEX('02x_Accelerator_Catalog'!$C$2:$C$11,MATCH(E382,'02x_Accelerator_Catalog'!$B$2:$B$11,0)),"purpose_or_unbenchmarked")</f>
        <v/>
      </c>
      <c r="G382" s="8">
        <f>IFERROR(INDEX('02x_Accelerator_Catalog'!$D$2:$D$11,MATCH(E382,'02x_Accelerator_Catalog'!$B$2:$B$11,0)),"")</f>
        <v/>
      </c>
      <c r="H382" s="17" t="n">
        <v>0.72252838</v>
      </c>
      <c r="I382" s="6">
        <f>SUMIFS($H$2:$H$573,$B$2:$B$573,B382,$C$2:$C$573,C382,$D$2:$D$573,D382)</f>
        <v/>
      </c>
      <c r="J382" s="3" t="inlineStr">
        <is>
          <t>epoch_csp_chip_quantity_latest</t>
        </is>
      </c>
      <c r="K382" s="3" t="inlineStr">
        <is>
          <t>SRC_EPOCH_AI_DATA_CENTERS; EPOCH_RAW_CHIP_QUANTITIES</t>
        </is>
      </c>
      <c r="L382" s="3" t="inlineStr">
        <is>
          <t>Latest chip quantity per CSP/data-center/accelerator through year-end; normalized by unit count. Shares are editable.</t>
        </is>
      </c>
    </row>
    <row r="383">
      <c r="A383" s="5">
        <f>B383&amp;"|"&amp;C383&amp;"|"&amp;D383&amp;"|"&amp;E383</f>
        <v/>
      </c>
      <c r="B383" s="3" t="inlineStr">
        <is>
          <t>Bear</t>
        </is>
      </c>
      <c r="C383" s="3" t="inlineStr">
        <is>
          <t>Oracle</t>
        </is>
      </c>
      <c r="D383" s="3" t="n">
        <v>2028</v>
      </c>
      <c r="E383" s="25" t="inlineStr">
        <is>
          <t>H100/H200/A100 class</t>
        </is>
      </c>
      <c r="F383" s="5">
        <f>IFERROR(INDEX('02x_Accelerator_Catalog'!$C$2:$C$11,MATCH(E383,'02x_Accelerator_Catalog'!$B$2:$B$11,0)),"purpose_or_unbenchmarked")</f>
        <v/>
      </c>
      <c r="G383" s="8">
        <f>IFERROR(INDEX('02x_Accelerator_Catalog'!$D$2:$D$11,MATCH(E383,'02x_Accelerator_Catalog'!$B$2:$B$11,0)),"")</f>
        <v/>
      </c>
      <c r="H383" s="17" t="n">
        <v>0.02900024</v>
      </c>
      <c r="I383" s="6">
        <f>SUMIFS($H$2:$H$573,$B$2:$B$573,B383,$C$2:$C$573,C383,$D$2:$D$573,D383)</f>
        <v/>
      </c>
      <c r="J383" s="3" t="inlineStr">
        <is>
          <t>epoch_csp_chip_quantity_latest</t>
        </is>
      </c>
      <c r="K383" s="3" t="inlineStr">
        <is>
          <t>SRC_EPOCH_AI_DATA_CENTERS; EPOCH_RAW_CHIP_QUANTITIES</t>
        </is>
      </c>
      <c r="L383" s="3" t="inlineStr">
        <is>
          <t>Latest chip quantity per CSP/data-center/accelerator through year-end; normalized by unit count. Shares are editable.</t>
        </is>
      </c>
    </row>
    <row r="384">
      <c r="A384" s="5">
        <f>B384&amp;"|"&amp;C384&amp;"|"&amp;D384&amp;"|"&amp;E384</f>
        <v/>
      </c>
      <c r="B384" s="3" t="inlineStr">
        <is>
          <t>Bear</t>
        </is>
      </c>
      <c r="C384" s="3" t="inlineStr">
        <is>
          <t>Oracle</t>
        </is>
      </c>
      <c r="D384" s="3" t="n">
        <v>2028</v>
      </c>
      <c r="E384" s="25" t="inlineStr">
        <is>
          <t>R200/R300 future</t>
        </is>
      </c>
      <c r="F384" s="5">
        <f>IFERROR(INDEX('02x_Accelerator_Catalog'!$C$2:$C$11,MATCH(E384,'02x_Accelerator_Catalog'!$B$2:$B$11,0)),"purpose_or_unbenchmarked")</f>
        <v/>
      </c>
      <c r="G384" s="8">
        <f>IFERROR(INDEX('02x_Accelerator_Catalog'!$D$2:$D$11,MATCH(E384,'02x_Accelerator_Catalog'!$B$2:$B$11,0)),"")</f>
        <v/>
      </c>
      <c r="H384" s="17" t="n">
        <v>0.24847138</v>
      </c>
      <c r="I384" s="6">
        <f>SUMIFS($H$2:$H$573,$B$2:$B$573,B384,$C$2:$C$573,C384,$D$2:$D$573,D384)</f>
        <v/>
      </c>
      <c r="J384" s="3" t="inlineStr">
        <is>
          <t>epoch_csp_chip_quantity_latest</t>
        </is>
      </c>
      <c r="K384" s="3" t="inlineStr">
        <is>
          <t>SRC_EPOCH_AI_DATA_CENTERS; EPOCH_RAW_CHIP_QUANTITIES</t>
        </is>
      </c>
      <c r="L384" s="3" t="inlineStr">
        <is>
          <t>Latest chip quantity per CSP/data-center/accelerator through year-end; normalized by unit count. Shares are editable.</t>
        </is>
      </c>
    </row>
    <row r="385">
      <c r="A385" s="5">
        <f>B385&amp;"|"&amp;C385&amp;"|"&amp;D385&amp;"|"&amp;E385</f>
        <v/>
      </c>
      <c r="B385" s="3" t="inlineStr">
        <is>
          <t>Base</t>
        </is>
      </c>
      <c r="C385" s="3" t="inlineStr">
        <is>
          <t>Oracle</t>
        </is>
      </c>
      <c r="D385" s="3" t="n">
        <v>2028</v>
      </c>
      <c r="E385" s="25" t="inlineStr">
        <is>
          <t>B200/B300 class</t>
        </is>
      </c>
      <c r="F385" s="5">
        <f>IFERROR(INDEX('02x_Accelerator_Catalog'!$C$2:$C$11,MATCH(E385,'02x_Accelerator_Catalog'!$B$2:$B$11,0)),"purpose_or_unbenchmarked")</f>
        <v/>
      </c>
      <c r="G385" s="8">
        <f>IFERROR(INDEX('02x_Accelerator_Catalog'!$D$2:$D$11,MATCH(E385,'02x_Accelerator_Catalog'!$B$2:$B$11,0)),"")</f>
        <v/>
      </c>
      <c r="H385" s="17" t="n">
        <v>0.72252838</v>
      </c>
      <c r="I385" s="6">
        <f>SUMIFS($H$2:$H$573,$B$2:$B$573,B385,$C$2:$C$573,C385,$D$2:$D$573,D385)</f>
        <v/>
      </c>
      <c r="J385" s="3" t="inlineStr">
        <is>
          <t>epoch_csp_chip_quantity_latest</t>
        </is>
      </c>
      <c r="K385" s="3" t="inlineStr">
        <is>
          <t>SRC_EPOCH_AI_DATA_CENTERS; EPOCH_RAW_CHIP_QUANTITIES</t>
        </is>
      </c>
      <c r="L385" s="3" t="inlineStr">
        <is>
          <t>Latest chip quantity per CSP/data-center/accelerator through year-end; normalized by unit count. Shares are editable.</t>
        </is>
      </c>
    </row>
    <row r="386">
      <c r="A386" s="5">
        <f>B386&amp;"|"&amp;C386&amp;"|"&amp;D386&amp;"|"&amp;E386</f>
        <v/>
      </c>
      <c r="B386" s="3" t="inlineStr">
        <is>
          <t>Base</t>
        </is>
      </c>
      <c r="C386" s="3" t="inlineStr">
        <is>
          <t>Oracle</t>
        </is>
      </c>
      <c r="D386" s="3" t="n">
        <v>2028</v>
      </c>
      <c r="E386" s="25" t="inlineStr">
        <is>
          <t>H100/H200/A100 class</t>
        </is>
      </c>
      <c r="F386" s="5">
        <f>IFERROR(INDEX('02x_Accelerator_Catalog'!$C$2:$C$11,MATCH(E386,'02x_Accelerator_Catalog'!$B$2:$B$11,0)),"purpose_or_unbenchmarked")</f>
        <v/>
      </c>
      <c r="G386" s="8">
        <f>IFERROR(INDEX('02x_Accelerator_Catalog'!$D$2:$D$11,MATCH(E386,'02x_Accelerator_Catalog'!$B$2:$B$11,0)),"")</f>
        <v/>
      </c>
      <c r="H386" s="17" t="n">
        <v>0.02900024</v>
      </c>
      <c r="I386" s="6">
        <f>SUMIFS($H$2:$H$573,$B$2:$B$573,B386,$C$2:$C$573,C386,$D$2:$D$573,D386)</f>
        <v/>
      </c>
      <c r="J386" s="3" t="inlineStr">
        <is>
          <t>epoch_csp_chip_quantity_latest</t>
        </is>
      </c>
      <c r="K386" s="3" t="inlineStr">
        <is>
          <t>SRC_EPOCH_AI_DATA_CENTERS; EPOCH_RAW_CHIP_QUANTITIES</t>
        </is>
      </c>
      <c r="L386" s="3" t="inlineStr">
        <is>
          <t>Latest chip quantity per CSP/data-center/accelerator through year-end; normalized by unit count. Shares are editable.</t>
        </is>
      </c>
    </row>
    <row r="387">
      <c r="A387" s="5">
        <f>B387&amp;"|"&amp;C387&amp;"|"&amp;D387&amp;"|"&amp;E387</f>
        <v/>
      </c>
      <c r="B387" s="3" t="inlineStr">
        <is>
          <t>Base</t>
        </is>
      </c>
      <c r="C387" s="3" t="inlineStr">
        <is>
          <t>Oracle</t>
        </is>
      </c>
      <c r="D387" s="3" t="n">
        <v>2028</v>
      </c>
      <c r="E387" s="25" t="inlineStr">
        <is>
          <t>R200/R300 future</t>
        </is>
      </c>
      <c r="F387" s="5">
        <f>IFERROR(INDEX('02x_Accelerator_Catalog'!$C$2:$C$11,MATCH(E387,'02x_Accelerator_Catalog'!$B$2:$B$11,0)),"purpose_or_unbenchmarked")</f>
        <v/>
      </c>
      <c r="G387" s="8">
        <f>IFERROR(INDEX('02x_Accelerator_Catalog'!$D$2:$D$11,MATCH(E387,'02x_Accelerator_Catalog'!$B$2:$B$11,0)),"")</f>
        <v/>
      </c>
      <c r="H387" s="17" t="n">
        <v>0.24847138</v>
      </c>
      <c r="I387" s="6">
        <f>SUMIFS($H$2:$H$573,$B$2:$B$573,B387,$C$2:$C$573,C387,$D$2:$D$573,D387)</f>
        <v/>
      </c>
      <c r="J387" s="3" t="inlineStr">
        <is>
          <t>epoch_csp_chip_quantity_latest</t>
        </is>
      </c>
      <c r="K387" s="3" t="inlineStr">
        <is>
          <t>SRC_EPOCH_AI_DATA_CENTERS; EPOCH_RAW_CHIP_QUANTITIES</t>
        </is>
      </c>
      <c r="L387" s="3" t="inlineStr">
        <is>
          <t>Latest chip quantity per CSP/data-center/accelerator through year-end; normalized by unit count. Shares are editable.</t>
        </is>
      </c>
    </row>
    <row r="388">
      <c r="A388" s="5">
        <f>B388&amp;"|"&amp;C388&amp;"|"&amp;D388&amp;"|"&amp;E388</f>
        <v/>
      </c>
      <c r="B388" s="3" t="inlineStr">
        <is>
          <t>Bull</t>
        </is>
      </c>
      <c r="C388" s="3" t="inlineStr">
        <is>
          <t>Oracle</t>
        </is>
      </c>
      <c r="D388" s="3" t="n">
        <v>2028</v>
      </c>
      <c r="E388" s="25" t="inlineStr">
        <is>
          <t>B200/B300 class</t>
        </is>
      </c>
      <c r="F388" s="5">
        <f>IFERROR(INDEX('02x_Accelerator_Catalog'!$C$2:$C$11,MATCH(E388,'02x_Accelerator_Catalog'!$B$2:$B$11,0)),"purpose_or_unbenchmarked")</f>
        <v/>
      </c>
      <c r="G388" s="8">
        <f>IFERROR(INDEX('02x_Accelerator_Catalog'!$D$2:$D$11,MATCH(E388,'02x_Accelerator_Catalog'!$B$2:$B$11,0)),"")</f>
        <v/>
      </c>
      <c r="H388" s="17" t="n">
        <v>0.72252838</v>
      </c>
      <c r="I388" s="6">
        <f>SUMIFS($H$2:$H$573,$B$2:$B$573,B388,$C$2:$C$573,C388,$D$2:$D$573,D388)</f>
        <v/>
      </c>
      <c r="J388" s="3" t="inlineStr">
        <is>
          <t>epoch_csp_chip_quantity_latest</t>
        </is>
      </c>
      <c r="K388" s="3" t="inlineStr">
        <is>
          <t>SRC_EPOCH_AI_DATA_CENTERS; EPOCH_RAW_CHIP_QUANTITIES</t>
        </is>
      </c>
      <c r="L388" s="3" t="inlineStr">
        <is>
          <t>Latest chip quantity per CSP/data-center/accelerator through year-end; normalized by unit count. Shares are editable.</t>
        </is>
      </c>
    </row>
    <row r="389">
      <c r="A389" s="5">
        <f>B389&amp;"|"&amp;C389&amp;"|"&amp;D389&amp;"|"&amp;E389</f>
        <v/>
      </c>
      <c r="B389" s="3" t="inlineStr">
        <is>
          <t>Bull</t>
        </is>
      </c>
      <c r="C389" s="3" t="inlineStr">
        <is>
          <t>Oracle</t>
        </is>
      </c>
      <c r="D389" s="3" t="n">
        <v>2028</v>
      </c>
      <c r="E389" s="25" t="inlineStr">
        <is>
          <t>H100/H200/A100 class</t>
        </is>
      </c>
      <c r="F389" s="5">
        <f>IFERROR(INDEX('02x_Accelerator_Catalog'!$C$2:$C$11,MATCH(E389,'02x_Accelerator_Catalog'!$B$2:$B$11,0)),"purpose_or_unbenchmarked")</f>
        <v/>
      </c>
      <c r="G389" s="8">
        <f>IFERROR(INDEX('02x_Accelerator_Catalog'!$D$2:$D$11,MATCH(E389,'02x_Accelerator_Catalog'!$B$2:$B$11,0)),"")</f>
        <v/>
      </c>
      <c r="H389" s="17" t="n">
        <v>0.02900024</v>
      </c>
      <c r="I389" s="6">
        <f>SUMIFS($H$2:$H$573,$B$2:$B$573,B389,$C$2:$C$573,C389,$D$2:$D$573,D389)</f>
        <v/>
      </c>
      <c r="J389" s="3" t="inlineStr">
        <is>
          <t>epoch_csp_chip_quantity_latest</t>
        </is>
      </c>
      <c r="K389" s="3" t="inlineStr">
        <is>
          <t>SRC_EPOCH_AI_DATA_CENTERS; EPOCH_RAW_CHIP_QUANTITIES</t>
        </is>
      </c>
      <c r="L389" s="3" t="inlineStr">
        <is>
          <t>Latest chip quantity per CSP/data-center/accelerator through year-end; normalized by unit count. Shares are editable.</t>
        </is>
      </c>
    </row>
    <row r="390">
      <c r="A390" s="5">
        <f>B390&amp;"|"&amp;C390&amp;"|"&amp;D390&amp;"|"&amp;E390</f>
        <v/>
      </c>
      <c r="B390" s="3" t="inlineStr">
        <is>
          <t>Bull</t>
        </is>
      </c>
      <c r="C390" s="3" t="inlineStr">
        <is>
          <t>Oracle</t>
        </is>
      </c>
      <c r="D390" s="3" t="n">
        <v>2028</v>
      </c>
      <c r="E390" s="25" t="inlineStr">
        <is>
          <t>R200/R300 future</t>
        </is>
      </c>
      <c r="F390" s="5">
        <f>IFERROR(INDEX('02x_Accelerator_Catalog'!$C$2:$C$11,MATCH(E390,'02x_Accelerator_Catalog'!$B$2:$B$11,0)),"purpose_or_unbenchmarked")</f>
        <v/>
      </c>
      <c r="G390" s="8">
        <f>IFERROR(INDEX('02x_Accelerator_Catalog'!$D$2:$D$11,MATCH(E390,'02x_Accelerator_Catalog'!$B$2:$B$11,0)),"")</f>
        <v/>
      </c>
      <c r="H390" s="17" t="n">
        <v>0.24847138</v>
      </c>
      <c r="I390" s="6">
        <f>SUMIFS($H$2:$H$573,$B$2:$B$573,B390,$C$2:$C$573,C390,$D$2:$D$573,D390)</f>
        <v/>
      </c>
      <c r="J390" s="3" t="inlineStr">
        <is>
          <t>epoch_csp_chip_quantity_latest</t>
        </is>
      </c>
      <c r="K390" s="3" t="inlineStr">
        <is>
          <t>SRC_EPOCH_AI_DATA_CENTERS; EPOCH_RAW_CHIP_QUANTITIES</t>
        </is>
      </c>
      <c r="L390" s="3" t="inlineStr">
        <is>
          <t>Latest chip quantity per CSP/data-center/accelerator through year-end; normalized by unit count. Shares are editable.</t>
        </is>
      </c>
    </row>
    <row r="391">
      <c r="A391" s="5">
        <f>B391&amp;"|"&amp;C391&amp;"|"&amp;D391&amp;"|"&amp;E391</f>
        <v/>
      </c>
      <c r="B391" s="3" t="inlineStr">
        <is>
          <t>Grid-Constrained / Efficiency-Upside</t>
        </is>
      </c>
      <c r="C391" s="3" t="inlineStr">
        <is>
          <t>Oracle</t>
        </is>
      </c>
      <c r="D391" s="3" t="n">
        <v>2028</v>
      </c>
      <c r="E391" s="25" t="inlineStr">
        <is>
          <t>B200/B300 class</t>
        </is>
      </c>
      <c r="F391" s="5">
        <f>IFERROR(INDEX('02x_Accelerator_Catalog'!$C$2:$C$11,MATCH(E391,'02x_Accelerator_Catalog'!$B$2:$B$11,0)),"purpose_or_unbenchmarked")</f>
        <v/>
      </c>
      <c r="G391" s="8">
        <f>IFERROR(INDEX('02x_Accelerator_Catalog'!$D$2:$D$11,MATCH(E391,'02x_Accelerator_Catalog'!$B$2:$B$11,0)),"")</f>
        <v/>
      </c>
      <c r="H391" s="17" t="n">
        <v>0.72252838</v>
      </c>
      <c r="I391" s="6">
        <f>SUMIFS($H$2:$H$573,$B$2:$B$573,B391,$C$2:$C$573,C391,$D$2:$D$573,D391)</f>
        <v/>
      </c>
      <c r="J391" s="3" t="inlineStr">
        <is>
          <t>epoch_csp_chip_quantity_latest</t>
        </is>
      </c>
      <c r="K391" s="3" t="inlineStr">
        <is>
          <t>SRC_EPOCH_AI_DATA_CENTERS; EPOCH_RAW_CHIP_QUANTITIES</t>
        </is>
      </c>
      <c r="L391" s="3" t="inlineStr">
        <is>
          <t>Latest chip quantity per CSP/data-center/accelerator through year-end; normalized by unit count. Shares are editable.</t>
        </is>
      </c>
    </row>
    <row r="392">
      <c r="A392" s="5">
        <f>B392&amp;"|"&amp;C392&amp;"|"&amp;D392&amp;"|"&amp;E392</f>
        <v/>
      </c>
      <c r="B392" s="3" t="inlineStr">
        <is>
          <t>Grid-Constrained / Efficiency-Upside</t>
        </is>
      </c>
      <c r="C392" s="3" t="inlineStr">
        <is>
          <t>Oracle</t>
        </is>
      </c>
      <c r="D392" s="3" t="n">
        <v>2028</v>
      </c>
      <c r="E392" s="25" t="inlineStr">
        <is>
          <t>H100/H200/A100 class</t>
        </is>
      </c>
      <c r="F392" s="5">
        <f>IFERROR(INDEX('02x_Accelerator_Catalog'!$C$2:$C$11,MATCH(E392,'02x_Accelerator_Catalog'!$B$2:$B$11,0)),"purpose_or_unbenchmarked")</f>
        <v/>
      </c>
      <c r="G392" s="8">
        <f>IFERROR(INDEX('02x_Accelerator_Catalog'!$D$2:$D$11,MATCH(E392,'02x_Accelerator_Catalog'!$B$2:$B$11,0)),"")</f>
        <v/>
      </c>
      <c r="H392" s="17" t="n">
        <v>0.02900024</v>
      </c>
      <c r="I392" s="6">
        <f>SUMIFS($H$2:$H$573,$B$2:$B$573,B392,$C$2:$C$573,C392,$D$2:$D$573,D392)</f>
        <v/>
      </c>
      <c r="J392" s="3" t="inlineStr">
        <is>
          <t>epoch_csp_chip_quantity_latest</t>
        </is>
      </c>
      <c r="K392" s="3" t="inlineStr">
        <is>
          <t>SRC_EPOCH_AI_DATA_CENTERS; EPOCH_RAW_CHIP_QUANTITIES</t>
        </is>
      </c>
      <c r="L392" s="3" t="inlineStr">
        <is>
          <t>Latest chip quantity per CSP/data-center/accelerator through year-end; normalized by unit count. Shares are editable.</t>
        </is>
      </c>
    </row>
    <row r="393">
      <c r="A393" s="5">
        <f>B393&amp;"|"&amp;C393&amp;"|"&amp;D393&amp;"|"&amp;E393</f>
        <v/>
      </c>
      <c r="B393" s="3" t="inlineStr">
        <is>
          <t>Grid-Constrained / Efficiency-Upside</t>
        </is>
      </c>
      <c r="C393" s="3" t="inlineStr">
        <is>
          <t>Oracle</t>
        </is>
      </c>
      <c r="D393" s="3" t="n">
        <v>2028</v>
      </c>
      <c r="E393" s="25" t="inlineStr">
        <is>
          <t>R200/R300 future</t>
        </is>
      </c>
      <c r="F393" s="5">
        <f>IFERROR(INDEX('02x_Accelerator_Catalog'!$C$2:$C$11,MATCH(E393,'02x_Accelerator_Catalog'!$B$2:$B$11,0)),"purpose_or_unbenchmarked")</f>
        <v/>
      </c>
      <c r="G393" s="8">
        <f>IFERROR(INDEX('02x_Accelerator_Catalog'!$D$2:$D$11,MATCH(E393,'02x_Accelerator_Catalog'!$B$2:$B$11,0)),"")</f>
        <v/>
      </c>
      <c r="H393" s="17" t="n">
        <v>0.24847138</v>
      </c>
      <c r="I393" s="6">
        <f>SUMIFS($H$2:$H$573,$B$2:$B$573,B393,$C$2:$C$573,C393,$D$2:$D$573,D393)</f>
        <v/>
      </c>
      <c r="J393" s="3" t="inlineStr">
        <is>
          <t>epoch_csp_chip_quantity_latest</t>
        </is>
      </c>
      <c r="K393" s="3" t="inlineStr">
        <is>
          <t>SRC_EPOCH_AI_DATA_CENTERS; EPOCH_RAW_CHIP_QUANTITIES</t>
        </is>
      </c>
      <c r="L393" s="3" t="inlineStr">
        <is>
          <t>Latest chip quantity per CSP/data-center/accelerator through year-end; normalized by unit count. Shares are editable.</t>
        </is>
      </c>
    </row>
    <row r="394">
      <c r="A394" s="5">
        <f>B394&amp;"|"&amp;C394&amp;"|"&amp;D394&amp;"|"&amp;E394</f>
        <v/>
      </c>
      <c r="B394" s="3" t="inlineStr">
        <is>
          <t>Bear</t>
        </is>
      </c>
      <c r="C394" s="3" t="inlineStr">
        <is>
          <t>Oracle</t>
        </is>
      </c>
      <c r="D394" s="3" t="n">
        <v>2029</v>
      </c>
      <c r="E394" s="25" t="inlineStr">
        <is>
          <t>B200/B300 class</t>
        </is>
      </c>
      <c r="F394" s="5">
        <f>IFERROR(INDEX('02x_Accelerator_Catalog'!$C$2:$C$11,MATCH(E394,'02x_Accelerator_Catalog'!$B$2:$B$11,0)),"purpose_or_unbenchmarked")</f>
        <v/>
      </c>
      <c r="G394" s="8">
        <f>IFERROR(INDEX('02x_Accelerator_Catalog'!$D$2:$D$11,MATCH(E394,'02x_Accelerator_Catalog'!$B$2:$B$11,0)),"")</f>
        <v/>
      </c>
      <c r="H394" s="17" t="n">
        <v>0.72252838</v>
      </c>
      <c r="I394" s="6">
        <f>SUMIFS($H$2:$H$573,$B$2:$B$573,B394,$C$2:$C$573,C394,$D$2:$D$573,D394)</f>
        <v/>
      </c>
      <c r="J394" s="3" t="inlineStr">
        <is>
          <t>epoch_csp_chip_quantity_latest</t>
        </is>
      </c>
      <c r="K394" s="3" t="inlineStr">
        <is>
          <t>SRC_EPOCH_AI_DATA_CENTERS; EPOCH_RAW_CHIP_QUANTITIES</t>
        </is>
      </c>
      <c r="L394" s="3" t="inlineStr">
        <is>
          <t>Latest chip quantity per CSP/data-center/accelerator through year-end; normalized by unit count. Shares are editable.</t>
        </is>
      </c>
    </row>
    <row r="395">
      <c r="A395" s="5">
        <f>B395&amp;"|"&amp;C395&amp;"|"&amp;D395&amp;"|"&amp;E395</f>
        <v/>
      </c>
      <c r="B395" s="3" t="inlineStr">
        <is>
          <t>Bear</t>
        </is>
      </c>
      <c r="C395" s="3" t="inlineStr">
        <is>
          <t>Oracle</t>
        </is>
      </c>
      <c r="D395" s="3" t="n">
        <v>2029</v>
      </c>
      <c r="E395" s="25" t="inlineStr">
        <is>
          <t>H100/H200/A100 class</t>
        </is>
      </c>
      <c r="F395" s="5">
        <f>IFERROR(INDEX('02x_Accelerator_Catalog'!$C$2:$C$11,MATCH(E395,'02x_Accelerator_Catalog'!$B$2:$B$11,0)),"purpose_or_unbenchmarked")</f>
        <v/>
      </c>
      <c r="G395" s="8">
        <f>IFERROR(INDEX('02x_Accelerator_Catalog'!$D$2:$D$11,MATCH(E395,'02x_Accelerator_Catalog'!$B$2:$B$11,0)),"")</f>
        <v/>
      </c>
      <c r="H395" s="17" t="n">
        <v>0.02900024</v>
      </c>
      <c r="I395" s="6">
        <f>SUMIFS($H$2:$H$573,$B$2:$B$573,B395,$C$2:$C$573,C395,$D$2:$D$573,D395)</f>
        <v/>
      </c>
      <c r="J395" s="3" t="inlineStr">
        <is>
          <t>epoch_csp_chip_quantity_latest</t>
        </is>
      </c>
      <c r="K395" s="3" t="inlineStr">
        <is>
          <t>SRC_EPOCH_AI_DATA_CENTERS; EPOCH_RAW_CHIP_QUANTITIES</t>
        </is>
      </c>
      <c r="L395" s="3" t="inlineStr">
        <is>
          <t>Latest chip quantity per CSP/data-center/accelerator through year-end; normalized by unit count. Shares are editable.</t>
        </is>
      </c>
    </row>
    <row r="396">
      <c r="A396" s="5">
        <f>B396&amp;"|"&amp;C396&amp;"|"&amp;D396&amp;"|"&amp;E396</f>
        <v/>
      </c>
      <c r="B396" s="3" t="inlineStr">
        <is>
          <t>Bear</t>
        </is>
      </c>
      <c r="C396" s="3" t="inlineStr">
        <is>
          <t>Oracle</t>
        </is>
      </c>
      <c r="D396" s="3" t="n">
        <v>2029</v>
      </c>
      <c r="E396" s="25" t="inlineStr">
        <is>
          <t>R200/R300 future</t>
        </is>
      </c>
      <c r="F396" s="5">
        <f>IFERROR(INDEX('02x_Accelerator_Catalog'!$C$2:$C$11,MATCH(E396,'02x_Accelerator_Catalog'!$B$2:$B$11,0)),"purpose_or_unbenchmarked")</f>
        <v/>
      </c>
      <c r="G396" s="8">
        <f>IFERROR(INDEX('02x_Accelerator_Catalog'!$D$2:$D$11,MATCH(E396,'02x_Accelerator_Catalog'!$B$2:$B$11,0)),"")</f>
        <v/>
      </c>
      <c r="H396" s="17" t="n">
        <v>0.24847138</v>
      </c>
      <c r="I396" s="6">
        <f>SUMIFS($H$2:$H$573,$B$2:$B$573,B396,$C$2:$C$573,C396,$D$2:$D$573,D396)</f>
        <v/>
      </c>
      <c r="J396" s="3" t="inlineStr">
        <is>
          <t>epoch_csp_chip_quantity_latest</t>
        </is>
      </c>
      <c r="K396" s="3" t="inlineStr">
        <is>
          <t>SRC_EPOCH_AI_DATA_CENTERS; EPOCH_RAW_CHIP_QUANTITIES</t>
        </is>
      </c>
      <c r="L396" s="3" t="inlineStr">
        <is>
          <t>Latest chip quantity per CSP/data-center/accelerator through year-end; normalized by unit count. Shares are editable.</t>
        </is>
      </c>
    </row>
    <row r="397">
      <c r="A397" s="5">
        <f>B397&amp;"|"&amp;C397&amp;"|"&amp;D397&amp;"|"&amp;E397</f>
        <v/>
      </c>
      <c r="B397" s="3" t="inlineStr">
        <is>
          <t>Base</t>
        </is>
      </c>
      <c r="C397" s="3" t="inlineStr">
        <is>
          <t>Oracle</t>
        </is>
      </c>
      <c r="D397" s="3" t="n">
        <v>2029</v>
      </c>
      <c r="E397" s="25" t="inlineStr">
        <is>
          <t>B200/B300 class</t>
        </is>
      </c>
      <c r="F397" s="5">
        <f>IFERROR(INDEX('02x_Accelerator_Catalog'!$C$2:$C$11,MATCH(E397,'02x_Accelerator_Catalog'!$B$2:$B$11,0)),"purpose_or_unbenchmarked")</f>
        <v/>
      </c>
      <c r="G397" s="8">
        <f>IFERROR(INDEX('02x_Accelerator_Catalog'!$D$2:$D$11,MATCH(E397,'02x_Accelerator_Catalog'!$B$2:$B$11,0)),"")</f>
        <v/>
      </c>
      <c r="H397" s="17" t="n">
        <v>0.72252838</v>
      </c>
      <c r="I397" s="6">
        <f>SUMIFS($H$2:$H$573,$B$2:$B$573,B397,$C$2:$C$573,C397,$D$2:$D$573,D397)</f>
        <v/>
      </c>
      <c r="J397" s="3" t="inlineStr">
        <is>
          <t>epoch_csp_chip_quantity_latest</t>
        </is>
      </c>
      <c r="K397" s="3" t="inlineStr">
        <is>
          <t>SRC_EPOCH_AI_DATA_CENTERS; EPOCH_RAW_CHIP_QUANTITIES</t>
        </is>
      </c>
      <c r="L397" s="3" t="inlineStr">
        <is>
          <t>Latest chip quantity per CSP/data-center/accelerator through year-end; normalized by unit count. Shares are editable.</t>
        </is>
      </c>
    </row>
    <row r="398">
      <c r="A398" s="5">
        <f>B398&amp;"|"&amp;C398&amp;"|"&amp;D398&amp;"|"&amp;E398</f>
        <v/>
      </c>
      <c r="B398" s="3" t="inlineStr">
        <is>
          <t>Base</t>
        </is>
      </c>
      <c r="C398" s="3" t="inlineStr">
        <is>
          <t>Oracle</t>
        </is>
      </c>
      <c r="D398" s="3" t="n">
        <v>2029</v>
      </c>
      <c r="E398" s="25" t="inlineStr">
        <is>
          <t>H100/H200/A100 class</t>
        </is>
      </c>
      <c r="F398" s="5">
        <f>IFERROR(INDEX('02x_Accelerator_Catalog'!$C$2:$C$11,MATCH(E398,'02x_Accelerator_Catalog'!$B$2:$B$11,0)),"purpose_or_unbenchmarked")</f>
        <v/>
      </c>
      <c r="G398" s="8">
        <f>IFERROR(INDEX('02x_Accelerator_Catalog'!$D$2:$D$11,MATCH(E398,'02x_Accelerator_Catalog'!$B$2:$B$11,0)),"")</f>
        <v/>
      </c>
      <c r="H398" s="17" t="n">
        <v>0.02900024</v>
      </c>
      <c r="I398" s="6">
        <f>SUMIFS($H$2:$H$573,$B$2:$B$573,B398,$C$2:$C$573,C398,$D$2:$D$573,D398)</f>
        <v/>
      </c>
      <c r="J398" s="3" t="inlineStr">
        <is>
          <t>epoch_csp_chip_quantity_latest</t>
        </is>
      </c>
      <c r="K398" s="3" t="inlineStr">
        <is>
          <t>SRC_EPOCH_AI_DATA_CENTERS; EPOCH_RAW_CHIP_QUANTITIES</t>
        </is>
      </c>
      <c r="L398" s="3" t="inlineStr">
        <is>
          <t>Latest chip quantity per CSP/data-center/accelerator through year-end; normalized by unit count. Shares are editable.</t>
        </is>
      </c>
    </row>
    <row r="399">
      <c r="A399" s="5">
        <f>B399&amp;"|"&amp;C399&amp;"|"&amp;D399&amp;"|"&amp;E399</f>
        <v/>
      </c>
      <c r="B399" s="3" t="inlineStr">
        <is>
          <t>Base</t>
        </is>
      </c>
      <c r="C399" s="3" t="inlineStr">
        <is>
          <t>Oracle</t>
        </is>
      </c>
      <c r="D399" s="3" t="n">
        <v>2029</v>
      </c>
      <c r="E399" s="25" t="inlineStr">
        <is>
          <t>R200/R300 future</t>
        </is>
      </c>
      <c r="F399" s="5">
        <f>IFERROR(INDEX('02x_Accelerator_Catalog'!$C$2:$C$11,MATCH(E399,'02x_Accelerator_Catalog'!$B$2:$B$11,0)),"purpose_or_unbenchmarked")</f>
        <v/>
      </c>
      <c r="G399" s="8">
        <f>IFERROR(INDEX('02x_Accelerator_Catalog'!$D$2:$D$11,MATCH(E399,'02x_Accelerator_Catalog'!$B$2:$B$11,0)),"")</f>
        <v/>
      </c>
      <c r="H399" s="17" t="n">
        <v>0.24847138</v>
      </c>
      <c r="I399" s="6">
        <f>SUMIFS($H$2:$H$573,$B$2:$B$573,B399,$C$2:$C$573,C399,$D$2:$D$573,D399)</f>
        <v/>
      </c>
      <c r="J399" s="3" t="inlineStr">
        <is>
          <t>epoch_csp_chip_quantity_latest</t>
        </is>
      </c>
      <c r="K399" s="3" t="inlineStr">
        <is>
          <t>SRC_EPOCH_AI_DATA_CENTERS; EPOCH_RAW_CHIP_QUANTITIES</t>
        </is>
      </c>
      <c r="L399" s="3" t="inlineStr">
        <is>
          <t>Latest chip quantity per CSP/data-center/accelerator through year-end; normalized by unit count. Shares are editable.</t>
        </is>
      </c>
    </row>
    <row r="400">
      <c r="A400" s="5">
        <f>B400&amp;"|"&amp;C400&amp;"|"&amp;D400&amp;"|"&amp;E400</f>
        <v/>
      </c>
      <c r="B400" s="3" t="inlineStr">
        <is>
          <t>Bull</t>
        </is>
      </c>
      <c r="C400" s="3" t="inlineStr">
        <is>
          <t>Oracle</t>
        </is>
      </c>
      <c r="D400" s="3" t="n">
        <v>2029</v>
      </c>
      <c r="E400" s="25" t="inlineStr">
        <is>
          <t>B200/B300 class</t>
        </is>
      </c>
      <c r="F400" s="5">
        <f>IFERROR(INDEX('02x_Accelerator_Catalog'!$C$2:$C$11,MATCH(E400,'02x_Accelerator_Catalog'!$B$2:$B$11,0)),"purpose_or_unbenchmarked")</f>
        <v/>
      </c>
      <c r="G400" s="8">
        <f>IFERROR(INDEX('02x_Accelerator_Catalog'!$D$2:$D$11,MATCH(E400,'02x_Accelerator_Catalog'!$B$2:$B$11,0)),"")</f>
        <v/>
      </c>
      <c r="H400" s="17" t="n">
        <v>0.72252838</v>
      </c>
      <c r="I400" s="6">
        <f>SUMIFS($H$2:$H$573,$B$2:$B$573,B400,$C$2:$C$573,C400,$D$2:$D$573,D400)</f>
        <v/>
      </c>
      <c r="J400" s="3" t="inlineStr">
        <is>
          <t>epoch_csp_chip_quantity_latest</t>
        </is>
      </c>
      <c r="K400" s="3" t="inlineStr">
        <is>
          <t>SRC_EPOCH_AI_DATA_CENTERS; EPOCH_RAW_CHIP_QUANTITIES</t>
        </is>
      </c>
      <c r="L400" s="3" t="inlineStr">
        <is>
          <t>Latest chip quantity per CSP/data-center/accelerator through year-end; normalized by unit count. Shares are editable.</t>
        </is>
      </c>
    </row>
    <row r="401">
      <c r="A401" s="5">
        <f>B401&amp;"|"&amp;C401&amp;"|"&amp;D401&amp;"|"&amp;E401</f>
        <v/>
      </c>
      <c r="B401" s="3" t="inlineStr">
        <is>
          <t>Bull</t>
        </is>
      </c>
      <c r="C401" s="3" t="inlineStr">
        <is>
          <t>Oracle</t>
        </is>
      </c>
      <c r="D401" s="3" t="n">
        <v>2029</v>
      </c>
      <c r="E401" s="25" t="inlineStr">
        <is>
          <t>H100/H200/A100 class</t>
        </is>
      </c>
      <c r="F401" s="5">
        <f>IFERROR(INDEX('02x_Accelerator_Catalog'!$C$2:$C$11,MATCH(E401,'02x_Accelerator_Catalog'!$B$2:$B$11,0)),"purpose_or_unbenchmarked")</f>
        <v/>
      </c>
      <c r="G401" s="8">
        <f>IFERROR(INDEX('02x_Accelerator_Catalog'!$D$2:$D$11,MATCH(E401,'02x_Accelerator_Catalog'!$B$2:$B$11,0)),"")</f>
        <v/>
      </c>
      <c r="H401" s="17" t="n">
        <v>0.02900024</v>
      </c>
      <c r="I401" s="6">
        <f>SUMIFS($H$2:$H$573,$B$2:$B$573,B401,$C$2:$C$573,C401,$D$2:$D$573,D401)</f>
        <v/>
      </c>
      <c r="J401" s="3" t="inlineStr">
        <is>
          <t>epoch_csp_chip_quantity_latest</t>
        </is>
      </c>
      <c r="K401" s="3" t="inlineStr">
        <is>
          <t>SRC_EPOCH_AI_DATA_CENTERS; EPOCH_RAW_CHIP_QUANTITIES</t>
        </is>
      </c>
      <c r="L401" s="3" t="inlineStr">
        <is>
          <t>Latest chip quantity per CSP/data-center/accelerator through year-end; normalized by unit count. Shares are editable.</t>
        </is>
      </c>
    </row>
    <row r="402">
      <c r="A402" s="5">
        <f>B402&amp;"|"&amp;C402&amp;"|"&amp;D402&amp;"|"&amp;E402</f>
        <v/>
      </c>
      <c r="B402" s="3" t="inlineStr">
        <is>
          <t>Bull</t>
        </is>
      </c>
      <c r="C402" s="3" t="inlineStr">
        <is>
          <t>Oracle</t>
        </is>
      </c>
      <c r="D402" s="3" t="n">
        <v>2029</v>
      </c>
      <c r="E402" s="25" t="inlineStr">
        <is>
          <t>R200/R300 future</t>
        </is>
      </c>
      <c r="F402" s="5">
        <f>IFERROR(INDEX('02x_Accelerator_Catalog'!$C$2:$C$11,MATCH(E402,'02x_Accelerator_Catalog'!$B$2:$B$11,0)),"purpose_or_unbenchmarked")</f>
        <v/>
      </c>
      <c r="G402" s="8">
        <f>IFERROR(INDEX('02x_Accelerator_Catalog'!$D$2:$D$11,MATCH(E402,'02x_Accelerator_Catalog'!$B$2:$B$11,0)),"")</f>
        <v/>
      </c>
      <c r="H402" s="17" t="n">
        <v>0.24847138</v>
      </c>
      <c r="I402" s="6">
        <f>SUMIFS($H$2:$H$573,$B$2:$B$573,B402,$C$2:$C$573,C402,$D$2:$D$573,D402)</f>
        <v/>
      </c>
      <c r="J402" s="3" t="inlineStr">
        <is>
          <t>epoch_csp_chip_quantity_latest</t>
        </is>
      </c>
      <c r="K402" s="3" t="inlineStr">
        <is>
          <t>SRC_EPOCH_AI_DATA_CENTERS; EPOCH_RAW_CHIP_QUANTITIES</t>
        </is>
      </c>
      <c r="L402" s="3" t="inlineStr">
        <is>
          <t>Latest chip quantity per CSP/data-center/accelerator through year-end; normalized by unit count. Shares are editable.</t>
        </is>
      </c>
    </row>
    <row r="403">
      <c r="A403" s="5">
        <f>B403&amp;"|"&amp;C403&amp;"|"&amp;D403&amp;"|"&amp;E403</f>
        <v/>
      </c>
      <c r="B403" s="3" t="inlineStr">
        <is>
          <t>Grid-Constrained / Efficiency-Upside</t>
        </is>
      </c>
      <c r="C403" s="3" t="inlineStr">
        <is>
          <t>Oracle</t>
        </is>
      </c>
      <c r="D403" s="3" t="n">
        <v>2029</v>
      </c>
      <c r="E403" s="25" t="inlineStr">
        <is>
          <t>B200/B300 class</t>
        </is>
      </c>
      <c r="F403" s="5">
        <f>IFERROR(INDEX('02x_Accelerator_Catalog'!$C$2:$C$11,MATCH(E403,'02x_Accelerator_Catalog'!$B$2:$B$11,0)),"purpose_or_unbenchmarked")</f>
        <v/>
      </c>
      <c r="G403" s="8">
        <f>IFERROR(INDEX('02x_Accelerator_Catalog'!$D$2:$D$11,MATCH(E403,'02x_Accelerator_Catalog'!$B$2:$B$11,0)),"")</f>
        <v/>
      </c>
      <c r="H403" s="17" t="n">
        <v>0.72252838</v>
      </c>
      <c r="I403" s="6">
        <f>SUMIFS($H$2:$H$573,$B$2:$B$573,B403,$C$2:$C$573,C403,$D$2:$D$573,D403)</f>
        <v/>
      </c>
      <c r="J403" s="3" t="inlineStr">
        <is>
          <t>epoch_csp_chip_quantity_latest</t>
        </is>
      </c>
      <c r="K403" s="3" t="inlineStr">
        <is>
          <t>SRC_EPOCH_AI_DATA_CENTERS; EPOCH_RAW_CHIP_QUANTITIES</t>
        </is>
      </c>
      <c r="L403" s="3" t="inlineStr">
        <is>
          <t>Latest chip quantity per CSP/data-center/accelerator through year-end; normalized by unit count. Shares are editable.</t>
        </is>
      </c>
    </row>
    <row r="404">
      <c r="A404" s="5">
        <f>B404&amp;"|"&amp;C404&amp;"|"&amp;D404&amp;"|"&amp;E404</f>
        <v/>
      </c>
      <c r="B404" s="3" t="inlineStr">
        <is>
          <t>Grid-Constrained / Efficiency-Upside</t>
        </is>
      </c>
      <c r="C404" s="3" t="inlineStr">
        <is>
          <t>Oracle</t>
        </is>
      </c>
      <c r="D404" s="3" t="n">
        <v>2029</v>
      </c>
      <c r="E404" s="25" t="inlineStr">
        <is>
          <t>H100/H200/A100 class</t>
        </is>
      </c>
      <c r="F404" s="5">
        <f>IFERROR(INDEX('02x_Accelerator_Catalog'!$C$2:$C$11,MATCH(E404,'02x_Accelerator_Catalog'!$B$2:$B$11,0)),"purpose_or_unbenchmarked")</f>
        <v/>
      </c>
      <c r="G404" s="8">
        <f>IFERROR(INDEX('02x_Accelerator_Catalog'!$D$2:$D$11,MATCH(E404,'02x_Accelerator_Catalog'!$B$2:$B$11,0)),"")</f>
        <v/>
      </c>
      <c r="H404" s="17" t="n">
        <v>0.02900024</v>
      </c>
      <c r="I404" s="6">
        <f>SUMIFS($H$2:$H$573,$B$2:$B$573,B404,$C$2:$C$573,C404,$D$2:$D$573,D404)</f>
        <v/>
      </c>
      <c r="J404" s="3" t="inlineStr">
        <is>
          <t>epoch_csp_chip_quantity_latest</t>
        </is>
      </c>
      <c r="K404" s="3" t="inlineStr">
        <is>
          <t>SRC_EPOCH_AI_DATA_CENTERS; EPOCH_RAW_CHIP_QUANTITIES</t>
        </is>
      </c>
      <c r="L404" s="3" t="inlineStr">
        <is>
          <t>Latest chip quantity per CSP/data-center/accelerator through year-end; normalized by unit count. Shares are editable.</t>
        </is>
      </c>
    </row>
    <row r="405">
      <c r="A405" s="5">
        <f>B405&amp;"|"&amp;C405&amp;"|"&amp;D405&amp;"|"&amp;E405</f>
        <v/>
      </c>
      <c r="B405" s="3" t="inlineStr">
        <is>
          <t>Grid-Constrained / Efficiency-Upside</t>
        </is>
      </c>
      <c r="C405" s="3" t="inlineStr">
        <is>
          <t>Oracle</t>
        </is>
      </c>
      <c r="D405" s="3" t="n">
        <v>2029</v>
      </c>
      <c r="E405" s="25" t="inlineStr">
        <is>
          <t>R200/R300 future</t>
        </is>
      </c>
      <c r="F405" s="5">
        <f>IFERROR(INDEX('02x_Accelerator_Catalog'!$C$2:$C$11,MATCH(E405,'02x_Accelerator_Catalog'!$B$2:$B$11,0)),"purpose_or_unbenchmarked")</f>
        <v/>
      </c>
      <c r="G405" s="8">
        <f>IFERROR(INDEX('02x_Accelerator_Catalog'!$D$2:$D$11,MATCH(E405,'02x_Accelerator_Catalog'!$B$2:$B$11,0)),"")</f>
        <v/>
      </c>
      <c r="H405" s="17" t="n">
        <v>0.24847138</v>
      </c>
      <c r="I405" s="6">
        <f>SUMIFS($H$2:$H$573,$B$2:$B$573,B405,$C$2:$C$573,C405,$D$2:$D$573,D405)</f>
        <v/>
      </c>
      <c r="J405" s="3" t="inlineStr">
        <is>
          <t>epoch_csp_chip_quantity_latest</t>
        </is>
      </c>
      <c r="K405" s="3" t="inlineStr">
        <is>
          <t>SRC_EPOCH_AI_DATA_CENTERS; EPOCH_RAW_CHIP_QUANTITIES</t>
        </is>
      </c>
      <c r="L405" s="3" t="inlineStr">
        <is>
          <t>Latest chip quantity per CSP/data-center/accelerator through year-end; normalized by unit count. Shares are editable.</t>
        </is>
      </c>
    </row>
    <row r="406">
      <c r="A406" s="5">
        <f>B406&amp;"|"&amp;C406&amp;"|"&amp;D406&amp;"|"&amp;E406</f>
        <v/>
      </c>
      <c r="B406" s="3" t="inlineStr">
        <is>
          <t>Bear</t>
        </is>
      </c>
      <c r="C406" s="3" t="inlineStr">
        <is>
          <t>Oracle</t>
        </is>
      </c>
      <c r="D406" s="3" t="n">
        <v>2030</v>
      </c>
      <c r="E406" s="25" t="inlineStr">
        <is>
          <t>B200/B300 class</t>
        </is>
      </c>
      <c r="F406" s="5">
        <f>IFERROR(INDEX('02x_Accelerator_Catalog'!$C$2:$C$11,MATCH(E406,'02x_Accelerator_Catalog'!$B$2:$B$11,0)),"purpose_or_unbenchmarked")</f>
        <v/>
      </c>
      <c r="G406" s="8">
        <f>IFERROR(INDEX('02x_Accelerator_Catalog'!$D$2:$D$11,MATCH(E406,'02x_Accelerator_Catalog'!$B$2:$B$11,0)),"")</f>
        <v/>
      </c>
      <c r="H406" s="17" t="n">
        <v>0.72252838</v>
      </c>
      <c r="I406" s="6">
        <f>SUMIFS($H$2:$H$573,$B$2:$B$573,B406,$C$2:$C$573,C406,$D$2:$D$573,D406)</f>
        <v/>
      </c>
      <c r="J406" s="3" t="inlineStr">
        <is>
          <t>epoch_csp_chip_quantity_latest</t>
        </is>
      </c>
      <c r="K406" s="3" t="inlineStr">
        <is>
          <t>SRC_EPOCH_AI_DATA_CENTERS; EPOCH_RAW_CHIP_QUANTITIES</t>
        </is>
      </c>
      <c r="L406" s="3" t="inlineStr">
        <is>
          <t>Latest chip quantity per CSP/data-center/accelerator through year-end; normalized by unit count. Shares are editable.</t>
        </is>
      </c>
    </row>
    <row r="407">
      <c r="A407" s="5">
        <f>B407&amp;"|"&amp;C407&amp;"|"&amp;D407&amp;"|"&amp;E407</f>
        <v/>
      </c>
      <c r="B407" s="3" t="inlineStr">
        <is>
          <t>Bear</t>
        </is>
      </c>
      <c r="C407" s="3" t="inlineStr">
        <is>
          <t>Oracle</t>
        </is>
      </c>
      <c r="D407" s="3" t="n">
        <v>2030</v>
      </c>
      <c r="E407" s="25" t="inlineStr">
        <is>
          <t>H100/H200/A100 class</t>
        </is>
      </c>
      <c r="F407" s="5">
        <f>IFERROR(INDEX('02x_Accelerator_Catalog'!$C$2:$C$11,MATCH(E407,'02x_Accelerator_Catalog'!$B$2:$B$11,0)),"purpose_or_unbenchmarked")</f>
        <v/>
      </c>
      <c r="G407" s="8">
        <f>IFERROR(INDEX('02x_Accelerator_Catalog'!$D$2:$D$11,MATCH(E407,'02x_Accelerator_Catalog'!$B$2:$B$11,0)),"")</f>
        <v/>
      </c>
      <c r="H407" s="17" t="n">
        <v>0.02900024</v>
      </c>
      <c r="I407" s="6">
        <f>SUMIFS($H$2:$H$573,$B$2:$B$573,B407,$C$2:$C$573,C407,$D$2:$D$573,D407)</f>
        <v/>
      </c>
      <c r="J407" s="3" t="inlineStr">
        <is>
          <t>epoch_csp_chip_quantity_latest</t>
        </is>
      </c>
      <c r="K407" s="3" t="inlineStr">
        <is>
          <t>SRC_EPOCH_AI_DATA_CENTERS; EPOCH_RAW_CHIP_QUANTITIES</t>
        </is>
      </c>
      <c r="L407" s="3" t="inlineStr">
        <is>
          <t>Latest chip quantity per CSP/data-center/accelerator through year-end; normalized by unit count. Shares are editable.</t>
        </is>
      </c>
    </row>
    <row r="408">
      <c r="A408" s="5">
        <f>B408&amp;"|"&amp;C408&amp;"|"&amp;D408&amp;"|"&amp;E408</f>
        <v/>
      </c>
      <c r="B408" s="3" t="inlineStr">
        <is>
          <t>Bear</t>
        </is>
      </c>
      <c r="C408" s="3" t="inlineStr">
        <is>
          <t>Oracle</t>
        </is>
      </c>
      <c r="D408" s="3" t="n">
        <v>2030</v>
      </c>
      <c r="E408" s="25" t="inlineStr">
        <is>
          <t>R200/R300 future</t>
        </is>
      </c>
      <c r="F408" s="5">
        <f>IFERROR(INDEX('02x_Accelerator_Catalog'!$C$2:$C$11,MATCH(E408,'02x_Accelerator_Catalog'!$B$2:$B$11,0)),"purpose_or_unbenchmarked")</f>
        <v/>
      </c>
      <c r="G408" s="8">
        <f>IFERROR(INDEX('02x_Accelerator_Catalog'!$D$2:$D$11,MATCH(E408,'02x_Accelerator_Catalog'!$B$2:$B$11,0)),"")</f>
        <v/>
      </c>
      <c r="H408" s="17" t="n">
        <v>0.24847138</v>
      </c>
      <c r="I408" s="6">
        <f>SUMIFS($H$2:$H$573,$B$2:$B$573,B408,$C$2:$C$573,C408,$D$2:$D$573,D408)</f>
        <v/>
      </c>
      <c r="J408" s="3" t="inlineStr">
        <is>
          <t>epoch_csp_chip_quantity_latest</t>
        </is>
      </c>
      <c r="K408" s="3" t="inlineStr">
        <is>
          <t>SRC_EPOCH_AI_DATA_CENTERS; EPOCH_RAW_CHIP_QUANTITIES</t>
        </is>
      </c>
      <c r="L408" s="3" t="inlineStr">
        <is>
          <t>Latest chip quantity per CSP/data-center/accelerator through year-end; normalized by unit count. Shares are editable.</t>
        </is>
      </c>
    </row>
    <row r="409">
      <c r="A409" s="5">
        <f>B409&amp;"|"&amp;C409&amp;"|"&amp;D409&amp;"|"&amp;E409</f>
        <v/>
      </c>
      <c r="B409" s="3" t="inlineStr">
        <is>
          <t>Base</t>
        </is>
      </c>
      <c r="C409" s="3" t="inlineStr">
        <is>
          <t>Oracle</t>
        </is>
      </c>
      <c r="D409" s="3" t="n">
        <v>2030</v>
      </c>
      <c r="E409" s="25" t="inlineStr">
        <is>
          <t>B200/B300 class</t>
        </is>
      </c>
      <c r="F409" s="5">
        <f>IFERROR(INDEX('02x_Accelerator_Catalog'!$C$2:$C$11,MATCH(E409,'02x_Accelerator_Catalog'!$B$2:$B$11,0)),"purpose_or_unbenchmarked")</f>
        <v/>
      </c>
      <c r="G409" s="8">
        <f>IFERROR(INDEX('02x_Accelerator_Catalog'!$D$2:$D$11,MATCH(E409,'02x_Accelerator_Catalog'!$B$2:$B$11,0)),"")</f>
        <v/>
      </c>
      <c r="H409" s="17" t="n">
        <v>0.72252838</v>
      </c>
      <c r="I409" s="6">
        <f>SUMIFS($H$2:$H$573,$B$2:$B$573,B409,$C$2:$C$573,C409,$D$2:$D$573,D409)</f>
        <v/>
      </c>
      <c r="J409" s="3" t="inlineStr">
        <is>
          <t>epoch_csp_chip_quantity_latest</t>
        </is>
      </c>
      <c r="K409" s="3" t="inlineStr">
        <is>
          <t>SRC_EPOCH_AI_DATA_CENTERS; EPOCH_RAW_CHIP_QUANTITIES</t>
        </is>
      </c>
      <c r="L409" s="3" t="inlineStr">
        <is>
          <t>Latest chip quantity per CSP/data-center/accelerator through year-end; normalized by unit count. Shares are editable.</t>
        </is>
      </c>
    </row>
    <row r="410">
      <c r="A410" s="5">
        <f>B410&amp;"|"&amp;C410&amp;"|"&amp;D410&amp;"|"&amp;E410</f>
        <v/>
      </c>
      <c r="B410" s="3" t="inlineStr">
        <is>
          <t>Base</t>
        </is>
      </c>
      <c r="C410" s="3" t="inlineStr">
        <is>
          <t>Oracle</t>
        </is>
      </c>
      <c r="D410" s="3" t="n">
        <v>2030</v>
      </c>
      <c r="E410" s="25" t="inlineStr">
        <is>
          <t>H100/H200/A100 class</t>
        </is>
      </c>
      <c r="F410" s="5">
        <f>IFERROR(INDEX('02x_Accelerator_Catalog'!$C$2:$C$11,MATCH(E410,'02x_Accelerator_Catalog'!$B$2:$B$11,0)),"purpose_or_unbenchmarked")</f>
        <v/>
      </c>
      <c r="G410" s="8">
        <f>IFERROR(INDEX('02x_Accelerator_Catalog'!$D$2:$D$11,MATCH(E410,'02x_Accelerator_Catalog'!$B$2:$B$11,0)),"")</f>
        <v/>
      </c>
      <c r="H410" s="17" t="n">
        <v>0.02900024</v>
      </c>
      <c r="I410" s="6">
        <f>SUMIFS($H$2:$H$573,$B$2:$B$573,B410,$C$2:$C$573,C410,$D$2:$D$573,D410)</f>
        <v/>
      </c>
      <c r="J410" s="3" t="inlineStr">
        <is>
          <t>epoch_csp_chip_quantity_latest</t>
        </is>
      </c>
      <c r="K410" s="3" t="inlineStr">
        <is>
          <t>SRC_EPOCH_AI_DATA_CENTERS; EPOCH_RAW_CHIP_QUANTITIES</t>
        </is>
      </c>
      <c r="L410" s="3" t="inlineStr">
        <is>
          <t>Latest chip quantity per CSP/data-center/accelerator through year-end; normalized by unit count. Shares are editable.</t>
        </is>
      </c>
    </row>
    <row r="411">
      <c r="A411" s="5">
        <f>B411&amp;"|"&amp;C411&amp;"|"&amp;D411&amp;"|"&amp;E411</f>
        <v/>
      </c>
      <c r="B411" s="3" t="inlineStr">
        <is>
          <t>Base</t>
        </is>
      </c>
      <c r="C411" s="3" t="inlineStr">
        <is>
          <t>Oracle</t>
        </is>
      </c>
      <c r="D411" s="3" t="n">
        <v>2030</v>
      </c>
      <c r="E411" s="25" t="inlineStr">
        <is>
          <t>R200/R300 future</t>
        </is>
      </c>
      <c r="F411" s="5">
        <f>IFERROR(INDEX('02x_Accelerator_Catalog'!$C$2:$C$11,MATCH(E411,'02x_Accelerator_Catalog'!$B$2:$B$11,0)),"purpose_or_unbenchmarked")</f>
        <v/>
      </c>
      <c r="G411" s="8">
        <f>IFERROR(INDEX('02x_Accelerator_Catalog'!$D$2:$D$11,MATCH(E411,'02x_Accelerator_Catalog'!$B$2:$B$11,0)),"")</f>
        <v/>
      </c>
      <c r="H411" s="17" t="n">
        <v>0.24847138</v>
      </c>
      <c r="I411" s="6">
        <f>SUMIFS($H$2:$H$573,$B$2:$B$573,B411,$C$2:$C$573,C411,$D$2:$D$573,D411)</f>
        <v/>
      </c>
      <c r="J411" s="3" t="inlineStr">
        <is>
          <t>epoch_csp_chip_quantity_latest</t>
        </is>
      </c>
      <c r="K411" s="3" t="inlineStr">
        <is>
          <t>SRC_EPOCH_AI_DATA_CENTERS; EPOCH_RAW_CHIP_QUANTITIES</t>
        </is>
      </c>
      <c r="L411" s="3" t="inlineStr">
        <is>
          <t>Latest chip quantity per CSP/data-center/accelerator through year-end; normalized by unit count. Shares are editable.</t>
        </is>
      </c>
    </row>
    <row r="412">
      <c r="A412" s="5">
        <f>B412&amp;"|"&amp;C412&amp;"|"&amp;D412&amp;"|"&amp;E412</f>
        <v/>
      </c>
      <c r="B412" s="3" t="inlineStr">
        <is>
          <t>Bull</t>
        </is>
      </c>
      <c r="C412" s="3" t="inlineStr">
        <is>
          <t>Oracle</t>
        </is>
      </c>
      <c r="D412" s="3" t="n">
        <v>2030</v>
      </c>
      <c r="E412" s="25" t="inlineStr">
        <is>
          <t>B200/B300 class</t>
        </is>
      </c>
      <c r="F412" s="5">
        <f>IFERROR(INDEX('02x_Accelerator_Catalog'!$C$2:$C$11,MATCH(E412,'02x_Accelerator_Catalog'!$B$2:$B$11,0)),"purpose_or_unbenchmarked")</f>
        <v/>
      </c>
      <c r="G412" s="8">
        <f>IFERROR(INDEX('02x_Accelerator_Catalog'!$D$2:$D$11,MATCH(E412,'02x_Accelerator_Catalog'!$B$2:$B$11,0)),"")</f>
        <v/>
      </c>
      <c r="H412" s="17" t="n">
        <v>0.72252838</v>
      </c>
      <c r="I412" s="6">
        <f>SUMIFS($H$2:$H$573,$B$2:$B$573,B412,$C$2:$C$573,C412,$D$2:$D$573,D412)</f>
        <v/>
      </c>
      <c r="J412" s="3" t="inlineStr">
        <is>
          <t>epoch_csp_chip_quantity_latest</t>
        </is>
      </c>
      <c r="K412" s="3" t="inlineStr">
        <is>
          <t>SRC_EPOCH_AI_DATA_CENTERS; EPOCH_RAW_CHIP_QUANTITIES</t>
        </is>
      </c>
      <c r="L412" s="3" t="inlineStr">
        <is>
          <t>Latest chip quantity per CSP/data-center/accelerator through year-end; normalized by unit count. Shares are editable.</t>
        </is>
      </c>
    </row>
    <row r="413">
      <c r="A413" s="5">
        <f>B413&amp;"|"&amp;C413&amp;"|"&amp;D413&amp;"|"&amp;E413</f>
        <v/>
      </c>
      <c r="B413" s="3" t="inlineStr">
        <is>
          <t>Bull</t>
        </is>
      </c>
      <c r="C413" s="3" t="inlineStr">
        <is>
          <t>Oracle</t>
        </is>
      </c>
      <c r="D413" s="3" t="n">
        <v>2030</v>
      </c>
      <c r="E413" s="25" t="inlineStr">
        <is>
          <t>H100/H200/A100 class</t>
        </is>
      </c>
      <c r="F413" s="5">
        <f>IFERROR(INDEX('02x_Accelerator_Catalog'!$C$2:$C$11,MATCH(E413,'02x_Accelerator_Catalog'!$B$2:$B$11,0)),"purpose_or_unbenchmarked")</f>
        <v/>
      </c>
      <c r="G413" s="8">
        <f>IFERROR(INDEX('02x_Accelerator_Catalog'!$D$2:$D$11,MATCH(E413,'02x_Accelerator_Catalog'!$B$2:$B$11,0)),"")</f>
        <v/>
      </c>
      <c r="H413" s="17" t="n">
        <v>0.02900024</v>
      </c>
      <c r="I413" s="6">
        <f>SUMIFS($H$2:$H$573,$B$2:$B$573,B413,$C$2:$C$573,C413,$D$2:$D$573,D413)</f>
        <v/>
      </c>
      <c r="J413" s="3" t="inlineStr">
        <is>
          <t>epoch_csp_chip_quantity_latest</t>
        </is>
      </c>
      <c r="K413" s="3" t="inlineStr">
        <is>
          <t>SRC_EPOCH_AI_DATA_CENTERS; EPOCH_RAW_CHIP_QUANTITIES</t>
        </is>
      </c>
      <c r="L413" s="3" t="inlineStr">
        <is>
          <t>Latest chip quantity per CSP/data-center/accelerator through year-end; normalized by unit count. Shares are editable.</t>
        </is>
      </c>
    </row>
    <row r="414">
      <c r="A414" s="5">
        <f>B414&amp;"|"&amp;C414&amp;"|"&amp;D414&amp;"|"&amp;E414</f>
        <v/>
      </c>
      <c r="B414" s="3" t="inlineStr">
        <is>
          <t>Bull</t>
        </is>
      </c>
      <c r="C414" s="3" t="inlineStr">
        <is>
          <t>Oracle</t>
        </is>
      </c>
      <c r="D414" s="3" t="n">
        <v>2030</v>
      </c>
      <c r="E414" s="25" t="inlineStr">
        <is>
          <t>R200/R300 future</t>
        </is>
      </c>
      <c r="F414" s="5">
        <f>IFERROR(INDEX('02x_Accelerator_Catalog'!$C$2:$C$11,MATCH(E414,'02x_Accelerator_Catalog'!$B$2:$B$11,0)),"purpose_or_unbenchmarked")</f>
        <v/>
      </c>
      <c r="G414" s="8">
        <f>IFERROR(INDEX('02x_Accelerator_Catalog'!$D$2:$D$11,MATCH(E414,'02x_Accelerator_Catalog'!$B$2:$B$11,0)),"")</f>
        <v/>
      </c>
      <c r="H414" s="17" t="n">
        <v>0.24847138</v>
      </c>
      <c r="I414" s="6">
        <f>SUMIFS($H$2:$H$573,$B$2:$B$573,B414,$C$2:$C$573,C414,$D$2:$D$573,D414)</f>
        <v/>
      </c>
      <c r="J414" s="3" t="inlineStr">
        <is>
          <t>epoch_csp_chip_quantity_latest</t>
        </is>
      </c>
      <c r="K414" s="3" t="inlineStr">
        <is>
          <t>SRC_EPOCH_AI_DATA_CENTERS; EPOCH_RAW_CHIP_QUANTITIES</t>
        </is>
      </c>
      <c r="L414" s="3" t="inlineStr">
        <is>
          <t>Latest chip quantity per CSP/data-center/accelerator through year-end; normalized by unit count. Shares are editable.</t>
        </is>
      </c>
    </row>
    <row r="415">
      <c r="A415" s="5">
        <f>B415&amp;"|"&amp;C415&amp;"|"&amp;D415&amp;"|"&amp;E415</f>
        <v/>
      </c>
      <c r="B415" s="3" t="inlineStr">
        <is>
          <t>Grid-Constrained / Efficiency-Upside</t>
        </is>
      </c>
      <c r="C415" s="3" t="inlineStr">
        <is>
          <t>Oracle</t>
        </is>
      </c>
      <c r="D415" s="3" t="n">
        <v>2030</v>
      </c>
      <c r="E415" s="25" t="inlineStr">
        <is>
          <t>B200/B300 class</t>
        </is>
      </c>
      <c r="F415" s="5">
        <f>IFERROR(INDEX('02x_Accelerator_Catalog'!$C$2:$C$11,MATCH(E415,'02x_Accelerator_Catalog'!$B$2:$B$11,0)),"purpose_or_unbenchmarked")</f>
        <v/>
      </c>
      <c r="G415" s="8">
        <f>IFERROR(INDEX('02x_Accelerator_Catalog'!$D$2:$D$11,MATCH(E415,'02x_Accelerator_Catalog'!$B$2:$B$11,0)),"")</f>
        <v/>
      </c>
      <c r="H415" s="17" t="n">
        <v>0.72252838</v>
      </c>
      <c r="I415" s="6">
        <f>SUMIFS($H$2:$H$573,$B$2:$B$573,B415,$C$2:$C$573,C415,$D$2:$D$573,D415)</f>
        <v/>
      </c>
      <c r="J415" s="3" t="inlineStr">
        <is>
          <t>epoch_csp_chip_quantity_latest</t>
        </is>
      </c>
      <c r="K415" s="3" t="inlineStr">
        <is>
          <t>SRC_EPOCH_AI_DATA_CENTERS; EPOCH_RAW_CHIP_QUANTITIES</t>
        </is>
      </c>
      <c r="L415" s="3" t="inlineStr">
        <is>
          <t>Latest chip quantity per CSP/data-center/accelerator through year-end; normalized by unit count. Shares are editable.</t>
        </is>
      </c>
    </row>
    <row r="416">
      <c r="A416" s="5">
        <f>B416&amp;"|"&amp;C416&amp;"|"&amp;D416&amp;"|"&amp;E416</f>
        <v/>
      </c>
      <c r="B416" s="3" t="inlineStr">
        <is>
          <t>Grid-Constrained / Efficiency-Upside</t>
        </is>
      </c>
      <c r="C416" s="3" t="inlineStr">
        <is>
          <t>Oracle</t>
        </is>
      </c>
      <c r="D416" s="3" t="n">
        <v>2030</v>
      </c>
      <c r="E416" s="25" t="inlineStr">
        <is>
          <t>H100/H200/A100 class</t>
        </is>
      </c>
      <c r="F416" s="5">
        <f>IFERROR(INDEX('02x_Accelerator_Catalog'!$C$2:$C$11,MATCH(E416,'02x_Accelerator_Catalog'!$B$2:$B$11,0)),"purpose_or_unbenchmarked")</f>
        <v/>
      </c>
      <c r="G416" s="8">
        <f>IFERROR(INDEX('02x_Accelerator_Catalog'!$D$2:$D$11,MATCH(E416,'02x_Accelerator_Catalog'!$B$2:$B$11,0)),"")</f>
        <v/>
      </c>
      <c r="H416" s="17" t="n">
        <v>0.02900024</v>
      </c>
      <c r="I416" s="6">
        <f>SUMIFS($H$2:$H$573,$B$2:$B$573,B416,$C$2:$C$573,C416,$D$2:$D$573,D416)</f>
        <v/>
      </c>
      <c r="J416" s="3" t="inlineStr">
        <is>
          <t>epoch_csp_chip_quantity_latest</t>
        </is>
      </c>
      <c r="K416" s="3" t="inlineStr">
        <is>
          <t>SRC_EPOCH_AI_DATA_CENTERS; EPOCH_RAW_CHIP_QUANTITIES</t>
        </is>
      </c>
      <c r="L416" s="3" t="inlineStr">
        <is>
          <t>Latest chip quantity per CSP/data-center/accelerator through year-end; normalized by unit count. Shares are editable.</t>
        </is>
      </c>
    </row>
    <row r="417">
      <c r="A417" s="5">
        <f>B417&amp;"|"&amp;C417&amp;"|"&amp;D417&amp;"|"&amp;E417</f>
        <v/>
      </c>
      <c r="B417" s="3" t="inlineStr">
        <is>
          <t>Grid-Constrained / Efficiency-Upside</t>
        </is>
      </c>
      <c r="C417" s="3" t="inlineStr">
        <is>
          <t>Oracle</t>
        </is>
      </c>
      <c r="D417" s="3" t="n">
        <v>2030</v>
      </c>
      <c r="E417" s="25" t="inlineStr">
        <is>
          <t>R200/R300 future</t>
        </is>
      </c>
      <c r="F417" s="5">
        <f>IFERROR(INDEX('02x_Accelerator_Catalog'!$C$2:$C$11,MATCH(E417,'02x_Accelerator_Catalog'!$B$2:$B$11,0)),"purpose_or_unbenchmarked")</f>
        <v/>
      </c>
      <c r="G417" s="8">
        <f>IFERROR(INDEX('02x_Accelerator_Catalog'!$D$2:$D$11,MATCH(E417,'02x_Accelerator_Catalog'!$B$2:$B$11,0)),"")</f>
        <v/>
      </c>
      <c r="H417" s="17" t="n">
        <v>0.24847138</v>
      </c>
      <c r="I417" s="6">
        <f>SUMIFS($H$2:$H$573,$B$2:$B$573,B417,$C$2:$C$573,C417,$D$2:$D$573,D417)</f>
        <v/>
      </c>
      <c r="J417" s="3" t="inlineStr">
        <is>
          <t>epoch_csp_chip_quantity_latest</t>
        </is>
      </c>
      <c r="K417" s="3" t="inlineStr">
        <is>
          <t>SRC_EPOCH_AI_DATA_CENTERS; EPOCH_RAW_CHIP_QUANTITIES</t>
        </is>
      </c>
      <c r="L417" s="3" t="inlineStr">
        <is>
          <t>Latest chip quantity per CSP/data-center/accelerator through year-end; normalized by unit count. Shares are editable.</t>
        </is>
      </c>
    </row>
    <row r="418">
      <c r="A418" s="5">
        <f>B418&amp;"|"&amp;C418&amp;"|"&amp;D418&amp;"|"&amp;E418</f>
        <v/>
      </c>
      <c r="B418" s="3" t="inlineStr">
        <is>
          <t>Bear</t>
        </is>
      </c>
      <c r="C418" s="3" t="inlineStr">
        <is>
          <t>Softbank</t>
        </is>
      </c>
      <c r="D418" s="3" t="n">
        <v>2028</v>
      </c>
      <c r="E418" s="25" t="inlineStr">
        <is>
          <t>B200/B300 class</t>
        </is>
      </c>
      <c r="F418" s="5">
        <f>IFERROR(INDEX('02x_Accelerator_Catalog'!$C$2:$C$11,MATCH(E418,'02x_Accelerator_Catalog'!$B$2:$B$11,0)),"purpose_or_unbenchmarked")</f>
        <v/>
      </c>
      <c r="G418" s="8">
        <f>IFERROR(INDEX('02x_Accelerator_Catalog'!$D$2:$D$11,MATCH(E418,'02x_Accelerator_Catalog'!$B$2:$B$11,0)),"")</f>
        <v/>
      </c>
      <c r="H418" s="17" t="n">
        <v>0.375</v>
      </c>
      <c r="I418" s="6">
        <f>SUMIFS($H$2:$H$573,$B$2:$B$573,B418,$C$2:$C$573,C418,$D$2:$D$573,D418)</f>
        <v/>
      </c>
      <c r="J418" s="3" t="inlineStr">
        <is>
          <t>legacy_company_gpu_mix_fallback</t>
        </is>
      </c>
      <c r="K418" s="3" t="inlineStr">
        <is>
          <t>SRC_OPENAI_GPT41_DOCS; SRC_OPENAI_STARGATE_ORACLE; SRC_OPENAI_STARGATE_PROGRESS</t>
        </is>
      </c>
      <c r="L418" s="3" t="inlineStr">
        <is>
          <t>No CSP-level chip quantity seed was available; prior company-level GPU/ASIC mix is retained as fallback.</t>
        </is>
      </c>
    </row>
    <row r="419">
      <c r="A419" s="5">
        <f>B419&amp;"|"&amp;C419&amp;"|"&amp;D419&amp;"|"&amp;E419</f>
        <v/>
      </c>
      <c r="B419" s="3" t="inlineStr">
        <is>
          <t>Bear</t>
        </is>
      </c>
      <c r="C419" s="3" t="inlineStr">
        <is>
          <t>Softbank</t>
        </is>
      </c>
      <c r="D419" s="3" t="n">
        <v>2028</v>
      </c>
      <c r="E419" s="25" t="inlineStr">
        <is>
          <t>GB200/GB300 class</t>
        </is>
      </c>
      <c r="F419" s="5">
        <f>IFERROR(INDEX('02x_Accelerator_Catalog'!$C$2:$C$11,MATCH(E419,'02x_Accelerator_Catalog'!$B$2:$B$11,0)),"purpose_or_unbenchmarked")</f>
        <v/>
      </c>
      <c r="G419" s="8">
        <f>IFERROR(INDEX('02x_Accelerator_Catalog'!$D$2:$D$11,MATCH(E419,'02x_Accelerator_Catalog'!$B$2:$B$11,0)),"")</f>
        <v/>
      </c>
      <c r="H419" s="17" t="n">
        <v>0.3</v>
      </c>
      <c r="I419" s="6">
        <f>SUMIFS($H$2:$H$573,$B$2:$B$573,B419,$C$2:$C$573,C419,$D$2:$D$573,D419)</f>
        <v/>
      </c>
      <c r="J419" s="3" t="inlineStr">
        <is>
          <t>legacy_company_gpu_mix_fallback</t>
        </is>
      </c>
      <c r="K419" s="3" t="inlineStr">
        <is>
          <t>SRC_OPENAI_GPT41_DOCS; SRC_OPENAI_STARGATE_ORACLE; SRC_OPENAI_STARGATE_PROGRESS</t>
        </is>
      </c>
      <c r="L419" s="3" t="inlineStr">
        <is>
          <t>No CSP-level chip quantity seed was available; prior company-level GPU/ASIC mix is retained as fallback.</t>
        </is>
      </c>
    </row>
    <row r="420">
      <c r="A420" s="5">
        <f>B420&amp;"|"&amp;C420&amp;"|"&amp;D420&amp;"|"&amp;E420</f>
        <v/>
      </c>
      <c r="B420" s="3" t="inlineStr">
        <is>
          <t>Bear</t>
        </is>
      </c>
      <c r="C420" s="3" t="inlineStr">
        <is>
          <t>Softbank</t>
        </is>
      </c>
      <c r="D420" s="3" t="n">
        <v>2028</v>
      </c>
      <c r="E420" s="25" t="inlineStr">
        <is>
          <t>H100/H200/A100 class</t>
        </is>
      </c>
      <c r="F420" s="5">
        <f>IFERROR(INDEX('02x_Accelerator_Catalog'!$C$2:$C$11,MATCH(E420,'02x_Accelerator_Catalog'!$B$2:$B$11,0)),"purpose_or_unbenchmarked")</f>
        <v/>
      </c>
      <c r="G420" s="8">
        <f>IFERROR(INDEX('02x_Accelerator_Catalog'!$D$2:$D$11,MATCH(E420,'02x_Accelerator_Catalog'!$B$2:$B$11,0)),"")</f>
        <v/>
      </c>
      <c r="H420" s="17" t="n">
        <v>0.325</v>
      </c>
      <c r="I420" s="6">
        <f>SUMIFS($H$2:$H$573,$B$2:$B$573,B420,$C$2:$C$573,C420,$D$2:$D$573,D420)</f>
        <v/>
      </c>
      <c r="J420" s="3" t="inlineStr">
        <is>
          <t>legacy_company_gpu_mix_fallback</t>
        </is>
      </c>
      <c r="K420" s="3" t="inlineStr">
        <is>
          <t>SRC_OPENAI_GPT41_DOCS; SRC_OPENAI_STARGATE_ORACLE; SRC_OPENAI_STARGATE_PROGRESS</t>
        </is>
      </c>
      <c r="L420" s="3" t="inlineStr">
        <is>
          <t>No CSP-level chip quantity seed was available; prior company-level GPU/ASIC mix is retained as fallback.</t>
        </is>
      </c>
    </row>
    <row r="421">
      <c r="A421" s="5">
        <f>B421&amp;"|"&amp;C421&amp;"|"&amp;D421&amp;"|"&amp;E421</f>
        <v/>
      </c>
      <c r="B421" s="3" t="inlineStr">
        <is>
          <t>Base</t>
        </is>
      </c>
      <c r="C421" s="3" t="inlineStr">
        <is>
          <t>Softbank</t>
        </is>
      </c>
      <c r="D421" s="3" t="n">
        <v>2028</v>
      </c>
      <c r="E421" s="25" t="inlineStr">
        <is>
          <t>B200/B300 class</t>
        </is>
      </c>
      <c r="F421" s="5">
        <f>IFERROR(INDEX('02x_Accelerator_Catalog'!$C$2:$C$11,MATCH(E421,'02x_Accelerator_Catalog'!$B$2:$B$11,0)),"purpose_or_unbenchmarked")</f>
        <v/>
      </c>
      <c r="G421" s="8">
        <f>IFERROR(INDEX('02x_Accelerator_Catalog'!$D$2:$D$11,MATCH(E421,'02x_Accelerator_Catalog'!$B$2:$B$11,0)),"")</f>
        <v/>
      </c>
      <c r="H421" s="17" t="n">
        <v>0.375</v>
      </c>
      <c r="I421" s="6">
        <f>SUMIFS($H$2:$H$573,$B$2:$B$573,B421,$C$2:$C$573,C421,$D$2:$D$573,D421)</f>
        <v/>
      </c>
      <c r="J421" s="3" t="inlineStr">
        <is>
          <t>legacy_company_gpu_mix_fallback</t>
        </is>
      </c>
      <c r="K421" s="3" t="inlineStr">
        <is>
          <t>SRC_OPENAI_GPT41_DOCS; SRC_OPENAI_STARGATE_ORACLE; SRC_OPENAI_STARGATE_PROGRESS</t>
        </is>
      </c>
      <c r="L421" s="3" t="inlineStr">
        <is>
          <t>No CSP-level chip quantity seed was available; prior company-level GPU/ASIC mix is retained as fallback.</t>
        </is>
      </c>
    </row>
    <row r="422">
      <c r="A422" s="5">
        <f>B422&amp;"|"&amp;C422&amp;"|"&amp;D422&amp;"|"&amp;E422</f>
        <v/>
      </c>
      <c r="B422" s="3" t="inlineStr">
        <is>
          <t>Base</t>
        </is>
      </c>
      <c r="C422" s="3" t="inlineStr">
        <is>
          <t>Softbank</t>
        </is>
      </c>
      <c r="D422" s="3" t="n">
        <v>2028</v>
      </c>
      <c r="E422" s="25" t="inlineStr">
        <is>
          <t>GB200/GB300 class</t>
        </is>
      </c>
      <c r="F422" s="5">
        <f>IFERROR(INDEX('02x_Accelerator_Catalog'!$C$2:$C$11,MATCH(E422,'02x_Accelerator_Catalog'!$B$2:$B$11,0)),"purpose_or_unbenchmarked")</f>
        <v/>
      </c>
      <c r="G422" s="8">
        <f>IFERROR(INDEX('02x_Accelerator_Catalog'!$D$2:$D$11,MATCH(E422,'02x_Accelerator_Catalog'!$B$2:$B$11,0)),"")</f>
        <v/>
      </c>
      <c r="H422" s="17" t="n">
        <v>0.3</v>
      </c>
      <c r="I422" s="6">
        <f>SUMIFS($H$2:$H$573,$B$2:$B$573,B422,$C$2:$C$573,C422,$D$2:$D$573,D422)</f>
        <v/>
      </c>
      <c r="J422" s="3" t="inlineStr">
        <is>
          <t>legacy_company_gpu_mix_fallback</t>
        </is>
      </c>
      <c r="K422" s="3" t="inlineStr">
        <is>
          <t>SRC_OPENAI_GPT41_DOCS; SRC_OPENAI_STARGATE_ORACLE; SRC_OPENAI_STARGATE_PROGRESS</t>
        </is>
      </c>
      <c r="L422" s="3" t="inlineStr">
        <is>
          <t>No CSP-level chip quantity seed was available; prior company-level GPU/ASIC mix is retained as fallback.</t>
        </is>
      </c>
    </row>
    <row r="423">
      <c r="A423" s="5">
        <f>B423&amp;"|"&amp;C423&amp;"|"&amp;D423&amp;"|"&amp;E423</f>
        <v/>
      </c>
      <c r="B423" s="3" t="inlineStr">
        <is>
          <t>Base</t>
        </is>
      </c>
      <c r="C423" s="3" t="inlineStr">
        <is>
          <t>Softbank</t>
        </is>
      </c>
      <c r="D423" s="3" t="n">
        <v>2028</v>
      </c>
      <c r="E423" s="25" t="inlineStr">
        <is>
          <t>H100/H200/A100 class</t>
        </is>
      </c>
      <c r="F423" s="5">
        <f>IFERROR(INDEX('02x_Accelerator_Catalog'!$C$2:$C$11,MATCH(E423,'02x_Accelerator_Catalog'!$B$2:$B$11,0)),"purpose_or_unbenchmarked")</f>
        <v/>
      </c>
      <c r="G423" s="8">
        <f>IFERROR(INDEX('02x_Accelerator_Catalog'!$D$2:$D$11,MATCH(E423,'02x_Accelerator_Catalog'!$B$2:$B$11,0)),"")</f>
        <v/>
      </c>
      <c r="H423" s="17" t="n">
        <v>0.325</v>
      </c>
      <c r="I423" s="6">
        <f>SUMIFS($H$2:$H$573,$B$2:$B$573,B423,$C$2:$C$573,C423,$D$2:$D$573,D423)</f>
        <v/>
      </c>
      <c r="J423" s="3" t="inlineStr">
        <is>
          <t>legacy_company_gpu_mix_fallback</t>
        </is>
      </c>
      <c r="K423" s="3" t="inlineStr">
        <is>
          <t>SRC_OPENAI_GPT41_DOCS; SRC_OPENAI_STARGATE_ORACLE; SRC_OPENAI_STARGATE_PROGRESS</t>
        </is>
      </c>
      <c r="L423" s="3" t="inlineStr">
        <is>
          <t>No CSP-level chip quantity seed was available; prior company-level GPU/ASIC mix is retained as fallback.</t>
        </is>
      </c>
    </row>
    <row r="424">
      <c r="A424" s="5">
        <f>B424&amp;"|"&amp;C424&amp;"|"&amp;D424&amp;"|"&amp;E424</f>
        <v/>
      </c>
      <c r="B424" s="3" t="inlineStr">
        <is>
          <t>Bull</t>
        </is>
      </c>
      <c r="C424" s="3" t="inlineStr">
        <is>
          <t>Softbank</t>
        </is>
      </c>
      <c r="D424" s="3" t="n">
        <v>2028</v>
      </c>
      <c r="E424" s="25" t="inlineStr">
        <is>
          <t>B200/B300 class</t>
        </is>
      </c>
      <c r="F424" s="5">
        <f>IFERROR(INDEX('02x_Accelerator_Catalog'!$C$2:$C$11,MATCH(E424,'02x_Accelerator_Catalog'!$B$2:$B$11,0)),"purpose_or_unbenchmarked")</f>
        <v/>
      </c>
      <c r="G424" s="8">
        <f>IFERROR(INDEX('02x_Accelerator_Catalog'!$D$2:$D$11,MATCH(E424,'02x_Accelerator_Catalog'!$B$2:$B$11,0)),"")</f>
        <v/>
      </c>
      <c r="H424" s="17" t="n">
        <v>0.375</v>
      </c>
      <c r="I424" s="6">
        <f>SUMIFS($H$2:$H$573,$B$2:$B$573,B424,$C$2:$C$573,C424,$D$2:$D$573,D424)</f>
        <v/>
      </c>
      <c r="J424" s="3" t="inlineStr">
        <is>
          <t>legacy_company_gpu_mix_fallback</t>
        </is>
      </c>
      <c r="K424" s="3" t="inlineStr">
        <is>
          <t>SRC_OPENAI_GPT41_DOCS; SRC_OPENAI_STARGATE_ORACLE; SRC_OPENAI_STARGATE_PROGRESS</t>
        </is>
      </c>
      <c r="L424" s="3" t="inlineStr">
        <is>
          <t>No CSP-level chip quantity seed was available; prior company-level GPU/ASIC mix is retained as fallback.</t>
        </is>
      </c>
    </row>
    <row r="425">
      <c r="A425" s="5">
        <f>B425&amp;"|"&amp;C425&amp;"|"&amp;D425&amp;"|"&amp;E425</f>
        <v/>
      </c>
      <c r="B425" s="3" t="inlineStr">
        <is>
          <t>Bull</t>
        </is>
      </c>
      <c r="C425" s="3" t="inlineStr">
        <is>
          <t>Softbank</t>
        </is>
      </c>
      <c r="D425" s="3" t="n">
        <v>2028</v>
      </c>
      <c r="E425" s="25" t="inlineStr">
        <is>
          <t>GB200/GB300 class</t>
        </is>
      </c>
      <c r="F425" s="5">
        <f>IFERROR(INDEX('02x_Accelerator_Catalog'!$C$2:$C$11,MATCH(E425,'02x_Accelerator_Catalog'!$B$2:$B$11,0)),"purpose_or_unbenchmarked")</f>
        <v/>
      </c>
      <c r="G425" s="8">
        <f>IFERROR(INDEX('02x_Accelerator_Catalog'!$D$2:$D$11,MATCH(E425,'02x_Accelerator_Catalog'!$B$2:$B$11,0)),"")</f>
        <v/>
      </c>
      <c r="H425" s="17" t="n">
        <v>0.3</v>
      </c>
      <c r="I425" s="6">
        <f>SUMIFS($H$2:$H$573,$B$2:$B$573,B425,$C$2:$C$573,C425,$D$2:$D$573,D425)</f>
        <v/>
      </c>
      <c r="J425" s="3" t="inlineStr">
        <is>
          <t>legacy_company_gpu_mix_fallback</t>
        </is>
      </c>
      <c r="K425" s="3" t="inlineStr">
        <is>
          <t>SRC_OPENAI_GPT41_DOCS; SRC_OPENAI_STARGATE_ORACLE; SRC_OPENAI_STARGATE_PROGRESS</t>
        </is>
      </c>
      <c r="L425" s="3" t="inlineStr">
        <is>
          <t>No CSP-level chip quantity seed was available; prior company-level GPU/ASIC mix is retained as fallback.</t>
        </is>
      </c>
    </row>
    <row r="426">
      <c r="A426" s="5">
        <f>B426&amp;"|"&amp;C426&amp;"|"&amp;D426&amp;"|"&amp;E426</f>
        <v/>
      </c>
      <c r="B426" s="3" t="inlineStr">
        <is>
          <t>Bull</t>
        </is>
      </c>
      <c r="C426" s="3" t="inlineStr">
        <is>
          <t>Softbank</t>
        </is>
      </c>
      <c r="D426" s="3" t="n">
        <v>2028</v>
      </c>
      <c r="E426" s="25" t="inlineStr">
        <is>
          <t>H100/H200/A100 class</t>
        </is>
      </c>
      <c r="F426" s="5">
        <f>IFERROR(INDEX('02x_Accelerator_Catalog'!$C$2:$C$11,MATCH(E426,'02x_Accelerator_Catalog'!$B$2:$B$11,0)),"purpose_or_unbenchmarked")</f>
        <v/>
      </c>
      <c r="G426" s="8">
        <f>IFERROR(INDEX('02x_Accelerator_Catalog'!$D$2:$D$11,MATCH(E426,'02x_Accelerator_Catalog'!$B$2:$B$11,0)),"")</f>
        <v/>
      </c>
      <c r="H426" s="17" t="n">
        <v>0.325</v>
      </c>
      <c r="I426" s="6">
        <f>SUMIFS($H$2:$H$573,$B$2:$B$573,B426,$C$2:$C$573,C426,$D$2:$D$573,D426)</f>
        <v/>
      </c>
      <c r="J426" s="3" t="inlineStr">
        <is>
          <t>legacy_company_gpu_mix_fallback</t>
        </is>
      </c>
      <c r="K426" s="3" t="inlineStr">
        <is>
          <t>SRC_OPENAI_GPT41_DOCS; SRC_OPENAI_STARGATE_ORACLE; SRC_OPENAI_STARGATE_PROGRESS</t>
        </is>
      </c>
      <c r="L426" s="3" t="inlineStr">
        <is>
          <t>No CSP-level chip quantity seed was available; prior company-level GPU/ASIC mix is retained as fallback.</t>
        </is>
      </c>
    </row>
    <row r="427">
      <c r="A427" s="5">
        <f>B427&amp;"|"&amp;C427&amp;"|"&amp;D427&amp;"|"&amp;E427</f>
        <v/>
      </c>
      <c r="B427" s="3" t="inlineStr">
        <is>
          <t>Grid-Constrained / Efficiency-Upside</t>
        </is>
      </c>
      <c r="C427" s="3" t="inlineStr">
        <is>
          <t>Softbank</t>
        </is>
      </c>
      <c r="D427" s="3" t="n">
        <v>2028</v>
      </c>
      <c r="E427" s="25" t="inlineStr">
        <is>
          <t>B200/B300 class</t>
        </is>
      </c>
      <c r="F427" s="5">
        <f>IFERROR(INDEX('02x_Accelerator_Catalog'!$C$2:$C$11,MATCH(E427,'02x_Accelerator_Catalog'!$B$2:$B$11,0)),"purpose_or_unbenchmarked")</f>
        <v/>
      </c>
      <c r="G427" s="8">
        <f>IFERROR(INDEX('02x_Accelerator_Catalog'!$D$2:$D$11,MATCH(E427,'02x_Accelerator_Catalog'!$B$2:$B$11,0)),"")</f>
        <v/>
      </c>
      <c r="H427" s="17" t="n">
        <v>0.375</v>
      </c>
      <c r="I427" s="6">
        <f>SUMIFS($H$2:$H$573,$B$2:$B$573,B427,$C$2:$C$573,C427,$D$2:$D$573,D427)</f>
        <v/>
      </c>
      <c r="J427" s="3" t="inlineStr">
        <is>
          <t>legacy_company_gpu_mix_fallback</t>
        </is>
      </c>
      <c r="K427" s="3" t="inlineStr">
        <is>
          <t>SRC_OPENAI_GPT41_DOCS; SRC_OPENAI_STARGATE_ORACLE; SRC_OPENAI_STARGATE_PROGRESS</t>
        </is>
      </c>
      <c r="L427" s="3" t="inlineStr">
        <is>
          <t>No CSP-level chip quantity seed was available; prior company-level GPU/ASIC mix is retained as fallback.</t>
        </is>
      </c>
    </row>
    <row r="428">
      <c r="A428" s="5">
        <f>B428&amp;"|"&amp;C428&amp;"|"&amp;D428&amp;"|"&amp;E428</f>
        <v/>
      </c>
      <c r="B428" s="3" t="inlineStr">
        <is>
          <t>Grid-Constrained / Efficiency-Upside</t>
        </is>
      </c>
      <c r="C428" s="3" t="inlineStr">
        <is>
          <t>Softbank</t>
        </is>
      </c>
      <c r="D428" s="3" t="n">
        <v>2028</v>
      </c>
      <c r="E428" s="25" t="inlineStr">
        <is>
          <t>GB200/GB300 class</t>
        </is>
      </c>
      <c r="F428" s="5">
        <f>IFERROR(INDEX('02x_Accelerator_Catalog'!$C$2:$C$11,MATCH(E428,'02x_Accelerator_Catalog'!$B$2:$B$11,0)),"purpose_or_unbenchmarked")</f>
        <v/>
      </c>
      <c r="G428" s="8">
        <f>IFERROR(INDEX('02x_Accelerator_Catalog'!$D$2:$D$11,MATCH(E428,'02x_Accelerator_Catalog'!$B$2:$B$11,0)),"")</f>
        <v/>
      </c>
      <c r="H428" s="17" t="n">
        <v>0.3</v>
      </c>
      <c r="I428" s="6">
        <f>SUMIFS($H$2:$H$573,$B$2:$B$573,B428,$C$2:$C$573,C428,$D$2:$D$573,D428)</f>
        <v/>
      </c>
      <c r="J428" s="3" t="inlineStr">
        <is>
          <t>legacy_company_gpu_mix_fallback</t>
        </is>
      </c>
      <c r="K428" s="3" t="inlineStr">
        <is>
          <t>SRC_OPENAI_GPT41_DOCS; SRC_OPENAI_STARGATE_ORACLE; SRC_OPENAI_STARGATE_PROGRESS</t>
        </is>
      </c>
      <c r="L428" s="3" t="inlineStr">
        <is>
          <t>No CSP-level chip quantity seed was available; prior company-level GPU/ASIC mix is retained as fallback.</t>
        </is>
      </c>
    </row>
    <row r="429">
      <c r="A429" s="5">
        <f>B429&amp;"|"&amp;C429&amp;"|"&amp;D429&amp;"|"&amp;E429</f>
        <v/>
      </c>
      <c r="B429" s="3" t="inlineStr">
        <is>
          <t>Grid-Constrained / Efficiency-Upside</t>
        </is>
      </c>
      <c r="C429" s="3" t="inlineStr">
        <is>
          <t>Softbank</t>
        </is>
      </c>
      <c r="D429" s="3" t="n">
        <v>2028</v>
      </c>
      <c r="E429" s="25" t="inlineStr">
        <is>
          <t>H100/H200/A100 class</t>
        </is>
      </c>
      <c r="F429" s="5">
        <f>IFERROR(INDEX('02x_Accelerator_Catalog'!$C$2:$C$11,MATCH(E429,'02x_Accelerator_Catalog'!$B$2:$B$11,0)),"purpose_or_unbenchmarked")</f>
        <v/>
      </c>
      <c r="G429" s="8">
        <f>IFERROR(INDEX('02x_Accelerator_Catalog'!$D$2:$D$11,MATCH(E429,'02x_Accelerator_Catalog'!$B$2:$B$11,0)),"")</f>
        <v/>
      </c>
      <c r="H429" s="17" t="n">
        <v>0.325</v>
      </c>
      <c r="I429" s="6">
        <f>SUMIFS($H$2:$H$573,$B$2:$B$573,B429,$C$2:$C$573,C429,$D$2:$D$573,D429)</f>
        <v/>
      </c>
      <c r="J429" s="3" t="inlineStr">
        <is>
          <t>legacy_company_gpu_mix_fallback</t>
        </is>
      </c>
      <c r="K429" s="3" t="inlineStr">
        <is>
          <t>SRC_OPENAI_GPT41_DOCS; SRC_OPENAI_STARGATE_ORACLE; SRC_OPENAI_STARGATE_PROGRESS</t>
        </is>
      </c>
      <c r="L429" s="3" t="inlineStr">
        <is>
          <t>No CSP-level chip quantity seed was available; prior company-level GPU/ASIC mix is retained as fallback.</t>
        </is>
      </c>
    </row>
    <row r="430">
      <c r="A430" s="5">
        <f>B430&amp;"|"&amp;C430&amp;"|"&amp;D430&amp;"|"&amp;E430</f>
        <v/>
      </c>
      <c r="B430" s="3" t="inlineStr">
        <is>
          <t>Bear</t>
        </is>
      </c>
      <c r="C430" s="3" t="inlineStr">
        <is>
          <t>Softbank</t>
        </is>
      </c>
      <c r="D430" s="3" t="n">
        <v>2029</v>
      </c>
      <c r="E430" s="25" t="inlineStr">
        <is>
          <t>B200/B300 class</t>
        </is>
      </c>
      <c r="F430" s="5">
        <f>IFERROR(INDEX('02x_Accelerator_Catalog'!$C$2:$C$11,MATCH(E430,'02x_Accelerator_Catalog'!$B$2:$B$11,0)),"purpose_or_unbenchmarked")</f>
        <v/>
      </c>
      <c r="G430" s="8">
        <f>IFERROR(INDEX('02x_Accelerator_Catalog'!$D$2:$D$11,MATCH(E430,'02x_Accelerator_Catalog'!$B$2:$B$11,0)),"")</f>
        <v/>
      </c>
      <c r="H430" s="17" t="n">
        <v>0.362</v>
      </c>
      <c r="I430" s="6">
        <f>SUMIFS($H$2:$H$573,$B$2:$B$573,B430,$C$2:$C$573,C430,$D$2:$D$573,D430)</f>
        <v/>
      </c>
      <c r="J430" s="3" t="inlineStr">
        <is>
          <t>legacy_company_gpu_mix_fallback</t>
        </is>
      </c>
      <c r="K430" s="3" t="inlineStr">
        <is>
          <t>SRC_OPENAI_GPT41_DOCS; SRC_OPENAI_STARGATE_ORACLE; SRC_OPENAI_STARGATE_PROGRESS</t>
        </is>
      </c>
      <c r="L430" s="3" t="inlineStr">
        <is>
          <t>No CSP-level chip quantity seed was available; prior company-level GPU/ASIC mix is retained as fallback.</t>
        </is>
      </c>
    </row>
    <row r="431">
      <c r="A431" s="5">
        <f>B431&amp;"|"&amp;C431&amp;"|"&amp;D431&amp;"|"&amp;E431</f>
        <v/>
      </c>
      <c r="B431" s="3" t="inlineStr">
        <is>
          <t>Bear</t>
        </is>
      </c>
      <c r="C431" s="3" t="inlineStr">
        <is>
          <t>Softbank</t>
        </is>
      </c>
      <c r="D431" s="3" t="n">
        <v>2029</v>
      </c>
      <c r="E431" s="25" t="inlineStr">
        <is>
          <t>GB200/GB300 class</t>
        </is>
      </c>
      <c r="F431" s="5">
        <f>IFERROR(INDEX('02x_Accelerator_Catalog'!$C$2:$C$11,MATCH(E431,'02x_Accelerator_Catalog'!$B$2:$B$11,0)),"purpose_or_unbenchmarked")</f>
        <v/>
      </c>
      <c r="G431" s="8">
        <f>IFERROR(INDEX('02x_Accelerator_Catalog'!$D$2:$D$11,MATCH(E431,'02x_Accelerator_Catalog'!$B$2:$B$11,0)),"")</f>
        <v/>
      </c>
      <c r="H431" s="17" t="n">
        <v>0.425</v>
      </c>
      <c r="I431" s="6">
        <f>SUMIFS($H$2:$H$573,$B$2:$B$573,B431,$C$2:$C$573,C431,$D$2:$D$573,D431)</f>
        <v/>
      </c>
      <c r="J431" s="3" t="inlineStr">
        <is>
          <t>legacy_company_gpu_mix_fallback</t>
        </is>
      </c>
      <c r="K431" s="3" t="inlineStr">
        <is>
          <t>SRC_OPENAI_GPT41_DOCS; SRC_OPENAI_STARGATE_ORACLE; SRC_OPENAI_STARGATE_PROGRESS</t>
        </is>
      </c>
      <c r="L431" s="3" t="inlineStr">
        <is>
          <t>No CSP-level chip quantity seed was available; prior company-level GPU/ASIC mix is retained as fallback.</t>
        </is>
      </c>
    </row>
    <row r="432">
      <c r="A432" s="5">
        <f>B432&amp;"|"&amp;C432&amp;"|"&amp;D432&amp;"|"&amp;E432</f>
        <v/>
      </c>
      <c r="B432" s="3" t="inlineStr">
        <is>
          <t>Bear</t>
        </is>
      </c>
      <c r="C432" s="3" t="inlineStr">
        <is>
          <t>Softbank</t>
        </is>
      </c>
      <c r="D432" s="3" t="n">
        <v>2029</v>
      </c>
      <c r="E432" s="25" t="inlineStr">
        <is>
          <t>H100/H200/A100 class</t>
        </is>
      </c>
      <c r="F432" s="5">
        <f>IFERROR(INDEX('02x_Accelerator_Catalog'!$C$2:$C$11,MATCH(E432,'02x_Accelerator_Catalog'!$B$2:$B$11,0)),"purpose_or_unbenchmarked")</f>
        <v/>
      </c>
      <c r="G432" s="8">
        <f>IFERROR(INDEX('02x_Accelerator_Catalog'!$D$2:$D$11,MATCH(E432,'02x_Accelerator_Catalog'!$B$2:$B$11,0)),"")</f>
        <v/>
      </c>
      <c r="H432" s="17" t="n">
        <v>0.213</v>
      </c>
      <c r="I432" s="6">
        <f>SUMIFS($H$2:$H$573,$B$2:$B$573,B432,$C$2:$C$573,C432,$D$2:$D$573,D432)</f>
        <v/>
      </c>
      <c r="J432" s="3" t="inlineStr">
        <is>
          <t>legacy_company_gpu_mix_fallback</t>
        </is>
      </c>
      <c r="K432" s="3" t="inlineStr">
        <is>
          <t>SRC_OPENAI_GPT41_DOCS; SRC_OPENAI_STARGATE_ORACLE; SRC_OPENAI_STARGATE_PROGRESS</t>
        </is>
      </c>
      <c r="L432" s="3" t="inlineStr">
        <is>
          <t>No CSP-level chip quantity seed was available; prior company-level GPU/ASIC mix is retained as fallback.</t>
        </is>
      </c>
    </row>
    <row r="433">
      <c r="A433" s="5">
        <f>B433&amp;"|"&amp;C433&amp;"|"&amp;D433&amp;"|"&amp;E433</f>
        <v/>
      </c>
      <c r="B433" s="3" t="inlineStr">
        <is>
          <t>Base</t>
        </is>
      </c>
      <c r="C433" s="3" t="inlineStr">
        <is>
          <t>Softbank</t>
        </is>
      </c>
      <c r="D433" s="3" t="n">
        <v>2029</v>
      </c>
      <c r="E433" s="25" t="inlineStr">
        <is>
          <t>B200/B300 class</t>
        </is>
      </c>
      <c r="F433" s="5">
        <f>IFERROR(INDEX('02x_Accelerator_Catalog'!$C$2:$C$11,MATCH(E433,'02x_Accelerator_Catalog'!$B$2:$B$11,0)),"purpose_or_unbenchmarked")</f>
        <v/>
      </c>
      <c r="G433" s="8">
        <f>IFERROR(INDEX('02x_Accelerator_Catalog'!$D$2:$D$11,MATCH(E433,'02x_Accelerator_Catalog'!$B$2:$B$11,0)),"")</f>
        <v/>
      </c>
      <c r="H433" s="17" t="n">
        <v>0.362</v>
      </c>
      <c r="I433" s="6">
        <f>SUMIFS($H$2:$H$573,$B$2:$B$573,B433,$C$2:$C$573,C433,$D$2:$D$573,D433)</f>
        <v/>
      </c>
      <c r="J433" s="3" t="inlineStr">
        <is>
          <t>legacy_company_gpu_mix_fallback</t>
        </is>
      </c>
      <c r="K433" s="3" t="inlineStr">
        <is>
          <t>SRC_OPENAI_GPT41_DOCS; SRC_OPENAI_STARGATE_ORACLE; SRC_OPENAI_STARGATE_PROGRESS</t>
        </is>
      </c>
      <c r="L433" s="3" t="inlineStr">
        <is>
          <t>No CSP-level chip quantity seed was available; prior company-level GPU/ASIC mix is retained as fallback.</t>
        </is>
      </c>
    </row>
    <row r="434">
      <c r="A434" s="5">
        <f>B434&amp;"|"&amp;C434&amp;"|"&amp;D434&amp;"|"&amp;E434</f>
        <v/>
      </c>
      <c r="B434" s="3" t="inlineStr">
        <is>
          <t>Base</t>
        </is>
      </c>
      <c r="C434" s="3" t="inlineStr">
        <is>
          <t>Softbank</t>
        </is>
      </c>
      <c r="D434" s="3" t="n">
        <v>2029</v>
      </c>
      <c r="E434" s="25" t="inlineStr">
        <is>
          <t>GB200/GB300 class</t>
        </is>
      </c>
      <c r="F434" s="5">
        <f>IFERROR(INDEX('02x_Accelerator_Catalog'!$C$2:$C$11,MATCH(E434,'02x_Accelerator_Catalog'!$B$2:$B$11,0)),"purpose_or_unbenchmarked")</f>
        <v/>
      </c>
      <c r="G434" s="8">
        <f>IFERROR(INDEX('02x_Accelerator_Catalog'!$D$2:$D$11,MATCH(E434,'02x_Accelerator_Catalog'!$B$2:$B$11,0)),"")</f>
        <v/>
      </c>
      <c r="H434" s="17" t="n">
        <v>0.425</v>
      </c>
      <c r="I434" s="6">
        <f>SUMIFS($H$2:$H$573,$B$2:$B$573,B434,$C$2:$C$573,C434,$D$2:$D$573,D434)</f>
        <v/>
      </c>
      <c r="J434" s="3" t="inlineStr">
        <is>
          <t>legacy_company_gpu_mix_fallback</t>
        </is>
      </c>
      <c r="K434" s="3" t="inlineStr">
        <is>
          <t>SRC_OPENAI_GPT41_DOCS; SRC_OPENAI_STARGATE_ORACLE; SRC_OPENAI_STARGATE_PROGRESS</t>
        </is>
      </c>
      <c r="L434" s="3" t="inlineStr">
        <is>
          <t>No CSP-level chip quantity seed was available; prior company-level GPU/ASIC mix is retained as fallback.</t>
        </is>
      </c>
    </row>
    <row r="435">
      <c r="A435" s="5">
        <f>B435&amp;"|"&amp;C435&amp;"|"&amp;D435&amp;"|"&amp;E435</f>
        <v/>
      </c>
      <c r="B435" s="3" t="inlineStr">
        <is>
          <t>Base</t>
        </is>
      </c>
      <c r="C435" s="3" t="inlineStr">
        <is>
          <t>Softbank</t>
        </is>
      </c>
      <c r="D435" s="3" t="n">
        <v>2029</v>
      </c>
      <c r="E435" s="25" t="inlineStr">
        <is>
          <t>H100/H200/A100 class</t>
        </is>
      </c>
      <c r="F435" s="5">
        <f>IFERROR(INDEX('02x_Accelerator_Catalog'!$C$2:$C$11,MATCH(E435,'02x_Accelerator_Catalog'!$B$2:$B$11,0)),"purpose_or_unbenchmarked")</f>
        <v/>
      </c>
      <c r="G435" s="8">
        <f>IFERROR(INDEX('02x_Accelerator_Catalog'!$D$2:$D$11,MATCH(E435,'02x_Accelerator_Catalog'!$B$2:$B$11,0)),"")</f>
        <v/>
      </c>
      <c r="H435" s="17" t="n">
        <v>0.213</v>
      </c>
      <c r="I435" s="6">
        <f>SUMIFS($H$2:$H$573,$B$2:$B$573,B435,$C$2:$C$573,C435,$D$2:$D$573,D435)</f>
        <v/>
      </c>
      <c r="J435" s="3" t="inlineStr">
        <is>
          <t>legacy_company_gpu_mix_fallback</t>
        </is>
      </c>
      <c r="K435" s="3" t="inlineStr">
        <is>
          <t>SRC_OPENAI_GPT41_DOCS; SRC_OPENAI_STARGATE_ORACLE; SRC_OPENAI_STARGATE_PROGRESS</t>
        </is>
      </c>
      <c r="L435" s="3" t="inlineStr">
        <is>
          <t>No CSP-level chip quantity seed was available; prior company-level GPU/ASIC mix is retained as fallback.</t>
        </is>
      </c>
    </row>
    <row r="436">
      <c r="A436" s="5">
        <f>B436&amp;"|"&amp;C436&amp;"|"&amp;D436&amp;"|"&amp;E436</f>
        <v/>
      </c>
      <c r="B436" s="3" t="inlineStr">
        <is>
          <t>Bull</t>
        </is>
      </c>
      <c r="C436" s="3" t="inlineStr">
        <is>
          <t>Softbank</t>
        </is>
      </c>
      <c r="D436" s="3" t="n">
        <v>2029</v>
      </c>
      <c r="E436" s="25" t="inlineStr">
        <is>
          <t>B200/B300 class</t>
        </is>
      </c>
      <c r="F436" s="5">
        <f>IFERROR(INDEX('02x_Accelerator_Catalog'!$C$2:$C$11,MATCH(E436,'02x_Accelerator_Catalog'!$B$2:$B$11,0)),"purpose_or_unbenchmarked")</f>
        <v/>
      </c>
      <c r="G436" s="8">
        <f>IFERROR(INDEX('02x_Accelerator_Catalog'!$D$2:$D$11,MATCH(E436,'02x_Accelerator_Catalog'!$B$2:$B$11,0)),"")</f>
        <v/>
      </c>
      <c r="H436" s="17" t="n">
        <v>0.362</v>
      </c>
      <c r="I436" s="6">
        <f>SUMIFS($H$2:$H$573,$B$2:$B$573,B436,$C$2:$C$573,C436,$D$2:$D$573,D436)</f>
        <v/>
      </c>
      <c r="J436" s="3" t="inlineStr">
        <is>
          <t>legacy_company_gpu_mix_fallback</t>
        </is>
      </c>
      <c r="K436" s="3" t="inlineStr">
        <is>
          <t>SRC_OPENAI_GPT41_DOCS; SRC_OPENAI_STARGATE_ORACLE; SRC_OPENAI_STARGATE_PROGRESS</t>
        </is>
      </c>
      <c r="L436" s="3" t="inlineStr">
        <is>
          <t>No CSP-level chip quantity seed was available; prior company-level GPU/ASIC mix is retained as fallback.</t>
        </is>
      </c>
    </row>
    <row r="437">
      <c r="A437" s="5">
        <f>B437&amp;"|"&amp;C437&amp;"|"&amp;D437&amp;"|"&amp;E437</f>
        <v/>
      </c>
      <c r="B437" s="3" t="inlineStr">
        <is>
          <t>Bull</t>
        </is>
      </c>
      <c r="C437" s="3" t="inlineStr">
        <is>
          <t>Softbank</t>
        </is>
      </c>
      <c r="D437" s="3" t="n">
        <v>2029</v>
      </c>
      <c r="E437" s="25" t="inlineStr">
        <is>
          <t>GB200/GB300 class</t>
        </is>
      </c>
      <c r="F437" s="5">
        <f>IFERROR(INDEX('02x_Accelerator_Catalog'!$C$2:$C$11,MATCH(E437,'02x_Accelerator_Catalog'!$B$2:$B$11,0)),"purpose_or_unbenchmarked")</f>
        <v/>
      </c>
      <c r="G437" s="8">
        <f>IFERROR(INDEX('02x_Accelerator_Catalog'!$D$2:$D$11,MATCH(E437,'02x_Accelerator_Catalog'!$B$2:$B$11,0)),"")</f>
        <v/>
      </c>
      <c r="H437" s="17" t="n">
        <v>0.425</v>
      </c>
      <c r="I437" s="6">
        <f>SUMIFS($H$2:$H$573,$B$2:$B$573,B437,$C$2:$C$573,C437,$D$2:$D$573,D437)</f>
        <v/>
      </c>
      <c r="J437" s="3" t="inlineStr">
        <is>
          <t>legacy_company_gpu_mix_fallback</t>
        </is>
      </c>
      <c r="K437" s="3" t="inlineStr">
        <is>
          <t>SRC_OPENAI_GPT41_DOCS; SRC_OPENAI_STARGATE_ORACLE; SRC_OPENAI_STARGATE_PROGRESS</t>
        </is>
      </c>
      <c r="L437" s="3" t="inlineStr">
        <is>
          <t>No CSP-level chip quantity seed was available; prior company-level GPU/ASIC mix is retained as fallback.</t>
        </is>
      </c>
    </row>
    <row r="438">
      <c r="A438" s="5">
        <f>B438&amp;"|"&amp;C438&amp;"|"&amp;D438&amp;"|"&amp;E438</f>
        <v/>
      </c>
      <c r="B438" s="3" t="inlineStr">
        <is>
          <t>Bull</t>
        </is>
      </c>
      <c r="C438" s="3" t="inlineStr">
        <is>
          <t>Softbank</t>
        </is>
      </c>
      <c r="D438" s="3" t="n">
        <v>2029</v>
      </c>
      <c r="E438" s="25" t="inlineStr">
        <is>
          <t>H100/H200/A100 class</t>
        </is>
      </c>
      <c r="F438" s="5">
        <f>IFERROR(INDEX('02x_Accelerator_Catalog'!$C$2:$C$11,MATCH(E438,'02x_Accelerator_Catalog'!$B$2:$B$11,0)),"purpose_or_unbenchmarked")</f>
        <v/>
      </c>
      <c r="G438" s="8">
        <f>IFERROR(INDEX('02x_Accelerator_Catalog'!$D$2:$D$11,MATCH(E438,'02x_Accelerator_Catalog'!$B$2:$B$11,0)),"")</f>
        <v/>
      </c>
      <c r="H438" s="17" t="n">
        <v>0.213</v>
      </c>
      <c r="I438" s="6">
        <f>SUMIFS($H$2:$H$573,$B$2:$B$573,B438,$C$2:$C$573,C438,$D$2:$D$573,D438)</f>
        <v/>
      </c>
      <c r="J438" s="3" t="inlineStr">
        <is>
          <t>legacy_company_gpu_mix_fallback</t>
        </is>
      </c>
      <c r="K438" s="3" t="inlineStr">
        <is>
          <t>SRC_OPENAI_GPT41_DOCS; SRC_OPENAI_STARGATE_ORACLE; SRC_OPENAI_STARGATE_PROGRESS</t>
        </is>
      </c>
      <c r="L438" s="3" t="inlineStr">
        <is>
          <t>No CSP-level chip quantity seed was available; prior company-level GPU/ASIC mix is retained as fallback.</t>
        </is>
      </c>
    </row>
    <row r="439">
      <c r="A439" s="5">
        <f>B439&amp;"|"&amp;C439&amp;"|"&amp;D439&amp;"|"&amp;E439</f>
        <v/>
      </c>
      <c r="B439" s="3" t="inlineStr">
        <is>
          <t>Grid-Constrained / Efficiency-Upside</t>
        </is>
      </c>
      <c r="C439" s="3" t="inlineStr">
        <is>
          <t>Softbank</t>
        </is>
      </c>
      <c r="D439" s="3" t="n">
        <v>2029</v>
      </c>
      <c r="E439" s="25" t="inlineStr">
        <is>
          <t>B200/B300 class</t>
        </is>
      </c>
      <c r="F439" s="5">
        <f>IFERROR(INDEX('02x_Accelerator_Catalog'!$C$2:$C$11,MATCH(E439,'02x_Accelerator_Catalog'!$B$2:$B$11,0)),"purpose_or_unbenchmarked")</f>
        <v/>
      </c>
      <c r="G439" s="8">
        <f>IFERROR(INDEX('02x_Accelerator_Catalog'!$D$2:$D$11,MATCH(E439,'02x_Accelerator_Catalog'!$B$2:$B$11,0)),"")</f>
        <v/>
      </c>
      <c r="H439" s="17" t="n">
        <v>0.362</v>
      </c>
      <c r="I439" s="6">
        <f>SUMIFS($H$2:$H$573,$B$2:$B$573,B439,$C$2:$C$573,C439,$D$2:$D$573,D439)</f>
        <v/>
      </c>
      <c r="J439" s="3" t="inlineStr">
        <is>
          <t>legacy_company_gpu_mix_fallback</t>
        </is>
      </c>
      <c r="K439" s="3" t="inlineStr">
        <is>
          <t>SRC_OPENAI_GPT41_DOCS; SRC_OPENAI_STARGATE_ORACLE; SRC_OPENAI_STARGATE_PROGRESS</t>
        </is>
      </c>
      <c r="L439" s="3" t="inlineStr">
        <is>
          <t>No CSP-level chip quantity seed was available; prior company-level GPU/ASIC mix is retained as fallback.</t>
        </is>
      </c>
    </row>
    <row r="440">
      <c r="A440" s="5">
        <f>B440&amp;"|"&amp;C440&amp;"|"&amp;D440&amp;"|"&amp;E440</f>
        <v/>
      </c>
      <c r="B440" s="3" t="inlineStr">
        <is>
          <t>Grid-Constrained / Efficiency-Upside</t>
        </is>
      </c>
      <c r="C440" s="3" t="inlineStr">
        <is>
          <t>Softbank</t>
        </is>
      </c>
      <c r="D440" s="3" t="n">
        <v>2029</v>
      </c>
      <c r="E440" s="25" t="inlineStr">
        <is>
          <t>GB200/GB300 class</t>
        </is>
      </c>
      <c r="F440" s="5">
        <f>IFERROR(INDEX('02x_Accelerator_Catalog'!$C$2:$C$11,MATCH(E440,'02x_Accelerator_Catalog'!$B$2:$B$11,0)),"purpose_or_unbenchmarked")</f>
        <v/>
      </c>
      <c r="G440" s="8">
        <f>IFERROR(INDEX('02x_Accelerator_Catalog'!$D$2:$D$11,MATCH(E440,'02x_Accelerator_Catalog'!$B$2:$B$11,0)),"")</f>
        <v/>
      </c>
      <c r="H440" s="17" t="n">
        <v>0.425</v>
      </c>
      <c r="I440" s="6">
        <f>SUMIFS($H$2:$H$573,$B$2:$B$573,B440,$C$2:$C$573,C440,$D$2:$D$573,D440)</f>
        <v/>
      </c>
      <c r="J440" s="3" t="inlineStr">
        <is>
          <t>legacy_company_gpu_mix_fallback</t>
        </is>
      </c>
      <c r="K440" s="3" t="inlineStr">
        <is>
          <t>SRC_OPENAI_GPT41_DOCS; SRC_OPENAI_STARGATE_ORACLE; SRC_OPENAI_STARGATE_PROGRESS</t>
        </is>
      </c>
      <c r="L440" s="3" t="inlineStr">
        <is>
          <t>No CSP-level chip quantity seed was available; prior company-level GPU/ASIC mix is retained as fallback.</t>
        </is>
      </c>
    </row>
    <row r="441">
      <c r="A441" s="5">
        <f>B441&amp;"|"&amp;C441&amp;"|"&amp;D441&amp;"|"&amp;E441</f>
        <v/>
      </c>
      <c r="B441" s="3" t="inlineStr">
        <is>
          <t>Grid-Constrained / Efficiency-Upside</t>
        </is>
      </c>
      <c r="C441" s="3" t="inlineStr">
        <is>
          <t>Softbank</t>
        </is>
      </c>
      <c r="D441" s="3" t="n">
        <v>2029</v>
      </c>
      <c r="E441" s="25" t="inlineStr">
        <is>
          <t>H100/H200/A100 class</t>
        </is>
      </c>
      <c r="F441" s="5">
        <f>IFERROR(INDEX('02x_Accelerator_Catalog'!$C$2:$C$11,MATCH(E441,'02x_Accelerator_Catalog'!$B$2:$B$11,0)),"purpose_or_unbenchmarked")</f>
        <v/>
      </c>
      <c r="G441" s="8">
        <f>IFERROR(INDEX('02x_Accelerator_Catalog'!$D$2:$D$11,MATCH(E441,'02x_Accelerator_Catalog'!$B$2:$B$11,0)),"")</f>
        <v/>
      </c>
      <c r="H441" s="17" t="n">
        <v>0.213</v>
      </c>
      <c r="I441" s="6">
        <f>SUMIFS($H$2:$H$573,$B$2:$B$573,B441,$C$2:$C$573,C441,$D$2:$D$573,D441)</f>
        <v/>
      </c>
      <c r="J441" s="3" t="inlineStr">
        <is>
          <t>legacy_company_gpu_mix_fallback</t>
        </is>
      </c>
      <c r="K441" s="3" t="inlineStr">
        <is>
          <t>SRC_OPENAI_GPT41_DOCS; SRC_OPENAI_STARGATE_ORACLE; SRC_OPENAI_STARGATE_PROGRESS</t>
        </is>
      </c>
      <c r="L441" s="3" t="inlineStr">
        <is>
          <t>No CSP-level chip quantity seed was available; prior company-level GPU/ASIC mix is retained as fallback.</t>
        </is>
      </c>
    </row>
    <row r="442">
      <c r="A442" s="5">
        <f>B442&amp;"|"&amp;C442&amp;"|"&amp;D442&amp;"|"&amp;E442</f>
        <v/>
      </c>
      <c r="B442" s="3" t="inlineStr">
        <is>
          <t>Bear</t>
        </is>
      </c>
      <c r="C442" s="3" t="inlineStr">
        <is>
          <t>Softbank</t>
        </is>
      </c>
      <c r="D442" s="3" t="n">
        <v>2030</v>
      </c>
      <c r="E442" s="25" t="inlineStr">
        <is>
          <t>B200/B300 class</t>
        </is>
      </c>
      <c r="F442" s="5">
        <f>IFERROR(INDEX('02x_Accelerator_Catalog'!$C$2:$C$11,MATCH(E442,'02x_Accelerator_Catalog'!$B$2:$B$11,0)),"purpose_or_unbenchmarked")</f>
        <v/>
      </c>
      <c r="G442" s="8">
        <f>IFERROR(INDEX('02x_Accelerator_Catalog'!$D$2:$D$11,MATCH(E442,'02x_Accelerator_Catalog'!$B$2:$B$11,0)),"")</f>
        <v/>
      </c>
      <c r="H442" s="17" t="n">
        <v>0.35</v>
      </c>
      <c r="I442" s="6">
        <f>SUMIFS($H$2:$H$573,$B$2:$B$573,B442,$C$2:$C$573,C442,$D$2:$D$573,D442)</f>
        <v/>
      </c>
      <c r="J442" s="3" t="inlineStr">
        <is>
          <t>legacy_company_gpu_mix_fallback</t>
        </is>
      </c>
      <c r="K442" s="3" t="inlineStr">
        <is>
          <t>SRC_OPENAI_GPT41_DOCS; SRC_OPENAI_STARGATE_ORACLE; SRC_OPENAI_STARGATE_PROGRESS</t>
        </is>
      </c>
      <c r="L442" s="3" t="inlineStr">
        <is>
          <t>No CSP-level chip quantity seed was available; prior company-level GPU/ASIC mix is retained as fallback.</t>
        </is>
      </c>
    </row>
    <row r="443">
      <c r="A443" s="5">
        <f>B443&amp;"|"&amp;C443&amp;"|"&amp;D443&amp;"|"&amp;E443</f>
        <v/>
      </c>
      <c r="B443" s="3" t="inlineStr">
        <is>
          <t>Bear</t>
        </is>
      </c>
      <c r="C443" s="3" t="inlineStr">
        <is>
          <t>Softbank</t>
        </is>
      </c>
      <c r="D443" s="3" t="n">
        <v>2030</v>
      </c>
      <c r="E443" s="25" t="inlineStr">
        <is>
          <t>GB200/GB300 class</t>
        </is>
      </c>
      <c r="F443" s="5">
        <f>IFERROR(INDEX('02x_Accelerator_Catalog'!$C$2:$C$11,MATCH(E443,'02x_Accelerator_Catalog'!$B$2:$B$11,0)),"purpose_or_unbenchmarked")</f>
        <v/>
      </c>
      <c r="G443" s="8">
        <f>IFERROR(INDEX('02x_Accelerator_Catalog'!$D$2:$D$11,MATCH(E443,'02x_Accelerator_Catalog'!$B$2:$B$11,0)),"")</f>
        <v/>
      </c>
      <c r="H443" s="17" t="n">
        <v>0.55</v>
      </c>
      <c r="I443" s="6">
        <f>SUMIFS($H$2:$H$573,$B$2:$B$573,B443,$C$2:$C$573,C443,$D$2:$D$573,D443)</f>
        <v/>
      </c>
      <c r="J443" s="3" t="inlineStr">
        <is>
          <t>legacy_company_gpu_mix_fallback</t>
        </is>
      </c>
      <c r="K443" s="3" t="inlineStr">
        <is>
          <t>SRC_OPENAI_GPT41_DOCS; SRC_OPENAI_STARGATE_ORACLE; SRC_OPENAI_STARGATE_PROGRESS</t>
        </is>
      </c>
      <c r="L443" s="3" t="inlineStr">
        <is>
          <t>No CSP-level chip quantity seed was available; prior company-level GPU/ASIC mix is retained as fallback.</t>
        </is>
      </c>
    </row>
    <row r="444">
      <c r="A444" s="5">
        <f>B444&amp;"|"&amp;C444&amp;"|"&amp;D444&amp;"|"&amp;E444</f>
        <v/>
      </c>
      <c r="B444" s="3" t="inlineStr">
        <is>
          <t>Bear</t>
        </is>
      </c>
      <c r="C444" s="3" t="inlineStr">
        <is>
          <t>Softbank</t>
        </is>
      </c>
      <c r="D444" s="3" t="n">
        <v>2030</v>
      </c>
      <c r="E444" s="25" t="inlineStr">
        <is>
          <t>H100/H200/A100 class</t>
        </is>
      </c>
      <c r="F444" s="5">
        <f>IFERROR(INDEX('02x_Accelerator_Catalog'!$C$2:$C$11,MATCH(E444,'02x_Accelerator_Catalog'!$B$2:$B$11,0)),"purpose_or_unbenchmarked")</f>
        <v/>
      </c>
      <c r="G444" s="8">
        <f>IFERROR(INDEX('02x_Accelerator_Catalog'!$D$2:$D$11,MATCH(E444,'02x_Accelerator_Catalog'!$B$2:$B$11,0)),"")</f>
        <v/>
      </c>
      <c r="H444" s="17" t="n">
        <v>0.1</v>
      </c>
      <c r="I444" s="6">
        <f>SUMIFS($H$2:$H$573,$B$2:$B$573,B444,$C$2:$C$573,C444,$D$2:$D$573,D444)</f>
        <v/>
      </c>
      <c r="J444" s="3" t="inlineStr">
        <is>
          <t>legacy_company_gpu_mix_fallback</t>
        </is>
      </c>
      <c r="K444" s="3" t="inlineStr">
        <is>
          <t>SRC_OPENAI_GPT41_DOCS; SRC_OPENAI_STARGATE_ORACLE; SRC_OPENAI_STARGATE_PROGRESS</t>
        </is>
      </c>
      <c r="L444" s="3" t="inlineStr">
        <is>
          <t>No CSP-level chip quantity seed was available; prior company-level GPU/ASIC mix is retained as fallback.</t>
        </is>
      </c>
    </row>
    <row r="445">
      <c r="A445" s="5">
        <f>B445&amp;"|"&amp;C445&amp;"|"&amp;D445&amp;"|"&amp;E445</f>
        <v/>
      </c>
      <c r="B445" s="3" t="inlineStr">
        <is>
          <t>Base</t>
        </is>
      </c>
      <c r="C445" s="3" t="inlineStr">
        <is>
          <t>Softbank</t>
        </is>
      </c>
      <c r="D445" s="3" t="n">
        <v>2030</v>
      </c>
      <c r="E445" s="25" t="inlineStr">
        <is>
          <t>B200/B300 class</t>
        </is>
      </c>
      <c r="F445" s="5">
        <f>IFERROR(INDEX('02x_Accelerator_Catalog'!$C$2:$C$11,MATCH(E445,'02x_Accelerator_Catalog'!$B$2:$B$11,0)),"purpose_or_unbenchmarked")</f>
        <v/>
      </c>
      <c r="G445" s="8">
        <f>IFERROR(INDEX('02x_Accelerator_Catalog'!$D$2:$D$11,MATCH(E445,'02x_Accelerator_Catalog'!$B$2:$B$11,0)),"")</f>
        <v/>
      </c>
      <c r="H445" s="17" t="n">
        <v>0.35</v>
      </c>
      <c r="I445" s="6">
        <f>SUMIFS($H$2:$H$573,$B$2:$B$573,B445,$C$2:$C$573,C445,$D$2:$D$573,D445)</f>
        <v/>
      </c>
      <c r="J445" s="3" t="inlineStr">
        <is>
          <t>legacy_company_gpu_mix_fallback</t>
        </is>
      </c>
      <c r="K445" s="3" t="inlineStr">
        <is>
          <t>SRC_OPENAI_GPT41_DOCS; SRC_OPENAI_STARGATE_ORACLE; SRC_OPENAI_STARGATE_PROGRESS</t>
        </is>
      </c>
      <c r="L445" s="3" t="inlineStr">
        <is>
          <t>No CSP-level chip quantity seed was available; prior company-level GPU/ASIC mix is retained as fallback.</t>
        </is>
      </c>
    </row>
    <row r="446">
      <c r="A446" s="5">
        <f>B446&amp;"|"&amp;C446&amp;"|"&amp;D446&amp;"|"&amp;E446</f>
        <v/>
      </c>
      <c r="B446" s="3" t="inlineStr">
        <is>
          <t>Base</t>
        </is>
      </c>
      <c r="C446" s="3" t="inlineStr">
        <is>
          <t>Softbank</t>
        </is>
      </c>
      <c r="D446" s="3" t="n">
        <v>2030</v>
      </c>
      <c r="E446" s="25" t="inlineStr">
        <is>
          <t>GB200/GB300 class</t>
        </is>
      </c>
      <c r="F446" s="5">
        <f>IFERROR(INDEX('02x_Accelerator_Catalog'!$C$2:$C$11,MATCH(E446,'02x_Accelerator_Catalog'!$B$2:$B$11,0)),"purpose_or_unbenchmarked")</f>
        <v/>
      </c>
      <c r="G446" s="8">
        <f>IFERROR(INDEX('02x_Accelerator_Catalog'!$D$2:$D$11,MATCH(E446,'02x_Accelerator_Catalog'!$B$2:$B$11,0)),"")</f>
        <v/>
      </c>
      <c r="H446" s="17" t="n">
        <v>0.55</v>
      </c>
      <c r="I446" s="6">
        <f>SUMIFS($H$2:$H$573,$B$2:$B$573,B446,$C$2:$C$573,C446,$D$2:$D$573,D446)</f>
        <v/>
      </c>
      <c r="J446" s="3" t="inlineStr">
        <is>
          <t>legacy_company_gpu_mix_fallback</t>
        </is>
      </c>
      <c r="K446" s="3" t="inlineStr">
        <is>
          <t>SRC_OPENAI_GPT41_DOCS; SRC_OPENAI_STARGATE_ORACLE; SRC_OPENAI_STARGATE_PROGRESS</t>
        </is>
      </c>
      <c r="L446" s="3" t="inlineStr">
        <is>
          <t>No CSP-level chip quantity seed was available; prior company-level GPU/ASIC mix is retained as fallback.</t>
        </is>
      </c>
    </row>
    <row r="447">
      <c r="A447" s="5">
        <f>B447&amp;"|"&amp;C447&amp;"|"&amp;D447&amp;"|"&amp;E447</f>
        <v/>
      </c>
      <c r="B447" s="3" t="inlineStr">
        <is>
          <t>Base</t>
        </is>
      </c>
      <c r="C447" s="3" t="inlineStr">
        <is>
          <t>Softbank</t>
        </is>
      </c>
      <c r="D447" s="3" t="n">
        <v>2030</v>
      </c>
      <c r="E447" s="25" t="inlineStr">
        <is>
          <t>H100/H200/A100 class</t>
        </is>
      </c>
      <c r="F447" s="5">
        <f>IFERROR(INDEX('02x_Accelerator_Catalog'!$C$2:$C$11,MATCH(E447,'02x_Accelerator_Catalog'!$B$2:$B$11,0)),"purpose_or_unbenchmarked")</f>
        <v/>
      </c>
      <c r="G447" s="8">
        <f>IFERROR(INDEX('02x_Accelerator_Catalog'!$D$2:$D$11,MATCH(E447,'02x_Accelerator_Catalog'!$B$2:$B$11,0)),"")</f>
        <v/>
      </c>
      <c r="H447" s="17" t="n">
        <v>0.1</v>
      </c>
      <c r="I447" s="6">
        <f>SUMIFS($H$2:$H$573,$B$2:$B$573,B447,$C$2:$C$573,C447,$D$2:$D$573,D447)</f>
        <v/>
      </c>
      <c r="J447" s="3" t="inlineStr">
        <is>
          <t>legacy_company_gpu_mix_fallback</t>
        </is>
      </c>
      <c r="K447" s="3" t="inlineStr">
        <is>
          <t>SRC_OPENAI_GPT41_DOCS; SRC_OPENAI_STARGATE_ORACLE; SRC_OPENAI_STARGATE_PROGRESS</t>
        </is>
      </c>
      <c r="L447" s="3" t="inlineStr">
        <is>
          <t>No CSP-level chip quantity seed was available; prior company-level GPU/ASIC mix is retained as fallback.</t>
        </is>
      </c>
    </row>
    <row r="448">
      <c r="A448" s="5">
        <f>B448&amp;"|"&amp;C448&amp;"|"&amp;D448&amp;"|"&amp;E448</f>
        <v/>
      </c>
      <c r="B448" s="3" t="inlineStr">
        <is>
          <t>Bull</t>
        </is>
      </c>
      <c r="C448" s="3" t="inlineStr">
        <is>
          <t>Softbank</t>
        </is>
      </c>
      <c r="D448" s="3" t="n">
        <v>2030</v>
      </c>
      <c r="E448" s="25" t="inlineStr">
        <is>
          <t>B200/B300 class</t>
        </is>
      </c>
      <c r="F448" s="5">
        <f>IFERROR(INDEX('02x_Accelerator_Catalog'!$C$2:$C$11,MATCH(E448,'02x_Accelerator_Catalog'!$B$2:$B$11,0)),"purpose_or_unbenchmarked")</f>
        <v/>
      </c>
      <c r="G448" s="8">
        <f>IFERROR(INDEX('02x_Accelerator_Catalog'!$D$2:$D$11,MATCH(E448,'02x_Accelerator_Catalog'!$B$2:$B$11,0)),"")</f>
        <v/>
      </c>
      <c r="H448" s="17" t="n">
        <v>0.35</v>
      </c>
      <c r="I448" s="6">
        <f>SUMIFS($H$2:$H$573,$B$2:$B$573,B448,$C$2:$C$573,C448,$D$2:$D$573,D448)</f>
        <v/>
      </c>
      <c r="J448" s="3" t="inlineStr">
        <is>
          <t>legacy_company_gpu_mix_fallback</t>
        </is>
      </c>
      <c r="K448" s="3" t="inlineStr">
        <is>
          <t>SRC_OPENAI_GPT41_DOCS; SRC_OPENAI_STARGATE_ORACLE; SRC_OPENAI_STARGATE_PROGRESS</t>
        </is>
      </c>
      <c r="L448" s="3" t="inlineStr">
        <is>
          <t>No CSP-level chip quantity seed was available; prior company-level GPU/ASIC mix is retained as fallback.</t>
        </is>
      </c>
    </row>
    <row r="449">
      <c r="A449" s="5">
        <f>B449&amp;"|"&amp;C449&amp;"|"&amp;D449&amp;"|"&amp;E449</f>
        <v/>
      </c>
      <c r="B449" s="3" t="inlineStr">
        <is>
          <t>Bull</t>
        </is>
      </c>
      <c r="C449" s="3" t="inlineStr">
        <is>
          <t>Softbank</t>
        </is>
      </c>
      <c r="D449" s="3" t="n">
        <v>2030</v>
      </c>
      <c r="E449" s="25" t="inlineStr">
        <is>
          <t>GB200/GB300 class</t>
        </is>
      </c>
      <c r="F449" s="5">
        <f>IFERROR(INDEX('02x_Accelerator_Catalog'!$C$2:$C$11,MATCH(E449,'02x_Accelerator_Catalog'!$B$2:$B$11,0)),"purpose_or_unbenchmarked")</f>
        <v/>
      </c>
      <c r="G449" s="8">
        <f>IFERROR(INDEX('02x_Accelerator_Catalog'!$D$2:$D$11,MATCH(E449,'02x_Accelerator_Catalog'!$B$2:$B$11,0)),"")</f>
        <v/>
      </c>
      <c r="H449" s="17" t="n">
        <v>0.55</v>
      </c>
      <c r="I449" s="6">
        <f>SUMIFS($H$2:$H$573,$B$2:$B$573,B449,$C$2:$C$573,C449,$D$2:$D$573,D449)</f>
        <v/>
      </c>
      <c r="J449" s="3" t="inlineStr">
        <is>
          <t>legacy_company_gpu_mix_fallback</t>
        </is>
      </c>
      <c r="K449" s="3" t="inlineStr">
        <is>
          <t>SRC_OPENAI_GPT41_DOCS; SRC_OPENAI_STARGATE_ORACLE; SRC_OPENAI_STARGATE_PROGRESS</t>
        </is>
      </c>
      <c r="L449" s="3" t="inlineStr">
        <is>
          <t>No CSP-level chip quantity seed was available; prior company-level GPU/ASIC mix is retained as fallback.</t>
        </is>
      </c>
    </row>
    <row r="450">
      <c r="A450" s="5">
        <f>B450&amp;"|"&amp;C450&amp;"|"&amp;D450&amp;"|"&amp;E450</f>
        <v/>
      </c>
      <c r="B450" s="3" t="inlineStr">
        <is>
          <t>Bull</t>
        </is>
      </c>
      <c r="C450" s="3" t="inlineStr">
        <is>
          <t>Softbank</t>
        </is>
      </c>
      <c r="D450" s="3" t="n">
        <v>2030</v>
      </c>
      <c r="E450" s="25" t="inlineStr">
        <is>
          <t>H100/H200/A100 class</t>
        </is>
      </c>
      <c r="F450" s="5">
        <f>IFERROR(INDEX('02x_Accelerator_Catalog'!$C$2:$C$11,MATCH(E450,'02x_Accelerator_Catalog'!$B$2:$B$11,0)),"purpose_or_unbenchmarked")</f>
        <v/>
      </c>
      <c r="G450" s="8">
        <f>IFERROR(INDEX('02x_Accelerator_Catalog'!$D$2:$D$11,MATCH(E450,'02x_Accelerator_Catalog'!$B$2:$B$11,0)),"")</f>
        <v/>
      </c>
      <c r="H450" s="17" t="n">
        <v>0.1</v>
      </c>
      <c r="I450" s="6">
        <f>SUMIFS($H$2:$H$573,$B$2:$B$573,B450,$C$2:$C$573,C450,$D$2:$D$573,D450)</f>
        <v/>
      </c>
      <c r="J450" s="3" t="inlineStr">
        <is>
          <t>legacy_company_gpu_mix_fallback</t>
        </is>
      </c>
      <c r="K450" s="3" t="inlineStr">
        <is>
          <t>SRC_OPENAI_GPT41_DOCS; SRC_OPENAI_STARGATE_ORACLE; SRC_OPENAI_STARGATE_PROGRESS</t>
        </is>
      </c>
      <c r="L450" s="3" t="inlineStr">
        <is>
          <t>No CSP-level chip quantity seed was available; prior company-level GPU/ASIC mix is retained as fallback.</t>
        </is>
      </c>
    </row>
    <row r="451">
      <c r="A451" s="5">
        <f>B451&amp;"|"&amp;C451&amp;"|"&amp;D451&amp;"|"&amp;E451</f>
        <v/>
      </c>
      <c r="B451" s="3" t="inlineStr">
        <is>
          <t>Grid-Constrained / Efficiency-Upside</t>
        </is>
      </c>
      <c r="C451" s="3" t="inlineStr">
        <is>
          <t>Softbank</t>
        </is>
      </c>
      <c r="D451" s="3" t="n">
        <v>2030</v>
      </c>
      <c r="E451" s="25" t="inlineStr">
        <is>
          <t>B200/B300 class</t>
        </is>
      </c>
      <c r="F451" s="5">
        <f>IFERROR(INDEX('02x_Accelerator_Catalog'!$C$2:$C$11,MATCH(E451,'02x_Accelerator_Catalog'!$B$2:$B$11,0)),"purpose_or_unbenchmarked")</f>
        <v/>
      </c>
      <c r="G451" s="8">
        <f>IFERROR(INDEX('02x_Accelerator_Catalog'!$D$2:$D$11,MATCH(E451,'02x_Accelerator_Catalog'!$B$2:$B$11,0)),"")</f>
        <v/>
      </c>
      <c r="H451" s="17" t="n">
        <v>0.35</v>
      </c>
      <c r="I451" s="6">
        <f>SUMIFS($H$2:$H$573,$B$2:$B$573,B451,$C$2:$C$573,C451,$D$2:$D$573,D451)</f>
        <v/>
      </c>
      <c r="J451" s="3" t="inlineStr">
        <is>
          <t>legacy_company_gpu_mix_fallback</t>
        </is>
      </c>
      <c r="K451" s="3" t="inlineStr">
        <is>
          <t>SRC_OPENAI_GPT41_DOCS; SRC_OPENAI_STARGATE_ORACLE; SRC_OPENAI_STARGATE_PROGRESS</t>
        </is>
      </c>
      <c r="L451" s="3" t="inlineStr">
        <is>
          <t>No CSP-level chip quantity seed was available; prior company-level GPU/ASIC mix is retained as fallback.</t>
        </is>
      </c>
    </row>
    <row r="452">
      <c r="A452" s="5">
        <f>B452&amp;"|"&amp;C452&amp;"|"&amp;D452&amp;"|"&amp;E452</f>
        <v/>
      </c>
      <c r="B452" s="3" t="inlineStr">
        <is>
          <t>Grid-Constrained / Efficiency-Upside</t>
        </is>
      </c>
      <c r="C452" s="3" t="inlineStr">
        <is>
          <t>Softbank</t>
        </is>
      </c>
      <c r="D452" s="3" t="n">
        <v>2030</v>
      </c>
      <c r="E452" s="25" t="inlineStr">
        <is>
          <t>GB200/GB300 class</t>
        </is>
      </c>
      <c r="F452" s="5">
        <f>IFERROR(INDEX('02x_Accelerator_Catalog'!$C$2:$C$11,MATCH(E452,'02x_Accelerator_Catalog'!$B$2:$B$11,0)),"purpose_or_unbenchmarked")</f>
        <v/>
      </c>
      <c r="G452" s="8">
        <f>IFERROR(INDEX('02x_Accelerator_Catalog'!$D$2:$D$11,MATCH(E452,'02x_Accelerator_Catalog'!$B$2:$B$11,0)),"")</f>
        <v/>
      </c>
      <c r="H452" s="17" t="n">
        <v>0.55</v>
      </c>
      <c r="I452" s="6">
        <f>SUMIFS($H$2:$H$573,$B$2:$B$573,B452,$C$2:$C$573,C452,$D$2:$D$573,D452)</f>
        <v/>
      </c>
      <c r="J452" s="3" t="inlineStr">
        <is>
          <t>legacy_company_gpu_mix_fallback</t>
        </is>
      </c>
      <c r="K452" s="3" t="inlineStr">
        <is>
          <t>SRC_OPENAI_GPT41_DOCS; SRC_OPENAI_STARGATE_ORACLE; SRC_OPENAI_STARGATE_PROGRESS</t>
        </is>
      </c>
      <c r="L452" s="3" t="inlineStr">
        <is>
          <t>No CSP-level chip quantity seed was available; prior company-level GPU/ASIC mix is retained as fallback.</t>
        </is>
      </c>
    </row>
    <row r="453">
      <c r="A453" s="5">
        <f>B453&amp;"|"&amp;C453&amp;"|"&amp;D453&amp;"|"&amp;E453</f>
        <v/>
      </c>
      <c r="B453" s="3" t="inlineStr">
        <is>
          <t>Grid-Constrained / Efficiency-Upside</t>
        </is>
      </c>
      <c r="C453" s="3" t="inlineStr">
        <is>
          <t>Softbank</t>
        </is>
      </c>
      <c r="D453" s="3" t="n">
        <v>2030</v>
      </c>
      <c r="E453" s="25" t="inlineStr">
        <is>
          <t>H100/H200/A100 class</t>
        </is>
      </c>
      <c r="F453" s="5">
        <f>IFERROR(INDEX('02x_Accelerator_Catalog'!$C$2:$C$11,MATCH(E453,'02x_Accelerator_Catalog'!$B$2:$B$11,0)),"purpose_or_unbenchmarked")</f>
        <v/>
      </c>
      <c r="G453" s="8">
        <f>IFERROR(INDEX('02x_Accelerator_Catalog'!$D$2:$D$11,MATCH(E453,'02x_Accelerator_Catalog'!$B$2:$B$11,0)),"")</f>
        <v/>
      </c>
      <c r="H453" s="17" t="n">
        <v>0.1</v>
      </c>
      <c r="I453" s="6">
        <f>SUMIFS($H$2:$H$573,$B$2:$B$573,B453,$C$2:$C$573,C453,$D$2:$D$573,D453)</f>
        <v/>
      </c>
      <c r="J453" s="3" t="inlineStr">
        <is>
          <t>legacy_company_gpu_mix_fallback</t>
        </is>
      </c>
      <c r="K453" s="3" t="inlineStr">
        <is>
          <t>SRC_OPENAI_GPT41_DOCS; SRC_OPENAI_STARGATE_ORACLE; SRC_OPENAI_STARGATE_PROGRESS</t>
        </is>
      </c>
      <c r="L453" s="3" t="inlineStr">
        <is>
          <t>No CSP-level chip quantity seed was available; prior company-level GPU/ASIC mix is retained as fallback.</t>
        </is>
      </c>
    </row>
    <row r="454">
      <c r="A454" s="5">
        <f>B454&amp;"|"&amp;C454&amp;"|"&amp;D454&amp;"|"&amp;E454</f>
        <v/>
      </c>
      <c r="B454" s="3" t="inlineStr">
        <is>
          <t>Bear</t>
        </is>
      </c>
      <c r="C454" s="3" t="inlineStr">
        <is>
          <t>Legacy company envelope - DeepSeek</t>
        </is>
      </c>
      <c r="D454" s="3" t="n">
        <v>2026</v>
      </c>
      <c r="E454" s="25" t="inlineStr">
        <is>
          <t>B200/B300 class</t>
        </is>
      </c>
      <c r="F454" s="5">
        <f>IFERROR(INDEX('02x_Accelerator_Catalog'!$C$2:$C$11,MATCH(E454,'02x_Accelerator_Catalog'!$B$2:$B$11,0)),"purpose_or_unbenchmarked")</f>
        <v/>
      </c>
      <c r="G454" s="8">
        <f>IFERROR(INDEX('02x_Accelerator_Catalog'!$D$2:$D$11,MATCH(E454,'02x_Accelerator_Catalog'!$B$2:$B$11,0)),"")</f>
        <v/>
      </c>
      <c r="H454" s="17" t="n">
        <v>0.4</v>
      </c>
      <c r="I454" s="6">
        <f>SUMIFS($H$2:$H$573,$B$2:$B$573,B454,$C$2:$C$573,C454,$D$2:$D$573,D454)</f>
        <v/>
      </c>
      <c r="J454" s="3" t="inlineStr">
        <is>
          <t>legacy_company_gpu_mix_fallback</t>
        </is>
      </c>
      <c r="K454" s="3" t="inlineStr">
        <is>
          <t>SRC_DEEPSEEK_V3; SRC_DEEPSEEK_R1; SRC_DEEPSEEK_H800_INFERENCE</t>
        </is>
      </c>
      <c r="L454" s="3" t="inlineStr">
        <is>
          <t>No CSP-level chip quantity seed was available; prior company-level GPU/ASIC mix is retained as fallback.</t>
        </is>
      </c>
    </row>
    <row r="455">
      <c r="A455" s="5">
        <f>B455&amp;"|"&amp;C455&amp;"|"&amp;D455&amp;"|"&amp;E455</f>
        <v/>
      </c>
      <c r="B455" s="3" t="inlineStr">
        <is>
          <t>Bear</t>
        </is>
      </c>
      <c r="C455" s="3" t="inlineStr">
        <is>
          <t>Legacy company envelope - DeepSeek</t>
        </is>
      </c>
      <c r="D455" s="3" t="n">
        <v>2026</v>
      </c>
      <c r="E455" s="25" t="inlineStr">
        <is>
          <t>GB200/GB300 class</t>
        </is>
      </c>
      <c r="F455" s="5">
        <f>IFERROR(INDEX('02x_Accelerator_Catalog'!$C$2:$C$11,MATCH(E455,'02x_Accelerator_Catalog'!$B$2:$B$11,0)),"purpose_or_unbenchmarked")</f>
        <v/>
      </c>
      <c r="G455" s="8">
        <f>IFERROR(INDEX('02x_Accelerator_Catalog'!$D$2:$D$11,MATCH(E455,'02x_Accelerator_Catalog'!$B$2:$B$11,0)),"")</f>
        <v/>
      </c>
      <c r="H455" s="17" t="n">
        <v>0.05</v>
      </c>
      <c r="I455" s="6">
        <f>SUMIFS($H$2:$H$573,$B$2:$B$573,B455,$C$2:$C$573,C455,$D$2:$D$573,D455)</f>
        <v/>
      </c>
      <c r="J455" s="3" t="inlineStr">
        <is>
          <t>legacy_company_gpu_mix_fallback</t>
        </is>
      </c>
      <c r="K455" s="3" t="inlineStr">
        <is>
          <t>SRC_DEEPSEEK_V3; SRC_DEEPSEEK_R1; SRC_DEEPSEEK_H800_INFERENCE</t>
        </is>
      </c>
      <c r="L455" s="3" t="inlineStr">
        <is>
          <t>No CSP-level chip quantity seed was available; prior company-level GPU/ASIC mix is retained as fallback.</t>
        </is>
      </c>
    </row>
    <row r="456">
      <c r="A456" s="5">
        <f>B456&amp;"|"&amp;C456&amp;"|"&amp;D456&amp;"|"&amp;E456</f>
        <v/>
      </c>
      <c r="B456" s="3" t="inlineStr">
        <is>
          <t>Bear</t>
        </is>
      </c>
      <c r="C456" s="3" t="inlineStr">
        <is>
          <t>Legacy company envelope - DeepSeek</t>
        </is>
      </c>
      <c r="D456" s="3" t="n">
        <v>2026</v>
      </c>
      <c r="E456" s="25" t="inlineStr">
        <is>
          <t>H100/H200/A100 class</t>
        </is>
      </c>
      <c r="F456" s="5">
        <f>IFERROR(INDEX('02x_Accelerator_Catalog'!$C$2:$C$11,MATCH(E456,'02x_Accelerator_Catalog'!$B$2:$B$11,0)),"purpose_or_unbenchmarked")</f>
        <v/>
      </c>
      <c r="G456" s="8">
        <f>IFERROR(INDEX('02x_Accelerator_Catalog'!$D$2:$D$11,MATCH(E456,'02x_Accelerator_Catalog'!$B$2:$B$11,0)),"")</f>
        <v/>
      </c>
      <c r="H456" s="17" t="n">
        <v>0.55</v>
      </c>
      <c r="I456" s="6">
        <f>SUMIFS($H$2:$H$573,$B$2:$B$573,B456,$C$2:$C$573,C456,$D$2:$D$573,D456)</f>
        <v/>
      </c>
      <c r="J456" s="3" t="inlineStr">
        <is>
          <t>legacy_company_gpu_mix_fallback</t>
        </is>
      </c>
      <c r="K456" s="3" t="inlineStr">
        <is>
          <t>SRC_DEEPSEEK_V3; SRC_DEEPSEEK_R1; SRC_DEEPSEEK_H800_INFERENCE</t>
        </is>
      </c>
      <c r="L456" s="3" t="inlineStr">
        <is>
          <t>No CSP-level chip quantity seed was available; prior company-level GPU/ASIC mix is retained as fallback.</t>
        </is>
      </c>
    </row>
    <row r="457">
      <c r="A457" s="5">
        <f>B457&amp;"|"&amp;C457&amp;"|"&amp;D457&amp;"|"&amp;E457</f>
        <v/>
      </c>
      <c r="B457" s="3" t="inlineStr">
        <is>
          <t>Bear</t>
        </is>
      </c>
      <c r="C457" s="3" t="inlineStr">
        <is>
          <t>Legacy company envelope - DeepSeek</t>
        </is>
      </c>
      <c r="D457" s="3" t="n">
        <v>2027</v>
      </c>
      <c r="E457" s="25" t="inlineStr">
        <is>
          <t>B200/B300 class</t>
        </is>
      </c>
      <c r="F457" s="5">
        <f>IFERROR(INDEX('02x_Accelerator_Catalog'!$C$2:$C$11,MATCH(E457,'02x_Accelerator_Catalog'!$B$2:$B$11,0)),"purpose_or_unbenchmarked")</f>
        <v/>
      </c>
      <c r="G457" s="8">
        <f>IFERROR(INDEX('02x_Accelerator_Catalog'!$D$2:$D$11,MATCH(E457,'02x_Accelerator_Catalog'!$B$2:$B$11,0)),"")</f>
        <v/>
      </c>
      <c r="H457" s="17" t="n">
        <v>0.388</v>
      </c>
      <c r="I457" s="6">
        <f>SUMIFS($H$2:$H$573,$B$2:$B$573,B457,$C$2:$C$573,C457,$D$2:$D$573,D457)</f>
        <v/>
      </c>
      <c r="J457" s="3" t="inlineStr">
        <is>
          <t>legacy_company_gpu_mix_fallback</t>
        </is>
      </c>
      <c r="K457" s="3" t="inlineStr">
        <is>
          <t>SRC_DEEPSEEK_V3; SRC_DEEPSEEK_R1; SRC_DEEPSEEK_H800_INFERENCE</t>
        </is>
      </c>
      <c r="L457" s="3" t="inlineStr">
        <is>
          <t>No CSP-level chip quantity seed was available; prior company-level GPU/ASIC mix is retained as fallback.</t>
        </is>
      </c>
    </row>
    <row r="458">
      <c r="A458" s="5">
        <f>B458&amp;"|"&amp;C458&amp;"|"&amp;D458&amp;"|"&amp;E458</f>
        <v/>
      </c>
      <c r="B458" s="3" t="inlineStr">
        <is>
          <t>Bear</t>
        </is>
      </c>
      <c r="C458" s="3" t="inlineStr">
        <is>
          <t>Legacy company envelope - DeepSeek</t>
        </is>
      </c>
      <c r="D458" s="3" t="n">
        <v>2027</v>
      </c>
      <c r="E458" s="25" t="inlineStr">
        <is>
          <t>GB200/GB300 class</t>
        </is>
      </c>
      <c r="F458" s="5">
        <f>IFERROR(INDEX('02x_Accelerator_Catalog'!$C$2:$C$11,MATCH(E458,'02x_Accelerator_Catalog'!$B$2:$B$11,0)),"purpose_or_unbenchmarked")</f>
        <v/>
      </c>
      <c r="G458" s="8">
        <f>IFERROR(INDEX('02x_Accelerator_Catalog'!$D$2:$D$11,MATCH(E458,'02x_Accelerator_Catalog'!$B$2:$B$11,0)),"")</f>
        <v/>
      </c>
      <c r="H458" s="17" t="n">
        <v>0.174</v>
      </c>
      <c r="I458" s="6">
        <f>SUMIFS($H$2:$H$573,$B$2:$B$573,B458,$C$2:$C$573,C458,$D$2:$D$573,D458)</f>
        <v/>
      </c>
      <c r="J458" s="3" t="inlineStr">
        <is>
          <t>legacy_company_gpu_mix_fallback</t>
        </is>
      </c>
      <c r="K458" s="3" t="inlineStr">
        <is>
          <t>SRC_DEEPSEEK_V3; SRC_DEEPSEEK_R1; SRC_DEEPSEEK_H800_INFERENCE</t>
        </is>
      </c>
      <c r="L458" s="3" t="inlineStr">
        <is>
          <t>No CSP-level chip quantity seed was available; prior company-level GPU/ASIC mix is retained as fallback.</t>
        </is>
      </c>
    </row>
    <row r="459">
      <c r="A459" s="5">
        <f>B459&amp;"|"&amp;C459&amp;"|"&amp;D459&amp;"|"&amp;E459</f>
        <v/>
      </c>
      <c r="B459" s="3" t="inlineStr">
        <is>
          <t>Bear</t>
        </is>
      </c>
      <c r="C459" s="3" t="inlineStr">
        <is>
          <t>Legacy company envelope - DeepSeek</t>
        </is>
      </c>
      <c r="D459" s="3" t="n">
        <v>2027</v>
      </c>
      <c r="E459" s="25" t="inlineStr">
        <is>
          <t>H100/H200/A100 class</t>
        </is>
      </c>
      <c r="F459" s="5">
        <f>IFERROR(INDEX('02x_Accelerator_Catalog'!$C$2:$C$11,MATCH(E459,'02x_Accelerator_Catalog'!$B$2:$B$11,0)),"purpose_or_unbenchmarked")</f>
        <v/>
      </c>
      <c r="G459" s="8">
        <f>IFERROR(INDEX('02x_Accelerator_Catalog'!$D$2:$D$11,MATCH(E459,'02x_Accelerator_Catalog'!$B$2:$B$11,0)),"")</f>
        <v/>
      </c>
      <c r="H459" s="17" t="n">
        <v>0.438</v>
      </c>
      <c r="I459" s="6">
        <f>SUMIFS($H$2:$H$573,$B$2:$B$573,B459,$C$2:$C$573,C459,$D$2:$D$573,D459)</f>
        <v/>
      </c>
      <c r="J459" s="3" t="inlineStr">
        <is>
          <t>legacy_company_gpu_mix_fallback</t>
        </is>
      </c>
      <c r="K459" s="3" t="inlineStr">
        <is>
          <t>SRC_DEEPSEEK_V3; SRC_DEEPSEEK_R1; SRC_DEEPSEEK_H800_INFERENCE</t>
        </is>
      </c>
      <c r="L459" s="3" t="inlineStr">
        <is>
          <t>No CSP-level chip quantity seed was available; prior company-level GPU/ASIC mix is retained as fallback.</t>
        </is>
      </c>
    </row>
    <row r="460">
      <c r="A460" s="5">
        <f>B460&amp;"|"&amp;C460&amp;"|"&amp;D460&amp;"|"&amp;E460</f>
        <v/>
      </c>
      <c r="B460" s="3" t="inlineStr">
        <is>
          <t>Bear</t>
        </is>
      </c>
      <c r="C460" s="3" t="inlineStr">
        <is>
          <t>Legacy company envelope - DeepSeek</t>
        </is>
      </c>
      <c r="D460" s="3" t="n">
        <v>2028</v>
      </c>
      <c r="E460" s="25" t="inlineStr">
        <is>
          <t>B200/B300 class</t>
        </is>
      </c>
      <c r="F460" s="5">
        <f>IFERROR(INDEX('02x_Accelerator_Catalog'!$C$2:$C$11,MATCH(E460,'02x_Accelerator_Catalog'!$B$2:$B$11,0)),"purpose_or_unbenchmarked")</f>
        <v/>
      </c>
      <c r="G460" s="8">
        <f>IFERROR(INDEX('02x_Accelerator_Catalog'!$D$2:$D$11,MATCH(E460,'02x_Accelerator_Catalog'!$B$2:$B$11,0)),"")</f>
        <v/>
      </c>
      <c r="H460" s="17" t="n">
        <v>0.375</v>
      </c>
      <c r="I460" s="6">
        <f>SUMIFS($H$2:$H$573,$B$2:$B$573,B460,$C$2:$C$573,C460,$D$2:$D$573,D460)</f>
        <v/>
      </c>
      <c r="J460" s="3" t="inlineStr">
        <is>
          <t>legacy_company_gpu_mix_fallback</t>
        </is>
      </c>
      <c r="K460" s="3" t="inlineStr">
        <is>
          <t>SRC_DEEPSEEK_V3; SRC_DEEPSEEK_R1; SRC_DEEPSEEK_H800_INFERENCE</t>
        </is>
      </c>
      <c r="L460" s="3" t="inlineStr">
        <is>
          <t>No CSP-level chip quantity seed was available; prior company-level GPU/ASIC mix is retained as fallback.</t>
        </is>
      </c>
    </row>
    <row r="461">
      <c r="A461" s="5">
        <f>B461&amp;"|"&amp;C461&amp;"|"&amp;D461&amp;"|"&amp;E461</f>
        <v/>
      </c>
      <c r="B461" s="3" t="inlineStr">
        <is>
          <t>Bear</t>
        </is>
      </c>
      <c r="C461" s="3" t="inlineStr">
        <is>
          <t>Legacy company envelope - DeepSeek</t>
        </is>
      </c>
      <c r="D461" s="3" t="n">
        <v>2028</v>
      </c>
      <c r="E461" s="25" t="inlineStr">
        <is>
          <t>GB200/GB300 class</t>
        </is>
      </c>
      <c r="F461" s="5">
        <f>IFERROR(INDEX('02x_Accelerator_Catalog'!$C$2:$C$11,MATCH(E461,'02x_Accelerator_Catalog'!$B$2:$B$11,0)),"purpose_or_unbenchmarked")</f>
        <v/>
      </c>
      <c r="G461" s="8">
        <f>IFERROR(INDEX('02x_Accelerator_Catalog'!$D$2:$D$11,MATCH(E461,'02x_Accelerator_Catalog'!$B$2:$B$11,0)),"")</f>
        <v/>
      </c>
      <c r="H461" s="17" t="n">
        <v>0.3</v>
      </c>
      <c r="I461" s="6">
        <f>SUMIFS($H$2:$H$573,$B$2:$B$573,B461,$C$2:$C$573,C461,$D$2:$D$573,D461)</f>
        <v/>
      </c>
      <c r="J461" s="3" t="inlineStr">
        <is>
          <t>legacy_company_gpu_mix_fallback</t>
        </is>
      </c>
      <c r="K461" s="3" t="inlineStr">
        <is>
          <t>SRC_DEEPSEEK_V3; SRC_DEEPSEEK_R1; SRC_DEEPSEEK_H800_INFERENCE</t>
        </is>
      </c>
      <c r="L461" s="3" t="inlineStr">
        <is>
          <t>No CSP-level chip quantity seed was available; prior company-level GPU/ASIC mix is retained as fallback.</t>
        </is>
      </c>
    </row>
    <row r="462">
      <c r="A462" s="5">
        <f>B462&amp;"|"&amp;C462&amp;"|"&amp;D462&amp;"|"&amp;E462</f>
        <v/>
      </c>
      <c r="B462" s="3" t="inlineStr">
        <is>
          <t>Bear</t>
        </is>
      </c>
      <c r="C462" s="3" t="inlineStr">
        <is>
          <t>Legacy company envelope - DeepSeek</t>
        </is>
      </c>
      <c r="D462" s="3" t="n">
        <v>2028</v>
      </c>
      <c r="E462" s="25" t="inlineStr">
        <is>
          <t>H100/H200/A100 class</t>
        </is>
      </c>
      <c r="F462" s="5">
        <f>IFERROR(INDEX('02x_Accelerator_Catalog'!$C$2:$C$11,MATCH(E462,'02x_Accelerator_Catalog'!$B$2:$B$11,0)),"purpose_or_unbenchmarked")</f>
        <v/>
      </c>
      <c r="G462" s="8">
        <f>IFERROR(INDEX('02x_Accelerator_Catalog'!$D$2:$D$11,MATCH(E462,'02x_Accelerator_Catalog'!$B$2:$B$11,0)),"")</f>
        <v/>
      </c>
      <c r="H462" s="17" t="n">
        <v>0.325</v>
      </c>
      <c r="I462" s="6">
        <f>SUMIFS($H$2:$H$573,$B$2:$B$573,B462,$C$2:$C$573,C462,$D$2:$D$573,D462)</f>
        <v/>
      </c>
      <c r="J462" s="3" t="inlineStr">
        <is>
          <t>legacy_company_gpu_mix_fallback</t>
        </is>
      </c>
      <c r="K462" s="3" t="inlineStr">
        <is>
          <t>SRC_DEEPSEEK_V3; SRC_DEEPSEEK_R1; SRC_DEEPSEEK_H800_INFERENCE</t>
        </is>
      </c>
      <c r="L462" s="3" t="inlineStr">
        <is>
          <t>No CSP-level chip quantity seed was available; prior company-level GPU/ASIC mix is retained as fallback.</t>
        </is>
      </c>
    </row>
    <row r="463">
      <c r="A463" s="5">
        <f>B463&amp;"|"&amp;C463&amp;"|"&amp;D463&amp;"|"&amp;E463</f>
        <v/>
      </c>
      <c r="B463" s="3" t="inlineStr">
        <is>
          <t>Bear</t>
        </is>
      </c>
      <c r="C463" s="3" t="inlineStr">
        <is>
          <t>Legacy company envelope - DeepSeek</t>
        </is>
      </c>
      <c r="D463" s="3" t="n">
        <v>2029</v>
      </c>
      <c r="E463" s="25" t="inlineStr">
        <is>
          <t>B200/B300 class</t>
        </is>
      </c>
      <c r="F463" s="5">
        <f>IFERROR(INDEX('02x_Accelerator_Catalog'!$C$2:$C$11,MATCH(E463,'02x_Accelerator_Catalog'!$B$2:$B$11,0)),"purpose_or_unbenchmarked")</f>
        <v/>
      </c>
      <c r="G463" s="8">
        <f>IFERROR(INDEX('02x_Accelerator_Catalog'!$D$2:$D$11,MATCH(E463,'02x_Accelerator_Catalog'!$B$2:$B$11,0)),"")</f>
        <v/>
      </c>
      <c r="H463" s="17" t="n">
        <v>0.362</v>
      </c>
      <c r="I463" s="6">
        <f>SUMIFS($H$2:$H$573,$B$2:$B$573,B463,$C$2:$C$573,C463,$D$2:$D$573,D463)</f>
        <v/>
      </c>
      <c r="J463" s="3" t="inlineStr">
        <is>
          <t>legacy_company_gpu_mix_fallback</t>
        </is>
      </c>
      <c r="K463" s="3" t="inlineStr">
        <is>
          <t>SRC_DEEPSEEK_V3; SRC_DEEPSEEK_R1; SRC_DEEPSEEK_H800_INFERENCE</t>
        </is>
      </c>
      <c r="L463" s="3" t="inlineStr">
        <is>
          <t>No CSP-level chip quantity seed was available; prior company-level GPU/ASIC mix is retained as fallback.</t>
        </is>
      </c>
    </row>
    <row r="464">
      <c r="A464" s="5">
        <f>B464&amp;"|"&amp;C464&amp;"|"&amp;D464&amp;"|"&amp;E464</f>
        <v/>
      </c>
      <c r="B464" s="3" t="inlineStr">
        <is>
          <t>Bear</t>
        </is>
      </c>
      <c r="C464" s="3" t="inlineStr">
        <is>
          <t>Legacy company envelope - DeepSeek</t>
        </is>
      </c>
      <c r="D464" s="3" t="n">
        <v>2029</v>
      </c>
      <c r="E464" s="25" t="inlineStr">
        <is>
          <t>GB200/GB300 class</t>
        </is>
      </c>
      <c r="F464" s="5">
        <f>IFERROR(INDEX('02x_Accelerator_Catalog'!$C$2:$C$11,MATCH(E464,'02x_Accelerator_Catalog'!$B$2:$B$11,0)),"purpose_or_unbenchmarked")</f>
        <v/>
      </c>
      <c r="G464" s="8">
        <f>IFERROR(INDEX('02x_Accelerator_Catalog'!$D$2:$D$11,MATCH(E464,'02x_Accelerator_Catalog'!$B$2:$B$11,0)),"")</f>
        <v/>
      </c>
      <c r="H464" s="17" t="n">
        <v>0.425</v>
      </c>
      <c r="I464" s="6">
        <f>SUMIFS($H$2:$H$573,$B$2:$B$573,B464,$C$2:$C$573,C464,$D$2:$D$573,D464)</f>
        <v/>
      </c>
      <c r="J464" s="3" t="inlineStr">
        <is>
          <t>legacy_company_gpu_mix_fallback</t>
        </is>
      </c>
      <c r="K464" s="3" t="inlineStr">
        <is>
          <t>SRC_DEEPSEEK_V3; SRC_DEEPSEEK_R1; SRC_DEEPSEEK_H800_INFERENCE</t>
        </is>
      </c>
      <c r="L464" s="3" t="inlineStr">
        <is>
          <t>No CSP-level chip quantity seed was available; prior company-level GPU/ASIC mix is retained as fallback.</t>
        </is>
      </c>
    </row>
    <row r="465">
      <c r="A465" s="5">
        <f>B465&amp;"|"&amp;C465&amp;"|"&amp;D465&amp;"|"&amp;E465</f>
        <v/>
      </c>
      <c r="B465" s="3" t="inlineStr">
        <is>
          <t>Bear</t>
        </is>
      </c>
      <c r="C465" s="3" t="inlineStr">
        <is>
          <t>Legacy company envelope - DeepSeek</t>
        </is>
      </c>
      <c r="D465" s="3" t="n">
        <v>2029</v>
      </c>
      <c r="E465" s="25" t="inlineStr">
        <is>
          <t>H100/H200/A100 class</t>
        </is>
      </c>
      <c r="F465" s="5">
        <f>IFERROR(INDEX('02x_Accelerator_Catalog'!$C$2:$C$11,MATCH(E465,'02x_Accelerator_Catalog'!$B$2:$B$11,0)),"purpose_or_unbenchmarked")</f>
        <v/>
      </c>
      <c r="G465" s="8">
        <f>IFERROR(INDEX('02x_Accelerator_Catalog'!$D$2:$D$11,MATCH(E465,'02x_Accelerator_Catalog'!$B$2:$B$11,0)),"")</f>
        <v/>
      </c>
      <c r="H465" s="17" t="n">
        <v>0.213</v>
      </c>
      <c r="I465" s="6">
        <f>SUMIFS($H$2:$H$573,$B$2:$B$573,B465,$C$2:$C$573,C465,$D$2:$D$573,D465)</f>
        <v/>
      </c>
      <c r="J465" s="3" t="inlineStr">
        <is>
          <t>legacy_company_gpu_mix_fallback</t>
        </is>
      </c>
      <c r="K465" s="3" t="inlineStr">
        <is>
          <t>SRC_DEEPSEEK_V3; SRC_DEEPSEEK_R1; SRC_DEEPSEEK_H800_INFERENCE</t>
        </is>
      </c>
      <c r="L465" s="3" t="inlineStr">
        <is>
          <t>No CSP-level chip quantity seed was available; prior company-level GPU/ASIC mix is retained as fallback.</t>
        </is>
      </c>
    </row>
    <row r="466">
      <c r="A466" s="5">
        <f>B466&amp;"|"&amp;C466&amp;"|"&amp;D466&amp;"|"&amp;E466</f>
        <v/>
      </c>
      <c r="B466" s="3" t="inlineStr">
        <is>
          <t>Bear</t>
        </is>
      </c>
      <c r="C466" s="3" t="inlineStr">
        <is>
          <t>Legacy company envelope - DeepSeek</t>
        </is>
      </c>
      <c r="D466" s="3" t="n">
        <v>2030</v>
      </c>
      <c r="E466" s="25" t="inlineStr">
        <is>
          <t>B200/B300 class</t>
        </is>
      </c>
      <c r="F466" s="5">
        <f>IFERROR(INDEX('02x_Accelerator_Catalog'!$C$2:$C$11,MATCH(E466,'02x_Accelerator_Catalog'!$B$2:$B$11,0)),"purpose_or_unbenchmarked")</f>
        <v/>
      </c>
      <c r="G466" s="8">
        <f>IFERROR(INDEX('02x_Accelerator_Catalog'!$D$2:$D$11,MATCH(E466,'02x_Accelerator_Catalog'!$B$2:$B$11,0)),"")</f>
        <v/>
      </c>
      <c r="H466" s="17" t="n">
        <v>0.35</v>
      </c>
      <c r="I466" s="6">
        <f>SUMIFS($H$2:$H$573,$B$2:$B$573,B466,$C$2:$C$573,C466,$D$2:$D$573,D466)</f>
        <v/>
      </c>
      <c r="J466" s="3" t="inlineStr">
        <is>
          <t>legacy_company_gpu_mix_fallback</t>
        </is>
      </c>
      <c r="K466" s="3" t="inlineStr">
        <is>
          <t>SRC_DEEPSEEK_V3; SRC_DEEPSEEK_R1; SRC_DEEPSEEK_H800_INFERENCE</t>
        </is>
      </c>
      <c r="L466" s="3" t="inlineStr">
        <is>
          <t>No CSP-level chip quantity seed was available; prior company-level GPU/ASIC mix is retained as fallback.</t>
        </is>
      </c>
    </row>
    <row r="467">
      <c r="A467" s="5">
        <f>B467&amp;"|"&amp;C467&amp;"|"&amp;D467&amp;"|"&amp;E467</f>
        <v/>
      </c>
      <c r="B467" s="3" t="inlineStr">
        <is>
          <t>Bear</t>
        </is>
      </c>
      <c r="C467" s="3" t="inlineStr">
        <is>
          <t>Legacy company envelope - DeepSeek</t>
        </is>
      </c>
      <c r="D467" s="3" t="n">
        <v>2030</v>
      </c>
      <c r="E467" s="25" t="inlineStr">
        <is>
          <t>GB200/GB300 class</t>
        </is>
      </c>
      <c r="F467" s="5">
        <f>IFERROR(INDEX('02x_Accelerator_Catalog'!$C$2:$C$11,MATCH(E467,'02x_Accelerator_Catalog'!$B$2:$B$11,0)),"purpose_or_unbenchmarked")</f>
        <v/>
      </c>
      <c r="G467" s="8">
        <f>IFERROR(INDEX('02x_Accelerator_Catalog'!$D$2:$D$11,MATCH(E467,'02x_Accelerator_Catalog'!$B$2:$B$11,0)),"")</f>
        <v/>
      </c>
      <c r="H467" s="17" t="n">
        <v>0.55</v>
      </c>
      <c r="I467" s="6">
        <f>SUMIFS($H$2:$H$573,$B$2:$B$573,B467,$C$2:$C$573,C467,$D$2:$D$573,D467)</f>
        <v/>
      </c>
      <c r="J467" s="3" t="inlineStr">
        <is>
          <t>legacy_company_gpu_mix_fallback</t>
        </is>
      </c>
      <c r="K467" s="3" t="inlineStr">
        <is>
          <t>SRC_DEEPSEEK_V3; SRC_DEEPSEEK_R1; SRC_DEEPSEEK_H800_INFERENCE</t>
        </is>
      </c>
      <c r="L467" s="3" t="inlineStr">
        <is>
          <t>No CSP-level chip quantity seed was available; prior company-level GPU/ASIC mix is retained as fallback.</t>
        </is>
      </c>
    </row>
    <row r="468">
      <c r="A468" s="5">
        <f>B468&amp;"|"&amp;C468&amp;"|"&amp;D468&amp;"|"&amp;E468</f>
        <v/>
      </c>
      <c r="B468" s="3" t="inlineStr">
        <is>
          <t>Bear</t>
        </is>
      </c>
      <c r="C468" s="3" t="inlineStr">
        <is>
          <t>Legacy company envelope - DeepSeek</t>
        </is>
      </c>
      <c r="D468" s="3" t="n">
        <v>2030</v>
      </c>
      <c r="E468" s="25" t="inlineStr">
        <is>
          <t>H100/H200/A100 class</t>
        </is>
      </c>
      <c r="F468" s="5">
        <f>IFERROR(INDEX('02x_Accelerator_Catalog'!$C$2:$C$11,MATCH(E468,'02x_Accelerator_Catalog'!$B$2:$B$11,0)),"purpose_or_unbenchmarked")</f>
        <v/>
      </c>
      <c r="G468" s="8">
        <f>IFERROR(INDEX('02x_Accelerator_Catalog'!$D$2:$D$11,MATCH(E468,'02x_Accelerator_Catalog'!$B$2:$B$11,0)),"")</f>
        <v/>
      </c>
      <c r="H468" s="17" t="n">
        <v>0.1</v>
      </c>
      <c r="I468" s="6">
        <f>SUMIFS($H$2:$H$573,$B$2:$B$573,B468,$C$2:$C$573,C468,$D$2:$D$573,D468)</f>
        <v/>
      </c>
      <c r="J468" s="3" t="inlineStr">
        <is>
          <t>legacy_company_gpu_mix_fallback</t>
        </is>
      </c>
      <c r="K468" s="3" t="inlineStr">
        <is>
          <t>SRC_DEEPSEEK_V3; SRC_DEEPSEEK_R1; SRC_DEEPSEEK_H800_INFERENCE</t>
        </is>
      </c>
      <c r="L468" s="3" t="inlineStr">
        <is>
          <t>No CSP-level chip quantity seed was available; prior company-level GPU/ASIC mix is retained as fallback.</t>
        </is>
      </c>
    </row>
    <row r="469">
      <c r="A469" s="5">
        <f>B469&amp;"|"&amp;C469&amp;"|"&amp;D469&amp;"|"&amp;E469</f>
        <v/>
      </c>
      <c r="B469" s="3" t="inlineStr">
        <is>
          <t>Bear</t>
        </is>
      </c>
      <c r="C469" s="3" t="inlineStr">
        <is>
          <t>Legacy company envelope - Tencent</t>
        </is>
      </c>
      <c r="D469" s="3" t="n">
        <v>2026</v>
      </c>
      <c r="E469" s="25" t="inlineStr">
        <is>
          <t>B200/B300 class</t>
        </is>
      </c>
      <c r="F469" s="5">
        <f>IFERROR(INDEX('02x_Accelerator_Catalog'!$C$2:$C$11,MATCH(E469,'02x_Accelerator_Catalog'!$B$2:$B$11,0)),"purpose_or_unbenchmarked")</f>
        <v/>
      </c>
      <c r="G469" s="8">
        <f>IFERROR(INDEX('02x_Accelerator_Catalog'!$D$2:$D$11,MATCH(E469,'02x_Accelerator_Catalog'!$B$2:$B$11,0)),"")</f>
        <v/>
      </c>
      <c r="H469" s="17" t="n">
        <v>0.4</v>
      </c>
      <c r="I469" s="6">
        <f>SUMIFS($H$2:$H$573,$B$2:$B$573,B469,$C$2:$C$573,C469,$D$2:$D$573,D469)</f>
        <v/>
      </c>
      <c r="J469" s="3" t="inlineStr">
        <is>
          <t>legacy_company_gpu_mix_fallback</t>
        </is>
      </c>
      <c r="K469" s="3" t="inlineStr">
        <is>
          <t>SRC_TENCENT_HUNYUAN; SRC_TENCENT_HY3; SRC_TENCENT_AI_INFRA_MOE</t>
        </is>
      </c>
      <c r="L469" s="3" t="inlineStr">
        <is>
          <t>No CSP-level chip quantity seed was available; prior company-level GPU/ASIC mix is retained as fallback.</t>
        </is>
      </c>
    </row>
    <row r="470">
      <c r="A470" s="5">
        <f>B470&amp;"|"&amp;C470&amp;"|"&amp;D470&amp;"|"&amp;E470</f>
        <v/>
      </c>
      <c r="B470" s="3" t="inlineStr">
        <is>
          <t>Bear</t>
        </is>
      </c>
      <c r="C470" s="3" t="inlineStr">
        <is>
          <t>Legacy company envelope - Tencent</t>
        </is>
      </c>
      <c r="D470" s="3" t="n">
        <v>2026</v>
      </c>
      <c r="E470" s="25" t="inlineStr">
        <is>
          <t>GB200/GB300 class</t>
        </is>
      </c>
      <c r="F470" s="5">
        <f>IFERROR(INDEX('02x_Accelerator_Catalog'!$C$2:$C$11,MATCH(E470,'02x_Accelerator_Catalog'!$B$2:$B$11,0)),"purpose_or_unbenchmarked")</f>
        <v/>
      </c>
      <c r="G470" s="8">
        <f>IFERROR(INDEX('02x_Accelerator_Catalog'!$D$2:$D$11,MATCH(E470,'02x_Accelerator_Catalog'!$B$2:$B$11,0)),"")</f>
        <v/>
      </c>
      <c r="H470" s="17" t="n">
        <v>0.05</v>
      </c>
      <c r="I470" s="6">
        <f>SUMIFS($H$2:$H$573,$B$2:$B$573,B470,$C$2:$C$573,C470,$D$2:$D$573,D470)</f>
        <v/>
      </c>
      <c r="J470" s="3" t="inlineStr">
        <is>
          <t>legacy_company_gpu_mix_fallback</t>
        </is>
      </c>
      <c r="K470" s="3" t="inlineStr">
        <is>
          <t>SRC_TENCENT_HUNYUAN; SRC_TENCENT_HY3; SRC_TENCENT_AI_INFRA_MOE</t>
        </is>
      </c>
      <c r="L470" s="3" t="inlineStr">
        <is>
          <t>No CSP-level chip quantity seed was available; prior company-level GPU/ASIC mix is retained as fallback.</t>
        </is>
      </c>
    </row>
    <row r="471">
      <c r="A471" s="5">
        <f>B471&amp;"|"&amp;C471&amp;"|"&amp;D471&amp;"|"&amp;E471</f>
        <v/>
      </c>
      <c r="B471" s="3" t="inlineStr">
        <is>
          <t>Bear</t>
        </is>
      </c>
      <c r="C471" s="3" t="inlineStr">
        <is>
          <t>Legacy company envelope - Tencent</t>
        </is>
      </c>
      <c r="D471" s="3" t="n">
        <v>2026</v>
      </c>
      <c r="E471" s="25" t="inlineStr">
        <is>
          <t>H100/H200/A100 class</t>
        </is>
      </c>
      <c r="F471" s="5">
        <f>IFERROR(INDEX('02x_Accelerator_Catalog'!$C$2:$C$11,MATCH(E471,'02x_Accelerator_Catalog'!$B$2:$B$11,0)),"purpose_or_unbenchmarked")</f>
        <v/>
      </c>
      <c r="G471" s="8">
        <f>IFERROR(INDEX('02x_Accelerator_Catalog'!$D$2:$D$11,MATCH(E471,'02x_Accelerator_Catalog'!$B$2:$B$11,0)),"")</f>
        <v/>
      </c>
      <c r="H471" s="17" t="n">
        <v>0.55</v>
      </c>
      <c r="I471" s="6">
        <f>SUMIFS($H$2:$H$573,$B$2:$B$573,B471,$C$2:$C$573,C471,$D$2:$D$573,D471)</f>
        <v/>
      </c>
      <c r="J471" s="3" t="inlineStr">
        <is>
          <t>legacy_company_gpu_mix_fallback</t>
        </is>
      </c>
      <c r="K471" s="3" t="inlineStr">
        <is>
          <t>SRC_TENCENT_HUNYUAN; SRC_TENCENT_HY3; SRC_TENCENT_AI_INFRA_MOE</t>
        </is>
      </c>
      <c r="L471" s="3" t="inlineStr">
        <is>
          <t>No CSP-level chip quantity seed was available; prior company-level GPU/ASIC mix is retained as fallback.</t>
        </is>
      </c>
    </row>
    <row r="472">
      <c r="A472" s="5">
        <f>B472&amp;"|"&amp;C472&amp;"|"&amp;D472&amp;"|"&amp;E472</f>
        <v/>
      </c>
      <c r="B472" s="3" t="inlineStr">
        <is>
          <t>Bear</t>
        </is>
      </c>
      <c r="C472" s="3" t="inlineStr">
        <is>
          <t>Legacy company envelope - Tencent</t>
        </is>
      </c>
      <c r="D472" s="3" t="n">
        <v>2027</v>
      </c>
      <c r="E472" s="25" t="inlineStr">
        <is>
          <t>B200/B300 class</t>
        </is>
      </c>
      <c r="F472" s="5">
        <f>IFERROR(INDEX('02x_Accelerator_Catalog'!$C$2:$C$11,MATCH(E472,'02x_Accelerator_Catalog'!$B$2:$B$11,0)),"purpose_or_unbenchmarked")</f>
        <v/>
      </c>
      <c r="G472" s="8">
        <f>IFERROR(INDEX('02x_Accelerator_Catalog'!$D$2:$D$11,MATCH(E472,'02x_Accelerator_Catalog'!$B$2:$B$11,0)),"")</f>
        <v/>
      </c>
      <c r="H472" s="17" t="n">
        <v>0.388</v>
      </c>
      <c r="I472" s="6">
        <f>SUMIFS($H$2:$H$573,$B$2:$B$573,B472,$C$2:$C$573,C472,$D$2:$D$573,D472)</f>
        <v/>
      </c>
      <c r="J472" s="3" t="inlineStr">
        <is>
          <t>legacy_company_gpu_mix_fallback</t>
        </is>
      </c>
      <c r="K472" s="3" t="inlineStr">
        <is>
          <t>SRC_TENCENT_HUNYUAN; SRC_TENCENT_HY3; SRC_TENCENT_AI_INFRA_MOE</t>
        </is>
      </c>
      <c r="L472" s="3" t="inlineStr">
        <is>
          <t>No CSP-level chip quantity seed was available; prior company-level GPU/ASIC mix is retained as fallback.</t>
        </is>
      </c>
    </row>
    <row r="473">
      <c r="A473" s="5">
        <f>B473&amp;"|"&amp;C473&amp;"|"&amp;D473&amp;"|"&amp;E473</f>
        <v/>
      </c>
      <c r="B473" s="3" t="inlineStr">
        <is>
          <t>Bear</t>
        </is>
      </c>
      <c r="C473" s="3" t="inlineStr">
        <is>
          <t>Legacy company envelope - Tencent</t>
        </is>
      </c>
      <c r="D473" s="3" t="n">
        <v>2027</v>
      </c>
      <c r="E473" s="25" t="inlineStr">
        <is>
          <t>GB200/GB300 class</t>
        </is>
      </c>
      <c r="F473" s="5">
        <f>IFERROR(INDEX('02x_Accelerator_Catalog'!$C$2:$C$11,MATCH(E473,'02x_Accelerator_Catalog'!$B$2:$B$11,0)),"purpose_or_unbenchmarked")</f>
        <v/>
      </c>
      <c r="G473" s="8">
        <f>IFERROR(INDEX('02x_Accelerator_Catalog'!$D$2:$D$11,MATCH(E473,'02x_Accelerator_Catalog'!$B$2:$B$11,0)),"")</f>
        <v/>
      </c>
      <c r="H473" s="17" t="n">
        <v>0.174</v>
      </c>
      <c r="I473" s="6">
        <f>SUMIFS($H$2:$H$573,$B$2:$B$573,B473,$C$2:$C$573,C473,$D$2:$D$573,D473)</f>
        <v/>
      </c>
      <c r="J473" s="3" t="inlineStr">
        <is>
          <t>legacy_company_gpu_mix_fallback</t>
        </is>
      </c>
      <c r="K473" s="3" t="inlineStr">
        <is>
          <t>SRC_TENCENT_HUNYUAN; SRC_TENCENT_HY3; SRC_TENCENT_AI_INFRA_MOE</t>
        </is>
      </c>
      <c r="L473" s="3" t="inlineStr">
        <is>
          <t>No CSP-level chip quantity seed was available; prior company-level GPU/ASIC mix is retained as fallback.</t>
        </is>
      </c>
    </row>
    <row r="474">
      <c r="A474" s="5">
        <f>B474&amp;"|"&amp;C474&amp;"|"&amp;D474&amp;"|"&amp;E474</f>
        <v/>
      </c>
      <c r="B474" s="3" t="inlineStr">
        <is>
          <t>Bear</t>
        </is>
      </c>
      <c r="C474" s="3" t="inlineStr">
        <is>
          <t>Legacy company envelope - Tencent</t>
        </is>
      </c>
      <c r="D474" s="3" t="n">
        <v>2027</v>
      </c>
      <c r="E474" s="25" t="inlineStr">
        <is>
          <t>H100/H200/A100 class</t>
        </is>
      </c>
      <c r="F474" s="5">
        <f>IFERROR(INDEX('02x_Accelerator_Catalog'!$C$2:$C$11,MATCH(E474,'02x_Accelerator_Catalog'!$B$2:$B$11,0)),"purpose_or_unbenchmarked")</f>
        <v/>
      </c>
      <c r="G474" s="8">
        <f>IFERROR(INDEX('02x_Accelerator_Catalog'!$D$2:$D$11,MATCH(E474,'02x_Accelerator_Catalog'!$B$2:$B$11,0)),"")</f>
        <v/>
      </c>
      <c r="H474" s="17" t="n">
        <v>0.438</v>
      </c>
      <c r="I474" s="6">
        <f>SUMIFS($H$2:$H$573,$B$2:$B$573,B474,$C$2:$C$573,C474,$D$2:$D$573,D474)</f>
        <v/>
      </c>
      <c r="J474" s="3" t="inlineStr">
        <is>
          <t>legacy_company_gpu_mix_fallback</t>
        </is>
      </c>
      <c r="K474" s="3" t="inlineStr">
        <is>
          <t>SRC_TENCENT_HUNYUAN; SRC_TENCENT_HY3; SRC_TENCENT_AI_INFRA_MOE</t>
        </is>
      </c>
      <c r="L474" s="3" t="inlineStr">
        <is>
          <t>No CSP-level chip quantity seed was available; prior company-level GPU/ASIC mix is retained as fallback.</t>
        </is>
      </c>
    </row>
    <row r="475">
      <c r="A475" s="5">
        <f>B475&amp;"|"&amp;C475&amp;"|"&amp;D475&amp;"|"&amp;E475</f>
        <v/>
      </c>
      <c r="B475" s="3" t="inlineStr">
        <is>
          <t>Bear</t>
        </is>
      </c>
      <c r="C475" s="3" t="inlineStr">
        <is>
          <t>Legacy company envelope - Tencent</t>
        </is>
      </c>
      <c r="D475" s="3" t="n">
        <v>2028</v>
      </c>
      <c r="E475" s="25" t="inlineStr">
        <is>
          <t>B200/B300 class</t>
        </is>
      </c>
      <c r="F475" s="5">
        <f>IFERROR(INDEX('02x_Accelerator_Catalog'!$C$2:$C$11,MATCH(E475,'02x_Accelerator_Catalog'!$B$2:$B$11,0)),"purpose_or_unbenchmarked")</f>
        <v/>
      </c>
      <c r="G475" s="8">
        <f>IFERROR(INDEX('02x_Accelerator_Catalog'!$D$2:$D$11,MATCH(E475,'02x_Accelerator_Catalog'!$B$2:$B$11,0)),"")</f>
        <v/>
      </c>
      <c r="H475" s="17" t="n">
        <v>0.375</v>
      </c>
      <c r="I475" s="6">
        <f>SUMIFS($H$2:$H$573,$B$2:$B$573,B475,$C$2:$C$573,C475,$D$2:$D$573,D475)</f>
        <v/>
      </c>
      <c r="J475" s="3" t="inlineStr">
        <is>
          <t>legacy_company_gpu_mix_fallback</t>
        </is>
      </c>
      <c r="K475" s="3" t="inlineStr">
        <is>
          <t>SRC_TENCENT_HUNYUAN; SRC_TENCENT_HY3; SRC_TENCENT_AI_INFRA_MOE</t>
        </is>
      </c>
      <c r="L475" s="3" t="inlineStr">
        <is>
          <t>No CSP-level chip quantity seed was available; prior company-level GPU/ASIC mix is retained as fallback.</t>
        </is>
      </c>
    </row>
    <row r="476">
      <c r="A476" s="5">
        <f>B476&amp;"|"&amp;C476&amp;"|"&amp;D476&amp;"|"&amp;E476</f>
        <v/>
      </c>
      <c r="B476" s="3" t="inlineStr">
        <is>
          <t>Bear</t>
        </is>
      </c>
      <c r="C476" s="3" t="inlineStr">
        <is>
          <t>Legacy company envelope - Tencent</t>
        </is>
      </c>
      <c r="D476" s="3" t="n">
        <v>2028</v>
      </c>
      <c r="E476" s="25" t="inlineStr">
        <is>
          <t>GB200/GB300 class</t>
        </is>
      </c>
      <c r="F476" s="5">
        <f>IFERROR(INDEX('02x_Accelerator_Catalog'!$C$2:$C$11,MATCH(E476,'02x_Accelerator_Catalog'!$B$2:$B$11,0)),"purpose_or_unbenchmarked")</f>
        <v/>
      </c>
      <c r="G476" s="8">
        <f>IFERROR(INDEX('02x_Accelerator_Catalog'!$D$2:$D$11,MATCH(E476,'02x_Accelerator_Catalog'!$B$2:$B$11,0)),"")</f>
        <v/>
      </c>
      <c r="H476" s="17" t="n">
        <v>0.3</v>
      </c>
      <c r="I476" s="6">
        <f>SUMIFS($H$2:$H$573,$B$2:$B$573,B476,$C$2:$C$573,C476,$D$2:$D$573,D476)</f>
        <v/>
      </c>
      <c r="J476" s="3" t="inlineStr">
        <is>
          <t>legacy_company_gpu_mix_fallback</t>
        </is>
      </c>
      <c r="K476" s="3" t="inlineStr">
        <is>
          <t>SRC_TENCENT_HUNYUAN; SRC_TENCENT_HY3; SRC_TENCENT_AI_INFRA_MOE</t>
        </is>
      </c>
      <c r="L476" s="3" t="inlineStr">
        <is>
          <t>No CSP-level chip quantity seed was available; prior company-level GPU/ASIC mix is retained as fallback.</t>
        </is>
      </c>
    </row>
    <row r="477">
      <c r="A477" s="5">
        <f>B477&amp;"|"&amp;C477&amp;"|"&amp;D477&amp;"|"&amp;E477</f>
        <v/>
      </c>
      <c r="B477" s="3" t="inlineStr">
        <is>
          <t>Bear</t>
        </is>
      </c>
      <c r="C477" s="3" t="inlineStr">
        <is>
          <t>Legacy company envelope - Tencent</t>
        </is>
      </c>
      <c r="D477" s="3" t="n">
        <v>2028</v>
      </c>
      <c r="E477" s="25" t="inlineStr">
        <is>
          <t>H100/H200/A100 class</t>
        </is>
      </c>
      <c r="F477" s="5">
        <f>IFERROR(INDEX('02x_Accelerator_Catalog'!$C$2:$C$11,MATCH(E477,'02x_Accelerator_Catalog'!$B$2:$B$11,0)),"purpose_or_unbenchmarked")</f>
        <v/>
      </c>
      <c r="G477" s="8">
        <f>IFERROR(INDEX('02x_Accelerator_Catalog'!$D$2:$D$11,MATCH(E477,'02x_Accelerator_Catalog'!$B$2:$B$11,0)),"")</f>
        <v/>
      </c>
      <c r="H477" s="17" t="n">
        <v>0.325</v>
      </c>
      <c r="I477" s="6">
        <f>SUMIFS($H$2:$H$573,$B$2:$B$573,B477,$C$2:$C$573,C477,$D$2:$D$573,D477)</f>
        <v/>
      </c>
      <c r="J477" s="3" t="inlineStr">
        <is>
          <t>legacy_company_gpu_mix_fallback</t>
        </is>
      </c>
      <c r="K477" s="3" t="inlineStr">
        <is>
          <t>SRC_TENCENT_HUNYUAN; SRC_TENCENT_HY3; SRC_TENCENT_AI_INFRA_MOE</t>
        </is>
      </c>
      <c r="L477" s="3" t="inlineStr">
        <is>
          <t>No CSP-level chip quantity seed was available; prior company-level GPU/ASIC mix is retained as fallback.</t>
        </is>
      </c>
    </row>
    <row r="478">
      <c r="A478" s="5">
        <f>B478&amp;"|"&amp;C478&amp;"|"&amp;D478&amp;"|"&amp;E478</f>
        <v/>
      </c>
      <c r="B478" s="3" t="inlineStr">
        <is>
          <t>Bear</t>
        </is>
      </c>
      <c r="C478" s="3" t="inlineStr">
        <is>
          <t>Legacy company envelope - Tencent</t>
        </is>
      </c>
      <c r="D478" s="3" t="n">
        <v>2029</v>
      </c>
      <c r="E478" s="25" t="inlineStr">
        <is>
          <t>B200/B300 class</t>
        </is>
      </c>
      <c r="F478" s="5">
        <f>IFERROR(INDEX('02x_Accelerator_Catalog'!$C$2:$C$11,MATCH(E478,'02x_Accelerator_Catalog'!$B$2:$B$11,0)),"purpose_or_unbenchmarked")</f>
        <v/>
      </c>
      <c r="G478" s="8">
        <f>IFERROR(INDEX('02x_Accelerator_Catalog'!$D$2:$D$11,MATCH(E478,'02x_Accelerator_Catalog'!$B$2:$B$11,0)),"")</f>
        <v/>
      </c>
      <c r="H478" s="17" t="n">
        <v>0.362</v>
      </c>
      <c r="I478" s="6">
        <f>SUMIFS($H$2:$H$573,$B$2:$B$573,B478,$C$2:$C$573,C478,$D$2:$D$573,D478)</f>
        <v/>
      </c>
      <c r="J478" s="3" t="inlineStr">
        <is>
          <t>legacy_company_gpu_mix_fallback</t>
        </is>
      </c>
      <c r="K478" s="3" t="inlineStr">
        <is>
          <t>SRC_TENCENT_HUNYUAN; SRC_TENCENT_HY3; SRC_TENCENT_AI_INFRA_MOE</t>
        </is>
      </c>
      <c r="L478" s="3" t="inlineStr">
        <is>
          <t>No CSP-level chip quantity seed was available; prior company-level GPU/ASIC mix is retained as fallback.</t>
        </is>
      </c>
    </row>
    <row r="479">
      <c r="A479" s="5">
        <f>B479&amp;"|"&amp;C479&amp;"|"&amp;D479&amp;"|"&amp;E479</f>
        <v/>
      </c>
      <c r="B479" s="3" t="inlineStr">
        <is>
          <t>Bear</t>
        </is>
      </c>
      <c r="C479" s="3" t="inlineStr">
        <is>
          <t>Legacy company envelope - Tencent</t>
        </is>
      </c>
      <c r="D479" s="3" t="n">
        <v>2029</v>
      </c>
      <c r="E479" s="25" t="inlineStr">
        <is>
          <t>GB200/GB300 class</t>
        </is>
      </c>
      <c r="F479" s="5">
        <f>IFERROR(INDEX('02x_Accelerator_Catalog'!$C$2:$C$11,MATCH(E479,'02x_Accelerator_Catalog'!$B$2:$B$11,0)),"purpose_or_unbenchmarked")</f>
        <v/>
      </c>
      <c r="G479" s="8">
        <f>IFERROR(INDEX('02x_Accelerator_Catalog'!$D$2:$D$11,MATCH(E479,'02x_Accelerator_Catalog'!$B$2:$B$11,0)),"")</f>
        <v/>
      </c>
      <c r="H479" s="17" t="n">
        <v>0.425</v>
      </c>
      <c r="I479" s="6">
        <f>SUMIFS($H$2:$H$573,$B$2:$B$573,B479,$C$2:$C$573,C479,$D$2:$D$573,D479)</f>
        <v/>
      </c>
      <c r="J479" s="3" t="inlineStr">
        <is>
          <t>legacy_company_gpu_mix_fallback</t>
        </is>
      </c>
      <c r="K479" s="3" t="inlineStr">
        <is>
          <t>SRC_TENCENT_HUNYUAN; SRC_TENCENT_HY3; SRC_TENCENT_AI_INFRA_MOE</t>
        </is>
      </c>
      <c r="L479" s="3" t="inlineStr">
        <is>
          <t>No CSP-level chip quantity seed was available; prior company-level GPU/ASIC mix is retained as fallback.</t>
        </is>
      </c>
    </row>
    <row r="480">
      <c r="A480" s="5">
        <f>B480&amp;"|"&amp;C480&amp;"|"&amp;D480&amp;"|"&amp;E480</f>
        <v/>
      </c>
      <c r="B480" s="3" t="inlineStr">
        <is>
          <t>Bear</t>
        </is>
      </c>
      <c r="C480" s="3" t="inlineStr">
        <is>
          <t>Legacy company envelope - Tencent</t>
        </is>
      </c>
      <c r="D480" s="3" t="n">
        <v>2029</v>
      </c>
      <c r="E480" s="25" t="inlineStr">
        <is>
          <t>H100/H200/A100 class</t>
        </is>
      </c>
      <c r="F480" s="5">
        <f>IFERROR(INDEX('02x_Accelerator_Catalog'!$C$2:$C$11,MATCH(E480,'02x_Accelerator_Catalog'!$B$2:$B$11,0)),"purpose_or_unbenchmarked")</f>
        <v/>
      </c>
      <c r="G480" s="8">
        <f>IFERROR(INDEX('02x_Accelerator_Catalog'!$D$2:$D$11,MATCH(E480,'02x_Accelerator_Catalog'!$B$2:$B$11,0)),"")</f>
        <v/>
      </c>
      <c r="H480" s="17" t="n">
        <v>0.213</v>
      </c>
      <c r="I480" s="6">
        <f>SUMIFS($H$2:$H$573,$B$2:$B$573,B480,$C$2:$C$573,C480,$D$2:$D$573,D480)</f>
        <v/>
      </c>
      <c r="J480" s="3" t="inlineStr">
        <is>
          <t>legacy_company_gpu_mix_fallback</t>
        </is>
      </c>
      <c r="K480" s="3" t="inlineStr">
        <is>
          <t>SRC_TENCENT_HUNYUAN; SRC_TENCENT_HY3; SRC_TENCENT_AI_INFRA_MOE</t>
        </is>
      </c>
      <c r="L480" s="3" t="inlineStr">
        <is>
          <t>No CSP-level chip quantity seed was available; prior company-level GPU/ASIC mix is retained as fallback.</t>
        </is>
      </c>
    </row>
    <row r="481">
      <c r="A481" s="5">
        <f>B481&amp;"|"&amp;C481&amp;"|"&amp;D481&amp;"|"&amp;E481</f>
        <v/>
      </c>
      <c r="B481" s="3" t="inlineStr">
        <is>
          <t>Bear</t>
        </is>
      </c>
      <c r="C481" s="3" t="inlineStr">
        <is>
          <t>Legacy company envelope - Tencent</t>
        </is>
      </c>
      <c r="D481" s="3" t="n">
        <v>2030</v>
      </c>
      <c r="E481" s="25" t="inlineStr">
        <is>
          <t>B200/B300 class</t>
        </is>
      </c>
      <c r="F481" s="5">
        <f>IFERROR(INDEX('02x_Accelerator_Catalog'!$C$2:$C$11,MATCH(E481,'02x_Accelerator_Catalog'!$B$2:$B$11,0)),"purpose_or_unbenchmarked")</f>
        <v/>
      </c>
      <c r="G481" s="8">
        <f>IFERROR(INDEX('02x_Accelerator_Catalog'!$D$2:$D$11,MATCH(E481,'02x_Accelerator_Catalog'!$B$2:$B$11,0)),"")</f>
        <v/>
      </c>
      <c r="H481" s="17" t="n">
        <v>0.35</v>
      </c>
      <c r="I481" s="6">
        <f>SUMIFS($H$2:$H$573,$B$2:$B$573,B481,$C$2:$C$573,C481,$D$2:$D$573,D481)</f>
        <v/>
      </c>
      <c r="J481" s="3" t="inlineStr">
        <is>
          <t>legacy_company_gpu_mix_fallback</t>
        </is>
      </c>
      <c r="K481" s="3" t="inlineStr">
        <is>
          <t>SRC_TENCENT_HUNYUAN; SRC_TENCENT_HY3; SRC_TENCENT_AI_INFRA_MOE</t>
        </is>
      </c>
      <c r="L481" s="3" t="inlineStr">
        <is>
          <t>No CSP-level chip quantity seed was available; prior company-level GPU/ASIC mix is retained as fallback.</t>
        </is>
      </c>
    </row>
    <row r="482">
      <c r="A482" s="5">
        <f>B482&amp;"|"&amp;C482&amp;"|"&amp;D482&amp;"|"&amp;E482</f>
        <v/>
      </c>
      <c r="B482" s="3" t="inlineStr">
        <is>
          <t>Bear</t>
        </is>
      </c>
      <c r="C482" s="3" t="inlineStr">
        <is>
          <t>Legacy company envelope - Tencent</t>
        </is>
      </c>
      <c r="D482" s="3" t="n">
        <v>2030</v>
      </c>
      <c r="E482" s="25" t="inlineStr">
        <is>
          <t>GB200/GB300 class</t>
        </is>
      </c>
      <c r="F482" s="5">
        <f>IFERROR(INDEX('02x_Accelerator_Catalog'!$C$2:$C$11,MATCH(E482,'02x_Accelerator_Catalog'!$B$2:$B$11,0)),"purpose_or_unbenchmarked")</f>
        <v/>
      </c>
      <c r="G482" s="8">
        <f>IFERROR(INDEX('02x_Accelerator_Catalog'!$D$2:$D$11,MATCH(E482,'02x_Accelerator_Catalog'!$B$2:$B$11,0)),"")</f>
        <v/>
      </c>
      <c r="H482" s="17" t="n">
        <v>0.55</v>
      </c>
      <c r="I482" s="6">
        <f>SUMIFS($H$2:$H$573,$B$2:$B$573,B482,$C$2:$C$573,C482,$D$2:$D$573,D482)</f>
        <v/>
      </c>
      <c r="J482" s="3" t="inlineStr">
        <is>
          <t>legacy_company_gpu_mix_fallback</t>
        </is>
      </c>
      <c r="K482" s="3" t="inlineStr">
        <is>
          <t>SRC_TENCENT_HUNYUAN; SRC_TENCENT_HY3; SRC_TENCENT_AI_INFRA_MOE</t>
        </is>
      </c>
      <c r="L482" s="3" t="inlineStr">
        <is>
          <t>No CSP-level chip quantity seed was available; prior company-level GPU/ASIC mix is retained as fallback.</t>
        </is>
      </c>
    </row>
    <row r="483">
      <c r="A483" s="5">
        <f>B483&amp;"|"&amp;C483&amp;"|"&amp;D483&amp;"|"&amp;E483</f>
        <v/>
      </c>
      <c r="B483" s="3" t="inlineStr">
        <is>
          <t>Bear</t>
        </is>
      </c>
      <c r="C483" s="3" t="inlineStr">
        <is>
          <t>Legacy company envelope - Tencent</t>
        </is>
      </c>
      <c r="D483" s="3" t="n">
        <v>2030</v>
      </c>
      <c r="E483" s="25" t="inlineStr">
        <is>
          <t>H100/H200/A100 class</t>
        </is>
      </c>
      <c r="F483" s="5">
        <f>IFERROR(INDEX('02x_Accelerator_Catalog'!$C$2:$C$11,MATCH(E483,'02x_Accelerator_Catalog'!$B$2:$B$11,0)),"purpose_or_unbenchmarked")</f>
        <v/>
      </c>
      <c r="G483" s="8">
        <f>IFERROR(INDEX('02x_Accelerator_Catalog'!$D$2:$D$11,MATCH(E483,'02x_Accelerator_Catalog'!$B$2:$B$11,0)),"")</f>
        <v/>
      </c>
      <c r="H483" s="17" t="n">
        <v>0.1</v>
      </c>
      <c r="I483" s="6">
        <f>SUMIFS($H$2:$H$573,$B$2:$B$573,B483,$C$2:$C$573,C483,$D$2:$D$573,D483)</f>
        <v/>
      </c>
      <c r="J483" s="3" t="inlineStr">
        <is>
          <t>legacy_company_gpu_mix_fallback</t>
        </is>
      </c>
      <c r="K483" s="3" t="inlineStr">
        <is>
          <t>SRC_TENCENT_HUNYUAN; SRC_TENCENT_HY3; SRC_TENCENT_AI_INFRA_MOE</t>
        </is>
      </c>
      <c r="L483" s="3" t="inlineStr">
        <is>
          <t>No CSP-level chip quantity seed was available; prior company-level GPU/ASIC mix is retained as fallback.</t>
        </is>
      </c>
    </row>
    <row r="484">
      <c r="A484" s="5">
        <f>B484&amp;"|"&amp;C484&amp;"|"&amp;D484&amp;"|"&amp;E484</f>
        <v/>
      </c>
      <c r="B484" s="3" t="inlineStr">
        <is>
          <t>Base</t>
        </is>
      </c>
      <c r="C484" s="3" t="inlineStr">
        <is>
          <t>Legacy company envelope - DeepSeek</t>
        </is>
      </c>
      <c r="D484" s="3" t="n">
        <v>2026</v>
      </c>
      <c r="E484" s="25" t="inlineStr">
        <is>
          <t>B200/B300 class</t>
        </is>
      </c>
      <c r="F484" s="5">
        <f>IFERROR(INDEX('02x_Accelerator_Catalog'!$C$2:$C$11,MATCH(E484,'02x_Accelerator_Catalog'!$B$2:$B$11,0)),"purpose_or_unbenchmarked")</f>
        <v/>
      </c>
      <c r="G484" s="8">
        <f>IFERROR(INDEX('02x_Accelerator_Catalog'!$D$2:$D$11,MATCH(E484,'02x_Accelerator_Catalog'!$B$2:$B$11,0)),"")</f>
        <v/>
      </c>
      <c r="H484" s="17" t="n">
        <v>0.4</v>
      </c>
      <c r="I484" s="6">
        <f>SUMIFS($H$2:$H$573,$B$2:$B$573,B484,$C$2:$C$573,C484,$D$2:$D$573,D484)</f>
        <v/>
      </c>
      <c r="J484" s="3" t="inlineStr">
        <is>
          <t>legacy_company_gpu_mix_fallback</t>
        </is>
      </c>
      <c r="K484" s="3" t="inlineStr">
        <is>
          <t>SRC_DEEPSEEK_V3; SRC_DEEPSEEK_R1; SRC_DEEPSEEK_H800_INFERENCE</t>
        </is>
      </c>
      <c r="L484" s="3" t="inlineStr">
        <is>
          <t>No CSP-level chip quantity seed was available; prior company-level GPU/ASIC mix is retained as fallback.</t>
        </is>
      </c>
    </row>
    <row r="485">
      <c r="A485" s="5">
        <f>B485&amp;"|"&amp;C485&amp;"|"&amp;D485&amp;"|"&amp;E485</f>
        <v/>
      </c>
      <c r="B485" s="3" t="inlineStr">
        <is>
          <t>Base</t>
        </is>
      </c>
      <c r="C485" s="3" t="inlineStr">
        <is>
          <t>Legacy company envelope - DeepSeek</t>
        </is>
      </c>
      <c r="D485" s="3" t="n">
        <v>2026</v>
      </c>
      <c r="E485" s="25" t="inlineStr">
        <is>
          <t>GB200/GB300 class</t>
        </is>
      </c>
      <c r="F485" s="5">
        <f>IFERROR(INDEX('02x_Accelerator_Catalog'!$C$2:$C$11,MATCH(E485,'02x_Accelerator_Catalog'!$B$2:$B$11,0)),"purpose_or_unbenchmarked")</f>
        <v/>
      </c>
      <c r="G485" s="8">
        <f>IFERROR(INDEX('02x_Accelerator_Catalog'!$D$2:$D$11,MATCH(E485,'02x_Accelerator_Catalog'!$B$2:$B$11,0)),"")</f>
        <v/>
      </c>
      <c r="H485" s="17" t="n">
        <v>0.05</v>
      </c>
      <c r="I485" s="6">
        <f>SUMIFS($H$2:$H$573,$B$2:$B$573,B485,$C$2:$C$573,C485,$D$2:$D$573,D485)</f>
        <v/>
      </c>
      <c r="J485" s="3" t="inlineStr">
        <is>
          <t>legacy_company_gpu_mix_fallback</t>
        </is>
      </c>
      <c r="K485" s="3" t="inlineStr">
        <is>
          <t>SRC_DEEPSEEK_V3; SRC_DEEPSEEK_R1; SRC_DEEPSEEK_H800_INFERENCE</t>
        </is>
      </c>
      <c r="L485" s="3" t="inlineStr">
        <is>
          <t>No CSP-level chip quantity seed was available; prior company-level GPU/ASIC mix is retained as fallback.</t>
        </is>
      </c>
    </row>
    <row r="486">
      <c r="A486" s="5">
        <f>B486&amp;"|"&amp;C486&amp;"|"&amp;D486&amp;"|"&amp;E486</f>
        <v/>
      </c>
      <c r="B486" s="3" t="inlineStr">
        <is>
          <t>Base</t>
        </is>
      </c>
      <c r="C486" s="3" t="inlineStr">
        <is>
          <t>Legacy company envelope - DeepSeek</t>
        </is>
      </c>
      <c r="D486" s="3" t="n">
        <v>2026</v>
      </c>
      <c r="E486" s="25" t="inlineStr">
        <is>
          <t>H100/H200/A100 class</t>
        </is>
      </c>
      <c r="F486" s="5">
        <f>IFERROR(INDEX('02x_Accelerator_Catalog'!$C$2:$C$11,MATCH(E486,'02x_Accelerator_Catalog'!$B$2:$B$11,0)),"purpose_or_unbenchmarked")</f>
        <v/>
      </c>
      <c r="G486" s="8">
        <f>IFERROR(INDEX('02x_Accelerator_Catalog'!$D$2:$D$11,MATCH(E486,'02x_Accelerator_Catalog'!$B$2:$B$11,0)),"")</f>
        <v/>
      </c>
      <c r="H486" s="17" t="n">
        <v>0.55</v>
      </c>
      <c r="I486" s="6">
        <f>SUMIFS($H$2:$H$573,$B$2:$B$573,B486,$C$2:$C$573,C486,$D$2:$D$573,D486)</f>
        <v/>
      </c>
      <c r="J486" s="3" t="inlineStr">
        <is>
          <t>legacy_company_gpu_mix_fallback</t>
        </is>
      </c>
      <c r="K486" s="3" t="inlineStr">
        <is>
          <t>SRC_DEEPSEEK_V3; SRC_DEEPSEEK_R1; SRC_DEEPSEEK_H800_INFERENCE</t>
        </is>
      </c>
      <c r="L486" s="3" t="inlineStr">
        <is>
          <t>No CSP-level chip quantity seed was available; prior company-level GPU/ASIC mix is retained as fallback.</t>
        </is>
      </c>
    </row>
    <row r="487">
      <c r="A487" s="5">
        <f>B487&amp;"|"&amp;C487&amp;"|"&amp;D487&amp;"|"&amp;E487</f>
        <v/>
      </c>
      <c r="B487" s="3" t="inlineStr">
        <is>
          <t>Base</t>
        </is>
      </c>
      <c r="C487" s="3" t="inlineStr">
        <is>
          <t>Legacy company envelope - DeepSeek</t>
        </is>
      </c>
      <c r="D487" s="3" t="n">
        <v>2027</v>
      </c>
      <c r="E487" s="25" t="inlineStr">
        <is>
          <t>B200/B300 class</t>
        </is>
      </c>
      <c r="F487" s="5">
        <f>IFERROR(INDEX('02x_Accelerator_Catalog'!$C$2:$C$11,MATCH(E487,'02x_Accelerator_Catalog'!$B$2:$B$11,0)),"purpose_or_unbenchmarked")</f>
        <v/>
      </c>
      <c r="G487" s="8">
        <f>IFERROR(INDEX('02x_Accelerator_Catalog'!$D$2:$D$11,MATCH(E487,'02x_Accelerator_Catalog'!$B$2:$B$11,0)),"")</f>
        <v/>
      </c>
      <c r="H487" s="17" t="n">
        <v>0.388</v>
      </c>
      <c r="I487" s="6">
        <f>SUMIFS($H$2:$H$573,$B$2:$B$573,B487,$C$2:$C$573,C487,$D$2:$D$573,D487)</f>
        <v/>
      </c>
      <c r="J487" s="3" t="inlineStr">
        <is>
          <t>legacy_company_gpu_mix_fallback</t>
        </is>
      </c>
      <c r="K487" s="3" t="inlineStr">
        <is>
          <t>SRC_DEEPSEEK_V3; SRC_DEEPSEEK_R1; SRC_DEEPSEEK_H800_INFERENCE</t>
        </is>
      </c>
      <c r="L487" s="3" t="inlineStr">
        <is>
          <t>No CSP-level chip quantity seed was available; prior company-level GPU/ASIC mix is retained as fallback.</t>
        </is>
      </c>
    </row>
    <row r="488">
      <c r="A488" s="5">
        <f>B488&amp;"|"&amp;C488&amp;"|"&amp;D488&amp;"|"&amp;E488</f>
        <v/>
      </c>
      <c r="B488" s="3" t="inlineStr">
        <is>
          <t>Base</t>
        </is>
      </c>
      <c r="C488" s="3" t="inlineStr">
        <is>
          <t>Legacy company envelope - DeepSeek</t>
        </is>
      </c>
      <c r="D488" s="3" t="n">
        <v>2027</v>
      </c>
      <c r="E488" s="25" t="inlineStr">
        <is>
          <t>GB200/GB300 class</t>
        </is>
      </c>
      <c r="F488" s="5">
        <f>IFERROR(INDEX('02x_Accelerator_Catalog'!$C$2:$C$11,MATCH(E488,'02x_Accelerator_Catalog'!$B$2:$B$11,0)),"purpose_or_unbenchmarked")</f>
        <v/>
      </c>
      <c r="G488" s="8">
        <f>IFERROR(INDEX('02x_Accelerator_Catalog'!$D$2:$D$11,MATCH(E488,'02x_Accelerator_Catalog'!$B$2:$B$11,0)),"")</f>
        <v/>
      </c>
      <c r="H488" s="17" t="n">
        <v>0.174</v>
      </c>
      <c r="I488" s="6">
        <f>SUMIFS($H$2:$H$573,$B$2:$B$573,B488,$C$2:$C$573,C488,$D$2:$D$573,D488)</f>
        <v/>
      </c>
      <c r="J488" s="3" t="inlineStr">
        <is>
          <t>legacy_company_gpu_mix_fallback</t>
        </is>
      </c>
      <c r="K488" s="3" t="inlineStr">
        <is>
          <t>SRC_DEEPSEEK_V3; SRC_DEEPSEEK_R1; SRC_DEEPSEEK_H800_INFERENCE</t>
        </is>
      </c>
      <c r="L488" s="3" t="inlineStr">
        <is>
          <t>No CSP-level chip quantity seed was available; prior company-level GPU/ASIC mix is retained as fallback.</t>
        </is>
      </c>
    </row>
    <row r="489">
      <c r="A489" s="5">
        <f>B489&amp;"|"&amp;C489&amp;"|"&amp;D489&amp;"|"&amp;E489</f>
        <v/>
      </c>
      <c r="B489" s="3" t="inlineStr">
        <is>
          <t>Base</t>
        </is>
      </c>
      <c r="C489" s="3" t="inlineStr">
        <is>
          <t>Legacy company envelope - DeepSeek</t>
        </is>
      </c>
      <c r="D489" s="3" t="n">
        <v>2027</v>
      </c>
      <c r="E489" s="25" t="inlineStr">
        <is>
          <t>H100/H200/A100 class</t>
        </is>
      </c>
      <c r="F489" s="5">
        <f>IFERROR(INDEX('02x_Accelerator_Catalog'!$C$2:$C$11,MATCH(E489,'02x_Accelerator_Catalog'!$B$2:$B$11,0)),"purpose_or_unbenchmarked")</f>
        <v/>
      </c>
      <c r="G489" s="8">
        <f>IFERROR(INDEX('02x_Accelerator_Catalog'!$D$2:$D$11,MATCH(E489,'02x_Accelerator_Catalog'!$B$2:$B$11,0)),"")</f>
        <v/>
      </c>
      <c r="H489" s="17" t="n">
        <v>0.438</v>
      </c>
      <c r="I489" s="6">
        <f>SUMIFS($H$2:$H$573,$B$2:$B$573,B489,$C$2:$C$573,C489,$D$2:$D$573,D489)</f>
        <v/>
      </c>
      <c r="J489" s="3" t="inlineStr">
        <is>
          <t>legacy_company_gpu_mix_fallback</t>
        </is>
      </c>
      <c r="K489" s="3" t="inlineStr">
        <is>
          <t>SRC_DEEPSEEK_V3; SRC_DEEPSEEK_R1; SRC_DEEPSEEK_H800_INFERENCE</t>
        </is>
      </c>
      <c r="L489" s="3" t="inlineStr">
        <is>
          <t>No CSP-level chip quantity seed was available; prior company-level GPU/ASIC mix is retained as fallback.</t>
        </is>
      </c>
    </row>
    <row r="490">
      <c r="A490" s="5">
        <f>B490&amp;"|"&amp;C490&amp;"|"&amp;D490&amp;"|"&amp;E490</f>
        <v/>
      </c>
      <c r="B490" s="3" t="inlineStr">
        <is>
          <t>Base</t>
        </is>
      </c>
      <c r="C490" s="3" t="inlineStr">
        <is>
          <t>Legacy company envelope - DeepSeek</t>
        </is>
      </c>
      <c r="D490" s="3" t="n">
        <v>2028</v>
      </c>
      <c r="E490" s="25" t="inlineStr">
        <is>
          <t>B200/B300 class</t>
        </is>
      </c>
      <c r="F490" s="5">
        <f>IFERROR(INDEX('02x_Accelerator_Catalog'!$C$2:$C$11,MATCH(E490,'02x_Accelerator_Catalog'!$B$2:$B$11,0)),"purpose_or_unbenchmarked")</f>
        <v/>
      </c>
      <c r="G490" s="8">
        <f>IFERROR(INDEX('02x_Accelerator_Catalog'!$D$2:$D$11,MATCH(E490,'02x_Accelerator_Catalog'!$B$2:$B$11,0)),"")</f>
        <v/>
      </c>
      <c r="H490" s="17" t="n">
        <v>0.375</v>
      </c>
      <c r="I490" s="6">
        <f>SUMIFS($H$2:$H$573,$B$2:$B$573,B490,$C$2:$C$573,C490,$D$2:$D$573,D490)</f>
        <v/>
      </c>
      <c r="J490" s="3" t="inlineStr">
        <is>
          <t>legacy_company_gpu_mix_fallback</t>
        </is>
      </c>
      <c r="K490" s="3" t="inlineStr">
        <is>
          <t>SRC_DEEPSEEK_V3; SRC_DEEPSEEK_R1; SRC_DEEPSEEK_H800_INFERENCE</t>
        </is>
      </c>
      <c r="L490" s="3" t="inlineStr">
        <is>
          <t>No CSP-level chip quantity seed was available; prior company-level GPU/ASIC mix is retained as fallback.</t>
        </is>
      </c>
    </row>
    <row r="491">
      <c r="A491" s="5">
        <f>B491&amp;"|"&amp;C491&amp;"|"&amp;D491&amp;"|"&amp;E491</f>
        <v/>
      </c>
      <c r="B491" s="3" t="inlineStr">
        <is>
          <t>Base</t>
        </is>
      </c>
      <c r="C491" s="3" t="inlineStr">
        <is>
          <t>Legacy company envelope - DeepSeek</t>
        </is>
      </c>
      <c r="D491" s="3" t="n">
        <v>2028</v>
      </c>
      <c r="E491" s="25" t="inlineStr">
        <is>
          <t>GB200/GB300 class</t>
        </is>
      </c>
      <c r="F491" s="5">
        <f>IFERROR(INDEX('02x_Accelerator_Catalog'!$C$2:$C$11,MATCH(E491,'02x_Accelerator_Catalog'!$B$2:$B$11,0)),"purpose_or_unbenchmarked")</f>
        <v/>
      </c>
      <c r="G491" s="8">
        <f>IFERROR(INDEX('02x_Accelerator_Catalog'!$D$2:$D$11,MATCH(E491,'02x_Accelerator_Catalog'!$B$2:$B$11,0)),"")</f>
        <v/>
      </c>
      <c r="H491" s="17" t="n">
        <v>0.3</v>
      </c>
      <c r="I491" s="6">
        <f>SUMIFS($H$2:$H$573,$B$2:$B$573,B491,$C$2:$C$573,C491,$D$2:$D$573,D491)</f>
        <v/>
      </c>
      <c r="J491" s="3" t="inlineStr">
        <is>
          <t>legacy_company_gpu_mix_fallback</t>
        </is>
      </c>
      <c r="K491" s="3" t="inlineStr">
        <is>
          <t>SRC_DEEPSEEK_V3; SRC_DEEPSEEK_R1; SRC_DEEPSEEK_H800_INFERENCE</t>
        </is>
      </c>
      <c r="L491" s="3" t="inlineStr">
        <is>
          <t>No CSP-level chip quantity seed was available; prior company-level GPU/ASIC mix is retained as fallback.</t>
        </is>
      </c>
    </row>
    <row r="492">
      <c r="A492" s="5">
        <f>B492&amp;"|"&amp;C492&amp;"|"&amp;D492&amp;"|"&amp;E492</f>
        <v/>
      </c>
      <c r="B492" s="3" t="inlineStr">
        <is>
          <t>Base</t>
        </is>
      </c>
      <c r="C492" s="3" t="inlineStr">
        <is>
          <t>Legacy company envelope - DeepSeek</t>
        </is>
      </c>
      <c r="D492" s="3" t="n">
        <v>2028</v>
      </c>
      <c r="E492" s="25" t="inlineStr">
        <is>
          <t>H100/H200/A100 class</t>
        </is>
      </c>
      <c r="F492" s="5">
        <f>IFERROR(INDEX('02x_Accelerator_Catalog'!$C$2:$C$11,MATCH(E492,'02x_Accelerator_Catalog'!$B$2:$B$11,0)),"purpose_or_unbenchmarked")</f>
        <v/>
      </c>
      <c r="G492" s="8">
        <f>IFERROR(INDEX('02x_Accelerator_Catalog'!$D$2:$D$11,MATCH(E492,'02x_Accelerator_Catalog'!$B$2:$B$11,0)),"")</f>
        <v/>
      </c>
      <c r="H492" s="17" t="n">
        <v>0.325</v>
      </c>
      <c r="I492" s="6">
        <f>SUMIFS($H$2:$H$573,$B$2:$B$573,B492,$C$2:$C$573,C492,$D$2:$D$573,D492)</f>
        <v/>
      </c>
      <c r="J492" s="3" t="inlineStr">
        <is>
          <t>legacy_company_gpu_mix_fallback</t>
        </is>
      </c>
      <c r="K492" s="3" t="inlineStr">
        <is>
          <t>SRC_DEEPSEEK_V3; SRC_DEEPSEEK_R1; SRC_DEEPSEEK_H800_INFERENCE</t>
        </is>
      </c>
      <c r="L492" s="3" t="inlineStr">
        <is>
          <t>No CSP-level chip quantity seed was available; prior company-level GPU/ASIC mix is retained as fallback.</t>
        </is>
      </c>
    </row>
    <row r="493">
      <c r="A493" s="5">
        <f>B493&amp;"|"&amp;C493&amp;"|"&amp;D493&amp;"|"&amp;E493</f>
        <v/>
      </c>
      <c r="B493" s="3" t="inlineStr">
        <is>
          <t>Base</t>
        </is>
      </c>
      <c r="C493" s="3" t="inlineStr">
        <is>
          <t>Legacy company envelope - DeepSeek</t>
        </is>
      </c>
      <c r="D493" s="3" t="n">
        <v>2029</v>
      </c>
      <c r="E493" s="25" t="inlineStr">
        <is>
          <t>B200/B300 class</t>
        </is>
      </c>
      <c r="F493" s="5">
        <f>IFERROR(INDEX('02x_Accelerator_Catalog'!$C$2:$C$11,MATCH(E493,'02x_Accelerator_Catalog'!$B$2:$B$11,0)),"purpose_or_unbenchmarked")</f>
        <v/>
      </c>
      <c r="G493" s="8">
        <f>IFERROR(INDEX('02x_Accelerator_Catalog'!$D$2:$D$11,MATCH(E493,'02x_Accelerator_Catalog'!$B$2:$B$11,0)),"")</f>
        <v/>
      </c>
      <c r="H493" s="17" t="n">
        <v>0.362</v>
      </c>
      <c r="I493" s="6">
        <f>SUMIFS($H$2:$H$573,$B$2:$B$573,B493,$C$2:$C$573,C493,$D$2:$D$573,D493)</f>
        <v/>
      </c>
      <c r="J493" s="3" t="inlineStr">
        <is>
          <t>legacy_company_gpu_mix_fallback</t>
        </is>
      </c>
      <c r="K493" s="3" t="inlineStr">
        <is>
          <t>SRC_DEEPSEEK_V3; SRC_DEEPSEEK_R1; SRC_DEEPSEEK_H800_INFERENCE</t>
        </is>
      </c>
      <c r="L493" s="3" t="inlineStr">
        <is>
          <t>No CSP-level chip quantity seed was available; prior company-level GPU/ASIC mix is retained as fallback.</t>
        </is>
      </c>
    </row>
    <row r="494">
      <c r="A494" s="5">
        <f>B494&amp;"|"&amp;C494&amp;"|"&amp;D494&amp;"|"&amp;E494</f>
        <v/>
      </c>
      <c r="B494" s="3" t="inlineStr">
        <is>
          <t>Base</t>
        </is>
      </c>
      <c r="C494" s="3" t="inlineStr">
        <is>
          <t>Legacy company envelope - DeepSeek</t>
        </is>
      </c>
      <c r="D494" s="3" t="n">
        <v>2029</v>
      </c>
      <c r="E494" s="25" t="inlineStr">
        <is>
          <t>GB200/GB300 class</t>
        </is>
      </c>
      <c r="F494" s="5">
        <f>IFERROR(INDEX('02x_Accelerator_Catalog'!$C$2:$C$11,MATCH(E494,'02x_Accelerator_Catalog'!$B$2:$B$11,0)),"purpose_or_unbenchmarked")</f>
        <v/>
      </c>
      <c r="G494" s="8">
        <f>IFERROR(INDEX('02x_Accelerator_Catalog'!$D$2:$D$11,MATCH(E494,'02x_Accelerator_Catalog'!$B$2:$B$11,0)),"")</f>
        <v/>
      </c>
      <c r="H494" s="17" t="n">
        <v>0.425</v>
      </c>
      <c r="I494" s="6">
        <f>SUMIFS($H$2:$H$573,$B$2:$B$573,B494,$C$2:$C$573,C494,$D$2:$D$573,D494)</f>
        <v/>
      </c>
      <c r="J494" s="3" t="inlineStr">
        <is>
          <t>legacy_company_gpu_mix_fallback</t>
        </is>
      </c>
      <c r="K494" s="3" t="inlineStr">
        <is>
          <t>SRC_DEEPSEEK_V3; SRC_DEEPSEEK_R1; SRC_DEEPSEEK_H800_INFERENCE</t>
        </is>
      </c>
      <c r="L494" s="3" t="inlineStr">
        <is>
          <t>No CSP-level chip quantity seed was available; prior company-level GPU/ASIC mix is retained as fallback.</t>
        </is>
      </c>
    </row>
    <row r="495">
      <c r="A495" s="5">
        <f>B495&amp;"|"&amp;C495&amp;"|"&amp;D495&amp;"|"&amp;E495</f>
        <v/>
      </c>
      <c r="B495" s="3" t="inlineStr">
        <is>
          <t>Base</t>
        </is>
      </c>
      <c r="C495" s="3" t="inlineStr">
        <is>
          <t>Legacy company envelope - DeepSeek</t>
        </is>
      </c>
      <c r="D495" s="3" t="n">
        <v>2029</v>
      </c>
      <c r="E495" s="25" t="inlineStr">
        <is>
          <t>H100/H200/A100 class</t>
        </is>
      </c>
      <c r="F495" s="5">
        <f>IFERROR(INDEX('02x_Accelerator_Catalog'!$C$2:$C$11,MATCH(E495,'02x_Accelerator_Catalog'!$B$2:$B$11,0)),"purpose_or_unbenchmarked")</f>
        <v/>
      </c>
      <c r="G495" s="8">
        <f>IFERROR(INDEX('02x_Accelerator_Catalog'!$D$2:$D$11,MATCH(E495,'02x_Accelerator_Catalog'!$B$2:$B$11,0)),"")</f>
        <v/>
      </c>
      <c r="H495" s="17" t="n">
        <v>0.213</v>
      </c>
      <c r="I495" s="6">
        <f>SUMIFS($H$2:$H$573,$B$2:$B$573,B495,$C$2:$C$573,C495,$D$2:$D$573,D495)</f>
        <v/>
      </c>
      <c r="J495" s="3" t="inlineStr">
        <is>
          <t>legacy_company_gpu_mix_fallback</t>
        </is>
      </c>
      <c r="K495" s="3" t="inlineStr">
        <is>
          <t>SRC_DEEPSEEK_V3; SRC_DEEPSEEK_R1; SRC_DEEPSEEK_H800_INFERENCE</t>
        </is>
      </c>
      <c r="L495" s="3" t="inlineStr">
        <is>
          <t>No CSP-level chip quantity seed was available; prior company-level GPU/ASIC mix is retained as fallback.</t>
        </is>
      </c>
    </row>
    <row r="496">
      <c r="A496" s="5">
        <f>B496&amp;"|"&amp;C496&amp;"|"&amp;D496&amp;"|"&amp;E496</f>
        <v/>
      </c>
      <c r="B496" s="3" t="inlineStr">
        <is>
          <t>Base</t>
        </is>
      </c>
      <c r="C496" s="3" t="inlineStr">
        <is>
          <t>Legacy company envelope - DeepSeek</t>
        </is>
      </c>
      <c r="D496" s="3" t="n">
        <v>2030</v>
      </c>
      <c r="E496" s="25" t="inlineStr">
        <is>
          <t>B200/B300 class</t>
        </is>
      </c>
      <c r="F496" s="5">
        <f>IFERROR(INDEX('02x_Accelerator_Catalog'!$C$2:$C$11,MATCH(E496,'02x_Accelerator_Catalog'!$B$2:$B$11,0)),"purpose_or_unbenchmarked")</f>
        <v/>
      </c>
      <c r="G496" s="8">
        <f>IFERROR(INDEX('02x_Accelerator_Catalog'!$D$2:$D$11,MATCH(E496,'02x_Accelerator_Catalog'!$B$2:$B$11,0)),"")</f>
        <v/>
      </c>
      <c r="H496" s="17" t="n">
        <v>0.35</v>
      </c>
      <c r="I496" s="6">
        <f>SUMIFS($H$2:$H$573,$B$2:$B$573,B496,$C$2:$C$573,C496,$D$2:$D$573,D496)</f>
        <v/>
      </c>
      <c r="J496" s="3" t="inlineStr">
        <is>
          <t>legacy_company_gpu_mix_fallback</t>
        </is>
      </c>
      <c r="K496" s="3" t="inlineStr">
        <is>
          <t>SRC_DEEPSEEK_V3; SRC_DEEPSEEK_R1; SRC_DEEPSEEK_H800_INFERENCE</t>
        </is>
      </c>
      <c r="L496" s="3" t="inlineStr">
        <is>
          <t>No CSP-level chip quantity seed was available; prior company-level GPU/ASIC mix is retained as fallback.</t>
        </is>
      </c>
    </row>
    <row r="497">
      <c r="A497" s="5">
        <f>B497&amp;"|"&amp;C497&amp;"|"&amp;D497&amp;"|"&amp;E497</f>
        <v/>
      </c>
      <c r="B497" s="3" t="inlineStr">
        <is>
          <t>Base</t>
        </is>
      </c>
      <c r="C497" s="3" t="inlineStr">
        <is>
          <t>Legacy company envelope - DeepSeek</t>
        </is>
      </c>
      <c r="D497" s="3" t="n">
        <v>2030</v>
      </c>
      <c r="E497" s="25" t="inlineStr">
        <is>
          <t>GB200/GB300 class</t>
        </is>
      </c>
      <c r="F497" s="5">
        <f>IFERROR(INDEX('02x_Accelerator_Catalog'!$C$2:$C$11,MATCH(E497,'02x_Accelerator_Catalog'!$B$2:$B$11,0)),"purpose_or_unbenchmarked")</f>
        <v/>
      </c>
      <c r="G497" s="8">
        <f>IFERROR(INDEX('02x_Accelerator_Catalog'!$D$2:$D$11,MATCH(E497,'02x_Accelerator_Catalog'!$B$2:$B$11,0)),"")</f>
        <v/>
      </c>
      <c r="H497" s="17" t="n">
        <v>0.55</v>
      </c>
      <c r="I497" s="6">
        <f>SUMIFS($H$2:$H$573,$B$2:$B$573,B497,$C$2:$C$573,C497,$D$2:$D$573,D497)</f>
        <v/>
      </c>
      <c r="J497" s="3" t="inlineStr">
        <is>
          <t>legacy_company_gpu_mix_fallback</t>
        </is>
      </c>
      <c r="K497" s="3" t="inlineStr">
        <is>
          <t>SRC_DEEPSEEK_V3; SRC_DEEPSEEK_R1; SRC_DEEPSEEK_H800_INFERENCE</t>
        </is>
      </c>
      <c r="L497" s="3" t="inlineStr">
        <is>
          <t>No CSP-level chip quantity seed was available; prior company-level GPU/ASIC mix is retained as fallback.</t>
        </is>
      </c>
    </row>
    <row r="498">
      <c r="A498" s="5">
        <f>B498&amp;"|"&amp;C498&amp;"|"&amp;D498&amp;"|"&amp;E498</f>
        <v/>
      </c>
      <c r="B498" s="3" t="inlineStr">
        <is>
          <t>Base</t>
        </is>
      </c>
      <c r="C498" s="3" t="inlineStr">
        <is>
          <t>Legacy company envelope - DeepSeek</t>
        </is>
      </c>
      <c r="D498" s="3" t="n">
        <v>2030</v>
      </c>
      <c r="E498" s="25" t="inlineStr">
        <is>
          <t>H100/H200/A100 class</t>
        </is>
      </c>
      <c r="F498" s="5">
        <f>IFERROR(INDEX('02x_Accelerator_Catalog'!$C$2:$C$11,MATCH(E498,'02x_Accelerator_Catalog'!$B$2:$B$11,0)),"purpose_or_unbenchmarked")</f>
        <v/>
      </c>
      <c r="G498" s="8">
        <f>IFERROR(INDEX('02x_Accelerator_Catalog'!$D$2:$D$11,MATCH(E498,'02x_Accelerator_Catalog'!$B$2:$B$11,0)),"")</f>
        <v/>
      </c>
      <c r="H498" s="17" t="n">
        <v>0.1</v>
      </c>
      <c r="I498" s="6">
        <f>SUMIFS($H$2:$H$573,$B$2:$B$573,B498,$C$2:$C$573,C498,$D$2:$D$573,D498)</f>
        <v/>
      </c>
      <c r="J498" s="3" t="inlineStr">
        <is>
          <t>legacy_company_gpu_mix_fallback</t>
        </is>
      </c>
      <c r="K498" s="3" t="inlineStr">
        <is>
          <t>SRC_DEEPSEEK_V3; SRC_DEEPSEEK_R1; SRC_DEEPSEEK_H800_INFERENCE</t>
        </is>
      </c>
      <c r="L498" s="3" t="inlineStr">
        <is>
          <t>No CSP-level chip quantity seed was available; prior company-level GPU/ASIC mix is retained as fallback.</t>
        </is>
      </c>
    </row>
    <row r="499">
      <c r="A499" s="5">
        <f>B499&amp;"|"&amp;C499&amp;"|"&amp;D499&amp;"|"&amp;E499</f>
        <v/>
      </c>
      <c r="B499" s="3" t="inlineStr">
        <is>
          <t>Base</t>
        </is>
      </c>
      <c r="C499" s="3" t="inlineStr">
        <is>
          <t>Legacy company envelope - Tencent</t>
        </is>
      </c>
      <c r="D499" s="3" t="n">
        <v>2026</v>
      </c>
      <c r="E499" s="25" t="inlineStr">
        <is>
          <t>B200/B300 class</t>
        </is>
      </c>
      <c r="F499" s="5">
        <f>IFERROR(INDEX('02x_Accelerator_Catalog'!$C$2:$C$11,MATCH(E499,'02x_Accelerator_Catalog'!$B$2:$B$11,0)),"purpose_or_unbenchmarked")</f>
        <v/>
      </c>
      <c r="G499" s="8">
        <f>IFERROR(INDEX('02x_Accelerator_Catalog'!$D$2:$D$11,MATCH(E499,'02x_Accelerator_Catalog'!$B$2:$B$11,0)),"")</f>
        <v/>
      </c>
      <c r="H499" s="17" t="n">
        <v>0.4</v>
      </c>
      <c r="I499" s="6">
        <f>SUMIFS($H$2:$H$573,$B$2:$B$573,B499,$C$2:$C$573,C499,$D$2:$D$573,D499)</f>
        <v/>
      </c>
      <c r="J499" s="3" t="inlineStr">
        <is>
          <t>legacy_company_gpu_mix_fallback</t>
        </is>
      </c>
      <c r="K499" s="3" t="inlineStr">
        <is>
          <t>SRC_TENCENT_HUNYUAN; SRC_TENCENT_HY3; SRC_TENCENT_AI_INFRA_MOE</t>
        </is>
      </c>
      <c r="L499" s="3" t="inlineStr">
        <is>
          <t>No CSP-level chip quantity seed was available; prior company-level GPU/ASIC mix is retained as fallback.</t>
        </is>
      </c>
    </row>
    <row r="500">
      <c r="A500" s="5">
        <f>B500&amp;"|"&amp;C500&amp;"|"&amp;D500&amp;"|"&amp;E500</f>
        <v/>
      </c>
      <c r="B500" s="3" t="inlineStr">
        <is>
          <t>Base</t>
        </is>
      </c>
      <c r="C500" s="3" t="inlineStr">
        <is>
          <t>Legacy company envelope - Tencent</t>
        </is>
      </c>
      <c r="D500" s="3" t="n">
        <v>2026</v>
      </c>
      <c r="E500" s="25" t="inlineStr">
        <is>
          <t>GB200/GB300 class</t>
        </is>
      </c>
      <c r="F500" s="5">
        <f>IFERROR(INDEX('02x_Accelerator_Catalog'!$C$2:$C$11,MATCH(E500,'02x_Accelerator_Catalog'!$B$2:$B$11,0)),"purpose_or_unbenchmarked")</f>
        <v/>
      </c>
      <c r="G500" s="8">
        <f>IFERROR(INDEX('02x_Accelerator_Catalog'!$D$2:$D$11,MATCH(E500,'02x_Accelerator_Catalog'!$B$2:$B$11,0)),"")</f>
        <v/>
      </c>
      <c r="H500" s="17" t="n">
        <v>0.05</v>
      </c>
      <c r="I500" s="6">
        <f>SUMIFS($H$2:$H$573,$B$2:$B$573,B500,$C$2:$C$573,C500,$D$2:$D$573,D500)</f>
        <v/>
      </c>
      <c r="J500" s="3" t="inlineStr">
        <is>
          <t>legacy_company_gpu_mix_fallback</t>
        </is>
      </c>
      <c r="K500" s="3" t="inlineStr">
        <is>
          <t>SRC_TENCENT_HUNYUAN; SRC_TENCENT_HY3; SRC_TENCENT_AI_INFRA_MOE</t>
        </is>
      </c>
      <c r="L500" s="3" t="inlineStr">
        <is>
          <t>No CSP-level chip quantity seed was available; prior company-level GPU/ASIC mix is retained as fallback.</t>
        </is>
      </c>
    </row>
    <row r="501">
      <c r="A501" s="5">
        <f>B501&amp;"|"&amp;C501&amp;"|"&amp;D501&amp;"|"&amp;E501</f>
        <v/>
      </c>
      <c r="B501" s="3" t="inlineStr">
        <is>
          <t>Base</t>
        </is>
      </c>
      <c r="C501" s="3" t="inlineStr">
        <is>
          <t>Legacy company envelope - Tencent</t>
        </is>
      </c>
      <c r="D501" s="3" t="n">
        <v>2026</v>
      </c>
      <c r="E501" s="25" t="inlineStr">
        <is>
          <t>H100/H200/A100 class</t>
        </is>
      </c>
      <c r="F501" s="5">
        <f>IFERROR(INDEX('02x_Accelerator_Catalog'!$C$2:$C$11,MATCH(E501,'02x_Accelerator_Catalog'!$B$2:$B$11,0)),"purpose_or_unbenchmarked")</f>
        <v/>
      </c>
      <c r="G501" s="8">
        <f>IFERROR(INDEX('02x_Accelerator_Catalog'!$D$2:$D$11,MATCH(E501,'02x_Accelerator_Catalog'!$B$2:$B$11,0)),"")</f>
        <v/>
      </c>
      <c r="H501" s="17" t="n">
        <v>0.55</v>
      </c>
      <c r="I501" s="6">
        <f>SUMIFS($H$2:$H$573,$B$2:$B$573,B501,$C$2:$C$573,C501,$D$2:$D$573,D501)</f>
        <v/>
      </c>
      <c r="J501" s="3" t="inlineStr">
        <is>
          <t>legacy_company_gpu_mix_fallback</t>
        </is>
      </c>
      <c r="K501" s="3" t="inlineStr">
        <is>
          <t>SRC_TENCENT_HUNYUAN; SRC_TENCENT_HY3; SRC_TENCENT_AI_INFRA_MOE</t>
        </is>
      </c>
      <c r="L501" s="3" t="inlineStr">
        <is>
          <t>No CSP-level chip quantity seed was available; prior company-level GPU/ASIC mix is retained as fallback.</t>
        </is>
      </c>
    </row>
    <row r="502">
      <c r="A502" s="5">
        <f>B502&amp;"|"&amp;C502&amp;"|"&amp;D502&amp;"|"&amp;E502</f>
        <v/>
      </c>
      <c r="B502" s="3" t="inlineStr">
        <is>
          <t>Base</t>
        </is>
      </c>
      <c r="C502" s="3" t="inlineStr">
        <is>
          <t>Legacy company envelope - Tencent</t>
        </is>
      </c>
      <c r="D502" s="3" t="n">
        <v>2027</v>
      </c>
      <c r="E502" s="25" t="inlineStr">
        <is>
          <t>B200/B300 class</t>
        </is>
      </c>
      <c r="F502" s="5">
        <f>IFERROR(INDEX('02x_Accelerator_Catalog'!$C$2:$C$11,MATCH(E502,'02x_Accelerator_Catalog'!$B$2:$B$11,0)),"purpose_or_unbenchmarked")</f>
        <v/>
      </c>
      <c r="G502" s="8">
        <f>IFERROR(INDEX('02x_Accelerator_Catalog'!$D$2:$D$11,MATCH(E502,'02x_Accelerator_Catalog'!$B$2:$B$11,0)),"")</f>
        <v/>
      </c>
      <c r="H502" s="17" t="n">
        <v>0.388</v>
      </c>
      <c r="I502" s="6">
        <f>SUMIFS($H$2:$H$573,$B$2:$B$573,B502,$C$2:$C$573,C502,$D$2:$D$573,D502)</f>
        <v/>
      </c>
      <c r="J502" s="3" t="inlineStr">
        <is>
          <t>legacy_company_gpu_mix_fallback</t>
        </is>
      </c>
      <c r="K502" s="3" t="inlineStr">
        <is>
          <t>SRC_TENCENT_HUNYUAN; SRC_TENCENT_HY3; SRC_TENCENT_AI_INFRA_MOE</t>
        </is>
      </c>
      <c r="L502" s="3" t="inlineStr">
        <is>
          <t>No CSP-level chip quantity seed was available; prior company-level GPU/ASIC mix is retained as fallback.</t>
        </is>
      </c>
    </row>
    <row r="503">
      <c r="A503" s="5">
        <f>B503&amp;"|"&amp;C503&amp;"|"&amp;D503&amp;"|"&amp;E503</f>
        <v/>
      </c>
      <c r="B503" s="3" t="inlineStr">
        <is>
          <t>Base</t>
        </is>
      </c>
      <c r="C503" s="3" t="inlineStr">
        <is>
          <t>Legacy company envelope - Tencent</t>
        </is>
      </c>
      <c r="D503" s="3" t="n">
        <v>2027</v>
      </c>
      <c r="E503" s="25" t="inlineStr">
        <is>
          <t>GB200/GB300 class</t>
        </is>
      </c>
      <c r="F503" s="5">
        <f>IFERROR(INDEX('02x_Accelerator_Catalog'!$C$2:$C$11,MATCH(E503,'02x_Accelerator_Catalog'!$B$2:$B$11,0)),"purpose_or_unbenchmarked")</f>
        <v/>
      </c>
      <c r="G503" s="8">
        <f>IFERROR(INDEX('02x_Accelerator_Catalog'!$D$2:$D$11,MATCH(E503,'02x_Accelerator_Catalog'!$B$2:$B$11,0)),"")</f>
        <v/>
      </c>
      <c r="H503" s="17" t="n">
        <v>0.174</v>
      </c>
      <c r="I503" s="6">
        <f>SUMIFS($H$2:$H$573,$B$2:$B$573,B503,$C$2:$C$573,C503,$D$2:$D$573,D503)</f>
        <v/>
      </c>
      <c r="J503" s="3" t="inlineStr">
        <is>
          <t>legacy_company_gpu_mix_fallback</t>
        </is>
      </c>
      <c r="K503" s="3" t="inlineStr">
        <is>
          <t>SRC_TENCENT_HUNYUAN; SRC_TENCENT_HY3; SRC_TENCENT_AI_INFRA_MOE</t>
        </is>
      </c>
      <c r="L503" s="3" t="inlineStr">
        <is>
          <t>No CSP-level chip quantity seed was available; prior company-level GPU/ASIC mix is retained as fallback.</t>
        </is>
      </c>
    </row>
    <row r="504">
      <c r="A504" s="5">
        <f>B504&amp;"|"&amp;C504&amp;"|"&amp;D504&amp;"|"&amp;E504</f>
        <v/>
      </c>
      <c r="B504" s="3" t="inlineStr">
        <is>
          <t>Base</t>
        </is>
      </c>
      <c r="C504" s="3" t="inlineStr">
        <is>
          <t>Legacy company envelope - Tencent</t>
        </is>
      </c>
      <c r="D504" s="3" t="n">
        <v>2027</v>
      </c>
      <c r="E504" s="25" t="inlineStr">
        <is>
          <t>H100/H200/A100 class</t>
        </is>
      </c>
      <c r="F504" s="5">
        <f>IFERROR(INDEX('02x_Accelerator_Catalog'!$C$2:$C$11,MATCH(E504,'02x_Accelerator_Catalog'!$B$2:$B$11,0)),"purpose_or_unbenchmarked")</f>
        <v/>
      </c>
      <c r="G504" s="8">
        <f>IFERROR(INDEX('02x_Accelerator_Catalog'!$D$2:$D$11,MATCH(E504,'02x_Accelerator_Catalog'!$B$2:$B$11,0)),"")</f>
        <v/>
      </c>
      <c r="H504" s="17" t="n">
        <v>0.438</v>
      </c>
      <c r="I504" s="6">
        <f>SUMIFS($H$2:$H$573,$B$2:$B$573,B504,$C$2:$C$573,C504,$D$2:$D$573,D504)</f>
        <v/>
      </c>
      <c r="J504" s="3" t="inlineStr">
        <is>
          <t>legacy_company_gpu_mix_fallback</t>
        </is>
      </c>
      <c r="K504" s="3" t="inlineStr">
        <is>
          <t>SRC_TENCENT_HUNYUAN; SRC_TENCENT_HY3; SRC_TENCENT_AI_INFRA_MOE</t>
        </is>
      </c>
      <c r="L504" s="3" t="inlineStr">
        <is>
          <t>No CSP-level chip quantity seed was available; prior company-level GPU/ASIC mix is retained as fallback.</t>
        </is>
      </c>
    </row>
    <row r="505">
      <c r="A505" s="5">
        <f>B505&amp;"|"&amp;C505&amp;"|"&amp;D505&amp;"|"&amp;E505</f>
        <v/>
      </c>
      <c r="B505" s="3" t="inlineStr">
        <is>
          <t>Base</t>
        </is>
      </c>
      <c r="C505" s="3" t="inlineStr">
        <is>
          <t>Legacy company envelope - Tencent</t>
        </is>
      </c>
      <c r="D505" s="3" t="n">
        <v>2028</v>
      </c>
      <c r="E505" s="25" t="inlineStr">
        <is>
          <t>B200/B300 class</t>
        </is>
      </c>
      <c r="F505" s="5">
        <f>IFERROR(INDEX('02x_Accelerator_Catalog'!$C$2:$C$11,MATCH(E505,'02x_Accelerator_Catalog'!$B$2:$B$11,0)),"purpose_or_unbenchmarked")</f>
        <v/>
      </c>
      <c r="G505" s="8">
        <f>IFERROR(INDEX('02x_Accelerator_Catalog'!$D$2:$D$11,MATCH(E505,'02x_Accelerator_Catalog'!$B$2:$B$11,0)),"")</f>
        <v/>
      </c>
      <c r="H505" s="17" t="n">
        <v>0.375</v>
      </c>
      <c r="I505" s="6">
        <f>SUMIFS($H$2:$H$573,$B$2:$B$573,B505,$C$2:$C$573,C505,$D$2:$D$573,D505)</f>
        <v/>
      </c>
      <c r="J505" s="3" t="inlineStr">
        <is>
          <t>legacy_company_gpu_mix_fallback</t>
        </is>
      </c>
      <c r="K505" s="3" t="inlineStr">
        <is>
          <t>SRC_TENCENT_HUNYUAN; SRC_TENCENT_HY3; SRC_TENCENT_AI_INFRA_MOE</t>
        </is>
      </c>
      <c r="L505" s="3" t="inlineStr">
        <is>
          <t>No CSP-level chip quantity seed was available; prior company-level GPU/ASIC mix is retained as fallback.</t>
        </is>
      </c>
    </row>
    <row r="506">
      <c r="A506" s="5">
        <f>B506&amp;"|"&amp;C506&amp;"|"&amp;D506&amp;"|"&amp;E506</f>
        <v/>
      </c>
      <c r="B506" s="3" t="inlineStr">
        <is>
          <t>Base</t>
        </is>
      </c>
      <c r="C506" s="3" t="inlineStr">
        <is>
          <t>Legacy company envelope - Tencent</t>
        </is>
      </c>
      <c r="D506" s="3" t="n">
        <v>2028</v>
      </c>
      <c r="E506" s="25" t="inlineStr">
        <is>
          <t>GB200/GB300 class</t>
        </is>
      </c>
      <c r="F506" s="5">
        <f>IFERROR(INDEX('02x_Accelerator_Catalog'!$C$2:$C$11,MATCH(E506,'02x_Accelerator_Catalog'!$B$2:$B$11,0)),"purpose_or_unbenchmarked")</f>
        <v/>
      </c>
      <c r="G506" s="8">
        <f>IFERROR(INDEX('02x_Accelerator_Catalog'!$D$2:$D$11,MATCH(E506,'02x_Accelerator_Catalog'!$B$2:$B$11,0)),"")</f>
        <v/>
      </c>
      <c r="H506" s="17" t="n">
        <v>0.3</v>
      </c>
      <c r="I506" s="6">
        <f>SUMIFS($H$2:$H$573,$B$2:$B$573,B506,$C$2:$C$573,C506,$D$2:$D$573,D506)</f>
        <v/>
      </c>
      <c r="J506" s="3" t="inlineStr">
        <is>
          <t>legacy_company_gpu_mix_fallback</t>
        </is>
      </c>
      <c r="K506" s="3" t="inlineStr">
        <is>
          <t>SRC_TENCENT_HUNYUAN; SRC_TENCENT_HY3; SRC_TENCENT_AI_INFRA_MOE</t>
        </is>
      </c>
      <c r="L506" s="3" t="inlineStr">
        <is>
          <t>No CSP-level chip quantity seed was available; prior company-level GPU/ASIC mix is retained as fallback.</t>
        </is>
      </c>
    </row>
    <row r="507">
      <c r="A507" s="5">
        <f>B507&amp;"|"&amp;C507&amp;"|"&amp;D507&amp;"|"&amp;E507</f>
        <v/>
      </c>
      <c r="B507" s="3" t="inlineStr">
        <is>
          <t>Base</t>
        </is>
      </c>
      <c r="C507" s="3" t="inlineStr">
        <is>
          <t>Legacy company envelope - Tencent</t>
        </is>
      </c>
      <c r="D507" s="3" t="n">
        <v>2028</v>
      </c>
      <c r="E507" s="25" t="inlineStr">
        <is>
          <t>H100/H200/A100 class</t>
        </is>
      </c>
      <c r="F507" s="5">
        <f>IFERROR(INDEX('02x_Accelerator_Catalog'!$C$2:$C$11,MATCH(E507,'02x_Accelerator_Catalog'!$B$2:$B$11,0)),"purpose_or_unbenchmarked")</f>
        <v/>
      </c>
      <c r="G507" s="8">
        <f>IFERROR(INDEX('02x_Accelerator_Catalog'!$D$2:$D$11,MATCH(E507,'02x_Accelerator_Catalog'!$B$2:$B$11,0)),"")</f>
        <v/>
      </c>
      <c r="H507" s="17" t="n">
        <v>0.325</v>
      </c>
      <c r="I507" s="6">
        <f>SUMIFS($H$2:$H$573,$B$2:$B$573,B507,$C$2:$C$573,C507,$D$2:$D$573,D507)</f>
        <v/>
      </c>
      <c r="J507" s="3" t="inlineStr">
        <is>
          <t>legacy_company_gpu_mix_fallback</t>
        </is>
      </c>
      <c r="K507" s="3" t="inlineStr">
        <is>
          <t>SRC_TENCENT_HUNYUAN; SRC_TENCENT_HY3; SRC_TENCENT_AI_INFRA_MOE</t>
        </is>
      </c>
      <c r="L507" s="3" t="inlineStr">
        <is>
          <t>No CSP-level chip quantity seed was available; prior company-level GPU/ASIC mix is retained as fallback.</t>
        </is>
      </c>
    </row>
    <row r="508">
      <c r="A508" s="5">
        <f>B508&amp;"|"&amp;C508&amp;"|"&amp;D508&amp;"|"&amp;E508</f>
        <v/>
      </c>
      <c r="B508" s="3" t="inlineStr">
        <is>
          <t>Base</t>
        </is>
      </c>
      <c r="C508" s="3" t="inlineStr">
        <is>
          <t>Legacy company envelope - Tencent</t>
        </is>
      </c>
      <c r="D508" s="3" t="n">
        <v>2029</v>
      </c>
      <c r="E508" s="25" t="inlineStr">
        <is>
          <t>B200/B300 class</t>
        </is>
      </c>
      <c r="F508" s="5">
        <f>IFERROR(INDEX('02x_Accelerator_Catalog'!$C$2:$C$11,MATCH(E508,'02x_Accelerator_Catalog'!$B$2:$B$11,0)),"purpose_or_unbenchmarked")</f>
        <v/>
      </c>
      <c r="G508" s="8">
        <f>IFERROR(INDEX('02x_Accelerator_Catalog'!$D$2:$D$11,MATCH(E508,'02x_Accelerator_Catalog'!$B$2:$B$11,0)),"")</f>
        <v/>
      </c>
      <c r="H508" s="17" t="n">
        <v>0.362</v>
      </c>
      <c r="I508" s="6">
        <f>SUMIFS($H$2:$H$573,$B$2:$B$573,B508,$C$2:$C$573,C508,$D$2:$D$573,D508)</f>
        <v/>
      </c>
      <c r="J508" s="3" t="inlineStr">
        <is>
          <t>legacy_company_gpu_mix_fallback</t>
        </is>
      </c>
      <c r="K508" s="3" t="inlineStr">
        <is>
          <t>SRC_TENCENT_HUNYUAN; SRC_TENCENT_HY3; SRC_TENCENT_AI_INFRA_MOE</t>
        </is>
      </c>
      <c r="L508" s="3" t="inlineStr">
        <is>
          <t>No CSP-level chip quantity seed was available; prior company-level GPU/ASIC mix is retained as fallback.</t>
        </is>
      </c>
    </row>
    <row r="509">
      <c r="A509" s="5">
        <f>B509&amp;"|"&amp;C509&amp;"|"&amp;D509&amp;"|"&amp;E509</f>
        <v/>
      </c>
      <c r="B509" s="3" t="inlineStr">
        <is>
          <t>Base</t>
        </is>
      </c>
      <c r="C509" s="3" t="inlineStr">
        <is>
          <t>Legacy company envelope - Tencent</t>
        </is>
      </c>
      <c r="D509" s="3" t="n">
        <v>2029</v>
      </c>
      <c r="E509" s="25" t="inlineStr">
        <is>
          <t>GB200/GB300 class</t>
        </is>
      </c>
      <c r="F509" s="5">
        <f>IFERROR(INDEX('02x_Accelerator_Catalog'!$C$2:$C$11,MATCH(E509,'02x_Accelerator_Catalog'!$B$2:$B$11,0)),"purpose_or_unbenchmarked")</f>
        <v/>
      </c>
      <c r="G509" s="8">
        <f>IFERROR(INDEX('02x_Accelerator_Catalog'!$D$2:$D$11,MATCH(E509,'02x_Accelerator_Catalog'!$B$2:$B$11,0)),"")</f>
        <v/>
      </c>
      <c r="H509" s="17" t="n">
        <v>0.425</v>
      </c>
      <c r="I509" s="6">
        <f>SUMIFS($H$2:$H$573,$B$2:$B$573,B509,$C$2:$C$573,C509,$D$2:$D$573,D509)</f>
        <v/>
      </c>
      <c r="J509" s="3" t="inlineStr">
        <is>
          <t>legacy_company_gpu_mix_fallback</t>
        </is>
      </c>
      <c r="K509" s="3" t="inlineStr">
        <is>
          <t>SRC_TENCENT_HUNYUAN; SRC_TENCENT_HY3; SRC_TENCENT_AI_INFRA_MOE</t>
        </is>
      </c>
      <c r="L509" s="3" t="inlineStr">
        <is>
          <t>No CSP-level chip quantity seed was available; prior company-level GPU/ASIC mix is retained as fallback.</t>
        </is>
      </c>
    </row>
    <row r="510">
      <c r="A510" s="5">
        <f>B510&amp;"|"&amp;C510&amp;"|"&amp;D510&amp;"|"&amp;E510</f>
        <v/>
      </c>
      <c r="B510" s="3" t="inlineStr">
        <is>
          <t>Base</t>
        </is>
      </c>
      <c r="C510" s="3" t="inlineStr">
        <is>
          <t>Legacy company envelope - Tencent</t>
        </is>
      </c>
      <c r="D510" s="3" t="n">
        <v>2029</v>
      </c>
      <c r="E510" s="25" t="inlineStr">
        <is>
          <t>H100/H200/A100 class</t>
        </is>
      </c>
      <c r="F510" s="5">
        <f>IFERROR(INDEX('02x_Accelerator_Catalog'!$C$2:$C$11,MATCH(E510,'02x_Accelerator_Catalog'!$B$2:$B$11,0)),"purpose_or_unbenchmarked")</f>
        <v/>
      </c>
      <c r="G510" s="8">
        <f>IFERROR(INDEX('02x_Accelerator_Catalog'!$D$2:$D$11,MATCH(E510,'02x_Accelerator_Catalog'!$B$2:$B$11,0)),"")</f>
        <v/>
      </c>
      <c r="H510" s="17" t="n">
        <v>0.213</v>
      </c>
      <c r="I510" s="6">
        <f>SUMIFS($H$2:$H$573,$B$2:$B$573,B510,$C$2:$C$573,C510,$D$2:$D$573,D510)</f>
        <v/>
      </c>
      <c r="J510" s="3" t="inlineStr">
        <is>
          <t>legacy_company_gpu_mix_fallback</t>
        </is>
      </c>
      <c r="K510" s="3" t="inlineStr">
        <is>
          <t>SRC_TENCENT_HUNYUAN; SRC_TENCENT_HY3; SRC_TENCENT_AI_INFRA_MOE</t>
        </is>
      </c>
      <c r="L510" s="3" t="inlineStr">
        <is>
          <t>No CSP-level chip quantity seed was available; prior company-level GPU/ASIC mix is retained as fallback.</t>
        </is>
      </c>
    </row>
    <row r="511">
      <c r="A511" s="5">
        <f>B511&amp;"|"&amp;C511&amp;"|"&amp;D511&amp;"|"&amp;E511</f>
        <v/>
      </c>
      <c r="B511" s="3" t="inlineStr">
        <is>
          <t>Base</t>
        </is>
      </c>
      <c r="C511" s="3" t="inlineStr">
        <is>
          <t>Legacy company envelope - Tencent</t>
        </is>
      </c>
      <c r="D511" s="3" t="n">
        <v>2030</v>
      </c>
      <c r="E511" s="25" t="inlineStr">
        <is>
          <t>B200/B300 class</t>
        </is>
      </c>
      <c r="F511" s="5">
        <f>IFERROR(INDEX('02x_Accelerator_Catalog'!$C$2:$C$11,MATCH(E511,'02x_Accelerator_Catalog'!$B$2:$B$11,0)),"purpose_or_unbenchmarked")</f>
        <v/>
      </c>
      <c r="G511" s="8">
        <f>IFERROR(INDEX('02x_Accelerator_Catalog'!$D$2:$D$11,MATCH(E511,'02x_Accelerator_Catalog'!$B$2:$B$11,0)),"")</f>
        <v/>
      </c>
      <c r="H511" s="17" t="n">
        <v>0.35</v>
      </c>
      <c r="I511" s="6">
        <f>SUMIFS($H$2:$H$573,$B$2:$B$573,B511,$C$2:$C$573,C511,$D$2:$D$573,D511)</f>
        <v/>
      </c>
      <c r="J511" s="3" t="inlineStr">
        <is>
          <t>legacy_company_gpu_mix_fallback</t>
        </is>
      </c>
      <c r="K511" s="3" t="inlineStr">
        <is>
          <t>SRC_TENCENT_HUNYUAN; SRC_TENCENT_HY3; SRC_TENCENT_AI_INFRA_MOE</t>
        </is>
      </c>
      <c r="L511" s="3" t="inlineStr">
        <is>
          <t>No CSP-level chip quantity seed was available; prior company-level GPU/ASIC mix is retained as fallback.</t>
        </is>
      </c>
    </row>
    <row r="512">
      <c r="A512" s="5">
        <f>B512&amp;"|"&amp;C512&amp;"|"&amp;D512&amp;"|"&amp;E512</f>
        <v/>
      </c>
      <c r="B512" s="3" t="inlineStr">
        <is>
          <t>Base</t>
        </is>
      </c>
      <c r="C512" s="3" t="inlineStr">
        <is>
          <t>Legacy company envelope - Tencent</t>
        </is>
      </c>
      <c r="D512" s="3" t="n">
        <v>2030</v>
      </c>
      <c r="E512" s="25" t="inlineStr">
        <is>
          <t>GB200/GB300 class</t>
        </is>
      </c>
      <c r="F512" s="5">
        <f>IFERROR(INDEX('02x_Accelerator_Catalog'!$C$2:$C$11,MATCH(E512,'02x_Accelerator_Catalog'!$B$2:$B$11,0)),"purpose_or_unbenchmarked")</f>
        <v/>
      </c>
      <c r="G512" s="8">
        <f>IFERROR(INDEX('02x_Accelerator_Catalog'!$D$2:$D$11,MATCH(E512,'02x_Accelerator_Catalog'!$B$2:$B$11,0)),"")</f>
        <v/>
      </c>
      <c r="H512" s="17" t="n">
        <v>0.55</v>
      </c>
      <c r="I512" s="6">
        <f>SUMIFS($H$2:$H$573,$B$2:$B$573,B512,$C$2:$C$573,C512,$D$2:$D$573,D512)</f>
        <v/>
      </c>
      <c r="J512" s="3" t="inlineStr">
        <is>
          <t>legacy_company_gpu_mix_fallback</t>
        </is>
      </c>
      <c r="K512" s="3" t="inlineStr">
        <is>
          <t>SRC_TENCENT_HUNYUAN; SRC_TENCENT_HY3; SRC_TENCENT_AI_INFRA_MOE</t>
        </is>
      </c>
      <c r="L512" s="3" t="inlineStr">
        <is>
          <t>No CSP-level chip quantity seed was available; prior company-level GPU/ASIC mix is retained as fallback.</t>
        </is>
      </c>
    </row>
    <row r="513">
      <c r="A513" s="5">
        <f>B513&amp;"|"&amp;C513&amp;"|"&amp;D513&amp;"|"&amp;E513</f>
        <v/>
      </c>
      <c r="B513" s="3" t="inlineStr">
        <is>
          <t>Base</t>
        </is>
      </c>
      <c r="C513" s="3" t="inlineStr">
        <is>
          <t>Legacy company envelope - Tencent</t>
        </is>
      </c>
      <c r="D513" s="3" t="n">
        <v>2030</v>
      </c>
      <c r="E513" s="25" t="inlineStr">
        <is>
          <t>H100/H200/A100 class</t>
        </is>
      </c>
      <c r="F513" s="5">
        <f>IFERROR(INDEX('02x_Accelerator_Catalog'!$C$2:$C$11,MATCH(E513,'02x_Accelerator_Catalog'!$B$2:$B$11,0)),"purpose_or_unbenchmarked")</f>
        <v/>
      </c>
      <c r="G513" s="8">
        <f>IFERROR(INDEX('02x_Accelerator_Catalog'!$D$2:$D$11,MATCH(E513,'02x_Accelerator_Catalog'!$B$2:$B$11,0)),"")</f>
        <v/>
      </c>
      <c r="H513" s="17" t="n">
        <v>0.1</v>
      </c>
      <c r="I513" s="6">
        <f>SUMIFS($H$2:$H$573,$B$2:$B$573,B513,$C$2:$C$573,C513,$D$2:$D$573,D513)</f>
        <v/>
      </c>
      <c r="J513" s="3" t="inlineStr">
        <is>
          <t>legacy_company_gpu_mix_fallback</t>
        </is>
      </c>
      <c r="K513" s="3" t="inlineStr">
        <is>
          <t>SRC_TENCENT_HUNYUAN; SRC_TENCENT_HY3; SRC_TENCENT_AI_INFRA_MOE</t>
        </is>
      </c>
      <c r="L513" s="3" t="inlineStr">
        <is>
          <t>No CSP-level chip quantity seed was available; prior company-level GPU/ASIC mix is retained as fallback.</t>
        </is>
      </c>
    </row>
    <row r="514">
      <c r="A514" s="5">
        <f>B514&amp;"|"&amp;C514&amp;"|"&amp;D514&amp;"|"&amp;E514</f>
        <v/>
      </c>
      <c r="B514" s="3" t="inlineStr">
        <is>
          <t>Bull</t>
        </is>
      </c>
      <c r="C514" s="3" t="inlineStr">
        <is>
          <t>Legacy company envelope - DeepSeek</t>
        </is>
      </c>
      <c r="D514" s="3" t="n">
        <v>2026</v>
      </c>
      <c r="E514" s="25" t="inlineStr">
        <is>
          <t>B200/B300 class</t>
        </is>
      </c>
      <c r="F514" s="5">
        <f>IFERROR(INDEX('02x_Accelerator_Catalog'!$C$2:$C$11,MATCH(E514,'02x_Accelerator_Catalog'!$B$2:$B$11,0)),"purpose_or_unbenchmarked")</f>
        <v/>
      </c>
      <c r="G514" s="8">
        <f>IFERROR(INDEX('02x_Accelerator_Catalog'!$D$2:$D$11,MATCH(E514,'02x_Accelerator_Catalog'!$B$2:$B$11,0)),"")</f>
        <v/>
      </c>
      <c r="H514" s="17" t="n">
        <v>0.4</v>
      </c>
      <c r="I514" s="6">
        <f>SUMIFS($H$2:$H$573,$B$2:$B$573,B514,$C$2:$C$573,C514,$D$2:$D$573,D514)</f>
        <v/>
      </c>
      <c r="J514" s="3" t="inlineStr">
        <is>
          <t>legacy_company_gpu_mix_fallback</t>
        </is>
      </c>
      <c r="K514" s="3" t="inlineStr">
        <is>
          <t>SRC_DEEPSEEK_V3; SRC_DEEPSEEK_R1; SRC_DEEPSEEK_H800_INFERENCE</t>
        </is>
      </c>
      <c r="L514" s="3" t="inlineStr">
        <is>
          <t>No CSP-level chip quantity seed was available; prior company-level GPU/ASIC mix is retained as fallback.</t>
        </is>
      </c>
    </row>
    <row r="515">
      <c r="A515" s="5">
        <f>B515&amp;"|"&amp;C515&amp;"|"&amp;D515&amp;"|"&amp;E515</f>
        <v/>
      </c>
      <c r="B515" s="3" t="inlineStr">
        <is>
          <t>Bull</t>
        </is>
      </c>
      <c r="C515" s="3" t="inlineStr">
        <is>
          <t>Legacy company envelope - DeepSeek</t>
        </is>
      </c>
      <c r="D515" s="3" t="n">
        <v>2026</v>
      </c>
      <c r="E515" s="25" t="inlineStr">
        <is>
          <t>GB200/GB300 class</t>
        </is>
      </c>
      <c r="F515" s="5">
        <f>IFERROR(INDEX('02x_Accelerator_Catalog'!$C$2:$C$11,MATCH(E515,'02x_Accelerator_Catalog'!$B$2:$B$11,0)),"purpose_or_unbenchmarked")</f>
        <v/>
      </c>
      <c r="G515" s="8">
        <f>IFERROR(INDEX('02x_Accelerator_Catalog'!$D$2:$D$11,MATCH(E515,'02x_Accelerator_Catalog'!$B$2:$B$11,0)),"")</f>
        <v/>
      </c>
      <c r="H515" s="17" t="n">
        <v>0.05</v>
      </c>
      <c r="I515" s="6">
        <f>SUMIFS($H$2:$H$573,$B$2:$B$573,B515,$C$2:$C$573,C515,$D$2:$D$573,D515)</f>
        <v/>
      </c>
      <c r="J515" s="3" t="inlineStr">
        <is>
          <t>legacy_company_gpu_mix_fallback</t>
        </is>
      </c>
      <c r="K515" s="3" t="inlineStr">
        <is>
          <t>SRC_DEEPSEEK_V3; SRC_DEEPSEEK_R1; SRC_DEEPSEEK_H800_INFERENCE</t>
        </is>
      </c>
      <c r="L515" s="3" t="inlineStr">
        <is>
          <t>No CSP-level chip quantity seed was available; prior company-level GPU/ASIC mix is retained as fallback.</t>
        </is>
      </c>
    </row>
    <row r="516">
      <c r="A516" s="5">
        <f>B516&amp;"|"&amp;C516&amp;"|"&amp;D516&amp;"|"&amp;E516</f>
        <v/>
      </c>
      <c r="B516" s="3" t="inlineStr">
        <is>
          <t>Bull</t>
        </is>
      </c>
      <c r="C516" s="3" t="inlineStr">
        <is>
          <t>Legacy company envelope - DeepSeek</t>
        </is>
      </c>
      <c r="D516" s="3" t="n">
        <v>2026</v>
      </c>
      <c r="E516" s="25" t="inlineStr">
        <is>
          <t>H100/H200/A100 class</t>
        </is>
      </c>
      <c r="F516" s="5">
        <f>IFERROR(INDEX('02x_Accelerator_Catalog'!$C$2:$C$11,MATCH(E516,'02x_Accelerator_Catalog'!$B$2:$B$11,0)),"purpose_or_unbenchmarked")</f>
        <v/>
      </c>
      <c r="G516" s="8">
        <f>IFERROR(INDEX('02x_Accelerator_Catalog'!$D$2:$D$11,MATCH(E516,'02x_Accelerator_Catalog'!$B$2:$B$11,0)),"")</f>
        <v/>
      </c>
      <c r="H516" s="17" t="n">
        <v>0.55</v>
      </c>
      <c r="I516" s="6">
        <f>SUMIFS($H$2:$H$573,$B$2:$B$573,B516,$C$2:$C$573,C516,$D$2:$D$573,D516)</f>
        <v/>
      </c>
      <c r="J516" s="3" t="inlineStr">
        <is>
          <t>legacy_company_gpu_mix_fallback</t>
        </is>
      </c>
      <c r="K516" s="3" t="inlineStr">
        <is>
          <t>SRC_DEEPSEEK_V3; SRC_DEEPSEEK_R1; SRC_DEEPSEEK_H800_INFERENCE</t>
        </is>
      </c>
      <c r="L516" s="3" t="inlineStr">
        <is>
          <t>No CSP-level chip quantity seed was available; prior company-level GPU/ASIC mix is retained as fallback.</t>
        </is>
      </c>
    </row>
    <row r="517">
      <c r="A517" s="5">
        <f>B517&amp;"|"&amp;C517&amp;"|"&amp;D517&amp;"|"&amp;E517</f>
        <v/>
      </c>
      <c r="B517" s="3" t="inlineStr">
        <is>
          <t>Bull</t>
        </is>
      </c>
      <c r="C517" s="3" t="inlineStr">
        <is>
          <t>Legacy company envelope - DeepSeek</t>
        </is>
      </c>
      <c r="D517" s="3" t="n">
        <v>2027</v>
      </c>
      <c r="E517" s="25" t="inlineStr">
        <is>
          <t>B200/B300 class</t>
        </is>
      </c>
      <c r="F517" s="5">
        <f>IFERROR(INDEX('02x_Accelerator_Catalog'!$C$2:$C$11,MATCH(E517,'02x_Accelerator_Catalog'!$B$2:$B$11,0)),"purpose_or_unbenchmarked")</f>
        <v/>
      </c>
      <c r="G517" s="8">
        <f>IFERROR(INDEX('02x_Accelerator_Catalog'!$D$2:$D$11,MATCH(E517,'02x_Accelerator_Catalog'!$B$2:$B$11,0)),"")</f>
        <v/>
      </c>
      <c r="H517" s="17" t="n">
        <v>0.388</v>
      </c>
      <c r="I517" s="6">
        <f>SUMIFS($H$2:$H$573,$B$2:$B$573,B517,$C$2:$C$573,C517,$D$2:$D$573,D517)</f>
        <v/>
      </c>
      <c r="J517" s="3" t="inlineStr">
        <is>
          <t>legacy_company_gpu_mix_fallback</t>
        </is>
      </c>
      <c r="K517" s="3" t="inlineStr">
        <is>
          <t>SRC_DEEPSEEK_V3; SRC_DEEPSEEK_R1; SRC_DEEPSEEK_H800_INFERENCE</t>
        </is>
      </c>
      <c r="L517" s="3" t="inlineStr">
        <is>
          <t>No CSP-level chip quantity seed was available; prior company-level GPU/ASIC mix is retained as fallback.</t>
        </is>
      </c>
    </row>
    <row r="518">
      <c r="A518" s="5">
        <f>B518&amp;"|"&amp;C518&amp;"|"&amp;D518&amp;"|"&amp;E518</f>
        <v/>
      </c>
      <c r="B518" s="3" t="inlineStr">
        <is>
          <t>Bull</t>
        </is>
      </c>
      <c r="C518" s="3" t="inlineStr">
        <is>
          <t>Legacy company envelope - DeepSeek</t>
        </is>
      </c>
      <c r="D518" s="3" t="n">
        <v>2027</v>
      </c>
      <c r="E518" s="25" t="inlineStr">
        <is>
          <t>GB200/GB300 class</t>
        </is>
      </c>
      <c r="F518" s="5">
        <f>IFERROR(INDEX('02x_Accelerator_Catalog'!$C$2:$C$11,MATCH(E518,'02x_Accelerator_Catalog'!$B$2:$B$11,0)),"purpose_or_unbenchmarked")</f>
        <v/>
      </c>
      <c r="G518" s="8">
        <f>IFERROR(INDEX('02x_Accelerator_Catalog'!$D$2:$D$11,MATCH(E518,'02x_Accelerator_Catalog'!$B$2:$B$11,0)),"")</f>
        <v/>
      </c>
      <c r="H518" s="17" t="n">
        <v>0.174</v>
      </c>
      <c r="I518" s="6">
        <f>SUMIFS($H$2:$H$573,$B$2:$B$573,B518,$C$2:$C$573,C518,$D$2:$D$573,D518)</f>
        <v/>
      </c>
      <c r="J518" s="3" t="inlineStr">
        <is>
          <t>legacy_company_gpu_mix_fallback</t>
        </is>
      </c>
      <c r="K518" s="3" t="inlineStr">
        <is>
          <t>SRC_DEEPSEEK_V3; SRC_DEEPSEEK_R1; SRC_DEEPSEEK_H800_INFERENCE</t>
        </is>
      </c>
      <c r="L518" s="3" t="inlineStr">
        <is>
          <t>No CSP-level chip quantity seed was available; prior company-level GPU/ASIC mix is retained as fallback.</t>
        </is>
      </c>
    </row>
    <row r="519">
      <c r="A519" s="5">
        <f>B519&amp;"|"&amp;C519&amp;"|"&amp;D519&amp;"|"&amp;E519</f>
        <v/>
      </c>
      <c r="B519" s="3" t="inlineStr">
        <is>
          <t>Bull</t>
        </is>
      </c>
      <c r="C519" s="3" t="inlineStr">
        <is>
          <t>Legacy company envelope - DeepSeek</t>
        </is>
      </c>
      <c r="D519" s="3" t="n">
        <v>2027</v>
      </c>
      <c r="E519" s="25" t="inlineStr">
        <is>
          <t>H100/H200/A100 class</t>
        </is>
      </c>
      <c r="F519" s="5">
        <f>IFERROR(INDEX('02x_Accelerator_Catalog'!$C$2:$C$11,MATCH(E519,'02x_Accelerator_Catalog'!$B$2:$B$11,0)),"purpose_or_unbenchmarked")</f>
        <v/>
      </c>
      <c r="G519" s="8">
        <f>IFERROR(INDEX('02x_Accelerator_Catalog'!$D$2:$D$11,MATCH(E519,'02x_Accelerator_Catalog'!$B$2:$B$11,0)),"")</f>
        <v/>
      </c>
      <c r="H519" s="17" t="n">
        <v>0.438</v>
      </c>
      <c r="I519" s="6">
        <f>SUMIFS($H$2:$H$573,$B$2:$B$573,B519,$C$2:$C$573,C519,$D$2:$D$573,D519)</f>
        <v/>
      </c>
      <c r="J519" s="3" t="inlineStr">
        <is>
          <t>legacy_company_gpu_mix_fallback</t>
        </is>
      </c>
      <c r="K519" s="3" t="inlineStr">
        <is>
          <t>SRC_DEEPSEEK_V3; SRC_DEEPSEEK_R1; SRC_DEEPSEEK_H800_INFERENCE</t>
        </is>
      </c>
      <c r="L519" s="3" t="inlineStr">
        <is>
          <t>No CSP-level chip quantity seed was available; prior company-level GPU/ASIC mix is retained as fallback.</t>
        </is>
      </c>
    </row>
    <row r="520">
      <c r="A520" s="5">
        <f>B520&amp;"|"&amp;C520&amp;"|"&amp;D520&amp;"|"&amp;E520</f>
        <v/>
      </c>
      <c r="B520" s="3" t="inlineStr">
        <is>
          <t>Bull</t>
        </is>
      </c>
      <c r="C520" s="3" t="inlineStr">
        <is>
          <t>Legacy company envelope - DeepSeek</t>
        </is>
      </c>
      <c r="D520" s="3" t="n">
        <v>2028</v>
      </c>
      <c r="E520" s="25" t="inlineStr">
        <is>
          <t>B200/B300 class</t>
        </is>
      </c>
      <c r="F520" s="5">
        <f>IFERROR(INDEX('02x_Accelerator_Catalog'!$C$2:$C$11,MATCH(E520,'02x_Accelerator_Catalog'!$B$2:$B$11,0)),"purpose_or_unbenchmarked")</f>
        <v/>
      </c>
      <c r="G520" s="8">
        <f>IFERROR(INDEX('02x_Accelerator_Catalog'!$D$2:$D$11,MATCH(E520,'02x_Accelerator_Catalog'!$B$2:$B$11,0)),"")</f>
        <v/>
      </c>
      <c r="H520" s="17" t="n">
        <v>0.375</v>
      </c>
      <c r="I520" s="6">
        <f>SUMIFS($H$2:$H$573,$B$2:$B$573,B520,$C$2:$C$573,C520,$D$2:$D$573,D520)</f>
        <v/>
      </c>
      <c r="J520" s="3" t="inlineStr">
        <is>
          <t>legacy_company_gpu_mix_fallback</t>
        </is>
      </c>
      <c r="K520" s="3" t="inlineStr">
        <is>
          <t>SRC_DEEPSEEK_V3; SRC_DEEPSEEK_R1; SRC_DEEPSEEK_H800_INFERENCE</t>
        </is>
      </c>
      <c r="L520" s="3" t="inlineStr">
        <is>
          <t>No CSP-level chip quantity seed was available; prior company-level GPU/ASIC mix is retained as fallback.</t>
        </is>
      </c>
    </row>
    <row r="521">
      <c r="A521" s="5">
        <f>B521&amp;"|"&amp;C521&amp;"|"&amp;D521&amp;"|"&amp;E521</f>
        <v/>
      </c>
      <c r="B521" s="3" t="inlineStr">
        <is>
          <t>Bull</t>
        </is>
      </c>
      <c r="C521" s="3" t="inlineStr">
        <is>
          <t>Legacy company envelope - DeepSeek</t>
        </is>
      </c>
      <c r="D521" s="3" t="n">
        <v>2028</v>
      </c>
      <c r="E521" s="25" t="inlineStr">
        <is>
          <t>GB200/GB300 class</t>
        </is>
      </c>
      <c r="F521" s="5">
        <f>IFERROR(INDEX('02x_Accelerator_Catalog'!$C$2:$C$11,MATCH(E521,'02x_Accelerator_Catalog'!$B$2:$B$11,0)),"purpose_or_unbenchmarked")</f>
        <v/>
      </c>
      <c r="G521" s="8">
        <f>IFERROR(INDEX('02x_Accelerator_Catalog'!$D$2:$D$11,MATCH(E521,'02x_Accelerator_Catalog'!$B$2:$B$11,0)),"")</f>
        <v/>
      </c>
      <c r="H521" s="17" t="n">
        <v>0.3</v>
      </c>
      <c r="I521" s="6">
        <f>SUMIFS($H$2:$H$573,$B$2:$B$573,B521,$C$2:$C$573,C521,$D$2:$D$573,D521)</f>
        <v/>
      </c>
      <c r="J521" s="3" t="inlineStr">
        <is>
          <t>legacy_company_gpu_mix_fallback</t>
        </is>
      </c>
      <c r="K521" s="3" t="inlineStr">
        <is>
          <t>SRC_DEEPSEEK_V3; SRC_DEEPSEEK_R1; SRC_DEEPSEEK_H800_INFERENCE</t>
        </is>
      </c>
      <c r="L521" s="3" t="inlineStr">
        <is>
          <t>No CSP-level chip quantity seed was available; prior company-level GPU/ASIC mix is retained as fallback.</t>
        </is>
      </c>
    </row>
    <row r="522">
      <c r="A522" s="5">
        <f>B522&amp;"|"&amp;C522&amp;"|"&amp;D522&amp;"|"&amp;E522</f>
        <v/>
      </c>
      <c r="B522" s="3" t="inlineStr">
        <is>
          <t>Bull</t>
        </is>
      </c>
      <c r="C522" s="3" t="inlineStr">
        <is>
          <t>Legacy company envelope - DeepSeek</t>
        </is>
      </c>
      <c r="D522" s="3" t="n">
        <v>2028</v>
      </c>
      <c r="E522" s="25" t="inlineStr">
        <is>
          <t>H100/H200/A100 class</t>
        </is>
      </c>
      <c r="F522" s="5">
        <f>IFERROR(INDEX('02x_Accelerator_Catalog'!$C$2:$C$11,MATCH(E522,'02x_Accelerator_Catalog'!$B$2:$B$11,0)),"purpose_or_unbenchmarked")</f>
        <v/>
      </c>
      <c r="G522" s="8">
        <f>IFERROR(INDEX('02x_Accelerator_Catalog'!$D$2:$D$11,MATCH(E522,'02x_Accelerator_Catalog'!$B$2:$B$11,0)),"")</f>
        <v/>
      </c>
      <c r="H522" s="17" t="n">
        <v>0.325</v>
      </c>
      <c r="I522" s="6">
        <f>SUMIFS($H$2:$H$573,$B$2:$B$573,B522,$C$2:$C$573,C522,$D$2:$D$573,D522)</f>
        <v/>
      </c>
      <c r="J522" s="3" t="inlineStr">
        <is>
          <t>legacy_company_gpu_mix_fallback</t>
        </is>
      </c>
      <c r="K522" s="3" t="inlineStr">
        <is>
          <t>SRC_DEEPSEEK_V3; SRC_DEEPSEEK_R1; SRC_DEEPSEEK_H800_INFERENCE</t>
        </is>
      </c>
      <c r="L522" s="3" t="inlineStr">
        <is>
          <t>No CSP-level chip quantity seed was available; prior company-level GPU/ASIC mix is retained as fallback.</t>
        </is>
      </c>
    </row>
    <row r="523">
      <c r="A523" s="5">
        <f>B523&amp;"|"&amp;C523&amp;"|"&amp;D523&amp;"|"&amp;E523</f>
        <v/>
      </c>
      <c r="B523" s="3" t="inlineStr">
        <is>
          <t>Bull</t>
        </is>
      </c>
      <c r="C523" s="3" t="inlineStr">
        <is>
          <t>Legacy company envelope - DeepSeek</t>
        </is>
      </c>
      <c r="D523" s="3" t="n">
        <v>2029</v>
      </c>
      <c r="E523" s="25" t="inlineStr">
        <is>
          <t>B200/B300 class</t>
        </is>
      </c>
      <c r="F523" s="5">
        <f>IFERROR(INDEX('02x_Accelerator_Catalog'!$C$2:$C$11,MATCH(E523,'02x_Accelerator_Catalog'!$B$2:$B$11,0)),"purpose_or_unbenchmarked")</f>
        <v/>
      </c>
      <c r="G523" s="8">
        <f>IFERROR(INDEX('02x_Accelerator_Catalog'!$D$2:$D$11,MATCH(E523,'02x_Accelerator_Catalog'!$B$2:$B$11,0)),"")</f>
        <v/>
      </c>
      <c r="H523" s="17" t="n">
        <v>0.362</v>
      </c>
      <c r="I523" s="6">
        <f>SUMIFS($H$2:$H$573,$B$2:$B$573,B523,$C$2:$C$573,C523,$D$2:$D$573,D523)</f>
        <v/>
      </c>
      <c r="J523" s="3" t="inlineStr">
        <is>
          <t>legacy_company_gpu_mix_fallback</t>
        </is>
      </c>
      <c r="K523" s="3" t="inlineStr">
        <is>
          <t>SRC_DEEPSEEK_V3; SRC_DEEPSEEK_R1; SRC_DEEPSEEK_H800_INFERENCE</t>
        </is>
      </c>
      <c r="L523" s="3" t="inlineStr">
        <is>
          <t>No CSP-level chip quantity seed was available; prior company-level GPU/ASIC mix is retained as fallback.</t>
        </is>
      </c>
    </row>
    <row r="524">
      <c r="A524" s="5">
        <f>B524&amp;"|"&amp;C524&amp;"|"&amp;D524&amp;"|"&amp;E524</f>
        <v/>
      </c>
      <c r="B524" s="3" t="inlineStr">
        <is>
          <t>Bull</t>
        </is>
      </c>
      <c r="C524" s="3" t="inlineStr">
        <is>
          <t>Legacy company envelope - DeepSeek</t>
        </is>
      </c>
      <c r="D524" s="3" t="n">
        <v>2029</v>
      </c>
      <c r="E524" s="25" t="inlineStr">
        <is>
          <t>GB200/GB300 class</t>
        </is>
      </c>
      <c r="F524" s="5">
        <f>IFERROR(INDEX('02x_Accelerator_Catalog'!$C$2:$C$11,MATCH(E524,'02x_Accelerator_Catalog'!$B$2:$B$11,0)),"purpose_or_unbenchmarked")</f>
        <v/>
      </c>
      <c r="G524" s="8">
        <f>IFERROR(INDEX('02x_Accelerator_Catalog'!$D$2:$D$11,MATCH(E524,'02x_Accelerator_Catalog'!$B$2:$B$11,0)),"")</f>
        <v/>
      </c>
      <c r="H524" s="17" t="n">
        <v>0.425</v>
      </c>
      <c r="I524" s="6">
        <f>SUMIFS($H$2:$H$573,$B$2:$B$573,B524,$C$2:$C$573,C524,$D$2:$D$573,D524)</f>
        <v/>
      </c>
      <c r="J524" s="3" t="inlineStr">
        <is>
          <t>legacy_company_gpu_mix_fallback</t>
        </is>
      </c>
      <c r="K524" s="3" t="inlineStr">
        <is>
          <t>SRC_DEEPSEEK_V3; SRC_DEEPSEEK_R1; SRC_DEEPSEEK_H800_INFERENCE</t>
        </is>
      </c>
      <c r="L524" s="3" t="inlineStr">
        <is>
          <t>No CSP-level chip quantity seed was available; prior company-level GPU/ASIC mix is retained as fallback.</t>
        </is>
      </c>
    </row>
    <row r="525">
      <c r="A525" s="5">
        <f>B525&amp;"|"&amp;C525&amp;"|"&amp;D525&amp;"|"&amp;E525</f>
        <v/>
      </c>
      <c r="B525" s="3" t="inlineStr">
        <is>
          <t>Bull</t>
        </is>
      </c>
      <c r="C525" s="3" t="inlineStr">
        <is>
          <t>Legacy company envelope - DeepSeek</t>
        </is>
      </c>
      <c r="D525" s="3" t="n">
        <v>2029</v>
      </c>
      <c r="E525" s="25" t="inlineStr">
        <is>
          <t>H100/H200/A100 class</t>
        </is>
      </c>
      <c r="F525" s="5">
        <f>IFERROR(INDEX('02x_Accelerator_Catalog'!$C$2:$C$11,MATCH(E525,'02x_Accelerator_Catalog'!$B$2:$B$11,0)),"purpose_or_unbenchmarked")</f>
        <v/>
      </c>
      <c r="G525" s="8">
        <f>IFERROR(INDEX('02x_Accelerator_Catalog'!$D$2:$D$11,MATCH(E525,'02x_Accelerator_Catalog'!$B$2:$B$11,0)),"")</f>
        <v/>
      </c>
      <c r="H525" s="17" t="n">
        <v>0.213</v>
      </c>
      <c r="I525" s="6">
        <f>SUMIFS($H$2:$H$573,$B$2:$B$573,B525,$C$2:$C$573,C525,$D$2:$D$573,D525)</f>
        <v/>
      </c>
      <c r="J525" s="3" t="inlineStr">
        <is>
          <t>legacy_company_gpu_mix_fallback</t>
        </is>
      </c>
      <c r="K525" s="3" t="inlineStr">
        <is>
          <t>SRC_DEEPSEEK_V3; SRC_DEEPSEEK_R1; SRC_DEEPSEEK_H800_INFERENCE</t>
        </is>
      </c>
      <c r="L525" s="3" t="inlineStr">
        <is>
          <t>No CSP-level chip quantity seed was available; prior company-level GPU/ASIC mix is retained as fallback.</t>
        </is>
      </c>
    </row>
    <row r="526">
      <c r="A526" s="5">
        <f>B526&amp;"|"&amp;C526&amp;"|"&amp;D526&amp;"|"&amp;E526</f>
        <v/>
      </c>
      <c r="B526" s="3" t="inlineStr">
        <is>
          <t>Bull</t>
        </is>
      </c>
      <c r="C526" s="3" t="inlineStr">
        <is>
          <t>Legacy company envelope - DeepSeek</t>
        </is>
      </c>
      <c r="D526" s="3" t="n">
        <v>2030</v>
      </c>
      <c r="E526" s="25" t="inlineStr">
        <is>
          <t>B200/B300 class</t>
        </is>
      </c>
      <c r="F526" s="5">
        <f>IFERROR(INDEX('02x_Accelerator_Catalog'!$C$2:$C$11,MATCH(E526,'02x_Accelerator_Catalog'!$B$2:$B$11,0)),"purpose_or_unbenchmarked")</f>
        <v/>
      </c>
      <c r="G526" s="8">
        <f>IFERROR(INDEX('02x_Accelerator_Catalog'!$D$2:$D$11,MATCH(E526,'02x_Accelerator_Catalog'!$B$2:$B$11,0)),"")</f>
        <v/>
      </c>
      <c r="H526" s="17" t="n">
        <v>0.35</v>
      </c>
      <c r="I526" s="6">
        <f>SUMIFS($H$2:$H$573,$B$2:$B$573,B526,$C$2:$C$573,C526,$D$2:$D$573,D526)</f>
        <v/>
      </c>
      <c r="J526" s="3" t="inlineStr">
        <is>
          <t>legacy_company_gpu_mix_fallback</t>
        </is>
      </c>
      <c r="K526" s="3" t="inlineStr">
        <is>
          <t>SRC_DEEPSEEK_V3; SRC_DEEPSEEK_R1; SRC_DEEPSEEK_H800_INFERENCE</t>
        </is>
      </c>
      <c r="L526" s="3" t="inlineStr">
        <is>
          <t>No CSP-level chip quantity seed was available; prior company-level GPU/ASIC mix is retained as fallback.</t>
        </is>
      </c>
    </row>
    <row r="527">
      <c r="A527" s="5">
        <f>B527&amp;"|"&amp;C527&amp;"|"&amp;D527&amp;"|"&amp;E527</f>
        <v/>
      </c>
      <c r="B527" s="3" t="inlineStr">
        <is>
          <t>Bull</t>
        </is>
      </c>
      <c r="C527" s="3" t="inlineStr">
        <is>
          <t>Legacy company envelope - DeepSeek</t>
        </is>
      </c>
      <c r="D527" s="3" t="n">
        <v>2030</v>
      </c>
      <c r="E527" s="25" t="inlineStr">
        <is>
          <t>GB200/GB300 class</t>
        </is>
      </c>
      <c r="F527" s="5">
        <f>IFERROR(INDEX('02x_Accelerator_Catalog'!$C$2:$C$11,MATCH(E527,'02x_Accelerator_Catalog'!$B$2:$B$11,0)),"purpose_or_unbenchmarked")</f>
        <v/>
      </c>
      <c r="G527" s="8">
        <f>IFERROR(INDEX('02x_Accelerator_Catalog'!$D$2:$D$11,MATCH(E527,'02x_Accelerator_Catalog'!$B$2:$B$11,0)),"")</f>
        <v/>
      </c>
      <c r="H527" s="17" t="n">
        <v>0.55</v>
      </c>
      <c r="I527" s="6">
        <f>SUMIFS($H$2:$H$573,$B$2:$B$573,B527,$C$2:$C$573,C527,$D$2:$D$573,D527)</f>
        <v/>
      </c>
      <c r="J527" s="3" t="inlineStr">
        <is>
          <t>legacy_company_gpu_mix_fallback</t>
        </is>
      </c>
      <c r="K527" s="3" t="inlineStr">
        <is>
          <t>SRC_DEEPSEEK_V3; SRC_DEEPSEEK_R1; SRC_DEEPSEEK_H800_INFERENCE</t>
        </is>
      </c>
      <c r="L527" s="3" t="inlineStr">
        <is>
          <t>No CSP-level chip quantity seed was available; prior company-level GPU/ASIC mix is retained as fallback.</t>
        </is>
      </c>
    </row>
    <row r="528">
      <c r="A528" s="5">
        <f>B528&amp;"|"&amp;C528&amp;"|"&amp;D528&amp;"|"&amp;E528</f>
        <v/>
      </c>
      <c r="B528" s="3" t="inlineStr">
        <is>
          <t>Bull</t>
        </is>
      </c>
      <c r="C528" s="3" t="inlineStr">
        <is>
          <t>Legacy company envelope - DeepSeek</t>
        </is>
      </c>
      <c r="D528" s="3" t="n">
        <v>2030</v>
      </c>
      <c r="E528" s="25" t="inlineStr">
        <is>
          <t>H100/H200/A100 class</t>
        </is>
      </c>
      <c r="F528" s="5">
        <f>IFERROR(INDEX('02x_Accelerator_Catalog'!$C$2:$C$11,MATCH(E528,'02x_Accelerator_Catalog'!$B$2:$B$11,0)),"purpose_or_unbenchmarked")</f>
        <v/>
      </c>
      <c r="G528" s="8">
        <f>IFERROR(INDEX('02x_Accelerator_Catalog'!$D$2:$D$11,MATCH(E528,'02x_Accelerator_Catalog'!$B$2:$B$11,0)),"")</f>
        <v/>
      </c>
      <c r="H528" s="17" t="n">
        <v>0.1</v>
      </c>
      <c r="I528" s="6">
        <f>SUMIFS($H$2:$H$573,$B$2:$B$573,B528,$C$2:$C$573,C528,$D$2:$D$573,D528)</f>
        <v/>
      </c>
      <c r="J528" s="3" t="inlineStr">
        <is>
          <t>legacy_company_gpu_mix_fallback</t>
        </is>
      </c>
      <c r="K528" s="3" t="inlineStr">
        <is>
          <t>SRC_DEEPSEEK_V3; SRC_DEEPSEEK_R1; SRC_DEEPSEEK_H800_INFERENCE</t>
        </is>
      </c>
      <c r="L528" s="3" t="inlineStr">
        <is>
          <t>No CSP-level chip quantity seed was available; prior company-level GPU/ASIC mix is retained as fallback.</t>
        </is>
      </c>
    </row>
    <row r="529">
      <c r="A529" s="5">
        <f>B529&amp;"|"&amp;C529&amp;"|"&amp;D529&amp;"|"&amp;E529</f>
        <v/>
      </c>
      <c r="B529" s="3" t="inlineStr">
        <is>
          <t>Bull</t>
        </is>
      </c>
      <c r="C529" s="3" t="inlineStr">
        <is>
          <t>Legacy company envelope - Tencent</t>
        </is>
      </c>
      <c r="D529" s="3" t="n">
        <v>2026</v>
      </c>
      <c r="E529" s="25" t="inlineStr">
        <is>
          <t>B200/B300 class</t>
        </is>
      </c>
      <c r="F529" s="5">
        <f>IFERROR(INDEX('02x_Accelerator_Catalog'!$C$2:$C$11,MATCH(E529,'02x_Accelerator_Catalog'!$B$2:$B$11,0)),"purpose_or_unbenchmarked")</f>
        <v/>
      </c>
      <c r="G529" s="8">
        <f>IFERROR(INDEX('02x_Accelerator_Catalog'!$D$2:$D$11,MATCH(E529,'02x_Accelerator_Catalog'!$B$2:$B$11,0)),"")</f>
        <v/>
      </c>
      <c r="H529" s="17" t="n">
        <v>0.4</v>
      </c>
      <c r="I529" s="6">
        <f>SUMIFS($H$2:$H$573,$B$2:$B$573,B529,$C$2:$C$573,C529,$D$2:$D$573,D529)</f>
        <v/>
      </c>
      <c r="J529" s="3" t="inlineStr">
        <is>
          <t>legacy_company_gpu_mix_fallback</t>
        </is>
      </c>
      <c r="K529" s="3" t="inlineStr">
        <is>
          <t>SRC_TENCENT_HUNYUAN; SRC_TENCENT_HY3; SRC_TENCENT_AI_INFRA_MOE</t>
        </is>
      </c>
      <c r="L529" s="3" t="inlineStr">
        <is>
          <t>No CSP-level chip quantity seed was available; prior company-level GPU/ASIC mix is retained as fallback.</t>
        </is>
      </c>
    </row>
    <row r="530">
      <c r="A530" s="5">
        <f>B530&amp;"|"&amp;C530&amp;"|"&amp;D530&amp;"|"&amp;E530</f>
        <v/>
      </c>
      <c r="B530" s="3" t="inlineStr">
        <is>
          <t>Bull</t>
        </is>
      </c>
      <c r="C530" s="3" t="inlineStr">
        <is>
          <t>Legacy company envelope - Tencent</t>
        </is>
      </c>
      <c r="D530" s="3" t="n">
        <v>2026</v>
      </c>
      <c r="E530" s="25" t="inlineStr">
        <is>
          <t>GB200/GB300 class</t>
        </is>
      </c>
      <c r="F530" s="5">
        <f>IFERROR(INDEX('02x_Accelerator_Catalog'!$C$2:$C$11,MATCH(E530,'02x_Accelerator_Catalog'!$B$2:$B$11,0)),"purpose_or_unbenchmarked")</f>
        <v/>
      </c>
      <c r="G530" s="8">
        <f>IFERROR(INDEX('02x_Accelerator_Catalog'!$D$2:$D$11,MATCH(E530,'02x_Accelerator_Catalog'!$B$2:$B$11,0)),"")</f>
        <v/>
      </c>
      <c r="H530" s="17" t="n">
        <v>0.05</v>
      </c>
      <c r="I530" s="6">
        <f>SUMIFS($H$2:$H$573,$B$2:$B$573,B530,$C$2:$C$573,C530,$D$2:$D$573,D530)</f>
        <v/>
      </c>
      <c r="J530" s="3" t="inlineStr">
        <is>
          <t>legacy_company_gpu_mix_fallback</t>
        </is>
      </c>
      <c r="K530" s="3" t="inlineStr">
        <is>
          <t>SRC_TENCENT_HUNYUAN; SRC_TENCENT_HY3; SRC_TENCENT_AI_INFRA_MOE</t>
        </is>
      </c>
      <c r="L530" s="3" t="inlineStr">
        <is>
          <t>No CSP-level chip quantity seed was available; prior company-level GPU/ASIC mix is retained as fallback.</t>
        </is>
      </c>
    </row>
    <row r="531">
      <c r="A531" s="5">
        <f>B531&amp;"|"&amp;C531&amp;"|"&amp;D531&amp;"|"&amp;E531</f>
        <v/>
      </c>
      <c r="B531" s="3" t="inlineStr">
        <is>
          <t>Bull</t>
        </is>
      </c>
      <c r="C531" s="3" t="inlineStr">
        <is>
          <t>Legacy company envelope - Tencent</t>
        </is>
      </c>
      <c r="D531" s="3" t="n">
        <v>2026</v>
      </c>
      <c r="E531" s="25" t="inlineStr">
        <is>
          <t>H100/H200/A100 class</t>
        </is>
      </c>
      <c r="F531" s="5">
        <f>IFERROR(INDEX('02x_Accelerator_Catalog'!$C$2:$C$11,MATCH(E531,'02x_Accelerator_Catalog'!$B$2:$B$11,0)),"purpose_or_unbenchmarked")</f>
        <v/>
      </c>
      <c r="G531" s="8">
        <f>IFERROR(INDEX('02x_Accelerator_Catalog'!$D$2:$D$11,MATCH(E531,'02x_Accelerator_Catalog'!$B$2:$B$11,0)),"")</f>
        <v/>
      </c>
      <c r="H531" s="17" t="n">
        <v>0.55</v>
      </c>
      <c r="I531" s="6">
        <f>SUMIFS($H$2:$H$573,$B$2:$B$573,B531,$C$2:$C$573,C531,$D$2:$D$573,D531)</f>
        <v/>
      </c>
      <c r="J531" s="3" t="inlineStr">
        <is>
          <t>legacy_company_gpu_mix_fallback</t>
        </is>
      </c>
      <c r="K531" s="3" t="inlineStr">
        <is>
          <t>SRC_TENCENT_HUNYUAN; SRC_TENCENT_HY3; SRC_TENCENT_AI_INFRA_MOE</t>
        </is>
      </c>
      <c r="L531" s="3" t="inlineStr">
        <is>
          <t>No CSP-level chip quantity seed was available; prior company-level GPU/ASIC mix is retained as fallback.</t>
        </is>
      </c>
    </row>
    <row r="532">
      <c r="A532" s="5">
        <f>B532&amp;"|"&amp;C532&amp;"|"&amp;D532&amp;"|"&amp;E532</f>
        <v/>
      </c>
      <c r="B532" s="3" t="inlineStr">
        <is>
          <t>Bull</t>
        </is>
      </c>
      <c r="C532" s="3" t="inlineStr">
        <is>
          <t>Legacy company envelope - Tencent</t>
        </is>
      </c>
      <c r="D532" s="3" t="n">
        <v>2027</v>
      </c>
      <c r="E532" s="25" t="inlineStr">
        <is>
          <t>B200/B300 class</t>
        </is>
      </c>
      <c r="F532" s="5">
        <f>IFERROR(INDEX('02x_Accelerator_Catalog'!$C$2:$C$11,MATCH(E532,'02x_Accelerator_Catalog'!$B$2:$B$11,0)),"purpose_or_unbenchmarked")</f>
        <v/>
      </c>
      <c r="G532" s="8">
        <f>IFERROR(INDEX('02x_Accelerator_Catalog'!$D$2:$D$11,MATCH(E532,'02x_Accelerator_Catalog'!$B$2:$B$11,0)),"")</f>
        <v/>
      </c>
      <c r="H532" s="17" t="n">
        <v>0.388</v>
      </c>
      <c r="I532" s="6">
        <f>SUMIFS($H$2:$H$573,$B$2:$B$573,B532,$C$2:$C$573,C532,$D$2:$D$573,D532)</f>
        <v/>
      </c>
      <c r="J532" s="3" t="inlineStr">
        <is>
          <t>legacy_company_gpu_mix_fallback</t>
        </is>
      </c>
      <c r="K532" s="3" t="inlineStr">
        <is>
          <t>SRC_TENCENT_HUNYUAN; SRC_TENCENT_HY3; SRC_TENCENT_AI_INFRA_MOE</t>
        </is>
      </c>
      <c r="L532" s="3" t="inlineStr">
        <is>
          <t>No CSP-level chip quantity seed was available; prior company-level GPU/ASIC mix is retained as fallback.</t>
        </is>
      </c>
    </row>
    <row r="533">
      <c r="A533" s="5">
        <f>B533&amp;"|"&amp;C533&amp;"|"&amp;D533&amp;"|"&amp;E533</f>
        <v/>
      </c>
      <c r="B533" s="3" t="inlineStr">
        <is>
          <t>Bull</t>
        </is>
      </c>
      <c r="C533" s="3" t="inlineStr">
        <is>
          <t>Legacy company envelope - Tencent</t>
        </is>
      </c>
      <c r="D533" s="3" t="n">
        <v>2027</v>
      </c>
      <c r="E533" s="25" t="inlineStr">
        <is>
          <t>GB200/GB300 class</t>
        </is>
      </c>
      <c r="F533" s="5">
        <f>IFERROR(INDEX('02x_Accelerator_Catalog'!$C$2:$C$11,MATCH(E533,'02x_Accelerator_Catalog'!$B$2:$B$11,0)),"purpose_or_unbenchmarked")</f>
        <v/>
      </c>
      <c r="G533" s="8">
        <f>IFERROR(INDEX('02x_Accelerator_Catalog'!$D$2:$D$11,MATCH(E533,'02x_Accelerator_Catalog'!$B$2:$B$11,0)),"")</f>
        <v/>
      </c>
      <c r="H533" s="17" t="n">
        <v>0.174</v>
      </c>
      <c r="I533" s="6">
        <f>SUMIFS($H$2:$H$573,$B$2:$B$573,B533,$C$2:$C$573,C533,$D$2:$D$573,D533)</f>
        <v/>
      </c>
      <c r="J533" s="3" t="inlineStr">
        <is>
          <t>legacy_company_gpu_mix_fallback</t>
        </is>
      </c>
      <c r="K533" s="3" t="inlineStr">
        <is>
          <t>SRC_TENCENT_HUNYUAN; SRC_TENCENT_HY3; SRC_TENCENT_AI_INFRA_MOE</t>
        </is>
      </c>
      <c r="L533" s="3" t="inlineStr">
        <is>
          <t>No CSP-level chip quantity seed was available; prior company-level GPU/ASIC mix is retained as fallback.</t>
        </is>
      </c>
    </row>
    <row r="534">
      <c r="A534" s="5">
        <f>B534&amp;"|"&amp;C534&amp;"|"&amp;D534&amp;"|"&amp;E534</f>
        <v/>
      </c>
      <c r="B534" s="3" t="inlineStr">
        <is>
          <t>Bull</t>
        </is>
      </c>
      <c r="C534" s="3" t="inlineStr">
        <is>
          <t>Legacy company envelope - Tencent</t>
        </is>
      </c>
      <c r="D534" s="3" t="n">
        <v>2027</v>
      </c>
      <c r="E534" s="25" t="inlineStr">
        <is>
          <t>H100/H200/A100 class</t>
        </is>
      </c>
      <c r="F534" s="5">
        <f>IFERROR(INDEX('02x_Accelerator_Catalog'!$C$2:$C$11,MATCH(E534,'02x_Accelerator_Catalog'!$B$2:$B$11,0)),"purpose_or_unbenchmarked")</f>
        <v/>
      </c>
      <c r="G534" s="8">
        <f>IFERROR(INDEX('02x_Accelerator_Catalog'!$D$2:$D$11,MATCH(E534,'02x_Accelerator_Catalog'!$B$2:$B$11,0)),"")</f>
        <v/>
      </c>
      <c r="H534" s="17" t="n">
        <v>0.438</v>
      </c>
      <c r="I534" s="6">
        <f>SUMIFS($H$2:$H$573,$B$2:$B$573,B534,$C$2:$C$573,C534,$D$2:$D$573,D534)</f>
        <v/>
      </c>
      <c r="J534" s="3" t="inlineStr">
        <is>
          <t>legacy_company_gpu_mix_fallback</t>
        </is>
      </c>
      <c r="K534" s="3" t="inlineStr">
        <is>
          <t>SRC_TENCENT_HUNYUAN; SRC_TENCENT_HY3; SRC_TENCENT_AI_INFRA_MOE</t>
        </is>
      </c>
      <c r="L534" s="3" t="inlineStr">
        <is>
          <t>No CSP-level chip quantity seed was available; prior company-level GPU/ASIC mix is retained as fallback.</t>
        </is>
      </c>
    </row>
    <row r="535">
      <c r="A535" s="5">
        <f>B535&amp;"|"&amp;C535&amp;"|"&amp;D535&amp;"|"&amp;E535</f>
        <v/>
      </c>
      <c r="B535" s="3" t="inlineStr">
        <is>
          <t>Bull</t>
        </is>
      </c>
      <c r="C535" s="3" t="inlineStr">
        <is>
          <t>Legacy company envelope - Tencent</t>
        </is>
      </c>
      <c r="D535" s="3" t="n">
        <v>2028</v>
      </c>
      <c r="E535" s="25" t="inlineStr">
        <is>
          <t>B200/B300 class</t>
        </is>
      </c>
      <c r="F535" s="5">
        <f>IFERROR(INDEX('02x_Accelerator_Catalog'!$C$2:$C$11,MATCH(E535,'02x_Accelerator_Catalog'!$B$2:$B$11,0)),"purpose_or_unbenchmarked")</f>
        <v/>
      </c>
      <c r="G535" s="8">
        <f>IFERROR(INDEX('02x_Accelerator_Catalog'!$D$2:$D$11,MATCH(E535,'02x_Accelerator_Catalog'!$B$2:$B$11,0)),"")</f>
        <v/>
      </c>
      <c r="H535" s="17" t="n">
        <v>0.375</v>
      </c>
      <c r="I535" s="6">
        <f>SUMIFS($H$2:$H$573,$B$2:$B$573,B535,$C$2:$C$573,C535,$D$2:$D$573,D535)</f>
        <v/>
      </c>
      <c r="J535" s="3" t="inlineStr">
        <is>
          <t>legacy_company_gpu_mix_fallback</t>
        </is>
      </c>
      <c r="K535" s="3" t="inlineStr">
        <is>
          <t>SRC_TENCENT_HUNYUAN; SRC_TENCENT_HY3; SRC_TENCENT_AI_INFRA_MOE</t>
        </is>
      </c>
      <c r="L535" s="3" t="inlineStr">
        <is>
          <t>No CSP-level chip quantity seed was available; prior company-level GPU/ASIC mix is retained as fallback.</t>
        </is>
      </c>
    </row>
    <row r="536">
      <c r="A536" s="5">
        <f>B536&amp;"|"&amp;C536&amp;"|"&amp;D536&amp;"|"&amp;E536</f>
        <v/>
      </c>
      <c r="B536" s="3" t="inlineStr">
        <is>
          <t>Bull</t>
        </is>
      </c>
      <c r="C536" s="3" t="inlineStr">
        <is>
          <t>Legacy company envelope - Tencent</t>
        </is>
      </c>
      <c r="D536" s="3" t="n">
        <v>2028</v>
      </c>
      <c r="E536" s="25" t="inlineStr">
        <is>
          <t>GB200/GB300 class</t>
        </is>
      </c>
      <c r="F536" s="5">
        <f>IFERROR(INDEX('02x_Accelerator_Catalog'!$C$2:$C$11,MATCH(E536,'02x_Accelerator_Catalog'!$B$2:$B$11,0)),"purpose_or_unbenchmarked")</f>
        <v/>
      </c>
      <c r="G536" s="8">
        <f>IFERROR(INDEX('02x_Accelerator_Catalog'!$D$2:$D$11,MATCH(E536,'02x_Accelerator_Catalog'!$B$2:$B$11,0)),"")</f>
        <v/>
      </c>
      <c r="H536" s="17" t="n">
        <v>0.3</v>
      </c>
      <c r="I536" s="6">
        <f>SUMIFS($H$2:$H$573,$B$2:$B$573,B536,$C$2:$C$573,C536,$D$2:$D$573,D536)</f>
        <v/>
      </c>
      <c r="J536" s="3" t="inlineStr">
        <is>
          <t>legacy_company_gpu_mix_fallback</t>
        </is>
      </c>
      <c r="K536" s="3" t="inlineStr">
        <is>
          <t>SRC_TENCENT_HUNYUAN; SRC_TENCENT_HY3; SRC_TENCENT_AI_INFRA_MOE</t>
        </is>
      </c>
      <c r="L536" s="3" t="inlineStr">
        <is>
          <t>No CSP-level chip quantity seed was available; prior company-level GPU/ASIC mix is retained as fallback.</t>
        </is>
      </c>
    </row>
    <row r="537">
      <c r="A537" s="5">
        <f>B537&amp;"|"&amp;C537&amp;"|"&amp;D537&amp;"|"&amp;E537</f>
        <v/>
      </c>
      <c r="B537" s="3" t="inlineStr">
        <is>
          <t>Bull</t>
        </is>
      </c>
      <c r="C537" s="3" t="inlineStr">
        <is>
          <t>Legacy company envelope - Tencent</t>
        </is>
      </c>
      <c r="D537" s="3" t="n">
        <v>2028</v>
      </c>
      <c r="E537" s="25" t="inlineStr">
        <is>
          <t>H100/H200/A100 class</t>
        </is>
      </c>
      <c r="F537" s="5">
        <f>IFERROR(INDEX('02x_Accelerator_Catalog'!$C$2:$C$11,MATCH(E537,'02x_Accelerator_Catalog'!$B$2:$B$11,0)),"purpose_or_unbenchmarked")</f>
        <v/>
      </c>
      <c r="G537" s="8">
        <f>IFERROR(INDEX('02x_Accelerator_Catalog'!$D$2:$D$11,MATCH(E537,'02x_Accelerator_Catalog'!$B$2:$B$11,0)),"")</f>
        <v/>
      </c>
      <c r="H537" s="17" t="n">
        <v>0.325</v>
      </c>
      <c r="I537" s="6">
        <f>SUMIFS($H$2:$H$573,$B$2:$B$573,B537,$C$2:$C$573,C537,$D$2:$D$573,D537)</f>
        <v/>
      </c>
      <c r="J537" s="3" t="inlineStr">
        <is>
          <t>legacy_company_gpu_mix_fallback</t>
        </is>
      </c>
      <c r="K537" s="3" t="inlineStr">
        <is>
          <t>SRC_TENCENT_HUNYUAN; SRC_TENCENT_HY3; SRC_TENCENT_AI_INFRA_MOE</t>
        </is>
      </c>
      <c r="L537" s="3" t="inlineStr">
        <is>
          <t>No CSP-level chip quantity seed was available; prior company-level GPU/ASIC mix is retained as fallback.</t>
        </is>
      </c>
    </row>
    <row r="538">
      <c r="A538" s="5">
        <f>B538&amp;"|"&amp;C538&amp;"|"&amp;D538&amp;"|"&amp;E538</f>
        <v/>
      </c>
      <c r="B538" s="3" t="inlineStr">
        <is>
          <t>Bull</t>
        </is>
      </c>
      <c r="C538" s="3" t="inlineStr">
        <is>
          <t>Legacy company envelope - Tencent</t>
        </is>
      </c>
      <c r="D538" s="3" t="n">
        <v>2029</v>
      </c>
      <c r="E538" s="25" t="inlineStr">
        <is>
          <t>B200/B300 class</t>
        </is>
      </c>
      <c r="F538" s="5">
        <f>IFERROR(INDEX('02x_Accelerator_Catalog'!$C$2:$C$11,MATCH(E538,'02x_Accelerator_Catalog'!$B$2:$B$11,0)),"purpose_or_unbenchmarked")</f>
        <v/>
      </c>
      <c r="G538" s="8">
        <f>IFERROR(INDEX('02x_Accelerator_Catalog'!$D$2:$D$11,MATCH(E538,'02x_Accelerator_Catalog'!$B$2:$B$11,0)),"")</f>
        <v/>
      </c>
      <c r="H538" s="17" t="n">
        <v>0.362</v>
      </c>
      <c r="I538" s="6">
        <f>SUMIFS($H$2:$H$573,$B$2:$B$573,B538,$C$2:$C$573,C538,$D$2:$D$573,D538)</f>
        <v/>
      </c>
      <c r="J538" s="3" t="inlineStr">
        <is>
          <t>legacy_company_gpu_mix_fallback</t>
        </is>
      </c>
      <c r="K538" s="3" t="inlineStr">
        <is>
          <t>SRC_TENCENT_HUNYUAN; SRC_TENCENT_HY3; SRC_TENCENT_AI_INFRA_MOE</t>
        </is>
      </c>
      <c r="L538" s="3" t="inlineStr">
        <is>
          <t>No CSP-level chip quantity seed was available; prior company-level GPU/ASIC mix is retained as fallback.</t>
        </is>
      </c>
    </row>
    <row r="539">
      <c r="A539" s="5">
        <f>B539&amp;"|"&amp;C539&amp;"|"&amp;D539&amp;"|"&amp;E539</f>
        <v/>
      </c>
      <c r="B539" s="3" t="inlineStr">
        <is>
          <t>Bull</t>
        </is>
      </c>
      <c r="C539" s="3" t="inlineStr">
        <is>
          <t>Legacy company envelope - Tencent</t>
        </is>
      </c>
      <c r="D539" s="3" t="n">
        <v>2029</v>
      </c>
      <c r="E539" s="25" t="inlineStr">
        <is>
          <t>GB200/GB300 class</t>
        </is>
      </c>
      <c r="F539" s="5">
        <f>IFERROR(INDEX('02x_Accelerator_Catalog'!$C$2:$C$11,MATCH(E539,'02x_Accelerator_Catalog'!$B$2:$B$11,0)),"purpose_or_unbenchmarked")</f>
        <v/>
      </c>
      <c r="G539" s="8">
        <f>IFERROR(INDEX('02x_Accelerator_Catalog'!$D$2:$D$11,MATCH(E539,'02x_Accelerator_Catalog'!$B$2:$B$11,0)),"")</f>
        <v/>
      </c>
      <c r="H539" s="17" t="n">
        <v>0.425</v>
      </c>
      <c r="I539" s="6">
        <f>SUMIFS($H$2:$H$573,$B$2:$B$573,B539,$C$2:$C$573,C539,$D$2:$D$573,D539)</f>
        <v/>
      </c>
      <c r="J539" s="3" t="inlineStr">
        <is>
          <t>legacy_company_gpu_mix_fallback</t>
        </is>
      </c>
      <c r="K539" s="3" t="inlineStr">
        <is>
          <t>SRC_TENCENT_HUNYUAN; SRC_TENCENT_HY3; SRC_TENCENT_AI_INFRA_MOE</t>
        </is>
      </c>
      <c r="L539" s="3" t="inlineStr">
        <is>
          <t>No CSP-level chip quantity seed was available; prior company-level GPU/ASIC mix is retained as fallback.</t>
        </is>
      </c>
    </row>
    <row r="540">
      <c r="A540" s="5">
        <f>B540&amp;"|"&amp;C540&amp;"|"&amp;D540&amp;"|"&amp;E540</f>
        <v/>
      </c>
      <c r="B540" s="3" t="inlineStr">
        <is>
          <t>Bull</t>
        </is>
      </c>
      <c r="C540" s="3" t="inlineStr">
        <is>
          <t>Legacy company envelope - Tencent</t>
        </is>
      </c>
      <c r="D540" s="3" t="n">
        <v>2029</v>
      </c>
      <c r="E540" s="25" t="inlineStr">
        <is>
          <t>H100/H200/A100 class</t>
        </is>
      </c>
      <c r="F540" s="5">
        <f>IFERROR(INDEX('02x_Accelerator_Catalog'!$C$2:$C$11,MATCH(E540,'02x_Accelerator_Catalog'!$B$2:$B$11,0)),"purpose_or_unbenchmarked")</f>
        <v/>
      </c>
      <c r="G540" s="8">
        <f>IFERROR(INDEX('02x_Accelerator_Catalog'!$D$2:$D$11,MATCH(E540,'02x_Accelerator_Catalog'!$B$2:$B$11,0)),"")</f>
        <v/>
      </c>
      <c r="H540" s="17" t="n">
        <v>0.213</v>
      </c>
      <c r="I540" s="6">
        <f>SUMIFS($H$2:$H$573,$B$2:$B$573,B540,$C$2:$C$573,C540,$D$2:$D$573,D540)</f>
        <v/>
      </c>
      <c r="J540" s="3" t="inlineStr">
        <is>
          <t>legacy_company_gpu_mix_fallback</t>
        </is>
      </c>
      <c r="K540" s="3" t="inlineStr">
        <is>
          <t>SRC_TENCENT_HUNYUAN; SRC_TENCENT_HY3; SRC_TENCENT_AI_INFRA_MOE</t>
        </is>
      </c>
      <c r="L540" s="3" t="inlineStr">
        <is>
          <t>No CSP-level chip quantity seed was available; prior company-level GPU/ASIC mix is retained as fallback.</t>
        </is>
      </c>
    </row>
    <row r="541">
      <c r="A541" s="5">
        <f>B541&amp;"|"&amp;C541&amp;"|"&amp;D541&amp;"|"&amp;E541</f>
        <v/>
      </c>
      <c r="B541" s="3" t="inlineStr">
        <is>
          <t>Bull</t>
        </is>
      </c>
      <c r="C541" s="3" t="inlineStr">
        <is>
          <t>Legacy company envelope - Tencent</t>
        </is>
      </c>
      <c r="D541" s="3" t="n">
        <v>2030</v>
      </c>
      <c r="E541" s="25" t="inlineStr">
        <is>
          <t>B200/B300 class</t>
        </is>
      </c>
      <c r="F541" s="5">
        <f>IFERROR(INDEX('02x_Accelerator_Catalog'!$C$2:$C$11,MATCH(E541,'02x_Accelerator_Catalog'!$B$2:$B$11,0)),"purpose_or_unbenchmarked")</f>
        <v/>
      </c>
      <c r="G541" s="8">
        <f>IFERROR(INDEX('02x_Accelerator_Catalog'!$D$2:$D$11,MATCH(E541,'02x_Accelerator_Catalog'!$B$2:$B$11,0)),"")</f>
        <v/>
      </c>
      <c r="H541" s="17" t="n">
        <v>0.35</v>
      </c>
      <c r="I541" s="6">
        <f>SUMIFS($H$2:$H$573,$B$2:$B$573,B541,$C$2:$C$573,C541,$D$2:$D$573,D541)</f>
        <v/>
      </c>
      <c r="J541" s="3" t="inlineStr">
        <is>
          <t>legacy_company_gpu_mix_fallback</t>
        </is>
      </c>
      <c r="K541" s="3" t="inlineStr">
        <is>
          <t>SRC_TENCENT_HUNYUAN; SRC_TENCENT_HY3; SRC_TENCENT_AI_INFRA_MOE</t>
        </is>
      </c>
      <c r="L541" s="3" t="inlineStr">
        <is>
          <t>No CSP-level chip quantity seed was available; prior company-level GPU/ASIC mix is retained as fallback.</t>
        </is>
      </c>
    </row>
    <row r="542">
      <c r="A542" s="5">
        <f>B542&amp;"|"&amp;C542&amp;"|"&amp;D542&amp;"|"&amp;E542</f>
        <v/>
      </c>
      <c r="B542" s="3" t="inlineStr">
        <is>
          <t>Bull</t>
        </is>
      </c>
      <c r="C542" s="3" t="inlineStr">
        <is>
          <t>Legacy company envelope - Tencent</t>
        </is>
      </c>
      <c r="D542" s="3" t="n">
        <v>2030</v>
      </c>
      <c r="E542" s="25" t="inlineStr">
        <is>
          <t>GB200/GB300 class</t>
        </is>
      </c>
      <c r="F542" s="5">
        <f>IFERROR(INDEX('02x_Accelerator_Catalog'!$C$2:$C$11,MATCH(E542,'02x_Accelerator_Catalog'!$B$2:$B$11,0)),"purpose_or_unbenchmarked")</f>
        <v/>
      </c>
      <c r="G542" s="8">
        <f>IFERROR(INDEX('02x_Accelerator_Catalog'!$D$2:$D$11,MATCH(E542,'02x_Accelerator_Catalog'!$B$2:$B$11,0)),"")</f>
        <v/>
      </c>
      <c r="H542" s="17" t="n">
        <v>0.55</v>
      </c>
      <c r="I542" s="6">
        <f>SUMIFS($H$2:$H$573,$B$2:$B$573,B542,$C$2:$C$573,C542,$D$2:$D$573,D542)</f>
        <v/>
      </c>
      <c r="J542" s="3" t="inlineStr">
        <is>
          <t>legacy_company_gpu_mix_fallback</t>
        </is>
      </c>
      <c r="K542" s="3" t="inlineStr">
        <is>
          <t>SRC_TENCENT_HUNYUAN; SRC_TENCENT_HY3; SRC_TENCENT_AI_INFRA_MOE</t>
        </is>
      </c>
      <c r="L542" s="3" t="inlineStr">
        <is>
          <t>No CSP-level chip quantity seed was available; prior company-level GPU/ASIC mix is retained as fallback.</t>
        </is>
      </c>
    </row>
    <row r="543">
      <c r="A543" s="5">
        <f>B543&amp;"|"&amp;C543&amp;"|"&amp;D543&amp;"|"&amp;E543</f>
        <v/>
      </c>
      <c r="B543" s="3" t="inlineStr">
        <is>
          <t>Bull</t>
        </is>
      </c>
      <c r="C543" s="3" t="inlineStr">
        <is>
          <t>Legacy company envelope - Tencent</t>
        </is>
      </c>
      <c r="D543" s="3" t="n">
        <v>2030</v>
      </c>
      <c r="E543" s="25" t="inlineStr">
        <is>
          <t>H100/H200/A100 class</t>
        </is>
      </c>
      <c r="F543" s="5">
        <f>IFERROR(INDEX('02x_Accelerator_Catalog'!$C$2:$C$11,MATCH(E543,'02x_Accelerator_Catalog'!$B$2:$B$11,0)),"purpose_or_unbenchmarked")</f>
        <v/>
      </c>
      <c r="G543" s="8">
        <f>IFERROR(INDEX('02x_Accelerator_Catalog'!$D$2:$D$11,MATCH(E543,'02x_Accelerator_Catalog'!$B$2:$B$11,0)),"")</f>
        <v/>
      </c>
      <c r="H543" s="17" t="n">
        <v>0.1</v>
      </c>
      <c r="I543" s="6">
        <f>SUMIFS($H$2:$H$573,$B$2:$B$573,B543,$C$2:$C$573,C543,$D$2:$D$573,D543)</f>
        <v/>
      </c>
      <c r="J543" s="3" t="inlineStr">
        <is>
          <t>legacy_company_gpu_mix_fallback</t>
        </is>
      </c>
      <c r="K543" s="3" t="inlineStr">
        <is>
          <t>SRC_TENCENT_HUNYUAN; SRC_TENCENT_HY3; SRC_TENCENT_AI_INFRA_MOE</t>
        </is>
      </c>
      <c r="L543" s="3" t="inlineStr">
        <is>
          <t>No CSP-level chip quantity seed was available; prior company-level GPU/ASIC mix is retained as fallback.</t>
        </is>
      </c>
    </row>
    <row r="544">
      <c r="A544" s="5">
        <f>B544&amp;"|"&amp;C544&amp;"|"&amp;D544&amp;"|"&amp;E544</f>
        <v/>
      </c>
      <c r="B544" s="3" t="inlineStr">
        <is>
          <t>Grid-Constrained / Efficiency-Upside</t>
        </is>
      </c>
      <c r="C544" s="3" t="inlineStr">
        <is>
          <t>Legacy company envelope - DeepSeek</t>
        </is>
      </c>
      <c r="D544" s="3" t="n">
        <v>2026</v>
      </c>
      <c r="E544" s="25" t="inlineStr">
        <is>
          <t>B200/B300 class</t>
        </is>
      </c>
      <c r="F544" s="5">
        <f>IFERROR(INDEX('02x_Accelerator_Catalog'!$C$2:$C$11,MATCH(E544,'02x_Accelerator_Catalog'!$B$2:$B$11,0)),"purpose_or_unbenchmarked")</f>
        <v/>
      </c>
      <c r="G544" s="8">
        <f>IFERROR(INDEX('02x_Accelerator_Catalog'!$D$2:$D$11,MATCH(E544,'02x_Accelerator_Catalog'!$B$2:$B$11,0)),"")</f>
        <v/>
      </c>
      <c r="H544" s="17" t="n">
        <v>0.4</v>
      </c>
      <c r="I544" s="6">
        <f>SUMIFS($H$2:$H$573,$B$2:$B$573,B544,$C$2:$C$573,C544,$D$2:$D$573,D544)</f>
        <v/>
      </c>
      <c r="J544" s="3" t="inlineStr">
        <is>
          <t>legacy_company_gpu_mix_fallback</t>
        </is>
      </c>
      <c r="K544" s="3" t="inlineStr">
        <is>
          <t>SRC_DEEPSEEK_V3; SRC_DEEPSEEK_R1; SRC_DEEPSEEK_H800_INFERENCE</t>
        </is>
      </c>
      <c r="L544" s="3" t="inlineStr">
        <is>
          <t>No CSP-level chip quantity seed was available; prior company-level GPU/ASIC mix is retained as fallback.</t>
        </is>
      </c>
    </row>
    <row r="545">
      <c r="A545" s="5">
        <f>B545&amp;"|"&amp;C545&amp;"|"&amp;D545&amp;"|"&amp;E545</f>
        <v/>
      </c>
      <c r="B545" s="3" t="inlineStr">
        <is>
          <t>Grid-Constrained / Efficiency-Upside</t>
        </is>
      </c>
      <c r="C545" s="3" t="inlineStr">
        <is>
          <t>Legacy company envelope - DeepSeek</t>
        </is>
      </c>
      <c r="D545" s="3" t="n">
        <v>2026</v>
      </c>
      <c r="E545" s="25" t="inlineStr">
        <is>
          <t>GB200/GB300 class</t>
        </is>
      </c>
      <c r="F545" s="5">
        <f>IFERROR(INDEX('02x_Accelerator_Catalog'!$C$2:$C$11,MATCH(E545,'02x_Accelerator_Catalog'!$B$2:$B$11,0)),"purpose_or_unbenchmarked")</f>
        <v/>
      </c>
      <c r="G545" s="8">
        <f>IFERROR(INDEX('02x_Accelerator_Catalog'!$D$2:$D$11,MATCH(E545,'02x_Accelerator_Catalog'!$B$2:$B$11,0)),"")</f>
        <v/>
      </c>
      <c r="H545" s="17" t="n">
        <v>0.05</v>
      </c>
      <c r="I545" s="6">
        <f>SUMIFS($H$2:$H$573,$B$2:$B$573,B545,$C$2:$C$573,C545,$D$2:$D$573,D545)</f>
        <v/>
      </c>
      <c r="J545" s="3" t="inlineStr">
        <is>
          <t>legacy_company_gpu_mix_fallback</t>
        </is>
      </c>
      <c r="K545" s="3" t="inlineStr">
        <is>
          <t>SRC_DEEPSEEK_V3; SRC_DEEPSEEK_R1; SRC_DEEPSEEK_H800_INFERENCE</t>
        </is>
      </c>
      <c r="L545" s="3" t="inlineStr">
        <is>
          <t>No CSP-level chip quantity seed was available; prior company-level GPU/ASIC mix is retained as fallback.</t>
        </is>
      </c>
    </row>
    <row r="546">
      <c r="A546" s="5">
        <f>B546&amp;"|"&amp;C546&amp;"|"&amp;D546&amp;"|"&amp;E546</f>
        <v/>
      </c>
      <c r="B546" s="3" t="inlineStr">
        <is>
          <t>Grid-Constrained / Efficiency-Upside</t>
        </is>
      </c>
      <c r="C546" s="3" t="inlineStr">
        <is>
          <t>Legacy company envelope - DeepSeek</t>
        </is>
      </c>
      <c r="D546" s="3" t="n">
        <v>2026</v>
      </c>
      <c r="E546" s="25" t="inlineStr">
        <is>
          <t>H100/H200/A100 class</t>
        </is>
      </c>
      <c r="F546" s="5">
        <f>IFERROR(INDEX('02x_Accelerator_Catalog'!$C$2:$C$11,MATCH(E546,'02x_Accelerator_Catalog'!$B$2:$B$11,0)),"purpose_or_unbenchmarked")</f>
        <v/>
      </c>
      <c r="G546" s="8">
        <f>IFERROR(INDEX('02x_Accelerator_Catalog'!$D$2:$D$11,MATCH(E546,'02x_Accelerator_Catalog'!$B$2:$B$11,0)),"")</f>
        <v/>
      </c>
      <c r="H546" s="17" t="n">
        <v>0.55</v>
      </c>
      <c r="I546" s="6">
        <f>SUMIFS($H$2:$H$573,$B$2:$B$573,B546,$C$2:$C$573,C546,$D$2:$D$573,D546)</f>
        <v/>
      </c>
      <c r="J546" s="3" t="inlineStr">
        <is>
          <t>legacy_company_gpu_mix_fallback</t>
        </is>
      </c>
      <c r="K546" s="3" t="inlineStr">
        <is>
          <t>SRC_DEEPSEEK_V3; SRC_DEEPSEEK_R1; SRC_DEEPSEEK_H800_INFERENCE</t>
        </is>
      </c>
      <c r="L546" s="3" t="inlineStr">
        <is>
          <t>No CSP-level chip quantity seed was available; prior company-level GPU/ASIC mix is retained as fallback.</t>
        </is>
      </c>
    </row>
    <row r="547">
      <c r="A547" s="5">
        <f>B547&amp;"|"&amp;C547&amp;"|"&amp;D547&amp;"|"&amp;E547</f>
        <v/>
      </c>
      <c r="B547" s="3" t="inlineStr">
        <is>
          <t>Grid-Constrained / Efficiency-Upside</t>
        </is>
      </c>
      <c r="C547" s="3" t="inlineStr">
        <is>
          <t>Legacy company envelope - DeepSeek</t>
        </is>
      </c>
      <c r="D547" s="3" t="n">
        <v>2027</v>
      </c>
      <c r="E547" s="25" t="inlineStr">
        <is>
          <t>B200/B300 class</t>
        </is>
      </c>
      <c r="F547" s="5">
        <f>IFERROR(INDEX('02x_Accelerator_Catalog'!$C$2:$C$11,MATCH(E547,'02x_Accelerator_Catalog'!$B$2:$B$11,0)),"purpose_or_unbenchmarked")</f>
        <v/>
      </c>
      <c r="G547" s="8">
        <f>IFERROR(INDEX('02x_Accelerator_Catalog'!$D$2:$D$11,MATCH(E547,'02x_Accelerator_Catalog'!$B$2:$B$11,0)),"")</f>
        <v/>
      </c>
      <c r="H547" s="17" t="n">
        <v>0.388</v>
      </c>
      <c r="I547" s="6">
        <f>SUMIFS($H$2:$H$573,$B$2:$B$573,B547,$C$2:$C$573,C547,$D$2:$D$573,D547)</f>
        <v/>
      </c>
      <c r="J547" s="3" t="inlineStr">
        <is>
          <t>legacy_company_gpu_mix_fallback</t>
        </is>
      </c>
      <c r="K547" s="3" t="inlineStr">
        <is>
          <t>SRC_DEEPSEEK_V3; SRC_DEEPSEEK_R1; SRC_DEEPSEEK_H800_INFERENCE</t>
        </is>
      </c>
      <c r="L547" s="3" t="inlineStr">
        <is>
          <t>No CSP-level chip quantity seed was available; prior company-level GPU/ASIC mix is retained as fallback.</t>
        </is>
      </c>
    </row>
    <row r="548">
      <c r="A548" s="5">
        <f>B548&amp;"|"&amp;C548&amp;"|"&amp;D548&amp;"|"&amp;E548</f>
        <v/>
      </c>
      <c r="B548" s="3" t="inlineStr">
        <is>
          <t>Grid-Constrained / Efficiency-Upside</t>
        </is>
      </c>
      <c r="C548" s="3" t="inlineStr">
        <is>
          <t>Legacy company envelope - DeepSeek</t>
        </is>
      </c>
      <c r="D548" s="3" t="n">
        <v>2027</v>
      </c>
      <c r="E548" s="25" t="inlineStr">
        <is>
          <t>GB200/GB300 class</t>
        </is>
      </c>
      <c r="F548" s="5">
        <f>IFERROR(INDEX('02x_Accelerator_Catalog'!$C$2:$C$11,MATCH(E548,'02x_Accelerator_Catalog'!$B$2:$B$11,0)),"purpose_or_unbenchmarked")</f>
        <v/>
      </c>
      <c r="G548" s="8">
        <f>IFERROR(INDEX('02x_Accelerator_Catalog'!$D$2:$D$11,MATCH(E548,'02x_Accelerator_Catalog'!$B$2:$B$11,0)),"")</f>
        <v/>
      </c>
      <c r="H548" s="17" t="n">
        <v>0.174</v>
      </c>
      <c r="I548" s="6">
        <f>SUMIFS($H$2:$H$573,$B$2:$B$573,B548,$C$2:$C$573,C548,$D$2:$D$573,D548)</f>
        <v/>
      </c>
      <c r="J548" s="3" t="inlineStr">
        <is>
          <t>legacy_company_gpu_mix_fallback</t>
        </is>
      </c>
      <c r="K548" s="3" t="inlineStr">
        <is>
          <t>SRC_DEEPSEEK_V3; SRC_DEEPSEEK_R1; SRC_DEEPSEEK_H800_INFERENCE</t>
        </is>
      </c>
      <c r="L548" s="3" t="inlineStr">
        <is>
          <t>No CSP-level chip quantity seed was available; prior company-level GPU/ASIC mix is retained as fallback.</t>
        </is>
      </c>
    </row>
    <row r="549">
      <c r="A549" s="5">
        <f>B549&amp;"|"&amp;C549&amp;"|"&amp;D549&amp;"|"&amp;E549</f>
        <v/>
      </c>
      <c r="B549" s="3" t="inlineStr">
        <is>
          <t>Grid-Constrained / Efficiency-Upside</t>
        </is>
      </c>
      <c r="C549" s="3" t="inlineStr">
        <is>
          <t>Legacy company envelope - DeepSeek</t>
        </is>
      </c>
      <c r="D549" s="3" t="n">
        <v>2027</v>
      </c>
      <c r="E549" s="25" t="inlineStr">
        <is>
          <t>H100/H200/A100 class</t>
        </is>
      </c>
      <c r="F549" s="5">
        <f>IFERROR(INDEX('02x_Accelerator_Catalog'!$C$2:$C$11,MATCH(E549,'02x_Accelerator_Catalog'!$B$2:$B$11,0)),"purpose_or_unbenchmarked")</f>
        <v/>
      </c>
      <c r="G549" s="8">
        <f>IFERROR(INDEX('02x_Accelerator_Catalog'!$D$2:$D$11,MATCH(E549,'02x_Accelerator_Catalog'!$B$2:$B$11,0)),"")</f>
        <v/>
      </c>
      <c r="H549" s="17" t="n">
        <v>0.438</v>
      </c>
      <c r="I549" s="6">
        <f>SUMIFS($H$2:$H$573,$B$2:$B$573,B549,$C$2:$C$573,C549,$D$2:$D$573,D549)</f>
        <v/>
      </c>
      <c r="J549" s="3" t="inlineStr">
        <is>
          <t>legacy_company_gpu_mix_fallback</t>
        </is>
      </c>
      <c r="K549" s="3" t="inlineStr">
        <is>
          <t>SRC_DEEPSEEK_V3; SRC_DEEPSEEK_R1; SRC_DEEPSEEK_H800_INFERENCE</t>
        </is>
      </c>
      <c r="L549" s="3" t="inlineStr">
        <is>
          <t>No CSP-level chip quantity seed was available; prior company-level GPU/ASIC mix is retained as fallback.</t>
        </is>
      </c>
    </row>
    <row r="550">
      <c r="A550" s="5">
        <f>B550&amp;"|"&amp;C550&amp;"|"&amp;D550&amp;"|"&amp;E550</f>
        <v/>
      </c>
      <c r="B550" s="3" t="inlineStr">
        <is>
          <t>Grid-Constrained / Efficiency-Upside</t>
        </is>
      </c>
      <c r="C550" s="3" t="inlineStr">
        <is>
          <t>Legacy company envelope - DeepSeek</t>
        </is>
      </c>
      <c r="D550" s="3" t="n">
        <v>2028</v>
      </c>
      <c r="E550" s="25" t="inlineStr">
        <is>
          <t>B200/B300 class</t>
        </is>
      </c>
      <c r="F550" s="5">
        <f>IFERROR(INDEX('02x_Accelerator_Catalog'!$C$2:$C$11,MATCH(E550,'02x_Accelerator_Catalog'!$B$2:$B$11,0)),"purpose_or_unbenchmarked")</f>
        <v/>
      </c>
      <c r="G550" s="8">
        <f>IFERROR(INDEX('02x_Accelerator_Catalog'!$D$2:$D$11,MATCH(E550,'02x_Accelerator_Catalog'!$B$2:$B$11,0)),"")</f>
        <v/>
      </c>
      <c r="H550" s="17" t="n">
        <v>0.375</v>
      </c>
      <c r="I550" s="6">
        <f>SUMIFS($H$2:$H$573,$B$2:$B$573,B550,$C$2:$C$573,C550,$D$2:$D$573,D550)</f>
        <v/>
      </c>
      <c r="J550" s="3" t="inlineStr">
        <is>
          <t>legacy_company_gpu_mix_fallback</t>
        </is>
      </c>
      <c r="K550" s="3" t="inlineStr">
        <is>
          <t>SRC_DEEPSEEK_V3; SRC_DEEPSEEK_R1; SRC_DEEPSEEK_H800_INFERENCE</t>
        </is>
      </c>
      <c r="L550" s="3" t="inlineStr">
        <is>
          <t>No CSP-level chip quantity seed was available; prior company-level GPU/ASIC mix is retained as fallback.</t>
        </is>
      </c>
    </row>
    <row r="551">
      <c r="A551" s="5">
        <f>B551&amp;"|"&amp;C551&amp;"|"&amp;D551&amp;"|"&amp;E551</f>
        <v/>
      </c>
      <c r="B551" s="3" t="inlineStr">
        <is>
          <t>Grid-Constrained / Efficiency-Upside</t>
        </is>
      </c>
      <c r="C551" s="3" t="inlineStr">
        <is>
          <t>Legacy company envelope - DeepSeek</t>
        </is>
      </c>
      <c r="D551" s="3" t="n">
        <v>2028</v>
      </c>
      <c r="E551" s="25" t="inlineStr">
        <is>
          <t>GB200/GB300 class</t>
        </is>
      </c>
      <c r="F551" s="5">
        <f>IFERROR(INDEX('02x_Accelerator_Catalog'!$C$2:$C$11,MATCH(E551,'02x_Accelerator_Catalog'!$B$2:$B$11,0)),"purpose_or_unbenchmarked")</f>
        <v/>
      </c>
      <c r="G551" s="8">
        <f>IFERROR(INDEX('02x_Accelerator_Catalog'!$D$2:$D$11,MATCH(E551,'02x_Accelerator_Catalog'!$B$2:$B$11,0)),"")</f>
        <v/>
      </c>
      <c r="H551" s="17" t="n">
        <v>0.3</v>
      </c>
      <c r="I551" s="6">
        <f>SUMIFS($H$2:$H$573,$B$2:$B$573,B551,$C$2:$C$573,C551,$D$2:$D$573,D551)</f>
        <v/>
      </c>
      <c r="J551" s="3" t="inlineStr">
        <is>
          <t>legacy_company_gpu_mix_fallback</t>
        </is>
      </c>
      <c r="K551" s="3" t="inlineStr">
        <is>
          <t>SRC_DEEPSEEK_V3; SRC_DEEPSEEK_R1; SRC_DEEPSEEK_H800_INFERENCE</t>
        </is>
      </c>
      <c r="L551" s="3" t="inlineStr">
        <is>
          <t>No CSP-level chip quantity seed was available; prior company-level GPU/ASIC mix is retained as fallback.</t>
        </is>
      </c>
    </row>
    <row r="552">
      <c r="A552" s="5">
        <f>B552&amp;"|"&amp;C552&amp;"|"&amp;D552&amp;"|"&amp;E552</f>
        <v/>
      </c>
      <c r="B552" s="3" t="inlineStr">
        <is>
          <t>Grid-Constrained / Efficiency-Upside</t>
        </is>
      </c>
      <c r="C552" s="3" t="inlineStr">
        <is>
          <t>Legacy company envelope - DeepSeek</t>
        </is>
      </c>
      <c r="D552" s="3" t="n">
        <v>2028</v>
      </c>
      <c r="E552" s="25" t="inlineStr">
        <is>
          <t>H100/H200/A100 class</t>
        </is>
      </c>
      <c r="F552" s="5">
        <f>IFERROR(INDEX('02x_Accelerator_Catalog'!$C$2:$C$11,MATCH(E552,'02x_Accelerator_Catalog'!$B$2:$B$11,0)),"purpose_or_unbenchmarked")</f>
        <v/>
      </c>
      <c r="G552" s="8">
        <f>IFERROR(INDEX('02x_Accelerator_Catalog'!$D$2:$D$11,MATCH(E552,'02x_Accelerator_Catalog'!$B$2:$B$11,0)),"")</f>
        <v/>
      </c>
      <c r="H552" s="17" t="n">
        <v>0.325</v>
      </c>
      <c r="I552" s="6">
        <f>SUMIFS($H$2:$H$573,$B$2:$B$573,B552,$C$2:$C$573,C552,$D$2:$D$573,D552)</f>
        <v/>
      </c>
      <c r="J552" s="3" t="inlineStr">
        <is>
          <t>legacy_company_gpu_mix_fallback</t>
        </is>
      </c>
      <c r="K552" s="3" t="inlineStr">
        <is>
          <t>SRC_DEEPSEEK_V3; SRC_DEEPSEEK_R1; SRC_DEEPSEEK_H800_INFERENCE</t>
        </is>
      </c>
      <c r="L552" s="3" t="inlineStr">
        <is>
          <t>No CSP-level chip quantity seed was available; prior company-level GPU/ASIC mix is retained as fallback.</t>
        </is>
      </c>
    </row>
    <row r="553">
      <c r="A553" s="5">
        <f>B553&amp;"|"&amp;C553&amp;"|"&amp;D553&amp;"|"&amp;E553</f>
        <v/>
      </c>
      <c r="B553" s="3" t="inlineStr">
        <is>
          <t>Grid-Constrained / Efficiency-Upside</t>
        </is>
      </c>
      <c r="C553" s="3" t="inlineStr">
        <is>
          <t>Legacy company envelope - DeepSeek</t>
        </is>
      </c>
      <c r="D553" s="3" t="n">
        <v>2029</v>
      </c>
      <c r="E553" s="25" t="inlineStr">
        <is>
          <t>B200/B300 class</t>
        </is>
      </c>
      <c r="F553" s="5">
        <f>IFERROR(INDEX('02x_Accelerator_Catalog'!$C$2:$C$11,MATCH(E553,'02x_Accelerator_Catalog'!$B$2:$B$11,0)),"purpose_or_unbenchmarked")</f>
        <v/>
      </c>
      <c r="G553" s="8">
        <f>IFERROR(INDEX('02x_Accelerator_Catalog'!$D$2:$D$11,MATCH(E553,'02x_Accelerator_Catalog'!$B$2:$B$11,0)),"")</f>
        <v/>
      </c>
      <c r="H553" s="17" t="n">
        <v>0.362</v>
      </c>
      <c r="I553" s="6">
        <f>SUMIFS($H$2:$H$573,$B$2:$B$573,B553,$C$2:$C$573,C553,$D$2:$D$573,D553)</f>
        <v/>
      </c>
      <c r="J553" s="3" t="inlineStr">
        <is>
          <t>legacy_company_gpu_mix_fallback</t>
        </is>
      </c>
      <c r="K553" s="3" t="inlineStr">
        <is>
          <t>SRC_DEEPSEEK_V3; SRC_DEEPSEEK_R1; SRC_DEEPSEEK_H800_INFERENCE</t>
        </is>
      </c>
      <c r="L553" s="3" t="inlineStr">
        <is>
          <t>No CSP-level chip quantity seed was available; prior company-level GPU/ASIC mix is retained as fallback.</t>
        </is>
      </c>
    </row>
    <row r="554">
      <c r="A554" s="5">
        <f>B554&amp;"|"&amp;C554&amp;"|"&amp;D554&amp;"|"&amp;E554</f>
        <v/>
      </c>
      <c r="B554" s="3" t="inlineStr">
        <is>
          <t>Grid-Constrained / Efficiency-Upside</t>
        </is>
      </c>
      <c r="C554" s="3" t="inlineStr">
        <is>
          <t>Legacy company envelope - DeepSeek</t>
        </is>
      </c>
      <c r="D554" s="3" t="n">
        <v>2029</v>
      </c>
      <c r="E554" s="25" t="inlineStr">
        <is>
          <t>GB200/GB300 class</t>
        </is>
      </c>
      <c r="F554" s="5">
        <f>IFERROR(INDEX('02x_Accelerator_Catalog'!$C$2:$C$11,MATCH(E554,'02x_Accelerator_Catalog'!$B$2:$B$11,0)),"purpose_or_unbenchmarked")</f>
        <v/>
      </c>
      <c r="G554" s="8">
        <f>IFERROR(INDEX('02x_Accelerator_Catalog'!$D$2:$D$11,MATCH(E554,'02x_Accelerator_Catalog'!$B$2:$B$11,0)),"")</f>
        <v/>
      </c>
      <c r="H554" s="17" t="n">
        <v>0.425</v>
      </c>
      <c r="I554" s="6">
        <f>SUMIFS($H$2:$H$573,$B$2:$B$573,B554,$C$2:$C$573,C554,$D$2:$D$573,D554)</f>
        <v/>
      </c>
      <c r="J554" s="3" t="inlineStr">
        <is>
          <t>legacy_company_gpu_mix_fallback</t>
        </is>
      </c>
      <c r="K554" s="3" t="inlineStr">
        <is>
          <t>SRC_DEEPSEEK_V3; SRC_DEEPSEEK_R1; SRC_DEEPSEEK_H800_INFERENCE</t>
        </is>
      </c>
      <c r="L554" s="3" t="inlineStr">
        <is>
          <t>No CSP-level chip quantity seed was available; prior company-level GPU/ASIC mix is retained as fallback.</t>
        </is>
      </c>
    </row>
    <row r="555">
      <c r="A555" s="5">
        <f>B555&amp;"|"&amp;C555&amp;"|"&amp;D555&amp;"|"&amp;E555</f>
        <v/>
      </c>
      <c r="B555" s="3" t="inlineStr">
        <is>
          <t>Grid-Constrained / Efficiency-Upside</t>
        </is>
      </c>
      <c r="C555" s="3" t="inlineStr">
        <is>
          <t>Legacy company envelope - DeepSeek</t>
        </is>
      </c>
      <c r="D555" s="3" t="n">
        <v>2029</v>
      </c>
      <c r="E555" s="25" t="inlineStr">
        <is>
          <t>H100/H200/A100 class</t>
        </is>
      </c>
      <c r="F555" s="5">
        <f>IFERROR(INDEX('02x_Accelerator_Catalog'!$C$2:$C$11,MATCH(E555,'02x_Accelerator_Catalog'!$B$2:$B$11,0)),"purpose_or_unbenchmarked")</f>
        <v/>
      </c>
      <c r="G555" s="8">
        <f>IFERROR(INDEX('02x_Accelerator_Catalog'!$D$2:$D$11,MATCH(E555,'02x_Accelerator_Catalog'!$B$2:$B$11,0)),"")</f>
        <v/>
      </c>
      <c r="H555" s="17" t="n">
        <v>0.213</v>
      </c>
      <c r="I555" s="6">
        <f>SUMIFS($H$2:$H$573,$B$2:$B$573,B555,$C$2:$C$573,C555,$D$2:$D$573,D555)</f>
        <v/>
      </c>
      <c r="J555" s="3" t="inlineStr">
        <is>
          <t>legacy_company_gpu_mix_fallback</t>
        </is>
      </c>
      <c r="K555" s="3" t="inlineStr">
        <is>
          <t>SRC_DEEPSEEK_V3; SRC_DEEPSEEK_R1; SRC_DEEPSEEK_H800_INFERENCE</t>
        </is>
      </c>
      <c r="L555" s="3" t="inlineStr">
        <is>
          <t>No CSP-level chip quantity seed was available; prior company-level GPU/ASIC mix is retained as fallback.</t>
        </is>
      </c>
    </row>
    <row r="556">
      <c r="A556" s="5">
        <f>B556&amp;"|"&amp;C556&amp;"|"&amp;D556&amp;"|"&amp;E556</f>
        <v/>
      </c>
      <c r="B556" s="3" t="inlineStr">
        <is>
          <t>Grid-Constrained / Efficiency-Upside</t>
        </is>
      </c>
      <c r="C556" s="3" t="inlineStr">
        <is>
          <t>Legacy company envelope - DeepSeek</t>
        </is>
      </c>
      <c r="D556" s="3" t="n">
        <v>2030</v>
      </c>
      <c r="E556" s="25" t="inlineStr">
        <is>
          <t>B200/B300 class</t>
        </is>
      </c>
      <c r="F556" s="5">
        <f>IFERROR(INDEX('02x_Accelerator_Catalog'!$C$2:$C$11,MATCH(E556,'02x_Accelerator_Catalog'!$B$2:$B$11,0)),"purpose_or_unbenchmarked")</f>
        <v/>
      </c>
      <c r="G556" s="8">
        <f>IFERROR(INDEX('02x_Accelerator_Catalog'!$D$2:$D$11,MATCH(E556,'02x_Accelerator_Catalog'!$B$2:$B$11,0)),"")</f>
        <v/>
      </c>
      <c r="H556" s="17" t="n">
        <v>0.35</v>
      </c>
      <c r="I556" s="6">
        <f>SUMIFS($H$2:$H$573,$B$2:$B$573,B556,$C$2:$C$573,C556,$D$2:$D$573,D556)</f>
        <v/>
      </c>
      <c r="J556" s="3" t="inlineStr">
        <is>
          <t>legacy_company_gpu_mix_fallback</t>
        </is>
      </c>
      <c r="K556" s="3" t="inlineStr">
        <is>
          <t>SRC_DEEPSEEK_V3; SRC_DEEPSEEK_R1; SRC_DEEPSEEK_H800_INFERENCE</t>
        </is>
      </c>
      <c r="L556" s="3" t="inlineStr">
        <is>
          <t>No CSP-level chip quantity seed was available; prior company-level GPU/ASIC mix is retained as fallback.</t>
        </is>
      </c>
    </row>
    <row r="557">
      <c r="A557" s="5">
        <f>B557&amp;"|"&amp;C557&amp;"|"&amp;D557&amp;"|"&amp;E557</f>
        <v/>
      </c>
      <c r="B557" s="3" t="inlineStr">
        <is>
          <t>Grid-Constrained / Efficiency-Upside</t>
        </is>
      </c>
      <c r="C557" s="3" t="inlineStr">
        <is>
          <t>Legacy company envelope - DeepSeek</t>
        </is>
      </c>
      <c r="D557" s="3" t="n">
        <v>2030</v>
      </c>
      <c r="E557" s="25" t="inlineStr">
        <is>
          <t>GB200/GB300 class</t>
        </is>
      </c>
      <c r="F557" s="5">
        <f>IFERROR(INDEX('02x_Accelerator_Catalog'!$C$2:$C$11,MATCH(E557,'02x_Accelerator_Catalog'!$B$2:$B$11,0)),"purpose_or_unbenchmarked")</f>
        <v/>
      </c>
      <c r="G557" s="8">
        <f>IFERROR(INDEX('02x_Accelerator_Catalog'!$D$2:$D$11,MATCH(E557,'02x_Accelerator_Catalog'!$B$2:$B$11,0)),"")</f>
        <v/>
      </c>
      <c r="H557" s="17" t="n">
        <v>0.55</v>
      </c>
      <c r="I557" s="6">
        <f>SUMIFS($H$2:$H$573,$B$2:$B$573,B557,$C$2:$C$573,C557,$D$2:$D$573,D557)</f>
        <v/>
      </c>
      <c r="J557" s="3" t="inlineStr">
        <is>
          <t>legacy_company_gpu_mix_fallback</t>
        </is>
      </c>
      <c r="K557" s="3" t="inlineStr">
        <is>
          <t>SRC_DEEPSEEK_V3; SRC_DEEPSEEK_R1; SRC_DEEPSEEK_H800_INFERENCE</t>
        </is>
      </c>
      <c r="L557" s="3" t="inlineStr">
        <is>
          <t>No CSP-level chip quantity seed was available; prior company-level GPU/ASIC mix is retained as fallback.</t>
        </is>
      </c>
    </row>
    <row r="558">
      <c r="A558" s="5">
        <f>B558&amp;"|"&amp;C558&amp;"|"&amp;D558&amp;"|"&amp;E558</f>
        <v/>
      </c>
      <c r="B558" s="3" t="inlineStr">
        <is>
          <t>Grid-Constrained / Efficiency-Upside</t>
        </is>
      </c>
      <c r="C558" s="3" t="inlineStr">
        <is>
          <t>Legacy company envelope - DeepSeek</t>
        </is>
      </c>
      <c r="D558" s="3" t="n">
        <v>2030</v>
      </c>
      <c r="E558" s="25" t="inlineStr">
        <is>
          <t>H100/H200/A100 class</t>
        </is>
      </c>
      <c r="F558" s="5">
        <f>IFERROR(INDEX('02x_Accelerator_Catalog'!$C$2:$C$11,MATCH(E558,'02x_Accelerator_Catalog'!$B$2:$B$11,0)),"purpose_or_unbenchmarked")</f>
        <v/>
      </c>
      <c r="G558" s="8">
        <f>IFERROR(INDEX('02x_Accelerator_Catalog'!$D$2:$D$11,MATCH(E558,'02x_Accelerator_Catalog'!$B$2:$B$11,0)),"")</f>
        <v/>
      </c>
      <c r="H558" s="17" t="n">
        <v>0.1</v>
      </c>
      <c r="I558" s="6">
        <f>SUMIFS($H$2:$H$573,$B$2:$B$573,B558,$C$2:$C$573,C558,$D$2:$D$573,D558)</f>
        <v/>
      </c>
      <c r="J558" s="3" t="inlineStr">
        <is>
          <t>legacy_company_gpu_mix_fallback</t>
        </is>
      </c>
      <c r="K558" s="3" t="inlineStr">
        <is>
          <t>SRC_DEEPSEEK_V3; SRC_DEEPSEEK_R1; SRC_DEEPSEEK_H800_INFERENCE</t>
        </is>
      </c>
      <c r="L558" s="3" t="inlineStr">
        <is>
          <t>No CSP-level chip quantity seed was available; prior company-level GPU/ASIC mix is retained as fallback.</t>
        </is>
      </c>
    </row>
    <row r="559">
      <c r="A559" s="5">
        <f>B559&amp;"|"&amp;C559&amp;"|"&amp;D559&amp;"|"&amp;E559</f>
        <v/>
      </c>
      <c r="B559" s="3" t="inlineStr">
        <is>
          <t>Grid-Constrained / Efficiency-Upside</t>
        </is>
      </c>
      <c r="C559" s="3" t="inlineStr">
        <is>
          <t>Legacy company envelope - Tencent</t>
        </is>
      </c>
      <c r="D559" s="3" t="n">
        <v>2026</v>
      </c>
      <c r="E559" s="25" t="inlineStr">
        <is>
          <t>B200/B300 class</t>
        </is>
      </c>
      <c r="F559" s="5">
        <f>IFERROR(INDEX('02x_Accelerator_Catalog'!$C$2:$C$11,MATCH(E559,'02x_Accelerator_Catalog'!$B$2:$B$11,0)),"purpose_or_unbenchmarked")</f>
        <v/>
      </c>
      <c r="G559" s="8">
        <f>IFERROR(INDEX('02x_Accelerator_Catalog'!$D$2:$D$11,MATCH(E559,'02x_Accelerator_Catalog'!$B$2:$B$11,0)),"")</f>
        <v/>
      </c>
      <c r="H559" s="17" t="n">
        <v>0.4</v>
      </c>
      <c r="I559" s="6">
        <f>SUMIFS($H$2:$H$573,$B$2:$B$573,B559,$C$2:$C$573,C559,$D$2:$D$573,D559)</f>
        <v/>
      </c>
      <c r="J559" s="3" t="inlineStr">
        <is>
          <t>legacy_company_gpu_mix_fallback</t>
        </is>
      </c>
      <c r="K559" s="3" t="inlineStr">
        <is>
          <t>SRC_TENCENT_HUNYUAN; SRC_TENCENT_HY3; SRC_TENCENT_AI_INFRA_MOE</t>
        </is>
      </c>
      <c r="L559" s="3" t="inlineStr">
        <is>
          <t>No CSP-level chip quantity seed was available; prior company-level GPU/ASIC mix is retained as fallback.</t>
        </is>
      </c>
    </row>
    <row r="560">
      <c r="A560" s="5">
        <f>B560&amp;"|"&amp;C560&amp;"|"&amp;D560&amp;"|"&amp;E560</f>
        <v/>
      </c>
      <c r="B560" s="3" t="inlineStr">
        <is>
          <t>Grid-Constrained / Efficiency-Upside</t>
        </is>
      </c>
      <c r="C560" s="3" t="inlineStr">
        <is>
          <t>Legacy company envelope - Tencent</t>
        </is>
      </c>
      <c r="D560" s="3" t="n">
        <v>2026</v>
      </c>
      <c r="E560" s="25" t="inlineStr">
        <is>
          <t>GB200/GB300 class</t>
        </is>
      </c>
      <c r="F560" s="5">
        <f>IFERROR(INDEX('02x_Accelerator_Catalog'!$C$2:$C$11,MATCH(E560,'02x_Accelerator_Catalog'!$B$2:$B$11,0)),"purpose_or_unbenchmarked")</f>
        <v/>
      </c>
      <c r="G560" s="8">
        <f>IFERROR(INDEX('02x_Accelerator_Catalog'!$D$2:$D$11,MATCH(E560,'02x_Accelerator_Catalog'!$B$2:$B$11,0)),"")</f>
        <v/>
      </c>
      <c r="H560" s="17" t="n">
        <v>0.05</v>
      </c>
      <c r="I560" s="6">
        <f>SUMIFS($H$2:$H$573,$B$2:$B$573,B560,$C$2:$C$573,C560,$D$2:$D$573,D560)</f>
        <v/>
      </c>
      <c r="J560" s="3" t="inlineStr">
        <is>
          <t>legacy_company_gpu_mix_fallback</t>
        </is>
      </c>
      <c r="K560" s="3" t="inlineStr">
        <is>
          <t>SRC_TENCENT_HUNYUAN; SRC_TENCENT_HY3; SRC_TENCENT_AI_INFRA_MOE</t>
        </is>
      </c>
      <c r="L560" s="3" t="inlineStr">
        <is>
          <t>No CSP-level chip quantity seed was available; prior company-level GPU/ASIC mix is retained as fallback.</t>
        </is>
      </c>
    </row>
    <row r="561">
      <c r="A561" s="5">
        <f>B561&amp;"|"&amp;C561&amp;"|"&amp;D561&amp;"|"&amp;E561</f>
        <v/>
      </c>
      <c r="B561" s="3" t="inlineStr">
        <is>
          <t>Grid-Constrained / Efficiency-Upside</t>
        </is>
      </c>
      <c r="C561" s="3" t="inlineStr">
        <is>
          <t>Legacy company envelope - Tencent</t>
        </is>
      </c>
      <c r="D561" s="3" t="n">
        <v>2026</v>
      </c>
      <c r="E561" s="25" t="inlineStr">
        <is>
          <t>H100/H200/A100 class</t>
        </is>
      </c>
      <c r="F561" s="5">
        <f>IFERROR(INDEX('02x_Accelerator_Catalog'!$C$2:$C$11,MATCH(E561,'02x_Accelerator_Catalog'!$B$2:$B$11,0)),"purpose_or_unbenchmarked")</f>
        <v/>
      </c>
      <c r="G561" s="8">
        <f>IFERROR(INDEX('02x_Accelerator_Catalog'!$D$2:$D$11,MATCH(E561,'02x_Accelerator_Catalog'!$B$2:$B$11,0)),"")</f>
        <v/>
      </c>
      <c r="H561" s="17" t="n">
        <v>0.55</v>
      </c>
      <c r="I561" s="6">
        <f>SUMIFS($H$2:$H$573,$B$2:$B$573,B561,$C$2:$C$573,C561,$D$2:$D$573,D561)</f>
        <v/>
      </c>
      <c r="J561" s="3" t="inlineStr">
        <is>
          <t>legacy_company_gpu_mix_fallback</t>
        </is>
      </c>
      <c r="K561" s="3" t="inlineStr">
        <is>
          <t>SRC_TENCENT_HUNYUAN; SRC_TENCENT_HY3; SRC_TENCENT_AI_INFRA_MOE</t>
        </is>
      </c>
      <c r="L561" s="3" t="inlineStr">
        <is>
          <t>No CSP-level chip quantity seed was available; prior company-level GPU/ASIC mix is retained as fallback.</t>
        </is>
      </c>
    </row>
    <row r="562">
      <c r="A562" s="5">
        <f>B562&amp;"|"&amp;C562&amp;"|"&amp;D562&amp;"|"&amp;E562</f>
        <v/>
      </c>
      <c r="B562" s="3" t="inlineStr">
        <is>
          <t>Grid-Constrained / Efficiency-Upside</t>
        </is>
      </c>
      <c r="C562" s="3" t="inlineStr">
        <is>
          <t>Legacy company envelope - Tencent</t>
        </is>
      </c>
      <c r="D562" s="3" t="n">
        <v>2027</v>
      </c>
      <c r="E562" s="25" t="inlineStr">
        <is>
          <t>B200/B300 class</t>
        </is>
      </c>
      <c r="F562" s="5">
        <f>IFERROR(INDEX('02x_Accelerator_Catalog'!$C$2:$C$11,MATCH(E562,'02x_Accelerator_Catalog'!$B$2:$B$11,0)),"purpose_or_unbenchmarked")</f>
        <v/>
      </c>
      <c r="G562" s="8">
        <f>IFERROR(INDEX('02x_Accelerator_Catalog'!$D$2:$D$11,MATCH(E562,'02x_Accelerator_Catalog'!$B$2:$B$11,0)),"")</f>
        <v/>
      </c>
      <c r="H562" s="17" t="n">
        <v>0.388</v>
      </c>
      <c r="I562" s="6">
        <f>SUMIFS($H$2:$H$573,$B$2:$B$573,B562,$C$2:$C$573,C562,$D$2:$D$573,D562)</f>
        <v/>
      </c>
      <c r="J562" s="3" t="inlineStr">
        <is>
          <t>legacy_company_gpu_mix_fallback</t>
        </is>
      </c>
      <c r="K562" s="3" t="inlineStr">
        <is>
          <t>SRC_TENCENT_HUNYUAN; SRC_TENCENT_HY3; SRC_TENCENT_AI_INFRA_MOE</t>
        </is>
      </c>
      <c r="L562" s="3" t="inlineStr">
        <is>
          <t>No CSP-level chip quantity seed was available; prior company-level GPU/ASIC mix is retained as fallback.</t>
        </is>
      </c>
    </row>
    <row r="563">
      <c r="A563" s="5">
        <f>B563&amp;"|"&amp;C563&amp;"|"&amp;D563&amp;"|"&amp;E563</f>
        <v/>
      </c>
      <c r="B563" s="3" t="inlineStr">
        <is>
          <t>Grid-Constrained / Efficiency-Upside</t>
        </is>
      </c>
      <c r="C563" s="3" t="inlineStr">
        <is>
          <t>Legacy company envelope - Tencent</t>
        </is>
      </c>
      <c r="D563" s="3" t="n">
        <v>2027</v>
      </c>
      <c r="E563" s="25" t="inlineStr">
        <is>
          <t>GB200/GB300 class</t>
        </is>
      </c>
      <c r="F563" s="5">
        <f>IFERROR(INDEX('02x_Accelerator_Catalog'!$C$2:$C$11,MATCH(E563,'02x_Accelerator_Catalog'!$B$2:$B$11,0)),"purpose_or_unbenchmarked")</f>
        <v/>
      </c>
      <c r="G563" s="8">
        <f>IFERROR(INDEX('02x_Accelerator_Catalog'!$D$2:$D$11,MATCH(E563,'02x_Accelerator_Catalog'!$B$2:$B$11,0)),"")</f>
        <v/>
      </c>
      <c r="H563" s="17" t="n">
        <v>0.174</v>
      </c>
      <c r="I563" s="6">
        <f>SUMIFS($H$2:$H$573,$B$2:$B$573,B563,$C$2:$C$573,C563,$D$2:$D$573,D563)</f>
        <v/>
      </c>
      <c r="J563" s="3" t="inlineStr">
        <is>
          <t>legacy_company_gpu_mix_fallback</t>
        </is>
      </c>
      <c r="K563" s="3" t="inlineStr">
        <is>
          <t>SRC_TENCENT_HUNYUAN; SRC_TENCENT_HY3; SRC_TENCENT_AI_INFRA_MOE</t>
        </is>
      </c>
      <c r="L563" s="3" t="inlineStr">
        <is>
          <t>No CSP-level chip quantity seed was available; prior company-level GPU/ASIC mix is retained as fallback.</t>
        </is>
      </c>
    </row>
    <row r="564">
      <c r="A564" s="5">
        <f>B564&amp;"|"&amp;C564&amp;"|"&amp;D564&amp;"|"&amp;E564</f>
        <v/>
      </c>
      <c r="B564" s="3" t="inlineStr">
        <is>
          <t>Grid-Constrained / Efficiency-Upside</t>
        </is>
      </c>
      <c r="C564" s="3" t="inlineStr">
        <is>
          <t>Legacy company envelope - Tencent</t>
        </is>
      </c>
      <c r="D564" s="3" t="n">
        <v>2027</v>
      </c>
      <c r="E564" s="25" t="inlineStr">
        <is>
          <t>H100/H200/A100 class</t>
        </is>
      </c>
      <c r="F564" s="5">
        <f>IFERROR(INDEX('02x_Accelerator_Catalog'!$C$2:$C$11,MATCH(E564,'02x_Accelerator_Catalog'!$B$2:$B$11,0)),"purpose_or_unbenchmarked")</f>
        <v/>
      </c>
      <c r="G564" s="8">
        <f>IFERROR(INDEX('02x_Accelerator_Catalog'!$D$2:$D$11,MATCH(E564,'02x_Accelerator_Catalog'!$B$2:$B$11,0)),"")</f>
        <v/>
      </c>
      <c r="H564" s="17" t="n">
        <v>0.438</v>
      </c>
      <c r="I564" s="6">
        <f>SUMIFS($H$2:$H$573,$B$2:$B$573,B564,$C$2:$C$573,C564,$D$2:$D$573,D564)</f>
        <v/>
      </c>
      <c r="J564" s="3" t="inlineStr">
        <is>
          <t>legacy_company_gpu_mix_fallback</t>
        </is>
      </c>
      <c r="K564" s="3" t="inlineStr">
        <is>
          <t>SRC_TENCENT_HUNYUAN; SRC_TENCENT_HY3; SRC_TENCENT_AI_INFRA_MOE</t>
        </is>
      </c>
      <c r="L564" s="3" t="inlineStr">
        <is>
          <t>No CSP-level chip quantity seed was available; prior company-level GPU/ASIC mix is retained as fallback.</t>
        </is>
      </c>
    </row>
    <row r="565">
      <c r="A565" s="5">
        <f>B565&amp;"|"&amp;C565&amp;"|"&amp;D565&amp;"|"&amp;E565</f>
        <v/>
      </c>
      <c r="B565" s="3" t="inlineStr">
        <is>
          <t>Grid-Constrained / Efficiency-Upside</t>
        </is>
      </c>
      <c r="C565" s="3" t="inlineStr">
        <is>
          <t>Legacy company envelope - Tencent</t>
        </is>
      </c>
      <c r="D565" s="3" t="n">
        <v>2028</v>
      </c>
      <c r="E565" s="25" t="inlineStr">
        <is>
          <t>B200/B300 class</t>
        </is>
      </c>
      <c r="F565" s="5">
        <f>IFERROR(INDEX('02x_Accelerator_Catalog'!$C$2:$C$11,MATCH(E565,'02x_Accelerator_Catalog'!$B$2:$B$11,0)),"purpose_or_unbenchmarked")</f>
        <v/>
      </c>
      <c r="G565" s="8">
        <f>IFERROR(INDEX('02x_Accelerator_Catalog'!$D$2:$D$11,MATCH(E565,'02x_Accelerator_Catalog'!$B$2:$B$11,0)),"")</f>
        <v/>
      </c>
      <c r="H565" s="17" t="n">
        <v>0.375</v>
      </c>
      <c r="I565" s="6">
        <f>SUMIFS($H$2:$H$573,$B$2:$B$573,B565,$C$2:$C$573,C565,$D$2:$D$573,D565)</f>
        <v/>
      </c>
      <c r="J565" s="3" t="inlineStr">
        <is>
          <t>legacy_company_gpu_mix_fallback</t>
        </is>
      </c>
      <c r="K565" s="3" t="inlineStr">
        <is>
          <t>SRC_TENCENT_HUNYUAN; SRC_TENCENT_HY3; SRC_TENCENT_AI_INFRA_MOE</t>
        </is>
      </c>
      <c r="L565" s="3" t="inlineStr">
        <is>
          <t>No CSP-level chip quantity seed was available; prior company-level GPU/ASIC mix is retained as fallback.</t>
        </is>
      </c>
    </row>
    <row r="566">
      <c r="A566" s="5">
        <f>B566&amp;"|"&amp;C566&amp;"|"&amp;D566&amp;"|"&amp;E566</f>
        <v/>
      </c>
      <c r="B566" s="3" t="inlineStr">
        <is>
          <t>Grid-Constrained / Efficiency-Upside</t>
        </is>
      </c>
      <c r="C566" s="3" t="inlineStr">
        <is>
          <t>Legacy company envelope - Tencent</t>
        </is>
      </c>
      <c r="D566" s="3" t="n">
        <v>2028</v>
      </c>
      <c r="E566" s="25" t="inlineStr">
        <is>
          <t>GB200/GB300 class</t>
        </is>
      </c>
      <c r="F566" s="5">
        <f>IFERROR(INDEX('02x_Accelerator_Catalog'!$C$2:$C$11,MATCH(E566,'02x_Accelerator_Catalog'!$B$2:$B$11,0)),"purpose_or_unbenchmarked")</f>
        <v/>
      </c>
      <c r="G566" s="8">
        <f>IFERROR(INDEX('02x_Accelerator_Catalog'!$D$2:$D$11,MATCH(E566,'02x_Accelerator_Catalog'!$B$2:$B$11,0)),"")</f>
        <v/>
      </c>
      <c r="H566" s="17" t="n">
        <v>0.3</v>
      </c>
      <c r="I566" s="6">
        <f>SUMIFS($H$2:$H$573,$B$2:$B$573,B566,$C$2:$C$573,C566,$D$2:$D$573,D566)</f>
        <v/>
      </c>
      <c r="J566" s="3" t="inlineStr">
        <is>
          <t>legacy_company_gpu_mix_fallback</t>
        </is>
      </c>
      <c r="K566" s="3" t="inlineStr">
        <is>
          <t>SRC_TENCENT_HUNYUAN; SRC_TENCENT_HY3; SRC_TENCENT_AI_INFRA_MOE</t>
        </is>
      </c>
      <c r="L566" s="3" t="inlineStr">
        <is>
          <t>No CSP-level chip quantity seed was available; prior company-level GPU/ASIC mix is retained as fallback.</t>
        </is>
      </c>
    </row>
    <row r="567">
      <c r="A567" s="5">
        <f>B567&amp;"|"&amp;C567&amp;"|"&amp;D567&amp;"|"&amp;E567</f>
        <v/>
      </c>
      <c r="B567" s="3" t="inlineStr">
        <is>
          <t>Grid-Constrained / Efficiency-Upside</t>
        </is>
      </c>
      <c r="C567" s="3" t="inlineStr">
        <is>
          <t>Legacy company envelope - Tencent</t>
        </is>
      </c>
      <c r="D567" s="3" t="n">
        <v>2028</v>
      </c>
      <c r="E567" s="25" t="inlineStr">
        <is>
          <t>H100/H200/A100 class</t>
        </is>
      </c>
      <c r="F567" s="5">
        <f>IFERROR(INDEX('02x_Accelerator_Catalog'!$C$2:$C$11,MATCH(E567,'02x_Accelerator_Catalog'!$B$2:$B$11,0)),"purpose_or_unbenchmarked")</f>
        <v/>
      </c>
      <c r="G567" s="8">
        <f>IFERROR(INDEX('02x_Accelerator_Catalog'!$D$2:$D$11,MATCH(E567,'02x_Accelerator_Catalog'!$B$2:$B$11,0)),"")</f>
        <v/>
      </c>
      <c r="H567" s="17" t="n">
        <v>0.325</v>
      </c>
      <c r="I567" s="6">
        <f>SUMIFS($H$2:$H$573,$B$2:$B$573,B567,$C$2:$C$573,C567,$D$2:$D$573,D567)</f>
        <v/>
      </c>
      <c r="J567" s="3" t="inlineStr">
        <is>
          <t>legacy_company_gpu_mix_fallback</t>
        </is>
      </c>
      <c r="K567" s="3" t="inlineStr">
        <is>
          <t>SRC_TENCENT_HUNYUAN; SRC_TENCENT_HY3; SRC_TENCENT_AI_INFRA_MOE</t>
        </is>
      </c>
      <c r="L567" s="3" t="inlineStr">
        <is>
          <t>No CSP-level chip quantity seed was available; prior company-level GPU/ASIC mix is retained as fallback.</t>
        </is>
      </c>
    </row>
    <row r="568">
      <c r="A568" s="5">
        <f>B568&amp;"|"&amp;C568&amp;"|"&amp;D568&amp;"|"&amp;E568</f>
        <v/>
      </c>
      <c r="B568" s="3" t="inlineStr">
        <is>
          <t>Grid-Constrained / Efficiency-Upside</t>
        </is>
      </c>
      <c r="C568" s="3" t="inlineStr">
        <is>
          <t>Legacy company envelope - Tencent</t>
        </is>
      </c>
      <c r="D568" s="3" t="n">
        <v>2029</v>
      </c>
      <c r="E568" s="25" t="inlineStr">
        <is>
          <t>B200/B300 class</t>
        </is>
      </c>
      <c r="F568" s="5">
        <f>IFERROR(INDEX('02x_Accelerator_Catalog'!$C$2:$C$11,MATCH(E568,'02x_Accelerator_Catalog'!$B$2:$B$11,0)),"purpose_or_unbenchmarked")</f>
        <v/>
      </c>
      <c r="G568" s="8">
        <f>IFERROR(INDEX('02x_Accelerator_Catalog'!$D$2:$D$11,MATCH(E568,'02x_Accelerator_Catalog'!$B$2:$B$11,0)),"")</f>
        <v/>
      </c>
      <c r="H568" s="17" t="n">
        <v>0.362</v>
      </c>
      <c r="I568" s="6">
        <f>SUMIFS($H$2:$H$573,$B$2:$B$573,B568,$C$2:$C$573,C568,$D$2:$D$573,D568)</f>
        <v/>
      </c>
      <c r="J568" s="3" t="inlineStr">
        <is>
          <t>legacy_company_gpu_mix_fallback</t>
        </is>
      </c>
      <c r="K568" s="3" t="inlineStr">
        <is>
          <t>SRC_TENCENT_HUNYUAN; SRC_TENCENT_HY3; SRC_TENCENT_AI_INFRA_MOE</t>
        </is>
      </c>
      <c r="L568" s="3" t="inlineStr">
        <is>
          <t>No CSP-level chip quantity seed was available; prior company-level GPU/ASIC mix is retained as fallback.</t>
        </is>
      </c>
    </row>
    <row r="569">
      <c r="A569" s="5">
        <f>B569&amp;"|"&amp;C569&amp;"|"&amp;D569&amp;"|"&amp;E569</f>
        <v/>
      </c>
      <c r="B569" s="3" t="inlineStr">
        <is>
          <t>Grid-Constrained / Efficiency-Upside</t>
        </is>
      </c>
      <c r="C569" s="3" t="inlineStr">
        <is>
          <t>Legacy company envelope - Tencent</t>
        </is>
      </c>
      <c r="D569" s="3" t="n">
        <v>2029</v>
      </c>
      <c r="E569" s="25" t="inlineStr">
        <is>
          <t>GB200/GB300 class</t>
        </is>
      </c>
      <c r="F569" s="5">
        <f>IFERROR(INDEX('02x_Accelerator_Catalog'!$C$2:$C$11,MATCH(E569,'02x_Accelerator_Catalog'!$B$2:$B$11,0)),"purpose_or_unbenchmarked")</f>
        <v/>
      </c>
      <c r="G569" s="8">
        <f>IFERROR(INDEX('02x_Accelerator_Catalog'!$D$2:$D$11,MATCH(E569,'02x_Accelerator_Catalog'!$B$2:$B$11,0)),"")</f>
        <v/>
      </c>
      <c r="H569" s="17" t="n">
        <v>0.425</v>
      </c>
      <c r="I569" s="6">
        <f>SUMIFS($H$2:$H$573,$B$2:$B$573,B569,$C$2:$C$573,C569,$D$2:$D$573,D569)</f>
        <v/>
      </c>
      <c r="J569" s="3" t="inlineStr">
        <is>
          <t>legacy_company_gpu_mix_fallback</t>
        </is>
      </c>
      <c r="K569" s="3" t="inlineStr">
        <is>
          <t>SRC_TENCENT_HUNYUAN; SRC_TENCENT_HY3; SRC_TENCENT_AI_INFRA_MOE</t>
        </is>
      </c>
      <c r="L569" s="3" t="inlineStr">
        <is>
          <t>No CSP-level chip quantity seed was available; prior company-level GPU/ASIC mix is retained as fallback.</t>
        </is>
      </c>
    </row>
    <row r="570">
      <c r="A570" s="5">
        <f>B570&amp;"|"&amp;C570&amp;"|"&amp;D570&amp;"|"&amp;E570</f>
        <v/>
      </c>
      <c r="B570" s="3" t="inlineStr">
        <is>
          <t>Grid-Constrained / Efficiency-Upside</t>
        </is>
      </c>
      <c r="C570" s="3" t="inlineStr">
        <is>
          <t>Legacy company envelope - Tencent</t>
        </is>
      </c>
      <c r="D570" s="3" t="n">
        <v>2029</v>
      </c>
      <c r="E570" s="25" t="inlineStr">
        <is>
          <t>H100/H200/A100 class</t>
        </is>
      </c>
      <c r="F570" s="5">
        <f>IFERROR(INDEX('02x_Accelerator_Catalog'!$C$2:$C$11,MATCH(E570,'02x_Accelerator_Catalog'!$B$2:$B$11,0)),"purpose_or_unbenchmarked")</f>
        <v/>
      </c>
      <c r="G570" s="8">
        <f>IFERROR(INDEX('02x_Accelerator_Catalog'!$D$2:$D$11,MATCH(E570,'02x_Accelerator_Catalog'!$B$2:$B$11,0)),"")</f>
        <v/>
      </c>
      <c r="H570" s="17" t="n">
        <v>0.213</v>
      </c>
      <c r="I570" s="6">
        <f>SUMIFS($H$2:$H$573,$B$2:$B$573,B570,$C$2:$C$573,C570,$D$2:$D$573,D570)</f>
        <v/>
      </c>
      <c r="J570" s="3" t="inlineStr">
        <is>
          <t>legacy_company_gpu_mix_fallback</t>
        </is>
      </c>
      <c r="K570" s="3" t="inlineStr">
        <is>
          <t>SRC_TENCENT_HUNYUAN; SRC_TENCENT_HY3; SRC_TENCENT_AI_INFRA_MOE</t>
        </is>
      </c>
      <c r="L570" s="3" t="inlineStr">
        <is>
          <t>No CSP-level chip quantity seed was available; prior company-level GPU/ASIC mix is retained as fallback.</t>
        </is>
      </c>
    </row>
    <row r="571">
      <c r="A571" s="5">
        <f>B571&amp;"|"&amp;C571&amp;"|"&amp;D571&amp;"|"&amp;E571</f>
        <v/>
      </c>
      <c r="B571" s="3" t="inlineStr">
        <is>
          <t>Grid-Constrained / Efficiency-Upside</t>
        </is>
      </c>
      <c r="C571" s="3" t="inlineStr">
        <is>
          <t>Legacy company envelope - Tencent</t>
        </is>
      </c>
      <c r="D571" s="3" t="n">
        <v>2030</v>
      </c>
      <c r="E571" s="25" t="inlineStr">
        <is>
          <t>B200/B300 class</t>
        </is>
      </c>
      <c r="F571" s="5">
        <f>IFERROR(INDEX('02x_Accelerator_Catalog'!$C$2:$C$11,MATCH(E571,'02x_Accelerator_Catalog'!$B$2:$B$11,0)),"purpose_or_unbenchmarked")</f>
        <v/>
      </c>
      <c r="G571" s="8">
        <f>IFERROR(INDEX('02x_Accelerator_Catalog'!$D$2:$D$11,MATCH(E571,'02x_Accelerator_Catalog'!$B$2:$B$11,0)),"")</f>
        <v/>
      </c>
      <c r="H571" s="17" t="n">
        <v>0.35</v>
      </c>
      <c r="I571" s="6">
        <f>SUMIFS($H$2:$H$573,$B$2:$B$573,B571,$C$2:$C$573,C571,$D$2:$D$573,D571)</f>
        <v/>
      </c>
      <c r="J571" s="3" t="inlineStr">
        <is>
          <t>legacy_company_gpu_mix_fallback</t>
        </is>
      </c>
      <c r="K571" s="3" t="inlineStr">
        <is>
          <t>SRC_TENCENT_HUNYUAN; SRC_TENCENT_HY3; SRC_TENCENT_AI_INFRA_MOE</t>
        </is>
      </c>
      <c r="L571" s="3" t="inlineStr">
        <is>
          <t>No CSP-level chip quantity seed was available; prior company-level GPU/ASIC mix is retained as fallback.</t>
        </is>
      </c>
    </row>
    <row r="572">
      <c r="A572" s="5">
        <f>B572&amp;"|"&amp;C572&amp;"|"&amp;D572&amp;"|"&amp;E572</f>
        <v/>
      </c>
      <c r="B572" s="3" t="inlineStr">
        <is>
          <t>Grid-Constrained / Efficiency-Upside</t>
        </is>
      </c>
      <c r="C572" s="3" t="inlineStr">
        <is>
          <t>Legacy company envelope - Tencent</t>
        </is>
      </c>
      <c r="D572" s="3" t="n">
        <v>2030</v>
      </c>
      <c r="E572" s="25" t="inlineStr">
        <is>
          <t>GB200/GB300 class</t>
        </is>
      </c>
      <c r="F572" s="5">
        <f>IFERROR(INDEX('02x_Accelerator_Catalog'!$C$2:$C$11,MATCH(E572,'02x_Accelerator_Catalog'!$B$2:$B$11,0)),"purpose_or_unbenchmarked")</f>
        <v/>
      </c>
      <c r="G572" s="8">
        <f>IFERROR(INDEX('02x_Accelerator_Catalog'!$D$2:$D$11,MATCH(E572,'02x_Accelerator_Catalog'!$B$2:$B$11,0)),"")</f>
        <v/>
      </c>
      <c r="H572" s="17" t="n">
        <v>0.55</v>
      </c>
      <c r="I572" s="6">
        <f>SUMIFS($H$2:$H$573,$B$2:$B$573,B572,$C$2:$C$573,C572,$D$2:$D$573,D572)</f>
        <v/>
      </c>
      <c r="J572" s="3" t="inlineStr">
        <is>
          <t>legacy_company_gpu_mix_fallback</t>
        </is>
      </c>
      <c r="K572" s="3" t="inlineStr">
        <is>
          <t>SRC_TENCENT_HUNYUAN; SRC_TENCENT_HY3; SRC_TENCENT_AI_INFRA_MOE</t>
        </is>
      </c>
      <c r="L572" s="3" t="inlineStr">
        <is>
          <t>No CSP-level chip quantity seed was available; prior company-level GPU/ASIC mix is retained as fallback.</t>
        </is>
      </c>
    </row>
    <row r="573">
      <c r="A573" s="5">
        <f>B573&amp;"|"&amp;C573&amp;"|"&amp;D573&amp;"|"&amp;E573</f>
        <v/>
      </c>
      <c r="B573" s="3" t="inlineStr">
        <is>
          <t>Grid-Constrained / Efficiency-Upside</t>
        </is>
      </c>
      <c r="C573" s="3" t="inlineStr">
        <is>
          <t>Legacy company envelope - Tencent</t>
        </is>
      </c>
      <c r="D573" s="3" t="n">
        <v>2030</v>
      </c>
      <c r="E573" s="25" t="inlineStr">
        <is>
          <t>H100/H200/A100 class</t>
        </is>
      </c>
      <c r="F573" s="5">
        <f>IFERROR(INDEX('02x_Accelerator_Catalog'!$C$2:$C$11,MATCH(E573,'02x_Accelerator_Catalog'!$B$2:$B$11,0)),"purpose_or_unbenchmarked")</f>
        <v/>
      </c>
      <c r="G573" s="8">
        <f>IFERROR(INDEX('02x_Accelerator_Catalog'!$D$2:$D$11,MATCH(E573,'02x_Accelerator_Catalog'!$B$2:$B$11,0)),"")</f>
        <v/>
      </c>
      <c r="H573" s="17" t="n">
        <v>0.1</v>
      </c>
      <c r="I573" s="6">
        <f>SUMIFS($H$2:$H$573,$B$2:$B$573,B573,$C$2:$C$573,C573,$D$2:$D$573,D573)</f>
        <v/>
      </c>
      <c r="J573" s="3" t="inlineStr">
        <is>
          <t>legacy_company_gpu_mix_fallback</t>
        </is>
      </c>
      <c r="K573" s="3" t="inlineStr">
        <is>
          <t>SRC_TENCENT_HUNYUAN; SRC_TENCENT_HY3; SRC_TENCENT_AI_INFRA_MOE</t>
        </is>
      </c>
      <c r="L573" s="3" t="inlineStr">
        <is>
          <t>No CSP-level chip quantity seed was available; prior company-level GPU/ASIC mix is retained as fallback.</t>
        </is>
      </c>
    </row>
  </sheetData>
  <autoFilter ref="A1:L5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32" customWidth="1" min="2" max="2"/>
    <col width="32" customWidth="1" min="3" max="3"/>
    <col width="32" customWidth="1" min="4" max="4"/>
    <col width="30" customWidth="1" min="5" max="5"/>
    <col width="38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8" customWidth="1" min="12" max="12"/>
    <col width="25" customWidth="1" min="13" max="13"/>
    <col width="35" customWidth="1" min="14" max="14"/>
    <col width="32" customWidth="1" min="15" max="15"/>
    <col width="76" customWidth="1" min="16" max="16"/>
  </cols>
  <sheetData>
    <row r="1">
      <c r="A1" s="4" t="inlineStr">
        <is>
          <t>normalized_key</t>
        </is>
      </c>
      <c r="B1" s="4" t="inlineStr">
        <is>
          <t>scenario</t>
        </is>
      </c>
      <c r="C1" s="4" t="inlineStr">
        <is>
          <t>company</t>
        </is>
      </c>
      <c r="D1" s="4" t="inlineStr">
        <is>
          <t>year</t>
        </is>
      </c>
      <c r="E1" s="4" t="inlineStr">
        <is>
          <t>csp</t>
        </is>
      </c>
      <c r="F1" s="4" t="inlineStr">
        <is>
          <t>company_inference_power_mw</t>
        </is>
      </c>
      <c r="G1" s="4" t="inlineStr">
        <is>
          <t>csp_total_power_mw</t>
        </is>
      </c>
      <c r="H1" s="4" t="inlineStr">
        <is>
          <t>ai_contract_share_of_csp</t>
        </is>
      </c>
      <c r="I1" s="4" t="inlineStr">
        <is>
          <t>ai_contract_power_mw</t>
        </is>
      </c>
      <c r="J1" s="4" t="inlineStr">
        <is>
          <t>inference_share</t>
        </is>
      </c>
      <c r="K1" s="4" t="inlineStr">
        <is>
          <t>contract_inference_weight_mw</t>
        </is>
      </c>
      <c r="L1" s="4" t="inlineStr">
        <is>
          <t>company_contract_inference_weight_mw</t>
        </is>
      </c>
      <c r="M1" s="4" t="inlineStr">
        <is>
          <t>normalized_csp_share</t>
        </is>
      </c>
      <c r="N1" s="4" t="inlineStr">
        <is>
          <t>normalized_csp_inference_power_mw</t>
        </is>
      </c>
      <c r="O1" s="4" t="inlineStr">
        <is>
          <t>source_type</t>
        </is>
      </c>
      <c r="P1" s="4" t="inlineStr">
        <is>
          <t>note</t>
        </is>
      </c>
    </row>
    <row r="2">
      <c r="A2" s="5">
        <f>'02a_CSP_Contract_Alloc'!A2</f>
        <v/>
      </c>
      <c r="B2" s="5">
        <f>'02a_CSP_Contract_Alloc'!B2</f>
        <v/>
      </c>
      <c r="C2" s="5">
        <f>'02a_CSP_Contract_Alloc'!C2</f>
        <v/>
      </c>
      <c r="D2" s="5">
        <f>'02a_CSP_Contract_Alloc'!D2</f>
        <v/>
      </c>
      <c r="E2" s="5">
        <f>'02a_CSP_Contract_Alloc'!E2</f>
        <v/>
      </c>
      <c r="F2" s="28">
        <f>SUMPRODUCT(('02_Inputs'!$A$2:$A$181=B2)*('02_Inputs'!$B$2:$B$181=C2)*('02_Inputs'!$C$2:$C$181=D2)*'02_Inputs'!$D$2:$D$181*'02_Inputs'!$E$2:$E$181/'02_Inputs'!$F$2:$F$181*'02_Inputs'!$G$2:$G$181*'02_Inputs'!$H$2:$H$181*1000)</f>
        <v/>
      </c>
      <c r="G2" s="28">
        <f>'02a_CSP_Contract_Alloc'!F2</f>
        <v/>
      </c>
      <c r="H2" s="6">
        <f>'02a_CSP_Contract_Alloc'!G2</f>
        <v/>
      </c>
      <c r="I2" s="28">
        <f>'02a_CSP_Contract_Alloc'!H2</f>
        <v/>
      </c>
      <c r="J2" s="6">
        <f>'02a_CSP_Contract_Alloc'!I2</f>
        <v/>
      </c>
      <c r="K2" s="28">
        <f>'02a_CSP_Contract_Alloc'!K2</f>
        <v/>
      </c>
      <c r="L2" s="28">
        <f>SUMIFS('02a_CSP_Contract_Alloc'!$K$2:$K$305,'02a_CSP_Contract_Alloc'!$B$2:$B$305,B2,'02a_CSP_Contract_Alloc'!$C$2:$C$305,C2,'02a_CSP_Contract_Alloc'!$D$2:$D$305,D2)</f>
        <v/>
      </c>
      <c r="M2" s="6">
        <f>IF(L2&gt;0,K2/L2,0)</f>
        <v/>
      </c>
      <c r="N2" s="28">
        <f>F2*M2</f>
        <v/>
      </c>
      <c r="O2" s="5">
        <f>'02a_CSP_Contract_Alloc'!L2</f>
        <v/>
      </c>
      <c r="P2" s="5" t="inlineStr">
        <is>
          <t>AI company inference power is normalized across CSPs by CSP total power * AI contract share * inference share.</t>
        </is>
      </c>
    </row>
    <row r="3">
      <c r="A3" s="5">
        <f>'02a_CSP_Contract_Alloc'!A3</f>
        <v/>
      </c>
      <c r="B3" s="5">
        <f>'02a_CSP_Contract_Alloc'!B3</f>
        <v/>
      </c>
      <c r="C3" s="5">
        <f>'02a_CSP_Contract_Alloc'!C3</f>
        <v/>
      </c>
      <c r="D3" s="5">
        <f>'02a_CSP_Contract_Alloc'!D3</f>
        <v/>
      </c>
      <c r="E3" s="5">
        <f>'02a_CSP_Contract_Alloc'!E3</f>
        <v/>
      </c>
      <c r="F3" s="28">
        <f>SUMPRODUCT(('02_Inputs'!$A$2:$A$181=B3)*('02_Inputs'!$B$2:$B$181=C3)*('02_Inputs'!$C$2:$C$181=D3)*'02_Inputs'!$D$2:$D$181*'02_Inputs'!$E$2:$E$181/'02_Inputs'!$F$2:$F$181*'02_Inputs'!$G$2:$G$181*'02_Inputs'!$H$2:$H$181*1000)</f>
        <v/>
      </c>
      <c r="G3" s="28">
        <f>'02a_CSP_Contract_Alloc'!F3</f>
        <v/>
      </c>
      <c r="H3" s="6">
        <f>'02a_CSP_Contract_Alloc'!G3</f>
        <v/>
      </c>
      <c r="I3" s="28">
        <f>'02a_CSP_Contract_Alloc'!H3</f>
        <v/>
      </c>
      <c r="J3" s="6">
        <f>'02a_CSP_Contract_Alloc'!I3</f>
        <v/>
      </c>
      <c r="K3" s="28">
        <f>'02a_CSP_Contract_Alloc'!K3</f>
        <v/>
      </c>
      <c r="L3" s="28">
        <f>SUMIFS('02a_CSP_Contract_Alloc'!$K$2:$K$305,'02a_CSP_Contract_Alloc'!$B$2:$B$305,B3,'02a_CSP_Contract_Alloc'!$C$2:$C$305,C3,'02a_CSP_Contract_Alloc'!$D$2:$D$305,D3)</f>
        <v/>
      </c>
      <c r="M3" s="6">
        <f>IF(L3&gt;0,K3/L3,0)</f>
        <v/>
      </c>
      <c r="N3" s="28">
        <f>F3*M3</f>
        <v/>
      </c>
      <c r="O3" s="5">
        <f>'02a_CSP_Contract_Alloc'!L3</f>
        <v/>
      </c>
      <c r="P3" s="5" t="inlineStr">
        <is>
          <t>AI company inference power is normalized across CSPs by CSP total power * AI contract share * inference share.</t>
        </is>
      </c>
    </row>
    <row r="4">
      <c r="A4" s="5">
        <f>'02a_CSP_Contract_Alloc'!A4</f>
        <v/>
      </c>
      <c r="B4" s="5">
        <f>'02a_CSP_Contract_Alloc'!B4</f>
        <v/>
      </c>
      <c r="C4" s="5">
        <f>'02a_CSP_Contract_Alloc'!C4</f>
        <v/>
      </c>
      <c r="D4" s="5">
        <f>'02a_CSP_Contract_Alloc'!D4</f>
        <v/>
      </c>
      <c r="E4" s="5">
        <f>'02a_CSP_Contract_Alloc'!E4</f>
        <v/>
      </c>
      <c r="F4" s="28">
        <f>SUMPRODUCT(('02_Inputs'!$A$2:$A$181=B4)*('02_Inputs'!$B$2:$B$181=C4)*('02_Inputs'!$C$2:$C$181=D4)*'02_Inputs'!$D$2:$D$181*'02_Inputs'!$E$2:$E$181/'02_Inputs'!$F$2:$F$181*'02_Inputs'!$G$2:$G$181*'02_Inputs'!$H$2:$H$181*1000)</f>
        <v/>
      </c>
      <c r="G4" s="28">
        <f>'02a_CSP_Contract_Alloc'!F4</f>
        <v/>
      </c>
      <c r="H4" s="6">
        <f>'02a_CSP_Contract_Alloc'!G4</f>
        <v/>
      </c>
      <c r="I4" s="28">
        <f>'02a_CSP_Contract_Alloc'!H4</f>
        <v/>
      </c>
      <c r="J4" s="6">
        <f>'02a_CSP_Contract_Alloc'!I4</f>
        <v/>
      </c>
      <c r="K4" s="28">
        <f>'02a_CSP_Contract_Alloc'!K4</f>
        <v/>
      </c>
      <c r="L4" s="28">
        <f>SUMIFS('02a_CSP_Contract_Alloc'!$K$2:$K$305,'02a_CSP_Contract_Alloc'!$B$2:$B$305,B4,'02a_CSP_Contract_Alloc'!$C$2:$C$305,C4,'02a_CSP_Contract_Alloc'!$D$2:$D$305,D4)</f>
        <v/>
      </c>
      <c r="M4" s="6">
        <f>IF(L4&gt;0,K4/L4,0)</f>
        <v/>
      </c>
      <c r="N4" s="28">
        <f>F4*M4</f>
        <v/>
      </c>
      <c r="O4" s="5">
        <f>'02a_CSP_Contract_Alloc'!L4</f>
        <v/>
      </c>
      <c r="P4" s="5" t="inlineStr">
        <is>
          <t>AI company inference power is normalized across CSPs by CSP total power * AI contract share * inference share.</t>
        </is>
      </c>
    </row>
    <row r="5">
      <c r="A5" s="5">
        <f>'02a_CSP_Contract_Alloc'!A5</f>
        <v/>
      </c>
      <c r="B5" s="5">
        <f>'02a_CSP_Contract_Alloc'!B5</f>
        <v/>
      </c>
      <c r="C5" s="5">
        <f>'02a_CSP_Contract_Alloc'!C5</f>
        <v/>
      </c>
      <c r="D5" s="5">
        <f>'02a_CSP_Contract_Alloc'!D5</f>
        <v/>
      </c>
      <c r="E5" s="5">
        <f>'02a_CSP_Contract_Alloc'!E5</f>
        <v/>
      </c>
      <c r="F5" s="28">
        <f>SUMPRODUCT(('02_Inputs'!$A$2:$A$181=B5)*('02_Inputs'!$B$2:$B$181=C5)*('02_Inputs'!$C$2:$C$181=D5)*'02_Inputs'!$D$2:$D$181*'02_Inputs'!$E$2:$E$181/'02_Inputs'!$F$2:$F$181*'02_Inputs'!$G$2:$G$181*'02_Inputs'!$H$2:$H$181*1000)</f>
        <v/>
      </c>
      <c r="G5" s="28">
        <f>'02a_CSP_Contract_Alloc'!F5</f>
        <v/>
      </c>
      <c r="H5" s="6">
        <f>'02a_CSP_Contract_Alloc'!G5</f>
        <v/>
      </c>
      <c r="I5" s="28">
        <f>'02a_CSP_Contract_Alloc'!H5</f>
        <v/>
      </c>
      <c r="J5" s="6">
        <f>'02a_CSP_Contract_Alloc'!I5</f>
        <v/>
      </c>
      <c r="K5" s="28">
        <f>'02a_CSP_Contract_Alloc'!K5</f>
        <v/>
      </c>
      <c r="L5" s="28">
        <f>SUMIFS('02a_CSP_Contract_Alloc'!$K$2:$K$305,'02a_CSP_Contract_Alloc'!$B$2:$B$305,B5,'02a_CSP_Contract_Alloc'!$C$2:$C$305,C5,'02a_CSP_Contract_Alloc'!$D$2:$D$305,D5)</f>
        <v/>
      </c>
      <c r="M5" s="6">
        <f>IF(L5&gt;0,K5/L5,0)</f>
        <v/>
      </c>
      <c r="N5" s="28">
        <f>F5*M5</f>
        <v/>
      </c>
      <c r="O5" s="5">
        <f>'02a_CSP_Contract_Alloc'!L5</f>
        <v/>
      </c>
      <c r="P5" s="5" t="inlineStr">
        <is>
          <t>AI company inference power is normalized across CSPs by CSP total power * AI contract share * inference share.</t>
        </is>
      </c>
    </row>
    <row r="6">
      <c r="A6" s="5">
        <f>'02a_CSP_Contract_Alloc'!A6</f>
        <v/>
      </c>
      <c r="B6" s="5">
        <f>'02a_CSP_Contract_Alloc'!B6</f>
        <v/>
      </c>
      <c r="C6" s="5">
        <f>'02a_CSP_Contract_Alloc'!C6</f>
        <v/>
      </c>
      <c r="D6" s="5">
        <f>'02a_CSP_Contract_Alloc'!D6</f>
        <v/>
      </c>
      <c r="E6" s="5">
        <f>'02a_CSP_Contract_Alloc'!E6</f>
        <v/>
      </c>
      <c r="F6" s="28">
        <f>SUMPRODUCT(('02_Inputs'!$A$2:$A$181=B6)*('02_Inputs'!$B$2:$B$181=C6)*('02_Inputs'!$C$2:$C$181=D6)*'02_Inputs'!$D$2:$D$181*'02_Inputs'!$E$2:$E$181/'02_Inputs'!$F$2:$F$181*'02_Inputs'!$G$2:$G$181*'02_Inputs'!$H$2:$H$181*1000)</f>
        <v/>
      </c>
      <c r="G6" s="28">
        <f>'02a_CSP_Contract_Alloc'!F6</f>
        <v/>
      </c>
      <c r="H6" s="6">
        <f>'02a_CSP_Contract_Alloc'!G6</f>
        <v/>
      </c>
      <c r="I6" s="28">
        <f>'02a_CSP_Contract_Alloc'!H6</f>
        <v/>
      </c>
      <c r="J6" s="6">
        <f>'02a_CSP_Contract_Alloc'!I6</f>
        <v/>
      </c>
      <c r="K6" s="28">
        <f>'02a_CSP_Contract_Alloc'!K6</f>
        <v/>
      </c>
      <c r="L6" s="28">
        <f>SUMIFS('02a_CSP_Contract_Alloc'!$K$2:$K$305,'02a_CSP_Contract_Alloc'!$B$2:$B$305,B6,'02a_CSP_Contract_Alloc'!$C$2:$C$305,C6,'02a_CSP_Contract_Alloc'!$D$2:$D$305,D6)</f>
        <v/>
      </c>
      <c r="M6" s="6">
        <f>IF(L6&gt;0,K6/L6,0)</f>
        <v/>
      </c>
      <c r="N6" s="28">
        <f>F6*M6</f>
        <v/>
      </c>
      <c r="O6" s="5">
        <f>'02a_CSP_Contract_Alloc'!L6</f>
        <v/>
      </c>
      <c r="P6" s="5" t="inlineStr">
        <is>
          <t>AI company inference power is normalized across CSPs by CSP total power * AI contract share * inference share.</t>
        </is>
      </c>
    </row>
    <row r="7">
      <c r="A7" s="5">
        <f>'02a_CSP_Contract_Alloc'!A7</f>
        <v/>
      </c>
      <c r="B7" s="5">
        <f>'02a_CSP_Contract_Alloc'!B7</f>
        <v/>
      </c>
      <c r="C7" s="5">
        <f>'02a_CSP_Contract_Alloc'!C7</f>
        <v/>
      </c>
      <c r="D7" s="5">
        <f>'02a_CSP_Contract_Alloc'!D7</f>
        <v/>
      </c>
      <c r="E7" s="5">
        <f>'02a_CSP_Contract_Alloc'!E7</f>
        <v/>
      </c>
      <c r="F7" s="28">
        <f>SUMPRODUCT(('02_Inputs'!$A$2:$A$181=B7)*('02_Inputs'!$B$2:$B$181=C7)*('02_Inputs'!$C$2:$C$181=D7)*'02_Inputs'!$D$2:$D$181*'02_Inputs'!$E$2:$E$181/'02_Inputs'!$F$2:$F$181*'02_Inputs'!$G$2:$G$181*'02_Inputs'!$H$2:$H$181*1000)</f>
        <v/>
      </c>
      <c r="G7" s="28">
        <f>'02a_CSP_Contract_Alloc'!F7</f>
        <v/>
      </c>
      <c r="H7" s="6">
        <f>'02a_CSP_Contract_Alloc'!G7</f>
        <v/>
      </c>
      <c r="I7" s="28">
        <f>'02a_CSP_Contract_Alloc'!H7</f>
        <v/>
      </c>
      <c r="J7" s="6">
        <f>'02a_CSP_Contract_Alloc'!I7</f>
        <v/>
      </c>
      <c r="K7" s="28">
        <f>'02a_CSP_Contract_Alloc'!K7</f>
        <v/>
      </c>
      <c r="L7" s="28">
        <f>SUMIFS('02a_CSP_Contract_Alloc'!$K$2:$K$305,'02a_CSP_Contract_Alloc'!$B$2:$B$305,B7,'02a_CSP_Contract_Alloc'!$C$2:$C$305,C7,'02a_CSP_Contract_Alloc'!$D$2:$D$305,D7)</f>
        <v/>
      </c>
      <c r="M7" s="6">
        <f>IF(L7&gt;0,K7/L7,0)</f>
        <v/>
      </c>
      <c r="N7" s="28">
        <f>F7*M7</f>
        <v/>
      </c>
      <c r="O7" s="5">
        <f>'02a_CSP_Contract_Alloc'!L7</f>
        <v/>
      </c>
      <c r="P7" s="5" t="inlineStr">
        <is>
          <t>AI company inference power is normalized across CSPs by CSP total power * AI contract share * inference share.</t>
        </is>
      </c>
    </row>
    <row r="8">
      <c r="A8" s="5">
        <f>'02a_CSP_Contract_Alloc'!A8</f>
        <v/>
      </c>
      <c r="B8" s="5">
        <f>'02a_CSP_Contract_Alloc'!B8</f>
        <v/>
      </c>
      <c r="C8" s="5">
        <f>'02a_CSP_Contract_Alloc'!C8</f>
        <v/>
      </c>
      <c r="D8" s="5">
        <f>'02a_CSP_Contract_Alloc'!D8</f>
        <v/>
      </c>
      <c r="E8" s="5">
        <f>'02a_CSP_Contract_Alloc'!E8</f>
        <v/>
      </c>
      <c r="F8" s="28">
        <f>SUMPRODUCT(('02_Inputs'!$A$2:$A$181=B8)*('02_Inputs'!$B$2:$B$181=C8)*('02_Inputs'!$C$2:$C$181=D8)*'02_Inputs'!$D$2:$D$181*'02_Inputs'!$E$2:$E$181/'02_Inputs'!$F$2:$F$181*'02_Inputs'!$G$2:$G$181*'02_Inputs'!$H$2:$H$181*1000)</f>
        <v/>
      </c>
      <c r="G8" s="28">
        <f>'02a_CSP_Contract_Alloc'!F8</f>
        <v/>
      </c>
      <c r="H8" s="6">
        <f>'02a_CSP_Contract_Alloc'!G8</f>
        <v/>
      </c>
      <c r="I8" s="28">
        <f>'02a_CSP_Contract_Alloc'!H8</f>
        <v/>
      </c>
      <c r="J8" s="6">
        <f>'02a_CSP_Contract_Alloc'!I8</f>
        <v/>
      </c>
      <c r="K8" s="28">
        <f>'02a_CSP_Contract_Alloc'!K8</f>
        <v/>
      </c>
      <c r="L8" s="28">
        <f>SUMIFS('02a_CSP_Contract_Alloc'!$K$2:$K$305,'02a_CSP_Contract_Alloc'!$B$2:$B$305,B8,'02a_CSP_Contract_Alloc'!$C$2:$C$305,C8,'02a_CSP_Contract_Alloc'!$D$2:$D$305,D8)</f>
        <v/>
      </c>
      <c r="M8" s="6">
        <f>IF(L8&gt;0,K8/L8,0)</f>
        <v/>
      </c>
      <c r="N8" s="28">
        <f>F8*M8</f>
        <v/>
      </c>
      <c r="O8" s="5">
        <f>'02a_CSP_Contract_Alloc'!L8</f>
        <v/>
      </c>
      <c r="P8" s="5" t="inlineStr">
        <is>
          <t>AI company inference power is normalized across CSPs by CSP total power * AI contract share * inference share.</t>
        </is>
      </c>
    </row>
    <row r="9">
      <c r="A9" s="5">
        <f>'02a_CSP_Contract_Alloc'!A9</f>
        <v/>
      </c>
      <c r="B9" s="5">
        <f>'02a_CSP_Contract_Alloc'!B9</f>
        <v/>
      </c>
      <c r="C9" s="5">
        <f>'02a_CSP_Contract_Alloc'!C9</f>
        <v/>
      </c>
      <c r="D9" s="5">
        <f>'02a_CSP_Contract_Alloc'!D9</f>
        <v/>
      </c>
      <c r="E9" s="5">
        <f>'02a_CSP_Contract_Alloc'!E9</f>
        <v/>
      </c>
      <c r="F9" s="28">
        <f>SUMPRODUCT(('02_Inputs'!$A$2:$A$181=B9)*('02_Inputs'!$B$2:$B$181=C9)*('02_Inputs'!$C$2:$C$181=D9)*'02_Inputs'!$D$2:$D$181*'02_Inputs'!$E$2:$E$181/'02_Inputs'!$F$2:$F$181*'02_Inputs'!$G$2:$G$181*'02_Inputs'!$H$2:$H$181*1000)</f>
        <v/>
      </c>
      <c r="G9" s="28">
        <f>'02a_CSP_Contract_Alloc'!F9</f>
        <v/>
      </c>
      <c r="H9" s="6">
        <f>'02a_CSP_Contract_Alloc'!G9</f>
        <v/>
      </c>
      <c r="I9" s="28">
        <f>'02a_CSP_Contract_Alloc'!H9</f>
        <v/>
      </c>
      <c r="J9" s="6">
        <f>'02a_CSP_Contract_Alloc'!I9</f>
        <v/>
      </c>
      <c r="K9" s="28">
        <f>'02a_CSP_Contract_Alloc'!K9</f>
        <v/>
      </c>
      <c r="L9" s="28">
        <f>SUMIFS('02a_CSP_Contract_Alloc'!$K$2:$K$305,'02a_CSP_Contract_Alloc'!$B$2:$B$305,B9,'02a_CSP_Contract_Alloc'!$C$2:$C$305,C9,'02a_CSP_Contract_Alloc'!$D$2:$D$305,D9)</f>
        <v/>
      </c>
      <c r="M9" s="6">
        <f>IF(L9&gt;0,K9/L9,0)</f>
        <v/>
      </c>
      <c r="N9" s="28">
        <f>F9*M9</f>
        <v/>
      </c>
      <c r="O9" s="5">
        <f>'02a_CSP_Contract_Alloc'!L9</f>
        <v/>
      </c>
      <c r="P9" s="5" t="inlineStr">
        <is>
          <t>AI company inference power is normalized across CSPs by CSP total power * AI contract share * inference share.</t>
        </is>
      </c>
    </row>
    <row r="10">
      <c r="A10" s="5">
        <f>'02a_CSP_Contract_Alloc'!A10</f>
        <v/>
      </c>
      <c r="B10" s="5">
        <f>'02a_CSP_Contract_Alloc'!B10</f>
        <v/>
      </c>
      <c r="C10" s="5">
        <f>'02a_CSP_Contract_Alloc'!C10</f>
        <v/>
      </c>
      <c r="D10" s="5">
        <f>'02a_CSP_Contract_Alloc'!D10</f>
        <v/>
      </c>
      <c r="E10" s="5">
        <f>'02a_CSP_Contract_Alloc'!E10</f>
        <v/>
      </c>
      <c r="F10" s="28">
        <f>SUMPRODUCT(('02_Inputs'!$A$2:$A$181=B10)*('02_Inputs'!$B$2:$B$181=C10)*('02_Inputs'!$C$2:$C$181=D10)*'02_Inputs'!$D$2:$D$181*'02_Inputs'!$E$2:$E$181/'02_Inputs'!$F$2:$F$181*'02_Inputs'!$G$2:$G$181*'02_Inputs'!$H$2:$H$181*1000)</f>
        <v/>
      </c>
      <c r="G10" s="28">
        <f>'02a_CSP_Contract_Alloc'!F10</f>
        <v/>
      </c>
      <c r="H10" s="6">
        <f>'02a_CSP_Contract_Alloc'!G10</f>
        <v/>
      </c>
      <c r="I10" s="28">
        <f>'02a_CSP_Contract_Alloc'!H10</f>
        <v/>
      </c>
      <c r="J10" s="6">
        <f>'02a_CSP_Contract_Alloc'!I10</f>
        <v/>
      </c>
      <c r="K10" s="28">
        <f>'02a_CSP_Contract_Alloc'!K10</f>
        <v/>
      </c>
      <c r="L10" s="28">
        <f>SUMIFS('02a_CSP_Contract_Alloc'!$K$2:$K$305,'02a_CSP_Contract_Alloc'!$B$2:$B$305,B10,'02a_CSP_Contract_Alloc'!$C$2:$C$305,C10,'02a_CSP_Contract_Alloc'!$D$2:$D$305,D10)</f>
        <v/>
      </c>
      <c r="M10" s="6">
        <f>IF(L10&gt;0,K10/L10,0)</f>
        <v/>
      </c>
      <c r="N10" s="28">
        <f>F10*M10</f>
        <v/>
      </c>
      <c r="O10" s="5">
        <f>'02a_CSP_Contract_Alloc'!L10</f>
        <v/>
      </c>
      <c r="P10" s="5" t="inlineStr">
        <is>
          <t>AI company inference power is normalized across CSPs by CSP total power * AI contract share * inference share.</t>
        </is>
      </c>
    </row>
    <row r="11">
      <c r="A11" s="5">
        <f>'02a_CSP_Contract_Alloc'!A11</f>
        <v/>
      </c>
      <c r="B11" s="5">
        <f>'02a_CSP_Contract_Alloc'!B11</f>
        <v/>
      </c>
      <c r="C11" s="5">
        <f>'02a_CSP_Contract_Alloc'!C11</f>
        <v/>
      </c>
      <c r="D11" s="5">
        <f>'02a_CSP_Contract_Alloc'!D11</f>
        <v/>
      </c>
      <c r="E11" s="5">
        <f>'02a_CSP_Contract_Alloc'!E11</f>
        <v/>
      </c>
      <c r="F11" s="28">
        <f>SUMPRODUCT(('02_Inputs'!$A$2:$A$181=B11)*('02_Inputs'!$B$2:$B$181=C11)*('02_Inputs'!$C$2:$C$181=D11)*'02_Inputs'!$D$2:$D$181*'02_Inputs'!$E$2:$E$181/'02_Inputs'!$F$2:$F$181*'02_Inputs'!$G$2:$G$181*'02_Inputs'!$H$2:$H$181*1000)</f>
        <v/>
      </c>
      <c r="G11" s="28">
        <f>'02a_CSP_Contract_Alloc'!F11</f>
        <v/>
      </c>
      <c r="H11" s="6">
        <f>'02a_CSP_Contract_Alloc'!G11</f>
        <v/>
      </c>
      <c r="I11" s="28">
        <f>'02a_CSP_Contract_Alloc'!H11</f>
        <v/>
      </c>
      <c r="J11" s="6">
        <f>'02a_CSP_Contract_Alloc'!I11</f>
        <v/>
      </c>
      <c r="K11" s="28">
        <f>'02a_CSP_Contract_Alloc'!K11</f>
        <v/>
      </c>
      <c r="L11" s="28">
        <f>SUMIFS('02a_CSP_Contract_Alloc'!$K$2:$K$305,'02a_CSP_Contract_Alloc'!$B$2:$B$305,B11,'02a_CSP_Contract_Alloc'!$C$2:$C$305,C11,'02a_CSP_Contract_Alloc'!$D$2:$D$305,D11)</f>
        <v/>
      </c>
      <c r="M11" s="6">
        <f>IF(L11&gt;0,K11/L11,0)</f>
        <v/>
      </c>
      <c r="N11" s="28">
        <f>F11*M11</f>
        <v/>
      </c>
      <c r="O11" s="5">
        <f>'02a_CSP_Contract_Alloc'!L11</f>
        <v/>
      </c>
      <c r="P11" s="5" t="inlineStr">
        <is>
          <t>AI company inference power is normalized across CSPs by CSP total power * AI contract share * inference share.</t>
        </is>
      </c>
    </row>
    <row r="12">
      <c r="A12" s="5">
        <f>'02a_CSP_Contract_Alloc'!A12</f>
        <v/>
      </c>
      <c r="B12" s="5">
        <f>'02a_CSP_Contract_Alloc'!B12</f>
        <v/>
      </c>
      <c r="C12" s="5">
        <f>'02a_CSP_Contract_Alloc'!C12</f>
        <v/>
      </c>
      <c r="D12" s="5">
        <f>'02a_CSP_Contract_Alloc'!D12</f>
        <v/>
      </c>
      <c r="E12" s="5">
        <f>'02a_CSP_Contract_Alloc'!E12</f>
        <v/>
      </c>
      <c r="F12" s="28">
        <f>SUMPRODUCT(('02_Inputs'!$A$2:$A$181=B12)*('02_Inputs'!$B$2:$B$181=C12)*('02_Inputs'!$C$2:$C$181=D12)*'02_Inputs'!$D$2:$D$181*'02_Inputs'!$E$2:$E$181/'02_Inputs'!$F$2:$F$181*'02_Inputs'!$G$2:$G$181*'02_Inputs'!$H$2:$H$181*1000)</f>
        <v/>
      </c>
      <c r="G12" s="28">
        <f>'02a_CSP_Contract_Alloc'!F12</f>
        <v/>
      </c>
      <c r="H12" s="6">
        <f>'02a_CSP_Contract_Alloc'!G12</f>
        <v/>
      </c>
      <c r="I12" s="28">
        <f>'02a_CSP_Contract_Alloc'!H12</f>
        <v/>
      </c>
      <c r="J12" s="6">
        <f>'02a_CSP_Contract_Alloc'!I12</f>
        <v/>
      </c>
      <c r="K12" s="28">
        <f>'02a_CSP_Contract_Alloc'!K12</f>
        <v/>
      </c>
      <c r="L12" s="28">
        <f>SUMIFS('02a_CSP_Contract_Alloc'!$K$2:$K$305,'02a_CSP_Contract_Alloc'!$B$2:$B$305,B12,'02a_CSP_Contract_Alloc'!$C$2:$C$305,C12,'02a_CSP_Contract_Alloc'!$D$2:$D$305,D12)</f>
        <v/>
      </c>
      <c r="M12" s="6">
        <f>IF(L12&gt;0,K12/L12,0)</f>
        <v/>
      </c>
      <c r="N12" s="28">
        <f>F12*M12</f>
        <v/>
      </c>
      <c r="O12" s="5">
        <f>'02a_CSP_Contract_Alloc'!L12</f>
        <v/>
      </c>
      <c r="P12" s="5" t="inlineStr">
        <is>
          <t>AI company inference power is normalized across CSPs by CSP total power * AI contract share * inference share.</t>
        </is>
      </c>
    </row>
    <row r="13">
      <c r="A13" s="5">
        <f>'02a_CSP_Contract_Alloc'!A13</f>
        <v/>
      </c>
      <c r="B13" s="5">
        <f>'02a_CSP_Contract_Alloc'!B13</f>
        <v/>
      </c>
      <c r="C13" s="5">
        <f>'02a_CSP_Contract_Alloc'!C13</f>
        <v/>
      </c>
      <c r="D13" s="5">
        <f>'02a_CSP_Contract_Alloc'!D13</f>
        <v/>
      </c>
      <c r="E13" s="5">
        <f>'02a_CSP_Contract_Alloc'!E13</f>
        <v/>
      </c>
      <c r="F13" s="28">
        <f>SUMPRODUCT(('02_Inputs'!$A$2:$A$181=B13)*('02_Inputs'!$B$2:$B$181=C13)*('02_Inputs'!$C$2:$C$181=D13)*'02_Inputs'!$D$2:$D$181*'02_Inputs'!$E$2:$E$181/'02_Inputs'!$F$2:$F$181*'02_Inputs'!$G$2:$G$181*'02_Inputs'!$H$2:$H$181*1000)</f>
        <v/>
      </c>
      <c r="G13" s="28">
        <f>'02a_CSP_Contract_Alloc'!F13</f>
        <v/>
      </c>
      <c r="H13" s="6">
        <f>'02a_CSP_Contract_Alloc'!G13</f>
        <v/>
      </c>
      <c r="I13" s="28">
        <f>'02a_CSP_Contract_Alloc'!H13</f>
        <v/>
      </c>
      <c r="J13" s="6">
        <f>'02a_CSP_Contract_Alloc'!I13</f>
        <v/>
      </c>
      <c r="K13" s="28">
        <f>'02a_CSP_Contract_Alloc'!K13</f>
        <v/>
      </c>
      <c r="L13" s="28">
        <f>SUMIFS('02a_CSP_Contract_Alloc'!$K$2:$K$305,'02a_CSP_Contract_Alloc'!$B$2:$B$305,B13,'02a_CSP_Contract_Alloc'!$C$2:$C$305,C13,'02a_CSP_Contract_Alloc'!$D$2:$D$305,D13)</f>
        <v/>
      </c>
      <c r="M13" s="6">
        <f>IF(L13&gt;0,K13/L13,0)</f>
        <v/>
      </c>
      <c r="N13" s="28">
        <f>F13*M13</f>
        <v/>
      </c>
      <c r="O13" s="5">
        <f>'02a_CSP_Contract_Alloc'!L13</f>
        <v/>
      </c>
      <c r="P13" s="5" t="inlineStr">
        <is>
          <t>AI company inference power is normalized across CSPs by CSP total power * AI contract share * inference share.</t>
        </is>
      </c>
    </row>
    <row r="14">
      <c r="A14" s="5">
        <f>'02a_CSP_Contract_Alloc'!A14</f>
        <v/>
      </c>
      <c r="B14" s="5">
        <f>'02a_CSP_Contract_Alloc'!B14</f>
        <v/>
      </c>
      <c r="C14" s="5">
        <f>'02a_CSP_Contract_Alloc'!C14</f>
        <v/>
      </c>
      <c r="D14" s="5">
        <f>'02a_CSP_Contract_Alloc'!D14</f>
        <v/>
      </c>
      <c r="E14" s="5">
        <f>'02a_CSP_Contract_Alloc'!E14</f>
        <v/>
      </c>
      <c r="F14" s="28">
        <f>SUMPRODUCT(('02_Inputs'!$A$2:$A$181=B14)*('02_Inputs'!$B$2:$B$181=C14)*('02_Inputs'!$C$2:$C$181=D14)*'02_Inputs'!$D$2:$D$181*'02_Inputs'!$E$2:$E$181/'02_Inputs'!$F$2:$F$181*'02_Inputs'!$G$2:$G$181*'02_Inputs'!$H$2:$H$181*1000)</f>
        <v/>
      </c>
      <c r="G14" s="28">
        <f>'02a_CSP_Contract_Alloc'!F14</f>
        <v/>
      </c>
      <c r="H14" s="6">
        <f>'02a_CSP_Contract_Alloc'!G14</f>
        <v/>
      </c>
      <c r="I14" s="28">
        <f>'02a_CSP_Contract_Alloc'!H14</f>
        <v/>
      </c>
      <c r="J14" s="6">
        <f>'02a_CSP_Contract_Alloc'!I14</f>
        <v/>
      </c>
      <c r="K14" s="28">
        <f>'02a_CSP_Contract_Alloc'!K14</f>
        <v/>
      </c>
      <c r="L14" s="28">
        <f>SUMIFS('02a_CSP_Contract_Alloc'!$K$2:$K$305,'02a_CSP_Contract_Alloc'!$B$2:$B$305,B14,'02a_CSP_Contract_Alloc'!$C$2:$C$305,C14,'02a_CSP_Contract_Alloc'!$D$2:$D$305,D14)</f>
        <v/>
      </c>
      <c r="M14" s="6">
        <f>IF(L14&gt;0,K14/L14,0)</f>
        <v/>
      </c>
      <c r="N14" s="28">
        <f>F14*M14</f>
        <v/>
      </c>
      <c r="O14" s="5">
        <f>'02a_CSP_Contract_Alloc'!L14</f>
        <v/>
      </c>
      <c r="P14" s="5" t="inlineStr">
        <is>
          <t>AI company inference power is normalized across CSPs by CSP total power * AI contract share * inference share.</t>
        </is>
      </c>
    </row>
    <row r="15">
      <c r="A15" s="5">
        <f>'02a_CSP_Contract_Alloc'!A15</f>
        <v/>
      </c>
      <c r="B15" s="5">
        <f>'02a_CSP_Contract_Alloc'!B15</f>
        <v/>
      </c>
      <c r="C15" s="5">
        <f>'02a_CSP_Contract_Alloc'!C15</f>
        <v/>
      </c>
      <c r="D15" s="5">
        <f>'02a_CSP_Contract_Alloc'!D15</f>
        <v/>
      </c>
      <c r="E15" s="5">
        <f>'02a_CSP_Contract_Alloc'!E15</f>
        <v/>
      </c>
      <c r="F15" s="28">
        <f>SUMPRODUCT(('02_Inputs'!$A$2:$A$181=B15)*('02_Inputs'!$B$2:$B$181=C15)*('02_Inputs'!$C$2:$C$181=D15)*'02_Inputs'!$D$2:$D$181*'02_Inputs'!$E$2:$E$181/'02_Inputs'!$F$2:$F$181*'02_Inputs'!$G$2:$G$181*'02_Inputs'!$H$2:$H$181*1000)</f>
        <v/>
      </c>
      <c r="G15" s="28">
        <f>'02a_CSP_Contract_Alloc'!F15</f>
        <v/>
      </c>
      <c r="H15" s="6">
        <f>'02a_CSP_Contract_Alloc'!G15</f>
        <v/>
      </c>
      <c r="I15" s="28">
        <f>'02a_CSP_Contract_Alloc'!H15</f>
        <v/>
      </c>
      <c r="J15" s="6">
        <f>'02a_CSP_Contract_Alloc'!I15</f>
        <v/>
      </c>
      <c r="K15" s="28">
        <f>'02a_CSP_Contract_Alloc'!K15</f>
        <v/>
      </c>
      <c r="L15" s="28">
        <f>SUMIFS('02a_CSP_Contract_Alloc'!$K$2:$K$305,'02a_CSP_Contract_Alloc'!$B$2:$B$305,B15,'02a_CSP_Contract_Alloc'!$C$2:$C$305,C15,'02a_CSP_Contract_Alloc'!$D$2:$D$305,D15)</f>
        <v/>
      </c>
      <c r="M15" s="6">
        <f>IF(L15&gt;0,K15/L15,0)</f>
        <v/>
      </c>
      <c r="N15" s="28">
        <f>F15*M15</f>
        <v/>
      </c>
      <c r="O15" s="5">
        <f>'02a_CSP_Contract_Alloc'!L15</f>
        <v/>
      </c>
      <c r="P15" s="5" t="inlineStr">
        <is>
          <t>AI company inference power is normalized across CSPs by CSP total power * AI contract share * inference share.</t>
        </is>
      </c>
    </row>
    <row r="16">
      <c r="A16" s="5">
        <f>'02a_CSP_Contract_Alloc'!A16</f>
        <v/>
      </c>
      <c r="B16" s="5">
        <f>'02a_CSP_Contract_Alloc'!B16</f>
        <v/>
      </c>
      <c r="C16" s="5">
        <f>'02a_CSP_Contract_Alloc'!C16</f>
        <v/>
      </c>
      <c r="D16" s="5">
        <f>'02a_CSP_Contract_Alloc'!D16</f>
        <v/>
      </c>
      <c r="E16" s="5">
        <f>'02a_CSP_Contract_Alloc'!E16</f>
        <v/>
      </c>
      <c r="F16" s="28">
        <f>SUMPRODUCT(('02_Inputs'!$A$2:$A$181=B16)*('02_Inputs'!$B$2:$B$181=C16)*('02_Inputs'!$C$2:$C$181=D16)*'02_Inputs'!$D$2:$D$181*'02_Inputs'!$E$2:$E$181/'02_Inputs'!$F$2:$F$181*'02_Inputs'!$G$2:$G$181*'02_Inputs'!$H$2:$H$181*1000)</f>
        <v/>
      </c>
      <c r="G16" s="28">
        <f>'02a_CSP_Contract_Alloc'!F16</f>
        <v/>
      </c>
      <c r="H16" s="6">
        <f>'02a_CSP_Contract_Alloc'!G16</f>
        <v/>
      </c>
      <c r="I16" s="28">
        <f>'02a_CSP_Contract_Alloc'!H16</f>
        <v/>
      </c>
      <c r="J16" s="6">
        <f>'02a_CSP_Contract_Alloc'!I16</f>
        <v/>
      </c>
      <c r="K16" s="28">
        <f>'02a_CSP_Contract_Alloc'!K16</f>
        <v/>
      </c>
      <c r="L16" s="28">
        <f>SUMIFS('02a_CSP_Contract_Alloc'!$K$2:$K$305,'02a_CSP_Contract_Alloc'!$B$2:$B$305,B16,'02a_CSP_Contract_Alloc'!$C$2:$C$305,C16,'02a_CSP_Contract_Alloc'!$D$2:$D$305,D16)</f>
        <v/>
      </c>
      <c r="M16" s="6">
        <f>IF(L16&gt;0,K16/L16,0)</f>
        <v/>
      </c>
      <c r="N16" s="28">
        <f>F16*M16</f>
        <v/>
      </c>
      <c r="O16" s="5">
        <f>'02a_CSP_Contract_Alloc'!L16</f>
        <v/>
      </c>
      <c r="P16" s="5" t="inlineStr">
        <is>
          <t>AI company inference power is normalized across CSPs by CSP total power * AI contract share * inference share.</t>
        </is>
      </c>
    </row>
    <row r="17">
      <c r="A17" s="5">
        <f>'02a_CSP_Contract_Alloc'!A17</f>
        <v/>
      </c>
      <c r="B17" s="5">
        <f>'02a_CSP_Contract_Alloc'!B17</f>
        <v/>
      </c>
      <c r="C17" s="5">
        <f>'02a_CSP_Contract_Alloc'!C17</f>
        <v/>
      </c>
      <c r="D17" s="5">
        <f>'02a_CSP_Contract_Alloc'!D17</f>
        <v/>
      </c>
      <c r="E17" s="5">
        <f>'02a_CSP_Contract_Alloc'!E17</f>
        <v/>
      </c>
      <c r="F17" s="28">
        <f>SUMPRODUCT(('02_Inputs'!$A$2:$A$181=B17)*('02_Inputs'!$B$2:$B$181=C17)*('02_Inputs'!$C$2:$C$181=D17)*'02_Inputs'!$D$2:$D$181*'02_Inputs'!$E$2:$E$181/'02_Inputs'!$F$2:$F$181*'02_Inputs'!$G$2:$G$181*'02_Inputs'!$H$2:$H$181*1000)</f>
        <v/>
      </c>
      <c r="G17" s="28">
        <f>'02a_CSP_Contract_Alloc'!F17</f>
        <v/>
      </c>
      <c r="H17" s="6">
        <f>'02a_CSP_Contract_Alloc'!G17</f>
        <v/>
      </c>
      <c r="I17" s="28">
        <f>'02a_CSP_Contract_Alloc'!H17</f>
        <v/>
      </c>
      <c r="J17" s="6">
        <f>'02a_CSP_Contract_Alloc'!I17</f>
        <v/>
      </c>
      <c r="K17" s="28">
        <f>'02a_CSP_Contract_Alloc'!K17</f>
        <v/>
      </c>
      <c r="L17" s="28">
        <f>SUMIFS('02a_CSP_Contract_Alloc'!$K$2:$K$305,'02a_CSP_Contract_Alloc'!$B$2:$B$305,B17,'02a_CSP_Contract_Alloc'!$C$2:$C$305,C17,'02a_CSP_Contract_Alloc'!$D$2:$D$305,D17)</f>
        <v/>
      </c>
      <c r="M17" s="6">
        <f>IF(L17&gt;0,K17/L17,0)</f>
        <v/>
      </c>
      <c r="N17" s="28">
        <f>F17*M17</f>
        <v/>
      </c>
      <c r="O17" s="5">
        <f>'02a_CSP_Contract_Alloc'!L17</f>
        <v/>
      </c>
      <c r="P17" s="5" t="inlineStr">
        <is>
          <t>AI company inference power is normalized across CSPs by CSP total power * AI contract share * inference share.</t>
        </is>
      </c>
    </row>
    <row r="18">
      <c r="A18" s="5">
        <f>'02a_CSP_Contract_Alloc'!A18</f>
        <v/>
      </c>
      <c r="B18" s="5">
        <f>'02a_CSP_Contract_Alloc'!B18</f>
        <v/>
      </c>
      <c r="C18" s="5">
        <f>'02a_CSP_Contract_Alloc'!C18</f>
        <v/>
      </c>
      <c r="D18" s="5">
        <f>'02a_CSP_Contract_Alloc'!D18</f>
        <v/>
      </c>
      <c r="E18" s="5">
        <f>'02a_CSP_Contract_Alloc'!E18</f>
        <v/>
      </c>
      <c r="F18" s="28">
        <f>SUMPRODUCT(('02_Inputs'!$A$2:$A$181=B18)*('02_Inputs'!$B$2:$B$181=C18)*('02_Inputs'!$C$2:$C$181=D18)*'02_Inputs'!$D$2:$D$181*'02_Inputs'!$E$2:$E$181/'02_Inputs'!$F$2:$F$181*'02_Inputs'!$G$2:$G$181*'02_Inputs'!$H$2:$H$181*1000)</f>
        <v/>
      </c>
      <c r="G18" s="28">
        <f>'02a_CSP_Contract_Alloc'!F18</f>
        <v/>
      </c>
      <c r="H18" s="6">
        <f>'02a_CSP_Contract_Alloc'!G18</f>
        <v/>
      </c>
      <c r="I18" s="28">
        <f>'02a_CSP_Contract_Alloc'!H18</f>
        <v/>
      </c>
      <c r="J18" s="6">
        <f>'02a_CSP_Contract_Alloc'!I18</f>
        <v/>
      </c>
      <c r="K18" s="28">
        <f>'02a_CSP_Contract_Alloc'!K18</f>
        <v/>
      </c>
      <c r="L18" s="28">
        <f>SUMIFS('02a_CSP_Contract_Alloc'!$K$2:$K$305,'02a_CSP_Contract_Alloc'!$B$2:$B$305,B18,'02a_CSP_Contract_Alloc'!$C$2:$C$305,C18,'02a_CSP_Contract_Alloc'!$D$2:$D$305,D18)</f>
        <v/>
      </c>
      <c r="M18" s="6">
        <f>IF(L18&gt;0,K18/L18,0)</f>
        <v/>
      </c>
      <c r="N18" s="28">
        <f>F18*M18</f>
        <v/>
      </c>
      <c r="O18" s="5">
        <f>'02a_CSP_Contract_Alloc'!L18</f>
        <v/>
      </c>
      <c r="P18" s="5" t="inlineStr">
        <is>
          <t>AI company inference power is normalized across CSPs by CSP total power * AI contract share * inference share.</t>
        </is>
      </c>
    </row>
    <row r="19">
      <c r="A19" s="5">
        <f>'02a_CSP_Contract_Alloc'!A19</f>
        <v/>
      </c>
      <c r="B19" s="5">
        <f>'02a_CSP_Contract_Alloc'!B19</f>
        <v/>
      </c>
      <c r="C19" s="5">
        <f>'02a_CSP_Contract_Alloc'!C19</f>
        <v/>
      </c>
      <c r="D19" s="5">
        <f>'02a_CSP_Contract_Alloc'!D19</f>
        <v/>
      </c>
      <c r="E19" s="5">
        <f>'02a_CSP_Contract_Alloc'!E19</f>
        <v/>
      </c>
      <c r="F19" s="28">
        <f>SUMPRODUCT(('02_Inputs'!$A$2:$A$181=B19)*('02_Inputs'!$B$2:$B$181=C19)*('02_Inputs'!$C$2:$C$181=D19)*'02_Inputs'!$D$2:$D$181*'02_Inputs'!$E$2:$E$181/'02_Inputs'!$F$2:$F$181*'02_Inputs'!$G$2:$G$181*'02_Inputs'!$H$2:$H$181*1000)</f>
        <v/>
      </c>
      <c r="G19" s="28">
        <f>'02a_CSP_Contract_Alloc'!F19</f>
        <v/>
      </c>
      <c r="H19" s="6">
        <f>'02a_CSP_Contract_Alloc'!G19</f>
        <v/>
      </c>
      <c r="I19" s="28">
        <f>'02a_CSP_Contract_Alloc'!H19</f>
        <v/>
      </c>
      <c r="J19" s="6">
        <f>'02a_CSP_Contract_Alloc'!I19</f>
        <v/>
      </c>
      <c r="K19" s="28">
        <f>'02a_CSP_Contract_Alloc'!K19</f>
        <v/>
      </c>
      <c r="L19" s="28">
        <f>SUMIFS('02a_CSP_Contract_Alloc'!$K$2:$K$305,'02a_CSP_Contract_Alloc'!$B$2:$B$305,B19,'02a_CSP_Contract_Alloc'!$C$2:$C$305,C19,'02a_CSP_Contract_Alloc'!$D$2:$D$305,D19)</f>
        <v/>
      </c>
      <c r="M19" s="6">
        <f>IF(L19&gt;0,K19/L19,0)</f>
        <v/>
      </c>
      <c r="N19" s="28">
        <f>F19*M19</f>
        <v/>
      </c>
      <c r="O19" s="5">
        <f>'02a_CSP_Contract_Alloc'!L19</f>
        <v/>
      </c>
      <c r="P19" s="5" t="inlineStr">
        <is>
          <t>AI company inference power is normalized across CSPs by CSP total power * AI contract share * inference share.</t>
        </is>
      </c>
    </row>
    <row r="20">
      <c r="A20" s="5">
        <f>'02a_CSP_Contract_Alloc'!A20</f>
        <v/>
      </c>
      <c r="B20" s="5">
        <f>'02a_CSP_Contract_Alloc'!B20</f>
        <v/>
      </c>
      <c r="C20" s="5">
        <f>'02a_CSP_Contract_Alloc'!C20</f>
        <v/>
      </c>
      <c r="D20" s="5">
        <f>'02a_CSP_Contract_Alloc'!D20</f>
        <v/>
      </c>
      <c r="E20" s="5">
        <f>'02a_CSP_Contract_Alloc'!E20</f>
        <v/>
      </c>
      <c r="F20" s="28">
        <f>SUMPRODUCT(('02_Inputs'!$A$2:$A$181=B20)*('02_Inputs'!$B$2:$B$181=C20)*('02_Inputs'!$C$2:$C$181=D20)*'02_Inputs'!$D$2:$D$181*'02_Inputs'!$E$2:$E$181/'02_Inputs'!$F$2:$F$181*'02_Inputs'!$G$2:$G$181*'02_Inputs'!$H$2:$H$181*1000)</f>
        <v/>
      </c>
      <c r="G20" s="28">
        <f>'02a_CSP_Contract_Alloc'!F20</f>
        <v/>
      </c>
      <c r="H20" s="6">
        <f>'02a_CSP_Contract_Alloc'!G20</f>
        <v/>
      </c>
      <c r="I20" s="28">
        <f>'02a_CSP_Contract_Alloc'!H20</f>
        <v/>
      </c>
      <c r="J20" s="6">
        <f>'02a_CSP_Contract_Alloc'!I20</f>
        <v/>
      </c>
      <c r="K20" s="28">
        <f>'02a_CSP_Contract_Alloc'!K20</f>
        <v/>
      </c>
      <c r="L20" s="28">
        <f>SUMIFS('02a_CSP_Contract_Alloc'!$K$2:$K$305,'02a_CSP_Contract_Alloc'!$B$2:$B$305,B20,'02a_CSP_Contract_Alloc'!$C$2:$C$305,C20,'02a_CSP_Contract_Alloc'!$D$2:$D$305,D20)</f>
        <v/>
      </c>
      <c r="M20" s="6">
        <f>IF(L20&gt;0,K20/L20,0)</f>
        <v/>
      </c>
      <c r="N20" s="28">
        <f>F20*M20</f>
        <v/>
      </c>
      <c r="O20" s="5">
        <f>'02a_CSP_Contract_Alloc'!L20</f>
        <v/>
      </c>
      <c r="P20" s="5" t="inlineStr">
        <is>
          <t>AI company inference power is normalized across CSPs by CSP total power * AI contract share * inference share.</t>
        </is>
      </c>
    </row>
    <row r="21">
      <c r="A21" s="5">
        <f>'02a_CSP_Contract_Alloc'!A21</f>
        <v/>
      </c>
      <c r="B21" s="5">
        <f>'02a_CSP_Contract_Alloc'!B21</f>
        <v/>
      </c>
      <c r="C21" s="5">
        <f>'02a_CSP_Contract_Alloc'!C21</f>
        <v/>
      </c>
      <c r="D21" s="5">
        <f>'02a_CSP_Contract_Alloc'!D21</f>
        <v/>
      </c>
      <c r="E21" s="5">
        <f>'02a_CSP_Contract_Alloc'!E21</f>
        <v/>
      </c>
      <c r="F21" s="28">
        <f>SUMPRODUCT(('02_Inputs'!$A$2:$A$181=B21)*('02_Inputs'!$B$2:$B$181=C21)*('02_Inputs'!$C$2:$C$181=D21)*'02_Inputs'!$D$2:$D$181*'02_Inputs'!$E$2:$E$181/'02_Inputs'!$F$2:$F$181*'02_Inputs'!$G$2:$G$181*'02_Inputs'!$H$2:$H$181*1000)</f>
        <v/>
      </c>
      <c r="G21" s="28">
        <f>'02a_CSP_Contract_Alloc'!F21</f>
        <v/>
      </c>
      <c r="H21" s="6">
        <f>'02a_CSP_Contract_Alloc'!G21</f>
        <v/>
      </c>
      <c r="I21" s="28">
        <f>'02a_CSP_Contract_Alloc'!H21</f>
        <v/>
      </c>
      <c r="J21" s="6">
        <f>'02a_CSP_Contract_Alloc'!I21</f>
        <v/>
      </c>
      <c r="K21" s="28">
        <f>'02a_CSP_Contract_Alloc'!K21</f>
        <v/>
      </c>
      <c r="L21" s="28">
        <f>SUMIFS('02a_CSP_Contract_Alloc'!$K$2:$K$305,'02a_CSP_Contract_Alloc'!$B$2:$B$305,B21,'02a_CSP_Contract_Alloc'!$C$2:$C$305,C21,'02a_CSP_Contract_Alloc'!$D$2:$D$305,D21)</f>
        <v/>
      </c>
      <c r="M21" s="6">
        <f>IF(L21&gt;0,K21/L21,0)</f>
        <v/>
      </c>
      <c r="N21" s="28">
        <f>F21*M21</f>
        <v/>
      </c>
      <c r="O21" s="5">
        <f>'02a_CSP_Contract_Alloc'!L21</f>
        <v/>
      </c>
      <c r="P21" s="5" t="inlineStr">
        <is>
          <t>AI company inference power is normalized across CSPs by CSP total power * AI contract share * inference share.</t>
        </is>
      </c>
    </row>
    <row r="22">
      <c r="A22" s="5">
        <f>'02a_CSP_Contract_Alloc'!A22</f>
        <v/>
      </c>
      <c r="B22" s="5">
        <f>'02a_CSP_Contract_Alloc'!B22</f>
        <v/>
      </c>
      <c r="C22" s="5">
        <f>'02a_CSP_Contract_Alloc'!C22</f>
        <v/>
      </c>
      <c r="D22" s="5">
        <f>'02a_CSP_Contract_Alloc'!D22</f>
        <v/>
      </c>
      <c r="E22" s="5">
        <f>'02a_CSP_Contract_Alloc'!E22</f>
        <v/>
      </c>
      <c r="F22" s="28">
        <f>SUMPRODUCT(('02_Inputs'!$A$2:$A$181=B22)*('02_Inputs'!$B$2:$B$181=C22)*('02_Inputs'!$C$2:$C$181=D22)*'02_Inputs'!$D$2:$D$181*'02_Inputs'!$E$2:$E$181/'02_Inputs'!$F$2:$F$181*'02_Inputs'!$G$2:$G$181*'02_Inputs'!$H$2:$H$181*1000)</f>
        <v/>
      </c>
      <c r="G22" s="28">
        <f>'02a_CSP_Contract_Alloc'!F22</f>
        <v/>
      </c>
      <c r="H22" s="6">
        <f>'02a_CSP_Contract_Alloc'!G22</f>
        <v/>
      </c>
      <c r="I22" s="28">
        <f>'02a_CSP_Contract_Alloc'!H22</f>
        <v/>
      </c>
      <c r="J22" s="6">
        <f>'02a_CSP_Contract_Alloc'!I22</f>
        <v/>
      </c>
      <c r="K22" s="28">
        <f>'02a_CSP_Contract_Alloc'!K22</f>
        <v/>
      </c>
      <c r="L22" s="28">
        <f>SUMIFS('02a_CSP_Contract_Alloc'!$K$2:$K$305,'02a_CSP_Contract_Alloc'!$B$2:$B$305,B22,'02a_CSP_Contract_Alloc'!$C$2:$C$305,C22,'02a_CSP_Contract_Alloc'!$D$2:$D$305,D22)</f>
        <v/>
      </c>
      <c r="M22" s="6">
        <f>IF(L22&gt;0,K22/L22,0)</f>
        <v/>
      </c>
      <c r="N22" s="28">
        <f>F22*M22</f>
        <v/>
      </c>
      <c r="O22" s="5">
        <f>'02a_CSP_Contract_Alloc'!L22</f>
        <v/>
      </c>
      <c r="P22" s="5" t="inlineStr">
        <is>
          <t>AI company inference power is normalized across CSPs by CSP total power * AI contract share * inference share.</t>
        </is>
      </c>
    </row>
    <row r="23">
      <c r="A23" s="5">
        <f>'02a_CSP_Contract_Alloc'!A23</f>
        <v/>
      </c>
      <c r="B23" s="5">
        <f>'02a_CSP_Contract_Alloc'!B23</f>
        <v/>
      </c>
      <c r="C23" s="5">
        <f>'02a_CSP_Contract_Alloc'!C23</f>
        <v/>
      </c>
      <c r="D23" s="5">
        <f>'02a_CSP_Contract_Alloc'!D23</f>
        <v/>
      </c>
      <c r="E23" s="5">
        <f>'02a_CSP_Contract_Alloc'!E23</f>
        <v/>
      </c>
      <c r="F23" s="28">
        <f>SUMPRODUCT(('02_Inputs'!$A$2:$A$181=B23)*('02_Inputs'!$B$2:$B$181=C23)*('02_Inputs'!$C$2:$C$181=D23)*'02_Inputs'!$D$2:$D$181*'02_Inputs'!$E$2:$E$181/'02_Inputs'!$F$2:$F$181*'02_Inputs'!$G$2:$G$181*'02_Inputs'!$H$2:$H$181*1000)</f>
        <v/>
      </c>
      <c r="G23" s="28">
        <f>'02a_CSP_Contract_Alloc'!F23</f>
        <v/>
      </c>
      <c r="H23" s="6">
        <f>'02a_CSP_Contract_Alloc'!G23</f>
        <v/>
      </c>
      <c r="I23" s="28">
        <f>'02a_CSP_Contract_Alloc'!H23</f>
        <v/>
      </c>
      <c r="J23" s="6">
        <f>'02a_CSP_Contract_Alloc'!I23</f>
        <v/>
      </c>
      <c r="K23" s="28">
        <f>'02a_CSP_Contract_Alloc'!K23</f>
        <v/>
      </c>
      <c r="L23" s="28">
        <f>SUMIFS('02a_CSP_Contract_Alloc'!$K$2:$K$305,'02a_CSP_Contract_Alloc'!$B$2:$B$305,B23,'02a_CSP_Contract_Alloc'!$C$2:$C$305,C23,'02a_CSP_Contract_Alloc'!$D$2:$D$305,D23)</f>
        <v/>
      </c>
      <c r="M23" s="6">
        <f>IF(L23&gt;0,K23/L23,0)</f>
        <v/>
      </c>
      <c r="N23" s="28">
        <f>F23*M23</f>
        <v/>
      </c>
      <c r="O23" s="5">
        <f>'02a_CSP_Contract_Alloc'!L23</f>
        <v/>
      </c>
      <c r="P23" s="5" t="inlineStr">
        <is>
          <t>AI company inference power is normalized across CSPs by CSP total power * AI contract share * inference share.</t>
        </is>
      </c>
    </row>
    <row r="24">
      <c r="A24" s="5">
        <f>'02a_CSP_Contract_Alloc'!A24</f>
        <v/>
      </c>
      <c r="B24" s="5">
        <f>'02a_CSP_Contract_Alloc'!B24</f>
        <v/>
      </c>
      <c r="C24" s="5">
        <f>'02a_CSP_Contract_Alloc'!C24</f>
        <v/>
      </c>
      <c r="D24" s="5">
        <f>'02a_CSP_Contract_Alloc'!D24</f>
        <v/>
      </c>
      <c r="E24" s="5">
        <f>'02a_CSP_Contract_Alloc'!E24</f>
        <v/>
      </c>
      <c r="F24" s="28">
        <f>SUMPRODUCT(('02_Inputs'!$A$2:$A$181=B24)*('02_Inputs'!$B$2:$B$181=C24)*('02_Inputs'!$C$2:$C$181=D24)*'02_Inputs'!$D$2:$D$181*'02_Inputs'!$E$2:$E$181/'02_Inputs'!$F$2:$F$181*'02_Inputs'!$G$2:$G$181*'02_Inputs'!$H$2:$H$181*1000)</f>
        <v/>
      </c>
      <c r="G24" s="28">
        <f>'02a_CSP_Contract_Alloc'!F24</f>
        <v/>
      </c>
      <c r="H24" s="6">
        <f>'02a_CSP_Contract_Alloc'!G24</f>
        <v/>
      </c>
      <c r="I24" s="28">
        <f>'02a_CSP_Contract_Alloc'!H24</f>
        <v/>
      </c>
      <c r="J24" s="6">
        <f>'02a_CSP_Contract_Alloc'!I24</f>
        <v/>
      </c>
      <c r="K24" s="28">
        <f>'02a_CSP_Contract_Alloc'!K24</f>
        <v/>
      </c>
      <c r="L24" s="28">
        <f>SUMIFS('02a_CSP_Contract_Alloc'!$K$2:$K$305,'02a_CSP_Contract_Alloc'!$B$2:$B$305,B24,'02a_CSP_Contract_Alloc'!$C$2:$C$305,C24,'02a_CSP_Contract_Alloc'!$D$2:$D$305,D24)</f>
        <v/>
      </c>
      <c r="M24" s="6">
        <f>IF(L24&gt;0,K24/L24,0)</f>
        <v/>
      </c>
      <c r="N24" s="28">
        <f>F24*M24</f>
        <v/>
      </c>
      <c r="O24" s="5">
        <f>'02a_CSP_Contract_Alloc'!L24</f>
        <v/>
      </c>
      <c r="P24" s="5" t="inlineStr">
        <is>
          <t>AI company inference power is normalized across CSPs by CSP total power * AI contract share * inference share.</t>
        </is>
      </c>
    </row>
    <row r="25">
      <c r="A25" s="5">
        <f>'02a_CSP_Contract_Alloc'!A25</f>
        <v/>
      </c>
      <c r="B25" s="5">
        <f>'02a_CSP_Contract_Alloc'!B25</f>
        <v/>
      </c>
      <c r="C25" s="5">
        <f>'02a_CSP_Contract_Alloc'!C25</f>
        <v/>
      </c>
      <c r="D25" s="5">
        <f>'02a_CSP_Contract_Alloc'!D25</f>
        <v/>
      </c>
      <c r="E25" s="5">
        <f>'02a_CSP_Contract_Alloc'!E25</f>
        <v/>
      </c>
      <c r="F25" s="28">
        <f>SUMPRODUCT(('02_Inputs'!$A$2:$A$181=B25)*('02_Inputs'!$B$2:$B$181=C25)*('02_Inputs'!$C$2:$C$181=D25)*'02_Inputs'!$D$2:$D$181*'02_Inputs'!$E$2:$E$181/'02_Inputs'!$F$2:$F$181*'02_Inputs'!$G$2:$G$181*'02_Inputs'!$H$2:$H$181*1000)</f>
        <v/>
      </c>
      <c r="G25" s="28">
        <f>'02a_CSP_Contract_Alloc'!F25</f>
        <v/>
      </c>
      <c r="H25" s="6">
        <f>'02a_CSP_Contract_Alloc'!G25</f>
        <v/>
      </c>
      <c r="I25" s="28">
        <f>'02a_CSP_Contract_Alloc'!H25</f>
        <v/>
      </c>
      <c r="J25" s="6">
        <f>'02a_CSP_Contract_Alloc'!I25</f>
        <v/>
      </c>
      <c r="K25" s="28">
        <f>'02a_CSP_Contract_Alloc'!K25</f>
        <v/>
      </c>
      <c r="L25" s="28">
        <f>SUMIFS('02a_CSP_Contract_Alloc'!$K$2:$K$305,'02a_CSP_Contract_Alloc'!$B$2:$B$305,B25,'02a_CSP_Contract_Alloc'!$C$2:$C$305,C25,'02a_CSP_Contract_Alloc'!$D$2:$D$305,D25)</f>
        <v/>
      </c>
      <c r="M25" s="6">
        <f>IF(L25&gt;0,K25/L25,0)</f>
        <v/>
      </c>
      <c r="N25" s="28">
        <f>F25*M25</f>
        <v/>
      </c>
      <c r="O25" s="5">
        <f>'02a_CSP_Contract_Alloc'!L25</f>
        <v/>
      </c>
      <c r="P25" s="5" t="inlineStr">
        <is>
          <t>AI company inference power is normalized across CSPs by CSP total power * AI contract share * inference share.</t>
        </is>
      </c>
    </row>
    <row r="26">
      <c r="A26" s="5">
        <f>'02a_CSP_Contract_Alloc'!A26</f>
        <v/>
      </c>
      <c r="B26" s="5">
        <f>'02a_CSP_Contract_Alloc'!B26</f>
        <v/>
      </c>
      <c r="C26" s="5">
        <f>'02a_CSP_Contract_Alloc'!C26</f>
        <v/>
      </c>
      <c r="D26" s="5">
        <f>'02a_CSP_Contract_Alloc'!D26</f>
        <v/>
      </c>
      <c r="E26" s="5">
        <f>'02a_CSP_Contract_Alloc'!E26</f>
        <v/>
      </c>
      <c r="F26" s="28">
        <f>SUMPRODUCT(('02_Inputs'!$A$2:$A$181=B26)*('02_Inputs'!$B$2:$B$181=C26)*('02_Inputs'!$C$2:$C$181=D26)*'02_Inputs'!$D$2:$D$181*'02_Inputs'!$E$2:$E$181/'02_Inputs'!$F$2:$F$181*'02_Inputs'!$G$2:$G$181*'02_Inputs'!$H$2:$H$181*1000)</f>
        <v/>
      </c>
      <c r="G26" s="28">
        <f>'02a_CSP_Contract_Alloc'!F26</f>
        <v/>
      </c>
      <c r="H26" s="6">
        <f>'02a_CSP_Contract_Alloc'!G26</f>
        <v/>
      </c>
      <c r="I26" s="28">
        <f>'02a_CSP_Contract_Alloc'!H26</f>
        <v/>
      </c>
      <c r="J26" s="6">
        <f>'02a_CSP_Contract_Alloc'!I26</f>
        <v/>
      </c>
      <c r="K26" s="28">
        <f>'02a_CSP_Contract_Alloc'!K26</f>
        <v/>
      </c>
      <c r="L26" s="28">
        <f>SUMIFS('02a_CSP_Contract_Alloc'!$K$2:$K$305,'02a_CSP_Contract_Alloc'!$B$2:$B$305,B26,'02a_CSP_Contract_Alloc'!$C$2:$C$305,C26,'02a_CSP_Contract_Alloc'!$D$2:$D$305,D26)</f>
        <v/>
      </c>
      <c r="M26" s="6">
        <f>IF(L26&gt;0,K26/L26,0)</f>
        <v/>
      </c>
      <c r="N26" s="28">
        <f>F26*M26</f>
        <v/>
      </c>
      <c r="O26" s="5">
        <f>'02a_CSP_Contract_Alloc'!L26</f>
        <v/>
      </c>
      <c r="P26" s="5" t="inlineStr">
        <is>
          <t>AI company inference power is normalized across CSPs by CSP total power * AI contract share * inference share.</t>
        </is>
      </c>
    </row>
    <row r="27">
      <c r="A27" s="5">
        <f>'02a_CSP_Contract_Alloc'!A27</f>
        <v/>
      </c>
      <c r="B27" s="5">
        <f>'02a_CSP_Contract_Alloc'!B27</f>
        <v/>
      </c>
      <c r="C27" s="5">
        <f>'02a_CSP_Contract_Alloc'!C27</f>
        <v/>
      </c>
      <c r="D27" s="5">
        <f>'02a_CSP_Contract_Alloc'!D27</f>
        <v/>
      </c>
      <c r="E27" s="5">
        <f>'02a_CSP_Contract_Alloc'!E27</f>
        <v/>
      </c>
      <c r="F27" s="28">
        <f>SUMPRODUCT(('02_Inputs'!$A$2:$A$181=B27)*('02_Inputs'!$B$2:$B$181=C27)*('02_Inputs'!$C$2:$C$181=D27)*'02_Inputs'!$D$2:$D$181*'02_Inputs'!$E$2:$E$181/'02_Inputs'!$F$2:$F$181*'02_Inputs'!$G$2:$G$181*'02_Inputs'!$H$2:$H$181*1000)</f>
        <v/>
      </c>
      <c r="G27" s="28">
        <f>'02a_CSP_Contract_Alloc'!F27</f>
        <v/>
      </c>
      <c r="H27" s="6">
        <f>'02a_CSP_Contract_Alloc'!G27</f>
        <v/>
      </c>
      <c r="I27" s="28">
        <f>'02a_CSP_Contract_Alloc'!H27</f>
        <v/>
      </c>
      <c r="J27" s="6">
        <f>'02a_CSP_Contract_Alloc'!I27</f>
        <v/>
      </c>
      <c r="K27" s="28">
        <f>'02a_CSP_Contract_Alloc'!K27</f>
        <v/>
      </c>
      <c r="L27" s="28">
        <f>SUMIFS('02a_CSP_Contract_Alloc'!$K$2:$K$305,'02a_CSP_Contract_Alloc'!$B$2:$B$305,B27,'02a_CSP_Contract_Alloc'!$C$2:$C$305,C27,'02a_CSP_Contract_Alloc'!$D$2:$D$305,D27)</f>
        <v/>
      </c>
      <c r="M27" s="6">
        <f>IF(L27&gt;0,K27/L27,0)</f>
        <v/>
      </c>
      <c r="N27" s="28">
        <f>F27*M27</f>
        <v/>
      </c>
      <c r="O27" s="5">
        <f>'02a_CSP_Contract_Alloc'!L27</f>
        <v/>
      </c>
      <c r="P27" s="5" t="inlineStr">
        <is>
          <t>AI company inference power is normalized across CSPs by CSP total power * AI contract share * inference share.</t>
        </is>
      </c>
    </row>
    <row r="28">
      <c r="A28" s="5">
        <f>'02a_CSP_Contract_Alloc'!A28</f>
        <v/>
      </c>
      <c r="B28" s="5">
        <f>'02a_CSP_Contract_Alloc'!B28</f>
        <v/>
      </c>
      <c r="C28" s="5">
        <f>'02a_CSP_Contract_Alloc'!C28</f>
        <v/>
      </c>
      <c r="D28" s="5">
        <f>'02a_CSP_Contract_Alloc'!D28</f>
        <v/>
      </c>
      <c r="E28" s="5">
        <f>'02a_CSP_Contract_Alloc'!E28</f>
        <v/>
      </c>
      <c r="F28" s="28">
        <f>SUMPRODUCT(('02_Inputs'!$A$2:$A$181=B28)*('02_Inputs'!$B$2:$B$181=C28)*('02_Inputs'!$C$2:$C$181=D28)*'02_Inputs'!$D$2:$D$181*'02_Inputs'!$E$2:$E$181/'02_Inputs'!$F$2:$F$181*'02_Inputs'!$G$2:$G$181*'02_Inputs'!$H$2:$H$181*1000)</f>
        <v/>
      </c>
      <c r="G28" s="28">
        <f>'02a_CSP_Contract_Alloc'!F28</f>
        <v/>
      </c>
      <c r="H28" s="6">
        <f>'02a_CSP_Contract_Alloc'!G28</f>
        <v/>
      </c>
      <c r="I28" s="28">
        <f>'02a_CSP_Contract_Alloc'!H28</f>
        <v/>
      </c>
      <c r="J28" s="6">
        <f>'02a_CSP_Contract_Alloc'!I28</f>
        <v/>
      </c>
      <c r="K28" s="28">
        <f>'02a_CSP_Contract_Alloc'!K28</f>
        <v/>
      </c>
      <c r="L28" s="28">
        <f>SUMIFS('02a_CSP_Contract_Alloc'!$K$2:$K$305,'02a_CSP_Contract_Alloc'!$B$2:$B$305,B28,'02a_CSP_Contract_Alloc'!$C$2:$C$305,C28,'02a_CSP_Contract_Alloc'!$D$2:$D$305,D28)</f>
        <v/>
      </c>
      <c r="M28" s="6">
        <f>IF(L28&gt;0,K28/L28,0)</f>
        <v/>
      </c>
      <c r="N28" s="28">
        <f>F28*M28</f>
        <v/>
      </c>
      <c r="O28" s="5">
        <f>'02a_CSP_Contract_Alloc'!L28</f>
        <v/>
      </c>
      <c r="P28" s="5" t="inlineStr">
        <is>
          <t>AI company inference power is normalized across CSPs by CSP total power * AI contract share * inference share.</t>
        </is>
      </c>
    </row>
    <row r="29">
      <c r="A29" s="5">
        <f>'02a_CSP_Contract_Alloc'!A29</f>
        <v/>
      </c>
      <c r="B29" s="5">
        <f>'02a_CSP_Contract_Alloc'!B29</f>
        <v/>
      </c>
      <c r="C29" s="5">
        <f>'02a_CSP_Contract_Alloc'!C29</f>
        <v/>
      </c>
      <c r="D29" s="5">
        <f>'02a_CSP_Contract_Alloc'!D29</f>
        <v/>
      </c>
      <c r="E29" s="5">
        <f>'02a_CSP_Contract_Alloc'!E29</f>
        <v/>
      </c>
      <c r="F29" s="28">
        <f>SUMPRODUCT(('02_Inputs'!$A$2:$A$181=B29)*('02_Inputs'!$B$2:$B$181=C29)*('02_Inputs'!$C$2:$C$181=D29)*'02_Inputs'!$D$2:$D$181*'02_Inputs'!$E$2:$E$181/'02_Inputs'!$F$2:$F$181*'02_Inputs'!$G$2:$G$181*'02_Inputs'!$H$2:$H$181*1000)</f>
        <v/>
      </c>
      <c r="G29" s="28">
        <f>'02a_CSP_Contract_Alloc'!F29</f>
        <v/>
      </c>
      <c r="H29" s="6">
        <f>'02a_CSP_Contract_Alloc'!G29</f>
        <v/>
      </c>
      <c r="I29" s="28">
        <f>'02a_CSP_Contract_Alloc'!H29</f>
        <v/>
      </c>
      <c r="J29" s="6">
        <f>'02a_CSP_Contract_Alloc'!I29</f>
        <v/>
      </c>
      <c r="K29" s="28">
        <f>'02a_CSP_Contract_Alloc'!K29</f>
        <v/>
      </c>
      <c r="L29" s="28">
        <f>SUMIFS('02a_CSP_Contract_Alloc'!$K$2:$K$305,'02a_CSP_Contract_Alloc'!$B$2:$B$305,B29,'02a_CSP_Contract_Alloc'!$C$2:$C$305,C29,'02a_CSP_Contract_Alloc'!$D$2:$D$305,D29)</f>
        <v/>
      </c>
      <c r="M29" s="6">
        <f>IF(L29&gt;0,K29/L29,0)</f>
        <v/>
      </c>
      <c r="N29" s="28">
        <f>F29*M29</f>
        <v/>
      </c>
      <c r="O29" s="5">
        <f>'02a_CSP_Contract_Alloc'!L29</f>
        <v/>
      </c>
      <c r="P29" s="5" t="inlineStr">
        <is>
          <t>AI company inference power is normalized across CSPs by CSP total power * AI contract share * inference share.</t>
        </is>
      </c>
    </row>
    <row r="30">
      <c r="A30" s="5">
        <f>'02a_CSP_Contract_Alloc'!A30</f>
        <v/>
      </c>
      <c r="B30" s="5">
        <f>'02a_CSP_Contract_Alloc'!B30</f>
        <v/>
      </c>
      <c r="C30" s="5">
        <f>'02a_CSP_Contract_Alloc'!C30</f>
        <v/>
      </c>
      <c r="D30" s="5">
        <f>'02a_CSP_Contract_Alloc'!D30</f>
        <v/>
      </c>
      <c r="E30" s="5">
        <f>'02a_CSP_Contract_Alloc'!E30</f>
        <v/>
      </c>
      <c r="F30" s="28">
        <f>SUMPRODUCT(('02_Inputs'!$A$2:$A$181=B30)*('02_Inputs'!$B$2:$B$181=C30)*('02_Inputs'!$C$2:$C$181=D30)*'02_Inputs'!$D$2:$D$181*'02_Inputs'!$E$2:$E$181/'02_Inputs'!$F$2:$F$181*'02_Inputs'!$G$2:$G$181*'02_Inputs'!$H$2:$H$181*1000)</f>
        <v/>
      </c>
      <c r="G30" s="28">
        <f>'02a_CSP_Contract_Alloc'!F30</f>
        <v/>
      </c>
      <c r="H30" s="6">
        <f>'02a_CSP_Contract_Alloc'!G30</f>
        <v/>
      </c>
      <c r="I30" s="28">
        <f>'02a_CSP_Contract_Alloc'!H30</f>
        <v/>
      </c>
      <c r="J30" s="6">
        <f>'02a_CSP_Contract_Alloc'!I30</f>
        <v/>
      </c>
      <c r="K30" s="28">
        <f>'02a_CSP_Contract_Alloc'!K30</f>
        <v/>
      </c>
      <c r="L30" s="28">
        <f>SUMIFS('02a_CSP_Contract_Alloc'!$K$2:$K$305,'02a_CSP_Contract_Alloc'!$B$2:$B$305,B30,'02a_CSP_Contract_Alloc'!$C$2:$C$305,C30,'02a_CSP_Contract_Alloc'!$D$2:$D$305,D30)</f>
        <v/>
      </c>
      <c r="M30" s="6">
        <f>IF(L30&gt;0,K30/L30,0)</f>
        <v/>
      </c>
      <c r="N30" s="28">
        <f>F30*M30</f>
        <v/>
      </c>
      <c r="O30" s="5">
        <f>'02a_CSP_Contract_Alloc'!L30</f>
        <v/>
      </c>
      <c r="P30" s="5" t="inlineStr">
        <is>
          <t>AI company inference power is normalized across CSPs by CSP total power * AI contract share * inference share.</t>
        </is>
      </c>
    </row>
    <row r="31">
      <c r="A31" s="5">
        <f>'02a_CSP_Contract_Alloc'!A31</f>
        <v/>
      </c>
      <c r="B31" s="5">
        <f>'02a_CSP_Contract_Alloc'!B31</f>
        <v/>
      </c>
      <c r="C31" s="5">
        <f>'02a_CSP_Contract_Alloc'!C31</f>
        <v/>
      </c>
      <c r="D31" s="5">
        <f>'02a_CSP_Contract_Alloc'!D31</f>
        <v/>
      </c>
      <c r="E31" s="5">
        <f>'02a_CSP_Contract_Alloc'!E31</f>
        <v/>
      </c>
      <c r="F31" s="28">
        <f>SUMPRODUCT(('02_Inputs'!$A$2:$A$181=B31)*('02_Inputs'!$B$2:$B$181=C31)*('02_Inputs'!$C$2:$C$181=D31)*'02_Inputs'!$D$2:$D$181*'02_Inputs'!$E$2:$E$181/'02_Inputs'!$F$2:$F$181*'02_Inputs'!$G$2:$G$181*'02_Inputs'!$H$2:$H$181*1000)</f>
        <v/>
      </c>
      <c r="G31" s="28">
        <f>'02a_CSP_Contract_Alloc'!F31</f>
        <v/>
      </c>
      <c r="H31" s="6">
        <f>'02a_CSP_Contract_Alloc'!G31</f>
        <v/>
      </c>
      <c r="I31" s="28">
        <f>'02a_CSP_Contract_Alloc'!H31</f>
        <v/>
      </c>
      <c r="J31" s="6">
        <f>'02a_CSP_Contract_Alloc'!I31</f>
        <v/>
      </c>
      <c r="K31" s="28">
        <f>'02a_CSP_Contract_Alloc'!K31</f>
        <v/>
      </c>
      <c r="L31" s="28">
        <f>SUMIFS('02a_CSP_Contract_Alloc'!$K$2:$K$305,'02a_CSP_Contract_Alloc'!$B$2:$B$305,B31,'02a_CSP_Contract_Alloc'!$C$2:$C$305,C31,'02a_CSP_Contract_Alloc'!$D$2:$D$305,D31)</f>
        <v/>
      </c>
      <c r="M31" s="6">
        <f>IF(L31&gt;0,K31/L31,0)</f>
        <v/>
      </c>
      <c r="N31" s="28">
        <f>F31*M31</f>
        <v/>
      </c>
      <c r="O31" s="5">
        <f>'02a_CSP_Contract_Alloc'!L31</f>
        <v/>
      </c>
      <c r="P31" s="5" t="inlineStr">
        <is>
          <t>AI company inference power is normalized across CSPs by CSP total power * AI contract share * inference share.</t>
        </is>
      </c>
    </row>
    <row r="32">
      <c r="A32" s="5">
        <f>'02a_CSP_Contract_Alloc'!A32</f>
        <v/>
      </c>
      <c r="B32" s="5">
        <f>'02a_CSP_Contract_Alloc'!B32</f>
        <v/>
      </c>
      <c r="C32" s="5">
        <f>'02a_CSP_Contract_Alloc'!C32</f>
        <v/>
      </c>
      <c r="D32" s="5">
        <f>'02a_CSP_Contract_Alloc'!D32</f>
        <v/>
      </c>
      <c r="E32" s="5">
        <f>'02a_CSP_Contract_Alloc'!E32</f>
        <v/>
      </c>
      <c r="F32" s="28">
        <f>SUMPRODUCT(('02_Inputs'!$A$2:$A$181=B32)*('02_Inputs'!$B$2:$B$181=C32)*('02_Inputs'!$C$2:$C$181=D32)*'02_Inputs'!$D$2:$D$181*'02_Inputs'!$E$2:$E$181/'02_Inputs'!$F$2:$F$181*'02_Inputs'!$G$2:$G$181*'02_Inputs'!$H$2:$H$181*1000)</f>
        <v/>
      </c>
      <c r="G32" s="28">
        <f>'02a_CSP_Contract_Alloc'!F32</f>
        <v/>
      </c>
      <c r="H32" s="6">
        <f>'02a_CSP_Contract_Alloc'!G32</f>
        <v/>
      </c>
      <c r="I32" s="28">
        <f>'02a_CSP_Contract_Alloc'!H32</f>
        <v/>
      </c>
      <c r="J32" s="6">
        <f>'02a_CSP_Contract_Alloc'!I32</f>
        <v/>
      </c>
      <c r="K32" s="28">
        <f>'02a_CSP_Contract_Alloc'!K32</f>
        <v/>
      </c>
      <c r="L32" s="28">
        <f>SUMIFS('02a_CSP_Contract_Alloc'!$K$2:$K$305,'02a_CSP_Contract_Alloc'!$B$2:$B$305,B32,'02a_CSP_Contract_Alloc'!$C$2:$C$305,C32,'02a_CSP_Contract_Alloc'!$D$2:$D$305,D32)</f>
        <v/>
      </c>
      <c r="M32" s="6">
        <f>IF(L32&gt;0,K32/L32,0)</f>
        <v/>
      </c>
      <c r="N32" s="28">
        <f>F32*M32</f>
        <v/>
      </c>
      <c r="O32" s="5">
        <f>'02a_CSP_Contract_Alloc'!L32</f>
        <v/>
      </c>
      <c r="P32" s="5" t="inlineStr">
        <is>
          <t>AI company inference power is normalized across CSPs by CSP total power * AI contract share * inference share.</t>
        </is>
      </c>
    </row>
    <row r="33">
      <c r="A33" s="5">
        <f>'02a_CSP_Contract_Alloc'!A33</f>
        <v/>
      </c>
      <c r="B33" s="5">
        <f>'02a_CSP_Contract_Alloc'!B33</f>
        <v/>
      </c>
      <c r="C33" s="5">
        <f>'02a_CSP_Contract_Alloc'!C33</f>
        <v/>
      </c>
      <c r="D33" s="5">
        <f>'02a_CSP_Contract_Alloc'!D33</f>
        <v/>
      </c>
      <c r="E33" s="5">
        <f>'02a_CSP_Contract_Alloc'!E33</f>
        <v/>
      </c>
      <c r="F33" s="28">
        <f>SUMPRODUCT(('02_Inputs'!$A$2:$A$181=B33)*('02_Inputs'!$B$2:$B$181=C33)*('02_Inputs'!$C$2:$C$181=D33)*'02_Inputs'!$D$2:$D$181*'02_Inputs'!$E$2:$E$181/'02_Inputs'!$F$2:$F$181*'02_Inputs'!$G$2:$G$181*'02_Inputs'!$H$2:$H$181*1000)</f>
        <v/>
      </c>
      <c r="G33" s="28">
        <f>'02a_CSP_Contract_Alloc'!F33</f>
        <v/>
      </c>
      <c r="H33" s="6">
        <f>'02a_CSP_Contract_Alloc'!G33</f>
        <v/>
      </c>
      <c r="I33" s="28">
        <f>'02a_CSP_Contract_Alloc'!H33</f>
        <v/>
      </c>
      <c r="J33" s="6">
        <f>'02a_CSP_Contract_Alloc'!I33</f>
        <v/>
      </c>
      <c r="K33" s="28">
        <f>'02a_CSP_Contract_Alloc'!K33</f>
        <v/>
      </c>
      <c r="L33" s="28">
        <f>SUMIFS('02a_CSP_Contract_Alloc'!$K$2:$K$305,'02a_CSP_Contract_Alloc'!$B$2:$B$305,B33,'02a_CSP_Contract_Alloc'!$C$2:$C$305,C33,'02a_CSP_Contract_Alloc'!$D$2:$D$305,D33)</f>
        <v/>
      </c>
      <c r="M33" s="6">
        <f>IF(L33&gt;0,K33/L33,0)</f>
        <v/>
      </c>
      <c r="N33" s="28">
        <f>F33*M33</f>
        <v/>
      </c>
      <c r="O33" s="5">
        <f>'02a_CSP_Contract_Alloc'!L33</f>
        <v/>
      </c>
      <c r="P33" s="5" t="inlineStr">
        <is>
          <t>AI company inference power is normalized across CSPs by CSP total power * AI contract share * inference share.</t>
        </is>
      </c>
    </row>
    <row r="34">
      <c r="A34" s="5">
        <f>'02a_CSP_Contract_Alloc'!A34</f>
        <v/>
      </c>
      <c r="B34" s="5">
        <f>'02a_CSP_Contract_Alloc'!B34</f>
        <v/>
      </c>
      <c r="C34" s="5">
        <f>'02a_CSP_Contract_Alloc'!C34</f>
        <v/>
      </c>
      <c r="D34" s="5">
        <f>'02a_CSP_Contract_Alloc'!D34</f>
        <v/>
      </c>
      <c r="E34" s="5">
        <f>'02a_CSP_Contract_Alloc'!E34</f>
        <v/>
      </c>
      <c r="F34" s="28">
        <f>SUMPRODUCT(('02_Inputs'!$A$2:$A$181=B34)*('02_Inputs'!$B$2:$B$181=C34)*('02_Inputs'!$C$2:$C$181=D34)*'02_Inputs'!$D$2:$D$181*'02_Inputs'!$E$2:$E$181/'02_Inputs'!$F$2:$F$181*'02_Inputs'!$G$2:$G$181*'02_Inputs'!$H$2:$H$181*1000)</f>
        <v/>
      </c>
      <c r="G34" s="28">
        <f>'02a_CSP_Contract_Alloc'!F34</f>
        <v/>
      </c>
      <c r="H34" s="6">
        <f>'02a_CSP_Contract_Alloc'!G34</f>
        <v/>
      </c>
      <c r="I34" s="28">
        <f>'02a_CSP_Contract_Alloc'!H34</f>
        <v/>
      </c>
      <c r="J34" s="6">
        <f>'02a_CSP_Contract_Alloc'!I34</f>
        <v/>
      </c>
      <c r="K34" s="28">
        <f>'02a_CSP_Contract_Alloc'!K34</f>
        <v/>
      </c>
      <c r="L34" s="28">
        <f>SUMIFS('02a_CSP_Contract_Alloc'!$K$2:$K$305,'02a_CSP_Contract_Alloc'!$B$2:$B$305,B34,'02a_CSP_Contract_Alloc'!$C$2:$C$305,C34,'02a_CSP_Contract_Alloc'!$D$2:$D$305,D34)</f>
        <v/>
      </c>
      <c r="M34" s="6">
        <f>IF(L34&gt;0,K34/L34,0)</f>
        <v/>
      </c>
      <c r="N34" s="28">
        <f>F34*M34</f>
        <v/>
      </c>
      <c r="O34" s="5">
        <f>'02a_CSP_Contract_Alloc'!L34</f>
        <v/>
      </c>
      <c r="P34" s="5" t="inlineStr">
        <is>
          <t>AI company inference power is normalized across CSPs by CSP total power * AI contract share * inference share.</t>
        </is>
      </c>
    </row>
    <row r="35">
      <c r="A35" s="5">
        <f>'02a_CSP_Contract_Alloc'!A35</f>
        <v/>
      </c>
      <c r="B35" s="5">
        <f>'02a_CSP_Contract_Alloc'!B35</f>
        <v/>
      </c>
      <c r="C35" s="5">
        <f>'02a_CSP_Contract_Alloc'!C35</f>
        <v/>
      </c>
      <c r="D35" s="5">
        <f>'02a_CSP_Contract_Alloc'!D35</f>
        <v/>
      </c>
      <c r="E35" s="5">
        <f>'02a_CSP_Contract_Alloc'!E35</f>
        <v/>
      </c>
      <c r="F35" s="28">
        <f>SUMPRODUCT(('02_Inputs'!$A$2:$A$181=B35)*('02_Inputs'!$B$2:$B$181=C35)*('02_Inputs'!$C$2:$C$181=D35)*'02_Inputs'!$D$2:$D$181*'02_Inputs'!$E$2:$E$181/'02_Inputs'!$F$2:$F$181*'02_Inputs'!$G$2:$G$181*'02_Inputs'!$H$2:$H$181*1000)</f>
        <v/>
      </c>
      <c r="G35" s="28">
        <f>'02a_CSP_Contract_Alloc'!F35</f>
        <v/>
      </c>
      <c r="H35" s="6">
        <f>'02a_CSP_Contract_Alloc'!G35</f>
        <v/>
      </c>
      <c r="I35" s="28">
        <f>'02a_CSP_Contract_Alloc'!H35</f>
        <v/>
      </c>
      <c r="J35" s="6">
        <f>'02a_CSP_Contract_Alloc'!I35</f>
        <v/>
      </c>
      <c r="K35" s="28">
        <f>'02a_CSP_Contract_Alloc'!K35</f>
        <v/>
      </c>
      <c r="L35" s="28">
        <f>SUMIFS('02a_CSP_Contract_Alloc'!$K$2:$K$305,'02a_CSP_Contract_Alloc'!$B$2:$B$305,B35,'02a_CSP_Contract_Alloc'!$C$2:$C$305,C35,'02a_CSP_Contract_Alloc'!$D$2:$D$305,D35)</f>
        <v/>
      </c>
      <c r="M35" s="6">
        <f>IF(L35&gt;0,K35/L35,0)</f>
        <v/>
      </c>
      <c r="N35" s="28">
        <f>F35*M35</f>
        <v/>
      </c>
      <c r="O35" s="5">
        <f>'02a_CSP_Contract_Alloc'!L35</f>
        <v/>
      </c>
      <c r="P35" s="5" t="inlineStr">
        <is>
          <t>AI company inference power is normalized across CSPs by CSP total power * AI contract share * inference share.</t>
        </is>
      </c>
    </row>
    <row r="36">
      <c r="A36" s="5">
        <f>'02a_CSP_Contract_Alloc'!A36</f>
        <v/>
      </c>
      <c r="B36" s="5">
        <f>'02a_CSP_Contract_Alloc'!B36</f>
        <v/>
      </c>
      <c r="C36" s="5">
        <f>'02a_CSP_Contract_Alloc'!C36</f>
        <v/>
      </c>
      <c r="D36" s="5">
        <f>'02a_CSP_Contract_Alloc'!D36</f>
        <v/>
      </c>
      <c r="E36" s="5">
        <f>'02a_CSP_Contract_Alloc'!E36</f>
        <v/>
      </c>
      <c r="F36" s="28">
        <f>SUMPRODUCT(('02_Inputs'!$A$2:$A$181=B36)*('02_Inputs'!$B$2:$B$181=C36)*('02_Inputs'!$C$2:$C$181=D36)*'02_Inputs'!$D$2:$D$181*'02_Inputs'!$E$2:$E$181/'02_Inputs'!$F$2:$F$181*'02_Inputs'!$G$2:$G$181*'02_Inputs'!$H$2:$H$181*1000)</f>
        <v/>
      </c>
      <c r="G36" s="28">
        <f>'02a_CSP_Contract_Alloc'!F36</f>
        <v/>
      </c>
      <c r="H36" s="6">
        <f>'02a_CSP_Contract_Alloc'!G36</f>
        <v/>
      </c>
      <c r="I36" s="28">
        <f>'02a_CSP_Contract_Alloc'!H36</f>
        <v/>
      </c>
      <c r="J36" s="6">
        <f>'02a_CSP_Contract_Alloc'!I36</f>
        <v/>
      </c>
      <c r="K36" s="28">
        <f>'02a_CSP_Contract_Alloc'!K36</f>
        <v/>
      </c>
      <c r="L36" s="28">
        <f>SUMIFS('02a_CSP_Contract_Alloc'!$K$2:$K$305,'02a_CSP_Contract_Alloc'!$B$2:$B$305,B36,'02a_CSP_Contract_Alloc'!$C$2:$C$305,C36,'02a_CSP_Contract_Alloc'!$D$2:$D$305,D36)</f>
        <v/>
      </c>
      <c r="M36" s="6">
        <f>IF(L36&gt;0,K36/L36,0)</f>
        <v/>
      </c>
      <c r="N36" s="28">
        <f>F36*M36</f>
        <v/>
      </c>
      <c r="O36" s="5">
        <f>'02a_CSP_Contract_Alloc'!L36</f>
        <v/>
      </c>
      <c r="P36" s="5" t="inlineStr">
        <is>
          <t>AI company inference power is normalized across CSPs by CSP total power * AI contract share * inference share.</t>
        </is>
      </c>
    </row>
    <row r="37">
      <c r="A37" s="5">
        <f>'02a_CSP_Contract_Alloc'!A37</f>
        <v/>
      </c>
      <c r="B37" s="5">
        <f>'02a_CSP_Contract_Alloc'!B37</f>
        <v/>
      </c>
      <c r="C37" s="5">
        <f>'02a_CSP_Contract_Alloc'!C37</f>
        <v/>
      </c>
      <c r="D37" s="5">
        <f>'02a_CSP_Contract_Alloc'!D37</f>
        <v/>
      </c>
      <c r="E37" s="5">
        <f>'02a_CSP_Contract_Alloc'!E37</f>
        <v/>
      </c>
      <c r="F37" s="28">
        <f>SUMPRODUCT(('02_Inputs'!$A$2:$A$181=B37)*('02_Inputs'!$B$2:$B$181=C37)*('02_Inputs'!$C$2:$C$181=D37)*'02_Inputs'!$D$2:$D$181*'02_Inputs'!$E$2:$E$181/'02_Inputs'!$F$2:$F$181*'02_Inputs'!$G$2:$G$181*'02_Inputs'!$H$2:$H$181*1000)</f>
        <v/>
      </c>
      <c r="G37" s="28">
        <f>'02a_CSP_Contract_Alloc'!F37</f>
        <v/>
      </c>
      <c r="H37" s="6">
        <f>'02a_CSP_Contract_Alloc'!G37</f>
        <v/>
      </c>
      <c r="I37" s="28">
        <f>'02a_CSP_Contract_Alloc'!H37</f>
        <v/>
      </c>
      <c r="J37" s="6">
        <f>'02a_CSP_Contract_Alloc'!I37</f>
        <v/>
      </c>
      <c r="K37" s="28">
        <f>'02a_CSP_Contract_Alloc'!K37</f>
        <v/>
      </c>
      <c r="L37" s="28">
        <f>SUMIFS('02a_CSP_Contract_Alloc'!$K$2:$K$305,'02a_CSP_Contract_Alloc'!$B$2:$B$305,B37,'02a_CSP_Contract_Alloc'!$C$2:$C$305,C37,'02a_CSP_Contract_Alloc'!$D$2:$D$305,D37)</f>
        <v/>
      </c>
      <c r="M37" s="6">
        <f>IF(L37&gt;0,K37/L37,0)</f>
        <v/>
      </c>
      <c r="N37" s="28">
        <f>F37*M37</f>
        <v/>
      </c>
      <c r="O37" s="5">
        <f>'02a_CSP_Contract_Alloc'!L37</f>
        <v/>
      </c>
      <c r="P37" s="5" t="inlineStr">
        <is>
          <t>AI company inference power is normalized across CSPs by CSP total power * AI contract share * inference share.</t>
        </is>
      </c>
    </row>
    <row r="38">
      <c r="A38" s="5">
        <f>'02a_CSP_Contract_Alloc'!A38</f>
        <v/>
      </c>
      <c r="B38" s="5">
        <f>'02a_CSP_Contract_Alloc'!B38</f>
        <v/>
      </c>
      <c r="C38" s="5">
        <f>'02a_CSP_Contract_Alloc'!C38</f>
        <v/>
      </c>
      <c r="D38" s="5">
        <f>'02a_CSP_Contract_Alloc'!D38</f>
        <v/>
      </c>
      <c r="E38" s="5">
        <f>'02a_CSP_Contract_Alloc'!E38</f>
        <v/>
      </c>
      <c r="F38" s="28">
        <f>SUMPRODUCT(('02_Inputs'!$A$2:$A$181=B38)*('02_Inputs'!$B$2:$B$181=C38)*('02_Inputs'!$C$2:$C$181=D38)*'02_Inputs'!$D$2:$D$181*'02_Inputs'!$E$2:$E$181/'02_Inputs'!$F$2:$F$181*'02_Inputs'!$G$2:$G$181*'02_Inputs'!$H$2:$H$181*1000)</f>
        <v/>
      </c>
      <c r="G38" s="28">
        <f>'02a_CSP_Contract_Alloc'!F38</f>
        <v/>
      </c>
      <c r="H38" s="6">
        <f>'02a_CSP_Contract_Alloc'!G38</f>
        <v/>
      </c>
      <c r="I38" s="28">
        <f>'02a_CSP_Contract_Alloc'!H38</f>
        <v/>
      </c>
      <c r="J38" s="6">
        <f>'02a_CSP_Contract_Alloc'!I38</f>
        <v/>
      </c>
      <c r="K38" s="28">
        <f>'02a_CSP_Contract_Alloc'!K38</f>
        <v/>
      </c>
      <c r="L38" s="28">
        <f>SUMIFS('02a_CSP_Contract_Alloc'!$K$2:$K$305,'02a_CSP_Contract_Alloc'!$B$2:$B$305,B38,'02a_CSP_Contract_Alloc'!$C$2:$C$305,C38,'02a_CSP_Contract_Alloc'!$D$2:$D$305,D38)</f>
        <v/>
      </c>
      <c r="M38" s="6">
        <f>IF(L38&gt;0,K38/L38,0)</f>
        <v/>
      </c>
      <c r="N38" s="28">
        <f>F38*M38</f>
        <v/>
      </c>
      <c r="O38" s="5">
        <f>'02a_CSP_Contract_Alloc'!L38</f>
        <v/>
      </c>
      <c r="P38" s="5" t="inlineStr">
        <is>
          <t>AI company inference power is normalized across CSPs by CSP total power * AI contract share * inference share.</t>
        </is>
      </c>
    </row>
    <row r="39">
      <c r="A39" s="5">
        <f>'02a_CSP_Contract_Alloc'!A39</f>
        <v/>
      </c>
      <c r="B39" s="5">
        <f>'02a_CSP_Contract_Alloc'!B39</f>
        <v/>
      </c>
      <c r="C39" s="5">
        <f>'02a_CSP_Contract_Alloc'!C39</f>
        <v/>
      </c>
      <c r="D39" s="5">
        <f>'02a_CSP_Contract_Alloc'!D39</f>
        <v/>
      </c>
      <c r="E39" s="5">
        <f>'02a_CSP_Contract_Alloc'!E39</f>
        <v/>
      </c>
      <c r="F39" s="28">
        <f>SUMPRODUCT(('02_Inputs'!$A$2:$A$181=B39)*('02_Inputs'!$B$2:$B$181=C39)*('02_Inputs'!$C$2:$C$181=D39)*'02_Inputs'!$D$2:$D$181*'02_Inputs'!$E$2:$E$181/'02_Inputs'!$F$2:$F$181*'02_Inputs'!$G$2:$G$181*'02_Inputs'!$H$2:$H$181*1000)</f>
        <v/>
      </c>
      <c r="G39" s="28">
        <f>'02a_CSP_Contract_Alloc'!F39</f>
        <v/>
      </c>
      <c r="H39" s="6">
        <f>'02a_CSP_Contract_Alloc'!G39</f>
        <v/>
      </c>
      <c r="I39" s="28">
        <f>'02a_CSP_Contract_Alloc'!H39</f>
        <v/>
      </c>
      <c r="J39" s="6">
        <f>'02a_CSP_Contract_Alloc'!I39</f>
        <v/>
      </c>
      <c r="K39" s="28">
        <f>'02a_CSP_Contract_Alloc'!K39</f>
        <v/>
      </c>
      <c r="L39" s="28">
        <f>SUMIFS('02a_CSP_Contract_Alloc'!$K$2:$K$305,'02a_CSP_Contract_Alloc'!$B$2:$B$305,B39,'02a_CSP_Contract_Alloc'!$C$2:$C$305,C39,'02a_CSP_Contract_Alloc'!$D$2:$D$305,D39)</f>
        <v/>
      </c>
      <c r="M39" s="6">
        <f>IF(L39&gt;0,K39/L39,0)</f>
        <v/>
      </c>
      <c r="N39" s="28">
        <f>F39*M39</f>
        <v/>
      </c>
      <c r="O39" s="5">
        <f>'02a_CSP_Contract_Alloc'!L39</f>
        <v/>
      </c>
      <c r="P39" s="5" t="inlineStr">
        <is>
          <t>AI company inference power is normalized across CSPs by CSP total power * AI contract share * inference share.</t>
        </is>
      </c>
    </row>
    <row r="40">
      <c r="A40" s="5">
        <f>'02a_CSP_Contract_Alloc'!A40</f>
        <v/>
      </c>
      <c r="B40" s="5">
        <f>'02a_CSP_Contract_Alloc'!B40</f>
        <v/>
      </c>
      <c r="C40" s="5">
        <f>'02a_CSP_Contract_Alloc'!C40</f>
        <v/>
      </c>
      <c r="D40" s="5">
        <f>'02a_CSP_Contract_Alloc'!D40</f>
        <v/>
      </c>
      <c r="E40" s="5">
        <f>'02a_CSP_Contract_Alloc'!E40</f>
        <v/>
      </c>
      <c r="F40" s="28">
        <f>SUMPRODUCT(('02_Inputs'!$A$2:$A$181=B40)*('02_Inputs'!$B$2:$B$181=C40)*('02_Inputs'!$C$2:$C$181=D40)*'02_Inputs'!$D$2:$D$181*'02_Inputs'!$E$2:$E$181/'02_Inputs'!$F$2:$F$181*'02_Inputs'!$G$2:$G$181*'02_Inputs'!$H$2:$H$181*1000)</f>
        <v/>
      </c>
      <c r="G40" s="28">
        <f>'02a_CSP_Contract_Alloc'!F40</f>
        <v/>
      </c>
      <c r="H40" s="6">
        <f>'02a_CSP_Contract_Alloc'!G40</f>
        <v/>
      </c>
      <c r="I40" s="28">
        <f>'02a_CSP_Contract_Alloc'!H40</f>
        <v/>
      </c>
      <c r="J40" s="6">
        <f>'02a_CSP_Contract_Alloc'!I40</f>
        <v/>
      </c>
      <c r="K40" s="28">
        <f>'02a_CSP_Contract_Alloc'!K40</f>
        <v/>
      </c>
      <c r="L40" s="28">
        <f>SUMIFS('02a_CSP_Contract_Alloc'!$K$2:$K$305,'02a_CSP_Contract_Alloc'!$B$2:$B$305,B40,'02a_CSP_Contract_Alloc'!$C$2:$C$305,C40,'02a_CSP_Contract_Alloc'!$D$2:$D$305,D40)</f>
        <v/>
      </c>
      <c r="M40" s="6">
        <f>IF(L40&gt;0,K40/L40,0)</f>
        <v/>
      </c>
      <c r="N40" s="28">
        <f>F40*M40</f>
        <v/>
      </c>
      <c r="O40" s="5">
        <f>'02a_CSP_Contract_Alloc'!L40</f>
        <v/>
      </c>
      <c r="P40" s="5" t="inlineStr">
        <is>
          <t>AI company inference power is normalized across CSPs by CSP total power * AI contract share * inference share.</t>
        </is>
      </c>
    </row>
    <row r="41">
      <c r="A41" s="5">
        <f>'02a_CSP_Contract_Alloc'!A41</f>
        <v/>
      </c>
      <c r="B41" s="5">
        <f>'02a_CSP_Contract_Alloc'!B41</f>
        <v/>
      </c>
      <c r="C41" s="5">
        <f>'02a_CSP_Contract_Alloc'!C41</f>
        <v/>
      </c>
      <c r="D41" s="5">
        <f>'02a_CSP_Contract_Alloc'!D41</f>
        <v/>
      </c>
      <c r="E41" s="5">
        <f>'02a_CSP_Contract_Alloc'!E41</f>
        <v/>
      </c>
      <c r="F41" s="28">
        <f>SUMPRODUCT(('02_Inputs'!$A$2:$A$181=B41)*('02_Inputs'!$B$2:$B$181=C41)*('02_Inputs'!$C$2:$C$181=D41)*'02_Inputs'!$D$2:$D$181*'02_Inputs'!$E$2:$E$181/'02_Inputs'!$F$2:$F$181*'02_Inputs'!$G$2:$G$181*'02_Inputs'!$H$2:$H$181*1000)</f>
        <v/>
      </c>
      <c r="G41" s="28">
        <f>'02a_CSP_Contract_Alloc'!F41</f>
        <v/>
      </c>
      <c r="H41" s="6">
        <f>'02a_CSP_Contract_Alloc'!G41</f>
        <v/>
      </c>
      <c r="I41" s="28">
        <f>'02a_CSP_Contract_Alloc'!H41</f>
        <v/>
      </c>
      <c r="J41" s="6">
        <f>'02a_CSP_Contract_Alloc'!I41</f>
        <v/>
      </c>
      <c r="K41" s="28">
        <f>'02a_CSP_Contract_Alloc'!K41</f>
        <v/>
      </c>
      <c r="L41" s="28">
        <f>SUMIFS('02a_CSP_Contract_Alloc'!$K$2:$K$305,'02a_CSP_Contract_Alloc'!$B$2:$B$305,B41,'02a_CSP_Contract_Alloc'!$C$2:$C$305,C41,'02a_CSP_Contract_Alloc'!$D$2:$D$305,D41)</f>
        <v/>
      </c>
      <c r="M41" s="6">
        <f>IF(L41&gt;0,K41/L41,0)</f>
        <v/>
      </c>
      <c r="N41" s="28">
        <f>F41*M41</f>
        <v/>
      </c>
      <c r="O41" s="5">
        <f>'02a_CSP_Contract_Alloc'!L41</f>
        <v/>
      </c>
      <c r="P41" s="5" t="inlineStr">
        <is>
          <t>AI company inference power is normalized across CSPs by CSP total power * AI contract share * inference share.</t>
        </is>
      </c>
    </row>
    <row r="42">
      <c r="A42" s="5">
        <f>'02a_CSP_Contract_Alloc'!A42</f>
        <v/>
      </c>
      <c r="B42" s="5">
        <f>'02a_CSP_Contract_Alloc'!B42</f>
        <v/>
      </c>
      <c r="C42" s="5">
        <f>'02a_CSP_Contract_Alloc'!C42</f>
        <v/>
      </c>
      <c r="D42" s="5">
        <f>'02a_CSP_Contract_Alloc'!D42</f>
        <v/>
      </c>
      <c r="E42" s="5">
        <f>'02a_CSP_Contract_Alloc'!E42</f>
        <v/>
      </c>
      <c r="F42" s="28">
        <f>SUMPRODUCT(('02_Inputs'!$A$2:$A$181=B42)*('02_Inputs'!$B$2:$B$181=C42)*('02_Inputs'!$C$2:$C$181=D42)*'02_Inputs'!$D$2:$D$181*'02_Inputs'!$E$2:$E$181/'02_Inputs'!$F$2:$F$181*'02_Inputs'!$G$2:$G$181*'02_Inputs'!$H$2:$H$181*1000)</f>
        <v/>
      </c>
      <c r="G42" s="28">
        <f>'02a_CSP_Contract_Alloc'!F42</f>
        <v/>
      </c>
      <c r="H42" s="6">
        <f>'02a_CSP_Contract_Alloc'!G42</f>
        <v/>
      </c>
      <c r="I42" s="28">
        <f>'02a_CSP_Contract_Alloc'!H42</f>
        <v/>
      </c>
      <c r="J42" s="6">
        <f>'02a_CSP_Contract_Alloc'!I42</f>
        <v/>
      </c>
      <c r="K42" s="28">
        <f>'02a_CSP_Contract_Alloc'!K42</f>
        <v/>
      </c>
      <c r="L42" s="28">
        <f>SUMIFS('02a_CSP_Contract_Alloc'!$K$2:$K$305,'02a_CSP_Contract_Alloc'!$B$2:$B$305,B42,'02a_CSP_Contract_Alloc'!$C$2:$C$305,C42,'02a_CSP_Contract_Alloc'!$D$2:$D$305,D42)</f>
        <v/>
      </c>
      <c r="M42" s="6">
        <f>IF(L42&gt;0,K42/L42,0)</f>
        <v/>
      </c>
      <c r="N42" s="28">
        <f>F42*M42</f>
        <v/>
      </c>
      <c r="O42" s="5">
        <f>'02a_CSP_Contract_Alloc'!L42</f>
        <v/>
      </c>
      <c r="P42" s="5" t="inlineStr">
        <is>
          <t>AI company inference power is normalized across CSPs by CSP total power * AI contract share * inference share.</t>
        </is>
      </c>
    </row>
    <row r="43">
      <c r="A43" s="5">
        <f>'02a_CSP_Contract_Alloc'!A43</f>
        <v/>
      </c>
      <c r="B43" s="5">
        <f>'02a_CSP_Contract_Alloc'!B43</f>
        <v/>
      </c>
      <c r="C43" s="5">
        <f>'02a_CSP_Contract_Alloc'!C43</f>
        <v/>
      </c>
      <c r="D43" s="5">
        <f>'02a_CSP_Contract_Alloc'!D43</f>
        <v/>
      </c>
      <c r="E43" s="5">
        <f>'02a_CSP_Contract_Alloc'!E43</f>
        <v/>
      </c>
      <c r="F43" s="28">
        <f>SUMPRODUCT(('02_Inputs'!$A$2:$A$181=B43)*('02_Inputs'!$B$2:$B$181=C43)*('02_Inputs'!$C$2:$C$181=D43)*'02_Inputs'!$D$2:$D$181*'02_Inputs'!$E$2:$E$181/'02_Inputs'!$F$2:$F$181*'02_Inputs'!$G$2:$G$181*'02_Inputs'!$H$2:$H$181*1000)</f>
        <v/>
      </c>
      <c r="G43" s="28">
        <f>'02a_CSP_Contract_Alloc'!F43</f>
        <v/>
      </c>
      <c r="H43" s="6">
        <f>'02a_CSP_Contract_Alloc'!G43</f>
        <v/>
      </c>
      <c r="I43" s="28">
        <f>'02a_CSP_Contract_Alloc'!H43</f>
        <v/>
      </c>
      <c r="J43" s="6">
        <f>'02a_CSP_Contract_Alloc'!I43</f>
        <v/>
      </c>
      <c r="K43" s="28">
        <f>'02a_CSP_Contract_Alloc'!K43</f>
        <v/>
      </c>
      <c r="L43" s="28">
        <f>SUMIFS('02a_CSP_Contract_Alloc'!$K$2:$K$305,'02a_CSP_Contract_Alloc'!$B$2:$B$305,B43,'02a_CSP_Contract_Alloc'!$C$2:$C$305,C43,'02a_CSP_Contract_Alloc'!$D$2:$D$305,D43)</f>
        <v/>
      </c>
      <c r="M43" s="6">
        <f>IF(L43&gt;0,K43/L43,0)</f>
        <v/>
      </c>
      <c r="N43" s="28">
        <f>F43*M43</f>
        <v/>
      </c>
      <c r="O43" s="5">
        <f>'02a_CSP_Contract_Alloc'!L43</f>
        <v/>
      </c>
      <c r="P43" s="5" t="inlineStr">
        <is>
          <t>AI company inference power is normalized across CSPs by CSP total power * AI contract share * inference share.</t>
        </is>
      </c>
    </row>
    <row r="44">
      <c r="A44" s="5">
        <f>'02a_CSP_Contract_Alloc'!A44</f>
        <v/>
      </c>
      <c r="B44" s="5">
        <f>'02a_CSP_Contract_Alloc'!B44</f>
        <v/>
      </c>
      <c r="C44" s="5">
        <f>'02a_CSP_Contract_Alloc'!C44</f>
        <v/>
      </c>
      <c r="D44" s="5">
        <f>'02a_CSP_Contract_Alloc'!D44</f>
        <v/>
      </c>
      <c r="E44" s="5">
        <f>'02a_CSP_Contract_Alloc'!E44</f>
        <v/>
      </c>
      <c r="F44" s="28">
        <f>SUMPRODUCT(('02_Inputs'!$A$2:$A$181=B44)*('02_Inputs'!$B$2:$B$181=C44)*('02_Inputs'!$C$2:$C$181=D44)*'02_Inputs'!$D$2:$D$181*'02_Inputs'!$E$2:$E$181/'02_Inputs'!$F$2:$F$181*'02_Inputs'!$G$2:$G$181*'02_Inputs'!$H$2:$H$181*1000)</f>
        <v/>
      </c>
      <c r="G44" s="28">
        <f>'02a_CSP_Contract_Alloc'!F44</f>
        <v/>
      </c>
      <c r="H44" s="6">
        <f>'02a_CSP_Contract_Alloc'!G44</f>
        <v/>
      </c>
      <c r="I44" s="28">
        <f>'02a_CSP_Contract_Alloc'!H44</f>
        <v/>
      </c>
      <c r="J44" s="6">
        <f>'02a_CSP_Contract_Alloc'!I44</f>
        <v/>
      </c>
      <c r="K44" s="28">
        <f>'02a_CSP_Contract_Alloc'!K44</f>
        <v/>
      </c>
      <c r="L44" s="28">
        <f>SUMIFS('02a_CSP_Contract_Alloc'!$K$2:$K$305,'02a_CSP_Contract_Alloc'!$B$2:$B$305,B44,'02a_CSP_Contract_Alloc'!$C$2:$C$305,C44,'02a_CSP_Contract_Alloc'!$D$2:$D$305,D44)</f>
        <v/>
      </c>
      <c r="M44" s="6">
        <f>IF(L44&gt;0,K44/L44,0)</f>
        <v/>
      </c>
      <c r="N44" s="28">
        <f>F44*M44</f>
        <v/>
      </c>
      <c r="O44" s="5">
        <f>'02a_CSP_Contract_Alloc'!L44</f>
        <v/>
      </c>
      <c r="P44" s="5" t="inlineStr">
        <is>
          <t>AI company inference power is normalized across CSPs by CSP total power * AI contract share * inference share.</t>
        </is>
      </c>
    </row>
    <row r="45">
      <c r="A45" s="5">
        <f>'02a_CSP_Contract_Alloc'!A45</f>
        <v/>
      </c>
      <c r="B45" s="5">
        <f>'02a_CSP_Contract_Alloc'!B45</f>
        <v/>
      </c>
      <c r="C45" s="5">
        <f>'02a_CSP_Contract_Alloc'!C45</f>
        <v/>
      </c>
      <c r="D45" s="5">
        <f>'02a_CSP_Contract_Alloc'!D45</f>
        <v/>
      </c>
      <c r="E45" s="5">
        <f>'02a_CSP_Contract_Alloc'!E45</f>
        <v/>
      </c>
      <c r="F45" s="28">
        <f>SUMPRODUCT(('02_Inputs'!$A$2:$A$181=B45)*('02_Inputs'!$B$2:$B$181=C45)*('02_Inputs'!$C$2:$C$181=D45)*'02_Inputs'!$D$2:$D$181*'02_Inputs'!$E$2:$E$181/'02_Inputs'!$F$2:$F$181*'02_Inputs'!$G$2:$G$181*'02_Inputs'!$H$2:$H$181*1000)</f>
        <v/>
      </c>
      <c r="G45" s="28">
        <f>'02a_CSP_Contract_Alloc'!F45</f>
        <v/>
      </c>
      <c r="H45" s="6">
        <f>'02a_CSP_Contract_Alloc'!G45</f>
        <v/>
      </c>
      <c r="I45" s="28">
        <f>'02a_CSP_Contract_Alloc'!H45</f>
        <v/>
      </c>
      <c r="J45" s="6">
        <f>'02a_CSP_Contract_Alloc'!I45</f>
        <v/>
      </c>
      <c r="K45" s="28">
        <f>'02a_CSP_Contract_Alloc'!K45</f>
        <v/>
      </c>
      <c r="L45" s="28">
        <f>SUMIFS('02a_CSP_Contract_Alloc'!$K$2:$K$305,'02a_CSP_Contract_Alloc'!$B$2:$B$305,B45,'02a_CSP_Contract_Alloc'!$C$2:$C$305,C45,'02a_CSP_Contract_Alloc'!$D$2:$D$305,D45)</f>
        <v/>
      </c>
      <c r="M45" s="6">
        <f>IF(L45&gt;0,K45/L45,0)</f>
        <v/>
      </c>
      <c r="N45" s="28">
        <f>F45*M45</f>
        <v/>
      </c>
      <c r="O45" s="5">
        <f>'02a_CSP_Contract_Alloc'!L45</f>
        <v/>
      </c>
      <c r="P45" s="5" t="inlineStr">
        <is>
          <t>AI company inference power is normalized across CSPs by CSP total power * AI contract share * inference share.</t>
        </is>
      </c>
    </row>
    <row r="46">
      <c r="A46" s="5">
        <f>'02a_CSP_Contract_Alloc'!A46</f>
        <v/>
      </c>
      <c r="B46" s="5">
        <f>'02a_CSP_Contract_Alloc'!B46</f>
        <v/>
      </c>
      <c r="C46" s="5">
        <f>'02a_CSP_Contract_Alloc'!C46</f>
        <v/>
      </c>
      <c r="D46" s="5">
        <f>'02a_CSP_Contract_Alloc'!D46</f>
        <v/>
      </c>
      <c r="E46" s="5">
        <f>'02a_CSP_Contract_Alloc'!E46</f>
        <v/>
      </c>
      <c r="F46" s="28">
        <f>SUMPRODUCT(('02_Inputs'!$A$2:$A$181=B46)*('02_Inputs'!$B$2:$B$181=C46)*('02_Inputs'!$C$2:$C$181=D46)*'02_Inputs'!$D$2:$D$181*'02_Inputs'!$E$2:$E$181/'02_Inputs'!$F$2:$F$181*'02_Inputs'!$G$2:$G$181*'02_Inputs'!$H$2:$H$181*1000)</f>
        <v/>
      </c>
      <c r="G46" s="28">
        <f>'02a_CSP_Contract_Alloc'!F46</f>
        <v/>
      </c>
      <c r="H46" s="6">
        <f>'02a_CSP_Contract_Alloc'!G46</f>
        <v/>
      </c>
      <c r="I46" s="28">
        <f>'02a_CSP_Contract_Alloc'!H46</f>
        <v/>
      </c>
      <c r="J46" s="6">
        <f>'02a_CSP_Contract_Alloc'!I46</f>
        <v/>
      </c>
      <c r="K46" s="28">
        <f>'02a_CSP_Contract_Alloc'!K46</f>
        <v/>
      </c>
      <c r="L46" s="28">
        <f>SUMIFS('02a_CSP_Contract_Alloc'!$K$2:$K$305,'02a_CSP_Contract_Alloc'!$B$2:$B$305,B46,'02a_CSP_Contract_Alloc'!$C$2:$C$305,C46,'02a_CSP_Contract_Alloc'!$D$2:$D$305,D46)</f>
        <v/>
      </c>
      <c r="M46" s="6">
        <f>IF(L46&gt;0,K46/L46,0)</f>
        <v/>
      </c>
      <c r="N46" s="28">
        <f>F46*M46</f>
        <v/>
      </c>
      <c r="O46" s="5">
        <f>'02a_CSP_Contract_Alloc'!L46</f>
        <v/>
      </c>
      <c r="P46" s="5" t="inlineStr">
        <is>
          <t>AI company inference power is normalized across CSPs by CSP total power * AI contract share * inference share.</t>
        </is>
      </c>
    </row>
    <row r="47">
      <c r="A47" s="5">
        <f>'02a_CSP_Contract_Alloc'!A47</f>
        <v/>
      </c>
      <c r="B47" s="5">
        <f>'02a_CSP_Contract_Alloc'!B47</f>
        <v/>
      </c>
      <c r="C47" s="5">
        <f>'02a_CSP_Contract_Alloc'!C47</f>
        <v/>
      </c>
      <c r="D47" s="5">
        <f>'02a_CSP_Contract_Alloc'!D47</f>
        <v/>
      </c>
      <c r="E47" s="5">
        <f>'02a_CSP_Contract_Alloc'!E47</f>
        <v/>
      </c>
      <c r="F47" s="28">
        <f>SUMPRODUCT(('02_Inputs'!$A$2:$A$181=B47)*('02_Inputs'!$B$2:$B$181=C47)*('02_Inputs'!$C$2:$C$181=D47)*'02_Inputs'!$D$2:$D$181*'02_Inputs'!$E$2:$E$181/'02_Inputs'!$F$2:$F$181*'02_Inputs'!$G$2:$G$181*'02_Inputs'!$H$2:$H$181*1000)</f>
        <v/>
      </c>
      <c r="G47" s="28">
        <f>'02a_CSP_Contract_Alloc'!F47</f>
        <v/>
      </c>
      <c r="H47" s="6">
        <f>'02a_CSP_Contract_Alloc'!G47</f>
        <v/>
      </c>
      <c r="I47" s="28">
        <f>'02a_CSP_Contract_Alloc'!H47</f>
        <v/>
      </c>
      <c r="J47" s="6">
        <f>'02a_CSP_Contract_Alloc'!I47</f>
        <v/>
      </c>
      <c r="K47" s="28">
        <f>'02a_CSP_Contract_Alloc'!K47</f>
        <v/>
      </c>
      <c r="L47" s="28">
        <f>SUMIFS('02a_CSP_Contract_Alloc'!$K$2:$K$305,'02a_CSP_Contract_Alloc'!$B$2:$B$305,B47,'02a_CSP_Contract_Alloc'!$C$2:$C$305,C47,'02a_CSP_Contract_Alloc'!$D$2:$D$305,D47)</f>
        <v/>
      </c>
      <c r="M47" s="6">
        <f>IF(L47&gt;0,K47/L47,0)</f>
        <v/>
      </c>
      <c r="N47" s="28">
        <f>F47*M47</f>
        <v/>
      </c>
      <c r="O47" s="5">
        <f>'02a_CSP_Contract_Alloc'!L47</f>
        <v/>
      </c>
      <c r="P47" s="5" t="inlineStr">
        <is>
          <t>AI company inference power is normalized across CSPs by CSP total power * AI contract share * inference share.</t>
        </is>
      </c>
    </row>
    <row r="48">
      <c r="A48" s="5">
        <f>'02a_CSP_Contract_Alloc'!A48</f>
        <v/>
      </c>
      <c r="B48" s="5">
        <f>'02a_CSP_Contract_Alloc'!B48</f>
        <v/>
      </c>
      <c r="C48" s="5">
        <f>'02a_CSP_Contract_Alloc'!C48</f>
        <v/>
      </c>
      <c r="D48" s="5">
        <f>'02a_CSP_Contract_Alloc'!D48</f>
        <v/>
      </c>
      <c r="E48" s="5">
        <f>'02a_CSP_Contract_Alloc'!E48</f>
        <v/>
      </c>
      <c r="F48" s="28">
        <f>SUMPRODUCT(('02_Inputs'!$A$2:$A$181=B48)*('02_Inputs'!$B$2:$B$181=C48)*('02_Inputs'!$C$2:$C$181=D48)*'02_Inputs'!$D$2:$D$181*'02_Inputs'!$E$2:$E$181/'02_Inputs'!$F$2:$F$181*'02_Inputs'!$G$2:$G$181*'02_Inputs'!$H$2:$H$181*1000)</f>
        <v/>
      </c>
      <c r="G48" s="28">
        <f>'02a_CSP_Contract_Alloc'!F48</f>
        <v/>
      </c>
      <c r="H48" s="6">
        <f>'02a_CSP_Contract_Alloc'!G48</f>
        <v/>
      </c>
      <c r="I48" s="28">
        <f>'02a_CSP_Contract_Alloc'!H48</f>
        <v/>
      </c>
      <c r="J48" s="6">
        <f>'02a_CSP_Contract_Alloc'!I48</f>
        <v/>
      </c>
      <c r="K48" s="28">
        <f>'02a_CSP_Contract_Alloc'!K48</f>
        <v/>
      </c>
      <c r="L48" s="28">
        <f>SUMIFS('02a_CSP_Contract_Alloc'!$K$2:$K$305,'02a_CSP_Contract_Alloc'!$B$2:$B$305,B48,'02a_CSP_Contract_Alloc'!$C$2:$C$305,C48,'02a_CSP_Contract_Alloc'!$D$2:$D$305,D48)</f>
        <v/>
      </c>
      <c r="M48" s="6">
        <f>IF(L48&gt;0,K48/L48,0)</f>
        <v/>
      </c>
      <c r="N48" s="28">
        <f>F48*M48</f>
        <v/>
      </c>
      <c r="O48" s="5">
        <f>'02a_CSP_Contract_Alloc'!L48</f>
        <v/>
      </c>
      <c r="P48" s="5" t="inlineStr">
        <is>
          <t>AI company inference power is normalized across CSPs by CSP total power * AI contract share * inference share.</t>
        </is>
      </c>
    </row>
    <row r="49">
      <c r="A49" s="5">
        <f>'02a_CSP_Contract_Alloc'!A49</f>
        <v/>
      </c>
      <c r="B49" s="5">
        <f>'02a_CSP_Contract_Alloc'!B49</f>
        <v/>
      </c>
      <c r="C49" s="5">
        <f>'02a_CSP_Contract_Alloc'!C49</f>
        <v/>
      </c>
      <c r="D49" s="5">
        <f>'02a_CSP_Contract_Alloc'!D49</f>
        <v/>
      </c>
      <c r="E49" s="5">
        <f>'02a_CSP_Contract_Alloc'!E49</f>
        <v/>
      </c>
      <c r="F49" s="28">
        <f>SUMPRODUCT(('02_Inputs'!$A$2:$A$181=B49)*('02_Inputs'!$B$2:$B$181=C49)*('02_Inputs'!$C$2:$C$181=D49)*'02_Inputs'!$D$2:$D$181*'02_Inputs'!$E$2:$E$181/'02_Inputs'!$F$2:$F$181*'02_Inputs'!$G$2:$G$181*'02_Inputs'!$H$2:$H$181*1000)</f>
        <v/>
      </c>
      <c r="G49" s="28">
        <f>'02a_CSP_Contract_Alloc'!F49</f>
        <v/>
      </c>
      <c r="H49" s="6">
        <f>'02a_CSP_Contract_Alloc'!G49</f>
        <v/>
      </c>
      <c r="I49" s="28">
        <f>'02a_CSP_Contract_Alloc'!H49</f>
        <v/>
      </c>
      <c r="J49" s="6">
        <f>'02a_CSP_Contract_Alloc'!I49</f>
        <v/>
      </c>
      <c r="K49" s="28">
        <f>'02a_CSP_Contract_Alloc'!K49</f>
        <v/>
      </c>
      <c r="L49" s="28">
        <f>SUMIFS('02a_CSP_Contract_Alloc'!$K$2:$K$305,'02a_CSP_Contract_Alloc'!$B$2:$B$305,B49,'02a_CSP_Contract_Alloc'!$C$2:$C$305,C49,'02a_CSP_Contract_Alloc'!$D$2:$D$305,D49)</f>
        <v/>
      </c>
      <c r="M49" s="6">
        <f>IF(L49&gt;0,K49/L49,0)</f>
        <v/>
      </c>
      <c r="N49" s="28">
        <f>F49*M49</f>
        <v/>
      </c>
      <c r="O49" s="5">
        <f>'02a_CSP_Contract_Alloc'!L49</f>
        <v/>
      </c>
      <c r="P49" s="5" t="inlineStr">
        <is>
          <t>AI company inference power is normalized across CSPs by CSP total power * AI contract share * inference share.</t>
        </is>
      </c>
    </row>
    <row r="50">
      <c r="A50" s="5">
        <f>'02a_CSP_Contract_Alloc'!A50</f>
        <v/>
      </c>
      <c r="B50" s="5">
        <f>'02a_CSP_Contract_Alloc'!B50</f>
        <v/>
      </c>
      <c r="C50" s="5">
        <f>'02a_CSP_Contract_Alloc'!C50</f>
        <v/>
      </c>
      <c r="D50" s="5">
        <f>'02a_CSP_Contract_Alloc'!D50</f>
        <v/>
      </c>
      <c r="E50" s="5">
        <f>'02a_CSP_Contract_Alloc'!E50</f>
        <v/>
      </c>
      <c r="F50" s="28">
        <f>SUMPRODUCT(('02_Inputs'!$A$2:$A$181=B50)*('02_Inputs'!$B$2:$B$181=C50)*('02_Inputs'!$C$2:$C$181=D50)*'02_Inputs'!$D$2:$D$181*'02_Inputs'!$E$2:$E$181/'02_Inputs'!$F$2:$F$181*'02_Inputs'!$G$2:$G$181*'02_Inputs'!$H$2:$H$181*1000)</f>
        <v/>
      </c>
      <c r="G50" s="28">
        <f>'02a_CSP_Contract_Alloc'!F50</f>
        <v/>
      </c>
      <c r="H50" s="6">
        <f>'02a_CSP_Contract_Alloc'!G50</f>
        <v/>
      </c>
      <c r="I50" s="28">
        <f>'02a_CSP_Contract_Alloc'!H50</f>
        <v/>
      </c>
      <c r="J50" s="6">
        <f>'02a_CSP_Contract_Alloc'!I50</f>
        <v/>
      </c>
      <c r="K50" s="28">
        <f>'02a_CSP_Contract_Alloc'!K50</f>
        <v/>
      </c>
      <c r="L50" s="28">
        <f>SUMIFS('02a_CSP_Contract_Alloc'!$K$2:$K$305,'02a_CSP_Contract_Alloc'!$B$2:$B$305,B50,'02a_CSP_Contract_Alloc'!$C$2:$C$305,C50,'02a_CSP_Contract_Alloc'!$D$2:$D$305,D50)</f>
        <v/>
      </c>
      <c r="M50" s="6">
        <f>IF(L50&gt;0,K50/L50,0)</f>
        <v/>
      </c>
      <c r="N50" s="28">
        <f>F50*M50</f>
        <v/>
      </c>
      <c r="O50" s="5">
        <f>'02a_CSP_Contract_Alloc'!L50</f>
        <v/>
      </c>
      <c r="P50" s="5" t="inlineStr">
        <is>
          <t>AI company inference power is normalized across CSPs by CSP total power * AI contract share * inference share.</t>
        </is>
      </c>
    </row>
    <row r="51">
      <c r="A51" s="5">
        <f>'02a_CSP_Contract_Alloc'!A51</f>
        <v/>
      </c>
      <c r="B51" s="5">
        <f>'02a_CSP_Contract_Alloc'!B51</f>
        <v/>
      </c>
      <c r="C51" s="5">
        <f>'02a_CSP_Contract_Alloc'!C51</f>
        <v/>
      </c>
      <c r="D51" s="5">
        <f>'02a_CSP_Contract_Alloc'!D51</f>
        <v/>
      </c>
      <c r="E51" s="5">
        <f>'02a_CSP_Contract_Alloc'!E51</f>
        <v/>
      </c>
      <c r="F51" s="28">
        <f>SUMPRODUCT(('02_Inputs'!$A$2:$A$181=B51)*('02_Inputs'!$B$2:$B$181=C51)*('02_Inputs'!$C$2:$C$181=D51)*'02_Inputs'!$D$2:$D$181*'02_Inputs'!$E$2:$E$181/'02_Inputs'!$F$2:$F$181*'02_Inputs'!$G$2:$G$181*'02_Inputs'!$H$2:$H$181*1000)</f>
        <v/>
      </c>
      <c r="G51" s="28">
        <f>'02a_CSP_Contract_Alloc'!F51</f>
        <v/>
      </c>
      <c r="H51" s="6">
        <f>'02a_CSP_Contract_Alloc'!G51</f>
        <v/>
      </c>
      <c r="I51" s="28">
        <f>'02a_CSP_Contract_Alloc'!H51</f>
        <v/>
      </c>
      <c r="J51" s="6">
        <f>'02a_CSP_Contract_Alloc'!I51</f>
        <v/>
      </c>
      <c r="K51" s="28">
        <f>'02a_CSP_Contract_Alloc'!K51</f>
        <v/>
      </c>
      <c r="L51" s="28">
        <f>SUMIFS('02a_CSP_Contract_Alloc'!$K$2:$K$305,'02a_CSP_Contract_Alloc'!$B$2:$B$305,B51,'02a_CSP_Contract_Alloc'!$C$2:$C$305,C51,'02a_CSP_Contract_Alloc'!$D$2:$D$305,D51)</f>
        <v/>
      </c>
      <c r="M51" s="6">
        <f>IF(L51&gt;0,K51/L51,0)</f>
        <v/>
      </c>
      <c r="N51" s="28">
        <f>F51*M51</f>
        <v/>
      </c>
      <c r="O51" s="5">
        <f>'02a_CSP_Contract_Alloc'!L51</f>
        <v/>
      </c>
      <c r="P51" s="5" t="inlineStr">
        <is>
          <t>AI company inference power is normalized across CSPs by CSP total power * AI contract share * inference share.</t>
        </is>
      </c>
    </row>
    <row r="52">
      <c r="A52" s="5">
        <f>'02a_CSP_Contract_Alloc'!A52</f>
        <v/>
      </c>
      <c r="B52" s="5">
        <f>'02a_CSP_Contract_Alloc'!B52</f>
        <v/>
      </c>
      <c r="C52" s="5">
        <f>'02a_CSP_Contract_Alloc'!C52</f>
        <v/>
      </c>
      <c r="D52" s="5">
        <f>'02a_CSP_Contract_Alloc'!D52</f>
        <v/>
      </c>
      <c r="E52" s="5">
        <f>'02a_CSP_Contract_Alloc'!E52</f>
        <v/>
      </c>
      <c r="F52" s="28">
        <f>SUMPRODUCT(('02_Inputs'!$A$2:$A$181=B52)*('02_Inputs'!$B$2:$B$181=C52)*('02_Inputs'!$C$2:$C$181=D52)*'02_Inputs'!$D$2:$D$181*'02_Inputs'!$E$2:$E$181/'02_Inputs'!$F$2:$F$181*'02_Inputs'!$G$2:$G$181*'02_Inputs'!$H$2:$H$181*1000)</f>
        <v/>
      </c>
      <c r="G52" s="28">
        <f>'02a_CSP_Contract_Alloc'!F52</f>
        <v/>
      </c>
      <c r="H52" s="6">
        <f>'02a_CSP_Contract_Alloc'!G52</f>
        <v/>
      </c>
      <c r="I52" s="28">
        <f>'02a_CSP_Contract_Alloc'!H52</f>
        <v/>
      </c>
      <c r="J52" s="6">
        <f>'02a_CSP_Contract_Alloc'!I52</f>
        <v/>
      </c>
      <c r="K52" s="28">
        <f>'02a_CSP_Contract_Alloc'!K52</f>
        <v/>
      </c>
      <c r="L52" s="28">
        <f>SUMIFS('02a_CSP_Contract_Alloc'!$K$2:$K$305,'02a_CSP_Contract_Alloc'!$B$2:$B$305,B52,'02a_CSP_Contract_Alloc'!$C$2:$C$305,C52,'02a_CSP_Contract_Alloc'!$D$2:$D$305,D52)</f>
        <v/>
      </c>
      <c r="M52" s="6">
        <f>IF(L52&gt;0,K52/L52,0)</f>
        <v/>
      </c>
      <c r="N52" s="28">
        <f>F52*M52</f>
        <v/>
      </c>
      <c r="O52" s="5">
        <f>'02a_CSP_Contract_Alloc'!L52</f>
        <v/>
      </c>
      <c r="P52" s="5" t="inlineStr">
        <is>
          <t>AI company inference power is normalized across CSPs by CSP total power * AI contract share * inference share.</t>
        </is>
      </c>
    </row>
    <row r="53">
      <c r="A53" s="5">
        <f>'02a_CSP_Contract_Alloc'!A53</f>
        <v/>
      </c>
      <c r="B53" s="5">
        <f>'02a_CSP_Contract_Alloc'!B53</f>
        <v/>
      </c>
      <c r="C53" s="5">
        <f>'02a_CSP_Contract_Alloc'!C53</f>
        <v/>
      </c>
      <c r="D53" s="5">
        <f>'02a_CSP_Contract_Alloc'!D53</f>
        <v/>
      </c>
      <c r="E53" s="5">
        <f>'02a_CSP_Contract_Alloc'!E53</f>
        <v/>
      </c>
      <c r="F53" s="28">
        <f>SUMPRODUCT(('02_Inputs'!$A$2:$A$181=B53)*('02_Inputs'!$B$2:$B$181=C53)*('02_Inputs'!$C$2:$C$181=D53)*'02_Inputs'!$D$2:$D$181*'02_Inputs'!$E$2:$E$181/'02_Inputs'!$F$2:$F$181*'02_Inputs'!$G$2:$G$181*'02_Inputs'!$H$2:$H$181*1000)</f>
        <v/>
      </c>
      <c r="G53" s="28">
        <f>'02a_CSP_Contract_Alloc'!F53</f>
        <v/>
      </c>
      <c r="H53" s="6">
        <f>'02a_CSP_Contract_Alloc'!G53</f>
        <v/>
      </c>
      <c r="I53" s="28">
        <f>'02a_CSP_Contract_Alloc'!H53</f>
        <v/>
      </c>
      <c r="J53" s="6">
        <f>'02a_CSP_Contract_Alloc'!I53</f>
        <v/>
      </c>
      <c r="K53" s="28">
        <f>'02a_CSP_Contract_Alloc'!K53</f>
        <v/>
      </c>
      <c r="L53" s="28">
        <f>SUMIFS('02a_CSP_Contract_Alloc'!$K$2:$K$305,'02a_CSP_Contract_Alloc'!$B$2:$B$305,B53,'02a_CSP_Contract_Alloc'!$C$2:$C$305,C53,'02a_CSP_Contract_Alloc'!$D$2:$D$305,D53)</f>
        <v/>
      </c>
      <c r="M53" s="6">
        <f>IF(L53&gt;0,K53/L53,0)</f>
        <v/>
      </c>
      <c r="N53" s="28">
        <f>F53*M53</f>
        <v/>
      </c>
      <c r="O53" s="5">
        <f>'02a_CSP_Contract_Alloc'!L53</f>
        <v/>
      </c>
      <c r="P53" s="5" t="inlineStr">
        <is>
          <t>AI company inference power is normalized across CSPs by CSP total power * AI contract share * inference share.</t>
        </is>
      </c>
    </row>
    <row r="54">
      <c r="A54" s="5">
        <f>'02a_CSP_Contract_Alloc'!A54</f>
        <v/>
      </c>
      <c r="B54" s="5">
        <f>'02a_CSP_Contract_Alloc'!B54</f>
        <v/>
      </c>
      <c r="C54" s="5">
        <f>'02a_CSP_Contract_Alloc'!C54</f>
        <v/>
      </c>
      <c r="D54" s="5">
        <f>'02a_CSP_Contract_Alloc'!D54</f>
        <v/>
      </c>
      <c r="E54" s="5">
        <f>'02a_CSP_Contract_Alloc'!E54</f>
        <v/>
      </c>
      <c r="F54" s="28">
        <f>SUMPRODUCT(('02_Inputs'!$A$2:$A$181=B54)*('02_Inputs'!$B$2:$B$181=C54)*('02_Inputs'!$C$2:$C$181=D54)*'02_Inputs'!$D$2:$D$181*'02_Inputs'!$E$2:$E$181/'02_Inputs'!$F$2:$F$181*'02_Inputs'!$G$2:$G$181*'02_Inputs'!$H$2:$H$181*1000)</f>
        <v/>
      </c>
      <c r="G54" s="28">
        <f>'02a_CSP_Contract_Alloc'!F54</f>
        <v/>
      </c>
      <c r="H54" s="6">
        <f>'02a_CSP_Contract_Alloc'!G54</f>
        <v/>
      </c>
      <c r="I54" s="28">
        <f>'02a_CSP_Contract_Alloc'!H54</f>
        <v/>
      </c>
      <c r="J54" s="6">
        <f>'02a_CSP_Contract_Alloc'!I54</f>
        <v/>
      </c>
      <c r="K54" s="28">
        <f>'02a_CSP_Contract_Alloc'!K54</f>
        <v/>
      </c>
      <c r="L54" s="28">
        <f>SUMIFS('02a_CSP_Contract_Alloc'!$K$2:$K$305,'02a_CSP_Contract_Alloc'!$B$2:$B$305,B54,'02a_CSP_Contract_Alloc'!$C$2:$C$305,C54,'02a_CSP_Contract_Alloc'!$D$2:$D$305,D54)</f>
        <v/>
      </c>
      <c r="M54" s="6">
        <f>IF(L54&gt;0,K54/L54,0)</f>
        <v/>
      </c>
      <c r="N54" s="28">
        <f>F54*M54</f>
        <v/>
      </c>
      <c r="O54" s="5">
        <f>'02a_CSP_Contract_Alloc'!L54</f>
        <v/>
      </c>
      <c r="P54" s="5" t="inlineStr">
        <is>
          <t>AI company inference power is normalized across CSPs by CSP total power * AI contract share * inference share.</t>
        </is>
      </c>
    </row>
    <row r="55">
      <c r="A55" s="5">
        <f>'02a_CSP_Contract_Alloc'!A55</f>
        <v/>
      </c>
      <c r="B55" s="5">
        <f>'02a_CSP_Contract_Alloc'!B55</f>
        <v/>
      </c>
      <c r="C55" s="5">
        <f>'02a_CSP_Contract_Alloc'!C55</f>
        <v/>
      </c>
      <c r="D55" s="5">
        <f>'02a_CSP_Contract_Alloc'!D55</f>
        <v/>
      </c>
      <c r="E55" s="5">
        <f>'02a_CSP_Contract_Alloc'!E55</f>
        <v/>
      </c>
      <c r="F55" s="28">
        <f>SUMPRODUCT(('02_Inputs'!$A$2:$A$181=B55)*('02_Inputs'!$B$2:$B$181=C55)*('02_Inputs'!$C$2:$C$181=D55)*'02_Inputs'!$D$2:$D$181*'02_Inputs'!$E$2:$E$181/'02_Inputs'!$F$2:$F$181*'02_Inputs'!$G$2:$G$181*'02_Inputs'!$H$2:$H$181*1000)</f>
        <v/>
      </c>
      <c r="G55" s="28">
        <f>'02a_CSP_Contract_Alloc'!F55</f>
        <v/>
      </c>
      <c r="H55" s="6">
        <f>'02a_CSP_Contract_Alloc'!G55</f>
        <v/>
      </c>
      <c r="I55" s="28">
        <f>'02a_CSP_Contract_Alloc'!H55</f>
        <v/>
      </c>
      <c r="J55" s="6">
        <f>'02a_CSP_Contract_Alloc'!I55</f>
        <v/>
      </c>
      <c r="K55" s="28">
        <f>'02a_CSP_Contract_Alloc'!K55</f>
        <v/>
      </c>
      <c r="L55" s="28">
        <f>SUMIFS('02a_CSP_Contract_Alloc'!$K$2:$K$305,'02a_CSP_Contract_Alloc'!$B$2:$B$305,B55,'02a_CSP_Contract_Alloc'!$C$2:$C$305,C55,'02a_CSP_Contract_Alloc'!$D$2:$D$305,D55)</f>
        <v/>
      </c>
      <c r="M55" s="6">
        <f>IF(L55&gt;0,K55/L55,0)</f>
        <v/>
      </c>
      <c r="N55" s="28">
        <f>F55*M55</f>
        <v/>
      </c>
      <c r="O55" s="5">
        <f>'02a_CSP_Contract_Alloc'!L55</f>
        <v/>
      </c>
      <c r="P55" s="5" t="inlineStr">
        <is>
          <t>AI company inference power is normalized across CSPs by CSP total power * AI contract share * inference share.</t>
        </is>
      </c>
    </row>
    <row r="56">
      <c r="A56" s="5">
        <f>'02a_CSP_Contract_Alloc'!A56</f>
        <v/>
      </c>
      <c r="B56" s="5">
        <f>'02a_CSP_Contract_Alloc'!B56</f>
        <v/>
      </c>
      <c r="C56" s="5">
        <f>'02a_CSP_Contract_Alloc'!C56</f>
        <v/>
      </c>
      <c r="D56" s="5">
        <f>'02a_CSP_Contract_Alloc'!D56</f>
        <v/>
      </c>
      <c r="E56" s="5">
        <f>'02a_CSP_Contract_Alloc'!E56</f>
        <v/>
      </c>
      <c r="F56" s="28">
        <f>SUMPRODUCT(('02_Inputs'!$A$2:$A$181=B56)*('02_Inputs'!$B$2:$B$181=C56)*('02_Inputs'!$C$2:$C$181=D56)*'02_Inputs'!$D$2:$D$181*'02_Inputs'!$E$2:$E$181/'02_Inputs'!$F$2:$F$181*'02_Inputs'!$G$2:$G$181*'02_Inputs'!$H$2:$H$181*1000)</f>
        <v/>
      </c>
      <c r="G56" s="28">
        <f>'02a_CSP_Contract_Alloc'!F56</f>
        <v/>
      </c>
      <c r="H56" s="6">
        <f>'02a_CSP_Contract_Alloc'!G56</f>
        <v/>
      </c>
      <c r="I56" s="28">
        <f>'02a_CSP_Contract_Alloc'!H56</f>
        <v/>
      </c>
      <c r="J56" s="6">
        <f>'02a_CSP_Contract_Alloc'!I56</f>
        <v/>
      </c>
      <c r="K56" s="28">
        <f>'02a_CSP_Contract_Alloc'!K56</f>
        <v/>
      </c>
      <c r="L56" s="28">
        <f>SUMIFS('02a_CSP_Contract_Alloc'!$K$2:$K$305,'02a_CSP_Contract_Alloc'!$B$2:$B$305,B56,'02a_CSP_Contract_Alloc'!$C$2:$C$305,C56,'02a_CSP_Contract_Alloc'!$D$2:$D$305,D56)</f>
        <v/>
      </c>
      <c r="M56" s="6">
        <f>IF(L56&gt;0,K56/L56,0)</f>
        <v/>
      </c>
      <c r="N56" s="28">
        <f>F56*M56</f>
        <v/>
      </c>
      <c r="O56" s="5">
        <f>'02a_CSP_Contract_Alloc'!L56</f>
        <v/>
      </c>
      <c r="P56" s="5" t="inlineStr">
        <is>
          <t>AI company inference power is normalized across CSPs by CSP total power * AI contract share * inference share.</t>
        </is>
      </c>
    </row>
    <row r="57">
      <c r="A57" s="5">
        <f>'02a_CSP_Contract_Alloc'!A57</f>
        <v/>
      </c>
      <c r="B57" s="5">
        <f>'02a_CSP_Contract_Alloc'!B57</f>
        <v/>
      </c>
      <c r="C57" s="5">
        <f>'02a_CSP_Contract_Alloc'!C57</f>
        <v/>
      </c>
      <c r="D57" s="5">
        <f>'02a_CSP_Contract_Alloc'!D57</f>
        <v/>
      </c>
      <c r="E57" s="5">
        <f>'02a_CSP_Contract_Alloc'!E57</f>
        <v/>
      </c>
      <c r="F57" s="28">
        <f>SUMPRODUCT(('02_Inputs'!$A$2:$A$181=B57)*('02_Inputs'!$B$2:$B$181=C57)*('02_Inputs'!$C$2:$C$181=D57)*'02_Inputs'!$D$2:$D$181*'02_Inputs'!$E$2:$E$181/'02_Inputs'!$F$2:$F$181*'02_Inputs'!$G$2:$G$181*'02_Inputs'!$H$2:$H$181*1000)</f>
        <v/>
      </c>
      <c r="G57" s="28">
        <f>'02a_CSP_Contract_Alloc'!F57</f>
        <v/>
      </c>
      <c r="H57" s="6">
        <f>'02a_CSP_Contract_Alloc'!G57</f>
        <v/>
      </c>
      <c r="I57" s="28">
        <f>'02a_CSP_Contract_Alloc'!H57</f>
        <v/>
      </c>
      <c r="J57" s="6">
        <f>'02a_CSP_Contract_Alloc'!I57</f>
        <v/>
      </c>
      <c r="K57" s="28">
        <f>'02a_CSP_Contract_Alloc'!K57</f>
        <v/>
      </c>
      <c r="L57" s="28">
        <f>SUMIFS('02a_CSP_Contract_Alloc'!$K$2:$K$305,'02a_CSP_Contract_Alloc'!$B$2:$B$305,B57,'02a_CSP_Contract_Alloc'!$C$2:$C$305,C57,'02a_CSP_Contract_Alloc'!$D$2:$D$305,D57)</f>
        <v/>
      </c>
      <c r="M57" s="6">
        <f>IF(L57&gt;0,K57/L57,0)</f>
        <v/>
      </c>
      <c r="N57" s="28">
        <f>F57*M57</f>
        <v/>
      </c>
      <c r="O57" s="5">
        <f>'02a_CSP_Contract_Alloc'!L57</f>
        <v/>
      </c>
      <c r="P57" s="5" t="inlineStr">
        <is>
          <t>AI company inference power is normalized across CSPs by CSP total power * AI contract share * inference share.</t>
        </is>
      </c>
    </row>
    <row r="58">
      <c r="A58" s="5">
        <f>'02a_CSP_Contract_Alloc'!A58</f>
        <v/>
      </c>
      <c r="B58" s="5">
        <f>'02a_CSP_Contract_Alloc'!B58</f>
        <v/>
      </c>
      <c r="C58" s="5">
        <f>'02a_CSP_Contract_Alloc'!C58</f>
        <v/>
      </c>
      <c r="D58" s="5">
        <f>'02a_CSP_Contract_Alloc'!D58</f>
        <v/>
      </c>
      <c r="E58" s="5">
        <f>'02a_CSP_Contract_Alloc'!E58</f>
        <v/>
      </c>
      <c r="F58" s="28">
        <f>SUMPRODUCT(('02_Inputs'!$A$2:$A$181=B58)*('02_Inputs'!$B$2:$B$181=C58)*('02_Inputs'!$C$2:$C$181=D58)*'02_Inputs'!$D$2:$D$181*'02_Inputs'!$E$2:$E$181/'02_Inputs'!$F$2:$F$181*'02_Inputs'!$G$2:$G$181*'02_Inputs'!$H$2:$H$181*1000)</f>
        <v/>
      </c>
      <c r="G58" s="28">
        <f>'02a_CSP_Contract_Alloc'!F58</f>
        <v/>
      </c>
      <c r="H58" s="6">
        <f>'02a_CSP_Contract_Alloc'!G58</f>
        <v/>
      </c>
      <c r="I58" s="28">
        <f>'02a_CSP_Contract_Alloc'!H58</f>
        <v/>
      </c>
      <c r="J58" s="6">
        <f>'02a_CSP_Contract_Alloc'!I58</f>
        <v/>
      </c>
      <c r="K58" s="28">
        <f>'02a_CSP_Contract_Alloc'!K58</f>
        <v/>
      </c>
      <c r="L58" s="28">
        <f>SUMIFS('02a_CSP_Contract_Alloc'!$K$2:$K$305,'02a_CSP_Contract_Alloc'!$B$2:$B$305,B58,'02a_CSP_Contract_Alloc'!$C$2:$C$305,C58,'02a_CSP_Contract_Alloc'!$D$2:$D$305,D58)</f>
        <v/>
      </c>
      <c r="M58" s="6">
        <f>IF(L58&gt;0,K58/L58,0)</f>
        <v/>
      </c>
      <c r="N58" s="28">
        <f>F58*M58</f>
        <v/>
      </c>
      <c r="O58" s="5">
        <f>'02a_CSP_Contract_Alloc'!L58</f>
        <v/>
      </c>
      <c r="P58" s="5" t="inlineStr">
        <is>
          <t>AI company inference power is normalized across CSPs by CSP total power * AI contract share * inference share.</t>
        </is>
      </c>
    </row>
    <row r="59">
      <c r="A59" s="5">
        <f>'02a_CSP_Contract_Alloc'!A59</f>
        <v/>
      </c>
      <c r="B59" s="5">
        <f>'02a_CSP_Contract_Alloc'!B59</f>
        <v/>
      </c>
      <c r="C59" s="5">
        <f>'02a_CSP_Contract_Alloc'!C59</f>
        <v/>
      </c>
      <c r="D59" s="5">
        <f>'02a_CSP_Contract_Alloc'!D59</f>
        <v/>
      </c>
      <c r="E59" s="5">
        <f>'02a_CSP_Contract_Alloc'!E59</f>
        <v/>
      </c>
      <c r="F59" s="28">
        <f>SUMPRODUCT(('02_Inputs'!$A$2:$A$181=B59)*('02_Inputs'!$B$2:$B$181=C59)*('02_Inputs'!$C$2:$C$181=D59)*'02_Inputs'!$D$2:$D$181*'02_Inputs'!$E$2:$E$181/'02_Inputs'!$F$2:$F$181*'02_Inputs'!$G$2:$G$181*'02_Inputs'!$H$2:$H$181*1000)</f>
        <v/>
      </c>
      <c r="G59" s="28">
        <f>'02a_CSP_Contract_Alloc'!F59</f>
        <v/>
      </c>
      <c r="H59" s="6">
        <f>'02a_CSP_Contract_Alloc'!G59</f>
        <v/>
      </c>
      <c r="I59" s="28">
        <f>'02a_CSP_Contract_Alloc'!H59</f>
        <v/>
      </c>
      <c r="J59" s="6">
        <f>'02a_CSP_Contract_Alloc'!I59</f>
        <v/>
      </c>
      <c r="K59" s="28">
        <f>'02a_CSP_Contract_Alloc'!K59</f>
        <v/>
      </c>
      <c r="L59" s="28">
        <f>SUMIFS('02a_CSP_Contract_Alloc'!$K$2:$K$305,'02a_CSP_Contract_Alloc'!$B$2:$B$305,B59,'02a_CSP_Contract_Alloc'!$C$2:$C$305,C59,'02a_CSP_Contract_Alloc'!$D$2:$D$305,D59)</f>
        <v/>
      </c>
      <c r="M59" s="6">
        <f>IF(L59&gt;0,K59/L59,0)</f>
        <v/>
      </c>
      <c r="N59" s="28">
        <f>F59*M59</f>
        <v/>
      </c>
      <c r="O59" s="5">
        <f>'02a_CSP_Contract_Alloc'!L59</f>
        <v/>
      </c>
      <c r="P59" s="5" t="inlineStr">
        <is>
          <t>AI company inference power is normalized across CSPs by CSP total power * AI contract share * inference share.</t>
        </is>
      </c>
    </row>
    <row r="60">
      <c r="A60" s="5">
        <f>'02a_CSP_Contract_Alloc'!A60</f>
        <v/>
      </c>
      <c r="B60" s="5">
        <f>'02a_CSP_Contract_Alloc'!B60</f>
        <v/>
      </c>
      <c r="C60" s="5">
        <f>'02a_CSP_Contract_Alloc'!C60</f>
        <v/>
      </c>
      <c r="D60" s="5">
        <f>'02a_CSP_Contract_Alloc'!D60</f>
        <v/>
      </c>
      <c r="E60" s="5">
        <f>'02a_CSP_Contract_Alloc'!E60</f>
        <v/>
      </c>
      <c r="F60" s="28">
        <f>SUMPRODUCT(('02_Inputs'!$A$2:$A$181=B60)*('02_Inputs'!$B$2:$B$181=C60)*('02_Inputs'!$C$2:$C$181=D60)*'02_Inputs'!$D$2:$D$181*'02_Inputs'!$E$2:$E$181/'02_Inputs'!$F$2:$F$181*'02_Inputs'!$G$2:$G$181*'02_Inputs'!$H$2:$H$181*1000)</f>
        <v/>
      </c>
      <c r="G60" s="28">
        <f>'02a_CSP_Contract_Alloc'!F60</f>
        <v/>
      </c>
      <c r="H60" s="6">
        <f>'02a_CSP_Contract_Alloc'!G60</f>
        <v/>
      </c>
      <c r="I60" s="28">
        <f>'02a_CSP_Contract_Alloc'!H60</f>
        <v/>
      </c>
      <c r="J60" s="6">
        <f>'02a_CSP_Contract_Alloc'!I60</f>
        <v/>
      </c>
      <c r="K60" s="28">
        <f>'02a_CSP_Contract_Alloc'!K60</f>
        <v/>
      </c>
      <c r="L60" s="28">
        <f>SUMIFS('02a_CSP_Contract_Alloc'!$K$2:$K$305,'02a_CSP_Contract_Alloc'!$B$2:$B$305,B60,'02a_CSP_Contract_Alloc'!$C$2:$C$305,C60,'02a_CSP_Contract_Alloc'!$D$2:$D$305,D60)</f>
        <v/>
      </c>
      <c r="M60" s="6">
        <f>IF(L60&gt;0,K60/L60,0)</f>
        <v/>
      </c>
      <c r="N60" s="28">
        <f>F60*M60</f>
        <v/>
      </c>
      <c r="O60" s="5">
        <f>'02a_CSP_Contract_Alloc'!L60</f>
        <v/>
      </c>
      <c r="P60" s="5" t="inlineStr">
        <is>
          <t>AI company inference power is normalized across CSPs by CSP total power * AI contract share * inference share.</t>
        </is>
      </c>
    </row>
    <row r="61">
      <c r="A61" s="5">
        <f>'02a_CSP_Contract_Alloc'!A61</f>
        <v/>
      </c>
      <c r="B61" s="5">
        <f>'02a_CSP_Contract_Alloc'!B61</f>
        <v/>
      </c>
      <c r="C61" s="5">
        <f>'02a_CSP_Contract_Alloc'!C61</f>
        <v/>
      </c>
      <c r="D61" s="5">
        <f>'02a_CSP_Contract_Alloc'!D61</f>
        <v/>
      </c>
      <c r="E61" s="5">
        <f>'02a_CSP_Contract_Alloc'!E61</f>
        <v/>
      </c>
      <c r="F61" s="28">
        <f>SUMPRODUCT(('02_Inputs'!$A$2:$A$181=B61)*('02_Inputs'!$B$2:$B$181=C61)*('02_Inputs'!$C$2:$C$181=D61)*'02_Inputs'!$D$2:$D$181*'02_Inputs'!$E$2:$E$181/'02_Inputs'!$F$2:$F$181*'02_Inputs'!$G$2:$G$181*'02_Inputs'!$H$2:$H$181*1000)</f>
        <v/>
      </c>
      <c r="G61" s="28">
        <f>'02a_CSP_Contract_Alloc'!F61</f>
        <v/>
      </c>
      <c r="H61" s="6">
        <f>'02a_CSP_Contract_Alloc'!G61</f>
        <v/>
      </c>
      <c r="I61" s="28">
        <f>'02a_CSP_Contract_Alloc'!H61</f>
        <v/>
      </c>
      <c r="J61" s="6">
        <f>'02a_CSP_Contract_Alloc'!I61</f>
        <v/>
      </c>
      <c r="K61" s="28">
        <f>'02a_CSP_Contract_Alloc'!K61</f>
        <v/>
      </c>
      <c r="L61" s="28">
        <f>SUMIFS('02a_CSP_Contract_Alloc'!$K$2:$K$305,'02a_CSP_Contract_Alloc'!$B$2:$B$305,B61,'02a_CSP_Contract_Alloc'!$C$2:$C$305,C61,'02a_CSP_Contract_Alloc'!$D$2:$D$305,D61)</f>
        <v/>
      </c>
      <c r="M61" s="6">
        <f>IF(L61&gt;0,K61/L61,0)</f>
        <v/>
      </c>
      <c r="N61" s="28">
        <f>F61*M61</f>
        <v/>
      </c>
      <c r="O61" s="5">
        <f>'02a_CSP_Contract_Alloc'!L61</f>
        <v/>
      </c>
      <c r="P61" s="5" t="inlineStr">
        <is>
          <t>AI company inference power is normalized across CSPs by CSP total power * AI contract share * inference share.</t>
        </is>
      </c>
    </row>
    <row r="62">
      <c r="A62" s="5">
        <f>'02a_CSP_Contract_Alloc'!A62</f>
        <v/>
      </c>
      <c r="B62" s="5">
        <f>'02a_CSP_Contract_Alloc'!B62</f>
        <v/>
      </c>
      <c r="C62" s="5">
        <f>'02a_CSP_Contract_Alloc'!C62</f>
        <v/>
      </c>
      <c r="D62" s="5">
        <f>'02a_CSP_Contract_Alloc'!D62</f>
        <v/>
      </c>
      <c r="E62" s="5">
        <f>'02a_CSP_Contract_Alloc'!E62</f>
        <v/>
      </c>
      <c r="F62" s="28">
        <f>SUMPRODUCT(('02_Inputs'!$A$2:$A$181=B62)*('02_Inputs'!$B$2:$B$181=C62)*('02_Inputs'!$C$2:$C$181=D62)*'02_Inputs'!$D$2:$D$181*'02_Inputs'!$E$2:$E$181/'02_Inputs'!$F$2:$F$181*'02_Inputs'!$G$2:$G$181*'02_Inputs'!$H$2:$H$181*1000)</f>
        <v/>
      </c>
      <c r="G62" s="28">
        <f>'02a_CSP_Contract_Alloc'!F62</f>
        <v/>
      </c>
      <c r="H62" s="6">
        <f>'02a_CSP_Contract_Alloc'!G62</f>
        <v/>
      </c>
      <c r="I62" s="28">
        <f>'02a_CSP_Contract_Alloc'!H62</f>
        <v/>
      </c>
      <c r="J62" s="6">
        <f>'02a_CSP_Contract_Alloc'!I62</f>
        <v/>
      </c>
      <c r="K62" s="28">
        <f>'02a_CSP_Contract_Alloc'!K62</f>
        <v/>
      </c>
      <c r="L62" s="28">
        <f>SUMIFS('02a_CSP_Contract_Alloc'!$K$2:$K$305,'02a_CSP_Contract_Alloc'!$B$2:$B$305,B62,'02a_CSP_Contract_Alloc'!$C$2:$C$305,C62,'02a_CSP_Contract_Alloc'!$D$2:$D$305,D62)</f>
        <v/>
      </c>
      <c r="M62" s="6">
        <f>IF(L62&gt;0,K62/L62,0)</f>
        <v/>
      </c>
      <c r="N62" s="28">
        <f>F62*M62</f>
        <v/>
      </c>
      <c r="O62" s="5">
        <f>'02a_CSP_Contract_Alloc'!L62</f>
        <v/>
      </c>
      <c r="P62" s="5" t="inlineStr">
        <is>
          <t>AI company inference power is normalized across CSPs by CSP total power * AI contract share * inference share.</t>
        </is>
      </c>
    </row>
    <row r="63">
      <c r="A63" s="5">
        <f>'02a_CSP_Contract_Alloc'!A63</f>
        <v/>
      </c>
      <c r="B63" s="5">
        <f>'02a_CSP_Contract_Alloc'!B63</f>
        <v/>
      </c>
      <c r="C63" s="5">
        <f>'02a_CSP_Contract_Alloc'!C63</f>
        <v/>
      </c>
      <c r="D63" s="5">
        <f>'02a_CSP_Contract_Alloc'!D63</f>
        <v/>
      </c>
      <c r="E63" s="5">
        <f>'02a_CSP_Contract_Alloc'!E63</f>
        <v/>
      </c>
      <c r="F63" s="28">
        <f>SUMPRODUCT(('02_Inputs'!$A$2:$A$181=B63)*('02_Inputs'!$B$2:$B$181=C63)*('02_Inputs'!$C$2:$C$181=D63)*'02_Inputs'!$D$2:$D$181*'02_Inputs'!$E$2:$E$181/'02_Inputs'!$F$2:$F$181*'02_Inputs'!$G$2:$G$181*'02_Inputs'!$H$2:$H$181*1000)</f>
        <v/>
      </c>
      <c r="G63" s="28">
        <f>'02a_CSP_Contract_Alloc'!F63</f>
        <v/>
      </c>
      <c r="H63" s="6">
        <f>'02a_CSP_Contract_Alloc'!G63</f>
        <v/>
      </c>
      <c r="I63" s="28">
        <f>'02a_CSP_Contract_Alloc'!H63</f>
        <v/>
      </c>
      <c r="J63" s="6">
        <f>'02a_CSP_Contract_Alloc'!I63</f>
        <v/>
      </c>
      <c r="K63" s="28">
        <f>'02a_CSP_Contract_Alloc'!K63</f>
        <v/>
      </c>
      <c r="L63" s="28">
        <f>SUMIFS('02a_CSP_Contract_Alloc'!$K$2:$K$305,'02a_CSP_Contract_Alloc'!$B$2:$B$305,B63,'02a_CSP_Contract_Alloc'!$C$2:$C$305,C63,'02a_CSP_Contract_Alloc'!$D$2:$D$305,D63)</f>
        <v/>
      </c>
      <c r="M63" s="6">
        <f>IF(L63&gt;0,K63/L63,0)</f>
        <v/>
      </c>
      <c r="N63" s="28">
        <f>F63*M63</f>
        <v/>
      </c>
      <c r="O63" s="5">
        <f>'02a_CSP_Contract_Alloc'!L63</f>
        <v/>
      </c>
      <c r="P63" s="5" t="inlineStr">
        <is>
          <t>AI company inference power is normalized across CSPs by CSP total power * AI contract share * inference share.</t>
        </is>
      </c>
    </row>
    <row r="64">
      <c r="A64" s="5">
        <f>'02a_CSP_Contract_Alloc'!A64</f>
        <v/>
      </c>
      <c r="B64" s="5">
        <f>'02a_CSP_Contract_Alloc'!B64</f>
        <v/>
      </c>
      <c r="C64" s="5">
        <f>'02a_CSP_Contract_Alloc'!C64</f>
        <v/>
      </c>
      <c r="D64" s="5">
        <f>'02a_CSP_Contract_Alloc'!D64</f>
        <v/>
      </c>
      <c r="E64" s="5">
        <f>'02a_CSP_Contract_Alloc'!E64</f>
        <v/>
      </c>
      <c r="F64" s="28">
        <f>SUMPRODUCT(('02_Inputs'!$A$2:$A$181=B64)*('02_Inputs'!$B$2:$B$181=C64)*('02_Inputs'!$C$2:$C$181=D64)*'02_Inputs'!$D$2:$D$181*'02_Inputs'!$E$2:$E$181/'02_Inputs'!$F$2:$F$181*'02_Inputs'!$G$2:$G$181*'02_Inputs'!$H$2:$H$181*1000)</f>
        <v/>
      </c>
      <c r="G64" s="28">
        <f>'02a_CSP_Contract_Alloc'!F64</f>
        <v/>
      </c>
      <c r="H64" s="6">
        <f>'02a_CSP_Contract_Alloc'!G64</f>
        <v/>
      </c>
      <c r="I64" s="28">
        <f>'02a_CSP_Contract_Alloc'!H64</f>
        <v/>
      </c>
      <c r="J64" s="6">
        <f>'02a_CSP_Contract_Alloc'!I64</f>
        <v/>
      </c>
      <c r="K64" s="28">
        <f>'02a_CSP_Contract_Alloc'!K64</f>
        <v/>
      </c>
      <c r="L64" s="28">
        <f>SUMIFS('02a_CSP_Contract_Alloc'!$K$2:$K$305,'02a_CSP_Contract_Alloc'!$B$2:$B$305,B64,'02a_CSP_Contract_Alloc'!$C$2:$C$305,C64,'02a_CSP_Contract_Alloc'!$D$2:$D$305,D64)</f>
        <v/>
      </c>
      <c r="M64" s="6">
        <f>IF(L64&gt;0,K64/L64,0)</f>
        <v/>
      </c>
      <c r="N64" s="28">
        <f>F64*M64</f>
        <v/>
      </c>
      <c r="O64" s="5">
        <f>'02a_CSP_Contract_Alloc'!L64</f>
        <v/>
      </c>
      <c r="P64" s="5" t="inlineStr">
        <is>
          <t>AI company inference power is normalized across CSPs by CSP total power * AI contract share * inference share.</t>
        </is>
      </c>
    </row>
    <row r="65">
      <c r="A65" s="5">
        <f>'02a_CSP_Contract_Alloc'!A65</f>
        <v/>
      </c>
      <c r="B65" s="5">
        <f>'02a_CSP_Contract_Alloc'!B65</f>
        <v/>
      </c>
      <c r="C65" s="5">
        <f>'02a_CSP_Contract_Alloc'!C65</f>
        <v/>
      </c>
      <c r="D65" s="5">
        <f>'02a_CSP_Contract_Alloc'!D65</f>
        <v/>
      </c>
      <c r="E65" s="5">
        <f>'02a_CSP_Contract_Alloc'!E65</f>
        <v/>
      </c>
      <c r="F65" s="28">
        <f>SUMPRODUCT(('02_Inputs'!$A$2:$A$181=B65)*('02_Inputs'!$B$2:$B$181=C65)*('02_Inputs'!$C$2:$C$181=D65)*'02_Inputs'!$D$2:$D$181*'02_Inputs'!$E$2:$E$181/'02_Inputs'!$F$2:$F$181*'02_Inputs'!$G$2:$G$181*'02_Inputs'!$H$2:$H$181*1000)</f>
        <v/>
      </c>
      <c r="G65" s="28">
        <f>'02a_CSP_Contract_Alloc'!F65</f>
        <v/>
      </c>
      <c r="H65" s="6">
        <f>'02a_CSP_Contract_Alloc'!G65</f>
        <v/>
      </c>
      <c r="I65" s="28">
        <f>'02a_CSP_Contract_Alloc'!H65</f>
        <v/>
      </c>
      <c r="J65" s="6">
        <f>'02a_CSP_Contract_Alloc'!I65</f>
        <v/>
      </c>
      <c r="K65" s="28">
        <f>'02a_CSP_Contract_Alloc'!K65</f>
        <v/>
      </c>
      <c r="L65" s="28">
        <f>SUMIFS('02a_CSP_Contract_Alloc'!$K$2:$K$305,'02a_CSP_Contract_Alloc'!$B$2:$B$305,B65,'02a_CSP_Contract_Alloc'!$C$2:$C$305,C65,'02a_CSP_Contract_Alloc'!$D$2:$D$305,D65)</f>
        <v/>
      </c>
      <c r="M65" s="6">
        <f>IF(L65&gt;0,K65/L65,0)</f>
        <v/>
      </c>
      <c r="N65" s="28">
        <f>F65*M65</f>
        <v/>
      </c>
      <c r="O65" s="5">
        <f>'02a_CSP_Contract_Alloc'!L65</f>
        <v/>
      </c>
      <c r="P65" s="5" t="inlineStr">
        <is>
          <t>AI company inference power is normalized across CSPs by CSP total power * AI contract share * inference share.</t>
        </is>
      </c>
    </row>
    <row r="66">
      <c r="A66" s="5">
        <f>'02a_CSP_Contract_Alloc'!A66</f>
        <v/>
      </c>
      <c r="B66" s="5">
        <f>'02a_CSP_Contract_Alloc'!B66</f>
        <v/>
      </c>
      <c r="C66" s="5">
        <f>'02a_CSP_Contract_Alloc'!C66</f>
        <v/>
      </c>
      <c r="D66" s="5">
        <f>'02a_CSP_Contract_Alloc'!D66</f>
        <v/>
      </c>
      <c r="E66" s="5">
        <f>'02a_CSP_Contract_Alloc'!E66</f>
        <v/>
      </c>
      <c r="F66" s="28">
        <f>SUMPRODUCT(('02_Inputs'!$A$2:$A$181=B66)*('02_Inputs'!$B$2:$B$181=C66)*('02_Inputs'!$C$2:$C$181=D66)*'02_Inputs'!$D$2:$D$181*'02_Inputs'!$E$2:$E$181/'02_Inputs'!$F$2:$F$181*'02_Inputs'!$G$2:$G$181*'02_Inputs'!$H$2:$H$181*1000)</f>
        <v/>
      </c>
      <c r="G66" s="28">
        <f>'02a_CSP_Contract_Alloc'!F66</f>
        <v/>
      </c>
      <c r="H66" s="6">
        <f>'02a_CSP_Contract_Alloc'!G66</f>
        <v/>
      </c>
      <c r="I66" s="28">
        <f>'02a_CSP_Contract_Alloc'!H66</f>
        <v/>
      </c>
      <c r="J66" s="6">
        <f>'02a_CSP_Contract_Alloc'!I66</f>
        <v/>
      </c>
      <c r="K66" s="28">
        <f>'02a_CSP_Contract_Alloc'!K66</f>
        <v/>
      </c>
      <c r="L66" s="28">
        <f>SUMIFS('02a_CSP_Contract_Alloc'!$K$2:$K$305,'02a_CSP_Contract_Alloc'!$B$2:$B$305,B66,'02a_CSP_Contract_Alloc'!$C$2:$C$305,C66,'02a_CSP_Contract_Alloc'!$D$2:$D$305,D66)</f>
        <v/>
      </c>
      <c r="M66" s="6">
        <f>IF(L66&gt;0,K66/L66,0)</f>
        <v/>
      </c>
      <c r="N66" s="28">
        <f>F66*M66</f>
        <v/>
      </c>
      <c r="O66" s="5">
        <f>'02a_CSP_Contract_Alloc'!L66</f>
        <v/>
      </c>
      <c r="P66" s="5" t="inlineStr">
        <is>
          <t>AI company inference power is normalized across CSPs by CSP total power * AI contract share * inference share.</t>
        </is>
      </c>
    </row>
    <row r="67">
      <c r="A67" s="5">
        <f>'02a_CSP_Contract_Alloc'!A67</f>
        <v/>
      </c>
      <c r="B67" s="5">
        <f>'02a_CSP_Contract_Alloc'!B67</f>
        <v/>
      </c>
      <c r="C67" s="5">
        <f>'02a_CSP_Contract_Alloc'!C67</f>
        <v/>
      </c>
      <c r="D67" s="5">
        <f>'02a_CSP_Contract_Alloc'!D67</f>
        <v/>
      </c>
      <c r="E67" s="5">
        <f>'02a_CSP_Contract_Alloc'!E67</f>
        <v/>
      </c>
      <c r="F67" s="28">
        <f>SUMPRODUCT(('02_Inputs'!$A$2:$A$181=B67)*('02_Inputs'!$B$2:$B$181=C67)*('02_Inputs'!$C$2:$C$181=D67)*'02_Inputs'!$D$2:$D$181*'02_Inputs'!$E$2:$E$181/'02_Inputs'!$F$2:$F$181*'02_Inputs'!$G$2:$G$181*'02_Inputs'!$H$2:$H$181*1000)</f>
        <v/>
      </c>
      <c r="G67" s="28">
        <f>'02a_CSP_Contract_Alloc'!F67</f>
        <v/>
      </c>
      <c r="H67" s="6">
        <f>'02a_CSP_Contract_Alloc'!G67</f>
        <v/>
      </c>
      <c r="I67" s="28">
        <f>'02a_CSP_Contract_Alloc'!H67</f>
        <v/>
      </c>
      <c r="J67" s="6">
        <f>'02a_CSP_Contract_Alloc'!I67</f>
        <v/>
      </c>
      <c r="K67" s="28">
        <f>'02a_CSP_Contract_Alloc'!K67</f>
        <v/>
      </c>
      <c r="L67" s="28">
        <f>SUMIFS('02a_CSP_Contract_Alloc'!$K$2:$K$305,'02a_CSP_Contract_Alloc'!$B$2:$B$305,B67,'02a_CSP_Contract_Alloc'!$C$2:$C$305,C67,'02a_CSP_Contract_Alloc'!$D$2:$D$305,D67)</f>
        <v/>
      </c>
      <c r="M67" s="6">
        <f>IF(L67&gt;0,K67/L67,0)</f>
        <v/>
      </c>
      <c r="N67" s="28">
        <f>F67*M67</f>
        <v/>
      </c>
      <c r="O67" s="5">
        <f>'02a_CSP_Contract_Alloc'!L67</f>
        <v/>
      </c>
      <c r="P67" s="5" t="inlineStr">
        <is>
          <t>AI company inference power is normalized across CSPs by CSP total power * AI contract share * inference share.</t>
        </is>
      </c>
    </row>
    <row r="68">
      <c r="A68" s="5">
        <f>'02a_CSP_Contract_Alloc'!A68</f>
        <v/>
      </c>
      <c r="B68" s="5">
        <f>'02a_CSP_Contract_Alloc'!B68</f>
        <v/>
      </c>
      <c r="C68" s="5">
        <f>'02a_CSP_Contract_Alloc'!C68</f>
        <v/>
      </c>
      <c r="D68" s="5">
        <f>'02a_CSP_Contract_Alloc'!D68</f>
        <v/>
      </c>
      <c r="E68" s="5">
        <f>'02a_CSP_Contract_Alloc'!E68</f>
        <v/>
      </c>
      <c r="F68" s="28">
        <f>SUMPRODUCT(('02_Inputs'!$A$2:$A$181=B68)*('02_Inputs'!$B$2:$B$181=C68)*('02_Inputs'!$C$2:$C$181=D68)*'02_Inputs'!$D$2:$D$181*'02_Inputs'!$E$2:$E$181/'02_Inputs'!$F$2:$F$181*'02_Inputs'!$G$2:$G$181*'02_Inputs'!$H$2:$H$181*1000)</f>
        <v/>
      </c>
      <c r="G68" s="28">
        <f>'02a_CSP_Contract_Alloc'!F68</f>
        <v/>
      </c>
      <c r="H68" s="6">
        <f>'02a_CSP_Contract_Alloc'!G68</f>
        <v/>
      </c>
      <c r="I68" s="28">
        <f>'02a_CSP_Contract_Alloc'!H68</f>
        <v/>
      </c>
      <c r="J68" s="6">
        <f>'02a_CSP_Contract_Alloc'!I68</f>
        <v/>
      </c>
      <c r="K68" s="28">
        <f>'02a_CSP_Contract_Alloc'!K68</f>
        <v/>
      </c>
      <c r="L68" s="28">
        <f>SUMIFS('02a_CSP_Contract_Alloc'!$K$2:$K$305,'02a_CSP_Contract_Alloc'!$B$2:$B$305,B68,'02a_CSP_Contract_Alloc'!$C$2:$C$305,C68,'02a_CSP_Contract_Alloc'!$D$2:$D$305,D68)</f>
        <v/>
      </c>
      <c r="M68" s="6">
        <f>IF(L68&gt;0,K68/L68,0)</f>
        <v/>
      </c>
      <c r="N68" s="28">
        <f>F68*M68</f>
        <v/>
      </c>
      <c r="O68" s="5">
        <f>'02a_CSP_Contract_Alloc'!L68</f>
        <v/>
      </c>
      <c r="P68" s="5" t="inlineStr">
        <is>
          <t>AI company inference power is normalized across CSPs by CSP total power * AI contract share * inference share.</t>
        </is>
      </c>
    </row>
    <row r="69">
      <c r="A69" s="5">
        <f>'02a_CSP_Contract_Alloc'!A69</f>
        <v/>
      </c>
      <c r="B69" s="5">
        <f>'02a_CSP_Contract_Alloc'!B69</f>
        <v/>
      </c>
      <c r="C69" s="5">
        <f>'02a_CSP_Contract_Alloc'!C69</f>
        <v/>
      </c>
      <c r="D69" s="5">
        <f>'02a_CSP_Contract_Alloc'!D69</f>
        <v/>
      </c>
      <c r="E69" s="5">
        <f>'02a_CSP_Contract_Alloc'!E69</f>
        <v/>
      </c>
      <c r="F69" s="28">
        <f>SUMPRODUCT(('02_Inputs'!$A$2:$A$181=B69)*('02_Inputs'!$B$2:$B$181=C69)*('02_Inputs'!$C$2:$C$181=D69)*'02_Inputs'!$D$2:$D$181*'02_Inputs'!$E$2:$E$181/'02_Inputs'!$F$2:$F$181*'02_Inputs'!$G$2:$G$181*'02_Inputs'!$H$2:$H$181*1000)</f>
        <v/>
      </c>
      <c r="G69" s="28">
        <f>'02a_CSP_Contract_Alloc'!F69</f>
        <v/>
      </c>
      <c r="H69" s="6">
        <f>'02a_CSP_Contract_Alloc'!G69</f>
        <v/>
      </c>
      <c r="I69" s="28">
        <f>'02a_CSP_Contract_Alloc'!H69</f>
        <v/>
      </c>
      <c r="J69" s="6">
        <f>'02a_CSP_Contract_Alloc'!I69</f>
        <v/>
      </c>
      <c r="K69" s="28">
        <f>'02a_CSP_Contract_Alloc'!K69</f>
        <v/>
      </c>
      <c r="L69" s="28">
        <f>SUMIFS('02a_CSP_Contract_Alloc'!$K$2:$K$305,'02a_CSP_Contract_Alloc'!$B$2:$B$305,B69,'02a_CSP_Contract_Alloc'!$C$2:$C$305,C69,'02a_CSP_Contract_Alloc'!$D$2:$D$305,D69)</f>
        <v/>
      </c>
      <c r="M69" s="6">
        <f>IF(L69&gt;0,K69/L69,0)</f>
        <v/>
      </c>
      <c r="N69" s="28">
        <f>F69*M69</f>
        <v/>
      </c>
      <c r="O69" s="5">
        <f>'02a_CSP_Contract_Alloc'!L69</f>
        <v/>
      </c>
      <c r="P69" s="5" t="inlineStr">
        <is>
          <t>AI company inference power is normalized across CSPs by CSP total power * AI contract share * inference share.</t>
        </is>
      </c>
    </row>
    <row r="70">
      <c r="A70" s="5">
        <f>'02a_CSP_Contract_Alloc'!A70</f>
        <v/>
      </c>
      <c r="B70" s="5">
        <f>'02a_CSP_Contract_Alloc'!B70</f>
        <v/>
      </c>
      <c r="C70" s="5">
        <f>'02a_CSP_Contract_Alloc'!C70</f>
        <v/>
      </c>
      <c r="D70" s="5">
        <f>'02a_CSP_Contract_Alloc'!D70</f>
        <v/>
      </c>
      <c r="E70" s="5">
        <f>'02a_CSP_Contract_Alloc'!E70</f>
        <v/>
      </c>
      <c r="F70" s="28">
        <f>SUMPRODUCT(('02_Inputs'!$A$2:$A$181=B70)*('02_Inputs'!$B$2:$B$181=C70)*('02_Inputs'!$C$2:$C$181=D70)*'02_Inputs'!$D$2:$D$181*'02_Inputs'!$E$2:$E$181/'02_Inputs'!$F$2:$F$181*'02_Inputs'!$G$2:$G$181*'02_Inputs'!$H$2:$H$181*1000)</f>
        <v/>
      </c>
      <c r="G70" s="28">
        <f>'02a_CSP_Contract_Alloc'!F70</f>
        <v/>
      </c>
      <c r="H70" s="6">
        <f>'02a_CSP_Contract_Alloc'!G70</f>
        <v/>
      </c>
      <c r="I70" s="28">
        <f>'02a_CSP_Contract_Alloc'!H70</f>
        <v/>
      </c>
      <c r="J70" s="6">
        <f>'02a_CSP_Contract_Alloc'!I70</f>
        <v/>
      </c>
      <c r="K70" s="28">
        <f>'02a_CSP_Contract_Alloc'!K70</f>
        <v/>
      </c>
      <c r="L70" s="28">
        <f>SUMIFS('02a_CSP_Contract_Alloc'!$K$2:$K$305,'02a_CSP_Contract_Alloc'!$B$2:$B$305,B70,'02a_CSP_Contract_Alloc'!$C$2:$C$305,C70,'02a_CSP_Contract_Alloc'!$D$2:$D$305,D70)</f>
        <v/>
      </c>
      <c r="M70" s="6">
        <f>IF(L70&gt;0,K70/L70,0)</f>
        <v/>
      </c>
      <c r="N70" s="28">
        <f>F70*M70</f>
        <v/>
      </c>
      <c r="O70" s="5">
        <f>'02a_CSP_Contract_Alloc'!L70</f>
        <v/>
      </c>
      <c r="P70" s="5" t="inlineStr">
        <is>
          <t>AI company inference power is normalized across CSPs by CSP total power * AI contract share * inference share.</t>
        </is>
      </c>
    </row>
    <row r="71">
      <c r="A71" s="5">
        <f>'02a_CSP_Contract_Alloc'!A71</f>
        <v/>
      </c>
      <c r="B71" s="5">
        <f>'02a_CSP_Contract_Alloc'!B71</f>
        <v/>
      </c>
      <c r="C71" s="5">
        <f>'02a_CSP_Contract_Alloc'!C71</f>
        <v/>
      </c>
      <c r="D71" s="5">
        <f>'02a_CSP_Contract_Alloc'!D71</f>
        <v/>
      </c>
      <c r="E71" s="5">
        <f>'02a_CSP_Contract_Alloc'!E71</f>
        <v/>
      </c>
      <c r="F71" s="28">
        <f>SUMPRODUCT(('02_Inputs'!$A$2:$A$181=B71)*('02_Inputs'!$B$2:$B$181=C71)*('02_Inputs'!$C$2:$C$181=D71)*'02_Inputs'!$D$2:$D$181*'02_Inputs'!$E$2:$E$181/'02_Inputs'!$F$2:$F$181*'02_Inputs'!$G$2:$G$181*'02_Inputs'!$H$2:$H$181*1000)</f>
        <v/>
      </c>
      <c r="G71" s="28">
        <f>'02a_CSP_Contract_Alloc'!F71</f>
        <v/>
      </c>
      <c r="H71" s="6">
        <f>'02a_CSP_Contract_Alloc'!G71</f>
        <v/>
      </c>
      <c r="I71" s="28">
        <f>'02a_CSP_Contract_Alloc'!H71</f>
        <v/>
      </c>
      <c r="J71" s="6">
        <f>'02a_CSP_Contract_Alloc'!I71</f>
        <v/>
      </c>
      <c r="K71" s="28">
        <f>'02a_CSP_Contract_Alloc'!K71</f>
        <v/>
      </c>
      <c r="L71" s="28">
        <f>SUMIFS('02a_CSP_Contract_Alloc'!$K$2:$K$305,'02a_CSP_Contract_Alloc'!$B$2:$B$305,B71,'02a_CSP_Contract_Alloc'!$C$2:$C$305,C71,'02a_CSP_Contract_Alloc'!$D$2:$D$305,D71)</f>
        <v/>
      </c>
      <c r="M71" s="6">
        <f>IF(L71&gt;0,K71/L71,0)</f>
        <v/>
      </c>
      <c r="N71" s="28">
        <f>F71*M71</f>
        <v/>
      </c>
      <c r="O71" s="5">
        <f>'02a_CSP_Contract_Alloc'!L71</f>
        <v/>
      </c>
      <c r="P71" s="5" t="inlineStr">
        <is>
          <t>AI company inference power is normalized across CSPs by CSP total power * AI contract share * inference share.</t>
        </is>
      </c>
    </row>
    <row r="72">
      <c r="A72" s="5">
        <f>'02a_CSP_Contract_Alloc'!A72</f>
        <v/>
      </c>
      <c r="B72" s="5">
        <f>'02a_CSP_Contract_Alloc'!B72</f>
        <v/>
      </c>
      <c r="C72" s="5">
        <f>'02a_CSP_Contract_Alloc'!C72</f>
        <v/>
      </c>
      <c r="D72" s="5">
        <f>'02a_CSP_Contract_Alloc'!D72</f>
        <v/>
      </c>
      <c r="E72" s="5">
        <f>'02a_CSP_Contract_Alloc'!E72</f>
        <v/>
      </c>
      <c r="F72" s="28">
        <f>SUMPRODUCT(('02_Inputs'!$A$2:$A$181=B72)*('02_Inputs'!$B$2:$B$181=C72)*('02_Inputs'!$C$2:$C$181=D72)*'02_Inputs'!$D$2:$D$181*'02_Inputs'!$E$2:$E$181/'02_Inputs'!$F$2:$F$181*'02_Inputs'!$G$2:$G$181*'02_Inputs'!$H$2:$H$181*1000)</f>
        <v/>
      </c>
      <c r="G72" s="28">
        <f>'02a_CSP_Contract_Alloc'!F72</f>
        <v/>
      </c>
      <c r="H72" s="6">
        <f>'02a_CSP_Contract_Alloc'!G72</f>
        <v/>
      </c>
      <c r="I72" s="28">
        <f>'02a_CSP_Contract_Alloc'!H72</f>
        <v/>
      </c>
      <c r="J72" s="6">
        <f>'02a_CSP_Contract_Alloc'!I72</f>
        <v/>
      </c>
      <c r="K72" s="28">
        <f>'02a_CSP_Contract_Alloc'!K72</f>
        <v/>
      </c>
      <c r="L72" s="28">
        <f>SUMIFS('02a_CSP_Contract_Alloc'!$K$2:$K$305,'02a_CSP_Contract_Alloc'!$B$2:$B$305,B72,'02a_CSP_Contract_Alloc'!$C$2:$C$305,C72,'02a_CSP_Contract_Alloc'!$D$2:$D$305,D72)</f>
        <v/>
      </c>
      <c r="M72" s="6">
        <f>IF(L72&gt;0,K72/L72,0)</f>
        <v/>
      </c>
      <c r="N72" s="28">
        <f>F72*M72</f>
        <v/>
      </c>
      <c r="O72" s="5">
        <f>'02a_CSP_Contract_Alloc'!L72</f>
        <v/>
      </c>
      <c r="P72" s="5" t="inlineStr">
        <is>
          <t>AI company inference power is normalized across CSPs by CSP total power * AI contract share * inference share.</t>
        </is>
      </c>
    </row>
    <row r="73">
      <c r="A73" s="5">
        <f>'02a_CSP_Contract_Alloc'!A73</f>
        <v/>
      </c>
      <c r="B73" s="5">
        <f>'02a_CSP_Contract_Alloc'!B73</f>
        <v/>
      </c>
      <c r="C73" s="5">
        <f>'02a_CSP_Contract_Alloc'!C73</f>
        <v/>
      </c>
      <c r="D73" s="5">
        <f>'02a_CSP_Contract_Alloc'!D73</f>
        <v/>
      </c>
      <c r="E73" s="5">
        <f>'02a_CSP_Contract_Alloc'!E73</f>
        <v/>
      </c>
      <c r="F73" s="28">
        <f>SUMPRODUCT(('02_Inputs'!$A$2:$A$181=B73)*('02_Inputs'!$B$2:$B$181=C73)*('02_Inputs'!$C$2:$C$181=D73)*'02_Inputs'!$D$2:$D$181*'02_Inputs'!$E$2:$E$181/'02_Inputs'!$F$2:$F$181*'02_Inputs'!$G$2:$G$181*'02_Inputs'!$H$2:$H$181*1000)</f>
        <v/>
      </c>
      <c r="G73" s="28">
        <f>'02a_CSP_Contract_Alloc'!F73</f>
        <v/>
      </c>
      <c r="H73" s="6">
        <f>'02a_CSP_Contract_Alloc'!G73</f>
        <v/>
      </c>
      <c r="I73" s="28">
        <f>'02a_CSP_Contract_Alloc'!H73</f>
        <v/>
      </c>
      <c r="J73" s="6">
        <f>'02a_CSP_Contract_Alloc'!I73</f>
        <v/>
      </c>
      <c r="K73" s="28">
        <f>'02a_CSP_Contract_Alloc'!K73</f>
        <v/>
      </c>
      <c r="L73" s="28">
        <f>SUMIFS('02a_CSP_Contract_Alloc'!$K$2:$K$305,'02a_CSP_Contract_Alloc'!$B$2:$B$305,B73,'02a_CSP_Contract_Alloc'!$C$2:$C$305,C73,'02a_CSP_Contract_Alloc'!$D$2:$D$305,D73)</f>
        <v/>
      </c>
      <c r="M73" s="6">
        <f>IF(L73&gt;0,K73/L73,0)</f>
        <v/>
      </c>
      <c r="N73" s="28">
        <f>F73*M73</f>
        <v/>
      </c>
      <c r="O73" s="5">
        <f>'02a_CSP_Contract_Alloc'!L73</f>
        <v/>
      </c>
      <c r="P73" s="5" t="inlineStr">
        <is>
          <t>AI company inference power is normalized across CSPs by CSP total power * AI contract share * inference share.</t>
        </is>
      </c>
    </row>
    <row r="74">
      <c r="A74" s="5">
        <f>'02a_CSP_Contract_Alloc'!A74</f>
        <v/>
      </c>
      <c r="B74" s="5">
        <f>'02a_CSP_Contract_Alloc'!B74</f>
        <v/>
      </c>
      <c r="C74" s="5">
        <f>'02a_CSP_Contract_Alloc'!C74</f>
        <v/>
      </c>
      <c r="D74" s="5">
        <f>'02a_CSP_Contract_Alloc'!D74</f>
        <v/>
      </c>
      <c r="E74" s="5">
        <f>'02a_CSP_Contract_Alloc'!E74</f>
        <v/>
      </c>
      <c r="F74" s="28">
        <f>SUMPRODUCT(('02_Inputs'!$A$2:$A$181=B74)*('02_Inputs'!$B$2:$B$181=C74)*('02_Inputs'!$C$2:$C$181=D74)*'02_Inputs'!$D$2:$D$181*'02_Inputs'!$E$2:$E$181/'02_Inputs'!$F$2:$F$181*'02_Inputs'!$G$2:$G$181*'02_Inputs'!$H$2:$H$181*1000)</f>
        <v/>
      </c>
      <c r="G74" s="28">
        <f>'02a_CSP_Contract_Alloc'!F74</f>
        <v/>
      </c>
      <c r="H74" s="6">
        <f>'02a_CSP_Contract_Alloc'!G74</f>
        <v/>
      </c>
      <c r="I74" s="28">
        <f>'02a_CSP_Contract_Alloc'!H74</f>
        <v/>
      </c>
      <c r="J74" s="6">
        <f>'02a_CSP_Contract_Alloc'!I74</f>
        <v/>
      </c>
      <c r="K74" s="28">
        <f>'02a_CSP_Contract_Alloc'!K74</f>
        <v/>
      </c>
      <c r="L74" s="28">
        <f>SUMIFS('02a_CSP_Contract_Alloc'!$K$2:$K$305,'02a_CSP_Contract_Alloc'!$B$2:$B$305,B74,'02a_CSP_Contract_Alloc'!$C$2:$C$305,C74,'02a_CSP_Contract_Alloc'!$D$2:$D$305,D74)</f>
        <v/>
      </c>
      <c r="M74" s="6">
        <f>IF(L74&gt;0,K74/L74,0)</f>
        <v/>
      </c>
      <c r="N74" s="28">
        <f>F74*M74</f>
        <v/>
      </c>
      <c r="O74" s="5">
        <f>'02a_CSP_Contract_Alloc'!L74</f>
        <v/>
      </c>
      <c r="P74" s="5" t="inlineStr">
        <is>
          <t>AI company inference power is normalized across CSPs by CSP total power * AI contract share * inference share.</t>
        </is>
      </c>
    </row>
    <row r="75">
      <c r="A75" s="5">
        <f>'02a_CSP_Contract_Alloc'!A75</f>
        <v/>
      </c>
      <c r="B75" s="5">
        <f>'02a_CSP_Contract_Alloc'!B75</f>
        <v/>
      </c>
      <c r="C75" s="5">
        <f>'02a_CSP_Contract_Alloc'!C75</f>
        <v/>
      </c>
      <c r="D75" s="5">
        <f>'02a_CSP_Contract_Alloc'!D75</f>
        <v/>
      </c>
      <c r="E75" s="5">
        <f>'02a_CSP_Contract_Alloc'!E75</f>
        <v/>
      </c>
      <c r="F75" s="28">
        <f>SUMPRODUCT(('02_Inputs'!$A$2:$A$181=B75)*('02_Inputs'!$B$2:$B$181=C75)*('02_Inputs'!$C$2:$C$181=D75)*'02_Inputs'!$D$2:$D$181*'02_Inputs'!$E$2:$E$181/'02_Inputs'!$F$2:$F$181*'02_Inputs'!$G$2:$G$181*'02_Inputs'!$H$2:$H$181*1000)</f>
        <v/>
      </c>
      <c r="G75" s="28">
        <f>'02a_CSP_Contract_Alloc'!F75</f>
        <v/>
      </c>
      <c r="H75" s="6">
        <f>'02a_CSP_Contract_Alloc'!G75</f>
        <v/>
      </c>
      <c r="I75" s="28">
        <f>'02a_CSP_Contract_Alloc'!H75</f>
        <v/>
      </c>
      <c r="J75" s="6">
        <f>'02a_CSP_Contract_Alloc'!I75</f>
        <v/>
      </c>
      <c r="K75" s="28">
        <f>'02a_CSP_Contract_Alloc'!K75</f>
        <v/>
      </c>
      <c r="L75" s="28">
        <f>SUMIFS('02a_CSP_Contract_Alloc'!$K$2:$K$305,'02a_CSP_Contract_Alloc'!$B$2:$B$305,B75,'02a_CSP_Contract_Alloc'!$C$2:$C$305,C75,'02a_CSP_Contract_Alloc'!$D$2:$D$305,D75)</f>
        <v/>
      </c>
      <c r="M75" s="6">
        <f>IF(L75&gt;0,K75/L75,0)</f>
        <v/>
      </c>
      <c r="N75" s="28">
        <f>F75*M75</f>
        <v/>
      </c>
      <c r="O75" s="5">
        <f>'02a_CSP_Contract_Alloc'!L75</f>
        <v/>
      </c>
      <c r="P75" s="5" t="inlineStr">
        <is>
          <t>AI company inference power is normalized across CSPs by CSP total power * AI contract share * inference share.</t>
        </is>
      </c>
    </row>
    <row r="76">
      <c r="A76" s="5">
        <f>'02a_CSP_Contract_Alloc'!A76</f>
        <v/>
      </c>
      <c r="B76" s="5">
        <f>'02a_CSP_Contract_Alloc'!B76</f>
        <v/>
      </c>
      <c r="C76" s="5">
        <f>'02a_CSP_Contract_Alloc'!C76</f>
        <v/>
      </c>
      <c r="D76" s="5">
        <f>'02a_CSP_Contract_Alloc'!D76</f>
        <v/>
      </c>
      <c r="E76" s="5">
        <f>'02a_CSP_Contract_Alloc'!E76</f>
        <v/>
      </c>
      <c r="F76" s="28">
        <f>SUMPRODUCT(('02_Inputs'!$A$2:$A$181=B76)*('02_Inputs'!$B$2:$B$181=C76)*('02_Inputs'!$C$2:$C$181=D76)*'02_Inputs'!$D$2:$D$181*'02_Inputs'!$E$2:$E$181/'02_Inputs'!$F$2:$F$181*'02_Inputs'!$G$2:$G$181*'02_Inputs'!$H$2:$H$181*1000)</f>
        <v/>
      </c>
      <c r="G76" s="28">
        <f>'02a_CSP_Contract_Alloc'!F76</f>
        <v/>
      </c>
      <c r="H76" s="6">
        <f>'02a_CSP_Contract_Alloc'!G76</f>
        <v/>
      </c>
      <c r="I76" s="28">
        <f>'02a_CSP_Contract_Alloc'!H76</f>
        <v/>
      </c>
      <c r="J76" s="6">
        <f>'02a_CSP_Contract_Alloc'!I76</f>
        <v/>
      </c>
      <c r="K76" s="28">
        <f>'02a_CSP_Contract_Alloc'!K76</f>
        <v/>
      </c>
      <c r="L76" s="28">
        <f>SUMIFS('02a_CSP_Contract_Alloc'!$K$2:$K$305,'02a_CSP_Contract_Alloc'!$B$2:$B$305,B76,'02a_CSP_Contract_Alloc'!$C$2:$C$305,C76,'02a_CSP_Contract_Alloc'!$D$2:$D$305,D76)</f>
        <v/>
      </c>
      <c r="M76" s="6">
        <f>IF(L76&gt;0,K76/L76,0)</f>
        <v/>
      </c>
      <c r="N76" s="28">
        <f>F76*M76</f>
        <v/>
      </c>
      <c r="O76" s="5">
        <f>'02a_CSP_Contract_Alloc'!L76</f>
        <v/>
      </c>
      <c r="P76" s="5" t="inlineStr">
        <is>
          <t>AI company inference power is normalized across CSPs by CSP total power * AI contract share * inference share.</t>
        </is>
      </c>
    </row>
    <row r="77">
      <c r="A77" s="5">
        <f>'02a_CSP_Contract_Alloc'!A77</f>
        <v/>
      </c>
      <c r="B77" s="5">
        <f>'02a_CSP_Contract_Alloc'!B77</f>
        <v/>
      </c>
      <c r="C77" s="5">
        <f>'02a_CSP_Contract_Alloc'!C77</f>
        <v/>
      </c>
      <c r="D77" s="5">
        <f>'02a_CSP_Contract_Alloc'!D77</f>
        <v/>
      </c>
      <c r="E77" s="5">
        <f>'02a_CSP_Contract_Alloc'!E77</f>
        <v/>
      </c>
      <c r="F77" s="28">
        <f>SUMPRODUCT(('02_Inputs'!$A$2:$A$181=B77)*('02_Inputs'!$B$2:$B$181=C77)*('02_Inputs'!$C$2:$C$181=D77)*'02_Inputs'!$D$2:$D$181*'02_Inputs'!$E$2:$E$181/'02_Inputs'!$F$2:$F$181*'02_Inputs'!$G$2:$G$181*'02_Inputs'!$H$2:$H$181*1000)</f>
        <v/>
      </c>
      <c r="G77" s="28">
        <f>'02a_CSP_Contract_Alloc'!F77</f>
        <v/>
      </c>
      <c r="H77" s="6">
        <f>'02a_CSP_Contract_Alloc'!G77</f>
        <v/>
      </c>
      <c r="I77" s="28">
        <f>'02a_CSP_Contract_Alloc'!H77</f>
        <v/>
      </c>
      <c r="J77" s="6">
        <f>'02a_CSP_Contract_Alloc'!I77</f>
        <v/>
      </c>
      <c r="K77" s="28">
        <f>'02a_CSP_Contract_Alloc'!K77</f>
        <v/>
      </c>
      <c r="L77" s="28">
        <f>SUMIFS('02a_CSP_Contract_Alloc'!$K$2:$K$305,'02a_CSP_Contract_Alloc'!$B$2:$B$305,B77,'02a_CSP_Contract_Alloc'!$C$2:$C$305,C77,'02a_CSP_Contract_Alloc'!$D$2:$D$305,D77)</f>
        <v/>
      </c>
      <c r="M77" s="6">
        <f>IF(L77&gt;0,K77/L77,0)</f>
        <v/>
      </c>
      <c r="N77" s="28">
        <f>F77*M77</f>
        <v/>
      </c>
      <c r="O77" s="5">
        <f>'02a_CSP_Contract_Alloc'!L77</f>
        <v/>
      </c>
      <c r="P77" s="5" t="inlineStr">
        <is>
          <t>AI company inference power is normalized across CSPs by CSP total power * AI contract share * inference share.</t>
        </is>
      </c>
    </row>
    <row r="78">
      <c r="A78" s="5">
        <f>'02a_CSP_Contract_Alloc'!A78</f>
        <v/>
      </c>
      <c r="B78" s="5">
        <f>'02a_CSP_Contract_Alloc'!B78</f>
        <v/>
      </c>
      <c r="C78" s="5">
        <f>'02a_CSP_Contract_Alloc'!C78</f>
        <v/>
      </c>
      <c r="D78" s="5">
        <f>'02a_CSP_Contract_Alloc'!D78</f>
        <v/>
      </c>
      <c r="E78" s="5">
        <f>'02a_CSP_Contract_Alloc'!E78</f>
        <v/>
      </c>
      <c r="F78" s="28">
        <f>SUMPRODUCT(('02_Inputs'!$A$2:$A$181=B78)*('02_Inputs'!$B$2:$B$181=C78)*('02_Inputs'!$C$2:$C$181=D78)*'02_Inputs'!$D$2:$D$181*'02_Inputs'!$E$2:$E$181/'02_Inputs'!$F$2:$F$181*'02_Inputs'!$G$2:$G$181*'02_Inputs'!$H$2:$H$181*1000)</f>
        <v/>
      </c>
      <c r="G78" s="28">
        <f>'02a_CSP_Contract_Alloc'!F78</f>
        <v/>
      </c>
      <c r="H78" s="6">
        <f>'02a_CSP_Contract_Alloc'!G78</f>
        <v/>
      </c>
      <c r="I78" s="28">
        <f>'02a_CSP_Contract_Alloc'!H78</f>
        <v/>
      </c>
      <c r="J78" s="6">
        <f>'02a_CSP_Contract_Alloc'!I78</f>
        <v/>
      </c>
      <c r="K78" s="28">
        <f>'02a_CSP_Contract_Alloc'!K78</f>
        <v/>
      </c>
      <c r="L78" s="28">
        <f>SUMIFS('02a_CSP_Contract_Alloc'!$K$2:$K$305,'02a_CSP_Contract_Alloc'!$B$2:$B$305,B78,'02a_CSP_Contract_Alloc'!$C$2:$C$305,C78,'02a_CSP_Contract_Alloc'!$D$2:$D$305,D78)</f>
        <v/>
      </c>
      <c r="M78" s="6">
        <f>IF(L78&gt;0,K78/L78,0)</f>
        <v/>
      </c>
      <c r="N78" s="28">
        <f>F78*M78</f>
        <v/>
      </c>
      <c r="O78" s="5">
        <f>'02a_CSP_Contract_Alloc'!L78</f>
        <v/>
      </c>
      <c r="P78" s="5" t="inlineStr">
        <is>
          <t>AI company inference power is normalized across CSPs by CSP total power * AI contract share * inference share.</t>
        </is>
      </c>
    </row>
    <row r="79">
      <c r="A79" s="5">
        <f>'02a_CSP_Contract_Alloc'!A79</f>
        <v/>
      </c>
      <c r="B79" s="5">
        <f>'02a_CSP_Contract_Alloc'!B79</f>
        <v/>
      </c>
      <c r="C79" s="5">
        <f>'02a_CSP_Contract_Alloc'!C79</f>
        <v/>
      </c>
      <c r="D79" s="5">
        <f>'02a_CSP_Contract_Alloc'!D79</f>
        <v/>
      </c>
      <c r="E79" s="5">
        <f>'02a_CSP_Contract_Alloc'!E79</f>
        <v/>
      </c>
      <c r="F79" s="28">
        <f>SUMPRODUCT(('02_Inputs'!$A$2:$A$181=B79)*('02_Inputs'!$B$2:$B$181=C79)*('02_Inputs'!$C$2:$C$181=D79)*'02_Inputs'!$D$2:$D$181*'02_Inputs'!$E$2:$E$181/'02_Inputs'!$F$2:$F$181*'02_Inputs'!$G$2:$G$181*'02_Inputs'!$H$2:$H$181*1000)</f>
        <v/>
      </c>
      <c r="G79" s="28">
        <f>'02a_CSP_Contract_Alloc'!F79</f>
        <v/>
      </c>
      <c r="H79" s="6">
        <f>'02a_CSP_Contract_Alloc'!G79</f>
        <v/>
      </c>
      <c r="I79" s="28">
        <f>'02a_CSP_Contract_Alloc'!H79</f>
        <v/>
      </c>
      <c r="J79" s="6">
        <f>'02a_CSP_Contract_Alloc'!I79</f>
        <v/>
      </c>
      <c r="K79" s="28">
        <f>'02a_CSP_Contract_Alloc'!K79</f>
        <v/>
      </c>
      <c r="L79" s="28">
        <f>SUMIFS('02a_CSP_Contract_Alloc'!$K$2:$K$305,'02a_CSP_Contract_Alloc'!$B$2:$B$305,B79,'02a_CSP_Contract_Alloc'!$C$2:$C$305,C79,'02a_CSP_Contract_Alloc'!$D$2:$D$305,D79)</f>
        <v/>
      </c>
      <c r="M79" s="6">
        <f>IF(L79&gt;0,K79/L79,0)</f>
        <v/>
      </c>
      <c r="N79" s="28">
        <f>F79*M79</f>
        <v/>
      </c>
      <c r="O79" s="5">
        <f>'02a_CSP_Contract_Alloc'!L79</f>
        <v/>
      </c>
      <c r="P79" s="5" t="inlineStr">
        <is>
          <t>AI company inference power is normalized across CSPs by CSP total power * AI contract share * inference share.</t>
        </is>
      </c>
    </row>
    <row r="80">
      <c r="A80" s="5">
        <f>'02a_CSP_Contract_Alloc'!A80</f>
        <v/>
      </c>
      <c r="B80" s="5">
        <f>'02a_CSP_Contract_Alloc'!B80</f>
        <v/>
      </c>
      <c r="C80" s="5">
        <f>'02a_CSP_Contract_Alloc'!C80</f>
        <v/>
      </c>
      <c r="D80" s="5">
        <f>'02a_CSP_Contract_Alloc'!D80</f>
        <v/>
      </c>
      <c r="E80" s="5">
        <f>'02a_CSP_Contract_Alloc'!E80</f>
        <v/>
      </c>
      <c r="F80" s="28">
        <f>SUMPRODUCT(('02_Inputs'!$A$2:$A$181=B80)*('02_Inputs'!$B$2:$B$181=C80)*('02_Inputs'!$C$2:$C$181=D80)*'02_Inputs'!$D$2:$D$181*'02_Inputs'!$E$2:$E$181/'02_Inputs'!$F$2:$F$181*'02_Inputs'!$G$2:$G$181*'02_Inputs'!$H$2:$H$181*1000)</f>
        <v/>
      </c>
      <c r="G80" s="28">
        <f>'02a_CSP_Contract_Alloc'!F80</f>
        <v/>
      </c>
      <c r="H80" s="6">
        <f>'02a_CSP_Contract_Alloc'!G80</f>
        <v/>
      </c>
      <c r="I80" s="28">
        <f>'02a_CSP_Contract_Alloc'!H80</f>
        <v/>
      </c>
      <c r="J80" s="6">
        <f>'02a_CSP_Contract_Alloc'!I80</f>
        <v/>
      </c>
      <c r="K80" s="28">
        <f>'02a_CSP_Contract_Alloc'!K80</f>
        <v/>
      </c>
      <c r="L80" s="28">
        <f>SUMIFS('02a_CSP_Contract_Alloc'!$K$2:$K$305,'02a_CSP_Contract_Alloc'!$B$2:$B$305,B80,'02a_CSP_Contract_Alloc'!$C$2:$C$305,C80,'02a_CSP_Contract_Alloc'!$D$2:$D$305,D80)</f>
        <v/>
      </c>
      <c r="M80" s="6">
        <f>IF(L80&gt;0,K80/L80,0)</f>
        <v/>
      </c>
      <c r="N80" s="28">
        <f>F80*M80</f>
        <v/>
      </c>
      <c r="O80" s="5">
        <f>'02a_CSP_Contract_Alloc'!L80</f>
        <v/>
      </c>
      <c r="P80" s="5" t="inlineStr">
        <is>
          <t>AI company inference power is normalized across CSPs by CSP total power * AI contract share * inference share.</t>
        </is>
      </c>
    </row>
    <row r="81">
      <c r="A81" s="5">
        <f>'02a_CSP_Contract_Alloc'!A81</f>
        <v/>
      </c>
      <c r="B81" s="5">
        <f>'02a_CSP_Contract_Alloc'!B81</f>
        <v/>
      </c>
      <c r="C81" s="5">
        <f>'02a_CSP_Contract_Alloc'!C81</f>
        <v/>
      </c>
      <c r="D81" s="5">
        <f>'02a_CSP_Contract_Alloc'!D81</f>
        <v/>
      </c>
      <c r="E81" s="5">
        <f>'02a_CSP_Contract_Alloc'!E81</f>
        <v/>
      </c>
      <c r="F81" s="28">
        <f>SUMPRODUCT(('02_Inputs'!$A$2:$A$181=B81)*('02_Inputs'!$B$2:$B$181=C81)*('02_Inputs'!$C$2:$C$181=D81)*'02_Inputs'!$D$2:$D$181*'02_Inputs'!$E$2:$E$181/'02_Inputs'!$F$2:$F$181*'02_Inputs'!$G$2:$G$181*'02_Inputs'!$H$2:$H$181*1000)</f>
        <v/>
      </c>
      <c r="G81" s="28">
        <f>'02a_CSP_Contract_Alloc'!F81</f>
        <v/>
      </c>
      <c r="H81" s="6">
        <f>'02a_CSP_Contract_Alloc'!G81</f>
        <v/>
      </c>
      <c r="I81" s="28">
        <f>'02a_CSP_Contract_Alloc'!H81</f>
        <v/>
      </c>
      <c r="J81" s="6">
        <f>'02a_CSP_Contract_Alloc'!I81</f>
        <v/>
      </c>
      <c r="K81" s="28">
        <f>'02a_CSP_Contract_Alloc'!K81</f>
        <v/>
      </c>
      <c r="L81" s="28">
        <f>SUMIFS('02a_CSP_Contract_Alloc'!$K$2:$K$305,'02a_CSP_Contract_Alloc'!$B$2:$B$305,B81,'02a_CSP_Contract_Alloc'!$C$2:$C$305,C81,'02a_CSP_Contract_Alloc'!$D$2:$D$305,D81)</f>
        <v/>
      </c>
      <c r="M81" s="6">
        <f>IF(L81&gt;0,K81/L81,0)</f>
        <v/>
      </c>
      <c r="N81" s="28">
        <f>F81*M81</f>
        <v/>
      </c>
      <c r="O81" s="5">
        <f>'02a_CSP_Contract_Alloc'!L81</f>
        <v/>
      </c>
      <c r="P81" s="5" t="inlineStr">
        <is>
          <t>AI company inference power is normalized across CSPs by CSP total power * AI contract share * inference share.</t>
        </is>
      </c>
    </row>
    <row r="82">
      <c r="A82" s="5">
        <f>'02a_CSP_Contract_Alloc'!A82</f>
        <v/>
      </c>
      <c r="B82" s="5">
        <f>'02a_CSP_Contract_Alloc'!B82</f>
        <v/>
      </c>
      <c r="C82" s="5">
        <f>'02a_CSP_Contract_Alloc'!C82</f>
        <v/>
      </c>
      <c r="D82" s="5">
        <f>'02a_CSP_Contract_Alloc'!D82</f>
        <v/>
      </c>
      <c r="E82" s="5">
        <f>'02a_CSP_Contract_Alloc'!E82</f>
        <v/>
      </c>
      <c r="F82" s="28">
        <f>SUMPRODUCT(('02_Inputs'!$A$2:$A$181=B82)*('02_Inputs'!$B$2:$B$181=C82)*('02_Inputs'!$C$2:$C$181=D82)*'02_Inputs'!$D$2:$D$181*'02_Inputs'!$E$2:$E$181/'02_Inputs'!$F$2:$F$181*'02_Inputs'!$G$2:$G$181*'02_Inputs'!$H$2:$H$181*1000)</f>
        <v/>
      </c>
      <c r="G82" s="28">
        <f>'02a_CSP_Contract_Alloc'!F82</f>
        <v/>
      </c>
      <c r="H82" s="6">
        <f>'02a_CSP_Contract_Alloc'!G82</f>
        <v/>
      </c>
      <c r="I82" s="28">
        <f>'02a_CSP_Contract_Alloc'!H82</f>
        <v/>
      </c>
      <c r="J82" s="6">
        <f>'02a_CSP_Contract_Alloc'!I82</f>
        <v/>
      </c>
      <c r="K82" s="28">
        <f>'02a_CSP_Contract_Alloc'!K82</f>
        <v/>
      </c>
      <c r="L82" s="28">
        <f>SUMIFS('02a_CSP_Contract_Alloc'!$K$2:$K$305,'02a_CSP_Contract_Alloc'!$B$2:$B$305,B82,'02a_CSP_Contract_Alloc'!$C$2:$C$305,C82,'02a_CSP_Contract_Alloc'!$D$2:$D$305,D82)</f>
        <v/>
      </c>
      <c r="M82" s="6">
        <f>IF(L82&gt;0,K82/L82,0)</f>
        <v/>
      </c>
      <c r="N82" s="28">
        <f>F82*M82</f>
        <v/>
      </c>
      <c r="O82" s="5">
        <f>'02a_CSP_Contract_Alloc'!L82</f>
        <v/>
      </c>
      <c r="P82" s="5" t="inlineStr">
        <is>
          <t>AI company inference power is normalized across CSPs by CSP total power * AI contract share * inference share.</t>
        </is>
      </c>
    </row>
    <row r="83">
      <c r="A83" s="5">
        <f>'02a_CSP_Contract_Alloc'!A83</f>
        <v/>
      </c>
      <c r="B83" s="5">
        <f>'02a_CSP_Contract_Alloc'!B83</f>
        <v/>
      </c>
      <c r="C83" s="5">
        <f>'02a_CSP_Contract_Alloc'!C83</f>
        <v/>
      </c>
      <c r="D83" s="5">
        <f>'02a_CSP_Contract_Alloc'!D83</f>
        <v/>
      </c>
      <c r="E83" s="5">
        <f>'02a_CSP_Contract_Alloc'!E83</f>
        <v/>
      </c>
      <c r="F83" s="28">
        <f>SUMPRODUCT(('02_Inputs'!$A$2:$A$181=B83)*('02_Inputs'!$B$2:$B$181=C83)*('02_Inputs'!$C$2:$C$181=D83)*'02_Inputs'!$D$2:$D$181*'02_Inputs'!$E$2:$E$181/'02_Inputs'!$F$2:$F$181*'02_Inputs'!$G$2:$G$181*'02_Inputs'!$H$2:$H$181*1000)</f>
        <v/>
      </c>
      <c r="G83" s="28">
        <f>'02a_CSP_Contract_Alloc'!F83</f>
        <v/>
      </c>
      <c r="H83" s="6">
        <f>'02a_CSP_Contract_Alloc'!G83</f>
        <v/>
      </c>
      <c r="I83" s="28">
        <f>'02a_CSP_Contract_Alloc'!H83</f>
        <v/>
      </c>
      <c r="J83" s="6">
        <f>'02a_CSP_Contract_Alloc'!I83</f>
        <v/>
      </c>
      <c r="K83" s="28">
        <f>'02a_CSP_Contract_Alloc'!K83</f>
        <v/>
      </c>
      <c r="L83" s="28">
        <f>SUMIFS('02a_CSP_Contract_Alloc'!$K$2:$K$305,'02a_CSP_Contract_Alloc'!$B$2:$B$305,B83,'02a_CSP_Contract_Alloc'!$C$2:$C$305,C83,'02a_CSP_Contract_Alloc'!$D$2:$D$305,D83)</f>
        <v/>
      </c>
      <c r="M83" s="6">
        <f>IF(L83&gt;0,K83/L83,0)</f>
        <v/>
      </c>
      <c r="N83" s="28">
        <f>F83*M83</f>
        <v/>
      </c>
      <c r="O83" s="5">
        <f>'02a_CSP_Contract_Alloc'!L83</f>
        <v/>
      </c>
      <c r="P83" s="5" t="inlineStr">
        <is>
          <t>AI company inference power is normalized across CSPs by CSP total power * AI contract share * inference share.</t>
        </is>
      </c>
    </row>
    <row r="84">
      <c r="A84" s="5">
        <f>'02a_CSP_Contract_Alloc'!A84</f>
        <v/>
      </c>
      <c r="B84" s="5">
        <f>'02a_CSP_Contract_Alloc'!B84</f>
        <v/>
      </c>
      <c r="C84" s="5">
        <f>'02a_CSP_Contract_Alloc'!C84</f>
        <v/>
      </c>
      <c r="D84" s="5">
        <f>'02a_CSP_Contract_Alloc'!D84</f>
        <v/>
      </c>
      <c r="E84" s="5">
        <f>'02a_CSP_Contract_Alloc'!E84</f>
        <v/>
      </c>
      <c r="F84" s="28">
        <f>SUMPRODUCT(('02_Inputs'!$A$2:$A$181=B84)*('02_Inputs'!$B$2:$B$181=C84)*('02_Inputs'!$C$2:$C$181=D84)*'02_Inputs'!$D$2:$D$181*'02_Inputs'!$E$2:$E$181/'02_Inputs'!$F$2:$F$181*'02_Inputs'!$G$2:$G$181*'02_Inputs'!$H$2:$H$181*1000)</f>
        <v/>
      </c>
      <c r="G84" s="28">
        <f>'02a_CSP_Contract_Alloc'!F84</f>
        <v/>
      </c>
      <c r="H84" s="6">
        <f>'02a_CSP_Contract_Alloc'!G84</f>
        <v/>
      </c>
      <c r="I84" s="28">
        <f>'02a_CSP_Contract_Alloc'!H84</f>
        <v/>
      </c>
      <c r="J84" s="6">
        <f>'02a_CSP_Contract_Alloc'!I84</f>
        <v/>
      </c>
      <c r="K84" s="28">
        <f>'02a_CSP_Contract_Alloc'!K84</f>
        <v/>
      </c>
      <c r="L84" s="28">
        <f>SUMIFS('02a_CSP_Contract_Alloc'!$K$2:$K$305,'02a_CSP_Contract_Alloc'!$B$2:$B$305,B84,'02a_CSP_Contract_Alloc'!$C$2:$C$305,C84,'02a_CSP_Contract_Alloc'!$D$2:$D$305,D84)</f>
        <v/>
      </c>
      <c r="M84" s="6">
        <f>IF(L84&gt;0,K84/L84,0)</f>
        <v/>
      </c>
      <c r="N84" s="28">
        <f>F84*M84</f>
        <v/>
      </c>
      <c r="O84" s="5">
        <f>'02a_CSP_Contract_Alloc'!L84</f>
        <v/>
      </c>
      <c r="P84" s="5" t="inlineStr">
        <is>
          <t>AI company inference power is normalized across CSPs by CSP total power * AI contract share * inference share.</t>
        </is>
      </c>
    </row>
    <row r="85">
      <c r="A85" s="5">
        <f>'02a_CSP_Contract_Alloc'!A85</f>
        <v/>
      </c>
      <c r="B85" s="5">
        <f>'02a_CSP_Contract_Alloc'!B85</f>
        <v/>
      </c>
      <c r="C85" s="5">
        <f>'02a_CSP_Contract_Alloc'!C85</f>
        <v/>
      </c>
      <c r="D85" s="5">
        <f>'02a_CSP_Contract_Alloc'!D85</f>
        <v/>
      </c>
      <c r="E85" s="5">
        <f>'02a_CSP_Contract_Alloc'!E85</f>
        <v/>
      </c>
      <c r="F85" s="28">
        <f>SUMPRODUCT(('02_Inputs'!$A$2:$A$181=B85)*('02_Inputs'!$B$2:$B$181=C85)*('02_Inputs'!$C$2:$C$181=D85)*'02_Inputs'!$D$2:$D$181*'02_Inputs'!$E$2:$E$181/'02_Inputs'!$F$2:$F$181*'02_Inputs'!$G$2:$G$181*'02_Inputs'!$H$2:$H$181*1000)</f>
        <v/>
      </c>
      <c r="G85" s="28">
        <f>'02a_CSP_Contract_Alloc'!F85</f>
        <v/>
      </c>
      <c r="H85" s="6">
        <f>'02a_CSP_Contract_Alloc'!G85</f>
        <v/>
      </c>
      <c r="I85" s="28">
        <f>'02a_CSP_Contract_Alloc'!H85</f>
        <v/>
      </c>
      <c r="J85" s="6">
        <f>'02a_CSP_Contract_Alloc'!I85</f>
        <v/>
      </c>
      <c r="K85" s="28">
        <f>'02a_CSP_Contract_Alloc'!K85</f>
        <v/>
      </c>
      <c r="L85" s="28">
        <f>SUMIFS('02a_CSP_Contract_Alloc'!$K$2:$K$305,'02a_CSP_Contract_Alloc'!$B$2:$B$305,B85,'02a_CSP_Contract_Alloc'!$C$2:$C$305,C85,'02a_CSP_Contract_Alloc'!$D$2:$D$305,D85)</f>
        <v/>
      </c>
      <c r="M85" s="6">
        <f>IF(L85&gt;0,K85/L85,0)</f>
        <v/>
      </c>
      <c r="N85" s="28">
        <f>F85*M85</f>
        <v/>
      </c>
      <c r="O85" s="5">
        <f>'02a_CSP_Contract_Alloc'!L85</f>
        <v/>
      </c>
      <c r="P85" s="5" t="inlineStr">
        <is>
          <t>AI company inference power is normalized across CSPs by CSP total power * AI contract share * inference share.</t>
        </is>
      </c>
    </row>
    <row r="86">
      <c r="A86" s="5">
        <f>'02a_CSP_Contract_Alloc'!A86</f>
        <v/>
      </c>
      <c r="B86" s="5">
        <f>'02a_CSP_Contract_Alloc'!B86</f>
        <v/>
      </c>
      <c r="C86" s="5">
        <f>'02a_CSP_Contract_Alloc'!C86</f>
        <v/>
      </c>
      <c r="D86" s="5">
        <f>'02a_CSP_Contract_Alloc'!D86</f>
        <v/>
      </c>
      <c r="E86" s="5">
        <f>'02a_CSP_Contract_Alloc'!E86</f>
        <v/>
      </c>
      <c r="F86" s="28">
        <f>SUMPRODUCT(('02_Inputs'!$A$2:$A$181=B86)*('02_Inputs'!$B$2:$B$181=C86)*('02_Inputs'!$C$2:$C$181=D86)*'02_Inputs'!$D$2:$D$181*'02_Inputs'!$E$2:$E$181/'02_Inputs'!$F$2:$F$181*'02_Inputs'!$G$2:$G$181*'02_Inputs'!$H$2:$H$181*1000)</f>
        <v/>
      </c>
      <c r="G86" s="28">
        <f>'02a_CSP_Contract_Alloc'!F86</f>
        <v/>
      </c>
      <c r="H86" s="6">
        <f>'02a_CSP_Contract_Alloc'!G86</f>
        <v/>
      </c>
      <c r="I86" s="28">
        <f>'02a_CSP_Contract_Alloc'!H86</f>
        <v/>
      </c>
      <c r="J86" s="6">
        <f>'02a_CSP_Contract_Alloc'!I86</f>
        <v/>
      </c>
      <c r="K86" s="28">
        <f>'02a_CSP_Contract_Alloc'!K86</f>
        <v/>
      </c>
      <c r="L86" s="28">
        <f>SUMIFS('02a_CSP_Contract_Alloc'!$K$2:$K$305,'02a_CSP_Contract_Alloc'!$B$2:$B$305,B86,'02a_CSP_Contract_Alloc'!$C$2:$C$305,C86,'02a_CSP_Contract_Alloc'!$D$2:$D$305,D86)</f>
        <v/>
      </c>
      <c r="M86" s="6">
        <f>IF(L86&gt;0,K86/L86,0)</f>
        <v/>
      </c>
      <c r="N86" s="28">
        <f>F86*M86</f>
        <v/>
      </c>
      <c r="O86" s="5">
        <f>'02a_CSP_Contract_Alloc'!L86</f>
        <v/>
      </c>
      <c r="P86" s="5" t="inlineStr">
        <is>
          <t>AI company inference power is normalized across CSPs by CSP total power * AI contract share * inference share.</t>
        </is>
      </c>
    </row>
    <row r="87">
      <c r="A87" s="5">
        <f>'02a_CSP_Contract_Alloc'!A87</f>
        <v/>
      </c>
      <c r="B87" s="5">
        <f>'02a_CSP_Contract_Alloc'!B87</f>
        <v/>
      </c>
      <c r="C87" s="5">
        <f>'02a_CSP_Contract_Alloc'!C87</f>
        <v/>
      </c>
      <c r="D87" s="5">
        <f>'02a_CSP_Contract_Alloc'!D87</f>
        <v/>
      </c>
      <c r="E87" s="5">
        <f>'02a_CSP_Contract_Alloc'!E87</f>
        <v/>
      </c>
      <c r="F87" s="28">
        <f>SUMPRODUCT(('02_Inputs'!$A$2:$A$181=B87)*('02_Inputs'!$B$2:$B$181=C87)*('02_Inputs'!$C$2:$C$181=D87)*'02_Inputs'!$D$2:$D$181*'02_Inputs'!$E$2:$E$181/'02_Inputs'!$F$2:$F$181*'02_Inputs'!$G$2:$G$181*'02_Inputs'!$H$2:$H$181*1000)</f>
        <v/>
      </c>
      <c r="G87" s="28">
        <f>'02a_CSP_Contract_Alloc'!F87</f>
        <v/>
      </c>
      <c r="H87" s="6">
        <f>'02a_CSP_Contract_Alloc'!G87</f>
        <v/>
      </c>
      <c r="I87" s="28">
        <f>'02a_CSP_Contract_Alloc'!H87</f>
        <v/>
      </c>
      <c r="J87" s="6">
        <f>'02a_CSP_Contract_Alloc'!I87</f>
        <v/>
      </c>
      <c r="K87" s="28">
        <f>'02a_CSP_Contract_Alloc'!K87</f>
        <v/>
      </c>
      <c r="L87" s="28">
        <f>SUMIFS('02a_CSP_Contract_Alloc'!$K$2:$K$305,'02a_CSP_Contract_Alloc'!$B$2:$B$305,B87,'02a_CSP_Contract_Alloc'!$C$2:$C$305,C87,'02a_CSP_Contract_Alloc'!$D$2:$D$305,D87)</f>
        <v/>
      </c>
      <c r="M87" s="6">
        <f>IF(L87&gt;0,K87/L87,0)</f>
        <v/>
      </c>
      <c r="N87" s="28">
        <f>F87*M87</f>
        <v/>
      </c>
      <c r="O87" s="5">
        <f>'02a_CSP_Contract_Alloc'!L87</f>
        <v/>
      </c>
      <c r="P87" s="5" t="inlineStr">
        <is>
          <t>AI company inference power is normalized across CSPs by CSP total power * AI contract share * inference share.</t>
        </is>
      </c>
    </row>
    <row r="88">
      <c r="A88" s="5">
        <f>'02a_CSP_Contract_Alloc'!A88</f>
        <v/>
      </c>
      <c r="B88" s="5">
        <f>'02a_CSP_Contract_Alloc'!B88</f>
        <v/>
      </c>
      <c r="C88" s="5">
        <f>'02a_CSP_Contract_Alloc'!C88</f>
        <v/>
      </c>
      <c r="D88" s="5">
        <f>'02a_CSP_Contract_Alloc'!D88</f>
        <v/>
      </c>
      <c r="E88" s="5">
        <f>'02a_CSP_Contract_Alloc'!E88</f>
        <v/>
      </c>
      <c r="F88" s="28">
        <f>SUMPRODUCT(('02_Inputs'!$A$2:$A$181=B88)*('02_Inputs'!$B$2:$B$181=C88)*('02_Inputs'!$C$2:$C$181=D88)*'02_Inputs'!$D$2:$D$181*'02_Inputs'!$E$2:$E$181/'02_Inputs'!$F$2:$F$181*'02_Inputs'!$G$2:$G$181*'02_Inputs'!$H$2:$H$181*1000)</f>
        <v/>
      </c>
      <c r="G88" s="28">
        <f>'02a_CSP_Contract_Alloc'!F88</f>
        <v/>
      </c>
      <c r="H88" s="6">
        <f>'02a_CSP_Contract_Alloc'!G88</f>
        <v/>
      </c>
      <c r="I88" s="28">
        <f>'02a_CSP_Contract_Alloc'!H88</f>
        <v/>
      </c>
      <c r="J88" s="6">
        <f>'02a_CSP_Contract_Alloc'!I88</f>
        <v/>
      </c>
      <c r="K88" s="28">
        <f>'02a_CSP_Contract_Alloc'!K88</f>
        <v/>
      </c>
      <c r="L88" s="28">
        <f>SUMIFS('02a_CSP_Contract_Alloc'!$K$2:$K$305,'02a_CSP_Contract_Alloc'!$B$2:$B$305,B88,'02a_CSP_Contract_Alloc'!$C$2:$C$305,C88,'02a_CSP_Contract_Alloc'!$D$2:$D$305,D88)</f>
        <v/>
      </c>
      <c r="M88" s="6">
        <f>IF(L88&gt;0,K88/L88,0)</f>
        <v/>
      </c>
      <c r="N88" s="28">
        <f>F88*M88</f>
        <v/>
      </c>
      <c r="O88" s="5">
        <f>'02a_CSP_Contract_Alloc'!L88</f>
        <v/>
      </c>
      <c r="P88" s="5" t="inlineStr">
        <is>
          <t>AI company inference power is normalized across CSPs by CSP total power * AI contract share * inference share.</t>
        </is>
      </c>
    </row>
    <row r="89">
      <c r="A89" s="5">
        <f>'02a_CSP_Contract_Alloc'!A89</f>
        <v/>
      </c>
      <c r="B89" s="5">
        <f>'02a_CSP_Contract_Alloc'!B89</f>
        <v/>
      </c>
      <c r="C89" s="5">
        <f>'02a_CSP_Contract_Alloc'!C89</f>
        <v/>
      </c>
      <c r="D89" s="5">
        <f>'02a_CSP_Contract_Alloc'!D89</f>
        <v/>
      </c>
      <c r="E89" s="5">
        <f>'02a_CSP_Contract_Alloc'!E89</f>
        <v/>
      </c>
      <c r="F89" s="28">
        <f>SUMPRODUCT(('02_Inputs'!$A$2:$A$181=B89)*('02_Inputs'!$B$2:$B$181=C89)*('02_Inputs'!$C$2:$C$181=D89)*'02_Inputs'!$D$2:$D$181*'02_Inputs'!$E$2:$E$181/'02_Inputs'!$F$2:$F$181*'02_Inputs'!$G$2:$G$181*'02_Inputs'!$H$2:$H$181*1000)</f>
        <v/>
      </c>
      <c r="G89" s="28">
        <f>'02a_CSP_Contract_Alloc'!F89</f>
        <v/>
      </c>
      <c r="H89" s="6">
        <f>'02a_CSP_Contract_Alloc'!G89</f>
        <v/>
      </c>
      <c r="I89" s="28">
        <f>'02a_CSP_Contract_Alloc'!H89</f>
        <v/>
      </c>
      <c r="J89" s="6">
        <f>'02a_CSP_Contract_Alloc'!I89</f>
        <v/>
      </c>
      <c r="K89" s="28">
        <f>'02a_CSP_Contract_Alloc'!K89</f>
        <v/>
      </c>
      <c r="L89" s="28">
        <f>SUMIFS('02a_CSP_Contract_Alloc'!$K$2:$K$305,'02a_CSP_Contract_Alloc'!$B$2:$B$305,B89,'02a_CSP_Contract_Alloc'!$C$2:$C$305,C89,'02a_CSP_Contract_Alloc'!$D$2:$D$305,D89)</f>
        <v/>
      </c>
      <c r="M89" s="6">
        <f>IF(L89&gt;0,K89/L89,0)</f>
        <v/>
      </c>
      <c r="N89" s="28">
        <f>F89*M89</f>
        <v/>
      </c>
      <c r="O89" s="5">
        <f>'02a_CSP_Contract_Alloc'!L89</f>
        <v/>
      </c>
      <c r="P89" s="5" t="inlineStr">
        <is>
          <t>AI company inference power is normalized across CSPs by CSP total power * AI contract share * inference share.</t>
        </is>
      </c>
    </row>
    <row r="90">
      <c r="A90" s="5">
        <f>'02a_CSP_Contract_Alloc'!A90</f>
        <v/>
      </c>
      <c r="B90" s="5">
        <f>'02a_CSP_Contract_Alloc'!B90</f>
        <v/>
      </c>
      <c r="C90" s="5">
        <f>'02a_CSP_Contract_Alloc'!C90</f>
        <v/>
      </c>
      <c r="D90" s="5">
        <f>'02a_CSP_Contract_Alloc'!D90</f>
        <v/>
      </c>
      <c r="E90" s="5">
        <f>'02a_CSP_Contract_Alloc'!E90</f>
        <v/>
      </c>
      <c r="F90" s="28">
        <f>SUMPRODUCT(('02_Inputs'!$A$2:$A$181=B90)*('02_Inputs'!$B$2:$B$181=C90)*('02_Inputs'!$C$2:$C$181=D90)*'02_Inputs'!$D$2:$D$181*'02_Inputs'!$E$2:$E$181/'02_Inputs'!$F$2:$F$181*'02_Inputs'!$G$2:$G$181*'02_Inputs'!$H$2:$H$181*1000)</f>
        <v/>
      </c>
      <c r="G90" s="28">
        <f>'02a_CSP_Contract_Alloc'!F90</f>
        <v/>
      </c>
      <c r="H90" s="6">
        <f>'02a_CSP_Contract_Alloc'!G90</f>
        <v/>
      </c>
      <c r="I90" s="28">
        <f>'02a_CSP_Contract_Alloc'!H90</f>
        <v/>
      </c>
      <c r="J90" s="6">
        <f>'02a_CSP_Contract_Alloc'!I90</f>
        <v/>
      </c>
      <c r="K90" s="28">
        <f>'02a_CSP_Contract_Alloc'!K90</f>
        <v/>
      </c>
      <c r="L90" s="28">
        <f>SUMIFS('02a_CSP_Contract_Alloc'!$K$2:$K$305,'02a_CSP_Contract_Alloc'!$B$2:$B$305,B90,'02a_CSP_Contract_Alloc'!$C$2:$C$305,C90,'02a_CSP_Contract_Alloc'!$D$2:$D$305,D90)</f>
        <v/>
      </c>
      <c r="M90" s="6">
        <f>IF(L90&gt;0,K90/L90,0)</f>
        <v/>
      </c>
      <c r="N90" s="28">
        <f>F90*M90</f>
        <v/>
      </c>
      <c r="O90" s="5">
        <f>'02a_CSP_Contract_Alloc'!L90</f>
        <v/>
      </c>
      <c r="P90" s="5" t="inlineStr">
        <is>
          <t>AI company inference power is normalized across CSPs by CSP total power * AI contract share * inference share.</t>
        </is>
      </c>
    </row>
    <row r="91">
      <c r="A91" s="5">
        <f>'02a_CSP_Contract_Alloc'!A91</f>
        <v/>
      </c>
      <c r="B91" s="5">
        <f>'02a_CSP_Contract_Alloc'!B91</f>
        <v/>
      </c>
      <c r="C91" s="5">
        <f>'02a_CSP_Contract_Alloc'!C91</f>
        <v/>
      </c>
      <c r="D91" s="5">
        <f>'02a_CSP_Contract_Alloc'!D91</f>
        <v/>
      </c>
      <c r="E91" s="5">
        <f>'02a_CSP_Contract_Alloc'!E91</f>
        <v/>
      </c>
      <c r="F91" s="28">
        <f>SUMPRODUCT(('02_Inputs'!$A$2:$A$181=B91)*('02_Inputs'!$B$2:$B$181=C91)*('02_Inputs'!$C$2:$C$181=D91)*'02_Inputs'!$D$2:$D$181*'02_Inputs'!$E$2:$E$181/'02_Inputs'!$F$2:$F$181*'02_Inputs'!$G$2:$G$181*'02_Inputs'!$H$2:$H$181*1000)</f>
        <v/>
      </c>
      <c r="G91" s="28">
        <f>'02a_CSP_Contract_Alloc'!F91</f>
        <v/>
      </c>
      <c r="H91" s="6">
        <f>'02a_CSP_Contract_Alloc'!G91</f>
        <v/>
      </c>
      <c r="I91" s="28">
        <f>'02a_CSP_Contract_Alloc'!H91</f>
        <v/>
      </c>
      <c r="J91" s="6">
        <f>'02a_CSP_Contract_Alloc'!I91</f>
        <v/>
      </c>
      <c r="K91" s="28">
        <f>'02a_CSP_Contract_Alloc'!K91</f>
        <v/>
      </c>
      <c r="L91" s="28">
        <f>SUMIFS('02a_CSP_Contract_Alloc'!$K$2:$K$305,'02a_CSP_Contract_Alloc'!$B$2:$B$305,B91,'02a_CSP_Contract_Alloc'!$C$2:$C$305,C91,'02a_CSP_Contract_Alloc'!$D$2:$D$305,D91)</f>
        <v/>
      </c>
      <c r="M91" s="6">
        <f>IF(L91&gt;0,K91/L91,0)</f>
        <v/>
      </c>
      <c r="N91" s="28">
        <f>F91*M91</f>
        <v/>
      </c>
      <c r="O91" s="5">
        <f>'02a_CSP_Contract_Alloc'!L91</f>
        <v/>
      </c>
      <c r="P91" s="5" t="inlineStr">
        <is>
          <t>AI company inference power is normalized across CSPs by CSP total power * AI contract share * inference share.</t>
        </is>
      </c>
    </row>
    <row r="92">
      <c r="A92" s="5">
        <f>'02a_CSP_Contract_Alloc'!A92</f>
        <v/>
      </c>
      <c r="B92" s="5">
        <f>'02a_CSP_Contract_Alloc'!B92</f>
        <v/>
      </c>
      <c r="C92" s="5">
        <f>'02a_CSP_Contract_Alloc'!C92</f>
        <v/>
      </c>
      <c r="D92" s="5">
        <f>'02a_CSP_Contract_Alloc'!D92</f>
        <v/>
      </c>
      <c r="E92" s="5">
        <f>'02a_CSP_Contract_Alloc'!E92</f>
        <v/>
      </c>
      <c r="F92" s="28">
        <f>SUMPRODUCT(('02_Inputs'!$A$2:$A$181=B92)*('02_Inputs'!$B$2:$B$181=C92)*('02_Inputs'!$C$2:$C$181=D92)*'02_Inputs'!$D$2:$D$181*'02_Inputs'!$E$2:$E$181/'02_Inputs'!$F$2:$F$181*'02_Inputs'!$G$2:$G$181*'02_Inputs'!$H$2:$H$181*1000)</f>
        <v/>
      </c>
      <c r="G92" s="28">
        <f>'02a_CSP_Contract_Alloc'!F92</f>
        <v/>
      </c>
      <c r="H92" s="6">
        <f>'02a_CSP_Contract_Alloc'!G92</f>
        <v/>
      </c>
      <c r="I92" s="28">
        <f>'02a_CSP_Contract_Alloc'!H92</f>
        <v/>
      </c>
      <c r="J92" s="6">
        <f>'02a_CSP_Contract_Alloc'!I92</f>
        <v/>
      </c>
      <c r="K92" s="28">
        <f>'02a_CSP_Contract_Alloc'!K92</f>
        <v/>
      </c>
      <c r="L92" s="28">
        <f>SUMIFS('02a_CSP_Contract_Alloc'!$K$2:$K$305,'02a_CSP_Contract_Alloc'!$B$2:$B$305,B92,'02a_CSP_Contract_Alloc'!$C$2:$C$305,C92,'02a_CSP_Contract_Alloc'!$D$2:$D$305,D92)</f>
        <v/>
      </c>
      <c r="M92" s="6">
        <f>IF(L92&gt;0,K92/L92,0)</f>
        <v/>
      </c>
      <c r="N92" s="28">
        <f>F92*M92</f>
        <v/>
      </c>
      <c r="O92" s="5">
        <f>'02a_CSP_Contract_Alloc'!L92</f>
        <v/>
      </c>
      <c r="P92" s="5" t="inlineStr">
        <is>
          <t>AI company inference power is normalized across CSPs by CSP total power * AI contract share * inference share.</t>
        </is>
      </c>
    </row>
    <row r="93">
      <c r="A93" s="5">
        <f>'02a_CSP_Contract_Alloc'!A93</f>
        <v/>
      </c>
      <c r="B93" s="5">
        <f>'02a_CSP_Contract_Alloc'!B93</f>
        <v/>
      </c>
      <c r="C93" s="5">
        <f>'02a_CSP_Contract_Alloc'!C93</f>
        <v/>
      </c>
      <c r="D93" s="5">
        <f>'02a_CSP_Contract_Alloc'!D93</f>
        <v/>
      </c>
      <c r="E93" s="5">
        <f>'02a_CSP_Contract_Alloc'!E93</f>
        <v/>
      </c>
      <c r="F93" s="28">
        <f>SUMPRODUCT(('02_Inputs'!$A$2:$A$181=B93)*('02_Inputs'!$B$2:$B$181=C93)*('02_Inputs'!$C$2:$C$181=D93)*'02_Inputs'!$D$2:$D$181*'02_Inputs'!$E$2:$E$181/'02_Inputs'!$F$2:$F$181*'02_Inputs'!$G$2:$G$181*'02_Inputs'!$H$2:$H$181*1000)</f>
        <v/>
      </c>
      <c r="G93" s="28">
        <f>'02a_CSP_Contract_Alloc'!F93</f>
        <v/>
      </c>
      <c r="H93" s="6">
        <f>'02a_CSP_Contract_Alloc'!G93</f>
        <v/>
      </c>
      <c r="I93" s="28">
        <f>'02a_CSP_Contract_Alloc'!H93</f>
        <v/>
      </c>
      <c r="J93" s="6">
        <f>'02a_CSP_Contract_Alloc'!I93</f>
        <v/>
      </c>
      <c r="K93" s="28">
        <f>'02a_CSP_Contract_Alloc'!K93</f>
        <v/>
      </c>
      <c r="L93" s="28">
        <f>SUMIFS('02a_CSP_Contract_Alloc'!$K$2:$K$305,'02a_CSP_Contract_Alloc'!$B$2:$B$305,B93,'02a_CSP_Contract_Alloc'!$C$2:$C$305,C93,'02a_CSP_Contract_Alloc'!$D$2:$D$305,D93)</f>
        <v/>
      </c>
      <c r="M93" s="6">
        <f>IF(L93&gt;0,K93/L93,0)</f>
        <v/>
      </c>
      <c r="N93" s="28">
        <f>F93*M93</f>
        <v/>
      </c>
      <c r="O93" s="5">
        <f>'02a_CSP_Contract_Alloc'!L93</f>
        <v/>
      </c>
      <c r="P93" s="5" t="inlineStr">
        <is>
          <t>AI company inference power is normalized across CSPs by CSP total power * AI contract share * inference share.</t>
        </is>
      </c>
    </row>
    <row r="94">
      <c r="A94" s="5">
        <f>'02a_CSP_Contract_Alloc'!A94</f>
        <v/>
      </c>
      <c r="B94" s="5">
        <f>'02a_CSP_Contract_Alloc'!B94</f>
        <v/>
      </c>
      <c r="C94" s="5">
        <f>'02a_CSP_Contract_Alloc'!C94</f>
        <v/>
      </c>
      <c r="D94" s="5">
        <f>'02a_CSP_Contract_Alloc'!D94</f>
        <v/>
      </c>
      <c r="E94" s="5">
        <f>'02a_CSP_Contract_Alloc'!E94</f>
        <v/>
      </c>
      <c r="F94" s="28">
        <f>SUMPRODUCT(('02_Inputs'!$A$2:$A$181=B94)*('02_Inputs'!$B$2:$B$181=C94)*('02_Inputs'!$C$2:$C$181=D94)*'02_Inputs'!$D$2:$D$181*'02_Inputs'!$E$2:$E$181/'02_Inputs'!$F$2:$F$181*'02_Inputs'!$G$2:$G$181*'02_Inputs'!$H$2:$H$181*1000)</f>
        <v/>
      </c>
      <c r="G94" s="28">
        <f>'02a_CSP_Contract_Alloc'!F94</f>
        <v/>
      </c>
      <c r="H94" s="6">
        <f>'02a_CSP_Contract_Alloc'!G94</f>
        <v/>
      </c>
      <c r="I94" s="28">
        <f>'02a_CSP_Contract_Alloc'!H94</f>
        <v/>
      </c>
      <c r="J94" s="6">
        <f>'02a_CSP_Contract_Alloc'!I94</f>
        <v/>
      </c>
      <c r="K94" s="28">
        <f>'02a_CSP_Contract_Alloc'!K94</f>
        <v/>
      </c>
      <c r="L94" s="28">
        <f>SUMIFS('02a_CSP_Contract_Alloc'!$K$2:$K$305,'02a_CSP_Contract_Alloc'!$B$2:$B$305,B94,'02a_CSP_Contract_Alloc'!$C$2:$C$305,C94,'02a_CSP_Contract_Alloc'!$D$2:$D$305,D94)</f>
        <v/>
      </c>
      <c r="M94" s="6">
        <f>IF(L94&gt;0,K94/L94,0)</f>
        <v/>
      </c>
      <c r="N94" s="28">
        <f>F94*M94</f>
        <v/>
      </c>
      <c r="O94" s="5">
        <f>'02a_CSP_Contract_Alloc'!L94</f>
        <v/>
      </c>
      <c r="P94" s="5" t="inlineStr">
        <is>
          <t>AI company inference power is normalized across CSPs by CSP total power * AI contract share * inference share.</t>
        </is>
      </c>
    </row>
    <row r="95">
      <c r="A95" s="5">
        <f>'02a_CSP_Contract_Alloc'!A95</f>
        <v/>
      </c>
      <c r="B95" s="5">
        <f>'02a_CSP_Contract_Alloc'!B95</f>
        <v/>
      </c>
      <c r="C95" s="5">
        <f>'02a_CSP_Contract_Alloc'!C95</f>
        <v/>
      </c>
      <c r="D95" s="5">
        <f>'02a_CSP_Contract_Alloc'!D95</f>
        <v/>
      </c>
      <c r="E95" s="5">
        <f>'02a_CSP_Contract_Alloc'!E95</f>
        <v/>
      </c>
      <c r="F95" s="28">
        <f>SUMPRODUCT(('02_Inputs'!$A$2:$A$181=B95)*('02_Inputs'!$B$2:$B$181=C95)*('02_Inputs'!$C$2:$C$181=D95)*'02_Inputs'!$D$2:$D$181*'02_Inputs'!$E$2:$E$181/'02_Inputs'!$F$2:$F$181*'02_Inputs'!$G$2:$G$181*'02_Inputs'!$H$2:$H$181*1000)</f>
        <v/>
      </c>
      <c r="G95" s="28">
        <f>'02a_CSP_Contract_Alloc'!F95</f>
        <v/>
      </c>
      <c r="H95" s="6">
        <f>'02a_CSP_Contract_Alloc'!G95</f>
        <v/>
      </c>
      <c r="I95" s="28">
        <f>'02a_CSP_Contract_Alloc'!H95</f>
        <v/>
      </c>
      <c r="J95" s="6">
        <f>'02a_CSP_Contract_Alloc'!I95</f>
        <v/>
      </c>
      <c r="K95" s="28">
        <f>'02a_CSP_Contract_Alloc'!K95</f>
        <v/>
      </c>
      <c r="L95" s="28">
        <f>SUMIFS('02a_CSP_Contract_Alloc'!$K$2:$K$305,'02a_CSP_Contract_Alloc'!$B$2:$B$305,B95,'02a_CSP_Contract_Alloc'!$C$2:$C$305,C95,'02a_CSP_Contract_Alloc'!$D$2:$D$305,D95)</f>
        <v/>
      </c>
      <c r="M95" s="6">
        <f>IF(L95&gt;0,K95/L95,0)</f>
        <v/>
      </c>
      <c r="N95" s="28">
        <f>F95*M95</f>
        <v/>
      </c>
      <c r="O95" s="5">
        <f>'02a_CSP_Contract_Alloc'!L95</f>
        <v/>
      </c>
      <c r="P95" s="5" t="inlineStr">
        <is>
          <t>AI company inference power is normalized across CSPs by CSP total power * AI contract share * inference share.</t>
        </is>
      </c>
    </row>
    <row r="96">
      <c r="A96" s="5">
        <f>'02a_CSP_Contract_Alloc'!A96</f>
        <v/>
      </c>
      <c r="B96" s="5">
        <f>'02a_CSP_Contract_Alloc'!B96</f>
        <v/>
      </c>
      <c r="C96" s="5">
        <f>'02a_CSP_Contract_Alloc'!C96</f>
        <v/>
      </c>
      <c r="D96" s="5">
        <f>'02a_CSP_Contract_Alloc'!D96</f>
        <v/>
      </c>
      <c r="E96" s="5">
        <f>'02a_CSP_Contract_Alloc'!E96</f>
        <v/>
      </c>
      <c r="F96" s="28">
        <f>SUMPRODUCT(('02_Inputs'!$A$2:$A$181=B96)*('02_Inputs'!$B$2:$B$181=C96)*('02_Inputs'!$C$2:$C$181=D96)*'02_Inputs'!$D$2:$D$181*'02_Inputs'!$E$2:$E$181/'02_Inputs'!$F$2:$F$181*'02_Inputs'!$G$2:$G$181*'02_Inputs'!$H$2:$H$181*1000)</f>
        <v/>
      </c>
      <c r="G96" s="28">
        <f>'02a_CSP_Contract_Alloc'!F96</f>
        <v/>
      </c>
      <c r="H96" s="6">
        <f>'02a_CSP_Contract_Alloc'!G96</f>
        <v/>
      </c>
      <c r="I96" s="28">
        <f>'02a_CSP_Contract_Alloc'!H96</f>
        <v/>
      </c>
      <c r="J96" s="6">
        <f>'02a_CSP_Contract_Alloc'!I96</f>
        <v/>
      </c>
      <c r="K96" s="28">
        <f>'02a_CSP_Contract_Alloc'!K96</f>
        <v/>
      </c>
      <c r="L96" s="28">
        <f>SUMIFS('02a_CSP_Contract_Alloc'!$K$2:$K$305,'02a_CSP_Contract_Alloc'!$B$2:$B$305,B96,'02a_CSP_Contract_Alloc'!$C$2:$C$305,C96,'02a_CSP_Contract_Alloc'!$D$2:$D$305,D96)</f>
        <v/>
      </c>
      <c r="M96" s="6">
        <f>IF(L96&gt;0,K96/L96,0)</f>
        <v/>
      </c>
      <c r="N96" s="28">
        <f>F96*M96</f>
        <v/>
      </c>
      <c r="O96" s="5">
        <f>'02a_CSP_Contract_Alloc'!L96</f>
        <v/>
      </c>
      <c r="P96" s="5" t="inlineStr">
        <is>
          <t>AI company inference power is normalized across CSPs by CSP total power * AI contract share * inference share.</t>
        </is>
      </c>
    </row>
    <row r="97">
      <c r="A97" s="5">
        <f>'02a_CSP_Contract_Alloc'!A97</f>
        <v/>
      </c>
      <c r="B97" s="5">
        <f>'02a_CSP_Contract_Alloc'!B97</f>
        <v/>
      </c>
      <c r="C97" s="5">
        <f>'02a_CSP_Contract_Alloc'!C97</f>
        <v/>
      </c>
      <c r="D97" s="5">
        <f>'02a_CSP_Contract_Alloc'!D97</f>
        <v/>
      </c>
      <c r="E97" s="5">
        <f>'02a_CSP_Contract_Alloc'!E97</f>
        <v/>
      </c>
      <c r="F97" s="28">
        <f>SUMPRODUCT(('02_Inputs'!$A$2:$A$181=B97)*('02_Inputs'!$B$2:$B$181=C97)*('02_Inputs'!$C$2:$C$181=D97)*'02_Inputs'!$D$2:$D$181*'02_Inputs'!$E$2:$E$181/'02_Inputs'!$F$2:$F$181*'02_Inputs'!$G$2:$G$181*'02_Inputs'!$H$2:$H$181*1000)</f>
        <v/>
      </c>
      <c r="G97" s="28">
        <f>'02a_CSP_Contract_Alloc'!F97</f>
        <v/>
      </c>
      <c r="H97" s="6">
        <f>'02a_CSP_Contract_Alloc'!G97</f>
        <v/>
      </c>
      <c r="I97" s="28">
        <f>'02a_CSP_Contract_Alloc'!H97</f>
        <v/>
      </c>
      <c r="J97" s="6">
        <f>'02a_CSP_Contract_Alloc'!I97</f>
        <v/>
      </c>
      <c r="K97" s="28">
        <f>'02a_CSP_Contract_Alloc'!K97</f>
        <v/>
      </c>
      <c r="L97" s="28">
        <f>SUMIFS('02a_CSP_Contract_Alloc'!$K$2:$K$305,'02a_CSP_Contract_Alloc'!$B$2:$B$305,B97,'02a_CSP_Contract_Alloc'!$C$2:$C$305,C97,'02a_CSP_Contract_Alloc'!$D$2:$D$305,D97)</f>
        <v/>
      </c>
      <c r="M97" s="6">
        <f>IF(L97&gt;0,K97/L97,0)</f>
        <v/>
      </c>
      <c r="N97" s="28">
        <f>F97*M97</f>
        <v/>
      </c>
      <c r="O97" s="5">
        <f>'02a_CSP_Contract_Alloc'!L97</f>
        <v/>
      </c>
      <c r="P97" s="5" t="inlineStr">
        <is>
          <t>AI company inference power is normalized across CSPs by CSP total power * AI contract share * inference share.</t>
        </is>
      </c>
    </row>
    <row r="98">
      <c r="A98" s="5">
        <f>'02a_CSP_Contract_Alloc'!A98</f>
        <v/>
      </c>
      <c r="B98" s="5">
        <f>'02a_CSP_Contract_Alloc'!B98</f>
        <v/>
      </c>
      <c r="C98" s="5">
        <f>'02a_CSP_Contract_Alloc'!C98</f>
        <v/>
      </c>
      <c r="D98" s="5">
        <f>'02a_CSP_Contract_Alloc'!D98</f>
        <v/>
      </c>
      <c r="E98" s="5">
        <f>'02a_CSP_Contract_Alloc'!E98</f>
        <v/>
      </c>
      <c r="F98" s="28">
        <f>SUMPRODUCT(('02_Inputs'!$A$2:$A$181=B98)*('02_Inputs'!$B$2:$B$181=C98)*('02_Inputs'!$C$2:$C$181=D98)*'02_Inputs'!$D$2:$D$181*'02_Inputs'!$E$2:$E$181/'02_Inputs'!$F$2:$F$181*'02_Inputs'!$G$2:$G$181*'02_Inputs'!$H$2:$H$181*1000)</f>
        <v/>
      </c>
      <c r="G98" s="28">
        <f>'02a_CSP_Contract_Alloc'!F98</f>
        <v/>
      </c>
      <c r="H98" s="6">
        <f>'02a_CSP_Contract_Alloc'!G98</f>
        <v/>
      </c>
      <c r="I98" s="28">
        <f>'02a_CSP_Contract_Alloc'!H98</f>
        <v/>
      </c>
      <c r="J98" s="6">
        <f>'02a_CSP_Contract_Alloc'!I98</f>
        <v/>
      </c>
      <c r="K98" s="28">
        <f>'02a_CSP_Contract_Alloc'!K98</f>
        <v/>
      </c>
      <c r="L98" s="28">
        <f>SUMIFS('02a_CSP_Contract_Alloc'!$K$2:$K$305,'02a_CSP_Contract_Alloc'!$B$2:$B$305,B98,'02a_CSP_Contract_Alloc'!$C$2:$C$305,C98,'02a_CSP_Contract_Alloc'!$D$2:$D$305,D98)</f>
        <v/>
      </c>
      <c r="M98" s="6">
        <f>IF(L98&gt;0,K98/L98,0)</f>
        <v/>
      </c>
      <c r="N98" s="28">
        <f>F98*M98</f>
        <v/>
      </c>
      <c r="O98" s="5">
        <f>'02a_CSP_Contract_Alloc'!L98</f>
        <v/>
      </c>
      <c r="P98" s="5" t="inlineStr">
        <is>
          <t>AI company inference power is normalized across CSPs by CSP total power * AI contract share * inference share.</t>
        </is>
      </c>
    </row>
    <row r="99">
      <c r="A99" s="5">
        <f>'02a_CSP_Contract_Alloc'!A99</f>
        <v/>
      </c>
      <c r="B99" s="5">
        <f>'02a_CSP_Contract_Alloc'!B99</f>
        <v/>
      </c>
      <c r="C99" s="5">
        <f>'02a_CSP_Contract_Alloc'!C99</f>
        <v/>
      </c>
      <c r="D99" s="5">
        <f>'02a_CSP_Contract_Alloc'!D99</f>
        <v/>
      </c>
      <c r="E99" s="5">
        <f>'02a_CSP_Contract_Alloc'!E99</f>
        <v/>
      </c>
      <c r="F99" s="28">
        <f>SUMPRODUCT(('02_Inputs'!$A$2:$A$181=B99)*('02_Inputs'!$B$2:$B$181=C99)*('02_Inputs'!$C$2:$C$181=D99)*'02_Inputs'!$D$2:$D$181*'02_Inputs'!$E$2:$E$181/'02_Inputs'!$F$2:$F$181*'02_Inputs'!$G$2:$G$181*'02_Inputs'!$H$2:$H$181*1000)</f>
        <v/>
      </c>
      <c r="G99" s="28">
        <f>'02a_CSP_Contract_Alloc'!F99</f>
        <v/>
      </c>
      <c r="H99" s="6">
        <f>'02a_CSP_Contract_Alloc'!G99</f>
        <v/>
      </c>
      <c r="I99" s="28">
        <f>'02a_CSP_Contract_Alloc'!H99</f>
        <v/>
      </c>
      <c r="J99" s="6">
        <f>'02a_CSP_Contract_Alloc'!I99</f>
        <v/>
      </c>
      <c r="K99" s="28">
        <f>'02a_CSP_Contract_Alloc'!K99</f>
        <v/>
      </c>
      <c r="L99" s="28">
        <f>SUMIFS('02a_CSP_Contract_Alloc'!$K$2:$K$305,'02a_CSP_Contract_Alloc'!$B$2:$B$305,B99,'02a_CSP_Contract_Alloc'!$C$2:$C$305,C99,'02a_CSP_Contract_Alloc'!$D$2:$D$305,D99)</f>
        <v/>
      </c>
      <c r="M99" s="6">
        <f>IF(L99&gt;0,K99/L99,0)</f>
        <v/>
      </c>
      <c r="N99" s="28">
        <f>F99*M99</f>
        <v/>
      </c>
      <c r="O99" s="5">
        <f>'02a_CSP_Contract_Alloc'!L99</f>
        <v/>
      </c>
      <c r="P99" s="5" t="inlineStr">
        <is>
          <t>AI company inference power is normalized across CSPs by CSP total power * AI contract share * inference share.</t>
        </is>
      </c>
    </row>
    <row r="100">
      <c r="A100" s="5">
        <f>'02a_CSP_Contract_Alloc'!A100</f>
        <v/>
      </c>
      <c r="B100" s="5">
        <f>'02a_CSP_Contract_Alloc'!B100</f>
        <v/>
      </c>
      <c r="C100" s="5">
        <f>'02a_CSP_Contract_Alloc'!C100</f>
        <v/>
      </c>
      <c r="D100" s="5">
        <f>'02a_CSP_Contract_Alloc'!D100</f>
        <v/>
      </c>
      <c r="E100" s="5">
        <f>'02a_CSP_Contract_Alloc'!E100</f>
        <v/>
      </c>
      <c r="F100" s="28">
        <f>SUMPRODUCT(('02_Inputs'!$A$2:$A$181=B100)*('02_Inputs'!$B$2:$B$181=C100)*('02_Inputs'!$C$2:$C$181=D100)*'02_Inputs'!$D$2:$D$181*'02_Inputs'!$E$2:$E$181/'02_Inputs'!$F$2:$F$181*'02_Inputs'!$G$2:$G$181*'02_Inputs'!$H$2:$H$181*1000)</f>
        <v/>
      </c>
      <c r="G100" s="28">
        <f>'02a_CSP_Contract_Alloc'!F100</f>
        <v/>
      </c>
      <c r="H100" s="6">
        <f>'02a_CSP_Contract_Alloc'!G100</f>
        <v/>
      </c>
      <c r="I100" s="28">
        <f>'02a_CSP_Contract_Alloc'!H100</f>
        <v/>
      </c>
      <c r="J100" s="6">
        <f>'02a_CSP_Contract_Alloc'!I100</f>
        <v/>
      </c>
      <c r="K100" s="28">
        <f>'02a_CSP_Contract_Alloc'!K100</f>
        <v/>
      </c>
      <c r="L100" s="28">
        <f>SUMIFS('02a_CSP_Contract_Alloc'!$K$2:$K$305,'02a_CSP_Contract_Alloc'!$B$2:$B$305,B100,'02a_CSP_Contract_Alloc'!$C$2:$C$305,C100,'02a_CSP_Contract_Alloc'!$D$2:$D$305,D100)</f>
        <v/>
      </c>
      <c r="M100" s="6">
        <f>IF(L100&gt;0,K100/L100,0)</f>
        <v/>
      </c>
      <c r="N100" s="28">
        <f>F100*M100</f>
        <v/>
      </c>
      <c r="O100" s="5">
        <f>'02a_CSP_Contract_Alloc'!L100</f>
        <v/>
      </c>
      <c r="P100" s="5" t="inlineStr">
        <is>
          <t>AI company inference power is normalized across CSPs by CSP total power * AI contract share * inference share.</t>
        </is>
      </c>
    </row>
    <row r="101">
      <c r="A101" s="5">
        <f>'02a_CSP_Contract_Alloc'!A101</f>
        <v/>
      </c>
      <c r="B101" s="5">
        <f>'02a_CSP_Contract_Alloc'!B101</f>
        <v/>
      </c>
      <c r="C101" s="5">
        <f>'02a_CSP_Contract_Alloc'!C101</f>
        <v/>
      </c>
      <c r="D101" s="5">
        <f>'02a_CSP_Contract_Alloc'!D101</f>
        <v/>
      </c>
      <c r="E101" s="5">
        <f>'02a_CSP_Contract_Alloc'!E101</f>
        <v/>
      </c>
      <c r="F101" s="28">
        <f>SUMPRODUCT(('02_Inputs'!$A$2:$A$181=B101)*('02_Inputs'!$B$2:$B$181=C101)*('02_Inputs'!$C$2:$C$181=D101)*'02_Inputs'!$D$2:$D$181*'02_Inputs'!$E$2:$E$181/'02_Inputs'!$F$2:$F$181*'02_Inputs'!$G$2:$G$181*'02_Inputs'!$H$2:$H$181*1000)</f>
        <v/>
      </c>
      <c r="G101" s="28">
        <f>'02a_CSP_Contract_Alloc'!F101</f>
        <v/>
      </c>
      <c r="H101" s="6">
        <f>'02a_CSP_Contract_Alloc'!G101</f>
        <v/>
      </c>
      <c r="I101" s="28">
        <f>'02a_CSP_Contract_Alloc'!H101</f>
        <v/>
      </c>
      <c r="J101" s="6">
        <f>'02a_CSP_Contract_Alloc'!I101</f>
        <v/>
      </c>
      <c r="K101" s="28">
        <f>'02a_CSP_Contract_Alloc'!K101</f>
        <v/>
      </c>
      <c r="L101" s="28">
        <f>SUMIFS('02a_CSP_Contract_Alloc'!$K$2:$K$305,'02a_CSP_Contract_Alloc'!$B$2:$B$305,B101,'02a_CSP_Contract_Alloc'!$C$2:$C$305,C101,'02a_CSP_Contract_Alloc'!$D$2:$D$305,D101)</f>
        <v/>
      </c>
      <c r="M101" s="6">
        <f>IF(L101&gt;0,K101/L101,0)</f>
        <v/>
      </c>
      <c r="N101" s="28">
        <f>F101*M101</f>
        <v/>
      </c>
      <c r="O101" s="5">
        <f>'02a_CSP_Contract_Alloc'!L101</f>
        <v/>
      </c>
      <c r="P101" s="5" t="inlineStr">
        <is>
          <t>AI company inference power is normalized across CSPs by CSP total power * AI contract share * inference share.</t>
        </is>
      </c>
    </row>
    <row r="102">
      <c r="A102" s="5">
        <f>'02a_CSP_Contract_Alloc'!A102</f>
        <v/>
      </c>
      <c r="B102" s="5">
        <f>'02a_CSP_Contract_Alloc'!B102</f>
        <v/>
      </c>
      <c r="C102" s="5">
        <f>'02a_CSP_Contract_Alloc'!C102</f>
        <v/>
      </c>
      <c r="D102" s="5">
        <f>'02a_CSP_Contract_Alloc'!D102</f>
        <v/>
      </c>
      <c r="E102" s="5">
        <f>'02a_CSP_Contract_Alloc'!E102</f>
        <v/>
      </c>
      <c r="F102" s="28">
        <f>SUMPRODUCT(('02_Inputs'!$A$2:$A$181=B102)*('02_Inputs'!$B$2:$B$181=C102)*('02_Inputs'!$C$2:$C$181=D102)*'02_Inputs'!$D$2:$D$181*'02_Inputs'!$E$2:$E$181/'02_Inputs'!$F$2:$F$181*'02_Inputs'!$G$2:$G$181*'02_Inputs'!$H$2:$H$181*1000)</f>
        <v/>
      </c>
      <c r="G102" s="28">
        <f>'02a_CSP_Contract_Alloc'!F102</f>
        <v/>
      </c>
      <c r="H102" s="6">
        <f>'02a_CSP_Contract_Alloc'!G102</f>
        <v/>
      </c>
      <c r="I102" s="28">
        <f>'02a_CSP_Contract_Alloc'!H102</f>
        <v/>
      </c>
      <c r="J102" s="6">
        <f>'02a_CSP_Contract_Alloc'!I102</f>
        <v/>
      </c>
      <c r="K102" s="28">
        <f>'02a_CSP_Contract_Alloc'!K102</f>
        <v/>
      </c>
      <c r="L102" s="28">
        <f>SUMIFS('02a_CSP_Contract_Alloc'!$K$2:$K$305,'02a_CSP_Contract_Alloc'!$B$2:$B$305,B102,'02a_CSP_Contract_Alloc'!$C$2:$C$305,C102,'02a_CSP_Contract_Alloc'!$D$2:$D$305,D102)</f>
        <v/>
      </c>
      <c r="M102" s="6">
        <f>IF(L102&gt;0,K102/L102,0)</f>
        <v/>
      </c>
      <c r="N102" s="28">
        <f>F102*M102</f>
        <v/>
      </c>
      <c r="O102" s="5">
        <f>'02a_CSP_Contract_Alloc'!L102</f>
        <v/>
      </c>
      <c r="P102" s="5" t="inlineStr">
        <is>
          <t>AI company inference power is normalized across CSPs by CSP total power * AI contract share * inference share.</t>
        </is>
      </c>
    </row>
    <row r="103">
      <c r="A103" s="5">
        <f>'02a_CSP_Contract_Alloc'!A103</f>
        <v/>
      </c>
      <c r="B103" s="5">
        <f>'02a_CSP_Contract_Alloc'!B103</f>
        <v/>
      </c>
      <c r="C103" s="5">
        <f>'02a_CSP_Contract_Alloc'!C103</f>
        <v/>
      </c>
      <c r="D103" s="5">
        <f>'02a_CSP_Contract_Alloc'!D103</f>
        <v/>
      </c>
      <c r="E103" s="5">
        <f>'02a_CSP_Contract_Alloc'!E103</f>
        <v/>
      </c>
      <c r="F103" s="28">
        <f>SUMPRODUCT(('02_Inputs'!$A$2:$A$181=B103)*('02_Inputs'!$B$2:$B$181=C103)*('02_Inputs'!$C$2:$C$181=D103)*'02_Inputs'!$D$2:$D$181*'02_Inputs'!$E$2:$E$181/'02_Inputs'!$F$2:$F$181*'02_Inputs'!$G$2:$G$181*'02_Inputs'!$H$2:$H$181*1000)</f>
        <v/>
      </c>
      <c r="G103" s="28">
        <f>'02a_CSP_Contract_Alloc'!F103</f>
        <v/>
      </c>
      <c r="H103" s="6">
        <f>'02a_CSP_Contract_Alloc'!G103</f>
        <v/>
      </c>
      <c r="I103" s="28">
        <f>'02a_CSP_Contract_Alloc'!H103</f>
        <v/>
      </c>
      <c r="J103" s="6">
        <f>'02a_CSP_Contract_Alloc'!I103</f>
        <v/>
      </c>
      <c r="K103" s="28">
        <f>'02a_CSP_Contract_Alloc'!K103</f>
        <v/>
      </c>
      <c r="L103" s="28">
        <f>SUMIFS('02a_CSP_Contract_Alloc'!$K$2:$K$305,'02a_CSP_Contract_Alloc'!$B$2:$B$305,B103,'02a_CSP_Contract_Alloc'!$C$2:$C$305,C103,'02a_CSP_Contract_Alloc'!$D$2:$D$305,D103)</f>
        <v/>
      </c>
      <c r="M103" s="6">
        <f>IF(L103&gt;0,K103/L103,0)</f>
        <v/>
      </c>
      <c r="N103" s="28">
        <f>F103*M103</f>
        <v/>
      </c>
      <c r="O103" s="5">
        <f>'02a_CSP_Contract_Alloc'!L103</f>
        <v/>
      </c>
      <c r="P103" s="5" t="inlineStr">
        <is>
          <t>AI company inference power is normalized across CSPs by CSP total power * AI contract share * inference share.</t>
        </is>
      </c>
    </row>
    <row r="104">
      <c r="A104" s="5">
        <f>'02a_CSP_Contract_Alloc'!A104</f>
        <v/>
      </c>
      <c r="B104" s="5">
        <f>'02a_CSP_Contract_Alloc'!B104</f>
        <v/>
      </c>
      <c r="C104" s="5">
        <f>'02a_CSP_Contract_Alloc'!C104</f>
        <v/>
      </c>
      <c r="D104" s="5">
        <f>'02a_CSP_Contract_Alloc'!D104</f>
        <v/>
      </c>
      <c r="E104" s="5">
        <f>'02a_CSP_Contract_Alloc'!E104</f>
        <v/>
      </c>
      <c r="F104" s="28">
        <f>SUMPRODUCT(('02_Inputs'!$A$2:$A$181=B104)*('02_Inputs'!$B$2:$B$181=C104)*('02_Inputs'!$C$2:$C$181=D104)*'02_Inputs'!$D$2:$D$181*'02_Inputs'!$E$2:$E$181/'02_Inputs'!$F$2:$F$181*'02_Inputs'!$G$2:$G$181*'02_Inputs'!$H$2:$H$181*1000)</f>
        <v/>
      </c>
      <c r="G104" s="28">
        <f>'02a_CSP_Contract_Alloc'!F104</f>
        <v/>
      </c>
      <c r="H104" s="6">
        <f>'02a_CSP_Contract_Alloc'!G104</f>
        <v/>
      </c>
      <c r="I104" s="28">
        <f>'02a_CSP_Contract_Alloc'!H104</f>
        <v/>
      </c>
      <c r="J104" s="6">
        <f>'02a_CSP_Contract_Alloc'!I104</f>
        <v/>
      </c>
      <c r="K104" s="28">
        <f>'02a_CSP_Contract_Alloc'!K104</f>
        <v/>
      </c>
      <c r="L104" s="28">
        <f>SUMIFS('02a_CSP_Contract_Alloc'!$K$2:$K$305,'02a_CSP_Contract_Alloc'!$B$2:$B$305,B104,'02a_CSP_Contract_Alloc'!$C$2:$C$305,C104,'02a_CSP_Contract_Alloc'!$D$2:$D$305,D104)</f>
        <v/>
      </c>
      <c r="M104" s="6">
        <f>IF(L104&gt;0,K104/L104,0)</f>
        <v/>
      </c>
      <c r="N104" s="28">
        <f>F104*M104</f>
        <v/>
      </c>
      <c r="O104" s="5">
        <f>'02a_CSP_Contract_Alloc'!L104</f>
        <v/>
      </c>
      <c r="P104" s="5" t="inlineStr">
        <is>
          <t>AI company inference power is normalized across CSPs by CSP total power * AI contract share * inference share.</t>
        </is>
      </c>
    </row>
    <row r="105">
      <c r="A105" s="5">
        <f>'02a_CSP_Contract_Alloc'!A105</f>
        <v/>
      </c>
      <c r="B105" s="5">
        <f>'02a_CSP_Contract_Alloc'!B105</f>
        <v/>
      </c>
      <c r="C105" s="5">
        <f>'02a_CSP_Contract_Alloc'!C105</f>
        <v/>
      </c>
      <c r="D105" s="5">
        <f>'02a_CSP_Contract_Alloc'!D105</f>
        <v/>
      </c>
      <c r="E105" s="5">
        <f>'02a_CSP_Contract_Alloc'!E105</f>
        <v/>
      </c>
      <c r="F105" s="28">
        <f>SUMPRODUCT(('02_Inputs'!$A$2:$A$181=B105)*('02_Inputs'!$B$2:$B$181=C105)*('02_Inputs'!$C$2:$C$181=D105)*'02_Inputs'!$D$2:$D$181*'02_Inputs'!$E$2:$E$181/'02_Inputs'!$F$2:$F$181*'02_Inputs'!$G$2:$G$181*'02_Inputs'!$H$2:$H$181*1000)</f>
        <v/>
      </c>
      <c r="G105" s="28">
        <f>'02a_CSP_Contract_Alloc'!F105</f>
        <v/>
      </c>
      <c r="H105" s="6">
        <f>'02a_CSP_Contract_Alloc'!G105</f>
        <v/>
      </c>
      <c r="I105" s="28">
        <f>'02a_CSP_Contract_Alloc'!H105</f>
        <v/>
      </c>
      <c r="J105" s="6">
        <f>'02a_CSP_Contract_Alloc'!I105</f>
        <v/>
      </c>
      <c r="K105" s="28">
        <f>'02a_CSP_Contract_Alloc'!K105</f>
        <v/>
      </c>
      <c r="L105" s="28">
        <f>SUMIFS('02a_CSP_Contract_Alloc'!$K$2:$K$305,'02a_CSP_Contract_Alloc'!$B$2:$B$305,B105,'02a_CSP_Contract_Alloc'!$C$2:$C$305,C105,'02a_CSP_Contract_Alloc'!$D$2:$D$305,D105)</f>
        <v/>
      </c>
      <c r="M105" s="6">
        <f>IF(L105&gt;0,K105/L105,0)</f>
        <v/>
      </c>
      <c r="N105" s="28">
        <f>F105*M105</f>
        <v/>
      </c>
      <c r="O105" s="5">
        <f>'02a_CSP_Contract_Alloc'!L105</f>
        <v/>
      </c>
      <c r="P105" s="5" t="inlineStr">
        <is>
          <t>AI company inference power is normalized across CSPs by CSP total power * AI contract share * inference share.</t>
        </is>
      </c>
    </row>
    <row r="106">
      <c r="A106" s="5">
        <f>'02a_CSP_Contract_Alloc'!A106</f>
        <v/>
      </c>
      <c r="B106" s="5">
        <f>'02a_CSP_Contract_Alloc'!B106</f>
        <v/>
      </c>
      <c r="C106" s="5">
        <f>'02a_CSP_Contract_Alloc'!C106</f>
        <v/>
      </c>
      <c r="D106" s="5">
        <f>'02a_CSP_Contract_Alloc'!D106</f>
        <v/>
      </c>
      <c r="E106" s="5">
        <f>'02a_CSP_Contract_Alloc'!E106</f>
        <v/>
      </c>
      <c r="F106" s="28">
        <f>SUMPRODUCT(('02_Inputs'!$A$2:$A$181=B106)*('02_Inputs'!$B$2:$B$181=C106)*('02_Inputs'!$C$2:$C$181=D106)*'02_Inputs'!$D$2:$D$181*'02_Inputs'!$E$2:$E$181/'02_Inputs'!$F$2:$F$181*'02_Inputs'!$G$2:$G$181*'02_Inputs'!$H$2:$H$181*1000)</f>
        <v/>
      </c>
      <c r="G106" s="28">
        <f>'02a_CSP_Contract_Alloc'!F106</f>
        <v/>
      </c>
      <c r="H106" s="6">
        <f>'02a_CSP_Contract_Alloc'!G106</f>
        <v/>
      </c>
      <c r="I106" s="28">
        <f>'02a_CSP_Contract_Alloc'!H106</f>
        <v/>
      </c>
      <c r="J106" s="6">
        <f>'02a_CSP_Contract_Alloc'!I106</f>
        <v/>
      </c>
      <c r="K106" s="28">
        <f>'02a_CSP_Contract_Alloc'!K106</f>
        <v/>
      </c>
      <c r="L106" s="28">
        <f>SUMIFS('02a_CSP_Contract_Alloc'!$K$2:$K$305,'02a_CSP_Contract_Alloc'!$B$2:$B$305,B106,'02a_CSP_Contract_Alloc'!$C$2:$C$305,C106,'02a_CSP_Contract_Alloc'!$D$2:$D$305,D106)</f>
        <v/>
      </c>
      <c r="M106" s="6">
        <f>IF(L106&gt;0,K106/L106,0)</f>
        <v/>
      </c>
      <c r="N106" s="28">
        <f>F106*M106</f>
        <v/>
      </c>
      <c r="O106" s="5">
        <f>'02a_CSP_Contract_Alloc'!L106</f>
        <v/>
      </c>
      <c r="P106" s="5" t="inlineStr">
        <is>
          <t>AI company inference power is normalized across CSPs by CSP total power * AI contract share * inference share.</t>
        </is>
      </c>
    </row>
    <row r="107">
      <c r="A107" s="5">
        <f>'02a_CSP_Contract_Alloc'!A107</f>
        <v/>
      </c>
      <c r="B107" s="5">
        <f>'02a_CSP_Contract_Alloc'!B107</f>
        <v/>
      </c>
      <c r="C107" s="5">
        <f>'02a_CSP_Contract_Alloc'!C107</f>
        <v/>
      </c>
      <c r="D107" s="5">
        <f>'02a_CSP_Contract_Alloc'!D107</f>
        <v/>
      </c>
      <c r="E107" s="5">
        <f>'02a_CSP_Contract_Alloc'!E107</f>
        <v/>
      </c>
      <c r="F107" s="28">
        <f>SUMPRODUCT(('02_Inputs'!$A$2:$A$181=B107)*('02_Inputs'!$B$2:$B$181=C107)*('02_Inputs'!$C$2:$C$181=D107)*'02_Inputs'!$D$2:$D$181*'02_Inputs'!$E$2:$E$181/'02_Inputs'!$F$2:$F$181*'02_Inputs'!$G$2:$G$181*'02_Inputs'!$H$2:$H$181*1000)</f>
        <v/>
      </c>
      <c r="G107" s="28">
        <f>'02a_CSP_Contract_Alloc'!F107</f>
        <v/>
      </c>
      <c r="H107" s="6">
        <f>'02a_CSP_Contract_Alloc'!G107</f>
        <v/>
      </c>
      <c r="I107" s="28">
        <f>'02a_CSP_Contract_Alloc'!H107</f>
        <v/>
      </c>
      <c r="J107" s="6">
        <f>'02a_CSP_Contract_Alloc'!I107</f>
        <v/>
      </c>
      <c r="K107" s="28">
        <f>'02a_CSP_Contract_Alloc'!K107</f>
        <v/>
      </c>
      <c r="L107" s="28">
        <f>SUMIFS('02a_CSP_Contract_Alloc'!$K$2:$K$305,'02a_CSP_Contract_Alloc'!$B$2:$B$305,B107,'02a_CSP_Contract_Alloc'!$C$2:$C$305,C107,'02a_CSP_Contract_Alloc'!$D$2:$D$305,D107)</f>
        <v/>
      </c>
      <c r="M107" s="6">
        <f>IF(L107&gt;0,K107/L107,0)</f>
        <v/>
      </c>
      <c r="N107" s="28">
        <f>F107*M107</f>
        <v/>
      </c>
      <c r="O107" s="5">
        <f>'02a_CSP_Contract_Alloc'!L107</f>
        <v/>
      </c>
      <c r="P107" s="5" t="inlineStr">
        <is>
          <t>AI company inference power is normalized across CSPs by CSP total power * AI contract share * inference share.</t>
        </is>
      </c>
    </row>
    <row r="108">
      <c r="A108" s="5">
        <f>'02a_CSP_Contract_Alloc'!A108</f>
        <v/>
      </c>
      <c r="B108" s="5">
        <f>'02a_CSP_Contract_Alloc'!B108</f>
        <v/>
      </c>
      <c r="C108" s="5">
        <f>'02a_CSP_Contract_Alloc'!C108</f>
        <v/>
      </c>
      <c r="D108" s="5">
        <f>'02a_CSP_Contract_Alloc'!D108</f>
        <v/>
      </c>
      <c r="E108" s="5">
        <f>'02a_CSP_Contract_Alloc'!E108</f>
        <v/>
      </c>
      <c r="F108" s="28">
        <f>SUMPRODUCT(('02_Inputs'!$A$2:$A$181=B108)*('02_Inputs'!$B$2:$B$181=C108)*('02_Inputs'!$C$2:$C$181=D108)*'02_Inputs'!$D$2:$D$181*'02_Inputs'!$E$2:$E$181/'02_Inputs'!$F$2:$F$181*'02_Inputs'!$G$2:$G$181*'02_Inputs'!$H$2:$H$181*1000)</f>
        <v/>
      </c>
      <c r="G108" s="28">
        <f>'02a_CSP_Contract_Alloc'!F108</f>
        <v/>
      </c>
      <c r="H108" s="6">
        <f>'02a_CSP_Contract_Alloc'!G108</f>
        <v/>
      </c>
      <c r="I108" s="28">
        <f>'02a_CSP_Contract_Alloc'!H108</f>
        <v/>
      </c>
      <c r="J108" s="6">
        <f>'02a_CSP_Contract_Alloc'!I108</f>
        <v/>
      </c>
      <c r="K108" s="28">
        <f>'02a_CSP_Contract_Alloc'!K108</f>
        <v/>
      </c>
      <c r="L108" s="28">
        <f>SUMIFS('02a_CSP_Contract_Alloc'!$K$2:$K$305,'02a_CSP_Contract_Alloc'!$B$2:$B$305,B108,'02a_CSP_Contract_Alloc'!$C$2:$C$305,C108,'02a_CSP_Contract_Alloc'!$D$2:$D$305,D108)</f>
        <v/>
      </c>
      <c r="M108" s="6">
        <f>IF(L108&gt;0,K108/L108,0)</f>
        <v/>
      </c>
      <c r="N108" s="28">
        <f>F108*M108</f>
        <v/>
      </c>
      <c r="O108" s="5">
        <f>'02a_CSP_Contract_Alloc'!L108</f>
        <v/>
      </c>
      <c r="P108" s="5" t="inlineStr">
        <is>
          <t>AI company inference power is normalized across CSPs by CSP total power * AI contract share * inference share.</t>
        </is>
      </c>
    </row>
    <row r="109">
      <c r="A109" s="5">
        <f>'02a_CSP_Contract_Alloc'!A109</f>
        <v/>
      </c>
      <c r="B109" s="5">
        <f>'02a_CSP_Contract_Alloc'!B109</f>
        <v/>
      </c>
      <c r="C109" s="5">
        <f>'02a_CSP_Contract_Alloc'!C109</f>
        <v/>
      </c>
      <c r="D109" s="5">
        <f>'02a_CSP_Contract_Alloc'!D109</f>
        <v/>
      </c>
      <c r="E109" s="5">
        <f>'02a_CSP_Contract_Alloc'!E109</f>
        <v/>
      </c>
      <c r="F109" s="28">
        <f>SUMPRODUCT(('02_Inputs'!$A$2:$A$181=B109)*('02_Inputs'!$B$2:$B$181=C109)*('02_Inputs'!$C$2:$C$181=D109)*'02_Inputs'!$D$2:$D$181*'02_Inputs'!$E$2:$E$181/'02_Inputs'!$F$2:$F$181*'02_Inputs'!$G$2:$G$181*'02_Inputs'!$H$2:$H$181*1000)</f>
        <v/>
      </c>
      <c r="G109" s="28">
        <f>'02a_CSP_Contract_Alloc'!F109</f>
        <v/>
      </c>
      <c r="H109" s="6">
        <f>'02a_CSP_Contract_Alloc'!G109</f>
        <v/>
      </c>
      <c r="I109" s="28">
        <f>'02a_CSP_Contract_Alloc'!H109</f>
        <v/>
      </c>
      <c r="J109" s="6">
        <f>'02a_CSP_Contract_Alloc'!I109</f>
        <v/>
      </c>
      <c r="K109" s="28">
        <f>'02a_CSP_Contract_Alloc'!K109</f>
        <v/>
      </c>
      <c r="L109" s="28">
        <f>SUMIFS('02a_CSP_Contract_Alloc'!$K$2:$K$305,'02a_CSP_Contract_Alloc'!$B$2:$B$305,B109,'02a_CSP_Contract_Alloc'!$C$2:$C$305,C109,'02a_CSP_Contract_Alloc'!$D$2:$D$305,D109)</f>
        <v/>
      </c>
      <c r="M109" s="6">
        <f>IF(L109&gt;0,K109/L109,0)</f>
        <v/>
      </c>
      <c r="N109" s="28">
        <f>F109*M109</f>
        <v/>
      </c>
      <c r="O109" s="5">
        <f>'02a_CSP_Contract_Alloc'!L109</f>
        <v/>
      </c>
      <c r="P109" s="5" t="inlineStr">
        <is>
          <t>AI company inference power is normalized across CSPs by CSP total power * AI contract share * inference share.</t>
        </is>
      </c>
    </row>
    <row r="110">
      <c r="A110" s="5">
        <f>'02a_CSP_Contract_Alloc'!A110</f>
        <v/>
      </c>
      <c r="B110" s="5">
        <f>'02a_CSP_Contract_Alloc'!B110</f>
        <v/>
      </c>
      <c r="C110" s="5">
        <f>'02a_CSP_Contract_Alloc'!C110</f>
        <v/>
      </c>
      <c r="D110" s="5">
        <f>'02a_CSP_Contract_Alloc'!D110</f>
        <v/>
      </c>
      <c r="E110" s="5">
        <f>'02a_CSP_Contract_Alloc'!E110</f>
        <v/>
      </c>
      <c r="F110" s="28">
        <f>SUMPRODUCT(('02_Inputs'!$A$2:$A$181=B110)*('02_Inputs'!$B$2:$B$181=C110)*('02_Inputs'!$C$2:$C$181=D110)*'02_Inputs'!$D$2:$D$181*'02_Inputs'!$E$2:$E$181/'02_Inputs'!$F$2:$F$181*'02_Inputs'!$G$2:$G$181*'02_Inputs'!$H$2:$H$181*1000)</f>
        <v/>
      </c>
      <c r="G110" s="28">
        <f>'02a_CSP_Contract_Alloc'!F110</f>
        <v/>
      </c>
      <c r="H110" s="6">
        <f>'02a_CSP_Contract_Alloc'!G110</f>
        <v/>
      </c>
      <c r="I110" s="28">
        <f>'02a_CSP_Contract_Alloc'!H110</f>
        <v/>
      </c>
      <c r="J110" s="6">
        <f>'02a_CSP_Contract_Alloc'!I110</f>
        <v/>
      </c>
      <c r="K110" s="28">
        <f>'02a_CSP_Contract_Alloc'!K110</f>
        <v/>
      </c>
      <c r="L110" s="28">
        <f>SUMIFS('02a_CSP_Contract_Alloc'!$K$2:$K$305,'02a_CSP_Contract_Alloc'!$B$2:$B$305,B110,'02a_CSP_Contract_Alloc'!$C$2:$C$305,C110,'02a_CSP_Contract_Alloc'!$D$2:$D$305,D110)</f>
        <v/>
      </c>
      <c r="M110" s="6">
        <f>IF(L110&gt;0,K110/L110,0)</f>
        <v/>
      </c>
      <c r="N110" s="28">
        <f>F110*M110</f>
        <v/>
      </c>
      <c r="O110" s="5">
        <f>'02a_CSP_Contract_Alloc'!L110</f>
        <v/>
      </c>
      <c r="P110" s="5" t="inlineStr">
        <is>
          <t>AI company inference power is normalized across CSPs by CSP total power * AI contract share * inference share.</t>
        </is>
      </c>
    </row>
    <row r="111">
      <c r="A111" s="5">
        <f>'02a_CSP_Contract_Alloc'!A111</f>
        <v/>
      </c>
      <c r="B111" s="5">
        <f>'02a_CSP_Contract_Alloc'!B111</f>
        <v/>
      </c>
      <c r="C111" s="5">
        <f>'02a_CSP_Contract_Alloc'!C111</f>
        <v/>
      </c>
      <c r="D111" s="5">
        <f>'02a_CSP_Contract_Alloc'!D111</f>
        <v/>
      </c>
      <c r="E111" s="5">
        <f>'02a_CSP_Contract_Alloc'!E111</f>
        <v/>
      </c>
      <c r="F111" s="28">
        <f>SUMPRODUCT(('02_Inputs'!$A$2:$A$181=B111)*('02_Inputs'!$B$2:$B$181=C111)*('02_Inputs'!$C$2:$C$181=D111)*'02_Inputs'!$D$2:$D$181*'02_Inputs'!$E$2:$E$181/'02_Inputs'!$F$2:$F$181*'02_Inputs'!$G$2:$G$181*'02_Inputs'!$H$2:$H$181*1000)</f>
        <v/>
      </c>
      <c r="G111" s="28">
        <f>'02a_CSP_Contract_Alloc'!F111</f>
        <v/>
      </c>
      <c r="H111" s="6">
        <f>'02a_CSP_Contract_Alloc'!G111</f>
        <v/>
      </c>
      <c r="I111" s="28">
        <f>'02a_CSP_Contract_Alloc'!H111</f>
        <v/>
      </c>
      <c r="J111" s="6">
        <f>'02a_CSP_Contract_Alloc'!I111</f>
        <v/>
      </c>
      <c r="K111" s="28">
        <f>'02a_CSP_Contract_Alloc'!K111</f>
        <v/>
      </c>
      <c r="L111" s="28">
        <f>SUMIFS('02a_CSP_Contract_Alloc'!$K$2:$K$305,'02a_CSP_Contract_Alloc'!$B$2:$B$305,B111,'02a_CSP_Contract_Alloc'!$C$2:$C$305,C111,'02a_CSP_Contract_Alloc'!$D$2:$D$305,D111)</f>
        <v/>
      </c>
      <c r="M111" s="6">
        <f>IF(L111&gt;0,K111/L111,0)</f>
        <v/>
      </c>
      <c r="N111" s="28">
        <f>F111*M111</f>
        <v/>
      </c>
      <c r="O111" s="5">
        <f>'02a_CSP_Contract_Alloc'!L111</f>
        <v/>
      </c>
      <c r="P111" s="5" t="inlineStr">
        <is>
          <t>AI company inference power is normalized across CSPs by CSP total power * AI contract share * inference share.</t>
        </is>
      </c>
    </row>
    <row r="112">
      <c r="A112" s="5">
        <f>'02a_CSP_Contract_Alloc'!A112</f>
        <v/>
      </c>
      <c r="B112" s="5">
        <f>'02a_CSP_Contract_Alloc'!B112</f>
        <v/>
      </c>
      <c r="C112" s="5">
        <f>'02a_CSP_Contract_Alloc'!C112</f>
        <v/>
      </c>
      <c r="D112" s="5">
        <f>'02a_CSP_Contract_Alloc'!D112</f>
        <v/>
      </c>
      <c r="E112" s="5">
        <f>'02a_CSP_Contract_Alloc'!E112</f>
        <v/>
      </c>
      <c r="F112" s="28">
        <f>SUMPRODUCT(('02_Inputs'!$A$2:$A$181=B112)*('02_Inputs'!$B$2:$B$181=C112)*('02_Inputs'!$C$2:$C$181=D112)*'02_Inputs'!$D$2:$D$181*'02_Inputs'!$E$2:$E$181/'02_Inputs'!$F$2:$F$181*'02_Inputs'!$G$2:$G$181*'02_Inputs'!$H$2:$H$181*1000)</f>
        <v/>
      </c>
      <c r="G112" s="28">
        <f>'02a_CSP_Contract_Alloc'!F112</f>
        <v/>
      </c>
      <c r="H112" s="6">
        <f>'02a_CSP_Contract_Alloc'!G112</f>
        <v/>
      </c>
      <c r="I112" s="28">
        <f>'02a_CSP_Contract_Alloc'!H112</f>
        <v/>
      </c>
      <c r="J112" s="6">
        <f>'02a_CSP_Contract_Alloc'!I112</f>
        <v/>
      </c>
      <c r="K112" s="28">
        <f>'02a_CSP_Contract_Alloc'!K112</f>
        <v/>
      </c>
      <c r="L112" s="28">
        <f>SUMIFS('02a_CSP_Contract_Alloc'!$K$2:$K$305,'02a_CSP_Contract_Alloc'!$B$2:$B$305,B112,'02a_CSP_Contract_Alloc'!$C$2:$C$305,C112,'02a_CSP_Contract_Alloc'!$D$2:$D$305,D112)</f>
        <v/>
      </c>
      <c r="M112" s="6">
        <f>IF(L112&gt;0,K112/L112,0)</f>
        <v/>
      </c>
      <c r="N112" s="28">
        <f>F112*M112</f>
        <v/>
      </c>
      <c r="O112" s="5">
        <f>'02a_CSP_Contract_Alloc'!L112</f>
        <v/>
      </c>
      <c r="P112" s="5" t="inlineStr">
        <is>
          <t>AI company inference power is normalized across CSPs by CSP total power * AI contract share * inference share.</t>
        </is>
      </c>
    </row>
    <row r="113">
      <c r="A113" s="5">
        <f>'02a_CSP_Contract_Alloc'!A113</f>
        <v/>
      </c>
      <c r="B113" s="5">
        <f>'02a_CSP_Contract_Alloc'!B113</f>
        <v/>
      </c>
      <c r="C113" s="5">
        <f>'02a_CSP_Contract_Alloc'!C113</f>
        <v/>
      </c>
      <c r="D113" s="5">
        <f>'02a_CSP_Contract_Alloc'!D113</f>
        <v/>
      </c>
      <c r="E113" s="5">
        <f>'02a_CSP_Contract_Alloc'!E113</f>
        <v/>
      </c>
      <c r="F113" s="28">
        <f>SUMPRODUCT(('02_Inputs'!$A$2:$A$181=B113)*('02_Inputs'!$B$2:$B$181=C113)*('02_Inputs'!$C$2:$C$181=D113)*'02_Inputs'!$D$2:$D$181*'02_Inputs'!$E$2:$E$181/'02_Inputs'!$F$2:$F$181*'02_Inputs'!$G$2:$G$181*'02_Inputs'!$H$2:$H$181*1000)</f>
        <v/>
      </c>
      <c r="G113" s="28">
        <f>'02a_CSP_Contract_Alloc'!F113</f>
        <v/>
      </c>
      <c r="H113" s="6">
        <f>'02a_CSP_Contract_Alloc'!G113</f>
        <v/>
      </c>
      <c r="I113" s="28">
        <f>'02a_CSP_Contract_Alloc'!H113</f>
        <v/>
      </c>
      <c r="J113" s="6">
        <f>'02a_CSP_Contract_Alloc'!I113</f>
        <v/>
      </c>
      <c r="K113" s="28">
        <f>'02a_CSP_Contract_Alloc'!K113</f>
        <v/>
      </c>
      <c r="L113" s="28">
        <f>SUMIFS('02a_CSP_Contract_Alloc'!$K$2:$K$305,'02a_CSP_Contract_Alloc'!$B$2:$B$305,B113,'02a_CSP_Contract_Alloc'!$C$2:$C$305,C113,'02a_CSP_Contract_Alloc'!$D$2:$D$305,D113)</f>
        <v/>
      </c>
      <c r="M113" s="6">
        <f>IF(L113&gt;0,K113/L113,0)</f>
        <v/>
      </c>
      <c r="N113" s="28">
        <f>F113*M113</f>
        <v/>
      </c>
      <c r="O113" s="5">
        <f>'02a_CSP_Contract_Alloc'!L113</f>
        <v/>
      </c>
      <c r="P113" s="5" t="inlineStr">
        <is>
          <t>AI company inference power is normalized across CSPs by CSP total power * AI contract share * inference share.</t>
        </is>
      </c>
    </row>
    <row r="114">
      <c r="A114" s="5">
        <f>'02a_CSP_Contract_Alloc'!A114</f>
        <v/>
      </c>
      <c r="B114" s="5">
        <f>'02a_CSP_Contract_Alloc'!B114</f>
        <v/>
      </c>
      <c r="C114" s="5">
        <f>'02a_CSP_Contract_Alloc'!C114</f>
        <v/>
      </c>
      <c r="D114" s="5">
        <f>'02a_CSP_Contract_Alloc'!D114</f>
        <v/>
      </c>
      <c r="E114" s="5">
        <f>'02a_CSP_Contract_Alloc'!E114</f>
        <v/>
      </c>
      <c r="F114" s="28">
        <f>SUMPRODUCT(('02_Inputs'!$A$2:$A$181=B114)*('02_Inputs'!$B$2:$B$181=C114)*('02_Inputs'!$C$2:$C$181=D114)*'02_Inputs'!$D$2:$D$181*'02_Inputs'!$E$2:$E$181/'02_Inputs'!$F$2:$F$181*'02_Inputs'!$G$2:$G$181*'02_Inputs'!$H$2:$H$181*1000)</f>
        <v/>
      </c>
      <c r="G114" s="28">
        <f>'02a_CSP_Contract_Alloc'!F114</f>
        <v/>
      </c>
      <c r="H114" s="6">
        <f>'02a_CSP_Contract_Alloc'!G114</f>
        <v/>
      </c>
      <c r="I114" s="28">
        <f>'02a_CSP_Contract_Alloc'!H114</f>
        <v/>
      </c>
      <c r="J114" s="6">
        <f>'02a_CSP_Contract_Alloc'!I114</f>
        <v/>
      </c>
      <c r="K114" s="28">
        <f>'02a_CSP_Contract_Alloc'!K114</f>
        <v/>
      </c>
      <c r="L114" s="28">
        <f>SUMIFS('02a_CSP_Contract_Alloc'!$K$2:$K$305,'02a_CSP_Contract_Alloc'!$B$2:$B$305,B114,'02a_CSP_Contract_Alloc'!$C$2:$C$305,C114,'02a_CSP_Contract_Alloc'!$D$2:$D$305,D114)</f>
        <v/>
      </c>
      <c r="M114" s="6">
        <f>IF(L114&gt;0,K114/L114,0)</f>
        <v/>
      </c>
      <c r="N114" s="28">
        <f>F114*M114</f>
        <v/>
      </c>
      <c r="O114" s="5">
        <f>'02a_CSP_Contract_Alloc'!L114</f>
        <v/>
      </c>
      <c r="P114" s="5" t="inlineStr">
        <is>
          <t>AI company inference power is normalized across CSPs by CSP total power * AI contract share * inference share.</t>
        </is>
      </c>
    </row>
    <row r="115">
      <c r="A115" s="5">
        <f>'02a_CSP_Contract_Alloc'!A115</f>
        <v/>
      </c>
      <c r="B115" s="5">
        <f>'02a_CSP_Contract_Alloc'!B115</f>
        <v/>
      </c>
      <c r="C115" s="5">
        <f>'02a_CSP_Contract_Alloc'!C115</f>
        <v/>
      </c>
      <c r="D115" s="5">
        <f>'02a_CSP_Contract_Alloc'!D115</f>
        <v/>
      </c>
      <c r="E115" s="5">
        <f>'02a_CSP_Contract_Alloc'!E115</f>
        <v/>
      </c>
      <c r="F115" s="28">
        <f>SUMPRODUCT(('02_Inputs'!$A$2:$A$181=B115)*('02_Inputs'!$B$2:$B$181=C115)*('02_Inputs'!$C$2:$C$181=D115)*'02_Inputs'!$D$2:$D$181*'02_Inputs'!$E$2:$E$181/'02_Inputs'!$F$2:$F$181*'02_Inputs'!$G$2:$G$181*'02_Inputs'!$H$2:$H$181*1000)</f>
        <v/>
      </c>
      <c r="G115" s="28">
        <f>'02a_CSP_Contract_Alloc'!F115</f>
        <v/>
      </c>
      <c r="H115" s="6">
        <f>'02a_CSP_Contract_Alloc'!G115</f>
        <v/>
      </c>
      <c r="I115" s="28">
        <f>'02a_CSP_Contract_Alloc'!H115</f>
        <v/>
      </c>
      <c r="J115" s="6">
        <f>'02a_CSP_Contract_Alloc'!I115</f>
        <v/>
      </c>
      <c r="K115" s="28">
        <f>'02a_CSP_Contract_Alloc'!K115</f>
        <v/>
      </c>
      <c r="L115" s="28">
        <f>SUMIFS('02a_CSP_Contract_Alloc'!$K$2:$K$305,'02a_CSP_Contract_Alloc'!$B$2:$B$305,B115,'02a_CSP_Contract_Alloc'!$C$2:$C$305,C115,'02a_CSP_Contract_Alloc'!$D$2:$D$305,D115)</f>
        <v/>
      </c>
      <c r="M115" s="6">
        <f>IF(L115&gt;0,K115/L115,0)</f>
        <v/>
      </c>
      <c r="N115" s="28">
        <f>F115*M115</f>
        <v/>
      </c>
      <c r="O115" s="5">
        <f>'02a_CSP_Contract_Alloc'!L115</f>
        <v/>
      </c>
      <c r="P115" s="5" t="inlineStr">
        <is>
          <t>AI company inference power is normalized across CSPs by CSP total power * AI contract share * inference share.</t>
        </is>
      </c>
    </row>
    <row r="116">
      <c r="A116" s="5">
        <f>'02a_CSP_Contract_Alloc'!A116</f>
        <v/>
      </c>
      <c r="B116" s="5">
        <f>'02a_CSP_Contract_Alloc'!B116</f>
        <v/>
      </c>
      <c r="C116" s="5">
        <f>'02a_CSP_Contract_Alloc'!C116</f>
        <v/>
      </c>
      <c r="D116" s="5">
        <f>'02a_CSP_Contract_Alloc'!D116</f>
        <v/>
      </c>
      <c r="E116" s="5">
        <f>'02a_CSP_Contract_Alloc'!E116</f>
        <v/>
      </c>
      <c r="F116" s="28">
        <f>SUMPRODUCT(('02_Inputs'!$A$2:$A$181=B116)*('02_Inputs'!$B$2:$B$181=C116)*('02_Inputs'!$C$2:$C$181=D116)*'02_Inputs'!$D$2:$D$181*'02_Inputs'!$E$2:$E$181/'02_Inputs'!$F$2:$F$181*'02_Inputs'!$G$2:$G$181*'02_Inputs'!$H$2:$H$181*1000)</f>
        <v/>
      </c>
      <c r="G116" s="28">
        <f>'02a_CSP_Contract_Alloc'!F116</f>
        <v/>
      </c>
      <c r="H116" s="6">
        <f>'02a_CSP_Contract_Alloc'!G116</f>
        <v/>
      </c>
      <c r="I116" s="28">
        <f>'02a_CSP_Contract_Alloc'!H116</f>
        <v/>
      </c>
      <c r="J116" s="6">
        <f>'02a_CSP_Contract_Alloc'!I116</f>
        <v/>
      </c>
      <c r="K116" s="28">
        <f>'02a_CSP_Contract_Alloc'!K116</f>
        <v/>
      </c>
      <c r="L116" s="28">
        <f>SUMIFS('02a_CSP_Contract_Alloc'!$K$2:$K$305,'02a_CSP_Contract_Alloc'!$B$2:$B$305,B116,'02a_CSP_Contract_Alloc'!$C$2:$C$305,C116,'02a_CSP_Contract_Alloc'!$D$2:$D$305,D116)</f>
        <v/>
      </c>
      <c r="M116" s="6">
        <f>IF(L116&gt;0,K116/L116,0)</f>
        <v/>
      </c>
      <c r="N116" s="28">
        <f>F116*M116</f>
        <v/>
      </c>
      <c r="O116" s="5">
        <f>'02a_CSP_Contract_Alloc'!L116</f>
        <v/>
      </c>
      <c r="P116" s="5" t="inlineStr">
        <is>
          <t>AI company inference power is normalized across CSPs by CSP total power * AI contract share * inference share.</t>
        </is>
      </c>
    </row>
    <row r="117">
      <c r="A117" s="5">
        <f>'02a_CSP_Contract_Alloc'!A117</f>
        <v/>
      </c>
      <c r="B117" s="5">
        <f>'02a_CSP_Contract_Alloc'!B117</f>
        <v/>
      </c>
      <c r="C117" s="5">
        <f>'02a_CSP_Contract_Alloc'!C117</f>
        <v/>
      </c>
      <c r="D117" s="5">
        <f>'02a_CSP_Contract_Alloc'!D117</f>
        <v/>
      </c>
      <c r="E117" s="5">
        <f>'02a_CSP_Contract_Alloc'!E117</f>
        <v/>
      </c>
      <c r="F117" s="28">
        <f>SUMPRODUCT(('02_Inputs'!$A$2:$A$181=B117)*('02_Inputs'!$B$2:$B$181=C117)*('02_Inputs'!$C$2:$C$181=D117)*'02_Inputs'!$D$2:$D$181*'02_Inputs'!$E$2:$E$181/'02_Inputs'!$F$2:$F$181*'02_Inputs'!$G$2:$G$181*'02_Inputs'!$H$2:$H$181*1000)</f>
        <v/>
      </c>
      <c r="G117" s="28">
        <f>'02a_CSP_Contract_Alloc'!F117</f>
        <v/>
      </c>
      <c r="H117" s="6">
        <f>'02a_CSP_Contract_Alloc'!G117</f>
        <v/>
      </c>
      <c r="I117" s="28">
        <f>'02a_CSP_Contract_Alloc'!H117</f>
        <v/>
      </c>
      <c r="J117" s="6">
        <f>'02a_CSP_Contract_Alloc'!I117</f>
        <v/>
      </c>
      <c r="K117" s="28">
        <f>'02a_CSP_Contract_Alloc'!K117</f>
        <v/>
      </c>
      <c r="L117" s="28">
        <f>SUMIFS('02a_CSP_Contract_Alloc'!$K$2:$K$305,'02a_CSP_Contract_Alloc'!$B$2:$B$305,B117,'02a_CSP_Contract_Alloc'!$C$2:$C$305,C117,'02a_CSP_Contract_Alloc'!$D$2:$D$305,D117)</f>
        <v/>
      </c>
      <c r="M117" s="6">
        <f>IF(L117&gt;0,K117/L117,0)</f>
        <v/>
      </c>
      <c r="N117" s="28">
        <f>F117*M117</f>
        <v/>
      </c>
      <c r="O117" s="5">
        <f>'02a_CSP_Contract_Alloc'!L117</f>
        <v/>
      </c>
      <c r="P117" s="5" t="inlineStr">
        <is>
          <t>AI company inference power is normalized across CSPs by CSP total power * AI contract share * inference share.</t>
        </is>
      </c>
    </row>
    <row r="118">
      <c r="A118" s="5">
        <f>'02a_CSP_Contract_Alloc'!A118</f>
        <v/>
      </c>
      <c r="B118" s="5">
        <f>'02a_CSP_Contract_Alloc'!B118</f>
        <v/>
      </c>
      <c r="C118" s="5">
        <f>'02a_CSP_Contract_Alloc'!C118</f>
        <v/>
      </c>
      <c r="D118" s="5">
        <f>'02a_CSP_Contract_Alloc'!D118</f>
        <v/>
      </c>
      <c r="E118" s="5">
        <f>'02a_CSP_Contract_Alloc'!E118</f>
        <v/>
      </c>
      <c r="F118" s="28">
        <f>SUMPRODUCT(('02_Inputs'!$A$2:$A$181=B118)*('02_Inputs'!$B$2:$B$181=C118)*('02_Inputs'!$C$2:$C$181=D118)*'02_Inputs'!$D$2:$D$181*'02_Inputs'!$E$2:$E$181/'02_Inputs'!$F$2:$F$181*'02_Inputs'!$G$2:$G$181*'02_Inputs'!$H$2:$H$181*1000)</f>
        <v/>
      </c>
      <c r="G118" s="28">
        <f>'02a_CSP_Contract_Alloc'!F118</f>
        <v/>
      </c>
      <c r="H118" s="6">
        <f>'02a_CSP_Contract_Alloc'!G118</f>
        <v/>
      </c>
      <c r="I118" s="28">
        <f>'02a_CSP_Contract_Alloc'!H118</f>
        <v/>
      </c>
      <c r="J118" s="6">
        <f>'02a_CSP_Contract_Alloc'!I118</f>
        <v/>
      </c>
      <c r="K118" s="28">
        <f>'02a_CSP_Contract_Alloc'!K118</f>
        <v/>
      </c>
      <c r="L118" s="28">
        <f>SUMIFS('02a_CSP_Contract_Alloc'!$K$2:$K$305,'02a_CSP_Contract_Alloc'!$B$2:$B$305,B118,'02a_CSP_Contract_Alloc'!$C$2:$C$305,C118,'02a_CSP_Contract_Alloc'!$D$2:$D$305,D118)</f>
        <v/>
      </c>
      <c r="M118" s="6">
        <f>IF(L118&gt;0,K118/L118,0)</f>
        <v/>
      </c>
      <c r="N118" s="28">
        <f>F118*M118</f>
        <v/>
      </c>
      <c r="O118" s="5">
        <f>'02a_CSP_Contract_Alloc'!L118</f>
        <v/>
      </c>
      <c r="P118" s="5" t="inlineStr">
        <is>
          <t>AI company inference power is normalized across CSPs by CSP total power * AI contract share * inference share.</t>
        </is>
      </c>
    </row>
    <row r="119">
      <c r="A119" s="5">
        <f>'02a_CSP_Contract_Alloc'!A119</f>
        <v/>
      </c>
      <c r="B119" s="5">
        <f>'02a_CSP_Contract_Alloc'!B119</f>
        <v/>
      </c>
      <c r="C119" s="5">
        <f>'02a_CSP_Contract_Alloc'!C119</f>
        <v/>
      </c>
      <c r="D119" s="5">
        <f>'02a_CSP_Contract_Alloc'!D119</f>
        <v/>
      </c>
      <c r="E119" s="5">
        <f>'02a_CSP_Contract_Alloc'!E119</f>
        <v/>
      </c>
      <c r="F119" s="28">
        <f>SUMPRODUCT(('02_Inputs'!$A$2:$A$181=B119)*('02_Inputs'!$B$2:$B$181=C119)*('02_Inputs'!$C$2:$C$181=D119)*'02_Inputs'!$D$2:$D$181*'02_Inputs'!$E$2:$E$181/'02_Inputs'!$F$2:$F$181*'02_Inputs'!$G$2:$G$181*'02_Inputs'!$H$2:$H$181*1000)</f>
        <v/>
      </c>
      <c r="G119" s="28">
        <f>'02a_CSP_Contract_Alloc'!F119</f>
        <v/>
      </c>
      <c r="H119" s="6">
        <f>'02a_CSP_Contract_Alloc'!G119</f>
        <v/>
      </c>
      <c r="I119" s="28">
        <f>'02a_CSP_Contract_Alloc'!H119</f>
        <v/>
      </c>
      <c r="J119" s="6">
        <f>'02a_CSP_Contract_Alloc'!I119</f>
        <v/>
      </c>
      <c r="K119" s="28">
        <f>'02a_CSP_Contract_Alloc'!K119</f>
        <v/>
      </c>
      <c r="L119" s="28">
        <f>SUMIFS('02a_CSP_Contract_Alloc'!$K$2:$K$305,'02a_CSP_Contract_Alloc'!$B$2:$B$305,B119,'02a_CSP_Contract_Alloc'!$C$2:$C$305,C119,'02a_CSP_Contract_Alloc'!$D$2:$D$305,D119)</f>
        <v/>
      </c>
      <c r="M119" s="6">
        <f>IF(L119&gt;0,K119/L119,0)</f>
        <v/>
      </c>
      <c r="N119" s="28">
        <f>F119*M119</f>
        <v/>
      </c>
      <c r="O119" s="5">
        <f>'02a_CSP_Contract_Alloc'!L119</f>
        <v/>
      </c>
      <c r="P119" s="5" t="inlineStr">
        <is>
          <t>AI company inference power is normalized across CSPs by CSP total power * AI contract share * inference share.</t>
        </is>
      </c>
    </row>
    <row r="120">
      <c r="A120" s="5">
        <f>'02a_CSP_Contract_Alloc'!A120</f>
        <v/>
      </c>
      <c r="B120" s="5">
        <f>'02a_CSP_Contract_Alloc'!B120</f>
        <v/>
      </c>
      <c r="C120" s="5">
        <f>'02a_CSP_Contract_Alloc'!C120</f>
        <v/>
      </c>
      <c r="D120" s="5">
        <f>'02a_CSP_Contract_Alloc'!D120</f>
        <v/>
      </c>
      <c r="E120" s="5">
        <f>'02a_CSP_Contract_Alloc'!E120</f>
        <v/>
      </c>
      <c r="F120" s="28">
        <f>SUMPRODUCT(('02_Inputs'!$A$2:$A$181=B120)*('02_Inputs'!$B$2:$B$181=C120)*('02_Inputs'!$C$2:$C$181=D120)*'02_Inputs'!$D$2:$D$181*'02_Inputs'!$E$2:$E$181/'02_Inputs'!$F$2:$F$181*'02_Inputs'!$G$2:$G$181*'02_Inputs'!$H$2:$H$181*1000)</f>
        <v/>
      </c>
      <c r="G120" s="28">
        <f>'02a_CSP_Contract_Alloc'!F120</f>
        <v/>
      </c>
      <c r="H120" s="6">
        <f>'02a_CSP_Contract_Alloc'!G120</f>
        <v/>
      </c>
      <c r="I120" s="28">
        <f>'02a_CSP_Contract_Alloc'!H120</f>
        <v/>
      </c>
      <c r="J120" s="6">
        <f>'02a_CSP_Contract_Alloc'!I120</f>
        <v/>
      </c>
      <c r="K120" s="28">
        <f>'02a_CSP_Contract_Alloc'!K120</f>
        <v/>
      </c>
      <c r="L120" s="28">
        <f>SUMIFS('02a_CSP_Contract_Alloc'!$K$2:$K$305,'02a_CSP_Contract_Alloc'!$B$2:$B$305,B120,'02a_CSP_Contract_Alloc'!$C$2:$C$305,C120,'02a_CSP_Contract_Alloc'!$D$2:$D$305,D120)</f>
        <v/>
      </c>
      <c r="M120" s="6">
        <f>IF(L120&gt;0,K120/L120,0)</f>
        <v/>
      </c>
      <c r="N120" s="28">
        <f>F120*M120</f>
        <v/>
      </c>
      <c r="O120" s="5">
        <f>'02a_CSP_Contract_Alloc'!L120</f>
        <v/>
      </c>
      <c r="P120" s="5" t="inlineStr">
        <is>
          <t>AI company inference power is normalized across CSPs by CSP total power * AI contract share * inference share.</t>
        </is>
      </c>
    </row>
    <row r="121">
      <c r="A121" s="5">
        <f>'02a_CSP_Contract_Alloc'!A121</f>
        <v/>
      </c>
      <c r="B121" s="5">
        <f>'02a_CSP_Contract_Alloc'!B121</f>
        <v/>
      </c>
      <c r="C121" s="5">
        <f>'02a_CSP_Contract_Alloc'!C121</f>
        <v/>
      </c>
      <c r="D121" s="5">
        <f>'02a_CSP_Contract_Alloc'!D121</f>
        <v/>
      </c>
      <c r="E121" s="5">
        <f>'02a_CSP_Contract_Alloc'!E121</f>
        <v/>
      </c>
      <c r="F121" s="28">
        <f>SUMPRODUCT(('02_Inputs'!$A$2:$A$181=B121)*('02_Inputs'!$B$2:$B$181=C121)*('02_Inputs'!$C$2:$C$181=D121)*'02_Inputs'!$D$2:$D$181*'02_Inputs'!$E$2:$E$181/'02_Inputs'!$F$2:$F$181*'02_Inputs'!$G$2:$G$181*'02_Inputs'!$H$2:$H$181*1000)</f>
        <v/>
      </c>
      <c r="G121" s="28">
        <f>'02a_CSP_Contract_Alloc'!F121</f>
        <v/>
      </c>
      <c r="H121" s="6">
        <f>'02a_CSP_Contract_Alloc'!G121</f>
        <v/>
      </c>
      <c r="I121" s="28">
        <f>'02a_CSP_Contract_Alloc'!H121</f>
        <v/>
      </c>
      <c r="J121" s="6">
        <f>'02a_CSP_Contract_Alloc'!I121</f>
        <v/>
      </c>
      <c r="K121" s="28">
        <f>'02a_CSP_Contract_Alloc'!K121</f>
        <v/>
      </c>
      <c r="L121" s="28">
        <f>SUMIFS('02a_CSP_Contract_Alloc'!$K$2:$K$305,'02a_CSP_Contract_Alloc'!$B$2:$B$305,B121,'02a_CSP_Contract_Alloc'!$C$2:$C$305,C121,'02a_CSP_Contract_Alloc'!$D$2:$D$305,D121)</f>
        <v/>
      </c>
      <c r="M121" s="6">
        <f>IF(L121&gt;0,K121/L121,0)</f>
        <v/>
      </c>
      <c r="N121" s="28">
        <f>F121*M121</f>
        <v/>
      </c>
      <c r="O121" s="5">
        <f>'02a_CSP_Contract_Alloc'!L121</f>
        <v/>
      </c>
      <c r="P121" s="5" t="inlineStr">
        <is>
          <t>AI company inference power is normalized across CSPs by CSP total power * AI contract share * inference share.</t>
        </is>
      </c>
    </row>
    <row r="122">
      <c r="A122" s="5">
        <f>'02a_CSP_Contract_Alloc'!A122</f>
        <v/>
      </c>
      <c r="B122" s="5">
        <f>'02a_CSP_Contract_Alloc'!B122</f>
        <v/>
      </c>
      <c r="C122" s="5">
        <f>'02a_CSP_Contract_Alloc'!C122</f>
        <v/>
      </c>
      <c r="D122" s="5">
        <f>'02a_CSP_Contract_Alloc'!D122</f>
        <v/>
      </c>
      <c r="E122" s="5">
        <f>'02a_CSP_Contract_Alloc'!E122</f>
        <v/>
      </c>
      <c r="F122" s="28">
        <f>SUMPRODUCT(('02_Inputs'!$A$2:$A$181=B122)*('02_Inputs'!$B$2:$B$181=C122)*('02_Inputs'!$C$2:$C$181=D122)*'02_Inputs'!$D$2:$D$181*'02_Inputs'!$E$2:$E$181/'02_Inputs'!$F$2:$F$181*'02_Inputs'!$G$2:$G$181*'02_Inputs'!$H$2:$H$181*1000)</f>
        <v/>
      </c>
      <c r="G122" s="28">
        <f>'02a_CSP_Contract_Alloc'!F122</f>
        <v/>
      </c>
      <c r="H122" s="6">
        <f>'02a_CSP_Contract_Alloc'!G122</f>
        <v/>
      </c>
      <c r="I122" s="28">
        <f>'02a_CSP_Contract_Alloc'!H122</f>
        <v/>
      </c>
      <c r="J122" s="6">
        <f>'02a_CSP_Contract_Alloc'!I122</f>
        <v/>
      </c>
      <c r="K122" s="28">
        <f>'02a_CSP_Contract_Alloc'!K122</f>
        <v/>
      </c>
      <c r="L122" s="28">
        <f>SUMIFS('02a_CSP_Contract_Alloc'!$K$2:$K$305,'02a_CSP_Contract_Alloc'!$B$2:$B$305,B122,'02a_CSP_Contract_Alloc'!$C$2:$C$305,C122,'02a_CSP_Contract_Alloc'!$D$2:$D$305,D122)</f>
        <v/>
      </c>
      <c r="M122" s="6">
        <f>IF(L122&gt;0,K122/L122,0)</f>
        <v/>
      </c>
      <c r="N122" s="28">
        <f>F122*M122</f>
        <v/>
      </c>
      <c r="O122" s="5">
        <f>'02a_CSP_Contract_Alloc'!L122</f>
        <v/>
      </c>
      <c r="P122" s="5" t="inlineStr">
        <is>
          <t>AI company inference power is normalized across CSPs by CSP total power * AI contract share * inference share.</t>
        </is>
      </c>
    </row>
    <row r="123">
      <c r="A123" s="5">
        <f>'02a_CSP_Contract_Alloc'!A123</f>
        <v/>
      </c>
      <c r="B123" s="5">
        <f>'02a_CSP_Contract_Alloc'!B123</f>
        <v/>
      </c>
      <c r="C123" s="5">
        <f>'02a_CSP_Contract_Alloc'!C123</f>
        <v/>
      </c>
      <c r="D123" s="5">
        <f>'02a_CSP_Contract_Alloc'!D123</f>
        <v/>
      </c>
      <c r="E123" s="5">
        <f>'02a_CSP_Contract_Alloc'!E123</f>
        <v/>
      </c>
      <c r="F123" s="28">
        <f>SUMPRODUCT(('02_Inputs'!$A$2:$A$181=B123)*('02_Inputs'!$B$2:$B$181=C123)*('02_Inputs'!$C$2:$C$181=D123)*'02_Inputs'!$D$2:$D$181*'02_Inputs'!$E$2:$E$181/'02_Inputs'!$F$2:$F$181*'02_Inputs'!$G$2:$G$181*'02_Inputs'!$H$2:$H$181*1000)</f>
        <v/>
      </c>
      <c r="G123" s="28">
        <f>'02a_CSP_Contract_Alloc'!F123</f>
        <v/>
      </c>
      <c r="H123" s="6">
        <f>'02a_CSP_Contract_Alloc'!G123</f>
        <v/>
      </c>
      <c r="I123" s="28">
        <f>'02a_CSP_Contract_Alloc'!H123</f>
        <v/>
      </c>
      <c r="J123" s="6">
        <f>'02a_CSP_Contract_Alloc'!I123</f>
        <v/>
      </c>
      <c r="K123" s="28">
        <f>'02a_CSP_Contract_Alloc'!K123</f>
        <v/>
      </c>
      <c r="L123" s="28">
        <f>SUMIFS('02a_CSP_Contract_Alloc'!$K$2:$K$305,'02a_CSP_Contract_Alloc'!$B$2:$B$305,B123,'02a_CSP_Contract_Alloc'!$C$2:$C$305,C123,'02a_CSP_Contract_Alloc'!$D$2:$D$305,D123)</f>
        <v/>
      </c>
      <c r="M123" s="6">
        <f>IF(L123&gt;0,K123/L123,0)</f>
        <v/>
      </c>
      <c r="N123" s="28">
        <f>F123*M123</f>
        <v/>
      </c>
      <c r="O123" s="5">
        <f>'02a_CSP_Contract_Alloc'!L123</f>
        <v/>
      </c>
      <c r="P123" s="5" t="inlineStr">
        <is>
          <t>AI company inference power is normalized across CSPs by CSP total power * AI contract share * inference share.</t>
        </is>
      </c>
    </row>
    <row r="124">
      <c r="A124" s="5">
        <f>'02a_CSP_Contract_Alloc'!A124</f>
        <v/>
      </c>
      <c r="B124" s="5">
        <f>'02a_CSP_Contract_Alloc'!B124</f>
        <v/>
      </c>
      <c r="C124" s="5">
        <f>'02a_CSP_Contract_Alloc'!C124</f>
        <v/>
      </c>
      <c r="D124" s="5">
        <f>'02a_CSP_Contract_Alloc'!D124</f>
        <v/>
      </c>
      <c r="E124" s="5">
        <f>'02a_CSP_Contract_Alloc'!E124</f>
        <v/>
      </c>
      <c r="F124" s="28">
        <f>SUMPRODUCT(('02_Inputs'!$A$2:$A$181=B124)*('02_Inputs'!$B$2:$B$181=C124)*('02_Inputs'!$C$2:$C$181=D124)*'02_Inputs'!$D$2:$D$181*'02_Inputs'!$E$2:$E$181/'02_Inputs'!$F$2:$F$181*'02_Inputs'!$G$2:$G$181*'02_Inputs'!$H$2:$H$181*1000)</f>
        <v/>
      </c>
      <c r="G124" s="28">
        <f>'02a_CSP_Contract_Alloc'!F124</f>
        <v/>
      </c>
      <c r="H124" s="6">
        <f>'02a_CSP_Contract_Alloc'!G124</f>
        <v/>
      </c>
      <c r="I124" s="28">
        <f>'02a_CSP_Contract_Alloc'!H124</f>
        <v/>
      </c>
      <c r="J124" s="6">
        <f>'02a_CSP_Contract_Alloc'!I124</f>
        <v/>
      </c>
      <c r="K124" s="28">
        <f>'02a_CSP_Contract_Alloc'!K124</f>
        <v/>
      </c>
      <c r="L124" s="28">
        <f>SUMIFS('02a_CSP_Contract_Alloc'!$K$2:$K$305,'02a_CSP_Contract_Alloc'!$B$2:$B$305,B124,'02a_CSP_Contract_Alloc'!$C$2:$C$305,C124,'02a_CSP_Contract_Alloc'!$D$2:$D$305,D124)</f>
        <v/>
      </c>
      <c r="M124" s="6">
        <f>IF(L124&gt;0,K124/L124,0)</f>
        <v/>
      </c>
      <c r="N124" s="28">
        <f>F124*M124</f>
        <v/>
      </c>
      <c r="O124" s="5">
        <f>'02a_CSP_Contract_Alloc'!L124</f>
        <v/>
      </c>
      <c r="P124" s="5" t="inlineStr">
        <is>
          <t>AI company inference power is normalized across CSPs by CSP total power * AI contract share * inference share.</t>
        </is>
      </c>
    </row>
    <row r="125">
      <c r="A125" s="5">
        <f>'02a_CSP_Contract_Alloc'!A125</f>
        <v/>
      </c>
      <c r="B125" s="5">
        <f>'02a_CSP_Contract_Alloc'!B125</f>
        <v/>
      </c>
      <c r="C125" s="5">
        <f>'02a_CSP_Contract_Alloc'!C125</f>
        <v/>
      </c>
      <c r="D125" s="5">
        <f>'02a_CSP_Contract_Alloc'!D125</f>
        <v/>
      </c>
      <c r="E125" s="5">
        <f>'02a_CSP_Contract_Alloc'!E125</f>
        <v/>
      </c>
      <c r="F125" s="28">
        <f>SUMPRODUCT(('02_Inputs'!$A$2:$A$181=B125)*('02_Inputs'!$B$2:$B$181=C125)*('02_Inputs'!$C$2:$C$181=D125)*'02_Inputs'!$D$2:$D$181*'02_Inputs'!$E$2:$E$181/'02_Inputs'!$F$2:$F$181*'02_Inputs'!$G$2:$G$181*'02_Inputs'!$H$2:$H$181*1000)</f>
        <v/>
      </c>
      <c r="G125" s="28">
        <f>'02a_CSP_Contract_Alloc'!F125</f>
        <v/>
      </c>
      <c r="H125" s="6">
        <f>'02a_CSP_Contract_Alloc'!G125</f>
        <v/>
      </c>
      <c r="I125" s="28">
        <f>'02a_CSP_Contract_Alloc'!H125</f>
        <v/>
      </c>
      <c r="J125" s="6">
        <f>'02a_CSP_Contract_Alloc'!I125</f>
        <v/>
      </c>
      <c r="K125" s="28">
        <f>'02a_CSP_Contract_Alloc'!K125</f>
        <v/>
      </c>
      <c r="L125" s="28">
        <f>SUMIFS('02a_CSP_Contract_Alloc'!$K$2:$K$305,'02a_CSP_Contract_Alloc'!$B$2:$B$305,B125,'02a_CSP_Contract_Alloc'!$C$2:$C$305,C125,'02a_CSP_Contract_Alloc'!$D$2:$D$305,D125)</f>
        <v/>
      </c>
      <c r="M125" s="6">
        <f>IF(L125&gt;0,K125/L125,0)</f>
        <v/>
      </c>
      <c r="N125" s="28">
        <f>F125*M125</f>
        <v/>
      </c>
      <c r="O125" s="5">
        <f>'02a_CSP_Contract_Alloc'!L125</f>
        <v/>
      </c>
      <c r="P125" s="5" t="inlineStr">
        <is>
          <t>AI company inference power is normalized across CSPs by CSP total power * AI contract share * inference share.</t>
        </is>
      </c>
    </row>
    <row r="126">
      <c r="A126" s="5">
        <f>'02a_CSP_Contract_Alloc'!A126</f>
        <v/>
      </c>
      <c r="B126" s="5">
        <f>'02a_CSP_Contract_Alloc'!B126</f>
        <v/>
      </c>
      <c r="C126" s="5">
        <f>'02a_CSP_Contract_Alloc'!C126</f>
        <v/>
      </c>
      <c r="D126" s="5">
        <f>'02a_CSP_Contract_Alloc'!D126</f>
        <v/>
      </c>
      <c r="E126" s="5">
        <f>'02a_CSP_Contract_Alloc'!E126</f>
        <v/>
      </c>
      <c r="F126" s="28">
        <f>SUMPRODUCT(('02_Inputs'!$A$2:$A$181=B126)*('02_Inputs'!$B$2:$B$181=C126)*('02_Inputs'!$C$2:$C$181=D126)*'02_Inputs'!$D$2:$D$181*'02_Inputs'!$E$2:$E$181/'02_Inputs'!$F$2:$F$181*'02_Inputs'!$G$2:$G$181*'02_Inputs'!$H$2:$H$181*1000)</f>
        <v/>
      </c>
      <c r="G126" s="28">
        <f>'02a_CSP_Contract_Alloc'!F126</f>
        <v/>
      </c>
      <c r="H126" s="6">
        <f>'02a_CSP_Contract_Alloc'!G126</f>
        <v/>
      </c>
      <c r="I126" s="28">
        <f>'02a_CSP_Contract_Alloc'!H126</f>
        <v/>
      </c>
      <c r="J126" s="6">
        <f>'02a_CSP_Contract_Alloc'!I126</f>
        <v/>
      </c>
      <c r="K126" s="28">
        <f>'02a_CSP_Contract_Alloc'!K126</f>
        <v/>
      </c>
      <c r="L126" s="28">
        <f>SUMIFS('02a_CSP_Contract_Alloc'!$K$2:$K$305,'02a_CSP_Contract_Alloc'!$B$2:$B$305,B126,'02a_CSP_Contract_Alloc'!$C$2:$C$305,C126,'02a_CSP_Contract_Alloc'!$D$2:$D$305,D126)</f>
        <v/>
      </c>
      <c r="M126" s="6">
        <f>IF(L126&gt;0,K126/L126,0)</f>
        <v/>
      </c>
      <c r="N126" s="28">
        <f>F126*M126</f>
        <v/>
      </c>
      <c r="O126" s="5">
        <f>'02a_CSP_Contract_Alloc'!L126</f>
        <v/>
      </c>
      <c r="P126" s="5" t="inlineStr">
        <is>
          <t>AI company inference power is normalized across CSPs by CSP total power * AI contract share * inference share.</t>
        </is>
      </c>
    </row>
    <row r="127">
      <c r="A127" s="5">
        <f>'02a_CSP_Contract_Alloc'!A127</f>
        <v/>
      </c>
      <c r="B127" s="5">
        <f>'02a_CSP_Contract_Alloc'!B127</f>
        <v/>
      </c>
      <c r="C127" s="5">
        <f>'02a_CSP_Contract_Alloc'!C127</f>
        <v/>
      </c>
      <c r="D127" s="5">
        <f>'02a_CSP_Contract_Alloc'!D127</f>
        <v/>
      </c>
      <c r="E127" s="5">
        <f>'02a_CSP_Contract_Alloc'!E127</f>
        <v/>
      </c>
      <c r="F127" s="28">
        <f>SUMPRODUCT(('02_Inputs'!$A$2:$A$181=B127)*('02_Inputs'!$B$2:$B$181=C127)*('02_Inputs'!$C$2:$C$181=D127)*'02_Inputs'!$D$2:$D$181*'02_Inputs'!$E$2:$E$181/'02_Inputs'!$F$2:$F$181*'02_Inputs'!$G$2:$G$181*'02_Inputs'!$H$2:$H$181*1000)</f>
        <v/>
      </c>
      <c r="G127" s="28">
        <f>'02a_CSP_Contract_Alloc'!F127</f>
        <v/>
      </c>
      <c r="H127" s="6">
        <f>'02a_CSP_Contract_Alloc'!G127</f>
        <v/>
      </c>
      <c r="I127" s="28">
        <f>'02a_CSP_Contract_Alloc'!H127</f>
        <v/>
      </c>
      <c r="J127" s="6">
        <f>'02a_CSP_Contract_Alloc'!I127</f>
        <v/>
      </c>
      <c r="K127" s="28">
        <f>'02a_CSP_Contract_Alloc'!K127</f>
        <v/>
      </c>
      <c r="L127" s="28">
        <f>SUMIFS('02a_CSP_Contract_Alloc'!$K$2:$K$305,'02a_CSP_Contract_Alloc'!$B$2:$B$305,B127,'02a_CSP_Contract_Alloc'!$C$2:$C$305,C127,'02a_CSP_Contract_Alloc'!$D$2:$D$305,D127)</f>
        <v/>
      </c>
      <c r="M127" s="6">
        <f>IF(L127&gt;0,K127/L127,0)</f>
        <v/>
      </c>
      <c r="N127" s="28">
        <f>F127*M127</f>
        <v/>
      </c>
      <c r="O127" s="5">
        <f>'02a_CSP_Contract_Alloc'!L127</f>
        <v/>
      </c>
      <c r="P127" s="5" t="inlineStr">
        <is>
          <t>AI company inference power is normalized across CSPs by CSP total power * AI contract share * inference share.</t>
        </is>
      </c>
    </row>
    <row r="128">
      <c r="A128" s="5">
        <f>'02a_CSP_Contract_Alloc'!A128</f>
        <v/>
      </c>
      <c r="B128" s="5">
        <f>'02a_CSP_Contract_Alloc'!B128</f>
        <v/>
      </c>
      <c r="C128" s="5">
        <f>'02a_CSP_Contract_Alloc'!C128</f>
        <v/>
      </c>
      <c r="D128" s="5">
        <f>'02a_CSP_Contract_Alloc'!D128</f>
        <v/>
      </c>
      <c r="E128" s="5">
        <f>'02a_CSP_Contract_Alloc'!E128</f>
        <v/>
      </c>
      <c r="F128" s="28">
        <f>SUMPRODUCT(('02_Inputs'!$A$2:$A$181=B128)*('02_Inputs'!$B$2:$B$181=C128)*('02_Inputs'!$C$2:$C$181=D128)*'02_Inputs'!$D$2:$D$181*'02_Inputs'!$E$2:$E$181/'02_Inputs'!$F$2:$F$181*'02_Inputs'!$G$2:$G$181*'02_Inputs'!$H$2:$H$181*1000)</f>
        <v/>
      </c>
      <c r="G128" s="28">
        <f>'02a_CSP_Contract_Alloc'!F128</f>
        <v/>
      </c>
      <c r="H128" s="6">
        <f>'02a_CSP_Contract_Alloc'!G128</f>
        <v/>
      </c>
      <c r="I128" s="28">
        <f>'02a_CSP_Contract_Alloc'!H128</f>
        <v/>
      </c>
      <c r="J128" s="6">
        <f>'02a_CSP_Contract_Alloc'!I128</f>
        <v/>
      </c>
      <c r="K128" s="28">
        <f>'02a_CSP_Contract_Alloc'!K128</f>
        <v/>
      </c>
      <c r="L128" s="28">
        <f>SUMIFS('02a_CSP_Contract_Alloc'!$K$2:$K$305,'02a_CSP_Contract_Alloc'!$B$2:$B$305,B128,'02a_CSP_Contract_Alloc'!$C$2:$C$305,C128,'02a_CSP_Contract_Alloc'!$D$2:$D$305,D128)</f>
        <v/>
      </c>
      <c r="M128" s="6">
        <f>IF(L128&gt;0,K128/L128,0)</f>
        <v/>
      </c>
      <c r="N128" s="28">
        <f>F128*M128</f>
        <v/>
      </c>
      <c r="O128" s="5">
        <f>'02a_CSP_Contract_Alloc'!L128</f>
        <v/>
      </c>
      <c r="P128" s="5" t="inlineStr">
        <is>
          <t>AI company inference power is normalized across CSPs by CSP total power * AI contract share * inference share.</t>
        </is>
      </c>
    </row>
    <row r="129">
      <c r="A129" s="5">
        <f>'02a_CSP_Contract_Alloc'!A129</f>
        <v/>
      </c>
      <c r="B129" s="5">
        <f>'02a_CSP_Contract_Alloc'!B129</f>
        <v/>
      </c>
      <c r="C129" s="5">
        <f>'02a_CSP_Contract_Alloc'!C129</f>
        <v/>
      </c>
      <c r="D129" s="5">
        <f>'02a_CSP_Contract_Alloc'!D129</f>
        <v/>
      </c>
      <c r="E129" s="5">
        <f>'02a_CSP_Contract_Alloc'!E129</f>
        <v/>
      </c>
      <c r="F129" s="28">
        <f>SUMPRODUCT(('02_Inputs'!$A$2:$A$181=B129)*('02_Inputs'!$B$2:$B$181=C129)*('02_Inputs'!$C$2:$C$181=D129)*'02_Inputs'!$D$2:$D$181*'02_Inputs'!$E$2:$E$181/'02_Inputs'!$F$2:$F$181*'02_Inputs'!$G$2:$G$181*'02_Inputs'!$H$2:$H$181*1000)</f>
        <v/>
      </c>
      <c r="G129" s="28">
        <f>'02a_CSP_Contract_Alloc'!F129</f>
        <v/>
      </c>
      <c r="H129" s="6">
        <f>'02a_CSP_Contract_Alloc'!G129</f>
        <v/>
      </c>
      <c r="I129" s="28">
        <f>'02a_CSP_Contract_Alloc'!H129</f>
        <v/>
      </c>
      <c r="J129" s="6">
        <f>'02a_CSP_Contract_Alloc'!I129</f>
        <v/>
      </c>
      <c r="K129" s="28">
        <f>'02a_CSP_Contract_Alloc'!K129</f>
        <v/>
      </c>
      <c r="L129" s="28">
        <f>SUMIFS('02a_CSP_Contract_Alloc'!$K$2:$K$305,'02a_CSP_Contract_Alloc'!$B$2:$B$305,B129,'02a_CSP_Contract_Alloc'!$C$2:$C$305,C129,'02a_CSP_Contract_Alloc'!$D$2:$D$305,D129)</f>
        <v/>
      </c>
      <c r="M129" s="6">
        <f>IF(L129&gt;0,K129/L129,0)</f>
        <v/>
      </c>
      <c r="N129" s="28">
        <f>F129*M129</f>
        <v/>
      </c>
      <c r="O129" s="5">
        <f>'02a_CSP_Contract_Alloc'!L129</f>
        <v/>
      </c>
      <c r="P129" s="5" t="inlineStr">
        <is>
          <t>AI company inference power is normalized across CSPs by CSP total power * AI contract share * inference share.</t>
        </is>
      </c>
    </row>
    <row r="130">
      <c r="A130" s="5">
        <f>'02a_CSP_Contract_Alloc'!A130</f>
        <v/>
      </c>
      <c r="B130" s="5">
        <f>'02a_CSP_Contract_Alloc'!B130</f>
        <v/>
      </c>
      <c r="C130" s="5">
        <f>'02a_CSP_Contract_Alloc'!C130</f>
        <v/>
      </c>
      <c r="D130" s="5">
        <f>'02a_CSP_Contract_Alloc'!D130</f>
        <v/>
      </c>
      <c r="E130" s="5">
        <f>'02a_CSP_Contract_Alloc'!E130</f>
        <v/>
      </c>
      <c r="F130" s="28">
        <f>SUMPRODUCT(('02_Inputs'!$A$2:$A$181=B130)*('02_Inputs'!$B$2:$B$181=C130)*('02_Inputs'!$C$2:$C$181=D130)*'02_Inputs'!$D$2:$D$181*'02_Inputs'!$E$2:$E$181/'02_Inputs'!$F$2:$F$181*'02_Inputs'!$G$2:$G$181*'02_Inputs'!$H$2:$H$181*1000)</f>
        <v/>
      </c>
      <c r="G130" s="28">
        <f>'02a_CSP_Contract_Alloc'!F130</f>
        <v/>
      </c>
      <c r="H130" s="6">
        <f>'02a_CSP_Contract_Alloc'!G130</f>
        <v/>
      </c>
      <c r="I130" s="28">
        <f>'02a_CSP_Contract_Alloc'!H130</f>
        <v/>
      </c>
      <c r="J130" s="6">
        <f>'02a_CSP_Contract_Alloc'!I130</f>
        <v/>
      </c>
      <c r="K130" s="28">
        <f>'02a_CSP_Contract_Alloc'!K130</f>
        <v/>
      </c>
      <c r="L130" s="28">
        <f>SUMIFS('02a_CSP_Contract_Alloc'!$K$2:$K$305,'02a_CSP_Contract_Alloc'!$B$2:$B$305,B130,'02a_CSP_Contract_Alloc'!$C$2:$C$305,C130,'02a_CSP_Contract_Alloc'!$D$2:$D$305,D130)</f>
        <v/>
      </c>
      <c r="M130" s="6">
        <f>IF(L130&gt;0,K130/L130,0)</f>
        <v/>
      </c>
      <c r="N130" s="28">
        <f>F130*M130</f>
        <v/>
      </c>
      <c r="O130" s="5">
        <f>'02a_CSP_Contract_Alloc'!L130</f>
        <v/>
      </c>
      <c r="P130" s="5" t="inlineStr">
        <is>
          <t>AI company inference power is normalized across CSPs by CSP total power * AI contract share * inference share.</t>
        </is>
      </c>
    </row>
    <row r="131">
      <c r="A131" s="5">
        <f>'02a_CSP_Contract_Alloc'!A131</f>
        <v/>
      </c>
      <c r="B131" s="5">
        <f>'02a_CSP_Contract_Alloc'!B131</f>
        <v/>
      </c>
      <c r="C131" s="5">
        <f>'02a_CSP_Contract_Alloc'!C131</f>
        <v/>
      </c>
      <c r="D131" s="5">
        <f>'02a_CSP_Contract_Alloc'!D131</f>
        <v/>
      </c>
      <c r="E131" s="5">
        <f>'02a_CSP_Contract_Alloc'!E131</f>
        <v/>
      </c>
      <c r="F131" s="28">
        <f>SUMPRODUCT(('02_Inputs'!$A$2:$A$181=B131)*('02_Inputs'!$B$2:$B$181=C131)*('02_Inputs'!$C$2:$C$181=D131)*'02_Inputs'!$D$2:$D$181*'02_Inputs'!$E$2:$E$181/'02_Inputs'!$F$2:$F$181*'02_Inputs'!$G$2:$G$181*'02_Inputs'!$H$2:$H$181*1000)</f>
        <v/>
      </c>
      <c r="G131" s="28">
        <f>'02a_CSP_Contract_Alloc'!F131</f>
        <v/>
      </c>
      <c r="H131" s="6">
        <f>'02a_CSP_Contract_Alloc'!G131</f>
        <v/>
      </c>
      <c r="I131" s="28">
        <f>'02a_CSP_Contract_Alloc'!H131</f>
        <v/>
      </c>
      <c r="J131" s="6">
        <f>'02a_CSP_Contract_Alloc'!I131</f>
        <v/>
      </c>
      <c r="K131" s="28">
        <f>'02a_CSP_Contract_Alloc'!K131</f>
        <v/>
      </c>
      <c r="L131" s="28">
        <f>SUMIFS('02a_CSP_Contract_Alloc'!$K$2:$K$305,'02a_CSP_Contract_Alloc'!$B$2:$B$305,B131,'02a_CSP_Contract_Alloc'!$C$2:$C$305,C131,'02a_CSP_Contract_Alloc'!$D$2:$D$305,D131)</f>
        <v/>
      </c>
      <c r="M131" s="6">
        <f>IF(L131&gt;0,K131/L131,0)</f>
        <v/>
      </c>
      <c r="N131" s="28">
        <f>F131*M131</f>
        <v/>
      </c>
      <c r="O131" s="5">
        <f>'02a_CSP_Contract_Alloc'!L131</f>
        <v/>
      </c>
      <c r="P131" s="5" t="inlineStr">
        <is>
          <t>AI company inference power is normalized across CSPs by CSP total power * AI contract share * inference share.</t>
        </is>
      </c>
    </row>
    <row r="132">
      <c r="A132" s="5">
        <f>'02a_CSP_Contract_Alloc'!A132</f>
        <v/>
      </c>
      <c r="B132" s="5">
        <f>'02a_CSP_Contract_Alloc'!B132</f>
        <v/>
      </c>
      <c r="C132" s="5">
        <f>'02a_CSP_Contract_Alloc'!C132</f>
        <v/>
      </c>
      <c r="D132" s="5">
        <f>'02a_CSP_Contract_Alloc'!D132</f>
        <v/>
      </c>
      <c r="E132" s="5">
        <f>'02a_CSP_Contract_Alloc'!E132</f>
        <v/>
      </c>
      <c r="F132" s="28">
        <f>SUMPRODUCT(('02_Inputs'!$A$2:$A$181=B132)*('02_Inputs'!$B$2:$B$181=C132)*('02_Inputs'!$C$2:$C$181=D132)*'02_Inputs'!$D$2:$D$181*'02_Inputs'!$E$2:$E$181/'02_Inputs'!$F$2:$F$181*'02_Inputs'!$G$2:$G$181*'02_Inputs'!$H$2:$H$181*1000)</f>
        <v/>
      </c>
      <c r="G132" s="28">
        <f>'02a_CSP_Contract_Alloc'!F132</f>
        <v/>
      </c>
      <c r="H132" s="6">
        <f>'02a_CSP_Contract_Alloc'!G132</f>
        <v/>
      </c>
      <c r="I132" s="28">
        <f>'02a_CSP_Contract_Alloc'!H132</f>
        <v/>
      </c>
      <c r="J132" s="6">
        <f>'02a_CSP_Contract_Alloc'!I132</f>
        <v/>
      </c>
      <c r="K132" s="28">
        <f>'02a_CSP_Contract_Alloc'!K132</f>
        <v/>
      </c>
      <c r="L132" s="28">
        <f>SUMIFS('02a_CSP_Contract_Alloc'!$K$2:$K$305,'02a_CSP_Contract_Alloc'!$B$2:$B$305,B132,'02a_CSP_Contract_Alloc'!$C$2:$C$305,C132,'02a_CSP_Contract_Alloc'!$D$2:$D$305,D132)</f>
        <v/>
      </c>
      <c r="M132" s="6">
        <f>IF(L132&gt;0,K132/L132,0)</f>
        <v/>
      </c>
      <c r="N132" s="28">
        <f>F132*M132</f>
        <v/>
      </c>
      <c r="O132" s="5">
        <f>'02a_CSP_Contract_Alloc'!L132</f>
        <v/>
      </c>
      <c r="P132" s="5" t="inlineStr">
        <is>
          <t>AI company inference power is normalized across CSPs by CSP total power * AI contract share * inference share.</t>
        </is>
      </c>
    </row>
    <row r="133">
      <c r="A133" s="5">
        <f>'02a_CSP_Contract_Alloc'!A133</f>
        <v/>
      </c>
      <c r="B133" s="5">
        <f>'02a_CSP_Contract_Alloc'!B133</f>
        <v/>
      </c>
      <c r="C133" s="5">
        <f>'02a_CSP_Contract_Alloc'!C133</f>
        <v/>
      </c>
      <c r="D133" s="5">
        <f>'02a_CSP_Contract_Alloc'!D133</f>
        <v/>
      </c>
      <c r="E133" s="5">
        <f>'02a_CSP_Contract_Alloc'!E133</f>
        <v/>
      </c>
      <c r="F133" s="28">
        <f>SUMPRODUCT(('02_Inputs'!$A$2:$A$181=B133)*('02_Inputs'!$B$2:$B$181=C133)*('02_Inputs'!$C$2:$C$181=D133)*'02_Inputs'!$D$2:$D$181*'02_Inputs'!$E$2:$E$181/'02_Inputs'!$F$2:$F$181*'02_Inputs'!$G$2:$G$181*'02_Inputs'!$H$2:$H$181*1000)</f>
        <v/>
      </c>
      <c r="G133" s="28">
        <f>'02a_CSP_Contract_Alloc'!F133</f>
        <v/>
      </c>
      <c r="H133" s="6">
        <f>'02a_CSP_Contract_Alloc'!G133</f>
        <v/>
      </c>
      <c r="I133" s="28">
        <f>'02a_CSP_Contract_Alloc'!H133</f>
        <v/>
      </c>
      <c r="J133" s="6">
        <f>'02a_CSP_Contract_Alloc'!I133</f>
        <v/>
      </c>
      <c r="K133" s="28">
        <f>'02a_CSP_Contract_Alloc'!K133</f>
        <v/>
      </c>
      <c r="L133" s="28">
        <f>SUMIFS('02a_CSP_Contract_Alloc'!$K$2:$K$305,'02a_CSP_Contract_Alloc'!$B$2:$B$305,B133,'02a_CSP_Contract_Alloc'!$C$2:$C$305,C133,'02a_CSP_Contract_Alloc'!$D$2:$D$305,D133)</f>
        <v/>
      </c>
      <c r="M133" s="6">
        <f>IF(L133&gt;0,K133/L133,0)</f>
        <v/>
      </c>
      <c r="N133" s="28">
        <f>F133*M133</f>
        <v/>
      </c>
      <c r="O133" s="5">
        <f>'02a_CSP_Contract_Alloc'!L133</f>
        <v/>
      </c>
      <c r="P133" s="5" t="inlineStr">
        <is>
          <t>AI company inference power is normalized across CSPs by CSP total power * AI contract share * inference share.</t>
        </is>
      </c>
    </row>
    <row r="134">
      <c r="A134" s="5">
        <f>'02a_CSP_Contract_Alloc'!A134</f>
        <v/>
      </c>
      <c r="B134" s="5">
        <f>'02a_CSP_Contract_Alloc'!B134</f>
        <v/>
      </c>
      <c r="C134" s="5">
        <f>'02a_CSP_Contract_Alloc'!C134</f>
        <v/>
      </c>
      <c r="D134" s="5">
        <f>'02a_CSP_Contract_Alloc'!D134</f>
        <v/>
      </c>
      <c r="E134" s="5">
        <f>'02a_CSP_Contract_Alloc'!E134</f>
        <v/>
      </c>
      <c r="F134" s="28">
        <f>SUMPRODUCT(('02_Inputs'!$A$2:$A$181=B134)*('02_Inputs'!$B$2:$B$181=C134)*('02_Inputs'!$C$2:$C$181=D134)*'02_Inputs'!$D$2:$D$181*'02_Inputs'!$E$2:$E$181/'02_Inputs'!$F$2:$F$181*'02_Inputs'!$G$2:$G$181*'02_Inputs'!$H$2:$H$181*1000)</f>
        <v/>
      </c>
      <c r="G134" s="28">
        <f>'02a_CSP_Contract_Alloc'!F134</f>
        <v/>
      </c>
      <c r="H134" s="6">
        <f>'02a_CSP_Contract_Alloc'!G134</f>
        <v/>
      </c>
      <c r="I134" s="28">
        <f>'02a_CSP_Contract_Alloc'!H134</f>
        <v/>
      </c>
      <c r="J134" s="6">
        <f>'02a_CSP_Contract_Alloc'!I134</f>
        <v/>
      </c>
      <c r="K134" s="28">
        <f>'02a_CSP_Contract_Alloc'!K134</f>
        <v/>
      </c>
      <c r="L134" s="28">
        <f>SUMIFS('02a_CSP_Contract_Alloc'!$K$2:$K$305,'02a_CSP_Contract_Alloc'!$B$2:$B$305,B134,'02a_CSP_Contract_Alloc'!$C$2:$C$305,C134,'02a_CSP_Contract_Alloc'!$D$2:$D$305,D134)</f>
        <v/>
      </c>
      <c r="M134" s="6">
        <f>IF(L134&gt;0,K134/L134,0)</f>
        <v/>
      </c>
      <c r="N134" s="28">
        <f>F134*M134</f>
        <v/>
      </c>
      <c r="O134" s="5">
        <f>'02a_CSP_Contract_Alloc'!L134</f>
        <v/>
      </c>
      <c r="P134" s="5" t="inlineStr">
        <is>
          <t>AI company inference power is normalized across CSPs by CSP total power * AI contract share * inference share.</t>
        </is>
      </c>
    </row>
    <row r="135">
      <c r="A135" s="5">
        <f>'02a_CSP_Contract_Alloc'!A135</f>
        <v/>
      </c>
      <c r="B135" s="5">
        <f>'02a_CSP_Contract_Alloc'!B135</f>
        <v/>
      </c>
      <c r="C135" s="5">
        <f>'02a_CSP_Contract_Alloc'!C135</f>
        <v/>
      </c>
      <c r="D135" s="5">
        <f>'02a_CSP_Contract_Alloc'!D135</f>
        <v/>
      </c>
      <c r="E135" s="5">
        <f>'02a_CSP_Contract_Alloc'!E135</f>
        <v/>
      </c>
      <c r="F135" s="28">
        <f>SUMPRODUCT(('02_Inputs'!$A$2:$A$181=B135)*('02_Inputs'!$B$2:$B$181=C135)*('02_Inputs'!$C$2:$C$181=D135)*'02_Inputs'!$D$2:$D$181*'02_Inputs'!$E$2:$E$181/'02_Inputs'!$F$2:$F$181*'02_Inputs'!$G$2:$G$181*'02_Inputs'!$H$2:$H$181*1000)</f>
        <v/>
      </c>
      <c r="G135" s="28">
        <f>'02a_CSP_Contract_Alloc'!F135</f>
        <v/>
      </c>
      <c r="H135" s="6">
        <f>'02a_CSP_Contract_Alloc'!G135</f>
        <v/>
      </c>
      <c r="I135" s="28">
        <f>'02a_CSP_Contract_Alloc'!H135</f>
        <v/>
      </c>
      <c r="J135" s="6">
        <f>'02a_CSP_Contract_Alloc'!I135</f>
        <v/>
      </c>
      <c r="K135" s="28">
        <f>'02a_CSP_Contract_Alloc'!K135</f>
        <v/>
      </c>
      <c r="L135" s="28">
        <f>SUMIFS('02a_CSP_Contract_Alloc'!$K$2:$K$305,'02a_CSP_Contract_Alloc'!$B$2:$B$305,B135,'02a_CSP_Contract_Alloc'!$C$2:$C$305,C135,'02a_CSP_Contract_Alloc'!$D$2:$D$305,D135)</f>
        <v/>
      </c>
      <c r="M135" s="6">
        <f>IF(L135&gt;0,K135/L135,0)</f>
        <v/>
      </c>
      <c r="N135" s="28">
        <f>F135*M135</f>
        <v/>
      </c>
      <c r="O135" s="5">
        <f>'02a_CSP_Contract_Alloc'!L135</f>
        <v/>
      </c>
      <c r="P135" s="5" t="inlineStr">
        <is>
          <t>AI company inference power is normalized across CSPs by CSP total power * AI contract share * inference share.</t>
        </is>
      </c>
    </row>
    <row r="136">
      <c r="A136" s="5">
        <f>'02a_CSP_Contract_Alloc'!A136</f>
        <v/>
      </c>
      <c r="B136" s="5">
        <f>'02a_CSP_Contract_Alloc'!B136</f>
        <v/>
      </c>
      <c r="C136" s="5">
        <f>'02a_CSP_Contract_Alloc'!C136</f>
        <v/>
      </c>
      <c r="D136" s="5">
        <f>'02a_CSP_Contract_Alloc'!D136</f>
        <v/>
      </c>
      <c r="E136" s="5">
        <f>'02a_CSP_Contract_Alloc'!E136</f>
        <v/>
      </c>
      <c r="F136" s="28">
        <f>SUMPRODUCT(('02_Inputs'!$A$2:$A$181=B136)*('02_Inputs'!$B$2:$B$181=C136)*('02_Inputs'!$C$2:$C$181=D136)*'02_Inputs'!$D$2:$D$181*'02_Inputs'!$E$2:$E$181/'02_Inputs'!$F$2:$F$181*'02_Inputs'!$G$2:$G$181*'02_Inputs'!$H$2:$H$181*1000)</f>
        <v/>
      </c>
      <c r="G136" s="28">
        <f>'02a_CSP_Contract_Alloc'!F136</f>
        <v/>
      </c>
      <c r="H136" s="6">
        <f>'02a_CSP_Contract_Alloc'!G136</f>
        <v/>
      </c>
      <c r="I136" s="28">
        <f>'02a_CSP_Contract_Alloc'!H136</f>
        <v/>
      </c>
      <c r="J136" s="6">
        <f>'02a_CSP_Contract_Alloc'!I136</f>
        <v/>
      </c>
      <c r="K136" s="28">
        <f>'02a_CSP_Contract_Alloc'!K136</f>
        <v/>
      </c>
      <c r="L136" s="28">
        <f>SUMIFS('02a_CSP_Contract_Alloc'!$K$2:$K$305,'02a_CSP_Contract_Alloc'!$B$2:$B$305,B136,'02a_CSP_Contract_Alloc'!$C$2:$C$305,C136,'02a_CSP_Contract_Alloc'!$D$2:$D$305,D136)</f>
        <v/>
      </c>
      <c r="M136" s="6">
        <f>IF(L136&gt;0,K136/L136,0)</f>
        <v/>
      </c>
      <c r="N136" s="28">
        <f>F136*M136</f>
        <v/>
      </c>
      <c r="O136" s="5">
        <f>'02a_CSP_Contract_Alloc'!L136</f>
        <v/>
      </c>
      <c r="P136" s="5" t="inlineStr">
        <is>
          <t>AI company inference power is normalized across CSPs by CSP total power * AI contract share * inference share.</t>
        </is>
      </c>
    </row>
    <row r="137">
      <c r="A137" s="5">
        <f>'02a_CSP_Contract_Alloc'!A137</f>
        <v/>
      </c>
      <c r="B137" s="5">
        <f>'02a_CSP_Contract_Alloc'!B137</f>
        <v/>
      </c>
      <c r="C137" s="5">
        <f>'02a_CSP_Contract_Alloc'!C137</f>
        <v/>
      </c>
      <c r="D137" s="5">
        <f>'02a_CSP_Contract_Alloc'!D137</f>
        <v/>
      </c>
      <c r="E137" s="5">
        <f>'02a_CSP_Contract_Alloc'!E137</f>
        <v/>
      </c>
      <c r="F137" s="28">
        <f>SUMPRODUCT(('02_Inputs'!$A$2:$A$181=B137)*('02_Inputs'!$B$2:$B$181=C137)*('02_Inputs'!$C$2:$C$181=D137)*'02_Inputs'!$D$2:$D$181*'02_Inputs'!$E$2:$E$181/'02_Inputs'!$F$2:$F$181*'02_Inputs'!$G$2:$G$181*'02_Inputs'!$H$2:$H$181*1000)</f>
        <v/>
      </c>
      <c r="G137" s="28">
        <f>'02a_CSP_Contract_Alloc'!F137</f>
        <v/>
      </c>
      <c r="H137" s="6">
        <f>'02a_CSP_Contract_Alloc'!G137</f>
        <v/>
      </c>
      <c r="I137" s="28">
        <f>'02a_CSP_Contract_Alloc'!H137</f>
        <v/>
      </c>
      <c r="J137" s="6">
        <f>'02a_CSP_Contract_Alloc'!I137</f>
        <v/>
      </c>
      <c r="K137" s="28">
        <f>'02a_CSP_Contract_Alloc'!K137</f>
        <v/>
      </c>
      <c r="L137" s="28">
        <f>SUMIFS('02a_CSP_Contract_Alloc'!$K$2:$K$305,'02a_CSP_Contract_Alloc'!$B$2:$B$305,B137,'02a_CSP_Contract_Alloc'!$C$2:$C$305,C137,'02a_CSP_Contract_Alloc'!$D$2:$D$305,D137)</f>
        <v/>
      </c>
      <c r="M137" s="6">
        <f>IF(L137&gt;0,K137/L137,0)</f>
        <v/>
      </c>
      <c r="N137" s="28">
        <f>F137*M137</f>
        <v/>
      </c>
      <c r="O137" s="5">
        <f>'02a_CSP_Contract_Alloc'!L137</f>
        <v/>
      </c>
      <c r="P137" s="5" t="inlineStr">
        <is>
          <t>AI company inference power is normalized across CSPs by CSP total power * AI contract share * inference share.</t>
        </is>
      </c>
    </row>
    <row r="138">
      <c r="A138" s="5">
        <f>'02a_CSP_Contract_Alloc'!A138</f>
        <v/>
      </c>
      <c r="B138" s="5">
        <f>'02a_CSP_Contract_Alloc'!B138</f>
        <v/>
      </c>
      <c r="C138" s="5">
        <f>'02a_CSP_Contract_Alloc'!C138</f>
        <v/>
      </c>
      <c r="D138" s="5">
        <f>'02a_CSP_Contract_Alloc'!D138</f>
        <v/>
      </c>
      <c r="E138" s="5">
        <f>'02a_CSP_Contract_Alloc'!E138</f>
        <v/>
      </c>
      <c r="F138" s="28">
        <f>SUMPRODUCT(('02_Inputs'!$A$2:$A$181=B138)*('02_Inputs'!$B$2:$B$181=C138)*('02_Inputs'!$C$2:$C$181=D138)*'02_Inputs'!$D$2:$D$181*'02_Inputs'!$E$2:$E$181/'02_Inputs'!$F$2:$F$181*'02_Inputs'!$G$2:$G$181*'02_Inputs'!$H$2:$H$181*1000)</f>
        <v/>
      </c>
      <c r="G138" s="28">
        <f>'02a_CSP_Contract_Alloc'!F138</f>
        <v/>
      </c>
      <c r="H138" s="6">
        <f>'02a_CSP_Contract_Alloc'!G138</f>
        <v/>
      </c>
      <c r="I138" s="28">
        <f>'02a_CSP_Contract_Alloc'!H138</f>
        <v/>
      </c>
      <c r="J138" s="6">
        <f>'02a_CSP_Contract_Alloc'!I138</f>
        <v/>
      </c>
      <c r="K138" s="28">
        <f>'02a_CSP_Contract_Alloc'!K138</f>
        <v/>
      </c>
      <c r="L138" s="28">
        <f>SUMIFS('02a_CSP_Contract_Alloc'!$K$2:$K$305,'02a_CSP_Contract_Alloc'!$B$2:$B$305,B138,'02a_CSP_Contract_Alloc'!$C$2:$C$305,C138,'02a_CSP_Contract_Alloc'!$D$2:$D$305,D138)</f>
        <v/>
      </c>
      <c r="M138" s="6">
        <f>IF(L138&gt;0,K138/L138,0)</f>
        <v/>
      </c>
      <c r="N138" s="28">
        <f>F138*M138</f>
        <v/>
      </c>
      <c r="O138" s="5">
        <f>'02a_CSP_Contract_Alloc'!L138</f>
        <v/>
      </c>
      <c r="P138" s="5" t="inlineStr">
        <is>
          <t>AI company inference power is normalized across CSPs by CSP total power * AI contract share * inference share.</t>
        </is>
      </c>
    </row>
    <row r="139">
      <c r="A139" s="5">
        <f>'02a_CSP_Contract_Alloc'!A139</f>
        <v/>
      </c>
      <c r="B139" s="5">
        <f>'02a_CSP_Contract_Alloc'!B139</f>
        <v/>
      </c>
      <c r="C139" s="5">
        <f>'02a_CSP_Contract_Alloc'!C139</f>
        <v/>
      </c>
      <c r="D139" s="5">
        <f>'02a_CSP_Contract_Alloc'!D139</f>
        <v/>
      </c>
      <c r="E139" s="5">
        <f>'02a_CSP_Contract_Alloc'!E139</f>
        <v/>
      </c>
      <c r="F139" s="28">
        <f>SUMPRODUCT(('02_Inputs'!$A$2:$A$181=B139)*('02_Inputs'!$B$2:$B$181=C139)*('02_Inputs'!$C$2:$C$181=D139)*'02_Inputs'!$D$2:$D$181*'02_Inputs'!$E$2:$E$181/'02_Inputs'!$F$2:$F$181*'02_Inputs'!$G$2:$G$181*'02_Inputs'!$H$2:$H$181*1000)</f>
        <v/>
      </c>
      <c r="G139" s="28">
        <f>'02a_CSP_Contract_Alloc'!F139</f>
        <v/>
      </c>
      <c r="H139" s="6">
        <f>'02a_CSP_Contract_Alloc'!G139</f>
        <v/>
      </c>
      <c r="I139" s="28">
        <f>'02a_CSP_Contract_Alloc'!H139</f>
        <v/>
      </c>
      <c r="J139" s="6">
        <f>'02a_CSP_Contract_Alloc'!I139</f>
        <v/>
      </c>
      <c r="K139" s="28">
        <f>'02a_CSP_Contract_Alloc'!K139</f>
        <v/>
      </c>
      <c r="L139" s="28">
        <f>SUMIFS('02a_CSP_Contract_Alloc'!$K$2:$K$305,'02a_CSP_Contract_Alloc'!$B$2:$B$305,B139,'02a_CSP_Contract_Alloc'!$C$2:$C$305,C139,'02a_CSP_Contract_Alloc'!$D$2:$D$305,D139)</f>
        <v/>
      </c>
      <c r="M139" s="6">
        <f>IF(L139&gt;0,K139/L139,0)</f>
        <v/>
      </c>
      <c r="N139" s="28">
        <f>F139*M139</f>
        <v/>
      </c>
      <c r="O139" s="5">
        <f>'02a_CSP_Contract_Alloc'!L139</f>
        <v/>
      </c>
      <c r="P139" s="5" t="inlineStr">
        <is>
          <t>AI company inference power is normalized across CSPs by CSP total power * AI contract share * inference share.</t>
        </is>
      </c>
    </row>
    <row r="140">
      <c r="A140" s="5">
        <f>'02a_CSP_Contract_Alloc'!A140</f>
        <v/>
      </c>
      <c r="B140" s="5">
        <f>'02a_CSP_Contract_Alloc'!B140</f>
        <v/>
      </c>
      <c r="C140" s="5">
        <f>'02a_CSP_Contract_Alloc'!C140</f>
        <v/>
      </c>
      <c r="D140" s="5">
        <f>'02a_CSP_Contract_Alloc'!D140</f>
        <v/>
      </c>
      <c r="E140" s="5">
        <f>'02a_CSP_Contract_Alloc'!E140</f>
        <v/>
      </c>
      <c r="F140" s="28">
        <f>SUMPRODUCT(('02_Inputs'!$A$2:$A$181=B140)*('02_Inputs'!$B$2:$B$181=C140)*('02_Inputs'!$C$2:$C$181=D140)*'02_Inputs'!$D$2:$D$181*'02_Inputs'!$E$2:$E$181/'02_Inputs'!$F$2:$F$181*'02_Inputs'!$G$2:$G$181*'02_Inputs'!$H$2:$H$181*1000)</f>
        <v/>
      </c>
      <c r="G140" s="28">
        <f>'02a_CSP_Contract_Alloc'!F140</f>
        <v/>
      </c>
      <c r="H140" s="6">
        <f>'02a_CSP_Contract_Alloc'!G140</f>
        <v/>
      </c>
      <c r="I140" s="28">
        <f>'02a_CSP_Contract_Alloc'!H140</f>
        <v/>
      </c>
      <c r="J140" s="6">
        <f>'02a_CSP_Contract_Alloc'!I140</f>
        <v/>
      </c>
      <c r="K140" s="28">
        <f>'02a_CSP_Contract_Alloc'!K140</f>
        <v/>
      </c>
      <c r="L140" s="28">
        <f>SUMIFS('02a_CSP_Contract_Alloc'!$K$2:$K$305,'02a_CSP_Contract_Alloc'!$B$2:$B$305,B140,'02a_CSP_Contract_Alloc'!$C$2:$C$305,C140,'02a_CSP_Contract_Alloc'!$D$2:$D$305,D140)</f>
        <v/>
      </c>
      <c r="M140" s="6">
        <f>IF(L140&gt;0,K140/L140,0)</f>
        <v/>
      </c>
      <c r="N140" s="28">
        <f>F140*M140</f>
        <v/>
      </c>
      <c r="O140" s="5">
        <f>'02a_CSP_Contract_Alloc'!L140</f>
        <v/>
      </c>
      <c r="P140" s="5" t="inlineStr">
        <is>
          <t>AI company inference power is normalized across CSPs by CSP total power * AI contract share * inference share.</t>
        </is>
      </c>
    </row>
    <row r="141">
      <c r="A141" s="5">
        <f>'02a_CSP_Contract_Alloc'!A141</f>
        <v/>
      </c>
      <c r="B141" s="5">
        <f>'02a_CSP_Contract_Alloc'!B141</f>
        <v/>
      </c>
      <c r="C141" s="5">
        <f>'02a_CSP_Contract_Alloc'!C141</f>
        <v/>
      </c>
      <c r="D141" s="5">
        <f>'02a_CSP_Contract_Alloc'!D141</f>
        <v/>
      </c>
      <c r="E141" s="5">
        <f>'02a_CSP_Contract_Alloc'!E141</f>
        <v/>
      </c>
      <c r="F141" s="28">
        <f>SUMPRODUCT(('02_Inputs'!$A$2:$A$181=B141)*('02_Inputs'!$B$2:$B$181=C141)*('02_Inputs'!$C$2:$C$181=D141)*'02_Inputs'!$D$2:$D$181*'02_Inputs'!$E$2:$E$181/'02_Inputs'!$F$2:$F$181*'02_Inputs'!$G$2:$G$181*'02_Inputs'!$H$2:$H$181*1000)</f>
        <v/>
      </c>
      <c r="G141" s="28">
        <f>'02a_CSP_Contract_Alloc'!F141</f>
        <v/>
      </c>
      <c r="H141" s="6">
        <f>'02a_CSP_Contract_Alloc'!G141</f>
        <v/>
      </c>
      <c r="I141" s="28">
        <f>'02a_CSP_Contract_Alloc'!H141</f>
        <v/>
      </c>
      <c r="J141" s="6">
        <f>'02a_CSP_Contract_Alloc'!I141</f>
        <v/>
      </c>
      <c r="K141" s="28">
        <f>'02a_CSP_Contract_Alloc'!K141</f>
        <v/>
      </c>
      <c r="L141" s="28">
        <f>SUMIFS('02a_CSP_Contract_Alloc'!$K$2:$K$305,'02a_CSP_Contract_Alloc'!$B$2:$B$305,B141,'02a_CSP_Contract_Alloc'!$C$2:$C$305,C141,'02a_CSP_Contract_Alloc'!$D$2:$D$305,D141)</f>
        <v/>
      </c>
      <c r="M141" s="6">
        <f>IF(L141&gt;0,K141/L141,0)</f>
        <v/>
      </c>
      <c r="N141" s="28">
        <f>F141*M141</f>
        <v/>
      </c>
      <c r="O141" s="5">
        <f>'02a_CSP_Contract_Alloc'!L141</f>
        <v/>
      </c>
      <c r="P141" s="5" t="inlineStr">
        <is>
          <t>AI company inference power is normalized across CSPs by CSP total power * AI contract share * inference share.</t>
        </is>
      </c>
    </row>
    <row r="142">
      <c r="A142" s="5">
        <f>'02a_CSP_Contract_Alloc'!A142</f>
        <v/>
      </c>
      <c r="B142" s="5">
        <f>'02a_CSP_Contract_Alloc'!B142</f>
        <v/>
      </c>
      <c r="C142" s="5">
        <f>'02a_CSP_Contract_Alloc'!C142</f>
        <v/>
      </c>
      <c r="D142" s="5">
        <f>'02a_CSP_Contract_Alloc'!D142</f>
        <v/>
      </c>
      <c r="E142" s="5">
        <f>'02a_CSP_Contract_Alloc'!E142</f>
        <v/>
      </c>
      <c r="F142" s="28">
        <f>SUMPRODUCT(('02_Inputs'!$A$2:$A$181=B142)*('02_Inputs'!$B$2:$B$181=C142)*('02_Inputs'!$C$2:$C$181=D142)*'02_Inputs'!$D$2:$D$181*'02_Inputs'!$E$2:$E$181/'02_Inputs'!$F$2:$F$181*'02_Inputs'!$G$2:$G$181*'02_Inputs'!$H$2:$H$181*1000)</f>
        <v/>
      </c>
      <c r="G142" s="28">
        <f>'02a_CSP_Contract_Alloc'!F142</f>
        <v/>
      </c>
      <c r="H142" s="6">
        <f>'02a_CSP_Contract_Alloc'!G142</f>
        <v/>
      </c>
      <c r="I142" s="28">
        <f>'02a_CSP_Contract_Alloc'!H142</f>
        <v/>
      </c>
      <c r="J142" s="6">
        <f>'02a_CSP_Contract_Alloc'!I142</f>
        <v/>
      </c>
      <c r="K142" s="28">
        <f>'02a_CSP_Contract_Alloc'!K142</f>
        <v/>
      </c>
      <c r="L142" s="28">
        <f>SUMIFS('02a_CSP_Contract_Alloc'!$K$2:$K$305,'02a_CSP_Contract_Alloc'!$B$2:$B$305,B142,'02a_CSP_Contract_Alloc'!$C$2:$C$305,C142,'02a_CSP_Contract_Alloc'!$D$2:$D$305,D142)</f>
        <v/>
      </c>
      <c r="M142" s="6">
        <f>IF(L142&gt;0,K142/L142,0)</f>
        <v/>
      </c>
      <c r="N142" s="28">
        <f>F142*M142</f>
        <v/>
      </c>
      <c r="O142" s="5">
        <f>'02a_CSP_Contract_Alloc'!L142</f>
        <v/>
      </c>
      <c r="P142" s="5" t="inlineStr">
        <is>
          <t>AI company inference power is normalized across CSPs by CSP total power * AI contract share * inference share.</t>
        </is>
      </c>
    </row>
    <row r="143">
      <c r="A143" s="5">
        <f>'02a_CSP_Contract_Alloc'!A143</f>
        <v/>
      </c>
      <c r="B143" s="5">
        <f>'02a_CSP_Contract_Alloc'!B143</f>
        <v/>
      </c>
      <c r="C143" s="5">
        <f>'02a_CSP_Contract_Alloc'!C143</f>
        <v/>
      </c>
      <c r="D143" s="5">
        <f>'02a_CSP_Contract_Alloc'!D143</f>
        <v/>
      </c>
      <c r="E143" s="5">
        <f>'02a_CSP_Contract_Alloc'!E143</f>
        <v/>
      </c>
      <c r="F143" s="28">
        <f>SUMPRODUCT(('02_Inputs'!$A$2:$A$181=B143)*('02_Inputs'!$B$2:$B$181=C143)*('02_Inputs'!$C$2:$C$181=D143)*'02_Inputs'!$D$2:$D$181*'02_Inputs'!$E$2:$E$181/'02_Inputs'!$F$2:$F$181*'02_Inputs'!$G$2:$G$181*'02_Inputs'!$H$2:$H$181*1000)</f>
        <v/>
      </c>
      <c r="G143" s="28">
        <f>'02a_CSP_Contract_Alloc'!F143</f>
        <v/>
      </c>
      <c r="H143" s="6">
        <f>'02a_CSP_Contract_Alloc'!G143</f>
        <v/>
      </c>
      <c r="I143" s="28">
        <f>'02a_CSP_Contract_Alloc'!H143</f>
        <v/>
      </c>
      <c r="J143" s="6">
        <f>'02a_CSP_Contract_Alloc'!I143</f>
        <v/>
      </c>
      <c r="K143" s="28">
        <f>'02a_CSP_Contract_Alloc'!K143</f>
        <v/>
      </c>
      <c r="L143" s="28">
        <f>SUMIFS('02a_CSP_Contract_Alloc'!$K$2:$K$305,'02a_CSP_Contract_Alloc'!$B$2:$B$305,B143,'02a_CSP_Contract_Alloc'!$C$2:$C$305,C143,'02a_CSP_Contract_Alloc'!$D$2:$D$305,D143)</f>
        <v/>
      </c>
      <c r="M143" s="6">
        <f>IF(L143&gt;0,K143/L143,0)</f>
        <v/>
      </c>
      <c r="N143" s="28">
        <f>F143*M143</f>
        <v/>
      </c>
      <c r="O143" s="5">
        <f>'02a_CSP_Contract_Alloc'!L143</f>
        <v/>
      </c>
      <c r="P143" s="5" t="inlineStr">
        <is>
          <t>AI company inference power is normalized across CSPs by CSP total power * AI contract share * inference share.</t>
        </is>
      </c>
    </row>
    <row r="144">
      <c r="A144" s="5">
        <f>'02a_CSP_Contract_Alloc'!A144</f>
        <v/>
      </c>
      <c r="B144" s="5">
        <f>'02a_CSP_Contract_Alloc'!B144</f>
        <v/>
      </c>
      <c r="C144" s="5">
        <f>'02a_CSP_Contract_Alloc'!C144</f>
        <v/>
      </c>
      <c r="D144" s="5">
        <f>'02a_CSP_Contract_Alloc'!D144</f>
        <v/>
      </c>
      <c r="E144" s="5">
        <f>'02a_CSP_Contract_Alloc'!E144</f>
        <v/>
      </c>
      <c r="F144" s="28">
        <f>SUMPRODUCT(('02_Inputs'!$A$2:$A$181=B144)*('02_Inputs'!$B$2:$B$181=C144)*('02_Inputs'!$C$2:$C$181=D144)*'02_Inputs'!$D$2:$D$181*'02_Inputs'!$E$2:$E$181/'02_Inputs'!$F$2:$F$181*'02_Inputs'!$G$2:$G$181*'02_Inputs'!$H$2:$H$181*1000)</f>
        <v/>
      </c>
      <c r="G144" s="28">
        <f>'02a_CSP_Contract_Alloc'!F144</f>
        <v/>
      </c>
      <c r="H144" s="6">
        <f>'02a_CSP_Contract_Alloc'!G144</f>
        <v/>
      </c>
      <c r="I144" s="28">
        <f>'02a_CSP_Contract_Alloc'!H144</f>
        <v/>
      </c>
      <c r="J144" s="6">
        <f>'02a_CSP_Contract_Alloc'!I144</f>
        <v/>
      </c>
      <c r="K144" s="28">
        <f>'02a_CSP_Contract_Alloc'!K144</f>
        <v/>
      </c>
      <c r="L144" s="28">
        <f>SUMIFS('02a_CSP_Contract_Alloc'!$K$2:$K$305,'02a_CSP_Contract_Alloc'!$B$2:$B$305,B144,'02a_CSP_Contract_Alloc'!$C$2:$C$305,C144,'02a_CSP_Contract_Alloc'!$D$2:$D$305,D144)</f>
        <v/>
      </c>
      <c r="M144" s="6">
        <f>IF(L144&gt;0,K144/L144,0)</f>
        <v/>
      </c>
      <c r="N144" s="28">
        <f>F144*M144</f>
        <v/>
      </c>
      <c r="O144" s="5">
        <f>'02a_CSP_Contract_Alloc'!L144</f>
        <v/>
      </c>
      <c r="P144" s="5" t="inlineStr">
        <is>
          <t>AI company inference power is normalized across CSPs by CSP total power * AI contract share * inference share.</t>
        </is>
      </c>
    </row>
    <row r="145">
      <c r="A145" s="5">
        <f>'02a_CSP_Contract_Alloc'!A145</f>
        <v/>
      </c>
      <c r="B145" s="5">
        <f>'02a_CSP_Contract_Alloc'!B145</f>
        <v/>
      </c>
      <c r="C145" s="5">
        <f>'02a_CSP_Contract_Alloc'!C145</f>
        <v/>
      </c>
      <c r="D145" s="5">
        <f>'02a_CSP_Contract_Alloc'!D145</f>
        <v/>
      </c>
      <c r="E145" s="5">
        <f>'02a_CSP_Contract_Alloc'!E145</f>
        <v/>
      </c>
      <c r="F145" s="28">
        <f>SUMPRODUCT(('02_Inputs'!$A$2:$A$181=B145)*('02_Inputs'!$B$2:$B$181=C145)*('02_Inputs'!$C$2:$C$181=D145)*'02_Inputs'!$D$2:$D$181*'02_Inputs'!$E$2:$E$181/'02_Inputs'!$F$2:$F$181*'02_Inputs'!$G$2:$G$181*'02_Inputs'!$H$2:$H$181*1000)</f>
        <v/>
      </c>
      <c r="G145" s="28">
        <f>'02a_CSP_Contract_Alloc'!F145</f>
        <v/>
      </c>
      <c r="H145" s="6">
        <f>'02a_CSP_Contract_Alloc'!G145</f>
        <v/>
      </c>
      <c r="I145" s="28">
        <f>'02a_CSP_Contract_Alloc'!H145</f>
        <v/>
      </c>
      <c r="J145" s="6">
        <f>'02a_CSP_Contract_Alloc'!I145</f>
        <v/>
      </c>
      <c r="K145" s="28">
        <f>'02a_CSP_Contract_Alloc'!K145</f>
        <v/>
      </c>
      <c r="L145" s="28">
        <f>SUMIFS('02a_CSP_Contract_Alloc'!$K$2:$K$305,'02a_CSP_Contract_Alloc'!$B$2:$B$305,B145,'02a_CSP_Contract_Alloc'!$C$2:$C$305,C145,'02a_CSP_Contract_Alloc'!$D$2:$D$305,D145)</f>
        <v/>
      </c>
      <c r="M145" s="6">
        <f>IF(L145&gt;0,K145/L145,0)</f>
        <v/>
      </c>
      <c r="N145" s="28">
        <f>F145*M145</f>
        <v/>
      </c>
      <c r="O145" s="5">
        <f>'02a_CSP_Contract_Alloc'!L145</f>
        <v/>
      </c>
      <c r="P145" s="5" t="inlineStr">
        <is>
          <t>AI company inference power is normalized across CSPs by CSP total power * AI contract share * inference share.</t>
        </is>
      </c>
    </row>
    <row r="146">
      <c r="A146" s="5">
        <f>'02a_CSP_Contract_Alloc'!A146</f>
        <v/>
      </c>
      <c r="B146" s="5">
        <f>'02a_CSP_Contract_Alloc'!B146</f>
        <v/>
      </c>
      <c r="C146" s="5">
        <f>'02a_CSP_Contract_Alloc'!C146</f>
        <v/>
      </c>
      <c r="D146" s="5">
        <f>'02a_CSP_Contract_Alloc'!D146</f>
        <v/>
      </c>
      <c r="E146" s="5">
        <f>'02a_CSP_Contract_Alloc'!E146</f>
        <v/>
      </c>
      <c r="F146" s="28">
        <f>SUMPRODUCT(('02_Inputs'!$A$2:$A$181=B146)*('02_Inputs'!$B$2:$B$181=C146)*('02_Inputs'!$C$2:$C$181=D146)*'02_Inputs'!$D$2:$D$181*'02_Inputs'!$E$2:$E$181/'02_Inputs'!$F$2:$F$181*'02_Inputs'!$G$2:$G$181*'02_Inputs'!$H$2:$H$181*1000)</f>
        <v/>
      </c>
      <c r="G146" s="28">
        <f>'02a_CSP_Contract_Alloc'!F146</f>
        <v/>
      </c>
      <c r="H146" s="6">
        <f>'02a_CSP_Contract_Alloc'!G146</f>
        <v/>
      </c>
      <c r="I146" s="28">
        <f>'02a_CSP_Contract_Alloc'!H146</f>
        <v/>
      </c>
      <c r="J146" s="6">
        <f>'02a_CSP_Contract_Alloc'!I146</f>
        <v/>
      </c>
      <c r="K146" s="28">
        <f>'02a_CSP_Contract_Alloc'!K146</f>
        <v/>
      </c>
      <c r="L146" s="28">
        <f>SUMIFS('02a_CSP_Contract_Alloc'!$K$2:$K$305,'02a_CSP_Contract_Alloc'!$B$2:$B$305,B146,'02a_CSP_Contract_Alloc'!$C$2:$C$305,C146,'02a_CSP_Contract_Alloc'!$D$2:$D$305,D146)</f>
        <v/>
      </c>
      <c r="M146" s="6">
        <f>IF(L146&gt;0,K146/L146,0)</f>
        <v/>
      </c>
      <c r="N146" s="28">
        <f>F146*M146</f>
        <v/>
      </c>
      <c r="O146" s="5">
        <f>'02a_CSP_Contract_Alloc'!L146</f>
        <v/>
      </c>
      <c r="P146" s="5" t="inlineStr">
        <is>
          <t>AI company inference power is normalized across CSPs by CSP total power * AI contract share * inference share.</t>
        </is>
      </c>
    </row>
    <row r="147">
      <c r="A147" s="5">
        <f>'02a_CSP_Contract_Alloc'!A147</f>
        <v/>
      </c>
      <c r="B147" s="5">
        <f>'02a_CSP_Contract_Alloc'!B147</f>
        <v/>
      </c>
      <c r="C147" s="5">
        <f>'02a_CSP_Contract_Alloc'!C147</f>
        <v/>
      </c>
      <c r="D147" s="5">
        <f>'02a_CSP_Contract_Alloc'!D147</f>
        <v/>
      </c>
      <c r="E147" s="5">
        <f>'02a_CSP_Contract_Alloc'!E147</f>
        <v/>
      </c>
      <c r="F147" s="28">
        <f>SUMPRODUCT(('02_Inputs'!$A$2:$A$181=B147)*('02_Inputs'!$B$2:$B$181=C147)*('02_Inputs'!$C$2:$C$181=D147)*'02_Inputs'!$D$2:$D$181*'02_Inputs'!$E$2:$E$181/'02_Inputs'!$F$2:$F$181*'02_Inputs'!$G$2:$G$181*'02_Inputs'!$H$2:$H$181*1000)</f>
        <v/>
      </c>
      <c r="G147" s="28">
        <f>'02a_CSP_Contract_Alloc'!F147</f>
        <v/>
      </c>
      <c r="H147" s="6">
        <f>'02a_CSP_Contract_Alloc'!G147</f>
        <v/>
      </c>
      <c r="I147" s="28">
        <f>'02a_CSP_Contract_Alloc'!H147</f>
        <v/>
      </c>
      <c r="J147" s="6">
        <f>'02a_CSP_Contract_Alloc'!I147</f>
        <v/>
      </c>
      <c r="K147" s="28">
        <f>'02a_CSP_Contract_Alloc'!K147</f>
        <v/>
      </c>
      <c r="L147" s="28">
        <f>SUMIFS('02a_CSP_Contract_Alloc'!$K$2:$K$305,'02a_CSP_Contract_Alloc'!$B$2:$B$305,B147,'02a_CSP_Contract_Alloc'!$C$2:$C$305,C147,'02a_CSP_Contract_Alloc'!$D$2:$D$305,D147)</f>
        <v/>
      </c>
      <c r="M147" s="6">
        <f>IF(L147&gt;0,K147/L147,0)</f>
        <v/>
      </c>
      <c r="N147" s="28">
        <f>F147*M147</f>
        <v/>
      </c>
      <c r="O147" s="5">
        <f>'02a_CSP_Contract_Alloc'!L147</f>
        <v/>
      </c>
      <c r="P147" s="5" t="inlineStr">
        <is>
          <t>AI company inference power is normalized across CSPs by CSP total power * AI contract share * inference share.</t>
        </is>
      </c>
    </row>
    <row r="148">
      <c r="A148" s="5">
        <f>'02a_CSP_Contract_Alloc'!A148</f>
        <v/>
      </c>
      <c r="B148" s="5">
        <f>'02a_CSP_Contract_Alloc'!B148</f>
        <v/>
      </c>
      <c r="C148" s="5">
        <f>'02a_CSP_Contract_Alloc'!C148</f>
        <v/>
      </c>
      <c r="D148" s="5">
        <f>'02a_CSP_Contract_Alloc'!D148</f>
        <v/>
      </c>
      <c r="E148" s="5">
        <f>'02a_CSP_Contract_Alloc'!E148</f>
        <v/>
      </c>
      <c r="F148" s="28">
        <f>SUMPRODUCT(('02_Inputs'!$A$2:$A$181=B148)*('02_Inputs'!$B$2:$B$181=C148)*('02_Inputs'!$C$2:$C$181=D148)*'02_Inputs'!$D$2:$D$181*'02_Inputs'!$E$2:$E$181/'02_Inputs'!$F$2:$F$181*'02_Inputs'!$G$2:$G$181*'02_Inputs'!$H$2:$H$181*1000)</f>
        <v/>
      </c>
      <c r="G148" s="28">
        <f>'02a_CSP_Contract_Alloc'!F148</f>
        <v/>
      </c>
      <c r="H148" s="6">
        <f>'02a_CSP_Contract_Alloc'!G148</f>
        <v/>
      </c>
      <c r="I148" s="28">
        <f>'02a_CSP_Contract_Alloc'!H148</f>
        <v/>
      </c>
      <c r="J148" s="6">
        <f>'02a_CSP_Contract_Alloc'!I148</f>
        <v/>
      </c>
      <c r="K148" s="28">
        <f>'02a_CSP_Contract_Alloc'!K148</f>
        <v/>
      </c>
      <c r="L148" s="28">
        <f>SUMIFS('02a_CSP_Contract_Alloc'!$K$2:$K$305,'02a_CSP_Contract_Alloc'!$B$2:$B$305,B148,'02a_CSP_Contract_Alloc'!$C$2:$C$305,C148,'02a_CSP_Contract_Alloc'!$D$2:$D$305,D148)</f>
        <v/>
      </c>
      <c r="M148" s="6">
        <f>IF(L148&gt;0,K148/L148,0)</f>
        <v/>
      </c>
      <c r="N148" s="28">
        <f>F148*M148</f>
        <v/>
      </c>
      <c r="O148" s="5">
        <f>'02a_CSP_Contract_Alloc'!L148</f>
        <v/>
      </c>
      <c r="P148" s="5" t="inlineStr">
        <is>
          <t>AI company inference power is normalized across CSPs by CSP total power * AI contract share * inference share.</t>
        </is>
      </c>
    </row>
    <row r="149">
      <c r="A149" s="5">
        <f>'02a_CSP_Contract_Alloc'!A149</f>
        <v/>
      </c>
      <c r="B149" s="5">
        <f>'02a_CSP_Contract_Alloc'!B149</f>
        <v/>
      </c>
      <c r="C149" s="5">
        <f>'02a_CSP_Contract_Alloc'!C149</f>
        <v/>
      </c>
      <c r="D149" s="5">
        <f>'02a_CSP_Contract_Alloc'!D149</f>
        <v/>
      </c>
      <c r="E149" s="5">
        <f>'02a_CSP_Contract_Alloc'!E149</f>
        <v/>
      </c>
      <c r="F149" s="28">
        <f>SUMPRODUCT(('02_Inputs'!$A$2:$A$181=B149)*('02_Inputs'!$B$2:$B$181=C149)*('02_Inputs'!$C$2:$C$181=D149)*'02_Inputs'!$D$2:$D$181*'02_Inputs'!$E$2:$E$181/'02_Inputs'!$F$2:$F$181*'02_Inputs'!$G$2:$G$181*'02_Inputs'!$H$2:$H$181*1000)</f>
        <v/>
      </c>
      <c r="G149" s="28">
        <f>'02a_CSP_Contract_Alloc'!F149</f>
        <v/>
      </c>
      <c r="H149" s="6">
        <f>'02a_CSP_Contract_Alloc'!G149</f>
        <v/>
      </c>
      <c r="I149" s="28">
        <f>'02a_CSP_Contract_Alloc'!H149</f>
        <v/>
      </c>
      <c r="J149" s="6">
        <f>'02a_CSP_Contract_Alloc'!I149</f>
        <v/>
      </c>
      <c r="K149" s="28">
        <f>'02a_CSP_Contract_Alloc'!K149</f>
        <v/>
      </c>
      <c r="L149" s="28">
        <f>SUMIFS('02a_CSP_Contract_Alloc'!$K$2:$K$305,'02a_CSP_Contract_Alloc'!$B$2:$B$305,B149,'02a_CSP_Contract_Alloc'!$C$2:$C$305,C149,'02a_CSP_Contract_Alloc'!$D$2:$D$305,D149)</f>
        <v/>
      </c>
      <c r="M149" s="6">
        <f>IF(L149&gt;0,K149/L149,0)</f>
        <v/>
      </c>
      <c r="N149" s="28">
        <f>F149*M149</f>
        <v/>
      </c>
      <c r="O149" s="5">
        <f>'02a_CSP_Contract_Alloc'!L149</f>
        <v/>
      </c>
      <c r="P149" s="5" t="inlineStr">
        <is>
          <t>AI company inference power is normalized across CSPs by CSP total power * AI contract share * inference share.</t>
        </is>
      </c>
    </row>
    <row r="150">
      <c r="A150" s="5">
        <f>'02a_CSP_Contract_Alloc'!A150</f>
        <v/>
      </c>
      <c r="B150" s="5">
        <f>'02a_CSP_Contract_Alloc'!B150</f>
        <v/>
      </c>
      <c r="C150" s="5">
        <f>'02a_CSP_Contract_Alloc'!C150</f>
        <v/>
      </c>
      <c r="D150" s="5">
        <f>'02a_CSP_Contract_Alloc'!D150</f>
        <v/>
      </c>
      <c r="E150" s="5">
        <f>'02a_CSP_Contract_Alloc'!E150</f>
        <v/>
      </c>
      <c r="F150" s="28">
        <f>SUMPRODUCT(('02_Inputs'!$A$2:$A$181=B150)*('02_Inputs'!$B$2:$B$181=C150)*('02_Inputs'!$C$2:$C$181=D150)*'02_Inputs'!$D$2:$D$181*'02_Inputs'!$E$2:$E$181/'02_Inputs'!$F$2:$F$181*'02_Inputs'!$G$2:$G$181*'02_Inputs'!$H$2:$H$181*1000)</f>
        <v/>
      </c>
      <c r="G150" s="28">
        <f>'02a_CSP_Contract_Alloc'!F150</f>
        <v/>
      </c>
      <c r="H150" s="6">
        <f>'02a_CSP_Contract_Alloc'!G150</f>
        <v/>
      </c>
      <c r="I150" s="28">
        <f>'02a_CSP_Contract_Alloc'!H150</f>
        <v/>
      </c>
      <c r="J150" s="6">
        <f>'02a_CSP_Contract_Alloc'!I150</f>
        <v/>
      </c>
      <c r="K150" s="28">
        <f>'02a_CSP_Contract_Alloc'!K150</f>
        <v/>
      </c>
      <c r="L150" s="28">
        <f>SUMIFS('02a_CSP_Contract_Alloc'!$K$2:$K$305,'02a_CSP_Contract_Alloc'!$B$2:$B$305,B150,'02a_CSP_Contract_Alloc'!$C$2:$C$305,C150,'02a_CSP_Contract_Alloc'!$D$2:$D$305,D150)</f>
        <v/>
      </c>
      <c r="M150" s="6">
        <f>IF(L150&gt;0,K150/L150,0)</f>
        <v/>
      </c>
      <c r="N150" s="28">
        <f>F150*M150</f>
        <v/>
      </c>
      <c r="O150" s="5">
        <f>'02a_CSP_Contract_Alloc'!L150</f>
        <v/>
      </c>
      <c r="P150" s="5" t="inlineStr">
        <is>
          <t>AI company inference power is normalized across CSPs by CSP total power * AI contract share * inference share.</t>
        </is>
      </c>
    </row>
    <row r="151">
      <c r="A151" s="5">
        <f>'02a_CSP_Contract_Alloc'!A151</f>
        <v/>
      </c>
      <c r="B151" s="5">
        <f>'02a_CSP_Contract_Alloc'!B151</f>
        <v/>
      </c>
      <c r="C151" s="5">
        <f>'02a_CSP_Contract_Alloc'!C151</f>
        <v/>
      </c>
      <c r="D151" s="5">
        <f>'02a_CSP_Contract_Alloc'!D151</f>
        <v/>
      </c>
      <c r="E151" s="5">
        <f>'02a_CSP_Contract_Alloc'!E151</f>
        <v/>
      </c>
      <c r="F151" s="28">
        <f>SUMPRODUCT(('02_Inputs'!$A$2:$A$181=B151)*('02_Inputs'!$B$2:$B$181=C151)*('02_Inputs'!$C$2:$C$181=D151)*'02_Inputs'!$D$2:$D$181*'02_Inputs'!$E$2:$E$181/'02_Inputs'!$F$2:$F$181*'02_Inputs'!$G$2:$G$181*'02_Inputs'!$H$2:$H$181*1000)</f>
        <v/>
      </c>
      <c r="G151" s="28">
        <f>'02a_CSP_Contract_Alloc'!F151</f>
        <v/>
      </c>
      <c r="H151" s="6">
        <f>'02a_CSP_Contract_Alloc'!G151</f>
        <v/>
      </c>
      <c r="I151" s="28">
        <f>'02a_CSP_Contract_Alloc'!H151</f>
        <v/>
      </c>
      <c r="J151" s="6">
        <f>'02a_CSP_Contract_Alloc'!I151</f>
        <v/>
      </c>
      <c r="K151" s="28">
        <f>'02a_CSP_Contract_Alloc'!K151</f>
        <v/>
      </c>
      <c r="L151" s="28">
        <f>SUMIFS('02a_CSP_Contract_Alloc'!$K$2:$K$305,'02a_CSP_Contract_Alloc'!$B$2:$B$305,B151,'02a_CSP_Contract_Alloc'!$C$2:$C$305,C151,'02a_CSP_Contract_Alloc'!$D$2:$D$305,D151)</f>
        <v/>
      </c>
      <c r="M151" s="6">
        <f>IF(L151&gt;0,K151/L151,0)</f>
        <v/>
      </c>
      <c r="N151" s="28">
        <f>F151*M151</f>
        <v/>
      </c>
      <c r="O151" s="5">
        <f>'02a_CSP_Contract_Alloc'!L151</f>
        <v/>
      </c>
      <c r="P151" s="5" t="inlineStr">
        <is>
          <t>AI company inference power is normalized across CSPs by CSP total power * AI contract share * inference share.</t>
        </is>
      </c>
    </row>
    <row r="152">
      <c r="A152" s="5">
        <f>'02a_CSP_Contract_Alloc'!A152</f>
        <v/>
      </c>
      <c r="B152" s="5">
        <f>'02a_CSP_Contract_Alloc'!B152</f>
        <v/>
      </c>
      <c r="C152" s="5">
        <f>'02a_CSP_Contract_Alloc'!C152</f>
        <v/>
      </c>
      <c r="D152" s="5">
        <f>'02a_CSP_Contract_Alloc'!D152</f>
        <v/>
      </c>
      <c r="E152" s="5">
        <f>'02a_CSP_Contract_Alloc'!E152</f>
        <v/>
      </c>
      <c r="F152" s="28">
        <f>SUMPRODUCT(('02_Inputs'!$A$2:$A$181=B152)*('02_Inputs'!$B$2:$B$181=C152)*('02_Inputs'!$C$2:$C$181=D152)*'02_Inputs'!$D$2:$D$181*'02_Inputs'!$E$2:$E$181/'02_Inputs'!$F$2:$F$181*'02_Inputs'!$G$2:$G$181*'02_Inputs'!$H$2:$H$181*1000)</f>
        <v/>
      </c>
      <c r="G152" s="28">
        <f>'02a_CSP_Contract_Alloc'!F152</f>
        <v/>
      </c>
      <c r="H152" s="6">
        <f>'02a_CSP_Contract_Alloc'!G152</f>
        <v/>
      </c>
      <c r="I152" s="28">
        <f>'02a_CSP_Contract_Alloc'!H152</f>
        <v/>
      </c>
      <c r="J152" s="6">
        <f>'02a_CSP_Contract_Alloc'!I152</f>
        <v/>
      </c>
      <c r="K152" s="28">
        <f>'02a_CSP_Contract_Alloc'!K152</f>
        <v/>
      </c>
      <c r="L152" s="28">
        <f>SUMIFS('02a_CSP_Contract_Alloc'!$K$2:$K$305,'02a_CSP_Contract_Alloc'!$B$2:$B$305,B152,'02a_CSP_Contract_Alloc'!$C$2:$C$305,C152,'02a_CSP_Contract_Alloc'!$D$2:$D$305,D152)</f>
        <v/>
      </c>
      <c r="M152" s="6">
        <f>IF(L152&gt;0,K152/L152,0)</f>
        <v/>
      </c>
      <c r="N152" s="28">
        <f>F152*M152</f>
        <v/>
      </c>
      <c r="O152" s="5">
        <f>'02a_CSP_Contract_Alloc'!L152</f>
        <v/>
      </c>
      <c r="P152" s="5" t="inlineStr">
        <is>
          <t>AI company inference power is normalized across CSPs by CSP total power * AI contract share * inference share.</t>
        </is>
      </c>
    </row>
    <row r="153">
      <c r="A153" s="5">
        <f>'02a_CSP_Contract_Alloc'!A153</f>
        <v/>
      </c>
      <c r="B153" s="5">
        <f>'02a_CSP_Contract_Alloc'!B153</f>
        <v/>
      </c>
      <c r="C153" s="5">
        <f>'02a_CSP_Contract_Alloc'!C153</f>
        <v/>
      </c>
      <c r="D153" s="5">
        <f>'02a_CSP_Contract_Alloc'!D153</f>
        <v/>
      </c>
      <c r="E153" s="5">
        <f>'02a_CSP_Contract_Alloc'!E153</f>
        <v/>
      </c>
      <c r="F153" s="28">
        <f>SUMPRODUCT(('02_Inputs'!$A$2:$A$181=B153)*('02_Inputs'!$B$2:$B$181=C153)*('02_Inputs'!$C$2:$C$181=D153)*'02_Inputs'!$D$2:$D$181*'02_Inputs'!$E$2:$E$181/'02_Inputs'!$F$2:$F$181*'02_Inputs'!$G$2:$G$181*'02_Inputs'!$H$2:$H$181*1000)</f>
        <v/>
      </c>
      <c r="G153" s="28">
        <f>'02a_CSP_Contract_Alloc'!F153</f>
        <v/>
      </c>
      <c r="H153" s="6">
        <f>'02a_CSP_Contract_Alloc'!G153</f>
        <v/>
      </c>
      <c r="I153" s="28">
        <f>'02a_CSP_Contract_Alloc'!H153</f>
        <v/>
      </c>
      <c r="J153" s="6">
        <f>'02a_CSP_Contract_Alloc'!I153</f>
        <v/>
      </c>
      <c r="K153" s="28">
        <f>'02a_CSP_Contract_Alloc'!K153</f>
        <v/>
      </c>
      <c r="L153" s="28">
        <f>SUMIFS('02a_CSP_Contract_Alloc'!$K$2:$K$305,'02a_CSP_Contract_Alloc'!$B$2:$B$305,B153,'02a_CSP_Contract_Alloc'!$C$2:$C$305,C153,'02a_CSP_Contract_Alloc'!$D$2:$D$305,D153)</f>
        <v/>
      </c>
      <c r="M153" s="6">
        <f>IF(L153&gt;0,K153/L153,0)</f>
        <v/>
      </c>
      <c r="N153" s="28">
        <f>F153*M153</f>
        <v/>
      </c>
      <c r="O153" s="5">
        <f>'02a_CSP_Contract_Alloc'!L153</f>
        <v/>
      </c>
      <c r="P153" s="5" t="inlineStr">
        <is>
          <t>AI company inference power is normalized across CSPs by CSP total power * AI contract share * inference share.</t>
        </is>
      </c>
    </row>
    <row r="154">
      <c r="A154" s="5">
        <f>'02a_CSP_Contract_Alloc'!A154</f>
        <v/>
      </c>
      <c r="B154" s="5">
        <f>'02a_CSP_Contract_Alloc'!B154</f>
        <v/>
      </c>
      <c r="C154" s="5">
        <f>'02a_CSP_Contract_Alloc'!C154</f>
        <v/>
      </c>
      <c r="D154" s="5">
        <f>'02a_CSP_Contract_Alloc'!D154</f>
        <v/>
      </c>
      <c r="E154" s="5">
        <f>'02a_CSP_Contract_Alloc'!E154</f>
        <v/>
      </c>
      <c r="F154" s="28">
        <f>SUMPRODUCT(('02_Inputs'!$A$2:$A$181=B154)*('02_Inputs'!$B$2:$B$181=C154)*('02_Inputs'!$C$2:$C$181=D154)*'02_Inputs'!$D$2:$D$181*'02_Inputs'!$E$2:$E$181/'02_Inputs'!$F$2:$F$181*'02_Inputs'!$G$2:$G$181*'02_Inputs'!$H$2:$H$181*1000)</f>
        <v/>
      </c>
      <c r="G154" s="28">
        <f>'02a_CSP_Contract_Alloc'!F154</f>
        <v/>
      </c>
      <c r="H154" s="6">
        <f>'02a_CSP_Contract_Alloc'!G154</f>
        <v/>
      </c>
      <c r="I154" s="28">
        <f>'02a_CSP_Contract_Alloc'!H154</f>
        <v/>
      </c>
      <c r="J154" s="6">
        <f>'02a_CSP_Contract_Alloc'!I154</f>
        <v/>
      </c>
      <c r="K154" s="28">
        <f>'02a_CSP_Contract_Alloc'!K154</f>
        <v/>
      </c>
      <c r="L154" s="28">
        <f>SUMIFS('02a_CSP_Contract_Alloc'!$K$2:$K$305,'02a_CSP_Contract_Alloc'!$B$2:$B$305,B154,'02a_CSP_Contract_Alloc'!$C$2:$C$305,C154,'02a_CSP_Contract_Alloc'!$D$2:$D$305,D154)</f>
        <v/>
      </c>
      <c r="M154" s="6">
        <f>IF(L154&gt;0,K154/L154,0)</f>
        <v/>
      </c>
      <c r="N154" s="28">
        <f>F154*M154</f>
        <v/>
      </c>
      <c r="O154" s="5">
        <f>'02a_CSP_Contract_Alloc'!L154</f>
        <v/>
      </c>
      <c r="P154" s="5" t="inlineStr">
        <is>
          <t>AI company inference power is normalized across CSPs by CSP total power * AI contract share * inference share.</t>
        </is>
      </c>
    </row>
    <row r="155">
      <c r="A155" s="5">
        <f>'02a_CSP_Contract_Alloc'!A155</f>
        <v/>
      </c>
      <c r="B155" s="5">
        <f>'02a_CSP_Contract_Alloc'!B155</f>
        <v/>
      </c>
      <c r="C155" s="5">
        <f>'02a_CSP_Contract_Alloc'!C155</f>
        <v/>
      </c>
      <c r="D155" s="5">
        <f>'02a_CSP_Contract_Alloc'!D155</f>
        <v/>
      </c>
      <c r="E155" s="5">
        <f>'02a_CSP_Contract_Alloc'!E155</f>
        <v/>
      </c>
      <c r="F155" s="28">
        <f>SUMPRODUCT(('02_Inputs'!$A$2:$A$181=B155)*('02_Inputs'!$B$2:$B$181=C155)*('02_Inputs'!$C$2:$C$181=D155)*'02_Inputs'!$D$2:$D$181*'02_Inputs'!$E$2:$E$181/'02_Inputs'!$F$2:$F$181*'02_Inputs'!$G$2:$G$181*'02_Inputs'!$H$2:$H$181*1000)</f>
        <v/>
      </c>
      <c r="G155" s="28">
        <f>'02a_CSP_Contract_Alloc'!F155</f>
        <v/>
      </c>
      <c r="H155" s="6">
        <f>'02a_CSP_Contract_Alloc'!G155</f>
        <v/>
      </c>
      <c r="I155" s="28">
        <f>'02a_CSP_Contract_Alloc'!H155</f>
        <v/>
      </c>
      <c r="J155" s="6">
        <f>'02a_CSP_Contract_Alloc'!I155</f>
        <v/>
      </c>
      <c r="K155" s="28">
        <f>'02a_CSP_Contract_Alloc'!K155</f>
        <v/>
      </c>
      <c r="L155" s="28">
        <f>SUMIFS('02a_CSP_Contract_Alloc'!$K$2:$K$305,'02a_CSP_Contract_Alloc'!$B$2:$B$305,B155,'02a_CSP_Contract_Alloc'!$C$2:$C$305,C155,'02a_CSP_Contract_Alloc'!$D$2:$D$305,D155)</f>
        <v/>
      </c>
      <c r="M155" s="6">
        <f>IF(L155&gt;0,K155/L155,0)</f>
        <v/>
      </c>
      <c r="N155" s="28">
        <f>F155*M155</f>
        <v/>
      </c>
      <c r="O155" s="5">
        <f>'02a_CSP_Contract_Alloc'!L155</f>
        <v/>
      </c>
      <c r="P155" s="5" t="inlineStr">
        <is>
          <t>AI company inference power is normalized across CSPs by CSP total power * AI contract share * inference share.</t>
        </is>
      </c>
    </row>
    <row r="156">
      <c r="A156" s="5">
        <f>'02a_CSP_Contract_Alloc'!A156</f>
        <v/>
      </c>
      <c r="B156" s="5">
        <f>'02a_CSP_Contract_Alloc'!B156</f>
        <v/>
      </c>
      <c r="C156" s="5">
        <f>'02a_CSP_Contract_Alloc'!C156</f>
        <v/>
      </c>
      <c r="D156" s="5">
        <f>'02a_CSP_Contract_Alloc'!D156</f>
        <v/>
      </c>
      <c r="E156" s="5">
        <f>'02a_CSP_Contract_Alloc'!E156</f>
        <v/>
      </c>
      <c r="F156" s="28">
        <f>SUMPRODUCT(('02_Inputs'!$A$2:$A$181=B156)*('02_Inputs'!$B$2:$B$181=C156)*('02_Inputs'!$C$2:$C$181=D156)*'02_Inputs'!$D$2:$D$181*'02_Inputs'!$E$2:$E$181/'02_Inputs'!$F$2:$F$181*'02_Inputs'!$G$2:$G$181*'02_Inputs'!$H$2:$H$181*1000)</f>
        <v/>
      </c>
      <c r="G156" s="28">
        <f>'02a_CSP_Contract_Alloc'!F156</f>
        <v/>
      </c>
      <c r="H156" s="6">
        <f>'02a_CSP_Contract_Alloc'!G156</f>
        <v/>
      </c>
      <c r="I156" s="28">
        <f>'02a_CSP_Contract_Alloc'!H156</f>
        <v/>
      </c>
      <c r="J156" s="6">
        <f>'02a_CSP_Contract_Alloc'!I156</f>
        <v/>
      </c>
      <c r="K156" s="28">
        <f>'02a_CSP_Contract_Alloc'!K156</f>
        <v/>
      </c>
      <c r="L156" s="28">
        <f>SUMIFS('02a_CSP_Contract_Alloc'!$K$2:$K$305,'02a_CSP_Contract_Alloc'!$B$2:$B$305,B156,'02a_CSP_Contract_Alloc'!$C$2:$C$305,C156,'02a_CSP_Contract_Alloc'!$D$2:$D$305,D156)</f>
        <v/>
      </c>
      <c r="M156" s="6">
        <f>IF(L156&gt;0,K156/L156,0)</f>
        <v/>
      </c>
      <c r="N156" s="28">
        <f>F156*M156</f>
        <v/>
      </c>
      <c r="O156" s="5">
        <f>'02a_CSP_Contract_Alloc'!L156</f>
        <v/>
      </c>
      <c r="P156" s="5" t="inlineStr">
        <is>
          <t>AI company inference power is normalized across CSPs by CSP total power * AI contract share * inference share.</t>
        </is>
      </c>
    </row>
    <row r="157">
      <c r="A157" s="5">
        <f>'02a_CSP_Contract_Alloc'!A157</f>
        <v/>
      </c>
      <c r="B157" s="5">
        <f>'02a_CSP_Contract_Alloc'!B157</f>
        <v/>
      </c>
      <c r="C157" s="5">
        <f>'02a_CSP_Contract_Alloc'!C157</f>
        <v/>
      </c>
      <c r="D157" s="5">
        <f>'02a_CSP_Contract_Alloc'!D157</f>
        <v/>
      </c>
      <c r="E157" s="5">
        <f>'02a_CSP_Contract_Alloc'!E157</f>
        <v/>
      </c>
      <c r="F157" s="28">
        <f>SUMPRODUCT(('02_Inputs'!$A$2:$A$181=B157)*('02_Inputs'!$B$2:$B$181=C157)*('02_Inputs'!$C$2:$C$181=D157)*'02_Inputs'!$D$2:$D$181*'02_Inputs'!$E$2:$E$181/'02_Inputs'!$F$2:$F$181*'02_Inputs'!$G$2:$G$181*'02_Inputs'!$H$2:$H$181*1000)</f>
        <v/>
      </c>
      <c r="G157" s="28">
        <f>'02a_CSP_Contract_Alloc'!F157</f>
        <v/>
      </c>
      <c r="H157" s="6">
        <f>'02a_CSP_Contract_Alloc'!G157</f>
        <v/>
      </c>
      <c r="I157" s="28">
        <f>'02a_CSP_Contract_Alloc'!H157</f>
        <v/>
      </c>
      <c r="J157" s="6">
        <f>'02a_CSP_Contract_Alloc'!I157</f>
        <v/>
      </c>
      <c r="K157" s="28">
        <f>'02a_CSP_Contract_Alloc'!K157</f>
        <v/>
      </c>
      <c r="L157" s="28">
        <f>SUMIFS('02a_CSP_Contract_Alloc'!$K$2:$K$305,'02a_CSP_Contract_Alloc'!$B$2:$B$305,B157,'02a_CSP_Contract_Alloc'!$C$2:$C$305,C157,'02a_CSP_Contract_Alloc'!$D$2:$D$305,D157)</f>
        <v/>
      </c>
      <c r="M157" s="6">
        <f>IF(L157&gt;0,K157/L157,0)</f>
        <v/>
      </c>
      <c r="N157" s="28">
        <f>F157*M157</f>
        <v/>
      </c>
      <c r="O157" s="5">
        <f>'02a_CSP_Contract_Alloc'!L157</f>
        <v/>
      </c>
      <c r="P157" s="5" t="inlineStr">
        <is>
          <t>AI company inference power is normalized across CSPs by CSP total power * AI contract share * inference share.</t>
        </is>
      </c>
    </row>
    <row r="158">
      <c r="A158" s="5">
        <f>'02a_CSP_Contract_Alloc'!A158</f>
        <v/>
      </c>
      <c r="B158" s="5">
        <f>'02a_CSP_Contract_Alloc'!B158</f>
        <v/>
      </c>
      <c r="C158" s="5">
        <f>'02a_CSP_Contract_Alloc'!C158</f>
        <v/>
      </c>
      <c r="D158" s="5">
        <f>'02a_CSP_Contract_Alloc'!D158</f>
        <v/>
      </c>
      <c r="E158" s="5">
        <f>'02a_CSP_Contract_Alloc'!E158</f>
        <v/>
      </c>
      <c r="F158" s="28">
        <f>SUMPRODUCT(('02_Inputs'!$A$2:$A$181=B158)*('02_Inputs'!$B$2:$B$181=C158)*('02_Inputs'!$C$2:$C$181=D158)*'02_Inputs'!$D$2:$D$181*'02_Inputs'!$E$2:$E$181/'02_Inputs'!$F$2:$F$181*'02_Inputs'!$G$2:$G$181*'02_Inputs'!$H$2:$H$181*1000)</f>
        <v/>
      </c>
      <c r="G158" s="28">
        <f>'02a_CSP_Contract_Alloc'!F158</f>
        <v/>
      </c>
      <c r="H158" s="6">
        <f>'02a_CSP_Contract_Alloc'!G158</f>
        <v/>
      </c>
      <c r="I158" s="28">
        <f>'02a_CSP_Contract_Alloc'!H158</f>
        <v/>
      </c>
      <c r="J158" s="6">
        <f>'02a_CSP_Contract_Alloc'!I158</f>
        <v/>
      </c>
      <c r="K158" s="28">
        <f>'02a_CSP_Contract_Alloc'!K158</f>
        <v/>
      </c>
      <c r="L158" s="28">
        <f>SUMIFS('02a_CSP_Contract_Alloc'!$K$2:$K$305,'02a_CSP_Contract_Alloc'!$B$2:$B$305,B158,'02a_CSP_Contract_Alloc'!$C$2:$C$305,C158,'02a_CSP_Contract_Alloc'!$D$2:$D$305,D158)</f>
        <v/>
      </c>
      <c r="M158" s="6">
        <f>IF(L158&gt;0,K158/L158,0)</f>
        <v/>
      </c>
      <c r="N158" s="28">
        <f>F158*M158</f>
        <v/>
      </c>
      <c r="O158" s="5">
        <f>'02a_CSP_Contract_Alloc'!L158</f>
        <v/>
      </c>
      <c r="P158" s="5" t="inlineStr">
        <is>
          <t>AI company inference power is normalized across CSPs by CSP total power * AI contract share * inference share.</t>
        </is>
      </c>
    </row>
    <row r="159">
      <c r="A159" s="5">
        <f>'02a_CSP_Contract_Alloc'!A159</f>
        <v/>
      </c>
      <c r="B159" s="5">
        <f>'02a_CSP_Contract_Alloc'!B159</f>
        <v/>
      </c>
      <c r="C159" s="5">
        <f>'02a_CSP_Contract_Alloc'!C159</f>
        <v/>
      </c>
      <c r="D159" s="5">
        <f>'02a_CSP_Contract_Alloc'!D159</f>
        <v/>
      </c>
      <c r="E159" s="5">
        <f>'02a_CSP_Contract_Alloc'!E159</f>
        <v/>
      </c>
      <c r="F159" s="28">
        <f>SUMPRODUCT(('02_Inputs'!$A$2:$A$181=B159)*('02_Inputs'!$B$2:$B$181=C159)*('02_Inputs'!$C$2:$C$181=D159)*'02_Inputs'!$D$2:$D$181*'02_Inputs'!$E$2:$E$181/'02_Inputs'!$F$2:$F$181*'02_Inputs'!$G$2:$G$181*'02_Inputs'!$H$2:$H$181*1000)</f>
        <v/>
      </c>
      <c r="G159" s="28">
        <f>'02a_CSP_Contract_Alloc'!F159</f>
        <v/>
      </c>
      <c r="H159" s="6">
        <f>'02a_CSP_Contract_Alloc'!G159</f>
        <v/>
      </c>
      <c r="I159" s="28">
        <f>'02a_CSP_Contract_Alloc'!H159</f>
        <v/>
      </c>
      <c r="J159" s="6">
        <f>'02a_CSP_Contract_Alloc'!I159</f>
        <v/>
      </c>
      <c r="K159" s="28">
        <f>'02a_CSP_Contract_Alloc'!K159</f>
        <v/>
      </c>
      <c r="L159" s="28">
        <f>SUMIFS('02a_CSP_Contract_Alloc'!$K$2:$K$305,'02a_CSP_Contract_Alloc'!$B$2:$B$305,B159,'02a_CSP_Contract_Alloc'!$C$2:$C$305,C159,'02a_CSP_Contract_Alloc'!$D$2:$D$305,D159)</f>
        <v/>
      </c>
      <c r="M159" s="6">
        <f>IF(L159&gt;0,K159/L159,0)</f>
        <v/>
      </c>
      <c r="N159" s="28">
        <f>F159*M159</f>
        <v/>
      </c>
      <c r="O159" s="5">
        <f>'02a_CSP_Contract_Alloc'!L159</f>
        <v/>
      </c>
      <c r="P159" s="5" t="inlineStr">
        <is>
          <t>AI company inference power is normalized across CSPs by CSP total power * AI contract share * inference share.</t>
        </is>
      </c>
    </row>
    <row r="160">
      <c r="A160" s="5">
        <f>'02a_CSP_Contract_Alloc'!A160</f>
        <v/>
      </c>
      <c r="B160" s="5">
        <f>'02a_CSP_Contract_Alloc'!B160</f>
        <v/>
      </c>
      <c r="C160" s="5">
        <f>'02a_CSP_Contract_Alloc'!C160</f>
        <v/>
      </c>
      <c r="D160" s="5">
        <f>'02a_CSP_Contract_Alloc'!D160</f>
        <v/>
      </c>
      <c r="E160" s="5">
        <f>'02a_CSP_Contract_Alloc'!E160</f>
        <v/>
      </c>
      <c r="F160" s="28">
        <f>SUMPRODUCT(('02_Inputs'!$A$2:$A$181=B160)*('02_Inputs'!$B$2:$B$181=C160)*('02_Inputs'!$C$2:$C$181=D160)*'02_Inputs'!$D$2:$D$181*'02_Inputs'!$E$2:$E$181/'02_Inputs'!$F$2:$F$181*'02_Inputs'!$G$2:$G$181*'02_Inputs'!$H$2:$H$181*1000)</f>
        <v/>
      </c>
      <c r="G160" s="28">
        <f>'02a_CSP_Contract_Alloc'!F160</f>
        <v/>
      </c>
      <c r="H160" s="6">
        <f>'02a_CSP_Contract_Alloc'!G160</f>
        <v/>
      </c>
      <c r="I160" s="28">
        <f>'02a_CSP_Contract_Alloc'!H160</f>
        <v/>
      </c>
      <c r="J160" s="6">
        <f>'02a_CSP_Contract_Alloc'!I160</f>
        <v/>
      </c>
      <c r="K160" s="28">
        <f>'02a_CSP_Contract_Alloc'!K160</f>
        <v/>
      </c>
      <c r="L160" s="28">
        <f>SUMIFS('02a_CSP_Contract_Alloc'!$K$2:$K$305,'02a_CSP_Contract_Alloc'!$B$2:$B$305,B160,'02a_CSP_Contract_Alloc'!$C$2:$C$305,C160,'02a_CSP_Contract_Alloc'!$D$2:$D$305,D160)</f>
        <v/>
      </c>
      <c r="M160" s="6">
        <f>IF(L160&gt;0,K160/L160,0)</f>
        <v/>
      </c>
      <c r="N160" s="28">
        <f>F160*M160</f>
        <v/>
      </c>
      <c r="O160" s="5">
        <f>'02a_CSP_Contract_Alloc'!L160</f>
        <v/>
      </c>
      <c r="P160" s="5" t="inlineStr">
        <is>
          <t>AI company inference power is normalized across CSPs by CSP total power * AI contract share * inference share.</t>
        </is>
      </c>
    </row>
    <row r="161">
      <c r="A161" s="5">
        <f>'02a_CSP_Contract_Alloc'!A161</f>
        <v/>
      </c>
      <c r="B161" s="5">
        <f>'02a_CSP_Contract_Alloc'!B161</f>
        <v/>
      </c>
      <c r="C161" s="5">
        <f>'02a_CSP_Contract_Alloc'!C161</f>
        <v/>
      </c>
      <c r="D161" s="5">
        <f>'02a_CSP_Contract_Alloc'!D161</f>
        <v/>
      </c>
      <c r="E161" s="5">
        <f>'02a_CSP_Contract_Alloc'!E161</f>
        <v/>
      </c>
      <c r="F161" s="28">
        <f>SUMPRODUCT(('02_Inputs'!$A$2:$A$181=B161)*('02_Inputs'!$B$2:$B$181=C161)*('02_Inputs'!$C$2:$C$181=D161)*'02_Inputs'!$D$2:$D$181*'02_Inputs'!$E$2:$E$181/'02_Inputs'!$F$2:$F$181*'02_Inputs'!$G$2:$G$181*'02_Inputs'!$H$2:$H$181*1000)</f>
        <v/>
      </c>
      <c r="G161" s="28">
        <f>'02a_CSP_Contract_Alloc'!F161</f>
        <v/>
      </c>
      <c r="H161" s="6">
        <f>'02a_CSP_Contract_Alloc'!G161</f>
        <v/>
      </c>
      <c r="I161" s="28">
        <f>'02a_CSP_Contract_Alloc'!H161</f>
        <v/>
      </c>
      <c r="J161" s="6">
        <f>'02a_CSP_Contract_Alloc'!I161</f>
        <v/>
      </c>
      <c r="K161" s="28">
        <f>'02a_CSP_Contract_Alloc'!K161</f>
        <v/>
      </c>
      <c r="L161" s="28">
        <f>SUMIFS('02a_CSP_Contract_Alloc'!$K$2:$K$305,'02a_CSP_Contract_Alloc'!$B$2:$B$305,B161,'02a_CSP_Contract_Alloc'!$C$2:$C$305,C161,'02a_CSP_Contract_Alloc'!$D$2:$D$305,D161)</f>
        <v/>
      </c>
      <c r="M161" s="6">
        <f>IF(L161&gt;0,K161/L161,0)</f>
        <v/>
      </c>
      <c r="N161" s="28">
        <f>F161*M161</f>
        <v/>
      </c>
      <c r="O161" s="5">
        <f>'02a_CSP_Contract_Alloc'!L161</f>
        <v/>
      </c>
      <c r="P161" s="5" t="inlineStr">
        <is>
          <t>AI company inference power is normalized across CSPs by CSP total power * AI contract share * inference share.</t>
        </is>
      </c>
    </row>
    <row r="162">
      <c r="A162" s="5">
        <f>'02a_CSP_Contract_Alloc'!A162</f>
        <v/>
      </c>
      <c r="B162" s="5">
        <f>'02a_CSP_Contract_Alloc'!B162</f>
        <v/>
      </c>
      <c r="C162" s="5">
        <f>'02a_CSP_Contract_Alloc'!C162</f>
        <v/>
      </c>
      <c r="D162" s="5">
        <f>'02a_CSP_Contract_Alloc'!D162</f>
        <v/>
      </c>
      <c r="E162" s="5">
        <f>'02a_CSP_Contract_Alloc'!E162</f>
        <v/>
      </c>
      <c r="F162" s="28">
        <f>SUMPRODUCT(('02_Inputs'!$A$2:$A$181=B162)*('02_Inputs'!$B$2:$B$181=C162)*('02_Inputs'!$C$2:$C$181=D162)*'02_Inputs'!$D$2:$D$181*'02_Inputs'!$E$2:$E$181/'02_Inputs'!$F$2:$F$181*'02_Inputs'!$G$2:$G$181*'02_Inputs'!$H$2:$H$181*1000)</f>
        <v/>
      </c>
      <c r="G162" s="28">
        <f>'02a_CSP_Contract_Alloc'!F162</f>
        <v/>
      </c>
      <c r="H162" s="6">
        <f>'02a_CSP_Contract_Alloc'!G162</f>
        <v/>
      </c>
      <c r="I162" s="28">
        <f>'02a_CSP_Contract_Alloc'!H162</f>
        <v/>
      </c>
      <c r="J162" s="6">
        <f>'02a_CSP_Contract_Alloc'!I162</f>
        <v/>
      </c>
      <c r="K162" s="28">
        <f>'02a_CSP_Contract_Alloc'!K162</f>
        <v/>
      </c>
      <c r="L162" s="28">
        <f>SUMIFS('02a_CSP_Contract_Alloc'!$K$2:$K$305,'02a_CSP_Contract_Alloc'!$B$2:$B$305,B162,'02a_CSP_Contract_Alloc'!$C$2:$C$305,C162,'02a_CSP_Contract_Alloc'!$D$2:$D$305,D162)</f>
        <v/>
      </c>
      <c r="M162" s="6">
        <f>IF(L162&gt;0,K162/L162,0)</f>
        <v/>
      </c>
      <c r="N162" s="28">
        <f>F162*M162</f>
        <v/>
      </c>
      <c r="O162" s="5">
        <f>'02a_CSP_Contract_Alloc'!L162</f>
        <v/>
      </c>
      <c r="P162" s="5" t="inlineStr">
        <is>
          <t>AI company inference power is normalized across CSPs by CSP total power * AI contract share * inference share.</t>
        </is>
      </c>
    </row>
    <row r="163">
      <c r="A163" s="5">
        <f>'02a_CSP_Contract_Alloc'!A163</f>
        <v/>
      </c>
      <c r="B163" s="5">
        <f>'02a_CSP_Contract_Alloc'!B163</f>
        <v/>
      </c>
      <c r="C163" s="5">
        <f>'02a_CSP_Contract_Alloc'!C163</f>
        <v/>
      </c>
      <c r="D163" s="5">
        <f>'02a_CSP_Contract_Alloc'!D163</f>
        <v/>
      </c>
      <c r="E163" s="5">
        <f>'02a_CSP_Contract_Alloc'!E163</f>
        <v/>
      </c>
      <c r="F163" s="28">
        <f>SUMPRODUCT(('02_Inputs'!$A$2:$A$181=B163)*('02_Inputs'!$B$2:$B$181=C163)*('02_Inputs'!$C$2:$C$181=D163)*'02_Inputs'!$D$2:$D$181*'02_Inputs'!$E$2:$E$181/'02_Inputs'!$F$2:$F$181*'02_Inputs'!$G$2:$G$181*'02_Inputs'!$H$2:$H$181*1000)</f>
        <v/>
      </c>
      <c r="G163" s="28">
        <f>'02a_CSP_Contract_Alloc'!F163</f>
        <v/>
      </c>
      <c r="H163" s="6">
        <f>'02a_CSP_Contract_Alloc'!G163</f>
        <v/>
      </c>
      <c r="I163" s="28">
        <f>'02a_CSP_Contract_Alloc'!H163</f>
        <v/>
      </c>
      <c r="J163" s="6">
        <f>'02a_CSP_Contract_Alloc'!I163</f>
        <v/>
      </c>
      <c r="K163" s="28">
        <f>'02a_CSP_Contract_Alloc'!K163</f>
        <v/>
      </c>
      <c r="L163" s="28">
        <f>SUMIFS('02a_CSP_Contract_Alloc'!$K$2:$K$305,'02a_CSP_Contract_Alloc'!$B$2:$B$305,B163,'02a_CSP_Contract_Alloc'!$C$2:$C$305,C163,'02a_CSP_Contract_Alloc'!$D$2:$D$305,D163)</f>
        <v/>
      </c>
      <c r="M163" s="6">
        <f>IF(L163&gt;0,K163/L163,0)</f>
        <v/>
      </c>
      <c r="N163" s="28">
        <f>F163*M163</f>
        <v/>
      </c>
      <c r="O163" s="5">
        <f>'02a_CSP_Contract_Alloc'!L163</f>
        <v/>
      </c>
      <c r="P163" s="5" t="inlineStr">
        <is>
          <t>AI company inference power is normalized across CSPs by CSP total power * AI contract share * inference share.</t>
        </is>
      </c>
    </row>
    <row r="164">
      <c r="A164" s="5">
        <f>'02a_CSP_Contract_Alloc'!A164</f>
        <v/>
      </c>
      <c r="B164" s="5">
        <f>'02a_CSP_Contract_Alloc'!B164</f>
        <v/>
      </c>
      <c r="C164" s="5">
        <f>'02a_CSP_Contract_Alloc'!C164</f>
        <v/>
      </c>
      <c r="D164" s="5">
        <f>'02a_CSP_Contract_Alloc'!D164</f>
        <v/>
      </c>
      <c r="E164" s="5">
        <f>'02a_CSP_Contract_Alloc'!E164</f>
        <v/>
      </c>
      <c r="F164" s="28">
        <f>SUMPRODUCT(('02_Inputs'!$A$2:$A$181=B164)*('02_Inputs'!$B$2:$B$181=C164)*('02_Inputs'!$C$2:$C$181=D164)*'02_Inputs'!$D$2:$D$181*'02_Inputs'!$E$2:$E$181/'02_Inputs'!$F$2:$F$181*'02_Inputs'!$G$2:$G$181*'02_Inputs'!$H$2:$H$181*1000)</f>
        <v/>
      </c>
      <c r="G164" s="28">
        <f>'02a_CSP_Contract_Alloc'!F164</f>
        <v/>
      </c>
      <c r="H164" s="6">
        <f>'02a_CSP_Contract_Alloc'!G164</f>
        <v/>
      </c>
      <c r="I164" s="28">
        <f>'02a_CSP_Contract_Alloc'!H164</f>
        <v/>
      </c>
      <c r="J164" s="6">
        <f>'02a_CSP_Contract_Alloc'!I164</f>
        <v/>
      </c>
      <c r="K164" s="28">
        <f>'02a_CSP_Contract_Alloc'!K164</f>
        <v/>
      </c>
      <c r="L164" s="28">
        <f>SUMIFS('02a_CSP_Contract_Alloc'!$K$2:$K$305,'02a_CSP_Contract_Alloc'!$B$2:$B$305,B164,'02a_CSP_Contract_Alloc'!$C$2:$C$305,C164,'02a_CSP_Contract_Alloc'!$D$2:$D$305,D164)</f>
        <v/>
      </c>
      <c r="M164" s="6">
        <f>IF(L164&gt;0,K164/L164,0)</f>
        <v/>
      </c>
      <c r="N164" s="28">
        <f>F164*M164</f>
        <v/>
      </c>
      <c r="O164" s="5">
        <f>'02a_CSP_Contract_Alloc'!L164</f>
        <v/>
      </c>
      <c r="P164" s="5" t="inlineStr">
        <is>
          <t>AI company inference power is normalized across CSPs by CSP total power * AI contract share * inference share.</t>
        </is>
      </c>
    </row>
    <row r="165">
      <c r="A165" s="5">
        <f>'02a_CSP_Contract_Alloc'!A165</f>
        <v/>
      </c>
      <c r="B165" s="5">
        <f>'02a_CSP_Contract_Alloc'!B165</f>
        <v/>
      </c>
      <c r="C165" s="5">
        <f>'02a_CSP_Contract_Alloc'!C165</f>
        <v/>
      </c>
      <c r="D165" s="5">
        <f>'02a_CSP_Contract_Alloc'!D165</f>
        <v/>
      </c>
      <c r="E165" s="5">
        <f>'02a_CSP_Contract_Alloc'!E165</f>
        <v/>
      </c>
      <c r="F165" s="28">
        <f>SUMPRODUCT(('02_Inputs'!$A$2:$A$181=B165)*('02_Inputs'!$B$2:$B$181=C165)*('02_Inputs'!$C$2:$C$181=D165)*'02_Inputs'!$D$2:$D$181*'02_Inputs'!$E$2:$E$181/'02_Inputs'!$F$2:$F$181*'02_Inputs'!$G$2:$G$181*'02_Inputs'!$H$2:$H$181*1000)</f>
        <v/>
      </c>
      <c r="G165" s="28">
        <f>'02a_CSP_Contract_Alloc'!F165</f>
        <v/>
      </c>
      <c r="H165" s="6">
        <f>'02a_CSP_Contract_Alloc'!G165</f>
        <v/>
      </c>
      <c r="I165" s="28">
        <f>'02a_CSP_Contract_Alloc'!H165</f>
        <v/>
      </c>
      <c r="J165" s="6">
        <f>'02a_CSP_Contract_Alloc'!I165</f>
        <v/>
      </c>
      <c r="K165" s="28">
        <f>'02a_CSP_Contract_Alloc'!K165</f>
        <v/>
      </c>
      <c r="L165" s="28">
        <f>SUMIFS('02a_CSP_Contract_Alloc'!$K$2:$K$305,'02a_CSP_Contract_Alloc'!$B$2:$B$305,B165,'02a_CSP_Contract_Alloc'!$C$2:$C$305,C165,'02a_CSP_Contract_Alloc'!$D$2:$D$305,D165)</f>
        <v/>
      </c>
      <c r="M165" s="6">
        <f>IF(L165&gt;0,K165/L165,0)</f>
        <v/>
      </c>
      <c r="N165" s="28">
        <f>F165*M165</f>
        <v/>
      </c>
      <c r="O165" s="5">
        <f>'02a_CSP_Contract_Alloc'!L165</f>
        <v/>
      </c>
      <c r="P165" s="5" t="inlineStr">
        <is>
          <t>AI company inference power is normalized across CSPs by CSP total power * AI contract share * inference share.</t>
        </is>
      </c>
    </row>
    <row r="166">
      <c r="A166" s="5">
        <f>'02a_CSP_Contract_Alloc'!A166</f>
        <v/>
      </c>
      <c r="B166" s="5">
        <f>'02a_CSP_Contract_Alloc'!B166</f>
        <v/>
      </c>
      <c r="C166" s="5">
        <f>'02a_CSP_Contract_Alloc'!C166</f>
        <v/>
      </c>
      <c r="D166" s="5">
        <f>'02a_CSP_Contract_Alloc'!D166</f>
        <v/>
      </c>
      <c r="E166" s="5">
        <f>'02a_CSP_Contract_Alloc'!E166</f>
        <v/>
      </c>
      <c r="F166" s="28">
        <f>SUMPRODUCT(('02_Inputs'!$A$2:$A$181=B166)*('02_Inputs'!$B$2:$B$181=C166)*('02_Inputs'!$C$2:$C$181=D166)*'02_Inputs'!$D$2:$D$181*'02_Inputs'!$E$2:$E$181/'02_Inputs'!$F$2:$F$181*'02_Inputs'!$G$2:$G$181*'02_Inputs'!$H$2:$H$181*1000)</f>
        <v/>
      </c>
      <c r="G166" s="28">
        <f>'02a_CSP_Contract_Alloc'!F166</f>
        <v/>
      </c>
      <c r="H166" s="6">
        <f>'02a_CSP_Contract_Alloc'!G166</f>
        <v/>
      </c>
      <c r="I166" s="28">
        <f>'02a_CSP_Contract_Alloc'!H166</f>
        <v/>
      </c>
      <c r="J166" s="6">
        <f>'02a_CSP_Contract_Alloc'!I166</f>
        <v/>
      </c>
      <c r="K166" s="28">
        <f>'02a_CSP_Contract_Alloc'!K166</f>
        <v/>
      </c>
      <c r="L166" s="28">
        <f>SUMIFS('02a_CSP_Contract_Alloc'!$K$2:$K$305,'02a_CSP_Contract_Alloc'!$B$2:$B$305,B166,'02a_CSP_Contract_Alloc'!$C$2:$C$305,C166,'02a_CSP_Contract_Alloc'!$D$2:$D$305,D166)</f>
        <v/>
      </c>
      <c r="M166" s="6">
        <f>IF(L166&gt;0,K166/L166,0)</f>
        <v/>
      </c>
      <c r="N166" s="28">
        <f>F166*M166</f>
        <v/>
      </c>
      <c r="O166" s="5">
        <f>'02a_CSP_Contract_Alloc'!L166</f>
        <v/>
      </c>
      <c r="P166" s="5" t="inlineStr">
        <is>
          <t>AI company inference power is normalized across CSPs by CSP total power * AI contract share * inference share.</t>
        </is>
      </c>
    </row>
    <row r="167">
      <c r="A167" s="5">
        <f>'02a_CSP_Contract_Alloc'!A167</f>
        <v/>
      </c>
      <c r="B167" s="5">
        <f>'02a_CSP_Contract_Alloc'!B167</f>
        <v/>
      </c>
      <c r="C167" s="5">
        <f>'02a_CSP_Contract_Alloc'!C167</f>
        <v/>
      </c>
      <c r="D167" s="5">
        <f>'02a_CSP_Contract_Alloc'!D167</f>
        <v/>
      </c>
      <c r="E167" s="5">
        <f>'02a_CSP_Contract_Alloc'!E167</f>
        <v/>
      </c>
      <c r="F167" s="28">
        <f>SUMPRODUCT(('02_Inputs'!$A$2:$A$181=B167)*('02_Inputs'!$B$2:$B$181=C167)*('02_Inputs'!$C$2:$C$181=D167)*'02_Inputs'!$D$2:$D$181*'02_Inputs'!$E$2:$E$181/'02_Inputs'!$F$2:$F$181*'02_Inputs'!$G$2:$G$181*'02_Inputs'!$H$2:$H$181*1000)</f>
        <v/>
      </c>
      <c r="G167" s="28">
        <f>'02a_CSP_Contract_Alloc'!F167</f>
        <v/>
      </c>
      <c r="H167" s="6">
        <f>'02a_CSP_Contract_Alloc'!G167</f>
        <v/>
      </c>
      <c r="I167" s="28">
        <f>'02a_CSP_Contract_Alloc'!H167</f>
        <v/>
      </c>
      <c r="J167" s="6">
        <f>'02a_CSP_Contract_Alloc'!I167</f>
        <v/>
      </c>
      <c r="K167" s="28">
        <f>'02a_CSP_Contract_Alloc'!K167</f>
        <v/>
      </c>
      <c r="L167" s="28">
        <f>SUMIFS('02a_CSP_Contract_Alloc'!$K$2:$K$305,'02a_CSP_Contract_Alloc'!$B$2:$B$305,B167,'02a_CSP_Contract_Alloc'!$C$2:$C$305,C167,'02a_CSP_Contract_Alloc'!$D$2:$D$305,D167)</f>
        <v/>
      </c>
      <c r="M167" s="6">
        <f>IF(L167&gt;0,K167/L167,0)</f>
        <v/>
      </c>
      <c r="N167" s="28">
        <f>F167*M167</f>
        <v/>
      </c>
      <c r="O167" s="5">
        <f>'02a_CSP_Contract_Alloc'!L167</f>
        <v/>
      </c>
      <c r="P167" s="5" t="inlineStr">
        <is>
          <t>AI company inference power is normalized across CSPs by CSP total power * AI contract share * inference share.</t>
        </is>
      </c>
    </row>
    <row r="168">
      <c r="A168" s="5">
        <f>'02a_CSP_Contract_Alloc'!A168</f>
        <v/>
      </c>
      <c r="B168" s="5">
        <f>'02a_CSP_Contract_Alloc'!B168</f>
        <v/>
      </c>
      <c r="C168" s="5">
        <f>'02a_CSP_Contract_Alloc'!C168</f>
        <v/>
      </c>
      <c r="D168" s="5">
        <f>'02a_CSP_Contract_Alloc'!D168</f>
        <v/>
      </c>
      <c r="E168" s="5">
        <f>'02a_CSP_Contract_Alloc'!E168</f>
        <v/>
      </c>
      <c r="F168" s="28">
        <f>SUMPRODUCT(('02_Inputs'!$A$2:$A$181=B168)*('02_Inputs'!$B$2:$B$181=C168)*('02_Inputs'!$C$2:$C$181=D168)*'02_Inputs'!$D$2:$D$181*'02_Inputs'!$E$2:$E$181/'02_Inputs'!$F$2:$F$181*'02_Inputs'!$G$2:$G$181*'02_Inputs'!$H$2:$H$181*1000)</f>
        <v/>
      </c>
      <c r="G168" s="28">
        <f>'02a_CSP_Contract_Alloc'!F168</f>
        <v/>
      </c>
      <c r="H168" s="6">
        <f>'02a_CSP_Contract_Alloc'!G168</f>
        <v/>
      </c>
      <c r="I168" s="28">
        <f>'02a_CSP_Contract_Alloc'!H168</f>
        <v/>
      </c>
      <c r="J168" s="6">
        <f>'02a_CSP_Contract_Alloc'!I168</f>
        <v/>
      </c>
      <c r="K168" s="28">
        <f>'02a_CSP_Contract_Alloc'!K168</f>
        <v/>
      </c>
      <c r="L168" s="28">
        <f>SUMIFS('02a_CSP_Contract_Alloc'!$K$2:$K$305,'02a_CSP_Contract_Alloc'!$B$2:$B$305,B168,'02a_CSP_Contract_Alloc'!$C$2:$C$305,C168,'02a_CSP_Contract_Alloc'!$D$2:$D$305,D168)</f>
        <v/>
      </c>
      <c r="M168" s="6">
        <f>IF(L168&gt;0,K168/L168,0)</f>
        <v/>
      </c>
      <c r="N168" s="28">
        <f>F168*M168</f>
        <v/>
      </c>
      <c r="O168" s="5">
        <f>'02a_CSP_Contract_Alloc'!L168</f>
        <v/>
      </c>
      <c r="P168" s="5" t="inlineStr">
        <is>
          <t>AI company inference power is normalized across CSPs by CSP total power * AI contract share * inference share.</t>
        </is>
      </c>
    </row>
    <row r="169">
      <c r="A169" s="5">
        <f>'02a_CSP_Contract_Alloc'!A169</f>
        <v/>
      </c>
      <c r="B169" s="5">
        <f>'02a_CSP_Contract_Alloc'!B169</f>
        <v/>
      </c>
      <c r="C169" s="5">
        <f>'02a_CSP_Contract_Alloc'!C169</f>
        <v/>
      </c>
      <c r="D169" s="5">
        <f>'02a_CSP_Contract_Alloc'!D169</f>
        <v/>
      </c>
      <c r="E169" s="5">
        <f>'02a_CSP_Contract_Alloc'!E169</f>
        <v/>
      </c>
      <c r="F169" s="28">
        <f>SUMPRODUCT(('02_Inputs'!$A$2:$A$181=B169)*('02_Inputs'!$B$2:$B$181=C169)*('02_Inputs'!$C$2:$C$181=D169)*'02_Inputs'!$D$2:$D$181*'02_Inputs'!$E$2:$E$181/'02_Inputs'!$F$2:$F$181*'02_Inputs'!$G$2:$G$181*'02_Inputs'!$H$2:$H$181*1000)</f>
        <v/>
      </c>
      <c r="G169" s="28">
        <f>'02a_CSP_Contract_Alloc'!F169</f>
        <v/>
      </c>
      <c r="H169" s="6">
        <f>'02a_CSP_Contract_Alloc'!G169</f>
        <v/>
      </c>
      <c r="I169" s="28">
        <f>'02a_CSP_Contract_Alloc'!H169</f>
        <v/>
      </c>
      <c r="J169" s="6">
        <f>'02a_CSP_Contract_Alloc'!I169</f>
        <v/>
      </c>
      <c r="K169" s="28">
        <f>'02a_CSP_Contract_Alloc'!K169</f>
        <v/>
      </c>
      <c r="L169" s="28">
        <f>SUMIFS('02a_CSP_Contract_Alloc'!$K$2:$K$305,'02a_CSP_Contract_Alloc'!$B$2:$B$305,B169,'02a_CSP_Contract_Alloc'!$C$2:$C$305,C169,'02a_CSP_Contract_Alloc'!$D$2:$D$305,D169)</f>
        <v/>
      </c>
      <c r="M169" s="6">
        <f>IF(L169&gt;0,K169/L169,0)</f>
        <v/>
      </c>
      <c r="N169" s="28">
        <f>F169*M169</f>
        <v/>
      </c>
      <c r="O169" s="5">
        <f>'02a_CSP_Contract_Alloc'!L169</f>
        <v/>
      </c>
      <c r="P169" s="5" t="inlineStr">
        <is>
          <t>AI company inference power is normalized across CSPs by CSP total power * AI contract share * inference share.</t>
        </is>
      </c>
    </row>
    <row r="170">
      <c r="A170" s="5">
        <f>'02a_CSP_Contract_Alloc'!A170</f>
        <v/>
      </c>
      <c r="B170" s="5">
        <f>'02a_CSP_Contract_Alloc'!B170</f>
        <v/>
      </c>
      <c r="C170" s="5">
        <f>'02a_CSP_Contract_Alloc'!C170</f>
        <v/>
      </c>
      <c r="D170" s="5">
        <f>'02a_CSP_Contract_Alloc'!D170</f>
        <v/>
      </c>
      <c r="E170" s="5">
        <f>'02a_CSP_Contract_Alloc'!E170</f>
        <v/>
      </c>
      <c r="F170" s="28">
        <f>SUMPRODUCT(('02_Inputs'!$A$2:$A$181=B170)*('02_Inputs'!$B$2:$B$181=C170)*('02_Inputs'!$C$2:$C$181=D170)*'02_Inputs'!$D$2:$D$181*'02_Inputs'!$E$2:$E$181/'02_Inputs'!$F$2:$F$181*'02_Inputs'!$G$2:$G$181*'02_Inputs'!$H$2:$H$181*1000)</f>
        <v/>
      </c>
      <c r="G170" s="28">
        <f>'02a_CSP_Contract_Alloc'!F170</f>
        <v/>
      </c>
      <c r="H170" s="6">
        <f>'02a_CSP_Contract_Alloc'!G170</f>
        <v/>
      </c>
      <c r="I170" s="28">
        <f>'02a_CSP_Contract_Alloc'!H170</f>
        <v/>
      </c>
      <c r="J170" s="6">
        <f>'02a_CSP_Contract_Alloc'!I170</f>
        <v/>
      </c>
      <c r="K170" s="28">
        <f>'02a_CSP_Contract_Alloc'!K170</f>
        <v/>
      </c>
      <c r="L170" s="28">
        <f>SUMIFS('02a_CSP_Contract_Alloc'!$K$2:$K$305,'02a_CSP_Contract_Alloc'!$B$2:$B$305,B170,'02a_CSP_Contract_Alloc'!$C$2:$C$305,C170,'02a_CSP_Contract_Alloc'!$D$2:$D$305,D170)</f>
        <v/>
      </c>
      <c r="M170" s="6">
        <f>IF(L170&gt;0,K170/L170,0)</f>
        <v/>
      </c>
      <c r="N170" s="28">
        <f>F170*M170</f>
        <v/>
      </c>
      <c r="O170" s="5">
        <f>'02a_CSP_Contract_Alloc'!L170</f>
        <v/>
      </c>
      <c r="P170" s="5" t="inlineStr">
        <is>
          <t>AI company inference power is normalized across CSPs by CSP total power * AI contract share * inference share.</t>
        </is>
      </c>
    </row>
    <row r="171">
      <c r="A171" s="5">
        <f>'02a_CSP_Contract_Alloc'!A171</f>
        <v/>
      </c>
      <c r="B171" s="5">
        <f>'02a_CSP_Contract_Alloc'!B171</f>
        <v/>
      </c>
      <c r="C171" s="5">
        <f>'02a_CSP_Contract_Alloc'!C171</f>
        <v/>
      </c>
      <c r="D171" s="5">
        <f>'02a_CSP_Contract_Alloc'!D171</f>
        <v/>
      </c>
      <c r="E171" s="5">
        <f>'02a_CSP_Contract_Alloc'!E171</f>
        <v/>
      </c>
      <c r="F171" s="28">
        <f>SUMPRODUCT(('02_Inputs'!$A$2:$A$181=B171)*('02_Inputs'!$B$2:$B$181=C171)*('02_Inputs'!$C$2:$C$181=D171)*'02_Inputs'!$D$2:$D$181*'02_Inputs'!$E$2:$E$181/'02_Inputs'!$F$2:$F$181*'02_Inputs'!$G$2:$G$181*'02_Inputs'!$H$2:$H$181*1000)</f>
        <v/>
      </c>
      <c r="G171" s="28">
        <f>'02a_CSP_Contract_Alloc'!F171</f>
        <v/>
      </c>
      <c r="H171" s="6">
        <f>'02a_CSP_Contract_Alloc'!G171</f>
        <v/>
      </c>
      <c r="I171" s="28">
        <f>'02a_CSP_Contract_Alloc'!H171</f>
        <v/>
      </c>
      <c r="J171" s="6">
        <f>'02a_CSP_Contract_Alloc'!I171</f>
        <v/>
      </c>
      <c r="K171" s="28">
        <f>'02a_CSP_Contract_Alloc'!K171</f>
        <v/>
      </c>
      <c r="L171" s="28">
        <f>SUMIFS('02a_CSP_Contract_Alloc'!$K$2:$K$305,'02a_CSP_Contract_Alloc'!$B$2:$B$305,B171,'02a_CSP_Contract_Alloc'!$C$2:$C$305,C171,'02a_CSP_Contract_Alloc'!$D$2:$D$305,D171)</f>
        <v/>
      </c>
      <c r="M171" s="6">
        <f>IF(L171&gt;0,K171/L171,0)</f>
        <v/>
      </c>
      <c r="N171" s="28">
        <f>F171*M171</f>
        <v/>
      </c>
      <c r="O171" s="5">
        <f>'02a_CSP_Contract_Alloc'!L171</f>
        <v/>
      </c>
      <c r="P171" s="5" t="inlineStr">
        <is>
          <t>AI company inference power is normalized across CSPs by CSP total power * AI contract share * inference share.</t>
        </is>
      </c>
    </row>
    <row r="172">
      <c r="A172" s="5">
        <f>'02a_CSP_Contract_Alloc'!A172</f>
        <v/>
      </c>
      <c r="B172" s="5">
        <f>'02a_CSP_Contract_Alloc'!B172</f>
        <v/>
      </c>
      <c r="C172" s="5">
        <f>'02a_CSP_Contract_Alloc'!C172</f>
        <v/>
      </c>
      <c r="D172" s="5">
        <f>'02a_CSP_Contract_Alloc'!D172</f>
        <v/>
      </c>
      <c r="E172" s="5">
        <f>'02a_CSP_Contract_Alloc'!E172</f>
        <v/>
      </c>
      <c r="F172" s="28">
        <f>SUMPRODUCT(('02_Inputs'!$A$2:$A$181=B172)*('02_Inputs'!$B$2:$B$181=C172)*('02_Inputs'!$C$2:$C$181=D172)*'02_Inputs'!$D$2:$D$181*'02_Inputs'!$E$2:$E$181/'02_Inputs'!$F$2:$F$181*'02_Inputs'!$G$2:$G$181*'02_Inputs'!$H$2:$H$181*1000)</f>
        <v/>
      </c>
      <c r="G172" s="28">
        <f>'02a_CSP_Contract_Alloc'!F172</f>
        <v/>
      </c>
      <c r="H172" s="6">
        <f>'02a_CSP_Contract_Alloc'!G172</f>
        <v/>
      </c>
      <c r="I172" s="28">
        <f>'02a_CSP_Contract_Alloc'!H172</f>
        <v/>
      </c>
      <c r="J172" s="6">
        <f>'02a_CSP_Contract_Alloc'!I172</f>
        <v/>
      </c>
      <c r="K172" s="28">
        <f>'02a_CSP_Contract_Alloc'!K172</f>
        <v/>
      </c>
      <c r="L172" s="28">
        <f>SUMIFS('02a_CSP_Contract_Alloc'!$K$2:$K$305,'02a_CSP_Contract_Alloc'!$B$2:$B$305,B172,'02a_CSP_Contract_Alloc'!$C$2:$C$305,C172,'02a_CSP_Contract_Alloc'!$D$2:$D$305,D172)</f>
        <v/>
      </c>
      <c r="M172" s="6">
        <f>IF(L172&gt;0,K172/L172,0)</f>
        <v/>
      </c>
      <c r="N172" s="28">
        <f>F172*M172</f>
        <v/>
      </c>
      <c r="O172" s="5">
        <f>'02a_CSP_Contract_Alloc'!L172</f>
        <v/>
      </c>
      <c r="P172" s="5" t="inlineStr">
        <is>
          <t>AI company inference power is normalized across CSPs by CSP total power * AI contract share * inference share.</t>
        </is>
      </c>
    </row>
    <row r="173">
      <c r="A173" s="5">
        <f>'02a_CSP_Contract_Alloc'!A173</f>
        <v/>
      </c>
      <c r="B173" s="5">
        <f>'02a_CSP_Contract_Alloc'!B173</f>
        <v/>
      </c>
      <c r="C173" s="5">
        <f>'02a_CSP_Contract_Alloc'!C173</f>
        <v/>
      </c>
      <c r="D173" s="5">
        <f>'02a_CSP_Contract_Alloc'!D173</f>
        <v/>
      </c>
      <c r="E173" s="5">
        <f>'02a_CSP_Contract_Alloc'!E173</f>
        <v/>
      </c>
      <c r="F173" s="28">
        <f>SUMPRODUCT(('02_Inputs'!$A$2:$A$181=B173)*('02_Inputs'!$B$2:$B$181=C173)*('02_Inputs'!$C$2:$C$181=D173)*'02_Inputs'!$D$2:$D$181*'02_Inputs'!$E$2:$E$181/'02_Inputs'!$F$2:$F$181*'02_Inputs'!$G$2:$G$181*'02_Inputs'!$H$2:$H$181*1000)</f>
        <v/>
      </c>
      <c r="G173" s="28">
        <f>'02a_CSP_Contract_Alloc'!F173</f>
        <v/>
      </c>
      <c r="H173" s="6">
        <f>'02a_CSP_Contract_Alloc'!G173</f>
        <v/>
      </c>
      <c r="I173" s="28">
        <f>'02a_CSP_Contract_Alloc'!H173</f>
        <v/>
      </c>
      <c r="J173" s="6">
        <f>'02a_CSP_Contract_Alloc'!I173</f>
        <v/>
      </c>
      <c r="K173" s="28">
        <f>'02a_CSP_Contract_Alloc'!K173</f>
        <v/>
      </c>
      <c r="L173" s="28">
        <f>SUMIFS('02a_CSP_Contract_Alloc'!$K$2:$K$305,'02a_CSP_Contract_Alloc'!$B$2:$B$305,B173,'02a_CSP_Contract_Alloc'!$C$2:$C$305,C173,'02a_CSP_Contract_Alloc'!$D$2:$D$305,D173)</f>
        <v/>
      </c>
      <c r="M173" s="6">
        <f>IF(L173&gt;0,K173/L173,0)</f>
        <v/>
      </c>
      <c r="N173" s="28">
        <f>F173*M173</f>
        <v/>
      </c>
      <c r="O173" s="5">
        <f>'02a_CSP_Contract_Alloc'!L173</f>
        <v/>
      </c>
      <c r="P173" s="5" t="inlineStr">
        <is>
          <t>AI company inference power is normalized across CSPs by CSP total power * AI contract share * inference share.</t>
        </is>
      </c>
    </row>
    <row r="174">
      <c r="A174" s="5">
        <f>'02a_CSP_Contract_Alloc'!A174</f>
        <v/>
      </c>
      <c r="B174" s="5">
        <f>'02a_CSP_Contract_Alloc'!B174</f>
        <v/>
      </c>
      <c r="C174" s="5">
        <f>'02a_CSP_Contract_Alloc'!C174</f>
        <v/>
      </c>
      <c r="D174" s="5">
        <f>'02a_CSP_Contract_Alloc'!D174</f>
        <v/>
      </c>
      <c r="E174" s="5">
        <f>'02a_CSP_Contract_Alloc'!E174</f>
        <v/>
      </c>
      <c r="F174" s="28">
        <f>SUMPRODUCT(('02_Inputs'!$A$2:$A$181=B174)*('02_Inputs'!$B$2:$B$181=C174)*('02_Inputs'!$C$2:$C$181=D174)*'02_Inputs'!$D$2:$D$181*'02_Inputs'!$E$2:$E$181/'02_Inputs'!$F$2:$F$181*'02_Inputs'!$G$2:$G$181*'02_Inputs'!$H$2:$H$181*1000)</f>
        <v/>
      </c>
      <c r="G174" s="28">
        <f>'02a_CSP_Contract_Alloc'!F174</f>
        <v/>
      </c>
      <c r="H174" s="6">
        <f>'02a_CSP_Contract_Alloc'!G174</f>
        <v/>
      </c>
      <c r="I174" s="28">
        <f>'02a_CSP_Contract_Alloc'!H174</f>
        <v/>
      </c>
      <c r="J174" s="6">
        <f>'02a_CSP_Contract_Alloc'!I174</f>
        <v/>
      </c>
      <c r="K174" s="28">
        <f>'02a_CSP_Contract_Alloc'!K174</f>
        <v/>
      </c>
      <c r="L174" s="28">
        <f>SUMIFS('02a_CSP_Contract_Alloc'!$K$2:$K$305,'02a_CSP_Contract_Alloc'!$B$2:$B$305,B174,'02a_CSP_Contract_Alloc'!$C$2:$C$305,C174,'02a_CSP_Contract_Alloc'!$D$2:$D$305,D174)</f>
        <v/>
      </c>
      <c r="M174" s="6">
        <f>IF(L174&gt;0,K174/L174,0)</f>
        <v/>
      </c>
      <c r="N174" s="28">
        <f>F174*M174</f>
        <v/>
      </c>
      <c r="O174" s="5">
        <f>'02a_CSP_Contract_Alloc'!L174</f>
        <v/>
      </c>
      <c r="P174" s="5" t="inlineStr">
        <is>
          <t>AI company inference power is normalized across CSPs by CSP total power * AI contract share * inference share.</t>
        </is>
      </c>
    </row>
    <row r="175">
      <c r="A175" s="5">
        <f>'02a_CSP_Contract_Alloc'!A175</f>
        <v/>
      </c>
      <c r="B175" s="5">
        <f>'02a_CSP_Contract_Alloc'!B175</f>
        <v/>
      </c>
      <c r="C175" s="5">
        <f>'02a_CSP_Contract_Alloc'!C175</f>
        <v/>
      </c>
      <c r="D175" s="5">
        <f>'02a_CSP_Contract_Alloc'!D175</f>
        <v/>
      </c>
      <c r="E175" s="5">
        <f>'02a_CSP_Contract_Alloc'!E175</f>
        <v/>
      </c>
      <c r="F175" s="28">
        <f>SUMPRODUCT(('02_Inputs'!$A$2:$A$181=B175)*('02_Inputs'!$B$2:$B$181=C175)*('02_Inputs'!$C$2:$C$181=D175)*'02_Inputs'!$D$2:$D$181*'02_Inputs'!$E$2:$E$181/'02_Inputs'!$F$2:$F$181*'02_Inputs'!$G$2:$G$181*'02_Inputs'!$H$2:$H$181*1000)</f>
        <v/>
      </c>
      <c r="G175" s="28">
        <f>'02a_CSP_Contract_Alloc'!F175</f>
        <v/>
      </c>
      <c r="H175" s="6">
        <f>'02a_CSP_Contract_Alloc'!G175</f>
        <v/>
      </c>
      <c r="I175" s="28">
        <f>'02a_CSP_Contract_Alloc'!H175</f>
        <v/>
      </c>
      <c r="J175" s="6">
        <f>'02a_CSP_Contract_Alloc'!I175</f>
        <v/>
      </c>
      <c r="K175" s="28">
        <f>'02a_CSP_Contract_Alloc'!K175</f>
        <v/>
      </c>
      <c r="L175" s="28">
        <f>SUMIFS('02a_CSP_Contract_Alloc'!$K$2:$K$305,'02a_CSP_Contract_Alloc'!$B$2:$B$305,B175,'02a_CSP_Contract_Alloc'!$C$2:$C$305,C175,'02a_CSP_Contract_Alloc'!$D$2:$D$305,D175)</f>
        <v/>
      </c>
      <c r="M175" s="6">
        <f>IF(L175&gt;0,K175/L175,0)</f>
        <v/>
      </c>
      <c r="N175" s="28">
        <f>F175*M175</f>
        <v/>
      </c>
      <c r="O175" s="5">
        <f>'02a_CSP_Contract_Alloc'!L175</f>
        <v/>
      </c>
      <c r="P175" s="5" t="inlineStr">
        <is>
          <t>AI company inference power is normalized across CSPs by CSP total power * AI contract share * inference share.</t>
        </is>
      </c>
    </row>
    <row r="176">
      <c r="A176" s="5">
        <f>'02a_CSP_Contract_Alloc'!A176</f>
        <v/>
      </c>
      <c r="B176" s="5">
        <f>'02a_CSP_Contract_Alloc'!B176</f>
        <v/>
      </c>
      <c r="C176" s="5">
        <f>'02a_CSP_Contract_Alloc'!C176</f>
        <v/>
      </c>
      <c r="D176" s="5">
        <f>'02a_CSP_Contract_Alloc'!D176</f>
        <v/>
      </c>
      <c r="E176" s="5">
        <f>'02a_CSP_Contract_Alloc'!E176</f>
        <v/>
      </c>
      <c r="F176" s="28">
        <f>SUMPRODUCT(('02_Inputs'!$A$2:$A$181=B176)*('02_Inputs'!$B$2:$B$181=C176)*('02_Inputs'!$C$2:$C$181=D176)*'02_Inputs'!$D$2:$D$181*'02_Inputs'!$E$2:$E$181/'02_Inputs'!$F$2:$F$181*'02_Inputs'!$G$2:$G$181*'02_Inputs'!$H$2:$H$181*1000)</f>
        <v/>
      </c>
      <c r="G176" s="28">
        <f>'02a_CSP_Contract_Alloc'!F176</f>
        <v/>
      </c>
      <c r="H176" s="6">
        <f>'02a_CSP_Contract_Alloc'!G176</f>
        <v/>
      </c>
      <c r="I176" s="28">
        <f>'02a_CSP_Contract_Alloc'!H176</f>
        <v/>
      </c>
      <c r="J176" s="6">
        <f>'02a_CSP_Contract_Alloc'!I176</f>
        <v/>
      </c>
      <c r="K176" s="28">
        <f>'02a_CSP_Contract_Alloc'!K176</f>
        <v/>
      </c>
      <c r="L176" s="28">
        <f>SUMIFS('02a_CSP_Contract_Alloc'!$K$2:$K$305,'02a_CSP_Contract_Alloc'!$B$2:$B$305,B176,'02a_CSP_Contract_Alloc'!$C$2:$C$305,C176,'02a_CSP_Contract_Alloc'!$D$2:$D$305,D176)</f>
        <v/>
      </c>
      <c r="M176" s="6">
        <f>IF(L176&gt;0,K176/L176,0)</f>
        <v/>
      </c>
      <c r="N176" s="28">
        <f>F176*M176</f>
        <v/>
      </c>
      <c r="O176" s="5">
        <f>'02a_CSP_Contract_Alloc'!L176</f>
        <v/>
      </c>
      <c r="P176" s="5" t="inlineStr">
        <is>
          <t>AI company inference power is normalized across CSPs by CSP total power * AI contract share * inference share.</t>
        </is>
      </c>
    </row>
    <row r="177">
      <c r="A177" s="5">
        <f>'02a_CSP_Contract_Alloc'!A177</f>
        <v/>
      </c>
      <c r="B177" s="5">
        <f>'02a_CSP_Contract_Alloc'!B177</f>
        <v/>
      </c>
      <c r="C177" s="5">
        <f>'02a_CSP_Contract_Alloc'!C177</f>
        <v/>
      </c>
      <c r="D177" s="5">
        <f>'02a_CSP_Contract_Alloc'!D177</f>
        <v/>
      </c>
      <c r="E177" s="5">
        <f>'02a_CSP_Contract_Alloc'!E177</f>
        <v/>
      </c>
      <c r="F177" s="28">
        <f>SUMPRODUCT(('02_Inputs'!$A$2:$A$181=B177)*('02_Inputs'!$B$2:$B$181=C177)*('02_Inputs'!$C$2:$C$181=D177)*'02_Inputs'!$D$2:$D$181*'02_Inputs'!$E$2:$E$181/'02_Inputs'!$F$2:$F$181*'02_Inputs'!$G$2:$G$181*'02_Inputs'!$H$2:$H$181*1000)</f>
        <v/>
      </c>
      <c r="G177" s="28">
        <f>'02a_CSP_Contract_Alloc'!F177</f>
        <v/>
      </c>
      <c r="H177" s="6">
        <f>'02a_CSP_Contract_Alloc'!G177</f>
        <v/>
      </c>
      <c r="I177" s="28">
        <f>'02a_CSP_Contract_Alloc'!H177</f>
        <v/>
      </c>
      <c r="J177" s="6">
        <f>'02a_CSP_Contract_Alloc'!I177</f>
        <v/>
      </c>
      <c r="K177" s="28">
        <f>'02a_CSP_Contract_Alloc'!K177</f>
        <v/>
      </c>
      <c r="L177" s="28">
        <f>SUMIFS('02a_CSP_Contract_Alloc'!$K$2:$K$305,'02a_CSP_Contract_Alloc'!$B$2:$B$305,B177,'02a_CSP_Contract_Alloc'!$C$2:$C$305,C177,'02a_CSP_Contract_Alloc'!$D$2:$D$305,D177)</f>
        <v/>
      </c>
      <c r="M177" s="6">
        <f>IF(L177&gt;0,K177/L177,0)</f>
        <v/>
      </c>
      <c r="N177" s="28">
        <f>F177*M177</f>
        <v/>
      </c>
      <c r="O177" s="5">
        <f>'02a_CSP_Contract_Alloc'!L177</f>
        <v/>
      </c>
      <c r="P177" s="5" t="inlineStr">
        <is>
          <t>AI company inference power is normalized across CSPs by CSP total power * AI contract share * inference share.</t>
        </is>
      </c>
    </row>
    <row r="178">
      <c r="A178" s="5">
        <f>'02a_CSP_Contract_Alloc'!A178</f>
        <v/>
      </c>
      <c r="B178" s="5">
        <f>'02a_CSP_Contract_Alloc'!B178</f>
        <v/>
      </c>
      <c r="C178" s="5">
        <f>'02a_CSP_Contract_Alloc'!C178</f>
        <v/>
      </c>
      <c r="D178" s="5">
        <f>'02a_CSP_Contract_Alloc'!D178</f>
        <v/>
      </c>
      <c r="E178" s="5">
        <f>'02a_CSP_Contract_Alloc'!E178</f>
        <v/>
      </c>
      <c r="F178" s="28">
        <f>SUMPRODUCT(('02_Inputs'!$A$2:$A$181=B178)*('02_Inputs'!$B$2:$B$181=C178)*('02_Inputs'!$C$2:$C$181=D178)*'02_Inputs'!$D$2:$D$181*'02_Inputs'!$E$2:$E$181/'02_Inputs'!$F$2:$F$181*'02_Inputs'!$G$2:$G$181*'02_Inputs'!$H$2:$H$181*1000)</f>
        <v/>
      </c>
      <c r="G178" s="28">
        <f>'02a_CSP_Contract_Alloc'!F178</f>
        <v/>
      </c>
      <c r="H178" s="6">
        <f>'02a_CSP_Contract_Alloc'!G178</f>
        <v/>
      </c>
      <c r="I178" s="28">
        <f>'02a_CSP_Contract_Alloc'!H178</f>
        <v/>
      </c>
      <c r="J178" s="6">
        <f>'02a_CSP_Contract_Alloc'!I178</f>
        <v/>
      </c>
      <c r="K178" s="28">
        <f>'02a_CSP_Contract_Alloc'!K178</f>
        <v/>
      </c>
      <c r="L178" s="28">
        <f>SUMIFS('02a_CSP_Contract_Alloc'!$K$2:$K$305,'02a_CSP_Contract_Alloc'!$B$2:$B$305,B178,'02a_CSP_Contract_Alloc'!$C$2:$C$305,C178,'02a_CSP_Contract_Alloc'!$D$2:$D$305,D178)</f>
        <v/>
      </c>
      <c r="M178" s="6">
        <f>IF(L178&gt;0,K178/L178,0)</f>
        <v/>
      </c>
      <c r="N178" s="28">
        <f>F178*M178</f>
        <v/>
      </c>
      <c r="O178" s="5">
        <f>'02a_CSP_Contract_Alloc'!L178</f>
        <v/>
      </c>
      <c r="P178" s="5" t="inlineStr">
        <is>
          <t>AI company inference power is normalized across CSPs by CSP total power * AI contract share * inference share.</t>
        </is>
      </c>
    </row>
    <row r="179">
      <c r="A179" s="5">
        <f>'02a_CSP_Contract_Alloc'!A179</f>
        <v/>
      </c>
      <c r="B179" s="5">
        <f>'02a_CSP_Contract_Alloc'!B179</f>
        <v/>
      </c>
      <c r="C179" s="5">
        <f>'02a_CSP_Contract_Alloc'!C179</f>
        <v/>
      </c>
      <c r="D179" s="5">
        <f>'02a_CSP_Contract_Alloc'!D179</f>
        <v/>
      </c>
      <c r="E179" s="5">
        <f>'02a_CSP_Contract_Alloc'!E179</f>
        <v/>
      </c>
      <c r="F179" s="28">
        <f>SUMPRODUCT(('02_Inputs'!$A$2:$A$181=B179)*('02_Inputs'!$B$2:$B$181=C179)*('02_Inputs'!$C$2:$C$181=D179)*'02_Inputs'!$D$2:$D$181*'02_Inputs'!$E$2:$E$181/'02_Inputs'!$F$2:$F$181*'02_Inputs'!$G$2:$G$181*'02_Inputs'!$H$2:$H$181*1000)</f>
        <v/>
      </c>
      <c r="G179" s="28">
        <f>'02a_CSP_Contract_Alloc'!F179</f>
        <v/>
      </c>
      <c r="H179" s="6">
        <f>'02a_CSP_Contract_Alloc'!G179</f>
        <v/>
      </c>
      <c r="I179" s="28">
        <f>'02a_CSP_Contract_Alloc'!H179</f>
        <v/>
      </c>
      <c r="J179" s="6">
        <f>'02a_CSP_Contract_Alloc'!I179</f>
        <v/>
      </c>
      <c r="K179" s="28">
        <f>'02a_CSP_Contract_Alloc'!K179</f>
        <v/>
      </c>
      <c r="L179" s="28">
        <f>SUMIFS('02a_CSP_Contract_Alloc'!$K$2:$K$305,'02a_CSP_Contract_Alloc'!$B$2:$B$305,B179,'02a_CSP_Contract_Alloc'!$C$2:$C$305,C179,'02a_CSP_Contract_Alloc'!$D$2:$D$305,D179)</f>
        <v/>
      </c>
      <c r="M179" s="6">
        <f>IF(L179&gt;0,K179/L179,0)</f>
        <v/>
      </c>
      <c r="N179" s="28">
        <f>F179*M179</f>
        <v/>
      </c>
      <c r="O179" s="5">
        <f>'02a_CSP_Contract_Alloc'!L179</f>
        <v/>
      </c>
      <c r="P179" s="5" t="inlineStr">
        <is>
          <t>AI company inference power is normalized across CSPs by CSP total power * AI contract share * inference share.</t>
        </is>
      </c>
    </row>
    <row r="180">
      <c r="A180" s="5">
        <f>'02a_CSP_Contract_Alloc'!A180</f>
        <v/>
      </c>
      <c r="B180" s="5">
        <f>'02a_CSP_Contract_Alloc'!B180</f>
        <v/>
      </c>
      <c r="C180" s="5">
        <f>'02a_CSP_Contract_Alloc'!C180</f>
        <v/>
      </c>
      <c r="D180" s="5">
        <f>'02a_CSP_Contract_Alloc'!D180</f>
        <v/>
      </c>
      <c r="E180" s="5">
        <f>'02a_CSP_Contract_Alloc'!E180</f>
        <v/>
      </c>
      <c r="F180" s="28">
        <f>SUMPRODUCT(('02_Inputs'!$A$2:$A$181=B180)*('02_Inputs'!$B$2:$B$181=C180)*('02_Inputs'!$C$2:$C$181=D180)*'02_Inputs'!$D$2:$D$181*'02_Inputs'!$E$2:$E$181/'02_Inputs'!$F$2:$F$181*'02_Inputs'!$G$2:$G$181*'02_Inputs'!$H$2:$H$181*1000)</f>
        <v/>
      </c>
      <c r="G180" s="28">
        <f>'02a_CSP_Contract_Alloc'!F180</f>
        <v/>
      </c>
      <c r="H180" s="6">
        <f>'02a_CSP_Contract_Alloc'!G180</f>
        <v/>
      </c>
      <c r="I180" s="28">
        <f>'02a_CSP_Contract_Alloc'!H180</f>
        <v/>
      </c>
      <c r="J180" s="6">
        <f>'02a_CSP_Contract_Alloc'!I180</f>
        <v/>
      </c>
      <c r="K180" s="28">
        <f>'02a_CSP_Contract_Alloc'!K180</f>
        <v/>
      </c>
      <c r="L180" s="28">
        <f>SUMIFS('02a_CSP_Contract_Alloc'!$K$2:$K$305,'02a_CSP_Contract_Alloc'!$B$2:$B$305,B180,'02a_CSP_Contract_Alloc'!$C$2:$C$305,C180,'02a_CSP_Contract_Alloc'!$D$2:$D$305,D180)</f>
        <v/>
      </c>
      <c r="M180" s="6">
        <f>IF(L180&gt;0,K180/L180,0)</f>
        <v/>
      </c>
      <c r="N180" s="28">
        <f>F180*M180</f>
        <v/>
      </c>
      <c r="O180" s="5">
        <f>'02a_CSP_Contract_Alloc'!L180</f>
        <v/>
      </c>
      <c r="P180" s="5" t="inlineStr">
        <is>
          <t>AI company inference power is normalized across CSPs by CSP total power * AI contract share * inference share.</t>
        </is>
      </c>
    </row>
    <row r="181">
      <c r="A181" s="5">
        <f>'02a_CSP_Contract_Alloc'!A181</f>
        <v/>
      </c>
      <c r="B181" s="5">
        <f>'02a_CSP_Contract_Alloc'!B181</f>
        <v/>
      </c>
      <c r="C181" s="5">
        <f>'02a_CSP_Contract_Alloc'!C181</f>
        <v/>
      </c>
      <c r="D181" s="5">
        <f>'02a_CSP_Contract_Alloc'!D181</f>
        <v/>
      </c>
      <c r="E181" s="5">
        <f>'02a_CSP_Contract_Alloc'!E181</f>
        <v/>
      </c>
      <c r="F181" s="28">
        <f>SUMPRODUCT(('02_Inputs'!$A$2:$A$181=B181)*('02_Inputs'!$B$2:$B$181=C181)*('02_Inputs'!$C$2:$C$181=D181)*'02_Inputs'!$D$2:$D$181*'02_Inputs'!$E$2:$E$181/'02_Inputs'!$F$2:$F$181*'02_Inputs'!$G$2:$G$181*'02_Inputs'!$H$2:$H$181*1000)</f>
        <v/>
      </c>
      <c r="G181" s="28">
        <f>'02a_CSP_Contract_Alloc'!F181</f>
        <v/>
      </c>
      <c r="H181" s="6">
        <f>'02a_CSP_Contract_Alloc'!G181</f>
        <v/>
      </c>
      <c r="I181" s="28">
        <f>'02a_CSP_Contract_Alloc'!H181</f>
        <v/>
      </c>
      <c r="J181" s="6">
        <f>'02a_CSP_Contract_Alloc'!I181</f>
        <v/>
      </c>
      <c r="K181" s="28">
        <f>'02a_CSP_Contract_Alloc'!K181</f>
        <v/>
      </c>
      <c r="L181" s="28">
        <f>SUMIFS('02a_CSP_Contract_Alloc'!$K$2:$K$305,'02a_CSP_Contract_Alloc'!$B$2:$B$305,B181,'02a_CSP_Contract_Alloc'!$C$2:$C$305,C181,'02a_CSP_Contract_Alloc'!$D$2:$D$305,D181)</f>
        <v/>
      </c>
      <c r="M181" s="6">
        <f>IF(L181&gt;0,K181/L181,0)</f>
        <v/>
      </c>
      <c r="N181" s="28">
        <f>F181*M181</f>
        <v/>
      </c>
      <c r="O181" s="5">
        <f>'02a_CSP_Contract_Alloc'!L181</f>
        <v/>
      </c>
      <c r="P181" s="5" t="inlineStr">
        <is>
          <t>AI company inference power is normalized across CSPs by CSP total power * AI contract share * inference share.</t>
        </is>
      </c>
    </row>
    <row r="182">
      <c r="A182" s="5">
        <f>'02a_CSP_Contract_Alloc'!A182</f>
        <v/>
      </c>
      <c r="B182" s="5">
        <f>'02a_CSP_Contract_Alloc'!B182</f>
        <v/>
      </c>
      <c r="C182" s="5">
        <f>'02a_CSP_Contract_Alloc'!C182</f>
        <v/>
      </c>
      <c r="D182" s="5">
        <f>'02a_CSP_Contract_Alloc'!D182</f>
        <v/>
      </c>
      <c r="E182" s="5">
        <f>'02a_CSP_Contract_Alloc'!E182</f>
        <v/>
      </c>
      <c r="F182" s="28">
        <f>SUMPRODUCT(('02_Inputs'!$A$2:$A$181=B182)*('02_Inputs'!$B$2:$B$181=C182)*('02_Inputs'!$C$2:$C$181=D182)*'02_Inputs'!$D$2:$D$181*'02_Inputs'!$E$2:$E$181/'02_Inputs'!$F$2:$F$181*'02_Inputs'!$G$2:$G$181*'02_Inputs'!$H$2:$H$181*1000)</f>
        <v/>
      </c>
      <c r="G182" s="28">
        <f>'02a_CSP_Contract_Alloc'!F182</f>
        <v/>
      </c>
      <c r="H182" s="6">
        <f>'02a_CSP_Contract_Alloc'!G182</f>
        <v/>
      </c>
      <c r="I182" s="28">
        <f>'02a_CSP_Contract_Alloc'!H182</f>
        <v/>
      </c>
      <c r="J182" s="6">
        <f>'02a_CSP_Contract_Alloc'!I182</f>
        <v/>
      </c>
      <c r="K182" s="28">
        <f>'02a_CSP_Contract_Alloc'!K182</f>
        <v/>
      </c>
      <c r="L182" s="28">
        <f>SUMIFS('02a_CSP_Contract_Alloc'!$K$2:$K$305,'02a_CSP_Contract_Alloc'!$B$2:$B$305,B182,'02a_CSP_Contract_Alloc'!$C$2:$C$305,C182,'02a_CSP_Contract_Alloc'!$D$2:$D$305,D182)</f>
        <v/>
      </c>
      <c r="M182" s="6">
        <f>IF(L182&gt;0,K182/L182,0)</f>
        <v/>
      </c>
      <c r="N182" s="28">
        <f>F182*M182</f>
        <v/>
      </c>
      <c r="O182" s="5">
        <f>'02a_CSP_Contract_Alloc'!L182</f>
        <v/>
      </c>
      <c r="P182" s="5" t="inlineStr">
        <is>
          <t>AI company inference power is normalized across CSPs by CSP total power * AI contract share * inference share.</t>
        </is>
      </c>
    </row>
    <row r="183">
      <c r="A183" s="5">
        <f>'02a_CSP_Contract_Alloc'!A183</f>
        <v/>
      </c>
      <c r="B183" s="5">
        <f>'02a_CSP_Contract_Alloc'!B183</f>
        <v/>
      </c>
      <c r="C183" s="5">
        <f>'02a_CSP_Contract_Alloc'!C183</f>
        <v/>
      </c>
      <c r="D183" s="5">
        <f>'02a_CSP_Contract_Alloc'!D183</f>
        <v/>
      </c>
      <c r="E183" s="5">
        <f>'02a_CSP_Contract_Alloc'!E183</f>
        <v/>
      </c>
      <c r="F183" s="28">
        <f>SUMPRODUCT(('02_Inputs'!$A$2:$A$181=B183)*('02_Inputs'!$B$2:$B$181=C183)*('02_Inputs'!$C$2:$C$181=D183)*'02_Inputs'!$D$2:$D$181*'02_Inputs'!$E$2:$E$181/'02_Inputs'!$F$2:$F$181*'02_Inputs'!$G$2:$G$181*'02_Inputs'!$H$2:$H$181*1000)</f>
        <v/>
      </c>
      <c r="G183" s="28">
        <f>'02a_CSP_Contract_Alloc'!F183</f>
        <v/>
      </c>
      <c r="H183" s="6">
        <f>'02a_CSP_Contract_Alloc'!G183</f>
        <v/>
      </c>
      <c r="I183" s="28">
        <f>'02a_CSP_Contract_Alloc'!H183</f>
        <v/>
      </c>
      <c r="J183" s="6">
        <f>'02a_CSP_Contract_Alloc'!I183</f>
        <v/>
      </c>
      <c r="K183" s="28">
        <f>'02a_CSP_Contract_Alloc'!K183</f>
        <v/>
      </c>
      <c r="L183" s="28">
        <f>SUMIFS('02a_CSP_Contract_Alloc'!$K$2:$K$305,'02a_CSP_Contract_Alloc'!$B$2:$B$305,B183,'02a_CSP_Contract_Alloc'!$C$2:$C$305,C183,'02a_CSP_Contract_Alloc'!$D$2:$D$305,D183)</f>
        <v/>
      </c>
      <c r="M183" s="6">
        <f>IF(L183&gt;0,K183/L183,0)</f>
        <v/>
      </c>
      <c r="N183" s="28">
        <f>F183*M183</f>
        <v/>
      </c>
      <c r="O183" s="5">
        <f>'02a_CSP_Contract_Alloc'!L183</f>
        <v/>
      </c>
      <c r="P183" s="5" t="inlineStr">
        <is>
          <t>AI company inference power is normalized across CSPs by CSP total power * AI contract share * inference share.</t>
        </is>
      </c>
    </row>
    <row r="184">
      <c r="A184" s="5">
        <f>'02a_CSP_Contract_Alloc'!A184</f>
        <v/>
      </c>
      <c r="B184" s="5">
        <f>'02a_CSP_Contract_Alloc'!B184</f>
        <v/>
      </c>
      <c r="C184" s="5">
        <f>'02a_CSP_Contract_Alloc'!C184</f>
        <v/>
      </c>
      <c r="D184" s="5">
        <f>'02a_CSP_Contract_Alloc'!D184</f>
        <v/>
      </c>
      <c r="E184" s="5">
        <f>'02a_CSP_Contract_Alloc'!E184</f>
        <v/>
      </c>
      <c r="F184" s="28">
        <f>SUMPRODUCT(('02_Inputs'!$A$2:$A$181=B184)*('02_Inputs'!$B$2:$B$181=C184)*('02_Inputs'!$C$2:$C$181=D184)*'02_Inputs'!$D$2:$D$181*'02_Inputs'!$E$2:$E$181/'02_Inputs'!$F$2:$F$181*'02_Inputs'!$G$2:$G$181*'02_Inputs'!$H$2:$H$181*1000)</f>
        <v/>
      </c>
      <c r="G184" s="28">
        <f>'02a_CSP_Contract_Alloc'!F184</f>
        <v/>
      </c>
      <c r="H184" s="6">
        <f>'02a_CSP_Contract_Alloc'!G184</f>
        <v/>
      </c>
      <c r="I184" s="28">
        <f>'02a_CSP_Contract_Alloc'!H184</f>
        <v/>
      </c>
      <c r="J184" s="6">
        <f>'02a_CSP_Contract_Alloc'!I184</f>
        <v/>
      </c>
      <c r="K184" s="28">
        <f>'02a_CSP_Contract_Alloc'!K184</f>
        <v/>
      </c>
      <c r="L184" s="28">
        <f>SUMIFS('02a_CSP_Contract_Alloc'!$K$2:$K$305,'02a_CSP_Contract_Alloc'!$B$2:$B$305,B184,'02a_CSP_Contract_Alloc'!$C$2:$C$305,C184,'02a_CSP_Contract_Alloc'!$D$2:$D$305,D184)</f>
        <v/>
      </c>
      <c r="M184" s="6">
        <f>IF(L184&gt;0,K184/L184,0)</f>
        <v/>
      </c>
      <c r="N184" s="28">
        <f>F184*M184</f>
        <v/>
      </c>
      <c r="O184" s="5">
        <f>'02a_CSP_Contract_Alloc'!L184</f>
        <v/>
      </c>
      <c r="P184" s="5" t="inlineStr">
        <is>
          <t>AI company inference power is normalized across CSPs by CSP total power * AI contract share * inference share.</t>
        </is>
      </c>
    </row>
    <row r="185">
      <c r="A185" s="5">
        <f>'02a_CSP_Contract_Alloc'!A185</f>
        <v/>
      </c>
      <c r="B185" s="5">
        <f>'02a_CSP_Contract_Alloc'!B185</f>
        <v/>
      </c>
      <c r="C185" s="5">
        <f>'02a_CSP_Contract_Alloc'!C185</f>
        <v/>
      </c>
      <c r="D185" s="5">
        <f>'02a_CSP_Contract_Alloc'!D185</f>
        <v/>
      </c>
      <c r="E185" s="5">
        <f>'02a_CSP_Contract_Alloc'!E185</f>
        <v/>
      </c>
      <c r="F185" s="28">
        <f>SUMPRODUCT(('02_Inputs'!$A$2:$A$181=B185)*('02_Inputs'!$B$2:$B$181=C185)*('02_Inputs'!$C$2:$C$181=D185)*'02_Inputs'!$D$2:$D$181*'02_Inputs'!$E$2:$E$181/'02_Inputs'!$F$2:$F$181*'02_Inputs'!$G$2:$G$181*'02_Inputs'!$H$2:$H$181*1000)</f>
        <v/>
      </c>
      <c r="G185" s="28">
        <f>'02a_CSP_Contract_Alloc'!F185</f>
        <v/>
      </c>
      <c r="H185" s="6">
        <f>'02a_CSP_Contract_Alloc'!G185</f>
        <v/>
      </c>
      <c r="I185" s="28">
        <f>'02a_CSP_Contract_Alloc'!H185</f>
        <v/>
      </c>
      <c r="J185" s="6">
        <f>'02a_CSP_Contract_Alloc'!I185</f>
        <v/>
      </c>
      <c r="K185" s="28">
        <f>'02a_CSP_Contract_Alloc'!K185</f>
        <v/>
      </c>
      <c r="L185" s="28">
        <f>SUMIFS('02a_CSP_Contract_Alloc'!$K$2:$K$305,'02a_CSP_Contract_Alloc'!$B$2:$B$305,B185,'02a_CSP_Contract_Alloc'!$C$2:$C$305,C185,'02a_CSP_Contract_Alloc'!$D$2:$D$305,D185)</f>
        <v/>
      </c>
      <c r="M185" s="6">
        <f>IF(L185&gt;0,K185/L185,0)</f>
        <v/>
      </c>
      <c r="N185" s="28">
        <f>F185*M185</f>
        <v/>
      </c>
      <c r="O185" s="5">
        <f>'02a_CSP_Contract_Alloc'!L185</f>
        <v/>
      </c>
      <c r="P185" s="5" t="inlineStr">
        <is>
          <t>AI company inference power is normalized across CSPs by CSP total power * AI contract share * inference share.</t>
        </is>
      </c>
    </row>
    <row r="186">
      <c r="A186" s="5">
        <f>'02a_CSP_Contract_Alloc'!A186</f>
        <v/>
      </c>
      <c r="B186" s="5">
        <f>'02a_CSP_Contract_Alloc'!B186</f>
        <v/>
      </c>
      <c r="C186" s="5">
        <f>'02a_CSP_Contract_Alloc'!C186</f>
        <v/>
      </c>
      <c r="D186" s="5">
        <f>'02a_CSP_Contract_Alloc'!D186</f>
        <v/>
      </c>
      <c r="E186" s="5">
        <f>'02a_CSP_Contract_Alloc'!E186</f>
        <v/>
      </c>
      <c r="F186" s="28">
        <f>SUMPRODUCT(('02_Inputs'!$A$2:$A$181=B186)*('02_Inputs'!$B$2:$B$181=C186)*('02_Inputs'!$C$2:$C$181=D186)*'02_Inputs'!$D$2:$D$181*'02_Inputs'!$E$2:$E$181/'02_Inputs'!$F$2:$F$181*'02_Inputs'!$G$2:$G$181*'02_Inputs'!$H$2:$H$181*1000)</f>
        <v/>
      </c>
      <c r="G186" s="28">
        <f>'02a_CSP_Contract_Alloc'!F186</f>
        <v/>
      </c>
      <c r="H186" s="6">
        <f>'02a_CSP_Contract_Alloc'!G186</f>
        <v/>
      </c>
      <c r="I186" s="28">
        <f>'02a_CSP_Contract_Alloc'!H186</f>
        <v/>
      </c>
      <c r="J186" s="6">
        <f>'02a_CSP_Contract_Alloc'!I186</f>
        <v/>
      </c>
      <c r="K186" s="28">
        <f>'02a_CSP_Contract_Alloc'!K186</f>
        <v/>
      </c>
      <c r="L186" s="28">
        <f>SUMIFS('02a_CSP_Contract_Alloc'!$K$2:$K$305,'02a_CSP_Contract_Alloc'!$B$2:$B$305,B186,'02a_CSP_Contract_Alloc'!$C$2:$C$305,C186,'02a_CSP_Contract_Alloc'!$D$2:$D$305,D186)</f>
        <v/>
      </c>
      <c r="M186" s="6">
        <f>IF(L186&gt;0,K186/L186,0)</f>
        <v/>
      </c>
      <c r="N186" s="28">
        <f>F186*M186</f>
        <v/>
      </c>
      <c r="O186" s="5">
        <f>'02a_CSP_Contract_Alloc'!L186</f>
        <v/>
      </c>
      <c r="P186" s="5" t="inlineStr">
        <is>
          <t>AI company inference power is normalized across CSPs by CSP total power * AI contract share * inference share.</t>
        </is>
      </c>
    </row>
    <row r="187">
      <c r="A187" s="5">
        <f>'02a_CSP_Contract_Alloc'!A187</f>
        <v/>
      </c>
      <c r="B187" s="5">
        <f>'02a_CSP_Contract_Alloc'!B187</f>
        <v/>
      </c>
      <c r="C187" s="5">
        <f>'02a_CSP_Contract_Alloc'!C187</f>
        <v/>
      </c>
      <c r="D187" s="5">
        <f>'02a_CSP_Contract_Alloc'!D187</f>
        <v/>
      </c>
      <c r="E187" s="5">
        <f>'02a_CSP_Contract_Alloc'!E187</f>
        <v/>
      </c>
      <c r="F187" s="28">
        <f>SUMPRODUCT(('02_Inputs'!$A$2:$A$181=B187)*('02_Inputs'!$B$2:$B$181=C187)*('02_Inputs'!$C$2:$C$181=D187)*'02_Inputs'!$D$2:$D$181*'02_Inputs'!$E$2:$E$181/'02_Inputs'!$F$2:$F$181*'02_Inputs'!$G$2:$G$181*'02_Inputs'!$H$2:$H$181*1000)</f>
        <v/>
      </c>
      <c r="G187" s="28">
        <f>'02a_CSP_Contract_Alloc'!F187</f>
        <v/>
      </c>
      <c r="H187" s="6">
        <f>'02a_CSP_Contract_Alloc'!G187</f>
        <v/>
      </c>
      <c r="I187" s="28">
        <f>'02a_CSP_Contract_Alloc'!H187</f>
        <v/>
      </c>
      <c r="J187" s="6">
        <f>'02a_CSP_Contract_Alloc'!I187</f>
        <v/>
      </c>
      <c r="K187" s="28">
        <f>'02a_CSP_Contract_Alloc'!K187</f>
        <v/>
      </c>
      <c r="L187" s="28">
        <f>SUMIFS('02a_CSP_Contract_Alloc'!$K$2:$K$305,'02a_CSP_Contract_Alloc'!$B$2:$B$305,B187,'02a_CSP_Contract_Alloc'!$C$2:$C$305,C187,'02a_CSP_Contract_Alloc'!$D$2:$D$305,D187)</f>
        <v/>
      </c>
      <c r="M187" s="6">
        <f>IF(L187&gt;0,K187/L187,0)</f>
        <v/>
      </c>
      <c r="N187" s="28">
        <f>F187*M187</f>
        <v/>
      </c>
      <c r="O187" s="5">
        <f>'02a_CSP_Contract_Alloc'!L187</f>
        <v/>
      </c>
      <c r="P187" s="5" t="inlineStr">
        <is>
          <t>AI company inference power is normalized across CSPs by CSP total power * AI contract share * inference share.</t>
        </is>
      </c>
    </row>
    <row r="188">
      <c r="A188" s="5">
        <f>'02a_CSP_Contract_Alloc'!A188</f>
        <v/>
      </c>
      <c r="B188" s="5">
        <f>'02a_CSP_Contract_Alloc'!B188</f>
        <v/>
      </c>
      <c r="C188" s="5">
        <f>'02a_CSP_Contract_Alloc'!C188</f>
        <v/>
      </c>
      <c r="D188" s="5">
        <f>'02a_CSP_Contract_Alloc'!D188</f>
        <v/>
      </c>
      <c r="E188" s="5">
        <f>'02a_CSP_Contract_Alloc'!E188</f>
        <v/>
      </c>
      <c r="F188" s="28">
        <f>SUMPRODUCT(('02_Inputs'!$A$2:$A$181=B188)*('02_Inputs'!$B$2:$B$181=C188)*('02_Inputs'!$C$2:$C$181=D188)*'02_Inputs'!$D$2:$D$181*'02_Inputs'!$E$2:$E$181/'02_Inputs'!$F$2:$F$181*'02_Inputs'!$G$2:$G$181*'02_Inputs'!$H$2:$H$181*1000)</f>
        <v/>
      </c>
      <c r="G188" s="28">
        <f>'02a_CSP_Contract_Alloc'!F188</f>
        <v/>
      </c>
      <c r="H188" s="6">
        <f>'02a_CSP_Contract_Alloc'!G188</f>
        <v/>
      </c>
      <c r="I188" s="28">
        <f>'02a_CSP_Contract_Alloc'!H188</f>
        <v/>
      </c>
      <c r="J188" s="6">
        <f>'02a_CSP_Contract_Alloc'!I188</f>
        <v/>
      </c>
      <c r="K188" s="28">
        <f>'02a_CSP_Contract_Alloc'!K188</f>
        <v/>
      </c>
      <c r="L188" s="28">
        <f>SUMIFS('02a_CSP_Contract_Alloc'!$K$2:$K$305,'02a_CSP_Contract_Alloc'!$B$2:$B$305,B188,'02a_CSP_Contract_Alloc'!$C$2:$C$305,C188,'02a_CSP_Contract_Alloc'!$D$2:$D$305,D188)</f>
        <v/>
      </c>
      <c r="M188" s="6">
        <f>IF(L188&gt;0,K188/L188,0)</f>
        <v/>
      </c>
      <c r="N188" s="28">
        <f>F188*M188</f>
        <v/>
      </c>
      <c r="O188" s="5">
        <f>'02a_CSP_Contract_Alloc'!L188</f>
        <v/>
      </c>
      <c r="P188" s="5" t="inlineStr">
        <is>
          <t>AI company inference power is normalized across CSPs by CSP total power * AI contract share * inference share.</t>
        </is>
      </c>
    </row>
    <row r="189">
      <c r="A189" s="5">
        <f>'02a_CSP_Contract_Alloc'!A189</f>
        <v/>
      </c>
      <c r="B189" s="5">
        <f>'02a_CSP_Contract_Alloc'!B189</f>
        <v/>
      </c>
      <c r="C189" s="5">
        <f>'02a_CSP_Contract_Alloc'!C189</f>
        <v/>
      </c>
      <c r="D189" s="5">
        <f>'02a_CSP_Contract_Alloc'!D189</f>
        <v/>
      </c>
      <c r="E189" s="5">
        <f>'02a_CSP_Contract_Alloc'!E189</f>
        <v/>
      </c>
      <c r="F189" s="28">
        <f>SUMPRODUCT(('02_Inputs'!$A$2:$A$181=B189)*('02_Inputs'!$B$2:$B$181=C189)*('02_Inputs'!$C$2:$C$181=D189)*'02_Inputs'!$D$2:$D$181*'02_Inputs'!$E$2:$E$181/'02_Inputs'!$F$2:$F$181*'02_Inputs'!$G$2:$G$181*'02_Inputs'!$H$2:$H$181*1000)</f>
        <v/>
      </c>
      <c r="G189" s="28">
        <f>'02a_CSP_Contract_Alloc'!F189</f>
        <v/>
      </c>
      <c r="H189" s="6">
        <f>'02a_CSP_Contract_Alloc'!G189</f>
        <v/>
      </c>
      <c r="I189" s="28">
        <f>'02a_CSP_Contract_Alloc'!H189</f>
        <v/>
      </c>
      <c r="J189" s="6">
        <f>'02a_CSP_Contract_Alloc'!I189</f>
        <v/>
      </c>
      <c r="K189" s="28">
        <f>'02a_CSP_Contract_Alloc'!K189</f>
        <v/>
      </c>
      <c r="L189" s="28">
        <f>SUMIFS('02a_CSP_Contract_Alloc'!$K$2:$K$305,'02a_CSP_Contract_Alloc'!$B$2:$B$305,B189,'02a_CSP_Contract_Alloc'!$C$2:$C$305,C189,'02a_CSP_Contract_Alloc'!$D$2:$D$305,D189)</f>
        <v/>
      </c>
      <c r="M189" s="6">
        <f>IF(L189&gt;0,K189/L189,0)</f>
        <v/>
      </c>
      <c r="N189" s="28">
        <f>F189*M189</f>
        <v/>
      </c>
      <c r="O189" s="5">
        <f>'02a_CSP_Contract_Alloc'!L189</f>
        <v/>
      </c>
      <c r="P189" s="5" t="inlineStr">
        <is>
          <t>AI company inference power is normalized across CSPs by CSP total power * AI contract share * inference share.</t>
        </is>
      </c>
    </row>
    <row r="190">
      <c r="A190" s="5">
        <f>'02a_CSP_Contract_Alloc'!A190</f>
        <v/>
      </c>
      <c r="B190" s="5">
        <f>'02a_CSP_Contract_Alloc'!B190</f>
        <v/>
      </c>
      <c r="C190" s="5">
        <f>'02a_CSP_Contract_Alloc'!C190</f>
        <v/>
      </c>
      <c r="D190" s="5">
        <f>'02a_CSP_Contract_Alloc'!D190</f>
        <v/>
      </c>
      <c r="E190" s="5">
        <f>'02a_CSP_Contract_Alloc'!E190</f>
        <v/>
      </c>
      <c r="F190" s="28">
        <f>SUMPRODUCT(('02_Inputs'!$A$2:$A$181=B190)*('02_Inputs'!$B$2:$B$181=C190)*('02_Inputs'!$C$2:$C$181=D190)*'02_Inputs'!$D$2:$D$181*'02_Inputs'!$E$2:$E$181/'02_Inputs'!$F$2:$F$181*'02_Inputs'!$G$2:$G$181*'02_Inputs'!$H$2:$H$181*1000)</f>
        <v/>
      </c>
      <c r="G190" s="28">
        <f>'02a_CSP_Contract_Alloc'!F190</f>
        <v/>
      </c>
      <c r="H190" s="6">
        <f>'02a_CSP_Contract_Alloc'!G190</f>
        <v/>
      </c>
      <c r="I190" s="28">
        <f>'02a_CSP_Contract_Alloc'!H190</f>
        <v/>
      </c>
      <c r="J190" s="6">
        <f>'02a_CSP_Contract_Alloc'!I190</f>
        <v/>
      </c>
      <c r="K190" s="28">
        <f>'02a_CSP_Contract_Alloc'!K190</f>
        <v/>
      </c>
      <c r="L190" s="28">
        <f>SUMIFS('02a_CSP_Contract_Alloc'!$K$2:$K$305,'02a_CSP_Contract_Alloc'!$B$2:$B$305,B190,'02a_CSP_Contract_Alloc'!$C$2:$C$305,C190,'02a_CSP_Contract_Alloc'!$D$2:$D$305,D190)</f>
        <v/>
      </c>
      <c r="M190" s="6">
        <f>IF(L190&gt;0,K190/L190,0)</f>
        <v/>
      </c>
      <c r="N190" s="28">
        <f>F190*M190</f>
        <v/>
      </c>
      <c r="O190" s="5">
        <f>'02a_CSP_Contract_Alloc'!L190</f>
        <v/>
      </c>
      <c r="P190" s="5" t="inlineStr">
        <is>
          <t>AI company inference power is normalized across CSPs by CSP total power * AI contract share * inference share.</t>
        </is>
      </c>
    </row>
    <row r="191">
      <c r="A191" s="5">
        <f>'02a_CSP_Contract_Alloc'!A191</f>
        <v/>
      </c>
      <c r="B191" s="5">
        <f>'02a_CSP_Contract_Alloc'!B191</f>
        <v/>
      </c>
      <c r="C191" s="5">
        <f>'02a_CSP_Contract_Alloc'!C191</f>
        <v/>
      </c>
      <c r="D191" s="5">
        <f>'02a_CSP_Contract_Alloc'!D191</f>
        <v/>
      </c>
      <c r="E191" s="5">
        <f>'02a_CSP_Contract_Alloc'!E191</f>
        <v/>
      </c>
      <c r="F191" s="28">
        <f>SUMPRODUCT(('02_Inputs'!$A$2:$A$181=B191)*('02_Inputs'!$B$2:$B$181=C191)*('02_Inputs'!$C$2:$C$181=D191)*'02_Inputs'!$D$2:$D$181*'02_Inputs'!$E$2:$E$181/'02_Inputs'!$F$2:$F$181*'02_Inputs'!$G$2:$G$181*'02_Inputs'!$H$2:$H$181*1000)</f>
        <v/>
      </c>
      <c r="G191" s="28">
        <f>'02a_CSP_Contract_Alloc'!F191</f>
        <v/>
      </c>
      <c r="H191" s="6">
        <f>'02a_CSP_Contract_Alloc'!G191</f>
        <v/>
      </c>
      <c r="I191" s="28">
        <f>'02a_CSP_Contract_Alloc'!H191</f>
        <v/>
      </c>
      <c r="J191" s="6">
        <f>'02a_CSP_Contract_Alloc'!I191</f>
        <v/>
      </c>
      <c r="K191" s="28">
        <f>'02a_CSP_Contract_Alloc'!K191</f>
        <v/>
      </c>
      <c r="L191" s="28">
        <f>SUMIFS('02a_CSP_Contract_Alloc'!$K$2:$K$305,'02a_CSP_Contract_Alloc'!$B$2:$B$305,B191,'02a_CSP_Contract_Alloc'!$C$2:$C$305,C191,'02a_CSP_Contract_Alloc'!$D$2:$D$305,D191)</f>
        <v/>
      </c>
      <c r="M191" s="6">
        <f>IF(L191&gt;0,K191/L191,0)</f>
        <v/>
      </c>
      <c r="N191" s="28">
        <f>F191*M191</f>
        <v/>
      </c>
      <c r="O191" s="5">
        <f>'02a_CSP_Contract_Alloc'!L191</f>
        <v/>
      </c>
      <c r="P191" s="5" t="inlineStr">
        <is>
          <t>AI company inference power is normalized across CSPs by CSP total power * AI contract share * inference share.</t>
        </is>
      </c>
    </row>
    <row r="192">
      <c r="A192" s="5">
        <f>'02a_CSP_Contract_Alloc'!A192</f>
        <v/>
      </c>
      <c r="B192" s="5">
        <f>'02a_CSP_Contract_Alloc'!B192</f>
        <v/>
      </c>
      <c r="C192" s="5">
        <f>'02a_CSP_Contract_Alloc'!C192</f>
        <v/>
      </c>
      <c r="D192" s="5">
        <f>'02a_CSP_Contract_Alloc'!D192</f>
        <v/>
      </c>
      <c r="E192" s="5">
        <f>'02a_CSP_Contract_Alloc'!E192</f>
        <v/>
      </c>
      <c r="F192" s="28">
        <f>SUMPRODUCT(('02_Inputs'!$A$2:$A$181=B192)*('02_Inputs'!$B$2:$B$181=C192)*('02_Inputs'!$C$2:$C$181=D192)*'02_Inputs'!$D$2:$D$181*'02_Inputs'!$E$2:$E$181/'02_Inputs'!$F$2:$F$181*'02_Inputs'!$G$2:$G$181*'02_Inputs'!$H$2:$H$181*1000)</f>
        <v/>
      </c>
      <c r="G192" s="28">
        <f>'02a_CSP_Contract_Alloc'!F192</f>
        <v/>
      </c>
      <c r="H192" s="6">
        <f>'02a_CSP_Contract_Alloc'!G192</f>
        <v/>
      </c>
      <c r="I192" s="28">
        <f>'02a_CSP_Contract_Alloc'!H192</f>
        <v/>
      </c>
      <c r="J192" s="6">
        <f>'02a_CSP_Contract_Alloc'!I192</f>
        <v/>
      </c>
      <c r="K192" s="28">
        <f>'02a_CSP_Contract_Alloc'!K192</f>
        <v/>
      </c>
      <c r="L192" s="28">
        <f>SUMIFS('02a_CSP_Contract_Alloc'!$K$2:$K$305,'02a_CSP_Contract_Alloc'!$B$2:$B$305,B192,'02a_CSP_Contract_Alloc'!$C$2:$C$305,C192,'02a_CSP_Contract_Alloc'!$D$2:$D$305,D192)</f>
        <v/>
      </c>
      <c r="M192" s="6">
        <f>IF(L192&gt;0,K192/L192,0)</f>
        <v/>
      </c>
      <c r="N192" s="28">
        <f>F192*M192</f>
        <v/>
      </c>
      <c r="O192" s="5">
        <f>'02a_CSP_Contract_Alloc'!L192</f>
        <v/>
      </c>
      <c r="P192" s="5" t="inlineStr">
        <is>
          <t>AI company inference power is normalized across CSPs by CSP total power * AI contract share * inference share.</t>
        </is>
      </c>
    </row>
    <row r="193">
      <c r="A193" s="5">
        <f>'02a_CSP_Contract_Alloc'!A193</f>
        <v/>
      </c>
      <c r="B193" s="5">
        <f>'02a_CSP_Contract_Alloc'!B193</f>
        <v/>
      </c>
      <c r="C193" s="5">
        <f>'02a_CSP_Contract_Alloc'!C193</f>
        <v/>
      </c>
      <c r="D193" s="5">
        <f>'02a_CSP_Contract_Alloc'!D193</f>
        <v/>
      </c>
      <c r="E193" s="5">
        <f>'02a_CSP_Contract_Alloc'!E193</f>
        <v/>
      </c>
      <c r="F193" s="28">
        <f>SUMPRODUCT(('02_Inputs'!$A$2:$A$181=B193)*('02_Inputs'!$B$2:$B$181=C193)*('02_Inputs'!$C$2:$C$181=D193)*'02_Inputs'!$D$2:$D$181*'02_Inputs'!$E$2:$E$181/'02_Inputs'!$F$2:$F$181*'02_Inputs'!$G$2:$G$181*'02_Inputs'!$H$2:$H$181*1000)</f>
        <v/>
      </c>
      <c r="G193" s="28">
        <f>'02a_CSP_Contract_Alloc'!F193</f>
        <v/>
      </c>
      <c r="H193" s="6">
        <f>'02a_CSP_Contract_Alloc'!G193</f>
        <v/>
      </c>
      <c r="I193" s="28">
        <f>'02a_CSP_Contract_Alloc'!H193</f>
        <v/>
      </c>
      <c r="J193" s="6">
        <f>'02a_CSP_Contract_Alloc'!I193</f>
        <v/>
      </c>
      <c r="K193" s="28">
        <f>'02a_CSP_Contract_Alloc'!K193</f>
        <v/>
      </c>
      <c r="L193" s="28">
        <f>SUMIFS('02a_CSP_Contract_Alloc'!$K$2:$K$305,'02a_CSP_Contract_Alloc'!$B$2:$B$305,B193,'02a_CSP_Contract_Alloc'!$C$2:$C$305,C193,'02a_CSP_Contract_Alloc'!$D$2:$D$305,D193)</f>
        <v/>
      </c>
      <c r="M193" s="6">
        <f>IF(L193&gt;0,K193/L193,0)</f>
        <v/>
      </c>
      <c r="N193" s="28">
        <f>F193*M193</f>
        <v/>
      </c>
      <c r="O193" s="5">
        <f>'02a_CSP_Contract_Alloc'!L193</f>
        <v/>
      </c>
      <c r="P193" s="5" t="inlineStr">
        <is>
          <t>AI company inference power is normalized across CSPs by CSP total power * AI contract share * inference share.</t>
        </is>
      </c>
    </row>
    <row r="194">
      <c r="A194" s="5">
        <f>'02a_CSP_Contract_Alloc'!A194</f>
        <v/>
      </c>
      <c r="B194" s="5">
        <f>'02a_CSP_Contract_Alloc'!B194</f>
        <v/>
      </c>
      <c r="C194" s="5">
        <f>'02a_CSP_Contract_Alloc'!C194</f>
        <v/>
      </c>
      <c r="D194" s="5">
        <f>'02a_CSP_Contract_Alloc'!D194</f>
        <v/>
      </c>
      <c r="E194" s="5">
        <f>'02a_CSP_Contract_Alloc'!E194</f>
        <v/>
      </c>
      <c r="F194" s="28">
        <f>SUMPRODUCT(('02_Inputs'!$A$2:$A$181=B194)*('02_Inputs'!$B$2:$B$181=C194)*('02_Inputs'!$C$2:$C$181=D194)*'02_Inputs'!$D$2:$D$181*'02_Inputs'!$E$2:$E$181/'02_Inputs'!$F$2:$F$181*'02_Inputs'!$G$2:$G$181*'02_Inputs'!$H$2:$H$181*1000)</f>
        <v/>
      </c>
      <c r="G194" s="28">
        <f>'02a_CSP_Contract_Alloc'!F194</f>
        <v/>
      </c>
      <c r="H194" s="6">
        <f>'02a_CSP_Contract_Alloc'!G194</f>
        <v/>
      </c>
      <c r="I194" s="28">
        <f>'02a_CSP_Contract_Alloc'!H194</f>
        <v/>
      </c>
      <c r="J194" s="6">
        <f>'02a_CSP_Contract_Alloc'!I194</f>
        <v/>
      </c>
      <c r="K194" s="28">
        <f>'02a_CSP_Contract_Alloc'!K194</f>
        <v/>
      </c>
      <c r="L194" s="28">
        <f>SUMIFS('02a_CSP_Contract_Alloc'!$K$2:$K$305,'02a_CSP_Contract_Alloc'!$B$2:$B$305,B194,'02a_CSP_Contract_Alloc'!$C$2:$C$305,C194,'02a_CSP_Contract_Alloc'!$D$2:$D$305,D194)</f>
        <v/>
      </c>
      <c r="M194" s="6">
        <f>IF(L194&gt;0,K194/L194,0)</f>
        <v/>
      </c>
      <c r="N194" s="28">
        <f>F194*M194</f>
        <v/>
      </c>
      <c r="O194" s="5">
        <f>'02a_CSP_Contract_Alloc'!L194</f>
        <v/>
      </c>
      <c r="P194" s="5" t="inlineStr">
        <is>
          <t>AI company inference power is normalized across CSPs by CSP total power * AI contract share * inference share.</t>
        </is>
      </c>
    </row>
    <row r="195">
      <c r="A195" s="5">
        <f>'02a_CSP_Contract_Alloc'!A195</f>
        <v/>
      </c>
      <c r="B195" s="5">
        <f>'02a_CSP_Contract_Alloc'!B195</f>
        <v/>
      </c>
      <c r="C195" s="5">
        <f>'02a_CSP_Contract_Alloc'!C195</f>
        <v/>
      </c>
      <c r="D195" s="5">
        <f>'02a_CSP_Contract_Alloc'!D195</f>
        <v/>
      </c>
      <c r="E195" s="5">
        <f>'02a_CSP_Contract_Alloc'!E195</f>
        <v/>
      </c>
      <c r="F195" s="28">
        <f>SUMPRODUCT(('02_Inputs'!$A$2:$A$181=B195)*('02_Inputs'!$B$2:$B$181=C195)*('02_Inputs'!$C$2:$C$181=D195)*'02_Inputs'!$D$2:$D$181*'02_Inputs'!$E$2:$E$181/'02_Inputs'!$F$2:$F$181*'02_Inputs'!$G$2:$G$181*'02_Inputs'!$H$2:$H$181*1000)</f>
        <v/>
      </c>
      <c r="G195" s="28">
        <f>'02a_CSP_Contract_Alloc'!F195</f>
        <v/>
      </c>
      <c r="H195" s="6">
        <f>'02a_CSP_Contract_Alloc'!G195</f>
        <v/>
      </c>
      <c r="I195" s="28">
        <f>'02a_CSP_Contract_Alloc'!H195</f>
        <v/>
      </c>
      <c r="J195" s="6">
        <f>'02a_CSP_Contract_Alloc'!I195</f>
        <v/>
      </c>
      <c r="K195" s="28">
        <f>'02a_CSP_Contract_Alloc'!K195</f>
        <v/>
      </c>
      <c r="L195" s="28">
        <f>SUMIFS('02a_CSP_Contract_Alloc'!$K$2:$K$305,'02a_CSP_Contract_Alloc'!$B$2:$B$305,B195,'02a_CSP_Contract_Alloc'!$C$2:$C$305,C195,'02a_CSP_Contract_Alloc'!$D$2:$D$305,D195)</f>
        <v/>
      </c>
      <c r="M195" s="6">
        <f>IF(L195&gt;0,K195/L195,0)</f>
        <v/>
      </c>
      <c r="N195" s="28">
        <f>F195*M195</f>
        <v/>
      </c>
      <c r="O195" s="5">
        <f>'02a_CSP_Contract_Alloc'!L195</f>
        <v/>
      </c>
      <c r="P195" s="5" t="inlineStr">
        <is>
          <t>AI company inference power is normalized across CSPs by CSP total power * AI contract share * inference share.</t>
        </is>
      </c>
    </row>
    <row r="196">
      <c r="A196" s="5">
        <f>'02a_CSP_Contract_Alloc'!A196</f>
        <v/>
      </c>
      <c r="B196" s="5">
        <f>'02a_CSP_Contract_Alloc'!B196</f>
        <v/>
      </c>
      <c r="C196" s="5">
        <f>'02a_CSP_Contract_Alloc'!C196</f>
        <v/>
      </c>
      <c r="D196" s="5">
        <f>'02a_CSP_Contract_Alloc'!D196</f>
        <v/>
      </c>
      <c r="E196" s="5">
        <f>'02a_CSP_Contract_Alloc'!E196</f>
        <v/>
      </c>
      <c r="F196" s="28">
        <f>SUMPRODUCT(('02_Inputs'!$A$2:$A$181=B196)*('02_Inputs'!$B$2:$B$181=C196)*('02_Inputs'!$C$2:$C$181=D196)*'02_Inputs'!$D$2:$D$181*'02_Inputs'!$E$2:$E$181/'02_Inputs'!$F$2:$F$181*'02_Inputs'!$G$2:$G$181*'02_Inputs'!$H$2:$H$181*1000)</f>
        <v/>
      </c>
      <c r="G196" s="28">
        <f>'02a_CSP_Contract_Alloc'!F196</f>
        <v/>
      </c>
      <c r="H196" s="6">
        <f>'02a_CSP_Contract_Alloc'!G196</f>
        <v/>
      </c>
      <c r="I196" s="28">
        <f>'02a_CSP_Contract_Alloc'!H196</f>
        <v/>
      </c>
      <c r="J196" s="6">
        <f>'02a_CSP_Contract_Alloc'!I196</f>
        <v/>
      </c>
      <c r="K196" s="28">
        <f>'02a_CSP_Contract_Alloc'!K196</f>
        <v/>
      </c>
      <c r="L196" s="28">
        <f>SUMIFS('02a_CSP_Contract_Alloc'!$K$2:$K$305,'02a_CSP_Contract_Alloc'!$B$2:$B$305,B196,'02a_CSP_Contract_Alloc'!$C$2:$C$305,C196,'02a_CSP_Contract_Alloc'!$D$2:$D$305,D196)</f>
        <v/>
      </c>
      <c r="M196" s="6">
        <f>IF(L196&gt;0,K196/L196,0)</f>
        <v/>
      </c>
      <c r="N196" s="28">
        <f>F196*M196</f>
        <v/>
      </c>
      <c r="O196" s="5">
        <f>'02a_CSP_Contract_Alloc'!L196</f>
        <v/>
      </c>
      <c r="P196" s="5" t="inlineStr">
        <is>
          <t>AI company inference power is normalized across CSPs by CSP total power * AI contract share * inference share.</t>
        </is>
      </c>
    </row>
    <row r="197">
      <c r="A197" s="5">
        <f>'02a_CSP_Contract_Alloc'!A197</f>
        <v/>
      </c>
      <c r="B197" s="5">
        <f>'02a_CSP_Contract_Alloc'!B197</f>
        <v/>
      </c>
      <c r="C197" s="5">
        <f>'02a_CSP_Contract_Alloc'!C197</f>
        <v/>
      </c>
      <c r="D197" s="5">
        <f>'02a_CSP_Contract_Alloc'!D197</f>
        <v/>
      </c>
      <c r="E197" s="5">
        <f>'02a_CSP_Contract_Alloc'!E197</f>
        <v/>
      </c>
      <c r="F197" s="28">
        <f>SUMPRODUCT(('02_Inputs'!$A$2:$A$181=B197)*('02_Inputs'!$B$2:$B$181=C197)*('02_Inputs'!$C$2:$C$181=D197)*'02_Inputs'!$D$2:$D$181*'02_Inputs'!$E$2:$E$181/'02_Inputs'!$F$2:$F$181*'02_Inputs'!$G$2:$G$181*'02_Inputs'!$H$2:$H$181*1000)</f>
        <v/>
      </c>
      <c r="G197" s="28">
        <f>'02a_CSP_Contract_Alloc'!F197</f>
        <v/>
      </c>
      <c r="H197" s="6">
        <f>'02a_CSP_Contract_Alloc'!G197</f>
        <v/>
      </c>
      <c r="I197" s="28">
        <f>'02a_CSP_Contract_Alloc'!H197</f>
        <v/>
      </c>
      <c r="J197" s="6">
        <f>'02a_CSP_Contract_Alloc'!I197</f>
        <v/>
      </c>
      <c r="K197" s="28">
        <f>'02a_CSP_Contract_Alloc'!K197</f>
        <v/>
      </c>
      <c r="L197" s="28">
        <f>SUMIFS('02a_CSP_Contract_Alloc'!$K$2:$K$305,'02a_CSP_Contract_Alloc'!$B$2:$B$305,B197,'02a_CSP_Contract_Alloc'!$C$2:$C$305,C197,'02a_CSP_Contract_Alloc'!$D$2:$D$305,D197)</f>
        <v/>
      </c>
      <c r="M197" s="6">
        <f>IF(L197&gt;0,K197/L197,0)</f>
        <v/>
      </c>
      <c r="N197" s="28">
        <f>F197*M197</f>
        <v/>
      </c>
      <c r="O197" s="5">
        <f>'02a_CSP_Contract_Alloc'!L197</f>
        <v/>
      </c>
      <c r="P197" s="5" t="inlineStr">
        <is>
          <t>AI company inference power is normalized across CSPs by CSP total power * AI contract share * inference share.</t>
        </is>
      </c>
    </row>
    <row r="198">
      <c r="A198" s="5">
        <f>'02a_CSP_Contract_Alloc'!A198</f>
        <v/>
      </c>
      <c r="B198" s="5">
        <f>'02a_CSP_Contract_Alloc'!B198</f>
        <v/>
      </c>
      <c r="C198" s="5">
        <f>'02a_CSP_Contract_Alloc'!C198</f>
        <v/>
      </c>
      <c r="D198" s="5">
        <f>'02a_CSP_Contract_Alloc'!D198</f>
        <v/>
      </c>
      <c r="E198" s="5">
        <f>'02a_CSP_Contract_Alloc'!E198</f>
        <v/>
      </c>
      <c r="F198" s="28">
        <f>SUMPRODUCT(('02_Inputs'!$A$2:$A$181=B198)*('02_Inputs'!$B$2:$B$181=C198)*('02_Inputs'!$C$2:$C$181=D198)*'02_Inputs'!$D$2:$D$181*'02_Inputs'!$E$2:$E$181/'02_Inputs'!$F$2:$F$181*'02_Inputs'!$G$2:$G$181*'02_Inputs'!$H$2:$H$181*1000)</f>
        <v/>
      </c>
      <c r="G198" s="28">
        <f>'02a_CSP_Contract_Alloc'!F198</f>
        <v/>
      </c>
      <c r="H198" s="6">
        <f>'02a_CSP_Contract_Alloc'!G198</f>
        <v/>
      </c>
      <c r="I198" s="28">
        <f>'02a_CSP_Contract_Alloc'!H198</f>
        <v/>
      </c>
      <c r="J198" s="6">
        <f>'02a_CSP_Contract_Alloc'!I198</f>
        <v/>
      </c>
      <c r="K198" s="28">
        <f>'02a_CSP_Contract_Alloc'!K198</f>
        <v/>
      </c>
      <c r="L198" s="28">
        <f>SUMIFS('02a_CSP_Contract_Alloc'!$K$2:$K$305,'02a_CSP_Contract_Alloc'!$B$2:$B$305,B198,'02a_CSP_Contract_Alloc'!$C$2:$C$305,C198,'02a_CSP_Contract_Alloc'!$D$2:$D$305,D198)</f>
        <v/>
      </c>
      <c r="M198" s="6">
        <f>IF(L198&gt;0,K198/L198,0)</f>
        <v/>
      </c>
      <c r="N198" s="28">
        <f>F198*M198</f>
        <v/>
      </c>
      <c r="O198" s="5">
        <f>'02a_CSP_Contract_Alloc'!L198</f>
        <v/>
      </c>
      <c r="P198" s="5" t="inlineStr">
        <is>
          <t>AI company inference power is normalized across CSPs by CSP total power * AI contract share * inference share.</t>
        </is>
      </c>
    </row>
    <row r="199">
      <c r="A199" s="5">
        <f>'02a_CSP_Contract_Alloc'!A199</f>
        <v/>
      </c>
      <c r="B199" s="5">
        <f>'02a_CSP_Contract_Alloc'!B199</f>
        <v/>
      </c>
      <c r="C199" s="5">
        <f>'02a_CSP_Contract_Alloc'!C199</f>
        <v/>
      </c>
      <c r="D199" s="5">
        <f>'02a_CSP_Contract_Alloc'!D199</f>
        <v/>
      </c>
      <c r="E199" s="5">
        <f>'02a_CSP_Contract_Alloc'!E199</f>
        <v/>
      </c>
      <c r="F199" s="28">
        <f>SUMPRODUCT(('02_Inputs'!$A$2:$A$181=B199)*('02_Inputs'!$B$2:$B$181=C199)*('02_Inputs'!$C$2:$C$181=D199)*'02_Inputs'!$D$2:$D$181*'02_Inputs'!$E$2:$E$181/'02_Inputs'!$F$2:$F$181*'02_Inputs'!$G$2:$G$181*'02_Inputs'!$H$2:$H$181*1000)</f>
        <v/>
      </c>
      <c r="G199" s="28">
        <f>'02a_CSP_Contract_Alloc'!F199</f>
        <v/>
      </c>
      <c r="H199" s="6">
        <f>'02a_CSP_Contract_Alloc'!G199</f>
        <v/>
      </c>
      <c r="I199" s="28">
        <f>'02a_CSP_Contract_Alloc'!H199</f>
        <v/>
      </c>
      <c r="J199" s="6">
        <f>'02a_CSP_Contract_Alloc'!I199</f>
        <v/>
      </c>
      <c r="K199" s="28">
        <f>'02a_CSP_Contract_Alloc'!K199</f>
        <v/>
      </c>
      <c r="L199" s="28">
        <f>SUMIFS('02a_CSP_Contract_Alloc'!$K$2:$K$305,'02a_CSP_Contract_Alloc'!$B$2:$B$305,B199,'02a_CSP_Contract_Alloc'!$C$2:$C$305,C199,'02a_CSP_Contract_Alloc'!$D$2:$D$305,D199)</f>
        <v/>
      </c>
      <c r="M199" s="6">
        <f>IF(L199&gt;0,K199/L199,0)</f>
        <v/>
      </c>
      <c r="N199" s="28">
        <f>F199*M199</f>
        <v/>
      </c>
      <c r="O199" s="5">
        <f>'02a_CSP_Contract_Alloc'!L199</f>
        <v/>
      </c>
      <c r="P199" s="5" t="inlineStr">
        <is>
          <t>AI company inference power is normalized across CSPs by CSP total power * AI contract share * inference share.</t>
        </is>
      </c>
    </row>
    <row r="200">
      <c r="A200" s="5">
        <f>'02a_CSP_Contract_Alloc'!A200</f>
        <v/>
      </c>
      <c r="B200" s="5">
        <f>'02a_CSP_Contract_Alloc'!B200</f>
        <v/>
      </c>
      <c r="C200" s="5">
        <f>'02a_CSP_Contract_Alloc'!C200</f>
        <v/>
      </c>
      <c r="D200" s="5">
        <f>'02a_CSP_Contract_Alloc'!D200</f>
        <v/>
      </c>
      <c r="E200" s="5">
        <f>'02a_CSP_Contract_Alloc'!E200</f>
        <v/>
      </c>
      <c r="F200" s="28">
        <f>SUMPRODUCT(('02_Inputs'!$A$2:$A$181=B200)*('02_Inputs'!$B$2:$B$181=C200)*('02_Inputs'!$C$2:$C$181=D200)*'02_Inputs'!$D$2:$D$181*'02_Inputs'!$E$2:$E$181/'02_Inputs'!$F$2:$F$181*'02_Inputs'!$G$2:$G$181*'02_Inputs'!$H$2:$H$181*1000)</f>
        <v/>
      </c>
      <c r="G200" s="28">
        <f>'02a_CSP_Contract_Alloc'!F200</f>
        <v/>
      </c>
      <c r="H200" s="6">
        <f>'02a_CSP_Contract_Alloc'!G200</f>
        <v/>
      </c>
      <c r="I200" s="28">
        <f>'02a_CSP_Contract_Alloc'!H200</f>
        <v/>
      </c>
      <c r="J200" s="6">
        <f>'02a_CSP_Contract_Alloc'!I200</f>
        <v/>
      </c>
      <c r="K200" s="28">
        <f>'02a_CSP_Contract_Alloc'!K200</f>
        <v/>
      </c>
      <c r="L200" s="28">
        <f>SUMIFS('02a_CSP_Contract_Alloc'!$K$2:$K$305,'02a_CSP_Contract_Alloc'!$B$2:$B$305,B200,'02a_CSP_Contract_Alloc'!$C$2:$C$305,C200,'02a_CSP_Contract_Alloc'!$D$2:$D$305,D200)</f>
        <v/>
      </c>
      <c r="M200" s="6">
        <f>IF(L200&gt;0,K200/L200,0)</f>
        <v/>
      </c>
      <c r="N200" s="28">
        <f>F200*M200</f>
        <v/>
      </c>
      <c r="O200" s="5">
        <f>'02a_CSP_Contract_Alloc'!L200</f>
        <v/>
      </c>
      <c r="P200" s="5" t="inlineStr">
        <is>
          <t>AI company inference power is normalized across CSPs by CSP total power * AI contract share * inference share.</t>
        </is>
      </c>
    </row>
    <row r="201">
      <c r="A201" s="5">
        <f>'02a_CSP_Contract_Alloc'!A201</f>
        <v/>
      </c>
      <c r="B201" s="5">
        <f>'02a_CSP_Contract_Alloc'!B201</f>
        <v/>
      </c>
      <c r="C201" s="5">
        <f>'02a_CSP_Contract_Alloc'!C201</f>
        <v/>
      </c>
      <c r="D201" s="5">
        <f>'02a_CSP_Contract_Alloc'!D201</f>
        <v/>
      </c>
      <c r="E201" s="5">
        <f>'02a_CSP_Contract_Alloc'!E201</f>
        <v/>
      </c>
      <c r="F201" s="28">
        <f>SUMPRODUCT(('02_Inputs'!$A$2:$A$181=B201)*('02_Inputs'!$B$2:$B$181=C201)*('02_Inputs'!$C$2:$C$181=D201)*'02_Inputs'!$D$2:$D$181*'02_Inputs'!$E$2:$E$181/'02_Inputs'!$F$2:$F$181*'02_Inputs'!$G$2:$G$181*'02_Inputs'!$H$2:$H$181*1000)</f>
        <v/>
      </c>
      <c r="G201" s="28">
        <f>'02a_CSP_Contract_Alloc'!F201</f>
        <v/>
      </c>
      <c r="H201" s="6">
        <f>'02a_CSP_Contract_Alloc'!G201</f>
        <v/>
      </c>
      <c r="I201" s="28">
        <f>'02a_CSP_Contract_Alloc'!H201</f>
        <v/>
      </c>
      <c r="J201" s="6">
        <f>'02a_CSP_Contract_Alloc'!I201</f>
        <v/>
      </c>
      <c r="K201" s="28">
        <f>'02a_CSP_Contract_Alloc'!K201</f>
        <v/>
      </c>
      <c r="L201" s="28">
        <f>SUMIFS('02a_CSP_Contract_Alloc'!$K$2:$K$305,'02a_CSP_Contract_Alloc'!$B$2:$B$305,B201,'02a_CSP_Contract_Alloc'!$C$2:$C$305,C201,'02a_CSP_Contract_Alloc'!$D$2:$D$305,D201)</f>
        <v/>
      </c>
      <c r="M201" s="6">
        <f>IF(L201&gt;0,K201/L201,0)</f>
        <v/>
      </c>
      <c r="N201" s="28">
        <f>F201*M201</f>
        <v/>
      </c>
      <c r="O201" s="5">
        <f>'02a_CSP_Contract_Alloc'!L201</f>
        <v/>
      </c>
      <c r="P201" s="5" t="inlineStr">
        <is>
          <t>AI company inference power is normalized across CSPs by CSP total power * AI contract share * inference share.</t>
        </is>
      </c>
    </row>
    <row r="202">
      <c r="A202" s="5">
        <f>'02a_CSP_Contract_Alloc'!A202</f>
        <v/>
      </c>
      <c r="B202" s="5">
        <f>'02a_CSP_Contract_Alloc'!B202</f>
        <v/>
      </c>
      <c r="C202" s="5">
        <f>'02a_CSP_Contract_Alloc'!C202</f>
        <v/>
      </c>
      <c r="D202" s="5">
        <f>'02a_CSP_Contract_Alloc'!D202</f>
        <v/>
      </c>
      <c r="E202" s="5">
        <f>'02a_CSP_Contract_Alloc'!E202</f>
        <v/>
      </c>
      <c r="F202" s="28">
        <f>SUMPRODUCT(('02_Inputs'!$A$2:$A$181=B202)*('02_Inputs'!$B$2:$B$181=C202)*('02_Inputs'!$C$2:$C$181=D202)*'02_Inputs'!$D$2:$D$181*'02_Inputs'!$E$2:$E$181/'02_Inputs'!$F$2:$F$181*'02_Inputs'!$G$2:$G$181*'02_Inputs'!$H$2:$H$181*1000)</f>
        <v/>
      </c>
      <c r="G202" s="28">
        <f>'02a_CSP_Contract_Alloc'!F202</f>
        <v/>
      </c>
      <c r="H202" s="6">
        <f>'02a_CSP_Contract_Alloc'!G202</f>
        <v/>
      </c>
      <c r="I202" s="28">
        <f>'02a_CSP_Contract_Alloc'!H202</f>
        <v/>
      </c>
      <c r="J202" s="6">
        <f>'02a_CSP_Contract_Alloc'!I202</f>
        <v/>
      </c>
      <c r="K202" s="28">
        <f>'02a_CSP_Contract_Alloc'!K202</f>
        <v/>
      </c>
      <c r="L202" s="28">
        <f>SUMIFS('02a_CSP_Contract_Alloc'!$K$2:$K$305,'02a_CSP_Contract_Alloc'!$B$2:$B$305,B202,'02a_CSP_Contract_Alloc'!$C$2:$C$305,C202,'02a_CSP_Contract_Alloc'!$D$2:$D$305,D202)</f>
        <v/>
      </c>
      <c r="M202" s="6">
        <f>IF(L202&gt;0,K202/L202,0)</f>
        <v/>
      </c>
      <c r="N202" s="28">
        <f>F202*M202</f>
        <v/>
      </c>
      <c r="O202" s="5">
        <f>'02a_CSP_Contract_Alloc'!L202</f>
        <v/>
      </c>
      <c r="P202" s="5" t="inlineStr">
        <is>
          <t>AI company inference power is normalized across CSPs by CSP total power * AI contract share * inference share.</t>
        </is>
      </c>
    </row>
    <row r="203">
      <c r="A203" s="5">
        <f>'02a_CSP_Contract_Alloc'!A203</f>
        <v/>
      </c>
      <c r="B203" s="5">
        <f>'02a_CSP_Contract_Alloc'!B203</f>
        <v/>
      </c>
      <c r="C203" s="5">
        <f>'02a_CSP_Contract_Alloc'!C203</f>
        <v/>
      </c>
      <c r="D203" s="5">
        <f>'02a_CSP_Contract_Alloc'!D203</f>
        <v/>
      </c>
      <c r="E203" s="5">
        <f>'02a_CSP_Contract_Alloc'!E203</f>
        <v/>
      </c>
      <c r="F203" s="28">
        <f>SUMPRODUCT(('02_Inputs'!$A$2:$A$181=B203)*('02_Inputs'!$B$2:$B$181=C203)*('02_Inputs'!$C$2:$C$181=D203)*'02_Inputs'!$D$2:$D$181*'02_Inputs'!$E$2:$E$181/'02_Inputs'!$F$2:$F$181*'02_Inputs'!$G$2:$G$181*'02_Inputs'!$H$2:$H$181*1000)</f>
        <v/>
      </c>
      <c r="G203" s="28">
        <f>'02a_CSP_Contract_Alloc'!F203</f>
        <v/>
      </c>
      <c r="H203" s="6">
        <f>'02a_CSP_Contract_Alloc'!G203</f>
        <v/>
      </c>
      <c r="I203" s="28">
        <f>'02a_CSP_Contract_Alloc'!H203</f>
        <v/>
      </c>
      <c r="J203" s="6">
        <f>'02a_CSP_Contract_Alloc'!I203</f>
        <v/>
      </c>
      <c r="K203" s="28">
        <f>'02a_CSP_Contract_Alloc'!K203</f>
        <v/>
      </c>
      <c r="L203" s="28">
        <f>SUMIFS('02a_CSP_Contract_Alloc'!$K$2:$K$305,'02a_CSP_Contract_Alloc'!$B$2:$B$305,B203,'02a_CSP_Contract_Alloc'!$C$2:$C$305,C203,'02a_CSP_Contract_Alloc'!$D$2:$D$305,D203)</f>
        <v/>
      </c>
      <c r="M203" s="6">
        <f>IF(L203&gt;0,K203/L203,0)</f>
        <v/>
      </c>
      <c r="N203" s="28">
        <f>F203*M203</f>
        <v/>
      </c>
      <c r="O203" s="5">
        <f>'02a_CSP_Contract_Alloc'!L203</f>
        <v/>
      </c>
      <c r="P203" s="5" t="inlineStr">
        <is>
          <t>AI company inference power is normalized across CSPs by CSP total power * AI contract share * inference share.</t>
        </is>
      </c>
    </row>
    <row r="204">
      <c r="A204" s="5">
        <f>'02a_CSP_Contract_Alloc'!A204</f>
        <v/>
      </c>
      <c r="B204" s="5">
        <f>'02a_CSP_Contract_Alloc'!B204</f>
        <v/>
      </c>
      <c r="C204" s="5">
        <f>'02a_CSP_Contract_Alloc'!C204</f>
        <v/>
      </c>
      <c r="D204" s="5">
        <f>'02a_CSP_Contract_Alloc'!D204</f>
        <v/>
      </c>
      <c r="E204" s="5">
        <f>'02a_CSP_Contract_Alloc'!E204</f>
        <v/>
      </c>
      <c r="F204" s="28">
        <f>SUMPRODUCT(('02_Inputs'!$A$2:$A$181=B204)*('02_Inputs'!$B$2:$B$181=C204)*('02_Inputs'!$C$2:$C$181=D204)*'02_Inputs'!$D$2:$D$181*'02_Inputs'!$E$2:$E$181/'02_Inputs'!$F$2:$F$181*'02_Inputs'!$G$2:$G$181*'02_Inputs'!$H$2:$H$181*1000)</f>
        <v/>
      </c>
      <c r="G204" s="28">
        <f>'02a_CSP_Contract_Alloc'!F204</f>
        <v/>
      </c>
      <c r="H204" s="6">
        <f>'02a_CSP_Contract_Alloc'!G204</f>
        <v/>
      </c>
      <c r="I204" s="28">
        <f>'02a_CSP_Contract_Alloc'!H204</f>
        <v/>
      </c>
      <c r="J204" s="6">
        <f>'02a_CSP_Contract_Alloc'!I204</f>
        <v/>
      </c>
      <c r="K204" s="28">
        <f>'02a_CSP_Contract_Alloc'!K204</f>
        <v/>
      </c>
      <c r="L204" s="28">
        <f>SUMIFS('02a_CSP_Contract_Alloc'!$K$2:$K$305,'02a_CSP_Contract_Alloc'!$B$2:$B$305,B204,'02a_CSP_Contract_Alloc'!$C$2:$C$305,C204,'02a_CSP_Contract_Alloc'!$D$2:$D$305,D204)</f>
        <v/>
      </c>
      <c r="M204" s="6">
        <f>IF(L204&gt;0,K204/L204,0)</f>
        <v/>
      </c>
      <c r="N204" s="28">
        <f>F204*M204</f>
        <v/>
      </c>
      <c r="O204" s="5">
        <f>'02a_CSP_Contract_Alloc'!L204</f>
        <v/>
      </c>
      <c r="P204" s="5" t="inlineStr">
        <is>
          <t>AI company inference power is normalized across CSPs by CSP total power * AI contract share * inference share.</t>
        </is>
      </c>
    </row>
    <row r="205">
      <c r="A205" s="5">
        <f>'02a_CSP_Contract_Alloc'!A205</f>
        <v/>
      </c>
      <c r="B205" s="5">
        <f>'02a_CSP_Contract_Alloc'!B205</f>
        <v/>
      </c>
      <c r="C205" s="5">
        <f>'02a_CSP_Contract_Alloc'!C205</f>
        <v/>
      </c>
      <c r="D205" s="5">
        <f>'02a_CSP_Contract_Alloc'!D205</f>
        <v/>
      </c>
      <c r="E205" s="5">
        <f>'02a_CSP_Contract_Alloc'!E205</f>
        <v/>
      </c>
      <c r="F205" s="28">
        <f>SUMPRODUCT(('02_Inputs'!$A$2:$A$181=B205)*('02_Inputs'!$B$2:$B$181=C205)*('02_Inputs'!$C$2:$C$181=D205)*'02_Inputs'!$D$2:$D$181*'02_Inputs'!$E$2:$E$181/'02_Inputs'!$F$2:$F$181*'02_Inputs'!$G$2:$G$181*'02_Inputs'!$H$2:$H$181*1000)</f>
        <v/>
      </c>
      <c r="G205" s="28">
        <f>'02a_CSP_Contract_Alloc'!F205</f>
        <v/>
      </c>
      <c r="H205" s="6">
        <f>'02a_CSP_Contract_Alloc'!G205</f>
        <v/>
      </c>
      <c r="I205" s="28">
        <f>'02a_CSP_Contract_Alloc'!H205</f>
        <v/>
      </c>
      <c r="J205" s="6">
        <f>'02a_CSP_Contract_Alloc'!I205</f>
        <v/>
      </c>
      <c r="K205" s="28">
        <f>'02a_CSP_Contract_Alloc'!K205</f>
        <v/>
      </c>
      <c r="L205" s="28">
        <f>SUMIFS('02a_CSP_Contract_Alloc'!$K$2:$K$305,'02a_CSP_Contract_Alloc'!$B$2:$B$305,B205,'02a_CSP_Contract_Alloc'!$C$2:$C$305,C205,'02a_CSP_Contract_Alloc'!$D$2:$D$305,D205)</f>
        <v/>
      </c>
      <c r="M205" s="6">
        <f>IF(L205&gt;0,K205/L205,0)</f>
        <v/>
      </c>
      <c r="N205" s="28">
        <f>F205*M205</f>
        <v/>
      </c>
      <c r="O205" s="5">
        <f>'02a_CSP_Contract_Alloc'!L205</f>
        <v/>
      </c>
      <c r="P205" s="5" t="inlineStr">
        <is>
          <t>AI company inference power is normalized across CSPs by CSP total power * AI contract share * inference share.</t>
        </is>
      </c>
    </row>
    <row r="206">
      <c r="A206" s="5">
        <f>'02a_CSP_Contract_Alloc'!A206</f>
        <v/>
      </c>
      <c r="B206" s="5">
        <f>'02a_CSP_Contract_Alloc'!B206</f>
        <v/>
      </c>
      <c r="C206" s="5">
        <f>'02a_CSP_Contract_Alloc'!C206</f>
        <v/>
      </c>
      <c r="D206" s="5">
        <f>'02a_CSP_Contract_Alloc'!D206</f>
        <v/>
      </c>
      <c r="E206" s="5">
        <f>'02a_CSP_Contract_Alloc'!E206</f>
        <v/>
      </c>
      <c r="F206" s="28">
        <f>SUMPRODUCT(('02_Inputs'!$A$2:$A$181=B206)*('02_Inputs'!$B$2:$B$181=C206)*('02_Inputs'!$C$2:$C$181=D206)*'02_Inputs'!$D$2:$D$181*'02_Inputs'!$E$2:$E$181/'02_Inputs'!$F$2:$F$181*'02_Inputs'!$G$2:$G$181*'02_Inputs'!$H$2:$H$181*1000)</f>
        <v/>
      </c>
      <c r="G206" s="28">
        <f>'02a_CSP_Contract_Alloc'!F206</f>
        <v/>
      </c>
      <c r="H206" s="6">
        <f>'02a_CSP_Contract_Alloc'!G206</f>
        <v/>
      </c>
      <c r="I206" s="28">
        <f>'02a_CSP_Contract_Alloc'!H206</f>
        <v/>
      </c>
      <c r="J206" s="6">
        <f>'02a_CSP_Contract_Alloc'!I206</f>
        <v/>
      </c>
      <c r="K206" s="28">
        <f>'02a_CSP_Contract_Alloc'!K206</f>
        <v/>
      </c>
      <c r="L206" s="28">
        <f>SUMIFS('02a_CSP_Contract_Alloc'!$K$2:$K$305,'02a_CSP_Contract_Alloc'!$B$2:$B$305,B206,'02a_CSP_Contract_Alloc'!$C$2:$C$305,C206,'02a_CSP_Contract_Alloc'!$D$2:$D$305,D206)</f>
        <v/>
      </c>
      <c r="M206" s="6">
        <f>IF(L206&gt;0,K206/L206,0)</f>
        <v/>
      </c>
      <c r="N206" s="28">
        <f>F206*M206</f>
        <v/>
      </c>
      <c r="O206" s="5">
        <f>'02a_CSP_Contract_Alloc'!L206</f>
        <v/>
      </c>
      <c r="P206" s="5" t="inlineStr">
        <is>
          <t>AI company inference power is normalized across CSPs by CSP total power * AI contract share * inference share.</t>
        </is>
      </c>
    </row>
    <row r="207">
      <c r="A207" s="5">
        <f>'02a_CSP_Contract_Alloc'!A207</f>
        <v/>
      </c>
      <c r="B207" s="5">
        <f>'02a_CSP_Contract_Alloc'!B207</f>
        <v/>
      </c>
      <c r="C207" s="5">
        <f>'02a_CSP_Contract_Alloc'!C207</f>
        <v/>
      </c>
      <c r="D207" s="5">
        <f>'02a_CSP_Contract_Alloc'!D207</f>
        <v/>
      </c>
      <c r="E207" s="5">
        <f>'02a_CSP_Contract_Alloc'!E207</f>
        <v/>
      </c>
      <c r="F207" s="28">
        <f>SUMPRODUCT(('02_Inputs'!$A$2:$A$181=B207)*('02_Inputs'!$B$2:$B$181=C207)*('02_Inputs'!$C$2:$C$181=D207)*'02_Inputs'!$D$2:$D$181*'02_Inputs'!$E$2:$E$181/'02_Inputs'!$F$2:$F$181*'02_Inputs'!$G$2:$G$181*'02_Inputs'!$H$2:$H$181*1000)</f>
        <v/>
      </c>
      <c r="G207" s="28">
        <f>'02a_CSP_Contract_Alloc'!F207</f>
        <v/>
      </c>
      <c r="H207" s="6">
        <f>'02a_CSP_Contract_Alloc'!G207</f>
        <v/>
      </c>
      <c r="I207" s="28">
        <f>'02a_CSP_Contract_Alloc'!H207</f>
        <v/>
      </c>
      <c r="J207" s="6">
        <f>'02a_CSP_Contract_Alloc'!I207</f>
        <v/>
      </c>
      <c r="K207" s="28">
        <f>'02a_CSP_Contract_Alloc'!K207</f>
        <v/>
      </c>
      <c r="L207" s="28">
        <f>SUMIFS('02a_CSP_Contract_Alloc'!$K$2:$K$305,'02a_CSP_Contract_Alloc'!$B$2:$B$305,B207,'02a_CSP_Contract_Alloc'!$C$2:$C$305,C207,'02a_CSP_Contract_Alloc'!$D$2:$D$305,D207)</f>
        <v/>
      </c>
      <c r="M207" s="6">
        <f>IF(L207&gt;0,K207/L207,0)</f>
        <v/>
      </c>
      <c r="N207" s="28">
        <f>F207*M207</f>
        <v/>
      </c>
      <c r="O207" s="5">
        <f>'02a_CSP_Contract_Alloc'!L207</f>
        <v/>
      </c>
      <c r="P207" s="5" t="inlineStr">
        <is>
          <t>AI company inference power is normalized across CSPs by CSP total power * AI contract share * inference share.</t>
        </is>
      </c>
    </row>
    <row r="208">
      <c r="A208" s="5">
        <f>'02a_CSP_Contract_Alloc'!A208</f>
        <v/>
      </c>
      <c r="B208" s="5">
        <f>'02a_CSP_Contract_Alloc'!B208</f>
        <v/>
      </c>
      <c r="C208" s="5">
        <f>'02a_CSP_Contract_Alloc'!C208</f>
        <v/>
      </c>
      <c r="D208" s="5">
        <f>'02a_CSP_Contract_Alloc'!D208</f>
        <v/>
      </c>
      <c r="E208" s="5">
        <f>'02a_CSP_Contract_Alloc'!E208</f>
        <v/>
      </c>
      <c r="F208" s="28">
        <f>SUMPRODUCT(('02_Inputs'!$A$2:$A$181=B208)*('02_Inputs'!$B$2:$B$181=C208)*('02_Inputs'!$C$2:$C$181=D208)*'02_Inputs'!$D$2:$D$181*'02_Inputs'!$E$2:$E$181/'02_Inputs'!$F$2:$F$181*'02_Inputs'!$G$2:$G$181*'02_Inputs'!$H$2:$H$181*1000)</f>
        <v/>
      </c>
      <c r="G208" s="28">
        <f>'02a_CSP_Contract_Alloc'!F208</f>
        <v/>
      </c>
      <c r="H208" s="6">
        <f>'02a_CSP_Contract_Alloc'!G208</f>
        <v/>
      </c>
      <c r="I208" s="28">
        <f>'02a_CSP_Contract_Alloc'!H208</f>
        <v/>
      </c>
      <c r="J208" s="6">
        <f>'02a_CSP_Contract_Alloc'!I208</f>
        <v/>
      </c>
      <c r="K208" s="28">
        <f>'02a_CSP_Contract_Alloc'!K208</f>
        <v/>
      </c>
      <c r="L208" s="28">
        <f>SUMIFS('02a_CSP_Contract_Alloc'!$K$2:$K$305,'02a_CSP_Contract_Alloc'!$B$2:$B$305,B208,'02a_CSP_Contract_Alloc'!$C$2:$C$305,C208,'02a_CSP_Contract_Alloc'!$D$2:$D$305,D208)</f>
        <v/>
      </c>
      <c r="M208" s="6">
        <f>IF(L208&gt;0,K208/L208,0)</f>
        <v/>
      </c>
      <c r="N208" s="28">
        <f>F208*M208</f>
        <v/>
      </c>
      <c r="O208" s="5">
        <f>'02a_CSP_Contract_Alloc'!L208</f>
        <v/>
      </c>
      <c r="P208" s="5" t="inlineStr">
        <is>
          <t>AI company inference power is normalized across CSPs by CSP total power * AI contract share * inference share.</t>
        </is>
      </c>
    </row>
    <row r="209">
      <c r="A209" s="5">
        <f>'02a_CSP_Contract_Alloc'!A209</f>
        <v/>
      </c>
      <c r="B209" s="5">
        <f>'02a_CSP_Contract_Alloc'!B209</f>
        <v/>
      </c>
      <c r="C209" s="5">
        <f>'02a_CSP_Contract_Alloc'!C209</f>
        <v/>
      </c>
      <c r="D209" s="5">
        <f>'02a_CSP_Contract_Alloc'!D209</f>
        <v/>
      </c>
      <c r="E209" s="5">
        <f>'02a_CSP_Contract_Alloc'!E209</f>
        <v/>
      </c>
      <c r="F209" s="28">
        <f>SUMPRODUCT(('02_Inputs'!$A$2:$A$181=B209)*('02_Inputs'!$B$2:$B$181=C209)*('02_Inputs'!$C$2:$C$181=D209)*'02_Inputs'!$D$2:$D$181*'02_Inputs'!$E$2:$E$181/'02_Inputs'!$F$2:$F$181*'02_Inputs'!$G$2:$G$181*'02_Inputs'!$H$2:$H$181*1000)</f>
        <v/>
      </c>
      <c r="G209" s="28">
        <f>'02a_CSP_Contract_Alloc'!F209</f>
        <v/>
      </c>
      <c r="H209" s="6">
        <f>'02a_CSP_Contract_Alloc'!G209</f>
        <v/>
      </c>
      <c r="I209" s="28">
        <f>'02a_CSP_Contract_Alloc'!H209</f>
        <v/>
      </c>
      <c r="J209" s="6">
        <f>'02a_CSP_Contract_Alloc'!I209</f>
        <v/>
      </c>
      <c r="K209" s="28">
        <f>'02a_CSP_Contract_Alloc'!K209</f>
        <v/>
      </c>
      <c r="L209" s="28">
        <f>SUMIFS('02a_CSP_Contract_Alloc'!$K$2:$K$305,'02a_CSP_Contract_Alloc'!$B$2:$B$305,B209,'02a_CSP_Contract_Alloc'!$C$2:$C$305,C209,'02a_CSP_Contract_Alloc'!$D$2:$D$305,D209)</f>
        <v/>
      </c>
      <c r="M209" s="6">
        <f>IF(L209&gt;0,K209/L209,0)</f>
        <v/>
      </c>
      <c r="N209" s="28">
        <f>F209*M209</f>
        <v/>
      </c>
      <c r="O209" s="5">
        <f>'02a_CSP_Contract_Alloc'!L209</f>
        <v/>
      </c>
      <c r="P209" s="5" t="inlineStr">
        <is>
          <t>AI company inference power is normalized across CSPs by CSP total power * AI contract share * inference share.</t>
        </is>
      </c>
    </row>
    <row r="210">
      <c r="A210" s="5">
        <f>'02a_CSP_Contract_Alloc'!A210</f>
        <v/>
      </c>
      <c r="B210" s="5">
        <f>'02a_CSP_Contract_Alloc'!B210</f>
        <v/>
      </c>
      <c r="C210" s="5">
        <f>'02a_CSP_Contract_Alloc'!C210</f>
        <v/>
      </c>
      <c r="D210" s="5">
        <f>'02a_CSP_Contract_Alloc'!D210</f>
        <v/>
      </c>
      <c r="E210" s="5">
        <f>'02a_CSP_Contract_Alloc'!E210</f>
        <v/>
      </c>
      <c r="F210" s="28">
        <f>SUMPRODUCT(('02_Inputs'!$A$2:$A$181=B210)*('02_Inputs'!$B$2:$B$181=C210)*('02_Inputs'!$C$2:$C$181=D210)*'02_Inputs'!$D$2:$D$181*'02_Inputs'!$E$2:$E$181/'02_Inputs'!$F$2:$F$181*'02_Inputs'!$G$2:$G$181*'02_Inputs'!$H$2:$H$181*1000)</f>
        <v/>
      </c>
      <c r="G210" s="28">
        <f>'02a_CSP_Contract_Alloc'!F210</f>
        <v/>
      </c>
      <c r="H210" s="6">
        <f>'02a_CSP_Contract_Alloc'!G210</f>
        <v/>
      </c>
      <c r="I210" s="28">
        <f>'02a_CSP_Contract_Alloc'!H210</f>
        <v/>
      </c>
      <c r="J210" s="6">
        <f>'02a_CSP_Contract_Alloc'!I210</f>
        <v/>
      </c>
      <c r="K210" s="28">
        <f>'02a_CSP_Contract_Alloc'!K210</f>
        <v/>
      </c>
      <c r="L210" s="28">
        <f>SUMIFS('02a_CSP_Contract_Alloc'!$K$2:$K$305,'02a_CSP_Contract_Alloc'!$B$2:$B$305,B210,'02a_CSP_Contract_Alloc'!$C$2:$C$305,C210,'02a_CSP_Contract_Alloc'!$D$2:$D$305,D210)</f>
        <v/>
      </c>
      <c r="M210" s="6">
        <f>IF(L210&gt;0,K210/L210,0)</f>
        <v/>
      </c>
      <c r="N210" s="28">
        <f>F210*M210</f>
        <v/>
      </c>
      <c r="O210" s="5">
        <f>'02a_CSP_Contract_Alloc'!L210</f>
        <v/>
      </c>
      <c r="P210" s="5" t="inlineStr">
        <is>
          <t>AI company inference power is normalized across CSPs by CSP total power * AI contract share * inference share.</t>
        </is>
      </c>
    </row>
    <row r="211">
      <c r="A211" s="5">
        <f>'02a_CSP_Contract_Alloc'!A211</f>
        <v/>
      </c>
      <c r="B211" s="5">
        <f>'02a_CSP_Contract_Alloc'!B211</f>
        <v/>
      </c>
      <c r="C211" s="5">
        <f>'02a_CSP_Contract_Alloc'!C211</f>
        <v/>
      </c>
      <c r="D211" s="5">
        <f>'02a_CSP_Contract_Alloc'!D211</f>
        <v/>
      </c>
      <c r="E211" s="5">
        <f>'02a_CSP_Contract_Alloc'!E211</f>
        <v/>
      </c>
      <c r="F211" s="28">
        <f>SUMPRODUCT(('02_Inputs'!$A$2:$A$181=B211)*('02_Inputs'!$B$2:$B$181=C211)*('02_Inputs'!$C$2:$C$181=D211)*'02_Inputs'!$D$2:$D$181*'02_Inputs'!$E$2:$E$181/'02_Inputs'!$F$2:$F$181*'02_Inputs'!$G$2:$G$181*'02_Inputs'!$H$2:$H$181*1000)</f>
        <v/>
      </c>
      <c r="G211" s="28">
        <f>'02a_CSP_Contract_Alloc'!F211</f>
        <v/>
      </c>
      <c r="H211" s="6">
        <f>'02a_CSP_Contract_Alloc'!G211</f>
        <v/>
      </c>
      <c r="I211" s="28">
        <f>'02a_CSP_Contract_Alloc'!H211</f>
        <v/>
      </c>
      <c r="J211" s="6">
        <f>'02a_CSP_Contract_Alloc'!I211</f>
        <v/>
      </c>
      <c r="K211" s="28">
        <f>'02a_CSP_Contract_Alloc'!K211</f>
        <v/>
      </c>
      <c r="L211" s="28">
        <f>SUMIFS('02a_CSP_Contract_Alloc'!$K$2:$K$305,'02a_CSP_Contract_Alloc'!$B$2:$B$305,B211,'02a_CSP_Contract_Alloc'!$C$2:$C$305,C211,'02a_CSP_Contract_Alloc'!$D$2:$D$305,D211)</f>
        <v/>
      </c>
      <c r="M211" s="6">
        <f>IF(L211&gt;0,K211/L211,0)</f>
        <v/>
      </c>
      <c r="N211" s="28">
        <f>F211*M211</f>
        <v/>
      </c>
      <c r="O211" s="5">
        <f>'02a_CSP_Contract_Alloc'!L211</f>
        <v/>
      </c>
      <c r="P211" s="5" t="inlineStr">
        <is>
          <t>AI company inference power is normalized across CSPs by CSP total power * AI contract share * inference share.</t>
        </is>
      </c>
    </row>
    <row r="212">
      <c r="A212" s="5">
        <f>'02a_CSP_Contract_Alloc'!A212</f>
        <v/>
      </c>
      <c r="B212" s="5">
        <f>'02a_CSP_Contract_Alloc'!B212</f>
        <v/>
      </c>
      <c r="C212" s="5">
        <f>'02a_CSP_Contract_Alloc'!C212</f>
        <v/>
      </c>
      <c r="D212" s="5">
        <f>'02a_CSP_Contract_Alloc'!D212</f>
        <v/>
      </c>
      <c r="E212" s="5">
        <f>'02a_CSP_Contract_Alloc'!E212</f>
        <v/>
      </c>
      <c r="F212" s="28">
        <f>SUMPRODUCT(('02_Inputs'!$A$2:$A$181=B212)*('02_Inputs'!$B$2:$B$181=C212)*('02_Inputs'!$C$2:$C$181=D212)*'02_Inputs'!$D$2:$D$181*'02_Inputs'!$E$2:$E$181/'02_Inputs'!$F$2:$F$181*'02_Inputs'!$G$2:$G$181*'02_Inputs'!$H$2:$H$181*1000)</f>
        <v/>
      </c>
      <c r="G212" s="28">
        <f>'02a_CSP_Contract_Alloc'!F212</f>
        <v/>
      </c>
      <c r="H212" s="6">
        <f>'02a_CSP_Contract_Alloc'!G212</f>
        <v/>
      </c>
      <c r="I212" s="28">
        <f>'02a_CSP_Contract_Alloc'!H212</f>
        <v/>
      </c>
      <c r="J212" s="6">
        <f>'02a_CSP_Contract_Alloc'!I212</f>
        <v/>
      </c>
      <c r="K212" s="28">
        <f>'02a_CSP_Contract_Alloc'!K212</f>
        <v/>
      </c>
      <c r="L212" s="28">
        <f>SUMIFS('02a_CSP_Contract_Alloc'!$K$2:$K$305,'02a_CSP_Contract_Alloc'!$B$2:$B$305,B212,'02a_CSP_Contract_Alloc'!$C$2:$C$305,C212,'02a_CSP_Contract_Alloc'!$D$2:$D$305,D212)</f>
        <v/>
      </c>
      <c r="M212" s="6">
        <f>IF(L212&gt;0,K212/L212,0)</f>
        <v/>
      </c>
      <c r="N212" s="28">
        <f>F212*M212</f>
        <v/>
      </c>
      <c r="O212" s="5">
        <f>'02a_CSP_Contract_Alloc'!L212</f>
        <v/>
      </c>
      <c r="P212" s="5" t="inlineStr">
        <is>
          <t>AI company inference power is normalized across CSPs by CSP total power * AI contract share * inference share.</t>
        </is>
      </c>
    </row>
    <row r="213">
      <c r="A213" s="5">
        <f>'02a_CSP_Contract_Alloc'!A213</f>
        <v/>
      </c>
      <c r="B213" s="5">
        <f>'02a_CSP_Contract_Alloc'!B213</f>
        <v/>
      </c>
      <c r="C213" s="5">
        <f>'02a_CSP_Contract_Alloc'!C213</f>
        <v/>
      </c>
      <c r="D213" s="5">
        <f>'02a_CSP_Contract_Alloc'!D213</f>
        <v/>
      </c>
      <c r="E213" s="5">
        <f>'02a_CSP_Contract_Alloc'!E213</f>
        <v/>
      </c>
      <c r="F213" s="28">
        <f>SUMPRODUCT(('02_Inputs'!$A$2:$A$181=B213)*('02_Inputs'!$B$2:$B$181=C213)*('02_Inputs'!$C$2:$C$181=D213)*'02_Inputs'!$D$2:$D$181*'02_Inputs'!$E$2:$E$181/'02_Inputs'!$F$2:$F$181*'02_Inputs'!$G$2:$G$181*'02_Inputs'!$H$2:$H$181*1000)</f>
        <v/>
      </c>
      <c r="G213" s="28">
        <f>'02a_CSP_Contract_Alloc'!F213</f>
        <v/>
      </c>
      <c r="H213" s="6">
        <f>'02a_CSP_Contract_Alloc'!G213</f>
        <v/>
      </c>
      <c r="I213" s="28">
        <f>'02a_CSP_Contract_Alloc'!H213</f>
        <v/>
      </c>
      <c r="J213" s="6">
        <f>'02a_CSP_Contract_Alloc'!I213</f>
        <v/>
      </c>
      <c r="K213" s="28">
        <f>'02a_CSP_Contract_Alloc'!K213</f>
        <v/>
      </c>
      <c r="L213" s="28">
        <f>SUMIFS('02a_CSP_Contract_Alloc'!$K$2:$K$305,'02a_CSP_Contract_Alloc'!$B$2:$B$305,B213,'02a_CSP_Contract_Alloc'!$C$2:$C$305,C213,'02a_CSP_Contract_Alloc'!$D$2:$D$305,D213)</f>
        <v/>
      </c>
      <c r="M213" s="6">
        <f>IF(L213&gt;0,K213/L213,0)</f>
        <v/>
      </c>
      <c r="N213" s="28">
        <f>F213*M213</f>
        <v/>
      </c>
      <c r="O213" s="5">
        <f>'02a_CSP_Contract_Alloc'!L213</f>
        <v/>
      </c>
      <c r="P213" s="5" t="inlineStr">
        <is>
          <t>AI company inference power is normalized across CSPs by CSP total power * AI contract share * inference share.</t>
        </is>
      </c>
    </row>
    <row r="214">
      <c r="A214" s="5">
        <f>'02a_CSP_Contract_Alloc'!A214</f>
        <v/>
      </c>
      <c r="B214" s="5">
        <f>'02a_CSP_Contract_Alloc'!B214</f>
        <v/>
      </c>
      <c r="C214" s="5">
        <f>'02a_CSP_Contract_Alloc'!C214</f>
        <v/>
      </c>
      <c r="D214" s="5">
        <f>'02a_CSP_Contract_Alloc'!D214</f>
        <v/>
      </c>
      <c r="E214" s="5">
        <f>'02a_CSP_Contract_Alloc'!E214</f>
        <v/>
      </c>
      <c r="F214" s="28">
        <f>SUMPRODUCT(('02_Inputs'!$A$2:$A$181=B214)*('02_Inputs'!$B$2:$B$181=C214)*('02_Inputs'!$C$2:$C$181=D214)*'02_Inputs'!$D$2:$D$181*'02_Inputs'!$E$2:$E$181/'02_Inputs'!$F$2:$F$181*'02_Inputs'!$G$2:$G$181*'02_Inputs'!$H$2:$H$181*1000)</f>
        <v/>
      </c>
      <c r="G214" s="28">
        <f>'02a_CSP_Contract_Alloc'!F214</f>
        <v/>
      </c>
      <c r="H214" s="6">
        <f>'02a_CSP_Contract_Alloc'!G214</f>
        <v/>
      </c>
      <c r="I214" s="28">
        <f>'02a_CSP_Contract_Alloc'!H214</f>
        <v/>
      </c>
      <c r="J214" s="6">
        <f>'02a_CSP_Contract_Alloc'!I214</f>
        <v/>
      </c>
      <c r="K214" s="28">
        <f>'02a_CSP_Contract_Alloc'!K214</f>
        <v/>
      </c>
      <c r="L214" s="28">
        <f>SUMIFS('02a_CSP_Contract_Alloc'!$K$2:$K$305,'02a_CSP_Contract_Alloc'!$B$2:$B$305,B214,'02a_CSP_Contract_Alloc'!$C$2:$C$305,C214,'02a_CSP_Contract_Alloc'!$D$2:$D$305,D214)</f>
        <v/>
      </c>
      <c r="M214" s="6">
        <f>IF(L214&gt;0,K214/L214,0)</f>
        <v/>
      </c>
      <c r="N214" s="28">
        <f>F214*M214</f>
        <v/>
      </c>
      <c r="O214" s="5">
        <f>'02a_CSP_Contract_Alloc'!L214</f>
        <v/>
      </c>
      <c r="P214" s="5" t="inlineStr">
        <is>
          <t>AI company inference power is normalized across CSPs by CSP total power * AI contract share * inference share.</t>
        </is>
      </c>
    </row>
    <row r="215">
      <c r="A215" s="5">
        <f>'02a_CSP_Contract_Alloc'!A215</f>
        <v/>
      </c>
      <c r="B215" s="5">
        <f>'02a_CSP_Contract_Alloc'!B215</f>
        <v/>
      </c>
      <c r="C215" s="5">
        <f>'02a_CSP_Contract_Alloc'!C215</f>
        <v/>
      </c>
      <c r="D215" s="5">
        <f>'02a_CSP_Contract_Alloc'!D215</f>
        <v/>
      </c>
      <c r="E215" s="5">
        <f>'02a_CSP_Contract_Alloc'!E215</f>
        <v/>
      </c>
      <c r="F215" s="28">
        <f>SUMPRODUCT(('02_Inputs'!$A$2:$A$181=B215)*('02_Inputs'!$B$2:$B$181=C215)*('02_Inputs'!$C$2:$C$181=D215)*'02_Inputs'!$D$2:$D$181*'02_Inputs'!$E$2:$E$181/'02_Inputs'!$F$2:$F$181*'02_Inputs'!$G$2:$G$181*'02_Inputs'!$H$2:$H$181*1000)</f>
        <v/>
      </c>
      <c r="G215" s="28">
        <f>'02a_CSP_Contract_Alloc'!F215</f>
        <v/>
      </c>
      <c r="H215" s="6">
        <f>'02a_CSP_Contract_Alloc'!G215</f>
        <v/>
      </c>
      <c r="I215" s="28">
        <f>'02a_CSP_Contract_Alloc'!H215</f>
        <v/>
      </c>
      <c r="J215" s="6">
        <f>'02a_CSP_Contract_Alloc'!I215</f>
        <v/>
      </c>
      <c r="K215" s="28">
        <f>'02a_CSP_Contract_Alloc'!K215</f>
        <v/>
      </c>
      <c r="L215" s="28">
        <f>SUMIFS('02a_CSP_Contract_Alloc'!$K$2:$K$305,'02a_CSP_Contract_Alloc'!$B$2:$B$305,B215,'02a_CSP_Contract_Alloc'!$C$2:$C$305,C215,'02a_CSP_Contract_Alloc'!$D$2:$D$305,D215)</f>
        <v/>
      </c>
      <c r="M215" s="6">
        <f>IF(L215&gt;0,K215/L215,0)</f>
        <v/>
      </c>
      <c r="N215" s="28">
        <f>F215*M215</f>
        <v/>
      </c>
      <c r="O215" s="5">
        <f>'02a_CSP_Contract_Alloc'!L215</f>
        <v/>
      </c>
      <c r="P215" s="5" t="inlineStr">
        <is>
          <t>AI company inference power is normalized across CSPs by CSP total power * AI contract share * inference share.</t>
        </is>
      </c>
    </row>
    <row r="216">
      <c r="A216" s="5">
        <f>'02a_CSP_Contract_Alloc'!A216</f>
        <v/>
      </c>
      <c r="B216" s="5">
        <f>'02a_CSP_Contract_Alloc'!B216</f>
        <v/>
      </c>
      <c r="C216" s="5">
        <f>'02a_CSP_Contract_Alloc'!C216</f>
        <v/>
      </c>
      <c r="D216" s="5">
        <f>'02a_CSP_Contract_Alloc'!D216</f>
        <v/>
      </c>
      <c r="E216" s="5">
        <f>'02a_CSP_Contract_Alloc'!E216</f>
        <v/>
      </c>
      <c r="F216" s="28">
        <f>SUMPRODUCT(('02_Inputs'!$A$2:$A$181=B216)*('02_Inputs'!$B$2:$B$181=C216)*('02_Inputs'!$C$2:$C$181=D216)*'02_Inputs'!$D$2:$D$181*'02_Inputs'!$E$2:$E$181/'02_Inputs'!$F$2:$F$181*'02_Inputs'!$G$2:$G$181*'02_Inputs'!$H$2:$H$181*1000)</f>
        <v/>
      </c>
      <c r="G216" s="28">
        <f>'02a_CSP_Contract_Alloc'!F216</f>
        <v/>
      </c>
      <c r="H216" s="6">
        <f>'02a_CSP_Contract_Alloc'!G216</f>
        <v/>
      </c>
      <c r="I216" s="28">
        <f>'02a_CSP_Contract_Alloc'!H216</f>
        <v/>
      </c>
      <c r="J216" s="6">
        <f>'02a_CSP_Contract_Alloc'!I216</f>
        <v/>
      </c>
      <c r="K216" s="28">
        <f>'02a_CSP_Contract_Alloc'!K216</f>
        <v/>
      </c>
      <c r="L216" s="28">
        <f>SUMIFS('02a_CSP_Contract_Alloc'!$K$2:$K$305,'02a_CSP_Contract_Alloc'!$B$2:$B$305,B216,'02a_CSP_Contract_Alloc'!$C$2:$C$305,C216,'02a_CSP_Contract_Alloc'!$D$2:$D$305,D216)</f>
        <v/>
      </c>
      <c r="M216" s="6">
        <f>IF(L216&gt;0,K216/L216,0)</f>
        <v/>
      </c>
      <c r="N216" s="28">
        <f>F216*M216</f>
        <v/>
      </c>
      <c r="O216" s="5">
        <f>'02a_CSP_Contract_Alloc'!L216</f>
        <v/>
      </c>
      <c r="P216" s="5" t="inlineStr">
        <is>
          <t>AI company inference power is normalized across CSPs by CSP total power * AI contract share * inference share.</t>
        </is>
      </c>
    </row>
    <row r="217">
      <c r="A217" s="5">
        <f>'02a_CSP_Contract_Alloc'!A217</f>
        <v/>
      </c>
      <c r="B217" s="5">
        <f>'02a_CSP_Contract_Alloc'!B217</f>
        <v/>
      </c>
      <c r="C217" s="5">
        <f>'02a_CSP_Contract_Alloc'!C217</f>
        <v/>
      </c>
      <c r="D217" s="5">
        <f>'02a_CSP_Contract_Alloc'!D217</f>
        <v/>
      </c>
      <c r="E217" s="5">
        <f>'02a_CSP_Contract_Alloc'!E217</f>
        <v/>
      </c>
      <c r="F217" s="28">
        <f>SUMPRODUCT(('02_Inputs'!$A$2:$A$181=B217)*('02_Inputs'!$B$2:$B$181=C217)*('02_Inputs'!$C$2:$C$181=D217)*'02_Inputs'!$D$2:$D$181*'02_Inputs'!$E$2:$E$181/'02_Inputs'!$F$2:$F$181*'02_Inputs'!$G$2:$G$181*'02_Inputs'!$H$2:$H$181*1000)</f>
        <v/>
      </c>
      <c r="G217" s="28">
        <f>'02a_CSP_Contract_Alloc'!F217</f>
        <v/>
      </c>
      <c r="H217" s="6">
        <f>'02a_CSP_Contract_Alloc'!G217</f>
        <v/>
      </c>
      <c r="I217" s="28">
        <f>'02a_CSP_Contract_Alloc'!H217</f>
        <v/>
      </c>
      <c r="J217" s="6">
        <f>'02a_CSP_Contract_Alloc'!I217</f>
        <v/>
      </c>
      <c r="K217" s="28">
        <f>'02a_CSP_Contract_Alloc'!K217</f>
        <v/>
      </c>
      <c r="L217" s="28">
        <f>SUMIFS('02a_CSP_Contract_Alloc'!$K$2:$K$305,'02a_CSP_Contract_Alloc'!$B$2:$B$305,B217,'02a_CSP_Contract_Alloc'!$C$2:$C$305,C217,'02a_CSP_Contract_Alloc'!$D$2:$D$305,D217)</f>
        <v/>
      </c>
      <c r="M217" s="6">
        <f>IF(L217&gt;0,K217/L217,0)</f>
        <v/>
      </c>
      <c r="N217" s="28">
        <f>F217*M217</f>
        <v/>
      </c>
      <c r="O217" s="5">
        <f>'02a_CSP_Contract_Alloc'!L217</f>
        <v/>
      </c>
      <c r="P217" s="5" t="inlineStr">
        <is>
          <t>AI company inference power is normalized across CSPs by CSP total power * AI contract share * inference share.</t>
        </is>
      </c>
    </row>
    <row r="218">
      <c r="A218" s="5">
        <f>'02a_CSP_Contract_Alloc'!A218</f>
        <v/>
      </c>
      <c r="B218" s="5">
        <f>'02a_CSP_Contract_Alloc'!B218</f>
        <v/>
      </c>
      <c r="C218" s="5">
        <f>'02a_CSP_Contract_Alloc'!C218</f>
        <v/>
      </c>
      <c r="D218" s="5">
        <f>'02a_CSP_Contract_Alloc'!D218</f>
        <v/>
      </c>
      <c r="E218" s="5">
        <f>'02a_CSP_Contract_Alloc'!E218</f>
        <v/>
      </c>
      <c r="F218" s="28">
        <f>SUMPRODUCT(('02_Inputs'!$A$2:$A$181=B218)*('02_Inputs'!$B$2:$B$181=C218)*('02_Inputs'!$C$2:$C$181=D218)*'02_Inputs'!$D$2:$D$181*'02_Inputs'!$E$2:$E$181/'02_Inputs'!$F$2:$F$181*'02_Inputs'!$G$2:$G$181*'02_Inputs'!$H$2:$H$181*1000)</f>
        <v/>
      </c>
      <c r="G218" s="28">
        <f>'02a_CSP_Contract_Alloc'!F218</f>
        <v/>
      </c>
      <c r="H218" s="6">
        <f>'02a_CSP_Contract_Alloc'!G218</f>
        <v/>
      </c>
      <c r="I218" s="28">
        <f>'02a_CSP_Contract_Alloc'!H218</f>
        <v/>
      </c>
      <c r="J218" s="6">
        <f>'02a_CSP_Contract_Alloc'!I218</f>
        <v/>
      </c>
      <c r="K218" s="28">
        <f>'02a_CSP_Contract_Alloc'!K218</f>
        <v/>
      </c>
      <c r="L218" s="28">
        <f>SUMIFS('02a_CSP_Contract_Alloc'!$K$2:$K$305,'02a_CSP_Contract_Alloc'!$B$2:$B$305,B218,'02a_CSP_Contract_Alloc'!$C$2:$C$305,C218,'02a_CSP_Contract_Alloc'!$D$2:$D$305,D218)</f>
        <v/>
      </c>
      <c r="M218" s="6">
        <f>IF(L218&gt;0,K218/L218,0)</f>
        <v/>
      </c>
      <c r="N218" s="28">
        <f>F218*M218</f>
        <v/>
      </c>
      <c r="O218" s="5">
        <f>'02a_CSP_Contract_Alloc'!L218</f>
        <v/>
      </c>
      <c r="P218" s="5" t="inlineStr">
        <is>
          <t>AI company inference power is normalized across CSPs by CSP total power * AI contract share * inference share.</t>
        </is>
      </c>
    </row>
    <row r="219">
      <c r="A219" s="5">
        <f>'02a_CSP_Contract_Alloc'!A219</f>
        <v/>
      </c>
      <c r="B219" s="5">
        <f>'02a_CSP_Contract_Alloc'!B219</f>
        <v/>
      </c>
      <c r="C219" s="5">
        <f>'02a_CSP_Contract_Alloc'!C219</f>
        <v/>
      </c>
      <c r="D219" s="5">
        <f>'02a_CSP_Contract_Alloc'!D219</f>
        <v/>
      </c>
      <c r="E219" s="5">
        <f>'02a_CSP_Contract_Alloc'!E219</f>
        <v/>
      </c>
      <c r="F219" s="28">
        <f>SUMPRODUCT(('02_Inputs'!$A$2:$A$181=B219)*('02_Inputs'!$B$2:$B$181=C219)*('02_Inputs'!$C$2:$C$181=D219)*'02_Inputs'!$D$2:$D$181*'02_Inputs'!$E$2:$E$181/'02_Inputs'!$F$2:$F$181*'02_Inputs'!$G$2:$G$181*'02_Inputs'!$H$2:$H$181*1000)</f>
        <v/>
      </c>
      <c r="G219" s="28">
        <f>'02a_CSP_Contract_Alloc'!F219</f>
        <v/>
      </c>
      <c r="H219" s="6">
        <f>'02a_CSP_Contract_Alloc'!G219</f>
        <v/>
      </c>
      <c r="I219" s="28">
        <f>'02a_CSP_Contract_Alloc'!H219</f>
        <v/>
      </c>
      <c r="J219" s="6">
        <f>'02a_CSP_Contract_Alloc'!I219</f>
        <v/>
      </c>
      <c r="K219" s="28">
        <f>'02a_CSP_Contract_Alloc'!K219</f>
        <v/>
      </c>
      <c r="L219" s="28">
        <f>SUMIFS('02a_CSP_Contract_Alloc'!$K$2:$K$305,'02a_CSP_Contract_Alloc'!$B$2:$B$305,B219,'02a_CSP_Contract_Alloc'!$C$2:$C$305,C219,'02a_CSP_Contract_Alloc'!$D$2:$D$305,D219)</f>
        <v/>
      </c>
      <c r="M219" s="6">
        <f>IF(L219&gt;0,K219/L219,0)</f>
        <v/>
      </c>
      <c r="N219" s="28">
        <f>F219*M219</f>
        <v/>
      </c>
      <c r="O219" s="5">
        <f>'02a_CSP_Contract_Alloc'!L219</f>
        <v/>
      </c>
      <c r="P219" s="5" t="inlineStr">
        <is>
          <t>AI company inference power is normalized across CSPs by CSP total power * AI contract share * inference share.</t>
        </is>
      </c>
    </row>
    <row r="220">
      <c r="A220" s="5">
        <f>'02a_CSP_Contract_Alloc'!A220</f>
        <v/>
      </c>
      <c r="B220" s="5">
        <f>'02a_CSP_Contract_Alloc'!B220</f>
        <v/>
      </c>
      <c r="C220" s="5">
        <f>'02a_CSP_Contract_Alloc'!C220</f>
        <v/>
      </c>
      <c r="D220" s="5">
        <f>'02a_CSP_Contract_Alloc'!D220</f>
        <v/>
      </c>
      <c r="E220" s="5">
        <f>'02a_CSP_Contract_Alloc'!E220</f>
        <v/>
      </c>
      <c r="F220" s="28">
        <f>SUMPRODUCT(('02_Inputs'!$A$2:$A$181=B220)*('02_Inputs'!$B$2:$B$181=C220)*('02_Inputs'!$C$2:$C$181=D220)*'02_Inputs'!$D$2:$D$181*'02_Inputs'!$E$2:$E$181/'02_Inputs'!$F$2:$F$181*'02_Inputs'!$G$2:$G$181*'02_Inputs'!$H$2:$H$181*1000)</f>
        <v/>
      </c>
      <c r="G220" s="28">
        <f>'02a_CSP_Contract_Alloc'!F220</f>
        <v/>
      </c>
      <c r="H220" s="6">
        <f>'02a_CSP_Contract_Alloc'!G220</f>
        <v/>
      </c>
      <c r="I220" s="28">
        <f>'02a_CSP_Contract_Alloc'!H220</f>
        <v/>
      </c>
      <c r="J220" s="6">
        <f>'02a_CSP_Contract_Alloc'!I220</f>
        <v/>
      </c>
      <c r="K220" s="28">
        <f>'02a_CSP_Contract_Alloc'!K220</f>
        <v/>
      </c>
      <c r="L220" s="28">
        <f>SUMIFS('02a_CSP_Contract_Alloc'!$K$2:$K$305,'02a_CSP_Contract_Alloc'!$B$2:$B$305,B220,'02a_CSP_Contract_Alloc'!$C$2:$C$305,C220,'02a_CSP_Contract_Alloc'!$D$2:$D$305,D220)</f>
        <v/>
      </c>
      <c r="M220" s="6">
        <f>IF(L220&gt;0,K220/L220,0)</f>
        <v/>
      </c>
      <c r="N220" s="28">
        <f>F220*M220</f>
        <v/>
      </c>
      <c r="O220" s="5">
        <f>'02a_CSP_Contract_Alloc'!L220</f>
        <v/>
      </c>
      <c r="P220" s="5" t="inlineStr">
        <is>
          <t>AI company inference power is normalized across CSPs by CSP total power * AI contract share * inference share.</t>
        </is>
      </c>
    </row>
    <row r="221">
      <c r="A221" s="5">
        <f>'02a_CSP_Contract_Alloc'!A221</f>
        <v/>
      </c>
      <c r="B221" s="5">
        <f>'02a_CSP_Contract_Alloc'!B221</f>
        <v/>
      </c>
      <c r="C221" s="5">
        <f>'02a_CSP_Contract_Alloc'!C221</f>
        <v/>
      </c>
      <c r="D221" s="5">
        <f>'02a_CSP_Contract_Alloc'!D221</f>
        <v/>
      </c>
      <c r="E221" s="5">
        <f>'02a_CSP_Contract_Alloc'!E221</f>
        <v/>
      </c>
      <c r="F221" s="28">
        <f>SUMPRODUCT(('02_Inputs'!$A$2:$A$181=B221)*('02_Inputs'!$B$2:$B$181=C221)*('02_Inputs'!$C$2:$C$181=D221)*'02_Inputs'!$D$2:$D$181*'02_Inputs'!$E$2:$E$181/'02_Inputs'!$F$2:$F$181*'02_Inputs'!$G$2:$G$181*'02_Inputs'!$H$2:$H$181*1000)</f>
        <v/>
      </c>
      <c r="G221" s="28">
        <f>'02a_CSP_Contract_Alloc'!F221</f>
        <v/>
      </c>
      <c r="H221" s="6">
        <f>'02a_CSP_Contract_Alloc'!G221</f>
        <v/>
      </c>
      <c r="I221" s="28">
        <f>'02a_CSP_Contract_Alloc'!H221</f>
        <v/>
      </c>
      <c r="J221" s="6">
        <f>'02a_CSP_Contract_Alloc'!I221</f>
        <v/>
      </c>
      <c r="K221" s="28">
        <f>'02a_CSP_Contract_Alloc'!K221</f>
        <v/>
      </c>
      <c r="L221" s="28">
        <f>SUMIFS('02a_CSP_Contract_Alloc'!$K$2:$K$305,'02a_CSP_Contract_Alloc'!$B$2:$B$305,B221,'02a_CSP_Contract_Alloc'!$C$2:$C$305,C221,'02a_CSP_Contract_Alloc'!$D$2:$D$305,D221)</f>
        <v/>
      </c>
      <c r="M221" s="6">
        <f>IF(L221&gt;0,K221/L221,0)</f>
        <v/>
      </c>
      <c r="N221" s="28">
        <f>F221*M221</f>
        <v/>
      </c>
      <c r="O221" s="5">
        <f>'02a_CSP_Contract_Alloc'!L221</f>
        <v/>
      </c>
      <c r="P221" s="5" t="inlineStr">
        <is>
          <t>AI company inference power is normalized across CSPs by CSP total power * AI contract share * inference share.</t>
        </is>
      </c>
    </row>
    <row r="222">
      <c r="A222" s="5">
        <f>'02a_CSP_Contract_Alloc'!A222</f>
        <v/>
      </c>
      <c r="B222" s="5">
        <f>'02a_CSP_Contract_Alloc'!B222</f>
        <v/>
      </c>
      <c r="C222" s="5">
        <f>'02a_CSP_Contract_Alloc'!C222</f>
        <v/>
      </c>
      <c r="D222" s="5">
        <f>'02a_CSP_Contract_Alloc'!D222</f>
        <v/>
      </c>
      <c r="E222" s="5">
        <f>'02a_CSP_Contract_Alloc'!E222</f>
        <v/>
      </c>
      <c r="F222" s="28">
        <f>SUMPRODUCT(('02_Inputs'!$A$2:$A$181=B222)*('02_Inputs'!$B$2:$B$181=C222)*('02_Inputs'!$C$2:$C$181=D222)*'02_Inputs'!$D$2:$D$181*'02_Inputs'!$E$2:$E$181/'02_Inputs'!$F$2:$F$181*'02_Inputs'!$G$2:$G$181*'02_Inputs'!$H$2:$H$181*1000)</f>
        <v/>
      </c>
      <c r="G222" s="28">
        <f>'02a_CSP_Contract_Alloc'!F222</f>
        <v/>
      </c>
      <c r="H222" s="6">
        <f>'02a_CSP_Contract_Alloc'!G222</f>
        <v/>
      </c>
      <c r="I222" s="28">
        <f>'02a_CSP_Contract_Alloc'!H222</f>
        <v/>
      </c>
      <c r="J222" s="6">
        <f>'02a_CSP_Contract_Alloc'!I222</f>
        <v/>
      </c>
      <c r="K222" s="28">
        <f>'02a_CSP_Contract_Alloc'!K222</f>
        <v/>
      </c>
      <c r="L222" s="28">
        <f>SUMIFS('02a_CSP_Contract_Alloc'!$K$2:$K$305,'02a_CSP_Contract_Alloc'!$B$2:$B$305,B222,'02a_CSP_Contract_Alloc'!$C$2:$C$305,C222,'02a_CSP_Contract_Alloc'!$D$2:$D$305,D222)</f>
        <v/>
      </c>
      <c r="M222" s="6">
        <f>IF(L222&gt;0,K222/L222,0)</f>
        <v/>
      </c>
      <c r="N222" s="28">
        <f>F222*M222</f>
        <v/>
      </c>
      <c r="O222" s="5">
        <f>'02a_CSP_Contract_Alloc'!L222</f>
        <v/>
      </c>
      <c r="P222" s="5" t="inlineStr">
        <is>
          <t>AI company inference power is normalized across CSPs by CSP total power * AI contract share * inference share.</t>
        </is>
      </c>
    </row>
    <row r="223">
      <c r="A223" s="5">
        <f>'02a_CSP_Contract_Alloc'!A223</f>
        <v/>
      </c>
      <c r="B223" s="5">
        <f>'02a_CSP_Contract_Alloc'!B223</f>
        <v/>
      </c>
      <c r="C223" s="5">
        <f>'02a_CSP_Contract_Alloc'!C223</f>
        <v/>
      </c>
      <c r="D223" s="5">
        <f>'02a_CSP_Contract_Alloc'!D223</f>
        <v/>
      </c>
      <c r="E223" s="5">
        <f>'02a_CSP_Contract_Alloc'!E223</f>
        <v/>
      </c>
      <c r="F223" s="28">
        <f>SUMPRODUCT(('02_Inputs'!$A$2:$A$181=B223)*('02_Inputs'!$B$2:$B$181=C223)*('02_Inputs'!$C$2:$C$181=D223)*'02_Inputs'!$D$2:$D$181*'02_Inputs'!$E$2:$E$181/'02_Inputs'!$F$2:$F$181*'02_Inputs'!$G$2:$G$181*'02_Inputs'!$H$2:$H$181*1000)</f>
        <v/>
      </c>
      <c r="G223" s="28">
        <f>'02a_CSP_Contract_Alloc'!F223</f>
        <v/>
      </c>
      <c r="H223" s="6">
        <f>'02a_CSP_Contract_Alloc'!G223</f>
        <v/>
      </c>
      <c r="I223" s="28">
        <f>'02a_CSP_Contract_Alloc'!H223</f>
        <v/>
      </c>
      <c r="J223" s="6">
        <f>'02a_CSP_Contract_Alloc'!I223</f>
        <v/>
      </c>
      <c r="K223" s="28">
        <f>'02a_CSP_Contract_Alloc'!K223</f>
        <v/>
      </c>
      <c r="L223" s="28">
        <f>SUMIFS('02a_CSP_Contract_Alloc'!$K$2:$K$305,'02a_CSP_Contract_Alloc'!$B$2:$B$305,B223,'02a_CSP_Contract_Alloc'!$C$2:$C$305,C223,'02a_CSP_Contract_Alloc'!$D$2:$D$305,D223)</f>
        <v/>
      </c>
      <c r="M223" s="6">
        <f>IF(L223&gt;0,K223/L223,0)</f>
        <v/>
      </c>
      <c r="N223" s="28">
        <f>F223*M223</f>
        <v/>
      </c>
      <c r="O223" s="5">
        <f>'02a_CSP_Contract_Alloc'!L223</f>
        <v/>
      </c>
      <c r="P223" s="5" t="inlineStr">
        <is>
          <t>AI company inference power is normalized across CSPs by CSP total power * AI contract share * inference share.</t>
        </is>
      </c>
    </row>
    <row r="224">
      <c r="A224" s="5">
        <f>'02a_CSP_Contract_Alloc'!A224</f>
        <v/>
      </c>
      <c r="B224" s="5">
        <f>'02a_CSP_Contract_Alloc'!B224</f>
        <v/>
      </c>
      <c r="C224" s="5">
        <f>'02a_CSP_Contract_Alloc'!C224</f>
        <v/>
      </c>
      <c r="D224" s="5">
        <f>'02a_CSP_Contract_Alloc'!D224</f>
        <v/>
      </c>
      <c r="E224" s="5">
        <f>'02a_CSP_Contract_Alloc'!E224</f>
        <v/>
      </c>
      <c r="F224" s="28">
        <f>SUMPRODUCT(('02_Inputs'!$A$2:$A$181=B224)*('02_Inputs'!$B$2:$B$181=C224)*('02_Inputs'!$C$2:$C$181=D224)*'02_Inputs'!$D$2:$D$181*'02_Inputs'!$E$2:$E$181/'02_Inputs'!$F$2:$F$181*'02_Inputs'!$G$2:$G$181*'02_Inputs'!$H$2:$H$181*1000)</f>
        <v/>
      </c>
      <c r="G224" s="28">
        <f>'02a_CSP_Contract_Alloc'!F224</f>
        <v/>
      </c>
      <c r="H224" s="6">
        <f>'02a_CSP_Contract_Alloc'!G224</f>
        <v/>
      </c>
      <c r="I224" s="28">
        <f>'02a_CSP_Contract_Alloc'!H224</f>
        <v/>
      </c>
      <c r="J224" s="6">
        <f>'02a_CSP_Contract_Alloc'!I224</f>
        <v/>
      </c>
      <c r="K224" s="28">
        <f>'02a_CSP_Contract_Alloc'!K224</f>
        <v/>
      </c>
      <c r="L224" s="28">
        <f>SUMIFS('02a_CSP_Contract_Alloc'!$K$2:$K$305,'02a_CSP_Contract_Alloc'!$B$2:$B$305,B224,'02a_CSP_Contract_Alloc'!$C$2:$C$305,C224,'02a_CSP_Contract_Alloc'!$D$2:$D$305,D224)</f>
        <v/>
      </c>
      <c r="M224" s="6">
        <f>IF(L224&gt;0,K224/L224,0)</f>
        <v/>
      </c>
      <c r="N224" s="28">
        <f>F224*M224</f>
        <v/>
      </c>
      <c r="O224" s="5">
        <f>'02a_CSP_Contract_Alloc'!L224</f>
        <v/>
      </c>
      <c r="P224" s="5" t="inlineStr">
        <is>
          <t>AI company inference power is normalized across CSPs by CSP total power * AI contract share * inference share.</t>
        </is>
      </c>
    </row>
    <row r="225">
      <c r="A225" s="5">
        <f>'02a_CSP_Contract_Alloc'!A225</f>
        <v/>
      </c>
      <c r="B225" s="5">
        <f>'02a_CSP_Contract_Alloc'!B225</f>
        <v/>
      </c>
      <c r="C225" s="5">
        <f>'02a_CSP_Contract_Alloc'!C225</f>
        <v/>
      </c>
      <c r="D225" s="5">
        <f>'02a_CSP_Contract_Alloc'!D225</f>
        <v/>
      </c>
      <c r="E225" s="5">
        <f>'02a_CSP_Contract_Alloc'!E225</f>
        <v/>
      </c>
      <c r="F225" s="28">
        <f>SUMPRODUCT(('02_Inputs'!$A$2:$A$181=B225)*('02_Inputs'!$B$2:$B$181=C225)*('02_Inputs'!$C$2:$C$181=D225)*'02_Inputs'!$D$2:$D$181*'02_Inputs'!$E$2:$E$181/'02_Inputs'!$F$2:$F$181*'02_Inputs'!$G$2:$G$181*'02_Inputs'!$H$2:$H$181*1000)</f>
        <v/>
      </c>
      <c r="G225" s="28">
        <f>'02a_CSP_Contract_Alloc'!F225</f>
        <v/>
      </c>
      <c r="H225" s="6">
        <f>'02a_CSP_Contract_Alloc'!G225</f>
        <v/>
      </c>
      <c r="I225" s="28">
        <f>'02a_CSP_Contract_Alloc'!H225</f>
        <v/>
      </c>
      <c r="J225" s="6">
        <f>'02a_CSP_Contract_Alloc'!I225</f>
        <v/>
      </c>
      <c r="K225" s="28">
        <f>'02a_CSP_Contract_Alloc'!K225</f>
        <v/>
      </c>
      <c r="L225" s="28">
        <f>SUMIFS('02a_CSP_Contract_Alloc'!$K$2:$K$305,'02a_CSP_Contract_Alloc'!$B$2:$B$305,B225,'02a_CSP_Contract_Alloc'!$C$2:$C$305,C225,'02a_CSP_Contract_Alloc'!$D$2:$D$305,D225)</f>
        <v/>
      </c>
      <c r="M225" s="6">
        <f>IF(L225&gt;0,K225/L225,0)</f>
        <v/>
      </c>
      <c r="N225" s="28">
        <f>F225*M225</f>
        <v/>
      </c>
      <c r="O225" s="5">
        <f>'02a_CSP_Contract_Alloc'!L225</f>
        <v/>
      </c>
      <c r="P225" s="5" t="inlineStr">
        <is>
          <t>AI company inference power is normalized across CSPs by CSP total power * AI contract share * inference share.</t>
        </is>
      </c>
    </row>
    <row r="226">
      <c r="A226" s="5">
        <f>'02a_CSP_Contract_Alloc'!A226</f>
        <v/>
      </c>
      <c r="B226" s="5">
        <f>'02a_CSP_Contract_Alloc'!B226</f>
        <v/>
      </c>
      <c r="C226" s="5">
        <f>'02a_CSP_Contract_Alloc'!C226</f>
        <v/>
      </c>
      <c r="D226" s="5">
        <f>'02a_CSP_Contract_Alloc'!D226</f>
        <v/>
      </c>
      <c r="E226" s="5">
        <f>'02a_CSP_Contract_Alloc'!E226</f>
        <v/>
      </c>
      <c r="F226" s="28">
        <f>SUMPRODUCT(('02_Inputs'!$A$2:$A$181=B226)*('02_Inputs'!$B$2:$B$181=C226)*('02_Inputs'!$C$2:$C$181=D226)*'02_Inputs'!$D$2:$D$181*'02_Inputs'!$E$2:$E$181/'02_Inputs'!$F$2:$F$181*'02_Inputs'!$G$2:$G$181*'02_Inputs'!$H$2:$H$181*1000)</f>
        <v/>
      </c>
      <c r="G226" s="28">
        <f>'02a_CSP_Contract_Alloc'!F226</f>
        <v/>
      </c>
      <c r="H226" s="6">
        <f>'02a_CSP_Contract_Alloc'!G226</f>
        <v/>
      </c>
      <c r="I226" s="28">
        <f>'02a_CSP_Contract_Alloc'!H226</f>
        <v/>
      </c>
      <c r="J226" s="6">
        <f>'02a_CSP_Contract_Alloc'!I226</f>
        <v/>
      </c>
      <c r="K226" s="28">
        <f>'02a_CSP_Contract_Alloc'!K226</f>
        <v/>
      </c>
      <c r="L226" s="28">
        <f>SUMIFS('02a_CSP_Contract_Alloc'!$K$2:$K$305,'02a_CSP_Contract_Alloc'!$B$2:$B$305,B226,'02a_CSP_Contract_Alloc'!$C$2:$C$305,C226,'02a_CSP_Contract_Alloc'!$D$2:$D$305,D226)</f>
        <v/>
      </c>
      <c r="M226" s="6">
        <f>IF(L226&gt;0,K226/L226,0)</f>
        <v/>
      </c>
      <c r="N226" s="28">
        <f>F226*M226</f>
        <v/>
      </c>
      <c r="O226" s="5">
        <f>'02a_CSP_Contract_Alloc'!L226</f>
        <v/>
      </c>
      <c r="P226" s="5" t="inlineStr">
        <is>
          <t>AI company inference power is normalized across CSPs by CSP total power * AI contract share * inference share.</t>
        </is>
      </c>
    </row>
    <row r="227">
      <c r="A227" s="5">
        <f>'02a_CSP_Contract_Alloc'!A227</f>
        <v/>
      </c>
      <c r="B227" s="5">
        <f>'02a_CSP_Contract_Alloc'!B227</f>
        <v/>
      </c>
      <c r="C227" s="5">
        <f>'02a_CSP_Contract_Alloc'!C227</f>
        <v/>
      </c>
      <c r="D227" s="5">
        <f>'02a_CSP_Contract_Alloc'!D227</f>
        <v/>
      </c>
      <c r="E227" s="5">
        <f>'02a_CSP_Contract_Alloc'!E227</f>
        <v/>
      </c>
      <c r="F227" s="28">
        <f>SUMPRODUCT(('02_Inputs'!$A$2:$A$181=B227)*('02_Inputs'!$B$2:$B$181=C227)*('02_Inputs'!$C$2:$C$181=D227)*'02_Inputs'!$D$2:$D$181*'02_Inputs'!$E$2:$E$181/'02_Inputs'!$F$2:$F$181*'02_Inputs'!$G$2:$G$181*'02_Inputs'!$H$2:$H$181*1000)</f>
        <v/>
      </c>
      <c r="G227" s="28">
        <f>'02a_CSP_Contract_Alloc'!F227</f>
        <v/>
      </c>
      <c r="H227" s="6">
        <f>'02a_CSP_Contract_Alloc'!G227</f>
        <v/>
      </c>
      <c r="I227" s="28">
        <f>'02a_CSP_Contract_Alloc'!H227</f>
        <v/>
      </c>
      <c r="J227" s="6">
        <f>'02a_CSP_Contract_Alloc'!I227</f>
        <v/>
      </c>
      <c r="K227" s="28">
        <f>'02a_CSP_Contract_Alloc'!K227</f>
        <v/>
      </c>
      <c r="L227" s="28">
        <f>SUMIFS('02a_CSP_Contract_Alloc'!$K$2:$K$305,'02a_CSP_Contract_Alloc'!$B$2:$B$305,B227,'02a_CSP_Contract_Alloc'!$C$2:$C$305,C227,'02a_CSP_Contract_Alloc'!$D$2:$D$305,D227)</f>
        <v/>
      </c>
      <c r="M227" s="6">
        <f>IF(L227&gt;0,K227/L227,0)</f>
        <v/>
      </c>
      <c r="N227" s="28">
        <f>F227*M227</f>
        <v/>
      </c>
      <c r="O227" s="5">
        <f>'02a_CSP_Contract_Alloc'!L227</f>
        <v/>
      </c>
      <c r="P227" s="5" t="inlineStr">
        <is>
          <t>AI company inference power is normalized across CSPs by CSP total power * AI contract share * inference share.</t>
        </is>
      </c>
    </row>
    <row r="228">
      <c r="A228" s="5">
        <f>'02a_CSP_Contract_Alloc'!A228</f>
        <v/>
      </c>
      <c r="B228" s="5">
        <f>'02a_CSP_Contract_Alloc'!B228</f>
        <v/>
      </c>
      <c r="C228" s="5">
        <f>'02a_CSP_Contract_Alloc'!C228</f>
        <v/>
      </c>
      <c r="D228" s="5">
        <f>'02a_CSP_Contract_Alloc'!D228</f>
        <v/>
      </c>
      <c r="E228" s="5">
        <f>'02a_CSP_Contract_Alloc'!E228</f>
        <v/>
      </c>
      <c r="F228" s="28">
        <f>SUMPRODUCT(('02_Inputs'!$A$2:$A$181=B228)*('02_Inputs'!$B$2:$B$181=C228)*('02_Inputs'!$C$2:$C$181=D228)*'02_Inputs'!$D$2:$D$181*'02_Inputs'!$E$2:$E$181/'02_Inputs'!$F$2:$F$181*'02_Inputs'!$G$2:$G$181*'02_Inputs'!$H$2:$H$181*1000)</f>
        <v/>
      </c>
      <c r="G228" s="28">
        <f>'02a_CSP_Contract_Alloc'!F228</f>
        <v/>
      </c>
      <c r="H228" s="6">
        <f>'02a_CSP_Contract_Alloc'!G228</f>
        <v/>
      </c>
      <c r="I228" s="28">
        <f>'02a_CSP_Contract_Alloc'!H228</f>
        <v/>
      </c>
      <c r="J228" s="6">
        <f>'02a_CSP_Contract_Alloc'!I228</f>
        <v/>
      </c>
      <c r="K228" s="28">
        <f>'02a_CSP_Contract_Alloc'!K228</f>
        <v/>
      </c>
      <c r="L228" s="28">
        <f>SUMIFS('02a_CSP_Contract_Alloc'!$K$2:$K$305,'02a_CSP_Contract_Alloc'!$B$2:$B$305,B228,'02a_CSP_Contract_Alloc'!$C$2:$C$305,C228,'02a_CSP_Contract_Alloc'!$D$2:$D$305,D228)</f>
        <v/>
      </c>
      <c r="M228" s="6">
        <f>IF(L228&gt;0,K228/L228,0)</f>
        <v/>
      </c>
      <c r="N228" s="28">
        <f>F228*M228</f>
        <v/>
      </c>
      <c r="O228" s="5">
        <f>'02a_CSP_Contract_Alloc'!L228</f>
        <v/>
      </c>
      <c r="P228" s="5" t="inlineStr">
        <is>
          <t>AI company inference power is normalized across CSPs by CSP total power * AI contract share * inference share.</t>
        </is>
      </c>
    </row>
    <row r="229">
      <c r="A229" s="5">
        <f>'02a_CSP_Contract_Alloc'!A229</f>
        <v/>
      </c>
      <c r="B229" s="5">
        <f>'02a_CSP_Contract_Alloc'!B229</f>
        <v/>
      </c>
      <c r="C229" s="5">
        <f>'02a_CSP_Contract_Alloc'!C229</f>
        <v/>
      </c>
      <c r="D229" s="5">
        <f>'02a_CSP_Contract_Alloc'!D229</f>
        <v/>
      </c>
      <c r="E229" s="5">
        <f>'02a_CSP_Contract_Alloc'!E229</f>
        <v/>
      </c>
      <c r="F229" s="28">
        <f>SUMPRODUCT(('02_Inputs'!$A$2:$A$181=B229)*('02_Inputs'!$B$2:$B$181=C229)*('02_Inputs'!$C$2:$C$181=D229)*'02_Inputs'!$D$2:$D$181*'02_Inputs'!$E$2:$E$181/'02_Inputs'!$F$2:$F$181*'02_Inputs'!$G$2:$G$181*'02_Inputs'!$H$2:$H$181*1000)</f>
        <v/>
      </c>
      <c r="G229" s="28">
        <f>'02a_CSP_Contract_Alloc'!F229</f>
        <v/>
      </c>
      <c r="H229" s="6">
        <f>'02a_CSP_Contract_Alloc'!G229</f>
        <v/>
      </c>
      <c r="I229" s="28">
        <f>'02a_CSP_Contract_Alloc'!H229</f>
        <v/>
      </c>
      <c r="J229" s="6">
        <f>'02a_CSP_Contract_Alloc'!I229</f>
        <v/>
      </c>
      <c r="K229" s="28">
        <f>'02a_CSP_Contract_Alloc'!K229</f>
        <v/>
      </c>
      <c r="L229" s="28">
        <f>SUMIFS('02a_CSP_Contract_Alloc'!$K$2:$K$305,'02a_CSP_Contract_Alloc'!$B$2:$B$305,B229,'02a_CSP_Contract_Alloc'!$C$2:$C$305,C229,'02a_CSP_Contract_Alloc'!$D$2:$D$305,D229)</f>
        <v/>
      </c>
      <c r="M229" s="6">
        <f>IF(L229&gt;0,K229/L229,0)</f>
        <v/>
      </c>
      <c r="N229" s="28">
        <f>F229*M229</f>
        <v/>
      </c>
      <c r="O229" s="5">
        <f>'02a_CSP_Contract_Alloc'!L229</f>
        <v/>
      </c>
      <c r="P229" s="5" t="inlineStr">
        <is>
          <t>AI company inference power is normalized across CSPs by CSP total power * AI contract share * inference share.</t>
        </is>
      </c>
    </row>
    <row r="230">
      <c r="A230" s="5">
        <f>'02a_CSP_Contract_Alloc'!A230</f>
        <v/>
      </c>
      <c r="B230" s="5">
        <f>'02a_CSP_Contract_Alloc'!B230</f>
        <v/>
      </c>
      <c r="C230" s="5">
        <f>'02a_CSP_Contract_Alloc'!C230</f>
        <v/>
      </c>
      <c r="D230" s="5">
        <f>'02a_CSP_Contract_Alloc'!D230</f>
        <v/>
      </c>
      <c r="E230" s="5">
        <f>'02a_CSP_Contract_Alloc'!E230</f>
        <v/>
      </c>
      <c r="F230" s="28">
        <f>SUMPRODUCT(('02_Inputs'!$A$2:$A$181=B230)*('02_Inputs'!$B$2:$B$181=C230)*('02_Inputs'!$C$2:$C$181=D230)*'02_Inputs'!$D$2:$D$181*'02_Inputs'!$E$2:$E$181/'02_Inputs'!$F$2:$F$181*'02_Inputs'!$G$2:$G$181*'02_Inputs'!$H$2:$H$181*1000)</f>
        <v/>
      </c>
      <c r="G230" s="28">
        <f>'02a_CSP_Contract_Alloc'!F230</f>
        <v/>
      </c>
      <c r="H230" s="6">
        <f>'02a_CSP_Contract_Alloc'!G230</f>
        <v/>
      </c>
      <c r="I230" s="28">
        <f>'02a_CSP_Contract_Alloc'!H230</f>
        <v/>
      </c>
      <c r="J230" s="6">
        <f>'02a_CSP_Contract_Alloc'!I230</f>
        <v/>
      </c>
      <c r="K230" s="28">
        <f>'02a_CSP_Contract_Alloc'!K230</f>
        <v/>
      </c>
      <c r="L230" s="28">
        <f>SUMIFS('02a_CSP_Contract_Alloc'!$K$2:$K$305,'02a_CSP_Contract_Alloc'!$B$2:$B$305,B230,'02a_CSP_Contract_Alloc'!$C$2:$C$305,C230,'02a_CSP_Contract_Alloc'!$D$2:$D$305,D230)</f>
        <v/>
      </c>
      <c r="M230" s="6">
        <f>IF(L230&gt;0,K230/L230,0)</f>
        <v/>
      </c>
      <c r="N230" s="28">
        <f>F230*M230</f>
        <v/>
      </c>
      <c r="O230" s="5">
        <f>'02a_CSP_Contract_Alloc'!L230</f>
        <v/>
      </c>
      <c r="P230" s="5" t="inlineStr">
        <is>
          <t>AI company inference power is normalized across CSPs by CSP total power * AI contract share * inference share.</t>
        </is>
      </c>
    </row>
    <row r="231">
      <c r="A231" s="5">
        <f>'02a_CSP_Contract_Alloc'!A231</f>
        <v/>
      </c>
      <c r="B231" s="5">
        <f>'02a_CSP_Contract_Alloc'!B231</f>
        <v/>
      </c>
      <c r="C231" s="5">
        <f>'02a_CSP_Contract_Alloc'!C231</f>
        <v/>
      </c>
      <c r="D231" s="5">
        <f>'02a_CSP_Contract_Alloc'!D231</f>
        <v/>
      </c>
      <c r="E231" s="5">
        <f>'02a_CSP_Contract_Alloc'!E231</f>
        <v/>
      </c>
      <c r="F231" s="28">
        <f>SUMPRODUCT(('02_Inputs'!$A$2:$A$181=B231)*('02_Inputs'!$B$2:$B$181=C231)*('02_Inputs'!$C$2:$C$181=D231)*'02_Inputs'!$D$2:$D$181*'02_Inputs'!$E$2:$E$181/'02_Inputs'!$F$2:$F$181*'02_Inputs'!$G$2:$G$181*'02_Inputs'!$H$2:$H$181*1000)</f>
        <v/>
      </c>
      <c r="G231" s="28">
        <f>'02a_CSP_Contract_Alloc'!F231</f>
        <v/>
      </c>
      <c r="H231" s="6">
        <f>'02a_CSP_Contract_Alloc'!G231</f>
        <v/>
      </c>
      <c r="I231" s="28">
        <f>'02a_CSP_Contract_Alloc'!H231</f>
        <v/>
      </c>
      <c r="J231" s="6">
        <f>'02a_CSP_Contract_Alloc'!I231</f>
        <v/>
      </c>
      <c r="K231" s="28">
        <f>'02a_CSP_Contract_Alloc'!K231</f>
        <v/>
      </c>
      <c r="L231" s="28">
        <f>SUMIFS('02a_CSP_Contract_Alloc'!$K$2:$K$305,'02a_CSP_Contract_Alloc'!$B$2:$B$305,B231,'02a_CSP_Contract_Alloc'!$C$2:$C$305,C231,'02a_CSP_Contract_Alloc'!$D$2:$D$305,D231)</f>
        <v/>
      </c>
      <c r="M231" s="6">
        <f>IF(L231&gt;0,K231/L231,0)</f>
        <v/>
      </c>
      <c r="N231" s="28">
        <f>F231*M231</f>
        <v/>
      </c>
      <c r="O231" s="5">
        <f>'02a_CSP_Contract_Alloc'!L231</f>
        <v/>
      </c>
      <c r="P231" s="5" t="inlineStr">
        <is>
          <t>AI company inference power is normalized across CSPs by CSP total power * AI contract share * inference share.</t>
        </is>
      </c>
    </row>
    <row r="232">
      <c r="A232" s="5">
        <f>'02a_CSP_Contract_Alloc'!A232</f>
        <v/>
      </c>
      <c r="B232" s="5">
        <f>'02a_CSP_Contract_Alloc'!B232</f>
        <v/>
      </c>
      <c r="C232" s="5">
        <f>'02a_CSP_Contract_Alloc'!C232</f>
        <v/>
      </c>
      <c r="D232" s="5">
        <f>'02a_CSP_Contract_Alloc'!D232</f>
        <v/>
      </c>
      <c r="E232" s="5">
        <f>'02a_CSP_Contract_Alloc'!E232</f>
        <v/>
      </c>
      <c r="F232" s="28">
        <f>SUMPRODUCT(('02_Inputs'!$A$2:$A$181=B232)*('02_Inputs'!$B$2:$B$181=C232)*('02_Inputs'!$C$2:$C$181=D232)*'02_Inputs'!$D$2:$D$181*'02_Inputs'!$E$2:$E$181/'02_Inputs'!$F$2:$F$181*'02_Inputs'!$G$2:$G$181*'02_Inputs'!$H$2:$H$181*1000)</f>
        <v/>
      </c>
      <c r="G232" s="28">
        <f>'02a_CSP_Contract_Alloc'!F232</f>
        <v/>
      </c>
      <c r="H232" s="6">
        <f>'02a_CSP_Contract_Alloc'!G232</f>
        <v/>
      </c>
      <c r="I232" s="28">
        <f>'02a_CSP_Contract_Alloc'!H232</f>
        <v/>
      </c>
      <c r="J232" s="6">
        <f>'02a_CSP_Contract_Alloc'!I232</f>
        <v/>
      </c>
      <c r="K232" s="28">
        <f>'02a_CSP_Contract_Alloc'!K232</f>
        <v/>
      </c>
      <c r="L232" s="28">
        <f>SUMIFS('02a_CSP_Contract_Alloc'!$K$2:$K$305,'02a_CSP_Contract_Alloc'!$B$2:$B$305,B232,'02a_CSP_Contract_Alloc'!$C$2:$C$305,C232,'02a_CSP_Contract_Alloc'!$D$2:$D$305,D232)</f>
        <v/>
      </c>
      <c r="M232" s="6">
        <f>IF(L232&gt;0,K232/L232,0)</f>
        <v/>
      </c>
      <c r="N232" s="28">
        <f>F232*M232</f>
        <v/>
      </c>
      <c r="O232" s="5">
        <f>'02a_CSP_Contract_Alloc'!L232</f>
        <v/>
      </c>
      <c r="P232" s="5" t="inlineStr">
        <is>
          <t>AI company inference power is normalized across CSPs by CSP total power * AI contract share * inference share.</t>
        </is>
      </c>
    </row>
    <row r="233">
      <c r="A233" s="5">
        <f>'02a_CSP_Contract_Alloc'!A233</f>
        <v/>
      </c>
      <c r="B233" s="5">
        <f>'02a_CSP_Contract_Alloc'!B233</f>
        <v/>
      </c>
      <c r="C233" s="5">
        <f>'02a_CSP_Contract_Alloc'!C233</f>
        <v/>
      </c>
      <c r="D233" s="5">
        <f>'02a_CSP_Contract_Alloc'!D233</f>
        <v/>
      </c>
      <c r="E233" s="5">
        <f>'02a_CSP_Contract_Alloc'!E233</f>
        <v/>
      </c>
      <c r="F233" s="28">
        <f>SUMPRODUCT(('02_Inputs'!$A$2:$A$181=B233)*('02_Inputs'!$B$2:$B$181=C233)*('02_Inputs'!$C$2:$C$181=D233)*'02_Inputs'!$D$2:$D$181*'02_Inputs'!$E$2:$E$181/'02_Inputs'!$F$2:$F$181*'02_Inputs'!$G$2:$G$181*'02_Inputs'!$H$2:$H$181*1000)</f>
        <v/>
      </c>
      <c r="G233" s="28">
        <f>'02a_CSP_Contract_Alloc'!F233</f>
        <v/>
      </c>
      <c r="H233" s="6">
        <f>'02a_CSP_Contract_Alloc'!G233</f>
        <v/>
      </c>
      <c r="I233" s="28">
        <f>'02a_CSP_Contract_Alloc'!H233</f>
        <v/>
      </c>
      <c r="J233" s="6">
        <f>'02a_CSP_Contract_Alloc'!I233</f>
        <v/>
      </c>
      <c r="K233" s="28">
        <f>'02a_CSP_Contract_Alloc'!K233</f>
        <v/>
      </c>
      <c r="L233" s="28">
        <f>SUMIFS('02a_CSP_Contract_Alloc'!$K$2:$K$305,'02a_CSP_Contract_Alloc'!$B$2:$B$305,B233,'02a_CSP_Contract_Alloc'!$C$2:$C$305,C233,'02a_CSP_Contract_Alloc'!$D$2:$D$305,D233)</f>
        <v/>
      </c>
      <c r="M233" s="6">
        <f>IF(L233&gt;0,K233/L233,0)</f>
        <v/>
      </c>
      <c r="N233" s="28">
        <f>F233*M233</f>
        <v/>
      </c>
      <c r="O233" s="5">
        <f>'02a_CSP_Contract_Alloc'!L233</f>
        <v/>
      </c>
      <c r="P233" s="5" t="inlineStr">
        <is>
          <t>AI company inference power is normalized across CSPs by CSP total power * AI contract share * inference share.</t>
        </is>
      </c>
    </row>
    <row r="234">
      <c r="A234" s="5">
        <f>'02a_CSP_Contract_Alloc'!A234</f>
        <v/>
      </c>
      <c r="B234" s="5">
        <f>'02a_CSP_Contract_Alloc'!B234</f>
        <v/>
      </c>
      <c r="C234" s="5">
        <f>'02a_CSP_Contract_Alloc'!C234</f>
        <v/>
      </c>
      <c r="D234" s="5">
        <f>'02a_CSP_Contract_Alloc'!D234</f>
        <v/>
      </c>
      <c r="E234" s="5">
        <f>'02a_CSP_Contract_Alloc'!E234</f>
        <v/>
      </c>
      <c r="F234" s="28">
        <f>SUMPRODUCT(('02_Inputs'!$A$2:$A$181=B234)*('02_Inputs'!$B$2:$B$181=C234)*('02_Inputs'!$C$2:$C$181=D234)*'02_Inputs'!$D$2:$D$181*'02_Inputs'!$E$2:$E$181/'02_Inputs'!$F$2:$F$181*'02_Inputs'!$G$2:$G$181*'02_Inputs'!$H$2:$H$181*1000)</f>
        <v/>
      </c>
      <c r="G234" s="28">
        <f>'02a_CSP_Contract_Alloc'!F234</f>
        <v/>
      </c>
      <c r="H234" s="6">
        <f>'02a_CSP_Contract_Alloc'!G234</f>
        <v/>
      </c>
      <c r="I234" s="28">
        <f>'02a_CSP_Contract_Alloc'!H234</f>
        <v/>
      </c>
      <c r="J234" s="6">
        <f>'02a_CSP_Contract_Alloc'!I234</f>
        <v/>
      </c>
      <c r="K234" s="28">
        <f>'02a_CSP_Contract_Alloc'!K234</f>
        <v/>
      </c>
      <c r="L234" s="28">
        <f>SUMIFS('02a_CSP_Contract_Alloc'!$K$2:$K$305,'02a_CSP_Contract_Alloc'!$B$2:$B$305,B234,'02a_CSP_Contract_Alloc'!$C$2:$C$305,C234,'02a_CSP_Contract_Alloc'!$D$2:$D$305,D234)</f>
        <v/>
      </c>
      <c r="M234" s="6">
        <f>IF(L234&gt;0,K234/L234,0)</f>
        <v/>
      </c>
      <c r="N234" s="28">
        <f>F234*M234</f>
        <v/>
      </c>
      <c r="O234" s="5">
        <f>'02a_CSP_Contract_Alloc'!L234</f>
        <v/>
      </c>
      <c r="P234" s="5" t="inlineStr">
        <is>
          <t>AI company inference power is normalized across CSPs by CSP total power * AI contract share * inference share.</t>
        </is>
      </c>
    </row>
    <row r="235">
      <c r="A235" s="5">
        <f>'02a_CSP_Contract_Alloc'!A235</f>
        <v/>
      </c>
      <c r="B235" s="5">
        <f>'02a_CSP_Contract_Alloc'!B235</f>
        <v/>
      </c>
      <c r="C235" s="5">
        <f>'02a_CSP_Contract_Alloc'!C235</f>
        <v/>
      </c>
      <c r="D235" s="5">
        <f>'02a_CSP_Contract_Alloc'!D235</f>
        <v/>
      </c>
      <c r="E235" s="5">
        <f>'02a_CSP_Contract_Alloc'!E235</f>
        <v/>
      </c>
      <c r="F235" s="28">
        <f>SUMPRODUCT(('02_Inputs'!$A$2:$A$181=B235)*('02_Inputs'!$B$2:$B$181=C235)*('02_Inputs'!$C$2:$C$181=D235)*'02_Inputs'!$D$2:$D$181*'02_Inputs'!$E$2:$E$181/'02_Inputs'!$F$2:$F$181*'02_Inputs'!$G$2:$G$181*'02_Inputs'!$H$2:$H$181*1000)</f>
        <v/>
      </c>
      <c r="G235" s="28">
        <f>'02a_CSP_Contract_Alloc'!F235</f>
        <v/>
      </c>
      <c r="H235" s="6">
        <f>'02a_CSP_Contract_Alloc'!G235</f>
        <v/>
      </c>
      <c r="I235" s="28">
        <f>'02a_CSP_Contract_Alloc'!H235</f>
        <v/>
      </c>
      <c r="J235" s="6">
        <f>'02a_CSP_Contract_Alloc'!I235</f>
        <v/>
      </c>
      <c r="K235" s="28">
        <f>'02a_CSP_Contract_Alloc'!K235</f>
        <v/>
      </c>
      <c r="L235" s="28">
        <f>SUMIFS('02a_CSP_Contract_Alloc'!$K$2:$K$305,'02a_CSP_Contract_Alloc'!$B$2:$B$305,B235,'02a_CSP_Contract_Alloc'!$C$2:$C$305,C235,'02a_CSP_Contract_Alloc'!$D$2:$D$305,D235)</f>
        <v/>
      </c>
      <c r="M235" s="6">
        <f>IF(L235&gt;0,K235/L235,0)</f>
        <v/>
      </c>
      <c r="N235" s="28">
        <f>F235*M235</f>
        <v/>
      </c>
      <c r="O235" s="5">
        <f>'02a_CSP_Contract_Alloc'!L235</f>
        <v/>
      </c>
      <c r="P235" s="5" t="inlineStr">
        <is>
          <t>AI company inference power is normalized across CSPs by CSP total power * AI contract share * inference share.</t>
        </is>
      </c>
    </row>
    <row r="236">
      <c r="A236" s="5">
        <f>'02a_CSP_Contract_Alloc'!A236</f>
        <v/>
      </c>
      <c r="B236" s="5">
        <f>'02a_CSP_Contract_Alloc'!B236</f>
        <v/>
      </c>
      <c r="C236" s="5">
        <f>'02a_CSP_Contract_Alloc'!C236</f>
        <v/>
      </c>
      <c r="D236" s="5">
        <f>'02a_CSP_Contract_Alloc'!D236</f>
        <v/>
      </c>
      <c r="E236" s="5">
        <f>'02a_CSP_Contract_Alloc'!E236</f>
        <v/>
      </c>
      <c r="F236" s="28">
        <f>SUMPRODUCT(('02_Inputs'!$A$2:$A$181=B236)*('02_Inputs'!$B$2:$B$181=C236)*('02_Inputs'!$C$2:$C$181=D236)*'02_Inputs'!$D$2:$D$181*'02_Inputs'!$E$2:$E$181/'02_Inputs'!$F$2:$F$181*'02_Inputs'!$G$2:$G$181*'02_Inputs'!$H$2:$H$181*1000)</f>
        <v/>
      </c>
      <c r="G236" s="28">
        <f>'02a_CSP_Contract_Alloc'!F236</f>
        <v/>
      </c>
      <c r="H236" s="6">
        <f>'02a_CSP_Contract_Alloc'!G236</f>
        <v/>
      </c>
      <c r="I236" s="28">
        <f>'02a_CSP_Contract_Alloc'!H236</f>
        <v/>
      </c>
      <c r="J236" s="6">
        <f>'02a_CSP_Contract_Alloc'!I236</f>
        <v/>
      </c>
      <c r="K236" s="28">
        <f>'02a_CSP_Contract_Alloc'!K236</f>
        <v/>
      </c>
      <c r="L236" s="28">
        <f>SUMIFS('02a_CSP_Contract_Alloc'!$K$2:$K$305,'02a_CSP_Contract_Alloc'!$B$2:$B$305,B236,'02a_CSP_Contract_Alloc'!$C$2:$C$305,C236,'02a_CSP_Contract_Alloc'!$D$2:$D$305,D236)</f>
        <v/>
      </c>
      <c r="M236" s="6">
        <f>IF(L236&gt;0,K236/L236,0)</f>
        <v/>
      </c>
      <c r="N236" s="28">
        <f>F236*M236</f>
        <v/>
      </c>
      <c r="O236" s="5">
        <f>'02a_CSP_Contract_Alloc'!L236</f>
        <v/>
      </c>
      <c r="P236" s="5" t="inlineStr">
        <is>
          <t>AI company inference power is normalized across CSPs by CSP total power * AI contract share * inference share.</t>
        </is>
      </c>
    </row>
    <row r="237">
      <c r="A237" s="5">
        <f>'02a_CSP_Contract_Alloc'!A237</f>
        <v/>
      </c>
      <c r="B237" s="5">
        <f>'02a_CSP_Contract_Alloc'!B237</f>
        <v/>
      </c>
      <c r="C237" s="5">
        <f>'02a_CSP_Contract_Alloc'!C237</f>
        <v/>
      </c>
      <c r="D237" s="5">
        <f>'02a_CSP_Contract_Alloc'!D237</f>
        <v/>
      </c>
      <c r="E237" s="5">
        <f>'02a_CSP_Contract_Alloc'!E237</f>
        <v/>
      </c>
      <c r="F237" s="28">
        <f>SUMPRODUCT(('02_Inputs'!$A$2:$A$181=B237)*('02_Inputs'!$B$2:$B$181=C237)*('02_Inputs'!$C$2:$C$181=D237)*'02_Inputs'!$D$2:$D$181*'02_Inputs'!$E$2:$E$181/'02_Inputs'!$F$2:$F$181*'02_Inputs'!$G$2:$G$181*'02_Inputs'!$H$2:$H$181*1000)</f>
        <v/>
      </c>
      <c r="G237" s="28">
        <f>'02a_CSP_Contract_Alloc'!F237</f>
        <v/>
      </c>
      <c r="H237" s="6">
        <f>'02a_CSP_Contract_Alloc'!G237</f>
        <v/>
      </c>
      <c r="I237" s="28">
        <f>'02a_CSP_Contract_Alloc'!H237</f>
        <v/>
      </c>
      <c r="J237" s="6">
        <f>'02a_CSP_Contract_Alloc'!I237</f>
        <v/>
      </c>
      <c r="K237" s="28">
        <f>'02a_CSP_Contract_Alloc'!K237</f>
        <v/>
      </c>
      <c r="L237" s="28">
        <f>SUMIFS('02a_CSP_Contract_Alloc'!$K$2:$K$305,'02a_CSP_Contract_Alloc'!$B$2:$B$305,B237,'02a_CSP_Contract_Alloc'!$C$2:$C$305,C237,'02a_CSP_Contract_Alloc'!$D$2:$D$305,D237)</f>
        <v/>
      </c>
      <c r="M237" s="6">
        <f>IF(L237&gt;0,K237/L237,0)</f>
        <v/>
      </c>
      <c r="N237" s="28">
        <f>F237*M237</f>
        <v/>
      </c>
      <c r="O237" s="5">
        <f>'02a_CSP_Contract_Alloc'!L237</f>
        <v/>
      </c>
      <c r="P237" s="5" t="inlineStr">
        <is>
          <t>AI company inference power is normalized across CSPs by CSP total power * AI contract share * inference share.</t>
        </is>
      </c>
    </row>
    <row r="238">
      <c r="A238" s="5">
        <f>'02a_CSP_Contract_Alloc'!A238</f>
        <v/>
      </c>
      <c r="B238" s="5">
        <f>'02a_CSP_Contract_Alloc'!B238</f>
        <v/>
      </c>
      <c r="C238" s="5">
        <f>'02a_CSP_Contract_Alloc'!C238</f>
        <v/>
      </c>
      <c r="D238" s="5">
        <f>'02a_CSP_Contract_Alloc'!D238</f>
        <v/>
      </c>
      <c r="E238" s="5">
        <f>'02a_CSP_Contract_Alloc'!E238</f>
        <v/>
      </c>
      <c r="F238" s="28">
        <f>SUMPRODUCT(('02_Inputs'!$A$2:$A$181=B238)*('02_Inputs'!$B$2:$B$181=C238)*('02_Inputs'!$C$2:$C$181=D238)*'02_Inputs'!$D$2:$D$181*'02_Inputs'!$E$2:$E$181/'02_Inputs'!$F$2:$F$181*'02_Inputs'!$G$2:$G$181*'02_Inputs'!$H$2:$H$181*1000)</f>
        <v/>
      </c>
      <c r="G238" s="28">
        <f>'02a_CSP_Contract_Alloc'!F238</f>
        <v/>
      </c>
      <c r="H238" s="6">
        <f>'02a_CSP_Contract_Alloc'!G238</f>
        <v/>
      </c>
      <c r="I238" s="28">
        <f>'02a_CSP_Contract_Alloc'!H238</f>
        <v/>
      </c>
      <c r="J238" s="6">
        <f>'02a_CSP_Contract_Alloc'!I238</f>
        <v/>
      </c>
      <c r="K238" s="28">
        <f>'02a_CSP_Contract_Alloc'!K238</f>
        <v/>
      </c>
      <c r="L238" s="28">
        <f>SUMIFS('02a_CSP_Contract_Alloc'!$K$2:$K$305,'02a_CSP_Contract_Alloc'!$B$2:$B$305,B238,'02a_CSP_Contract_Alloc'!$C$2:$C$305,C238,'02a_CSP_Contract_Alloc'!$D$2:$D$305,D238)</f>
        <v/>
      </c>
      <c r="M238" s="6">
        <f>IF(L238&gt;0,K238/L238,0)</f>
        <v/>
      </c>
      <c r="N238" s="28">
        <f>F238*M238</f>
        <v/>
      </c>
      <c r="O238" s="5">
        <f>'02a_CSP_Contract_Alloc'!L238</f>
        <v/>
      </c>
      <c r="P238" s="5" t="inlineStr">
        <is>
          <t>AI company inference power is normalized across CSPs by CSP total power * AI contract share * inference share.</t>
        </is>
      </c>
    </row>
    <row r="239">
      <c r="A239" s="5">
        <f>'02a_CSP_Contract_Alloc'!A239</f>
        <v/>
      </c>
      <c r="B239" s="5">
        <f>'02a_CSP_Contract_Alloc'!B239</f>
        <v/>
      </c>
      <c r="C239" s="5">
        <f>'02a_CSP_Contract_Alloc'!C239</f>
        <v/>
      </c>
      <c r="D239" s="5">
        <f>'02a_CSP_Contract_Alloc'!D239</f>
        <v/>
      </c>
      <c r="E239" s="5">
        <f>'02a_CSP_Contract_Alloc'!E239</f>
        <v/>
      </c>
      <c r="F239" s="28">
        <f>SUMPRODUCT(('02_Inputs'!$A$2:$A$181=B239)*('02_Inputs'!$B$2:$B$181=C239)*('02_Inputs'!$C$2:$C$181=D239)*'02_Inputs'!$D$2:$D$181*'02_Inputs'!$E$2:$E$181/'02_Inputs'!$F$2:$F$181*'02_Inputs'!$G$2:$G$181*'02_Inputs'!$H$2:$H$181*1000)</f>
        <v/>
      </c>
      <c r="G239" s="28">
        <f>'02a_CSP_Contract_Alloc'!F239</f>
        <v/>
      </c>
      <c r="H239" s="6">
        <f>'02a_CSP_Contract_Alloc'!G239</f>
        <v/>
      </c>
      <c r="I239" s="28">
        <f>'02a_CSP_Contract_Alloc'!H239</f>
        <v/>
      </c>
      <c r="J239" s="6">
        <f>'02a_CSP_Contract_Alloc'!I239</f>
        <v/>
      </c>
      <c r="K239" s="28">
        <f>'02a_CSP_Contract_Alloc'!K239</f>
        <v/>
      </c>
      <c r="L239" s="28">
        <f>SUMIFS('02a_CSP_Contract_Alloc'!$K$2:$K$305,'02a_CSP_Contract_Alloc'!$B$2:$B$305,B239,'02a_CSP_Contract_Alloc'!$C$2:$C$305,C239,'02a_CSP_Contract_Alloc'!$D$2:$D$305,D239)</f>
        <v/>
      </c>
      <c r="M239" s="6">
        <f>IF(L239&gt;0,K239/L239,0)</f>
        <v/>
      </c>
      <c r="N239" s="28">
        <f>F239*M239</f>
        <v/>
      </c>
      <c r="O239" s="5">
        <f>'02a_CSP_Contract_Alloc'!L239</f>
        <v/>
      </c>
      <c r="P239" s="5" t="inlineStr">
        <is>
          <t>AI company inference power is normalized across CSPs by CSP total power * AI contract share * inference share.</t>
        </is>
      </c>
    </row>
    <row r="240">
      <c r="A240" s="5">
        <f>'02a_CSP_Contract_Alloc'!A240</f>
        <v/>
      </c>
      <c r="B240" s="5">
        <f>'02a_CSP_Contract_Alloc'!B240</f>
        <v/>
      </c>
      <c r="C240" s="5">
        <f>'02a_CSP_Contract_Alloc'!C240</f>
        <v/>
      </c>
      <c r="D240" s="5">
        <f>'02a_CSP_Contract_Alloc'!D240</f>
        <v/>
      </c>
      <c r="E240" s="5">
        <f>'02a_CSP_Contract_Alloc'!E240</f>
        <v/>
      </c>
      <c r="F240" s="28">
        <f>SUMPRODUCT(('02_Inputs'!$A$2:$A$181=B240)*('02_Inputs'!$B$2:$B$181=C240)*('02_Inputs'!$C$2:$C$181=D240)*'02_Inputs'!$D$2:$D$181*'02_Inputs'!$E$2:$E$181/'02_Inputs'!$F$2:$F$181*'02_Inputs'!$G$2:$G$181*'02_Inputs'!$H$2:$H$181*1000)</f>
        <v/>
      </c>
      <c r="G240" s="28">
        <f>'02a_CSP_Contract_Alloc'!F240</f>
        <v/>
      </c>
      <c r="H240" s="6">
        <f>'02a_CSP_Contract_Alloc'!G240</f>
        <v/>
      </c>
      <c r="I240" s="28">
        <f>'02a_CSP_Contract_Alloc'!H240</f>
        <v/>
      </c>
      <c r="J240" s="6">
        <f>'02a_CSP_Contract_Alloc'!I240</f>
        <v/>
      </c>
      <c r="K240" s="28">
        <f>'02a_CSP_Contract_Alloc'!K240</f>
        <v/>
      </c>
      <c r="L240" s="28">
        <f>SUMIFS('02a_CSP_Contract_Alloc'!$K$2:$K$305,'02a_CSP_Contract_Alloc'!$B$2:$B$305,B240,'02a_CSP_Contract_Alloc'!$C$2:$C$305,C240,'02a_CSP_Contract_Alloc'!$D$2:$D$305,D240)</f>
        <v/>
      </c>
      <c r="M240" s="6">
        <f>IF(L240&gt;0,K240/L240,0)</f>
        <v/>
      </c>
      <c r="N240" s="28">
        <f>F240*M240</f>
        <v/>
      </c>
      <c r="O240" s="5">
        <f>'02a_CSP_Contract_Alloc'!L240</f>
        <v/>
      </c>
      <c r="P240" s="5" t="inlineStr">
        <is>
          <t>AI company inference power is normalized across CSPs by CSP total power * AI contract share * inference share.</t>
        </is>
      </c>
    </row>
    <row r="241">
      <c r="A241" s="5">
        <f>'02a_CSP_Contract_Alloc'!A241</f>
        <v/>
      </c>
      <c r="B241" s="5">
        <f>'02a_CSP_Contract_Alloc'!B241</f>
        <v/>
      </c>
      <c r="C241" s="5">
        <f>'02a_CSP_Contract_Alloc'!C241</f>
        <v/>
      </c>
      <c r="D241" s="5">
        <f>'02a_CSP_Contract_Alloc'!D241</f>
        <v/>
      </c>
      <c r="E241" s="5">
        <f>'02a_CSP_Contract_Alloc'!E241</f>
        <v/>
      </c>
      <c r="F241" s="28">
        <f>SUMPRODUCT(('02_Inputs'!$A$2:$A$181=B241)*('02_Inputs'!$B$2:$B$181=C241)*('02_Inputs'!$C$2:$C$181=D241)*'02_Inputs'!$D$2:$D$181*'02_Inputs'!$E$2:$E$181/'02_Inputs'!$F$2:$F$181*'02_Inputs'!$G$2:$G$181*'02_Inputs'!$H$2:$H$181*1000)</f>
        <v/>
      </c>
      <c r="G241" s="28">
        <f>'02a_CSP_Contract_Alloc'!F241</f>
        <v/>
      </c>
      <c r="H241" s="6">
        <f>'02a_CSP_Contract_Alloc'!G241</f>
        <v/>
      </c>
      <c r="I241" s="28">
        <f>'02a_CSP_Contract_Alloc'!H241</f>
        <v/>
      </c>
      <c r="J241" s="6">
        <f>'02a_CSP_Contract_Alloc'!I241</f>
        <v/>
      </c>
      <c r="K241" s="28">
        <f>'02a_CSP_Contract_Alloc'!K241</f>
        <v/>
      </c>
      <c r="L241" s="28">
        <f>SUMIFS('02a_CSP_Contract_Alloc'!$K$2:$K$305,'02a_CSP_Contract_Alloc'!$B$2:$B$305,B241,'02a_CSP_Contract_Alloc'!$C$2:$C$305,C241,'02a_CSP_Contract_Alloc'!$D$2:$D$305,D241)</f>
        <v/>
      </c>
      <c r="M241" s="6">
        <f>IF(L241&gt;0,K241/L241,0)</f>
        <v/>
      </c>
      <c r="N241" s="28">
        <f>F241*M241</f>
        <v/>
      </c>
      <c r="O241" s="5">
        <f>'02a_CSP_Contract_Alloc'!L241</f>
        <v/>
      </c>
      <c r="P241" s="5" t="inlineStr">
        <is>
          <t>AI company inference power is normalized across CSPs by CSP total power * AI contract share * inference share.</t>
        </is>
      </c>
    </row>
    <row r="242">
      <c r="A242" s="5">
        <f>'02a_CSP_Contract_Alloc'!A242</f>
        <v/>
      </c>
      <c r="B242" s="5">
        <f>'02a_CSP_Contract_Alloc'!B242</f>
        <v/>
      </c>
      <c r="C242" s="5">
        <f>'02a_CSP_Contract_Alloc'!C242</f>
        <v/>
      </c>
      <c r="D242" s="5">
        <f>'02a_CSP_Contract_Alloc'!D242</f>
        <v/>
      </c>
      <c r="E242" s="5">
        <f>'02a_CSP_Contract_Alloc'!E242</f>
        <v/>
      </c>
      <c r="F242" s="28">
        <f>SUMPRODUCT(('02_Inputs'!$A$2:$A$181=B242)*('02_Inputs'!$B$2:$B$181=C242)*('02_Inputs'!$C$2:$C$181=D242)*'02_Inputs'!$D$2:$D$181*'02_Inputs'!$E$2:$E$181/'02_Inputs'!$F$2:$F$181*'02_Inputs'!$G$2:$G$181*'02_Inputs'!$H$2:$H$181*1000)</f>
        <v/>
      </c>
      <c r="G242" s="28">
        <f>'02a_CSP_Contract_Alloc'!F242</f>
        <v/>
      </c>
      <c r="H242" s="6">
        <f>'02a_CSP_Contract_Alloc'!G242</f>
        <v/>
      </c>
      <c r="I242" s="28">
        <f>'02a_CSP_Contract_Alloc'!H242</f>
        <v/>
      </c>
      <c r="J242" s="6">
        <f>'02a_CSP_Contract_Alloc'!I242</f>
        <v/>
      </c>
      <c r="K242" s="28">
        <f>'02a_CSP_Contract_Alloc'!K242</f>
        <v/>
      </c>
      <c r="L242" s="28">
        <f>SUMIFS('02a_CSP_Contract_Alloc'!$K$2:$K$305,'02a_CSP_Contract_Alloc'!$B$2:$B$305,B242,'02a_CSP_Contract_Alloc'!$C$2:$C$305,C242,'02a_CSP_Contract_Alloc'!$D$2:$D$305,D242)</f>
        <v/>
      </c>
      <c r="M242" s="6">
        <f>IF(L242&gt;0,K242/L242,0)</f>
        <v/>
      </c>
      <c r="N242" s="28">
        <f>F242*M242</f>
        <v/>
      </c>
      <c r="O242" s="5">
        <f>'02a_CSP_Contract_Alloc'!L242</f>
        <v/>
      </c>
      <c r="P242" s="5" t="inlineStr">
        <is>
          <t>AI company inference power is normalized across CSPs by CSP total power * AI contract share * inference share.</t>
        </is>
      </c>
    </row>
    <row r="243">
      <c r="A243" s="5">
        <f>'02a_CSP_Contract_Alloc'!A243</f>
        <v/>
      </c>
      <c r="B243" s="5">
        <f>'02a_CSP_Contract_Alloc'!B243</f>
        <v/>
      </c>
      <c r="C243" s="5">
        <f>'02a_CSP_Contract_Alloc'!C243</f>
        <v/>
      </c>
      <c r="D243" s="5">
        <f>'02a_CSP_Contract_Alloc'!D243</f>
        <v/>
      </c>
      <c r="E243" s="5">
        <f>'02a_CSP_Contract_Alloc'!E243</f>
        <v/>
      </c>
      <c r="F243" s="28">
        <f>SUMPRODUCT(('02_Inputs'!$A$2:$A$181=B243)*('02_Inputs'!$B$2:$B$181=C243)*('02_Inputs'!$C$2:$C$181=D243)*'02_Inputs'!$D$2:$D$181*'02_Inputs'!$E$2:$E$181/'02_Inputs'!$F$2:$F$181*'02_Inputs'!$G$2:$G$181*'02_Inputs'!$H$2:$H$181*1000)</f>
        <v/>
      </c>
      <c r="G243" s="28">
        <f>'02a_CSP_Contract_Alloc'!F243</f>
        <v/>
      </c>
      <c r="H243" s="6">
        <f>'02a_CSP_Contract_Alloc'!G243</f>
        <v/>
      </c>
      <c r="I243" s="28">
        <f>'02a_CSP_Contract_Alloc'!H243</f>
        <v/>
      </c>
      <c r="J243" s="6">
        <f>'02a_CSP_Contract_Alloc'!I243</f>
        <v/>
      </c>
      <c r="K243" s="28">
        <f>'02a_CSP_Contract_Alloc'!K243</f>
        <v/>
      </c>
      <c r="L243" s="28">
        <f>SUMIFS('02a_CSP_Contract_Alloc'!$K$2:$K$305,'02a_CSP_Contract_Alloc'!$B$2:$B$305,B243,'02a_CSP_Contract_Alloc'!$C$2:$C$305,C243,'02a_CSP_Contract_Alloc'!$D$2:$D$305,D243)</f>
        <v/>
      </c>
      <c r="M243" s="6">
        <f>IF(L243&gt;0,K243/L243,0)</f>
        <v/>
      </c>
      <c r="N243" s="28">
        <f>F243*M243</f>
        <v/>
      </c>
      <c r="O243" s="5">
        <f>'02a_CSP_Contract_Alloc'!L243</f>
        <v/>
      </c>
      <c r="P243" s="5" t="inlineStr">
        <is>
          <t>AI company inference power is normalized across CSPs by CSP total power * AI contract share * inference share.</t>
        </is>
      </c>
    </row>
    <row r="244">
      <c r="A244" s="5">
        <f>'02a_CSP_Contract_Alloc'!A244</f>
        <v/>
      </c>
      <c r="B244" s="5">
        <f>'02a_CSP_Contract_Alloc'!B244</f>
        <v/>
      </c>
      <c r="C244" s="5">
        <f>'02a_CSP_Contract_Alloc'!C244</f>
        <v/>
      </c>
      <c r="D244" s="5">
        <f>'02a_CSP_Contract_Alloc'!D244</f>
        <v/>
      </c>
      <c r="E244" s="5">
        <f>'02a_CSP_Contract_Alloc'!E244</f>
        <v/>
      </c>
      <c r="F244" s="28">
        <f>SUMPRODUCT(('02_Inputs'!$A$2:$A$181=B244)*('02_Inputs'!$B$2:$B$181=C244)*('02_Inputs'!$C$2:$C$181=D244)*'02_Inputs'!$D$2:$D$181*'02_Inputs'!$E$2:$E$181/'02_Inputs'!$F$2:$F$181*'02_Inputs'!$G$2:$G$181*'02_Inputs'!$H$2:$H$181*1000)</f>
        <v/>
      </c>
      <c r="G244" s="28">
        <f>'02a_CSP_Contract_Alloc'!F244</f>
        <v/>
      </c>
      <c r="H244" s="6">
        <f>'02a_CSP_Contract_Alloc'!G244</f>
        <v/>
      </c>
      <c r="I244" s="28">
        <f>'02a_CSP_Contract_Alloc'!H244</f>
        <v/>
      </c>
      <c r="J244" s="6">
        <f>'02a_CSP_Contract_Alloc'!I244</f>
        <v/>
      </c>
      <c r="K244" s="28">
        <f>'02a_CSP_Contract_Alloc'!K244</f>
        <v/>
      </c>
      <c r="L244" s="28">
        <f>SUMIFS('02a_CSP_Contract_Alloc'!$K$2:$K$305,'02a_CSP_Contract_Alloc'!$B$2:$B$305,B244,'02a_CSP_Contract_Alloc'!$C$2:$C$305,C244,'02a_CSP_Contract_Alloc'!$D$2:$D$305,D244)</f>
        <v/>
      </c>
      <c r="M244" s="6">
        <f>IF(L244&gt;0,K244/L244,0)</f>
        <v/>
      </c>
      <c r="N244" s="28">
        <f>F244*M244</f>
        <v/>
      </c>
      <c r="O244" s="5">
        <f>'02a_CSP_Contract_Alloc'!L244</f>
        <v/>
      </c>
      <c r="P244" s="5" t="inlineStr">
        <is>
          <t>AI company inference power is normalized across CSPs by CSP total power * AI contract share * inference share.</t>
        </is>
      </c>
    </row>
    <row r="245">
      <c r="A245" s="5">
        <f>'02a_CSP_Contract_Alloc'!A245</f>
        <v/>
      </c>
      <c r="B245" s="5">
        <f>'02a_CSP_Contract_Alloc'!B245</f>
        <v/>
      </c>
      <c r="C245" s="5">
        <f>'02a_CSP_Contract_Alloc'!C245</f>
        <v/>
      </c>
      <c r="D245" s="5">
        <f>'02a_CSP_Contract_Alloc'!D245</f>
        <v/>
      </c>
      <c r="E245" s="5">
        <f>'02a_CSP_Contract_Alloc'!E245</f>
        <v/>
      </c>
      <c r="F245" s="28">
        <f>SUMPRODUCT(('02_Inputs'!$A$2:$A$181=B245)*('02_Inputs'!$B$2:$B$181=C245)*('02_Inputs'!$C$2:$C$181=D245)*'02_Inputs'!$D$2:$D$181*'02_Inputs'!$E$2:$E$181/'02_Inputs'!$F$2:$F$181*'02_Inputs'!$G$2:$G$181*'02_Inputs'!$H$2:$H$181*1000)</f>
        <v/>
      </c>
      <c r="G245" s="28">
        <f>'02a_CSP_Contract_Alloc'!F245</f>
        <v/>
      </c>
      <c r="H245" s="6">
        <f>'02a_CSP_Contract_Alloc'!G245</f>
        <v/>
      </c>
      <c r="I245" s="28">
        <f>'02a_CSP_Contract_Alloc'!H245</f>
        <v/>
      </c>
      <c r="J245" s="6">
        <f>'02a_CSP_Contract_Alloc'!I245</f>
        <v/>
      </c>
      <c r="K245" s="28">
        <f>'02a_CSP_Contract_Alloc'!K245</f>
        <v/>
      </c>
      <c r="L245" s="28">
        <f>SUMIFS('02a_CSP_Contract_Alloc'!$K$2:$K$305,'02a_CSP_Contract_Alloc'!$B$2:$B$305,B245,'02a_CSP_Contract_Alloc'!$C$2:$C$305,C245,'02a_CSP_Contract_Alloc'!$D$2:$D$305,D245)</f>
        <v/>
      </c>
      <c r="M245" s="6">
        <f>IF(L245&gt;0,K245/L245,0)</f>
        <v/>
      </c>
      <c r="N245" s="28">
        <f>F245*M245</f>
        <v/>
      </c>
      <c r="O245" s="5">
        <f>'02a_CSP_Contract_Alloc'!L245</f>
        <v/>
      </c>
      <c r="P245" s="5" t="inlineStr">
        <is>
          <t>AI company inference power is normalized across CSPs by CSP total power * AI contract share * inference share.</t>
        </is>
      </c>
    </row>
    <row r="246">
      <c r="A246" s="5">
        <f>'02a_CSP_Contract_Alloc'!A246</f>
        <v/>
      </c>
      <c r="B246" s="5">
        <f>'02a_CSP_Contract_Alloc'!B246</f>
        <v/>
      </c>
      <c r="C246" s="5">
        <f>'02a_CSP_Contract_Alloc'!C246</f>
        <v/>
      </c>
      <c r="D246" s="5">
        <f>'02a_CSP_Contract_Alloc'!D246</f>
        <v/>
      </c>
      <c r="E246" s="5">
        <f>'02a_CSP_Contract_Alloc'!E246</f>
        <v/>
      </c>
      <c r="F246" s="28">
        <f>SUMPRODUCT(('02_Inputs'!$A$2:$A$181=B246)*('02_Inputs'!$B$2:$B$181=C246)*('02_Inputs'!$C$2:$C$181=D246)*'02_Inputs'!$D$2:$D$181*'02_Inputs'!$E$2:$E$181/'02_Inputs'!$F$2:$F$181*'02_Inputs'!$G$2:$G$181*'02_Inputs'!$H$2:$H$181*1000)</f>
        <v/>
      </c>
      <c r="G246" s="28">
        <f>'02a_CSP_Contract_Alloc'!F246</f>
        <v/>
      </c>
      <c r="H246" s="6">
        <f>'02a_CSP_Contract_Alloc'!G246</f>
        <v/>
      </c>
      <c r="I246" s="28">
        <f>'02a_CSP_Contract_Alloc'!H246</f>
        <v/>
      </c>
      <c r="J246" s="6">
        <f>'02a_CSP_Contract_Alloc'!I246</f>
        <v/>
      </c>
      <c r="K246" s="28">
        <f>'02a_CSP_Contract_Alloc'!K246</f>
        <v/>
      </c>
      <c r="L246" s="28">
        <f>SUMIFS('02a_CSP_Contract_Alloc'!$K$2:$K$305,'02a_CSP_Contract_Alloc'!$B$2:$B$305,B246,'02a_CSP_Contract_Alloc'!$C$2:$C$305,C246,'02a_CSP_Contract_Alloc'!$D$2:$D$305,D246)</f>
        <v/>
      </c>
      <c r="M246" s="6">
        <f>IF(L246&gt;0,K246/L246,0)</f>
        <v/>
      </c>
      <c r="N246" s="28">
        <f>F246*M246</f>
        <v/>
      </c>
      <c r="O246" s="5">
        <f>'02a_CSP_Contract_Alloc'!L246</f>
        <v/>
      </c>
      <c r="P246" s="5" t="inlineStr">
        <is>
          <t>AI company inference power is normalized across CSPs by CSP total power * AI contract share * inference share.</t>
        </is>
      </c>
    </row>
    <row r="247">
      <c r="A247" s="5">
        <f>'02a_CSP_Contract_Alloc'!A247</f>
        <v/>
      </c>
      <c r="B247" s="5">
        <f>'02a_CSP_Contract_Alloc'!B247</f>
        <v/>
      </c>
      <c r="C247" s="5">
        <f>'02a_CSP_Contract_Alloc'!C247</f>
        <v/>
      </c>
      <c r="D247" s="5">
        <f>'02a_CSP_Contract_Alloc'!D247</f>
        <v/>
      </c>
      <c r="E247" s="5">
        <f>'02a_CSP_Contract_Alloc'!E247</f>
        <v/>
      </c>
      <c r="F247" s="28">
        <f>SUMPRODUCT(('02_Inputs'!$A$2:$A$181=B247)*('02_Inputs'!$B$2:$B$181=C247)*('02_Inputs'!$C$2:$C$181=D247)*'02_Inputs'!$D$2:$D$181*'02_Inputs'!$E$2:$E$181/'02_Inputs'!$F$2:$F$181*'02_Inputs'!$G$2:$G$181*'02_Inputs'!$H$2:$H$181*1000)</f>
        <v/>
      </c>
      <c r="G247" s="28">
        <f>'02a_CSP_Contract_Alloc'!F247</f>
        <v/>
      </c>
      <c r="H247" s="6">
        <f>'02a_CSP_Contract_Alloc'!G247</f>
        <v/>
      </c>
      <c r="I247" s="28">
        <f>'02a_CSP_Contract_Alloc'!H247</f>
        <v/>
      </c>
      <c r="J247" s="6">
        <f>'02a_CSP_Contract_Alloc'!I247</f>
        <v/>
      </c>
      <c r="K247" s="28">
        <f>'02a_CSP_Contract_Alloc'!K247</f>
        <v/>
      </c>
      <c r="L247" s="28">
        <f>SUMIFS('02a_CSP_Contract_Alloc'!$K$2:$K$305,'02a_CSP_Contract_Alloc'!$B$2:$B$305,B247,'02a_CSP_Contract_Alloc'!$C$2:$C$305,C247,'02a_CSP_Contract_Alloc'!$D$2:$D$305,D247)</f>
        <v/>
      </c>
      <c r="M247" s="6">
        <f>IF(L247&gt;0,K247/L247,0)</f>
        <v/>
      </c>
      <c r="N247" s="28">
        <f>F247*M247</f>
        <v/>
      </c>
      <c r="O247" s="5">
        <f>'02a_CSP_Contract_Alloc'!L247</f>
        <v/>
      </c>
      <c r="P247" s="5" t="inlineStr">
        <is>
          <t>AI company inference power is normalized across CSPs by CSP total power * AI contract share * inference share.</t>
        </is>
      </c>
    </row>
    <row r="248">
      <c r="A248" s="5">
        <f>'02a_CSP_Contract_Alloc'!A248</f>
        <v/>
      </c>
      <c r="B248" s="5">
        <f>'02a_CSP_Contract_Alloc'!B248</f>
        <v/>
      </c>
      <c r="C248" s="5">
        <f>'02a_CSP_Contract_Alloc'!C248</f>
        <v/>
      </c>
      <c r="D248" s="5">
        <f>'02a_CSP_Contract_Alloc'!D248</f>
        <v/>
      </c>
      <c r="E248" s="5">
        <f>'02a_CSP_Contract_Alloc'!E248</f>
        <v/>
      </c>
      <c r="F248" s="28">
        <f>SUMPRODUCT(('02_Inputs'!$A$2:$A$181=B248)*('02_Inputs'!$B$2:$B$181=C248)*('02_Inputs'!$C$2:$C$181=D248)*'02_Inputs'!$D$2:$D$181*'02_Inputs'!$E$2:$E$181/'02_Inputs'!$F$2:$F$181*'02_Inputs'!$G$2:$G$181*'02_Inputs'!$H$2:$H$181*1000)</f>
        <v/>
      </c>
      <c r="G248" s="28">
        <f>'02a_CSP_Contract_Alloc'!F248</f>
        <v/>
      </c>
      <c r="H248" s="6">
        <f>'02a_CSP_Contract_Alloc'!G248</f>
        <v/>
      </c>
      <c r="I248" s="28">
        <f>'02a_CSP_Contract_Alloc'!H248</f>
        <v/>
      </c>
      <c r="J248" s="6">
        <f>'02a_CSP_Contract_Alloc'!I248</f>
        <v/>
      </c>
      <c r="K248" s="28">
        <f>'02a_CSP_Contract_Alloc'!K248</f>
        <v/>
      </c>
      <c r="L248" s="28">
        <f>SUMIFS('02a_CSP_Contract_Alloc'!$K$2:$K$305,'02a_CSP_Contract_Alloc'!$B$2:$B$305,B248,'02a_CSP_Contract_Alloc'!$C$2:$C$305,C248,'02a_CSP_Contract_Alloc'!$D$2:$D$305,D248)</f>
        <v/>
      </c>
      <c r="M248" s="6">
        <f>IF(L248&gt;0,K248/L248,0)</f>
        <v/>
      </c>
      <c r="N248" s="28">
        <f>F248*M248</f>
        <v/>
      </c>
      <c r="O248" s="5">
        <f>'02a_CSP_Contract_Alloc'!L248</f>
        <v/>
      </c>
      <c r="P248" s="5" t="inlineStr">
        <is>
          <t>AI company inference power is normalized across CSPs by CSP total power * AI contract share * inference share.</t>
        </is>
      </c>
    </row>
    <row r="249">
      <c r="A249" s="5">
        <f>'02a_CSP_Contract_Alloc'!A249</f>
        <v/>
      </c>
      <c r="B249" s="5">
        <f>'02a_CSP_Contract_Alloc'!B249</f>
        <v/>
      </c>
      <c r="C249" s="5">
        <f>'02a_CSP_Contract_Alloc'!C249</f>
        <v/>
      </c>
      <c r="D249" s="5">
        <f>'02a_CSP_Contract_Alloc'!D249</f>
        <v/>
      </c>
      <c r="E249" s="5">
        <f>'02a_CSP_Contract_Alloc'!E249</f>
        <v/>
      </c>
      <c r="F249" s="28">
        <f>SUMPRODUCT(('02_Inputs'!$A$2:$A$181=B249)*('02_Inputs'!$B$2:$B$181=C249)*('02_Inputs'!$C$2:$C$181=D249)*'02_Inputs'!$D$2:$D$181*'02_Inputs'!$E$2:$E$181/'02_Inputs'!$F$2:$F$181*'02_Inputs'!$G$2:$G$181*'02_Inputs'!$H$2:$H$181*1000)</f>
        <v/>
      </c>
      <c r="G249" s="28">
        <f>'02a_CSP_Contract_Alloc'!F249</f>
        <v/>
      </c>
      <c r="H249" s="6">
        <f>'02a_CSP_Contract_Alloc'!G249</f>
        <v/>
      </c>
      <c r="I249" s="28">
        <f>'02a_CSP_Contract_Alloc'!H249</f>
        <v/>
      </c>
      <c r="J249" s="6">
        <f>'02a_CSP_Contract_Alloc'!I249</f>
        <v/>
      </c>
      <c r="K249" s="28">
        <f>'02a_CSP_Contract_Alloc'!K249</f>
        <v/>
      </c>
      <c r="L249" s="28">
        <f>SUMIFS('02a_CSP_Contract_Alloc'!$K$2:$K$305,'02a_CSP_Contract_Alloc'!$B$2:$B$305,B249,'02a_CSP_Contract_Alloc'!$C$2:$C$305,C249,'02a_CSP_Contract_Alloc'!$D$2:$D$305,D249)</f>
        <v/>
      </c>
      <c r="M249" s="6">
        <f>IF(L249&gt;0,K249/L249,0)</f>
        <v/>
      </c>
      <c r="N249" s="28">
        <f>F249*M249</f>
        <v/>
      </c>
      <c r="O249" s="5">
        <f>'02a_CSP_Contract_Alloc'!L249</f>
        <v/>
      </c>
      <c r="P249" s="5" t="inlineStr">
        <is>
          <t>AI company inference power is normalized across CSPs by CSP total power * AI contract share * inference share.</t>
        </is>
      </c>
    </row>
    <row r="250">
      <c r="A250" s="5">
        <f>'02a_CSP_Contract_Alloc'!A250</f>
        <v/>
      </c>
      <c r="B250" s="5">
        <f>'02a_CSP_Contract_Alloc'!B250</f>
        <v/>
      </c>
      <c r="C250" s="5">
        <f>'02a_CSP_Contract_Alloc'!C250</f>
        <v/>
      </c>
      <c r="D250" s="5">
        <f>'02a_CSP_Contract_Alloc'!D250</f>
        <v/>
      </c>
      <c r="E250" s="5">
        <f>'02a_CSP_Contract_Alloc'!E250</f>
        <v/>
      </c>
      <c r="F250" s="28">
        <f>SUMPRODUCT(('02_Inputs'!$A$2:$A$181=B250)*('02_Inputs'!$B$2:$B$181=C250)*('02_Inputs'!$C$2:$C$181=D250)*'02_Inputs'!$D$2:$D$181*'02_Inputs'!$E$2:$E$181/'02_Inputs'!$F$2:$F$181*'02_Inputs'!$G$2:$G$181*'02_Inputs'!$H$2:$H$181*1000)</f>
        <v/>
      </c>
      <c r="G250" s="28">
        <f>'02a_CSP_Contract_Alloc'!F250</f>
        <v/>
      </c>
      <c r="H250" s="6">
        <f>'02a_CSP_Contract_Alloc'!G250</f>
        <v/>
      </c>
      <c r="I250" s="28">
        <f>'02a_CSP_Contract_Alloc'!H250</f>
        <v/>
      </c>
      <c r="J250" s="6">
        <f>'02a_CSP_Contract_Alloc'!I250</f>
        <v/>
      </c>
      <c r="K250" s="28">
        <f>'02a_CSP_Contract_Alloc'!K250</f>
        <v/>
      </c>
      <c r="L250" s="28">
        <f>SUMIFS('02a_CSP_Contract_Alloc'!$K$2:$K$305,'02a_CSP_Contract_Alloc'!$B$2:$B$305,B250,'02a_CSP_Contract_Alloc'!$C$2:$C$305,C250,'02a_CSP_Contract_Alloc'!$D$2:$D$305,D250)</f>
        <v/>
      </c>
      <c r="M250" s="6">
        <f>IF(L250&gt;0,K250/L250,0)</f>
        <v/>
      </c>
      <c r="N250" s="28">
        <f>F250*M250</f>
        <v/>
      </c>
      <c r="O250" s="5">
        <f>'02a_CSP_Contract_Alloc'!L250</f>
        <v/>
      </c>
      <c r="P250" s="5" t="inlineStr">
        <is>
          <t>AI company inference power is normalized across CSPs by CSP total power * AI contract share * inference share.</t>
        </is>
      </c>
    </row>
    <row r="251">
      <c r="A251" s="5">
        <f>'02a_CSP_Contract_Alloc'!A251</f>
        <v/>
      </c>
      <c r="B251" s="5">
        <f>'02a_CSP_Contract_Alloc'!B251</f>
        <v/>
      </c>
      <c r="C251" s="5">
        <f>'02a_CSP_Contract_Alloc'!C251</f>
        <v/>
      </c>
      <c r="D251" s="5">
        <f>'02a_CSP_Contract_Alloc'!D251</f>
        <v/>
      </c>
      <c r="E251" s="5">
        <f>'02a_CSP_Contract_Alloc'!E251</f>
        <v/>
      </c>
      <c r="F251" s="28">
        <f>SUMPRODUCT(('02_Inputs'!$A$2:$A$181=B251)*('02_Inputs'!$B$2:$B$181=C251)*('02_Inputs'!$C$2:$C$181=D251)*'02_Inputs'!$D$2:$D$181*'02_Inputs'!$E$2:$E$181/'02_Inputs'!$F$2:$F$181*'02_Inputs'!$G$2:$G$181*'02_Inputs'!$H$2:$H$181*1000)</f>
        <v/>
      </c>
      <c r="G251" s="28">
        <f>'02a_CSP_Contract_Alloc'!F251</f>
        <v/>
      </c>
      <c r="H251" s="6">
        <f>'02a_CSP_Contract_Alloc'!G251</f>
        <v/>
      </c>
      <c r="I251" s="28">
        <f>'02a_CSP_Contract_Alloc'!H251</f>
        <v/>
      </c>
      <c r="J251" s="6">
        <f>'02a_CSP_Contract_Alloc'!I251</f>
        <v/>
      </c>
      <c r="K251" s="28">
        <f>'02a_CSP_Contract_Alloc'!K251</f>
        <v/>
      </c>
      <c r="L251" s="28">
        <f>SUMIFS('02a_CSP_Contract_Alloc'!$K$2:$K$305,'02a_CSP_Contract_Alloc'!$B$2:$B$305,B251,'02a_CSP_Contract_Alloc'!$C$2:$C$305,C251,'02a_CSP_Contract_Alloc'!$D$2:$D$305,D251)</f>
        <v/>
      </c>
      <c r="M251" s="6">
        <f>IF(L251&gt;0,K251/L251,0)</f>
        <v/>
      </c>
      <c r="N251" s="28">
        <f>F251*M251</f>
        <v/>
      </c>
      <c r="O251" s="5">
        <f>'02a_CSP_Contract_Alloc'!L251</f>
        <v/>
      </c>
      <c r="P251" s="5" t="inlineStr">
        <is>
          <t>AI company inference power is normalized across CSPs by CSP total power * AI contract share * inference share.</t>
        </is>
      </c>
    </row>
    <row r="252">
      <c r="A252" s="5">
        <f>'02a_CSP_Contract_Alloc'!A252</f>
        <v/>
      </c>
      <c r="B252" s="5">
        <f>'02a_CSP_Contract_Alloc'!B252</f>
        <v/>
      </c>
      <c r="C252" s="5">
        <f>'02a_CSP_Contract_Alloc'!C252</f>
        <v/>
      </c>
      <c r="D252" s="5">
        <f>'02a_CSP_Contract_Alloc'!D252</f>
        <v/>
      </c>
      <c r="E252" s="5">
        <f>'02a_CSP_Contract_Alloc'!E252</f>
        <v/>
      </c>
      <c r="F252" s="28">
        <f>SUMPRODUCT(('02_Inputs'!$A$2:$A$181=B252)*('02_Inputs'!$B$2:$B$181=C252)*('02_Inputs'!$C$2:$C$181=D252)*'02_Inputs'!$D$2:$D$181*'02_Inputs'!$E$2:$E$181/'02_Inputs'!$F$2:$F$181*'02_Inputs'!$G$2:$G$181*'02_Inputs'!$H$2:$H$181*1000)</f>
        <v/>
      </c>
      <c r="G252" s="28">
        <f>'02a_CSP_Contract_Alloc'!F252</f>
        <v/>
      </c>
      <c r="H252" s="6">
        <f>'02a_CSP_Contract_Alloc'!G252</f>
        <v/>
      </c>
      <c r="I252" s="28">
        <f>'02a_CSP_Contract_Alloc'!H252</f>
        <v/>
      </c>
      <c r="J252" s="6">
        <f>'02a_CSP_Contract_Alloc'!I252</f>
        <v/>
      </c>
      <c r="K252" s="28">
        <f>'02a_CSP_Contract_Alloc'!K252</f>
        <v/>
      </c>
      <c r="L252" s="28">
        <f>SUMIFS('02a_CSP_Contract_Alloc'!$K$2:$K$305,'02a_CSP_Contract_Alloc'!$B$2:$B$305,B252,'02a_CSP_Contract_Alloc'!$C$2:$C$305,C252,'02a_CSP_Contract_Alloc'!$D$2:$D$305,D252)</f>
        <v/>
      </c>
      <c r="M252" s="6">
        <f>IF(L252&gt;0,K252/L252,0)</f>
        <v/>
      </c>
      <c r="N252" s="28">
        <f>F252*M252</f>
        <v/>
      </c>
      <c r="O252" s="5">
        <f>'02a_CSP_Contract_Alloc'!L252</f>
        <v/>
      </c>
      <c r="P252" s="5" t="inlineStr">
        <is>
          <t>AI company inference power is normalized across CSPs by CSP total power * AI contract share * inference share.</t>
        </is>
      </c>
    </row>
    <row r="253">
      <c r="A253" s="5">
        <f>'02a_CSP_Contract_Alloc'!A253</f>
        <v/>
      </c>
      <c r="B253" s="5">
        <f>'02a_CSP_Contract_Alloc'!B253</f>
        <v/>
      </c>
      <c r="C253" s="5">
        <f>'02a_CSP_Contract_Alloc'!C253</f>
        <v/>
      </c>
      <c r="D253" s="5">
        <f>'02a_CSP_Contract_Alloc'!D253</f>
        <v/>
      </c>
      <c r="E253" s="5">
        <f>'02a_CSP_Contract_Alloc'!E253</f>
        <v/>
      </c>
      <c r="F253" s="28">
        <f>SUMPRODUCT(('02_Inputs'!$A$2:$A$181=B253)*('02_Inputs'!$B$2:$B$181=C253)*('02_Inputs'!$C$2:$C$181=D253)*'02_Inputs'!$D$2:$D$181*'02_Inputs'!$E$2:$E$181/'02_Inputs'!$F$2:$F$181*'02_Inputs'!$G$2:$G$181*'02_Inputs'!$H$2:$H$181*1000)</f>
        <v/>
      </c>
      <c r="G253" s="28">
        <f>'02a_CSP_Contract_Alloc'!F253</f>
        <v/>
      </c>
      <c r="H253" s="6">
        <f>'02a_CSP_Contract_Alloc'!G253</f>
        <v/>
      </c>
      <c r="I253" s="28">
        <f>'02a_CSP_Contract_Alloc'!H253</f>
        <v/>
      </c>
      <c r="J253" s="6">
        <f>'02a_CSP_Contract_Alloc'!I253</f>
        <v/>
      </c>
      <c r="K253" s="28">
        <f>'02a_CSP_Contract_Alloc'!K253</f>
        <v/>
      </c>
      <c r="L253" s="28">
        <f>SUMIFS('02a_CSP_Contract_Alloc'!$K$2:$K$305,'02a_CSP_Contract_Alloc'!$B$2:$B$305,B253,'02a_CSP_Contract_Alloc'!$C$2:$C$305,C253,'02a_CSP_Contract_Alloc'!$D$2:$D$305,D253)</f>
        <v/>
      </c>
      <c r="M253" s="6">
        <f>IF(L253&gt;0,K253/L253,0)</f>
        <v/>
      </c>
      <c r="N253" s="28">
        <f>F253*M253</f>
        <v/>
      </c>
      <c r="O253" s="5">
        <f>'02a_CSP_Contract_Alloc'!L253</f>
        <v/>
      </c>
      <c r="P253" s="5" t="inlineStr">
        <is>
          <t>AI company inference power is normalized across CSPs by CSP total power * AI contract share * inference share.</t>
        </is>
      </c>
    </row>
    <row r="254">
      <c r="A254" s="5">
        <f>'02a_CSP_Contract_Alloc'!A254</f>
        <v/>
      </c>
      <c r="B254" s="5">
        <f>'02a_CSP_Contract_Alloc'!B254</f>
        <v/>
      </c>
      <c r="C254" s="5">
        <f>'02a_CSP_Contract_Alloc'!C254</f>
        <v/>
      </c>
      <c r="D254" s="5">
        <f>'02a_CSP_Contract_Alloc'!D254</f>
        <v/>
      </c>
      <c r="E254" s="5">
        <f>'02a_CSP_Contract_Alloc'!E254</f>
        <v/>
      </c>
      <c r="F254" s="28">
        <f>SUMPRODUCT(('02_Inputs'!$A$2:$A$181=B254)*('02_Inputs'!$B$2:$B$181=C254)*('02_Inputs'!$C$2:$C$181=D254)*'02_Inputs'!$D$2:$D$181*'02_Inputs'!$E$2:$E$181/'02_Inputs'!$F$2:$F$181*'02_Inputs'!$G$2:$G$181*'02_Inputs'!$H$2:$H$181*1000)</f>
        <v/>
      </c>
      <c r="G254" s="28">
        <f>'02a_CSP_Contract_Alloc'!F254</f>
        <v/>
      </c>
      <c r="H254" s="6">
        <f>'02a_CSP_Contract_Alloc'!G254</f>
        <v/>
      </c>
      <c r="I254" s="28">
        <f>'02a_CSP_Contract_Alloc'!H254</f>
        <v/>
      </c>
      <c r="J254" s="6">
        <f>'02a_CSP_Contract_Alloc'!I254</f>
        <v/>
      </c>
      <c r="K254" s="28">
        <f>'02a_CSP_Contract_Alloc'!K254</f>
        <v/>
      </c>
      <c r="L254" s="28">
        <f>SUMIFS('02a_CSP_Contract_Alloc'!$K$2:$K$305,'02a_CSP_Contract_Alloc'!$B$2:$B$305,B254,'02a_CSP_Contract_Alloc'!$C$2:$C$305,C254,'02a_CSP_Contract_Alloc'!$D$2:$D$305,D254)</f>
        <v/>
      </c>
      <c r="M254" s="6">
        <f>IF(L254&gt;0,K254/L254,0)</f>
        <v/>
      </c>
      <c r="N254" s="28">
        <f>F254*M254</f>
        <v/>
      </c>
      <c r="O254" s="5">
        <f>'02a_CSP_Contract_Alloc'!L254</f>
        <v/>
      </c>
      <c r="P254" s="5" t="inlineStr">
        <is>
          <t>AI company inference power is normalized across CSPs by CSP total power * AI contract share * inference share.</t>
        </is>
      </c>
    </row>
    <row r="255">
      <c r="A255" s="5">
        <f>'02a_CSP_Contract_Alloc'!A255</f>
        <v/>
      </c>
      <c r="B255" s="5">
        <f>'02a_CSP_Contract_Alloc'!B255</f>
        <v/>
      </c>
      <c r="C255" s="5">
        <f>'02a_CSP_Contract_Alloc'!C255</f>
        <v/>
      </c>
      <c r="D255" s="5">
        <f>'02a_CSP_Contract_Alloc'!D255</f>
        <v/>
      </c>
      <c r="E255" s="5">
        <f>'02a_CSP_Contract_Alloc'!E255</f>
        <v/>
      </c>
      <c r="F255" s="28">
        <f>SUMPRODUCT(('02_Inputs'!$A$2:$A$181=B255)*('02_Inputs'!$B$2:$B$181=C255)*('02_Inputs'!$C$2:$C$181=D255)*'02_Inputs'!$D$2:$D$181*'02_Inputs'!$E$2:$E$181/'02_Inputs'!$F$2:$F$181*'02_Inputs'!$G$2:$G$181*'02_Inputs'!$H$2:$H$181*1000)</f>
        <v/>
      </c>
      <c r="G255" s="28">
        <f>'02a_CSP_Contract_Alloc'!F255</f>
        <v/>
      </c>
      <c r="H255" s="6">
        <f>'02a_CSP_Contract_Alloc'!G255</f>
        <v/>
      </c>
      <c r="I255" s="28">
        <f>'02a_CSP_Contract_Alloc'!H255</f>
        <v/>
      </c>
      <c r="J255" s="6">
        <f>'02a_CSP_Contract_Alloc'!I255</f>
        <v/>
      </c>
      <c r="K255" s="28">
        <f>'02a_CSP_Contract_Alloc'!K255</f>
        <v/>
      </c>
      <c r="L255" s="28">
        <f>SUMIFS('02a_CSP_Contract_Alloc'!$K$2:$K$305,'02a_CSP_Contract_Alloc'!$B$2:$B$305,B255,'02a_CSP_Contract_Alloc'!$C$2:$C$305,C255,'02a_CSP_Contract_Alloc'!$D$2:$D$305,D255)</f>
        <v/>
      </c>
      <c r="M255" s="6">
        <f>IF(L255&gt;0,K255/L255,0)</f>
        <v/>
      </c>
      <c r="N255" s="28">
        <f>F255*M255</f>
        <v/>
      </c>
      <c r="O255" s="5">
        <f>'02a_CSP_Contract_Alloc'!L255</f>
        <v/>
      </c>
      <c r="P255" s="5" t="inlineStr">
        <is>
          <t>AI company inference power is normalized across CSPs by CSP total power * AI contract share * inference share.</t>
        </is>
      </c>
    </row>
    <row r="256">
      <c r="A256" s="5">
        <f>'02a_CSP_Contract_Alloc'!A256</f>
        <v/>
      </c>
      <c r="B256" s="5">
        <f>'02a_CSP_Contract_Alloc'!B256</f>
        <v/>
      </c>
      <c r="C256" s="5">
        <f>'02a_CSP_Contract_Alloc'!C256</f>
        <v/>
      </c>
      <c r="D256" s="5">
        <f>'02a_CSP_Contract_Alloc'!D256</f>
        <v/>
      </c>
      <c r="E256" s="5">
        <f>'02a_CSP_Contract_Alloc'!E256</f>
        <v/>
      </c>
      <c r="F256" s="28">
        <f>SUMPRODUCT(('02_Inputs'!$A$2:$A$181=B256)*('02_Inputs'!$B$2:$B$181=C256)*('02_Inputs'!$C$2:$C$181=D256)*'02_Inputs'!$D$2:$D$181*'02_Inputs'!$E$2:$E$181/'02_Inputs'!$F$2:$F$181*'02_Inputs'!$G$2:$G$181*'02_Inputs'!$H$2:$H$181*1000)</f>
        <v/>
      </c>
      <c r="G256" s="28">
        <f>'02a_CSP_Contract_Alloc'!F256</f>
        <v/>
      </c>
      <c r="H256" s="6">
        <f>'02a_CSP_Contract_Alloc'!G256</f>
        <v/>
      </c>
      <c r="I256" s="28">
        <f>'02a_CSP_Contract_Alloc'!H256</f>
        <v/>
      </c>
      <c r="J256" s="6">
        <f>'02a_CSP_Contract_Alloc'!I256</f>
        <v/>
      </c>
      <c r="K256" s="28">
        <f>'02a_CSP_Contract_Alloc'!K256</f>
        <v/>
      </c>
      <c r="L256" s="28">
        <f>SUMIFS('02a_CSP_Contract_Alloc'!$K$2:$K$305,'02a_CSP_Contract_Alloc'!$B$2:$B$305,B256,'02a_CSP_Contract_Alloc'!$C$2:$C$305,C256,'02a_CSP_Contract_Alloc'!$D$2:$D$305,D256)</f>
        <v/>
      </c>
      <c r="M256" s="6">
        <f>IF(L256&gt;0,K256/L256,0)</f>
        <v/>
      </c>
      <c r="N256" s="28">
        <f>F256*M256</f>
        <v/>
      </c>
      <c r="O256" s="5">
        <f>'02a_CSP_Contract_Alloc'!L256</f>
        <v/>
      </c>
      <c r="P256" s="5" t="inlineStr">
        <is>
          <t>AI company inference power is normalized across CSPs by CSP total power * AI contract share * inference share.</t>
        </is>
      </c>
    </row>
    <row r="257">
      <c r="A257" s="5">
        <f>'02a_CSP_Contract_Alloc'!A257</f>
        <v/>
      </c>
      <c r="B257" s="5">
        <f>'02a_CSP_Contract_Alloc'!B257</f>
        <v/>
      </c>
      <c r="C257" s="5">
        <f>'02a_CSP_Contract_Alloc'!C257</f>
        <v/>
      </c>
      <c r="D257" s="5">
        <f>'02a_CSP_Contract_Alloc'!D257</f>
        <v/>
      </c>
      <c r="E257" s="5">
        <f>'02a_CSP_Contract_Alloc'!E257</f>
        <v/>
      </c>
      <c r="F257" s="28">
        <f>SUMPRODUCT(('02_Inputs'!$A$2:$A$181=B257)*('02_Inputs'!$B$2:$B$181=C257)*('02_Inputs'!$C$2:$C$181=D257)*'02_Inputs'!$D$2:$D$181*'02_Inputs'!$E$2:$E$181/'02_Inputs'!$F$2:$F$181*'02_Inputs'!$G$2:$G$181*'02_Inputs'!$H$2:$H$181*1000)</f>
        <v/>
      </c>
      <c r="G257" s="28">
        <f>'02a_CSP_Contract_Alloc'!F257</f>
        <v/>
      </c>
      <c r="H257" s="6">
        <f>'02a_CSP_Contract_Alloc'!G257</f>
        <v/>
      </c>
      <c r="I257" s="28">
        <f>'02a_CSP_Contract_Alloc'!H257</f>
        <v/>
      </c>
      <c r="J257" s="6">
        <f>'02a_CSP_Contract_Alloc'!I257</f>
        <v/>
      </c>
      <c r="K257" s="28">
        <f>'02a_CSP_Contract_Alloc'!K257</f>
        <v/>
      </c>
      <c r="L257" s="28">
        <f>SUMIFS('02a_CSP_Contract_Alloc'!$K$2:$K$305,'02a_CSP_Contract_Alloc'!$B$2:$B$305,B257,'02a_CSP_Contract_Alloc'!$C$2:$C$305,C257,'02a_CSP_Contract_Alloc'!$D$2:$D$305,D257)</f>
        <v/>
      </c>
      <c r="M257" s="6">
        <f>IF(L257&gt;0,K257/L257,0)</f>
        <v/>
      </c>
      <c r="N257" s="28">
        <f>F257*M257</f>
        <v/>
      </c>
      <c r="O257" s="5">
        <f>'02a_CSP_Contract_Alloc'!L257</f>
        <v/>
      </c>
      <c r="P257" s="5" t="inlineStr">
        <is>
          <t>AI company inference power is normalized across CSPs by CSP total power * AI contract share * inference share.</t>
        </is>
      </c>
    </row>
    <row r="258">
      <c r="A258" s="5">
        <f>'02a_CSP_Contract_Alloc'!A258</f>
        <v/>
      </c>
      <c r="B258" s="5">
        <f>'02a_CSP_Contract_Alloc'!B258</f>
        <v/>
      </c>
      <c r="C258" s="5">
        <f>'02a_CSP_Contract_Alloc'!C258</f>
        <v/>
      </c>
      <c r="D258" s="5">
        <f>'02a_CSP_Contract_Alloc'!D258</f>
        <v/>
      </c>
      <c r="E258" s="5">
        <f>'02a_CSP_Contract_Alloc'!E258</f>
        <v/>
      </c>
      <c r="F258" s="28">
        <f>SUMPRODUCT(('02_Inputs'!$A$2:$A$181=B258)*('02_Inputs'!$B$2:$B$181=C258)*('02_Inputs'!$C$2:$C$181=D258)*'02_Inputs'!$D$2:$D$181*'02_Inputs'!$E$2:$E$181/'02_Inputs'!$F$2:$F$181*'02_Inputs'!$G$2:$G$181*'02_Inputs'!$H$2:$H$181*1000)</f>
        <v/>
      </c>
      <c r="G258" s="28">
        <f>'02a_CSP_Contract_Alloc'!F258</f>
        <v/>
      </c>
      <c r="H258" s="6">
        <f>'02a_CSP_Contract_Alloc'!G258</f>
        <v/>
      </c>
      <c r="I258" s="28">
        <f>'02a_CSP_Contract_Alloc'!H258</f>
        <v/>
      </c>
      <c r="J258" s="6">
        <f>'02a_CSP_Contract_Alloc'!I258</f>
        <v/>
      </c>
      <c r="K258" s="28">
        <f>'02a_CSP_Contract_Alloc'!K258</f>
        <v/>
      </c>
      <c r="L258" s="28">
        <f>SUMIFS('02a_CSP_Contract_Alloc'!$K$2:$K$305,'02a_CSP_Contract_Alloc'!$B$2:$B$305,B258,'02a_CSP_Contract_Alloc'!$C$2:$C$305,C258,'02a_CSP_Contract_Alloc'!$D$2:$D$305,D258)</f>
        <v/>
      </c>
      <c r="M258" s="6">
        <f>IF(L258&gt;0,K258/L258,0)</f>
        <v/>
      </c>
      <c r="N258" s="28">
        <f>F258*M258</f>
        <v/>
      </c>
      <c r="O258" s="5">
        <f>'02a_CSP_Contract_Alloc'!L258</f>
        <v/>
      </c>
      <c r="P258" s="5" t="inlineStr">
        <is>
          <t>AI company inference power is normalized across CSPs by CSP total power * AI contract share * inference share.</t>
        </is>
      </c>
    </row>
    <row r="259">
      <c r="A259" s="5">
        <f>'02a_CSP_Contract_Alloc'!A259</f>
        <v/>
      </c>
      <c r="B259" s="5">
        <f>'02a_CSP_Contract_Alloc'!B259</f>
        <v/>
      </c>
      <c r="C259" s="5">
        <f>'02a_CSP_Contract_Alloc'!C259</f>
        <v/>
      </c>
      <c r="D259" s="5">
        <f>'02a_CSP_Contract_Alloc'!D259</f>
        <v/>
      </c>
      <c r="E259" s="5">
        <f>'02a_CSP_Contract_Alloc'!E259</f>
        <v/>
      </c>
      <c r="F259" s="28">
        <f>SUMPRODUCT(('02_Inputs'!$A$2:$A$181=B259)*('02_Inputs'!$B$2:$B$181=C259)*('02_Inputs'!$C$2:$C$181=D259)*'02_Inputs'!$D$2:$D$181*'02_Inputs'!$E$2:$E$181/'02_Inputs'!$F$2:$F$181*'02_Inputs'!$G$2:$G$181*'02_Inputs'!$H$2:$H$181*1000)</f>
        <v/>
      </c>
      <c r="G259" s="28">
        <f>'02a_CSP_Contract_Alloc'!F259</f>
        <v/>
      </c>
      <c r="H259" s="6">
        <f>'02a_CSP_Contract_Alloc'!G259</f>
        <v/>
      </c>
      <c r="I259" s="28">
        <f>'02a_CSP_Contract_Alloc'!H259</f>
        <v/>
      </c>
      <c r="J259" s="6">
        <f>'02a_CSP_Contract_Alloc'!I259</f>
        <v/>
      </c>
      <c r="K259" s="28">
        <f>'02a_CSP_Contract_Alloc'!K259</f>
        <v/>
      </c>
      <c r="L259" s="28">
        <f>SUMIFS('02a_CSP_Contract_Alloc'!$K$2:$K$305,'02a_CSP_Contract_Alloc'!$B$2:$B$305,B259,'02a_CSP_Contract_Alloc'!$C$2:$C$305,C259,'02a_CSP_Contract_Alloc'!$D$2:$D$305,D259)</f>
        <v/>
      </c>
      <c r="M259" s="6">
        <f>IF(L259&gt;0,K259/L259,0)</f>
        <v/>
      </c>
      <c r="N259" s="28">
        <f>F259*M259</f>
        <v/>
      </c>
      <c r="O259" s="5">
        <f>'02a_CSP_Contract_Alloc'!L259</f>
        <v/>
      </c>
      <c r="P259" s="5" t="inlineStr">
        <is>
          <t>AI company inference power is normalized across CSPs by CSP total power * AI contract share * inference share.</t>
        </is>
      </c>
    </row>
    <row r="260">
      <c r="A260" s="5">
        <f>'02a_CSP_Contract_Alloc'!A260</f>
        <v/>
      </c>
      <c r="B260" s="5">
        <f>'02a_CSP_Contract_Alloc'!B260</f>
        <v/>
      </c>
      <c r="C260" s="5">
        <f>'02a_CSP_Contract_Alloc'!C260</f>
        <v/>
      </c>
      <c r="D260" s="5">
        <f>'02a_CSP_Contract_Alloc'!D260</f>
        <v/>
      </c>
      <c r="E260" s="5">
        <f>'02a_CSP_Contract_Alloc'!E260</f>
        <v/>
      </c>
      <c r="F260" s="28">
        <f>SUMPRODUCT(('02_Inputs'!$A$2:$A$181=B260)*('02_Inputs'!$B$2:$B$181=C260)*('02_Inputs'!$C$2:$C$181=D260)*'02_Inputs'!$D$2:$D$181*'02_Inputs'!$E$2:$E$181/'02_Inputs'!$F$2:$F$181*'02_Inputs'!$G$2:$G$181*'02_Inputs'!$H$2:$H$181*1000)</f>
        <v/>
      </c>
      <c r="G260" s="28">
        <f>'02a_CSP_Contract_Alloc'!F260</f>
        <v/>
      </c>
      <c r="H260" s="6">
        <f>'02a_CSP_Contract_Alloc'!G260</f>
        <v/>
      </c>
      <c r="I260" s="28">
        <f>'02a_CSP_Contract_Alloc'!H260</f>
        <v/>
      </c>
      <c r="J260" s="6">
        <f>'02a_CSP_Contract_Alloc'!I260</f>
        <v/>
      </c>
      <c r="K260" s="28">
        <f>'02a_CSP_Contract_Alloc'!K260</f>
        <v/>
      </c>
      <c r="L260" s="28">
        <f>SUMIFS('02a_CSP_Contract_Alloc'!$K$2:$K$305,'02a_CSP_Contract_Alloc'!$B$2:$B$305,B260,'02a_CSP_Contract_Alloc'!$C$2:$C$305,C260,'02a_CSP_Contract_Alloc'!$D$2:$D$305,D260)</f>
        <v/>
      </c>
      <c r="M260" s="6">
        <f>IF(L260&gt;0,K260/L260,0)</f>
        <v/>
      </c>
      <c r="N260" s="28">
        <f>F260*M260</f>
        <v/>
      </c>
      <c r="O260" s="5">
        <f>'02a_CSP_Contract_Alloc'!L260</f>
        <v/>
      </c>
      <c r="P260" s="5" t="inlineStr">
        <is>
          <t>AI company inference power is normalized across CSPs by CSP total power * AI contract share * inference share.</t>
        </is>
      </c>
    </row>
    <row r="261">
      <c r="A261" s="5">
        <f>'02a_CSP_Contract_Alloc'!A261</f>
        <v/>
      </c>
      <c r="B261" s="5">
        <f>'02a_CSP_Contract_Alloc'!B261</f>
        <v/>
      </c>
      <c r="C261" s="5">
        <f>'02a_CSP_Contract_Alloc'!C261</f>
        <v/>
      </c>
      <c r="D261" s="5">
        <f>'02a_CSP_Contract_Alloc'!D261</f>
        <v/>
      </c>
      <c r="E261" s="5">
        <f>'02a_CSP_Contract_Alloc'!E261</f>
        <v/>
      </c>
      <c r="F261" s="28">
        <f>SUMPRODUCT(('02_Inputs'!$A$2:$A$181=B261)*('02_Inputs'!$B$2:$B$181=C261)*('02_Inputs'!$C$2:$C$181=D261)*'02_Inputs'!$D$2:$D$181*'02_Inputs'!$E$2:$E$181/'02_Inputs'!$F$2:$F$181*'02_Inputs'!$G$2:$G$181*'02_Inputs'!$H$2:$H$181*1000)</f>
        <v/>
      </c>
      <c r="G261" s="28">
        <f>'02a_CSP_Contract_Alloc'!F261</f>
        <v/>
      </c>
      <c r="H261" s="6">
        <f>'02a_CSP_Contract_Alloc'!G261</f>
        <v/>
      </c>
      <c r="I261" s="28">
        <f>'02a_CSP_Contract_Alloc'!H261</f>
        <v/>
      </c>
      <c r="J261" s="6">
        <f>'02a_CSP_Contract_Alloc'!I261</f>
        <v/>
      </c>
      <c r="K261" s="28">
        <f>'02a_CSP_Contract_Alloc'!K261</f>
        <v/>
      </c>
      <c r="L261" s="28">
        <f>SUMIFS('02a_CSP_Contract_Alloc'!$K$2:$K$305,'02a_CSP_Contract_Alloc'!$B$2:$B$305,B261,'02a_CSP_Contract_Alloc'!$C$2:$C$305,C261,'02a_CSP_Contract_Alloc'!$D$2:$D$305,D261)</f>
        <v/>
      </c>
      <c r="M261" s="6">
        <f>IF(L261&gt;0,K261/L261,0)</f>
        <v/>
      </c>
      <c r="N261" s="28">
        <f>F261*M261</f>
        <v/>
      </c>
      <c r="O261" s="5">
        <f>'02a_CSP_Contract_Alloc'!L261</f>
        <v/>
      </c>
      <c r="P261" s="5" t="inlineStr">
        <is>
          <t>AI company inference power is normalized across CSPs by CSP total power * AI contract share * inference share.</t>
        </is>
      </c>
    </row>
    <row r="262">
      <c r="A262" s="5">
        <f>'02a_CSP_Contract_Alloc'!A262</f>
        <v/>
      </c>
      <c r="B262" s="5">
        <f>'02a_CSP_Contract_Alloc'!B262</f>
        <v/>
      </c>
      <c r="C262" s="5">
        <f>'02a_CSP_Contract_Alloc'!C262</f>
        <v/>
      </c>
      <c r="D262" s="5">
        <f>'02a_CSP_Contract_Alloc'!D262</f>
        <v/>
      </c>
      <c r="E262" s="5">
        <f>'02a_CSP_Contract_Alloc'!E262</f>
        <v/>
      </c>
      <c r="F262" s="28">
        <f>SUMPRODUCT(('02_Inputs'!$A$2:$A$181=B262)*('02_Inputs'!$B$2:$B$181=C262)*('02_Inputs'!$C$2:$C$181=D262)*'02_Inputs'!$D$2:$D$181*'02_Inputs'!$E$2:$E$181/'02_Inputs'!$F$2:$F$181*'02_Inputs'!$G$2:$G$181*'02_Inputs'!$H$2:$H$181*1000)</f>
        <v/>
      </c>
      <c r="G262" s="28">
        <f>'02a_CSP_Contract_Alloc'!F262</f>
        <v/>
      </c>
      <c r="H262" s="6">
        <f>'02a_CSP_Contract_Alloc'!G262</f>
        <v/>
      </c>
      <c r="I262" s="28">
        <f>'02a_CSP_Contract_Alloc'!H262</f>
        <v/>
      </c>
      <c r="J262" s="6">
        <f>'02a_CSP_Contract_Alloc'!I262</f>
        <v/>
      </c>
      <c r="K262" s="28">
        <f>'02a_CSP_Contract_Alloc'!K262</f>
        <v/>
      </c>
      <c r="L262" s="28">
        <f>SUMIFS('02a_CSP_Contract_Alloc'!$K$2:$K$305,'02a_CSP_Contract_Alloc'!$B$2:$B$305,B262,'02a_CSP_Contract_Alloc'!$C$2:$C$305,C262,'02a_CSP_Contract_Alloc'!$D$2:$D$305,D262)</f>
        <v/>
      </c>
      <c r="M262" s="6">
        <f>IF(L262&gt;0,K262/L262,0)</f>
        <v/>
      </c>
      <c r="N262" s="28">
        <f>F262*M262</f>
        <v/>
      </c>
      <c r="O262" s="5">
        <f>'02a_CSP_Contract_Alloc'!L262</f>
        <v/>
      </c>
      <c r="P262" s="5" t="inlineStr">
        <is>
          <t>AI company inference power is normalized across CSPs by CSP total power * AI contract share * inference share.</t>
        </is>
      </c>
    </row>
    <row r="263">
      <c r="A263" s="5">
        <f>'02a_CSP_Contract_Alloc'!A263</f>
        <v/>
      </c>
      <c r="B263" s="5">
        <f>'02a_CSP_Contract_Alloc'!B263</f>
        <v/>
      </c>
      <c r="C263" s="5">
        <f>'02a_CSP_Contract_Alloc'!C263</f>
        <v/>
      </c>
      <c r="D263" s="5">
        <f>'02a_CSP_Contract_Alloc'!D263</f>
        <v/>
      </c>
      <c r="E263" s="5">
        <f>'02a_CSP_Contract_Alloc'!E263</f>
        <v/>
      </c>
      <c r="F263" s="28">
        <f>SUMPRODUCT(('02_Inputs'!$A$2:$A$181=B263)*('02_Inputs'!$B$2:$B$181=C263)*('02_Inputs'!$C$2:$C$181=D263)*'02_Inputs'!$D$2:$D$181*'02_Inputs'!$E$2:$E$181/'02_Inputs'!$F$2:$F$181*'02_Inputs'!$G$2:$G$181*'02_Inputs'!$H$2:$H$181*1000)</f>
        <v/>
      </c>
      <c r="G263" s="28">
        <f>'02a_CSP_Contract_Alloc'!F263</f>
        <v/>
      </c>
      <c r="H263" s="6">
        <f>'02a_CSP_Contract_Alloc'!G263</f>
        <v/>
      </c>
      <c r="I263" s="28">
        <f>'02a_CSP_Contract_Alloc'!H263</f>
        <v/>
      </c>
      <c r="J263" s="6">
        <f>'02a_CSP_Contract_Alloc'!I263</f>
        <v/>
      </c>
      <c r="K263" s="28">
        <f>'02a_CSP_Contract_Alloc'!K263</f>
        <v/>
      </c>
      <c r="L263" s="28">
        <f>SUMIFS('02a_CSP_Contract_Alloc'!$K$2:$K$305,'02a_CSP_Contract_Alloc'!$B$2:$B$305,B263,'02a_CSP_Contract_Alloc'!$C$2:$C$305,C263,'02a_CSP_Contract_Alloc'!$D$2:$D$305,D263)</f>
        <v/>
      </c>
      <c r="M263" s="6">
        <f>IF(L263&gt;0,K263/L263,0)</f>
        <v/>
      </c>
      <c r="N263" s="28">
        <f>F263*M263</f>
        <v/>
      </c>
      <c r="O263" s="5">
        <f>'02a_CSP_Contract_Alloc'!L263</f>
        <v/>
      </c>
      <c r="P263" s="5" t="inlineStr">
        <is>
          <t>AI company inference power is normalized across CSPs by CSP total power * AI contract share * inference share.</t>
        </is>
      </c>
    </row>
    <row r="264">
      <c r="A264" s="5">
        <f>'02a_CSP_Contract_Alloc'!A264</f>
        <v/>
      </c>
      <c r="B264" s="5">
        <f>'02a_CSP_Contract_Alloc'!B264</f>
        <v/>
      </c>
      <c r="C264" s="5">
        <f>'02a_CSP_Contract_Alloc'!C264</f>
        <v/>
      </c>
      <c r="D264" s="5">
        <f>'02a_CSP_Contract_Alloc'!D264</f>
        <v/>
      </c>
      <c r="E264" s="5">
        <f>'02a_CSP_Contract_Alloc'!E264</f>
        <v/>
      </c>
      <c r="F264" s="28">
        <f>SUMPRODUCT(('02_Inputs'!$A$2:$A$181=B264)*('02_Inputs'!$B$2:$B$181=C264)*('02_Inputs'!$C$2:$C$181=D264)*'02_Inputs'!$D$2:$D$181*'02_Inputs'!$E$2:$E$181/'02_Inputs'!$F$2:$F$181*'02_Inputs'!$G$2:$G$181*'02_Inputs'!$H$2:$H$181*1000)</f>
        <v/>
      </c>
      <c r="G264" s="28">
        <f>'02a_CSP_Contract_Alloc'!F264</f>
        <v/>
      </c>
      <c r="H264" s="6">
        <f>'02a_CSP_Contract_Alloc'!G264</f>
        <v/>
      </c>
      <c r="I264" s="28">
        <f>'02a_CSP_Contract_Alloc'!H264</f>
        <v/>
      </c>
      <c r="J264" s="6">
        <f>'02a_CSP_Contract_Alloc'!I264</f>
        <v/>
      </c>
      <c r="K264" s="28">
        <f>'02a_CSP_Contract_Alloc'!K264</f>
        <v/>
      </c>
      <c r="L264" s="28">
        <f>SUMIFS('02a_CSP_Contract_Alloc'!$K$2:$K$305,'02a_CSP_Contract_Alloc'!$B$2:$B$305,B264,'02a_CSP_Contract_Alloc'!$C$2:$C$305,C264,'02a_CSP_Contract_Alloc'!$D$2:$D$305,D264)</f>
        <v/>
      </c>
      <c r="M264" s="6">
        <f>IF(L264&gt;0,K264/L264,0)</f>
        <v/>
      </c>
      <c r="N264" s="28">
        <f>F264*M264</f>
        <v/>
      </c>
      <c r="O264" s="5">
        <f>'02a_CSP_Contract_Alloc'!L264</f>
        <v/>
      </c>
      <c r="P264" s="5" t="inlineStr">
        <is>
          <t>AI company inference power is normalized across CSPs by CSP total power * AI contract share * inference share.</t>
        </is>
      </c>
    </row>
    <row r="265">
      <c r="A265" s="5">
        <f>'02a_CSP_Contract_Alloc'!A265</f>
        <v/>
      </c>
      <c r="B265" s="5">
        <f>'02a_CSP_Contract_Alloc'!B265</f>
        <v/>
      </c>
      <c r="C265" s="5">
        <f>'02a_CSP_Contract_Alloc'!C265</f>
        <v/>
      </c>
      <c r="D265" s="5">
        <f>'02a_CSP_Contract_Alloc'!D265</f>
        <v/>
      </c>
      <c r="E265" s="5">
        <f>'02a_CSP_Contract_Alloc'!E265</f>
        <v/>
      </c>
      <c r="F265" s="28">
        <f>SUMPRODUCT(('02_Inputs'!$A$2:$A$181=B265)*('02_Inputs'!$B$2:$B$181=C265)*('02_Inputs'!$C$2:$C$181=D265)*'02_Inputs'!$D$2:$D$181*'02_Inputs'!$E$2:$E$181/'02_Inputs'!$F$2:$F$181*'02_Inputs'!$G$2:$G$181*'02_Inputs'!$H$2:$H$181*1000)</f>
        <v/>
      </c>
      <c r="G265" s="28">
        <f>'02a_CSP_Contract_Alloc'!F265</f>
        <v/>
      </c>
      <c r="H265" s="6">
        <f>'02a_CSP_Contract_Alloc'!G265</f>
        <v/>
      </c>
      <c r="I265" s="28">
        <f>'02a_CSP_Contract_Alloc'!H265</f>
        <v/>
      </c>
      <c r="J265" s="6">
        <f>'02a_CSP_Contract_Alloc'!I265</f>
        <v/>
      </c>
      <c r="K265" s="28">
        <f>'02a_CSP_Contract_Alloc'!K265</f>
        <v/>
      </c>
      <c r="L265" s="28">
        <f>SUMIFS('02a_CSP_Contract_Alloc'!$K$2:$K$305,'02a_CSP_Contract_Alloc'!$B$2:$B$305,B265,'02a_CSP_Contract_Alloc'!$C$2:$C$305,C265,'02a_CSP_Contract_Alloc'!$D$2:$D$305,D265)</f>
        <v/>
      </c>
      <c r="M265" s="6">
        <f>IF(L265&gt;0,K265/L265,0)</f>
        <v/>
      </c>
      <c r="N265" s="28">
        <f>F265*M265</f>
        <v/>
      </c>
      <c r="O265" s="5">
        <f>'02a_CSP_Contract_Alloc'!L265</f>
        <v/>
      </c>
      <c r="P265" s="5" t="inlineStr">
        <is>
          <t>AI company inference power is normalized across CSPs by CSP total power * AI contract share * inference share.</t>
        </is>
      </c>
    </row>
    <row r="266">
      <c r="A266" s="5">
        <f>'02a_CSP_Contract_Alloc'!A266</f>
        <v/>
      </c>
      <c r="B266" s="5">
        <f>'02a_CSP_Contract_Alloc'!B266</f>
        <v/>
      </c>
      <c r="C266" s="5">
        <f>'02a_CSP_Contract_Alloc'!C266</f>
        <v/>
      </c>
      <c r="D266" s="5">
        <f>'02a_CSP_Contract_Alloc'!D266</f>
        <v/>
      </c>
      <c r="E266" s="5">
        <f>'02a_CSP_Contract_Alloc'!E266</f>
        <v/>
      </c>
      <c r="F266" s="28">
        <f>SUMPRODUCT(('02_Inputs'!$A$2:$A$181=B266)*('02_Inputs'!$B$2:$B$181=C266)*('02_Inputs'!$C$2:$C$181=D266)*'02_Inputs'!$D$2:$D$181*'02_Inputs'!$E$2:$E$181/'02_Inputs'!$F$2:$F$181*'02_Inputs'!$G$2:$G$181*'02_Inputs'!$H$2:$H$181*1000)</f>
        <v/>
      </c>
      <c r="G266" s="28">
        <f>'02a_CSP_Contract_Alloc'!F266</f>
        <v/>
      </c>
      <c r="H266" s="6">
        <f>'02a_CSP_Contract_Alloc'!G266</f>
        <v/>
      </c>
      <c r="I266" s="28">
        <f>'02a_CSP_Contract_Alloc'!H266</f>
        <v/>
      </c>
      <c r="J266" s="6">
        <f>'02a_CSP_Contract_Alloc'!I266</f>
        <v/>
      </c>
      <c r="K266" s="28">
        <f>'02a_CSP_Contract_Alloc'!K266</f>
        <v/>
      </c>
      <c r="L266" s="28">
        <f>SUMIFS('02a_CSP_Contract_Alloc'!$K$2:$K$305,'02a_CSP_Contract_Alloc'!$B$2:$B$305,B266,'02a_CSP_Contract_Alloc'!$C$2:$C$305,C266,'02a_CSP_Contract_Alloc'!$D$2:$D$305,D266)</f>
        <v/>
      </c>
      <c r="M266" s="6">
        <f>IF(L266&gt;0,K266/L266,0)</f>
        <v/>
      </c>
      <c r="N266" s="28">
        <f>F266*M266</f>
        <v/>
      </c>
      <c r="O266" s="5">
        <f>'02a_CSP_Contract_Alloc'!L266</f>
        <v/>
      </c>
      <c r="P266" s="5" t="inlineStr">
        <is>
          <t>AI company inference power is normalized across CSPs by CSP total power * AI contract share * inference share.</t>
        </is>
      </c>
    </row>
    <row r="267">
      <c r="A267" s="5">
        <f>'02a_CSP_Contract_Alloc'!A267</f>
        <v/>
      </c>
      <c r="B267" s="5">
        <f>'02a_CSP_Contract_Alloc'!B267</f>
        <v/>
      </c>
      <c r="C267" s="5">
        <f>'02a_CSP_Contract_Alloc'!C267</f>
        <v/>
      </c>
      <c r="D267" s="5">
        <f>'02a_CSP_Contract_Alloc'!D267</f>
        <v/>
      </c>
      <c r="E267" s="5">
        <f>'02a_CSP_Contract_Alloc'!E267</f>
        <v/>
      </c>
      <c r="F267" s="28">
        <f>SUMPRODUCT(('02_Inputs'!$A$2:$A$181=B267)*('02_Inputs'!$B$2:$B$181=C267)*('02_Inputs'!$C$2:$C$181=D267)*'02_Inputs'!$D$2:$D$181*'02_Inputs'!$E$2:$E$181/'02_Inputs'!$F$2:$F$181*'02_Inputs'!$G$2:$G$181*'02_Inputs'!$H$2:$H$181*1000)</f>
        <v/>
      </c>
      <c r="G267" s="28">
        <f>'02a_CSP_Contract_Alloc'!F267</f>
        <v/>
      </c>
      <c r="H267" s="6">
        <f>'02a_CSP_Contract_Alloc'!G267</f>
        <v/>
      </c>
      <c r="I267" s="28">
        <f>'02a_CSP_Contract_Alloc'!H267</f>
        <v/>
      </c>
      <c r="J267" s="6">
        <f>'02a_CSP_Contract_Alloc'!I267</f>
        <v/>
      </c>
      <c r="K267" s="28">
        <f>'02a_CSP_Contract_Alloc'!K267</f>
        <v/>
      </c>
      <c r="L267" s="28">
        <f>SUMIFS('02a_CSP_Contract_Alloc'!$K$2:$K$305,'02a_CSP_Contract_Alloc'!$B$2:$B$305,B267,'02a_CSP_Contract_Alloc'!$C$2:$C$305,C267,'02a_CSP_Contract_Alloc'!$D$2:$D$305,D267)</f>
        <v/>
      </c>
      <c r="M267" s="6">
        <f>IF(L267&gt;0,K267/L267,0)</f>
        <v/>
      </c>
      <c r="N267" s="28">
        <f>F267*M267</f>
        <v/>
      </c>
      <c r="O267" s="5">
        <f>'02a_CSP_Contract_Alloc'!L267</f>
        <v/>
      </c>
      <c r="P267" s="5" t="inlineStr">
        <is>
          <t>AI company inference power is normalized across CSPs by CSP total power * AI contract share * inference share.</t>
        </is>
      </c>
    </row>
    <row r="268">
      <c r="A268" s="5">
        <f>'02a_CSP_Contract_Alloc'!A268</f>
        <v/>
      </c>
      <c r="B268" s="5">
        <f>'02a_CSP_Contract_Alloc'!B268</f>
        <v/>
      </c>
      <c r="C268" s="5">
        <f>'02a_CSP_Contract_Alloc'!C268</f>
        <v/>
      </c>
      <c r="D268" s="5">
        <f>'02a_CSP_Contract_Alloc'!D268</f>
        <v/>
      </c>
      <c r="E268" s="5">
        <f>'02a_CSP_Contract_Alloc'!E268</f>
        <v/>
      </c>
      <c r="F268" s="28">
        <f>SUMPRODUCT(('02_Inputs'!$A$2:$A$181=B268)*('02_Inputs'!$B$2:$B$181=C268)*('02_Inputs'!$C$2:$C$181=D268)*'02_Inputs'!$D$2:$D$181*'02_Inputs'!$E$2:$E$181/'02_Inputs'!$F$2:$F$181*'02_Inputs'!$G$2:$G$181*'02_Inputs'!$H$2:$H$181*1000)</f>
        <v/>
      </c>
      <c r="G268" s="28">
        <f>'02a_CSP_Contract_Alloc'!F268</f>
        <v/>
      </c>
      <c r="H268" s="6">
        <f>'02a_CSP_Contract_Alloc'!G268</f>
        <v/>
      </c>
      <c r="I268" s="28">
        <f>'02a_CSP_Contract_Alloc'!H268</f>
        <v/>
      </c>
      <c r="J268" s="6">
        <f>'02a_CSP_Contract_Alloc'!I268</f>
        <v/>
      </c>
      <c r="K268" s="28">
        <f>'02a_CSP_Contract_Alloc'!K268</f>
        <v/>
      </c>
      <c r="L268" s="28">
        <f>SUMIFS('02a_CSP_Contract_Alloc'!$K$2:$K$305,'02a_CSP_Contract_Alloc'!$B$2:$B$305,B268,'02a_CSP_Contract_Alloc'!$C$2:$C$305,C268,'02a_CSP_Contract_Alloc'!$D$2:$D$305,D268)</f>
        <v/>
      </c>
      <c r="M268" s="6">
        <f>IF(L268&gt;0,K268/L268,0)</f>
        <v/>
      </c>
      <c r="N268" s="28">
        <f>F268*M268</f>
        <v/>
      </c>
      <c r="O268" s="5">
        <f>'02a_CSP_Contract_Alloc'!L268</f>
        <v/>
      </c>
      <c r="P268" s="5" t="inlineStr">
        <is>
          <t>AI company inference power is normalized across CSPs by CSP total power * AI contract share * inference share.</t>
        </is>
      </c>
    </row>
    <row r="269">
      <c r="A269" s="5">
        <f>'02a_CSP_Contract_Alloc'!A269</f>
        <v/>
      </c>
      <c r="B269" s="5">
        <f>'02a_CSP_Contract_Alloc'!B269</f>
        <v/>
      </c>
      <c r="C269" s="5">
        <f>'02a_CSP_Contract_Alloc'!C269</f>
        <v/>
      </c>
      <c r="D269" s="5">
        <f>'02a_CSP_Contract_Alloc'!D269</f>
        <v/>
      </c>
      <c r="E269" s="5">
        <f>'02a_CSP_Contract_Alloc'!E269</f>
        <v/>
      </c>
      <c r="F269" s="28">
        <f>SUMPRODUCT(('02_Inputs'!$A$2:$A$181=B269)*('02_Inputs'!$B$2:$B$181=C269)*('02_Inputs'!$C$2:$C$181=D269)*'02_Inputs'!$D$2:$D$181*'02_Inputs'!$E$2:$E$181/'02_Inputs'!$F$2:$F$181*'02_Inputs'!$G$2:$G$181*'02_Inputs'!$H$2:$H$181*1000)</f>
        <v/>
      </c>
      <c r="G269" s="28">
        <f>'02a_CSP_Contract_Alloc'!F269</f>
        <v/>
      </c>
      <c r="H269" s="6">
        <f>'02a_CSP_Contract_Alloc'!G269</f>
        <v/>
      </c>
      <c r="I269" s="28">
        <f>'02a_CSP_Contract_Alloc'!H269</f>
        <v/>
      </c>
      <c r="J269" s="6">
        <f>'02a_CSP_Contract_Alloc'!I269</f>
        <v/>
      </c>
      <c r="K269" s="28">
        <f>'02a_CSP_Contract_Alloc'!K269</f>
        <v/>
      </c>
      <c r="L269" s="28">
        <f>SUMIFS('02a_CSP_Contract_Alloc'!$K$2:$K$305,'02a_CSP_Contract_Alloc'!$B$2:$B$305,B269,'02a_CSP_Contract_Alloc'!$C$2:$C$305,C269,'02a_CSP_Contract_Alloc'!$D$2:$D$305,D269)</f>
        <v/>
      </c>
      <c r="M269" s="6">
        <f>IF(L269&gt;0,K269/L269,0)</f>
        <v/>
      </c>
      <c r="N269" s="28">
        <f>F269*M269</f>
        <v/>
      </c>
      <c r="O269" s="5">
        <f>'02a_CSP_Contract_Alloc'!L269</f>
        <v/>
      </c>
      <c r="P269" s="5" t="inlineStr">
        <is>
          <t>AI company inference power is normalized across CSPs by CSP total power * AI contract share * inference share.</t>
        </is>
      </c>
    </row>
    <row r="270">
      <c r="A270" s="5">
        <f>'02a_CSP_Contract_Alloc'!A270</f>
        <v/>
      </c>
      <c r="B270" s="5">
        <f>'02a_CSP_Contract_Alloc'!B270</f>
        <v/>
      </c>
      <c r="C270" s="5">
        <f>'02a_CSP_Contract_Alloc'!C270</f>
        <v/>
      </c>
      <c r="D270" s="5">
        <f>'02a_CSP_Contract_Alloc'!D270</f>
        <v/>
      </c>
      <c r="E270" s="5">
        <f>'02a_CSP_Contract_Alloc'!E270</f>
        <v/>
      </c>
      <c r="F270" s="28">
        <f>SUMPRODUCT(('02_Inputs'!$A$2:$A$181=B270)*('02_Inputs'!$B$2:$B$181=C270)*('02_Inputs'!$C$2:$C$181=D270)*'02_Inputs'!$D$2:$D$181*'02_Inputs'!$E$2:$E$181/'02_Inputs'!$F$2:$F$181*'02_Inputs'!$G$2:$G$181*'02_Inputs'!$H$2:$H$181*1000)</f>
        <v/>
      </c>
      <c r="G270" s="28">
        <f>'02a_CSP_Contract_Alloc'!F270</f>
        <v/>
      </c>
      <c r="H270" s="6">
        <f>'02a_CSP_Contract_Alloc'!G270</f>
        <v/>
      </c>
      <c r="I270" s="28">
        <f>'02a_CSP_Contract_Alloc'!H270</f>
        <v/>
      </c>
      <c r="J270" s="6">
        <f>'02a_CSP_Contract_Alloc'!I270</f>
        <v/>
      </c>
      <c r="K270" s="28">
        <f>'02a_CSP_Contract_Alloc'!K270</f>
        <v/>
      </c>
      <c r="L270" s="28">
        <f>SUMIFS('02a_CSP_Contract_Alloc'!$K$2:$K$305,'02a_CSP_Contract_Alloc'!$B$2:$B$305,B270,'02a_CSP_Contract_Alloc'!$C$2:$C$305,C270,'02a_CSP_Contract_Alloc'!$D$2:$D$305,D270)</f>
        <v/>
      </c>
      <c r="M270" s="6">
        <f>IF(L270&gt;0,K270/L270,0)</f>
        <v/>
      </c>
      <c r="N270" s="28">
        <f>F270*M270</f>
        <v/>
      </c>
      <c r="O270" s="5">
        <f>'02a_CSP_Contract_Alloc'!L270</f>
        <v/>
      </c>
      <c r="P270" s="5" t="inlineStr">
        <is>
          <t>AI company inference power is normalized across CSPs by CSP total power * AI contract share * inference share.</t>
        </is>
      </c>
    </row>
    <row r="271">
      <c r="A271" s="5">
        <f>'02a_CSP_Contract_Alloc'!A271</f>
        <v/>
      </c>
      <c r="B271" s="5">
        <f>'02a_CSP_Contract_Alloc'!B271</f>
        <v/>
      </c>
      <c r="C271" s="5">
        <f>'02a_CSP_Contract_Alloc'!C271</f>
        <v/>
      </c>
      <c r="D271" s="5">
        <f>'02a_CSP_Contract_Alloc'!D271</f>
        <v/>
      </c>
      <c r="E271" s="5">
        <f>'02a_CSP_Contract_Alloc'!E271</f>
        <v/>
      </c>
      <c r="F271" s="28">
        <f>SUMPRODUCT(('02_Inputs'!$A$2:$A$181=B271)*('02_Inputs'!$B$2:$B$181=C271)*('02_Inputs'!$C$2:$C$181=D271)*'02_Inputs'!$D$2:$D$181*'02_Inputs'!$E$2:$E$181/'02_Inputs'!$F$2:$F$181*'02_Inputs'!$G$2:$G$181*'02_Inputs'!$H$2:$H$181*1000)</f>
        <v/>
      </c>
      <c r="G271" s="28">
        <f>'02a_CSP_Contract_Alloc'!F271</f>
        <v/>
      </c>
      <c r="H271" s="6">
        <f>'02a_CSP_Contract_Alloc'!G271</f>
        <v/>
      </c>
      <c r="I271" s="28">
        <f>'02a_CSP_Contract_Alloc'!H271</f>
        <v/>
      </c>
      <c r="J271" s="6">
        <f>'02a_CSP_Contract_Alloc'!I271</f>
        <v/>
      </c>
      <c r="K271" s="28">
        <f>'02a_CSP_Contract_Alloc'!K271</f>
        <v/>
      </c>
      <c r="L271" s="28">
        <f>SUMIFS('02a_CSP_Contract_Alloc'!$K$2:$K$305,'02a_CSP_Contract_Alloc'!$B$2:$B$305,B271,'02a_CSP_Contract_Alloc'!$C$2:$C$305,C271,'02a_CSP_Contract_Alloc'!$D$2:$D$305,D271)</f>
        <v/>
      </c>
      <c r="M271" s="6">
        <f>IF(L271&gt;0,K271/L271,0)</f>
        <v/>
      </c>
      <c r="N271" s="28">
        <f>F271*M271</f>
        <v/>
      </c>
      <c r="O271" s="5">
        <f>'02a_CSP_Contract_Alloc'!L271</f>
        <v/>
      </c>
      <c r="P271" s="5" t="inlineStr">
        <is>
          <t>AI company inference power is normalized across CSPs by CSP total power * AI contract share * inference share.</t>
        </is>
      </c>
    </row>
    <row r="272">
      <c r="A272" s="5">
        <f>'02a_CSP_Contract_Alloc'!A272</f>
        <v/>
      </c>
      <c r="B272" s="5">
        <f>'02a_CSP_Contract_Alloc'!B272</f>
        <v/>
      </c>
      <c r="C272" s="5">
        <f>'02a_CSP_Contract_Alloc'!C272</f>
        <v/>
      </c>
      <c r="D272" s="5">
        <f>'02a_CSP_Contract_Alloc'!D272</f>
        <v/>
      </c>
      <c r="E272" s="5">
        <f>'02a_CSP_Contract_Alloc'!E272</f>
        <v/>
      </c>
      <c r="F272" s="28">
        <f>SUMPRODUCT(('02_Inputs'!$A$2:$A$181=B272)*('02_Inputs'!$B$2:$B$181=C272)*('02_Inputs'!$C$2:$C$181=D272)*'02_Inputs'!$D$2:$D$181*'02_Inputs'!$E$2:$E$181/'02_Inputs'!$F$2:$F$181*'02_Inputs'!$G$2:$G$181*'02_Inputs'!$H$2:$H$181*1000)</f>
        <v/>
      </c>
      <c r="G272" s="28">
        <f>'02a_CSP_Contract_Alloc'!F272</f>
        <v/>
      </c>
      <c r="H272" s="6">
        <f>'02a_CSP_Contract_Alloc'!G272</f>
        <v/>
      </c>
      <c r="I272" s="28">
        <f>'02a_CSP_Contract_Alloc'!H272</f>
        <v/>
      </c>
      <c r="J272" s="6">
        <f>'02a_CSP_Contract_Alloc'!I272</f>
        <v/>
      </c>
      <c r="K272" s="28">
        <f>'02a_CSP_Contract_Alloc'!K272</f>
        <v/>
      </c>
      <c r="L272" s="28">
        <f>SUMIFS('02a_CSP_Contract_Alloc'!$K$2:$K$305,'02a_CSP_Contract_Alloc'!$B$2:$B$305,B272,'02a_CSP_Contract_Alloc'!$C$2:$C$305,C272,'02a_CSP_Contract_Alloc'!$D$2:$D$305,D272)</f>
        <v/>
      </c>
      <c r="M272" s="6">
        <f>IF(L272&gt;0,K272/L272,0)</f>
        <v/>
      </c>
      <c r="N272" s="28">
        <f>F272*M272</f>
        <v/>
      </c>
      <c r="O272" s="5">
        <f>'02a_CSP_Contract_Alloc'!L272</f>
        <v/>
      </c>
      <c r="P272" s="5" t="inlineStr">
        <is>
          <t>AI company inference power is normalized across CSPs by CSP total power * AI contract share * inference share.</t>
        </is>
      </c>
    </row>
    <row r="273">
      <c r="A273" s="5">
        <f>'02a_CSP_Contract_Alloc'!A273</f>
        <v/>
      </c>
      <c r="B273" s="5">
        <f>'02a_CSP_Contract_Alloc'!B273</f>
        <v/>
      </c>
      <c r="C273" s="5">
        <f>'02a_CSP_Contract_Alloc'!C273</f>
        <v/>
      </c>
      <c r="D273" s="5">
        <f>'02a_CSP_Contract_Alloc'!D273</f>
        <v/>
      </c>
      <c r="E273" s="5">
        <f>'02a_CSP_Contract_Alloc'!E273</f>
        <v/>
      </c>
      <c r="F273" s="28">
        <f>SUMPRODUCT(('02_Inputs'!$A$2:$A$181=B273)*('02_Inputs'!$B$2:$B$181=C273)*('02_Inputs'!$C$2:$C$181=D273)*'02_Inputs'!$D$2:$D$181*'02_Inputs'!$E$2:$E$181/'02_Inputs'!$F$2:$F$181*'02_Inputs'!$G$2:$G$181*'02_Inputs'!$H$2:$H$181*1000)</f>
        <v/>
      </c>
      <c r="G273" s="28">
        <f>'02a_CSP_Contract_Alloc'!F273</f>
        <v/>
      </c>
      <c r="H273" s="6">
        <f>'02a_CSP_Contract_Alloc'!G273</f>
        <v/>
      </c>
      <c r="I273" s="28">
        <f>'02a_CSP_Contract_Alloc'!H273</f>
        <v/>
      </c>
      <c r="J273" s="6">
        <f>'02a_CSP_Contract_Alloc'!I273</f>
        <v/>
      </c>
      <c r="K273" s="28">
        <f>'02a_CSP_Contract_Alloc'!K273</f>
        <v/>
      </c>
      <c r="L273" s="28">
        <f>SUMIFS('02a_CSP_Contract_Alloc'!$K$2:$K$305,'02a_CSP_Contract_Alloc'!$B$2:$B$305,B273,'02a_CSP_Contract_Alloc'!$C$2:$C$305,C273,'02a_CSP_Contract_Alloc'!$D$2:$D$305,D273)</f>
        <v/>
      </c>
      <c r="M273" s="6">
        <f>IF(L273&gt;0,K273/L273,0)</f>
        <v/>
      </c>
      <c r="N273" s="28">
        <f>F273*M273</f>
        <v/>
      </c>
      <c r="O273" s="5">
        <f>'02a_CSP_Contract_Alloc'!L273</f>
        <v/>
      </c>
      <c r="P273" s="5" t="inlineStr">
        <is>
          <t>AI company inference power is normalized across CSPs by CSP total power * AI contract share * inference share.</t>
        </is>
      </c>
    </row>
    <row r="274">
      <c r="A274" s="5">
        <f>'02a_CSP_Contract_Alloc'!A274</f>
        <v/>
      </c>
      <c r="B274" s="5">
        <f>'02a_CSP_Contract_Alloc'!B274</f>
        <v/>
      </c>
      <c r="C274" s="5">
        <f>'02a_CSP_Contract_Alloc'!C274</f>
        <v/>
      </c>
      <c r="D274" s="5">
        <f>'02a_CSP_Contract_Alloc'!D274</f>
        <v/>
      </c>
      <c r="E274" s="5">
        <f>'02a_CSP_Contract_Alloc'!E274</f>
        <v/>
      </c>
      <c r="F274" s="28">
        <f>SUMPRODUCT(('02_Inputs'!$A$2:$A$181=B274)*('02_Inputs'!$B$2:$B$181=C274)*('02_Inputs'!$C$2:$C$181=D274)*'02_Inputs'!$D$2:$D$181*'02_Inputs'!$E$2:$E$181/'02_Inputs'!$F$2:$F$181*'02_Inputs'!$G$2:$G$181*'02_Inputs'!$H$2:$H$181*1000)</f>
        <v/>
      </c>
      <c r="G274" s="28">
        <f>'02a_CSP_Contract_Alloc'!F274</f>
        <v/>
      </c>
      <c r="H274" s="6">
        <f>'02a_CSP_Contract_Alloc'!G274</f>
        <v/>
      </c>
      <c r="I274" s="28">
        <f>'02a_CSP_Contract_Alloc'!H274</f>
        <v/>
      </c>
      <c r="J274" s="6">
        <f>'02a_CSP_Contract_Alloc'!I274</f>
        <v/>
      </c>
      <c r="K274" s="28">
        <f>'02a_CSP_Contract_Alloc'!K274</f>
        <v/>
      </c>
      <c r="L274" s="28">
        <f>SUMIFS('02a_CSP_Contract_Alloc'!$K$2:$K$305,'02a_CSP_Contract_Alloc'!$B$2:$B$305,B274,'02a_CSP_Contract_Alloc'!$C$2:$C$305,C274,'02a_CSP_Contract_Alloc'!$D$2:$D$305,D274)</f>
        <v/>
      </c>
      <c r="M274" s="6">
        <f>IF(L274&gt;0,K274/L274,0)</f>
        <v/>
      </c>
      <c r="N274" s="28">
        <f>F274*M274</f>
        <v/>
      </c>
      <c r="O274" s="5">
        <f>'02a_CSP_Contract_Alloc'!L274</f>
        <v/>
      </c>
      <c r="P274" s="5" t="inlineStr">
        <is>
          <t>AI company inference power is normalized across CSPs by CSP total power * AI contract share * inference share.</t>
        </is>
      </c>
    </row>
    <row r="275">
      <c r="A275" s="5">
        <f>'02a_CSP_Contract_Alloc'!A275</f>
        <v/>
      </c>
      <c r="B275" s="5">
        <f>'02a_CSP_Contract_Alloc'!B275</f>
        <v/>
      </c>
      <c r="C275" s="5">
        <f>'02a_CSP_Contract_Alloc'!C275</f>
        <v/>
      </c>
      <c r="D275" s="5">
        <f>'02a_CSP_Contract_Alloc'!D275</f>
        <v/>
      </c>
      <c r="E275" s="5">
        <f>'02a_CSP_Contract_Alloc'!E275</f>
        <v/>
      </c>
      <c r="F275" s="28">
        <f>SUMPRODUCT(('02_Inputs'!$A$2:$A$181=B275)*('02_Inputs'!$B$2:$B$181=C275)*('02_Inputs'!$C$2:$C$181=D275)*'02_Inputs'!$D$2:$D$181*'02_Inputs'!$E$2:$E$181/'02_Inputs'!$F$2:$F$181*'02_Inputs'!$G$2:$G$181*'02_Inputs'!$H$2:$H$181*1000)</f>
        <v/>
      </c>
      <c r="G275" s="28">
        <f>'02a_CSP_Contract_Alloc'!F275</f>
        <v/>
      </c>
      <c r="H275" s="6">
        <f>'02a_CSP_Contract_Alloc'!G275</f>
        <v/>
      </c>
      <c r="I275" s="28">
        <f>'02a_CSP_Contract_Alloc'!H275</f>
        <v/>
      </c>
      <c r="J275" s="6">
        <f>'02a_CSP_Contract_Alloc'!I275</f>
        <v/>
      </c>
      <c r="K275" s="28">
        <f>'02a_CSP_Contract_Alloc'!K275</f>
        <v/>
      </c>
      <c r="L275" s="28">
        <f>SUMIFS('02a_CSP_Contract_Alloc'!$K$2:$K$305,'02a_CSP_Contract_Alloc'!$B$2:$B$305,B275,'02a_CSP_Contract_Alloc'!$C$2:$C$305,C275,'02a_CSP_Contract_Alloc'!$D$2:$D$305,D275)</f>
        <v/>
      </c>
      <c r="M275" s="6">
        <f>IF(L275&gt;0,K275/L275,0)</f>
        <v/>
      </c>
      <c r="N275" s="28">
        <f>F275*M275</f>
        <v/>
      </c>
      <c r="O275" s="5">
        <f>'02a_CSP_Contract_Alloc'!L275</f>
        <v/>
      </c>
      <c r="P275" s="5" t="inlineStr">
        <is>
          <t>AI company inference power is normalized across CSPs by CSP total power * AI contract share * inference share.</t>
        </is>
      </c>
    </row>
    <row r="276">
      <c r="A276" s="5">
        <f>'02a_CSP_Contract_Alloc'!A276</f>
        <v/>
      </c>
      <c r="B276" s="5">
        <f>'02a_CSP_Contract_Alloc'!B276</f>
        <v/>
      </c>
      <c r="C276" s="5">
        <f>'02a_CSP_Contract_Alloc'!C276</f>
        <v/>
      </c>
      <c r="D276" s="5">
        <f>'02a_CSP_Contract_Alloc'!D276</f>
        <v/>
      </c>
      <c r="E276" s="5">
        <f>'02a_CSP_Contract_Alloc'!E276</f>
        <v/>
      </c>
      <c r="F276" s="28">
        <f>SUMPRODUCT(('02_Inputs'!$A$2:$A$181=B276)*('02_Inputs'!$B$2:$B$181=C276)*('02_Inputs'!$C$2:$C$181=D276)*'02_Inputs'!$D$2:$D$181*'02_Inputs'!$E$2:$E$181/'02_Inputs'!$F$2:$F$181*'02_Inputs'!$G$2:$G$181*'02_Inputs'!$H$2:$H$181*1000)</f>
        <v/>
      </c>
      <c r="G276" s="28">
        <f>'02a_CSP_Contract_Alloc'!F276</f>
        <v/>
      </c>
      <c r="H276" s="6">
        <f>'02a_CSP_Contract_Alloc'!G276</f>
        <v/>
      </c>
      <c r="I276" s="28">
        <f>'02a_CSP_Contract_Alloc'!H276</f>
        <v/>
      </c>
      <c r="J276" s="6">
        <f>'02a_CSP_Contract_Alloc'!I276</f>
        <v/>
      </c>
      <c r="K276" s="28">
        <f>'02a_CSP_Contract_Alloc'!K276</f>
        <v/>
      </c>
      <c r="L276" s="28">
        <f>SUMIFS('02a_CSP_Contract_Alloc'!$K$2:$K$305,'02a_CSP_Contract_Alloc'!$B$2:$B$305,B276,'02a_CSP_Contract_Alloc'!$C$2:$C$305,C276,'02a_CSP_Contract_Alloc'!$D$2:$D$305,D276)</f>
        <v/>
      </c>
      <c r="M276" s="6">
        <f>IF(L276&gt;0,K276/L276,0)</f>
        <v/>
      </c>
      <c r="N276" s="28">
        <f>F276*M276</f>
        <v/>
      </c>
      <c r="O276" s="5">
        <f>'02a_CSP_Contract_Alloc'!L276</f>
        <v/>
      </c>
      <c r="P276" s="5" t="inlineStr">
        <is>
          <t>AI company inference power is normalized across CSPs by CSP total power * AI contract share * inference share.</t>
        </is>
      </c>
    </row>
    <row r="277">
      <c r="A277" s="5">
        <f>'02a_CSP_Contract_Alloc'!A277</f>
        <v/>
      </c>
      <c r="B277" s="5">
        <f>'02a_CSP_Contract_Alloc'!B277</f>
        <v/>
      </c>
      <c r="C277" s="5">
        <f>'02a_CSP_Contract_Alloc'!C277</f>
        <v/>
      </c>
      <c r="D277" s="5">
        <f>'02a_CSP_Contract_Alloc'!D277</f>
        <v/>
      </c>
      <c r="E277" s="5">
        <f>'02a_CSP_Contract_Alloc'!E277</f>
        <v/>
      </c>
      <c r="F277" s="28">
        <f>SUMPRODUCT(('02_Inputs'!$A$2:$A$181=B277)*('02_Inputs'!$B$2:$B$181=C277)*('02_Inputs'!$C$2:$C$181=D277)*'02_Inputs'!$D$2:$D$181*'02_Inputs'!$E$2:$E$181/'02_Inputs'!$F$2:$F$181*'02_Inputs'!$G$2:$G$181*'02_Inputs'!$H$2:$H$181*1000)</f>
        <v/>
      </c>
      <c r="G277" s="28">
        <f>'02a_CSP_Contract_Alloc'!F277</f>
        <v/>
      </c>
      <c r="H277" s="6">
        <f>'02a_CSP_Contract_Alloc'!G277</f>
        <v/>
      </c>
      <c r="I277" s="28">
        <f>'02a_CSP_Contract_Alloc'!H277</f>
        <v/>
      </c>
      <c r="J277" s="6">
        <f>'02a_CSP_Contract_Alloc'!I277</f>
        <v/>
      </c>
      <c r="K277" s="28">
        <f>'02a_CSP_Contract_Alloc'!K277</f>
        <v/>
      </c>
      <c r="L277" s="28">
        <f>SUMIFS('02a_CSP_Contract_Alloc'!$K$2:$K$305,'02a_CSP_Contract_Alloc'!$B$2:$B$305,B277,'02a_CSP_Contract_Alloc'!$C$2:$C$305,C277,'02a_CSP_Contract_Alloc'!$D$2:$D$305,D277)</f>
        <v/>
      </c>
      <c r="M277" s="6">
        <f>IF(L277&gt;0,K277/L277,0)</f>
        <v/>
      </c>
      <c r="N277" s="28">
        <f>F277*M277</f>
        <v/>
      </c>
      <c r="O277" s="5">
        <f>'02a_CSP_Contract_Alloc'!L277</f>
        <v/>
      </c>
      <c r="P277" s="5" t="inlineStr">
        <is>
          <t>AI company inference power is normalized across CSPs by CSP total power * AI contract share * inference share.</t>
        </is>
      </c>
    </row>
    <row r="278">
      <c r="A278" s="5">
        <f>'02a_CSP_Contract_Alloc'!A278</f>
        <v/>
      </c>
      <c r="B278" s="5">
        <f>'02a_CSP_Contract_Alloc'!B278</f>
        <v/>
      </c>
      <c r="C278" s="5">
        <f>'02a_CSP_Contract_Alloc'!C278</f>
        <v/>
      </c>
      <c r="D278" s="5">
        <f>'02a_CSP_Contract_Alloc'!D278</f>
        <v/>
      </c>
      <c r="E278" s="5">
        <f>'02a_CSP_Contract_Alloc'!E278</f>
        <v/>
      </c>
      <c r="F278" s="28">
        <f>SUMPRODUCT(('02_Inputs'!$A$2:$A$181=B278)*('02_Inputs'!$B$2:$B$181=C278)*('02_Inputs'!$C$2:$C$181=D278)*'02_Inputs'!$D$2:$D$181*'02_Inputs'!$E$2:$E$181/'02_Inputs'!$F$2:$F$181*'02_Inputs'!$G$2:$G$181*'02_Inputs'!$H$2:$H$181*1000)</f>
        <v/>
      </c>
      <c r="G278" s="28">
        <f>'02a_CSP_Contract_Alloc'!F278</f>
        <v/>
      </c>
      <c r="H278" s="6">
        <f>'02a_CSP_Contract_Alloc'!G278</f>
        <v/>
      </c>
      <c r="I278" s="28">
        <f>'02a_CSP_Contract_Alloc'!H278</f>
        <v/>
      </c>
      <c r="J278" s="6">
        <f>'02a_CSP_Contract_Alloc'!I278</f>
        <v/>
      </c>
      <c r="K278" s="28">
        <f>'02a_CSP_Contract_Alloc'!K278</f>
        <v/>
      </c>
      <c r="L278" s="28">
        <f>SUMIFS('02a_CSP_Contract_Alloc'!$K$2:$K$305,'02a_CSP_Contract_Alloc'!$B$2:$B$305,B278,'02a_CSP_Contract_Alloc'!$C$2:$C$305,C278,'02a_CSP_Contract_Alloc'!$D$2:$D$305,D278)</f>
        <v/>
      </c>
      <c r="M278" s="6">
        <f>IF(L278&gt;0,K278/L278,0)</f>
        <v/>
      </c>
      <c r="N278" s="28">
        <f>F278*M278</f>
        <v/>
      </c>
      <c r="O278" s="5">
        <f>'02a_CSP_Contract_Alloc'!L278</f>
        <v/>
      </c>
      <c r="P278" s="5" t="inlineStr">
        <is>
          <t>AI company inference power is normalized across CSPs by CSP total power * AI contract share * inference share.</t>
        </is>
      </c>
    </row>
    <row r="279">
      <c r="A279" s="5">
        <f>'02a_CSP_Contract_Alloc'!A279</f>
        <v/>
      </c>
      <c r="B279" s="5">
        <f>'02a_CSP_Contract_Alloc'!B279</f>
        <v/>
      </c>
      <c r="C279" s="5">
        <f>'02a_CSP_Contract_Alloc'!C279</f>
        <v/>
      </c>
      <c r="D279" s="5">
        <f>'02a_CSP_Contract_Alloc'!D279</f>
        <v/>
      </c>
      <c r="E279" s="5">
        <f>'02a_CSP_Contract_Alloc'!E279</f>
        <v/>
      </c>
      <c r="F279" s="28">
        <f>SUMPRODUCT(('02_Inputs'!$A$2:$A$181=B279)*('02_Inputs'!$B$2:$B$181=C279)*('02_Inputs'!$C$2:$C$181=D279)*'02_Inputs'!$D$2:$D$181*'02_Inputs'!$E$2:$E$181/'02_Inputs'!$F$2:$F$181*'02_Inputs'!$G$2:$G$181*'02_Inputs'!$H$2:$H$181*1000)</f>
        <v/>
      </c>
      <c r="G279" s="28">
        <f>'02a_CSP_Contract_Alloc'!F279</f>
        <v/>
      </c>
      <c r="H279" s="6">
        <f>'02a_CSP_Contract_Alloc'!G279</f>
        <v/>
      </c>
      <c r="I279" s="28">
        <f>'02a_CSP_Contract_Alloc'!H279</f>
        <v/>
      </c>
      <c r="J279" s="6">
        <f>'02a_CSP_Contract_Alloc'!I279</f>
        <v/>
      </c>
      <c r="K279" s="28">
        <f>'02a_CSP_Contract_Alloc'!K279</f>
        <v/>
      </c>
      <c r="L279" s="28">
        <f>SUMIFS('02a_CSP_Contract_Alloc'!$K$2:$K$305,'02a_CSP_Contract_Alloc'!$B$2:$B$305,B279,'02a_CSP_Contract_Alloc'!$C$2:$C$305,C279,'02a_CSP_Contract_Alloc'!$D$2:$D$305,D279)</f>
        <v/>
      </c>
      <c r="M279" s="6">
        <f>IF(L279&gt;0,K279/L279,0)</f>
        <v/>
      </c>
      <c r="N279" s="28">
        <f>F279*M279</f>
        <v/>
      </c>
      <c r="O279" s="5">
        <f>'02a_CSP_Contract_Alloc'!L279</f>
        <v/>
      </c>
      <c r="P279" s="5" t="inlineStr">
        <is>
          <t>AI company inference power is normalized across CSPs by CSP total power * AI contract share * inference share.</t>
        </is>
      </c>
    </row>
    <row r="280">
      <c r="A280" s="5">
        <f>'02a_CSP_Contract_Alloc'!A280</f>
        <v/>
      </c>
      <c r="B280" s="5">
        <f>'02a_CSP_Contract_Alloc'!B280</f>
        <v/>
      </c>
      <c r="C280" s="5">
        <f>'02a_CSP_Contract_Alloc'!C280</f>
        <v/>
      </c>
      <c r="D280" s="5">
        <f>'02a_CSP_Contract_Alloc'!D280</f>
        <v/>
      </c>
      <c r="E280" s="5">
        <f>'02a_CSP_Contract_Alloc'!E280</f>
        <v/>
      </c>
      <c r="F280" s="28">
        <f>SUMPRODUCT(('02_Inputs'!$A$2:$A$181=B280)*('02_Inputs'!$B$2:$B$181=C280)*('02_Inputs'!$C$2:$C$181=D280)*'02_Inputs'!$D$2:$D$181*'02_Inputs'!$E$2:$E$181/'02_Inputs'!$F$2:$F$181*'02_Inputs'!$G$2:$G$181*'02_Inputs'!$H$2:$H$181*1000)</f>
        <v/>
      </c>
      <c r="G280" s="28">
        <f>'02a_CSP_Contract_Alloc'!F280</f>
        <v/>
      </c>
      <c r="H280" s="6">
        <f>'02a_CSP_Contract_Alloc'!G280</f>
        <v/>
      </c>
      <c r="I280" s="28">
        <f>'02a_CSP_Contract_Alloc'!H280</f>
        <v/>
      </c>
      <c r="J280" s="6">
        <f>'02a_CSP_Contract_Alloc'!I280</f>
        <v/>
      </c>
      <c r="K280" s="28">
        <f>'02a_CSP_Contract_Alloc'!K280</f>
        <v/>
      </c>
      <c r="L280" s="28">
        <f>SUMIFS('02a_CSP_Contract_Alloc'!$K$2:$K$305,'02a_CSP_Contract_Alloc'!$B$2:$B$305,B280,'02a_CSP_Contract_Alloc'!$C$2:$C$305,C280,'02a_CSP_Contract_Alloc'!$D$2:$D$305,D280)</f>
        <v/>
      </c>
      <c r="M280" s="6">
        <f>IF(L280&gt;0,K280/L280,0)</f>
        <v/>
      </c>
      <c r="N280" s="28">
        <f>F280*M280</f>
        <v/>
      </c>
      <c r="O280" s="5">
        <f>'02a_CSP_Contract_Alloc'!L280</f>
        <v/>
      </c>
      <c r="P280" s="5" t="inlineStr">
        <is>
          <t>AI company inference power is normalized across CSPs by CSP total power * AI contract share * inference share.</t>
        </is>
      </c>
    </row>
    <row r="281">
      <c r="A281" s="5">
        <f>'02a_CSP_Contract_Alloc'!A281</f>
        <v/>
      </c>
      <c r="B281" s="5">
        <f>'02a_CSP_Contract_Alloc'!B281</f>
        <v/>
      </c>
      <c r="C281" s="5">
        <f>'02a_CSP_Contract_Alloc'!C281</f>
        <v/>
      </c>
      <c r="D281" s="5">
        <f>'02a_CSP_Contract_Alloc'!D281</f>
        <v/>
      </c>
      <c r="E281" s="5">
        <f>'02a_CSP_Contract_Alloc'!E281</f>
        <v/>
      </c>
      <c r="F281" s="28">
        <f>SUMPRODUCT(('02_Inputs'!$A$2:$A$181=B281)*('02_Inputs'!$B$2:$B$181=C281)*('02_Inputs'!$C$2:$C$181=D281)*'02_Inputs'!$D$2:$D$181*'02_Inputs'!$E$2:$E$181/'02_Inputs'!$F$2:$F$181*'02_Inputs'!$G$2:$G$181*'02_Inputs'!$H$2:$H$181*1000)</f>
        <v/>
      </c>
      <c r="G281" s="28">
        <f>'02a_CSP_Contract_Alloc'!F281</f>
        <v/>
      </c>
      <c r="H281" s="6">
        <f>'02a_CSP_Contract_Alloc'!G281</f>
        <v/>
      </c>
      <c r="I281" s="28">
        <f>'02a_CSP_Contract_Alloc'!H281</f>
        <v/>
      </c>
      <c r="J281" s="6">
        <f>'02a_CSP_Contract_Alloc'!I281</f>
        <v/>
      </c>
      <c r="K281" s="28">
        <f>'02a_CSP_Contract_Alloc'!K281</f>
        <v/>
      </c>
      <c r="L281" s="28">
        <f>SUMIFS('02a_CSP_Contract_Alloc'!$K$2:$K$305,'02a_CSP_Contract_Alloc'!$B$2:$B$305,B281,'02a_CSP_Contract_Alloc'!$C$2:$C$305,C281,'02a_CSP_Contract_Alloc'!$D$2:$D$305,D281)</f>
        <v/>
      </c>
      <c r="M281" s="6">
        <f>IF(L281&gt;0,K281/L281,0)</f>
        <v/>
      </c>
      <c r="N281" s="28">
        <f>F281*M281</f>
        <v/>
      </c>
      <c r="O281" s="5">
        <f>'02a_CSP_Contract_Alloc'!L281</f>
        <v/>
      </c>
      <c r="P281" s="5" t="inlineStr">
        <is>
          <t>AI company inference power is normalized across CSPs by CSP total power * AI contract share * inference share.</t>
        </is>
      </c>
    </row>
    <row r="282">
      <c r="A282" s="5">
        <f>'02a_CSP_Contract_Alloc'!A282</f>
        <v/>
      </c>
      <c r="B282" s="5">
        <f>'02a_CSP_Contract_Alloc'!B282</f>
        <v/>
      </c>
      <c r="C282" s="5">
        <f>'02a_CSP_Contract_Alloc'!C282</f>
        <v/>
      </c>
      <c r="D282" s="5">
        <f>'02a_CSP_Contract_Alloc'!D282</f>
        <v/>
      </c>
      <c r="E282" s="5">
        <f>'02a_CSP_Contract_Alloc'!E282</f>
        <v/>
      </c>
      <c r="F282" s="28">
        <f>SUMPRODUCT(('02_Inputs'!$A$2:$A$181=B282)*('02_Inputs'!$B$2:$B$181=C282)*('02_Inputs'!$C$2:$C$181=D282)*'02_Inputs'!$D$2:$D$181*'02_Inputs'!$E$2:$E$181/'02_Inputs'!$F$2:$F$181*'02_Inputs'!$G$2:$G$181*'02_Inputs'!$H$2:$H$181*1000)</f>
        <v/>
      </c>
      <c r="G282" s="28">
        <f>'02a_CSP_Contract_Alloc'!F282</f>
        <v/>
      </c>
      <c r="H282" s="6">
        <f>'02a_CSP_Contract_Alloc'!G282</f>
        <v/>
      </c>
      <c r="I282" s="28">
        <f>'02a_CSP_Contract_Alloc'!H282</f>
        <v/>
      </c>
      <c r="J282" s="6">
        <f>'02a_CSP_Contract_Alloc'!I282</f>
        <v/>
      </c>
      <c r="K282" s="28">
        <f>'02a_CSP_Contract_Alloc'!K282</f>
        <v/>
      </c>
      <c r="L282" s="28">
        <f>SUMIFS('02a_CSP_Contract_Alloc'!$K$2:$K$305,'02a_CSP_Contract_Alloc'!$B$2:$B$305,B282,'02a_CSP_Contract_Alloc'!$C$2:$C$305,C282,'02a_CSP_Contract_Alloc'!$D$2:$D$305,D282)</f>
        <v/>
      </c>
      <c r="M282" s="6">
        <f>IF(L282&gt;0,K282/L282,0)</f>
        <v/>
      </c>
      <c r="N282" s="28">
        <f>F282*M282</f>
        <v/>
      </c>
      <c r="O282" s="5">
        <f>'02a_CSP_Contract_Alloc'!L282</f>
        <v/>
      </c>
      <c r="P282" s="5" t="inlineStr">
        <is>
          <t>AI company inference power is normalized across CSPs by CSP total power * AI contract share * inference share.</t>
        </is>
      </c>
    </row>
    <row r="283">
      <c r="A283" s="5">
        <f>'02a_CSP_Contract_Alloc'!A283</f>
        <v/>
      </c>
      <c r="B283" s="5">
        <f>'02a_CSP_Contract_Alloc'!B283</f>
        <v/>
      </c>
      <c r="C283" s="5">
        <f>'02a_CSP_Contract_Alloc'!C283</f>
        <v/>
      </c>
      <c r="D283" s="5">
        <f>'02a_CSP_Contract_Alloc'!D283</f>
        <v/>
      </c>
      <c r="E283" s="5">
        <f>'02a_CSP_Contract_Alloc'!E283</f>
        <v/>
      </c>
      <c r="F283" s="28">
        <f>SUMPRODUCT(('02_Inputs'!$A$2:$A$181=B283)*('02_Inputs'!$B$2:$B$181=C283)*('02_Inputs'!$C$2:$C$181=D283)*'02_Inputs'!$D$2:$D$181*'02_Inputs'!$E$2:$E$181/'02_Inputs'!$F$2:$F$181*'02_Inputs'!$G$2:$G$181*'02_Inputs'!$H$2:$H$181*1000)</f>
        <v/>
      </c>
      <c r="G283" s="28">
        <f>'02a_CSP_Contract_Alloc'!F283</f>
        <v/>
      </c>
      <c r="H283" s="6">
        <f>'02a_CSP_Contract_Alloc'!G283</f>
        <v/>
      </c>
      <c r="I283" s="28">
        <f>'02a_CSP_Contract_Alloc'!H283</f>
        <v/>
      </c>
      <c r="J283" s="6">
        <f>'02a_CSP_Contract_Alloc'!I283</f>
        <v/>
      </c>
      <c r="K283" s="28">
        <f>'02a_CSP_Contract_Alloc'!K283</f>
        <v/>
      </c>
      <c r="L283" s="28">
        <f>SUMIFS('02a_CSP_Contract_Alloc'!$K$2:$K$305,'02a_CSP_Contract_Alloc'!$B$2:$B$305,B283,'02a_CSP_Contract_Alloc'!$C$2:$C$305,C283,'02a_CSP_Contract_Alloc'!$D$2:$D$305,D283)</f>
        <v/>
      </c>
      <c r="M283" s="6">
        <f>IF(L283&gt;0,K283/L283,0)</f>
        <v/>
      </c>
      <c r="N283" s="28">
        <f>F283*M283</f>
        <v/>
      </c>
      <c r="O283" s="5">
        <f>'02a_CSP_Contract_Alloc'!L283</f>
        <v/>
      </c>
      <c r="P283" s="5" t="inlineStr">
        <is>
          <t>AI company inference power is normalized across CSPs by CSP total power * AI contract share * inference share.</t>
        </is>
      </c>
    </row>
    <row r="284">
      <c r="A284" s="5">
        <f>'02a_CSP_Contract_Alloc'!A284</f>
        <v/>
      </c>
      <c r="B284" s="5">
        <f>'02a_CSP_Contract_Alloc'!B284</f>
        <v/>
      </c>
      <c r="C284" s="5">
        <f>'02a_CSP_Contract_Alloc'!C284</f>
        <v/>
      </c>
      <c r="D284" s="5">
        <f>'02a_CSP_Contract_Alloc'!D284</f>
        <v/>
      </c>
      <c r="E284" s="5">
        <f>'02a_CSP_Contract_Alloc'!E284</f>
        <v/>
      </c>
      <c r="F284" s="28">
        <f>SUMPRODUCT(('02_Inputs'!$A$2:$A$181=B284)*('02_Inputs'!$B$2:$B$181=C284)*('02_Inputs'!$C$2:$C$181=D284)*'02_Inputs'!$D$2:$D$181*'02_Inputs'!$E$2:$E$181/'02_Inputs'!$F$2:$F$181*'02_Inputs'!$G$2:$G$181*'02_Inputs'!$H$2:$H$181*1000)</f>
        <v/>
      </c>
      <c r="G284" s="28">
        <f>'02a_CSP_Contract_Alloc'!F284</f>
        <v/>
      </c>
      <c r="H284" s="6">
        <f>'02a_CSP_Contract_Alloc'!G284</f>
        <v/>
      </c>
      <c r="I284" s="28">
        <f>'02a_CSP_Contract_Alloc'!H284</f>
        <v/>
      </c>
      <c r="J284" s="6">
        <f>'02a_CSP_Contract_Alloc'!I284</f>
        <v/>
      </c>
      <c r="K284" s="28">
        <f>'02a_CSP_Contract_Alloc'!K284</f>
        <v/>
      </c>
      <c r="L284" s="28">
        <f>SUMIFS('02a_CSP_Contract_Alloc'!$K$2:$K$305,'02a_CSP_Contract_Alloc'!$B$2:$B$305,B284,'02a_CSP_Contract_Alloc'!$C$2:$C$305,C284,'02a_CSP_Contract_Alloc'!$D$2:$D$305,D284)</f>
        <v/>
      </c>
      <c r="M284" s="6">
        <f>IF(L284&gt;0,K284/L284,0)</f>
        <v/>
      </c>
      <c r="N284" s="28">
        <f>F284*M284</f>
        <v/>
      </c>
      <c r="O284" s="5">
        <f>'02a_CSP_Contract_Alloc'!L284</f>
        <v/>
      </c>
      <c r="P284" s="5" t="inlineStr">
        <is>
          <t>AI company inference power is normalized across CSPs by CSP total power * AI contract share * inference share.</t>
        </is>
      </c>
    </row>
    <row r="285">
      <c r="A285" s="5">
        <f>'02a_CSP_Contract_Alloc'!A285</f>
        <v/>
      </c>
      <c r="B285" s="5">
        <f>'02a_CSP_Contract_Alloc'!B285</f>
        <v/>
      </c>
      <c r="C285" s="5">
        <f>'02a_CSP_Contract_Alloc'!C285</f>
        <v/>
      </c>
      <c r="D285" s="5">
        <f>'02a_CSP_Contract_Alloc'!D285</f>
        <v/>
      </c>
      <c r="E285" s="5">
        <f>'02a_CSP_Contract_Alloc'!E285</f>
        <v/>
      </c>
      <c r="F285" s="28">
        <f>SUMPRODUCT(('02_Inputs'!$A$2:$A$181=B285)*('02_Inputs'!$B$2:$B$181=C285)*('02_Inputs'!$C$2:$C$181=D285)*'02_Inputs'!$D$2:$D$181*'02_Inputs'!$E$2:$E$181/'02_Inputs'!$F$2:$F$181*'02_Inputs'!$G$2:$G$181*'02_Inputs'!$H$2:$H$181*1000)</f>
        <v/>
      </c>
      <c r="G285" s="28">
        <f>'02a_CSP_Contract_Alloc'!F285</f>
        <v/>
      </c>
      <c r="H285" s="6">
        <f>'02a_CSP_Contract_Alloc'!G285</f>
        <v/>
      </c>
      <c r="I285" s="28">
        <f>'02a_CSP_Contract_Alloc'!H285</f>
        <v/>
      </c>
      <c r="J285" s="6">
        <f>'02a_CSP_Contract_Alloc'!I285</f>
        <v/>
      </c>
      <c r="K285" s="28">
        <f>'02a_CSP_Contract_Alloc'!K285</f>
        <v/>
      </c>
      <c r="L285" s="28">
        <f>SUMIFS('02a_CSP_Contract_Alloc'!$K$2:$K$305,'02a_CSP_Contract_Alloc'!$B$2:$B$305,B285,'02a_CSP_Contract_Alloc'!$C$2:$C$305,C285,'02a_CSP_Contract_Alloc'!$D$2:$D$305,D285)</f>
        <v/>
      </c>
      <c r="M285" s="6">
        <f>IF(L285&gt;0,K285/L285,0)</f>
        <v/>
      </c>
      <c r="N285" s="28">
        <f>F285*M285</f>
        <v/>
      </c>
      <c r="O285" s="5">
        <f>'02a_CSP_Contract_Alloc'!L285</f>
        <v/>
      </c>
      <c r="P285" s="5" t="inlineStr">
        <is>
          <t>AI company inference power is normalized across CSPs by CSP total power * AI contract share * inference share.</t>
        </is>
      </c>
    </row>
    <row r="286">
      <c r="A286" s="5">
        <f>'02a_CSP_Contract_Alloc'!A286</f>
        <v/>
      </c>
      <c r="B286" s="5">
        <f>'02a_CSP_Contract_Alloc'!B286</f>
        <v/>
      </c>
      <c r="C286" s="5">
        <f>'02a_CSP_Contract_Alloc'!C286</f>
        <v/>
      </c>
      <c r="D286" s="5">
        <f>'02a_CSP_Contract_Alloc'!D286</f>
        <v/>
      </c>
      <c r="E286" s="5">
        <f>'02a_CSP_Contract_Alloc'!E286</f>
        <v/>
      </c>
      <c r="F286" s="28">
        <f>SUMPRODUCT(('02_Inputs'!$A$2:$A$181=B286)*('02_Inputs'!$B$2:$B$181=C286)*('02_Inputs'!$C$2:$C$181=D286)*'02_Inputs'!$D$2:$D$181*'02_Inputs'!$E$2:$E$181/'02_Inputs'!$F$2:$F$181*'02_Inputs'!$G$2:$G$181*'02_Inputs'!$H$2:$H$181*1000)</f>
        <v/>
      </c>
      <c r="G286" s="28">
        <f>'02a_CSP_Contract_Alloc'!F286</f>
        <v/>
      </c>
      <c r="H286" s="6">
        <f>'02a_CSP_Contract_Alloc'!G286</f>
        <v/>
      </c>
      <c r="I286" s="28">
        <f>'02a_CSP_Contract_Alloc'!H286</f>
        <v/>
      </c>
      <c r="J286" s="6">
        <f>'02a_CSP_Contract_Alloc'!I286</f>
        <v/>
      </c>
      <c r="K286" s="28">
        <f>'02a_CSP_Contract_Alloc'!K286</f>
        <v/>
      </c>
      <c r="L286" s="28">
        <f>SUMIFS('02a_CSP_Contract_Alloc'!$K$2:$K$305,'02a_CSP_Contract_Alloc'!$B$2:$B$305,B286,'02a_CSP_Contract_Alloc'!$C$2:$C$305,C286,'02a_CSP_Contract_Alloc'!$D$2:$D$305,D286)</f>
        <v/>
      </c>
      <c r="M286" s="6">
        <f>IF(L286&gt;0,K286/L286,0)</f>
        <v/>
      </c>
      <c r="N286" s="28">
        <f>F286*M286</f>
        <v/>
      </c>
      <c r="O286" s="5">
        <f>'02a_CSP_Contract_Alloc'!L286</f>
        <v/>
      </c>
      <c r="P286" s="5" t="inlineStr">
        <is>
          <t>AI company inference power is normalized across CSPs by CSP total power * AI contract share * inference share.</t>
        </is>
      </c>
    </row>
    <row r="287">
      <c r="A287" s="5">
        <f>'02a_CSP_Contract_Alloc'!A287</f>
        <v/>
      </c>
      <c r="B287" s="5">
        <f>'02a_CSP_Contract_Alloc'!B287</f>
        <v/>
      </c>
      <c r="C287" s="5">
        <f>'02a_CSP_Contract_Alloc'!C287</f>
        <v/>
      </c>
      <c r="D287" s="5">
        <f>'02a_CSP_Contract_Alloc'!D287</f>
        <v/>
      </c>
      <c r="E287" s="5">
        <f>'02a_CSP_Contract_Alloc'!E287</f>
        <v/>
      </c>
      <c r="F287" s="28">
        <f>SUMPRODUCT(('02_Inputs'!$A$2:$A$181=B287)*('02_Inputs'!$B$2:$B$181=C287)*('02_Inputs'!$C$2:$C$181=D287)*'02_Inputs'!$D$2:$D$181*'02_Inputs'!$E$2:$E$181/'02_Inputs'!$F$2:$F$181*'02_Inputs'!$G$2:$G$181*'02_Inputs'!$H$2:$H$181*1000)</f>
        <v/>
      </c>
      <c r="G287" s="28">
        <f>'02a_CSP_Contract_Alloc'!F287</f>
        <v/>
      </c>
      <c r="H287" s="6">
        <f>'02a_CSP_Contract_Alloc'!G287</f>
        <v/>
      </c>
      <c r="I287" s="28">
        <f>'02a_CSP_Contract_Alloc'!H287</f>
        <v/>
      </c>
      <c r="J287" s="6">
        <f>'02a_CSP_Contract_Alloc'!I287</f>
        <v/>
      </c>
      <c r="K287" s="28">
        <f>'02a_CSP_Contract_Alloc'!K287</f>
        <v/>
      </c>
      <c r="L287" s="28">
        <f>SUMIFS('02a_CSP_Contract_Alloc'!$K$2:$K$305,'02a_CSP_Contract_Alloc'!$B$2:$B$305,B287,'02a_CSP_Contract_Alloc'!$C$2:$C$305,C287,'02a_CSP_Contract_Alloc'!$D$2:$D$305,D287)</f>
        <v/>
      </c>
      <c r="M287" s="6">
        <f>IF(L287&gt;0,K287/L287,0)</f>
        <v/>
      </c>
      <c r="N287" s="28">
        <f>F287*M287</f>
        <v/>
      </c>
      <c r="O287" s="5">
        <f>'02a_CSP_Contract_Alloc'!L287</f>
        <v/>
      </c>
      <c r="P287" s="5" t="inlineStr">
        <is>
          <t>AI company inference power is normalized across CSPs by CSP total power * AI contract share * inference share.</t>
        </is>
      </c>
    </row>
    <row r="288">
      <c r="A288" s="5">
        <f>'02a_CSP_Contract_Alloc'!A288</f>
        <v/>
      </c>
      <c r="B288" s="5">
        <f>'02a_CSP_Contract_Alloc'!B288</f>
        <v/>
      </c>
      <c r="C288" s="5">
        <f>'02a_CSP_Contract_Alloc'!C288</f>
        <v/>
      </c>
      <c r="D288" s="5">
        <f>'02a_CSP_Contract_Alloc'!D288</f>
        <v/>
      </c>
      <c r="E288" s="5">
        <f>'02a_CSP_Contract_Alloc'!E288</f>
        <v/>
      </c>
      <c r="F288" s="28">
        <f>SUMPRODUCT(('02_Inputs'!$A$2:$A$181=B288)*('02_Inputs'!$B$2:$B$181=C288)*('02_Inputs'!$C$2:$C$181=D288)*'02_Inputs'!$D$2:$D$181*'02_Inputs'!$E$2:$E$181/'02_Inputs'!$F$2:$F$181*'02_Inputs'!$G$2:$G$181*'02_Inputs'!$H$2:$H$181*1000)</f>
        <v/>
      </c>
      <c r="G288" s="28">
        <f>'02a_CSP_Contract_Alloc'!F288</f>
        <v/>
      </c>
      <c r="H288" s="6">
        <f>'02a_CSP_Contract_Alloc'!G288</f>
        <v/>
      </c>
      <c r="I288" s="28">
        <f>'02a_CSP_Contract_Alloc'!H288</f>
        <v/>
      </c>
      <c r="J288" s="6">
        <f>'02a_CSP_Contract_Alloc'!I288</f>
        <v/>
      </c>
      <c r="K288" s="28">
        <f>'02a_CSP_Contract_Alloc'!K288</f>
        <v/>
      </c>
      <c r="L288" s="28">
        <f>SUMIFS('02a_CSP_Contract_Alloc'!$K$2:$K$305,'02a_CSP_Contract_Alloc'!$B$2:$B$305,B288,'02a_CSP_Contract_Alloc'!$C$2:$C$305,C288,'02a_CSP_Contract_Alloc'!$D$2:$D$305,D288)</f>
        <v/>
      </c>
      <c r="M288" s="6">
        <f>IF(L288&gt;0,K288/L288,0)</f>
        <v/>
      </c>
      <c r="N288" s="28">
        <f>F288*M288</f>
        <v/>
      </c>
      <c r="O288" s="5">
        <f>'02a_CSP_Contract_Alloc'!L288</f>
        <v/>
      </c>
      <c r="P288" s="5" t="inlineStr">
        <is>
          <t>AI company inference power is normalized across CSPs by CSP total power * AI contract share * inference share.</t>
        </is>
      </c>
    </row>
    <row r="289">
      <c r="A289" s="5">
        <f>'02a_CSP_Contract_Alloc'!A289</f>
        <v/>
      </c>
      <c r="B289" s="5">
        <f>'02a_CSP_Contract_Alloc'!B289</f>
        <v/>
      </c>
      <c r="C289" s="5">
        <f>'02a_CSP_Contract_Alloc'!C289</f>
        <v/>
      </c>
      <c r="D289" s="5">
        <f>'02a_CSP_Contract_Alloc'!D289</f>
        <v/>
      </c>
      <c r="E289" s="5">
        <f>'02a_CSP_Contract_Alloc'!E289</f>
        <v/>
      </c>
      <c r="F289" s="28">
        <f>SUMPRODUCT(('02_Inputs'!$A$2:$A$181=B289)*('02_Inputs'!$B$2:$B$181=C289)*('02_Inputs'!$C$2:$C$181=D289)*'02_Inputs'!$D$2:$D$181*'02_Inputs'!$E$2:$E$181/'02_Inputs'!$F$2:$F$181*'02_Inputs'!$G$2:$G$181*'02_Inputs'!$H$2:$H$181*1000)</f>
        <v/>
      </c>
      <c r="G289" s="28">
        <f>'02a_CSP_Contract_Alloc'!F289</f>
        <v/>
      </c>
      <c r="H289" s="6">
        <f>'02a_CSP_Contract_Alloc'!G289</f>
        <v/>
      </c>
      <c r="I289" s="28">
        <f>'02a_CSP_Contract_Alloc'!H289</f>
        <v/>
      </c>
      <c r="J289" s="6">
        <f>'02a_CSP_Contract_Alloc'!I289</f>
        <v/>
      </c>
      <c r="K289" s="28">
        <f>'02a_CSP_Contract_Alloc'!K289</f>
        <v/>
      </c>
      <c r="L289" s="28">
        <f>SUMIFS('02a_CSP_Contract_Alloc'!$K$2:$K$305,'02a_CSP_Contract_Alloc'!$B$2:$B$305,B289,'02a_CSP_Contract_Alloc'!$C$2:$C$305,C289,'02a_CSP_Contract_Alloc'!$D$2:$D$305,D289)</f>
        <v/>
      </c>
      <c r="M289" s="6">
        <f>IF(L289&gt;0,K289/L289,0)</f>
        <v/>
      </c>
      <c r="N289" s="28">
        <f>F289*M289</f>
        <v/>
      </c>
      <c r="O289" s="5">
        <f>'02a_CSP_Contract_Alloc'!L289</f>
        <v/>
      </c>
      <c r="P289" s="5" t="inlineStr">
        <is>
          <t>AI company inference power is normalized across CSPs by CSP total power * AI contract share * inference share.</t>
        </is>
      </c>
    </row>
    <row r="290">
      <c r="A290" s="5">
        <f>'02a_CSP_Contract_Alloc'!A290</f>
        <v/>
      </c>
      <c r="B290" s="5">
        <f>'02a_CSP_Contract_Alloc'!B290</f>
        <v/>
      </c>
      <c r="C290" s="5">
        <f>'02a_CSP_Contract_Alloc'!C290</f>
        <v/>
      </c>
      <c r="D290" s="5">
        <f>'02a_CSP_Contract_Alloc'!D290</f>
        <v/>
      </c>
      <c r="E290" s="5">
        <f>'02a_CSP_Contract_Alloc'!E290</f>
        <v/>
      </c>
      <c r="F290" s="28">
        <f>SUMPRODUCT(('02_Inputs'!$A$2:$A$181=B290)*('02_Inputs'!$B$2:$B$181=C290)*('02_Inputs'!$C$2:$C$181=D290)*'02_Inputs'!$D$2:$D$181*'02_Inputs'!$E$2:$E$181/'02_Inputs'!$F$2:$F$181*'02_Inputs'!$G$2:$G$181*'02_Inputs'!$H$2:$H$181*1000)</f>
        <v/>
      </c>
      <c r="G290" s="28">
        <f>'02a_CSP_Contract_Alloc'!F290</f>
        <v/>
      </c>
      <c r="H290" s="6">
        <f>'02a_CSP_Contract_Alloc'!G290</f>
        <v/>
      </c>
      <c r="I290" s="28">
        <f>'02a_CSP_Contract_Alloc'!H290</f>
        <v/>
      </c>
      <c r="J290" s="6">
        <f>'02a_CSP_Contract_Alloc'!I290</f>
        <v/>
      </c>
      <c r="K290" s="28">
        <f>'02a_CSP_Contract_Alloc'!K290</f>
        <v/>
      </c>
      <c r="L290" s="28">
        <f>SUMIFS('02a_CSP_Contract_Alloc'!$K$2:$K$305,'02a_CSP_Contract_Alloc'!$B$2:$B$305,B290,'02a_CSP_Contract_Alloc'!$C$2:$C$305,C290,'02a_CSP_Contract_Alloc'!$D$2:$D$305,D290)</f>
        <v/>
      </c>
      <c r="M290" s="6">
        <f>IF(L290&gt;0,K290/L290,0)</f>
        <v/>
      </c>
      <c r="N290" s="28">
        <f>F290*M290</f>
        <v/>
      </c>
      <c r="O290" s="5">
        <f>'02a_CSP_Contract_Alloc'!L290</f>
        <v/>
      </c>
      <c r="P290" s="5" t="inlineStr">
        <is>
          <t>AI company inference power is normalized across CSPs by CSP total power * AI contract share * inference share.</t>
        </is>
      </c>
    </row>
    <row r="291">
      <c r="A291" s="5">
        <f>'02a_CSP_Contract_Alloc'!A291</f>
        <v/>
      </c>
      <c r="B291" s="5">
        <f>'02a_CSP_Contract_Alloc'!B291</f>
        <v/>
      </c>
      <c r="C291" s="5">
        <f>'02a_CSP_Contract_Alloc'!C291</f>
        <v/>
      </c>
      <c r="D291" s="5">
        <f>'02a_CSP_Contract_Alloc'!D291</f>
        <v/>
      </c>
      <c r="E291" s="5">
        <f>'02a_CSP_Contract_Alloc'!E291</f>
        <v/>
      </c>
      <c r="F291" s="28">
        <f>SUMPRODUCT(('02_Inputs'!$A$2:$A$181=B291)*('02_Inputs'!$B$2:$B$181=C291)*('02_Inputs'!$C$2:$C$181=D291)*'02_Inputs'!$D$2:$D$181*'02_Inputs'!$E$2:$E$181/'02_Inputs'!$F$2:$F$181*'02_Inputs'!$G$2:$G$181*'02_Inputs'!$H$2:$H$181*1000)</f>
        <v/>
      </c>
      <c r="G291" s="28">
        <f>'02a_CSP_Contract_Alloc'!F291</f>
        <v/>
      </c>
      <c r="H291" s="6">
        <f>'02a_CSP_Contract_Alloc'!G291</f>
        <v/>
      </c>
      <c r="I291" s="28">
        <f>'02a_CSP_Contract_Alloc'!H291</f>
        <v/>
      </c>
      <c r="J291" s="6">
        <f>'02a_CSP_Contract_Alloc'!I291</f>
        <v/>
      </c>
      <c r="K291" s="28">
        <f>'02a_CSP_Contract_Alloc'!K291</f>
        <v/>
      </c>
      <c r="L291" s="28">
        <f>SUMIFS('02a_CSP_Contract_Alloc'!$K$2:$K$305,'02a_CSP_Contract_Alloc'!$B$2:$B$305,B291,'02a_CSP_Contract_Alloc'!$C$2:$C$305,C291,'02a_CSP_Contract_Alloc'!$D$2:$D$305,D291)</f>
        <v/>
      </c>
      <c r="M291" s="6">
        <f>IF(L291&gt;0,K291/L291,0)</f>
        <v/>
      </c>
      <c r="N291" s="28">
        <f>F291*M291</f>
        <v/>
      </c>
      <c r="O291" s="5">
        <f>'02a_CSP_Contract_Alloc'!L291</f>
        <v/>
      </c>
      <c r="P291" s="5" t="inlineStr">
        <is>
          <t>AI company inference power is normalized across CSPs by CSP total power * AI contract share * inference share.</t>
        </is>
      </c>
    </row>
    <row r="292">
      <c r="A292" s="5">
        <f>'02a_CSP_Contract_Alloc'!A292</f>
        <v/>
      </c>
      <c r="B292" s="5">
        <f>'02a_CSP_Contract_Alloc'!B292</f>
        <v/>
      </c>
      <c r="C292" s="5">
        <f>'02a_CSP_Contract_Alloc'!C292</f>
        <v/>
      </c>
      <c r="D292" s="5">
        <f>'02a_CSP_Contract_Alloc'!D292</f>
        <v/>
      </c>
      <c r="E292" s="5">
        <f>'02a_CSP_Contract_Alloc'!E292</f>
        <v/>
      </c>
      <c r="F292" s="28">
        <f>SUMPRODUCT(('02_Inputs'!$A$2:$A$181=B292)*('02_Inputs'!$B$2:$B$181=C292)*('02_Inputs'!$C$2:$C$181=D292)*'02_Inputs'!$D$2:$D$181*'02_Inputs'!$E$2:$E$181/'02_Inputs'!$F$2:$F$181*'02_Inputs'!$G$2:$G$181*'02_Inputs'!$H$2:$H$181*1000)</f>
        <v/>
      </c>
      <c r="G292" s="28">
        <f>'02a_CSP_Contract_Alloc'!F292</f>
        <v/>
      </c>
      <c r="H292" s="6">
        <f>'02a_CSP_Contract_Alloc'!G292</f>
        <v/>
      </c>
      <c r="I292" s="28">
        <f>'02a_CSP_Contract_Alloc'!H292</f>
        <v/>
      </c>
      <c r="J292" s="6">
        <f>'02a_CSP_Contract_Alloc'!I292</f>
        <v/>
      </c>
      <c r="K292" s="28">
        <f>'02a_CSP_Contract_Alloc'!K292</f>
        <v/>
      </c>
      <c r="L292" s="28">
        <f>SUMIFS('02a_CSP_Contract_Alloc'!$K$2:$K$305,'02a_CSP_Contract_Alloc'!$B$2:$B$305,B292,'02a_CSP_Contract_Alloc'!$C$2:$C$305,C292,'02a_CSP_Contract_Alloc'!$D$2:$D$305,D292)</f>
        <v/>
      </c>
      <c r="M292" s="6">
        <f>IF(L292&gt;0,K292/L292,0)</f>
        <v/>
      </c>
      <c r="N292" s="28">
        <f>F292*M292</f>
        <v/>
      </c>
      <c r="O292" s="5">
        <f>'02a_CSP_Contract_Alloc'!L292</f>
        <v/>
      </c>
      <c r="P292" s="5" t="inlineStr">
        <is>
          <t>AI company inference power is normalized across CSPs by CSP total power * AI contract share * inference share.</t>
        </is>
      </c>
    </row>
    <row r="293">
      <c r="A293" s="5">
        <f>'02a_CSP_Contract_Alloc'!A293</f>
        <v/>
      </c>
      <c r="B293" s="5">
        <f>'02a_CSP_Contract_Alloc'!B293</f>
        <v/>
      </c>
      <c r="C293" s="5">
        <f>'02a_CSP_Contract_Alloc'!C293</f>
        <v/>
      </c>
      <c r="D293" s="5">
        <f>'02a_CSP_Contract_Alloc'!D293</f>
        <v/>
      </c>
      <c r="E293" s="5">
        <f>'02a_CSP_Contract_Alloc'!E293</f>
        <v/>
      </c>
      <c r="F293" s="28">
        <f>SUMPRODUCT(('02_Inputs'!$A$2:$A$181=B293)*('02_Inputs'!$B$2:$B$181=C293)*('02_Inputs'!$C$2:$C$181=D293)*'02_Inputs'!$D$2:$D$181*'02_Inputs'!$E$2:$E$181/'02_Inputs'!$F$2:$F$181*'02_Inputs'!$G$2:$G$181*'02_Inputs'!$H$2:$H$181*1000)</f>
        <v/>
      </c>
      <c r="G293" s="28">
        <f>'02a_CSP_Contract_Alloc'!F293</f>
        <v/>
      </c>
      <c r="H293" s="6">
        <f>'02a_CSP_Contract_Alloc'!G293</f>
        <v/>
      </c>
      <c r="I293" s="28">
        <f>'02a_CSP_Contract_Alloc'!H293</f>
        <v/>
      </c>
      <c r="J293" s="6">
        <f>'02a_CSP_Contract_Alloc'!I293</f>
        <v/>
      </c>
      <c r="K293" s="28">
        <f>'02a_CSP_Contract_Alloc'!K293</f>
        <v/>
      </c>
      <c r="L293" s="28">
        <f>SUMIFS('02a_CSP_Contract_Alloc'!$K$2:$K$305,'02a_CSP_Contract_Alloc'!$B$2:$B$305,B293,'02a_CSP_Contract_Alloc'!$C$2:$C$305,C293,'02a_CSP_Contract_Alloc'!$D$2:$D$305,D293)</f>
        <v/>
      </c>
      <c r="M293" s="6">
        <f>IF(L293&gt;0,K293/L293,0)</f>
        <v/>
      </c>
      <c r="N293" s="28">
        <f>F293*M293</f>
        <v/>
      </c>
      <c r="O293" s="5">
        <f>'02a_CSP_Contract_Alloc'!L293</f>
        <v/>
      </c>
      <c r="P293" s="5" t="inlineStr">
        <is>
          <t>AI company inference power is normalized across CSPs by CSP total power * AI contract share * inference share.</t>
        </is>
      </c>
    </row>
    <row r="294">
      <c r="A294" s="5">
        <f>'02a_CSP_Contract_Alloc'!A294</f>
        <v/>
      </c>
      <c r="B294" s="5">
        <f>'02a_CSP_Contract_Alloc'!B294</f>
        <v/>
      </c>
      <c r="C294" s="5">
        <f>'02a_CSP_Contract_Alloc'!C294</f>
        <v/>
      </c>
      <c r="D294" s="5">
        <f>'02a_CSP_Contract_Alloc'!D294</f>
        <v/>
      </c>
      <c r="E294" s="5">
        <f>'02a_CSP_Contract_Alloc'!E294</f>
        <v/>
      </c>
      <c r="F294" s="28">
        <f>SUMPRODUCT(('02_Inputs'!$A$2:$A$181=B294)*('02_Inputs'!$B$2:$B$181=C294)*('02_Inputs'!$C$2:$C$181=D294)*'02_Inputs'!$D$2:$D$181*'02_Inputs'!$E$2:$E$181/'02_Inputs'!$F$2:$F$181*'02_Inputs'!$G$2:$G$181*'02_Inputs'!$H$2:$H$181*1000)</f>
        <v/>
      </c>
      <c r="G294" s="28">
        <f>'02a_CSP_Contract_Alloc'!F294</f>
        <v/>
      </c>
      <c r="H294" s="6">
        <f>'02a_CSP_Contract_Alloc'!G294</f>
        <v/>
      </c>
      <c r="I294" s="28">
        <f>'02a_CSP_Contract_Alloc'!H294</f>
        <v/>
      </c>
      <c r="J294" s="6">
        <f>'02a_CSP_Contract_Alloc'!I294</f>
        <v/>
      </c>
      <c r="K294" s="28">
        <f>'02a_CSP_Contract_Alloc'!K294</f>
        <v/>
      </c>
      <c r="L294" s="28">
        <f>SUMIFS('02a_CSP_Contract_Alloc'!$K$2:$K$305,'02a_CSP_Contract_Alloc'!$B$2:$B$305,B294,'02a_CSP_Contract_Alloc'!$C$2:$C$305,C294,'02a_CSP_Contract_Alloc'!$D$2:$D$305,D294)</f>
        <v/>
      </c>
      <c r="M294" s="6">
        <f>IF(L294&gt;0,K294/L294,0)</f>
        <v/>
      </c>
      <c r="N294" s="28">
        <f>F294*M294</f>
        <v/>
      </c>
      <c r="O294" s="5">
        <f>'02a_CSP_Contract_Alloc'!L294</f>
        <v/>
      </c>
      <c r="P294" s="5" t="inlineStr">
        <is>
          <t>AI company inference power is normalized across CSPs by CSP total power * AI contract share * inference share.</t>
        </is>
      </c>
    </row>
    <row r="295">
      <c r="A295" s="5">
        <f>'02a_CSP_Contract_Alloc'!A295</f>
        <v/>
      </c>
      <c r="B295" s="5">
        <f>'02a_CSP_Contract_Alloc'!B295</f>
        <v/>
      </c>
      <c r="C295" s="5">
        <f>'02a_CSP_Contract_Alloc'!C295</f>
        <v/>
      </c>
      <c r="D295" s="5">
        <f>'02a_CSP_Contract_Alloc'!D295</f>
        <v/>
      </c>
      <c r="E295" s="5">
        <f>'02a_CSP_Contract_Alloc'!E295</f>
        <v/>
      </c>
      <c r="F295" s="28">
        <f>SUMPRODUCT(('02_Inputs'!$A$2:$A$181=B295)*('02_Inputs'!$B$2:$B$181=C295)*('02_Inputs'!$C$2:$C$181=D295)*'02_Inputs'!$D$2:$D$181*'02_Inputs'!$E$2:$E$181/'02_Inputs'!$F$2:$F$181*'02_Inputs'!$G$2:$G$181*'02_Inputs'!$H$2:$H$181*1000)</f>
        <v/>
      </c>
      <c r="G295" s="28">
        <f>'02a_CSP_Contract_Alloc'!F295</f>
        <v/>
      </c>
      <c r="H295" s="6">
        <f>'02a_CSP_Contract_Alloc'!G295</f>
        <v/>
      </c>
      <c r="I295" s="28">
        <f>'02a_CSP_Contract_Alloc'!H295</f>
        <v/>
      </c>
      <c r="J295" s="6">
        <f>'02a_CSP_Contract_Alloc'!I295</f>
        <v/>
      </c>
      <c r="K295" s="28">
        <f>'02a_CSP_Contract_Alloc'!K295</f>
        <v/>
      </c>
      <c r="L295" s="28">
        <f>SUMIFS('02a_CSP_Contract_Alloc'!$K$2:$K$305,'02a_CSP_Contract_Alloc'!$B$2:$B$305,B295,'02a_CSP_Contract_Alloc'!$C$2:$C$305,C295,'02a_CSP_Contract_Alloc'!$D$2:$D$305,D295)</f>
        <v/>
      </c>
      <c r="M295" s="6">
        <f>IF(L295&gt;0,K295/L295,0)</f>
        <v/>
      </c>
      <c r="N295" s="28">
        <f>F295*M295</f>
        <v/>
      </c>
      <c r="O295" s="5">
        <f>'02a_CSP_Contract_Alloc'!L295</f>
        <v/>
      </c>
      <c r="P295" s="5" t="inlineStr">
        <is>
          <t>AI company inference power is normalized across CSPs by CSP total power * AI contract share * inference share.</t>
        </is>
      </c>
    </row>
    <row r="296">
      <c r="A296" s="5">
        <f>'02a_CSP_Contract_Alloc'!A296</f>
        <v/>
      </c>
      <c r="B296" s="5">
        <f>'02a_CSP_Contract_Alloc'!B296</f>
        <v/>
      </c>
      <c r="C296" s="5">
        <f>'02a_CSP_Contract_Alloc'!C296</f>
        <v/>
      </c>
      <c r="D296" s="5">
        <f>'02a_CSP_Contract_Alloc'!D296</f>
        <v/>
      </c>
      <c r="E296" s="5">
        <f>'02a_CSP_Contract_Alloc'!E296</f>
        <v/>
      </c>
      <c r="F296" s="28">
        <f>SUMPRODUCT(('02_Inputs'!$A$2:$A$181=B296)*('02_Inputs'!$B$2:$B$181=C296)*('02_Inputs'!$C$2:$C$181=D296)*'02_Inputs'!$D$2:$D$181*'02_Inputs'!$E$2:$E$181/'02_Inputs'!$F$2:$F$181*'02_Inputs'!$G$2:$G$181*'02_Inputs'!$H$2:$H$181*1000)</f>
        <v/>
      </c>
      <c r="G296" s="28">
        <f>'02a_CSP_Contract_Alloc'!F296</f>
        <v/>
      </c>
      <c r="H296" s="6">
        <f>'02a_CSP_Contract_Alloc'!G296</f>
        <v/>
      </c>
      <c r="I296" s="28">
        <f>'02a_CSP_Contract_Alloc'!H296</f>
        <v/>
      </c>
      <c r="J296" s="6">
        <f>'02a_CSP_Contract_Alloc'!I296</f>
        <v/>
      </c>
      <c r="K296" s="28">
        <f>'02a_CSP_Contract_Alloc'!K296</f>
        <v/>
      </c>
      <c r="L296" s="28">
        <f>SUMIFS('02a_CSP_Contract_Alloc'!$K$2:$K$305,'02a_CSP_Contract_Alloc'!$B$2:$B$305,B296,'02a_CSP_Contract_Alloc'!$C$2:$C$305,C296,'02a_CSP_Contract_Alloc'!$D$2:$D$305,D296)</f>
        <v/>
      </c>
      <c r="M296" s="6">
        <f>IF(L296&gt;0,K296/L296,0)</f>
        <v/>
      </c>
      <c r="N296" s="28">
        <f>F296*M296</f>
        <v/>
      </c>
      <c r="O296" s="5">
        <f>'02a_CSP_Contract_Alloc'!L296</f>
        <v/>
      </c>
      <c r="P296" s="5" t="inlineStr">
        <is>
          <t>AI company inference power is normalized across CSPs by CSP total power * AI contract share * inference share.</t>
        </is>
      </c>
    </row>
    <row r="297">
      <c r="A297" s="5">
        <f>'02a_CSP_Contract_Alloc'!A297</f>
        <v/>
      </c>
      <c r="B297" s="5">
        <f>'02a_CSP_Contract_Alloc'!B297</f>
        <v/>
      </c>
      <c r="C297" s="5">
        <f>'02a_CSP_Contract_Alloc'!C297</f>
        <v/>
      </c>
      <c r="D297" s="5">
        <f>'02a_CSP_Contract_Alloc'!D297</f>
        <v/>
      </c>
      <c r="E297" s="5">
        <f>'02a_CSP_Contract_Alloc'!E297</f>
        <v/>
      </c>
      <c r="F297" s="28">
        <f>SUMPRODUCT(('02_Inputs'!$A$2:$A$181=B297)*('02_Inputs'!$B$2:$B$181=C297)*('02_Inputs'!$C$2:$C$181=D297)*'02_Inputs'!$D$2:$D$181*'02_Inputs'!$E$2:$E$181/'02_Inputs'!$F$2:$F$181*'02_Inputs'!$G$2:$G$181*'02_Inputs'!$H$2:$H$181*1000)</f>
        <v/>
      </c>
      <c r="G297" s="28">
        <f>'02a_CSP_Contract_Alloc'!F297</f>
        <v/>
      </c>
      <c r="H297" s="6">
        <f>'02a_CSP_Contract_Alloc'!G297</f>
        <v/>
      </c>
      <c r="I297" s="28">
        <f>'02a_CSP_Contract_Alloc'!H297</f>
        <v/>
      </c>
      <c r="J297" s="6">
        <f>'02a_CSP_Contract_Alloc'!I297</f>
        <v/>
      </c>
      <c r="K297" s="28">
        <f>'02a_CSP_Contract_Alloc'!K297</f>
        <v/>
      </c>
      <c r="L297" s="28">
        <f>SUMIFS('02a_CSP_Contract_Alloc'!$K$2:$K$305,'02a_CSP_Contract_Alloc'!$B$2:$B$305,B297,'02a_CSP_Contract_Alloc'!$C$2:$C$305,C297,'02a_CSP_Contract_Alloc'!$D$2:$D$305,D297)</f>
        <v/>
      </c>
      <c r="M297" s="6">
        <f>IF(L297&gt;0,K297/L297,0)</f>
        <v/>
      </c>
      <c r="N297" s="28">
        <f>F297*M297</f>
        <v/>
      </c>
      <c r="O297" s="5">
        <f>'02a_CSP_Contract_Alloc'!L297</f>
        <v/>
      </c>
      <c r="P297" s="5" t="inlineStr">
        <is>
          <t>AI company inference power is normalized across CSPs by CSP total power * AI contract share * inference share.</t>
        </is>
      </c>
    </row>
    <row r="298">
      <c r="A298" s="5">
        <f>'02a_CSP_Contract_Alloc'!A298</f>
        <v/>
      </c>
      <c r="B298" s="5">
        <f>'02a_CSP_Contract_Alloc'!B298</f>
        <v/>
      </c>
      <c r="C298" s="5">
        <f>'02a_CSP_Contract_Alloc'!C298</f>
        <v/>
      </c>
      <c r="D298" s="5">
        <f>'02a_CSP_Contract_Alloc'!D298</f>
        <v/>
      </c>
      <c r="E298" s="5">
        <f>'02a_CSP_Contract_Alloc'!E298</f>
        <v/>
      </c>
      <c r="F298" s="28">
        <f>SUMPRODUCT(('02_Inputs'!$A$2:$A$181=B298)*('02_Inputs'!$B$2:$B$181=C298)*('02_Inputs'!$C$2:$C$181=D298)*'02_Inputs'!$D$2:$D$181*'02_Inputs'!$E$2:$E$181/'02_Inputs'!$F$2:$F$181*'02_Inputs'!$G$2:$G$181*'02_Inputs'!$H$2:$H$181*1000)</f>
        <v/>
      </c>
      <c r="G298" s="28">
        <f>'02a_CSP_Contract_Alloc'!F298</f>
        <v/>
      </c>
      <c r="H298" s="6">
        <f>'02a_CSP_Contract_Alloc'!G298</f>
        <v/>
      </c>
      <c r="I298" s="28">
        <f>'02a_CSP_Contract_Alloc'!H298</f>
        <v/>
      </c>
      <c r="J298" s="6">
        <f>'02a_CSP_Contract_Alloc'!I298</f>
        <v/>
      </c>
      <c r="K298" s="28">
        <f>'02a_CSP_Contract_Alloc'!K298</f>
        <v/>
      </c>
      <c r="L298" s="28">
        <f>SUMIFS('02a_CSP_Contract_Alloc'!$K$2:$K$305,'02a_CSP_Contract_Alloc'!$B$2:$B$305,B298,'02a_CSP_Contract_Alloc'!$C$2:$C$305,C298,'02a_CSP_Contract_Alloc'!$D$2:$D$305,D298)</f>
        <v/>
      </c>
      <c r="M298" s="6">
        <f>IF(L298&gt;0,K298/L298,0)</f>
        <v/>
      </c>
      <c r="N298" s="28">
        <f>F298*M298</f>
        <v/>
      </c>
      <c r="O298" s="5">
        <f>'02a_CSP_Contract_Alloc'!L298</f>
        <v/>
      </c>
      <c r="P298" s="5" t="inlineStr">
        <is>
          <t>AI company inference power is normalized across CSPs by CSP total power * AI contract share * inference share.</t>
        </is>
      </c>
    </row>
    <row r="299">
      <c r="A299" s="5">
        <f>'02a_CSP_Contract_Alloc'!A299</f>
        <v/>
      </c>
      <c r="B299" s="5">
        <f>'02a_CSP_Contract_Alloc'!B299</f>
        <v/>
      </c>
      <c r="C299" s="5">
        <f>'02a_CSP_Contract_Alloc'!C299</f>
        <v/>
      </c>
      <c r="D299" s="5">
        <f>'02a_CSP_Contract_Alloc'!D299</f>
        <v/>
      </c>
      <c r="E299" s="5">
        <f>'02a_CSP_Contract_Alloc'!E299</f>
        <v/>
      </c>
      <c r="F299" s="28">
        <f>SUMPRODUCT(('02_Inputs'!$A$2:$A$181=B299)*('02_Inputs'!$B$2:$B$181=C299)*('02_Inputs'!$C$2:$C$181=D299)*'02_Inputs'!$D$2:$D$181*'02_Inputs'!$E$2:$E$181/'02_Inputs'!$F$2:$F$181*'02_Inputs'!$G$2:$G$181*'02_Inputs'!$H$2:$H$181*1000)</f>
        <v/>
      </c>
      <c r="G299" s="28">
        <f>'02a_CSP_Contract_Alloc'!F299</f>
        <v/>
      </c>
      <c r="H299" s="6">
        <f>'02a_CSP_Contract_Alloc'!G299</f>
        <v/>
      </c>
      <c r="I299" s="28">
        <f>'02a_CSP_Contract_Alloc'!H299</f>
        <v/>
      </c>
      <c r="J299" s="6">
        <f>'02a_CSP_Contract_Alloc'!I299</f>
        <v/>
      </c>
      <c r="K299" s="28">
        <f>'02a_CSP_Contract_Alloc'!K299</f>
        <v/>
      </c>
      <c r="L299" s="28">
        <f>SUMIFS('02a_CSP_Contract_Alloc'!$K$2:$K$305,'02a_CSP_Contract_Alloc'!$B$2:$B$305,B299,'02a_CSP_Contract_Alloc'!$C$2:$C$305,C299,'02a_CSP_Contract_Alloc'!$D$2:$D$305,D299)</f>
        <v/>
      </c>
      <c r="M299" s="6">
        <f>IF(L299&gt;0,K299/L299,0)</f>
        <v/>
      </c>
      <c r="N299" s="28">
        <f>F299*M299</f>
        <v/>
      </c>
      <c r="O299" s="5">
        <f>'02a_CSP_Contract_Alloc'!L299</f>
        <v/>
      </c>
      <c r="P299" s="5" t="inlineStr">
        <is>
          <t>AI company inference power is normalized across CSPs by CSP total power * AI contract share * inference share.</t>
        </is>
      </c>
    </row>
    <row r="300">
      <c r="A300" s="5">
        <f>'02a_CSP_Contract_Alloc'!A300</f>
        <v/>
      </c>
      <c r="B300" s="5">
        <f>'02a_CSP_Contract_Alloc'!B300</f>
        <v/>
      </c>
      <c r="C300" s="5">
        <f>'02a_CSP_Contract_Alloc'!C300</f>
        <v/>
      </c>
      <c r="D300" s="5">
        <f>'02a_CSP_Contract_Alloc'!D300</f>
        <v/>
      </c>
      <c r="E300" s="5">
        <f>'02a_CSP_Contract_Alloc'!E300</f>
        <v/>
      </c>
      <c r="F300" s="28">
        <f>SUMPRODUCT(('02_Inputs'!$A$2:$A$181=B300)*('02_Inputs'!$B$2:$B$181=C300)*('02_Inputs'!$C$2:$C$181=D300)*'02_Inputs'!$D$2:$D$181*'02_Inputs'!$E$2:$E$181/'02_Inputs'!$F$2:$F$181*'02_Inputs'!$G$2:$G$181*'02_Inputs'!$H$2:$H$181*1000)</f>
        <v/>
      </c>
      <c r="G300" s="28">
        <f>'02a_CSP_Contract_Alloc'!F300</f>
        <v/>
      </c>
      <c r="H300" s="6">
        <f>'02a_CSP_Contract_Alloc'!G300</f>
        <v/>
      </c>
      <c r="I300" s="28">
        <f>'02a_CSP_Contract_Alloc'!H300</f>
        <v/>
      </c>
      <c r="J300" s="6">
        <f>'02a_CSP_Contract_Alloc'!I300</f>
        <v/>
      </c>
      <c r="K300" s="28">
        <f>'02a_CSP_Contract_Alloc'!K300</f>
        <v/>
      </c>
      <c r="L300" s="28">
        <f>SUMIFS('02a_CSP_Contract_Alloc'!$K$2:$K$305,'02a_CSP_Contract_Alloc'!$B$2:$B$305,B300,'02a_CSP_Contract_Alloc'!$C$2:$C$305,C300,'02a_CSP_Contract_Alloc'!$D$2:$D$305,D300)</f>
        <v/>
      </c>
      <c r="M300" s="6">
        <f>IF(L300&gt;0,K300/L300,0)</f>
        <v/>
      </c>
      <c r="N300" s="28">
        <f>F300*M300</f>
        <v/>
      </c>
      <c r="O300" s="5">
        <f>'02a_CSP_Contract_Alloc'!L300</f>
        <v/>
      </c>
      <c r="P300" s="5" t="inlineStr">
        <is>
          <t>AI company inference power is normalized across CSPs by CSP total power * AI contract share * inference share.</t>
        </is>
      </c>
    </row>
    <row r="301">
      <c r="A301" s="5">
        <f>'02a_CSP_Contract_Alloc'!A301</f>
        <v/>
      </c>
      <c r="B301" s="5">
        <f>'02a_CSP_Contract_Alloc'!B301</f>
        <v/>
      </c>
      <c r="C301" s="5">
        <f>'02a_CSP_Contract_Alloc'!C301</f>
        <v/>
      </c>
      <c r="D301" s="5">
        <f>'02a_CSP_Contract_Alloc'!D301</f>
        <v/>
      </c>
      <c r="E301" s="5">
        <f>'02a_CSP_Contract_Alloc'!E301</f>
        <v/>
      </c>
      <c r="F301" s="28">
        <f>SUMPRODUCT(('02_Inputs'!$A$2:$A$181=B301)*('02_Inputs'!$B$2:$B$181=C301)*('02_Inputs'!$C$2:$C$181=D301)*'02_Inputs'!$D$2:$D$181*'02_Inputs'!$E$2:$E$181/'02_Inputs'!$F$2:$F$181*'02_Inputs'!$G$2:$G$181*'02_Inputs'!$H$2:$H$181*1000)</f>
        <v/>
      </c>
      <c r="G301" s="28">
        <f>'02a_CSP_Contract_Alloc'!F301</f>
        <v/>
      </c>
      <c r="H301" s="6">
        <f>'02a_CSP_Contract_Alloc'!G301</f>
        <v/>
      </c>
      <c r="I301" s="28">
        <f>'02a_CSP_Contract_Alloc'!H301</f>
        <v/>
      </c>
      <c r="J301" s="6">
        <f>'02a_CSP_Contract_Alloc'!I301</f>
        <v/>
      </c>
      <c r="K301" s="28">
        <f>'02a_CSP_Contract_Alloc'!K301</f>
        <v/>
      </c>
      <c r="L301" s="28">
        <f>SUMIFS('02a_CSP_Contract_Alloc'!$K$2:$K$305,'02a_CSP_Contract_Alloc'!$B$2:$B$305,B301,'02a_CSP_Contract_Alloc'!$C$2:$C$305,C301,'02a_CSP_Contract_Alloc'!$D$2:$D$305,D301)</f>
        <v/>
      </c>
      <c r="M301" s="6">
        <f>IF(L301&gt;0,K301/L301,0)</f>
        <v/>
      </c>
      <c r="N301" s="28">
        <f>F301*M301</f>
        <v/>
      </c>
      <c r="O301" s="5">
        <f>'02a_CSP_Contract_Alloc'!L301</f>
        <v/>
      </c>
      <c r="P301" s="5" t="inlineStr">
        <is>
          <t>AI company inference power is normalized across CSPs by CSP total power * AI contract share * inference share.</t>
        </is>
      </c>
    </row>
    <row r="302">
      <c r="A302" s="5">
        <f>'02a_CSP_Contract_Alloc'!A302</f>
        <v/>
      </c>
      <c r="B302" s="5">
        <f>'02a_CSP_Contract_Alloc'!B302</f>
        <v/>
      </c>
      <c r="C302" s="5">
        <f>'02a_CSP_Contract_Alloc'!C302</f>
        <v/>
      </c>
      <c r="D302" s="5">
        <f>'02a_CSP_Contract_Alloc'!D302</f>
        <v/>
      </c>
      <c r="E302" s="5">
        <f>'02a_CSP_Contract_Alloc'!E302</f>
        <v/>
      </c>
      <c r="F302" s="28">
        <f>SUMPRODUCT(('02_Inputs'!$A$2:$A$181=B302)*('02_Inputs'!$B$2:$B$181=C302)*('02_Inputs'!$C$2:$C$181=D302)*'02_Inputs'!$D$2:$D$181*'02_Inputs'!$E$2:$E$181/'02_Inputs'!$F$2:$F$181*'02_Inputs'!$G$2:$G$181*'02_Inputs'!$H$2:$H$181*1000)</f>
        <v/>
      </c>
      <c r="G302" s="28">
        <f>'02a_CSP_Contract_Alloc'!F302</f>
        <v/>
      </c>
      <c r="H302" s="6">
        <f>'02a_CSP_Contract_Alloc'!G302</f>
        <v/>
      </c>
      <c r="I302" s="28">
        <f>'02a_CSP_Contract_Alloc'!H302</f>
        <v/>
      </c>
      <c r="J302" s="6">
        <f>'02a_CSP_Contract_Alloc'!I302</f>
        <v/>
      </c>
      <c r="K302" s="28">
        <f>'02a_CSP_Contract_Alloc'!K302</f>
        <v/>
      </c>
      <c r="L302" s="28">
        <f>SUMIFS('02a_CSP_Contract_Alloc'!$K$2:$K$305,'02a_CSP_Contract_Alloc'!$B$2:$B$305,B302,'02a_CSP_Contract_Alloc'!$C$2:$C$305,C302,'02a_CSP_Contract_Alloc'!$D$2:$D$305,D302)</f>
        <v/>
      </c>
      <c r="M302" s="6">
        <f>IF(L302&gt;0,K302/L302,0)</f>
        <v/>
      </c>
      <c r="N302" s="28">
        <f>F302*M302</f>
        <v/>
      </c>
      <c r="O302" s="5">
        <f>'02a_CSP_Contract_Alloc'!L302</f>
        <v/>
      </c>
      <c r="P302" s="5" t="inlineStr">
        <is>
          <t>AI company inference power is normalized across CSPs by CSP total power * AI contract share * inference share.</t>
        </is>
      </c>
    </row>
    <row r="303">
      <c r="A303" s="5">
        <f>'02a_CSP_Contract_Alloc'!A303</f>
        <v/>
      </c>
      <c r="B303" s="5">
        <f>'02a_CSP_Contract_Alloc'!B303</f>
        <v/>
      </c>
      <c r="C303" s="5">
        <f>'02a_CSP_Contract_Alloc'!C303</f>
        <v/>
      </c>
      <c r="D303" s="5">
        <f>'02a_CSP_Contract_Alloc'!D303</f>
        <v/>
      </c>
      <c r="E303" s="5">
        <f>'02a_CSP_Contract_Alloc'!E303</f>
        <v/>
      </c>
      <c r="F303" s="28">
        <f>SUMPRODUCT(('02_Inputs'!$A$2:$A$181=B303)*('02_Inputs'!$B$2:$B$181=C303)*('02_Inputs'!$C$2:$C$181=D303)*'02_Inputs'!$D$2:$D$181*'02_Inputs'!$E$2:$E$181/'02_Inputs'!$F$2:$F$181*'02_Inputs'!$G$2:$G$181*'02_Inputs'!$H$2:$H$181*1000)</f>
        <v/>
      </c>
      <c r="G303" s="28">
        <f>'02a_CSP_Contract_Alloc'!F303</f>
        <v/>
      </c>
      <c r="H303" s="6">
        <f>'02a_CSP_Contract_Alloc'!G303</f>
        <v/>
      </c>
      <c r="I303" s="28">
        <f>'02a_CSP_Contract_Alloc'!H303</f>
        <v/>
      </c>
      <c r="J303" s="6">
        <f>'02a_CSP_Contract_Alloc'!I303</f>
        <v/>
      </c>
      <c r="K303" s="28">
        <f>'02a_CSP_Contract_Alloc'!K303</f>
        <v/>
      </c>
      <c r="L303" s="28">
        <f>SUMIFS('02a_CSP_Contract_Alloc'!$K$2:$K$305,'02a_CSP_Contract_Alloc'!$B$2:$B$305,B303,'02a_CSP_Contract_Alloc'!$C$2:$C$305,C303,'02a_CSP_Contract_Alloc'!$D$2:$D$305,D303)</f>
        <v/>
      </c>
      <c r="M303" s="6">
        <f>IF(L303&gt;0,K303/L303,0)</f>
        <v/>
      </c>
      <c r="N303" s="28">
        <f>F303*M303</f>
        <v/>
      </c>
      <c r="O303" s="5">
        <f>'02a_CSP_Contract_Alloc'!L303</f>
        <v/>
      </c>
      <c r="P303" s="5" t="inlineStr">
        <is>
          <t>AI company inference power is normalized across CSPs by CSP total power * AI contract share * inference share.</t>
        </is>
      </c>
    </row>
    <row r="304">
      <c r="A304" s="5">
        <f>'02a_CSP_Contract_Alloc'!A304</f>
        <v/>
      </c>
      <c r="B304" s="5">
        <f>'02a_CSP_Contract_Alloc'!B304</f>
        <v/>
      </c>
      <c r="C304" s="5">
        <f>'02a_CSP_Contract_Alloc'!C304</f>
        <v/>
      </c>
      <c r="D304" s="5">
        <f>'02a_CSP_Contract_Alloc'!D304</f>
        <v/>
      </c>
      <c r="E304" s="5">
        <f>'02a_CSP_Contract_Alloc'!E304</f>
        <v/>
      </c>
      <c r="F304" s="28">
        <f>SUMPRODUCT(('02_Inputs'!$A$2:$A$181=B304)*('02_Inputs'!$B$2:$B$181=C304)*('02_Inputs'!$C$2:$C$181=D304)*'02_Inputs'!$D$2:$D$181*'02_Inputs'!$E$2:$E$181/'02_Inputs'!$F$2:$F$181*'02_Inputs'!$G$2:$G$181*'02_Inputs'!$H$2:$H$181*1000)</f>
        <v/>
      </c>
      <c r="G304" s="28">
        <f>'02a_CSP_Contract_Alloc'!F304</f>
        <v/>
      </c>
      <c r="H304" s="6">
        <f>'02a_CSP_Contract_Alloc'!G304</f>
        <v/>
      </c>
      <c r="I304" s="28">
        <f>'02a_CSP_Contract_Alloc'!H304</f>
        <v/>
      </c>
      <c r="J304" s="6">
        <f>'02a_CSP_Contract_Alloc'!I304</f>
        <v/>
      </c>
      <c r="K304" s="28">
        <f>'02a_CSP_Contract_Alloc'!K304</f>
        <v/>
      </c>
      <c r="L304" s="28">
        <f>SUMIFS('02a_CSP_Contract_Alloc'!$K$2:$K$305,'02a_CSP_Contract_Alloc'!$B$2:$B$305,B304,'02a_CSP_Contract_Alloc'!$C$2:$C$305,C304,'02a_CSP_Contract_Alloc'!$D$2:$D$305,D304)</f>
        <v/>
      </c>
      <c r="M304" s="6">
        <f>IF(L304&gt;0,K304/L304,0)</f>
        <v/>
      </c>
      <c r="N304" s="28">
        <f>F304*M304</f>
        <v/>
      </c>
      <c r="O304" s="5">
        <f>'02a_CSP_Contract_Alloc'!L304</f>
        <v/>
      </c>
      <c r="P304" s="5" t="inlineStr">
        <is>
          <t>AI company inference power is normalized across CSPs by CSP total power * AI contract share * inference share.</t>
        </is>
      </c>
    </row>
    <row r="305">
      <c r="A305" s="5">
        <f>'02a_CSP_Contract_Alloc'!A305</f>
        <v/>
      </c>
      <c r="B305" s="5">
        <f>'02a_CSP_Contract_Alloc'!B305</f>
        <v/>
      </c>
      <c r="C305" s="5">
        <f>'02a_CSP_Contract_Alloc'!C305</f>
        <v/>
      </c>
      <c r="D305" s="5">
        <f>'02a_CSP_Contract_Alloc'!D305</f>
        <v/>
      </c>
      <c r="E305" s="5">
        <f>'02a_CSP_Contract_Alloc'!E305</f>
        <v/>
      </c>
      <c r="F305" s="28">
        <f>SUMPRODUCT(('02_Inputs'!$A$2:$A$181=B305)*('02_Inputs'!$B$2:$B$181=C305)*('02_Inputs'!$C$2:$C$181=D305)*'02_Inputs'!$D$2:$D$181*'02_Inputs'!$E$2:$E$181/'02_Inputs'!$F$2:$F$181*'02_Inputs'!$G$2:$G$181*'02_Inputs'!$H$2:$H$181*1000)</f>
        <v/>
      </c>
      <c r="G305" s="28">
        <f>'02a_CSP_Contract_Alloc'!F305</f>
        <v/>
      </c>
      <c r="H305" s="6">
        <f>'02a_CSP_Contract_Alloc'!G305</f>
        <v/>
      </c>
      <c r="I305" s="28">
        <f>'02a_CSP_Contract_Alloc'!H305</f>
        <v/>
      </c>
      <c r="J305" s="6">
        <f>'02a_CSP_Contract_Alloc'!I305</f>
        <v/>
      </c>
      <c r="K305" s="28">
        <f>'02a_CSP_Contract_Alloc'!K305</f>
        <v/>
      </c>
      <c r="L305" s="28">
        <f>SUMIFS('02a_CSP_Contract_Alloc'!$K$2:$K$305,'02a_CSP_Contract_Alloc'!$B$2:$B$305,B305,'02a_CSP_Contract_Alloc'!$C$2:$C$305,C305,'02a_CSP_Contract_Alloc'!$D$2:$D$305,D305)</f>
        <v/>
      </c>
      <c r="M305" s="6">
        <f>IF(L305&gt;0,K305/L305,0)</f>
        <v/>
      </c>
      <c r="N305" s="28">
        <f>F305*M305</f>
        <v/>
      </c>
      <c r="O305" s="5">
        <f>'02a_CSP_Contract_Alloc'!L305</f>
        <v/>
      </c>
      <c r="P305" s="5" t="inlineStr">
        <is>
          <t>AI company inference power is normalized across CSPs by CSP total power * AI contract share * inference share.</t>
        </is>
      </c>
    </row>
  </sheetData>
  <autoFilter ref="A1:P30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38" customWidth="1" min="2" max="2"/>
    <col width="12" customWidth="1" min="3" max="3"/>
    <col width="12" customWidth="1" min="4" max="4"/>
    <col width="36" customWidth="1" min="5" max="5"/>
    <col width="28" customWidth="1" min="6" max="6"/>
    <col width="38" customWidth="1" min="7" max="7"/>
    <col width="38" customWidth="1" min="8" max="8"/>
    <col width="38" customWidth="1" min="9" max="9"/>
    <col width="22" customWidth="1" min="10" max="10"/>
    <col width="38" customWidth="1" min="11" max="11"/>
    <col width="31" customWidth="1" min="12" max="12"/>
    <col width="33" customWidth="1" min="13" max="13"/>
    <col width="76" customWidth="1" min="14" max="14"/>
  </cols>
  <sheetData>
    <row r="1">
      <c r="A1" s="4" t="inlineStr">
        <is>
          <t>power_key</t>
        </is>
      </c>
      <c r="B1" s="4" t="inlineStr">
        <is>
          <t>scenario</t>
        </is>
      </c>
      <c r="C1" s="4" t="inlineStr">
        <is>
          <t>company</t>
        </is>
      </c>
      <c r="D1" s="4" t="inlineStr">
        <is>
          <t>year</t>
        </is>
      </c>
      <c r="E1" s="4" t="inlineStr">
        <is>
          <t>csp</t>
        </is>
      </c>
      <c r="F1" s="4" t="inlineStr">
        <is>
          <t>accelerator_type</t>
        </is>
      </c>
      <c r="G1" s="4" t="inlineStr">
        <is>
          <t>benchmark_bucket</t>
        </is>
      </c>
      <c r="H1" s="4" t="inlineStr">
        <is>
          <t>normalized_csp_inference_power_mw</t>
        </is>
      </c>
      <c r="I1" s="4" t="inlineStr">
        <is>
          <t>accelerator_share</t>
        </is>
      </c>
      <c r="J1" s="4" t="inlineStr">
        <is>
          <t>accelerator_power_mw</t>
        </is>
      </c>
      <c r="K1" s="4" t="inlineStr">
        <is>
          <t>all_in_kw_per_unit</t>
        </is>
      </c>
      <c r="L1" s="4" t="inlineStr">
        <is>
          <t>accelerator_count</t>
        </is>
      </c>
      <c r="M1" s="4" t="inlineStr">
        <is>
          <t>source_type</t>
        </is>
      </c>
      <c r="N1" s="4" t="inlineStr">
        <is>
          <t>note</t>
        </is>
      </c>
    </row>
    <row r="2">
      <c r="A2" s="5">
        <f>B2&amp;"|"&amp;C2&amp;"|"&amp;D2&amp;"|"&amp;E2&amp;"|"&amp;F2</f>
        <v/>
      </c>
      <c r="B2" s="5" t="inlineStr">
        <is>
          <t>Bear</t>
        </is>
      </c>
      <c r="C2" s="5" t="inlineStr">
        <is>
          <t>Alibaba</t>
        </is>
      </c>
      <c r="D2" s="5" t="n">
        <v>2026</v>
      </c>
      <c r="E2" s="5" t="inlineStr">
        <is>
          <t>Alibaba</t>
        </is>
      </c>
      <c r="F2" s="5" t="inlineStr">
        <is>
          <t>H100/H200/A100 class</t>
        </is>
      </c>
      <c r="G2" s="5">
        <f>IFERROR(INDEX('02x_Accelerator_Catalog'!$C$2:$C$11,MATCH(F2,'02x_Accelerator_Catalog'!$B$2:$B$11,0)),"purpose_or_unbenchmarked")</f>
        <v/>
      </c>
      <c r="H2" s="28">
        <f>SUMIFS('02c_AI_CSP_Normalized'!$N$2:$N$305,'02c_AI_CSP_Normalized'!$B$2:$B$305,B2,'02c_AI_CSP_Normalized'!$C$2:$C$305,C2,'02c_AI_CSP_Normalized'!$D$2:$D$305,D2,'02c_AI_CSP_Normalized'!$E$2:$E$305,E2)</f>
        <v/>
      </c>
      <c r="I2" s="6">
        <f>SUMIFS('02b_CSP_Accelerator_Mix'!$H$2:$H$573,'02b_CSP_Accelerator_Mix'!$B$2:$B$573,B2,'02b_CSP_Accelerator_Mix'!$C$2:$C$573,E2,'02b_CSP_Accelerator_Mix'!$D$2:$D$573,D2,'02b_CSP_Accelerator_Mix'!$E$2:$E$573,F2)</f>
        <v/>
      </c>
      <c r="J2" s="28">
        <f>H2*I2</f>
        <v/>
      </c>
      <c r="K2" s="8">
        <f>IFERROR(INDEX('02x_Accelerator_Catalog'!$D$2:$D$11,MATCH(F2,'02x_Accelerator_Catalog'!$B$2:$B$11,0)),"")</f>
        <v/>
      </c>
      <c r="L2" s="7">
        <f>IF(K2&gt;0,J2*1000/K2,"")</f>
        <v/>
      </c>
      <c r="M2" s="5" t="inlineStr">
        <is>
          <t>epoch_csp_chip_quantity_latest</t>
        </is>
      </c>
      <c r="N2" s="5" t="inlineStr">
        <is>
          <t>Extensible long-format output: add a new accelerator row in 02b and map it in 02x_Accelerator_Catalog to extend this table.</t>
        </is>
      </c>
    </row>
    <row r="3">
      <c r="A3" s="5">
        <f>B3&amp;"|"&amp;C3&amp;"|"&amp;D3&amp;"|"&amp;E3&amp;"|"&amp;F3</f>
        <v/>
      </c>
      <c r="B3" s="5" t="inlineStr">
        <is>
          <t>Base</t>
        </is>
      </c>
      <c r="C3" s="5" t="inlineStr">
        <is>
          <t>Alibaba</t>
        </is>
      </c>
      <c r="D3" s="5" t="n">
        <v>2026</v>
      </c>
      <c r="E3" s="5" t="inlineStr">
        <is>
          <t>Alibaba</t>
        </is>
      </c>
      <c r="F3" s="5" t="inlineStr">
        <is>
          <t>H100/H200/A100 class</t>
        </is>
      </c>
      <c r="G3" s="5">
        <f>IFERROR(INDEX('02x_Accelerator_Catalog'!$C$2:$C$11,MATCH(F3,'02x_Accelerator_Catalog'!$B$2:$B$11,0)),"purpose_or_unbenchmarked")</f>
        <v/>
      </c>
      <c r="H3" s="28">
        <f>SUMIFS('02c_AI_CSP_Normalized'!$N$2:$N$305,'02c_AI_CSP_Normalized'!$B$2:$B$305,B3,'02c_AI_CSP_Normalized'!$C$2:$C$305,C3,'02c_AI_CSP_Normalized'!$D$2:$D$305,D3,'02c_AI_CSP_Normalized'!$E$2:$E$305,E3)</f>
        <v/>
      </c>
      <c r="I3" s="6">
        <f>SUMIFS('02b_CSP_Accelerator_Mix'!$H$2:$H$573,'02b_CSP_Accelerator_Mix'!$B$2:$B$573,B3,'02b_CSP_Accelerator_Mix'!$C$2:$C$573,E3,'02b_CSP_Accelerator_Mix'!$D$2:$D$573,D3,'02b_CSP_Accelerator_Mix'!$E$2:$E$573,F3)</f>
        <v/>
      </c>
      <c r="J3" s="28">
        <f>H3*I3</f>
        <v/>
      </c>
      <c r="K3" s="8">
        <f>IFERROR(INDEX('02x_Accelerator_Catalog'!$D$2:$D$11,MATCH(F3,'02x_Accelerator_Catalog'!$B$2:$B$11,0)),"")</f>
        <v/>
      </c>
      <c r="L3" s="7">
        <f>IF(K3&gt;0,J3*1000/K3,"")</f>
        <v/>
      </c>
      <c r="M3" s="5" t="inlineStr">
        <is>
          <t>epoch_csp_chip_quantity_latest</t>
        </is>
      </c>
      <c r="N3" s="5" t="inlineStr">
        <is>
          <t>Extensible long-format output: add a new accelerator row in 02b and map it in 02x_Accelerator_Catalog to extend this table.</t>
        </is>
      </c>
    </row>
    <row r="4">
      <c r="A4" s="5">
        <f>B4&amp;"|"&amp;C4&amp;"|"&amp;D4&amp;"|"&amp;E4&amp;"|"&amp;F4</f>
        <v/>
      </c>
      <c r="B4" s="5" t="inlineStr">
        <is>
          <t>Bull</t>
        </is>
      </c>
      <c r="C4" s="5" t="inlineStr">
        <is>
          <t>Alibaba</t>
        </is>
      </c>
      <c r="D4" s="5" t="n">
        <v>2026</v>
      </c>
      <c r="E4" s="5" t="inlineStr">
        <is>
          <t>Alibaba</t>
        </is>
      </c>
      <c r="F4" s="5" t="inlineStr">
        <is>
          <t>H100/H200/A100 class</t>
        </is>
      </c>
      <c r="G4" s="5">
        <f>IFERROR(INDEX('02x_Accelerator_Catalog'!$C$2:$C$11,MATCH(F4,'02x_Accelerator_Catalog'!$B$2:$B$11,0)),"purpose_or_unbenchmarked")</f>
        <v/>
      </c>
      <c r="H4" s="28">
        <f>SUMIFS('02c_AI_CSP_Normalized'!$N$2:$N$305,'02c_AI_CSP_Normalized'!$B$2:$B$305,B4,'02c_AI_CSP_Normalized'!$C$2:$C$305,C4,'02c_AI_CSP_Normalized'!$D$2:$D$305,D4,'02c_AI_CSP_Normalized'!$E$2:$E$305,E4)</f>
        <v/>
      </c>
      <c r="I4" s="6">
        <f>SUMIFS('02b_CSP_Accelerator_Mix'!$H$2:$H$573,'02b_CSP_Accelerator_Mix'!$B$2:$B$573,B4,'02b_CSP_Accelerator_Mix'!$C$2:$C$573,E4,'02b_CSP_Accelerator_Mix'!$D$2:$D$573,D4,'02b_CSP_Accelerator_Mix'!$E$2:$E$573,F4)</f>
        <v/>
      </c>
      <c r="J4" s="28">
        <f>H4*I4</f>
        <v/>
      </c>
      <c r="K4" s="8">
        <f>IFERROR(INDEX('02x_Accelerator_Catalog'!$D$2:$D$11,MATCH(F4,'02x_Accelerator_Catalog'!$B$2:$B$11,0)),"")</f>
        <v/>
      </c>
      <c r="L4" s="7">
        <f>IF(K4&gt;0,J4*1000/K4,"")</f>
        <v/>
      </c>
      <c r="M4" s="5" t="inlineStr">
        <is>
          <t>epoch_csp_chip_quantity_latest</t>
        </is>
      </c>
      <c r="N4" s="5" t="inlineStr">
        <is>
          <t>Extensible long-format output: add a new accelerator row in 02b and map it in 02x_Accelerator_Catalog to extend this table.</t>
        </is>
      </c>
    </row>
    <row r="5">
      <c r="A5" s="5">
        <f>B5&amp;"|"&amp;C5&amp;"|"&amp;D5&amp;"|"&amp;E5&amp;"|"&amp;F5</f>
        <v/>
      </c>
      <c r="B5" s="5" t="inlineStr">
        <is>
          <t>Grid-Constrained / Efficiency-Upside</t>
        </is>
      </c>
      <c r="C5" s="5" t="inlineStr">
        <is>
          <t>Alibaba</t>
        </is>
      </c>
      <c r="D5" s="5" t="n">
        <v>2026</v>
      </c>
      <c r="E5" s="5" t="inlineStr">
        <is>
          <t>Alibaba</t>
        </is>
      </c>
      <c r="F5" s="5" t="inlineStr">
        <is>
          <t>H100/H200/A100 class</t>
        </is>
      </c>
      <c r="G5" s="5">
        <f>IFERROR(INDEX('02x_Accelerator_Catalog'!$C$2:$C$11,MATCH(F5,'02x_Accelerator_Catalog'!$B$2:$B$11,0)),"purpose_or_unbenchmarked")</f>
        <v/>
      </c>
      <c r="H5" s="28">
        <f>SUMIFS('02c_AI_CSP_Normalized'!$N$2:$N$305,'02c_AI_CSP_Normalized'!$B$2:$B$305,B5,'02c_AI_CSP_Normalized'!$C$2:$C$305,C5,'02c_AI_CSP_Normalized'!$D$2:$D$305,D5,'02c_AI_CSP_Normalized'!$E$2:$E$305,E5)</f>
        <v/>
      </c>
      <c r="I5" s="6">
        <f>SUMIFS('02b_CSP_Accelerator_Mix'!$H$2:$H$573,'02b_CSP_Accelerator_Mix'!$B$2:$B$573,B5,'02b_CSP_Accelerator_Mix'!$C$2:$C$573,E5,'02b_CSP_Accelerator_Mix'!$D$2:$D$573,D5,'02b_CSP_Accelerator_Mix'!$E$2:$E$573,F5)</f>
        <v/>
      </c>
      <c r="J5" s="28">
        <f>H5*I5</f>
        <v/>
      </c>
      <c r="K5" s="8">
        <f>IFERROR(INDEX('02x_Accelerator_Catalog'!$D$2:$D$11,MATCH(F5,'02x_Accelerator_Catalog'!$B$2:$B$11,0)),"")</f>
        <v/>
      </c>
      <c r="L5" s="7">
        <f>IF(K5&gt;0,J5*1000/K5,"")</f>
        <v/>
      </c>
      <c r="M5" s="5" t="inlineStr">
        <is>
          <t>epoch_csp_chip_quantity_latest</t>
        </is>
      </c>
      <c r="N5" s="5" t="inlineStr">
        <is>
          <t>Extensible long-format output: add a new accelerator row in 02b and map it in 02x_Accelerator_Catalog to extend this table.</t>
        </is>
      </c>
    </row>
    <row r="6">
      <c r="A6" s="5">
        <f>B6&amp;"|"&amp;C6&amp;"|"&amp;D6&amp;"|"&amp;E6&amp;"|"&amp;F6</f>
        <v/>
      </c>
      <c r="B6" s="5" t="inlineStr">
        <is>
          <t>Bear</t>
        </is>
      </c>
      <c r="C6" s="5" t="inlineStr">
        <is>
          <t>Alibaba</t>
        </is>
      </c>
      <c r="D6" s="5" t="n">
        <v>2027</v>
      </c>
      <c r="E6" s="5" t="inlineStr">
        <is>
          <t>Alibaba</t>
        </is>
      </c>
      <c r="F6" s="5" t="inlineStr">
        <is>
          <t>H100/H200/A100 class</t>
        </is>
      </c>
      <c r="G6" s="5">
        <f>IFERROR(INDEX('02x_Accelerator_Catalog'!$C$2:$C$11,MATCH(F6,'02x_Accelerator_Catalog'!$B$2:$B$11,0)),"purpose_or_unbenchmarked")</f>
        <v/>
      </c>
      <c r="H6" s="28">
        <f>SUMIFS('02c_AI_CSP_Normalized'!$N$2:$N$305,'02c_AI_CSP_Normalized'!$B$2:$B$305,B6,'02c_AI_CSP_Normalized'!$C$2:$C$305,C6,'02c_AI_CSP_Normalized'!$D$2:$D$305,D6,'02c_AI_CSP_Normalized'!$E$2:$E$305,E6)</f>
        <v/>
      </c>
      <c r="I6" s="6">
        <f>SUMIFS('02b_CSP_Accelerator_Mix'!$H$2:$H$573,'02b_CSP_Accelerator_Mix'!$B$2:$B$573,B6,'02b_CSP_Accelerator_Mix'!$C$2:$C$573,E6,'02b_CSP_Accelerator_Mix'!$D$2:$D$573,D6,'02b_CSP_Accelerator_Mix'!$E$2:$E$573,F6)</f>
        <v/>
      </c>
      <c r="J6" s="28">
        <f>H6*I6</f>
        <v/>
      </c>
      <c r="K6" s="8">
        <f>IFERROR(INDEX('02x_Accelerator_Catalog'!$D$2:$D$11,MATCH(F6,'02x_Accelerator_Catalog'!$B$2:$B$11,0)),"")</f>
        <v/>
      </c>
      <c r="L6" s="7">
        <f>IF(K6&gt;0,J6*1000/K6,"")</f>
        <v/>
      </c>
      <c r="M6" s="5" t="inlineStr">
        <is>
          <t>epoch_csp_chip_quantity_latest</t>
        </is>
      </c>
      <c r="N6" s="5" t="inlineStr">
        <is>
          <t>Extensible long-format output: add a new accelerator row in 02b and map it in 02x_Accelerator_Catalog to extend this table.</t>
        </is>
      </c>
    </row>
    <row r="7">
      <c r="A7" s="5">
        <f>B7&amp;"|"&amp;C7&amp;"|"&amp;D7&amp;"|"&amp;E7&amp;"|"&amp;F7</f>
        <v/>
      </c>
      <c r="B7" s="5" t="inlineStr">
        <is>
          <t>Base</t>
        </is>
      </c>
      <c r="C7" s="5" t="inlineStr">
        <is>
          <t>Alibaba</t>
        </is>
      </c>
      <c r="D7" s="5" t="n">
        <v>2027</v>
      </c>
      <c r="E7" s="5" t="inlineStr">
        <is>
          <t>Alibaba</t>
        </is>
      </c>
      <c r="F7" s="5" t="inlineStr">
        <is>
          <t>H100/H200/A100 class</t>
        </is>
      </c>
      <c r="G7" s="5">
        <f>IFERROR(INDEX('02x_Accelerator_Catalog'!$C$2:$C$11,MATCH(F7,'02x_Accelerator_Catalog'!$B$2:$B$11,0)),"purpose_or_unbenchmarked")</f>
        <v/>
      </c>
      <c r="H7" s="28">
        <f>SUMIFS('02c_AI_CSP_Normalized'!$N$2:$N$305,'02c_AI_CSP_Normalized'!$B$2:$B$305,B7,'02c_AI_CSP_Normalized'!$C$2:$C$305,C7,'02c_AI_CSP_Normalized'!$D$2:$D$305,D7,'02c_AI_CSP_Normalized'!$E$2:$E$305,E7)</f>
        <v/>
      </c>
      <c r="I7" s="6">
        <f>SUMIFS('02b_CSP_Accelerator_Mix'!$H$2:$H$573,'02b_CSP_Accelerator_Mix'!$B$2:$B$573,B7,'02b_CSP_Accelerator_Mix'!$C$2:$C$573,E7,'02b_CSP_Accelerator_Mix'!$D$2:$D$573,D7,'02b_CSP_Accelerator_Mix'!$E$2:$E$573,F7)</f>
        <v/>
      </c>
      <c r="J7" s="28">
        <f>H7*I7</f>
        <v/>
      </c>
      <c r="K7" s="8">
        <f>IFERROR(INDEX('02x_Accelerator_Catalog'!$D$2:$D$11,MATCH(F7,'02x_Accelerator_Catalog'!$B$2:$B$11,0)),"")</f>
        <v/>
      </c>
      <c r="L7" s="7">
        <f>IF(K7&gt;0,J7*1000/K7,"")</f>
        <v/>
      </c>
      <c r="M7" s="5" t="inlineStr">
        <is>
          <t>epoch_csp_chip_quantity_latest</t>
        </is>
      </c>
      <c r="N7" s="5" t="inlineStr">
        <is>
          <t>Extensible long-format output: add a new accelerator row in 02b and map it in 02x_Accelerator_Catalog to extend this table.</t>
        </is>
      </c>
    </row>
    <row r="8">
      <c r="A8" s="5">
        <f>B8&amp;"|"&amp;C8&amp;"|"&amp;D8&amp;"|"&amp;E8&amp;"|"&amp;F8</f>
        <v/>
      </c>
      <c r="B8" s="5" t="inlineStr">
        <is>
          <t>Bull</t>
        </is>
      </c>
      <c r="C8" s="5" t="inlineStr">
        <is>
          <t>Alibaba</t>
        </is>
      </c>
      <c r="D8" s="5" t="n">
        <v>2027</v>
      </c>
      <c r="E8" s="5" t="inlineStr">
        <is>
          <t>Alibaba</t>
        </is>
      </c>
      <c r="F8" s="5" t="inlineStr">
        <is>
          <t>H100/H200/A100 class</t>
        </is>
      </c>
      <c r="G8" s="5">
        <f>IFERROR(INDEX('02x_Accelerator_Catalog'!$C$2:$C$11,MATCH(F8,'02x_Accelerator_Catalog'!$B$2:$B$11,0)),"purpose_or_unbenchmarked")</f>
        <v/>
      </c>
      <c r="H8" s="28">
        <f>SUMIFS('02c_AI_CSP_Normalized'!$N$2:$N$305,'02c_AI_CSP_Normalized'!$B$2:$B$305,B8,'02c_AI_CSP_Normalized'!$C$2:$C$305,C8,'02c_AI_CSP_Normalized'!$D$2:$D$305,D8,'02c_AI_CSP_Normalized'!$E$2:$E$305,E8)</f>
        <v/>
      </c>
      <c r="I8" s="6">
        <f>SUMIFS('02b_CSP_Accelerator_Mix'!$H$2:$H$573,'02b_CSP_Accelerator_Mix'!$B$2:$B$573,B8,'02b_CSP_Accelerator_Mix'!$C$2:$C$573,E8,'02b_CSP_Accelerator_Mix'!$D$2:$D$573,D8,'02b_CSP_Accelerator_Mix'!$E$2:$E$573,F8)</f>
        <v/>
      </c>
      <c r="J8" s="28">
        <f>H8*I8</f>
        <v/>
      </c>
      <c r="K8" s="8">
        <f>IFERROR(INDEX('02x_Accelerator_Catalog'!$D$2:$D$11,MATCH(F8,'02x_Accelerator_Catalog'!$B$2:$B$11,0)),"")</f>
        <v/>
      </c>
      <c r="L8" s="7">
        <f>IF(K8&gt;0,J8*1000/K8,"")</f>
        <v/>
      </c>
      <c r="M8" s="5" t="inlineStr">
        <is>
          <t>epoch_csp_chip_quantity_latest</t>
        </is>
      </c>
      <c r="N8" s="5" t="inlineStr">
        <is>
          <t>Extensible long-format output: add a new accelerator row in 02b and map it in 02x_Accelerator_Catalog to extend this table.</t>
        </is>
      </c>
    </row>
    <row r="9">
      <c r="A9" s="5">
        <f>B9&amp;"|"&amp;C9&amp;"|"&amp;D9&amp;"|"&amp;E9&amp;"|"&amp;F9</f>
        <v/>
      </c>
      <c r="B9" s="5" t="inlineStr">
        <is>
          <t>Grid-Constrained / Efficiency-Upside</t>
        </is>
      </c>
      <c r="C9" s="5" t="inlineStr">
        <is>
          <t>Alibaba</t>
        </is>
      </c>
      <c r="D9" s="5" t="n">
        <v>2027</v>
      </c>
      <c r="E9" s="5" t="inlineStr">
        <is>
          <t>Alibaba</t>
        </is>
      </c>
      <c r="F9" s="5" t="inlineStr">
        <is>
          <t>H100/H200/A100 class</t>
        </is>
      </c>
      <c r="G9" s="5">
        <f>IFERROR(INDEX('02x_Accelerator_Catalog'!$C$2:$C$11,MATCH(F9,'02x_Accelerator_Catalog'!$B$2:$B$11,0)),"purpose_or_unbenchmarked")</f>
        <v/>
      </c>
      <c r="H9" s="28">
        <f>SUMIFS('02c_AI_CSP_Normalized'!$N$2:$N$305,'02c_AI_CSP_Normalized'!$B$2:$B$305,B9,'02c_AI_CSP_Normalized'!$C$2:$C$305,C9,'02c_AI_CSP_Normalized'!$D$2:$D$305,D9,'02c_AI_CSP_Normalized'!$E$2:$E$305,E9)</f>
        <v/>
      </c>
      <c r="I9" s="6">
        <f>SUMIFS('02b_CSP_Accelerator_Mix'!$H$2:$H$573,'02b_CSP_Accelerator_Mix'!$B$2:$B$573,B9,'02b_CSP_Accelerator_Mix'!$C$2:$C$573,E9,'02b_CSP_Accelerator_Mix'!$D$2:$D$573,D9,'02b_CSP_Accelerator_Mix'!$E$2:$E$573,F9)</f>
        <v/>
      </c>
      <c r="J9" s="28">
        <f>H9*I9</f>
        <v/>
      </c>
      <c r="K9" s="8">
        <f>IFERROR(INDEX('02x_Accelerator_Catalog'!$D$2:$D$11,MATCH(F9,'02x_Accelerator_Catalog'!$B$2:$B$11,0)),"")</f>
        <v/>
      </c>
      <c r="L9" s="7">
        <f>IF(K9&gt;0,J9*1000/K9,"")</f>
        <v/>
      </c>
      <c r="M9" s="5" t="inlineStr">
        <is>
          <t>epoch_csp_chip_quantity_latest</t>
        </is>
      </c>
      <c r="N9" s="5" t="inlineStr">
        <is>
          <t>Extensible long-format output: add a new accelerator row in 02b and map it in 02x_Accelerator_Catalog to extend this table.</t>
        </is>
      </c>
    </row>
    <row r="10">
      <c r="A10" s="5">
        <f>B10&amp;"|"&amp;C10&amp;"|"&amp;D10&amp;"|"&amp;E10&amp;"|"&amp;F10</f>
        <v/>
      </c>
      <c r="B10" s="5" t="inlineStr">
        <is>
          <t>Bear</t>
        </is>
      </c>
      <c r="C10" s="5" t="inlineStr">
        <is>
          <t>Alibaba</t>
        </is>
      </c>
      <c r="D10" s="5" t="n">
        <v>2028</v>
      </c>
      <c r="E10" s="5" t="inlineStr">
        <is>
          <t>Alibaba</t>
        </is>
      </c>
      <c r="F10" s="5" t="inlineStr">
        <is>
          <t>H100/H200/A100 class</t>
        </is>
      </c>
      <c r="G10" s="5">
        <f>IFERROR(INDEX('02x_Accelerator_Catalog'!$C$2:$C$11,MATCH(F10,'02x_Accelerator_Catalog'!$B$2:$B$11,0)),"purpose_or_unbenchmarked")</f>
        <v/>
      </c>
      <c r="H10" s="28">
        <f>SUMIFS('02c_AI_CSP_Normalized'!$N$2:$N$305,'02c_AI_CSP_Normalized'!$B$2:$B$305,B10,'02c_AI_CSP_Normalized'!$C$2:$C$305,C10,'02c_AI_CSP_Normalized'!$D$2:$D$305,D10,'02c_AI_CSP_Normalized'!$E$2:$E$305,E10)</f>
        <v/>
      </c>
      <c r="I10" s="6">
        <f>SUMIFS('02b_CSP_Accelerator_Mix'!$H$2:$H$573,'02b_CSP_Accelerator_Mix'!$B$2:$B$573,B10,'02b_CSP_Accelerator_Mix'!$C$2:$C$573,E10,'02b_CSP_Accelerator_Mix'!$D$2:$D$573,D10,'02b_CSP_Accelerator_Mix'!$E$2:$E$573,F10)</f>
        <v/>
      </c>
      <c r="J10" s="28">
        <f>H10*I10</f>
        <v/>
      </c>
      <c r="K10" s="8">
        <f>IFERROR(INDEX('02x_Accelerator_Catalog'!$D$2:$D$11,MATCH(F10,'02x_Accelerator_Catalog'!$B$2:$B$11,0)),"")</f>
        <v/>
      </c>
      <c r="L10" s="7">
        <f>IF(K10&gt;0,J10*1000/K10,"")</f>
        <v/>
      </c>
      <c r="M10" s="5" t="inlineStr">
        <is>
          <t>epoch_csp_chip_quantity_latest</t>
        </is>
      </c>
      <c r="N10" s="5" t="inlineStr">
        <is>
          <t>Extensible long-format output: add a new accelerator row in 02b and map it in 02x_Accelerator_Catalog to extend this table.</t>
        </is>
      </c>
    </row>
    <row r="11">
      <c r="A11" s="5">
        <f>B11&amp;"|"&amp;C11&amp;"|"&amp;D11&amp;"|"&amp;E11&amp;"|"&amp;F11</f>
        <v/>
      </c>
      <c r="B11" s="5" t="inlineStr">
        <is>
          <t>Base</t>
        </is>
      </c>
      <c r="C11" s="5" t="inlineStr">
        <is>
          <t>Alibaba</t>
        </is>
      </c>
      <c r="D11" s="5" t="n">
        <v>2028</v>
      </c>
      <c r="E11" s="5" t="inlineStr">
        <is>
          <t>Alibaba</t>
        </is>
      </c>
      <c r="F11" s="5" t="inlineStr">
        <is>
          <t>H100/H200/A100 class</t>
        </is>
      </c>
      <c r="G11" s="5">
        <f>IFERROR(INDEX('02x_Accelerator_Catalog'!$C$2:$C$11,MATCH(F11,'02x_Accelerator_Catalog'!$B$2:$B$11,0)),"purpose_or_unbenchmarked")</f>
        <v/>
      </c>
      <c r="H11" s="28">
        <f>SUMIFS('02c_AI_CSP_Normalized'!$N$2:$N$305,'02c_AI_CSP_Normalized'!$B$2:$B$305,B11,'02c_AI_CSP_Normalized'!$C$2:$C$305,C11,'02c_AI_CSP_Normalized'!$D$2:$D$305,D11,'02c_AI_CSP_Normalized'!$E$2:$E$305,E11)</f>
        <v/>
      </c>
      <c r="I11" s="6">
        <f>SUMIFS('02b_CSP_Accelerator_Mix'!$H$2:$H$573,'02b_CSP_Accelerator_Mix'!$B$2:$B$573,B11,'02b_CSP_Accelerator_Mix'!$C$2:$C$573,E11,'02b_CSP_Accelerator_Mix'!$D$2:$D$573,D11,'02b_CSP_Accelerator_Mix'!$E$2:$E$573,F11)</f>
        <v/>
      </c>
      <c r="J11" s="28">
        <f>H11*I11</f>
        <v/>
      </c>
      <c r="K11" s="8">
        <f>IFERROR(INDEX('02x_Accelerator_Catalog'!$D$2:$D$11,MATCH(F11,'02x_Accelerator_Catalog'!$B$2:$B$11,0)),"")</f>
        <v/>
      </c>
      <c r="L11" s="7">
        <f>IF(K11&gt;0,J11*1000/K11,"")</f>
        <v/>
      </c>
      <c r="M11" s="5" t="inlineStr">
        <is>
          <t>epoch_csp_chip_quantity_latest</t>
        </is>
      </c>
      <c r="N11" s="5" t="inlineStr">
        <is>
          <t>Extensible long-format output: add a new accelerator row in 02b and map it in 02x_Accelerator_Catalog to extend this table.</t>
        </is>
      </c>
    </row>
    <row r="12">
      <c r="A12" s="5">
        <f>B12&amp;"|"&amp;C12&amp;"|"&amp;D12&amp;"|"&amp;E12&amp;"|"&amp;F12</f>
        <v/>
      </c>
      <c r="B12" s="5" t="inlineStr">
        <is>
          <t>Bull</t>
        </is>
      </c>
      <c r="C12" s="5" t="inlineStr">
        <is>
          <t>Alibaba</t>
        </is>
      </c>
      <c r="D12" s="5" t="n">
        <v>2028</v>
      </c>
      <c r="E12" s="5" t="inlineStr">
        <is>
          <t>Alibaba</t>
        </is>
      </c>
      <c r="F12" s="5" t="inlineStr">
        <is>
          <t>H100/H200/A100 class</t>
        </is>
      </c>
      <c r="G12" s="5">
        <f>IFERROR(INDEX('02x_Accelerator_Catalog'!$C$2:$C$11,MATCH(F12,'02x_Accelerator_Catalog'!$B$2:$B$11,0)),"purpose_or_unbenchmarked")</f>
        <v/>
      </c>
      <c r="H12" s="28">
        <f>SUMIFS('02c_AI_CSP_Normalized'!$N$2:$N$305,'02c_AI_CSP_Normalized'!$B$2:$B$305,B12,'02c_AI_CSP_Normalized'!$C$2:$C$305,C12,'02c_AI_CSP_Normalized'!$D$2:$D$305,D12,'02c_AI_CSP_Normalized'!$E$2:$E$305,E12)</f>
        <v/>
      </c>
      <c r="I12" s="6">
        <f>SUMIFS('02b_CSP_Accelerator_Mix'!$H$2:$H$573,'02b_CSP_Accelerator_Mix'!$B$2:$B$573,B12,'02b_CSP_Accelerator_Mix'!$C$2:$C$573,E12,'02b_CSP_Accelerator_Mix'!$D$2:$D$573,D12,'02b_CSP_Accelerator_Mix'!$E$2:$E$573,F12)</f>
        <v/>
      </c>
      <c r="J12" s="28">
        <f>H12*I12</f>
        <v/>
      </c>
      <c r="K12" s="8">
        <f>IFERROR(INDEX('02x_Accelerator_Catalog'!$D$2:$D$11,MATCH(F12,'02x_Accelerator_Catalog'!$B$2:$B$11,0)),"")</f>
        <v/>
      </c>
      <c r="L12" s="7">
        <f>IF(K12&gt;0,J12*1000/K12,"")</f>
        <v/>
      </c>
      <c r="M12" s="5" t="inlineStr">
        <is>
          <t>epoch_csp_chip_quantity_latest</t>
        </is>
      </c>
      <c r="N12" s="5" t="inlineStr">
        <is>
          <t>Extensible long-format output: add a new accelerator row in 02b and map it in 02x_Accelerator_Catalog to extend this table.</t>
        </is>
      </c>
    </row>
    <row r="13">
      <c r="A13" s="5">
        <f>B13&amp;"|"&amp;C13&amp;"|"&amp;D13&amp;"|"&amp;E13&amp;"|"&amp;F13</f>
        <v/>
      </c>
      <c r="B13" s="5" t="inlineStr">
        <is>
          <t>Grid-Constrained / Efficiency-Upside</t>
        </is>
      </c>
      <c r="C13" s="5" t="inlineStr">
        <is>
          <t>Alibaba</t>
        </is>
      </c>
      <c r="D13" s="5" t="n">
        <v>2028</v>
      </c>
      <c r="E13" s="5" t="inlineStr">
        <is>
          <t>Alibaba</t>
        </is>
      </c>
      <c r="F13" s="5" t="inlineStr">
        <is>
          <t>H100/H200/A100 class</t>
        </is>
      </c>
      <c r="G13" s="5">
        <f>IFERROR(INDEX('02x_Accelerator_Catalog'!$C$2:$C$11,MATCH(F13,'02x_Accelerator_Catalog'!$B$2:$B$11,0)),"purpose_or_unbenchmarked")</f>
        <v/>
      </c>
      <c r="H13" s="28">
        <f>SUMIFS('02c_AI_CSP_Normalized'!$N$2:$N$305,'02c_AI_CSP_Normalized'!$B$2:$B$305,B13,'02c_AI_CSP_Normalized'!$C$2:$C$305,C13,'02c_AI_CSP_Normalized'!$D$2:$D$305,D13,'02c_AI_CSP_Normalized'!$E$2:$E$305,E13)</f>
        <v/>
      </c>
      <c r="I13" s="6">
        <f>SUMIFS('02b_CSP_Accelerator_Mix'!$H$2:$H$573,'02b_CSP_Accelerator_Mix'!$B$2:$B$573,B13,'02b_CSP_Accelerator_Mix'!$C$2:$C$573,E13,'02b_CSP_Accelerator_Mix'!$D$2:$D$573,D13,'02b_CSP_Accelerator_Mix'!$E$2:$E$573,F13)</f>
        <v/>
      </c>
      <c r="J13" s="28">
        <f>H13*I13</f>
        <v/>
      </c>
      <c r="K13" s="8">
        <f>IFERROR(INDEX('02x_Accelerator_Catalog'!$D$2:$D$11,MATCH(F13,'02x_Accelerator_Catalog'!$B$2:$B$11,0)),"")</f>
        <v/>
      </c>
      <c r="L13" s="7">
        <f>IF(K13&gt;0,J13*1000/K13,"")</f>
        <v/>
      </c>
      <c r="M13" s="5" t="inlineStr">
        <is>
          <t>epoch_csp_chip_quantity_latest</t>
        </is>
      </c>
      <c r="N13" s="5" t="inlineStr">
        <is>
          <t>Extensible long-format output: add a new accelerator row in 02b and map it in 02x_Accelerator_Catalog to extend this table.</t>
        </is>
      </c>
    </row>
    <row r="14">
      <c r="A14" s="5">
        <f>B14&amp;"|"&amp;C14&amp;"|"&amp;D14&amp;"|"&amp;E14&amp;"|"&amp;F14</f>
        <v/>
      </c>
      <c r="B14" s="5" t="inlineStr">
        <is>
          <t>Bear</t>
        </is>
      </c>
      <c r="C14" s="5" t="inlineStr">
        <is>
          <t>Alibaba</t>
        </is>
      </c>
      <c r="D14" s="5" t="n">
        <v>2029</v>
      </c>
      <c r="E14" s="5" t="inlineStr">
        <is>
          <t>Alibaba</t>
        </is>
      </c>
      <c r="F14" s="5" t="inlineStr">
        <is>
          <t>H100/H200/A100 class</t>
        </is>
      </c>
      <c r="G14" s="5">
        <f>IFERROR(INDEX('02x_Accelerator_Catalog'!$C$2:$C$11,MATCH(F14,'02x_Accelerator_Catalog'!$B$2:$B$11,0)),"purpose_or_unbenchmarked")</f>
        <v/>
      </c>
      <c r="H14" s="28">
        <f>SUMIFS('02c_AI_CSP_Normalized'!$N$2:$N$305,'02c_AI_CSP_Normalized'!$B$2:$B$305,B14,'02c_AI_CSP_Normalized'!$C$2:$C$305,C14,'02c_AI_CSP_Normalized'!$D$2:$D$305,D14,'02c_AI_CSP_Normalized'!$E$2:$E$305,E14)</f>
        <v/>
      </c>
      <c r="I14" s="6">
        <f>SUMIFS('02b_CSP_Accelerator_Mix'!$H$2:$H$573,'02b_CSP_Accelerator_Mix'!$B$2:$B$573,B14,'02b_CSP_Accelerator_Mix'!$C$2:$C$573,E14,'02b_CSP_Accelerator_Mix'!$D$2:$D$573,D14,'02b_CSP_Accelerator_Mix'!$E$2:$E$573,F14)</f>
        <v/>
      </c>
      <c r="J14" s="28">
        <f>H14*I14</f>
        <v/>
      </c>
      <c r="K14" s="8">
        <f>IFERROR(INDEX('02x_Accelerator_Catalog'!$D$2:$D$11,MATCH(F14,'02x_Accelerator_Catalog'!$B$2:$B$11,0)),"")</f>
        <v/>
      </c>
      <c r="L14" s="7">
        <f>IF(K14&gt;0,J14*1000/K14,"")</f>
        <v/>
      </c>
      <c r="M14" s="5" t="inlineStr">
        <is>
          <t>epoch_csp_chip_quantity_latest</t>
        </is>
      </c>
      <c r="N14" s="5" t="inlineStr">
        <is>
          <t>Extensible long-format output: add a new accelerator row in 02b and map it in 02x_Accelerator_Catalog to extend this table.</t>
        </is>
      </c>
    </row>
    <row r="15">
      <c r="A15" s="5">
        <f>B15&amp;"|"&amp;C15&amp;"|"&amp;D15&amp;"|"&amp;E15&amp;"|"&amp;F15</f>
        <v/>
      </c>
      <c r="B15" s="5" t="inlineStr">
        <is>
          <t>Base</t>
        </is>
      </c>
      <c r="C15" s="5" t="inlineStr">
        <is>
          <t>Alibaba</t>
        </is>
      </c>
      <c r="D15" s="5" t="n">
        <v>2029</v>
      </c>
      <c r="E15" s="5" t="inlineStr">
        <is>
          <t>Alibaba</t>
        </is>
      </c>
      <c r="F15" s="5" t="inlineStr">
        <is>
          <t>H100/H200/A100 class</t>
        </is>
      </c>
      <c r="G15" s="5">
        <f>IFERROR(INDEX('02x_Accelerator_Catalog'!$C$2:$C$11,MATCH(F15,'02x_Accelerator_Catalog'!$B$2:$B$11,0)),"purpose_or_unbenchmarked")</f>
        <v/>
      </c>
      <c r="H15" s="28">
        <f>SUMIFS('02c_AI_CSP_Normalized'!$N$2:$N$305,'02c_AI_CSP_Normalized'!$B$2:$B$305,B15,'02c_AI_CSP_Normalized'!$C$2:$C$305,C15,'02c_AI_CSP_Normalized'!$D$2:$D$305,D15,'02c_AI_CSP_Normalized'!$E$2:$E$305,E15)</f>
        <v/>
      </c>
      <c r="I15" s="6">
        <f>SUMIFS('02b_CSP_Accelerator_Mix'!$H$2:$H$573,'02b_CSP_Accelerator_Mix'!$B$2:$B$573,B15,'02b_CSP_Accelerator_Mix'!$C$2:$C$573,E15,'02b_CSP_Accelerator_Mix'!$D$2:$D$573,D15,'02b_CSP_Accelerator_Mix'!$E$2:$E$573,F15)</f>
        <v/>
      </c>
      <c r="J15" s="28">
        <f>H15*I15</f>
        <v/>
      </c>
      <c r="K15" s="8">
        <f>IFERROR(INDEX('02x_Accelerator_Catalog'!$D$2:$D$11,MATCH(F15,'02x_Accelerator_Catalog'!$B$2:$B$11,0)),"")</f>
        <v/>
      </c>
      <c r="L15" s="7">
        <f>IF(K15&gt;0,J15*1000/K15,"")</f>
        <v/>
      </c>
      <c r="M15" s="5" t="inlineStr">
        <is>
          <t>epoch_csp_chip_quantity_latest</t>
        </is>
      </c>
      <c r="N15" s="5" t="inlineStr">
        <is>
          <t>Extensible long-format output: add a new accelerator row in 02b and map it in 02x_Accelerator_Catalog to extend this table.</t>
        </is>
      </c>
    </row>
    <row r="16">
      <c r="A16" s="5">
        <f>B16&amp;"|"&amp;C16&amp;"|"&amp;D16&amp;"|"&amp;E16&amp;"|"&amp;F16</f>
        <v/>
      </c>
      <c r="B16" s="5" t="inlineStr">
        <is>
          <t>Bull</t>
        </is>
      </c>
      <c r="C16" s="5" t="inlineStr">
        <is>
          <t>Alibaba</t>
        </is>
      </c>
      <c r="D16" s="5" t="n">
        <v>2029</v>
      </c>
      <c r="E16" s="5" t="inlineStr">
        <is>
          <t>Alibaba</t>
        </is>
      </c>
      <c r="F16" s="5" t="inlineStr">
        <is>
          <t>H100/H200/A100 class</t>
        </is>
      </c>
      <c r="G16" s="5">
        <f>IFERROR(INDEX('02x_Accelerator_Catalog'!$C$2:$C$11,MATCH(F16,'02x_Accelerator_Catalog'!$B$2:$B$11,0)),"purpose_or_unbenchmarked")</f>
        <v/>
      </c>
      <c r="H16" s="28">
        <f>SUMIFS('02c_AI_CSP_Normalized'!$N$2:$N$305,'02c_AI_CSP_Normalized'!$B$2:$B$305,B16,'02c_AI_CSP_Normalized'!$C$2:$C$305,C16,'02c_AI_CSP_Normalized'!$D$2:$D$305,D16,'02c_AI_CSP_Normalized'!$E$2:$E$305,E16)</f>
        <v/>
      </c>
      <c r="I16" s="6">
        <f>SUMIFS('02b_CSP_Accelerator_Mix'!$H$2:$H$573,'02b_CSP_Accelerator_Mix'!$B$2:$B$573,B16,'02b_CSP_Accelerator_Mix'!$C$2:$C$573,E16,'02b_CSP_Accelerator_Mix'!$D$2:$D$573,D16,'02b_CSP_Accelerator_Mix'!$E$2:$E$573,F16)</f>
        <v/>
      </c>
      <c r="J16" s="28">
        <f>H16*I16</f>
        <v/>
      </c>
      <c r="K16" s="8">
        <f>IFERROR(INDEX('02x_Accelerator_Catalog'!$D$2:$D$11,MATCH(F16,'02x_Accelerator_Catalog'!$B$2:$B$11,0)),"")</f>
        <v/>
      </c>
      <c r="L16" s="7">
        <f>IF(K16&gt;0,J16*1000/K16,"")</f>
        <v/>
      </c>
      <c r="M16" s="5" t="inlineStr">
        <is>
          <t>epoch_csp_chip_quantity_latest</t>
        </is>
      </c>
      <c r="N16" s="5" t="inlineStr">
        <is>
          <t>Extensible long-format output: add a new accelerator row in 02b and map it in 02x_Accelerator_Catalog to extend this table.</t>
        </is>
      </c>
    </row>
    <row r="17">
      <c r="A17" s="5">
        <f>B17&amp;"|"&amp;C17&amp;"|"&amp;D17&amp;"|"&amp;E17&amp;"|"&amp;F17</f>
        <v/>
      </c>
      <c r="B17" s="5" t="inlineStr">
        <is>
          <t>Grid-Constrained / Efficiency-Upside</t>
        </is>
      </c>
      <c r="C17" s="5" t="inlineStr">
        <is>
          <t>Alibaba</t>
        </is>
      </c>
      <c r="D17" s="5" t="n">
        <v>2029</v>
      </c>
      <c r="E17" s="5" t="inlineStr">
        <is>
          <t>Alibaba</t>
        </is>
      </c>
      <c r="F17" s="5" t="inlineStr">
        <is>
          <t>H100/H200/A100 class</t>
        </is>
      </c>
      <c r="G17" s="5">
        <f>IFERROR(INDEX('02x_Accelerator_Catalog'!$C$2:$C$11,MATCH(F17,'02x_Accelerator_Catalog'!$B$2:$B$11,0)),"purpose_or_unbenchmarked")</f>
        <v/>
      </c>
      <c r="H17" s="28">
        <f>SUMIFS('02c_AI_CSP_Normalized'!$N$2:$N$305,'02c_AI_CSP_Normalized'!$B$2:$B$305,B17,'02c_AI_CSP_Normalized'!$C$2:$C$305,C17,'02c_AI_CSP_Normalized'!$D$2:$D$305,D17,'02c_AI_CSP_Normalized'!$E$2:$E$305,E17)</f>
        <v/>
      </c>
      <c r="I17" s="6">
        <f>SUMIFS('02b_CSP_Accelerator_Mix'!$H$2:$H$573,'02b_CSP_Accelerator_Mix'!$B$2:$B$573,B17,'02b_CSP_Accelerator_Mix'!$C$2:$C$573,E17,'02b_CSP_Accelerator_Mix'!$D$2:$D$573,D17,'02b_CSP_Accelerator_Mix'!$E$2:$E$573,F17)</f>
        <v/>
      </c>
      <c r="J17" s="28">
        <f>H17*I17</f>
        <v/>
      </c>
      <c r="K17" s="8">
        <f>IFERROR(INDEX('02x_Accelerator_Catalog'!$D$2:$D$11,MATCH(F17,'02x_Accelerator_Catalog'!$B$2:$B$11,0)),"")</f>
        <v/>
      </c>
      <c r="L17" s="7">
        <f>IF(K17&gt;0,J17*1000/K17,"")</f>
        <v/>
      </c>
      <c r="M17" s="5" t="inlineStr">
        <is>
          <t>epoch_csp_chip_quantity_latest</t>
        </is>
      </c>
      <c r="N17" s="5" t="inlineStr">
        <is>
          <t>Extensible long-format output: add a new accelerator row in 02b and map it in 02x_Accelerator_Catalog to extend this table.</t>
        </is>
      </c>
    </row>
    <row r="18">
      <c r="A18" s="5">
        <f>B18&amp;"|"&amp;C18&amp;"|"&amp;D18&amp;"|"&amp;E18&amp;"|"&amp;F18</f>
        <v/>
      </c>
      <c r="B18" s="5" t="inlineStr">
        <is>
          <t>Bear</t>
        </is>
      </c>
      <c r="C18" s="5" t="inlineStr">
        <is>
          <t>Alibaba</t>
        </is>
      </c>
      <c r="D18" s="5" t="n">
        <v>2030</v>
      </c>
      <c r="E18" s="5" t="inlineStr">
        <is>
          <t>Alibaba</t>
        </is>
      </c>
      <c r="F18" s="5" t="inlineStr">
        <is>
          <t>H100/H200/A100 class</t>
        </is>
      </c>
      <c r="G18" s="5">
        <f>IFERROR(INDEX('02x_Accelerator_Catalog'!$C$2:$C$11,MATCH(F18,'02x_Accelerator_Catalog'!$B$2:$B$11,0)),"purpose_or_unbenchmarked")</f>
        <v/>
      </c>
      <c r="H18" s="28">
        <f>SUMIFS('02c_AI_CSP_Normalized'!$N$2:$N$305,'02c_AI_CSP_Normalized'!$B$2:$B$305,B18,'02c_AI_CSP_Normalized'!$C$2:$C$305,C18,'02c_AI_CSP_Normalized'!$D$2:$D$305,D18,'02c_AI_CSP_Normalized'!$E$2:$E$305,E18)</f>
        <v/>
      </c>
      <c r="I18" s="6">
        <f>SUMIFS('02b_CSP_Accelerator_Mix'!$H$2:$H$573,'02b_CSP_Accelerator_Mix'!$B$2:$B$573,B18,'02b_CSP_Accelerator_Mix'!$C$2:$C$573,E18,'02b_CSP_Accelerator_Mix'!$D$2:$D$573,D18,'02b_CSP_Accelerator_Mix'!$E$2:$E$573,F18)</f>
        <v/>
      </c>
      <c r="J18" s="28">
        <f>H18*I18</f>
        <v/>
      </c>
      <c r="K18" s="8">
        <f>IFERROR(INDEX('02x_Accelerator_Catalog'!$D$2:$D$11,MATCH(F18,'02x_Accelerator_Catalog'!$B$2:$B$11,0)),"")</f>
        <v/>
      </c>
      <c r="L18" s="7">
        <f>IF(K18&gt;0,J18*1000/K18,"")</f>
        <v/>
      </c>
      <c r="M18" s="5" t="inlineStr">
        <is>
          <t>epoch_csp_chip_quantity_latest</t>
        </is>
      </c>
      <c r="N18" s="5" t="inlineStr">
        <is>
          <t>Extensible long-format output: add a new accelerator row in 02b and map it in 02x_Accelerator_Catalog to extend this table.</t>
        </is>
      </c>
    </row>
    <row r="19">
      <c r="A19" s="5">
        <f>B19&amp;"|"&amp;C19&amp;"|"&amp;D19&amp;"|"&amp;E19&amp;"|"&amp;F19</f>
        <v/>
      </c>
      <c r="B19" s="5" t="inlineStr">
        <is>
          <t>Base</t>
        </is>
      </c>
      <c r="C19" s="5" t="inlineStr">
        <is>
          <t>Alibaba</t>
        </is>
      </c>
      <c r="D19" s="5" t="n">
        <v>2030</v>
      </c>
      <c r="E19" s="5" t="inlineStr">
        <is>
          <t>Alibaba</t>
        </is>
      </c>
      <c r="F19" s="5" t="inlineStr">
        <is>
          <t>H100/H200/A100 class</t>
        </is>
      </c>
      <c r="G19" s="5">
        <f>IFERROR(INDEX('02x_Accelerator_Catalog'!$C$2:$C$11,MATCH(F19,'02x_Accelerator_Catalog'!$B$2:$B$11,0)),"purpose_or_unbenchmarked")</f>
        <v/>
      </c>
      <c r="H19" s="28">
        <f>SUMIFS('02c_AI_CSP_Normalized'!$N$2:$N$305,'02c_AI_CSP_Normalized'!$B$2:$B$305,B19,'02c_AI_CSP_Normalized'!$C$2:$C$305,C19,'02c_AI_CSP_Normalized'!$D$2:$D$305,D19,'02c_AI_CSP_Normalized'!$E$2:$E$305,E19)</f>
        <v/>
      </c>
      <c r="I19" s="6">
        <f>SUMIFS('02b_CSP_Accelerator_Mix'!$H$2:$H$573,'02b_CSP_Accelerator_Mix'!$B$2:$B$573,B19,'02b_CSP_Accelerator_Mix'!$C$2:$C$573,E19,'02b_CSP_Accelerator_Mix'!$D$2:$D$573,D19,'02b_CSP_Accelerator_Mix'!$E$2:$E$573,F19)</f>
        <v/>
      </c>
      <c r="J19" s="28">
        <f>H19*I19</f>
        <v/>
      </c>
      <c r="K19" s="8">
        <f>IFERROR(INDEX('02x_Accelerator_Catalog'!$D$2:$D$11,MATCH(F19,'02x_Accelerator_Catalog'!$B$2:$B$11,0)),"")</f>
        <v/>
      </c>
      <c r="L19" s="7">
        <f>IF(K19&gt;0,J19*1000/K19,"")</f>
        <v/>
      </c>
      <c r="M19" s="5" t="inlineStr">
        <is>
          <t>epoch_csp_chip_quantity_latest</t>
        </is>
      </c>
      <c r="N19" s="5" t="inlineStr">
        <is>
          <t>Extensible long-format output: add a new accelerator row in 02b and map it in 02x_Accelerator_Catalog to extend this table.</t>
        </is>
      </c>
    </row>
    <row r="20">
      <c r="A20" s="5">
        <f>B20&amp;"|"&amp;C20&amp;"|"&amp;D20&amp;"|"&amp;E20&amp;"|"&amp;F20</f>
        <v/>
      </c>
      <c r="B20" s="5" t="inlineStr">
        <is>
          <t>Bull</t>
        </is>
      </c>
      <c r="C20" s="5" t="inlineStr">
        <is>
          <t>Alibaba</t>
        </is>
      </c>
      <c r="D20" s="5" t="n">
        <v>2030</v>
      </c>
      <c r="E20" s="5" t="inlineStr">
        <is>
          <t>Alibaba</t>
        </is>
      </c>
      <c r="F20" s="5" t="inlineStr">
        <is>
          <t>H100/H200/A100 class</t>
        </is>
      </c>
      <c r="G20" s="5">
        <f>IFERROR(INDEX('02x_Accelerator_Catalog'!$C$2:$C$11,MATCH(F20,'02x_Accelerator_Catalog'!$B$2:$B$11,0)),"purpose_or_unbenchmarked")</f>
        <v/>
      </c>
      <c r="H20" s="28">
        <f>SUMIFS('02c_AI_CSP_Normalized'!$N$2:$N$305,'02c_AI_CSP_Normalized'!$B$2:$B$305,B20,'02c_AI_CSP_Normalized'!$C$2:$C$305,C20,'02c_AI_CSP_Normalized'!$D$2:$D$305,D20,'02c_AI_CSP_Normalized'!$E$2:$E$305,E20)</f>
        <v/>
      </c>
      <c r="I20" s="6">
        <f>SUMIFS('02b_CSP_Accelerator_Mix'!$H$2:$H$573,'02b_CSP_Accelerator_Mix'!$B$2:$B$573,B20,'02b_CSP_Accelerator_Mix'!$C$2:$C$573,E20,'02b_CSP_Accelerator_Mix'!$D$2:$D$573,D20,'02b_CSP_Accelerator_Mix'!$E$2:$E$573,F20)</f>
        <v/>
      </c>
      <c r="J20" s="28">
        <f>H20*I20</f>
        <v/>
      </c>
      <c r="K20" s="8">
        <f>IFERROR(INDEX('02x_Accelerator_Catalog'!$D$2:$D$11,MATCH(F20,'02x_Accelerator_Catalog'!$B$2:$B$11,0)),"")</f>
        <v/>
      </c>
      <c r="L20" s="7">
        <f>IF(K20&gt;0,J20*1000/K20,"")</f>
        <v/>
      </c>
      <c r="M20" s="5" t="inlineStr">
        <is>
          <t>epoch_csp_chip_quantity_latest</t>
        </is>
      </c>
      <c r="N20" s="5" t="inlineStr">
        <is>
          <t>Extensible long-format output: add a new accelerator row in 02b and map it in 02x_Accelerator_Catalog to extend this table.</t>
        </is>
      </c>
    </row>
    <row r="21">
      <c r="A21" s="5">
        <f>B21&amp;"|"&amp;C21&amp;"|"&amp;D21&amp;"|"&amp;E21&amp;"|"&amp;F21</f>
        <v/>
      </c>
      <c r="B21" s="5" t="inlineStr">
        <is>
          <t>Grid-Constrained / Efficiency-Upside</t>
        </is>
      </c>
      <c r="C21" s="5" t="inlineStr">
        <is>
          <t>Alibaba</t>
        </is>
      </c>
      <c r="D21" s="5" t="n">
        <v>2030</v>
      </c>
      <c r="E21" s="5" t="inlineStr">
        <is>
          <t>Alibaba</t>
        </is>
      </c>
      <c r="F21" s="5" t="inlineStr">
        <is>
          <t>H100/H200/A100 class</t>
        </is>
      </c>
      <c r="G21" s="5">
        <f>IFERROR(INDEX('02x_Accelerator_Catalog'!$C$2:$C$11,MATCH(F21,'02x_Accelerator_Catalog'!$B$2:$B$11,0)),"purpose_or_unbenchmarked")</f>
        <v/>
      </c>
      <c r="H21" s="28">
        <f>SUMIFS('02c_AI_CSP_Normalized'!$N$2:$N$305,'02c_AI_CSP_Normalized'!$B$2:$B$305,B21,'02c_AI_CSP_Normalized'!$C$2:$C$305,C21,'02c_AI_CSP_Normalized'!$D$2:$D$305,D21,'02c_AI_CSP_Normalized'!$E$2:$E$305,E21)</f>
        <v/>
      </c>
      <c r="I21" s="6">
        <f>SUMIFS('02b_CSP_Accelerator_Mix'!$H$2:$H$573,'02b_CSP_Accelerator_Mix'!$B$2:$B$573,B21,'02b_CSP_Accelerator_Mix'!$C$2:$C$573,E21,'02b_CSP_Accelerator_Mix'!$D$2:$D$573,D21,'02b_CSP_Accelerator_Mix'!$E$2:$E$573,F21)</f>
        <v/>
      </c>
      <c r="J21" s="28">
        <f>H21*I21</f>
        <v/>
      </c>
      <c r="K21" s="8">
        <f>IFERROR(INDEX('02x_Accelerator_Catalog'!$D$2:$D$11,MATCH(F21,'02x_Accelerator_Catalog'!$B$2:$B$11,0)),"")</f>
        <v/>
      </c>
      <c r="L21" s="7">
        <f>IF(K21&gt;0,J21*1000/K21,"")</f>
        <v/>
      </c>
      <c r="M21" s="5" t="inlineStr">
        <is>
          <t>epoch_csp_chip_quantity_latest</t>
        </is>
      </c>
      <c r="N21" s="5" t="inlineStr">
        <is>
          <t>Extensible long-format output: add a new accelerator row in 02b and map it in 02x_Accelerator_Catalog to extend this table.</t>
        </is>
      </c>
    </row>
    <row r="22">
      <c r="A22" s="5">
        <f>B22&amp;"|"&amp;C22&amp;"|"&amp;D22&amp;"|"&amp;E22&amp;"|"&amp;F22</f>
        <v/>
      </c>
      <c r="B22" s="5" t="inlineStr">
        <is>
          <t>Bear</t>
        </is>
      </c>
      <c r="C22" s="5" t="inlineStr">
        <is>
          <t>Anthropic</t>
        </is>
      </c>
      <c r="D22" s="5" t="n">
        <v>2026</v>
      </c>
      <c r="E22" s="5" t="inlineStr">
        <is>
          <t>Amazon</t>
        </is>
      </c>
      <c r="F22" s="5" t="inlineStr">
        <is>
          <t>B200/B300 class</t>
        </is>
      </c>
      <c r="G22" s="5">
        <f>IFERROR(INDEX('02x_Accelerator_Catalog'!$C$2:$C$11,MATCH(F22,'02x_Accelerator_Catalog'!$B$2:$B$11,0)),"purpose_or_unbenchmarked")</f>
        <v/>
      </c>
      <c r="H22" s="28">
        <f>SUMIFS('02c_AI_CSP_Normalized'!$N$2:$N$305,'02c_AI_CSP_Normalized'!$B$2:$B$305,B22,'02c_AI_CSP_Normalized'!$C$2:$C$305,C22,'02c_AI_CSP_Normalized'!$D$2:$D$305,D22,'02c_AI_CSP_Normalized'!$E$2:$E$305,E22)</f>
        <v/>
      </c>
      <c r="I22" s="6">
        <f>SUMIFS('02b_CSP_Accelerator_Mix'!$H$2:$H$573,'02b_CSP_Accelerator_Mix'!$B$2:$B$573,B22,'02b_CSP_Accelerator_Mix'!$C$2:$C$573,E22,'02b_CSP_Accelerator_Mix'!$D$2:$D$573,D22,'02b_CSP_Accelerator_Mix'!$E$2:$E$573,F22)</f>
        <v/>
      </c>
      <c r="J22" s="28">
        <f>H22*I22</f>
        <v/>
      </c>
      <c r="K22" s="8">
        <f>IFERROR(INDEX('02x_Accelerator_Catalog'!$D$2:$D$11,MATCH(F22,'02x_Accelerator_Catalog'!$B$2:$B$11,0)),"")</f>
        <v/>
      </c>
      <c r="L22" s="7">
        <f>IF(K22&gt;0,J22*1000/K22,"")</f>
        <v/>
      </c>
      <c r="M22" s="5" t="inlineStr">
        <is>
          <t>epoch_csp_chip_quantity_latest</t>
        </is>
      </c>
      <c r="N22" s="5" t="inlineStr">
        <is>
          <t>Extensible long-format output: add a new accelerator row in 02b and map it in 02x_Accelerator_Catalog to extend this table.</t>
        </is>
      </c>
    </row>
    <row r="23">
      <c r="A23" s="5">
        <f>B23&amp;"|"&amp;C23&amp;"|"&amp;D23&amp;"|"&amp;E23&amp;"|"&amp;F23</f>
        <v/>
      </c>
      <c r="B23" s="5" t="inlineStr">
        <is>
          <t>Bear</t>
        </is>
      </c>
      <c r="C23" s="5" t="inlineStr">
        <is>
          <t>Anthropic</t>
        </is>
      </c>
      <c r="D23" s="5" t="n">
        <v>2026</v>
      </c>
      <c r="E23" s="5" t="inlineStr">
        <is>
          <t>Amazon</t>
        </is>
      </c>
      <c r="F23" s="5" t="inlineStr">
        <is>
          <t>H100/H200/A100 class</t>
        </is>
      </c>
      <c r="G23" s="5">
        <f>IFERROR(INDEX('02x_Accelerator_Catalog'!$C$2:$C$11,MATCH(F23,'02x_Accelerator_Catalog'!$B$2:$B$11,0)),"purpose_or_unbenchmarked")</f>
        <v/>
      </c>
      <c r="H23" s="28">
        <f>SUMIFS('02c_AI_CSP_Normalized'!$N$2:$N$305,'02c_AI_CSP_Normalized'!$B$2:$B$305,B23,'02c_AI_CSP_Normalized'!$C$2:$C$305,C23,'02c_AI_CSP_Normalized'!$D$2:$D$305,D23,'02c_AI_CSP_Normalized'!$E$2:$E$305,E23)</f>
        <v/>
      </c>
      <c r="I23" s="6">
        <f>SUMIFS('02b_CSP_Accelerator_Mix'!$H$2:$H$573,'02b_CSP_Accelerator_Mix'!$B$2:$B$573,B23,'02b_CSP_Accelerator_Mix'!$C$2:$C$573,E23,'02b_CSP_Accelerator_Mix'!$D$2:$D$573,D23,'02b_CSP_Accelerator_Mix'!$E$2:$E$573,F23)</f>
        <v/>
      </c>
      <c r="J23" s="28">
        <f>H23*I23</f>
        <v/>
      </c>
      <c r="K23" s="8">
        <f>IFERROR(INDEX('02x_Accelerator_Catalog'!$D$2:$D$11,MATCH(F23,'02x_Accelerator_Catalog'!$B$2:$B$11,0)),"")</f>
        <v/>
      </c>
      <c r="L23" s="7">
        <f>IF(K23&gt;0,J23*1000/K23,"")</f>
        <v/>
      </c>
      <c r="M23" s="5" t="inlineStr">
        <is>
          <t>epoch_csp_chip_quantity_latest</t>
        </is>
      </c>
      <c r="N23" s="5" t="inlineStr">
        <is>
          <t>Extensible long-format output: add a new accelerator row in 02b and map it in 02x_Accelerator_Catalog to extend this table.</t>
        </is>
      </c>
    </row>
    <row r="24">
      <c r="A24" s="5">
        <f>B24&amp;"|"&amp;C24&amp;"|"&amp;D24&amp;"|"&amp;E24&amp;"|"&amp;F24</f>
        <v/>
      </c>
      <c r="B24" s="5" t="inlineStr">
        <is>
          <t>Bear</t>
        </is>
      </c>
      <c r="C24" s="5" t="inlineStr">
        <is>
          <t>Anthropic</t>
        </is>
      </c>
      <c r="D24" s="5" t="n">
        <v>2026</v>
      </c>
      <c r="E24" s="5" t="inlineStr">
        <is>
          <t>Amazon</t>
        </is>
      </c>
      <c r="F24" s="5" t="inlineStr">
        <is>
          <t>Trainium</t>
        </is>
      </c>
      <c r="G24" s="5">
        <f>IFERROR(INDEX('02x_Accelerator_Catalog'!$C$2:$C$11,MATCH(F24,'02x_Accelerator_Catalog'!$B$2:$B$11,0)),"purpose_or_unbenchmarked")</f>
        <v/>
      </c>
      <c r="H24" s="28">
        <f>SUMIFS('02c_AI_CSP_Normalized'!$N$2:$N$305,'02c_AI_CSP_Normalized'!$B$2:$B$305,B24,'02c_AI_CSP_Normalized'!$C$2:$C$305,C24,'02c_AI_CSP_Normalized'!$D$2:$D$305,D24,'02c_AI_CSP_Normalized'!$E$2:$E$305,E24)</f>
        <v/>
      </c>
      <c r="I24" s="6">
        <f>SUMIFS('02b_CSP_Accelerator_Mix'!$H$2:$H$573,'02b_CSP_Accelerator_Mix'!$B$2:$B$573,B24,'02b_CSP_Accelerator_Mix'!$C$2:$C$573,E24,'02b_CSP_Accelerator_Mix'!$D$2:$D$573,D24,'02b_CSP_Accelerator_Mix'!$E$2:$E$573,F24)</f>
        <v/>
      </c>
      <c r="J24" s="28">
        <f>H24*I24</f>
        <v/>
      </c>
      <c r="K24" s="8">
        <f>IFERROR(INDEX('02x_Accelerator_Catalog'!$D$2:$D$11,MATCH(F24,'02x_Accelerator_Catalog'!$B$2:$B$11,0)),"")</f>
        <v/>
      </c>
      <c r="L24" s="7">
        <f>IF(K24&gt;0,J24*1000/K24,"")</f>
        <v/>
      </c>
      <c r="M24" s="5" t="inlineStr">
        <is>
          <t>epoch_csp_chip_quantity_latest</t>
        </is>
      </c>
      <c r="N24" s="5" t="inlineStr">
        <is>
          <t>Extensible long-format output: add a new accelerator row in 02b and map it in 02x_Accelerator_Catalog to extend this table.</t>
        </is>
      </c>
    </row>
    <row r="25">
      <c r="A25" s="5">
        <f>B25&amp;"|"&amp;C25&amp;"|"&amp;D25&amp;"|"&amp;E25&amp;"|"&amp;F25</f>
        <v/>
      </c>
      <c r="B25" s="5" t="inlineStr">
        <is>
          <t>Base</t>
        </is>
      </c>
      <c r="C25" s="5" t="inlineStr">
        <is>
          <t>Anthropic</t>
        </is>
      </c>
      <c r="D25" s="5" t="n">
        <v>2026</v>
      </c>
      <c r="E25" s="5" t="inlineStr">
        <is>
          <t>Amazon</t>
        </is>
      </c>
      <c r="F25" s="5" t="inlineStr">
        <is>
          <t>B200/B300 class</t>
        </is>
      </c>
      <c r="G25" s="5">
        <f>IFERROR(INDEX('02x_Accelerator_Catalog'!$C$2:$C$11,MATCH(F25,'02x_Accelerator_Catalog'!$B$2:$B$11,0)),"purpose_or_unbenchmarked")</f>
        <v/>
      </c>
      <c r="H25" s="28">
        <f>SUMIFS('02c_AI_CSP_Normalized'!$N$2:$N$305,'02c_AI_CSP_Normalized'!$B$2:$B$305,B25,'02c_AI_CSP_Normalized'!$C$2:$C$305,C25,'02c_AI_CSP_Normalized'!$D$2:$D$305,D25,'02c_AI_CSP_Normalized'!$E$2:$E$305,E25)</f>
        <v/>
      </c>
      <c r="I25" s="6">
        <f>SUMIFS('02b_CSP_Accelerator_Mix'!$H$2:$H$573,'02b_CSP_Accelerator_Mix'!$B$2:$B$573,B25,'02b_CSP_Accelerator_Mix'!$C$2:$C$573,E25,'02b_CSP_Accelerator_Mix'!$D$2:$D$573,D25,'02b_CSP_Accelerator_Mix'!$E$2:$E$573,F25)</f>
        <v/>
      </c>
      <c r="J25" s="28">
        <f>H25*I25</f>
        <v/>
      </c>
      <c r="K25" s="8">
        <f>IFERROR(INDEX('02x_Accelerator_Catalog'!$D$2:$D$11,MATCH(F25,'02x_Accelerator_Catalog'!$B$2:$B$11,0)),"")</f>
        <v/>
      </c>
      <c r="L25" s="7">
        <f>IF(K25&gt;0,J25*1000/K25,"")</f>
        <v/>
      </c>
      <c r="M25" s="5" t="inlineStr">
        <is>
          <t>epoch_csp_chip_quantity_latest</t>
        </is>
      </c>
      <c r="N25" s="5" t="inlineStr">
        <is>
          <t>Extensible long-format output: add a new accelerator row in 02b and map it in 02x_Accelerator_Catalog to extend this table.</t>
        </is>
      </c>
    </row>
    <row r="26">
      <c r="A26" s="5">
        <f>B26&amp;"|"&amp;C26&amp;"|"&amp;D26&amp;"|"&amp;E26&amp;"|"&amp;F26</f>
        <v/>
      </c>
      <c r="B26" s="5" t="inlineStr">
        <is>
          <t>Base</t>
        </is>
      </c>
      <c r="C26" s="5" t="inlineStr">
        <is>
          <t>Anthropic</t>
        </is>
      </c>
      <c r="D26" s="5" t="n">
        <v>2026</v>
      </c>
      <c r="E26" s="5" t="inlineStr">
        <is>
          <t>Amazon</t>
        </is>
      </c>
      <c r="F26" s="5" t="inlineStr">
        <is>
          <t>H100/H200/A100 class</t>
        </is>
      </c>
      <c r="G26" s="5">
        <f>IFERROR(INDEX('02x_Accelerator_Catalog'!$C$2:$C$11,MATCH(F26,'02x_Accelerator_Catalog'!$B$2:$B$11,0)),"purpose_or_unbenchmarked")</f>
        <v/>
      </c>
      <c r="H26" s="28">
        <f>SUMIFS('02c_AI_CSP_Normalized'!$N$2:$N$305,'02c_AI_CSP_Normalized'!$B$2:$B$305,B26,'02c_AI_CSP_Normalized'!$C$2:$C$305,C26,'02c_AI_CSP_Normalized'!$D$2:$D$305,D26,'02c_AI_CSP_Normalized'!$E$2:$E$305,E26)</f>
        <v/>
      </c>
      <c r="I26" s="6">
        <f>SUMIFS('02b_CSP_Accelerator_Mix'!$H$2:$H$573,'02b_CSP_Accelerator_Mix'!$B$2:$B$573,B26,'02b_CSP_Accelerator_Mix'!$C$2:$C$573,E26,'02b_CSP_Accelerator_Mix'!$D$2:$D$573,D26,'02b_CSP_Accelerator_Mix'!$E$2:$E$573,F26)</f>
        <v/>
      </c>
      <c r="J26" s="28">
        <f>H26*I26</f>
        <v/>
      </c>
      <c r="K26" s="8">
        <f>IFERROR(INDEX('02x_Accelerator_Catalog'!$D$2:$D$11,MATCH(F26,'02x_Accelerator_Catalog'!$B$2:$B$11,0)),"")</f>
        <v/>
      </c>
      <c r="L26" s="7">
        <f>IF(K26&gt;0,J26*1000/K26,"")</f>
        <v/>
      </c>
      <c r="M26" s="5" t="inlineStr">
        <is>
          <t>epoch_csp_chip_quantity_latest</t>
        </is>
      </c>
      <c r="N26" s="5" t="inlineStr">
        <is>
          <t>Extensible long-format output: add a new accelerator row in 02b and map it in 02x_Accelerator_Catalog to extend this table.</t>
        </is>
      </c>
    </row>
    <row r="27">
      <c r="A27" s="5">
        <f>B27&amp;"|"&amp;C27&amp;"|"&amp;D27&amp;"|"&amp;E27&amp;"|"&amp;F27</f>
        <v/>
      </c>
      <c r="B27" s="5" t="inlineStr">
        <is>
          <t>Base</t>
        </is>
      </c>
      <c r="C27" s="5" t="inlineStr">
        <is>
          <t>Anthropic</t>
        </is>
      </c>
      <c r="D27" s="5" t="n">
        <v>2026</v>
      </c>
      <c r="E27" s="5" t="inlineStr">
        <is>
          <t>Amazon</t>
        </is>
      </c>
      <c r="F27" s="5" t="inlineStr">
        <is>
          <t>Trainium</t>
        </is>
      </c>
      <c r="G27" s="5">
        <f>IFERROR(INDEX('02x_Accelerator_Catalog'!$C$2:$C$11,MATCH(F27,'02x_Accelerator_Catalog'!$B$2:$B$11,0)),"purpose_or_unbenchmarked")</f>
        <v/>
      </c>
      <c r="H27" s="28">
        <f>SUMIFS('02c_AI_CSP_Normalized'!$N$2:$N$305,'02c_AI_CSP_Normalized'!$B$2:$B$305,B27,'02c_AI_CSP_Normalized'!$C$2:$C$305,C27,'02c_AI_CSP_Normalized'!$D$2:$D$305,D27,'02c_AI_CSP_Normalized'!$E$2:$E$305,E27)</f>
        <v/>
      </c>
      <c r="I27" s="6">
        <f>SUMIFS('02b_CSP_Accelerator_Mix'!$H$2:$H$573,'02b_CSP_Accelerator_Mix'!$B$2:$B$573,B27,'02b_CSP_Accelerator_Mix'!$C$2:$C$573,E27,'02b_CSP_Accelerator_Mix'!$D$2:$D$573,D27,'02b_CSP_Accelerator_Mix'!$E$2:$E$573,F27)</f>
        <v/>
      </c>
      <c r="J27" s="28">
        <f>H27*I27</f>
        <v/>
      </c>
      <c r="K27" s="8">
        <f>IFERROR(INDEX('02x_Accelerator_Catalog'!$D$2:$D$11,MATCH(F27,'02x_Accelerator_Catalog'!$B$2:$B$11,0)),"")</f>
        <v/>
      </c>
      <c r="L27" s="7">
        <f>IF(K27&gt;0,J27*1000/K27,"")</f>
        <v/>
      </c>
      <c r="M27" s="5" t="inlineStr">
        <is>
          <t>epoch_csp_chip_quantity_latest</t>
        </is>
      </c>
      <c r="N27" s="5" t="inlineStr">
        <is>
          <t>Extensible long-format output: add a new accelerator row in 02b and map it in 02x_Accelerator_Catalog to extend this table.</t>
        </is>
      </c>
    </row>
    <row r="28">
      <c r="A28" s="5">
        <f>B28&amp;"|"&amp;C28&amp;"|"&amp;D28&amp;"|"&amp;E28&amp;"|"&amp;F28</f>
        <v/>
      </c>
      <c r="B28" s="5" t="inlineStr">
        <is>
          <t>Bull</t>
        </is>
      </c>
      <c r="C28" s="5" t="inlineStr">
        <is>
          <t>Anthropic</t>
        </is>
      </c>
      <c r="D28" s="5" t="n">
        <v>2026</v>
      </c>
      <c r="E28" s="5" t="inlineStr">
        <is>
          <t>Amazon</t>
        </is>
      </c>
      <c r="F28" s="5" t="inlineStr">
        <is>
          <t>B200/B300 class</t>
        </is>
      </c>
      <c r="G28" s="5">
        <f>IFERROR(INDEX('02x_Accelerator_Catalog'!$C$2:$C$11,MATCH(F28,'02x_Accelerator_Catalog'!$B$2:$B$11,0)),"purpose_or_unbenchmarked")</f>
        <v/>
      </c>
      <c r="H28" s="28">
        <f>SUMIFS('02c_AI_CSP_Normalized'!$N$2:$N$305,'02c_AI_CSP_Normalized'!$B$2:$B$305,B28,'02c_AI_CSP_Normalized'!$C$2:$C$305,C28,'02c_AI_CSP_Normalized'!$D$2:$D$305,D28,'02c_AI_CSP_Normalized'!$E$2:$E$305,E28)</f>
        <v/>
      </c>
      <c r="I28" s="6">
        <f>SUMIFS('02b_CSP_Accelerator_Mix'!$H$2:$H$573,'02b_CSP_Accelerator_Mix'!$B$2:$B$573,B28,'02b_CSP_Accelerator_Mix'!$C$2:$C$573,E28,'02b_CSP_Accelerator_Mix'!$D$2:$D$573,D28,'02b_CSP_Accelerator_Mix'!$E$2:$E$573,F28)</f>
        <v/>
      </c>
      <c r="J28" s="28">
        <f>H28*I28</f>
        <v/>
      </c>
      <c r="K28" s="8">
        <f>IFERROR(INDEX('02x_Accelerator_Catalog'!$D$2:$D$11,MATCH(F28,'02x_Accelerator_Catalog'!$B$2:$B$11,0)),"")</f>
        <v/>
      </c>
      <c r="L28" s="7">
        <f>IF(K28&gt;0,J28*1000/K28,"")</f>
        <v/>
      </c>
      <c r="M28" s="5" t="inlineStr">
        <is>
          <t>epoch_csp_chip_quantity_latest</t>
        </is>
      </c>
      <c r="N28" s="5" t="inlineStr">
        <is>
          <t>Extensible long-format output: add a new accelerator row in 02b and map it in 02x_Accelerator_Catalog to extend this table.</t>
        </is>
      </c>
    </row>
    <row r="29">
      <c r="A29" s="5">
        <f>B29&amp;"|"&amp;C29&amp;"|"&amp;D29&amp;"|"&amp;E29&amp;"|"&amp;F29</f>
        <v/>
      </c>
      <c r="B29" s="5" t="inlineStr">
        <is>
          <t>Bull</t>
        </is>
      </c>
      <c r="C29" s="5" t="inlineStr">
        <is>
          <t>Anthropic</t>
        </is>
      </c>
      <c r="D29" s="5" t="n">
        <v>2026</v>
      </c>
      <c r="E29" s="5" t="inlineStr">
        <is>
          <t>Amazon</t>
        </is>
      </c>
      <c r="F29" s="5" t="inlineStr">
        <is>
          <t>H100/H200/A100 class</t>
        </is>
      </c>
      <c r="G29" s="5">
        <f>IFERROR(INDEX('02x_Accelerator_Catalog'!$C$2:$C$11,MATCH(F29,'02x_Accelerator_Catalog'!$B$2:$B$11,0)),"purpose_or_unbenchmarked")</f>
        <v/>
      </c>
      <c r="H29" s="28">
        <f>SUMIFS('02c_AI_CSP_Normalized'!$N$2:$N$305,'02c_AI_CSP_Normalized'!$B$2:$B$305,B29,'02c_AI_CSP_Normalized'!$C$2:$C$305,C29,'02c_AI_CSP_Normalized'!$D$2:$D$305,D29,'02c_AI_CSP_Normalized'!$E$2:$E$305,E29)</f>
        <v/>
      </c>
      <c r="I29" s="6">
        <f>SUMIFS('02b_CSP_Accelerator_Mix'!$H$2:$H$573,'02b_CSP_Accelerator_Mix'!$B$2:$B$573,B29,'02b_CSP_Accelerator_Mix'!$C$2:$C$573,E29,'02b_CSP_Accelerator_Mix'!$D$2:$D$573,D29,'02b_CSP_Accelerator_Mix'!$E$2:$E$573,F29)</f>
        <v/>
      </c>
      <c r="J29" s="28">
        <f>H29*I29</f>
        <v/>
      </c>
      <c r="K29" s="8">
        <f>IFERROR(INDEX('02x_Accelerator_Catalog'!$D$2:$D$11,MATCH(F29,'02x_Accelerator_Catalog'!$B$2:$B$11,0)),"")</f>
        <v/>
      </c>
      <c r="L29" s="7">
        <f>IF(K29&gt;0,J29*1000/K29,"")</f>
        <v/>
      </c>
      <c r="M29" s="5" t="inlineStr">
        <is>
          <t>epoch_csp_chip_quantity_latest</t>
        </is>
      </c>
      <c r="N29" s="5" t="inlineStr">
        <is>
          <t>Extensible long-format output: add a new accelerator row in 02b and map it in 02x_Accelerator_Catalog to extend this table.</t>
        </is>
      </c>
    </row>
    <row r="30">
      <c r="A30" s="5">
        <f>B30&amp;"|"&amp;C30&amp;"|"&amp;D30&amp;"|"&amp;E30&amp;"|"&amp;F30</f>
        <v/>
      </c>
      <c r="B30" s="5" t="inlineStr">
        <is>
          <t>Bull</t>
        </is>
      </c>
      <c r="C30" s="5" t="inlineStr">
        <is>
          <t>Anthropic</t>
        </is>
      </c>
      <c r="D30" s="5" t="n">
        <v>2026</v>
      </c>
      <c r="E30" s="5" t="inlineStr">
        <is>
          <t>Amazon</t>
        </is>
      </c>
      <c r="F30" s="5" t="inlineStr">
        <is>
          <t>Trainium</t>
        </is>
      </c>
      <c r="G30" s="5">
        <f>IFERROR(INDEX('02x_Accelerator_Catalog'!$C$2:$C$11,MATCH(F30,'02x_Accelerator_Catalog'!$B$2:$B$11,0)),"purpose_or_unbenchmarked")</f>
        <v/>
      </c>
      <c r="H30" s="28">
        <f>SUMIFS('02c_AI_CSP_Normalized'!$N$2:$N$305,'02c_AI_CSP_Normalized'!$B$2:$B$305,B30,'02c_AI_CSP_Normalized'!$C$2:$C$305,C30,'02c_AI_CSP_Normalized'!$D$2:$D$305,D30,'02c_AI_CSP_Normalized'!$E$2:$E$305,E30)</f>
        <v/>
      </c>
      <c r="I30" s="6">
        <f>SUMIFS('02b_CSP_Accelerator_Mix'!$H$2:$H$573,'02b_CSP_Accelerator_Mix'!$B$2:$B$573,B30,'02b_CSP_Accelerator_Mix'!$C$2:$C$573,E30,'02b_CSP_Accelerator_Mix'!$D$2:$D$573,D30,'02b_CSP_Accelerator_Mix'!$E$2:$E$573,F30)</f>
        <v/>
      </c>
      <c r="J30" s="28">
        <f>H30*I30</f>
        <v/>
      </c>
      <c r="K30" s="8">
        <f>IFERROR(INDEX('02x_Accelerator_Catalog'!$D$2:$D$11,MATCH(F30,'02x_Accelerator_Catalog'!$B$2:$B$11,0)),"")</f>
        <v/>
      </c>
      <c r="L30" s="7">
        <f>IF(K30&gt;0,J30*1000/K30,"")</f>
        <v/>
      </c>
      <c r="M30" s="5" t="inlineStr">
        <is>
          <t>epoch_csp_chip_quantity_latest</t>
        </is>
      </c>
      <c r="N30" s="5" t="inlineStr">
        <is>
          <t>Extensible long-format output: add a new accelerator row in 02b and map it in 02x_Accelerator_Catalog to extend this table.</t>
        </is>
      </c>
    </row>
    <row r="31">
      <c r="A31" s="5">
        <f>B31&amp;"|"&amp;C31&amp;"|"&amp;D31&amp;"|"&amp;E31&amp;"|"&amp;F31</f>
        <v/>
      </c>
      <c r="B31" s="5" t="inlineStr">
        <is>
          <t>Grid-Constrained / Efficiency-Upside</t>
        </is>
      </c>
      <c r="C31" s="5" t="inlineStr">
        <is>
          <t>Anthropic</t>
        </is>
      </c>
      <c r="D31" s="5" t="n">
        <v>2026</v>
      </c>
      <c r="E31" s="5" t="inlineStr">
        <is>
          <t>Amazon</t>
        </is>
      </c>
      <c r="F31" s="5" t="inlineStr">
        <is>
          <t>B200/B300 class</t>
        </is>
      </c>
      <c r="G31" s="5">
        <f>IFERROR(INDEX('02x_Accelerator_Catalog'!$C$2:$C$11,MATCH(F31,'02x_Accelerator_Catalog'!$B$2:$B$11,0)),"purpose_or_unbenchmarked")</f>
        <v/>
      </c>
      <c r="H31" s="28">
        <f>SUMIFS('02c_AI_CSP_Normalized'!$N$2:$N$305,'02c_AI_CSP_Normalized'!$B$2:$B$305,B31,'02c_AI_CSP_Normalized'!$C$2:$C$305,C31,'02c_AI_CSP_Normalized'!$D$2:$D$305,D31,'02c_AI_CSP_Normalized'!$E$2:$E$305,E31)</f>
        <v/>
      </c>
      <c r="I31" s="6">
        <f>SUMIFS('02b_CSP_Accelerator_Mix'!$H$2:$H$573,'02b_CSP_Accelerator_Mix'!$B$2:$B$573,B31,'02b_CSP_Accelerator_Mix'!$C$2:$C$573,E31,'02b_CSP_Accelerator_Mix'!$D$2:$D$573,D31,'02b_CSP_Accelerator_Mix'!$E$2:$E$573,F31)</f>
        <v/>
      </c>
      <c r="J31" s="28">
        <f>H31*I31</f>
        <v/>
      </c>
      <c r="K31" s="8">
        <f>IFERROR(INDEX('02x_Accelerator_Catalog'!$D$2:$D$11,MATCH(F31,'02x_Accelerator_Catalog'!$B$2:$B$11,0)),"")</f>
        <v/>
      </c>
      <c r="L31" s="7">
        <f>IF(K31&gt;0,J31*1000/K31,"")</f>
        <v/>
      </c>
      <c r="M31" s="5" t="inlineStr">
        <is>
          <t>epoch_csp_chip_quantity_latest</t>
        </is>
      </c>
      <c r="N31" s="5" t="inlineStr">
        <is>
          <t>Extensible long-format output: add a new accelerator row in 02b and map it in 02x_Accelerator_Catalog to extend this table.</t>
        </is>
      </c>
    </row>
    <row r="32">
      <c r="A32" s="5">
        <f>B32&amp;"|"&amp;C32&amp;"|"&amp;D32&amp;"|"&amp;E32&amp;"|"&amp;F32</f>
        <v/>
      </c>
      <c r="B32" s="5" t="inlineStr">
        <is>
          <t>Grid-Constrained / Efficiency-Upside</t>
        </is>
      </c>
      <c r="C32" s="5" t="inlineStr">
        <is>
          <t>Anthropic</t>
        </is>
      </c>
      <c r="D32" s="5" t="n">
        <v>2026</v>
      </c>
      <c r="E32" s="5" t="inlineStr">
        <is>
          <t>Amazon</t>
        </is>
      </c>
      <c r="F32" s="5" t="inlineStr">
        <is>
          <t>H100/H200/A100 class</t>
        </is>
      </c>
      <c r="G32" s="5">
        <f>IFERROR(INDEX('02x_Accelerator_Catalog'!$C$2:$C$11,MATCH(F32,'02x_Accelerator_Catalog'!$B$2:$B$11,0)),"purpose_or_unbenchmarked")</f>
        <v/>
      </c>
      <c r="H32" s="28">
        <f>SUMIFS('02c_AI_CSP_Normalized'!$N$2:$N$305,'02c_AI_CSP_Normalized'!$B$2:$B$305,B32,'02c_AI_CSP_Normalized'!$C$2:$C$305,C32,'02c_AI_CSP_Normalized'!$D$2:$D$305,D32,'02c_AI_CSP_Normalized'!$E$2:$E$305,E32)</f>
        <v/>
      </c>
      <c r="I32" s="6">
        <f>SUMIFS('02b_CSP_Accelerator_Mix'!$H$2:$H$573,'02b_CSP_Accelerator_Mix'!$B$2:$B$573,B32,'02b_CSP_Accelerator_Mix'!$C$2:$C$573,E32,'02b_CSP_Accelerator_Mix'!$D$2:$D$573,D32,'02b_CSP_Accelerator_Mix'!$E$2:$E$573,F32)</f>
        <v/>
      </c>
      <c r="J32" s="28">
        <f>H32*I32</f>
        <v/>
      </c>
      <c r="K32" s="8">
        <f>IFERROR(INDEX('02x_Accelerator_Catalog'!$D$2:$D$11,MATCH(F32,'02x_Accelerator_Catalog'!$B$2:$B$11,0)),"")</f>
        <v/>
      </c>
      <c r="L32" s="7">
        <f>IF(K32&gt;0,J32*1000/K32,"")</f>
        <v/>
      </c>
      <c r="M32" s="5" t="inlineStr">
        <is>
          <t>epoch_csp_chip_quantity_latest</t>
        </is>
      </c>
      <c r="N32" s="5" t="inlineStr">
        <is>
          <t>Extensible long-format output: add a new accelerator row in 02b and map it in 02x_Accelerator_Catalog to extend this table.</t>
        </is>
      </c>
    </row>
    <row r="33">
      <c r="A33" s="5">
        <f>B33&amp;"|"&amp;C33&amp;"|"&amp;D33&amp;"|"&amp;E33&amp;"|"&amp;F33</f>
        <v/>
      </c>
      <c r="B33" s="5" t="inlineStr">
        <is>
          <t>Grid-Constrained / Efficiency-Upside</t>
        </is>
      </c>
      <c r="C33" s="5" t="inlineStr">
        <is>
          <t>Anthropic</t>
        </is>
      </c>
      <c r="D33" s="5" t="n">
        <v>2026</v>
      </c>
      <c r="E33" s="5" t="inlineStr">
        <is>
          <t>Amazon</t>
        </is>
      </c>
      <c r="F33" s="5" t="inlineStr">
        <is>
          <t>Trainium</t>
        </is>
      </c>
      <c r="G33" s="5">
        <f>IFERROR(INDEX('02x_Accelerator_Catalog'!$C$2:$C$11,MATCH(F33,'02x_Accelerator_Catalog'!$B$2:$B$11,0)),"purpose_or_unbenchmarked")</f>
        <v/>
      </c>
      <c r="H33" s="28">
        <f>SUMIFS('02c_AI_CSP_Normalized'!$N$2:$N$305,'02c_AI_CSP_Normalized'!$B$2:$B$305,B33,'02c_AI_CSP_Normalized'!$C$2:$C$305,C33,'02c_AI_CSP_Normalized'!$D$2:$D$305,D33,'02c_AI_CSP_Normalized'!$E$2:$E$305,E33)</f>
        <v/>
      </c>
      <c r="I33" s="6">
        <f>SUMIFS('02b_CSP_Accelerator_Mix'!$H$2:$H$573,'02b_CSP_Accelerator_Mix'!$B$2:$B$573,B33,'02b_CSP_Accelerator_Mix'!$C$2:$C$573,E33,'02b_CSP_Accelerator_Mix'!$D$2:$D$573,D33,'02b_CSP_Accelerator_Mix'!$E$2:$E$573,F33)</f>
        <v/>
      </c>
      <c r="J33" s="28">
        <f>H33*I33</f>
        <v/>
      </c>
      <c r="K33" s="8">
        <f>IFERROR(INDEX('02x_Accelerator_Catalog'!$D$2:$D$11,MATCH(F33,'02x_Accelerator_Catalog'!$B$2:$B$11,0)),"")</f>
        <v/>
      </c>
      <c r="L33" s="7">
        <f>IF(K33&gt;0,J33*1000/K33,"")</f>
        <v/>
      </c>
      <c r="M33" s="5" t="inlineStr">
        <is>
          <t>epoch_csp_chip_quantity_latest</t>
        </is>
      </c>
      <c r="N33" s="5" t="inlineStr">
        <is>
          <t>Extensible long-format output: add a new accelerator row in 02b and map it in 02x_Accelerator_Catalog to extend this table.</t>
        </is>
      </c>
    </row>
    <row r="34">
      <c r="A34" s="5">
        <f>B34&amp;"|"&amp;C34&amp;"|"&amp;D34&amp;"|"&amp;E34&amp;"|"&amp;F34</f>
        <v/>
      </c>
      <c r="B34" s="5" t="inlineStr">
        <is>
          <t>Bear</t>
        </is>
      </c>
      <c r="C34" s="5" t="inlineStr">
        <is>
          <t>Anthropic</t>
        </is>
      </c>
      <c r="D34" s="5" t="n">
        <v>2027</v>
      </c>
      <c r="E34" s="5" t="inlineStr">
        <is>
          <t>Amazon</t>
        </is>
      </c>
      <c r="F34" s="5" t="inlineStr">
        <is>
          <t>B200/B300 class</t>
        </is>
      </c>
      <c r="G34" s="5">
        <f>IFERROR(INDEX('02x_Accelerator_Catalog'!$C$2:$C$11,MATCH(F34,'02x_Accelerator_Catalog'!$B$2:$B$11,0)),"purpose_or_unbenchmarked")</f>
        <v/>
      </c>
      <c r="H34" s="28">
        <f>SUMIFS('02c_AI_CSP_Normalized'!$N$2:$N$305,'02c_AI_CSP_Normalized'!$B$2:$B$305,B34,'02c_AI_CSP_Normalized'!$C$2:$C$305,C34,'02c_AI_CSP_Normalized'!$D$2:$D$305,D34,'02c_AI_CSP_Normalized'!$E$2:$E$305,E34)</f>
        <v/>
      </c>
      <c r="I34" s="6">
        <f>SUMIFS('02b_CSP_Accelerator_Mix'!$H$2:$H$573,'02b_CSP_Accelerator_Mix'!$B$2:$B$573,B34,'02b_CSP_Accelerator_Mix'!$C$2:$C$573,E34,'02b_CSP_Accelerator_Mix'!$D$2:$D$573,D34,'02b_CSP_Accelerator_Mix'!$E$2:$E$573,F34)</f>
        <v/>
      </c>
      <c r="J34" s="28">
        <f>H34*I34</f>
        <v/>
      </c>
      <c r="K34" s="8">
        <f>IFERROR(INDEX('02x_Accelerator_Catalog'!$D$2:$D$11,MATCH(F34,'02x_Accelerator_Catalog'!$B$2:$B$11,0)),"")</f>
        <v/>
      </c>
      <c r="L34" s="7">
        <f>IF(K34&gt;0,J34*1000/K34,"")</f>
        <v/>
      </c>
      <c r="M34" s="5" t="inlineStr">
        <is>
          <t>epoch_csp_chip_quantity_latest</t>
        </is>
      </c>
      <c r="N34" s="5" t="inlineStr">
        <is>
          <t>Extensible long-format output: add a new accelerator row in 02b and map it in 02x_Accelerator_Catalog to extend this table.</t>
        </is>
      </c>
    </row>
    <row r="35">
      <c r="A35" s="5">
        <f>B35&amp;"|"&amp;C35&amp;"|"&amp;D35&amp;"|"&amp;E35&amp;"|"&amp;F35</f>
        <v/>
      </c>
      <c r="B35" s="5" t="inlineStr">
        <is>
          <t>Bear</t>
        </is>
      </c>
      <c r="C35" s="5" t="inlineStr">
        <is>
          <t>Anthropic</t>
        </is>
      </c>
      <c r="D35" s="5" t="n">
        <v>2027</v>
      </c>
      <c r="E35" s="5" t="inlineStr">
        <is>
          <t>Amazon</t>
        </is>
      </c>
      <c r="F35" s="5" t="inlineStr">
        <is>
          <t>H100/H200/A100 class</t>
        </is>
      </c>
      <c r="G35" s="5">
        <f>IFERROR(INDEX('02x_Accelerator_Catalog'!$C$2:$C$11,MATCH(F35,'02x_Accelerator_Catalog'!$B$2:$B$11,0)),"purpose_or_unbenchmarked")</f>
        <v/>
      </c>
      <c r="H35" s="28">
        <f>SUMIFS('02c_AI_CSP_Normalized'!$N$2:$N$305,'02c_AI_CSP_Normalized'!$B$2:$B$305,B35,'02c_AI_CSP_Normalized'!$C$2:$C$305,C35,'02c_AI_CSP_Normalized'!$D$2:$D$305,D35,'02c_AI_CSP_Normalized'!$E$2:$E$305,E35)</f>
        <v/>
      </c>
      <c r="I35" s="6">
        <f>SUMIFS('02b_CSP_Accelerator_Mix'!$H$2:$H$573,'02b_CSP_Accelerator_Mix'!$B$2:$B$573,B35,'02b_CSP_Accelerator_Mix'!$C$2:$C$573,E35,'02b_CSP_Accelerator_Mix'!$D$2:$D$573,D35,'02b_CSP_Accelerator_Mix'!$E$2:$E$573,F35)</f>
        <v/>
      </c>
      <c r="J35" s="28">
        <f>H35*I35</f>
        <v/>
      </c>
      <c r="K35" s="8">
        <f>IFERROR(INDEX('02x_Accelerator_Catalog'!$D$2:$D$11,MATCH(F35,'02x_Accelerator_Catalog'!$B$2:$B$11,0)),"")</f>
        <v/>
      </c>
      <c r="L35" s="7">
        <f>IF(K35&gt;0,J35*1000/K35,"")</f>
        <v/>
      </c>
      <c r="M35" s="5" t="inlineStr">
        <is>
          <t>epoch_csp_chip_quantity_latest</t>
        </is>
      </c>
      <c r="N35" s="5" t="inlineStr">
        <is>
          <t>Extensible long-format output: add a new accelerator row in 02b and map it in 02x_Accelerator_Catalog to extend this table.</t>
        </is>
      </c>
    </row>
    <row r="36">
      <c r="A36" s="5">
        <f>B36&amp;"|"&amp;C36&amp;"|"&amp;D36&amp;"|"&amp;E36&amp;"|"&amp;F36</f>
        <v/>
      </c>
      <c r="B36" s="5" t="inlineStr">
        <is>
          <t>Bear</t>
        </is>
      </c>
      <c r="C36" s="5" t="inlineStr">
        <is>
          <t>Anthropic</t>
        </is>
      </c>
      <c r="D36" s="5" t="n">
        <v>2027</v>
      </c>
      <c r="E36" s="5" t="inlineStr">
        <is>
          <t>Amazon</t>
        </is>
      </c>
      <c r="F36" s="5" t="inlineStr">
        <is>
          <t>Trainium</t>
        </is>
      </c>
      <c r="G36" s="5">
        <f>IFERROR(INDEX('02x_Accelerator_Catalog'!$C$2:$C$11,MATCH(F36,'02x_Accelerator_Catalog'!$B$2:$B$11,0)),"purpose_or_unbenchmarked")</f>
        <v/>
      </c>
      <c r="H36" s="28">
        <f>SUMIFS('02c_AI_CSP_Normalized'!$N$2:$N$305,'02c_AI_CSP_Normalized'!$B$2:$B$305,B36,'02c_AI_CSP_Normalized'!$C$2:$C$305,C36,'02c_AI_CSP_Normalized'!$D$2:$D$305,D36,'02c_AI_CSP_Normalized'!$E$2:$E$305,E36)</f>
        <v/>
      </c>
      <c r="I36" s="6">
        <f>SUMIFS('02b_CSP_Accelerator_Mix'!$H$2:$H$573,'02b_CSP_Accelerator_Mix'!$B$2:$B$573,B36,'02b_CSP_Accelerator_Mix'!$C$2:$C$573,E36,'02b_CSP_Accelerator_Mix'!$D$2:$D$573,D36,'02b_CSP_Accelerator_Mix'!$E$2:$E$573,F36)</f>
        <v/>
      </c>
      <c r="J36" s="28">
        <f>H36*I36</f>
        <v/>
      </c>
      <c r="K36" s="8">
        <f>IFERROR(INDEX('02x_Accelerator_Catalog'!$D$2:$D$11,MATCH(F36,'02x_Accelerator_Catalog'!$B$2:$B$11,0)),"")</f>
        <v/>
      </c>
      <c r="L36" s="7">
        <f>IF(K36&gt;0,J36*1000/K36,"")</f>
        <v/>
      </c>
      <c r="M36" s="5" t="inlineStr">
        <is>
          <t>epoch_csp_chip_quantity_latest</t>
        </is>
      </c>
      <c r="N36" s="5" t="inlineStr">
        <is>
          <t>Extensible long-format output: add a new accelerator row in 02b and map it in 02x_Accelerator_Catalog to extend this table.</t>
        </is>
      </c>
    </row>
    <row r="37">
      <c r="A37" s="5">
        <f>B37&amp;"|"&amp;C37&amp;"|"&amp;D37&amp;"|"&amp;E37&amp;"|"&amp;F37</f>
        <v/>
      </c>
      <c r="B37" s="5" t="inlineStr">
        <is>
          <t>Base</t>
        </is>
      </c>
      <c r="C37" s="5" t="inlineStr">
        <is>
          <t>Anthropic</t>
        </is>
      </c>
      <c r="D37" s="5" t="n">
        <v>2027</v>
      </c>
      <c r="E37" s="5" t="inlineStr">
        <is>
          <t>Amazon</t>
        </is>
      </c>
      <c r="F37" s="5" t="inlineStr">
        <is>
          <t>B200/B300 class</t>
        </is>
      </c>
      <c r="G37" s="5">
        <f>IFERROR(INDEX('02x_Accelerator_Catalog'!$C$2:$C$11,MATCH(F37,'02x_Accelerator_Catalog'!$B$2:$B$11,0)),"purpose_or_unbenchmarked")</f>
        <v/>
      </c>
      <c r="H37" s="28">
        <f>SUMIFS('02c_AI_CSP_Normalized'!$N$2:$N$305,'02c_AI_CSP_Normalized'!$B$2:$B$305,B37,'02c_AI_CSP_Normalized'!$C$2:$C$305,C37,'02c_AI_CSP_Normalized'!$D$2:$D$305,D37,'02c_AI_CSP_Normalized'!$E$2:$E$305,E37)</f>
        <v/>
      </c>
      <c r="I37" s="6">
        <f>SUMIFS('02b_CSP_Accelerator_Mix'!$H$2:$H$573,'02b_CSP_Accelerator_Mix'!$B$2:$B$573,B37,'02b_CSP_Accelerator_Mix'!$C$2:$C$573,E37,'02b_CSP_Accelerator_Mix'!$D$2:$D$573,D37,'02b_CSP_Accelerator_Mix'!$E$2:$E$573,F37)</f>
        <v/>
      </c>
      <c r="J37" s="28">
        <f>H37*I37</f>
        <v/>
      </c>
      <c r="K37" s="8">
        <f>IFERROR(INDEX('02x_Accelerator_Catalog'!$D$2:$D$11,MATCH(F37,'02x_Accelerator_Catalog'!$B$2:$B$11,0)),"")</f>
        <v/>
      </c>
      <c r="L37" s="7">
        <f>IF(K37&gt;0,J37*1000/K37,"")</f>
        <v/>
      </c>
      <c r="M37" s="5" t="inlineStr">
        <is>
          <t>epoch_csp_chip_quantity_latest</t>
        </is>
      </c>
      <c r="N37" s="5" t="inlineStr">
        <is>
          <t>Extensible long-format output: add a new accelerator row in 02b and map it in 02x_Accelerator_Catalog to extend this table.</t>
        </is>
      </c>
    </row>
    <row r="38">
      <c r="A38" s="5">
        <f>B38&amp;"|"&amp;C38&amp;"|"&amp;D38&amp;"|"&amp;E38&amp;"|"&amp;F38</f>
        <v/>
      </c>
      <c r="B38" s="5" t="inlineStr">
        <is>
          <t>Base</t>
        </is>
      </c>
      <c r="C38" s="5" t="inlineStr">
        <is>
          <t>Anthropic</t>
        </is>
      </c>
      <c r="D38" s="5" t="n">
        <v>2027</v>
      </c>
      <c r="E38" s="5" t="inlineStr">
        <is>
          <t>Amazon</t>
        </is>
      </c>
      <c r="F38" s="5" t="inlineStr">
        <is>
          <t>H100/H200/A100 class</t>
        </is>
      </c>
      <c r="G38" s="5">
        <f>IFERROR(INDEX('02x_Accelerator_Catalog'!$C$2:$C$11,MATCH(F38,'02x_Accelerator_Catalog'!$B$2:$B$11,0)),"purpose_or_unbenchmarked")</f>
        <v/>
      </c>
      <c r="H38" s="28">
        <f>SUMIFS('02c_AI_CSP_Normalized'!$N$2:$N$305,'02c_AI_CSP_Normalized'!$B$2:$B$305,B38,'02c_AI_CSP_Normalized'!$C$2:$C$305,C38,'02c_AI_CSP_Normalized'!$D$2:$D$305,D38,'02c_AI_CSP_Normalized'!$E$2:$E$305,E38)</f>
        <v/>
      </c>
      <c r="I38" s="6">
        <f>SUMIFS('02b_CSP_Accelerator_Mix'!$H$2:$H$573,'02b_CSP_Accelerator_Mix'!$B$2:$B$573,B38,'02b_CSP_Accelerator_Mix'!$C$2:$C$573,E38,'02b_CSP_Accelerator_Mix'!$D$2:$D$573,D38,'02b_CSP_Accelerator_Mix'!$E$2:$E$573,F38)</f>
        <v/>
      </c>
      <c r="J38" s="28">
        <f>H38*I38</f>
        <v/>
      </c>
      <c r="K38" s="8">
        <f>IFERROR(INDEX('02x_Accelerator_Catalog'!$D$2:$D$11,MATCH(F38,'02x_Accelerator_Catalog'!$B$2:$B$11,0)),"")</f>
        <v/>
      </c>
      <c r="L38" s="7">
        <f>IF(K38&gt;0,J38*1000/K38,"")</f>
        <v/>
      </c>
      <c r="M38" s="5" t="inlineStr">
        <is>
          <t>epoch_csp_chip_quantity_latest</t>
        </is>
      </c>
      <c r="N38" s="5" t="inlineStr">
        <is>
          <t>Extensible long-format output: add a new accelerator row in 02b and map it in 02x_Accelerator_Catalog to extend this table.</t>
        </is>
      </c>
    </row>
    <row r="39">
      <c r="A39" s="5">
        <f>B39&amp;"|"&amp;C39&amp;"|"&amp;D39&amp;"|"&amp;E39&amp;"|"&amp;F39</f>
        <v/>
      </c>
      <c r="B39" s="5" t="inlineStr">
        <is>
          <t>Base</t>
        </is>
      </c>
      <c r="C39" s="5" t="inlineStr">
        <is>
          <t>Anthropic</t>
        </is>
      </c>
      <c r="D39" s="5" t="n">
        <v>2027</v>
      </c>
      <c r="E39" s="5" t="inlineStr">
        <is>
          <t>Amazon</t>
        </is>
      </c>
      <c r="F39" s="5" t="inlineStr">
        <is>
          <t>Trainium</t>
        </is>
      </c>
      <c r="G39" s="5">
        <f>IFERROR(INDEX('02x_Accelerator_Catalog'!$C$2:$C$11,MATCH(F39,'02x_Accelerator_Catalog'!$B$2:$B$11,0)),"purpose_or_unbenchmarked")</f>
        <v/>
      </c>
      <c r="H39" s="28">
        <f>SUMIFS('02c_AI_CSP_Normalized'!$N$2:$N$305,'02c_AI_CSP_Normalized'!$B$2:$B$305,B39,'02c_AI_CSP_Normalized'!$C$2:$C$305,C39,'02c_AI_CSP_Normalized'!$D$2:$D$305,D39,'02c_AI_CSP_Normalized'!$E$2:$E$305,E39)</f>
        <v/>
      </c>
      <c r="I39" s="6">
        <f>SUMIFS('02b_CSP_Accelerator_Mix'!$H$2:$H$573,'02b_CSP_Accelerator_Mix'!$B$2:$B$573,B39,'02b_CSP_Accelerator_Mix'!$C$2:$C$573,E39,'02b_CSP_Accelerator_Mix'!$D$2:$D$573,D39,'02b_CSP_Accelerator_Mix'!$E$2:$E$573,F39)</f>
        <v/>
      </c>
      <c r="J39" s="28">
        <f>H39*I39</f>
        <v/>
      </c>
      <c r="K39" s="8">
        <f>IFERROR(INDEX('02x_Accelerator_Catalog'!$D$2:$D$11,MATCH(F39,'02x_Accelerator_Catalog'!$B$2:$B$11,0)),"")</f>
        <v/>
      </c>
      <c r="L39" s="7">
        <f>IF(K39&gt;0,J39*1000/K39,"")</f>
        <v/>
      </c>
      <c r="M39" s="5" t="inlineStr">
        <is>
          <t>epoch_csp_chip_quantity_latest</t>
        </is>
      </c>
      <c r="N39" s="5" t="inlineStr">
        <is>
          <t>Extensible long-format output: add a new accelerator row in 02b and map it in 02x_Accelerator_Catalog to extend this table.</t>
        </is>
      </c>
    </row>
    <row r="40">
      <c r="A40" s="5">
        <f>B40&amp;"|"&amp;C40&amp;"|"&amp;D40&amp;"|"&amp;E40&amp;"|"&amp;F40</f>
        <v/>
      </c>
      <c r="B40" s="5" t="inlineStr">
        <is>
          <t>Bull</t>
        </is>
      </c>
      <c r="C40" s="5" t="inlineStr">
        <is>
          <t>Anthropic</t>
        </is>
      </c>
      <c r="D40" s="5" t="n">
        <v>2027</v>
      </c>
      <c r="E40" s="5" t="inlineStr">
        <is>
          <t>Amazon</t>
        </is>
      </c>
      <c r="F40" s="5" t="inlineStr">
        <is>
          <t>B200/B300 class</t>
        </is>
      </c>
      <c r="G40" s="5">
        <f>IFERROR(INDEX('02x_Accelerator_Catalog'!$C$2:$C$11,MATCH(F40,'02x_Accelerator_Catalog'!$B$2:$B$11,0)),"purpose_or_unbenchmarked")</f>
        <v/>
      </c>
      <c r="H40" s="28">
        <f>SUMIFS('02c_AI_CSP_Normalized'!$N$2:$N$305,'02c_AI_CSP_Normalized'!$B$2:$B$305,B40,'02c_AI_CSP_Normalized'!$C$2:$C$305,C40,'02c_AI_CSP_Normalized'!$D$2:$D$305,D40,'02c_AI_CSP_Normalized'!$E$2:$E$305,E40)</f>
        <v/>
      </c>
      <c r="I40" s="6">
        <f>SUMIFS('02b_CSP_Accelerator_Mix'!$H$2:$H$573,'02b_CSP_Accelerator_Mix'!$B$2:$B$573,B40,'02b_CSP_Accelerator_Mix'!$C$2:$C$573,E40,'02b_CSP_Accelerator_Mix'!$D$2:$D$573,D40,'02b_CSP_Accelerator_Mix'!$E$2:$E$573,F40)</f>
        <v/>
      </c>
      <c r="J40" s="28">
        <f>H40*I40</f>
        <v/>
      </c>
      <c r="K40" s="8">
        <f>IFERROR(INDEX('02x_Accelerator_Catalog'!$D$2:$D$11,MATCH(F40,'02x_Accelerator_Catalog'!$B$2:$B$11,0)),"")</f>
        <v/>
      </c>
      <c r="L40" s="7">
        <f>IF(K40&gt;0,J40*1000/K40,"")</f>
        <v/>
      </c>
      <c r="M40" s="5" t="inlineStr">
        <is>
          <t>epoch_csp_chip_quantity_latest</t>
        </is>
      </c>
      <c r="N40" s="5" t="inlineStr">
        <is>
          <t>Extensible long-format output: add a new accelerator row in 02b and map it in 02x_Accelerator_Catalog to extend this table.</t>
        </is>
      </c>
    </row>
    <row r="41">
      <c r="A41" s="5">
        <f>B41&amp;"|"&amp;C41&amp;"|"&amp;D41&amp;"|"&amp;E41&amp;"|"&amp;F41</f>
        <v/>
      </c>
      <c r="B41" s="5" t="inlineStr">
        <is>
          <t>Bull</t>
        </is>
      </c>
      <c r="C41" s="5" t="inlineStr">
        <is>
          <t>Anthropic</t>
        </is>
      </c>
      <c r="D41" s="5" t="n">
        <v>2027</v>
      </c>
      <c r="E41" s="5" t="inlineStr">
        <is>
          <t>Amazon</t>
        </is>
      </c>
      <c r="F41" s="5" t="inlineStr">
        <is>
          <t>H100/H200/A100 class</t>
        </is>
      </c>
      <c r="G41" s="5">
        <f>IFERROR(INDEX('02x_Accelerator_Catalog'!$C$2:$C$11,MATCH(F41,'02x_Accelerator_Catalog'!$B$2:$B$11,0)),"purpose_or_unbenchmarked")</f>
        <v/>
      </c>
      <c r="H41" s="28">
        <f>SUMIFS('02c_AI_CSP_Normalized'!$N$2:$N$305,'02c_AI_CSP_Normalized'!$B$2:$B$305,B41,'02c_AI_CSP_Normalized'!$C$2:$C$305,C41,'02c_AI_CSP_Normalized'!$D$2:$D$305,D41,'02c_AI_CSP_Normalized'!$E$2:$E$305,E41)</f>
        <v/>
      </c>
      <c r="I41" s="6">
        <f>SUMIFS('02b_CSP_Accelerator_Mix'!$H$2:$H$573,'02b_CSP_Accelerator_Mix'!$B$2:$B$573,B41,'02b_CSP_Accelerator_Mix'!$C$2:$C$573,E41,'02b_CSP_Accelerator_Mix'!$D$2:$D$573,D41,'02b_CSP_Accelerator_Mix'!$E$2:$E$573,F41)</f>
        <v/>
      </c>
      <c r="J41" s="28">
        <f>H41*I41</f>
        <v/>
      </c>
      <c r="K41" s="8">
        <f>IFERROR(INDEX('02x_Accelerator_Catalog'!$D$2:$D$11,MATCH(F41,'02x_Accelerator_Catalog'!$B$2:$B$11,0)),"")</f>
        <v/>
      </c>
      <c r="L41" s="7">
        <f>IF(K41&gt;0,J41*1000/K41,"")</f>
        <v/>
      </c>
      <c r="M41" s="5" t="inlineStr">
        <is>
          <t>epoch_csp_chip_quantity_latest</t>
        </is>
      </c>
      <c r="N41" s="5" t="inlineStr">
        <is>
          <t>Extensible long-format output: add a new accelerator row in 02b and map it in 02x_Accelerator_Catalog to extend this table.</t>
        </is>
      </c>
    </row>
    <row r="42">
      <c r="A42" s="5">
        <f>B42&amp;"|"&amp;C42&amp;"|"&amp;D42&amp;"|"&amp;E42&amp;"|"&amp;F42</f>
        <v/>
      </c>
      <c r="B42" s="5" t="inlineStr">
        <is>
          <t>Bull</t>
        </is>
      </c>
      <c r="C42" s="5" t="inlineStr">
        <is>
          <t>Anthropic</t>
        </is>
      </c>
      <c r="D42" s="5" t="n">
        <v>2027</v>
      </c>
      <c r="E42" s="5" t="inlineStr">
        <is>
          <t>Amazon</t>
        </is>
      </c>
      <c r="F42" s="5" t="inlineStr">
        <is>
          <t>Trainium</t>
        </is>
      </c>
      <c r="G42" s="5">
        <f>IFERROR(INDEX('02x_Accelerator_Catalog'!$C$2:$C$11,MATCH(F42,'02x_Accelerator_Catalog'!$B$2:$B$11,0)),"purpose_or_unbenchmarked")</f>
        <v/>
      </c>
      <c r="H42" s="28">
        <f>SUMIFS('02c_AI_CSP_Normalized'!$N$2:$N$305,'02c_AI_CSP_Normalized'!$B$2:$B$305,B42,'02c_AI_CSP_Normalized'!$C$2:$C$305,C42,'02c_AI_CSP_Normalized'!$D$2:$D$305,D42,'02c_AI_CSP_Normalized'!$E$2:$E$305,E42)</f>
        <v/>
      </c>
      <c r="I42" s="6">
        <f>SUMIFS('02b_CSP_Accelerator_Mix'!$H$2:$H$573,'02b_CSP_Accelerator_Mix'!$B$2:$B$573,B42,'02b_CSP_Accelerator_Mix'!$C$2:$C$573,E42,'02b_CSP_Accelerator_Mix'!$D$2:$D$573,D42,'02b_CSP_Accelerator_Mix'!$E$2:$E$573,F42)</f>
        <v/>
      </c>
      <c r="J42" s="28">
        <f>H42*I42</f>
        <v/>
      </c>
      <c r="K42" s="8">
        <f>IFERROR(INDEX('02x_Accelerator_Catalog'!$D$2:$D$11,MATCH(F42,'02x_Accelerator_Catalog'!$B$2:$B$11,0)),"")</f>
        <v/>
      </c>
      <c r="L42" s="7">
        <f>IF(K42&gt;0,J42*1000/K42,"")</f>
        <v/>
      </c>
      <c r="M42" s="5" t="inlineStr">
        <is>
          <t>epoch_csp_chip_quantity_latest</t>
        </is>
      </c>
      <c r="N42" s="5" t="inlineStr">
        <is>
          <t>Extensible long-format output: add a new accelerator row in 02b and map it in 02x_Accelerator_Catalog to extend this table.</t>
        </is>
      </c>
    </row>
    <row r="43">
      <c r="A43" s="5">
        <f>B43&amp;"|"&amp;C43&amp;"|"&amp;D43&amp;"|"&amp;E43&amp;"|"&amp;F43</f>
        <v/>
      </c>
      <c r="B43" s="5" t="inlineStr">
        <is>
          <t>Grid-Constrained / Efficiency-Upside</t>
        </is>
      </c>
      <c r="C43" s="5" t="inlineStr">
        <is>
          <t>Anthropic</t>
        </is>
      </c>
      <c r="D43" s="5" t="n">
        <v>2027</v>
      </c>
      <c r="E43" s="5" t="inlineStr">
        <is>
          <t>Amazon</t>
        </is>
      </c>
      <c r="F43" s="5" t="inlineStr">
        <is>
          <t>B200/B300 class</t>
        </is>
      </c>
      <c r="G43" s="5">
        <f>IFERROR(INDEX('02x_Accelerator_Catalog'!$C$2:$C$11,MATCH(F43,'02x_Accelerator_Catalog'!$B$2:$B$11,0)),"purpose_or_unbenchmarked")</f>
        <v/>
      </c>
      <c r="H43" s="28">
        <f>SUMIFS('02c_AI_CSP_Normalized'!$N$2:$N$305,'02c_AI_CSP_Normalized'!$B$2:$B$305,B43,'02c_AI_CSP_Normalized'!$C$2:$C$305,C43,'02c_AI_CSP_Normalized'!$D$2:$D$305,D43,'02c_AI_CSP_Normalized'!$E$2:$E$305,E43)</f>
        <v/>
      </c>
      <c r="I43" s="6">
        <f>SUMIFS('02b_CSP_Accelerator_Mix'!$H$2:$H$573,'02b_CSP_Accelerator_Mix'!$B$2:$B$573,B43,'02b_CSP_Accelerator_Mix'!$C$2:$C$573,E43,'02b_CSP_Accelerator_Mix'!$D$2:$D$573,D43,'02b_CSP_Accelerator_Mix'!$E$2:$E$573,F43)</f>
        <v/>
      </c>
      <c r="J43" s="28">
        <f>H43*I43</f>
        <v/>
      </c>
      <c r="K43" s="8">
        <f>IFERROR(INDEX('02x_Accelerator_Catalog'!$D$2:$D$11,MATCH(F43,'02x_Accelerator_Catalog'!$B$2:$B$11,0)),"")</f>
        <v/>
      </c>
      <c r="L43" s="7">
        <f>IF(K43&gt;0,J43*1000/K43,"")</f>
        <v/>
      </c>
      <c r="M43" s="5" t="inlineStr">
        <is>
          <t>epoch_csp_chip_quantity_latest</t>
        </is>
      </c>
      <c r="N43" s="5" t="inlineStr">
        <is>
          <t>Extensible long-format output: add a new accelerator row in 02b and map it in 02x_Accelerator_Catalog to extend this table.</t>
        </is>
      </c>
    </row>
    <row r="44">
      <c r="A44" s="5">
        <f>B44&amp;"|"&amp;C44&amp;"|"&amp;D44&amp;"|"&amp;E44&amp;"|"&amp;F44</f>
        <v/>
      </c>
      <c r="B44" s="5" t="inlineStr">
        <is>
          <t>Grid-Constrained / Efficiency-Upside</t>
        </is>
      </c>
      <c r="C44" s="5" t="inlineStr">
        <is>
          <t>Anthropic</t>
        </is>
      </c>
      <c r="D44" s="5" t="n">
        <v>2027</v>
      </c>
      <c r="E44" s="5" t="inlineStr">
        <is>
          <t>Amazon</t>
        </is>
      </c>
      <c r="F44" s="5" t="inlineStr">
        <is>
          <t>H100/H200/A100 class</t>
        </is>
      </c>
      <c r="G44" s="5">
        <f>IFERROR(INDEX('02x_Accelerator_Catalog'!$C$2:$C$11,MATCH(F44,'02x_Accelerator_Catalog'!$B$2:$B$11,0)),"purpose_or_unbenchmarked")</f>
        <v/>
      </c>
      <c r="H44" s="28">
        <f>SUMIFS('02c_AI_CSP_Normalized'!$N$2:$N$305,'02c_AI_CSP_Normalized'!$B$2:$B$305,B44,'02c_AI_CSP_Normalized'!$C$2:$C$305,C44,'02c_AI_CSP_Normalized'!$D$2:$D$305,D44,'02c_AI_CSP_Normalized'!$E$2:$E$305,E44)</f>
        <v/>
      </c>
      <c r="I44" s="6">
        <f>SUMIFS('02b_CSP_Accelerator_Mix'!$H$2:$H$573,'02b_CSP_Accelerator_Mix'!$B$2:$B$573,B44,'02b_CSP_Accelerator_Mix'!$C$2:$C$573,E44,'02b_CSP_Accelerator_Mix'!$D$2:$D$573,D44,'02b_CSP_Accelerator_Mix'!$E$2:$E$573,F44)</f>
        <v/>
      </c>
      <c r="J44" s="28">
        <f>H44*I44</f>
        <v/>
      </c>
      <c r="K44" s="8">
        <f>IFERROR(INDEX('02x_Accelerator_Catalog'!$D$2:$D$11,MATCH(F44,'02x_Accelerator_Catalog'!$B$2:$B$11,0)),"")</f>
        <v/>
      </c>
      <c r="L44" s="7">
        <f>IF(K44&gt;0,J44*1000/K44,"")</f>
        <v/>
      </c>
      <c r="M44" s="5" t="inlineStr">
        <is>
          <t>epoch_csp_chip_quantity_latest</t>
        </is>
      </c>
      <c r="N44" s="5" t="inlineStr">
        <is>
          <t>Extensible long-format output: add a new accelerator row in 02b and map it in 02x_Accelerator_Catalog to extend this table.</t>
        </is>
      </c>
    </row>
    <row r="45">
      <c r="A45" s="5">
        <f>B45&amp;"|"&amp;C45&amp;"|"&amp;D45&amp;"|"&amp;E45&amp;"|"&amp;F45</f>
        <v/>
      </c>
      <c r="B45" s="5" t="inlineStr">
        <is>
          <t>Grid-Constrained / Efficiency-Upside</t>
        </is>
      </c>
      <c r="C45" s="5" t="inlineStr">
        <is>
          <t>Anthropic</t>
        </is>
      </c>
      <c r="D45" s="5" t="n">
        <v>2027</v>
      </c>
      <c r="E45" s="5" t="inlineStr">
        <is>
          <t>Amazon</t>
        </is>
      </c>
      <c r="F45" s="5" t="inlineStr">
        <is>
          <t>Trainium</t>
        </is>
      </c>
      <c r="G45" s="5">
        <f>IFERROR(INDEX('02x_Accelerator_Catalog'!$C$2:$C$11,MATCH(F45,'02x_Accelerator_Catalog'!$B$2:$B$11,0)),"purpose_or_unbenchmarked")</f>
        <v/>
      </c>
      <c r="H45" s="28">
        <f>SUMIFS('02c_AI_CSP_Normalized'!$N$2:$N$305,'02c_AI_CSP_Normalized'!$B$2:$B$305,B45,'02c_AI_CSP_Normalized'!$C$2:$C$305,C45,'02c_AI_CSP_Normalized'!$D$2:$D$305,D45,'02c_AI_CSP_Normalized'!$E$2:$E$305,E45)</f>
        <v/>
      </c>
      <c r="I45" s="6">
        <f>SUMIFS('02b_CSP_Accelerator_Mix'!$H$2:$H$573,'02b_CSP_Accelerator_Mix'!$B$2:$B$573,B45,'02b_CSP_Accelerator_Mix'!$C$2:$C$573,E45,'02b_CSP_Accelerator_Mix'!$D$2:$D$573,D45,'02b_CSP_Accelerator_Mix'!$E$2:$E$573,F45)</f>
        <v/>
      </c>
      <c r="J45" s="28">
        <f>H45*I45</f>
        <v/>
      </c>
      <c r="K45" s="8">
        <f>IFERROR(INDEX('02x_Accelerator_Catalog'!$D$2:$D$11,MATCH(F45,'02x_Accelerator_Catalog'!$B$2:$B$11,0)),"")</f>
        <v/>
      </c>
      <c r="L45" s="7">
        <f>IF(K45&gt;0,J45*1000/K45,"")</f>
        <v/>
      </c>
      <c r="M45" s="5" t="inlineStr">
        <is>
          <t>epoch_csp_chip_quantity_latest</t>
        </is>
      </c>
      <c r="N45" s="5" t="inlineStr">
        <is>
          <t>Extensible long-format output: add a new accelerator row in 02b and map it in 02x_Accelerator_Catalog to extend this table.</t>
        </is>
      </c>
    </row>
    <row r="46">
      <c r="A46" s="5">
        <f>B46&amp;"|"&amp;C46&amp;"|"&amp;D46&amp;"|"&amp;E46&amp;"|"&amp;F46</f>
        <v/>
      </c>
      <c r="B46" s="5" t="inlineStr">
        <is>
          <t>Bear</t>
        </is>
      </c>
      <c r="C46" s="5" t="inlineStr">
        <is>
          <t>Anthropic</t>
        </is>
      </c>
      <c r="D46" s="5" t="n">
        <v>2028</v>
      </c>
      <c r="E46" s="5" t="inlineStr">
        <is>
          <t>Amazon</t>
        </is>
      </c>
      <c r="F46" s="5" t="inlineStr">
        <is>
          <t>B200/B300 class</t>
        </is>
      </c>
      <c r="G46" s="5">
        <f>IFERROR(INDEX('02x_Accelerator_Catalog'!$C$2:$C$11,MATCH(F46,'02x_Accelerator_Catalog'!$B$2:$B$11,0)),"purpose_or_unbenchmarked")</f>
        <v/>
      </c>
      <c r="H46" s="28">
        <f>SUMIFS('02c_AI_CSP_Normalized'!$N$2:$N$305,'02c_AI_CSP_Normalized'!$B$2:$B$305,B46,'02c_AI_CSP_Normalized'!$C$2:$C$305,C46,'02c_AI_CSP_Normalized'!$D$2:$D$305,D46,'02c_AI_CSP_Normalized'!$E$2:$E$305,E46)</f>
        <v/>
      </c>
      <c r="I46" s="6">
        <f>SUMIFS('02b_CSP_Accelerator_Mix'!$H$2:$H$573,'02b_CSP_Accelerator_Mix'!$B$2:$B$573,B46,'02b_CSP_Accelerator_Mix'!$C$2:$C$573,E46,'02b_CSP_Accelerator_Mix'!$D$2:$D$573,D46,'02b_CSP_Accelerator_Mix'!$E$2:$E$573,F46)</f>
        <v/>
      </c>
      <c r="J46" s="28">
        <f>H46*I46</f>
        <v/>
      </c>
      <c r="K46" s="8">
        <f>IFERROR(INDEX('02x_Accelerator_Catalog'!$D$2:$D$11,MATCH(F46,'02x_Accelerator_Catalog'!$B$2:$B$11,0)),"")</f>
        <v/>
      </c>
      <c r="L46" s="7">
        <f>IF(K46&gt;0,J46*1000/K46,"")</f>
        <v/>
      </c>
      <c r="M46" s="5" t="inlineStr">
        <is>
          <t>epoch_csp_chip_quantity_latest</t>
        </is>
      </c>
      <c r="N46" s="5" t="inlineStr">
        <is>
          <t>Extensible long-format output: add a new accelerator row in 02b and map it in 02x_Accelerator_Catalog to extend this table.</t>
        </is>
      </c>
    </row>
    <row r="47">
      <c r="A47" s="5">
        <f>B47&amp;"|"&amp;C47&amp;"|"&amp;D47&amp;"|"&amp;E47&amp;"|"&amp;F47</f>
        <v/>
      </c>
      <c r="B47" s="5" t="inlineStr">
        <is>
          <t>Bear</t>
        </is>
      </c>
      <c r="C47" s="5" t="inlineStr">
        <is>
          <t>Anthropic</t>
        </is>
      </c>
      <c r="D47" s="5" t="n">
        <v>2028</v>
      </c>
      <c r="E47" s="5" t="inlineStr">
        <is>
          <t>Amazon</t>
        </is>
      </c>
      <c r="F47" s="5" t="inlineStr">
        <is>
          <t>H100/H200/A100 class</t>
        </is>
      </c>
      <c r="G47" s="5">
        <f>IFERROR(INDEX('02x_Accelerator_Catalog'!$C$2:$C$11,MATCH(F47,'02x_Accelerator_Catalog'!$B$2:$B$11,0)),"purpose_or_unbenchmarked")</f>
        <v/>
      </c>
      <c r="H47" s="28">
        <f>SUMIFS('02c_AI_CSP_Normalized'!$N$2:$N$305,'02c_AI_CSP_Normalized'!$B$2:$B$305,B47,'02c_AI_CSP_Normalized'!$C$2:$C$305,C47,'02c_AI_CSP_Normalized'!$D$2:$D$305,D47,'02c_AI_CSP_Normalized'!$E$2:$E$305,E47)</f>
        <v/>
      </c>
      <c r="I47" s="6">
        <f>SUMIFS('02b_CSP_Accelerator_Mix'!$H$2:$H$573,'02b_CSP_Accelerator_Mix'!$B$2:$B$573,B47,'02b_CSP_Accelerator_Mix'!$C$2:$C$573,E47,'02b_CSP_Accelerator_Mix'!$D$2:$D$573,D47,'02b_CSP_Accelerator_Mix'!$E$2:$E$573,F47)</f>
        <v/>
      </c>
      <c r="J47" s="28">
        <f>H47*I47</f>
        <v/>
      </c>
      <c r="K47" s="8">
        <f>IFERROR(INDEX('02x_Accelerator_Catalog'!$D$2:$D$11,MATCH(F47,'02x_Accelerator_Catalog'!$B$2:$B$11,0)),"")</f>
        <v/>
      </c>
      <c r="L47" s="7">
        <f>IF(K47&gt;0,J47*1000/K47,"")</f>
        <v/>
      </c>
      <c r="M47" s="5" t="inlineStr">
        <is>
          <t>epoch_csp_chip_quantity_latest</t>
        </is>
      </c>
      <c r="N47" s="5" t="inlineStr">
        <is>
          <t>Extensible long-format output: add a new accelerator row in 02b and map it in 02x_Accelerator_Catalog to extend this table.</t>
        </is>
      </c>
    </row>
    <row r="48">
      <c r="A48" s="5">
        <f>B48&amp;"|"&amp;C48&amp;"|"&amp;D48&amp;"|"&amp;E48&amp;"|"&amp;F48</f>
        <v/>
      </c>
      <c r="B48" s="5" t="inlineStr">
        <is>
          <t>Bear</t>
        </is>
      </c>
      <c r="C48" s="5" t="inlineStr">
        <is>
          <t>Anthropic</t>
        </is>
      </c>
      <c r="D48" s="5" t="n">
        <v>2028</v>
      </c>
      <c r="E48" s="5" t="inlineStr">
        <is>
          <t>Amazon</t>
        </is>
      </c>
      <c r="F48" s="5" t="inlineStr">
        <is>
          <t>Trainium</t>
        </is>
      </c>
      <c r="G48" s="5">
        <f>IFERROR(INDEX('02x_Accelerator_Catalog'!$C$2:$C$11,MATCH(F48,'02x_Accelerator_Catalog'!$B$2:$B$11,0)),"purpose_or_unbenchmarked")</f>
        <v/>
      </c>
      <c r="H48" s="28">
        <f>SUMIFS('02c_AI_CSP_Normalized'!$N$2:$N$305,'02c_AI_CSP_Normalized'!$B$2:$B$305,B48,'02c_AI_CSP_Normalized'!$C$2:$C$305,C48,'02c_AI_CSP_Normalized'!$D$2:$D$305,D48,'02c_AI_CSP_Normalized'!$E$2:$E$305,E48)</f>
        <v/>
      </c>
      <c r="I48" s="6">
        <f>SUMIFS('02b_CSP_Accelerator_Mix'!$H$2:$H$573,'02b_CSP_Accelerator_Mix'!$B$2:$B$573,B48,'02b_CSP_Accelerator_Mix'!$C$2:$C$573,E48,'02b_CSP_Accelerator_Mix'!$D$2:$D$573,D48,'02b_CSP_Accelerator_Mix'!$E$2:$E$573,F48)</f>
        <v/>
      </c>
      <c r="J48" s="28">
        <f>H48*I48</f>
        <v/>
      </c>
      <c r="K48" s="8">
        <f>IFERROR(INDEX('02x_Accelerator_Catalog'!$D$2:$D$11,MATCH(F48,'02x_Accelerator_Catalog'!$B$2:$B$11,0)),"")</f>
        <v/>
      </c>
      <c r="L48" s="7">
        <f>IF(K48&gt;0,J48*1000/K48,"")</f>
        <v/>
      </c>
      <c r="M48" s="5" t="inlineStr">
        <is>
          <t>epoch_csp_chip_quantity_latest</t>
        </is>
      </c>
      <c r="N48" s="5" t="inlineStr">
        <is>
          <t>Extensible long-format output: add a new accelerator row in 02b and map it in 02x_Accelerator_Catalog to extend this table.</t>
        </is>
      </c>
    </row>
    <row r="49">
      <c r="A49" s="5">
        <f>B49&amp;"|"&amp;C49&amp;"|"&amp;D49&amp;"|"&amp;E49&amp;"|"&amp;F49</f>
        <v/>
      </c>
      <c r="B49" s="5" t="inlineStr">
        <is>
          <t>Base</t>
        </is>
      </c>
      <c r="C49" s="5" t="inlineStr">
        <is>
          <t>Anthropic</t>
        </is>
      </c>
      <c r="D49" s="5" t="n">
        <v>2028</v>
      </c>
      <c r="E49" s="5" t="inlineStr">
        <is>
          <t>Amazon</t>
        </is>
      </c>
      <c r="F49" s="5" t="inlineStr">
        <is>
          <t>B200/B300 class</t>
        </is>
      </c>
      <c r="G49" s="5">
        <f>IFERROR(INDEX('02x_Accelerator_Catalog'!$C$2:$C$11,MATCH(F49,'02x_Accelerator_Catalog'!$B$2:$B$11,0)),"purpose_or_unbenchmarked")</f>
        <v/>
      </c>
      <c r="H49" s="28">
        <f>SUMIFS('02c_AI_CSP_Normalized'!$N$2:$N$305,'02c_AI_CSP_Normalized'!$B$2:$B$305,B49,'02c_AI_CSP_Normalized'!$C$2:$C$305,C49,'02c_AI_CSP_Normalized'!$D$2:$D$305,D49,'02c_AI_CSP_Normalized'!$E$2:$E$305,E49)</f>
        <v/>
      </c>
      <c r="I49" s="6">
        <f>SUMIFS('02b_CSP_Accelerator_Mix'!$H$2:$H$573,'02b_CSP_Accelerator_Mix'!$B$2:$B$573,B49,'02b_CSP_Accelerator_Mix'!$C$2:$C$573,E49,'02b_CSP_Accelerator_Mix'!$D$2:$D$573,D49,'02b_CSP_Accelerator_Mix'!$E$2:$E$573,F49)</f>
        <v/>
      </c>
      <c r="J49" s="28">
        <f>H49*I49</f>
        <v/>
      </c>
      <c r="K49" s="8">
        <f>IFERROR(INDEX('02x_Accelerator_Catalog'!$D$2:$D$11,MATCH(F49,'02x_Accelerator_Catalog'!$B$2:$B$11,0)),"")</f>
        <v/>
      </c>
      <c r="L49" s="7">
        <f>IF(K49&gt;0,J49*1000/K49,"")</f>
        <v/>
      </c>
      <c r="M49" s="5" t="inlineStr">
        <is>
          <t>epoch_csp_chip_quantity_latest</t>
        </is>
      </c>
      <c r="N49" s="5" t="inlineStr">
        <is>
          <t>Extensible long-format output: add a new accelerator row in 02b and map it in 02x_Accelerator_Catalog to extend this table.</t>
        </is>
      </c>
    </row>
    <row r="50">
      <c r="A50" s="5">
        <f>B50&amp;"|"&amp;C50&amp;"|"&amp;D50&amp;"|"&amp;E50&amp;"|"&amp;F50</f>
        <v/>
      </c>
      <c r="B50" s="5" t="inlineStr">
        <is>
          <t>Base</t>
        </is>
      </c>
      <c r="C50" s="5" t="inlineStr">
        <is>
          <t>Anthropic</t>
        </is>
      </c>
      <c r="D50" s="5" t="n">
        <v>2028</v>
      </c>
      <c r="E50" s="5" t="inlineStr">
        <is>
          <t>Amazon</t>
        </is>
      </c>
      <c r="F50" s="5" t="inlineStr">
        <is>
          <t>H100/H200/A100 class</t>
        </is>
      </c>
      <c r="G50" s="5">
        <f>IFERROR(INDEX('02x_Accelerator_Catalog'!$C$2:$C$11,MATCH(F50,'02x_Accelerator_Catalog'!$B$2:$B$11,0)),"purpose_or_unbenchmarked")</f>
        <v/>
      </c>
      <c r="H50" s="28">
        <f>SUMIFS('02c_AI_CSP_Normalized'!$N$2:$N$305,'02c_AI_CSP_Normalized'!$B$2:$B$305,B50,'02c_AI_CSP_Normalized'!$C$2:$C$305,C50,'02c_AI_CSP_Normalized'!$D$2:$D$305,D50,'02c_AI_CSP_Normalized'!$E$2:$E$305,E50)</f>
        <v/>
      </c>
      <c r="I50" s="6">
        <f>SUMIFS('02b_CSP_Accelerator_Mix'!$H$2:$H$573,'02b_CSP_Accelerator_Mix'!$B$2:$B$573,B50,'02b_CSP_Accelerator_Mix'!$C$2:$C$573,E50,'02b_CSP_Accelerator_Mix'!$D$2:$D$573,D50,'02b_CSP_Accelerator_Mix'!$E$2:$E$573,F50)</f>
        <v/>
      </c>
      <c r="J50" s="28">
        <f>H50*I50</f>
        <v/>
      </c>
      <c r="K50" s="8">
        <f>IFERROR(INDEX('02x_Accelerator_Catalog'!$D$2:$D$11,MATCH(F50,'02x_Accelerator_Catalog'!$B$2:$B$11,0)),"")</f>
        <v/>
      </c>
      <c r="L50" s="7">
        <f>IF(K50&gt;0,J50*1000/K50,"")</f>
        <v/>
      </c>
      <c r="M50" s="5" t="inlineStr">
        <is>
          <t>epoch_csp_chip_quantity_latest</t>
        </is>
      </c>
      <c r="N50" s="5" t="inlineStr">
        <is>
          <t>Extensible long-format output: add a new accelerator row in 02b and map it in 02x_Accelerator_Catalog to extend this table.</t>
        </is>
      </c>
    </row>
    <row r="51">
      <c r="A51" s="5">
        <f>B51&amp;"|"&amp;C51&amp;"|"&amp;D51&amp;"|"&amp;E51&amp;"|"&amp;F51</f>
        <v/>
      </c>
      <c r="B51" s="5" t="inlineStr">
        <is>
          <t>Base</t>
        </is>
      </c>
      <c r="C51" s="5" t="inlineStr">
        <is>
          <t>Anthropic</t>
        </is>
      </c>
      <c r="D51" s="5" t="n">
        <v>2028</v>
      </c>
      <c r="E51" s="5" t="inlineStr">
        <is>
          <t>Amazon</t>
        </is>
      </c>
      <c r="F51" s="5" t="inlineStr">
        <is>
          <t>Trainium</t>
        </is>
      </c>
      <c r="G51" s="5">
        <f>IFERROR(INDEX('02x_Accelerator_Catalog'!$C$2:$C$11,MATCH(F51,'02x_Accelerator_Catalog'!$B$2:$B$11,0)),"purpose_or_unbenchmarked")</f>
        <v/>
      </c>
      <c r="H51" s="28">
        <f>SUMIFS('02c_AI_CSP_Normalized'!$N$2:$N$305,'02c_AI_CSP_Normalized'!$B$2:$B$305,B51,'02c_AI_CSP_Normalized'!$C$2:$C$305,C51,'02c_AI_CSP_Normalized'!$D$2:$D$305,D51,'02c_AI_CSP_Normalized'!$E$2:$E$305,E51)</f>
        <v/>
      </c>
      <c r="I51" s="6">
        <f>SUMIFS('02b_CSP_Accelerator_Mix'!$H$2:$H$573,'02b_CSP_Accelerator_Mix'!$B$2:$B$573,B51,'02b_CSP_Accelerator_Mix'!$C$2:$C$573,E51,'02b_CSP_Accelerator_Mix'!$D$2:$D$573,D51,'02b_CSP_Accelerator_Mix'!$E$2:$E$573,F51)</f>
        <v/>
      </c>
      <c r="J51" s="28">
        <f>H51*I51</f>
        <v/>
      </c>
      <c r="K51" s="8">
        <f>IFERROR(INDEX('02x_Accelerator_Catalog'!$D$2:$D$11,MATCH(F51,'02x_Accelerator_Catalog'!$B$2:$B$11,0)),"")</f>
        <v/>
      </c>
      <c r="L51" s="7">
        <f>IF(K51&gt;0,J51*1000/K51,"")</f>
        <v/>
      </c>
      <c r="M51" s="5" t="inlineStr">
        <is>
          <t>epoch_csp_chip_quantity_latest</t>
        </is>
      </c>
      <c r="N51" s="5" t="inlineStr">
        <is>
          <t>Extensible long-format output: add a new accelerator row in 02b and map it in 02x_Accelerator_Catalog to extend this table.</t>
        </is>
      </c>
    </row>
    <row r="52">
      <c r="A52" s="5">
        <f>B52&amp;"|"&amp;C52&amp;"|"&amp;D52&amp;"|"&amp;E52&amp;"|"&amp;F52</f>
        <v/>
      </c>
      <c r="B52" s="5" t="inlineStr">
        <is>
          <t>Bull</t>
        </is>
      </c>
      <c r="C52" s="5" t="inlineStr">
        <is>
          <t>Anthropic</t>
        </is>
      </c>
      <c r="D52" s="5" t="n">
        <v>2028</v>
      </c>
      <c r="E52" s="5" t="inlineStr">
        <is>
          <t>Amazon</t>
        </is>
      </c>
      <c r="F52" s="5" t="inlineStr">
        <is>
          <t>B200/B300 class</t>
        </is>
      </c>
      <c r="G52" s="5">
        <f>IFERROR(INDEX('02x_Accelerator_Catalog'!$C$2:$C$11,MATCH(F52,'02x_Accelerator_Catalog'!$B$2:$B$11,0)),"purpose_or_unbenchmarked")</f>
        <v/>
      </c>
      <c r="H52" s="28">
        <f>SUMIFS('02c_AI_CSP_Normalized'!$N$2:$N$305,'02c_AI_CSP_Normalized'!$B$2:$B$305,B52,'02c_AI_CSP_Normalized'!$C$2:$C$305,C52,'02c_AI_CSP_Normalized'!$D$2:$D$305,D52,'02c_AI_CSP_Normalized'!$E$2:$E$305,E52)</f>
        <v/>
      </c>
      <c r="I52" s="6">
        <f>SUMIFS('02b_CSP_Accelerator_Mix'!$H$2:$H$573,'02b_CSP_Accelerator_Mix'!$B$2:$B$573,B52,'02b_CSP_Accelerator_Mix'!$C$2:$C$573,E52,'02b_CSP_Accelerator_Mix'!$D$2:$D$573,D52,'02b_CSP_Accelerator_Mix'!$E$2:$E$573,F52)</f>
        <v/>
      </c>
      <c r="J52" s="28">
        <f>H52*I52</f>
        <v/>
      </c>
      <c r="K52" s="8">
        <f>IFERROR(INDEX('02x_Accelerator_Catalog'!$D$2:$D$11,MATCH(F52,'02x_Accelerator_Catalog'!$B$2:$B$11,0)),"")</f>
        <v/>
      </c>
      <c r="L52" s="7">
        <f>IF(K52&gt;0,J52*1000/K52,"")</f>
        <v/>
      </c>
      <c r="M52" s="5" t="inlineStr">
        <is>
          <t>epoch_csp_chip_quantity_latest</t>
        </is>
      </c>
      <c r="N52" s="5" t="inlineStr">
        <is>
          <t>Extensible long-format output: add a new accelerator row in 02b and map it in 02x_Accelerator_Catalog to extend this table.</t>
        </is>
      </c>
    </row>
    <row r="53">
      <c r="A53" s="5">
        <f>B53&amp;"|"&amp;C53&amp;"|"&amp;D53&amp;"|"&amp;E53&amp;"|"&amp;F53</f>
        <v/>
      </c>
      <c r="B53" s="5" t="inlineStr">
        <is>
          <t>Bull</t>
        </is>
      </c>
      <c r="C53" s="5" t="inlineStr">
        <is>
          <t>Anthropic</t>
        </is>
      </c>
      <c r="D53" s="5" t="n">
        <v>2028</v>
      </c>
      <c r="E53" s="5" t="inlineStr">
        <is>
          <t>Amazon</t>
        </is>
      </c>
      <c r="F53" s="5" t="inlineStr">
        <is>
          <t>H100/H200/A100 class</t>
        </is>
      </c>
      <c r="G53" s="5">
        <f>IFERROR(INDEX('02x_Accelerator_Catalog'!$C$2:$C$11,MATCH(F53,'02x_Accelerator_Catalog'!$B$2:$B$11,0)),"purpose_or_unbenchmarked")</f>
        <v/>
      </c>
      <c r="H53" s="28">
        <f>SUMIFS('02c_AI_CSP_Normalized'!$N$2:$N$305,'02c_AI_CSP_Normalized'!$B$2:$B$305,B53,'02c_AI_CSP_Normalized'!$C$2:$C$305,C53,'02c_AI_CSP_Normalized'!$D$2:$D$305,D53,'02c_AI_CSP_Normalized'!$E$2:$E$305,E53)</f>
        <v/>
      </c>
      <c r="I53" s="6">
        <f>SUMIFS('02b_CSP_Accelerator_Mix'!$H$2:$H$573,'02b_CSP_Accelerator_Mix'!$B$2:$B$573,B53,'02b_CSP_Accelerator_Mix'!$C$2:$C$573,E53,'02b_CSP_Accelerator_Mix'!$D$2:$D$573,D53,'02b_CSP_Accelerator_Mix'!$E$2:$E$573,F53)</f>
        <v/>
      </c>
      <c r="J53" s="28">
        <f>H53*I53</f>
        <v/>
      </c>
      <c r="K53" s="8">
        <f>IFERROR(INDEX('02x_Accelerator_Catalog'!$D$2:$D$11,MATCH(F53,'02x_Accelerator_Catalog'!$B$2:$B$11,0)),"")</f>
        <v/>
      </c>
      <c r="L53" s="7">
        <f>IF(K53&gt;0,J53*1000/K53,"")</f>
        <v/>
      </c>
      <c r="M53" s="5" t="inlineStr">
        <is>
          <t>epoch_csp_chip_quantity_latest</t>
        </is>
      </c>
      <c r="N53" s="5" t="inlineStr">
        <is>
          <t>Extensible long-format output: add a new accelerator row in 02b and map it in 02x_Accelerator_Catalog to extend this table.</t>
        </is>
      </c>
    </row>
    <row r="54">
      <c r="A54" s="5">
        <f>B54&amp;"|"&amp;C54&amp;"|"&amp;D54&amp;"|"&amp;E54&amp;"|"&amp;F54</f>
        <v/>
      </c>
      <c r="B54" s="5" t="inlineStr">
        <is>
          <t>Bull</t>
        </is>
      </c>
      <c r="C54" s="5" t="inlineStr">
        <is>
          <t>Anthropic</t>
        </is>
      </c>
      <c r="D54" s="5" t="n">
        <v>2028</v>
      </c>
      <c r="E54" s="5" t="inlineStr">
        <is>
          <t>Amazon</t>
        </is>
      </c>
      <c r="F54" s="5" t="inlineStr">
        <is>
          <t>Trainium</t>
        </is>
      </c>
      <c r="G54" s="5">
        <f>IFERROR(INDEX('02x_Accelerator_Catalog'!$C$2:$C$11,MATCH(F54,'02x_Accelerator_Catalog'!$B$2:$B$11,0)),"purpose_or_unbenchmarked")</f>
        <v/>
      </c>
      <c r="H54" s="28">
        <f>SUMIFS('02c_AI_CSP_Normalized'!$N$2:$N$305,'02c_AI_CSP_Normalized'!$B$2:$B$305,B54,'02c_AI_CSP_Normalized'!$C$2:$C$305,C54,'02c_AI_CSP_Normalized'!$D$2:$D$305,D54,'02c_AI_CSP_Normalized'!$E$2:$E$305,E54)</f>
        <v/>
      </c>
      <c r="I54" s="6">
        <f>SUMIFS('02b_CSP_Accelerator_Mix'!$H$2:$H$573,'02b_CSP_Accelerator_Mix'!$B$2:$B$573,B54,'02b_CSP_Accelerator_Mix'!$C$2:$C$573,E54,'02b_CSP_Accelerator_Mix'!$D$2:$D$573,D54,'02b_CSP_Accelerator_Mix'!$E$2:$E$573,F54)</f>
        <v/>
      </c>
      <c r="J54" s="28">
        <f>H54*I54</f>
        <v/>
      </c>
      <c r="K54" s="8">
        <f>IFERROR(INDEX('02x_Accelerator_Catalog'!$D$2:$D$11,MATCH(F54,'02x_Accelerator_Catalog'!$B$2:$B$11,0)),"")</f>
        <v/>
      </c>
      <c r="L54" s="7">
        <f>IF(K54&gt;0,J54*1000/K54,"")</f>
        <v/>
      </c>
      <c r="M54" s="5" t="inlineStr">
        <is>
          <t>epoch_csp_chip_quantity_latest</t>
        </is>
      </c>
      <c r="N54" s="5" t="inlineStr">
        <is>
          <t>Extensible long-format output: add a new accelerator row in 02b and map it in 02x_Accelerator_Catalog to extend this table.</t>
        </is>
      </c>
    </row>
    <row r="55">
      <c r="A55" s="5">
        <f>B55&amp;"|"&amp;C55&amp;"|"&amp;D55&amp;"|"&amp;E55&amp;"|"&amp;F55</f>
        <v/>
      </c>
      <c r="B55" s="5" t="inlineStr">
        <is>
          <t>Grid-Constrained / Efficiency-Upside</t>
        </is>
      </c>
      <c r="C55" s="5" t="inlineStr">
        <is>
          <t>Anthropic</t>
        </is>
      </c>
      <c r="D55" s="5" t="n">
        <v>2028</v>
      </c>
      <c r="E55" s="5" t="inlineStr">
        <is>
          <t>Amazon</t>
        </is>
      </c>
      <c r="F55" s="5" t="inlineStr">
        <is>
          <t>B200/B300 class</t>
        </is>
      </c>
      <c r="G55" s="5">
        <f>IFERROR(INDEX('02x_Accelerator_Catalog'!$C$2:$C$11,MATCH(F55,'02x_Accelerator_Catalog'!$B$2:$B$11,0)),"purpose_or_unbenchmarked")</f>
        <v/>
      </c>
      <c r="H55" s="28">
        <f>SUMIFS('02c_AI_CSP_Normalized'!$N$2:$N$305,'02c_AI_CSP_Normalized'!$B$2:$B$305,B55,'02c_AI_CSP_Normalized'!$C$2:$C$305,C55,'02c_AI_CSP_Normalized'!$D$2:$D$305,D55,'02c_AI_CSP_Normalized'!$E$2:$E$305,E55)</f>
        <v/>
      </c>
      <c r="I55" s="6">
        <f>SUMIFS('02b_CSP_Accelerator_Mix'!$H$2:$H$573,'02b_CSP_Accelerator_Mix'!$B$2:$B$573,B55,'02b_CSP_Accelerator_Mix'!$C$2:$C$573,E55,'02b_CSP_Accelerator_Mix'!$D$2:$D$573,D55,'02b_CSP_Accelerator_Mix'!$E$2:$E$573,F55)</f>
        <v/>
      </c>
      <c r="J55" s="28">
        <f>H55*I55</f>
        <v/>
      </c>
      <c r="K55" s="8">
        <f>IFERROR(INDEX('02x_Accelerator_Catalog'!$D$2:$D$11,MATCH(F55,'02x_Accelerator_Catalog'!$B$2:$B$11,0)),"")</f>
        <v/>
      </c>
      <c r="L55" s="7">
        <f>IF(K55&gt;0,J55*1000/K55,"")</f>
        <v/>
      </c>
      <c r="M55" s="5" t="inlineStr">
        <is>
          <t>epoch_csp_chip_quantity_latest</t>
        </is>
      </c>
      <c r="N55" s="5" t="inlineStr">
        <is>
          <t>Extensible long-format output: add a new accelerator row in 02b and map it in 02x_Accelerator_Catalog to extend this table.</t>
        </is>
      </c>
    </row>
    <row r="56">
      <c r="A56" s="5">
        <f>B56&amp;"|"&amp;C56&amp;"|"&amp;D56&amp;"|"&amp;E56&amp;"|"&amp;F56</f>
        <v/>
      </c>
      <c r="B56" s="5" t="inlineStr">
        <is>
          <t>Grid-Constrained / Efficiency-Upside</t>
        </is>
      </c>
      <c r="C56" s="5" t="inlineStr">
        <is>
          <t>Anthropic</t>
        </is>
      </c>
      <c r="D56" s="5" t="n">
        <v>2028</v>
      </c>
      <c r="E56" s="5" t="inlineStr">
        <is>
          <t>Amazon</t>
        </is>
      </c>
      <c r="F56" s="5" t="inlineStr">
        <is>
          <t>H100/H200/A100 class</t>
        </is>
      </c>
      <c r="G56" s="5">
        <f>IFERROR(INDEX('02x_Accelerator_Catalog'!$C$2:$C$11,MATCH(F56,'02x_Accelerator_Catalog'!$B$2:$B$11,0)),"purpose_or_unbenchmarked")</f>
        <v/>
      </c>
      <c r="H56" s="28">
        <f>SUMIFS('02c_AI_CSP_Normalized'!$N$2:$N$305,'02c_AI_CSP_Normalized'!$B$2:$B$305,B56,'02c_AI_CSP_Normalized'!$C$2:$C$305,C56,'02c_AI_CSP_Normalized'!$D$2:$D$305,D56,'02c_AI_CSP_Normalized'!$E$2:$E$305,E56)</f>
        <v/>
      </c>
      <c r="I56" s="6">
        <f>SUMIFS('02b_CSP_Accelerator_Mix'!$H$2:$H$573,'02b_CSP_Accelerator_Mix'!$B$2:$B$573,B56,'02b_CSP_Accelerator_Mix'!$C$2:$C$573,E56,'02b_CSP_Accelerator_Mix'!$D$2:$D$573,D56,'02b_CSP_Accelerator_Mix'!$E$2:$E$573,F56)</f>
        <v/>
      </c>
      <c r="J56" s="28">
        <f>H56*I56</f>
        <v/>
      </c>
      <c r="K56" s="8">
        <f>IFERROR(INDEX('02x_Accelerator_Catalog'!$D$2:$D$11,MATCH(F56,'02x_Accelerator_Catalog'!$B$2:$B$11,0)),"")</f>
        <v/>
      </c>
      <c r="L56" s="7">
        <f>IF(K56&gt;0,J56*1000/K56,"")</f>
        <v/>
      </c>
      <c r="M56" s="5" t="inlineStr">
        <is>
          <t>epoch_csp_chip_quantity_latest</t>
        </is>
      </c>
      <c r="N56" s="5" t="inlineStr">
        <is>
          <t>Extensible long-format output: add a new accelerator row in 02b and map it in 02x_Accelerator_Catalog to extend this table.</t>
        </is>
      </c>
    </row>
    <row r="57">
      <c r="A57" s="5">
        <f>B57&amp;"|"&amp;C57&amp;"|"&amp;D57&amp;"|"&amp;E57&amp;"|"&amp;F57</f>
        <v/>
      </c>
      <c r="B57" s="5" t="inlineStr">
        <is>
          <t>Grid-Constrained / Efficiency-Upside</t>
        </is>
      </c>
      <c r="C57" s="5" t="inlineStr">
        <is>
          <t>Anthropic</t>
        </is>
      </c>
      <c r="D57" s="5" t="n">
        <v>2028</v>
      </c>
      <c r="E57" s="5" t="inlineStr">
        <is>
          <t>Amazon</t>
        </is>
      </c>
      <c r="F57" s="5" t="inlineStr">
        <is>
          <t>Trainium</t>
        </is>
      </c>
      <c r="G57" s="5">
        <f>IFERROR(INDEX('02x_Accelerator_Catalog'!$C$2:$C$11,MATCH(F57,'02x_Accelerator_Catalog'!$B$2:$B$11,0)),"purpose_or_unbenchmarked")</f>
        <v/>
      </c>
      <c r="H57" s="28">
        <f>SUMIFS('02c_AI_CSP_Normalized'!$N$2:$N$305,'02c_AI_CSP_Normalized'!$B$2:$B$305,B57,'02c_AI_CSP_Normalized'!$C$2:$C$305,C57,'02c_AI_CSP_Normalized'!$D$2:$D$305,D57,'02c_AI_CSP_Normalized'!$E$2:$E$305,E57)</f>
        <v/>
      </c>
      <c r="I57" s="6">
        <f>SUMIFS('02b_CSP_Accelerator_Mix'!$H$2:$H$573,'02b_CSP_Accelerator_Mix'!$B$2:$B$573,B57,'02b_CSP_Accelerator_Mix'!$C$2:$C$573,E57,'02b_CSP_Accelerator_Mix'!$D$2:$D$573,D57,'02b_CSP_Accelerator_Mix'!$E$2:$E$573,F57)</f>
        <v/>
      </c>
      <c r="J57" s="28">
        <f>H57*I57</f>
        <v/>
      </c>
      <c r="K57" s="8">
        <f>IFERROR(INDEX('02x_Accelerator_Catalog'!$D$2:$D$11,MATCH(F57,'02x_Accelerator_Catalog'!$B$2:$B$11,0)),"")</f>
        <v/>
      </c>
      <c r="L57" s="7">
        <f>IF(K57&gt;0,J57*1000/K57,"")</f>
        <v/>
      </c>
      <c r="M57" s="5" t="inlineStr">
        <is>
          <t>epoch_csp_chip_quantity_latest</t>
        </is>
      </c>
      <c r="N57" s="5" t="inlineStr">
        <is>
          <t>Extensible long-format output: add a new accelerator row in 02b and map it in 02x_Accelerator_Catalog to extend this table.</t>
        </is>
      </c>
    </row>
    <row r="58">
      <c r="A58" s="5">
        <f>B58&amp;"|"&amp;C58&amp;"|"&amp;D58&amp;"|"&amp;E58&amp;"|"&amp;F58</f>
        <v/>
      </c>
      <c r="B58" s="5" t="inlineStr">
        <is>
          <t>Bear</t>
        </is>
      </c>
      <c r="C58" s="5" t="inlineStr">
        <is>
          <t>Anthropic</t>
        </is>
      </c>
      <c r="D58" s="5" t="n">
        <v>2029</v>
      </c>
      <c r="E58" s="5" t="inlineStr">
        <is>
          <t>Amazon</t>
        </is>
      </c>
      <c r="F58" s="5" t="inlineStr">
        <is>
          <t>B200/B300 class</t>
        </is>
      </c>
      <c r="G58" s="5">
        <f>IFERROR(INDEX('02x_Accelerator_Catalog'!$C$2:$C$11,MATCH(F58,'02x_Accelerator_Catalog'!$B$2:$B$11,0)),"purpose_or_unbenchmarked")</f>
        <v/>
      </c>
      <c r="H58" s="28">
        <f>SUMIFS('02c_AI_CSP_Normalized'!$N$2:$N$305,'02c_AI_CSP_Normalized'!$B$2:$B$305,B58,'02c_AI_CSP_Normalized'!$C$2:$C$305,C58,'02c_AI_CSP_Normalized'!$D$2:$D$305,D58,'02c_AI_CSP_Normalized'!$E$2:$E$305,E58)</f>
        <v/>
      </c>
      <c r="I58" s="6">
        <f>SUMIFS('02b_CSP_Accelerator_Mix'!$H$2:$H$573,'02b_CSP_Accelerator_Mix'!$B$2:$B$573,B58,'02b_CSP_Accelerator_Mix'!$C$2:$C$573,E58,'02b_CSP_Accelerator_Mix'!$D$2:$D$573,D58,'02b_CSP_Accelerator_Mix'!$E$2:$E$573,F58)</f>
        <v/>
      </c>
      <c r="J58" s="28">
        <f>H58*I58</f>
        <v/>
      </c>
      <c r="K58" s="8">
        <f>IFERROR(INDEX('02x_Accelerator_Catalog'!$D$2:$D$11,MATCH(F58,'02x_Accelerator_Catalog'!$B$2:$B$11,0)),"")</f>
        <v/>
      </c>
      <c r="L58" s="7">
        <f>IF(K58&gt;0,J58*1000/K58,"")</f>
        <v/>
      </c>
      <c r="M58" s="5" t="inlineStr">
        <is>
          <t>epoch_csp_chip_quantity_latest</t>
        </is>
      </c>
      <c r="N58" s="5" t="inlineStr">
        <is>
          <t>Extensible long-format output: add a new accelerator row in 02b and map it in 02x_Accelerator_Catalog to extend this table.</t>
        </is>
      </c>
    </row>
    <row r="59">
      <c r="A59" s="5">
        <f>B59&amp;"|"&amp;C59&amp;"|"&amp;D59&amp;"|"&amp;E59&amp;"|"&amp;F59</f>
        <v/>
      </c>
      <c r="B59" s="5" t="inlineStr">
        <is>
          <t>Bear</t>
        </is>
      </c>
      <c r="C59" s="5" t="inlineStr">
        <is>
          <t>Anthropic</t>
        </is>
      </c>
      <c r="D59" s="5" t="n">
        <v>2029</v>
      </c>
      <c r="E59" s="5" t="inlineStr">
        <is>
          <t>Amazon</t>
        </is>
      </c>
      <c r="F59" s="5" t="inlineStr">
        <is>
          <t>H100/H200/A100 class</t>
        </is>
      </c>
      <c r="G59" s="5">
        <f>IFERROR(INDEX('02x_Accelerator_Catalog'!$C$2:$C$11,MATCH(F59,'02x_Accelerator_Catalog'!$B$2:$B$11,0)),"purpose_or_unbenchmarked")</f>
        <v/>
      </c>
      <c r="H59" s="28">
        <f>SUMIFS('02c_AI_CSP_Normalized'!$N$2:$N$305,'02c_AI_CSP_Normalized'!$B$2:$B$305,B59,'02c_AI_CSP_Normalized'!$C$2:$C$305,C59,'02c_AI_CSP_Normalized'!$D$2:$D$305,D59,'02c_AI_CSP_Normalized'!$E$2:$E$305,E59)</f>
        <v/>
      </c>
      <c r="I59" s="6">
        <f>SUMIFS('02b_CSP_Accelerator_Mix'!$H$2:$H$573,'02b_CSP_Accelerator_Mix'!$B$2:$B$573,B59,'02b_CSP_Accelerator_Mix'!$C$2:$C$573,E59,'02b_CSP_Accelerator_Mix'!$D$2:$D$573,D59,'02b_CSP_Accelerator_Mix'!$E$2:$E$573,F59)</f>
        <v/>
      </c>
      <c r="J59" s="28">
        <f>H59*I59</f>
        <v/>
      </c>
      <c r="K59" s="8">
        <f>IFERROR(INDEX('02x_Accelerator_Catalog'!$D$2:$D$11,MATCH(F59,'02x_Accelerator_Catalog'!$B$2:$B$11,0)),"")</f>
        <v/>
      </c>
      <c r="L59" s="7">
        <f>IF(K59&gt;0,J59*1000/K59,"")</f>
        <v/>
      </c>
      <c r="M59" s="5" t="inlineStr">
        <is>
          <t>epoch_csp_chip_quantity_latest</t>
        </is>
      </c>
      <c r="N59" s="5" t="inlineStr">
        <is>
          <t>Extensible long-format output: add a new accelerator row in 02b and map it in 02x_Accelerator_Catalog to extend this table.</t>
        </is>
      </c>
    </row>
    <row r="60">
      <c r="A60" s="5">
        <f>B60&amp;"|"&amp;C60&amp;"|"&amp;D60&amp;"|"&amp;E60&amp;"|"&amp;F60</f>
        <v/>
      </c>
      <c r="B60" s="5" t="inlineStr">
        <is>
          <t>Bear</t>
        </is>
      </c>
      <c r="C60" s="5" t="inlineStr">
        <is>
          <t>Anthropic</t>
        </is>
      </c>
      <c r="D60" s="5" t="n">
        <v>2029</v>
      </c>
      <c r="E60" s="5" t="inlineStr">
        <is>
          <t>Amazon</t>
        </is>
      </c>
      <c r="F60" s="5" t="inlineStr">
        <is>
          <t>Trainium</t>
        </is>
      </c>
      <c r="G60" s="5">
        <f>IFERROR(INDEX('02x_Accelerator_Catalog'!$C$2:$C$11,MATCH(F60,'02x_Accelerator_Catalog'!$B$2:$B$11,0)),"purpose_or_unbenchmarked")</f>
        <v/>
      </c>
      <c r="H60" s="28">
        <f>SUMIFS('02c_AI_CSP_Normalized'!$N$2:$N$305,'02c_AI_CSP_Normalized'!$B$2:$B$305,B60,'02c_AI_CSP_Normalized'!$C$2:$C$305,C60,'02c_AI_CSP_Normalized'!$D$2:$D$305,D60,'02c_AI_CSP_Normalized'!$E$2:$E$305,E60)</f>
        <v/>
      </c>
      <c r="I60" s="6">
        <f>SUMIFS('02b_CSP_Accelerator_Mix'!$H$2:$H$573,'02b_CSP_Accelerator_Mix'!$B$2:$B$573,B60,'02b_CSP_Accelerator_Mix'!$C$2:$C$573,E60,'02b_CSP_Accelerator_Mix'!$D$2:$D$573,D60,'02b_CSP_Accelerator_Mix'!$E$2:$E$573,F60)</f>
        <v/>
      </c>
      <c r="J60" s="28">
        <f>H60*I60</f>
        <v/>
      </c>
      <c r="K60" s="8">
        <f>IFERROR(INDEX('02x_Accelerator_Catalog'!$D$2:$D$11,MATCH(F60,'02x_Accelerator_Catalog'!$B$2:$B$11,0)),"")</f>
        <v/>
      </c>
      <c r="L60" s="7">
        <f>IF(K60&gt;0,J60*1000/K60,"")</f>
        <v/>
      </c>
      <c r="M60" s="5" t="inlineStr">
        <is>
          <t>epoch_csp_chip_quantity_latest</t>
        </is>
      </c>
      <c r="N60" s="5" t="inlineStr">
        <is>
          <t>Extensible long-format output: add a new accelerator row in 02b and map it in 02x_Accelerator_Catalog to extend this table.</t>
        </is>
      </c>
    </row>
    <row r="61">
      <c r="A61" s="5">
        <f>B61&amp;"|"&amp;C61&amp;"|"&amp;D61&amp;"|"&amp;E61&amp;"|"&amp;F61</f>
        <v/>
      </c>
      <c r="B61" s="5" t="inlineStr">
        <is>
          <t>Base</t>
        </is>
      </c>
      <c r="C61" s="5" t="inlineStr">
        <is>
          <t>Anthropic</t>
        </is>
      </c>
      <c r="D61" s="5" t="n">
        <v>2029</v>
      </c>
      <c r="E61" s="5" t="inlineStr">
        <is>
          <t>Amazon</t>
        </is>
      </c>
      <c r="F61" s="5" t="inlineStr">
        <is>
          <t>B200/B300 class</t>
        </is>
      </c>
      <c r="G61" s="5">
        <f>IFERROR(INDEX('02x_Accelerator_Catalog'!$C$2:$C$11,MATCH(F61,'02x_Accelerator_Catalog'!$B$2:$B$11,0)),"purpose_or_unbenchmarked")</f>
        <v/>
      </c>
      <c r="H61" s="28">
        <f>SUMIFS('02c_AI_CSP_Normalized'!$N$2:$N$305,'02c_AI_CSP_Normalized'!$B$2:$B$305,B61,'02c_AI_CSP_Normalized'!$C$2:$C$305,C61,'02c_AI_CSP_Normalized'!$D$2:$D$305,D61,'02c_AI_CSP_Normalized'!$E$2:$E$305,E61)</f>
        <v/>
      </c>
      <c r="I61" s="6">
        <f>SUMIFS('02b_CSP_Accelerator_Mix'!$H$2:$H$573,'02b_CSP_Accelerator_Mix'!$B$2:$B$573,B61,'02b_CSP_Accelerator_Mix'!$C$2:$C$573,E61,'02b_CSP_Accelerator_Mix'!$D$2:$D$573,D61,'02b_CSP_Accelerator_Mix'!$E$2:$E$573,F61)</f>
        <v/>
      </c>
      <c r="J61" s="28">
        <f>H61*I61</f>
        <v/>
      </c>
      <c r="K61" s="8">
        <f>IFERROR(INDEX('02x_Accelerator_Catalog'!$D$2:$D$11,MATCH(F61,'02x_Accelerator_Catalog'!$B$2:$B$11,0)),"")</f>
        <v/>
      </c>
      <c r="L61" s="7">
        <f>IF(K61&gt;0,J61*1000/K61,"")</f>
        <v/>
      </c>
      <c r="M61" s="5" t="inlineStr">
        <is>
          <t>epoch_csp_chip_quantity_latest</t>
        </is>
      </c>
      <c r="N61" s="5" t="inlineStr">
        <is>
          <t>Extensible long-format output: add a new accelerator row in 02b and map it in 02x_Accelerator_Catalog to extend this table.</t>
        </is>
      </c>
    </row>
    <row r="62">
      <c r="A62" s="5">
        <f>B62&amp;"|"&amp;C62&amp;"|"&amp;D62&amp;"|"&amp;E62&amp;"|"&amp;F62</f>
        <v/>
      </c>
      <c r="B62" s="5" t="inlineStr">
        <is>
          <t>Base</t>
        </is>
      </c>
      <c r="C62" s="5" t="inlineStr">
        <is>
          <t>Anthropic</t>
        </is>
      </c>
      <c r="D62" s="5" t="n">
        <v>2029</v>
      </c>
      <c r="E62" s="5" t="inlineStr">
        <is>
          <t>Amazon</t>
        </is>
      </c>
      <c r="F62" s="5" t="inlineStr">
        <is>
          <t>H100/H200/A100 class</t>
        </is>
      </c>
      <c r="G62" s="5">
        <f>IFERROR(INDEX('02x_Accelerator_Catalog'!$C$2:$C$11,MATCH(F62,'02x_Accelerator_Catalog'!$B$2:$B$11,0)),"purpose_or_unbenchmarked")</f>
        <v/>
      </c>
      <c r="H62" s="28">
        <f>SUMIFS('02c_AI_CSP_Normalized'!$N$2:$N$305,'02c_AI_CSP_Normalized'!$B$2:$B$305,B62,'02c_AI_CSP_Normalized'!$C$2:$C$305,C62,'02c_AI_CSP_Normalized'!$D$2:$D$305,D62,'02c_AI_CSP_Normalized'!$E$2:$E$305,E62)</f>
        <v/>
      </c>
      <c r="I62" s="6">
        <f>SUMIFS('02b_CSP_Accelerator_Mix'!$H$2:$H$573,'02b_CSP_Accelerator_Mix'!$B$2:$B$573,B62,'02b_CSP_Accelerator_Mix'!$C$2:$C$573,E62,'02b_CSP_Accelerator_Mix'!$D$2:$D$573,D62,'02b_CSP_Accelerator_Mix'!$E$2:$E$573,F62)</f>
        <v/>
      </c>
      <c r="J62" s="28">
        <f>H62*I62</f>
        <v/>
      </c>
      <c r="K62" s="8">
        <f>IFERROR(INDEX('02x_Accelerator_Catalog'!$D$2:$D$11,MATCH(F62,'02x_Accelerator_Catalog'!$B$2:$B$11,0)),"")</f>
        <v/>
      </c>
      <c r="L62" s="7">
        <f>IF(K62&gt;0,J62*1000/K62,"")</f>
        <v/>
      </c>
      <c r="M62" s="5" t="inlineStr">
        <is>
          <t>epoch_csp_chip_quantity_latest</t>
        </is>
      </c>
      <c r="N62" s="5" t="inlineStr">
        <is>
          <t>Extensible long-format output: add a new accelerator row in 02b and map it in 02x_Accelerator_Catalog to extend this table.</t>
        </is>
      </c>
    </row>
    <row r="63">
      <c r="A63" s="5">
        <f>B63&amp;"|"&amp;C63&amp;"|"&amp;D63&amp;"|"&amp;E63&amp;"|"&amp;F63</f>
        <v/>
      </c>
      <c r="B63" s="5" t="inlineStr">
        <is>
          <t>Base</t>
        </is>
      </c>
      <c r="C63" s="5" t="inlineStr">
        <is>
          <t>Anthropic</t>
        </is>
      </c>
      <c r="D63" s="5" t="n">
        <v>2029</v>
      </c>
      <c r="E63" s="5" t="inlineStr">
        <is>
          <t>Amazon</t>
        </is>
      </c>
      <c r="F63" s="5" t="inlineStr">
        <is>
          <t>Trainium</t>
        </is>
      </c>
      <c r="G63" s="5">
        <f>IFERROR(INDEX('02x_Accelerator_Catalog'!$C$2:$C$11,MATCH(F63,'02x_Accelerator_Catalog'!$B$2:$B$11,0)),"purpose_or_unbenchmarked")</f>
        <v/>
      </c>
      <c r="H63" s="28">
        <f>SUMIFS('02c_AI_CSP_Normalized'!$N$2:$N$305,'02c_AI_CSP_Normalized'!$B$2:$B$305,B63,'02c_AI_CSP_Normalized'!$C$2:$C$305,C63,'02c_AI_CSP_Normalized'!$D$2:$D$305,D63,'02c_AI_CSP_Normalized'!$E$2:$E$305,E63)</f>
        <v/>
      </c>
      <c r="I63" s="6">
        <f>SUMIFS('02b_CSP_Accelerator_Mix'!$H$2:$H$573,'02b_CSP_Accelerator_Mix'!$B$2:$B$573,B63,'02b_CSP_Accelerator_Mix'!$C$2:$C$573,E63,'02b_CSP_Accelerator_Mix'!$D$2:$D$573,D63,'02b_CSP_Accelerator_Mix'!$E$2:$E$573,F63)</f>
        <v/>
      </c>
      <c r="J63" s="28">
        <f>H63*I63</f>
        <v/>
      </c>
      <c r="K63" s="8">
        <f>IFERROR(INDEX('02x_Accelerator_Catalog'!$D$2:$D$11,MATCH(F63,'02x_Accelerator_Catalog'!$B$2:$B$11,0)),"")</f>
        <v/>
      </c>
      <c r="L63" s="7">
        <f>IF(K63&gt;0,J63*1000/K63,"")</f>
        <v/>
      </c>
      <c r="M63" s="5" t="inlineStr">
        <is>
          <t>epoch_csp_chip_quantity_latest</t>
        </is>
      </c>
      <c r="N63" s="5" t="inlineStr">
        <is>
          <t>Extensible long-format output: add a new accelerator row in 02b and map it in 02x_Accelerator_Catalog to extend this table.</t>
        </is>
      </c>
    </row>
    <row r="64">
      <c r="A64" s="5">
        <f>B64&amp;"|"&amp;C64&amp;"|"&amp;D64&amp;"|"&amp;E64&amp;"|"&amp;F64</f>
        <v/>
      </c>
      <c r="B64" s="5" t="inlineStr">
        <is>
          <t>Bull</t>
        </is>
      </c>
      <c r="C64" s="5" t="inlineStr">
        <is>
          <t>Anthropic</t>
        </is>
      </c>
      <c r="D64" s="5" t="n">
        <v>2029</v>
      </c>
      <c r="E64" s="5" t="inlineStr">
        <is>
          <t>Amazon</t>
        </is>
      </c>
      <c r="F64" s="5" t="inlineStr">
        <is>
          <t>B200/B300 class</t>
        </is>
      </c>
      <c r="G64" s="5">
        <f>IFERROR(INDEX('02x_Accelerator_Catalog'!$C$2:$C$11,MATCH(F64,'02x_Accelerator_Catalog'!$B$2:$B$11,0)),"purpose_or_unbenchmarked")</f>
        <v/>
      </c>
      <c r="H64" s="28">
        <f>SUMIFS('02c_AI_CSP_Normalized'!$N$2:$N$305,'02c_AI_CSP_Normalized'!$B$2:$B$305,B64,'02c_AI_CSP_Normalized'!$C$2:$C$305,C64,'02c_AI_CSP_Normalized'!$D$2:$D$305,D64,'02c_AI_CSP_Normalized'!$E$2:$E$305,E64)</f>
        <v/>
      </c>
      <c r="I64" s="6">
        <f>SUMIFS('02b_CSP_Accelerator_Mix'!$H$2:$H$573,'02b_CSP_Accelerator_Mix'!$B$2:$B$573,B64,'02b_CSP_Accelerator_Mix'!$C$2:$C$573,E64,'02b_CSP_Accelerator_Mix'!$D$2:$D$573,D64,'02b_CSP_Accelerator_Mix'!$E$2:$E$573,F64)</f>
        <v/>
      </c>
      <c r="J64" s="28">
        <f>H64*I64</f>
        <v/>
      </c>
      <c r="K64" s="8">
        <f>IFERROR(INDEX('02x_Accelerator_Catalog'!$D$2:$D$11,MATCH(F64,'02x_Accelerator_Catalog'!$B$2:$B$11,0)),"")</f>
        <v/>
      </c>
      <c r="L64" s="7">
        <f>IF(K64&gt;0,J64*1000/K64,"")</f>
        <v/>
      </c>
      <c r="M64" s="5" t="inlineStr">
        <is>
          <t>epoch_csp_chip_quantity_latest</t>
        </is>
      </c>
      <c r="N64" s="5" t="inlineStr">
        <is>
          <t>Extensible long-format output: add a new accelerator row in 02b and map it in 02x_Accelerator_Catalog to extend this table.</t>
        </is>
      </c>
    </row>
    <row r="65">
      <c r="A65" s="5">
        <f>B65&amp;"|"&amp;C65&amp;"|"&amp;D65&amp;"|"&amp;E65&amp;"|"&amp;F65</f>
        <v/>
      </c>
      <c r="B65" s="5" t="inlineStr">
        <is>
          <t>Bull</t>
        </is>
      </c>
      <c r="C65" s="5" t="inlineStr">
        <is>
          <t>Anthropic</t>
        </is>
      </c>
      <c r="D65" s="5" t="n">
        <v>2029</v>
      </c>
      <c r="E65" s="5" t="inlineStr">
        <is>
          <t>Amazon</t>
        </is>
      </c>
      <c r="F65" s="5" t="inlineStr">
        <is>
          <t>H100/H200/A100 class</t>
        </is>
      </c>
      <c r="G65" s="5">
        <f>IFERROR(INDEX('02x_Accelerator_Catalog'!$C$2:$C$11,MATCH(F65,'02x_Accelerator_Catalog'!$B$2:$B$11,0)),"purpose_or_unbenchmarked")</f>
        <v/>
      </c>
      <c r="H65" s="28">
        <f>SUMIFS('02c_AI_CSP_Normalized'!$N$2:$N$305,'02c_AI_CSP_Normalized'!$B$2:$B$305,B65,'02c_AI_CSP_Normalized'!$C$2:$C$305,C65,'02c_AI_CSP_Normalized'!$D$2:$D$305,D65,'02c_AI_CSP_Normalized'!$E$2:$E$305,E65)</f>
        <v/>
      </c>
      <c r="I65" s="6">
        <f>SUMIFS('02b_CSP_Accelerator_Mix'!$H$2:$H$573,'02b_CSP_Accelerator_Mix'!$B$2:$B$573,B65,'02b_CSP_Accelerator_Mix'!$C$2:$C$573,E65,'02b_CSP_Accelerator_Mix'!$D$2:$D$573,D65,'02b_CSP_Accelerator_Mix'!$E$2:$E$573,F65)</f>
        <v/>
      </c>
      <c r="J65" s="28">
        <f>H65*I65</f>
        <v/>
      </c>
      <c r="K65" s="8">
        <f>IFERROR(INDEX('02x_Accelerator_Catalog'!$D$2:$D$11,MATCH(F65,'02x_Accelerator_Catalog'!$B$2:$B$11,0)),"")</f>
        <v/>
      </c>
      <c r="L65" s="7">
        <f>IF(K65&gt;0,J65*1000/K65,"")</f>
        <v/>
      </c>
      <c r="M65" s="5" t="inlineStr">
        <is>
          <t>epoch_csp_chip_quantity_latest</t>
        </is>
      </c>
      <c r="N65" s="5" t="inlineStr">
        <is>
          <t>Extensible long-format output: add a new accelerator row in 02b and map it in 02x_Accelerator_Catalog to extend this table.</t>
        </is>
      </c>
    </row>
    <row r="66">
      <c r="A66" s="5">
        <f>B66&amp;"|"&amp;C66&amp;"|"&amp;D66&amp;"|"&amp;E66&amp;"|"&amp;F66</f>
        <v/>
      </c>
      <c r="B66" s="5" t="inlineStr">
        <is>
          <t>Bull</t>
        </is>
      </c>
      <c r="C66" s="5" t="inlineStr">
        <is>
          <t>Anthropic</t>
        </is>
      </c>
      <c r="D66" s="5" t="n">
        <v>2029</v>
      </c>
      <c r="E66" s="5" t="inlineStr">
        <is>
          <t>Amazon</t>
        </is>
      </c>
      <c r="F66" s="5" t="inlineStr">
        <is>
          <t>Trainium</t>
        </is>
      </c>
      <c r="G66" s="5">
        <f>IFERROR(INDEX('02x_Accelerator_Catalog'!$C$2:$C$11,MATCH(F66,'02x_Accelerator_Catalog'!$B$2:$B$11,0)),"purpose_or_unbenchmarked")</f>
        <v/>
      </c>
      <c r="H66" s="28">
        <f>SUMIFS('02c_AI_CSP_Normalized'!$N$2:$N$305,'02c_AI_CSP_Normalized'!$B$2:$B$305,B66,'02c_AI_CSP_Normalized'!$C$2:$C$305,C66,'02c_AI_CSP_Normalized'!$D$2:$D$305,D66,'02c_AI_CSP_Normalized'!$E$2:$E$305,E66)</f>
        <v/>
      </c>
      <c r="I66" s="6">
        <f>SUMIFS('02b_CSP_Accelerator_Mix'!$H$2:$H$573,'02b_CSP_Accelerator_Mix'!$B$2:$B$573,B66,'02b_CSP_Accelerator_Mix'!$C$2:$C$573,E66,'02b_CSP_Accelerator_Mix'!$D$2:$D$573,D66,'02b_CSP_Accelerator_Mix'!$E$2:$E$573,F66)</f>
        <v/>
      </c>
      <c r="J66" s="28">
        <f>H66*I66</f>
        <v/>
      </c>
      <c r="K66" s="8">
        <f>IFERROR(INDEX('02x_Accelerator_Catalog'!$D$2:$D$11,MATCH(F66,'02x_Accelerator_Catalog'!$B$2:$B$11,0)),"")</f>
        <v/>
      </c>
      <c r="L66" s="7">
        <f>IF(K66&gt;0,J66*1000/K66,"")</f>
        <v/>
      </c>
      <c r="M66" s="5" t="inlineStr">
        <is>
          <t>epoch_csp_chip_quantity_latest</t>
        </is>
      </c>
      <c r="N66" s="5" t="inlineStr">
        <is>
          <t>Extensible long-format output: add a new accelerator row in 02b and map it in 02x_Accelerator_Catalog to extend this table.</t>
        </is>
      </c>
    </row>
    <row r="67">
      <c r="A67" s="5">
        <f>B67&amp;"|"&amp;C67&amp;"|"&amp;D67&amp;"|"&amp;E67&amp;"|"&amp;F67</f>
        <v/>
      </c>
      <c r="B67" s="5" t="inlineStr">
        <is>
          <t>Grid-Constrained / Efficiency-Upside</t>
        </is>
      </c>
      <c r="C67" s="5" t="inlineStr">
        <is>
          <t>Anthropic</t>
        </is>
      </c>
      <c r="D67" s="5" t="n">
        <v>2029</v>
      </c>
      <c r="E67" s="5" t="inlineStr">
        <is>
          <t>Amazon</t>
        </is>
      </c>
      <c r="F67" s="5" t="inlineStr">
        <is>
          <t>B200/B300 class</t>
        </is>
      </c>
      <c r="G67" s="5">
        <f>IFERROR(INDEX('02x_Accelerator_Catalog'!$C$2:$C$11,MATCH(F67,'02x_Accelerator_Catalog'!$B$2:$B$11,0)),"purpose_or_unbenchmarked")</f>
        <v/>
      </c>
      <c r="H67" s="28">
        <f>SUMIFS('02c_AI_CSP_Normalized'!$N$2:$N$305,'02c_AI_CSP_Normalized'!$B$2:$B$305,B67,'02c_AI_CSP_Normalized'!$C$2:$C$305,C67,'02c_AI_CSP_Normalized'!$D$2:$D$305,D67,'02c_AI_CSP_Normalized'!$E$2:$E$305,E67)</f>
        <v/>
      </c>
      <c r="I67" s="6">
        <f>SUMIFS('02b_CSP_Accelerator_Mix'!$H$2:$H$573,'02b_CSP_Accelerator_Mix'!$B$2:$B$573,B67,'02b_CSP_Accelerator_Mix'!$C$2:$C$573,E67,'02b_CSP_Accelerator_Mix'!$D$2:$D$573,D67,'02b_CSP_Accelerator_Mix'!$E$2:$E$573,F67)</f>
        <v/>
      </c>
      <c r="J67" s="28">
        <f>H67*I67</f>
        <v/>
      </c>
      <c r="K67" s="8">
        <f>IFERROR(INDEX('02x_Accelerator_Catalog'!$D$2:$D$11,MATCH(F67,'02x_Accelerator_Catalog'!$B$2:$B$11,0)),"")</f>
        <v/>
      </c>
      <c r="L67" s="7">
        <f>IF(K67&gt;0,J67*1000/K67,"")</f>
        <v/>
      </c>
      <c r="M67" s="5" t="inlineStr">
        <is>
          <t>epoch_csp_chip_quantity_latest</t>
        </is>
      </c>
      <c r="N67" s="5" t="inlineStr">
        <is>
          <t>Extensible long-format output: add a new accelerator row in 02b and map it in 02x_Accelerator_Catalog to extend this table.</t>
        </is>
      </c>
    </row>
    <row r="68">
      <c r="A68" s="5">
        <f>B68&amp;"|"&amp;C68&amp;"|"&amp;D68&amp;"|"&amp;E68&amp;"|"&amp;F68</f>
        <v/>
      </c>
      <c r="B68" s="5" t="inlineStr">
        <is>
          <t>Grid-Constrained / Efficiency-Upside</t>
        </is>
      </c>
      <c r="C68" s="5" t="inlineStr">
        <is>
          <t>Anthropic</t>
        </is>
      </c>
      <c r="D68" s="5" t="n">
        <v>2029</v>
      </c>
      <c r="E68" s="5" t="inlineStr">
        <is>
          <t>Amazon</t>
        </is>
      </c>
      <c r="F68" s="5" t="inlineStr">
        <is>
          <t>H100/H200/A100 class</t>
        </is>
      </c>
      <c r="G68" s="5">
        <f>IFERROR(INDEX('02x_Accelerator_Catalog'!$C$2:$C$11,MATCH(F68,'02x_Accelerator_Catalog'!$B$2:$B$11,0)),"purpose_or_unbenchmarked")</f>
        <v/>
      </c>
      <c r="H68" s="28">
        <f>SUMIFS('02c_AI_CSP_Normalized'!$N$2:$N$305,'02c_AI_CSP_Normalized'!$B$2:$B$305,B68,'02c_AI_CSP_Normalized'!$C$2:$C$305,C68,'02c_AI_CSP_Normalized'!$D$2:$D$305,D68,'02c_AI_CSP_Normalized'!$E$2:$E$305,E68)</f>
        <v/>
      </c>
      <c r="I68" s="6">
        <f>SUMIFS('02b_CSP_Accelerator_Mix'!$H$2:$H$573,'02b_CSP_Accelerator_Mix'!$B$2:$B$573,B68,'02b_CSP_Accelerator_Mix'!$C$2:$C$573,E68,'02b_CSP_Accelerator_Mix'!$D$2:$D$573,D68,'02b_CSP_Accelerator_Mix'!$E$2:$E$573,F68)</f>
        <v/>
      </c>
      <c r="J68" s="28">
        <f>H68*I68</f>
        <v/>
      </c>
      <c r="K68" s="8">
        <f>IFERROR(INDEX('02x_Accelerator_Catalog'!$D$2:$D$11,MATCH(F68,'02x_Accelerator_Catalog'!$B$2:$B$11,0)),"")</f>
        <v/>
      </c>
      <c r="L68" s="7">
        <f>IF(K68&gt;0,J68*1000/K68,"")</f>
        <v/>
      </c>
      <c r="M68" s="5" t="inlineStr">
        <is>
          <t>epoch_csp_chip_quantity_latest</t>
        </is>
      </c>
      <c r="N68" s="5" t="inlineStr">
        <is>
          <t>Extensible long-format output: add a new accelerator row in 02b and map it in 02x_Accelerator_Catalog to extend this table.</t>
        </is>
      </c>
    </row>
    <row r="69">
      <c r="A69" s="5">
        <f>B69&amp;"|"&amp;C69&amp;"|"&amp;D69&amp;"|"&amp;E69&amp;"|"&amp;F69</f>
        <v/>
      </c>
      <c r="B69" s="5" t="inlineStr">
        <is>
          <t>Grid-Constrained / Efficiency-Upside</t>
        </is>
      </c>
      <c r="C69" s="5" t="inlineStr">
        <is>
          <t>Anthropic</t>
        </is>
      </c>
      <c r="D69" s="5" t="n">
        <v>2029</v>
      </c>
      <c r="E69" s="5" t="inlineStr">
        <is>
          <t>Amazon</t>
        </is>
      </c>
      <c r="F69" s="5" t="inlineStr">
        <is>
          <t>Trainium</t>
        </is>
      </c>
      <c r="G69" s="5">
        <f>IFERROR(INDEX('02x_Accelerator_Catalog'!$C$2:$C$11,MATCH(F69,'02x_Accelerator_Catalog'!$B$2:$B$11,0)),"purpose_or_unbenchmarked")</f>
        <v/>
      </c>
      <c r="H69" s="28">
        <f>SUMIFS('02c_AI_CSP_Normalized'!$N$2:$N$305,'02c_AI_CSP_Normalized'!$B$2:$B$305,B69,'02c_AI_CSP_Normalized'!$C$2:$C$305,C69,'02c_AI_CSP_Normalized'!$D$2:$D$305,D69,'02c_AI_CSP_Normalized'!$E$2:$E$305,E69)</f>
        <v/>
      </c>
      <c r="I69" s="6">
        <f>SUMIFS('02b_CSP_Accelerator_Mix'!$H$2:$H$573,'02b_CSP_Accelerator_Mix'!$B$2:$B$573,B69,'02b_CSP_Accelerator_Mix'!$C$2:$C$573,E69,'02b_CSP_Accelerator_Mix'!$D$2:$D$573,D69,'02b_CSP_Accelerator_Mix'!$E$2:$E$573,F69)</f>
        <v/>
      </c>
      <c r="J69" s="28">
        <f>H69*I69</f>
        <v/>
      </c>
      <c r="K69" s="8">
        <f>IFERROR(INDEX('02x_Accelerator_Catalog'!$D$2:$D$11,MATCH(F69,'02x_Accelerator_Catalog'!$B$2:$B$11,0)),"")</f>
        <v/>
      </c>
      <c r="L69" s="7">
        <f>IF(K69&gt;0,J69*1000/K69,"")</f>
        <v/>
      </c>
      <c r="M69" s="5" t="inlineStr">
        <is>
          <t>epoch_csp_chip_quantity_latest</t>
        </is>
      </c>
      <c r="N69" s="5" t="inlineStr">
        <is>
          <t>Extensible long-format output: add a new accelerator row in 02b and map it in 02x_Accelerator_Catalog to extend this table.</t>
        </is>
      </c>
    </row>
    <row r="70">
      <c r="A70" s="5">
        <f>B70&amp;"|"&amp;C70&amp;"|"&amp;D70&amp;"|"&amp;E70&amp;"|"&amp;F70</f>
        <v/>
      </c>
      <c r="B70" s="5" t="inlineStr">
        <is>
          <t>Bear</t>
        </is>
      </c>
      <c r="C70" s="5" t="inlineStr">
        <is>
          <t>Anthropic</t>
        </is>
      </c>
      <c r="D70" s="5" t="n">
        <v>2030</v>
      </c>
      <c r="E70" s="5" t="inlineStr">
        <is>
          <t>Amazon</t>
        </is>
      </c>
      <c r="F70" s="5" t="inlineStr">
        <is>
          <t>B200/B300 class</t>
        </is>
      </c>
      <c r="G70" s="5">
        <f>IFERROR(INDEX('02x_Accelerator_Catalog'!$C$2:$C$11,MATCH(F70,'02x_Accelerator_Catalog'!$B$2:$B$11,0)),"purpose_or_unbenchmarked")</f>
        <v/>
      </c>
      <c r="H70" s="28">
        <f>SUMIFS('02c_AI_CSP_Normalized'!$N$2:$N$305,'02c_AI_CSP_Normalized'!$B$2:$B$305,B70,'02c_AI_CSP_Normalized'!$C$2:$C$305,C70,'02c_AI_CSP_Normalized'!$D$2:$D$305,D70,'02c_AI_CSP_Normalized'!$E$2:$E$305,E70)</f>
        <v/>
      </c>
      <c r="I70" s="6">
        <f>SUMIFS('02b_CSP_Accelerator_Mix'!$H$2:$H$573,'02b_CSP_Accelerator_Mix'!$B$2:$B$573,B70,'02b_CSP_Accelerator_Mix'!$C$2:$C$573,E70,'02b_CSP_Accelerator_Mix'!$D$2:$D$573,D70,'02b_CSP_Accelerator_Mix'!$E$2:$E$573,F70)</f>
        <v/>
      </c>
      <c r="J70" s="28">
        <f>H70*I70</f>
        <v/>
      </c>
      <c r="K70" s="8">
        <f>IFERROR(INDEX('02x_Accelerator_Catalog'!$D$2:$D$11,MATCH(F70,'02x_Accelerator_Catalog'!$B$2:$B$11,0)),"")</f>
        <v/>
      </c>
      <c r="L70" s="7">
        <f>IF(K70&gt;0,J70*1000/K70,"")</f>
        <v/>
      </c>
      <c r="M70" s="5" t="inlineStr">
        <is>
          <t>epoch_csp_chip_quantity_latest</t>
        </is>
      </c>
      <c r="N70" s="5" t="inlineStr">
        <is>
          <t>Extensible long-format output: add a new accelerator row in 02b and map it in 02x_Accelerator_Catalog to extend this table.</t>
        </is>
      </c>
    </row>
    <row r="71">
      <c r="A71" s="5">
        <f>B71&amp;"|"&amp;C71&amp;"|"&amp;D71&amp;"|"&amp;E71&amp;"|"&amp;F71</f>
        <v/>
      </c>
      <c r="B71" s="5" t="inlineStr">
        <is>
          <t>Bear</t>
        </is>
      </c>
      <c r="C71" s="5" t="inlineStr">
        <is>
          <t>Anthropic</t>
        </is>
      </c>
      <c r="D71" s="5" t="n">
        <v>2030</v>
      </c>
      <c r="E71" s="5" t="inlineStr">
        <is>
          <t>Amazon</t>
        </is>
      </c>
      <c r="F71" s="5" t="inlineStr">
        <is>
          <t>H100/H200/A100 class</t>
        </is>
      </c>
      <c r="G71" s="5">
        <f>IFERROR(INDEX('02x_Accelerator_Catalog'!$C$2:$C$11,MATCH(F71,'02x_Accelerator_Catalog'!$B$2:$B$11,0)),"purpose_or_unbenchmarked")</f>
        <v/>
      </c>
      <c r="H71" s="28">
        <f>SUMIFS('02c_AI_CSP_Normalized'!$N$2:$N$305,'02c_AI_CSP_Normalized'!$B$2:$B$305,B71,'02c_AI_CSP_Normalized'!$C$2:$C$305,C71,'02c_AI_CSP_Normalized'!$D$2:$D$305,D71,'02c_AI_CSP_Normalized'!$E$2:$E$305,E71)</f>
        <v/>
      </c>
      <c r="I71" s="6">
        <f>SUMIFS('02b_CSP_Accelerator_Mix'!$H$2:$H$573,'02b_CSP_Accelerator_Mix'!$B$2:$B$573,B71,'02b_CSP_Accelerator_Mix'!$C$2:$C$573,E71,'02b_CSP_Accelerator_Mix'!$D$2:$D$573,D71,'02b_CSP_Accelerator_Mix'!$E$2:$E$573,F71)</f>
        <v/>
      </c>
      <c r="J71" s="28">
        <f>H71*I71</f>
        <v/>
      </c>
      <c r="K71" s="8">
        <f>IFERROR(INDEX('02x_Accelerator_Catalog'!$D$2:$D$11,MATCH(F71,'02x_Accelerator_Catalog'!$B$2:$B$11,0)),"")</f>
        <v/>
      </c>
      <c r="L71" s="7">
        <f>IF(K71&gt;0,J71*1000/K71,"")</f>
        <v/>
      </c>
      <c r="M71" s="5" t="inlineStr">
        <is>
          <t>epoch_csp_chip_quantity_latest</t>
        </is>
      </c>
      <c r="N71" s="5" t="inlineStr">
        <is>
          <t>Extensible long-format output: add a new accelerator row in 02b and map it in 02x_Accelerator_Catalog to extend this table.</t>
        </is>
      </c>
    </row>
    <row r="72">
      <c r="A72" s="5">
        <f>B72&amp;"|"&amp;C72&amp;"|"&amp;D72&amp;"|"&amp;E72&amp;"|"&amp;F72</f>
        <v/>
      </c>
      <c r="B72" s="5" t="inlineStr">
        <is>
          <t>Bear</t>
        </is>
      </c>
      <c r="C72" s="5" t="inlineStr">
        <is>
          <t>Anthropic</t>
        </is>
      </c>
      <c r="D72" s="5" t="n">
        <v>2030</v>
      </c>
      <c r="E72" s="5" t="inlineStr">
        <is>
          <t>Amazon</t>
        </is>
      </c>
      <c r="F72" s="5" t="inlineStr">
        <is>
          <t>Trainium</t>
        </is>
      </c>
      <c r="G72" s="5">
        <f>IFERROR(INDEX('02x_Accelerator_Catalog'!$C$2:$C$11,MATCH(F72,'02x_Accelerator_Catalog'!$B$2:$B$11,0)),"purpose_or_unbenchmarked")</f>
        <v/>
      </c>
      <c r="H72" s="28">
        <f>SUMIFS('02c_AI_CSP_Normalized'!$N$2:$N$305,'02c_AI_CSP_Normalized'!$B$2:$B$305,B72,'02c_AI_CSP_Normalized'!$C$2:$C$305,C72,'02c_AI_CSP_Normalized'!$D$2:$D$305,D72,'02c_AI_CSP_Normalized'!$E$2:$E$305,E72)</f>
        <v/>
      </c>
      <c r="I72" s="6">
        <f>SUMIFS('02b_CSP_Accelerator_Mix'!$H$2:$H$573,'02b_CSP_Accelerator_Mix'!$B$2:$B$573,B72,'02b_CSP_Accelerator_Mix'!$C$2:$C$573,E72,'02b_CSP_Accelerator_Mix'!$D$2:$D$573,D72,'02b_CSP_Accelerator_Mix'!$E$2:$E$573,F72)</f>
        <v/>
      </c>
      <c r="J72" s="28">
        <f>H72*I72</f>
        <v/>
      </c>
      <c r="K72" s="8">
        <f>IFERROR(INDEX('02x_Accelerator_Catalog'!$D$2:$D$11,MATCH(F72,'02x_Accelerator_Catalog'!$B$2:$B$11,0)),"")</f>
        <v/>
      </c>
      <c r="L72" s="7">
        <f>IF(K72&gt;0,J72*1000/K72,"")</f>
        <v/>
      </c>
      <c r="M72" s="5" t="inlineStr">
        <is>
          <t>epoch_csp_chip_quantity_latest</t>
        </is>
      </c>
      <c r="N72" s="5" t="inlineStr">
        <is>
          <t>Extensible long-format output: add a new accelerator row in 02b and map it in 02x_Accelerator_Catalog to extend this table.</t>
        </is>
      </c>
    </row>
    <row r="73">
      <c r="A73" s="5">
        <f>B73&amp;"|"&amp;C73&amp;"|"&amp;D73&amp;"|"&amp;E73&amp;"|"&amp;F73</f>
        <v/>
      </c>
      <c r="B73" s="5" t="inlineStr">
        <is>
          <t>Base</t>
        </is>
      </c>
      <c r="C73" s="5" t="inlineStr">
        <is>
          <t>Anthropic</t>
        </is>
      </c>
      <c r="D73" s="5" t="n">
        <v>2030</v>
      </c>
      <c r="E73" s="5" t="inlineStr">
        <is>
          <t>Amazon</t>
        </is>
      </c>
      <c r="F73" s="5" t="inlineStr">
        <is>
          <t>B200/B300 class</t>
        </is>
      </c>
      <c r="G73" s="5">
        <f>IFERROR(INDEX('02x_Accelerator_Catalog'!$C$2:$C$11,MATCH(F73,'02x_Accelerator_Catalog'!$B$2:$B$11,0)),"purpose_or_unbenchmarked")</f>
        <v/>
      </c>
      <c r="H73" s="28">
        <f>SUMIFS('02c_AI_CSP_Normalized'!$N$2:$N$305,'02c_AI_CSP_Normalized'!$B$2:$B$305,B73,'02c_AI_CSP_Normalized'!$C$2:$C$305,C73,'02c_AI_CSP_Normalized'!$D$2:$D$305,D73,'02c_AI_CSP_Normalized'!$E$2:$E$305,E73)</f>
        <v/>
      </c>
      <c r="I73" s="6">
        <f>SUMIFS('02b_CSP_Accelerator_Mix'!$H$2:$H$573,'02b_CSP_Accelerator_Mix'!$B$2:$B$573,B73,'02b_CSP_Accelerator_Mix'!$C$2:$C$573,E73,'02b_CSP_Accelerator_Mix'!$D$2:$D$573,D73,'02b_CSP_Accelerator_Mix'!$E$2:$E$573,F73)</f>
        <v/>
      </c>
      <c r="J73" s="28">
        <f>H73*I73</f>
        <v/>
      </c>
      <c r="K73" s="8">
        <f>IFERROR(INDEX('02x_Accelerator_Catalog'!$D$2:$D$11,MATCH(F73,'02x_Accelerator_Catalog'!$B$2:$B$11,0)),"")</f>
        <v/>
      </c>
      <c r="L73" s="7">
        <f>IF(K73&gt;0,J73*1000/K73,"")</f>
        <v/>
      </c>
      <c r="M73" s="5" t="inlineStr">
        <is>
          <t>epoch_csp_chip_quantity_latest</t>
        </is>
      </c>
      <c r="N73" s="5" t="inlineStr">
        <is>
          <t>Extensible long-format output: add a new accelerator row in 02b and map it in 02x_Accelerator_Catalog to extend this table.</t>
        </is>
      </c>
    </row>
    <row r="74">
      <c r="A74" s="5">
        <f>B74&amp;"|"&amp;C74&amp;"|"&amp;D74&amp;"|"&amp;E74&amp;"|"&amp;F74</f>
        <v/>
      </c>
      <c r="B74" s="5" t="inlineStr">
        <is>
          <t>Base</t>
        </is>
      </c>
      <c r="C74" s="5" t="inlineStr">
        <is>
          <t>Anthropic</t>
        </is>
      </c>
      <c r="D74" s="5" t="n">
        <v>2030</v>
      </c>
      <c r="E74" s="5" t="inlineStr">
        <is>
          <t>Amazon</t>
        </is>
      </c>
      <c r="F74" s="5" t="inlineStr">
        <is>
          <t>H100/H200/A100 class</t>
        </is>
      </c>
      <c r="G74" s="5">
        <f>IFERROR(INDEX('02x_Accelerator_Catalog'!$C$2:$C$11,MATCH(F74,'02x_Accelerator_Catalog'!$B$2:$B$11,0)),"purpose_or_unbenchmarked")</f>
        <v/>
      </c>
      <c r="H74" s="28">
        <f>SUMIFS('02c_AI_CSP_Normalized'!$N$2:$N$305,'02c_AI_CSP_Normalized'!$B$2:$B$305,B74,'02c_AI_CSP_Normalized'!$C$2:$C$305,C74,'02c_AI_CSP_Normalized'!$D$2:$D$305,D74,'02c_AI_CSP_Normalized'!$E$2:$E$305,E74)</f>
        <v/>
      </c>
      <c r="I74" s="6">
        <f>SUMIFS('02b_CSP_Accelerator_Mix'!$H$2:$H$573,'02b_CSP_Accelerator_Mix'!$B$2:$B$573,B74,'02b_CSP_Accelerator_Mix'!$C$2:$C$573,E74,'02b_CSP_Accelerator_Mix'!$D$2:$D$573,D74,'02b_CSP_Accelerator_Mix'!$E$2:$E$573,F74)</f>
        <v/>
      </c>
      <c r="J74" s="28">
        <f>H74*I74</f>
        <v/>
      </c>
      <c r="K74" s="8">
        <f>IFERROR(INDEX('02x_Accelerator_Catalog'!$D$2:$D$11,MATCH(F74,'02x_Accelerator_Catalog'!$B$2:$B$11,0)),"")</f>
        <v/>
      </c>
      <c r="L74" s="7">
        <f>IF(K74&gt;0,J74*1000/K74,"")</f>
        <v/>
      </c>
      <c r="M74" s="5" t="inlineStr">
        <is>
          <t>epoch_csp_chip_quantity_latest</t>
        </is>
      </c>
      <c r="N74" s="5" t="inlineStr">
        <is>
          <t>Extensible long-format output: add a new accelerator row in 02b and map it in 02x_Accelerator_Catalog to extend this table.</t>
        </is>
      </c>
    </row>
    <row r="75">
      <c r="A75" s="5">
        <f>B75&amp;"|"&amp;C75&amp;"|"&amp;D75&amp;"|"&amp;E75&amp;"|"&amp;F75</f>
        <v/>
      </c>
      <c r="B75" s="5" t="inlineStr">
        <is>
          <t>Base</t>
        </is>
      </c>
      <c r="C75" s="5" t="inlineStr">
        <is>
          <t>Anthropic</t>
        </is>
      </c>
      <c r="D75" s="5" t="n">
        <v>2030</v>
      </c>
      <c r="E75" s="5" t="inlineStr">
        <is>
          <t>Amazon</t>
        </is>
      </c>
      <c r="F75" s="5" t="inlineStr">
        <is>
          <t>Trainium</t>
        </is>
      </c>
      <c r="G75" s="5">
        <f>IFERROR(INDEX('02x_Accelerator_Catalog'!$C$2:$C$11,MATCH(F75,'02x_Accelerator_Catalog'!$B$2:$B$11,0)),"purpose_or_unbenchmarked")</f>
        <v/>
      </c>
      <c r="H75" s="28">
        <f>SUMIFS('02c_AI_CSP_Normalized'!$N$2:$N$305,'02c_AI_CSP_Normalized'!$B$2:$B$305,B75,'02c_AI_CSP_Normalized'!$C$2:$C$305,C75,'02c_AI_CSP_Normalized'!$D$2:$D$305,D75,'02c_AI_CSP_Normalized'!$E$2:$E$305,E75)</f>
        <v/>
      </c>
      <c r="I75" s="6">
        <f>SUMIFS('02b_CSP_Accelerator_Mix'!$H$2:$H$573,'02b_CSP_Accelerator_Mix'!$B$2:$B$573,B75,'02b_CSP_Accelerator_Mix'!$C$2:$C$573,E75,'02b_CSP_Accelerator_Mix'!$D$2:$D$573,D75,'02b_CSP_Accelerator_Mix'!$E$2:$E$573,F75)</f>
        <v/>
      </c>
      <c r="J75" s="28">
        <f>H75*I75</f>
        <v/>
      </c>
      <c r="K75" s="8">
        <f>IFERROR(INDEX('02x_Accelerator_Catalog'!$D$2:$D$11,MATCH(F75,'02x_Accelerator_Catalog'!$B$2:$B$11,0)),"")</f>
        <v/>
      </c>
      <c r="L75" s="7">
        <f>IF(K75&gt;0,J75*1000/K75,"")</f>
        <v/>
      </c>
      <c r="M75" s="5" t="inlineStr">
        <is>
          <t>epoch_csp_chip_quantity_latest</t>
        </is>
      </c>
      <c r="N75" s="5" t="inlineStr">
        <is>
          <t>Extensible long-format output: add a new accelerator row in 02b and map it in 02x_Accelerator_Catalog to extend this table.</t>
        </is>
      </c>
    </row>
    <row r="76">
      <c r="A76" s="5">
        <f>B76&amp;"|"&amp;C76&amp;"|"&amp;D76&amp;"|"&amp;E76&amp;"|"&amp;F76</f>
        <v/>
      </c>
      <c r="B76" s="5" t="inlineStr">
        <is>
          <t>Bull</t>
        </is>
      </c>
      <c r="C76" s="5" t="inlineStr">
        <is>
          <t>Anthropic</t>
        </is>
      </c>
      <c r="D76" s="5" t="n">
        <v>2030</v>
      </c>
      <c r="E76" s="5" t="inlineStr">
        <is>
          <t>Amazon</t>
        </is>
      </c>
      <c r="F76" s="5" t="inlineStr">
        <is>
          <t>B200/B300 class</t>
        </is>
      </c>
      <c r="G76" s="5">
        <f>IFERROR(INDEX('02x_Accelerator_Catalog'!$C$2:$C$11,MATCH(F76,'02x_Accelerator_Catalog'!$B$2:$B$11,0)),"purpose_or_unbenchmarked")</f>
        <v/>
      </c>
      <c r="H76" s="28">
        <f>SUMIFS('02c_AI_CSP_Normalized'!$N$2:$N$305,'02c_AI_CSP_Normalized'!$B$2:$B$305,B76,'02c_AI_CSP_Normalized'!$C$2:$C$305,C76,'02c_AI_CSP_Normalized'!$D$2:$D$305,D76,'02c_AI_CSP_Normalized'!$E$2:$E$305,E76)</f>
        <v/>
      </c>
      <c r="I76" s="6">
        <f>SUMIFS('02b_CSP_Accelerator_Mix'!$H$2:$H$573,'02b_CSP_Accelerator_Mix'!$B$2:$B$573,B76,'02b_CSP_Accelerator_Mix'!$C$2:$C$573,E76,'02b_CSP_Accelerator_Mix'!$D$2:$D$573,D76,'02b_CSP_Accelerator_Mix'!$E$2:$E$573,F76)</f>
        <v/>
      </c>
      <c r="J76" s="28">
        <f>H76*I76</f>
        <v/>
      </c>
      <c r="K76" s="8">
        <f>IFERROR(INDEX('02x_Accelerator_Catalog'!$D$2:$D$11,MATCH(F76,'02x_Accelerator_Catalog'!$B$2:$B$11,0)),"")</f>
        <v/>
      </c>
      <c r="L76" s="7">
        <f>IF(K76&gt;0,J76*1000/K76,"")</f>
        <v/>
      </c>
      <c r="M76" s="5" t="inlineStr">
        <is>
          <t>epoch_csp_chip_quantity_latest</t>
        </is>
      </c>
      <c r="N76" s="5" t="inlineStr">
        <is>
          <t>Extensible long-format output: add a new accelerator row in 02b and map it in 02x_Accelerator_Catalog to extend this table.</t>
        </is>
      </c>
    </row>
    <row r="77">
      <c r="A77" s="5">
        <f>B77&amp;"|"&amp;C77&amp;"|"&amp;D77&amp;"|"&amp;E77&amp;"|"&amp;F77</f>
        <v/>
      </c>
      <c r="B77" s="5" t="inlineStr">
        <is>
          <t>Bull</t>
        </is>
      </c>
      <c r="C77" s="5" t="inlineStr">
        <is>
          <t>Anthropic</t>
        </is>
      </c>
      <c r="D77" s="5" t="n">
        <v>2030</v>
      </c>
      <c r="E77" s="5" t="inlineStr">
        <is>
          <t>Amazon</t>
        </is>
      </c>
      <c r="F77" s="5" t="inlineStr">
        <is>
          <t>H100/H200/A100 class</t>
        </is>
      </c>
      <c r="G77" s="5">
        <f>IFERROR(INDEX('02x_Accelerator_Catalog'!$C$2:$C$11,MATCH(F77,'02x_Accelerator_Catalog'!$B$2:$B$11,0)),"purpose_or_unbenchmarked")</f>
        <v/>
      </c>
      <c r="H77" s="28">
        <f>SUMIFS('02c_AI_CSP_Normalized'!$N$2:$N$305,'02c_AI_CSP_Normalized'!$B$2:$B$305,B77,'02c_AI_CSP_Normalized'!$C$2:$C$305,C77,'02c_AI_CSP_Normalized'!$D$2:$D$305,D77,'02c_AI_CSP_Normalized'!$E$2:$E$305,E77)</f>
        <v/>
      </c>
      <c r="I77" s="6">
        <f>SUMIFS('02b_CSP_Accelerator_Mix'!$H$2:$H$573,'02b_CSP_Accelerator_Mix'!$B$2:$B$573,B77,'02b_CSP_Accelerator_Mix'!$C$2:$C$573,E77,'02b_CSP_Accelerator_Mix'!$D$2:$D$573,D77,'02b_CSP_Accelerator_Mix'!$E$2:$E$573,F77)</f>
        <v/>
      </c>
      <c r="J77" s="28">
        <f>H77*I77</f>
        <v/>
      </c>
      <c r="K77" s="8">
        <f>IFERROR(INDEX('02x_Accelerator_Catalog'!$D$2:$D$11,MATCH(F77,'02x_Accelerator_Catalog'!$B$2:$B$11,0)),"")</f>
        <v/>
      </c>
      <c r="L77" s="7">
        <f>IF(K77&gt;0,J77*1000/K77,"")</f>
        <v/>
      </c>
      <c r="M77" s="5" t="inlineStr">
        <is>
          <t>epoch_csp_chip_quantity_latest</t>
        </is>
      </c>
      <c r="N77" s="5" t="inlineStr">
        <is>
          <t>Extensible long-format output: add a new accelerator row in 02b and map it in 02x_Accelerator_Catalog to extend this table.</t>
        </is>
      </c>
    </row>
    <row r="78">
      <c r="A78" s="5">
        <f>B78&amp;"|"&amp;C78&amp;"|"&amp;D78&amp;"|"&amp;E78&amp;"|"&amp;F78</f>
        <v/>
      </c>
      <c r="B78" s="5" t="inlineStr">
        <is>
          <t>Bull</t>
        </is>
      </c>
      <c r="C78" s="5" t="inlineStr">
        <is>
          <t>Anthropic</t>
        </is>
      </c>
      <c r="D78" s="5" t="n">
        <v>2030</v>
      </c>
      <c r="E78" s="5" t="inlineStr">
        <is>
          <t>Amazon</t>
        </is>
      </c>
      <c r="F78" s="5" t="inlineStr">
        <is>
          <t>Trainium</t>
        </is>
      </c>
      <c r="G78" s="5">
        <f>IFERROR(INDEX('02x_Accelerator_Catalog'!$C$2:$C$11,MATCH(F78,'02x_Accelerator_Catalog'!$B$2:$B$11,0)),"purpose_or_unbenchmarked")</f>
        <v/>
      </c>
      <c r="H78" s="28">
        <f>SUMIFS('02c_AI_CSP_Normalized'!$N$2:$N$305,'02c_AI_CSP_Normalized'!$B$2:$B$305,B78,'02c_AI_CSP_Normalized'!$C$2:$C$305,C78,'02c_AI_CSP_Normalized'!$D$2:$D$305,D78,'02c_AI_CSP_Normalized'!$E$2:$E$305,E78)</f>
        <v/>
      </c>
      <c r="I78" s="6">
        <f>SUMIFS('02b_CSP_Accelerator_Mix'!$H$2:$H$573,'02b_CSP_Accelerator_Mix'!$B$2:$B$573,B78,'02b_CSP_Accelerator_Mix'!$C$2:$C$573,E78,'02b_CSP_Accelerator_Mix'!$D$2:$D$573,D78,'02b_CSP_Accelerator_Mix'!$E$2:$E$573,F78)</f>
        <v/>
      </c>
      <c r="J78" s="28">
        <f>H78*I78</f>
        <v/>
      </c>
      <c r="K78" s="8">
        <f>IFERROR(INDEX('02x_Accelerator_Catalog'!$D$2:$D$11,MATCH(F78,'02x_Accelerator_Catalog'!$B$2:$B$11,0)),"")</f>
        <v/>
      </c>
      <c r="L78" s="7">
        <f>IF(K78&gt;0,J78*1000/K78,"")</f>
        <v/>
      </c>
      <c r="M78" s="5" t="inlineStr">
        <is>
          <t>epoch_csp_chip_quantity_latest</t>
        </is>
      </c>
      <c r="N78" s="5" t="inlineStr">
        <is>
          <t>Extensible long-format output: add a new accelerator row in 02b and map it in 02x_Accelerator_Catalog to extend this table.</t>
        </is>
      </c>
    </row>
    <row r="79">
      <c r="A79" s="5">
        <f>B79&amp;"|"&amp;C79&amp;"|"&amp;D79&amp;"|"&amp;E79&amp;"|"&amp;F79</f>
        <v/>
      </c>
      <c r="B79" s="5" t="inlineStr">
        <is>
          <t>Grid-Constrained / Efficiency-Upside</t>
        </is>
      </c>
      <c r="C79" s="5" t="inlineStr">
        <is>
          <t>Anthropic</t>
        </is>
      </c>
      <c r="D79" s="5" t="n">
        <v>2030</v>
      </c>
      <c r="E79" s="5" t="inlineStr">
        <is>
          <t>Amazon</t>
        </is>
      </c>
      <c r="F79" s="5" t="inlineStr">
        <is>
          <t>B200/B300 class</t>
        </is>
      </c>
      <c r="G79" s="5">
        <f>IFERROR(INDEX('02x_Accelerator_Catalog'!$C$2:$C$11,MATCH(F79,'02x_Accelerator_Catalog'!$B$2:$B$11,0)),"purpose_or_unbenchmarked")</f>
        <v/>
      </c>
      <c r="H79" s="28">
        <f>SUMIFS('02c_AI_CSP_Normalized'!$N$2:$N$305,'02c_AI_CSP_Normalized'!$B$2:$B$305,B79,'02c_AI_CSP_Normalized'!$C$2:$C$305,C79,'02c_AI_CSP_Normalized'!$D$2:$D$305,D79,'02c_AI_CSP_Normalized'!$E$2:$E$305,E79)</f>
        <v/>
      </c>
      <c r="I79" s="6">
        <f>SUMIFS('02b_CSP_Accelerator_Mix'!$H$2:$H$573,'02b_CSP_Accelerator_Mix'!$B$2:$B$573,B79,'02b_CSP_Accelerator_Mix'!$C$2:$C$573,E79,'02b_CSP_Accelerator_Mix'!$D$2:$D$573,D79,'02b_CSP_Accelerator_Mix'!$E$2:$E$573,F79)</f>
        <v/>
      </c>
      <c r="J79" s="28">
        <f>H79*I79</f>
        <v/>
      </c>
      <c r="K79" s="8">
        <f>IFERROR(INDEX('02x_Accelerator_Catalog'!$D$2:$D$11,MATCH(F79,'02x_Accelerator_Catalog'!$B$2:$B$11,0)),"")</f>
        <v/>
      </c>
      <c r="L79" s="7">
        <f>IF(K79&gt;0,J79*1000/K79,"")</f>
        <v/>
      </c>
      <c r="M79" s="5" t="inlineStr">
        <is>
          <t>epoch_csp_chip_quantity_latest</t>
        </is>
      </c>
      <c r="N79" s="5" t="inlineStr">
        <is>
          <t>Extensible long-format output: add a new accelerator row in 02b and map it in 02x_Accelerator_Catalog to extend this table.</t>
        </is>
      </c>
    </row>
    <row r="80">
      <c r="A80" s="5">
        <f>B80&amp;"|"&amp;C80&amp;"|"&amp;D80&amp;"|"&amp;E80&amp;"|"&amp;F80</f>
        <v/>
      </c>
      <c r="B80" s="5" t="inlineStr">
        <is>
          <t>Grid-Constrained / Efficiency-Upside</t>
        </is>
      </c>
      <c r="C80" s="5" t="inlineStr">
        <is>
          <t>Anthropic</t>
        </is>
      </c>
      <c r="D80" s="5" t="n">
        <v>2030</v>
      </c>
      <c r="E80" s="5" t="inlineStr">
        <is>
          <t>Amazon</t>
        </is>
      </c>
      <c r="F80" s="5" t="inlineStr">
        <is>
          <t>H100/H200/A100 class</t>
        </is>
      </c>
      <c r="G80" s="5">
        <f>IFERROR(INDEX('02x_Accelerator_Catalog'!$C$2:$C$11,MATCH(F80,'02x_Accelerator_Catalog'!$B$2:$B$11,0)),"purpose_or_unbenchmarked")</f>
        <v/>
      </c>
      <c r="H80" s="28">
        <f>SUMIFS('02c_AI_CSP_Normalized'!$N$2:$N$305,'02c_AI_CSP_Normalized'!$B$2:$B$305,B80,'02c_AI_CSP_Normalized'!$C$2:$C$305,C80,'02c_AI_CSP_Normalized'!$D$2:$D$305,D80,'02c_AI_CSP_Normalized'!$E$2:$E$305,E80)</f>
        <v/>
      </c>
      <c r="I80" s="6">
        <f>SUMIFS('02b_CSP_Accelerator_Mix'!$H$2:$H$573,'02b_CSP_Accelerator_Mix'!$B$2:$B$573,B80,'02b_CSP_Accelerator_Mix'!$C$2:$C$573,E80,'02b_CSP_Accelerator_Mix'!$D$2:$D$573,D80,'02b_CSP_Accelerator_Mix'!$E$2:$E$573,F80)</f>
        <v/>
      </c>
      <c r="J80" s="28">
        <f>H80*I80</f>
        <v/>
      </c>
      <c r="K80" s="8">
        <f>IFERROR(INDEX('02x_Accelerator_Catalog'!$D$2:$D$11,MATCH(F80,'02x_Accelerator_Catalog'!$B$2:$B$11,0)),"")</f>
        <v/>
      </c>
      <c r="L80" s="7">
        <f>IF(K80&gt;0,J80*1000/K80,"")</f>
        <v/>
      </c>
      <c r="M80" s="5" t="inlineStr">
        <is>
          <t>epoch_csp_chip_quantity_latest</t>
        </is>
      </c>
      <c r="N80" s="5" t="inlineStr">
        <is>
          <t>Extensible long-format output: add a new accelerator row in 02b and map it in 02x_Accelerator_Catalog to extend this table.</t>
        </is>
      </c>
    </row>
    <row r="81">
      <c r="A81" s="5">
        <f>B81&amp;"|"&amp;C81&amp;"|"&amp;D81&amp;"|"&amp;E81&amp;"|"&amp;F81</f>
        <v/>
      </c>
      <c r="B81" s="5" t="inlineStr">
        <is>
          <t>Grid-Constrained / Efficiency-Upside</t>
        </is>
      </c>
      <c r="C81" s="5" t="inlineStr">
        <is>
          <t>Anthropic</t>
        </is>
      </c>
      <c r="D81" s="5" t="n">
        <v>2030</v>
      </c>
      <c r="E81" s="5" t="inlineStr">
        <is>
          <t>Amazon</t>
        </is>
      </c>
      <c r="F81" s="5" t="inlineStr">
        <is>
          <t>Trainium</t>
        </is>
      </c>
      <c r="G81" s="5">
        <f>IFERROR(INDEX('02x_Accelerator_Catalog'!$C$2:$C$11,MATCH(F81,'02x_Accelerator_Catalog'!$B$2:$B$11,0)),"purpose_or_unbenchmarked")</f>
        <v/>
      </c>
      <c r="H81" s="28">
        <f>SUMIFS('02c_AI_CSP_Normalized'!$N$2:$N$305,'02c_AI_CSP_Normalized'!$B$2:$B$305,B81,'02c_AI_CSP_Normalized'!$C$2:$C$305,C81,'02c_AI_CSP_Normalized'!$D$2:$D$305,D81,'02c_AI_CSP_Normalized'!$E$2:$E$305,E81)</f>
        <v/>
      </c>
      <c r="I81" s="6">
        <f>SUMIFS('02b_CSP_Accelerator_Mix'!$H$2:$H$573,'02b_CSP_Accelerator_Mix'!$B$2:$B$573,B81,'02b_CSP_Accelerator_Mix'!$C$2:$C$573,E81,'02b_CSP_Accelerator_Mix'!$D$2:$D$573,D81,'02b_CSP_Accelerator_Mix'!$E$2:$E$573,F81)</f>
        <v/>
      </c>
      <c r="J81" s="28">
        <f>H81*I81</f>
        <v/>
      </c>
      <c r="K81" s="8">
        <f>IFERROR(INDEX('02x_Accelerator_Catalog'!$D$2:$D$11,MATCH(F81,'02x_Accelerator_Catalog'!$B$2:$B$11,0)),"")</f>
        <v/>
      </c>
      <c r="L81" s="7">
        <f>IF(K81&gt;0,J81*1000/K81,"")</f>
        <v/>
      </c>
      <c r="M81" s="5" t="inlineStr">
        <is>
          <t>epoch_csp_chip_quantity_latest</t>
        </is>
      </c>
      <c r="N81" s="5" t="inlineStr">
        <is>
          <t>Extensible long-format output: add a new accelerator row in 02b and map it in 02x_Accelerator_Catalog to extend this table.</t>
        </is>
      </c>
    </row>
    <row r="82">
      <c r="A82" s="5">
        <f>B82&amp;"|"&amp;C82&amp;"|"&amp;D82&amp;"|"&amp;E82&amp;"|"&amp;F82</f>
        <v/>
      </c>
      <c r="B82" s="5" t="inlineStr">
        <is>
          <t>Bear</t>
        </is>
      </c>
      <c r="C82" s="5" t="inlineStr">
        <is>
          <t>Anthropic</t>
        </is>
      </c>
      <c r="D82" s="5" t="n">
        <v>2026</v>
      </c>
      <c r="E82" s="5" t="inlineStr">
        <is>
          <t>Fluidstack</t>
        </is>
      </c>
      <c r="F82" s="5" t="inlineStr">
        <is>
          <t>TPU</t>
        </is>
      </c>
      <c r="G82" s="5">
        <f>IFERROR(INDEX('02x_Accelerator_Catalog'!$C$2:$C$11,MATCH(F82,'02x_Accelerator_Catalog'!$B$2:$B$11,0)),"purpose_or_unbenchmarked")</f>
        <v/>
      </c>
      <c r="H82" s="28">
        <f>SUMIFS('02c_AI_CSP_Normalized'!$N$2:$N$305,'02c_AI_CSP_Normalized'!$B$2:$B$305,B82,'02c_AI_CSP_Normalized'!$C$2:$C$305,C82,'02c_AI_CSP_Normalized'!$D$2:$D$305,D82,'02c_AI_CSP_Normalized'!$E$2:$E$305,E82)</f>
        <v/>
      </c>
      <c r="I82" s="6">
        <f>SUMIFS('02b_CSP_Accelerator_Mix'!$H$2:$H$573,'02b_CSP_Accelerator_Mix'!$B$2:$B$573,B82,'02b_CSP_Accelerator_Mix'!$C$2:$C$573,E82,'02b_CSP_Accelerator_Mix'!$D$2:$D$573,D82,'02b_CSP_Accelerator_Mix'!$E$2:$E$573,F82)</f>
        <v/>
      </c>
      <c r="J82" s="28">
        <f>H82*I82</f>
        <v/>
      </c>
      <c r="K82" s="8">
        <f>IFERROR(INDEX('02x_Accelerator_Catalog'!$D$2:$D$11,MATCH(F82,'02x_Accelerator_Catalog'!$B$2:$B$11,0)),"")</f>
        <v/>
      </c>
      <c r="L82" s="7">
        <f>IF(K82&gt;0,J82*1000/K82,"")</f>
        <v/>
      </c>
      <c r="M82" s="5" t="inlineStr">
        <is>
          <t>epoch_csp_chip_quantity_latest</t>
        </is>
      </c>
      <c r="N82" s="5" t="inlineStr">
        <is>
          <t>Extensible long-format output: add a new accelerator row in 02b and map it in 02x_Accelerator_Catalog to extend this table.</t>
        </is>
      </c>
    </row>
    <row r="83">
      <c r="A83" s="5">
        <f>B83&amp;"|"&amp;C83&amp;"|"&amp;D83&amp;"|"&amp;E83&amp;"|"&amp;F83</f>
        <v/>
      </c>
      <c r="B83" s="5" t="inlineStr">
        <is>
          <t>Base</t>
        </is>
      </c>
      <c r="C83" s="5" t="inlineStr">
        <is>
          <t>Anthropic</t>
        </is>
      </c>
      <c r="D83" s="5" t="n">
        <v>2026</v>
      </c>
      <c r="E83" s="5" t="inlineStr">
        <is>
          <t>Fluidstack</t>
        </is>
      </c>
      <c r="F83" s="5" t="inlineStr">
        <is>
          <t>TPU</t>
        </is>
      </c>
      <c r="G83" s="5">
        <f>IFERROR(INDEX('02x_Accelerator_Catalog'!$C$2:$C$11,MATCH(F83,'02x_Accelerator_Catalog'!$B$2:$B$11,0)),"purpose_or_unbenchmarked")</f>
        <v/>
      </c>
      <c r="H83" s="28">
        <f>SUMIFS('02c_AI_CSP_Normalized'!$N$2:$N$305,'02c_AI_CSP_Normalized'!$B$2:$B$305,B83,'02c_AI_CSP_Normalized'!$C$2:$C$305,C83,'02c_AI_CSP_Normalized'!$D$2:$D$305,D83,'02c_AI_CSP_Normalized'!$E$2:$E$305,E83)</f>
        <v/>
      </c>
      <c r="I83" s="6">
        <f>SUMIFS('02b_CSP_Accelerator_Mix'!$H$2:$H$573,'02b_CSP_Accelerator_Mix'!$B$2:$B$573,B83,'02b_CSP_Accelerator_Mix'!$C$2:$C$573,E83,'02b_CSP_Accelerator_Mix'!$D$2:$D$573,D83,'02b_CSP_Accelerator_Mix'!$E$2:$E$573,F83)</f>
        <v/>
      </c>
      <c r="J83" s="28">
        <f>H83*I83</f>
        <v/>
      </c>
      <c r="K83" s="8">
        <f>IFERROR(INDEX('02x_Accelerator_Catalog'!$D$2:$D$11,MATCH(F83,'02x_Accelerator_Catalog'!$B$2:$B$11,0)),"")</f>
        <v/>
      </c>
      <c r="L83" s="7">
        <f>IF(K83&gt;0,J83*1000/K83,"")</f>
        <v/>
      </c>
      <c r="M83" s="5" t="inlineStr">
        <is>
          <t>epoch_csp_chip_quantity_latest</t>
        </is>
      </c>
      <c r="N83" s="5" t="inlineStr">
        <is>
          <t>Extensible long-format output: add a new accelerator row in 02b and map it in 02x_Accelerator_Catalog to extend this table.</t>
        </is>
      </c>
    </row>
    <row r="84">
      <c r="A84" s="5">
        <f>B84&amp;"|"&amp;C84&amp;"|"&amp;D84&amp;"|"&amp;E84&amp;"|"&amp;F84</f>
        <v/>
      </c>
      <c r="B84" s="5" t="inlineStr">
        <is>
          <t>Bull</t>
        </is>
      </c>
      <c r="C84" s="5" t="inlineStr">
        <is>
          <t>Anthropic</t>
        </is>
      </c>
      <c r="D84" s="5" t="n">
        <v>2026</v>
      </c>
      <c r="E84" s="5" t="inlineStr">
        <is>
          <t>Fluidstack</t>
        </is>
      </c>
      <c r="F84" s="5" t="inlineStr">
        <is>
          <t>TPU</t>
        </is>
      </c>
      <c r="G84" s="5">
        <f>IFERROR(INDEX('02x_Accelerator_Catalog'!$C$2:$C$11,MATCH(F84,'02x_Accelerator_Catalog'!$B$2:$B$11,0)),"purpose_or_unbenchmarked")</f>
        <v/>
      </c>
      <c r="H84" s="28">
        <f>SUMIFS('02c_AI_CSP_Normalized'!$N$2:$N$305,'02c_AI_CSP_Normalized'!$B$2:$B$305,B84,'02c_AI_CSP_Normalized'!$C$2:$C$305,C84,'02c_AI_CSP_Normalized'!$D$2:$D$305,D84,'02c_AI_CSP_Normalized'!$E$2:$E$305,E84)</f>
        <v/>
      </c>
      <c r="I84" s="6">
        <f>SUMIFS('02b_CSP_Accelerator_Mix'!$H$2:$H$573,'02b_CSP_Accelerator_Mix'!$B$2:$B$573,B84,'02b_CSP_Accelerator_Mix'!$C$2:$C$573,E84,'02b_CSP_Accelerator_Mix'!$D$2:$D$573,D84,'02b_CSP_Accelerator_Mix'!$E$2:$E$573,F84)</f>
        <v/>
      </c>
      <c r="J84" s="28">
        <f>H84*I84</f>
        <v/>
      </c>
      <c r="K84" s="8">
        <f>IFERROR(INDEX('02x_Accelerator_Catalog'!$D$2:$D$11,MATCH(F84,'02x_Accelerator_Catalog'!$B$2:$B$11,0)),"")</f>
        <v/>
      </c>
      <c r="L84" s="7">
        <f>IF(K84&gt;0,J84*1000/K84,"")</f>
        <v/>
      </c>
      <c r="M84" s="5" t="inlineStr">
        <is>
          <t>epoch_csp_chip_quantity_latest</t>
        </is>
      </c>
      <c r="N84" s="5" t="inlineStr">
        <is>
          <t>Extensible long-format output: add a new accelerator row in 02b and map it in 02x_Accelerator_Catalog to extend this table.</t>
        </is>
      </c>
    </row>
    <row r="85">
      <c r="A85" s="5">
        <f>B85&amp;"|"&amp;C85&amp;"|"&amp;D85&amp;"|"&amp;E85&amp;"|"&amp;F85</f>
        <v/>
      </c>
      <c r="B85" s="5" t="inlineStr">
        <is>
          <t>Grid-Constrained / Efficiency-Upside</t>
        </is>
      </c>
      <c r="C85" s="5" t="inlineStr">
        <is>
          <t>Anthropic</t>
        </is>
      </c>
      <c r="D85" s="5" t="n">
        <v>2026</v>
      </c>
      <c r="E85" s="5" t="inlineStr">
        <is>
          <t>Fluidstack</t>
        </is>
      </c>
      <c r="F85" s="5" t="inlineStr">
        <is>
          <t>TPU</t>
        </is>
      </c>
      <c r="G85" s="5">
        <f>IFERROR(INDEX('02x_Accelerator_Catalog'!$C$2:$C$11,MATCH(F85,'02x_Accelerator_Catalog'!$B$2:$B$11,0)),"purpose_or_unbenchmarked")</f>
        <v/>
      </c>
      <c r="H85" s="28">
        <f>SUMIFS('02c_AI_CSP_Normalized'!$N$2:$N$305,'02c_AI_CSP_Normalized'!$B$2:$B$305,B85,'02c_AI_CSP_Normalized'!$C$2:$C$305,C85,'02c_AI_CSP_Normalized'!$D$2:$D$305,D85,'02c_AI_CSP_Normalized'!$E$2:$E$305,E85)</f>
        <v/>
      </c>
      <c r="I85" s="6">
        <f>SUMIFS('02b_CSP_Accelerator_Mix'!$H$2:$H$573,'02b_CSP_Accelerator_Mix'!$B$2:$B$573,B85,'02b_CSP_Accelerator_Mix'!$C$2:$C$573,E85,'02b_CSP_Accelerator_Mix'!$D$2:$D$573,D85,'02b_CSP_Accelerator_Mix'!$E$2:$E$573,F85)</f>
        <v/>
      </c>
      <c r="J85" s="28">
        <f>H85*I85</f>
        <v/>
      </c>
      <c r="K85" s="8">
        <f>IFERROR(INDEX('02x_Accelerator_Catalog'!$D$2:$D$11,MATCH(F85,'02x_Accelerator_Catalog'!$B$2:$B$11,0)),"")</f>
        <v/>
      </c>
      <c r="L85" s="7">
        <f>IF(K85&gt;0,J85*1000/K85,"")</f>
        <v/>
      </c>
      <c r="M85" s="5" t="inlineStr">
        <is>
          <t>epoch_csp_chip_quantity_latest</t>
        </is>
      </c>
      <c r="N85" s="5" t="inlineStr">
        <is>
          <t>Extensible long-format output: add a new accelerator row in 02b and map it in 02x_Accelerator_Catalog to extend this table.</t>
        </is>
      </c>
    </row>
    <row r="86">
      <c r="A86" s="5">
        <f>B86&amp;"|"&amp;C86&amp;"|"&amp;D86&amp;"|"&amp;E86&amp;"|"&amp;F86</f>
        <v/>
      </c>
      <c r="B86" s="5" t="inlineStr">
        <is>
          <t>Bear</t>
        </is>
      </c>
      <c r="C86" s="5" t="inlineStr">
        <is>
          <t>Anthropic</t>
        </is>
      </c>
      <c r="D86" s="5" t="n">
        <v>2027</v>
      </c>
      <c r="E86" s="5" t="inlineStr">
        <is>
          <t>Fluidstack</t>
        </is>
      </c>
      <c r="F86" s="5" t="inlineStr">
        <is>
          <t>TPU</t>
        </is>
      </c>
      <c r="G86" s="5">
        <f>IFERROR(INDEX('02x_Accelerator_Catalog'!$C$2:$C$11,MATCH(F86,'02x_Accelerator_Catalog'!$B$2:$B$11,0)),"purpose_or_unbenchmarked")</f>
        <v/>
      </c>
      <c r="H86" s="28">
        <f>SUMIFS('02c_AI_CSP_Normalized'!$N$2:$N$305,'02c_AI_CSP_Normalized'!$B$2:$B$305,B86,'02c_AI_CSP_Normalized'!$C$2:$C$305,C86,'02c_AI_CSP_Normalized'!$D$2:$D$305,D86,'02c_AI_CSP_Normalized'!$E$2:$E$305,E86)</f>
        <v/>
      </c>
      <c r="I86" s="6">
        <f>SUMIFS('02b_CSP_Accelerator_Mix'!$H$2:$H$573,'02b_CSP_Accelerator_Mix'!$B$2:$B$573,B86,'02b_CSP_Accelerator_Mix'!$C$2:$C$573,E86,'02b_CSP_Accelerator_Mix'!$D$2:$D$573,D86,'02b_CSP_Accelerator_Mix'!$E$2:$E$573,F86)</f>
        <v/>
      </c>
      <c r="J86" s="28">
        <f>H86*I86</f>
        <v/>
      </c>
      <c r="K86" s="8">
        <f>IFERROR(INDEX('02x_Accelerator_Catalog'!$D$2:$D$11,MATCH(F86,'02x_Accelerator_Catalog'!$B$2:$B$11,0)),"")</f>
        <v/>
      </c>
      <c r="L86" s="7">
        <f>IF(K86&gt;0,J86*1000/K86,"")</f>
        <v/>
      </c>
      <c r="M86" s="5" t="inlineStr">
        <is>
          <t>epoch_csp_chip_quantity_latest</t>
        </is>
      </c>
      <c r="N86" s="5" t="inlineStr">
        <is>
          <t>Extensible long-format output: add a new accelerator row in 02b and map it in 02x_Accelerator_Catalog to extend this table.</t>
        </is>
      </c>
    </row>
    <row r="87">
      <c r="A87" s="5">
        <f>B87&amp;"|"&amp;C87&amp;"|"&amp;D87&amp;"|"&amp;E87&amp;"|"&amp;F87</f>
        <v/>
      </c>
      <c r="B87" s="5" t="inlineStr">
        <is>
          <t>Base</t>
        </is>
      </c>
      <c r="C87" s="5" t="inlineStr">
        <is>
          <t>Anthropic</t>
        </is>
      </c>
      <c r="D87" s="5" t="n">
        <v>2027</v>
      </c>
      <c r="E87" s="5" t="inlineStr">
        <is>
          <t>Fluidstack</t>
        </is>
      </c>
      <c r="F87" s="5" t="inlineStr">
        <is>
          <t>TPU</t>
        </is>
      </c>
      <c r="G87" s="5">
        <f>IFERROR(INDEX('02x_Accelerator_Catalog'!$C$2:$C$11,MATCH(F87,'02x_Accelerator_Catalog'!$B$2:$B$11,0)),"purpose_or_unbenchmarked")</f>
        <v/>
      </c>
      <c r="H87" s="28">
        <f>SUMIFS('02c_AI_CSP_Normalized'!$N$2:$N$305,'02c_AI_CSP_Normalized'!$B$2:$B$305,B87,'02c_AI_CSP_Normalized'!$C$2:$C$305,C87,'02c_AI_CSP_Normalized'!$D$2:$D$305,D87,'02c_AI_CSP_Normalized'!$E$2:$E$305,E87)</f>
        <v/>
      </c>
      <c r="I87" s="6">
        <f>SUMIFS('02b_CSP_Accelerator_Mix'!$H$2:$H$573,'02b_CSP_Accelerator_Mix'!$B$2:$B$573,B87,'02b_CSP_Accelerator_Mix'!$C$2:$C$573,E87,'02b_CSP_Accelerator_Mix'!$D$2:$D$573,D87,'02b_CSP_Accelerator_Mix'!$E$2:$E$573,F87)</f>
        <v/>
      </c>
      <c r="J87" s="28">
        <f>H87*I87</f>
        <v/>
      </c>
      <c r="K87" s="8">
        <f>IFERROR(INDEX('02x_Accelerator_Catalog'!$D$2:$D$11,MATCH(F87,'02x_Accelerator_Catalog'!$B$2:$B$11,0)),"")</f>
        <v/>
      </c>
      <c r="L87" s="7">
        <f>IF(K87&gt;0,J87*1000/K87,"")</f>
        <v/>
      </c>
      <c r="M87" s="5" t="inlineStr">
        <is>
          <t>epoch_csp_chip_quantity_latest</t>
        </is>
      </c>
      <c r="N87" s="5" t="inlineStr">
        <is>
          <t>Extensible long-format output: add a new accelerator row in 02b and map it in 02x_Accelerator_Catalog to extend this table.</t>
        </is>
      </c>
    </row>
    <row r="88">
      <c r="A88" s="5">
        <f>B88&amp;"|"&amp;C88&amp;"|"&amp;D88&amp;"|"&amp;E88&amp;"|"&amp;F88</f>
        <v/>
      </c>
      <c r="B88" s="5" t="inlineStr">
        <is>
          <t>Bull</t>
        </is>
      </c>
      <c r="C88" s="5" t="inlineStr">
        <is>
          <t>Anthropic</t>
        </is>
      </c>
      <c r="D88" s="5" t="n">
        <v>2027</v>
      </c>
      <c r="E88" s="5" t="inlineStr">
        <is>
          <t>Fluidstack</t>
        </is>
      </c>
      <c r="F88" s="5" t="inlineStr">
        <is>
          <t>TPU</t>
        </is>
      </c>
      <c r="G88" s="5">
        <f>IFERROR(INDEX('02x_Accelerator_Catalog'!$C$2:$C$11,MATCH(F88,'02x_Accelerator_Catalog'!$B$2:$B$11,0)),"purpose_or_unbenchmarked")</f>
        <v/>
      </c>
      <c r="H88" s="28">
        <f>SUMIFS('02c_AI_CSP_Normalized'!$N$2:$N$305,'02c_AI_CSP_Normalized'!$B$2:$B$305,B88,'02c_AI_CSP_Normalized'!$C$2:$C$305,C88,'02c_AI_CSP_Normalized'!$D$2:$D$305,D88,'02c_AI_CSP_Normalized'!$E$2:$E$305,E88)</f>
        <v/>
      </c>
      <c r="I88" s="6">
        <f>SUMIFS('02b_CSP_Accelerator_Mix'!$H$2:$H$573,'02b_CSP_Accelerator_Mix'!$B$2:$B$573,B88,'02b_CSP_Accelerator_Mix'!$C$2:$C$573,E88,'02b_CSP_Accelerator_Mix'!$D$2:$D$573,D88,'02b_CSP_Accelerator_Mix'!$E$2:$E$573,F88)</f>
        <v/>
      </c>
      <c r="J88" s="28">
        <f>H88*I88</f>
        <v/>
      </c>
      <c r="K88" s="8">
        <f>IFERROR(INDEX('02x_Accelerator_Catalog'!$D$2:$D$11,MATCH(F88,'02x_Accelerator_Catalog'!$B$2:$B$11,0)),"")</f>
        <v/>
      </c>
      <c r="L88" s="7">
        <f>IF(K88&gt;0,J88*1000/K88,"")</f>
        <v/>
      </c>
      <c r="M88" s="5" t="inlineStr">
        <is>
          <t>epoch_csp_chip_quantity_latest</t>
        </is>
      </c>
      <c r="N88" s="5" t="inlineStr">
        <is>
          <t>Extensible long-format output: add a new accelerator row in 02b and map it in 02x_Accelerator_Catalog to extend this table.</t>
        </is>
      </c>
    </row>
    <row r="89">
      <c r="A89" s="5">
        <f>B89&amp;"|"&amp;C89&amp;"|"&amp;D89&amp;"|"&amp;E89&amp;"|"&amp;F89</f>
        <v/>
      </c>
      <c r="B89" s="5" t="inlineStr">
        <is>
          <t>Grid-Constrained / Efficiency-Upside</t>
        </is>
      </c>
      <c r="C89" s="5" t="inlineStr">
        <is>
          <t>Anthropic</t>
        </is>
      </c>
      <c r="D89" s="5" t="n">
        <v>2027</v>
      </c>
      <c r="E89" s="5" t="inlineStr">
        <is>
          <t>Fluidstack</t>
        </is>
      </c>
      <c r="F89" s="5" t="inlineStr">
        <is>
          <t>TPU</t>
        </is>
      </c>
      <c r="G89" s="5">
        <f>IFERROR(INDEX('02x_Accelerator_Catalog'!$C$2:$C$11,MATCH(F89,'02x_Accelerator_Catalog'!$B$2:$B$11,0)),"purpose_or_unbenchmarked")</f>
        <v/>
      </c>
      <c r="H89" s="28">
        <f>SUMIFS('02c_AI_CSP_Normalized'!$N$2:$N$305,'02c_AI_CSP_Normalized'!$B$2:$B$305,B89,'02c_AI_CSP_Normalized'!$C$2:$C$305,C89,'02c_AI_CSP_Normalized'!$D$2:$D$305,D89,'02c_AI_CSP_Normalized'!$E$2:$E$305,E89)</f>
        <v/>
      </c>
      <c r="I89" s="6">
        <f>SUMIFS('02b_CSP_Accelerator_Mix'!$H$2:$H$573,'02b_CSP_Accelerator_Mix'!$B$2:$B$573,B89,'02b_CSP_Accelerator_Mix'!$C$2:$C$573,E89,'02b_CSP_Accelerator_Mix'!$D$2:$D$573,D89,'02b_CSP_Accelerator_Mix'!$E$2:$E$573,F89)</f>
        <v/>
      </c>
      <c r="J89" s="28">
        <f>H89*I89</f>
        <v/>
      </c>
      <c r="K89" s="8">
        <f>IFERROR(INDEX('02x_Accelerator_Catalog'!$D$2:$D$11,MATCH(F89,'02x_Accelerator_Catalog'!$B$2:$B$11,0)),"")</f>
        <v/>
      </c>
      <c r="L89" s="7">
        <f>IF(K89&gt;0,J89*1000/K89,"")</f>
        <v/>
      </c>
      <c r="M89" s="5" t="inlineStr">
        <is>
          <t>epoch_csp_chip_quantity_latest</t>
        </is>
      </c>
      <c r="N89" s="5" t="inlineStr">
        <is>
          <t>Extensible long-format output: add a new accelerator row in 02b and map it in 02x_Accelerator_Catalog to extend this table.</t>
        </is>
      </c>
    </row>
    <row r="90">
      <c r="A90" s="5">
        <f>B90&amp;"|"&amp;C90&amp;"|"&amp;D90&amp;"|"&amp;E90&amp;"|"&amp;F90</f>
        <v/>
      </c>
      <c r="B90" s="5" t="inlineStr">
        <is>
          <t>Bear</t>
        </is>
      </c>
      <c r="C90" s="5" t="inlineStr">
        <is>
          <t>Anthropic</t>
        </is>
      </c>
      <c r="D90" s="5" t="n">
        <v>2028</v>
      </c>
      <c r="E90" s="5" t="inlineStr">
        <is>
          <t>Fluidstack</t>
        </is>
      </c>
      <c r="F90" s="5" t="inlineStr">
        <is>
          <t>TPU</t>
        </is>
      </c>
      <c r="G90" s="5">
        <f>IFERROR(INDEX('02x_Accelerator_Catalog'!$C$2:$C$11,MATCH(F90,'02x_Accelerator_Catalog'!$B$2:$B$11,0)),"purpose_or_unbenchmarked")</f>
        <v/>
      </c>
      <c r="H90" s="28">
        <f>SUMIFS('02c_AI_CSP_Normalized'!$N$2:$N$305,'02c_AI_CSP_Normalized'!$B$2:$B$305,B90,'02c_AI_CSP_Normalized'!$C$2:$C$305,C90,'02c_AI_CSP_Normalized'!$D$2:$D$305,D90,'02c_AI_CSP_Normalized'!$E$2:$E$305,E90)</f>
        <v/>
      </c>
      <c r="I90" s="6">
        <f>SUMIFS('02b_CSP_Accelerator_Mix'!$H$2:$H$573,'02b_CSP_Accelerator_Mix'!$B$2:$B$573,B90,'02b_CSP_Accelerator_Mix'!$C$2:$C$573,E90,'02b_CSP_Accelerator_Mix'!$D$2:$D$573,D90,'02b_CSP_Accelerator_Mix'!$E$2:$E$573,F90)</f>
        <v/>
      </c>
      <c r="J90" s="28">
        <f>H90*I90</f>
        <v/>
      </c>
      <c r="K90" s="8">
        <f>IFERROR(INDEX('02x_Accelerator_Catalog'!$D$2:$D$11,MATCH(F90,'02x_Accelerator_Catalog'!$B$2:$B$11,0)),"")</f>
        <v/>
      </c>
      <c r="L90" s="7">
        <f>IF(K90&gt;0,J90*1000/K90,"")</f>
        <v/>
      </c>
      <c r="M90" s="5" t="inlineStr">
        <is>
          <t>epoch_csp_chip_quantity_latest</t>
        </is>
      </c>
      <c r="N90" s="5" t="inlineStr">
        <is>
          <t>Extensible long-format output: add a new accelerator row in 02b and map it in 02x_Accelerator_Catalog to extend this table.</t>
        </is>
      </c>
    </row>
    <row r="91">
      <c r="A91" s="5">
        <f>B91&amp;"|"&amp;C91&amp;"|"&amp;D91&amp;"|"&amp;E91&amp;"|"&amp;F91</f>
        <v/>
      </c>
      <c r="B91" s="5" t="inlineStr">
        <is>
          <t>Base</t>
        </is>
      </c>
      <c r="C91" s="5" t="inlineStr">
        <is>
          <t>Anthropic</t>
        </is>
      </c>
      <c r="D91" s="5" t="n">
        <v>2028</v>
      </c>
      <c r="E91" s="5" t="inlineStr">
        <is>
          <t>Fluidstack</t>
        </is>
      </c>
      <c r="F91" s="5" t="inlineStr">
        <is>
          <t>TPU</t>
        </is>
      </c>
      <c r="G91" s="5">
        <f>IFERROR(INDEX('02x_Accelerator_Catalog'!$C$2:$C$11,MATCH(F91,'02x_Accelerator_Catalog'!$B$2:$B$11,0)),"purpose_or_unbenchmarked")</f>
        <v/>
      </c>
      <c r="H91" s="28">
        <f>SUMIFS('02c_AI_CSP_Normalized'!$N$2:$N$305,'02c_AI_CSP_Normalized'!$B$2:$B$305,B91,'02c_AI_CSP_Normalized'!$C$2:$C$305,C91,'02c_AI_CSP_Normalized'!$D$2:$D$305,D91,'02c_AI_CSP_Normalized'!$E$2:$E$305,E91)</f>
        <v/>
      </c>
      <c r="I91" s="6">
        <f>SUMIFS('02b_CSP_Accelerator_Mix'!$H$2:$H$573,'02b_CSP_Accelerator_Mix'!$B$2:$B$573,B91,'02b_CSP_Accelerator_Mix'!$C$2:$C$573,E91,'02b_CSP_Accelerator_Mix'!$D$2:$D$573,D91,'02b_CSP_Accelerator_Mix'!$E$2:$E$573,F91)</f>
        <v/>
      </c>
      <c r="J91" s="28">
        <f>H91*I91</f>
        <v/>
      </c>
      <c r="K91" s="8">
        <f>IFERROR(INDEX('02x_Accelerator_Catalog'!$D$2:$D$11,MATCH(F91,'02x_Accelerator_Catalog'!$B$2:$B$11,0)),"")</f>
        <v/>
      </c>
      <c r="L91" s="7">
        <f>IF(K91&gt;0,J91*1000/K91,"")</f>
        <v/>
      </c>
      <c r="M91" s="5" t="inlineStr">
        <is>
          <t>epoch_csp_chip_quantity_latest</t>
        </is>
      </c>
      <c r="N91" s="5" t="inlineStr">
        <is>
          <t>Extensible long-format output: add a new accelerator row in 02b and map it in 02x_Accelerator_Catalog to extend this table.</t>
        </is>
      </c>
    </row>
    <row r="92">
      <c r="A92" s="5">
        <f>B92&amp;"|"&amp;C92&amp;"|"&amp;D92&amp;"|"&amp;E92&amp;"|"&amp;F92</f>
        <v/>
      </c>
      <c r="B92" s="5" t="inlineStr">
        <is>
          <t>Bull</t>
        </is>
      </c>
      <c r="C92" s="5" t="inlineStr">
        <is>
          <t>Anthropic</t>
        </is>
      </c>
      <c r="D92" s="5" t="n">
        <v>2028</v>
      </c>
      <c r="E92" s="5" t="inlineStr">
        <is>
          <t>Fluidstack</t>
        </is>
      </c>
      <c r="F92" s="5" t="inlineStr">
        <is>
          <t>TPU</t>
        </is>
      </c>
      <c r="G92" s="5">
        <f>IFERROR(INDEX('02x_Accelerator_Catalog'!$C$2:$C$11,MATCH(F92,'02x_Accelerator_Catalog'!$B$2:$B$11,0)),"purpose_or_unbenchmarked")</f>
        <v/>
      </c>
      <c r="H92" s="28">
        <f>SUMIFS('02c_AI_CSP_Normalized'!$N$2:$N$305,'02c_AI_CSP_Normalized'!$B$2:$B$305,B92,'02c_AI_CSP_Normalized'!$C$2:$C$305,C92,'02c_AI_CSP_Normalized'!$D$2:$D$305,D92,'02c_AI_CSP_Normalized'!$E$2:$E$305,E92)</f>
        <v/>
      </c>
      <c r="I92" s="6">
        <f>SUMIFS('02b_CSP_Accelerator_Mix'!$H$2:$H$573,'02b_CSP_Accelerator_Mix'!$B$2:$B$573,B92,'02b_CSP_Accelerator_Mix'!$C$2:$C$573,E92,'02b_CSP_Accelerator_Mix'!$D$2:$D$573,D92,'02b_CSP_Accelerator_Mix'!$E$2:$E$573,F92)</f>
        <v/>
      </c>
      <c r="J92" s="28">
        <f>H92*I92</f>
        <v/>
      </c>
      <c r="K92" s="8">
        <f>IFERROR(INDEX('02x_Accelerator_Catalog'!$D$2:$D$11,MATCH(F92,'02x_Accelerator_Catalog'!$B$2:$B$11,0)),"")</f>
        <v/>
      </c>
      <c r="L92" s="7">
        <f>IF(K92&gt;0,J92*1000/K92,"")</f>
        <v/>
      </c>
      <c r="M92" s="5" t="inlineStr">
        <is>
          <t>epoch_csp_chip_quantity_latest</t>
        </is>
      </c>
      <c r="N92" s="5" t="inlineStr">
        <is>
          <t>Extensible long-format output: add a new accelerator row in 02b and map it in 02x_Accelerator_Catalog to extend this table.</t>
        </is>
      </c>
    </row>
    <row r="93">
      <c r="A93" s="5">
        <f>B93&amp;"|"&amp;C93&amp;"|"&amp;D93&amp;"|"&amp;E93&amp;"|"&amp;F93</f>
        <v/>
      </c>
      <c r="B93" s="5" t="inlineStr">
        <is>
          <t>Grid-Constrained / Efficiency-Upside</t>
        </is>
      </c>
      <c r="C93" s="5" t="inlineStr">
        <is>
          <t>Anthropic</t>
        </is>
      </c>
      <c r="D93" s="5" t="n">
        <v>2028</v>
      </c>
      <c r="E93" s="5" t="inlineStr">
        <is>
          <t>Fluidstack</t>
        </is>
      </c>
      <c r="F93" s="5" t="inlineStr">
        <is>
          <t>TPU</t>
        </is>
      </c>
      <c r="G93" s="5">
        <f>IFERROR(INDEX('02x_Accelerator_Catalog'!$C$2:$C$11,MATCH(F93,'02x_Accelerator_Catalog'!$B$2:$B$11,0)),"purpose_or_unbenchmarked")</f>
        <v/>
      </c>
      <c r="H93" s="28">
        <f>SUMIFS('02c_AI_CSP_Normalized'!$N$2:$N$305,'02c_AI_CSP_Normalized'!$B$2:$B$305,B93,'02c_AI_CSP_Normalized'!$C$2:$C$305,C93,'02c_AI_CSP_Normalized'!$D$2:$D$305,D93,'02c_AI_CSP_Normalized'!$E$2:$E$305,E93)</f>
        <v/>
      </c>
      <c r="I93" s="6">
        <f>SUMIFS('02b_CSP_Accelerator_Mix'!$H$2:$H$573,'02b_CSP_Accelerator_Mix'!$B$2:$B$573,B93,'02b_CSP_Accelerator_Mix'!$C$2:$C$573,E93,'02b_CSP_Accelerator_Mix'!$D$2:$D$573,D93,'02b_CSP_Accelerator_Mix'!$E$2:$E$573,F93)</f>
        <v/>
      </c>
      <c r="J93" s="28">
        <f>H93*I93</f>
        <v/>
      </c>
      <c r="K93" s="8">
        <f>IFERROR(INDEX('02x_Accelerator_Catalog'!$D$2:$D$11,MATCH(F93,'02x_Accelerator_Catalog'!$B$2:$B$11,0)),"")</f>
        <v/>
      </c>
      <c r="L93" s="7">
        <f>IF(K93&gt;0,J93*1000/K93,"")</f>
        <v/>
      </c>
      <c r="M93" s="5" t="inlineStr">
        <is>
          <t>epoch_csp_chip_quantity_latest</t>
        </is>
      </c>
      <c r="N93" s="5" t="inlineStr">
        <is>
          <t>Extensible long-format output: add a new accelerator row in 02b and map it in 02x_Accelerator_Catalog to extend this table.</t>
        </is>
      </c>
    </row>
    <row r="94">
      <c r="A94" s="5">
        <f>B94&amp;"|"&amp;C94&amp;"|"&amp;D94&amp;"|"&amp;E94&amp;"|"&amp;F94</f>
        <v/>
      </c>
      <c r="B94" s="5" t="inlineStr">
        <is>
          <t>Bear</t>
        </is>
      </c>
      <c r="C94" s="5" t="inlineStr">
        <is>
          <t>Anthropic</t>
        </is>
      </c>
      <c r="D94" s="5" t="n">
        <v>2029</v>
      </c>
      <c r="E94" s="5" t="inlineStr">
        <is>
          <t>Fluidstack</t>
        </is>
      </c>
      <c r="F94" s="5" t="inlineStr">
        <is>
          <t>TPU</t>
        </is>
      </c>
      <c r="G94" s="5">
        <f>IFERROR(INDEX('02x_Accelerator_Catalog'!$C$2:$C$11,MATCH(F94,'02x_Accelerator_Catalog'!$B$2:$B$11,0)),"purpose_or_unbenchmarked")</f>
        <v/>
      </c>
      <c r="H94" s="28">
        <f>SUMIFS('02c_AI_CSP_Normalized'!$N$2:$N$305,'02c_AI_CSP_Normalized'!$B$2:$B$305,B94,'02c_AI_CSP_Normalized'!$C$2:$C$305,C94,'02c_AI_CSP_Normalized'!$D$2:$D$305,D94,'02c_AI_CSP_Normalized'!$E$2:$E$305,E94)</f>
        <v/>
      </c>
      <c r="I94" s="6">
        <f>SUMIFS('02b_CSP_Accelerator_Mix'!$H$2:$H$573,'02b_CSP_Accelerator_Mix'!$B$2:$B$573,B94,'02b_CSP_Accelerator_Mix'!$C$2:$C$573,E94,'02b_CSP_Accelerator_Mix'!$D$2:$D$573,D94,'02b_CSP_Accelerator_Mix'!$E$2:$E$573,F94)</f>
        <v/>
      </c>
      <c r="J94" s="28">
        <f>H94*I94</f>
        <v/>
      </c>
      <c r="K94" s="8">
        <f>IFERROR(INDEX('02x_Accelerator_Catalog'!$D$2:$D$11,MATCH(F94,'02x_Accelerator_Catalog'!$B$2:$B$11,0)),"")</f>
        <v/>
      </c>
      <c r="L94" s="7">
        <f>IF(K94&gt;0,J94*1000/K94,"")</f>
        <v/>
      </c>
      <c r="M94" s="5" t="inlineStr">
        <is>
          <t>epoch_csp_chip_quantity_latest</t>
        </is>
      </c>
      <c r="N94" s="5" t="inlineStr">
        <is>
          <t>Extensible long-format output: add a new accelerator row in 02b and map it in 02x_Accelerator_Catalog to extend this table.</t>
        </is>
      </c>
    </row>
    <row r="95">
      <c r="A95" s="5">
        <f>B95&amp;"|"&amp;C95&amp;"|"&amp;D95&amp;"|"&amp;E95&amp;"|"&amp;F95</f>
        <v/>
      </c>
      <c r="B95" s="5" t="inlineStr">
        <is>
          <t>Base</t>
        </is>
      </c>
      <c r="C95" s="5" t="inlineStr">
        <is>
          <t>Anthropic</t>
        </is>
      </c>
      <c r="D95" s="5" t="n">
        <v>2029</v>
      </c>
      <c r="E95" s="5" t="inlineStr">
        <is>
          <t>Fluidstack</t>
        </is>
      </c>
      <c r="F95" s="5" t="inlineStr">
        <is>
          <t>TPU</t>
        </is>
      </c>
      <c r="G95" s="5">
        <f>IFERROR(INDEX('02x_Accelerator_Catalog'!$C$2:$C$11,MATCH(F95,'02x_Accelerator_Catalog'!$B$2:$B$11,0)),"purpose_or_unbenchmarked")</f>
        <v/>
      </c>
      <c r="H95" s="28">
        <f>SUMIFS('02c_AI_CSP_Normalized'!$N$2:$N$305,'02c_AI_CSP_Normalized'!$B$2:$B$305,B95,'02c_AI_CSP_Normalized'!$C$2:$C$305,C95,'02c_AI_CSP_Normalized'!$D$2:$D$305,D95,'02c_AI_CSP_Normalized'!$E$2:$E$305,E95)</f>
        <v/>
      </c>
      <c r="I95" s="6">
        <f>SUMIFS('02b_CSP_Accelerator_Mix'!$H$2:$H$573,'02b_CSP_Accelerator_Mix'!$B$2:$B$573,B95,'02b_CSP_Accelerator_Mix'!$C$2:$C$573,E95,'02b_CSP_Accelerator_Mix'!$D$2:$D$573,D95,'02b_CSP_Accelerator_Mix'!$E$2:$E$573,F95)</f>
        <v/>
      </c>
      <c r="J95" s="28">
        <f>H95*I95</f>
        <v/>
      </c>
      <c r="K95" s="8">
        <f>IFERROR(INDEX('02x_Accelerator_Catalog'!$D$2:$D$11,MATCH(F95,'02x_Accelerator_Catalog'!$B$2:$B$11,0)),"")</f>
        <v/>
      </c>
      <c r="L95" s="7">
        <f>IF(K95&gt;0,J95*1000/K95,"")</f>
        <v/>
      </c>
      <c r="M95" s="5" t="inlineStr">
        <is>
          <t>epoch_csp_chip_quantity_latest</t>
        </is>
      </c>
      <c r="N95" s="5" t="inlineStr">
        <is>
          <t>Extensible long-format output: add a new accelerator row in 02b and map it in 02x_Accelerator_Catalog to extend this table.</t>
        </is>
      </c>
    </row>
    <row r="96">
      <c r="A96" s="5">
        <f>B96&amp;"|"&amp;C96&amp;"|"&amp;D96&amp;"|"&amp;E96&amp;"|"&amp;F96</f>
        <v/>
      </c>
      <c r="B96" s="5" t="inlineStr">
        <is>
          <t>Bull</t>
        </is>
      </c>
      <c r="C96" s="5" t="inlineStr">
        <is>
          <t>Anthropic</t>
        </is>
      </c>
      <c r="D96" s="5" t="n">
        <v>2029</v>
      </c>
      <c r="E96" s="5" t="inlineStr">
        <is>
          <t>Fluidstack</t>
        </is>
      </c>
      <c r="F96" s="5" t="inlineStr">
        <is>
          <t>TPU</t>
        </is>
      </c>
      <c r="G96" s="5">
        <f>IFERROR(INDEX('02x_Accelerator_Catalog'!$C$2:$C$11,MATCH(F96,'02x_Accelerator_Catalog'!$B$2:$B$11,0)),"purpose_or_unbenchmarked")</f>
        <v/>
      </c>
      <c r="H96" s="28">
        <f>SUMIFS('02c_AI_CSP_Normalized'!$N$2:$N$305,'02c_AI_CSP_Normalized'!$B$2:$B$305,B96,'02c_AI_CSP_Normalized'!$C$2:$C$305,C96,'02c_AI_CSP_Normalized'!$D$2:$D$305,D96,'02c_AI_CSP_Normalized'!$E$2:$E$305,E96)</f>
        <v/>
      </c>
      <c r="I96" s="6">
        <f>SUMIFS('02b_CSP_Accelerator_Mix'!$H$2:$H$573,'02b_CSP_Accelerator_Mix'!$B$2:$B$573,B96,'02b_CSP_Accelerator_Mix'!$C$2:$C$573,E96,'02b_CSP_Accelerator_Mix'!$D$2:$D$573,D96,'02b_CSP_Accelerator_Mix'!$E$2:$E$573,F96)</f>
        <v/>
      </c>
      <c r="J96" s="28">
        <f>H96*I96</f>
        <v/>
      </c>
      <c r="K96" s="8">
        <f>IFERROR(INDEX('02x_Accelerator_Catalog'!$D$2:$D$11,MATCH(F96,'02x_Accelerator_Catalog'!$B$2:$B$11,0)),"")</f>
        <v/>
      </c>
      <c r="L96" s="7">
        <f>IF(K96&gt;0,J96*1000/K96,"")</f>
        <v/>
      </c>
      <c r="M96" s="5" t="inlineStr">
        <is>
          <t>epoch_csp_chip_quantity_latest</t>
        </is>
      </c>
      <c r="N96" s="5" t="inlineStr">
        <is>
          <t>Extensible long-format output: add a new accelerator row in 02b and map it in 02x_Accelerator_Catalog to extend this table.</t>
        </is>
      </c>
    </row>
    <row r="97">
      <c r="A97" s="5">
        <f>B97&amp;"|"&amp;C97&amp;"|"&amp;D97&amp;"|"&amp;E97&amp;"|"&amp;F97</f>
        <v/>
      </c>
      <c r="B97" s="5" t="inlineStr">
        <is>
          <t>Grid-Constrained / Efficiency-Upside</t>
        </is>
      </c>
      <c r="C97" s="5" t="inlineStr">
        <is>
          <t>Anthropic</t>
        </is>
      </c>
      <c r="D97" s="5" t="n">
        <v>2029</v>
      </c>
      <c r="E97" s="5" t="inlineStr">
        <is>
          <t>Fluidstack</t>
        </is>
      </c>
      <c r="F97" s="5" t="inlineStr">
        <is>
          <t>TPU</t>
        </is>
      </c>
      <c r="G97" s="5">
        <f>IFERROR(INDEX('02x_Accelerator_Catalog'!$C$2:$C$11,MATCH(F97,'02x_Accelerator_Catalog'!$B$2:$B$11,0)),"purpose_or_unbenchmarked")</f>
        <v/>
      </c>
      <c r="H97" s="28">
        <f>SUMIFS('02c_AI_CSP_Normalized'!$N$2:$N$305,'02c_AI_CSP_Normalized'!$B$2:$B$305,B97,'02c_AI_CSP_Normalized'!$C$2:$C$305,C97,'02c_AI_CSP_Normalized'!$D$2:$D$305,D97,'02c_AI_CSP_Normalized'!$E$2:$E$305,E97)</f>
        <v/>
      </c>
      <c r="I97" s="6">
        <f>SUMIFS('02b_CSP_Accelerator_Mix'!$H$2:$H$573,'02b_CSP_Accelerator_Mix'!$B$2:$B$573,B97,'02b_CSP_Accelerator_Mix'!$C$2:$C$573,E97,'02b_CSP_Accelerator_Mix'!$D$2:$D$573,D97,'02b_CSP_Accelerator_Mix'!$E$2:$E$573,F97)</f>
        <v/>
      </c>
      <c r="J97" s="28">
        <f>H97*I97</f>
        <v/>
      </c>
      <c r="K97" s="8">
        <f>IFERROR(INDEX('02x_Accelerator_Catalog'!$D$2:$D$11,MATCH(F97,'02x_Accelerator_Catalog'!$B$2:$B$11,0)),"")</f>
        <v/>
      </c>
      <c r="L97" s="7">
        <f>IF(K97&gt;0,J97*1000/K97,"")</f>
        <v/>
      </c>
      <c r="M97" s="5" t="inlineStr">
        <is>
          <t>epoch_csp_chip_quantity_latest</t>
        </is>
      </c>
      <c r="N97" s="5" t="inlineStr">
        <is>
          <t>Extensible long-format output: add a new accelerator row in 02b and map it in 02x_Accelerator_Catalog to extend this table.</t>
        </is>
      </c>
    </row>
    <row r="98">
      <c r="A98" s="5">
        <f>B98&amp;"|"&amp;C98&amp;"|"&amp;D98&amp;"|"&amp;E98&amp;"|"&amp;F98</f>
        <v/>
      </c>
      <c r="B98" s="5" t="inlineStr">
        <is>
          <t>Bear</t>
        </is>
      </c>
      <c r="C98" s="5" t="inlineStr">
        <is>
          <t>Anthropic</t>
        </is>
      </c>
      <c r="D98" s="5" t="n">
        <v>2030</v>
      </c>
      <c r="E98" s="5" t="inlineStr">
        <is>
          <t>Fluidstack</t>
        </is>
      </c>
      <c r="F98" s="5" t="inlineStr">
        <is>
          <t>TPU</t>
        </is>
      </c>
      <c r="G98" s="5">
        <f>IFERROR(INDEX('02x_Accelerator_Catalog'!$C$2:$C$11,MATCH(F98,'02x_Accelerator_Catalog'!$B$2:$B$11,0)),"purpose_or_unbenchmarked")</f>
        <v/>
      </c>
      <c r="H98" s="28">
        <f>SUMIFS('02c_AI_CSP_Normalized'!$N$2:$N$305,'02c_AI_CSP_Normalized'!$B$2:$B$305,B98,'02c_AI_CSP_Normalized'!$C$2:$C$305,C98,'02c_AI_CSP_Normalized'!$D$2:$D$305,D98,'02c_AI_CSP_Normalized'!$E$2:$E$305,E98)</f>
        <v/>
      </c>
      <c r="I98" s="6">
        <f>SUMIFS('02b_CSP_Accelerator_Mix'!$H$2:$H$573,'02b_CSP_Accelerator_Mix'!$B$2:$B$573,B98,'02b_CSP_Accelerator_Mix'!$C$2:$C$573,E98,'02b_CSP_Accelerator_Mix'!$D$2:$D$573,D98,'02b_CSP_Accelerator_Mix'!$E$2:$E$573,F98)</f>
        <v/>
      </c>
      <c r="J98" s="28">
        <f>H98*I98</f>
        <v/>
      </c>
      <c r="K98" s="8">
        <f>IFERROR(INDEX('02x_Accelerator_Catalog'!$D$2:$D$11,MATCH(F98,'02x_Accelerator_Catalog'!$B$2:$B$11,0)),"")</f>
        <v/>
      </c>
      <c r="L98" s="7">
        <f>IF(K98&gt;0,J98*1000/K98,"")</f>
        <v/>
      </c>
      <c r="M98" s="5" t="inlineStr">
        <is>
          <t>epoch_csp_chip_quantity_latest</t>
        </is>
      </c>
      <c r="N98" s="5" t="inlineStr">
        <is>
          <t>Extensible long-format output: add a new accelerator row in 02b and map it in 02x_Accelerator_Catalog to extend this table.</t>
        </is>
      </c>
    </row>
    <row r="99">
      <c r="A99" s="5">
        <f>B99&amp;"|"&amp;C99&amp;"|"&amp;D99&amp;"|"&amp;E99&amp;"|"&amp;F99</f>
        <v/>
      </c>
      <c r="B99" s="5" t="inlineStr">
        <is>
          <t>Base</t>
        </is>
      </c>
      <c r="C99" s="5" t="inlineStr">
        <is>
          <t>Anthropic</t>
        </is>
      </c>
      <c r="D99" s="5" t="n">
        <v>2030</v>
      </c>
      <c r="E99" s="5" t="inlineStr">
        <is>
          <t>Fluidstack</t>
        </is>
      </c>
      <c r="F99" s="5" t="inlineStr">
        <is>
          <t>TPU</t>
        </is>
      </c>
      <c r="G99" s="5">
        <f>IFERROR(INDEX('02x_Accelerator_Catalog'!$C$2:$C$11,MATCH(F99,'02x_Accelerator_Catalog'!$B$2:$B$11,0)),"purpose_or_unbenchmarked")</f>
        <v/>
      </c>
      <c r="H99" s="28">
        <f>SUMIFS('02c_AI_CSP_Normalized'!$N$2:$N$305,'02c_AI_CSP_Normalized'!$B$2:$B$305,B99,'02c_AI_CSP_Normalized'!$C$2:$C$305,C99,'02c_AI_CSP_Normalized'!$D$2:$D$305,D99,'02c_AI_CSP_Normalized'!$E$2:$E$305,E99)</f>
        <v/>
      </c>
      <c r="I99" s="6">
        <f>SUMIFS('02b_CSP_Accelerator_Mix'!$H$2:$H$573,'02b_CSP_Accelerator_Mix'!$B$2:$B$573,B99,'02b_CSP_Accelerator_Mix'!$C$2:$C$573,E99,'02b_CSP_Accelerator_Mix'!$D$2:$D$573,D99,'02b_CSP_Accelerator_Mix'!$E$2:$E$573,F99)</f>
        <v/>
      </c>
      <c r="J99" s="28">
        <f>H99*I99</f>
        <v/>
      </c>
      <c r="K99" s="8">
        <f>IFERROR(INDEX('02x_Accelerator_Catalog'!$D$2:$D$11,MATCH(F99,'02x_Accelerator_Catalog'!$B$2:$B$11,0)),"")</f>
        <v/>
      </c>
      <c r="L99" s="7">
        <f>IF(K99&gt;0,J99*1000/K99,"")</f>
        <v/>
      </c>
      <c r="M99" s="5" t="inlineStr">
        <is>
          <t>epoch_csp_chip_quantity_latest</t>
        </is>
      </c>
      <c r="N99" s="5" t="inlineStr">
        <is>
          <t>Extensible long-format output: add a new accelerator row in 02b and map it in 02x_Accelerator_Catalog to extend this table.</t>
        </is>
      </c>
    </row>
    <row r="100">
      <c r="A100" s="5">
        <f>B100&amp;"|"&amp;C100&amp;"|"&amp;D100&amp;"|"&amp;E100&amp;"|"&amp;F100</f>
        <v/>
      </c>
      <c r="B100" s="5" t="inlineStr">
        <is>
          <t>Bull</t>
        </is>
      </c>
      <c r="C100" s="5" t="inlineStr">
        <is>
          <t>Anthropic</t>
        </is>
      </c>
      <c r="D100" s="5" t="n">
        <v>2030</v>
      </c>
      <c r="E100" s="5" t="inlineStr">
        <is>
          <t>Fluidstack</t>
        </is>
      </c>
      <c r="F100" s="5" t="inlineStr">
        <is>
          <t>TPU</t>
        </is>
      </c>
      <c r="G100" s="5">
        <f>IFERROR(INDEX('02x_Accelerator_Catalog'!$C$2:$C$11,MATCH(F100,'02x_Accelerator_Catalog'!$B$2:$B$11,0)),"purpose_or_unbenchmarked")</f>
        <v/>
      </c>
      <c r="H100" s="28">
        <f>SUMIFS('02c_AI_CSP_Normalized'!$N$2:$N$305,'02c_AI_CSP_Normalized'!$B$2:$B$305,B100,'02c_AI_CSP_Normalized'!$C$2:$C$305,C100,'02c_AI_CSP_Normalized'!$D$2:$D$305,D100,'02c_AI_CSP_Normalized'!$E$2:$E$305,E100)</f>
        <v/>
      </c>
      <c r="I100" s="6">
        <f>SUMIFS('02b_CSP_Accelerator_Mix'!$H$2:$H$573,'02b_CSP_Accelerator_Mix'!$B$2:$B$573,B100,'02b_CSP_Accelerator_Mix'!$C$2:$C$573,E100,'02b_CSP_Accelerator_Mix'!$D$2:$D$573,D100,'02b_CSP_Accelerator_Mix'!$E$2:$E$573,F100)</f>
        <v/>
      </c>
      <c r="J100" s="28">
        <f>H100*I100</f>
        <v/>
      </c>
      <c r="K100" s="8">
        <f>IFERROR(INDEX('02x_Accelerator_Catalog'!$D$2:$D$11,MATCH(F100,'02x_Accelerator_Catalog'!$B$2:$B$11,0)),"")</f>
        <v/>
      </c>
      <c r="L100" s="7">
        <f>IF(K100&gt;0,J100*1000/K100,"")</f>
        <v/>
      </c>
      <c r="M100" s="5" t="inlineStr">
        <is>
          <t>epoch_csp_chip_quantity_latest</t>
        </is>
      </c>
      <c r="N100" s="5" t="inlineStr">
        <is>
          <t>Extensible long-format output: add a new accelerator row in 02b and map it in 02x_Accelerator_Catalog to extend this table.</t>
        </is>
      </c>
    </row>
    <row r="101">
      <c r="A101" s="5">
        <f>B101&amp;"|"&amp;C101&amp;"|"&amp;D101&amp;"|"&amp;E101&amp;"|"&amp;F101</f>
        <v/>
      </c>
      <c r="B101" s="5" t="inlineStr">
        <is>
          <t>Grid-Constrained / Efficiency-Upside</t>
        </is>
      </c>
      <c r="C101" s="5" t="inlineStr">
        <is>
          <t>Anthropic</t>
        </is>
      </c>
      <c r="D101" s="5" t="n">
        <v>2030</v>
      </c>
      <c r="E101" s="5" t="inlineStr">
        <is>
          <t>Fluidstack</t>
        </is>
      </c>
      <c r="F101" s="5" t="inlineStr">
        <is>
          <t>TPU</t>
        </is>
      </c>
      <c r="G101" s="5">
        <f>IFERROR(INDEX('02x_Accelerator_Catalog'!$C$2:$C$11,MATCH(F101,'02x_Accelerator_Catalog'!$B$2:$B$11,0)),"purpose_or_unbenchmarked")</f>
        <v/>
      </c>
      <c r="H101" s="28">
        <f>SUMIFS('02c_AI_CSP_Normalized'!$N$2:$N$305,'02c_AI_CSP_Normalized'!$B$2:$B$305,B101,'02c_AI_CSP_Normalized'!$C$2:$C$305,C101,'02c_AI_CSP_Normalized'!$D$2:$D$305,D101,'02c_AI_CSP_Normalized'!$E$2:$E$305,E101)</f>
        <v/>
      </c>
      <c r="I101" s="6">
        <f>SUMIFS('02b_CSP_Accelerator_Mix'!$H$2:$H$573,'02b_CSP_Accelerator_Mix'!$B$2:$B$573,B101,'02b_CSP_Accelerator_Mix'!$C$2:$C$573,E101,'02b_CSP_Accelerator_Mix'!$D$2:$D$573,D101,'02b_CSP_Accelerator_Mix'!$E$2:$E$573,F101)</f>
        <v/>
      </c>
      <c r="J101" s="28">
        <f>H101*I101</f>
        <v/>
      </c>
      <c r="K101" s="8">
        <f>IFERROR(INDEX('02x_Accelerator_Catalog'!$D$2:$D$11,MATCH(F101,'02x_Accelerator_Catalog'!$B$2:$B$11,0)),"")</f>
        <v/>
      </c>
      <c r="L101" s="7">
        <f>IF(K101&gt;0,J101*1000/K101,"")</f>
        <v/>
      </c>
      <c r="M101" s="5" t="inlineStr">
        <is>
          <t>epoch_csp_chip_quantity_latest</t>
        </is>
      </c>
      <c r="N101" s="5" t="inlineStr">
        <is>
          <t>Extensible long-format output: add a new accelerator row in 02b and map it in 02x_Accelerator_Catalog to extend this table.</t>
        </is>
      </c>
    </row>
    <row r="102">
      <c r="A102" s="5">
        <f>B102&amp;"|"&amp;C102&amp;"|"&amp;D102&amp;"|"&amp;E102&amp;"|"&amp;F102</f>
        <v/>
      </c>
      <c r="B102" s="5" t="inlineStr">
        <is>
          <t>Bear</t>
        </is>
      </c>
      <c r="C102" s="5" t="inlineStr">
        <is>
          <t>Anthropic</t>
        </is>
      </c>
      <c r="D102" s="5" t="n">
        <v>2026</v>
      </c>
      <c r="E102" s="5" t="inlineStr">
        <is>
          <t>SpaceXAI</t>
        </is>
      </c>
      <c r="F102" s="5" t="inlineStr">
        <is>
          <t>B200/B300 class</t>
        </is>
      </c>
      <c r="G102" s="5">
        <f>IFERROR(INDEX('02x_Accelerator_Catalog'!$C$2:$C$11,MATCH(F102,'02x_Accelerator_Catalog'!$B$2:$B$11,0)),"purpose_or_unbenchmarked")</f>
        <v/>
      </c>
      <c r="H102" s="28">
        <f>SUMIFS('02c_AI_CSP_Normalized'!$N$2:$N$305,'02c_AI_CSP_Normalized'!$B$2:$B$305,B102,'02c_AI_CSP_Normalized'!$C$2:$C$305,C102,'02c_AI_CSP_Normalized'!$D$2:$D$305,D102,'02c_AI_CSP_Normalized'!$E$2:$E$305,E102)</f>
        <v/>
      </c>
      <c r="I102" s="6">
        <f>SUMIFS('02b_CSP_Accelerator_Mix'!$H$2:$H$573,'02b_CSP_Accelerator_Mix'!$B$2:$B$573,B102,'02b_CSP_Accelerator_Mix'!$C$2:$C$573,E102,'02b_CSP_Accelerator_Mix'!$D$2:$D$573,D102,'02b_CSP_Accelerator_Mix'!$E$2:$E$573,F102)</f>
        <v/>
      </c>
      <c r="J102" s="28">
        <f>H102*I102</f>
        <v/>
      </c>
      <c r="K102" s="8">
        <f>IFERROR(INDEX('02x_Accelerator_Catalog'!$D$2:$D$11,MATCH(F102,'02x_Accelerator_Catalog'!$B$2:$B$11,0)),"")</f>
        <v/>
      </c>
      <c r="L102" s="7">
        <f>IF(K102&gt;0,J102*1000/K102,"")</f>
        <v/>
      </c>
      <c r="M102" s="5" t="inlineStr">
        <is>
          <t>epoch_csp_chip_quantity_latest</t>
        </is>
      </c>
      <c r="N102" s="5" t="inlineStr">
        <is>
          <t>Extensible long-format output: add a new accelerator row in 02b and map it in 02x_Accelerator_Catalog to extend this table.</t>
        </is>
      </c>
    </row>
    <row r="103">
      <c r="A103" s="5">
        <f>B103&amp;"|"&amp;C103&amp;"|"&amp;D103&amp;"|"&amp;E103&amp;"|"&amp;F103</f>
        <v/>
      </c>
      <c r="B103" s="5" t="inlineStr">
        <is>
          <t>Bear</t>
        </is>
      </c>
      <c r="C103" s="5" t="inlineStr">
        <is>
          <t>Anthropic</t>
        </is>
      </c>
      <c r="D103" s="5" t="n">
        <v>2026</v>
      </c>
      <c r="E103" s="5" t="inlineStr">
        <is>
          <t>SpaceXAI</t>
        </is>
      </c>
      <c r="F103" s="5" t="inlineStr">
        <is>
          <t>H100/H200/A100 class</t>
        </is>
      </c>
      <c r="G103" s="5">
        <f>IFERROR(INDEX('02x_Accelerator_Catalog'!$C$2:$C$11,MATCH(F103,'02x_Accelerator_Catalog'!$B$2:$B$11,0)),"purpose_or_unbenchmarked")</f>
        <v/>
      </c>
      <c r="H103" s="28">
        <f>SUMIFS('02c_AI_CSP_Normalized'!$N$2:$N$305,'02c_AI_CSP_Normalized'!$B$2:$B$305,B103,'02c_AI_CSP_Normalized'!$C$2:$C$305,C103,'02c_AI_CSP_Normalized'!$D$2:$D$305,D103,'02c_AI_CSP_Normalized'!$E$2:$E$305,E103)</f>
        <v/>
      </c>
      <c r="I103" s="6">
        <f>SUMIFS('02b_CSP_Accelerator_Mix'!$H$2:$H$573,'02b_CSP_Accelerator_Mix'!$B$2:$B$573,B103,'02b_CSP_Accelerator_Mix'!$C$2:$C$573,E103,'02b_CSP_Accelerator_Mix'!$D$2:$D$573,D103,'02b_CSP_Accelerator_Mix'!$E$2:$E$573,F103)</f>
        <v/>
      </c>
      <c r="J103" s="28">
        <f>H103*I103</f>
        <v/>
      </c>
      <c r="K103" s="8">
        <f>IFERROR(INDEX('02x_Accelerator_Catalog'!$D$2:$D$11,MATCH(F103,'02x_Accelerator_Catalog'!$B$2:$B$11,0)),"")</f>
        <v/>
      </c>
      <c r="L103" s="7">
        <f>IF(K103&gt;0,J103*1000/K103,"")</f>
        <v/>
      </c>
      <c r="M103" s="5" t="inlineStr">
        <is>
          <t>epoch_csp_chip_quantity_latest</t>
        </is>
      </c>
      <c r="N103" s="5" t="inlineStr">
        <is>
          <t>Extensible long-format output: add a new accelerator row in 02b and map it in 02x_Accelerator_Catalog to extend this table.</t>
        </is>
      </c>
    </row>
    <row r="104">
      <c r="A104" s="5">
        <f>B104&amp;"|"&amp;C104&amp;"|"&amp;D104&amp;"|"&amp;E104&amp;"|"&amp;F104</f>
        <v/>
      </c>
      <c r="B104" s="5" t="inlineStr">
        <is>
          <t>Base</t>
        </is>
      </c>
      <c r="C104" s="5" t="inlineStr">
        <is>
          <t>Anthropic</t>
        </is>
      </c>
      <c r="D104" s="5" t="n">
        <v>2026</v>
      </c>
      <c r="E104" s="5" t="inlineStr">
        <is>
          <t>SpaceXAI</t>
        </is>
      </c>
      <c r="F104" s="5" t="inlineStr">
        <is>
          <t>B200/B300 class</t>
        </is>
      </c>
      <c r="G104" s="5">
        <f>IFERROR(INDEX('02x_Accelerator_Catalog'!$C$2:$C$11,MATCH(F104,'02x_Accelerator_Catalog'!$B$2:$B$11,0)),"purpose_or_unbenchmarked")</f>
        <v/>
      </c>
      <c r="H104" s="28">
        <f>SUMIFS('02c_AI_CSP_Normalized'!$N$2:$N$305,'02c_AI_CSP_Normalized'!$B$2:$B$305,B104,'02c_AI_CSP_Normalized'!$C$2:$C$305,C104,'02c_AI_CSP_Normalized'!$D$2:$D$305,D104,'02c_AI_CSP_Normalized'!$E$2:$E$305,E104)</f>
        <v/>
      </c>
      <c r="I104" s="6">
        <f>SUMIFS('02b_CSP_Accelerator_Mix'!$H$2:$H$573,'02b_CSP_Accelerator_Mix'!$B$2:$B$573,B104,'02b_CSP_Accelerator_Mix'!$C$2:$C$573,E104,'02b_CSP_Accelerator_Mix'!$D$2:$D$573,D104,'02b_CSP_Accelerator_Mix'!$E$2:$E$573,F104)</f>
        <v/>
      </c>
      <c r="J104" s="28">
        <f>H104*I104</f>
        <v/>
      </c>
      <c r="K104" s="8">
        <f>IFERROR(INDEX('02x_Accelerator_Catalog'!$D$2:$D$11,MATCH(F104,'02x_Accelerator_Catalog'!$B$2:$B$11,0)),"")</f>
        <v/>
      </c>
      <c r="L104" s="7">
        <f>IF(K104&gt;0,J104*1000/K104,"")</f>
        <v/>
      </c>
      <c r="M104" s="5" t="inlineStr">
        <is>
          <t>epoch_csp_chip_quantity_latest</t>
        </is>
      </c>
      <c r="N104" s="5" t="inlineStr">
        <is>
          <t>Extensible long-format output: add a new accelerator row in 02b and map it in 02x_Accelerator_Catalog to extend this table.</t>
        </is>
      </c>
    </row>
    <row r="105">
      <c r="A105" s="5">
        <f>B105&amp;"|"&amp;C105&amp;"|"&amp;D105&amp;"|"&amp;E105&amp;"|"&amp;F105</f>
        <v/>
      </c>
      <c r="B105" s="5" t="inlineStr">
        <is>
          <t>Base</t>
        </is>
      </c>
      <c r="C105" s="5" t="inlineStr">
        <is>
          <t>Anthropic</t>
        </is>
      </c>
      <c r="D105" s="5" t="n">
        <v>2026</v>
      </c>
      <c r="E105" s="5" t="inlineStr">
        <is>
          <t>SpaceXAI</t>
        </is>
      </c>
      <c r="F105" s="5" t="inlineStr">
        <is>
          <t>H100/H200/A100 class</t>
        </is>
      </c>
      <c r="G105" s="5">
        <f>IFERROR(INDEX('02x_Accelerator_Catalog'!$C$2:$C$11,MATCH(F105,'02x_Accelerator_Catalog'!$B$2:$B$11,0)),"purpose_or_unbenchmarked")</f>
        <v/>
      </c>
      <c r="H105" s="28">
        <f>SUMIFS('02c_AI_CSP_Normalized'!$N$2:$N$305,'02c_AI_CSP_Normalized'!$B$2:$B$305,B105,'02c_AI_CSP_Normalized'!$C$2:$C$305,C105,'02c_AI_CSP_Normalized'!$D$2:$D$305,D105,'02c_AI_CSP_Normalized'!$E$2:$E$305,E105)</f>
        <v/>
      </c>
      <c r="I105" s="6">
        <f>SUMIFS('02b_CSP_Accelerator_Mix'!$H$2:$H$573,'02b_CSP_Accelerator_Mix'!$B$2:$B$573,B105,'02b_CSP_Accelerator_Mix'!$C$2:$C$573,E105,'02b_CSP_Accelerator_Mix'!$D$2:$D$573,D105,'02b_CSP_Accelerator_Mix'!$E$2:$E$573,F105)</f>
        <v/>
      </c>
      <c r="J105" s="28">
        <f>H105*I105</f>
        <v/>
      </c>
      <c r="K105" s="8">
        <f>IFERROR(INDEX('02x_Accelerator_Catalog'!$D$2:$D$11,MATCH(F105,'02x_Accelerator_Catalog'!$B$2:$B$11,0)),"")</f>
        <v/>
      </c>
      <c r="L105" s="7">
        <f>IF(K105&gt;0,J105*1000/K105,"")</f>
        <v/>
      </c>
      <c r="M105" s="5" t="inlineStr">
        <is>
          <t>epoch_csp_chip_quantity_latest</t>
        </is>
      </c>
      <c r="N105" s="5" t="inlineStr">
        <is>
          <t>Extensible long-format output: add a new accelerator row in 02b and map it in 02x_Accelerator_Catalog to extend this table.</t>
        </is>
      </c>
    </row>
    <row r="106">
      <c r="A106" s="5">
        <f>B106&amp;"|"&amp;C106&amp;"|"&amp;D106&amp;"|"&amp;E106&amp;"|"&amp;F106</f>
        <v/>
      </c>
      <c r="B106" s="5" t="inlineStr">
        <is>
          <t>Bull</t>
        </is>
      </c>
      <c r="C106" s="5" t="inlineStr">
        <is>
          <t>Anthropic</t>
        </is>
      </c>
      <c r="D106" s="5" t="n">
        <v>2026</v>
      </c>
      <c r="E106" s="5" t="inlineStr">
        <is>
          <t>SpaceXAI</t>
        </is>
      </c>
      <c r="F106" s="5" t="inlineStr">
        <is>
          <t>B200/B300 class</t>
        </is>
      </c>
      <c r="G106" s="5">
        <f>IFERROR(INDEX('02x_Accelerator_Catalog'!$C$2:$C$11,MATCH(F106,'02x_Accelerator_Catalog'!$B$2:$B$11,0)),"purpose_or_unbenchmarked")</f>
        <v/>
      </c>
      <c r="H106" s="28">
        <f>SUMIFS('02c_AI_CSP_Normalized'!$N$2:$N$305,'02c_AI_CSP_Normalized'!$B$2:$B$305,B106,'02c_AI_CSP_Normalized'!$C$2:$C$305,C106,'02c_AI_CSP_Normalized'!$D$2:$D$305,D106,'02c_AI_CSP_Normalized'!$E$2:$E$305,E106)</f>
        <v/>
      </c>
      <c r="I106" s="6">
        <f>SUMIFS('02b_CSP_Accelerator_Mix'!$H$2:$H$573,'02b_CSP_Accelerator_Mix'!$B$2:$B$573,B106,'02b_CSP_Accelerator_Mix'!$C$2:$C$573,E106,'02b_CSP_Accelerator_Mix'!$D$2:$D$573,D106,'02b_CSP_Accelerator_Mix'!$E$2:$E$573,F106)</f>
        <v/>
      </c>
      <c r="J106" s="28">
        <f>H106*I106</f>
        <v/>
      </c>
      <c r="K106" s="8">
        <f>IFERROR(INDEX('02x_Accelerator_Catalog'!$D$2:$D$11,MATCH(F106,'02x_Accelerator_Catalog'!$B$2:$B$11,0)),"")</f>
        <v/>
      </c>
      <c r="L106" s="7">
        <f>IF(K106&gt;0,J106*1000/K106,"")</f>
        <v/>
      </c>
      <c r="M106" s="5" t="inlineStr">
        <is>
          <t>epoch_csp_chip_quantity_latest</t>
        </is>
      </c>
      <c r="N106" s="5" t="inlineStr">
        <is>
          <t>Extensible long-format output: add a new accelerator row in 02b and map it in 02x_Accelerator_Catalog to extend this table.</t>
        </is>
      </c>
    </row>
    <row r="107">
      <c r="A107" s="5">
        <f>B107&amp;"|"&amp;C107&amp;"|"&amp;D107&amp;"|"&amp;E107&amp;"|"&amp;F107</f>
        <v/>
      </c>
      <c r="B107" s="5" t="inlineStr">
        <is>
          <t>Bull</t>
        </is>
      </c>
      <c r="C107" s="5" t="inlineStr">
        <is>
          <t>Anthropic</t>
        </is>
      </c>
      <c r="D107" s="5" t="n">
        <v>2026</v>
      </c>
      <c r="E107" s="5" t="inlineStr">
        <is>
          <t>SpaceXAI</t>
        </is>
      </c>
      <c r="F107" s="5" t="inlineStr">
        <is>
          <t>H100/H200/A100 class</t>
        </is>
      </c>
      <c r="G107" s="5">
        <f>IFERROR(INDEX('02x_Accelerator_Catalog'!$C$2:$C$11,MATCH(F107,'02x_Accelerator_Catalog'!$B$2:$B$11,0)),"purpose_or_unbenchmarked")</f>
        <v/>
      </c>
      <c r="H107" s="28">
        <f>SUMIFS('02c_AI_CSP_Normalized'!$N$2:$N$305,'02c_AI_CSP_Normalized'!$B$2:$B$305,B107,'02c_AI_CSP_Normalized'!$C$2:$C$305,C107,'02c_AI_CSP_Normalized'!$D$2:$D$305,D107,'02c_AI_CSP_Normalized'!$E$2:$E$305,E107)</f>
        <v/>
      </c>
      <c r="I107" s="6">
        <f>SUMIFS('02b_CSP_Accelerator_Mix'!$H$2:$H$573,'02b_CSP_Accelerator_Mix'!$B$2:$B$573,B107,'02b_CSP_Accelerator_Mix'!$C$2:$C$573,E107,'02b_CSP_Accelerator_Mix'!$D$2:$D$573,D107,'02b_CSP_Accelerator_Mix'!$E$2:$E$573,F107)</f>
        <v/>
      </c>
      <c r="J107" s="28">
        <f>H107*I107</f>
        <v/>
      </c>
      <c r="K107" s="8">
        <f>IFERROR(INDEX('02x_Accelerator_Catalog'!$D$2:$D$11,MATCH(F107,'02x_Accelerator_Catalog'!$B$2:$B$11,0)),"")</f>
        <v/>
      </c>
      <c r="L107" s="7">
        <f>IF(K107&gt;0,J107*1000/K107,"")</f>
        <v/>
      </c>
      <c r="M107" s="5" t="inlineStr">
        <is>
          <t>epoch_csp_chip_quantity_latest</t>
        </is>
      </c>
      <c r="N107" s="5" t="inlineStr">
        <is>
          <t>Extensible long-format output: add a new accelerator row in 02b and map it in 02x_Accelerator_Catalog to extend this table.</t>
        </is>
      </c>
    </row>
    <row r="108">
      <c r="A108" s="5">
        <f>B108&amp;"|"&amp;C108&amp;"|"&amp;D108&amp;"|"&amp;E108&amp;"|"&amp;F108</f>
        <v/>
      </c>
      <c r="B108" s="5" t="inlineStr">
        <is>
          <t>Grid-Constrained / Efficiency-Upside</t>
        </is>
      </c>
      <c r="C108" s="5" t="inlineStr">
        <is>
          <t>Anthropic</t>
        </is>
      </c>
      <c r="D108" s="5" t="n">
        <v>2026</v>
      </c>
      <c r="E108" s="5" t="inlineStr">
        <is>
          <t>SpaceXAI</t>
        </is>
      </c>
      <c r="F108" s="5" t="inlineStr">
        <is>
          <t>B200/B300 class</t>
        </is>
      </c>
      <c r="G108" s="5">
        <f>IFERROR(INDEX('02x_Accelerator_Catalog'!$C$2:$C$11,MATCH(F108,'02x_Accelerator_Catalog'!$B$2:$B$11,0)),"purpose_or_unbenchmarked")</f>
        <v/>
      </c>
      <c r="H108" s="28">
        <f>SUMIFS('02c_AI_CSP_Normalized'!$N$2:$N$305,'02c_AI_CSP_Normalized'!$B$2:$B$305,B108,'02c_AI_CSP_Normalized'!$C$2:$C$305,C108,'02c_AI_CSP_Normalized'!$D$2:$D$305,D108,'02c_AI_CSP_Normalized'!$E$2:$E$305,E108)</f>
        <v/>
      </c>
      <c r="I108" s="6">
        <f>SUMIFS('02b_CSP_Accelerator_Mix'!$H$2:$H$573,'02b_CSP_Accelerator_Mix'!$B$2:$B$573,B108,'02b_CSP_Accelerator_Mix'!$C$2:$C$573,E108,'02b_CSP_Accelerator_Mix'!$D$2:$D$573,D108,'02b_CSP_Accelerator_Mix'!$E$2:$E$573,F108)</f>
        <v/>
      </c>
      <c r="J108" s="28">
        <f>H108*I108</f>
        <v/>
      </c>
      <c r="K108" s="8">
        <f>IFERROR(INDEX('02x_Accelerator_Catalog'!$D$2:$D$11,MATCH(F108,'02x_Accelerator_Catalog'!$B$2:$B$11,0)),"")</f>
        <v/>
      </c>
      <c r="L108" s="7">
        <f>IF(K108&gt;0,J108*1000/K108,"")</f>
        <v/>
      </c>
      <c r="M108" s="5" t="inlineStr">
        <is>
          <t>epoch_csp_chip_quantity_latest</t>
        </is>
      </c>
      <c r="N108" s="5" t="inlineStr">
        <is>
          <t>Extensible long-format output: add a new accelerator row in 02b and map it in 02x_Accelerator_Catalog to extend this table.</t>
        </is>
      </c>
    </row>
    <row r="109">
      <c r="A109" s="5">
        <f>B109&amp;"|"&amp;C109&amp;"|"&amp;D109&amp;"|"&amp;E109&amp;"|"&amp;F109</f>
        <v/>
      </c>
      <c r="B109" s="5" t="inlineStr">
        <is>
          <t>Grid-Constrained / Efficiency-Upside</t>
        </is>
      </c>
      <c r="C109" s="5" t="inlineStr">
        <is>
          <t>Anthropic</t>
        </is>
      </c>
      <c r="D109" s="5" t="n">
        <v>2026</v>
      </c>
      <c r="E109" s="5" t="inlineStr">
        <is>
          <t>SpaceXAI</t>
        </is>
      </c>
      <c r="F109" s="5" t="inlineStr">
        <is>
          <t>H100/H200/A100 class</t>
        </is>
      </c>
      <c r="G109" s="5">
        <f>IFERROR(INDEX('02x_Accelerator_Catalog'!$C$2:$C$11,MATCH(F109,'02x_Accelerator_Catalog'!$B$2:$B$11,0)),"purpose_or_unbenchmarked")</f>
        <v/>
      </c>
      <c r="H109" s="28">
        <f>SUMIFS('02c_AI_CSP_Normalized'!$N$2:$N$305,'02c_AI_CSP_Normalized'!$B$2:$B$305,B109,'02c_AI_CSP_Normalized'!$C$2:$C$305,C109,'02c_AI_CSP_Normalized'!$D$2:$D$305,D109,'02c_AI_CSP_Normalized'!$E$2:$E$305,E109)</f>
        <v/>
      </c>
      <c r="I109" s="6">
        <f>SUMIFS('02b_CSP_Accelerator_Mix'!$H$2:$H$573,'02b_CSP_Accelerator_Mix'!$B$2:$B$573,B109,'02b_CSP_Accelerator_Mix'!$C$2:$C$573,E109,'02b_CSP_Accelerator_Mix'!$D$2:$D$573,D109,'02b_CSP_Accelerator_Mix'!$E$2:$E$573,F109)</f>
        <v/>
      </c>
      <c r="J109" s="28">
        <f>H109*I109</f>
        <v/>
      </c>
      <c r="K109" s="8">
        <f>IFERROR(INDEX('02x_Accelerator_Catalog'!$D$2:$D$11,MATCH(F109,'02x_Accelerator_Catalog'!$B$2:$B$11,0)),"")</f>
        <v/>
      </c>
      <c r="L109" s="7">
        <f>IF(K109&gt;0,J109*1000/K109,"")</f>
        <v/>
      </c>
      <c r="M109" s="5" t="inlineStr">
        <is>
          <t>epoch_csp_chip_quantity_latest</t>
        </is>
      </c>
      <c r="N109" s="5" t="inlineStr">
        <is>
          <t>Extensible long-format output: add a new accelerator row in 02b and map it in 02x_Accelerator_Catalog to extend this table.</t>
        </is>
      </c>
    </row>
    <row r="110">
      <c r="A110" s="5">
        <f>B110&amp;"|"&amp;C110&amp;"|"&amp;D110&amp;"|"&amp;E110&amp;"|"&amp;F110</f>
        <v/>
      </c>
      <c r="B110" s="5" t="inlineStr">
        <is>
          <t>Bear</t>
        </is>
      </c>
      <c r="C110" s="5" t="inlineStr">
        <is>
          <t>Anthropic</t>
        </is>
      </c>
      <c r="D110" s="5" t="n">
        <v>2027</v>
      </c>
      <c r="E110" s="5" t="inlineStr">
        <is>
          <t>SpaceXAI</t>
        </is>
      </c>
      <c r="F110" s="5" t="inlineStr">
        <is>
          <t>B200/B300 class</t>
        </is>
      </c>
      <c r="G110" s="5">
        <f>IFERROR(INDEX('02x_Accelerator_Catalog'!$C$2:$C$11,MATCH(F110,'02x_Accelerator_Catalog'!$B$2:$B$11,0)),"purpose_or_unbenchmarked")</f>
        <v/>
      </c>
      <c r="H110" s="28">
        <f>SUMIFS('02c_AI_CSP_Normalized'!$N$2:$N$305,'02c_AI_CSP_Normalized'!$B$2:$B$305,B110,'02c_AI_CSP_Normalized'!$C$2:$C$305,C110,'02c_AI_CSP_Normalized'!$D$2:$D$305,D110,'02c_AI_CSP_Normalized'!$E$2:$E$305,E110)</f>
        <v/>
      </c>
      <c r="I110" s="6">
        <f>SUMIFS('02b_CSP_Accelerator_Mix'!$H$2:$H$573,'02b_CSP_Accelerator_Mix'!$B$2:$B$573,B110,'02b_CSP_Accelerator_Mix'!$C$2:$C$573,E110,'02b_CSP_Accelerator_Mix'!$D$2:$D$573,D110,'02b_CSP_Accelerator_Mix'!$E$2:$E$573,F110)</f>
        <v/>
      </c>
      <c r="J110" s="28">
        <f>H110*I110</f>
        <v/>
      </c>
      <c r="K110" s="8">
        <f>IFERROR(INDEX('02x_Accelerator_Catalog'!$D$2:$D$11,MATCH(F110,'02x_Accelerator_Catalog'!$B$2:$B$11,0)),"")</f>
        <v/>
      </c>
      <c r="L110" s="7">
        <f>IF(K110&gt;0,J110*1000/K110,"")</f>
        <v/>
      </c>
      <c r="M110" s="5" t="inlineStr">
        <is>
          <t>epoch_csp_chip_quantity_latest</t>
        </is>
      </c>
      <c r="N110" s="5" t="inlineStr">
        <is>
          <t>Extensible long-format output: add a new accelerator row in 02b and map it in 02x_Accelerator_Catalog to extend this table.</t>
        </is>
      </c>
    </row>
    <row r="111">
      <c r="A111" s="5">
        <f>B111&amp;"|"&amp;C111&amp;"|"&amp;D111&amp;"|"&amp;E111&amp;"|"&amp;F111</f>
        <v/>
      </c>
      <c r="B111" s="5" t="inlineStr">
        <is>
          <t>Bear</t>
        </is>
      </c>
      <c r="C111" s="5" t="inlineStr">
        <is>
          <t>Anthropic</t>
        </is>
      </c>
      <c r="D111" s="5" t="n">
        <v>2027</v>
      </c>
      <c r="E111" s="5" t="inlineStr">
        <is>
          <t>SpaceXAI</t>
        </is>
      </c>
      <c r="F111" s="5" t="inlineStr">
        <is>
          <t>H100/H200/A100 class</t>
        </is>
      </c>
      <c r="G111" s="5">
        <f>IFERROR(INDEX('02x_Accelerator_Catalog'!$C$2:$C$11,MATCH(F111,'02x_Accelerator_Catalog'!$B$2:$B$11,0)),"purpose_or_unbenchmarked")</f>
        <v/>
      </c>
      <c r="H111" s="28">
        <f>SUMIFS('02c_AI_CSP_Normalized'!$N$2:$N$305,'02c_AI_CSP_Normalized'!$B$2:$B$305,B111,'02c_AI_CSP_Normalized'!$C$2:$C$305,C111,'02c_AI_CSP_Normalized'!$D$2:$D$305,D111,'02c_AI_CSP_Normalized'!$E$2:$E$305,E111)</f>
        <v/>
      </c>
      <c r="I111" s="6">
        <f>SUMIFS('02b_CSP_Accelerator_Mix'!$H$2:$H$573,'02b_CSP_Accelerator_Mix'!$B$2:$B$573,B111,'02b_CSP_Accelerator_Mix'!$C$2:$C$573,E111,'02b_CSP_Accelerator_Mix'!$D$2:$D$573,D111,'02b_CSP_Accelerator_Mix'!$E$2:$E$573,F111)</f>
        <v/>
      </c>
      <c r="J111" s="28">
        <f>H111*I111</f>
        <v/>
      </c>
      <c r="K111" s="8">
        <f>IFERROR(INDEX('02x_Accelerator_Catalog'!$D$2:$D$11,MATCH(F111,'02x_Accelerator_Catalog'!$B$2:$B$11,0)),"")</f>
        <v/>
      </c>
      <c r="L111" s="7">
        <f>IF(K111&gt;0,J111*1000/K111,"")</f>
        <v/>
      </c>
      <c r="M111" s="5" t="inlineStr">
        <is>
          <t>epoch_csp_chip_quantity_latest</t>
        </is>
      </c>
      <c r="N111" s="5" t="inlineStr">
        <is>
          <t>Extensible long-format output: add a new accelerator row in 02b and map it in 02x_Accelerator_Catalog to extend this table.</t>
        </is>
      </c>
    </row>
    <row r="112">
      <c r="A112" s="5">
        <f>B112&amp;"|"&amp;C112&amp;"|"&amp;D112&amp;"|"&amp;E112&amp;"|"&amp;F112</f>
        <v/>
      </c>
      <c r="B112" s="5" t="inlineStr">
        <is>
          <t>Base</t>
        </is>
      </c>
      <c r="C112" s="5" t="inlineStr">
        <is>
          <t>Anthropic</t>
        </is>
      </c>
      <c r="D112" s="5" t="n">
        <v>2027</v>
      </c>
      <c r="E112" s="5" t="inlineStr">
        <is>
          <t>SpaceXAI</t>
        </is>
      </c>
      <c r="F112" s="5" t="inlineStr">
        <is>
          <t>B200/B300 class</t>
        </is>
      </c>
      <c r="G112" s="5">
        <f>IFERROR(INDEX('02x_Accelerator_Catalog'!$C$2:$C$11,MATCH(F112,'02x_Accelerator_Catalog'!$B$2:$B$11,0)),"purpose_or_unbenchmarked")</f>
        <v/>
      </c>
      <c r="H112" s="28">
        <f>SUMIFS('02c_AI_CSP_Normalized'!$N$2:$N$305,'02c_AI_CSP_Normalized'!$B$2:$B$305,B112,'02c_AI_CSP_Normalized'!$C$2:$C$305,C112,'02c_AI_CSP_Normalized'!$D$2:$D$305,D112,'02c_AI_CSP_Normalized'!$E$2:$E$305,E112)</f>
        <v/>
      </c>
      <c r="I112" s="6">
        <f>SUMIFS('02b_CSP_Accelerator_Mix'!$H$2:$H$573,'02b_CSP_Accelerator_Mix'!$B$2:$B$573,B112,'02b_CSP_Accelerator_Mix'!$C$2:$C$573,E112,'02b_CSP_Accelerator_Mix'!$D$2:$D$573,D112,'02b_CSP_Accelerator_Mix'!$E$2:$E$573,F112)</f>
        <v/>
      </c>
      <c r="J112" s="28">
        <f>H112*I112</f>
        <v/>
      </c>
      <c r="K112" s="8">
        <f>IFERROR(INDEX('02x_Accelerator_Catalog'!$D$2:$D$11,MATCH(F112,'02x_Accelerator_Catalog'!$B$2:$B$11,0)),"")</f>
        <v/>
      </c>
      <c r="L112" s="7">
        <f>IF(K112&gt;0,J112*1000/K112,"")</f>
        <v/>
      </c>
      <c r="M112" s="5" t="inlineStr">
        <is>
          <t>epoch_csp_chip_quantity_latest</t>
        </is>
      </c>
      <c r="N112" s="5" t="inlineStr">
        <is>
          <t>Extensible long-format output: add a new accelerator row in 02b and map it in 02x_Accelerator_Catalog to extend this table.</t>
        </is>
      </c>
    </row>
    <row r="113">
      <c r="A113" s="5">
        <f>B113&amp;"|"&amp;C113&amp;"|"&amp;D113&amp;"|"&amp;E113&amp;"|"&amp;F113</f>
        <v/>
      </c>
      <c r="B113" s="5" t="inlineStr">
        <is>
          <t>Base</t>
        </is>
      </c>
      <c r="C113" s="5" t="inlineStr">
        <is>
          <t>Anthropic</t>
        </is>
      </c>
      <c r="D113" s="5" t="n">
        <v>2027</v>
      </c>
      <c r="E113" s="5" t="inlineStr">
        <is>
          <t>SpaceXAI</t>
        </is>
      </c>
      <c r="F113" s="5" t="inlineStr">
        <is>
          <t>H100/H200/A100 class</t>
        </is>
      </c>
      <c r="G113" s="5">
        <f>IFERROR(INDEX('02x_Accelerator_Catalog'!$C$2:$C$11,MATCH(F113,'02x_Accelerator_Catalog'!$B$2:$B$11,0)),"purpose_or_unbenchmarked")</f>
        <v/>
      </c>
      <c r="H113" s="28">
        <f>SUMIFS('02c_AI_CSP_Normalized'!$N$2:$N$305,'02c_AI_CSP_Normalized'!$B$2:$B$305,B113,'02c_AI_CSP_Normalized'!$C$2:$C$305,C113,'02c_AI_CSP_Normalized'!$D$2:$D$305,D113,'02c_AI_CSP_Normalized'!$E$2:$E$305,E113)</f>
        <v/>
      </c>
      <c r="I113" s="6">
        <f>SUMIFS('02b_CSP_Accelerator_Mix'!$H$2:$H$573,'02b_CSP_Accelerator_Mix'!$B$2:$B$573,B113,'02b_CSP_Accelerator_Mix'!$C$2:$C$573,E113,'02b_CSP_Accelerator_Mix'!$D$2:$D$573,D113,'02b_CSP_Accelerator_Mix'!$E$2:$E$573,F113)</f>
        <v/>
      </c>
      <c r="J113" s="28">
        <f>H113*I113</f>
        <v/>
      </c>
      <c r="K113" s="8">
        <f>IFERROR(INDEX('02x_Accelerator_Catalog'!$D$2:$D$11,MATCH(F113,'02x_Accelerator_Catalog'!$B$2:$B$11,0)),"")</f>
        <v/>
      </c>
      <c r="L113" s="7">
        <f>IF(K113&gt;0,J113*1000/K113,"")</f>
        <v/>
      </c>
      <c r="M113" s="5" t="inlineStr">
        <is>
          <t>epoch_csp_chip_quantity_latest</t>
        </is>
      </c>
      <c r="N113" s="5" t="inlineStr">
        <is>
          <t>Extensible long-format output: add a new accelerator row in 02b and map it in 02x_Accelerator_Catalog to extend this table.</t>
        </is>
      </c>
    </row>
    <row r="114">
      <c r="A114" s="5">
        <f>B114&amp;"|"&amp;C114&amp;"|"&amp;D114&amp;"|"&amp;E114&amp;"|"&amp;F114</f>
        <v/>
      </c>
      <c r="B114" s="5" t="inlineStr">
        <is>
          <t>Bull</t>
        </is>
      </c>
      <c r="C114" s="5" t="inlineStr">
        <is>
          <t>Anthropic</t>
        </is>
      </c>
      <c r="D114" s="5" t="n">
        <v>2027</v>
      </c>
      <c r="E114" s="5" t="inlineStr">
        <is>
          <t>SpaceXAI</t>
        </is>
      </c>
      <c r="F114" s="5" t="inlineStr">
        <is>
          <t>B200/B300 class</t>
        </is>
      </c>
      <c r="G114" s="5">
        <f>IFERROR(INDEX('02x_Accelerator_Catalog'!$C$2:$C$11,MATCH(F114,'02x_Accelerator_Catalog'!$B$2:$B$11,0)),"purpose_or_unbenchmarked")</f>
        <v/>
      </c>
      <c r="H114" s="28">
        <f>SUMIFS('02c_AI_CSP_Normalized'!$N$2:$N$305,'02c_AI_CSP_Normalized'!$B$2:$B$305,B114,'02c_AI_CSP_Normalized'!$C$2:$C$305,C114,'02c_AI_CSP_Normalized'!$D$2:$D$305,D114,'02c_AI_CSP_Normalized'!$E$2:$E$305,E114)</f>
        <v/>
      </c>
      <c r="I114" s="6">
        <f>SUMIFS('02b_CSP_Accelerator_Mix'!$H$2:$H$573,'02b_CSP_Accelerator_Mix'!$B$2:$B$573,B114,'02b_CSP_Accelerator_Mix'!$C$2:$C$573,E114,'02b_CSP_Accelerator_Mix'!$D$2:$D$573,D114,'02b_CSP_Accelerator_Mix'!$E$2:$E$573,F114)</f>
        <v/>
      </c>
      <c r="J114" s="28">
        <f>H114*I114</f>
        <v/>
      </c>
      <c r="K114" s="8">
        <f>IFERROR(INDEX('02x_Accelerator_Catalog'!$D$2:$D$11,MATCH(F114,'02x_Accelerator_Catalog'!$B$2:$B$11,0)),"")</f>
        <v/>
      </c>
      <c r="L114" s="7">
        <f>IF(K114&gt;0,J114*1000/K114,"")</f>
        <v/>
      </c>
      <c r="M114" s="5" t="inlineStr">
        <is>
          <t>epoch_csp_chip_quantity_latest</t>
        </is>
      </c>
      <c r="N114" s="5" t="inlineStr">
        <is>
          <t>Extensible long-format output: add a new accelerator row in 02b and map it in 02x_Accelerator_Catalog to extend this table.</t>
        </is>
      </c>
    </row>
    <row r="115">
      <c r="A115" s="5">
        <f>B115&amp;"|"&amp;C115&amp;"|"&amp;D115&amp;"|"&amp;E115&amp;"|"&amp;F115</f>
        <v/>
      </c>
      <c r="B115" s="5" t="inlineStr">
        <is>
          <t>Bull</t>
        </is>
      </c>
      <c r="C115" s="5" t="inlineStr">
        <is>
          <t>Anthropic</t>
        </is>
      </c>
      <c r="D115" s="5" t="n">
        <v>2027</v>
      </c>
      <c r="E115" s="5" t="inlineStr">
        <is>
          <t>SpaceXAI</t>
        </is>
      </c>
      <c r="F115" s="5" t="inlineStr">
        <is>
          <t>H100/H200/A100 class</t>
        </is>
      </c>
      <c r="G115" s="5">
        <f>IFERROR(INDEX('02x_Accelerator_Catalog'!$C$2:$C$11,MATCH(F115,'02x_Accelerator_Catalog'!$B$2:$B$11,0)),"purpose_or_unbenchmarked")</f>
        <v/>
      </c>
      <c r="H115" s="28">
        <f>SUMIFS('02c_AI_CSP_Normalized'!$N$2:$N$305,'02c_AI_CSP_Normalized'!$B$2:$B$305,B115,'02c_AI_CSP_Normalized'!$C$2:$C$305,C115,'02c_AI_CSP_Normalized'!$D$2:$D$305,D115,'02c_AI_CSP_Normalized'!$E$2:$E$305,E115)</f>
        <v/>
      </c>
      <c r="I115" s="6">
        <f>SUMIFS('02b_CSP_Accelerator_Mix'!$H$2:$H$573,'02b_CSP_Accelerator_Mix'!$B$2:$B$573,B115,'02b_CSP_Accelerator_Mix'!$C$2:$C$573,E115,'02b_CSP_Accelerator_Mix'!$D$2:$D$573,D115,'02b_CSP_Accelerator_Mix'!$E$2:$E$573,F115)</f>
        <v/>
      </c>
      <c r="J115" s="28">
        <f>H115*I115</f>
        <v/>
      </c>
      <c r="K115" s="8">
        <f>IFERROR(INDEX('02x_Accelerator_Catalog'!$D$2:$D$11,MATCH(F115,'02x_Accelerator_Catalog'!$B$2:$B$11,0)),"")</f>
        <v/>
      </c>
      <c r="L115" s="7">
        <f>IF(K115&gt;0,J115*1000/K115,"")</f>
        <v/>
      </c>
      <c r="M115" s="5" t="inlineStr">
        <is>
          <t>epoch_csp_chip_quantity_latest</t>
        </is>
      </c>
      <c r="N115" s="5" t="inlineStr">
        <is>
          <t>Extensible long-format output: add a new accelerator row in 02b and map it in 02x_Accelerator_Catalog to extend this table.</t>
        </is>
      </c>
    </row>
    <row r="116">
      <c r="A116" s="5">
        <f>B116&amp;"|"&amp;C116&amp;"|"&amp;D116&amp;"|"&amp;E116&amp;"|"&amp;F116</f>
        <v/>
      </c>
      <c r="B116" s="5" t="inlineStr">
        <is>
          <t>Grid-Constrained / Efficiency-Upside</t>
        </is>
      </c>
      <c r="C116" s="5" t="inlineStr">
        <is>
          <t>Anthropic</t>
        </is>
      </c>
      <c r="D116" s="5" t="n">
        <v>2027</v>
      </c>
      <c r="E116" s="5" t="inlineStr">
        <is>
          <t>SpaceXAI</t>
        </is>
      </c>
      <c r="F116" s="5" t="inlineStr">
        <is>
          <t>B200/B300 class</t>
        </is>
      </c>
      <c r="G116" s="5">
        <f>IFERROR(INDEX('02x_Accelerator_Catalog'!$C$2:$C$11,MATCH(F116,'02x_Accelerator_Catalog'!$B$2:$B$11,0)),"purpose_or_unbenchmarked")</f>
        <v/>
      </c>
      <c r="H116" s="28">
        <f>SUMIFS('02c_AI_CSP_Normalized'!$N$2:$N$305,'02c_AI_CSP_Normalized'!$B$2:$B$305,B116,'02c_AI_CSP_Normalized'!$C$2:$C$305,C116,'02c_AI_CSP_Normalized'!$D$2:$D$305,D116,'02c_AI_CSP_Normalized'!$E$2:$E$305,E116)</f>
        <v/>
      </c>
      <c r="I116" s="6">
        <f>SUMIFS('02b_CSP_Accelerator_Mix'!$H$2:$H$573,'02b_CSP_Accelerator_Mix'!$B$2:$B$573,B116,'02b_CSP_Accelerator_Mix'!$C$2:$C$573,E116,'02b_CSP_Accelerator_Mix'!$D$2:$D$573,D116,'02b_CSP_Accelerator_Mix'!$E$2:$E$573,F116)</f>
        <v/>
      </c>
      <c r="J116" s="28">
        <f>H116*I116</f>
        <v/>
      </c>
      <c r="K116" s="8">
        <f>IFERROR(INDEX('02x_Accelerator_Catalog'!$D$2:$D$11,MATCH(F116,'02x_Accelerator_Catalog'!$B$2:$B$11,0)),"")</f>
        <v/>
      </c>
      <c r="L116" s="7">
        <f>IF(K116&gt;0,J116*1000/K116,"")</f>
        <v/>
      </c>
      <c r="M116" s="5" t="inlineStr">
        <is>
          <t>epoch_csp_chip_quantity_latest</t>
        </is>
      </c>
      <c r="N116" s="5" t="inlineStr">
        <is>
          <t>Extensible long-format output: add a new accelerator row in 02b and map it in 02x_Accelerator_Catalog to extend this table.</t>
        </is>
      </c>
    </row>
    <row r="117">
      <c r="A117" s="5">
        <f>B117&amp;"|"&amp;C117&amp;"|"&amp;D117&amp;"|"&amp;E117&amp;"|"&amp;F117</f>
        <v/>
      </c>
      <c r="B117" s="5" t="inlineStr">
        <is>
          <t>Grid-Constrained / Efficiency-Upside</t>
        </is>
      </c>
      <c r="C117" s="5" t="inlineStr">
        <is>
          <t>Anthropic</t>
        </is>
      </c>
      <c r="D117" s="5" t="n">
        <v>2027</v>
      </c>
      <c r="E117" s="5" t="inlineStr">
        <is>
          <t>SpaceXAI</t>
        </is>
      </c>
      <c r="F117" s="5" t="inlineStr">
        <is>
          <t>H100/H200/A100 class</t>
        </is>
      </c>
      <c r="G117" s="5">
        <f>IFERROR(INDEX('02x_Accelerator_Catalog'!$C$2:$C$11,MATCH(F117,'02x_Accelerator_Catalog'!$B$2:$B$11,0)),"purpose_or_unbenchmarked")</f>
        <v/>
      </c>
      <c r="H117" s="28">
        <f>SUMIFS('02c_AI_CSP_Normalized'!$N$2:$N$305,'02c_AI_CSP_Normalized'!$B$2:$B$305,B117,'02c_AI_CSP_Normalized'!$C$2:$C$305,C117,'02c_AI_CSP_Normalized'!$D$2:$D$305,D117,'02c_AI_CSP_Normalized'!$E$2:$E$305,E117)</f>
        <v/>
      </c>
      <c r="I117" s="6">
        <f>SUMIFS('02b_CSP_Accelerator_Mix'!$H$2:$H$573,'02b_CSP_Accelerator_Mix'!$B$2:$B$573,B117,'02b_CSP_Accelerator_Mix'!$C$2:$C$573,E117,'02b_CSP_Accelerator_Mix'!$D$2:$D$573,D117,'02b_CSP_Accelerator_Mix'!$E$2:$E$573,F117)</f>
        <v/>
      </c>
      <c r="J117" s="28">
        <f>H117*I117</f>
        <v/>
      </c>
      <c r="K117" s="8">
        <f>IFERROR(INDEX('02x_Accelerator_Catalog'!$D$2:$D$11,MATCH(F117,'02x_Accelerator_Catalog'!$B$2:$B$11,0)),"")</f>
        <v/>
      </c>
      <c r="L117" s="7">
        <f>IF(K117&gt;0,J117*1000/K117,"")</f>
        <v/>
      </c>
      <c r="M117" s="5" t="inlineStr">
        <is>
          <t>epoch_csp_chip_quantity_latest</t>
        </is>
      </c>
      <c r="N117" s="5" t="inlineStr">
        <is>
          <t>Extensible long-format output: add a new accelerator row in 02b and map it in 02x_Accelerator_Catalog to extend this table.</t>
        </is>
      </c>
    </row>
    <row r="118">
      <c r="A118" s="5">
        <f>B118&amp;"|"&amp;C118&amp;"|"&amp;D118&amp;"|"&amp;E118&amp;"|"&amp;F118</f>
        <v/>
      </c>
      <c r="B118" s="5" t="inlineStr">
        <is>
          <t>Bear</t>
        </is>
      </c>
      <c r="C118" s="5" t="inlineStr">
        <is>
          <t>Anthropic</t>
        </is>
      </c>
      <c r="D118" s="5" t="n">
        <v>2028</v>
      </c>
      <c r="E118" s="5" t="inlineStr">
        <is>
          <t>SpaceXAI</t>
        </is>
      </c>
      <c r="F118" s="5" t="inlineStr">
        <is>
          <t>B200/B300 class</t>
        </is>
      </c>
      <c r="G118" s="5">
        <f>IFERROR(INDEX('02x_Accelerator_Catalog'!$C$2:$C$11,MATCH(F118,'02x_Accelerator_Catalog'!$B$2:$B$11,0)),"purpose_or_unbenchmarked")</f>
        <v/>
      </c>
      <c r="H118" s="28">
        <f>SUMIFS('02c_AI_CSP_Normalized'!$N$2:$N$305,'02c_AI_CSP_Normalized'!$B$2:$B$305,B118,'02c_AI_CSP_Normalized'!$C$2:$C$305,C118,'02c_AI_CSP_Normalized'!$D$2:$D$305,D118,'02c_AI_CSP_Normalized'!$E$2:$E$305,E118)</f>
        <v/>
      </c>
      <c r="I118" s="6">
        <f>SUMIFS('02b_CSP_Accelerator_Mix'!$H$2:$H$573,'02b_CSP_Accelerator_Mix'!$B$2:$B$573,B118,'02b_CSP_Accelerator_Mix'!$C$2:$C$573,E118,'02b_CSP_Accelerator_Mix'!$D$2:$D$573,D118,'02b_CSP_Accelerator_Mix'!$E$2:$E$573,F118)</f>
        <v/>
      </c>
      <c r="J118" s="28">
        <f>H118*I118</f>
        <v/>
      </c>
      <c r="K118" s="8">
        <f>IFERROR(INDEX('02x_Accelerator_Catalog'!$D$2:$D$11,MATCH(F118,'02x_Accelerator_Catalog'!$B$2:$B$11,0)),"")</f>
        <v/>
      </c>
      <c r="L118" s="7">
        <f>IF(K118&gt;0,J118*1000/K118,"")</f>
        <v/>
      </c>
      <c r="M118" s="5" t="inlineStr">
        <is>
          <t>epoch_csp_chip_quantity_latest</t>
        </is>
      </c>
      <c r="N118" s="5" t="inlineStr">
        <is>
          <t>Extensible long-format output: add a new accelerator row in 02b and map it in 02x_Accelerator_Catalog to extend this table.</t>
        </is>
      </c>
    </row>
    <row r="119">
      <c r="A119" s="5">
        <f>B119&amp;"|"&amp;C119&amp;"|"&amp;D119&amp;"|"&amp;E119&amp;"|"&amp;F119</f>
        <v/>
      </c>
      <c r="B119" s="5" t="inlineStr">
        <is>
          <t>Bear</t>
        </is>
      </c>
      <c r="C119" s="5" t="inlineStr">
        <is>
          <t>Anthropic</t>
        </is>
      </c>
      <c r="D119" s="5" t="n">
        <v>2028</v>
      </c>
      <c r="E119" s="5" t="inlineStr">
        <is>
          <t>SpaceXAI</t>
        </is>
      </c>
      <c r="F119" s="5" t="inlineStr">
        <is>
          <t>H100/H200/A100 class</t>
        </is>
      </c>
      <c r="G119" s="5">
        <f>IFERROR(INDEX('02x_Accelerator_Catalog'!$C$2:$C$11,MATCH(F119,'02x_Accelerator_Catalog'!$B$2:$B$11,0)),"purpose_or_unbenchmarked")</f>
        <v/>
      </c>
      <c r="H119" s="28">
        <f>SUMIFS('02c_AI_CSP_Normalized'!$N$2:$N$305,'02c_AI_CSP_Normalized'!$B$2:$B$305,B119,'02c_AI_CSP_Normalized'!$C$2:$C$305,C119,'02c_AI_CSP_Normalized'!$D$2:$D$305,D119,'02c_AI_CSP_Normalized'!$E$2:$E$305,E119)</f>
        <v/>
      </c>
      <c r="I119" s="6">
        <f>SUMIFS('02b_CSP_Accelerator_Mix'!$H$2:$H$573,'02b_CSP_Accelerator_Mix'!$B$2:$B$573,B119,'02b_CSP_Accelerator_Mix'!$C$2:$C$573,E119,'02b_CSP_Accelerator_Mix'!$D$2:$D$573,D119,'02b_CSP_Accelerator_Mix'!$E$2:$E$573,F119)</f>
        <v/>
      </c>
      <c r="J119" s="28">
        <f>H119*I119</f>
        <v/>
      </c>
      <c r="K119" s="8">
        <f>IFERROR(INDEX('02x_Accelerator_Catalog'!$D$2:$D$11,MATCH(F119,'02x_Accelerator_Catalog'!$B$2:$B$11,0)),"")</f>
        <v/>
      </c>
      <c r="L119" s="7">
        <f>IF(K119&gt;0,J119*1000/K119,"")</f>
        <v/>
      </c>
      <c r="M119" s="5" t="inlineStr">
        <is>
          <t>epoch_csp_chip_quantity_latest</t>
        </is>
      </c>
      <c r="N119" s="5" t="inlineStr">
        <is>
          <t>Extensible long-format output: add a new accelerator row in 02b and map it in 02x_Accelerator_Catalog to extend this table.</t>
        </is>
      </c>
    </row>
    <row r="120">
      <c r="A120" s="5">
        <f>B120&amp;"|"&amp;C120&amp;"|"&amp;D120&amp;"|"&amp;E120&amp;"|"&amp;F120</f>
        <v/>
      </c>
      <c r="B120" s="5" t="inlineStr">
        <is>
          <t>Base</t>
        </is>
      </c>
      <c r="C120" s="5" t="inlineStr">
        <is>
          <t>Anthropic</t>
        </is>
      </c>
      <c r="D120" s="5" t="n">
        <v>2028</v>
      </c>
      <c r="E120" s="5" t="inlineStr">
        <is>
          <t>SpaceXAI</t>
        </is>
      </c>
      <c r="F120" s="5" t="inlineStr">
        <is>
          <t>B200/B300 class</t>
        </is>
      </c>
      <c r="G120" s="5">
        <f>IFERROR(INDEX('02x_Accelerator_Catalog'!$C$2:$C$11,MATCH(F120,'02x_Accelerator_Catalog'!$B$2:$B$11,0)),"purpose_or_unbenchmarked")</f>
        <v/>
      </c>
      <c r="H120" s="28">
        <f>SUMIFS('02c_AI_CSP_Normalized'!$N$2:$N$305,'02c_AI_CSP_Normalized'!$B$2:$B$305,B120,'02c_AI_CSP_Normalized'!$C$2:$C$305,C120,'02c_AI_CSP_Normalized'!$D$2:$D$305,D120,'02c_AI_CSP_Normalized'!$E$2:$E$305,E120)</f>
        <v/>
      </c>
      <c r="I120" s="6">
        <f>SUMIFS('02b_CSP_Accelerator_Mix'!$H$2:$H$573,'02b_CSP_Accelerator_Mix'!$B$2:$B$573,B120,'02b_CSP_Accelerator_Mix'!$C$2:$C$573,E120,'02b_CSP_Accelerator_Mix'!$D$2:$D$573,D120,'02b_CSP_Accelerator_Mix'!$E$2:$E$573,F120)</f>
        <v/>
      </c>
      <c r="J120" s="28">
        <f>H120*I120</f>
        <v/>
      </c>
      <c r="K120" s="8">
        <f>IFERROR(INDEX('02x_Accelerator_Catalog'!$D$2:$D$11,MATCH(F120,'02x_Accelerator_Catalog'!$B$2:$B$11,0)),"")</f>
        <v/>
      </c>
      <c r="L120" s="7">
        <f>IF(K120&gt;0,J120*1000/K120,"")</f>
        <v/>
      </c>
      <c r="M120" s="5" t="inlineStr">
        <is>
          <t>epoch_csp_chip_quantity_latest</t>
        </is>
      </c>
      <c r="N120" s="5" t="inlineStr">
        <is>
          <t>Extensible long-format output: add a new accelerator row in 02b and map it in 02x_Accelerator_Catalog to extend this table.</t>
        </is>
      </c>
    </row>
    <row r="121">
      <c r="A121" s="5">
        <f>B121&amp;"|"&amp;C121&amp;"|"&amp;D121&amp;"|"&amp;E121&amp;"|"&amp;F121</f>
        <v/>
      </c>
      <c r="B121" s="5" t="inlineStr">
        <is>
          <t>Base</t>
        </is>
      </c>
      <c r="C121" s="5" t="inlineStr">
        <is>
          <t>Anthropic</t>
        </is>
      </c>
      <c r="D121" s="5" t="n">
        <v>2028</v>
      </c>
      <c r="E121" s="5" t="inlineStr">
        <is>
          <t>SpaceXAI</t>
        </is>
      </c>
      <c r="F121" s="5" t="inlineStr">
        <is>
          <t>H100/H200/A100 class</t>
        </is>
      </c>
      <c r="G121" s="5">
        <f>IFERROR(INDEX('02x_Accelerator_Catalog'!$C$2:$C$11,MATCH(F121,'02x_Accelerator_Catalog'!$B$2:$B$11,0)),"purpose_or_unbenchmarked")</f>
        <v/>
      </c>
      <c r="H121" s="28">
        <f>SUMIFS('02c_AI_CSP_Normalized'!$N$2:$N$305,'02c_AI_CSP_Normalized'!$B$2:$B$305,B121,'02c_AI_CSP_Normalized'!$C$2:$C$305,C121,'02c_AI_CSP_Normalized'!$D$2:$D$305,D121,'02c_AI_CSP_Normalized'!$E$2:$E$305,E121)</f>
        <v/>
      </c>
      <c r="I121" s="6">
        <f>SUMIFS('02b_CSP_Accelerator_Mix'!$H$2:$H$573,'02b_CSP_Accelerator_Mix'!$B$2:$B$573,B121,'02b_CSP_Accelerator_Mix'!$C$2:$C$573,E121,'02b_CSP_Accelerator_Mix'!$D$2:$D$573,D121,'02b_CSP_Accelerator_Mix'!$E$2:$E$573,F121)</f>
        <v/>
      </c>
      <c r="J121" s="28">
        <f>H121*I121</f>
        <v/>
      </c>
      <c r="K121" s="8">
        <f>IFERROR(INDEX('02x_Accelerator_Catalog'!$D$2:$D$11,MATCH(F121,'02x_Accelerator_Catalog'!$B$2:$B$11,0)),"")</f>
        <v/>
      </c>
      <c r="L121" s="7">
        <f>IF(K121&gt;0,J121*1000/K121,"")</f>
        <v/>
      </c>
      <c r="M121" s="5" t="inlineStr">
        <is>
          <t>epoch_csp_chip_quantity_latest</t>
        </is>
      </c>
      <c r="N121" s="5" t="inlineStr">
        <is>
          <t>Extensible long-format output: add a new accelerator row in 02b and map it in 02x_Accelerator_Catalog to extend this table.</t>
        </is>
      </c>
    </row>
    <row r="122">
      <c r="A122" s="5">
        <f>B122&amp;"|"&amp;C122&amp;"|"&amp;D122&amp;"|"&amp;E122&amp;"|"&amp;F122</f>
        <v/>
      </c>
      <c r="B122" s="5" t="inlineStr">
        <is>
          <t>Bull</t>
        </is>
      </c>
      <c r="C122" s="5" t="inlineStr">
        <is>
          <t>Anthropic</t>
        </is>
      </c>
      <c r="D122" s="5" t="n">
        <v>2028</v>
      </c>
      <c r="E122" s="5" t="inlineStr">
        <is>
          <t>SpaceXAI</t>
        </is>
      </c>
      <c r="F122" s="5" t="inlineStr">
        <is>
          <t>B200/B300 class</t>
        </is>
      </c>
      <c r="G122" s="5">
        <f>IFERROR(INDEX('02x_Accelerator_Catalog'!$C$2:$C$11,MATCH(F122,'02x_Accelerator_Catalog'!$B$2:$B$11,0)),"purpose_or_unbenchmarked")</f>
        <v/>
      </c>
      <c r="H122" s="28">
        <f>SUMIFS('02c_AI_CSP_Normalized'!$N$2:$N$305,'02c_AI_CSP_Normalized'!$B$2:$B$305,B122,'02c_AI_CSP_Normalized'!$C$2:$C$305,C122,'02c_AI_CSP_Normalized'!$D$2:$D$305,D122,'02c_AI_CSP_Normalized'!$E$2:$E$305,E122)</f>
        <v/>
      </c>
      <c r="I122" s="6">
        <f>SUMIFS('02b_CSP_Accelerator_Mix'!$H$2:$H$573,'02b_CSP_Accelerator_Mix'!$B$2:$B$573,B122,'02b_CSP_Accelerator_Mix'!$C$2:$C$573,E122,'02b_CSP_Accelerator_Mix'!$D$2:$D$573,D122,'02b_CSP_Accelerator_Mix'!$E$2:$E$573,F122)</f>
        <v/>
      </c>
      <c r="J122" s="28">
        <f>H122*I122</f>
        <v/>
      </c>
      <c r="K122" s="8">
        <f>IFERROR(INDEX('02x_Accelerator_Catalog'!$D$2:$D$11,MATCH(F122,'02x_Accelerator_Catalog'!$B$2:$B$11,0)),"")</f>
        <v/>
      </c>
      <c r="L122" s="7">
        <f>IF(K122&gt;0,J122*1000/K122,"")</f>
        <v/>
      </c>
      <c r="M122" s="5" t="inlineStr">
        <is>
          <t>epoch_csp_chip_quantity_latest</t>
        </is>
      </c>
      <c r="N122" s="5" t="inlineStr">
        <is>
          <t>Extensible long-format output: add a new accelerator row in 02b and map it in 02x_Accelerator_Catalog to extend this table.</t>
        </is>
      </c>
    </row>
    <row r="123">
      <c r="A123" s="5">
        <f>B123&amp;"|"&amp;C123&amp;"|"&amp;D123&amp;"|"&amp;E123&amp;"|"&amp;F123</f>
        <v/>
      </c>
      <c r="B123" s="5" t="inlineStr">
        <is>
          <t>Bull</t>
        </is>
      </c>
      <c r="C123" s="5" t="inlineStr">
        <is>
          <t>Anthropic</t>
        </is>
      </c>
      <c r="D123" s="5" t="n">
        <v>2028</v>
      </c>
      <c r="E123" s="5" t="inlineStr">
        <is>
          <t>SpaceXAI</t>
        </is>
      </c>
      <c r="F123" s="5" t="inlineStr">
        <is>
          <t>H100/H200/A100 class</t>
        </is>
      </c>
      <c r="G123" s="5">
        <f>IFERROR(INDEX('02x_Accelerator_Catalog'!$C$2:$C$11,MATCH(F123,'02x_Accelerator_Catalog'!$B$2:$B$11,0)),"purpose_or_unbenchmarked")</f>
        <v/>
      </c>
      <c r="H123" s="28">
        <f>SUMIFS('02c_AI_CSP_Normalized'!$N$2:$N$305,'02c_AI_CSP_Normalized'!$B$2:$B$305,B123,'02c_AI_CSP_Normalized'!$C$2:$C$305,C123,'02c_AI_CSP_Normalized'!$D$2:$D$305,D123,'02c_AI_CSP_Normalized'!$E$2:$E$305,E123)</f>
        <v/>
      </c>
      <c r="I123" s="6">
        <f>SUMIFS('02b_CSP_Accelerator_Mix'!$H$2:$H$573,'02b_CSP_Accelerator_Mix'!$B$2:$B$573,B123,'02b_CSP_Accelerator_Mix'!$C$2:$C$573,E123,'02b_CSP_Accelerator_Mix'!$D$2:$D$573,D123,'02b_CSP_Accelerator_Mix'!$E$2:$E$573,F123)</f>
        <v/>
      </c>
      <c r="J123" s="28">
        <f>H123*I123</f>
        <v/>
      </c>
      <c r="K123" s="8">
        <f>IFERROR(INDEX('02x_Accelerator_Catalog'!$D$2:$D$11,MATCH(F123,'02x_Accelerator_Catalog'!$B$2:$B$11,0)),"")</f>
        <v/>
      </c>
      <c r="L123" s="7">
        <f>IF(K123&gt;0,J123*1000/K123,"")</f>
        <v/>
      </c>
      <c r="M123" s="5" t="inlineStr">
        <is>
          <t>epoch_csp_chip_quantity_latest</t>
        </is>
      </c>
      <c r="N123" s="5" t="inlineStr">
        <is>
          <t>Extensible long-format output: add a new accelerator row in 02b and map it in 02x_Accelerator_Catalog to extend this table.</t>
        </is>
      </c>
    </row>
    <row r="124">
      <c r="A124" s="5">
        <f>B124&amp;"|"&amp;C124&amp;"|"&amp;D124&amp;"|"&amp;E124&amp;"|"&amp;F124</f>
        <v/>
      </c>
      <c r="B124" s="5" t="inlineStr">
        <is>
          <t>Grid-Constrained / Efficiency-Upside</t>
        </is>
      </c>
      <c r="C124" s="5" t="inlineStr">
        <is>
          <t>Anthropic</t>
        </is>
      </c>
      <c r="D124" s="5" t="n">
        <v>2028</v>
      </c>
      <c r="E124" s="5" t="inlineStr">
        <is>
          <t>SpaceXAI</t>
        </is>
      </c>
      <c r="F124" s="5" t="inlineStr">
        <is>
          <t>B200/B300 class</t>
        </is>
      </c>
      <c r="G124" s="5">
        <f>IFERROR(INDEX('02x_Accelerator_Catalog'!$C$2:$C$11,MATCH(F124,'02x_Accelerator_Catalog'!$B$2:$B$11,0)),"purpose_or_unbenchmarked")</f>
        <v/>
      </c>
      <c r="H124" s="28">
        <f>SUMIFS('02c_AI_CSP_Normalized'!$N$2:$N$305,'02c_AI_CSP_Normalized'!$B$2:$B$305,B124,'02c_AI_CSP_Normalized'!$C$2:$C$305,C124,'02c_AI_CSP_Normalized'!$D$2:$D$305,D124,'02c_AI_CSP_Normalized'!$E$2:$E$305,E124)</f>
        <v/>
      </c>
      <c r="I124" s="6">
        <f>SUMIFS('02b_CSP_Accelerator_Mix'!$H$2:$H$573,'02b_CSP_Accelerator_Mix'!$B$2:$B$573,B124,'02b_CSP_Accelerator_Mix'!$C$2:$C$573,E124,'02b_CSP_Accelerator_Mix'!$D$2:$D$573,D124,'02b_CSP_Accelerator_Mix'!$E$2:$E$573,F124)</f>
        <v/>
      </c>
      <c r="J124" s="28">
        <f>H124*I124</f>
        <v/>
      </c>
      <c r="K124" s="8">
        <f>IFERROR(INDEX('02x_Accelerator_Catalog'!$D$2:$D$11,MATCH(F124,'02x_Accelerator_Catalog'!$B$2:$B$11,0)),"")</f>
        <v/>
      </c>
      <c r="L124" s="7">
        <f>IF(K124&gt;0,J124*1000/K124,"")</f>
        <v/>
      </c>
      <c r="M124" s="5" t="inlineStr">
        <is>
          <t>epoch_csp_chip_quantity_latest</t>
        </is>
      </c>
      <c r="N124" s="5" t="inlineStr">
        <is>
          <t>Extensible long-format output: add a new accelerator row in 02b and map it in 02x_Accelerator_Catalog to extend this table.</t>
        </is>
      </c>
    </row>
    <row r="125">
      <c r="A125" s="5">
        <f>B125&amp;"|"&amp;C125&amp;"|"&amp;D125&amp;"|"&amp;E125&amp;"|"&amp;F125</f>
        <v/>
      </c>
      <c r="B125" s="5" t="inlineStr">
        <is>
          <t>Grid-Constrained / Efficiency-Upside</t>
        </is>
      </c>
      <c r="C125" s="5" t="inlineStr">
        <is>
          <t>Anthropic</t>
        </is>
      </c>
      <c r="D125" s="5" t="n">
        <v>2028</v>
      </c>
      <c r="E125" s="5" t="inlineStr">
        <is>
          <t>SpaceXAI</t>
        </is>
      </c>
      <c r="F125" s="5" t="inlineStr">
        <is>
          <t>H100/H200/A100 class</t>
        </is>
      </c>
      <c r="G125" s="5">
        <f>IFERROR(INDEX('02x_Accelerator_Catalog'!$C$2:$C$11,MATCH(F125,'02x_Accelerator_Catalog'!$B$2:$B$11,0)),"purpose_or_unbenchmarked")</f>
        <v/>
      </c>
      <c r="H125" s="28">
        <f>SUMIFS('02c_AI_CSP_Normalized'!$N$2:$N$305,'02c_AI_CSP_Normalized'!$B$2:$B$305,B125,'02c_AI_CSP_Normalized'!$C$2:$C$305,C125,'02c_AI_CSP_Normalized'!$D$2:$D$305,D125,'02c_AI_CSP_Normalized'!$E$2:$E$305,E125)</f>
        <v/>
      </c>
      <c r="I125" s="6">
        <f>SUMIFS('02b_CSP_Accelerator_Mix'!$H$2:$H$573,'02b_CSP_Accelerator_Mix'!$B$2:$B$573,B125,'02b_CSP_Accelerator_Mix'!$C$2:$C$573,E125,'02b_CSP_Accelerator_Mix'!$D$2:$D$573,D125,'02b_CSP_Accelerator_Mix'!$E$2:$E$573,F125)</f>
        <v/>
      </c>
      <c r="J125" s="28">
        <f>H125*I125</f>
        <v/>
      </c>
      <c r="K125" s="8">
        <f>IFERROR(INDEX('02x_Accelerator_Catalog'!$D$2:$D$11,MATCH(F125,'02x_Accelerator_Catalog'!$B$2:$B$11,0)),"")</f>
        <v/>
      </c>
      <c r="L125" s="7">
        <f>IF(K125&gt;0,J125*1000/K125,"")</f>
        <v/>
      </c>
      <c r="M125" s="5" t="inlineStr">
        <is>
          <t>epoch_csp_chip_quantity_latest</t>
        </is>
      </c>
      <c r="N125" s="5" t="inlineStr">
        <is>
          <t>Extensible long-format output: add a new accelerator row in 02b and map it in 02x_Accelerator_Catalog to extend this table.</t>
        </is>
      </c>
    </row>
    <row r="126">
      <c r="A126" s="5">
        <f>B126&amp;"|"&amp;C126&amp;"|"&amp;D126&amp;"|"&amp;E126&amp;"|"&amp;F126</f>
        <v/>
      </c>
      <c r="B126" s="5" t="inlineStr">
        <is>
          <t>Bear</t>
        </is>
      </c>
      <c r="C126" s="5" t="inlineStr">
        <is>
          <t>Anthropic</t>
        </is>
      </c>
      <c r="D126" s="5" t="n">
        <v>2029</v>
      </c>
      <c r="E126" s="5" t="inlineStr">
        <is>
          <t>SpaceXAI</t>
        </is>
      </c>
      <c r="F126" s="5" t="inlineStr">
        <is>
          <t>B200/B300 class</t>
        </is>
      </c>
      <c r="G126" s="5">
        <f>IFERROR(INDEX('02x_Accelerator_Catalog'!$C$2:$C$11,MATCH(F126,'02x_Accelerator_Catalog'!$B$2:$B$11,0)),"purpose_or_unbenchmarked")</f>
        <v/>
      </c>
      <c r="H126" s="28">
        <f>SUMIFS('02c_AI_CSP_Normalized'!$N$2:$N$305,'02c_AI_CSP_Normalized'!$B$2:$B$305,B126,'02c_AI_CSP_Normalized'!$C$2:$C$305,C126,'02c_AI_CSP_Normalized'!$D$2:$D$305,D126,'02c_AI_CSP_Normalized'!$E$2:$E$305,E126)</f>
        <v/>
      </c>
      <c r="I126" s="6">
        <f>SUMIFS('02b_CSP_Accelerator_Mix'!$H$2:$H$573,'02b_CSP_Accelerator_Mix'!$B$2:$B$573,B126,'02b_CSP_Accelerator_Mix'!$C$2:$C$573,E126,'02b_CSP_Accelerator_Mix'!$D$2:$D$573,D126,'02b_CSP_Accelerator_Mix'!$E$2:$E$573,F126)</f>
        <v/>
      </c>
      <c r="J126" s="28">
        <f>H126*I126</f>
        <v/>
      </c>
      <c r="K126" s="8">
        <f>IFERROR(INDEX('02x_Accelerator_Catalog'!$D$2:$D$11,MATCH(F126,'02x_Accelerator_Catalog'!$B$2:$B$11,0)),"")</f>
        <v/>
      </c>
      <c r="L126" s="7">
        <f>IF(K126&gt;0,J126*1000/K126,"")</f>
        <v/>
      </c>
      <c r="M126" s="5" t="inlineStr">
        <is>
          <t>epoch_csp_chip_quantity_latest</t>
        </is>
      </c>
      <c r="N126" s="5" t="inlineStr">
        <is>
          <t>Extensible long-format output: add a new accelerator row in 02b and map it in 02x_Accelerator_Catalog to extend this table.</t>
        </is>
      </c>
    </row>
    <row r="127">
      <c r="A127" s="5">
        <f>B127&amp;"|"&amp;C127&amp;"|"&amp;D127&amp;"|"&amp;E127&amp;"|"&amp;F127</f>
        <v/>
      </c>
      <c r="B127" s="5" t="inlineStr">
        <is>
          <t>Bear</t>
        </is>
      </c>
      <c r="C127" s="5" t="inlineStr">
        <is>
          <t>Anthropic</t>
        </is>
      </c>
      <c r="D127" s="5" t="n">
        <v>2029</v>
      </c>
      <c r="E127" s="5" t="inlineStr">
        <is>
          <t>SpaceXAI</t>
        </is>
      </c>
      <c r="F127" s="5" t="inlineStr">
        <is>
          <t>H100/H200/A100 class</t>
        </is>
      </c>
      <c r="G127" s="5">
        <f>IFERROR(INDEX('02x_Accelerator_Catalog'!$C$2:$C$11,MATCH(F127,'02x_Accelerator_Catalog'!$B$2:$B$11,0)),"purpose_or_unbenchmarked")</f>
        <v/>
      </c>
      <c r="H127" s="28">
        <f>SUMIFS('02c_AI_CSP_Normalized'!$N$2:$N$305,'02c_AI_CSP_Normalized'!$B$2:$B$305,B127,'02c_AI_CSP_Normalized'!$C$2:$C$305,C127,'02c_AI_CSP_Normalized'!$D$2:$D$305,D127,'02c_AI_CSP_Normalized'!$E$2:$E$305,E127)</f>
        <v/>
      </c>
      <c r="I127" s="6">
        <f>SUMIFS('02b_CSP_Accelerator_Mix'!$H$2:$H$573,'02b_CSP_Accelerator_Mix'!$B$2:$B$573,B127,'02b_CSP_Accelerator_Mix'!$C$2:$C$573,E127,'02b_CSP_Accelerator_Mix'!$D$2:$D$573,D127,'02b_CSP_Accelerator_Mix'!$E$2:$E$573,F127)</f>
        <v/>
      </c>
      <c r="J127" s="28">
        <f>H127*I127</f>
        <v/>
      </c>
      <c r="K127" s="8">
        <f>IFERROR(INDEX('02x_Accelerator_Catalog'!$D$2:$D$11,MATCH(F127,'02x_Accelerator_Catalog'!$B$2:$B$11,0)),"")</f>
        <v/>
      </c>
      <c r="L127" s="7">
        <f>IF(K127&gt;0,J127*1000/K127,"")</f>
        <v/>
      </c>
      <c r="M127" s="5" t="inlineStr">
        <is>
          <t>epoch_csp_chip_quantity_latest</t>
        </is>
      </c>
      <c r="N127" s="5" t="inlineStr">
        <is>
          <t>Extensible long-format output: add a new accelerator row in 02b and map it in 02x_Accelerator_Catalog to extend this table.</t>
        </is>
      </c>
    </row>
    <row r="128">
      <c r="A128" s="5">
        <f>B128&amp;"|"&amp;C128&amp;"|"&amp;D128&amp;"|"&amp;E128&amp;"|"&amp;F128</f>
        <v/>
      </c>
      <c r="B128" s="5" t="inlineStr">
        <is>
          <t>Base</t>
        </is>
      </c>
      <c r="C128" s="5" t="inlineStr">
        <is>
          <t>Anthropic</t>
        </is>
      </c>
      <c r="D128" s="5" t="n">
        <v>2029</v>
      </c>
      <c r="E128" s="5" t="inlineStr">
        <is>
          <t>SpaceXAI</t>
        </is>
      </c>
      <c r="F128" s="5" t="inlineStr">
        <is>
          <t>B200/B300 class</t>
        </is>
      </c>
      <c r="G128" s="5">
        <f>IFERROR(INDEX('02x_Accelerator_Catalog'!$C$2:$C$11,MATCH(F128,'02x_Accelerator_Catalog'!$B$2:$B$11,0)),"purpose_or_unbenchmarked")</f>
        <v/>
      </c>
      <c r="H128" s="28">
        <f>SUMIFS('02c_AI_CSP_Normalized'!$N$2:$N$305,'02c_AI_CSP_Normalized'!$B$2:$B$305,B128,'02c_AI_CSP_Normalized'!$C$2:$C$305,C128,'02c_AI_CSP_Normalized'!$D$2:$D$305,D128,'02c_AI_CSP_Normalized'!$E$2:$E$305,E128)</f>
        <v/>
      </c>
      <c r="I128" s="6">
        <f>SUMIFS('02b_CSP_Accelerator_Mix'!$H$2:$H$573,'02b_CSP_Accelerator_Mix'!$B$2:$B$573,B128,'02b_CSP_Accelerator_Mix'!$C$2:$C$573,E128,'02b_CSP_Accelerator_Mix'!$D$2:$D$573,D128,'02b_CSP_Accelerator_Mix'!$E$2:$E$573,F128)</f>
        <v/>
      </c>
      <c r="J128" s="28">
        <f>H128*I128</f>
        <v/>
      </c>
      <c r="K128" s="8">
        <f>IFERROR(INDEX('02x_Accelerator_Catalog'!$D$2:$D$11,MATCH(F128,'02x_Accelerator_Catalog'!$B$2:$B$11,0)),"")</f>
        <v/>
      </c>
      <c r="L128" s="7">
        <f>IF(K128&gt;0,J128*1000/K128,"")</f>
        <v/>
      </c>
      <c r="M128" s="5" t="inlineStr">
        <is>
          <t>epoch_csp_chip_quantity_latest</t>
        </is>
      </c>
      <c r="N128" s="5" t="inlineStr">
        <is>
          <t>Extensible long-format output: add a new accelerator row in 02b and map it in 02x_Accelerator_Catalog to extend this table.</t>
        </is>
      </c>
    </row>
    <row r="129">
      <c r="A129" s="5">
        <f>B129&amp;"|"&amp;C129&amp;"|"&amp;D129&amp;"|"&amp;E129&amp;"|"&amp;F129</f>
        <v/>
      </c>
      <c r="B129" s="5" t="inlineStr">
        <is>
          <t>Base</t>
        </is>
      </c>
      <c r="C129" s="5" t="inlineStr">
        <is>
          <t>Anthropic</t>
        </is>
      </c>
      <c r="D129" s="5" t="n">
        <v>2029</v>
      </c>
      <c r="E129" s="5" t="inlineStr">
        <is>
          <t>SpaceXAI</t>
        </is>
      </c>
      <c r="F129" s="5" t="inlineStr">
        <is>
          <t>H100/H200/A100 class</t>
        </is>
      </c>
      <c r="G129" s="5">
        <f>IFERROR(INDEX('02x_Accelerator_Catalog'!$C$2:$C$11,MATCH(F129,'02x_Accelerator_Catalog'!$B$2:$B$11,0)),"purpose_or_unbenchmarked")</f>
        <v/>
      </c>
      <c r="H129" s="28">
        <f>SUMIFS('02c_AI_CSP_Normalized'!$N$2:$N$305,'02c_AI_CSP_Normalized'!$B$2:$B$305,B129,'02c_AI_CSP_Normalized'!$C$2:$C$305,C129,'02c_AI_CSP_Normalized'!$D$2:$D$305,D129,'02c_AI_CSP_Normalized'!$E$2:$E$305,E129)</f>
        <v/>
      </c>
      <c r="I129" s="6">
        <f>SUMIFS('02b_CSP_Accelerator_Mix'!$H$2:$H$573,'02b_CSP_Accelerator_Mix'!$B$2:$B$573,B129,'02b_CSP_Accelerator_Mix'!$C$2:$C$573,E129,'02b_CSP_Accelerator_Mix'!$D$2:$D$573,D129,'02b_CSP_Accelerator_Mix'!$E$2:$E$573,F129)</f>
        <v/>
      </c>
      <c r="J129" s="28">
        <f>H129*I129</f>
        <v/>
      </c>
      <c r="K129" s="8">
        <f>IFERROR(INDEX('02x_Accelerator_Catalog'!$D$2:$D$11,MATCH(F129,'02x_Accelerator_Catalog'!$B$2:$B$11,0)),"")</f>
        <v/>
      </c>
      <c r="L129" s="7">
        <f>IF(K129&gt;0,J129*1000/K129,"")</f>
        <v/>
      </c>
      <c r="M129" s="5" t="inlineStr">
        <is>
          <t>epoch_csp_chip_quantity_latest</t>
        </is>
      </c>
      <c r="N129" s="5" t="inlineStr">
        <is>
          <t>Extensible long-format output: add a new accelerator row in 02b and map it in 02x_Accelerator_Catalog to extend this table.</t>
        </is>
      </c>
    </row>
    <row r="130">
      <c r="A130" s="5">
        <f>B130&amp;"|"&amp;C130&amp;"|"&amp;D130&amp;"|"&amp;E130&amp;"|"&amp;F130</f>
        <v/>
      </c>
      <c r="B130" s="5" t="inlineStr">
        <is>
          <t>Bull</t>
        </is>
      </c>
      <c r="C130" s="5" t="inlineStr">
        <is>
          <t>Anthropic</t>
        </is>
      </c>
      <c r="D130" s="5" t="n">
        <v>2029</v>
      </c>
      <c r="E130" s="5" t="inlineStr">
        <is>
          <t>SpaceXAI</t>
        </is>
      </c>
      <c r="F130" s="5" t="inlineStr">
        <is>
          <t>B200/B300 class</t>
        </is>
      </c>
      <c r="G130" s="5">
        <f>IFERROR(INDEX('02x_Accelerator_Catalog'!$C$2:$C$11,MATCH(F130,'02x_Accelerator_Catalog'!$B$2:$B$11,0)),"purpose_or_unbenchmarked")</f>
        <v/>
      </c>
      <c r="H130" s="28">
        <f>SUMIFS('02c_AI_CSP_Normalized'!$N$2:$N$305,'02c_AI_CSP_Normalized'!$B$2:$B$305,B130,'02c_AI_CSP_Normalized'!$C$2:$C$305,C130,'02c_AI_CSP_Normalized'!$D$2:$D$305,D130,'02c_AI_CSP_Normalized'!$E$2:$E$305,E130)</f>
        <v/>
      </c>
      <c r="I130" s="6">
        <f>SUMIFS('02b_CSP_Accelerator_Mix'!$H$2:$H$573,'02b_CSP_Accelerator_Mix'!$B$2:$B$573,B130,'02b_CSP_Accelerator_Mix'!$C$2:$C$573,E130,'02b_CSP_Accelerator_Mix'!$D$2:$D$573,D130,'02b_CSP_Accelerator_Mix'!$E$2:$E$573,F130)</f>
        <v/>
      </c>
      <c r="J130" s="28">
        <f>H130*I130</f>
        <v/>
      </c>
      <c r="K130" s="8">
        <f>IFERROR(INDEX('02x_Accelerator_Catalog'!$D$2:$D$11,MATCH(F130,'02x_Accelerator_Catalog'!$B$2:$B$11,0)),"")</f>
        <v/>
      </c>
      <c r="L130" s="7">
        <f>IF(K130&gt;0,J130*1000/K130,"")</f>
        <v/>
      </c>
      <c r="M130" s="5" t="inlineStr">
        <is>
          <t>epoch_csp_chip_quantity_latest</t>
        </is>
      </c>
      <c r="N130" s="5" t="inlineStr">
        <is>
          <t>Extensible long-format output: add a new accelerator row in 02b and map it in 02x_Accelerator_Catalog to extend this table.</t>
        </is>
      </c>
    </row>
    <row r="131">
      <c r="A131" s="5">
        <f>B131&amp;"|"&amp;C131&amp;"|"&amp;D131&amp;"|"&amp;E131&amp;"|"&amp;F131</f>
        <v/>
      </c>
      <c r="B131" s="5" t="inlineStr">
        <is>
          <t>Bull</t>
        </is>
      </c>
      <c r="C131" s="5" t="inlineStr">
        <is>
          <t>Anthropic</t>
        </is>
      </c>
      <c r="D131" s="5" t="n">
        <v>2029</v>
      </c>
      <c r="E131" s="5" t="inlineStr">
        <is>
          <t>SpaceXAI</t>
        </is>
      </c>
      <c r="F131" s="5" t="inlineStr">
        <is>
          <t>H100/H200/A100 class</t>
        </is>
      </c>
      <c r="G131" s="5">
        <f>IFERROR(INDEX('02x_Accelerator_Catalog'!$C$2:$C$11,MATCH(F131,'02x_Accelerator_Catalog'!$B$2:$B$11,0)),"purpose_or_unbenchmarked")</f>
        <v/>
      </c>
      <c r="H131" s="28">
        <f>SUMIFS('02c_AI_CSP_Normalized'!$N$2:$N$305,'02c_AI_CSP_Normalized'!$B$2:$B$305,B131,'02c_AI_CSP_Normalized'!$C$2:$C$305,C131,'02c_AI_CSP_Normalized'!$D$2:$D$305,D131,'02c_AI_CSP_Normalized'!$E$2:$E$305,E131)</f>
        <v/>
      </c>
      <c r="I131" s="6">
        <f>SUMIFS('02b_CSP_Accelerator_Mix'!$H$2:$H$573,'02b_CSP_Accelerator_Mix'!$B$2:$B$573,B131,'02b_CSP_Accelerator_Mix'!$C$2:$C$573,E131,'02b_CSP_Accelerator_Mix'!$D$2:$D$573,D131,'02b_CSP_Accelerator_Mix'!$E$2:$E$573,F131)</f>
        <v/>
      </c>
      <c r="J131" s="28">
        <f>H131*I131</f>
        <v/>
      </c>
      <c r="K131" s="8">
        <f>IFERROR(INDEX('02x_Accelerator_Catalog'!$D$2:$D$11,MATCH(F131,'02x_Accelerator_Catalog'!$B$2:$B$11,0)),"")</f>
        <v/>
      </c>
      <c r="L131" s="7">
        <f>IF(K131&gt;0,J131*1000/K131,"")</f>
        <v/>
      </c>
      <c r="M131" s="5" t="inlineStr">
        <is>
          <t>epoch_csp_chip_quantity_latest</t>
        </is>
      </c>
      <c r="N131" s="5" t="inlineStr">
        <is>
          <t>Extensible long-format output: add a new accelerator row in 02b and map it in 02x_Accelerator_Catalog to extend this table.</t>
        </is>
      </c>
    </row>
    <row r="132">
      <c r="A132" s="5">
        <f>B132&amp;"|"&amp;C132&amp;"|"&amp;D132&amp;"|"&amp;E132&amp;"|"&amp;F132</f>
        <v/>
      </c>
      <c r="B132" s="5" t="inlineStr">
        <is>
          <t>Grid-Constrained / Efficiency-Upside</t>
        </is>
      </c>
      <c r="C132" s="5" t="inlineStr">
        <is>
          <t>Anthropic</t>
        </is>
      </c>
      <c r="D132" s="5" t="n">
        <v>2029</v>
      </c>
      <c r="E132" s="5" t="inlineStr">
        <is>
          <t>SpaceXAI</t>
        </is>
      </c>
      <c r="F132" s="5" t="inlineStr">
        <is>
          <t>B200/B300 class</t>
        </is>
      </c>
      <c r="G132" s="5">
        <f>IFERROR(INDEX('02x_Accelerator_Catalog'!$C$2:$C$11,MATCH(F132,'02x_Accelerator_Catalog'!$B$2:$B$11,0)),"purpose_or_unbenchmarked")</f>
        <v/>
      </c>
      <c r="H132" s="28">
        <f>SUMIFS('02c_AI_CSP_Normalized'!$N$2:$N$305,'02c_AI_CSP_Normalized'!$B$2:$B$305,B132,'02c_AI_CSP_Normalized'!$C$2:$C$305,C132,'02c_AI_CSP_Normalized'!$D$2:$D$305,D132,'02c_AI_CSP_Normalized'!$E$2:$E$305,E132)</f>
        <v/>
      </c>
      <c r="I132" s="6">
        <f>SUMIFS('02b_CSP_Accelerator_Mix'!$H$2:$H$573,'02b_CSP_Accelerator_Mix'!$B$2:$B$573,B132,'02b_CSP_Accelerator_Mix'!$C$2:$C$573,E132,'02b_CSP_Accelerator_Mix'!$D$2:$D$573,D132,'02b_CSP_Accelerator_Mix'!$E$2:$E$573,F132)</f>
        <v/>
      </c>
      <c r="J132" s="28">
        <f>H132*I132</f>
        <v/>
      </c>
      <c r="K132" s="8">
        <f>IFERROR(INDEX('02x_Accelerator_Catalog'!$D$2:$D$11,MATCH(F132,'02x_Accelerator_Catalog'!$B$2:$B$11,0)),"")</f>
        <v/>
      </c>
      <c r="L132" s="7">
        <f>IF(K132&gt;0,J132*1000/K132,"")</f>
        <v/>
      </c>
      <c r="M132" s="5" t="inlineStr">
        <is>
          <t>epoch_csp_chip_quantity_latest</t>
        </is>
      </c>
      <c r="N132" s="5" t="inlineStr">
        <is>
          <t>Extensible long-format output: add a new accelerator row in 02b and map it in 02x_Accelerator_Catalog to extend this table.</t>
        </is>
      </c>
    </row>
    <row r="133">
      <c r="A133" s="5">
        <f>B133&amp;"|"&amp;C133&amp;"|"&amp;D133&amp;"|"&amp;E133&amp;"|"&amp;F133</f>
        <v/>
      </c>
      <c r="B133" s="5" t="inlineStr">
        <is>
          <t>Grid-Constrained / Efficiency-Upside</t>
        </is>
      </c>
      <c r="C133" s="5" t="inlineStr">
        <is>
          <t>Anthropic</t>
        </is>
      </c>
      <c r="D133" s="5" t="n">
        <v>2029</v>
      </c>
      <c r="E133" s="5" t="inlineStr">
        <is>
          <t>SpaceXAI</t>
        </is>
      </c>
      <c r="F133" s="5" t="inlineStr">
        <is>
          <t>H100/H200/A100 class</t>
        </is>
      </c>
      <c r="G133" s="5">
        <f>IFERROR(INDEX('02x_Accelerator_Catalog'!$C$2:$C$11,MATCH(F133,'02x_Accelerator_Catalog'!$B$2:$B$11,0)),"purpose_or_unbenchmarked")</f>
        <v/>
      </c>
      <c r="H133" s="28">
        <f>SUMIFS('02c_AI_CSP_Normalized'!$N$2:$N$305,'02c_AI_CSP_Normalized'!$B$2:$B$305,B133,'02c_AI_CSP_Normalized'!$C$2:$C$305,C133,'02c_AI_CSP_Normalized'!$D$2:$D$305,D133,'02c_AI_CSP_Normalized'!$E$2:$E$305,E133)</f>
        <v/>
      </c>
      <c r="I133" s="6">
        <f>SUMIFS('02b_CSP_Accelerator_Mix'!$H$2:$H$573,'02b_CSP_Accelerator_Mix'!$B$2:$B$573,B133,'02b_CSP_Accelerator_Mix'!$C$2:$C$573,E133,'02b_CSP_Accelerator_Mix'!$D$2:$D$573,D133,'02b_CSP_Accelerator_Mix'!$E$2:$E$573,F133)</f>
        <v/>
      </c>
      <c r="J133" s="28">
        <f>H133*I133</f>
        <v/>
      </c>
      <c r="K133" s="8">
        <f>IFERROR(INDEX('02x_Accelerator_Catalog'!$D$2:$D$11,MATCH(F133,'02x_Accelerator_Catalog'!$B$2:$B$11,0)),"")</f>
        <v/>
      </c>
      <c r="L133" s="7">
        <f>IF(K133&gt;0,J133*1000/K133,"")</f>
        <v/>
      </c>
      <c r="M133" s="5" t="inlineStr">
        <is>
          <t>epoch_csp_chip_quantity_latest</t>
        </is>
      </c>
      <c r="N133" s="5" t="inlineStr">
        <is>
          <t>Extensible long-format output: add a new accelerator row in 02b and map it in 02x_Accelerator_Catalog to extend this table.</t>
        </is>
      </c>
    </row>
    <row r="134">
      <c r="A134" s="5">
        <f>B134&amp;"|"&amp;C134&amp;"|"&amp;D134&amp;"|"&amp;E134&amp;"|"&amp;F134</f>
        <v/>
      </c>
      <c r="B134" s="5" t="inlineStr">
        <is>
          <t>Bear</t>
        </is>
      </c>
      <c r="C134" s="5" t="inlineStr">
        <is>
          <t>Anthropic</t>
        </is>
      </c>
      <c r="D134" s="5" t="n">
        <v>2030</v>
      </c>
      <c r="E134" s="5" t="inlineStr">
        <is>
          <t>SpaceXAI</t>
        </is>
      </c>
      <c r="F134" s="5" t="inlineStr">
        <is>
          <t>B200/B300 class</t>
        </is>
      </c>
      <c r="G134" s="5">
        <f>IFERROR(INDEX('02x_Accelerator_Catalog'!$C$2:$C$11,MATCH(F134,'02x_Accelerator_Catalog'!$B$2:$B$11,0)),"purpose_or_unbenchmarked")</f>
        <v/>
      </c>
      <c r="H134" s="28">
        <f>SUMIFS('02c_AI_CSP_Normalized'!$N$2:$N$305,'02c_AI_CSP_Normalized'!$B$2:$B$305,B134,'02c_AI_CSP_Normalized'!$C$2:$C$305,C134,'02c_AI_CSP_Normalized'!$D$2:$D$305,D134,'02c_AI_CSP_Normalized'!$E$2:$E$305,E134)</f>
        <v/>
      </c>
      <c r="I134" s="6">
        <f>SUMIFS('02b_CSP_Accelerator_Mix'!$H$2:$H$573,'02b_CSP_Accelerator_Mix'!$B$2:$B$573,B134,'02b_CSP_Accelerator_Mix'!$C$2:$C$573,E134,'02b_CSP_Accelerator_Mix'!$D$2:$D$573,D134,'02b_CSP_Accelerator_Mix'!$E$2:$E$573,F134)</f>
        <v/>
      </c>
      <c r="J134" s="28">
        <f>H134*I134</f>
        <v/>
      </c>
      <c r="K134" s="8">
        <f>IFERROR(INDEX('02x_Accelerator_Catalog'!$D$2:$D$11,MATCH(F134,'02x_Accelerator_Catalog'!$B$2:$B$11,0)),"")</f>
        <v/>
      </c>
      <c r="L134" s="7">
        <f>IF(K134&gt;0,J134*1000/K134,"")</f>
        <v/>
      </c>
      <c r="M134" s="5" t="inlineStr">
        <is>
          <t>epoch_csp_chip_quantity_latest</t>
        </is>
      </c>
      <c r="N134" s="5" t="inlineStr">
        <is>
          <t>Extensible long-format output: add a new accelerator row in 02b and map it in 02x_Accelerator_Catalog to extend this table.</t>
        </is>
      </c>
    </row>
    <row r="135">
      <c r="A135" s="5">
        <f>B135&amp;"|"&amp;C135&amp;"|"&amp;D135&amp;"|"&amp;E135&amp;"|"&amp;F135</f>
        <v/>
      </c>
      <c r="B135" s="5" t="inlineStr">
        <is>
          <t>Bear</t>
        </is>
      </c>
      <c r="C135" s="5" t="inlineStr">
        <is>
          <t>Anthropic</t>
        </is>
      </c>
      <c r="D135" s="5" t="n">
        <v>2030</v>
      </c>
      <c r="E135" s="5" t="inlineStr">
        <is>
          <t>SpaceXAI</t>
        </is>
      </c>
      <c r="F135" s="5" t="inlineStr">
        <is>
          <t>H100/H200/A100 class</t>
        </is>
      </c>
      <c r="G135" s="5">
        <f>IFERROR(INDEX('02x_Accelerator_Catalog'!$C$2:$C$11,MATCH(F135,'02x_Accelerator_Catalog'!$B$2:$B$11,0)),"purpose_or_unbenchmarked")</f>
        <v/>
      </c>
      <c r="H135" s="28">
        <f>SUMIFS('02c_AI_CSP_Normalized'!$N$2:$N$305,'02c_AI_CSP_Normalized'!$B$2:$B$305,B135,'02c_AI_CSP_Normalized'!$C$2:$C$305,C135,'02c_AI_CSP_Normalized'!$D$2:$D$305,D135,'02c_AI_CSP_Normalized'!$E$2:$E$305,E135)</f>
        <v/>
      </c>
      <c r="I135" s="6">
        <f>SUMIFS('02b_CSP_Accelerator_Mix'!$H$2:$H$573,'02b_CSP_Accelerator_Mix'!$B$2:$B$573,B135,'02b_CSP_Accelerator_Mix'!$C$2:$C$573,E135,'02b_CSP_Accelerator_Mix'!$D$2:$D$573,D135,'02b_CSP_Accelerator_Mix'!$E$2:$E$573,F135)</f>
        <v/>
      </c>
      <c r="J135" s="28">
        <f>H135*I135</f>
        <v/>
      </c>
      <c r="K135" s="8">
        <f>IFERROR(INDEX('02x_Accelerator_Catalog'!$D$2:$D$11,MATCH(F135,'02x_Accelerator_Catalog'!$B$2:$B$11,0)),"")</f>
        <v/>
      </c>
      <c r="L135" s="7">
        <f>IF(K135&gt;0,J135*1000/K135,"")</f>
        <v/>
      </c>
      <c r="M135" s="5" t="inlineStr">
        <is>
          <t>epoch_csp_chip_quantity_latest</t>
        </is>
      </c>
      <c r="N135" s="5" t="inlineStr">
        <is>
          <t>Extensible long-format output: add a new accelerator row in 02b and map it in 02x_Accelerator_Catalog to extend this table.</t>
        </is>
      </c>
    </row>
    <row r="136">
      <c r="A136" s="5">
        <f>B136&amp;"|"&amp;C136&amp;"|"&amp;D136&amp;"|"&amp;E136&amp;"|"&amp;F136</f>
        <v/>
      </c>
      <c r="B136" s="5" t="inlineStr">
        <is>
          <t>Base</t>
        </is>
      </c>
      <c r="C136" s="5" t="inlineStr">
        <is>
          <t>Anthropic</t>
        </is>
      </c>
      <c r="D136" s="5" t="n">
        <v>2030</v>
      </c>
      <c r="E136" s="5" t="inlineStr">
        <is>
          <t>SpaceXAI</t>
        </is>
      </c>
      <c r="F136" s="5" t="inlineStr">
        <is>
          <t>B200/B300 class</t>
        </is>
      </c>
      <c r="G136" s="5">
        <f>IFERROR(INDEX('02x_Accelerator_Catalog'!$C$2:$C$11,MATCH(F136,'02x_Accelerator_Catalog'!$B$2:$B$11,0)),"purpose_or_unbenchmarked")</f>
        <v/>
      </c>
      <c r="H136" s="28">
        <f>SUMIFS('02c_AI_CSP_Normalized'!$N$2:$N$305,'02c_AI_CSP_Normalized'!$B$2:$B$305,B136,'02c_AI_CSP_Normalized'!$C$2:$C$305,C136,'02c_AI_CSP_Normalized'!$D$2:$D$305,D136,'02c_AI_CSP_Normalized'!$E$2:$E$305,E136)</f>
        <v/>
      </c>
      <c r="I136" s="6">
        <f>SUMIFS('02b_CSP_Accelerator_Mix'!$H$2:$H$573,'02b_CSP_Accelerator_Mix'!$B$2:$B$573,B136,'02b_CSP_Accelerator_Mix'!$C$2:$C$573,E136,'02b_CSP_Accelerator_Mix'!$D$2:$D$573,D136,'02b_CSP_Accelerator_Mix'!$E$2:$E$573,F136)</f>
        <v/>
      </c>
      <c r="J136" s="28">
        <f>H136*I136</f>
        <v/>
      </c>
      <c r="K136" s="8">
        <f>IFERROR(INDEX('02x_Accelerator_Catalog'!$D$2:$D$11,MATCH(F136,'02x_Accelerator_Catalog'!$B$2:$B$11,0)),"")</f>
        <v/>
      </c>
      <c r="L136" s="7">
        <f>IF(K136&gt;0,J136*1000/K136,"")</f>
        <v/>
      </c>
      <c r="M136" s="5" t="inlineStr">
        <is>
          <t>epoch_csp_chip_quantity_latest</t>
        </is>
      </c>
      <c r="N136" s="5" t="inlineStr">
        <is>
          <t>Extensible long-format output: add a new accelerator row in 02b and map it in 02x_Accelerator_Catalog to extend this table.</t>
        </is>
      </c>
    </row>
    <row r="137">
      <c r="A137" s="5">
        <f>B137&amp;"|"&amp;C137&amp;"|"&amp;D137&amp;"|"&amp;E137&amp;"|"&amp;F137</f>
        <v/>
      </c>
      <c r="B137" s="5" t="inlineStr">
        <is>
          <t>Base</t>
        </is>
      </c>
      <c r="C137" s="5" t="inlineStr">
        <is>
          <t>Anthropic</t>
        </is>
      </c>
      <c r="D137" s="5" t="n">
        <v>2030</v>
      </c>
      <c r="E137" s="5" t="inlineStr">
        <is>
          <t>SpaceXAI</t>
        </is>
      </c>
      <c r="F137" s="5" t="inlineStr">
        <is>
          <t>H100/H200/A100 class</t>
        </is>
      </c>
      <c r="G137" s="5">
        <f>IFERROR(INDEX('02x_Accelerator_Catalog'!$C$2:$C$11,MATCH(F137,'02x_Accelerator_Catalog'!$B$2:$B$11,0)),"purpose_or_unbenchmarked")</f>
        <v/>
      </c>
      <c r="H137" s="28">
        <f>SUMIFS('02c_AI_CSP_Normalized'!$N$2:$N$305,'02c_AI_CSP_Normalized'!$B$2:$B$305,B137,'02c_AI_CSP_Normalized'!$C$2:$C$305,C137,'02c_AI_CSP_Normalized'!$D$2:$D$305,D137,'02c_AI_CSP_Normalized'!$E$2:$E$305,E137)</f>
        <v/>
      </c>
      <c r="I137" s="6">
        <f>SUMIFS('02b_CSP_Accelerator_Mix'!$H$2:$H$573,'02b_CSP_Accelerator_Mix'!$B$2:$B$573,B137,'02b_CSP_Accelerator_Mix'!$C$2:$C$573,E137,'02b_CSP_Accelerator_Mix'!$D$2:$D$573,D137,'02b_CSP_Accelerator_Mix'!$E$2:$E$573,F137)</f>
        <v/>
      </c>
      <c r="J137" s="28">
        <f>H137*I137</f>
        <v/>
      </c>
      <c r="K137" s="8">
        <f>IFERROR(INDEX('02x_Accelerator_Catalog'!$D$2:$D$11,MATCH(F137,'02x_Accelerator_Catalog'!$B$2:$B$11,0)),"")</f>
        <v/>
      </c>
      <c r="L137" s="7">
        <f>IF(K137&gt;0,J137*1000/K137,"")</f>
        <v/>
      </c>
      <c r="M137" s="5" t="inlineStr">
        <is>
          <t>epoch_csp_chip_quantity_latest</t>
        </is>
      </c>
      <c r="N137" s="5" t="inlineStr">
        <is>
          <t>Extensible long-format output: add a new accelerator row in 02b and map it in 02x_Accelerator_Catalog to extend this table.</t>
        </is>
      </c>
    </row>
    <row r="138">
      <c r="A138" s="5">
        <f>B138&amp;"|"&amp;C138&amp;"|"&amp;D138&amp;"|"&amp;E138&amp;"|"&amp;F138</f>
        <v/>
      </c>
      <c r="B138" s="5" t="inlineStr">
        <is>
          <t>Bull</t>
        </is>
      </c>
      <c r="C138" s="5" t="inlineStr">
        <is>
          <t>Anthropic</t>
        </is>
      </c>
      <c r="D138" s="5" t="n">
        <v>2030</v>
      </c>
      <c r="E138" s="5" t="inlineStr">
        <is>
          <t>SpaceXAI</t>
        </is>
      </c>
      <c r="F138" s="5" t="inlineStr">
        <is>
          <t>B200/B300 class</t>
        </is>
      </c>
      <c r="G138" s="5">
        <f>IFERROR(INDEX('02x_Accelerator_Catalog'!$C$2:$C$11,MATCH(F138,'02x_Accelerator_Catalog'!$B$2:$B$11,0)),"purpose_or_unbenchmarked")</f>
        <v/>
      </c>
      <c r="H138" s="28">
        <f>SUMIFS('02c_AI_CSP_Normalized'!$N$2:$N$305,'02c_AI_CSP_Normalized'!$B$2:$B$305,B138,'02c_AI_CSP_Normalized'!$C$2:$C$305,C138,'02c_AI_CSP_Normalized'!$D$2:$D$305,D138,'02c_AI_CSP_Normalized'!$E$2:$E$305,E138)</f>
        <v/>
      </c>
      <c r="I138" s="6">
        <f>SUMIFS('02b_CSP_Accelerator_Mix'!$H$2:$H$573,'02b_CSP_Accelerator_Mix'!$B$2:$B$573,B138,'02b_CSP_Accelerator_Mix'!$C$2:$C$573,E138,'02b_CSP_Accelerator_Mix'!$D$2:$D$573,D138,'02b_CSP_Accelerator_Mix'!$E$2:$E$573,F138)</f>
        <v/>
      </c>
      <c r="J138" s="28">
        <f>H138*I138</f>
        <v/>
      </c>
      <c r="K138" s="8">
        <f>IFERROR(INDEX('02x_Accelerator_Catalog'!$D$2:$D$11,MATCH(F138,'02x_Accelerator_Catalog'!$B$2:$B$11,0)),"")</f>
        <v/>
      </c>
      <c r="L138" s="7">
        <f>IF(K138&gt;0,J138*1000/K138,"")</f>
        <v/>
      </c>
      <c r="M138" s="5" t="inlineStr">
        <is>
          <t>epoch_csp_chip_quantity_latest</t>
        </is>
      </c>
      <c r="N138" s="5" t="inlineStr">
        <is>
          <t>Extensible long-format output: add a new accelerator row in 02b and map it in 02x_Accelerator_Catalog to extend this table.</t>
        </is>
      </c>
    </row>
    <row r="139">
      <c r="A139" s="5">
        <f>B139&amp;"|"&amp;C139&amp;"|"&amp;D139&amp;"|"&amp;E139&amp;"|"&amp;F139</f>
        <v/>
      </c>
      <c r="B139" s="5" t="inlineStr">
        <is>
          <t>Bull</t>
        </is>
      </c>
      <c r="C139" s="5" t="inlineStr">
        <is>
          <t>Anthropic</t>
        </is>
      </c>
      <c r="D139" s="5" t="n">
        <v>2030</v>
      </c>
      <c r="E139" s="5" t="inlineStr">
        <is>
          <t>SpaceXAI</t>
        </is>
      </c>
      <c r="F139" s="5" t="inlineStr">
        <is>
          <t>H100/H200/A100 class</t>
        </is>
      </c>
      <c r="G139" s="5">
        <f>IFERROR(INDEX('02x_Accelerator_Catalog'!$C$2:$C$11,MATCH(F139,'02x_Accelerator_Catalog'!$B$2:$B$11,0)),"purpose_or_unbenchmarked")</f>
        <v/>
      </c>
      <c r="H139" s="28">
        <f>SUMIFS('02c_AI_CSP_Normalized'!$N$2:$N$305,'02c_AI_CSP_Normalized'!$B$2:$B$305,B139,'02c_AI_CSP_Normalized'!$C$2:$C$305,C139,'02c_AI_CSP_Normalized'!$D$2:$D$305,D139,'02c_AI_CSP_Normalized'!$E$2:$E$305,E139)</f>
        <v/>
      </c>
      <c r="I139" s="6">
        <f>SUMIFS('02b_CSP_Accelerator_Mix'!$H$2:$H$573,'02b_CSP_Accelerator_Mix'!$B$2:$B$573,B139,'02b_CSP_Accelerator_Mix'!$C$2:$C$573,E139,'02b_CSP_Accelerator_Mix'!$D$2:$D$573,D139,'02b_CSP_Accelerator_Mix'!$E$2:$E$573,F139)</f>
        <v/>
      </c>
      <c r="J139" s="28">
        <f>H139*I139</f>
        <v/>
      </c>
      <c r="K139" s="8">
        <f>IFERROR(INDEX('02x_Accelerator_Catalog'!$D$2:$D$11,MATCH(F139,'02x_Accelerator_Catalog'!$B$2:$B$11,0)),"")</f>
        <v/>
      </c>
      <c r="L139" s="7">
        <f>IF(K139&gt;0,J139*1000/K139,"")</f>
        <v/>
      </c>
      <c r="M139" s="5" t="inlineStr">
        <is>
          <t>epoch_csp_chip_quantity_latest</t>
        </is>
      </c>
      <c r="N139" s="5" t="inlineStr">
        <is>
          <t>Extensible long-format output: add a new accelerator row in 02b and map it in 02x_Accelerator_Catalog to extend this table.</t>
        </is>
      </c>
    </row>
    <row r="140">
      <c r="A140" s="5">
        <f>B140&amp;"|"&amp;C140&amp;"|"&amp;D140&amp;"|"&amp;E140&amp;"|"&amp;F140</f>
        <v/>
      </c>
      <c r="B140" s="5" t="inlineStr">
        <is>
          <t>Grid-Constrained / Efficiency-Upside</t>
        </is>
      </c>
      <c r="C140" s="5" t="inlineStr">
        <is>
          <t>Anthropic</t>
        </is>
      </c>
      <c r="D140" s="5" t="n">
        <v>2030</v>
      </c>
      <c r="E140" s="5" t="inlineStr">
        <is>
          <t>SpaceXAI</t>
        </is>
      </c>
      <c r="F140" s="5" t="inlineStr">
        <is>
          <t>B200/B300 class</t>
        </is>
      </c>
      <c r="G140" s="5">
        <f>IFERROR(INDEX('02x_Accelerator_Catalog'!$C$2:$C$11,MATCH(F140,'02x_Accelerator_Catalog'!$B$2:$B$11,0)),"purpose_or_unbenchmarked")</f>
        <v/>
      </c>
      <c r="H140" s="28">
        <f>SUMIFS('02c_AI_CSP_Normalized'!$N$2:$N$305,'02c_AI_CSP_Normalized'!$B$2:$B$305,B140,'02c_AI_CSP_Normalized'!$C$2:$C$305,C140,'02c_AI_CSP_Normalized'!$D$2:$D$305,D140,'02c_AI_CSP_Normalized'!$E$2:$E$305,E140)</f>
        <v/>
      </c>
      <c r="I140" s="6">
        <f>SUMIFS('02b_CSP_Accelerator_Mix'!$H$2:$H$573,'02b_CSP_Accelerator_Mix'!$B$2:$B$573,B140,'02b_CSP_Accelerator_Mix'!$C$2:$C$573,E140,'02b_CSP_Accelerator_Mix'!$D$2:$D$573,D140,'02b_CSP_Accelerator_Mix'!$E$2:$E$573,F140)</f>
        <v/>
      </c>
      <c r="J140" s="28">
        <f>H140*I140</f>
        <v/>
      </c>
      <c r="K140" s="8">
        <f>IFERROR(INDEX('02x_Accelerator_Catalog'!$D$2:$D$11,MATCH(F140,'02x_Accelerator_Catalog'!$B$2:$B$11,0)),"")</f>
        <v/>
      </c>
      <c r="L140" s="7">
        <f>IF(K140&gt;0,J140*1000/K140,"")</f>
        <v/>
      </c>
      <c r="M140" s="5" t="inlineStr">
        <is>
          <t>epoch_csp_chip_quantity_latest</t>
        </is>
      </c>
      <c r="N140" s="5" t="inlineStr">
        <is>
          <t>Extensible long-format output: add a new accelerator row in 02b and map it in 02x_Accelerator_Catalog to extend this table.</t>
        </is>
      </c>
    </row>
    <row r="141">
      <c r="A141" s="5">
        <f>B141&amp;"|"&amp;C141&amp;"|"&amp;D141&amp;"|"&amp;E141&amp;"|"&amp;F141</f>
        <v/>
      </c>
      <c r="B141" s="5" t="inlineStr">
        <is>
          <t>Grid-Constrained / Efficiency-Upside</t>
        </is>
      </c>
      <c r="C141" s="5" t="inlineStr">
        <is>
          <t>Anthropic</t>
        </is>
      </c>
      <c r="D141" s="5" t="n">
        <v>2030</v>
      </c>
      <c r="E141" s="5" t="inlineStr">
        <is>
          <t>SpaceXAI</t>
        </is>
      </c>
      <c r="F141" s="5" t="inlineStr">
        <is>
          <t>H100/H200/A100 class</t>
        </is>
      </c>
      <c r="G141" s="5">
        <f>IFERROR(INDEX('02x_Accelerator_Catalog'!$C$2:$C$11,MATCH(F141,'02x_Accelerator_Catalog'!$B$2:$B$11,0)),"purpose_or_unbenchmarked")</f>
        <v/>
      </c>
      <c r="H141" s="28">
        <f>SUMIFS('02c_AI_CSP_Normalized'!$N$2:$N$305,'02c_AI_CSP_Normalized'!$B$2:$B$305,B141,'02c_AI_CSP_Normalized'!$C$2:$C$305,C141,'02c_AI_CSP_Normalized'!$D$2:$D$305,D141,'02c_AI_CSP_Normalized'!$E$2:$E$305,E141)</f>
        <v/>
      </c>
      <c r="I141" s="6">
        <f>SUMIFS('02b_CSP_Accelerator_Mix'!$H$2:$H$573,'02b_CSP_Accelerator_Mix'!$B$2:$B$573,B141,'02b_CSP_Accelerator_Mix'!$C$2:$C$573,E141,'02b_CSP_Accelerator_Mix'!$D$2:$D$573,D141,'02b_CSP_Accelerator_Mix'!$E$2:$E$573,F141)</f>
        <v/>
      </c>
      <c r="J141" s="28">
        <f>H141*I141</f>
        <v/>
      </c>
      <c r="K141" s="8">
        <f>IFERROR(INDEX('02x_Accelerator_Catalog'!$D$2:$D$11,MATCH(F141,'02x_Accelerator_Catalog'!$B$2:$B$11,0)),"")</f>
        <v/>
      </c>
      <c r="L141" s="7">
        <f>IF(K141&gt;0,J141*1000/K141,"")</f>
        <v/>
      </c>
      <c r="M141" s="5" t="inlineStr">
        <is>
          <t>epoch_csp_chip_quantity_latest</t>
        </is>
      </c>
      <c r="N141" s="5" t="inlineStr">
        <is>
          <t>Extensible long-format output: add a new accelerator row in 02b and map it in 02x_Accelerator_Catalog to extend this table.</t>
        </is>
      </c>
    </row>
    <row r="142">
      <c r="A142" s="5">
        <f>B142&amp;"|"&amp;C142&amp;"|"&amp;D142&amp;"|"&amp;E142&amp;"|"&amp;F142</f>
        <v/>
      </c>
      <c r="B142" s="5" t="inlineStr">
        <is>
          <t>Bear</t>
        </is>
      </c>
      <c r="C142" s="5" t="inlineStr">
        <is>
          <t>Google</t>
        </is>
      </c>
      <c r="D142" s="5" t="n">
        <v>2026</v>
      </c>
      <c r="E142" s="5" t="inlineStr">
        <is>
          <t>Google</t>
        </is>
      </c>
      <c r="F142" s="5" t="inlineStr">
        <is>
          <t>B200/B300 class</t>
        </is>
      </c>
      <c r="G142" s="5">
        <f>IFERROR(INDEX('02x_Accelerator_Catalog'!$C$2:$C$11,MATCH(F142,'02x_Accelerator_Catalog'!$B$2:$B$11,0)),"purpose_or_unbenchmarked")</f>
        <v/>
      </c>
      <c r="H142" s="28">
        <f>SUMIFS('02c_AI_CSP_Normalized'!$N$2:$N$305,'02c_AI_CSP_Normalized'!$B$2:$B$305,B142,'02c_AI_CSP_Normalized'!$C$2:$C$305,C142,'02c_AI_CSP_Normalized'!$D$2:$D$305,D142,'02c_AI_CSP_Normalized'!$E$2:$E$305,E142)</f>
        <v/>
      </c>
      <c r="I142" s="6">
        <f>SUMIFS('02b_CSP_Accelerator_Mix'!$H$2:$H$573,'02b_CSP_Accelerator_Mix'!$B$2:$B$573,B142,'02b_CSP_Accelerator_Mix'!$C$2:$C$573,E142,'02b_CSP_Accelerator_Mix'!$D$2:$D$573,D142,'02b_CSP_Accelerator_Mix'!$E$2:$E$573,F142)</f>
        <v/>
      </c>
      <c r="J142" s="28">
        <f>H142*I142</f>
        <v/>
      </c>
      <c r="K142" s="8">
        <f>IFERROR(INDEX('02x_Accelerator_Catalog'!$D$2:$D$11,MATCH(F142,'02x_Accelerator_Catalog'!$B$2:$B$11,0)),"")</f>
        <v/>
      </c>
      <c r="L142" s="7">
        <f>IF(K142&gt;0,J142*1000/K142,"")</f>
        <v/>
      </c>
      <c r="M142" s="5" t="inlineStr">
        <is>
          <t>epoch_csp_chip_quantity_latest</t>
        </is>
      </c>
      <c r="N142" s="5" t="inlineStr">
        <is>
          <t>Extensible long-format output: add a new accelerator row in 02b and map it in 02x_Accelerator_Catalog to extend this table.</t>
        </is>
      </c>
    </row>
    <row r="143">
      <c r="A143" s="5">
        <f>B143&amp;"|"&amp;C143&amp;"|"&amp;D143&amp;"|"&amp;E143&amp;"|"&amp;F143</f>
        <v/>
      </c>
      <c r="B143" s="5" t="inlineStr">
        <is>
          <t>Bear</t>
        </is>
      </c>
      <c r="C143" s="5" t="inlineStr">
        <is>
          <t>Google</t>
        </is>
      </c>
      <c r="D143" s="5" t="n">
        <v>2026</v>
      </c>
      <c r="E143" s="5" t="inlineStr">
        <is>
          <t>Google</t>
        </is>
      </c>
      <c r="F143" s="5" t="inlineStr">
        <is>
          <t>TPU</t>
        </is>
      </c>
      <c r="G143" s="5">
        <f>IFERROR(INDEX('02x_Accelerator_Catalog'!$C$2:$C$11,MATCH(F143,'02x_Accelerator_Catalog'!$B$2:$B$11,0)),"purpose_or_unbenchmarked")</f>
        <v/>
      </c>
      <c r="H143" s="28">
        <f>SUMIFS('02c_AI_CSP_Normalized'!$N$2:$N$305,'02c_AI_CSP_Normalized'!$B$2:$B$305,B143,'02c_AI_CSP_Normalized'!$C$2:$C$305,C143,'02c_AI_CSP_Normalized'!$D$2:$D$305,D143,'02c_AI_CSP_Normalized'!$E$2:$E$305,E143)</f>
        <v/>
      </c>
      <c r="I143" s="6">
        <f>SUMIFS('02b_CSP_Accelerator_Mix'!$H$2:$H$573,'02b_CSP_Accelerator_Mix'!$B$2:$B$573,B143,'02b_CSP_Accelerator_Mix'!$C$2:$C$573,E143,'02b_CSP_Accelerator_Mix'!$D$2:$D$573,D143,'02b_CSP_Accelerator_Mix'!$E$2:$E$573,F143)</f>
        <v/>
      </c>
      <c r="J143" s="28">
        <f>H143*I143</f>
        <v/>
      </c>
      <c r="K143" s="8">
        <f>IFERROR(INDEX('02x_Accelerator_Catalog'!$D$2:$D$11,MATCH(F143,'02x_Accelerator_Catalog'!$B$2:$B$11,0)),"")</f>
        <v/>
      </c>
      <c r="L143" s="7">
        <f>IF(K143&gt;0,J143*1000/K143,"")</f>
        <v/>
      </c>
      <c r="M143" s="5" t="inlineStr">
        <is>
          <t>epoch_csp_chip_quantity_latest</t>
        </is>
      </c>
      <c r="N143" s="5" t="inlineStr">
        <is>
          <t>Extensible long-format output: add a new accelerator row in 02b and map it in 02x_Accelerator_Catalog to extend this table.</t>
        </is>
      </c>
    </row>
    <row r="144">
      <c r="A144" s="5">
        <f>B144&amp;"|"&amp;C144&amp;"|"&amp;D144&amp;"|"&amp;E144&amp;"|"&amp;F144</f>
        <v/>
      </c>
      <c r="B144" s="5" t="inlineStr">
        <is>
          <t>Base</t>
        </is>
      </c>
      <c r="C144" s="5" t="inlineStr">
        <is>
          <t>Google</t>
        </is>
      </c>
      <c r="D144" s="5" t="n">
        <v>2026</v>
      </c>
      <c r="E144" s="5" t="inlineStr">
        <is>
          <t>Google</t>
        </is>
      </c>
      <c r="F144" s="5" t="inlineStr">
        <is>
          <t>B200/B300 class</t>
        </is>
      </c>
      <c r="G144" s="5">
        <f>IFERROR(INDEX('02x_Accelerator_Catalog'!$C$2:$C$11,MATCH(F144,'02x_Accelerator_Catalog'!$B$2:$B$11,0)),"purpose_or_unbenchmarked")</f>
        <v/>
      </c>
      <c r="H144" s="28">
        <f>SUMIFS('02c_AI_CSP_Normalized'!$N$2:$N$305,'02c_AI_CSP_Normalized'!$B$2:$B$305,B144,'02c_AI_CSP_Normalized'!$C$2:$C$305,C144,'02c_AI_CSP_Normalized'!$D$2:$D$305,D144,'02c_AI_CSP_Normalized'!$E$2:$E$305,E144)</f>
        <v/>
      </c>
      <c r="I144" s="6">
        <f>SUMIFS('02b_CSP_Accelerator_Mix'!$H$2:$H$573,'02b_CSP_Accelerator_Mix'!$B$2:$B$573,B144,'02b_CSP_Accelerator_Mix'!$C$2:$C$573,E144,'02b_CSP_Accelerator_Mix'!$D$2:$D$573,D144,'02b_CSP_Accelerator_Mix'!$E$2:$E$573,F144)</f>
        <v/>
      </c>
      <c r="J144" s="28">
        <f>H144*I144</f>
        <v/>
      </c>
      <c r="K144" s="8">
        <f>IFERROR(INDEX('02x_Accelerator_Catalog'!$D$2:$D$11,MATCH(F144,'02x_Accelerator_Catalog'!$B$2:$B$11,0)),"")</f>
        <v/>
      </c>
      <c r="L144" s="7">
        <f>IF(K144&gt;0,J144*1000/K144,"")</f>
        <v/>
      </c>
      <c r="M144" s="5" t="inlineStr">
        <is>
          <t>epoch_csp_chip_quantity_latest</t>
        </is>
      </c>
      <c r="N144" s="5" t="inlineStr">
        <is>
          <t>Extensible long-format output: add a new accelerator row in 02b and map it in 02x_Accelerator_Catalog to extend this table.</t>
        </is>
      </c>
    </row>
    <row r="145">
      <c r="A145" s="5">
        <f>B145&amp;"|"&amp;C145&amp;"|"&amp;D145&amp;"|"&amp;E145&amp;"|"&amp;F145</f>
        <v/>
      </c>
      <c r="B145" s="5" t="inlineStr">
        <is>
          <t>Base</t>
        </is>
      </c>
      <c r="C145" s="5" t="inlineStr">
        <is>
          <t>Google</t>
        </is>
      </c>
      <c r="D145" s="5" t="n">
        <v>2026</v>
      </c>
      <c r="E145" s="5" t="inlineStr">
        <is>
          <t>Google</t>
        </is>
      </c>
      <c r="F145" s="5" t="inlineStr">
        <is>
          <t>TPU</t>
        </is>
      </c>
      <c r="G145" s="5">
        <f>IFERROR(INDEX('02x_Accelerator_Catalog'!$C$2:$C$11,MATCH(F145,'02x_Accelerator_Catalog'!$B$2:$B$11,0)),"purpose_or_unbenchmarked")</f>
        <v/>
      </c>
      <c r="H145" s="28">
        <f>SUMIFS('02c_AI_CSP_Normalized'!$N$2:$N$305,'02c_AI_CSP_Normalized'!$B$2:$B$305,B145,'02c_AI_CSP_Normalized'!$C$2:$C$305,C145,'02c_AI_CSP_Normalized'!$D$2:$D$305,D145,'02c_AI_CSP_Normalized'!$E$2:$E$305,E145)</f>
        <v/>
      </c>
      <c r="I145" s="6">
        <f>SUMIFS('02b_CSP_Accelerator_Mix'!$H$2:$H$573,'02b_CSP_Accelerator_Mix'!$B$2:$B$573,B145,'02b_CSP_Accelerator_Mix'!$C$2:$C$573,E145,'02b_CSP_Accelerator_Mix'!$D$2:$D$573,D145,'02b_CSP_Accelerator_Mix'!$E$2:$E$573,F145)</f>
        <v/>
      </c>
      <c r="J145" s="28">
        <f>H145*I145</f>
        <v/>
      </c>
      <c r="K145" s="8">
        <f>IFERROR(INDEX('02x_Accelerator_Catalog'!$D$2:$D$11,MATCH(F145,'02x_Accelerator_Catalog'!$B$2:$B$11,0)),"")</f>
        <v/>
      </c>
      <c r="L145" s="7">
        <f>IF(K145&gt;0,J145*1000/K145,"")</f>
        <v/>
      </c>
      <c r="M145" s="5" t="inlineStr">
        <is>
          <t>epoch_csp_chip_quantity_latest</t>
        </is>
      </c>
      <c r="N145" s="5" t="inlineStr">
        <is>
          <t>Extensible long-format output: add a new accelerator row in 02b and map it in 02x_Accelerator_Catalog to extend this table.</t>
        </is>
      </c>
    </row>
    <row r="146">
      <c r="A146" s="5">
        <f>B146&amp;"|"&amp;C146&amp;"|"&amp;D146&amp;"|"&amp;E146&amp;"|"&amp;F146</f>
        <v/>
      </c>
      <c r="B146" s="5" t="inlineStr">
        <is>
          <t>Bull</t>
        </is>
      </c>
      <c r="C146" s="5" t="inlineStr">
        <is>
          <t>Google</t>
        </is>
      </c>
      <c r="D146" s="5" t="n">
        <v>2026</v>
      </c>
      <c r="E146" s="5" t="inlineStr">
        <is>
          <t>Google</t>
        </is>
      </c>
      <c r="F146" s="5" t="inlineStr">
        <is>
          <t>B200/B300 class</t>
        </is>
      </c>
      <c r="G146" s="5">
        <f>IFERROR(INDEX('02x_Accelerator_Catalog'!$C$2:$C$11,MATCH(F146,'02x_Accelerator_Catalog'!$B$2:$B$11,0)),"purpose_or_unbenchmarked")</f>
        <v/>
      </c>
      <c r="H146" s="28">
        <f>SUMIFS('02c_AI_CSP_Normalized'!$N$2:$N$305,'02c_AI_CSP_Normalized'!$B$2:$B$305,B146,'02c_AI_CSP_Normalized'!$C$2:$C$305,C146,'02c_AI_CSP_Normalized'!$D$2:$D$305,D146,'02c_AI_CSP_Normalized'!$E$2:$E$305,E146)</f>
        <v/>
      </c>
      <c r="I146" s="6">
        <f>SUMIFS('02b_CSP_Accelerator_Mix'!$H$2:$H$573,'02b_CSP_Accelerator_Mix'!$B$2:$B$573,B146,'02b_CSP_Accelerator_Mix'!$C$2:$C$573,E146,'02b_CSP_Accelerator_Mix'!$D$2:$D$573,D146,'02b_CSP_Accelerator_Mix'!$E$2:$E$573,F146)</f>
        <v/>
      </c>
      <c r="J146" s="28">
        <f>H146*I146</f>
        <v/>
      </c>
      <c r="K146" s="8">
        <f>IFERROR(INDEX('02x_Accelerator_Catalog'!$D$2:$D$11,MATCH(F146,'02x_Accelerator_Catalog'!$B$2:$B$11,0)),"")</f>
        <v/>
      </c>
      <c r="L146" s="7">
        <f>IF(K146&gt;0,J146*1000/K146,"")</f>
        <v/>
      </c>
      <c r="M146" s="5" t="inlineStr">
        <is>
          <t>epoch_csp_chip_quantity_latest</t>
        </is>
      </c>
      <c r="N146" s="5" t="inlineStr">
        <is>
          <t>Extensible long-format output: add a new accelerator row in 02b and map it in 02x_Accelerator_Catalog to extend this table.</t>
        </is>
      </c>
    </row>
    <row r="147">
      <c r="A147" s="5">
        <f>B147&amp;"|"&amp;C147&amp;"|"&amp;D147&amp;"|"&amp;E147&amp;"|"&amp;F147</f>
        <v/>
      </c>
      <c r="B147" s="5" t="inlineStr">
        <is>
          <t>Bull</t>
        </is>
      </c>
      <c r="C147" s="5" t="inlineStr">
        <is>
          <t>Google</t>
        </is>
      </c>
      <c r="D147" s="5" t="n">
        <v>2026</v>
      </c>
      <c r="E147" s="5" t="inlineStr">
        <is>
          <t>Google</t>
        </is>
      </c>
      <c r="F147" s="5" t="inlineStr">
        <is>
          <t>TPU</t>
        </is>
      </c>
      <c r="G147" s="5">
        <f>IFERROR(INDEX('02x_Accelerator_Catalog'!$C$2:$C$11,MATCH(F147,'02x_Accelerator_Catalog'!$B$2:$B$11,0)),"purpose_or_unbenchmarked")</f>
        <v/>
      </c>
      <c r="H147" s="28">
        <f>SUMIFS('02c_AI_CSP_Normalized'!$N$2:$N$305,'02c_AI_CSP_Normalized'!$B$2:$B$305,B147,'02c_AI_CSP_Normalized'!$C$2:$C$305,C147,'02c_AI_CSP_Normalized'!$D$2:$D$305,D147,'02c_AI_CSP_Normalized'!$E$2:$E$305,E147)</f>
        <v/>
      </c>
      <c r="I147" s="6">
        <f>SUMIFS('02b_CSP_Accelerator_Mix'!$H$2:$H$573,'02b_CSP_Accelerator_Mix'!$B$2:$B$573,B147,'02b_CSP_Accelerator_Mix'!$C$2:$C$573,E147,'02b_CSP_Accelerator_Mix'!$D$2:$D$573,D147,'02b_CSP_Accelerator_Mix'!$E$2:$E$573,F147)</f>
        <v/>
      </c>
      <c r="J147" s="28">
        <f>H147*I147</f>
        <v/>
      </c>
      <c r="K147" s="8">
        <f>IFERROR(INDEX('02x_Accelerator_Catalog'!$D$2:$D$11,MATCH(F147,'02x_Accelerator_Catalog'!$B$2:$B$11,0)),"")</f>
        <v/>
      </c>
      <c r="L147" s="7">
        <f>IF(K147&gt;0,J147*1000/K147,"")</f>
        <v/>
      </c>
      <c r="M147" s="5" t="inlineStr">
        <is>
          <t>epoch_csp_chip_quantity_latest</t>
        </is>
      </c>
      <c r="N147" s="5" t="inlineStr">
        <is>
          <t>Extensible long-format output: add a new accelerator row in 02b and map it in 02x_Accelerator_Catalog to extend this table.</t>
        </is>
      </c>
    </row>
    <row r="148">
      <c r="A148" s="5">
        <f>B148&amp;"|"&amp;C148&amp;"|"&amp;D148&amp;"|"&amp;E148&amp;"|"&amp;F148</f>
        <v/>
      </c>
      <c r="B148" s="5" t="inlineStr">
        <is>
          <t>Grid-Constrained / Efficiency-Upside</t>
        </is>
      </c>
      <c r="C148" s="5" t="inlineStr">
        <is>
          <t>Google</t>
        </is>
      </c>
      <c r="D148" s="5" t="n">
        <v>2026</v>
      </c>
      <c r="E148" s="5" t="inlineStr">
        <is>
          <t>Google</t>
        </is>
      </c>
      <c r="F148" s="5" t="inlineStr">
        <is>
          <t>B200/B300 class</t>
        </is>
      </c>
      <c r="G148" s="5">
        <f>IFERROR(INDEX('02x_Accelerator_Catalog'!$C$2:$C$11,MATCH(F148,'02x_Accelerator_Catalog'!$B$2:$B$11,0)),"purpose_or_unbenchmarked")</f>
        <v/>
      </c>
      <c r="H148" s="28">
        <f>SUMIFS('02c_AI_CSP_Normalized'!$N$2:$N$305,'02c_AI_CSP_Normalized'!$B$2:$B$305,B148,'02c_AI_CSP_Normalized'!$C$2:$C$305,C148,'02c_AI_CSP_Normalized'!$D$2:$D$305,D148,'02c_AI_CSP_Normalized'!$E$2:$E$305,E148)</f>
        <v/>
      </c>
      <c r="I148" s="6">
        <f>SUMIFS('02b_CSP_Accelerator_Mix'!$H$2:$H$573,'02b_CSP_Accelerator_Mix'!$B$2:$B$573,B148,'02b_CSP_Accelerator_Mix'!$C$2:$C$573,E148,'02b_CSP_Accelerator_Mix'!$D$2:$D$573,D148,'02b_CSP_Accelerator_Mix'!$E$2:$E$573,F148)</f>
        <v/>
      </c>
      <c r="J148" s="28">
        <f>H148*I148</f>
        <v/>
      </c>
      <c r="K148" s="8">
        <f>IFERROR(INDEX('02x_Accelerator_Catalog'!$D$2:$D$11,MATCH(F148,'02x_Accelerator_Catalog'!$B$2:$B$11,0)),"")</f>
        <v/>
      </c>
      <c r="L148" s="7">
        <f>IF(K148&gt;0,J148*1000/K148,"")</f>
        <v/>
      </c>
      <c r="M148" s="5" t="inlineStr">
        <is>
          <t>epoch_csp_chip_quantity_latest</t>
        </is>
      </c>
      <c r="N148" s="5" t="inlineStr">
        <is>
          <t>Extensible long-format output: add a new accelerator row in 02b and map it in 02x_Accelerator_Catalog to extend this table.</t>
        </is>
      </c>
    </row>
    <row r="149">
      <c r="A149" s="5">
        <f>B149&amp;"|"&amp;C149&amp;"|"&amp;D149&amp;"|"&amp;E149&amp;"|"&amp;F149</f>
        <v/>
      </c>
      <c r="B149" s="5" t="inlineStr">
        <is>
          <t>Grid-Constrained / Efficiency-Upside</t>
        </is>
      </c>
      <c r="C149" s="5" t="inlineStr">
        <is>
          <t>Google</t>
        </is>
      </c>
      <c r="D149" s="5" t="n">
        <v>2026</v>
      </c>
      <c r="E149" s="5" t="inlineStr">
        <is>
          <t>Google</t>
        </is>
      </c>
      <c r="F149" s="5" t="inlineStr">
        <is>
          <t>TPU</t>
        </is>
      </c>
      <c r="G149" s="5">
        <f>IFERROR(INDEX('02x_Accelerator_Catalog'!$C$2:$C$11,MATCH(F149,'02x_Accelerator_Catalog'!$B$2:$B$11,0)),"purpose_or_unbenchmarked")</f>
        <v/>
      </c>
      <c r="H149" s="28">
        <f>SUMIFS('02c_AI_CSP_Normalized'!$N$2:$N$305,'02c_AI_CSP_Normalized'!$B$2:$B$305,B149,'02c_AI_CSP_Normalized'!$C$2:$C$305,C149,'02c_AI_CSP_Normalized'!$D$2:$D$305,D149,'02c_AI_CSP_Normalized'!$E$2:$E$305,E149)</f>
        <v/>
      </c>
      <c r="I149" s="6">
        <f>SUMIFS('02b_CSP_Accelerator_Mix'!$H$2:$H$573,'02b_CSP_Accelerator_Mix'!$B$2:$B$573,B149,'02b_CSP_Accelerator_Mix'!$C$2:$C$573,E149,'02b_CSP_Accelerator_Mix'!$D$2:$D$573,D149,'02b_CSP_Accelerator_Mix'!$E$2:$E$573,F149)</f>
        <v/>
      </c>
      <c r="J149" s="28">
        <f>H149*I149</f>
        <v/>
      </c>
      <c r="K149" s="8">
        <f>IFERROR(INDEX('02x_Accelerator_Catalog'!$D$2:$D$11,MATCH(F149,'02x_Accelerator_Catalog'!$B$2:$B$11,0)),"")</f>
        <v/>
      </c>
      <c r="L149" s="7">
        <f>IF(K149&gt;0,J149*1000/K149,"")</f>
        <v/>
      </c>
      <c r="M149" s="5" t="inlineStr">
        <is>
          <t>epoch_csp_chip_quantity_latest</t>
        </is>
      </c>
      <c r="N149" s="5" t="inlineStr">
        <is>
          <t>Extensible long-format output: add a new accelerator row in 02b and map it in 02x_Accelerator_Catalog to extend this table.</t>
        </is>
      </c>
    </row>
    <row r="150">
      <c r="A150" s="5">
        <f>B150&amp;"|"&amp;C150&amp;"|"&amp;D150&amp;"|"&amp;E150&amp;"|"&amp;F150</f>
        <v/>
      </c>
      <c r="B150" s="5" t="inlineStr">
        <is>
          <t>Bear</t>
        </is>
      </c>
      <c r="C150" s="5" t="inlineStr">
        <is>
          <t>Google</t>
        </is>
      </c>
      <c r="D150" s="5" t="n">
        <v>2027</v>
      </c>
      <c r="E150" s="5" t="inlineStr">
        <is>
          <t>Google</t>
        </is>
      </c>
      <c r="F150" s="5" t="inlineStr">
        <is>
          <t>B200/B300 class</t>
        </is>
      </c>
      <c r="G150" s="5">
        <f>IFERROR(INDEX('02x_Accelerator_Catalog'!$C$2:$C$11,MATCH(F150,'02x_Accelerator_Catalog'!$B$2:$B$11,0)),"purpose_or_unbenchmarked")</f>
        <v/>
      </c>
      <c r="H150" s="28">
        <f>SUMIFS('02c_AI_CSP_Normalized'!$N$2:$N$305,'02c_AI_CSP_Normalized'!$B$2:$B$305,B150,'02c_AI_CSP_Normalized'!$C$2:$C$305,C150,'02c_AI_CSP_Normalized'!$D$2:$D$305,D150,'02c_AI_CSP_Normalized'!$E$2:$E$305,E150)</f>
        <v/>
      </c>
      <c r="I150" s="6">
        <f>SUMIFS('02b_CSP_Accelerator_Mix'!$H$2:$H$573,'02b_CSP_Accelerator_Mix'!$B$2:$B$573,B150,'02b_CSP_Accelerator_Mix'!$C$2:$C$573,E150,'02b_CSP_Accelerator_Mix'!$D$2:$D$573,D150,'02b_CSP_Accelerator_Mix'!$E$2:$E$573,F150)</f>
        <v/>
      </c>
      <c r="J150" s="28">
        <f>H150*I150</f>
        <v/>
      </c>
      <c r="K150" s="8">
        <f>IFERROR(INDEX('02x_Accelerator_Catalog'!$D$2:$D$11,MATCH(F150,'02x_Accelerator_Catalog'!$B$2:$B$11,0)),"")</f>
        <v/>
      </c>
      <c r="L150" s="7">
        <f>IF(K150&gt;0,J150*1000/K150,"")</f>
        <v/>
      </c>
      <c r="M150" s="5" t="inlineStr">
        <is>
          <t>epoch_csp_chip_quantity_latest</t>
        </is>
      </c>
      <c r="N150" s="5" t="inlineStr">
        <is>
          <t>Extensible long-format output: add a new accelerator row in 02b and map it in 02x_Accelerator_Catalog to extend this table.</t>
        </is>
      </c>
    </row>
    <row r="151">
      <c r="A151" s="5">
        <f>B151&amp;"|"&amp;C151&amp;"|"&amp;D151&amp;"|"&amp;E151&amp;"|"&amp;F151</f>
        <v/>
      </c>
      <c r="B151" s="5" t="inlineStr">
        <is>
          <t>Bear</t>
        </is>
      </c>
      <c r="C151" s="5" t="inlineStr">
        <is>
          <t>Google</t>
        </is>
      </c>
      <c r="D151" s="5" t="n">
        <v>2027</v>
      </c>
      <c r="E151" s="5" t="inlineStr">
        <is>
          <t>Google</t>
        </is>
      </c>
      <c r="F151" s="5" t="inlineStr">
        <is>
          <t>R200/R300 future</t>
        </is>
      </c>
      <c r="G151" s="5">
        <f>IFERROR(INDEX('02x_Accelerator_Catalog'!$C$2:$C$11,MATCH(F151,'02x_Accelerator_Catalog'!$B$2:$B$11,0)),"purpose_or_unbenchmarked")</f>
        <v/>
      </c>
      <c r="H151" s="28">
        <f>SUMIFS('02c_AI_CSP_Normalized'!$N$2:$N$305,'02c_AI_CSP_Normalized'!$B$2:$B$305,B151,'02c_AI_CSP_Normalized'!$C$2:$C$305,C151,'02c_AI_CSP_Normalized'!$D$2:$D$305,D151,'02c_AI_CSP_Normalized'!$E$2:$E$305,E151)</f>
        <v/>
      </c>
      <c r="I151" s="6">
        <f>SUMIFS('02b_CSP_Accelerator_Mix'!$H$2:$H$573,'02b_CSP_Accelerator_Mix'!$B$2:$B$573,B151,'02b_CSP_Accelerator_Mix'!$C$2:$C$573,E151,'02b_CSP_Accelerator_Mix'!$D$2:$D$573,D151,'02b_CSP_Accelerator_Mix'!$E$2:$E$573,F151)</f>
        <v/>
      </c>
      <c r="J151" s="28">
        <f>H151*I151</f>
        <v/>
      </c>
      <c r="K151" s="8">
        <f>IFERROR(INDEX('02x_Accelerator_Catalog'!$D$2:$D$11,MATCH(F151,'02x_Accelerator_Catalog'!$B$2:$B$11,0)),"")</f>
        <v/>
      </c>
      <c r="L151" s="7">
        <f>IF(K151&gt;0,J151*1000/K151,"")</f>
        <v/>
      </c>
      <c r="M151" s="5" t="inlineStr">
        <is>
          <t>epoch_csp_chip_quantity_latest</t>
        </is>
      </c>
      <c r="N151" s="5" t="inlineStr">
        <is>
          <t>Extensible long-format output: add a new accelerator row in 02b and map it in 02x_Accelerator_Catalog to extend this table.</t>
        </is>
      </c>
    </row>
    <row r="152">
      <c r="A152" s="5">
        <f>B152&amp;"|"&amp;C152&amp;"|"&amp;D152&amp;"|"&amp;E152&amp;"|"&amp;F152</f>
        <v/>
      </c>
      <c r="B152" s="5" t="inlineStr">
        <is>
          <t>Bear</t>
        </is>
      </c>
      <c r="C152" s="5" t="inlineStr">
        <is>
          <t>Google</t>
        </is>
      </c>
      <c r="D152" s="5" t="n">
        <v>2027</v>
      </c>
      <c r="E152" s="5" t="inlineStr">
        <is>
          <t>Google</t>
        </is>
      </c>
      <c r="F152" s="5" t="inlineStr">
        <is>
          <t>TPU</t>
        </is>
      </c>
      <c r="G152" s="5">
        <f>IFERROR(INDEX('02x_Accelerator_Catalog'!$C$2:$C$11,MATCH(F152,'02x_Accelerator_Catalog'!$B$2:$B$11,0)),"purpose_or_unbenchmarked")</f>
        <v/>
      </c>
      <c r="H152" s="28">
        <f>SUMIFS('02c_AI_CSP_Normalized'!$N$2:$N$305,'02c_AI_CSP_Normalized'!$B$2:$B$305,B152,'02c_AI_CSP_Normalized'!$C$2:$C$305,C152,'02c_AI_CSP_Normalized'!$D$2:$D$305,D152,'02c_AI_CSP_Normalized'!$E$2:$E$305,E152)</f>
        <v/>
      </c>
      <c r="I152" s="6">
        <f>SUMIFS('02b_CSP_Accelerator_Mix'!$H$2:$H$573,'02b_CSP_Accelerator_Mix'!$B$2:$B$573,B152,'02b_CSP_Accelerator_Mix'!$C$2:$C$573,E152,'02b_CSP_Accelerator_Mix'!$D$2:$D$573,D152,'02b_CSP_Accelerator_Mix'!$E$2:$E$573,F152)</f>
        <v/>
      </c>
      <c r="J152" s="28">
        <f>H152*I152</f>
        <v/>
      </c>
      <c r="K152" s="8">
        <f>IFERROR(INDEX('02x_Accelerator_Catalog'!$D$2:$D$11,MATCH(F152,'02x_Accelerator_Catalog'!$B$2:$B$11,0)),"")</f>
        <v/>
      </c>
      <c r="L152" s="7">
        <f>IF(K152&gt;0,J152*1000/K152,"")</f>
        <v/>
      </c>
      <c r="M152" s="5" t="inlineStr">
        <is>
          <t>epoch_csp_chip_quantity_latest</t>
        </is>
      </c>
      <c r="N152" s="5" t="inlineStr">
        <is>
          <t>Extensible long-format output: add a new accelerator row in 02b and map it in 02x_Accelerator_Catalog to extend this table.</t>
        </is>
      </c>
    </row>
    <row r="153">
      <c r="A153" s="5">
        <f>B153&amp;"|"&amp;C153&amp;"|"&amp;D153&amp;"|"&amp;E153&amp;"|"&amp;F153</f>
        <v/>
      </c>
      <c r="B153" s="5" t="inlineStr">
        <is>
          <t>Base</t>
        </is>
      </c>
      <c r="C153" s="5" t="inlineStr">
        <is>
          <t>Google</t>
        </is>
      </c>
      <c r="D153" s="5" t="n">
        <v>2027</v>
      </c>
      <c r="E153" s="5" t="inlineStr">
        <is>
          <t>Google</t>
        </is>
      </c>
      <c r="F153" s="5" t="inlineStr">
        <is>
          <t>B200/B300 class</t>
        </is>
      </c>
      <c r="G153" s="5">
        <f>IFERROR(INDEX('02x_Accelerator_Catalog'!$C$2:$C$11,MATCH(F153,'02x_Accelerator_Catalog'!$B$2:$B$11,0)),"purpose_or_unbenchmarked")</f>
        <v/>
      </c>
      <c r="H153" s="28">
        <f>SUMIFS('02c_AI_CSP_Normalized'!$N$2:$N$305,'02c_AI_CSP_Normalized'!$B$2:$B$305,B153,'02c_AI_CSP_Normalized'!$C$2:$C$305,C153,'02c_AI_CSP_Normalized'!$D$2:$D$305,D153,'02c_AI_CSP_Normalized'!$E$2:$E$305,E153)</f>
        <v/>
      </c>
      <c r="I153" s="6">
        <f>SUMIFS('02b_CSP_Accelerator_Mix'!$H$2:$H$573,'02b_CSP_Accelerator_Mix'!$B$2:$B$573,B153,'02b_CSP_Accelerator_Mix'!$C$2:$C$573,E153,'02b_CSP_Accelerator_Mix'!$D$2:$D$573,D153,'02b_CSP_Accelerator_Mix'!$E$2:$E$573,F153)</f>
        <v/>
      </c>
      <c r="J153" s="28">
        <f>H153*I153</f>
        <v/>
      </c>
      <c r="K153" s="8">
        <f>IFERROR(INDEX('02x_Accelerator_Catalog'!$D$2:$D$11,MATCH(F153,'02x_Accelerator_Catalog'!$B$2:$B$11,0)),"")</f>
        <v/>
      </c>
      <c r="L153" s="7">
        <f>IF(K153&gt;0,J153*1000/K153,"")</f>
        <v/>
      </c>
      <c r="M153" s="5" t="inlineStr">
        <is>
          <t>epoch_csp_chip_quantity_latest</t>
        </is>
      </c>
      <c r="N153" s="5" t="inlineStr">
        <is>
          <t>Extensible long-format output: add a new accelerator row in 02b and map it in 02x_Accelerator_Catalog to extend this table.</t>
        </is>
      </c>
    </row>
    <row r="154">
      <c r="A154" s="5">
        <f>B154&amp;"|"&amp;C154&amp;"|"&amp;D154&amp;"|"&amp;E154&amp;"|"&amp;F154</f>
        <v/>
      </c>
      <c r="B154" s="5" t="inlineStr">
        <is>
          <t>Base</t>
        </is>
      </c>
      <c r="C154" s="5" t="inlineStr">
        <is>
          <t>Google</t>
        </is>
      </c>
      <c r="D154" s="5" t="n">
        <v>2027</v>
      </c>
      <c r="E154" s="5" t="inlineStr">
        <is>
          <t>Google</t>
        </is>
      </c>
      <c r="F154" s="5" t="inlineStr">
        <is>
          <t>R200/R300 future</t>
        </is>
      </c>
      <c r="G154" s="5">
        <f>IFERROR(INDEX('02x_Accelerator_Catalog'!$C$2:$C$11,MATCH(F154,'02x_Accelerator_Catalog'!$B$2:$B$11,0)),"purpose_or_unbenchmarked")</f>
        <v/>
      </c>
      <c r="H154" s="28">
        <f>SUMIFS('02c_AI_CSP_Normalized'!$N$2:$N$305,'02c_AI_CSP_Normalized'!$B$2:$B$305,B154,'02c_AI_CSP_Normalized'!$C$2:$C$305,C154,'02c_AI_CSP_Normalized'!$D$2:$D$305,D154,'02c_AI_CSP_Normalized'!$E$2:$E$305,E154)</f>
        <v/>
      </c>
      <c r="I154" s="6">
        <f>SUMIFS('02b_CSP_Accelerator_Mix'!$H$2:$H$573,'02b_CSP_Accelerator_Mix'!$B$2:$B$573,B154,'02b_CSP_Accelerator_Mix'!$C$2:$C$573,E154,'02b_CSP_Accelerator_Mix'!$D$2:$D$573,D154,'02b_CSP_Accelerator_Mix'!$E$2:$E$573,F154)</f>
        <v/>
      </c>
      <c r="J154" s="28">
        <f>H154*I154</f>
        <v/>
      </c>
      <c r="K154" s="8">
        <f>IFERROR(INDEX('02x_Accelerator_Catalog'!$D$2:$D$11,MATCH(F154,'02x_Accelerator_Catalog'!$B$2:$B$11,0)),"")</f>
        <v/>
      </c>
      <c r="L154" s="7">
        <f>IF(K154&gt;0,J154*1000/K154,"")</f>
        <v/>
      </c>
      <c r="M154" s="5" t="inlineStr">
        <is>
          <t>epoch_csp_chip_quantity_latest</t>
        </is>
      </c>
      <c r="N154" s="5" t="inlineStr">
        <is>
          <t>Extensible long-format output: add a new accelerator row in 02b and map it in 02x_Accelerator_Catalog to extend this table.</t>
        </is>
      </c>
    </row>
    <row r="155">
      <c r="A155" s="5">
        <f>B155&amp;"|"&amp;C155&amp;"|"&amp;D155&amp;"|"&amp;E155&amp;"|"&amp;F155</f>
        <v/>
      </c>
      <c r="B155" s="5" t="inlineStr">
        <is>
          <t>Base</t>
        </is>
      </c>
      <c r="C155" s="5" t="inlineStr">
        <is>
          <t>Google</t>
        </is>
      </c>
      <c r="D155" s="5" t="n">
        <v>2027</v>
      </c>
      <c r="E155" s="5" t="inlineStr">
        <is>
          <t>Google</t>
        </is>
      </c>
      <c r="F155" s="5" t="inlineStr">
        <is>
          <t>TPU</t>
        </is>
      </c>
      <c r="G155" s="5">
        <f>IFERROR(INDEX('02x_Accelerator_Catalog'!$C$2:$C$11,MATCH(F155,'02x_Accelerator_Catalog'!$B$2:$B$11,0)),"purpose_or_unbenchmarked")</f>
        <v/>
      </c>
      <c r="H155" s="28">
        <f>SUMIFS('02c_AI_CSP_Normalized'!$N$2:$N$305,'02c_AI_CSP_Normalized'!$B$2:$B$305,B155,'02c_AI_CSP_Normalized'!$C$2:$C$305,C155,'02c_AI_CSP_Normalized'!$D$2:$D$305,D155,'02c_AI_CSP_Normalized'!$E$2:$E$305,E155)</f>
        <v/>
      </c>
      <c r="I155" s="6">
        <f>SUMIFS('02b_CSP_Accelerator_Mix'!$H$2:$H$573,'02b_CSP_Accelerator_Mix'!$B$2:$B$573,B155,'02b_CSP_Accelerator_Mix'!$C$2:$C$573,E155,'02b_CSP_Accelerator_Mix'!$D$2:$D$573,D155,'02b_CSP_Accelerator_Mix'!$E$2:$E$573,F155)</f>
        <v/>
      </c>
      <c r="J155" s="28">
        <f>H155*I155</f>
        <v/>
      </c>
      <c r="K155" s="8">
        <f>IFERROR(INDEX('02x_Accelerator_Catalog'!$D$2:$D$11,MATCH(F155,'02x_Accelerator_Catalog'!$B$2:$B$11,0)),"")</f>
        <v/>
      </c>
      <c r="L155" s="7">
        <f>IF(K155&gt;0,J155*1000/K155,"")</f>
        <v/>
      </c>
      <c r="M155" s="5" t="inlineStr">
        <is>
          <t>epoch_csp_chip_quantity_latest</t>
        </is>
      </c>
      <c r="N155" s="5" t="inlineStr">
        <is>
          <t>Extensible long-format output: add a new accelerator row in 02b and map it in 02x_Accelerator_Catalog to extend this table.</t>
        </is>
      </c>
    </row>
    <row r="156">
      <c r="A156" s="5">
        <f>B156&amp;"|"&amp;C156&amp;"|"&amp;D156&amp;"|"&amp;E156&amp;"|"&amp;F156</f>
        <v/>
      </c>
      <c r="B156" s="5" t="inlineStr">
        <is>
          <t>Bull</t>
        </is>
      </c>
      <c r="C156" s="5" t="inlineStr">
        <is>
          <t>Google</t>
        </is>
      </c>
      <c r="D156" s="5" t="n">
        <v>2027</v>
      </c>
      <c r="E156" s="5" t="inlineStr">
        <is>
          <t>Google</t>
        </is>
      </c>
      <c r="F156" s="5" t="inlineStr">
        <is>
          <t>B200/B300 class</t>
        </is>
      </c>
      <c r="G156" s="5">
        <f>IFERROR(INDEX('02x_Accelerator_Catalog'!$C$2:$C$11,MATCH(F156,'02x_Accelerator_Catalog'!$B$2:$B$11,0)),"purpose_or_unbenchmarked")</f>
        <v/>
      </c>
      <c r="H156" s="28">
        <f>SUMIFS('02c_AI_CSP_Normalized'!$N$2:$N$305,'02c_AI_CSP_Normalized'!$B$2:$B$305,B156,'02c_AI_CSP_Normalized'!$C$2:$C$305,C156,'02c_AI_CSP_Normalized'!$D$2:$D$305,D156,'02c_AI_CSP_Normalized'!$E$2:$E$305,E156)</f>
        <v/>
      </c>
      <c r="I156" s="6">
        <f>SUMIFS('02b_CSP_Accelerator_Mix'!$H$2:$H$573,'02b_CSP_Accelerator_Mix'!$B$2:$B$573,B156,'02b_CSP_Accelerator_Mix'!$C$2:$C$573,E156,'02b_CSP_Accelerator_Mix'!$D$2:$D$573,D156,'02b_CSP_Accelerator_Mix'!$E$2:$E$573,F156)</f>
        <v/>
      </c>
      <c r="J156" s="28">
        <f>H156*I156</f>
        <v/>
      </c>
      <c r="K156" s="8">
        <f>IFERROR(INDEX('02x_Accelerator_Catalog'!$D$2:$D$11,MATCH(F156,'02x_Accelerator_Catalog'!$B$2:$B$11,0)),"")</f>
        <v/>
      </c>
      <c r="L156" s="7">
        <f>IF(K156&gt;0,J156*1000/K156,"")</f>
        <v/>
      </c>
      <c r="M156" s="5" t="inlineStr">
        <is>
          <t>epoch_csp_chip_quantity_latest</t>
        </is>
      </c>
      <c r="N156" s="5" t="inlineStr">
        <is>
          <t>Extensible long-format output: add a new accelerator row in 02b and map it in 02x_Accelerator_Catalog to extend this table.</t>
        </is>
      </c>
    </row>
    <row r="157">
      <c r="A157" s="5">
        <f>B157&amp;"|"&amp;C157&amp;"|"&amp;D157&amp;"|"&amp;E157&amp;"|"&amp;F157</f>
        <v/>
      </c>
      <c r="B157" s="5" t="inlineStr">
        <is>
          <t>Bull</t>
        </is>
      </c>
      <c r="C157" s="5" t="inlineStr">
        <is>
          <t>Google</t>
        </is>
      </c>
      <c r="D157" s="5" t="n">
        <v>2027</v>
      </c>
      <c r="E157" s="5" t="inlineStr">
        <is>
          <t>Google</t>
        </is>
      </c>
      <c r="F157" s="5" t="inlineStr">
        <is>
          <t>R200/R300 future</t>
        </is>
      </c>
      <c r="G157" s="5">
        <f>IFERROR(INDEX('02x_Accelerator_Catalog'!$C$2:$C$11,MATCH(F157,'02x_Accelerator_Catalog'!$B$2:$B$11,0)),"purpose_or_unbenchmarked")</f>
        <v/>
      </c>
      <c r="H157" s="28">
        <f>SUMIFS('02c_AI_CSP_Normalized'!$N$2:$N$305,'02c_AI_CSP_Normalized'!$B$2:$B$305,B157,'02c_AI_CSP_Normalized'!$C$2:$C$305,C157,'02c_AI_CSP_Normalized'!$D$2:$D$305,D157,'02c_AI_CSP_Normalized'!$E$2:$E$305,E157)</f>
        <v/>
      </c>
      <c r="I157" s="6">
        <f>SUMIFS('02b_CSP_Accelerator_Mix'!$H$2:$H$573,'02b_CSP_Accelerator_Mix'!$B$2:$B$573,B157,'02b_CSP_Accelerator_Mix'!$C$2:$C$573,E157,'02b_CSP_Accelerator_Mix'!$D$2:$D$573,D157,'02b_CSP_Accelerator_Mix'!$E$2:$E$573,F157)</f>
        <v/>
      </c>
      <c r="J157" s="28">
        <f>H157*I157</f>
        <v/>
      </c>
      <c r="K157" s="8">
        <f>IFERROR(INDEX('02x_Accelerator_Catalog'!$D$2:$D$11,MATCH(F157,'02x_Accelerator_Catalog'!$B$2:$B$11,0)),"")</f>
        <v/>
      </c>
      <c r="L157" s="7">
        <f>IF(K157&gt;0,J157*1000/K157,"")</f>
        <v/>
      </c>
      <c r="M157" s="5" t="inlineStr">
        <is>
          <t>epoch_csp_chip_quantity_latest</t>
        </is>
      </c>
      <c r="N157" s="5" t="inlineStr">
        <is>
          <t>Extensible long-format output: add a new accelerator row in 02b and map it in 02x_Accelerator_Catalog to extend this table.</t>
        </is>
      </c>
    </row>
    <row r="158">
      <c r="A158" s="5">
        <f>B158&amp;"|"&amp;C158&amp;"|"&amp;D158&amp;"|"&amp;E158&amp;"|"&amp;F158</f>
        <v/>
      </c>
      <c r="B158" s="5" t="inlineStr">
        <is>
          <t>Bull</t>
        </is>
      </c>
      <c r="C158" s="5" t="inlineStr">
        <is>
          <t>Google</t>
        </is>
      </c>
      <c r="D158" s="5" t="n">
        <v>2027</v>
      </c>
      <c r="E158" s="5" t="inlineStr">
        <is>
          <t>Google</t>
        </is>
      </c>
      <c r="F158" s="5" t="inlineStr">
        <is>
          <t>TPU</t>
        </is>
      </c>
      <c r="G158" s="5">
        <f>IFERROR(INDEX('02x_Accelerator_Catalog'!$C$2:$C$11,MATCH(F158,'02x_Accelerator_Catalog'!$B$2:$B$11,0)),"purpose_or_unbenchmarked")</f>
        <v/>
      </c>
      <c r="H158" s="28">
        <f>SUMIFS('02c_AI_CSP_Normalized'!$N$2:$N$305,'02c_AI_CSP_Normalized'!$B$2:$B$305,B158,'02c_AI_CSP_Normalized'!$C$2:$C$305,C158,'02c_AI_CSP_Normalized'!$D$2:$D$305,D158,'02c_AI_CSP_Normalized'!$E$2:$E$305,E158)</f>
        <v/>
      </c>
      <c r="I158" s="6">
        <f>SUMIFS('02b_CSP_Accelerator_Mix'!$H$2:$H$573,'02b_CSP_Accelerator_Mix'!$B$2:$B$573,B158,'02b_CSP_Accelerator_Mix'!$C$2:$C$573,E158,'02b_CSP_Accelerator_Mix'!$D$2:$D$573,D158,'02b_CSP_Accelerator_Mix'!$E$2:$E$573,F158)</f>
        <v/>
      </c>
      <c r="J158" s="28">
        <f>H158*I158</f>
        <v/>
      </c>
      <c r="K158" s="8">
        <f>IFERROR(INDEX('02x_Accelerator_Catalog'!$D$2:$D$11,MATCH(F158,'02x_Accelerator_Catalog'!$B$2:$B$11,0)),"")</f>
        <v/>
      </c>
      <c r="L158" s="7">
        <f>IF(K158&gt;0,J158*1000/K158,"")</f>
        <v/>
      </c>
      <c r="M158" s="5" t="inlineStr">
        <is>
          <t>epoch_csp_chip_quantity_latest</t>
        </is>
      </c>
      <c r="N158" s="5" t="inlineStr">
        <is>
          <t>Extensible long-format output: add a new accelerator row in 02b and map it in 02x_Accelerator_Catalog to extend this table.</t>
        </is>
      </c>
    </row>
    <row r="159">
      <c r="A159" s="5">
        <f>B159&amp;"|"&amp;C159&amp;"|"&amp;D159&amp;"|"&amp;E159&amp;"|"&amp;F159</f>
        <v/>
      </c>
      <c r="B159" s="5" t="inlineStr">
        <is>
          <t>Grid-Constrained / Efficiency-Upside</t>
        </is>
      </c>
      <c r="C159" s="5" t="inlineStr">
        <is>
          <t>Google</t>
        </is>
      </c>
      <c r="D159" s="5" t="n">
        <v>2027</v>
      </c>
      <c r="E159" s="5" t="inlineStr">
        <is>
          <t>Google</t>
        </is>
      </c>
      <c r="F159" s="5" t="inlineStr">
        <is>
          <t>B200/B300 class</t>
        </is>
      </c>
      <c r="G159" s="5">
        <f>IFERROR(INDEX('02x_Accelerator_Catalog'!$C$2:$C$11,MATCH(F159,'02x_Accelerator_Catalog'!$B$2:$B$11,0)),"purpose_or_unbenchmarked")</f>
        <v/>
      </c>
      <c r="H159" s="28">
        <f>SUMIFS('02c_AI_CSP_Normalized'!$N$2:$N$305,'02c_AI_CSP_Normalized'!$B$2:$B$305,B159,'02c_AI_CSP_Normalized'!$C$2:$C$305,C159,'02c_AI_CSP_Normalized'!$D$2:$D$305,D159,'02c_AI_CSP_Normalized'!$E$2:$E$305,E159)</f>
        <v/>
      </c>
      <c r="I159" s="6">
        <f>SUMIFS('02b_CSP_Accelerator_Mix'!$H$2:$H$573,'02b_CSP_Accelerator_Mix'!$B$2:$B$573,B159,'02b_CSP_Accelerator_Mix'!$C$2:$C$573,E159,'02b_CSP_Accelerator_Mix'!$D$2:$D$573,D159,'02b_CSP_Accelerator_Mix'!$E$2:$E$573,F159)</f>
        <v/>
      </c>
      <c r="J159" s="28">
        <f>H159*I159</f>
        <v/>
      </c>
      <c r="K159" s="8">
        <f>IFERROR(INDEX('02x_Accelerator_Catalog'!$D$2:$D$11,MATCH(F159,'02x_Accelerator_Catalog'!$B$2:$B$11,0)),"")</f>
        <v/>
      </c>
      <c r="L159" s="7">
        <f>IF(K159&gt;0,J159*1000/K159,"")</f>
        <v/>
      </c>
      <c r="M159" s="5" t="inlineStr">
        <is>
          <t>epoch_csp_chip_quantity_latest</t>
        </is>
      </c>
      <c r="N159" s="5" t="inlineStr">
        <is>
          <t>Extensible long-format output: add a new accelerator row in 02b and map it in 02x_Accelerator_Catalog to extend this table.</t>
        </is>
      </c>
    </row>
    <row r="160">
      <c r="A160" s="5">
        <f>B160&amp;"|"&amp;C160&amp;"|"&amp;D160&amp;"|"&amp;E160&amp;"|"&amp;F160</f>
        <v/>
      </c>
      <c r="B160" s="5" t="inlineStr">
        <is>
          <t>Grid-Constrained / Efficiency-Upside</t>
        </is>
      </c>
      <c r="C160" s="5" t="inlineStr">
        <is>
          <t>Google</t>
        </is>
      </c>
      <c r="D160" s="5" t="n">
        <v>2027</v>
      </c>
      <c r="E160" s="5" t="inlineStr">
        <is>
          <t>Google</t>
        </is>
      </c>
      <c r="F160" s="5" t="inlineStr">
        <is>
          <t>R200/R300 future</t>
        </is>
      </c>
      <c r="G160" s="5">
        <f>IFERROR(INDEX('02x_Accelerator_Catalog'!$C$2:$C$11,MATCH(F160,'02x_Accelerator_Catalog'!$B$2:$B$11,0)),"purpose_or_unbenchmarked")</f>
        <v/>
      </c>
      <c r="H160" s="28">
        <f>SUMIFS('02c_AI_CSP_Normalized'!$N$2:$N$305,'02c_AI_CSP_Normalized'!$B$2:$B$305,B160,'02c_AI_CSP_Normalized'!$C$2:$C$305,C160,'02c_AI_CSP_Normalized'!$D$2:$D$305,D160,'02c_AI_CSP_Normalized'!$E$2:$E$305,E160)</f>
        <v/>
      </c>
      <c r="I160" s="6">
        <f>SUMIFS('02b_CSP_Accelerator_Mix'!$H$2:$H$573,'02b_CSP_Accelerator_Mix'!$B$2:$B$573,B160,'02b_CSP_Accelerator_Mix'!$C$2:$C$573,E160,'02b_CSP_Accelerator_Mix'!$D$2:$D$573,D160,'02b_CSP_Accelerator_Mix'!$E$2:$E$573,F160)</f>
        <v/>
      </c>
      <c r="J160" s="28">
        <f>H160*I160</f>
        <v/>
      </c>
      <c r="K160" s="8">
        <f>IFERROR(INDEX('02x_Accelerator_Catalog'!$D$2:$D$11,MATCH(F160,'02x_Accelerator_Catalog'!$B$2:$B$11,0)),"")</f>
        <v/>
      </c>
      <c r="L160" s="7">
        <f>IF(K160&gt;0,J160*1000/K160,"")</f>
        <v/>
      </c>
      <c r="M160" s="5" t="inlineStr">
        <is>
          <t>epoch_csp_chip_quantity_latest</t>
        </is>
      </c>
      <c r="N160" s="5" t="inlineStr">
        <is>
          <t>Extensible long-format output: add a new accelerator row in 02b and map it in 02x_Accelerator_Catalog to extend this table.</t>
        </is>
      </c>
    </row>
    <row r="161">
      <c r="A161" s="5">
        <f>B161&amp;"|"&amp;C161&amp;"|"&amp;D161&amp;"|"&amp;E161&amp;"|"&amp;F161</f>
        <v/>
      </c>
      <c r="B161" s="5" t="inlineStr">
        <is>
          <t>Grid-Constrained / Efficiency-Upside</t>
        </is>
      </c>
      <c r="C161" s="5" t="inlineStr">
        <is>
          <t>Google</t>
        </is>
      </c>
      <c r="D161" s="5" t="n">
        <v>2027</v>
      </c>
      <c r="E161" s="5" t="inlineStr">
        <is>
          <t>Google</t>
        </is>
      </c>
      <c r="F161" s="5" t="inlineStr">
        <is>
          <t>TPU</t>
        </is>
      </c>
      <c r="G161" s="5">
        <f>IFERROR(INDEX('02x_Accelerator_Catalog'!$C$2:$C$11,MATCH(F161,'02x_Accelerator_Catalog'!$B$2:$B$11,0)),"purpose_or_unbenchmarked")</f>
        <v/>
      </c>
      <c r="H161" s="28">
        <f>SUMIFS('02c_AI_CSP_Normalized'!$N$2:$N$305,'02c_AI_CSP_Normalized'!$B$2:$B$305,B161,'02c_AI_CSP_Normalized'!$C$2:$C$305,C161,'02c_AI_CSP_Normalized'!$D$2:$D$305,D161,'02c_AI_CSP_Normalized'!$E$2:$E$305,E161)</f>
        <v/>
      </c>
      <c r="I161" s="6">
        <f>SUMIFS('02b_CSP_Accelerator_Mix'!$H$2:$H$573,'02b_CSP_Accelerator_Mix'!$B$2:$B$573,B161,'02b_CSP_Accelerator_Mix'!$C$2:$C$573,E161,'02b_CSP_Accelerator_Mix'!$D$2:$D$573,D161,'02b_CSP_Accelerator_Mix'!$E$2:$E$573,F161)</f>
        <v/>
      </c>
      <c r="J161" s="28">
        <f>H161*I161</f>
        <v/>
      </c>
      <c r="K161" s="8">
        <f>IFERROR(INDEX('02x_Accelerator_Catalog'!$D$2:$D$11,MATCH(F161,'02x_Accelerator_Catalog'!$B$2:$B$11,0)),"")</f>
        <v/>
      </c>
      <c r="L161" s="7">
        <f>IF(K161&gt;0,J161*1000/K161,"")</f>
        <v/>
      </c>
      <c r="M161" s="5" t="inlineStr">
        <is>
          <t>epoch_csp_chip_quantity_latest</t>
        </is>
      </c>
      <c r="N161" s="5" t="inlineStr">
        <is>
          <t>Extensible long-format output: add a new accelerator row in 02b and map it in 02x_Accelerator_Catalog to extend this table.</t>
        </is>
      </c>
    </row>
    <row r="162">
      <c r="A162" s="5">
        <f>B162&amp;"|"&amp;C162&amp;"|"&amp;D162&amp;"|"&amp;E162&amp;"|"&amp;F162</f>
        <v/>
      </c>
      <c r="B162" s="5" t="inlineStr">
        <is>
          <t>Bear</t>
        </is>
      </c>
      <c r="C162" s="5" t="inlineStr">
        <is>
          <t>Google</t>
        </is>
      </c>
      <c r="D162" s="5" t="n">
        <v>2028</v>
      </c>
      <c r="E162" s="5" t="inlineStr">
        <is>
          <t>Google</t>
        </is>
      </c>
      <c r="F162" s="5" t="inlineStr">
        <is>
          <t>B200/B300 class</t>
        </is>
      </c>
      <c r="G162" s="5">
        <f>IFERROR(INDEX('02x_Accelerator_Catalog'!$C$2:$C$11,MATCH(F162,'02x_Accelerator_Catalog'!$B$2:$B$11,0)),"purpose_or_unbenchmarked")</f>
        <v/>
      </c>
      <c r="H162" s="28">
        <f>SUMIFS('02c_AI_CSP_Normalized'!$N$2:$N$305,'02c_AI_CSP_Normalized'!$B$2:$B$305,B162,'02c_AI_CSP_Normalized'!$C$2:$C$305,C162,'02c_AI_CSP_Normalized'!$D$2:$D$305,D162,'02c_AI_CSP_Normalized'!$E$2:$E$305,E162)</f>
        <v/>
      </c>
      <c r="I162" s="6">
        <f>SUMIFS('02b_CSP_Accelerator_Mix'!$H$2:$H$573,'02b_CSP_Accelerator_Mix'!$B$2:$B$573,B162,'02b_CSP_Accelerator_Mix'!$C$2:$C$573,E162,'02b_CSP_Accelerator_Mix'!$D$2:$D$573,D162,'02b_CSP_Accelerator_Mix'!$E$2:$E$573,F162)</f>
        <v/>
      </c>
      <c r="J162" s="28">
        <f>H162*I162</f>
        <v/>
      </c>
      <c r="K162" s="8">
        <f>IFERROR(INDEX('02x_Accelerator_Catalog'!$D$2:$D$11,MATCH(F162,'02x_Accelerator_Catalog'!$B$2:$B$11,0)),"")</f>
        <v/>
      </c>
      <c r="L162" s="7">
        <f>IF(K162&gt;0,J162*1000/K162,"")</f>
        <v/>
      </c>
      <c r="M162" s="5" t="inlineStr">
        <is>
          <t>epoch_csp_chip_quantity_latest</t>
        </is>
      </c>
      <c r="N162" s="5" t="inlineStr">
        <is>
          <t>Extensible long-format output: add a new accelerator row in 02b and map it in 02x_Accelerator_Catalog to extend this table.</t>
        </is>
      </c>
    </row>
    <row r="163">
      <c r="A163" s="5">
        <f>B163&amp;"|"&amp;C163&amp;"|"&amp;D163&amp;"|"&amp;E163&amp;"|"&amp;F163</f>
        <v/>
      </c>
      <c r="B163" s="5" t="inlineStr">
        <is>
          <t>Bear</t>
        </is>
      </c>
      <c r="C163" s="5" t="inlineStr">
        <is>
          <t>Google</t>
        </is>
      </c>
      <c r="D163" s="5" t="n">
        <v>2028</v>
      </c>
      <c r="E163" s="5" t="inlineStr">
        <is>
          <t>Google</t>
        </is>
      </c>
      <c r="F163" s="5" t="inlineStr">
        <is>
          <t>R200/R300 future</t>
        </is>
      </c>
      <c r="G163" s="5">
        <f>IFERROR(INDEX('02x_Accelerator_Catalog'!$C$2:$C$11,MATCH(F163,'02x_Accelerator_Catalog'!$B$2:$B$11,0)),"purpose_or_unbenchmarked")</f>
        <v/>
      </c>
      <c r="H163" s="28">
        <f>SUMIFS('02c_AI_CSP_Normalized'!$N$2:$N$305,'02c_AI_CSP_Normalized'!$B$2:$B$305,B163,'02c_AI_CSP_Normalized'!$C$2:$C$305,C163,'02c_AI_CSP_Normalized'!$D$2:$D$305,D163,'02c_AI_CSP_Normalized'!$E$2:$E$305,E163)</f>
        <v/>
      </c>
      <c r="I163" s="6">
        <f>SUMIFS('02b_CSP_Accelerator_Mix'!$H$2:$H$573,'02b_CSP_Accelerator_Mix'!$B$2:$B$573,B163,'02b_CSP_Accelerator_Mix'!$C$2:$C$573,E163,'02b_CSP_Accelerator_Mix'!$D$2:$D$573,D163,'02b_CSP_Accelerator_Mix'!$E$2:$E$573,F163)</f>
        <v/>
      </c>
      <c r="J163" s="28">
        <f>H163*I163</f>
        <v/>
      </c>
      <c r="K163" s="8">
        <f>IFERROR(INDEX('02x_Accelerator_Catalog'!$D$2:$D$11,MATCH(F163,'02x_Accelerator_Catalog'!$B$2:$B$11,0)),"")</f>
        <v/>
      </c>
      <c r="L163" s="7">
        <f>IF(K163&gt;0,J163*1000/K163,"")</f>
        <v/>
      </c>
      <c r="M163" s="5" t="inlineStr">
        <is>
          <t>epoch_csp_chip_quantity_latest</t>
        </is>
      </c>
      <c r="N163" s="5" t="inlineStr">
        <is>
          <t>Extensible long-format output: add a new accelerator row in 02b and map it in 02x_Accelerator_Catalog to extend this table.</t>
        </is>
      </c>
    </row>
    <row r="164">
      <c r="A164" s="5">
        <f>B164&amp;"|"&amp;C164&amp;"|"&amp;D164&amp;"|"&amp;E164&amp;"|"&amp;F164</f>
        <v/>
      </c>
      <c r="B164" s="5" t="inlineStr">
        <is>
          <t>Bear</t>
        </is>
      </c>
      <c r="C164" s="5" t="inlineStr">
        <is>
          <t>Google</t>
        </is>
      </c>
      <c r="D164" s="5" t="n">
        <v>2028</v>
      </c>
      <c r="E164" s="5" t="inlineStr">
        <is>
          <t>Google</t>
        </is>
      </c>
      <c r="F164" s="5" t="inlineStr">
        <is>
          <t>TPU</t>
        </is>
      </c>
      <c r="G164" s="5">
        <f>IFERROR(INDEX('02x_Accelerator_Catalog'!$C$2:$C$11,MATCH(F164,'02x_Accelerator_Catalog'!$B$2:$B$11,0)),"purpose_or_unbenchmarked")</f>
        <v/>
      </c>
      <c r="H164" s="28">
        <f>SUMIFS('02c_AI_CSP_Normalized'!$N$2:$N$305,'02c_AI_CSP_Normalized'!$B$2:$B$305,B164,'02c_AI_CSP_Normalized'!$C$2:$C$305,C164,'02c_AI_CSP_Normalized'!$D$2:$D$305,D164,'02c_AI_CSP_Normalized'!$E$2:$E$305,E164)</f>
        <v/>
      </c>
      <c r="I164" s="6">
        <f>SUMIFS('02b_CSP_Accelerator_Mix'!$H$2:$H$573,'02b_CSP_Accelerator_Mix'!$B$2:$B$573,B164,'02b_CSP_Accelerator_Mix'!$C$2:$C$573,E164,'02b_CSP_Accelerator_Mix'!$D$2:$D$573,D164,'02b_CSP_Accelerator_Mix'!$E$2:$E$573,F164)</f>
        <v/>
      </c>
      <c r="J164" s="28">
        <f>H164*I164</f>
        <v/>
      </c>
      <c r="K164" s="8">
        <f>IFERROR(INDEX('02x_Accelerator_Catalog'!$D$2:$D$11,MATCH(F164,'02x_Accelerator_Catalog'!$B$2:$B$11,0)),"")</f>
        <v/>
      </c>
      <c r="L164" s="7">
        <f>IF(K164&gt;0,J164*1000/K164,"")</f>
        <v/>
      </c>
      <c r="M164" s="5" t="inlineStr">
        <is>
          <t>epoch_csp_chip_quantity_latest</t>
        </is>
      </c>
      <c r="N164" s="5" t="inlineStr">
        <is>
          <t>Extensible long-format output: add a new accelerator row in 02b and map it in 02x_Accelerator_Catalog to extend this table.</t>
        </is>
      </c>
    </row>
    <row r="165">
      <c r="A165" s="5">
        <f>B165&amp;"|"&amp;C165&amp;"|"&amp;D165&amp;"|"&amp;E165&amp;"|"&amp;F165</f>
        <v/>
      </c>
      <c r="B165" s="5" t="inlineStr">
        <is>
          <t>Base</t>
        </is>
      </c>
      <c r="C165" s="5" t="inlineStr">
        <is>
          <t>Google</t>
        </is>
      </c>
      <c r="D165" s="5" t="n">
        <v>2028</v>
      </c>
      <c r="E165" s="5" t="inlineStr">
        <is>
          <t>Google</t>
        </is>
      </c>
      <c r="F165" s="5" t="inlineStr">
        <is>
          <t>B200/B300 class</t>
        </is>
      </c>
      <c r="G165" s="5">
        <f>IFERROR(INDEX('02x_Accelerator_Catalog'!$C$2:$C$11,MATCH(F165,'02x_Accelerator_Catalog'!$B$2:$B$11,0)),"purpose_or_unbenchmarked")</f>
        <v/>
      </c>
      <c r="H165" s="28">
        <f>SUMIFS('02c_AI_CSP_Normalized'!$N$2:$N$305,'02c_AI_CSP_Normalized'!$B$2:$B$305,B165,'02c_AI_CSP_Normalized'!$C$2:$C$305,C165,'02c_AI_CSP_Normalized'!$D$2:$D$305,D165,'02c_AI_CSP_Normalized'!$E$2:$E$305,E165)</f>
        <v/>
      </c>
      <c r="I165" s="6">
        <f>SUMIFS('02b_CSP_Accelerator_Mix'!$H$2:$H$573,'02b_CSP_Accelerator_Mix'!$B$2:$B$573,B165,'02b_CSP_Accelerator_Mix'!$C$2:$C$573,E165,'02b_CSP_Accelerator_Mix'!$D$2:$D$573,D165,'02b_CSP_Accelerator_Mix'!$E$2:$E$573,F165)</f>
        <v/>
      </c>
      <c r="J165" s="28">
        <f>H165*I165</f>
        <v/>
      </c>
      <c r="K165" s="8">
        <f>IFERROR(INDEX('02x_Accelerator_Catalog'!$D$2:$D$11,MATCH(F165,'02x_Accelerator_Catalog'!$B$2:$B$11,0)),"")</f>
        <v/>
      </c>
      <c r="L165" s="7">
        <f>IF(K165&gt;0,J165*1000/K165,"")</f>
        <v/>
      </c>
      <c r="M165" s="5" t="inlineStr">
        <is>
          <t>epoch_csp_chip_quantity_latest</t>
        </is>
      </c>
      <c r="N165" s="5" t="inlineStr">
        <is>
          <t>Extensible long-format output: add a new accelerator row in 02b and map it in 02x_Accelerator_Catalog to extend this table.</t>
        </is>
      </c>
    </row>
    <row r="166">
      <c r="A166" s="5">
        <f>B166&amp;"|"&amp;C166&amp;"|"&amp;D166&amp;"|"&amp;E166&amp;"|"&amp;F166</f>
        <v/>
      </c>
      <c r="B166" s="5" t="inlineStr">
        <is>
          <t>Base</t>
        </is>
      </c>
      <c r="C166" s="5" t="inlineStr">
        <is>
          <t>Google</t>
        </is>
      </c>
      <c r="D166" s="5" t="n">
        <v>2028</v>
      </c>
      <c r="E166" s="5" t="inlineStr">
        <is>
          <t>Google</t>
        </is>
      </c>
      <c r="F166" s="5" t="inlineStr">
        <is>
          <t>R200/R300 future</t>
        </is>
      </c>
      <c r="G166" s="5">
        <f>IFERROR(INDEX('02x_Accelerator_Catalog'!$C$2:$C$11,MATCH(F166,'02x_Accelerator_Catalog'!$B$2:$B$11,0)),"purpose_or_unbenchmarked")</f>
        <v/>
      </c>
      <c r="H166" s="28">
        <f>SUMIFS('02c_AI_CSP_Normalized'!$N$2:$N$305,'02c_AI_CSP_Normalized'!$B$2:$B$305,B166,'02c_AI_CSP_Normalized'!$C$2:$C$305,C166,'02c_AI_CSP_Normalized'!$D$2:$D$305,D166,'02c_AI_CSP_Normalized'!$E$2:$E$305,E166)</f>
        <v/>
      </c>
      <c r="I166" s="6">
        <f>SUMIFS('02b_CSP_Accelerator_Mix'!$H$2:$H$573,'02b_CSP_Accelerator_Mix'!$B$2:$B$573,B166,'02b_CSP_Accelerator_Mix'!$C$2:$C$573,E166,'02b_CSP_Accelerator_Mix'!$D$2:$D$573,D166,'02b_CSP_Accelerator_Mix'!$E$2:$E$573,F166)</f>
        <v/>
      </c>
      <c r="J166" s="28">
        <f>H166*I166</f>
        <v/>
      </c>
      <c r="K166" s="8">
        <f>IFERROR(INDEX('02x_Accelerator_Catalog'!$D$2:$D$11,MATCH(F166,'02x_Accelerator_Catalog'!$B$2:$B$11,0)),"")</f>
        <v/>
      </c>
      <c r="L166" s="7">
        <f>IF(K166&gt;0,J166*1000/K166,"")</f>
        <v/>
      </c>
      <c r="M166" s="5" t="inlineStr">
        <is>
          <t>epoch_csp_chip_quantity_latest</t>
        </is>
      </c>
      <c r="N166" s="5" t="inlineStr">
        <is>
          <t>Extensible long-format output: add a new accelerator row in 02b and map it in 02x_Accelerator_Catalog to extend this table.</t>
        </is>
      </c>
    </row>
    <row r="167">
      <c r="A167" s="5">
        <f>B167&amp;"|"&amp;C167&amp;"|"&amp;D167&amp;"|"&amp;E167&amp;"|"&amp;F167</f>
        <v/>
      </c>
      <c r="B167" s="5" t="inlineStr">
        <is>
          <t>Base</t>
        </is>
      </c>
      <c r="C167" s="5" t="inlineStr">
        <is>
          <t>Google</t>
        </is>
      </c>
      <c r="D167" s="5" t="n">
        <v>2028</v>
      </c>
      <c r="E167" s="5" t="inlineStr">
        <is>
          <t>Google</t>
        </is>
      </c>
      <c r="F167" s="5" t="inlineStr">
        <is>
          <t>TPU</t>
        </is>
      </c>
      <c r="G167" s="5">
        <f>IFERROR(INDEX('02x_Accelerator_Catalog'!$C$2:$C$11,MATCH(F167,'02x_Accelerator_Catalog'!$B$2:$B$11,0)),"purpose_or_unbenchmarked")</f>
        <v/>
      </c>
      <c r="H167" s="28">
        <f>SUMIFS('02c_AI_CSP_Normalized'!$N$2:$N$305,'02c_AI_CSP_Normalized'!$B$2:$B$305,B167,'02c_AI_CSP_Normalized'!$C$2:$C$305,C167,'02c_AI_CSP_Normalized'!$D$2:$D$305,D167,'02c_AI_CSP_Normalized'!$E$2:$E$305,E167)</f>
        <v/>
      </c>
      <c r="I167" s="6">
        <f>SUMIFS('02b_CSP_Accelerator_Mix'!$H$2:$H$573,'02b_CSP_Accelerator_Mix'!$B$2:$B$573,B167,'02b_CSP_Accelerator_Mix'!$C$2:$C$573,E167,'02b_CSP_Accelerator_Mix'!$D$2:$D$573,D167,'02b_CSP_Accelerator_Mix'!$E$2:$E$573,F167)</f>
        <v/>
      </c>
      <c r="J167" s="28">
        <f>H167*I167</f>
        <v/>
      </c>
      <c r="K167" s="8">
        <f>IFERROR(INDEX('02x_Accelerator_Catalog'!$D$2:$D$11,MATCH(F167,'02x_Accelerator_Catalog'!$B$2:$B$11,0)),"")</f>
        <v/>
      </c>
      <c r="L167" s="7">
        <f>IF(K167&gt;0,J167*1000/K167,"")</f>
        <v/>
      </c>
      <c r="M167" s="5" t="inlineStr">
        <is>
          <t>epoch_csp_chip_quantity_latest</t>
        </is>
      </c>
      <c r="N167" s="5" t="inlineStr">
        <is>
          <t>Extensible long-format output: add a new accelerator row in 02b and map it in 02x_Accelerator_Catalog to extend this table.</t>
        </is>
      </c>
    </row>
    <row r="168">
      <c r="A168" s="5">
        <f>B168&amp;"|"&amp;C168&amp;"|"&amp;D168&amp;"|"&amp;E168&amp;"|"&amp;F168</f>
        <v/>
      </c>
      <c r="B168" s="5" t="inlineStr">
        <is>
          <t>Bull</t>
        </is>
      </c>
      <c r="C168" s="5" t="inlineStr">
        <is>
          <t>Google</t>
        </is>
      </c>
      <c r="D168" s="5" t="n">
        <v>2028</v>
      </c>
      <c r="E168" s="5" t="inlineStr">
        <is>
          <t>Google</t>
        </is>
      </c>
      <c r="F168" s="5" t="inlineStr">
        <is>
          <t>B200/B300 class</t>
        </is>
      </c>
      <c r="G168" s="5">
        <f>IFERROR(INDEX('02x_Accelerator_Catalog'!$C$2:$C$11,MATCH(F168,'02x_Accelerator_Catalog'!$B$2:$B$11,0)),"purpose_or_unbenchmarked")</f>
        <v/>
      </c>
      <c r="H168" s="28">
        <f>SUMIFS('02c_AI_CSP_Normalized'!$N$2:$N$305,'02c_AI_CSP_Normalized'!$B$2:$B$305,B168,'02c_AI_CSP_Normalized'!$C$2:$C$305,C168,'02c_AI_CSP_Normalized'!$D$2:$D$305,D168,'02c_AI_CSP_Normalized'!$E$2:$E$305,E168)</f>
        <v/>
      </c>
      <c r="I168" s="6">
        <f>SUMIFS('02b_CSP_Accelerator_Mix'!$H$2:$H$573,'02b_CSP_Accelerator_Mix'!$B$2:$B$573,B168,'02b_CSP_Accelerator_Mix'!$C$2:$C$573,E168,'02b_CSP_Accelerator_Mix'!$D$2:$D$573,D168,'02b_CSP_Accelerator_Mix'!$E$2:$E$573,F168)</f>
        <v/>
      </c>
      <c r="J168" s="28">
        <f>H168*I168</f>
        <v/>
      </c>
      <c r="K168" s="8">
        <f>IFERROR(INDEX('02x_Accelerator_Catalog'!$D$2:$D$11,MATCH(F168,'02x_Accelerator_Catalog'!$B$2:$B$11,0)),"")</f>
        <v/>
      </c>
      <c r="L168" s="7">
        <f>IF(K168&gt;0,J168*1000/K168,"")</f>
        <v/>
      </c>
      <c r="M168" s="5" t="inlineStr">
        <is>
          <t>epoch_csp_chip_quantity_latest</t>
        </is>
      </c>
      <c r="N168" s="5" t="inlineStr">
        <is>
          <t>Extensible long-format output: add a new accelerator row in 02b and map it in 02x_Accelerator_Catalog to extend this table.</t>
        </is>
      </c>
    </row>
    <row r="169">
      <c r="A169" s="5">
        <f>B169&amp;"|"&amp;C169&amp;"|"&amp;D169&amp;"|"&amp;E169&amp;"|"&amp;F169</f>
        <v/>
      </c>
      <c r="B169" s="5" t="inlineStr">
        <is>
          <t>Bull</t>
        </is>
      </c>
      <c r="C169" s="5" t="inlineStr">
        <is>
          <t>Google</t>
        </is>
      </c>
      <c r="D169" s="5" t="n">
        <v>2028</v>
      </c>
      <c r="E169" s="5" t="inlineStr">
        <is>
          <t>Google</t>
        </is>
      </c>
      <c r="F169" s="5" t="inlineStr">
        <is>
          <t>R200/R300 future</t>
        </is>
      </c>
      <c r="G169" s="5">
        <f>IFERROR(INDEX('02x_Accelerator_Catalog'!$C$2:$C$11,MATCH(F169,'02x_Accelerator_Catalog'!$B$2:$B$11,0)),"purpose_or_unbenchmarked")</f>
        <v/>
      </c>
      <c r="H169" s="28">
        <f>SUMIFS('02c_AI_CSP_Normalized'!$N$2:$N$305,'02c_AI_CSP_Normalized'!$B$2:$B$305,B169,'02c_AI_CSP_Normalized'!$C$2:$C$305,C169,'02c_AI_CSP_Normalized'!$D$2:$D$305,D169,'02c_AI_CSP_Normalized'!$E$2:$E$305,E169)</f>
        <v/>
      </c>
      <c r="I169" s="6">
        <f>SUMIFS('02b_CSP_Accelerator_Mix'!$H$2:$H$573,'02b_CSP_Accelerator_Mix'!$B$2:$B$573,B169,'02b_CSP_Accelerator_Mix'!$C$2:$C$573,E169,'02b_CSP_Accelerator_Mix'!$D$2:$D$573,D169,'02b_CSP_Accelerator_Mix'!$E$2:$E$573,F169)</f>
        <v/>
      </c>
      <c r="J169" s="28">
        <f>H169*I169</f>
        <v/>
      </c>
      <c r="K169" s="8">
        <f>IFERROR(INDEX('02x_Accelerator_Catalog'!$D$2:$D$11,MATCH(F169,'02x_Accelerator_Catalog'!$B$2:$B$11,0)),"")</f>
        <v/>
      </c>
      <c r="L169" s="7">
        <f>IF(K169&gt;0,J169*1000/K169,"")</f>
        <v/>
      </c>
      <c r="M169" s="5" t="inlineStr">
        <is>
          <t>epoch_csp_chip_quantity_latest</t>
        </is>
      </c>
      <c r="N169" s="5" t="inlineStr">
        <is>
          <t>Extensible long-format output: add a new accelerator row in 02b and map it in 02x_Accelerator_Catalog to extend this table.</t>
        </is>
      </c>
    </row>
    <row r="170">
      <c r="A170" s="5">
        <f>B170&amp;"|"&amp;C170&amp;"|"&amp;D170&amp;"|"&amp;E170&amp;"|"&amp;F170</f>
        <v/>
      </c>
      <c r="B170" s="5" t="inlineStr">
        <is>
          <t>Bull</t>
        </is>
      </c>
      <c r="C170" s="5" t="inlineStr">
        <is>
          <t>Google</t>
        </is>
      </c>
      <c r="D170" s="5" t="n">
        <v>2028</v>
      </c>
      <c r="E170" s="5" t="inlineStr">
        <is>
          <t>Google</t>
        </is>
      </c>
      <c r="F170" s="5" t="inlineStr">
        <is>
          <t>TPU</t>
        </is>
      </c>
      <c r="G170" s="5">
        <f>IFERROR(INDEX('02x_Accelerator_Catalog'!$C$2:$C$11,MATCH(F170,'02x_Accelerator_Catalog'!$B$2:$B$11,0)),"purpose_or_unbenchmarked")</f>
        <v/>
      </c>
      <c r="H170" s="28">
        <f>SUMIFS('02c_AI_CSP_Normalized'!$N$2:$N$305,'02c_AI_CSP_Normalized'!$B$2:$B$305,B170,'02c_AI_CSP_Normalized'!$C$2:$C$305,C170,'02c_AI_CSP_Normalized'!$D$2:$D$305,D170,'02c_AI_CSP_Normalized'!$E$2:$E$305,E170)</f>
        <v/>
      </c>
      <c r="I170" s="6">
        <f>SUMIFS('02b_CSP_Accelerator_Mix'!$H$2:$H$573,'02b_CSP_Accelerator_Mix'!$B$2:$B$573,B170,'02b_CSP_Accelerator_Mix'!$C$2:$C$573,E170,'02b_CSP_Accelerator_Mix'!$D$2:$D$573,D170,'02b_CSP_Accelerator_Mix'!$E$2:$E$573,F170)</f>
        <v/>
      </c>
      <c r="J170" s="28">
        <f>H170*I170</f>
        <v/>
      </c>
      <c r="K170" s="8">
        <f>IFERROR(INDEX('02x_Accelerator_Catalog'!$D$2:$D$11,MATCH(F170,'02x_Accelerator_Catalog'!$B$2:$B$11,0)),"")</f>
        <v/>
      </c>
      <c r="L170" s="7">
        <f>IF(K170&gt;0,J170*1000/K170,"")</f>
        <v/>
      </c>
      <c r="M170" s="5" t="inlineStr">
        <is>
          <t>epoch_csp_chip_quantity_latest</t>
        </is>
      </c>
      <c r="N170" s="5" t="inlineStr">
        <is>
          <t>Extensible long-format output: add a new accelerator row in 02b and map it in 02x_Accelerator_Catalog to extend this table.</t>
        </is>
      </c>
    </row>
    <row r="171">
      <c r="A171" s="5">
        <f>B171&amp;"|"&amp;C171&amp;"|"&amp;D171&amp;"|"&amp;E171&amp;"|"&amp;F171</f>
        <v/>
      </c>
      <c r="B171" s="5" t="inlineStr">
        <is>
          <t>Grid-Constrained / Efficiency-Upside</t>
        </is>
      </c>
      <c r="C171" s="5" t="inlineStr">
        <is>
          <t>Google</t>
        </is>
      </c>
      <c r="D171" s="5" t="n">
        <v>2028</v>
      </c>
      <c r="E171" s="5" t="inlineStr">
        <is>
          <t>Google</t>
        </is>
      </c>
      <c r="F171" s="5" t="inlineStr">
        <is>
          <t>B200/B300 class</t>
        </is>
      </c>
      <c r="G171" s="5">
        <f>IFERROR(INDEX('02x_Accelerator_Catalog'!$C$2:$C$11,MATCH(F171,'02x_Accelerator_Catalog'!$B$2:$B$11,0)),"purpose_or_unbenchmarked")</f>
        <v/>
      </c>
      <c r="H171" s="28">
        <f>SUMIFS('02c_AI_CSP_Normalized'!$N$2:$N$305,'02c_AI_CSP_Normalized'!$B$2:$B$305,B171,'02c_AI_CSP_Normalized'!$C$2:$C$305,C171,'02c_AI_CSP_Normalized'!$D$2:$D$305,D171,'02c_AI_CSP_Normalized'!$E$2:$E$305,E171)</f>
        <v/>
      </c>
      <c r="I171" s="6">
        <f>SUMIFS('02b_CSP_Accelerator_Mix'!$H$2:$H$573,'02b_CSP_Accelerator_Mix'!$B$2:$B$573,B171,'02b_CSP_Accelerator_Mix'!$C$2:$C$573,E171,'02b_CSP_Accelerator_Mix'!$D$2:$D$573,D171,'02b_CSP_Accelerator_Mix'!$E$2:$E$573,F171)</f>
        <v/>
      </c>
      <c r="J171" s="28">
        <f>H171*I171</f>
        <v/>
      </c>
      <c r="K171" s="8">
        <f>IFERROR(INDEX('02x_Accelerator_Catalog'!$D$2:$D$11,MATCH(F171,'02x_Accelerator_Catalog'!$B$2:$B$11,0)),"")</f>
        <v/>
      </c>
      <c r="L171" s="7">
        <f>IF(K171&gt;0,J171*1000/K171,"")</f>
        <v/>
      </c>
      <c r="M171" s="5" t="inlineStr">
        <is>
          <t>epoch_csp_chip_quantity_latest</t>
        </is>
      </c>
      <c r="N171" s="5" t="inlineStr">
        <is>
          <t>Extensible long-format output: add a new accelerator row in 02b and map it in 02x_Accelerator_Catalog to extend this table.</t>
        </is>
      </c>
    </row>
    <row r="172">
      <c r="A172" s="5">
        <f>B172&amp;"|"&amp;C172&amp;"|"&amp;D172&amp;"|"&amp;E172&amp;"|"&amp;F172</f>
        <v/>
      </c>
      <c r="B172" s="5" t="inlineStr">
        <is>
          <t>Grid-Constrained / Efficiency-Upside</t>
        </is>
      </c>
      <c r="C172" s="5" t="inlineStr">
        <is>
          <t>Google</t>
        </is>
      </c>
      <c r="D172" s="5" t="n">
        <v>2028</v>
      </c>
      <c r="E172" s="5" t="inlineStr">
        <is>
          <t>Google</t>
        </is>
      </c>
      <c r="F172" s="5" t="inlineStr">
        <is>
          <t>R200/R300 future</t>
        </is>
      </c>
      <c r="G172" s="5">
        <f>IFERROR(INDEX('02x_Accelerator_Catalog'!$C$2:$C$11,MATCH(F172,'02x_Accelerator_Catalog'!$B$2:$B$11,0)),"purpose_or_unbenchmarked")</f>
        <v/>
      </c>
      <c r="H172" s="28">
        <f>SUMIFS('02c_AI_CSP_Normalized'!$N$2:$N$305,'02c_AI_CSP_Normalized'!$B$2:$B$305,B172,'02c_AI_CSP_Normalized'!$C$2:$C$305,C172,'02c_AI_CSP_Normalized'!$D$2:$D$305,D172,'02c_AI_CSP_Normalized'!$E$2:$E$305,E172)</f>
        <v/>
      </c>
      <c r="I172" s="6">
        <f>SUMIFS('02b_CSP_Accelerator_Mix'!$H$2:$H$573,'02b_CSP_Accelerator_Mix'!$B$2:$B$573,B172,'02b_CSP_Accelerator_Mix'!$C$2:$C$573,E172,'02b_CSP_Accelerator_Mix'!$D$2:$D$573,D172,'02b_CSP_Accelerator_Mix'!$E$2:$E$573,F172)</f>
        <v/>
      </c>
      <c r="J172" s="28">
        <f>H172*I172</f>
        <v/>
      </c>
      <c r="K172" s="8">
        <f>IFERROR(INDEX('02x_Accelerator_Catalog'!$D$2:$D$11,MATCH(F172,'02x_Accelerator_Catalog'!$B$2:$B$11,0)),"")</f>
        <v/>
      </c>
      <c r="L172" s="7">
        <f>IF(K172&gt;0,J172*1000/K172,"")</f>
        <v/>
      </c>
      <c r="M172" s="5" t="inlineStr">
        <is>
          <t>epoch_csp_chip_quantity_latest</t>
        </is>
      </c>
      <c r="N172" s="5" t="inlineStr">
        <is>
          <t>Extensible long-format output: add a new accelerator row in 02b and map it in 02x_Accelerator_Catalog to extend this table.</t>
        </is>
      </c>
    </row>
    <row r="173">
      <c r="A173" s="5">
        <f>B173&amp;"|"&amp;C173&amp;"|"&amp;D173&amp;"|"&amp;E173&amp;"|"&amp;F173</f>
        <v/>
      </c>
      <c r="B173" s="5" t="inlineStr">
        <is>
          <t>Grid-Constrained / Efficiency-Upside</t>
        </is>
      </c>
      <c r="C173" s="5" t="inlineStr">
        <is>
          <t>Google</t>
        </is>
      </c>
      <c r="D173" s="5" t="n">
        <v>2028</v>
      </c>
      <c r="E173" s="5" t="inlineStr">
        <is>
          <t>Google</t>
        </is>
      </c>
      <c r="F173" s="5" t="inlineStr">
        <is>
          <t>TPU</t>
        </is>
      </c>
      <c r="G173" s="5">
        <f>IFERROR(INDEX('02x_Accelerator_Catalog'!$C$2:$C$11,MATCH(F173,'02x_Accelerator_Catalog'!$B$2:$B$11,0)),"purpose_or_unbenchmarked")</f>
        <v/>
      </c>
      <c r="H173" s="28">
        <f>SUMIFS('02c_AI_CSP_Normalized'!$N$2:$N$305,'02c_AI_CSP_Normalized'!$B$2:$B$305,B173,'02c_AI_CSP_Normalized'!$C$2:$C$305,C173,'02c_AI_CSP_Normalized'!$D$2:$D$305,D173,'02c_AI_CSP_Normalized'!$E$2:$E$305,E173)</f>
        <v/>
      </c>
      <c r="I173" s="6">
        <f>SUMIFS('02b_CSP_Accelerator_Mix'!$H$2:$H$573,'02b_CSP_Accelerator_Mix'!$B$2:$B$573,B173,'02b_CSP_Accelerator_Mix'!$C$2:$C$573,E173,'02b_CSP_Accelerator_Mix'!$D$2:$D$573,D173,'02b_CSP_Accelerator_Mix'!$E$2:$E$573,F173)</f>
        <v/>
      </c>
      <c r="J173" s="28">
        <f>H173*I173</f>
        <v/>
      </c>
      <c r="K173" s="8">
        <f>IFERROR(INDEX('02x_Accelerator_Catalog'!$D$2:$D$11,MATCH(F173,'02x_Accelerator_Catalog'!$B$2:$B$11,0)),"")</f>
        <v/>
      </c>
      <c r="L173" s="7">
        <f>IF(K173&gt;0,J173*1000/K173,"")</f>
        <v/>
      </c>
      <c r="M173" s="5" t="inlineStr">
        <is>
          <t>epoch_csp_chip_quantity_latest</t>
        </is>
      </c>
      <c r="N173" s="5" t="inlineStr">
        <is>
          <t>Extensible long-format output: add a new accelerator row in 02b and map it in 02x_Accelerator_Catalog to extend this table.</t>
        </is>
      </c>
    </row>
    <row r="174">
      <c r="A174" s="5">
        <f>B174&amp;"|"&amp;C174&amp;"|"&amp;D174&amp;"|"&amp;E174&amp;"|"&amp;F174</f>
        <v/>
      </c>
      <c r="B174" s="5" t="inlineStr">
        <is>
          <t>Bear</t>
        </is>
      </c>
      <c r="C174" s="5" t="inlineStr">
        <is>
          <t>Google</t>
        </is>
      </c>
      <c r="D174" s="5" t="n">
        <v>2029</v>
      </c>
      <c r="E174" s="5" t="inlineStr">
        <is>
          <t>Google</t>
        </is>
      </c>
      <c r="F174" s="5" t="inlineStr">
        <is>
          <t>B200/B300 class</t>
        </is>
      </c>
      <c r="G174" s="5">
        <f>IFERROR(INDEX('02x_Accelerator_Catalog'!$C$2:$C$11,MATCH(F174,'02x_Accelerator_Catalog'!$B$2:$B$11,0)),"purpose_or_unbenchmarked")</f>
        <v/>
      </c>
      <c r="H174" s="28">
        <f>SUMIFS('02c_AI_CSP_Normalized'!$N$2:$N$305,'02c_AI_CSP_Normalized'!$B$2:$B$305,B174,'02c_AI_CSP_Normalized'!$C$2:$C$305,C174,'02c_AI_CSP_Normalized'!$D$2:$D$305,D174,'02c_AI_CSP_Normalized'!$E$2:$E$305,E174)</f>
        <v/>
      </c>
      <c r="I174" s="6">
        <f>SUMIFS('02b_CSP_Accelerator_Mix'!$H$2:$H$573,'02b_CSP_Accelerator_Mix'!$B$2:$B$573,B174,'02b_CSP_Accelerator_Mix'!$C$2:$C$573,E174,'02b_CSP_Accelerator_Mix'!$D$2:$D$573,D174,'02b_CSP_Accelerator_Mix'!$E$2:$E$573,F174)</f>
        <v/>
      </c>
      <c r="J174" s="28">
        <f>H174*I174</f>
        <v/>
      </c>
      <c r="K174" s="8">
        <f>IFERROR(INDEX('02x_Accelerator_Catalog'!$D$2:$D$11,MATCH(F174,'02x_Accelerator_Catalog'!$B$2:$B$11,0)),"")</f>
        <v/>
      </c>
      <c r="L174" s="7">
        <f>IF(K174&gt;0,J174*1000/K174,"")</f>
        <v/>
      </c>
      <c r="M174" s="5" t="inlineStr">
        <is>
          <t>epoch_csp_chip_quantity_latest</t>
        </is>
      </c>
      <c r="N174" s="5" t="inlineStr">
        <is>
          <t>Extensible long-format output: add a new accelerator row in 02b and map it in 02x_Accelerator_Catalog to extend this table.</t>
        </is>
      </c>
    </row>
    <row r="175">
      <c r="A175" s="5">
        <f>B175&amp;"|"&amp;C175&amp;"|"&amp;D175&amp;"|"&amp;E175&amp;"|"&amp;F175</f>
        <v/>
      </c>
      <c r="B175" s="5" t="inlineStr">
        <is>
          <t>Bear</t>
        </is>
      </c>
      <c r="C175" s="5" t="inlineStr">
        <is>
          <t>Google</t>
        </is>
      </c>
      <c r="D175" s="5" t="n">
        <v>2029</v>
      </c>
      <c r="E175" s="5" t="inlineStr">
        <is>
          <t>Google</t>
        </is>
      </c>
      <c r="F175" s="5" t="inlineStr">
        <is>
          <t>R200/R300 future</t>
        </is>
      </c>
      <c r="G175" s="5">
        <f>IFERROR(INDEX('02x_Accelerator_Catalog'!$C$2:$C$11,MATCH(F175,'02x_Accelerator_Catalog'!$B$2:$B$11,0)),"purpose_or_unbenchmarked")</f>
        <v/>
      </c>
      <c r="H175" s="28">
        <f>SUMIFS('02c_AI_CSP_Normalized'!$N$2:$N$305,'02c_AI_CSP_Normalized'!$B$2:$B$305,B175,'02c_AI_CSP_Normalized'!$C$2:$C$305,C175,'02c_AI_CSP_Normalized'!$D$2:$D$305,D175,'02c_AI_CSP_Normalized'!$E$2:$E$305,E175)</f>
        <v/>
      </c>
      <c r="I175" s="6">
        <f>SUMIFS('02b_CSP_Accelerator_Mix'!$H$2:$H$573,'02b_CSP_Accelerator_Mix'!$B$2:$B$573,B175,'02b_CSP_Accelerator_Mix'!$C$2:$C$573,E175,'02b_CSP_Accelerator_Mix'!$D$2:$D$573,D175,'02b_CSP_Accelerator_Mix'!$E$2:$E$573,F175)</f>
        <v/>
      </c>
      <c r="J175" s="28">
        <f>H175*I175</f>
        <v/>
      </c>
      <c r="K175" s="8">
        <f>IFERROR(INDEX('02x_Accelerator_Catalog'!$D$2:$D$11,MATCH(F175,'02x_Accelerator_Catalog'!$B$2:$B$11,0)),"")</f>
        <v/>
      </c>
      <c r="L175" s="7">
        <f>IF(K175&gt;0,J175*1000/K175,"")</f>
        <v/>
      </c>
      <c r="M175" s="5" t="inlineStr">
        <is>
          <t>epoch_csp_chip_quantity_latest</t>
        </is>
      </c>
      <c r="N175" s="5" t="inlineStr">
        <is>
          <t>Extensible long-format output: add a new accelerator row in 02b and map it in 02x_Accelerator_Catalog to extend this table.</t>
        </is>
      </c>
    </row>
    <row r="176">
      <c r="A176" s="5">
        <f>B176&amp;"|"&amp;C176&amp;"|"&amp;D176&amp;"|"&amp;E176&amp;"|"&amp;F176</f>
        <v/>
      </c>
      <c r="B176" s="5" t="inlineStr">
        <is>
          <t>Bear</t>
        </is>
      </c>
      <c r="C176" s="5" t="inlineStr">
        <is>
          <t>Google</t>
        </is>
      </c>
      <c r="D176" s="5" t="n">
        <v>2029</v>
      </c>
      <c r="E176" s="5" t="inlineStr">
        <is>
          <t>Google</t>
        </is>
      </c>
      <c r="F176" s="5" t="inlineStr">
        <is>
          <t>TPU</t>
        </is>
      </c>
      <c r="G176" s="5">
        <f>IFERROR(INDEX('02x_Accelerator_Catalog'!$C$2:$C$11,MATCH(F176,'02x_Accelerator_Catalog'!$B$2:$B$11,0)),"purpose_or_unbenchmarked")</f>
        <v/>
      </c>
      <c r="H176" s="28">
        <f>SUMIFS('02c_AI_CSP_Normalized'!$N$2:$N$305,'02c_AI_CSP_Normalized'!$B$2:$B$305,B176,'02c_AI_CSP_Normalized'!$C$2:$C$305,C176,'02c_AI_CSP_Normalized'!$D$2:$D$305,D176,'02c_AI_CSP_Normalized'!$E$2:$E$305,E176)</f>
        <v/>
      </c>
      <c r="I176" s="6">
        <f>SUMIFS('02b_CSP_Accelerator_Mix'!$H$2:$H$573,'02b_CSP_Accelerator_Mix'!$B$2:$B$573,B176,'02b_CSP_Accelerator_Mix'!$C$2:$C$573,E176,'02b_CSP_Accelerator_Mix'!$D$2:$D$573,D176,'02b_CSP_Accelerator_Mix'!$E$2:$E$573,F176)</f>
        <v/>
      </c>
      <c r="J176" s="28">
        <f>H176*I176</f>
        <v/>
      </c>
      <c r="K176" s="8">
        <f>IFERROR(INDEX('02x_Accelerator_Catalog'!$D$2:$D$11,MATCH(F176,'02x_Accelerator_Catalog'!$B$2:$B$11,0)),"")</f>
        <v/>
      </c>
      <c r="L176" s="7">
        <f>IF(K176&gt;0,J176*1000/K176,"")</f>
        <v/>
      </c>
      <c r="M176" s="5" t="inlineStr">
        <is>
          <t>epoch_csp_chip_quantity_latest</t>
        </is>
      </c>
      <c r="N176" s="5" t="inlineStr">
        <is>
          <t>Extensible long-format output: add a new accelerator row in 02b and map it in 02x_Accelerator_Catalog to extend this table.</t>
        </is>
      </c>
    </row>
    <row r="177">
      <c r="A177" s="5">
        <f>B177&amp;"|"&amp;C177&amp;"|"&amp;D177&amp;"|"&amp;E177&amp;"|"&amp;F177</f>
        <v/>
      </c>
      <c r="B177" s="5" t="inlineStr">
        <is>
          <t>Base</t>
        </is>
      </c>
      <c r="C177" s="5" t="inlineStr">
        <is>
          <t>Google</t>
        </is>
      </c>
      <c r="D177" s="5" t="n">
        <v>2029</v>
      </c>
      <c r="E177" s="5" t="inlineStr">
        <is>
          <t>Google</t>
        </is>
      </c>
      <c r="F177" s="5" t="inlineStr">
        <is>
          <t>B200/B300 class</t>
        </is>
      </c>
      <c r="G177" s="5">
        <f>IFERROR(INDEX('02x_Accelerator_Catalog'!$C$2:$C$11,MATCH(F177,'02x_Accelerator_Catalog'!$B$2:$B$11,0)),"purpose_or_unbenchmarked")</f>
        <v/>
      </c>
      <c r="H177" s="28">
        <f>SUMIFS('02c_AI_CSP_Normalized'!$N$2:$N$305,'02c_AI_CSP_Normalized'!$B$2:$B$305,B177,'02c_AI_CSP_Normalized'!$C$2:$C$305,C177,'02c_AI_CSP_Normalized'!$D$2:$D$305,D177,'02c_AI_CSP_Normalized'!$E$2:$E$305,E177)</f>
        <v/>
      </c>
      <c r="I177" s="6">
        <f>SUMIFS('02b_CSP_Accelerator_Mix'!$H$2:$H$573,'02b_CSP_Accelerator_Mix'!$B$2:$B$573,B177,'02b_CSP_Accelerator_Mix'!$C$2:$C$573,E177,'02b_CSP_Accelerator_Mix'!$D$2:$D$573,D177,'02b_CSP_Accelerator_Mix'!$E$2:$E$573,F177)</f>
        <v/>
      </c>
      <c r="J177" s="28">
        <f>H177*I177</f>
        <v/>
      </c>
      <c r="K177" s="8">
        <f>IFERROR(INDEX('02x_Accelerator_Catalog'!$D$2:$D$11,MATCH(F177,'02x_Accelerator_Catalog'!$B$2:$B$11,0)),"")</f>
        <v/>
      </c>
      <c r="L177" s="7">
        <f>IF(K177&gt;0,J177*1000/K177,"")</f>
        <v/>
      </c>
      <c r="M177" s="5" t="inlineStr">
        <is>
          <t>epoch_csp_chip_quantity_latest</t>
        </is>
      </c>
      <c r="N177" s="5" t="inlineStr">
        <is>
          <t>Extensible long-format output: add a new accelerator row in 02b and map it in 02x_Accelerator_Catalog to extend this table.</t>
        </is>
      </c>
    </row>
    <row r="178">
      <c r="A178" s="5">
        <f>B178&amp;"|"&amp;C178&amp;"|"&amp;D178&amp;"|"&amp;E178&amp;"|"&amp;F178</f>
        <v/>
      </c>
      <c r="B178" s="5" t="inlineStr">
        <is>
          <t>Base</t>
        </is>
      </c>
      <c r="C178" s="5" t="inlineStr">
        <is>
          <t>Google</t>
        </is>
      </c>
      <c r="D178" s="5" t="n">
        <v>2029</v>
      </c>
      <c r="E178" s="5" t="inlineStr">
        <is>
          <t>Google</t>
        </is>
      </c>
      <c r="F178" s="5" t="inlineStr">
        <is>
          <t>R200/R300 future</t>
        </is>
      </c>
      <c r="G178" s="5">
        <f>IFERROR(INDEX('02x_Accelerator_Catalog'!$C$2:$C$11,MATCH(F178,'02x_Accelerator_Catalog'!$B$2:$B$11,0)),"purpose_or_unbenchmarked")</f>
        <v/>
      </c>
      <c r="H178" s="28">
        <f>SUMIFS('02c_AI_CSP_Normalized'!$N$2:$N$305,'02c_AI_CSP_Normalized'!$B$2:$B$305,B178,'02c_AI_CSP_Normalized'!$C$2:$C$305,C178,'02c_AI_CSP_Normalized'!$D$2:$D$305,D178,'02c_AI_CSP_Normalized'!$E$2:$E$305,E178)</f>
        <v/>
      </c>
      <c r="I178" s="6">
        <f>SUMIFS('02b_CSP_Accelerator_Mix'!$H$2:$H$573,'02b_CSP_Accelerator_Mix'!$B$2:$B$573,B178,'02b_CSP_Accelerator_Mix'!$C$2:$C$573,E178,'02b_CSP_Accelerator_Mix'!$D$2:$D$573,D178,'02b_CSP_Accelerator_Mix'!$E$2:$E$573,F178)</f>
        <v/>
      </c>
      <c r="J178" s="28">
        <f>H178*I178</f>
        <v/>
      </c>
      <c r="K178" s="8">
        <f>IFERROR(INDEX('02x_Accelerator_Catalog'!$D$2:$D$11,MATCH(F178,'02x_Accelerator_Catalog'!$B$2:$B$11,0)),"")</f>
        <v/>
      </c>
      <c r="L178" s="7">
        <f>IF(K178&gt;0,J178*1000/K178,"")</f>
        <v/>
      </c>
      <c r="M178" s="5" t="inlineStr">
        <is>
          <t>epoch_csp_chip_quantity_latest</t>
        </is>
      </c>
      <c r="N178" s="5" t="inlineStr">
        <is>
          <t>Extensible long-format output: add a new accelerator row in 02b and map it in 02x_Accelerator_Catalog to extend this table.</t>
        </is>
      </c>
    </row>
    <row r="179">
      <c r="A179" s="5">
        <f>B179&amp;"|"&amp;C179&amp;"|"&amp;D179&amp;"|"&amp;E179&amp;"|"&amp;F179</f>
        <v/>
      </c>
      <c r="B179" s="5" t="inlineStr">
        <is>
          <t>Base</t>
        </is>
      </c>
      <c r="C179" s="5" t="inlineStr">
        <is>
          <t>Google</t>
        </is>
      </c>
      <c r="D179" s="5" t="n">
        <v>2029</v>
      </c>
      <c r="E179" s="5" t="inlineStr">
        <is>
          <t>Google</t>
        </is>
      </c>
      <c r="F179" s="5" t="inlineStr">
        <is>
          <t>TPU</t>
        </is>
      </c>
      <c r="G179" s="5">
        <f>IFERROR(INDEX('02x_Accelerator_Catalog'!$C$2:$C$11,MATCH(F179,'02x_Accelerator_Catalog'!$B$2:$B$11,0)),"purpose_or_unbenchmarked")</f>
        <v/>
      </c>
      <c r="H179" s="28">
        <f>SUMIFS('02c_AI_CSP_Normalized'!$N$2:$N$305,'02c_AI_CSP_Normalized'!$B$2:$B$305,B179,'02c_AI_CSP_Normalized'!$C$2:$C$305,C179,'02c_AI_CSP_Normalized'!$D$2:$D$305,D179,'02c_AI_CSP_Normalized'!$E$2:$E$305,E179)</f>
        <v/>
      </c>
      <c r="I179" s="6">
        <f>SUMIFS('02b_CSP_Accelerator_Mix'!$H$2:$H$573,'02b_CSP_Accelerator_Mix'!$B$2:$B$573,B179,'02b_CSP_Accelerator_Mix'!$C$2:$C$573,E179,'02b_CSP_Accelerator_Mix'!$D$2:$D$573,D179,'02b_CSP_Accelerator_Mix'!$E$2:$E$573,F179)</f>
        <v/>
      </c>
      <c r="J179" s="28">
        <f>H179*I179</f>
        <v/>
      </c>
      <c r="K179" s="8">
        <f>IFERROR(INDEX('02x_Accelerator_Catalog'!$D$2:$D$11,MATCH(F179,'02x_Accelerator_Catalog'!$B$2:$B$11,0)),"")</f>
        <v/>
      </c>
      <c r="L179" s="7">
        <f>IF(K179&gt;0,J179*1000/K179,"")</f>
        <v/>
      </c>
      <c r="M179" s="5" t="inlineStr">
        <is>
          <t>epoch_csp_chip_quantity_latest</t>
        </is>
      </c>
      <c r="N179" s="5" t="inlineStr">
        <is>
          <t>Extensible long-format output: add a new accelerator row in 02b and map it in 02x_Accelerator_Catalog to extend this table.</t>
        </is>
      </c>
    </row>
    <row r="180">
      <c r="A180" s="5">
        <f>B180&amp;"|"&amp;C180&amp;"|"&amp;D180&amp;"|"&amp;E180&amp;"|"&amp;F180</f>
        <v/>
      </c>
      <c r="B180" s="5" t="inlineStr">
        <is>
          <t>Bull</t>
        </is>
      </c>
      <c r="C180" s="5" t="inlineStr">
        <is>
          <t>Google</t>
        </is>
      </c>
      <c r="D180" s="5" t="n">
        <v>2029</v>
      </c>
      <c r="E180" s="5" t="inlineStr">
        <is>
          <t>Google</t>
        </is>
      </c>
      <c r="F180" s="5" t="inlineStr">
        <is>
          <t>B200/B300 class</t>
        </is>
      </c>
      <c r="G180" s="5">
        <f>IFERROR(INDEX('02x_Accelerator_Catalog'!$C$2:$C$11,MATCH(F180,'02x_Accelerator_Catalog'!$B$2:$B$11,0)),"purpose_or_unbenchmarked")</f>
        <v/>
      </c>
      <c r="H180" s="28">
        <f>SUMIFS('02c_AI_CSP_Normalized'!$N$2:$N$305,'02c_AI_CSP_Normalized'!$B$2:$B$305,B180,'02c_AI_CSP_Normalized'!$C$2:$C$305,C180,'02c_AI_CSP_Normalized'!$D$2:$D$305,D180,'02c_AI_CSP_Normalized'!$E$2:$E$305,E180)</f>
        <v/>
      </c>
      <c r="I180" s="6">
        <f>SUMIFS('02b_CSP_Accelerator_Mix'!$H$2:$H$573,'02b_CSP_Accelerator_Mix'!$B$2:$B$573,B180,'02b_CSP_Accelerator_Mix'!$C$2:$C$573,E180,'02b_CSP_Accelerator_Mix'!$D$2:$D$573,D180,'02b_CSP_Accelerator_Mix'!$E$2:$E$573,F180)</f>
        <v/>
      </c>
      <c r="J180" s="28">
        <f>H180*I180</f>
        <v/>
      </c>
      <c r="K180" s="8">
        <f>IFERROR(INDEX('02x_Accelerator_Catalog'!$D$2:$D$11,MATCH(F180,'02x_Accelerator_Catalog'!$B$2:$B$11,0)),"")</f>
        <v/>
      </c>
      <c r="L180" s="7">
        <f>IF(K180&gt;0,J180*1000/K180,"")</f>
        <v/>
      </c>
      <c r="M180" s="5" t="inlineStr">
        <is>
          <t>epoch_csp_chip_quantity_latest</t>
        </is>
      </c>
      <c r="N180" s="5" t="inlineStr">
        <is>
          <t>Extensible long-format output: add a new accelerator row in 02b and map it in 02x_Accelerator_Catalog to extend this table.</t>
        </is>
      </c>
    </row>
    <row r="181">
      <c r="A181" s="5">
        <f>B181&amp;"|"&amp;C181&amp;"|"&amp;D181&amp;"|"&amp;E181&amp;"|"&amp;F181</f>
        <v/>
      </c>
      <c r="B181" s="5" t="inlineStr">
        <is>
          <t>Bull</t>
        </is>
      </c>
      <c r="C181" s="5" t="inlineStr">
        <is>
          <t>Google</t>
        </is>
      </c>
      <c r="D181" s="5" t="n">
        <v>2029</v>
      </c>
      <c r="E181" s="5" t="inlineStr">
        <is>
          <t>Google</t>
        </is>
      </c>
      <c r="F181" s="5" t="inlineStr">
        <is>
          <t>R200/R300 future</t>
        </is>
      </c>
      <c r="G181" s="5">
        <f>IFERROR(INDEX('02x_Accelerator_Catalog'!$C$2:$C$11,MATCH(F181,'02x_Accelerator_Catalog'!$B$2:$B$11,0)),"purpose_or_unbenchmarked")</f>
        <v/>
      </c>
      <c r="H181" s="28">
        <f>SUMIFS('02c_AI_CSP_Normalized'!$N$2:$N$305,'02c_AI_CSP_Normalized'!$B$2:$B$305,B181,'02c_AI_CSP_Normalized'!$C$2:$C$305,C181,'02c_AI_CSP_Normalized'!$D$2:$D$305,D181,'02c_AI_CSP_Normalized'!$E$2:$E$305,E181)</f>
        <v/>
      </c>
      <c r="I181" s="6">
        <f>SUMIFS('02b_CSP_Accelerator_Mix'!$H$2:$H$573,'02b_CSP_Accelerator_Mix'!$B$2:$B$573,B181,'02b_CSP_Accelerator_Mix'!$C$2:$C$573,E181,'02b_CSP_Accelerator_Mix'!$D$2:$D$573,D181,'02b_CSP_Accelerator_Mix'!$E$2:$E$573,F181)</f>
        <v/>
      </c>
      <c r="J181" s="28">
        <f>H181*I181</f>
        <v/>
      </c>
      <c r="K181" s="8">
        <f>IFERROR(INDEX('02x_Accelerator_Catalog'!$D$2:$D$11,MATCH(F181,'02x_Accelerator_Catalog'!$B$2:$B$11,0)),"")</f>
        <v/>
      </c>
      <c r="L181" s="7">
        <f>IF(K181&gt;0,J181*1000/K181,"")</f>
        <v/>
      </c>
      <c r="M181" s="5" t="inlineStr">
        <is>
          <t>epoch_csp_chip_quantity_latest</t>
        </is>
      </c>
      <c r="N181" s="5" t="inlineStr">
        <is>
          <t>Extensible long-format output: add a new accelerator row in 02b and map it in 02x_Accelerator_Catalog to extend this table.</t>
        </is>
      </c>
    </row>
    <row r="182">
      <c r="A182" s="5">
        <f>B182&amp;"|"&amp;C182&amp;"|"&amp;D182&amp;"|"&amp;E182&amp;"|"&amp;F182</f>
        <v/>
      </c>
      <c r="B182" s="5" t="inlineStr">
        <is>
          <t>Bull</t>
        </is>
      </c>
      <c r="C182" s="5" t="inlineStr">
        <is>
          <t>Google</t>
        </is>
      </c>
      <c r="D182" s="5" t="n">
        <v>2029</v>
      </c>
      <c r="E182" s="5" t="inlineStr">
        <is>
          <t>Google</t>
        </is>
      </c>
      <c r="F182" s="5" t="inlineStr">
        <is>
          <t>TPU</t>
        </is>
      </c>
      <c r="G182" s="5">
        <f>IFERROR(INDEX('02x_Accelerator_Catalog'!$C$2:$C$11,MATCH(F182,'02x_Accelerator_Catalog'!$B$2:$B$11,0)),"purpose_or_unbenchmarked")</f>
        <v/>
      </c>
      <c r="H182" s="28">
        <f>SUMIFS('02c_AI_CSP_Normalized'!$N$2:$N$305,'02c_AI_CSP_Normalized'!$B$2:$B$305,B182,'02c_AI_CSP_Normalized'!$C$2:$C$305,C182,'02c_AI_CSP_Normalized'!$D$2:$D$305,D182,'02c_AI_CSP_Normalized'!$E$2:$E$305,E182)</f>
        <v/>
      </c>
      <c r="I182" s="6">
        <f>SUMIFS('02b_CSP_Accelerator_Mix'!$H$2:$H$573,'02b_CSP_Accelerator_Mix'!$B$2:$B$573,B182,'02b_CSP_Accelerator_Mix'!$C$2:$C$573,E182,'02b_CSP_Accelerator_Mix'!$D$2:$D$573,D182,'02b_CSP_Accelerator_Mix'!$E$2:$E$573,F182)</f>
        <v/>
      </c>
      <c r="J182" s="28">
        <f>H182*I182</f>
        <v/>
      </c>
      <c r="K182" s="8">
        <f>IFERROR(INDEX('02x_Accelerator_Catalog'!$D$2:$D$11,MATCH(F182,'02x_Accelerator_Catalog'!$B$2:$B$11,0)),"")</f>
        <v/>
      </c>
      <c r="L182" s="7">
        <f>IF(K182&gt;0,J182*1000/K182,"")</f>
        <v/>
      </c>
      <c r="M182" s="5" t="inlineStr">
        <is>
          <t>epoch_csp_chip_quantity_latest</t>
        </is>
      </c>
      <c r="N182" s="5" t="inlineStr">
        <is>
          <t>Extensible long-format output: add a new accelerator row in 02b and map it in 02x_Accelerator_Catalog to extend this table.</t>
        </is>
      </c>
    </row>
    <row r="183">
      <c r="A183" s="5">
        <f>B183&amp;"|"&amp;C183&amp;"|"&amp;D183&amp;"|"&amp;E183&amp;"|"&amp;F183</f>
        <v/>
      </c>
      <c r="B183" s="5" t="inlineStr">
        <is>
          <t>Grid-Constrained / Efficiency-Upside</t>
        </is>
      </c>
      <c r="C183" s="5" t="inlineStr">
        <is>
          <t>Google</t>
        </is>
      </c>
      <c r="D183" s="5" t="n">
        <v>2029</v>
      </c>
      <c r="E183" s="5" t="inlineStr">
        <is>
          <t>Google</t>
        </is>
      </c>
      <c r="F183" s="5" t="inlineStr">
        <is>
          <t>B200/B300 class</t>
        </is>
      </c>
      <c r="G183" s="5">
        <f>IFERROR(INDEX('02x_Accelerator_Catalog'!$C$2:$C$11,MATCH(F183,'02x_Accelerator_Catalog'!$B$2:$B$11,0)),"purpose_or_unbenchmarked")</f>
        <v/>
      </c>
      <c r="H183" s="28">
        <f>SUMIFS('02c_AI_CSP_Normalized'!$N$2:$N$305,'02c_AI_CSP_Normalized'!$B$2:$B$305,B183,'02c_AI_CSP_Normalized'!$C$2:$C$305,C183,'02c_AI_CSP_Normalized'!$D$2:$D$305,D183,'02c_AI_CSP_Normalized'!$E$2:$E$305,E183)</f>
        <v/>
      </c>
      <c r="I183" s="6">
        <f>SUMIFS('02b_CSP_Accelerator_Mix'!$H$2:$H$573,'02b_CSP_Accelerator_Mix'!$B$2:$B$573,B183,'02b_CSP_Accelerator_Mix'!$C$2:$C$573,E183,'02b_CSP_Accelerator_Mix'!$D$2:$D$573,D183,'02b_CSP_Accelerator_Mix'!$E$2:$E$573,F183)</f>
        <v/>
      </c>
      <c r="J183" s="28">
        <f>H183*I183</f>
        <v/>
      </c>
      <c r="K183" s="8">
        <f>IFERROR(INDEX('02x_Accelerator_Catalog'!$D$2:$D$11,MATCH(F183,'02x_Accelerator_Catalog'!$B$2:$B$11,0)),"")</f>
        <v/>
      </c>
      <c r="L183" s="7">
        <f>IF(K183&gt;0,J183*1000/K183,"")</f>
        <v/>
      </c>
      <c r="M183" s="5" t="inlineStr">
        <is>
          <t>epoch_csp_chip_quantity_latest</t>
        </is>
      </c>
      <c r="N183" s="5" t="inlineStr">
        <is>
          <t>Extensible long-format output: add a new accelerator row in 02b and map it in 02x_Accelerator_Catalog to extend this table.</t>
        </is>
      </c>
    </row>
    <row r="184">
      <c r="A184" s="5">
        <f>B184&amp;"|"&amp;C184&amp;"|"&amp;D184&amp;"|"&amp;E184&amp;"|"&amp;F184</f>
        <v/>
      </c>
      <c r="B184" s="5" t="inlineStr">
        <is>
          <t>Grid-Constrained / Efficiency-Upside</t>
        </is>
      </c>
      <c r="C184" s="5" t="inlineStr">
        <is>
          <t>Google</t>
        </is>
      </c>
      <c r="D184" s="5" t="n">
        <v>2029</v>
      </c>
      <c r="E184" s="5" t="inlineStr">
        <is>
          <t>Google</t>
        </is>
      </c>
      <c r="F184" s="5" t="inlineStr">
        <is>
          <t>R200/R300 future</t>
        </is>
      </c>
      <c r="G184" s="5">
        <f>IFERROR(INDEX('02x_Accelerator_Catalog'!$C$2:$C$11,MATCH(F184,'02x_Accelerator_Catalog'!$B$2:$B$11,0)),"purpose_or_unbenchmarked")</f>
        <v/>
      </c>
      <c r="H184" s="28">
        <f>SUMIFS('02c_AI_CSP_Normalized'!$N$2:$N$305,'02c_AI_CSP_Normalized'!$B$2:$B$305,B184,'02c_AI_CSP_Normalized'!$C$2:$C$305,C184,'02c_AI_CSP_Normalized'!$D$2:$D$305,D184,'02c_AI_CSP_Normalized'!$E$2:$E$305,E184)</f>
        <v/>
      </c>
      <c r="I184" s="6">
        <f>SUMIFS('02b_CSP_Accelerator_Mix'!$H$2:$H$573,'02b_CSP_Accelerator_Mix'!$B$2:$B$573,B184,'02b_CSP_Accelerator_Mix'!$C$2:$C$573,E184,'02b_CSP_Accelerator_Mix'!$D$2:$D$573,D184,'02b_CSP_Accelerator_Mix'!$E$2:$E$573,F184)</f>
        <v/>
      </c>
      <c r="J184" s="28">
        <f>H184*I184</f>
        <v/>
      </c>
      <c r="K184" s="8">
        <f>IFERROR(INDEX('02x_Accelerator_Catalog'!$D$2:$D$11,MATCH(F184,'02x_Accelerator_Catalog'!$B$2:$B$11,0)),"")</f>
        <v/>
      </c>
      <c r="L184" s="7">
        <f>IF(K184&gt;0,J184*1000/K184,"")</f>
        <v/>
      </c>
      <c r="M184" s="5" t="inlineStr">
        <is>
          <t>epoch_csp_chip_quantity_latest</t>
        </is>
      </c>
      <c r="N184" s="5" t="inlineStr">
        <is>
          <t>Extensible long-format output: add a new accelerator row in 02b and map it in 02x_Accelerator_Catalog to extend this table.</t>
        </is>
      </c>
    </row>
    <row r="185">
      <c r="A185" s="5">
        <f>B185&amp;"|"&amp;C185&amp;"|"&amp;D185&amp;"|"&amp;E185&amp;"|"&amp;F185</f>
        <v/>
      </c>
      <c r="B185" s="5" t="inlineStr">
        <is>
          <t>Grid-Constrained / Efficiency-Upside</t>
        </is>
      </c>
      <c r="C185" s="5" t="inlineStr">
        <is>
          <t>Google</t>
        </is>
      </c>
      <c r="D185" s="5" t="n">
        <v>2029</v>
      </c>
      <c r="E185" s="5" t="inlineStr">
        <is>
          <t>Google</t>
        </is>
      </c>
      <c r="F185" s="5" t="inlineStr">
        <is>
          <t>TPU</t>
        </is>
      </c>
      <c r="G185" s="5">
        <f>IFERROR(INDEX('02x_Accelerator_Catalog'!$C$2:$C$11,MATCH(F185,'02x_Accelerator_Catalog'!$B$2:$B$11,0)),"purpose_or_unbenchmarked")</f>
        <v/>
      </c>
      <c r="H185" s="28">
        <f>SUMIFS('02c_AI_CSP_Normalized'!$N$2:$N$305,'02c_AI_CSP_Normalized'!$B$2:$B$305,B185,'02c_AI_CSP_Normalized'!$C$2:$C$305,C185,'02c_AI_CSP_Normalized'!$D$2:$D$305,D185,'02c_AI_CSP_Normalized'!$E$2:$E$305,E185)</f>
        <v/>
      </c>
      <c r="I185" s="6">
        <f>SUMIFS('02b_CSP_Accelerator_Mix'!$H$2:$H$573,'02b_CSP_Accelerator_Mix'!$B$2:$B$573,B185,'02b_CSP_Accelerator_Mix'!$C$2:$C$573,E185,'02b_CSP_Accelerator_Mix'!$D$2:$D$573,D185,'02b_CSP_Accelerator_Mix'!$E$2:$E$573,F185)</f>
        <v/>
      </c>
      <c r="J185" s="28">
        <f>H185*I185</f>
        <v/>
      </c>
      <c r="K185" s="8">
        <f>IFERROR(INDEX('02x_Accelerator_Catalog'!$D$2:$D$11,MATCH(F185,'02x_Accelerator_Catalog'!$B$2:$B$11,0)),"")</f>
        <v/>
      </c>
      <c r="L185" s="7">
        <f>IF(K185&gt;0,J185*1000/K185,"")</f>
        <v/>
      </c>
      <c r="M185" s="5" t="inlineStr">
        <is>
          <t>epoch_csp_chip_quantity_latest</t>
        </is>
      </c>
      <c r="N185" s="5" t="inlineStr">
        <is>
          <t>Extensible long-format output: add a new accelerator row in 02b and map it in 02x_Accelerator_Catalog to extend this table.</t>
        </is>
      </c>
    </row>
    <row r="186">
      <c r="A186" s="5">
        <f>B186&amp;"|"&amp;C186&amp;"|"&amp;D186&amp;"|"&amp;E186&amp;"|"&amp;F186</f>
        <v/>
      </c>
      <c r="B186" s="5" t="inlineStr">
        <is>
          <t>Bear</t>
        </is>
      </c>
      <c r="C186" s="5" t="inlineStr">
        <is>
          <t>Google</t>
        </is>
      </c>
      <c r="D186" s="5" t="n">
        <v>2030</v>
      </c>
      <c r="E186" s="5" t="inlineStr">
        <is>
          <t>Google</t>
        </is>
      </c>
      <c r="F186" s="5" t="inlineStr">
        <is>
          <t>B200/B300 class</t>
        </is>
      </c>
      <c r="G186" s="5">
        <f>IFERROR(INDEX('02x_Accelerator_Catalog'!$C$2:$C$11,MATCH(F186,'02x_Accelerator_Catalog'!$B$2:$B$11,0)),"purpose_or_unbenchmarked")</f>
        <v/>
      </c>
      <c r="H186" s="28">
        <f>SUMIFS('02c_AI_CSP_Normalized'!$N$2:$N$305,'02c_AI_CSP_Normalized'!$B$2:$B$305,B186,'02c_AI_CSP_Normalized'!$C$2:$C$305,C186,'02c_AI_CSP_Normalized'!$D$2:$D$305,D186,'02c_AI_CSP_Normalized'!$E$2:$E$305,E186)</f>
        <v/>
      </c>
      <c r="I186" s="6">
        <f>SUMIFS('02b_CSP_Accelerator_Mix'!$H$2:$H$573,'02b_CSP_Accelerator_Mix'!$B$2:$B$573,B186,'02b_CSP_Accelerator_Mix'!$C$2:$C$573,E186,'02b_CSP_Accelerator_Mix'!$D$2:$D$573,D186,'02b_CSP_Accelerator_Mix'!$E$2:$E$573,F186)</f>
        <v/>
      </c>
      <c r="J186" s="28">
        <f>H186*I186</f>
        <v/>
      </c>
      <c r="K186" s="8">
        <f>IFERROR(INDEX('02x_Accelerator_Catalog'!$D$2:$D$11,MATCH(F186,'02x_Accelerator_Catalog'!$B$2:$B$11,0)),"")</f>
        <v/>
      </c>
      <c r="L186" s="7">
        <f>IF(K186&gt;0,J186*1000/K186,"")</f>
        <v/>
      </c>
      <c r="M186" s="5" t="inlineStr">
        <is>
          <t>epoch_csp_chip_quantity_latest</t>
        </is>
      </c>
      <c r="N186" s="5" t="inlineStr">
        <is>
          <t>Extensible long-format output: add a new accelerator row in 02b and map it in 02x_Accelerator_Catalog to extend this table.</t>
        </is>
      </c>
    </row>
    <row r="187">
      <c r="A187" s="5">
        <f>B187&amp;"|"&amp;C187&amp;"|"&amp;D187&amp;"|"&amp;E187&amp;"|"&amp;F187</f>
        <v/>
      </c>
      <c r="B187" s="5" t="inlineStr">
        <is>
          <t>Bear</t>
        </is>
      </c>
      <c r="C187" s="5" t="inlineStr">
        <is>
          <t>Google</t>
        </is>
      </c>
      <c r="D187" s="5" t="n">
        <v>2030</v>
      </c>
      <c r="E187" s="5" t="inlineStr">
        <is>
          <t>Google</t>
        </is>
      </c>
      <c r="F187" s="5" t="inlineStr">
        <is>
          <t>R200/R300 future</t>
        </is>
      </c>
      <c r="G187" s="5">
        <f>IFERROR(INDEX('02x_Accelerator_Catalog'!$C$2:$C$11,MATCH(F187,'02x_Accelerator_Catalog'!$B$2:$B$11,0)),"purpose_or_unbenchmarked")</f>
        <v/>
      </c>
      <c r="H187" s="28">
        <f>SUMIFS('02c_AI_CSP_Normalized'!$N$2:$N$305,'02c_AI_CSP_Normalized'!$B$2:$B$305,B187,'02c_AI_CSP_Normalized'!$C$2:$C$305,C187,'02c_AI_CSP_Normalized'!$D$2:$D$305,D187,'02c_AI_CSP_Normalized'!$E$2:$E$305,E187)</f>
        <v/>
      </c>
      <c r="I187" s="6">
        <f>SUMIFS('02b_CSP_Accelerator_Mix'!$H$2:$H$573,'02b_CSP_Accelerator_Mix'!$B$2:$B$573,B187,'02b_CSP_Accelerator_Mix'!$C$2:$C$573,E187,'02b_CSP_Accelerator_Mix'!$D$2:$D$573,D187,'02b_CSP_Accelerator_Mix'!$E$2:$E$573,F187)</f>
        <v/>
      </c>
      <c r="J187" s="28">
        <f>H187*I187</f>
        <v/>
      </c>
      <c r="K187" s="8">
        <f>IFERROR(INDEX('02x_Accelerator_Catalog'!$D$2:$D$11,MATCH(F187,'02x_Accelerator_Catalog'!$B$2:$B$11,0)),"")</f>
        <v/>
      </c>
      <c r="L187" s="7">
        <f>IF(K187&gt;0,J187*1000/K187,"")</f>
        <v/>
      </c>
      <c r="M187" s="5" t="inlineStr">
        <is>
          <t>epoch_csp_chip_quantity_latest</t>
        </is>
      </c>
      <c r="N187" s="5" t="inlineStr">
        <is>
          <t>Extensible long-format output: add a new accelerator row in 02b and map it in 02x_Accelerator_Catalog to extend this table.</t>
        </is>
      </c>
    </row>
    <row r="188">
      <c r="A188" s="5">
        <f>B188&amp;"|"&amp;C188&amp;"|"&amp;D188&amp;"|"&amp;E188&amp;"|"&amp;F188</f>
        <v/>
      </c>
      <c r="B188" s="5" t="inlineStr">
        <is>
          <t>Bear</t>
        </is>
      </c>
      <c r="C188" s="5" t="inlineStr">
        <is>
          <t>Google</t>
        </is>
      </c>
      <c r="D188" s="5" t="n">
        <v>2030</v>
      </c>
      <c r="E188" s="5" t="inlineStr">
        <is>
          <t>Google</t>
        </is>
      </c>
      <c r="F188" s="5" t="inlineStr">
        <is>
          <t>TPU</t>
        </is>
      </c>
      <c r="G188" s="5">
        <f>IFERROR(INDEX('02x_Accelerator_Catalog'!$C$2:$C$11,MATCH(F188,'02x_Accelerator_Catalog'!$B$2:$B$11,0)),"purpose_or_unbenchmarked")</f>
        <v/>
      </c>
      <c r="H188" s="28">
        <f>SUMIFS('02c_AI_CSP_Normalized'!$N$2:$N$305,'02c_AI_CSP_Normalized'!$B$2:$B$305,B188,'02c_AI_CSP_Normalized'!$C$2:$C$305,C188,'02c_AI_CSP_Normalized'!$D$2:$D$305,D188,'02c_AI_CSP_Normalized'!$E$2:$E$305,E188)</f>
        <v/>
      </c>
      <c r="I188" s="6">
        <f>SUMIFS('02b_CSP_Accelerator_Mix'!$H$2:$H$573,'02b_CSP_Accelerator_Mix'!$B$2:$B$573,B188,'02b_CSP_Accelerator_Mix'!$C$2:$C$573,E188,'02b_CSP_Accelerator_Mix'!$D$2:$D$573,D188,'02b_CSP_Accelerator_Mix'!$E$2:$E$573,F188)</f>
        <v/>
      </c>
      <c r="J188" s="28">
        <f>H188*I188</f>
        <v/>
      </c>
      <c r="K188" s="8">
        <f>IFERROR(INDEX('02x_Accelerator_Catalog'!$D$2:$D$11,MATCH(F188,'02x_Accelerator_Catalog'!$B$2:$B$11,0)),"")</f>
        <v/>
      </c>
      <c r="L188" s="7">
        <f>IF(K188&gt;0,J188*1000/K188,"")</f>
        <v/>
      </c>
      <c r="M188" s="5" t="inlineStr">
        <is>
          <t>epoch_csp_chip_quantity_latest</t>
        </is>
      </c>
      <c r="N188" s="5" t="inlineStr">
        <is>
          <t>Extensible long-format output: add a new accelerator row in 02b and map it in 02x_Accelerator_Catalog to extend this table.</t>
        </is>
      </c>
    </row>
    <row r="189">
      <c r="A189" s="5">
        <f>B189&amp;"|"&amp;C189&amp;"|"&amp;D189&amp;"|"&amp;E189&amp;"|"&amp;F189</f>
        <v/>
      </c>
      <c r="B189" s="5" t="inlineStr">
        <is>
          <t>Base</t>
        </is>
      </c>
      <c r="C189" s="5" t="inlineStr">
        <is>
          <t>Google</t>
        </is>
      </c>
      <c r="D189" s="5" t="n">
        <v>2030</v>
      </c>
      <c r="E189" s="5" t="inlineStr">
        <is>
          <t>Google</t>
        </is>
      </c>
      <c r="F189" s="5" t="inlineStr">
        <is>
          <t>B200/B300 class</t>
        </is>
      </c>
      <c r="G189" s="5">
        <f>IFERROR(INDEX('02x_Accelerator_Catalog'!$C$2:$C$11,MATCH(F189,'02x_Accelerator_Catalog'!$B$2:$B$11,0)),"purpose_or_unbenchmarked")</f>
        <v/>
      </c>
      <c r="H189" s="28">
        <f>SUMIFS('02c_AI_CSP_Normalized'!$N$2:$N$305,'02c_AI_CSP_Normalized'!$B$2:$B$305,B189,'02c_AI_CSP_Normalized'!$C$2:$C$305,C189,'02c_AI_CSP_Normalized'!$D$2:$D$305,D189,'02c_AI_CSP_Normalized'!$E$2:$E$305,E189)</f>
        <v/>
      </c>
      <c r="I189" s="6">
        <f>SUMIFS('02b_CSP_Accelerator_Mix'!$H$2:$H$573,'02b_CSP_Accelerator_Mix'!$B$2:$B$573,B189,'02b_CSP_Accelerator_Mix'!$C$2:$C$573,E189,'02b_CSP_Accelerator_Mix'!$D$2:$D$573,D189,'02b_CSP_Accelerator_Mix'!$E$2:$E$573,F189)</f>
        <v/>
      </c>
      <c r="J189" s="28">
        <f>H189*I189</f>
        <v/>
      </c>
      <c r="K189" s="8">
        <f>IFERROR(INDEX('02x_Accelerator_Catalog'!$D$2:$D$11,MATCH(F189,'02x_Accelerator_Catalog'!$B$2:$B$11,0)),"")</f>
        <v/>
      </c>
      <c r="L189" s="7">
        <f>IF(K189&gt;0,J189*1000/K189,"")</f>
        <v/>
      </c>
      <c r="M189" s="5" t="inlineStr">
        <is>
          <t>epoch_csp_chip_quantity_latest</t>
        </is>
      </c>
      <c r="N189" s="5" t="inlineStr">
        <is>
          <t>Extensible long-format output: add a new accelerator row in 02b and map it in 02x_Accelerator_Catalog to extend this table.</t>
        </is>
      </c>
    </row>
    <row r="190">
      <c r="A190" s="5">
        <f>B190&amp;"|"&amp;C190&amp;"|"&amp;D190&amp;"|"&amp;E190&amp;"|"&amp;F190</f>
        <v/>
      </c>
      <c r="B190" s="5" t="inlineStr">
        <is>
          <t>Base</t>
        </is>
      </c>
      <c r="C190" s="5" t="inlineStr">
        <is>
          <t>Google</t>
        </is>
      </c>
      <c r="D190" s="5" t="n">
        <v>2030</v>
      </c>
      <c r="E190" s="5" t="inlineStr">
        <is>
          <t>Google</t>
        </is>
      </c>
      <c r="F190" s="5" t="inlineStr">
        <is>
          <t>R200/R300 future</t>
        </is>
      </c>
      <c r="G190" s="5">
        <f>IFERROR(INDEX('02x_Accelerator_Catalog'!$C$2:$C$11,MATCH(F190,'02x_Accelerator_Catalog'!$B$2:$B$11,0)),"purpose_or_unbenchmarked")</f>
        <v/>
      </c>
      <c r="H190" s="28">
        <f>SUMIFS('02c_AI_CSP_Normalized'!$N$2:$N$305,'02c_AI_CSP_Normalized'!$B$2:$B$305,B190,'02c_AI_CSP_Normalized'!$C$2:$C$305,C190,'02c_AI_CSP_Normalized'!$D$2:$D$305,D190,'02c_AI_CSP_Normalized'!$E$2:$E$305,E190)</f>
        <v/>
      </c>
      <c r="I190" s="6">
        <f>SUMIFS('02b_CSP_Accelerator_Mix'!$H$2:$H$573,'02b_CSP_Accelerator_Mix'!$B$2:$B$573,B190,'02b_CSP_Accelerator_Mix'!$C$2:$C$573,E190,'02b_CSP_Accelerator_Mix'!$D$2:$D$573,D190,'02b_CSP_Accelerator_Mix'!$E$2:$E$573,F190)</f>
        <v/>
      </c>
      <c r="J190" s="28">
        <f>H190*I190</f>
        <v/>
      </c>
      <c r="K190" s="8">
        <f>IFERROR(INDEX('02x_Accelerator_Catalog'!$D$2:$D$11,MATCH(F190,'02x_Accelerator_Catalog'!$B$2:$B$11,0)),"")</f>
        <v/>
      </c>
      <c r="L190" s="7">
        <f>IF(K190&gt;0,J190*1000/K190,"")</f>
        <v/>
      </c>
      <c r="M190" s="5" t="inlineStr">
        <is>
          <t>epoch_csp_chip_quantity_latest</t>
        </is>
      </c>
      <c r="N190" s="5" t="inlineStr">
        <is>
          <t>Extensible long-format output: add a new accelerator row in 02b and map it in 02x_Accelerator_Catalog to extend this table.</t>
        </is>
      </c>
    </row>
    <row r="191">
      <c r="A191" s="5">
        <f>B191&amp;"|"&amp;C191&amp;"|"&amp;D191&amp;"|"&amp;E191&amp;"|"&amp;F191</f>
        <v/>
      </c>
      <c r="B191" s="5" t="inlineStr">
        <is>
          <t>Base</t>
        </is>
      </c>
      <c r="C191" s="5" t="inlineStr">
        <is>
          <t>Google</t>
        </is>
      </c>
      <c r="D191" s="5" t="n">
        <v>2030</v>
      </c>
      <c r="E191" s="5" t="inlineStr">
        <is>
          <t>Google</t>
        </is>
      </c>
      <c r="F191" s="5" t="inlineStr">
        <is>
          <t>TPU</t>
        </is>
      </c>
      <c r="G191" s="5">
        <f>IFERROR(INDEX('02x_Accelerator_Catalog'!$C$2:$C$11,MATCH(F191,'02x_Accelerator_Catalog'!$B$2:$B$11,0)),"purpose_or_unbenchmarked")</f>
        <v/>
      </c>
      <c r="H191" s="28">
        <f>SUMIFS('02c_AI_CSP_Normalized'!$N$2:$N$305,'02c_AI_CSP_Normalized'!$B$2:$B$305,B191,'02c_AI_CSP_Normalized'!$C$2:$C$305,C191,'02c_AI_CSP_Normalized'!$D$2:$D$305,D191,'02c_AI_CSP_Normalized'!$E$2:$E$305,E191)</f>
        <v/>
      </c>
      <c r="I191" s="6">
        <f>SUMIFS('02b_CSP_Accelerator_Mix'!$H$2:$H$573,'02b_CSP_Accelerator_Mix'!$B$2:$B$573,B191,'02b_CSP_Accelerator_Mix'!$C$2:$C$573,E191,'02b_CSP_Accelerator_Mix'!$D$2:$D$573,D191,'02b_CSP_Accelerator_Mix'!$E$2:$E$573,F191)</f>
        <v/>
      </c>
      <c r="J191" s="28">
        <f>H191*I191</f>
        <v/>
      </c>
      <c r="K191" s="8">
        <f>IFERROR(INDEX('02x_Accelerator_Catalog'!$D$2:$D$11,MATCH(F191,'02x_Accelerator_Catalog'!$B$2:$B$11,0)),"")</f>
        <v/>
      </c>
      <c r="L191" s="7">
        <f>IF(K191&gt;0,J191*1000/K191,"")</f>
        <v/>
      </c>
      <c r="M191" s="5" t="inlineStr">
        <is>
          <t>epoch_csp_chip_quantity_latest</t>
        </is>
      </c>
      <c r="N191" s="5" t="inlineStr">
        <is>
          <t>Extensible long-format output: add a new accelerator row in 02b and map it in 02x_Accelerator_Catalog to extend this table.</t>
        </is>
      </c>
    </row>
    <row r="192">
      <c r="A192" s="5">
        <f>B192&amp;"|"&amp;C192&amp;"|"&amp;D192&amp;"|"&amp;E192&amp;"|"&amp;F192</f>
        <v/>
      </c>
      <c r="B192" s="5" t="inlineStr">
        <is>
          <t>Bull</t>
        </is>
      </c>
      <c r="C192" s="5" t="inlineStr">
        <is>
          <t>Google</t>
        </is>
      </c>
      <c r="D192" s="5" t="n">
        <v>2030</v>
      </c>
      <c r="E192" s="5" t="inlineStr">
        <is>
          <t>Google</t>
        </is>
      </c>
      <c r="F192" s="5" t="inlineStr">
        <is>
          <t>B200/B300 class</t>
        </is>
      </c>
      <c r="G192" s="5">
        <f>IFERROR(INDEX('02x_Accelerator_Catalog'!$C$2:$C$11,MATCH(F192,'02x_Accelerator_Catalog'!$B$2:$B$11,0)),"purpose_or_unbenchmarked")</f>
        <v/>
      </c>
      <c r="H192" s="28">
        <f>SUMIFS('02c_AI_CSP_Normalized'!$N$2:$N$305,'02c_AI_CSP_Normalized'!$B$2:$B$305,B192,'02c_AI_CSP_Normalized'!$C$2:$C$305,C192,'02c_AI_CSP_Normalized'!$D$2:$D$305,D192,'02c_AI_CSP_Normalized'!$E$2:$E$305,E192)</f>
        <v/>
      </c>
      <c r="I192" s="6">
        <f>SUMIFS('02b_CSP_Accelerator_Mix'!$H$2:$H$573,'02b_CSP_Accelerator_Mix'!$B$2:$B$573,B192,'02b_CSP_Accelerator_Mix'!$C$2:$C$573,E192,'02b_CSP_Accelerator_Mix'!$D$2:$D$573,D192,'02b_CSP_Accelerator_Mix'!$E$2:$E$573,F192)</f>
        <v/>
      </c>
      <c r="J192" s="28">
        <f>H192*I192</f>
        <v/>
      </c>
      <c r="K192" s="8">
        <f>IFERROR(INDEX('02x_Accelerator_Catalog'!$D$2:$D$11,MATCH(F192,'02x_Accelerator_Catalog'!$B$2:$B$11,0)),"")</f>
        <v/>
      </c>
      <c r="L192" s="7">
        <f>IF(K192&gt;0,J192*1000/K192,"")</f>
        <v/>
      </c>
      <c r="M192" s="5" t="inlineStr">
        <is>
          <t>epoch_csp_chip_quantity_latest</t>
        </is>
      </c>
      <c r="N192" s="5" t="inlineStr">
        <is>
          <t>Extensible long-format output: add a new accelerator row in 02b and map it in 02x_Accelerator_Catalog to extend this table.</t>
        </is>
      </c>
    </row>
    <row r="193">
      <c r="A193" s="5">
        <f>B193&amp;"|"&amp;C193&amp;"|"&amp;D193&amp;"|"&amp;E193&amp;"|"&amp;F193</f>
        <v/>
      </c>
      <c r="B193" s="5" t="inlineStr">
        <is>
          <t>Bull</t>
        </is>
      </c>
      <c r="C193" s="5" t="inlineStr">
        <is>
          <t>Google</t>
        </is>
      </c>
      <c r="D193" s="5" t="n">
        <v>2030</v>
      </c>
      <c r="E193" s="5" t="inlineStr">
        <is>
          <t>Google</t>
        </is>
      </c>
      <c r="F193" s="5" t="inlineStr">
        <is>
          <t>R200/R300 future</t>
        </is>
      </c>
      <c r="G193" s="5">
        <f>IFERROR(INDEX('02x_Accelerator_Catalog'!$C$2:$C$11,MATCH(F193,'02x_Accelerator_Catalog'!$B$2:$B$11,0)),"purpose_or_unbenchmarked")</f>
        <v/>
      </c>
      <c r="H193" s="28">
        <f>SUMIFS('02c_AI_CSP_Normalized'!$N$2:$N$305,'02c_AI_CSP_Normalized'!$B$2:$B$305,B193,'02c_AI_CSP_Normalized'!$C$2:$C$305,C193,'02c_AI_CSP_Normalized'!$D$2:$D$305,D193,'02c_AI_CSP_Normalized'!$E$2:$E$305,E193)</f>
        <v/>
      </c>
      <c r="I193" s="6">
        <f>SUMIFS('02b_CSP_Accelerator_Mix'!$H$2:$H$573,'02b_CSP_Accelerator_Mix'!$B$2:$B$573,B193,'02b_CSP_Accelerator_Mix'!$C$2:$C$573,E193,'02b_CSP_Accelerator_Mix'!$D$2:$D$573,D193,'02b_CSP_Accelerator_Mix'!$E$2:$E$573,F193)</f>
        <v/>
      </c>
      <c r="J193" s="28">
        <f>H193*I193</f>
        <v/>
      </c>
      <c r="K193" s="8">
        <f>IFERROR(INDEX('02x_Accelerator_Catalog'!$D$2:$D$11,MATCH(F193,'02x_Accelerator_Catalog'!$B$2:$B$11,0)),"")</f>
        <v/>
      </c>
      <c r="L193" s="7">
        <f>IF(K193&gt;0,J193*1000/K193,"")</f>
        <v/>
      </c>
      <c r="M193" s="5" t="inlineStr">
        <is>
          <t>epoch_csp_chip_quantity_latest</t>
        </is>
      </c>
      <c r="N193" s="5" t="inlineStr">
        <is>
          <t>Extensible long-format output: add a new accelerator row in 02b and map it in 02x_Accelerator_Catalog to extend this table.</t>
        </is>
      </c>
    </row>
    <row r="194">
      <c r="A194" s="5">
        <f>B194&amp;"|"&amp;C194&amp;"|"&amp;D194&amp;"|"&amp;E194&amp;"|"&amp;F194</f>
        <v/>
      </c>
      <c r="B194" s="5" t="inlineStr">
        <is>
          <t>Bull</t>
        </is>
      </c>
      <c r="C194" s="5" t="inlineStr">
        <is>
          <t>Google</t>
        </is>
      </c>
      <c r="D194" s="5" t="n">
        <v>2030</v>
      </c>
      <c r="E194" s="5" t="inlineStr">
        <is>
          <t>Google</t>
        </is>
      </c>
      <c r="F194" s="5" t="inlineStr">
        <is>
          <t>TPU</t>
        </is>
      </c>
      <c r="G194" s="5">
        <f>IFERROR(INDEX('02x_Accelerator_Catalog'!$C$2:$C$11,MATCH(F194,'02x_Accelerator_Catalog'!$B$2:$B$11,0)),"purpose_or_unbenchmarked")</f>
        <v/>
      </c>
      <c r="H194" s="28">
        <f>SUMIFS('02c_AI_CSP_Normalized'!$N$2:$N$305,'02c_AI_CSP_Normalized'!$B$2:$B$305,B194,'02c_AI_CSP_Normalized'!$C$2:$C$305,C194,'02c_AI_CSP_Normalized'!$D$2:$D$305,D194,'02c_AI_CSP_Normalized'!$E$2:$E$305,E194)</f>
        <v/>
      </c>
      <c r="I194" s="6">
        <f>SUMIFS('02b_CSP_Accelerator_Mix'!$H$2:$H$573,'02b_CSP_Accelerator_Mix'!$B$2:$B$573,B194,'02b_CSP_Accelerator_Mix'!$C$2:$C$573,E194,'02b_CSP_Accelerator_Mix'!$D$2:$D$573,D194,'02b_CSP_Accelerator_Mix'!$E$2:$E$573,F194)</f>
        <v/>
      </c>
      <c r="J194" s="28">
        <f>H194*I194</f>
        <v/>
      </c>
      <c r="K194" s="8">
        <f>IFERROR(INDEX('02x_Accelerator_Catalog'!$D$2:$D$11,MATCH(F194,'02x_Accelerator_Catalog'!$B$2:$B$11,0)),"")</f>
        <v/>
      </c>
      <c r="L194" s="7">
        <f>IF(K194&gt;0,J194*1000/K194,"")</f>
        <v/>
      </c>
      <c r="M194" s="5" t="inlineStr">
        <is>
          <t>epoch_csp_chip_quantity_latest</t>
        </is>
      </c>
      <c r="N194" s="5" t="inlineStr">
        <is>
          <t>Extensible long-format output: add a new accelerator row in 02b and map it in 02x_Accelerator_Catalog to extend this table.</t>
        </is>
      </c>
    </row>
    <row r="195">
      <c r="A195" s="5">
        <f>B195&amp;"|"&amp;C195&amp;"|"&amp;D195&amp;"|"&amp;E195&amp;"|"&amp;F195</f>
        <v/>
      </c>
      <c r="B195" s="5" t="inlineStr">
        <is>
          <t>Grid-Constrained / Efficiency-Upside</t>
        </is>
      </c>
      <c r="C195" s="5" t="inlineStr">
        <is>
          <t>Google</t>
        </is>
      </c>
      <c r="D195" s="5" t="n">
        <v>2030</v>
      </c>
      <c r="E195" s="5" t="inlineStr">
        <is>
          <t>Google</t>
        </is>
      </c>
      <c r="F195" s="5" t="inlineStr">
        <is>
          <t>B200/B300 class</t>
        </is>
      </c>
      <c r="G195" s="5">
        <f>IFERROR(INDEX('02x_Accelerator_Catalog'!$C$2:$C$11,MATCH(F195,'02x_Accelerator_Catalog'!$B$2:$B$11,0)),"purpose_or_unbenchmarked")</f>
        <v/>
      </c>
      <c r="H195" s="28">
        <f>SUMIFS('02c_AI_CSP_Normalized'!$N$2:$N$305,'02c_AI_CSP_Normalized'!$B$2:$B$305,B195,'02c_AI_CSP_Normalized'!$C$2:$C$305,C195,'02c_AI_CSP_Normalized'!$D$2:$D$305,D195,'02c_AI_CSP_Normalized'!$E$2:$E$305,E195)</f>
        <v/>
      </c>
      <c r="I195" s="6">
        <f>SUMIFS('02b_CSP_Accelerator_Mix'!$H$2:$H$573,'02b_CSP_Accelerator_Mix'!$B$2:$B$573,B195,'02b_CSP_Accelerator_Mix'!$C$2:$C$573,E195,'02b_CSP_Accelerator_Mix'!$D$2:$D$573,D195,'02b_CSP_Accelerator_Mix'!$E$2:$E$573,F195)</f>
        <v/>
      </c>
      <c r="J195" s="28">
        <f>H195*I195</f>
        <v/>
      </c>
      <c r="K195" s="8">
        <f>IFERROR(INDEX('02x_Accelerator_Catalog'!$D$2:$D$11,MATCH(F195,'02x_Accelerator_Catalog'!$B$2:$B$11,0)),"")</f>
        <v/>
      </c>
      <c r="L195" s="7">
        <f>IF(K195&gt;0,J195*1000/K195,"")</f>
        <v/>
      </c>
      <c r="M195" s="5" t="inlineStr">
        <is>
          <t>epoch_csp_chip_quantity_latest</t>
        </is>
      </c>
      <c r="N195" s="5" t="inlineStr">
        <is>
          <t>Extensible long-format output: add a new accelerator row in 02b and map it in 02x_Accelerator_Catalog to extend this table.</t>
        </is>
      </c>
    </row>
    <row r="196">
      <c r="A196" s="5">
        <f>B196&amp;"|"&amp;C196&amp;"|"&amp;D196&amp;"|"&amp;E196&amp;"|"&amp;F196</f>
        <v/>
      </c>
      <c r="B196" s="5" t="inlineStr">
        <is>
          <t>Grid-Constrained / Efficiency-Upside</t>
        </is>
      </c>
      <c r="C196" s="5" t="inlineStr">
        <is>
          <t>Google</t>
        </is>
      </c>
      <c r="D196" s="5" t="n">
        <v>2030</v>
      </c>
      <c r="E196" s="5" t="inlineStr">
        <is>
          <t>Google</t>
        </is>
      </c>
      <c r="F196" s="5" t="inlineStr">
        <is>
          <t>R200/R300 future</t>
        </is>
      </c>
      <c r="G196" s="5">
        <f>IFERROR(INDEX('02x_Accelerator_Catalog'!$C$2:$C$11,MATCH(F196,'02x_Accelerator_Catalog'!$B$2:$B$11,0)),"purpose_or_unbenchmarked")</f>
        <v/>
      </c>
      <c r="H196" s="28">
        <f>SUMIFS('02c_AI_CSP_Normalized'!$N$2:$N$305,'02c_AI_CSP_Normalized'!$B$2:$B$305,B196,'02c_AI_CSP_Normalized'!$C$2:$C$305,C196,'02c_AI_CSP_Normalized'!$D$2:$D$305,D196,'02c_AI_CSP_Normalized'!$E$2:$E$305,E196)</f>
        <v/>
      </c>
      <c r="I196" s="6">
        <f>SUMIFS('02b_CSP_Accelerator_Mix'!$H$2:$H$573,'02b_CSP_Accelerator_Mix'!$B$2:$B$573,B196,'02b_CSP_Accelerator_Mix'!$C$2:$C$573,E196,'02b_CSP_Accelerator_Mix'!$D$2:$D$573,D196,'02b_CSP_Accelerator_Mix'!$E$2:$E$573,F196)</f>
        <v/>
      </c>
      <c r="J196" s="28">
        <f>H196*I196</f>
        <v/>
      </c>
      <c r="K196" s="8">
        <f>IFERROR(INDEX('02x_Accelerator_Catalog'!$D$2:$D$11,MATCH(F196,'02x_Accelerator_Catalog'!$B$2:$B$11,0)),"")</f>
        <v/>
      </c>
      <c r="L196" s="7">
        <f>IF(K196&gt;0,J196*1000/K196,"")</f>
        <v/>
      </c>
      <c r="M196" s="5" t="inlineStr">
        <is>
          <t>epoch_csp_chip_quantity_latest</t>
        </is>
      </c>
      <c r="N196" s="5" t="inlineStr">
        <is>
          <t>Extensible long-format output: add a new accelerator row in 02b and map it in 02x_Accelerator_Catalog to extend this table.</t>
        </is>
      </c>
    </row>
    <row r="197">
      <c r="A197" s="5">
        <f>B197&amp;"|"&amp;C197&amp;"|"&amp;D197&amp;"|"&amp;E197&amp;"|"&amp;F197</f>
        <v/>
      </c>
      <c r="B197" s="5" t="inlineStr">
        <is>
          <t>Grid-Constrained / Efficiency-Upside</t>
        </is>
      </c>
      <c r="C197" s="5" t="inlineStr">
        <is>
          <t>Google</t>
        </is>
      </c>
      <c r="D197" s="5" t="n">
        <v>2030</v>
      </c>
      <c r="E197" s="5" t="inlineStr">
        <is>
          <t>Google</t>
        </is>
      </c>
      <c r="F197" s="5" t="inlineStr">
        <is>
          <t>TPU</t>
        </is>
      </c>
      <c r="G197" s="5">
        <f>IFERROR(INDEX('02x_Accelerator_Catalog'!$C$2:$C$11,MATCH(F197,'02x_Accelerator_Catalog'!$B$2:$B$11,0)),"purpose_or_unbenchmarked")</f>
        <v/>
      </c>
      <c r="H197" s="28">
        <f>SUMIFS('02c_AI_CSP_Normalized'!$N$2:$N$305,'02c_AI_CSP_Normalized'!$B$2:$B$305,B197,'02c_AI_CSP_Normalized'!$C$2:$C$305,C197,'02c_AI_CSP_Normalized'!$D$2:$D$305,D197,'02c_AI_CSP_Normalized'!$E$2:$E$305,E197)</f>
        <v/>
      </c>
      <c r="I197" s="6">
        <f>SUMIFS('02b_CSP_Accelerator_Mix'!$H$2:$H$573,'02b_CSP_Accelerator_Mix'!$B$2:$B$573,B197,'02b_CSP_Accelerator_Mix'!$C$2:$C$573,E197,'02b_CSP_Accelerator_Mix'!$D$2:$D$573,D197,'02b_CSP_Accelerator_Mix'!$E$2:$E$573,F197)</f>
        <v/>
      </c>
      <c r="J197" s="28">
        <f>H197*I197</f>
        <v/>
      </c>
      <c r="K197" s="8">
        <f>IFERROR(INDEX('02x_Accelerator_Catalog'!$D$2:$D$11,MATCH(F197,'02x_Accelerator_Catalog'!$B$2:$B$11,0)),"")</f>
        <v/>
      </c>
      <c r="L197" s="7">
        <f>IF(K197&gt;0,J197*1000/K197,"")</f>
        <v/>
      </c>
      <c r="M197" s="5" t="inlineStr">
        <is>
          <t>epoch_csp_chip_quantity_latest</t>
        </is>
      </c>
      <c r="N197" s="5" t="inlineStr">
        <is>
          <t>Extensible long-format output: add a new accelerator row in 02b and map it in 02x_Accelerator_Catalog to extend this table.</t>
        </is>
      </c>
    </row>
    <row r="198">
      <c r="A198" s="5">
        <f>B198&amp;"|"&amp;C198&amp;"|"&amp;D198&amp;"|"&amp;E198&amp;"|"&amp;F198</f>
        <v/>
      </c>
      <c r="B198" s="5" t="inlineStr">
        <is>
          <t>Bear</t>
        </is>
      </c>
      <c r="C198" s="5" t="inlineStr">
        <is>
          <t>Meta</t>
        </is>
      </c>
      <c r="D198" s="5" t="n">
        <v>2026</v>
      </c>
      <c r="E198" s="5" t="inlineStr">
        <is>
          <t>Meta</t>
        </is>
      </c>
      <c r="F198" s="5" t="inlineStr">
        <is>
          <t>B200/B300 class</t>
        </is>
      </c>
      <c r="G198" s="5">
        <f>IFERROR(INDEX('02x_Accelerator_Catalog'!$C$2:$C$11,MATCH(F198,'02x_Accelerator_Catalog'!$B$2:$B$11,0)),"purpose_or_unbenchmarked")</f>
        <v/>
      </c>
      <c r="H198" s="28">
        <f>SUMIFS('02c_AI_CSP_Normalized'!$N$2:$N$305,'02c_AI_CSP_Normalized'!$B$2:$B$305,B198,'02c_AI_CSP_Normalized'!$C$2:$C$305,C198,'02c_AI_CSP_Normalized'!$D$2:$D$305,D198,'02c_AI_CSP_Normalized'!$E$2:$E$305,E198)</f>
        <v/>
      </c>
      <c r="I198" s="6">
        <f>SUMIFS('02b_CSP_Accelerator_Mix'!$H$2:$H$573,'02b_CSP_Accelerator_Mix'!$B$2:$B$573,B198,'02b_CSP_Accelerator_Mix'!$C$2:$C$573,E198,'02b_CSP_Accelerator_Mix'!$D$2:$D$573,D198,'02b_CSP_Accelerator_Mix'!$E$2:$E$573,F198)</f>
        <v/>
      </c>
      <c r="J198" s="28">
        <f>H198*I198</f>
        <v/>
      </c>
      <c r="K198" s="8">
        <f>IFERROR(INDEX('02x_Accelerator_Catalog'!$D$2:$D$11,MATCH(F198,'02x_Accelerator_Catalog'!$B$2:$B$11,0)),"")</f>
        <v/>
      </c>
      <c r="L198" s="7">
        <f>IF(K198&gt;0,J198*1000/K198,"")</f>
        <v/>
      </c>
      <c r="M198" s="5" t="inlineStr">
        <is>
          <t>epoch_csp_chip_quantity_latest</t>
        </is>
      </c>
      <c r="N198" s="5" t="inlineStr">
        <is>
          <t>Extensible long-format output: add a new accelerator row in 02b and map it in 02x_Accelerator_Catalog to extend this table.</t>
        </is>
      </c>
    </row>
    <row r="199">
      <c r="A199" s="5">
        <f>B199&amp;"|"&amp;C199&amp;"|"&amp;D199&amp;"|"&amp;E199&amp;"|"&amp;F199</f>
        <v/>
      </c>
      <c r="B199" s="5" t="inlineStr">
        <is>
          <t>Bear</t>
        </is>
      </c>
      <c r="C199" s="5" t="inlineStr">
        <is>
          <t>Meta</t>
        </is>
      </c>
      <c r="D199" s="5" t="n">
        <v>2026</v>
      </c>
      <c r="E199" s="5" t="inlineStr">
        <is>
          <t>Meta</t>
        </is>
      </c>
      <c r="F199" s="5" t="inlineStr">
        <is>
          <t>H100/H200/A100 class</t>
        </is>
      </c>
      <c r="G199" s="5">
        <f>IFERROR(INDEX('02x_Accelerator_Catalog'!$C$2:$C$11,MATCH(F199,'02x_Accelerator_Catalog'!$B$2:$B$11,0)),"purpose_or_unbenchmarked")</f>
        <v/>
      </c>
      <c r="H199" s="28">
        <f>SUMIFS('02c_AI_CSP_Normalized'!$N$2:$N$305,'02c_AI_CSP_Normalized'!$B$2:$B$305,B199,'02c_AI_CSP_Normalized'!$C$2:$C$305,C199,'02c_AI_CSP_Normalized'!$D$2:$D$305,D199,'02c_AI_CSP_Normalized'!$E$2:$E$305,E199)</f>
        <v/>
      </c>
      <c r="I199" s="6">
        <f>SUMIFS('02b_CSP_Accelerator_Mix'!$H$2:$H$573,'02b_CSP_Accelerator_Mix'!$B$2:$B$573,B199,'02b_CSP_Accelerator_Mix'!$C$2:$C$573,E199,'02b_CSP_Accelerator_Mix'!$D$2:$D$573,D199,'02b_CSP_Accelerator_Mix'!$E$2:$E$573,F199)</f>
        <v/>
      </c>
      <c r="J199" s="28">
        <f>H199*I199</f>
        <v/>
      </c>
      <c r="K199" s="8">
        <f>IFERROR(INDEX('02x_Accelerator_Catalog'!$D$2:$D$11,MATCH(F199,'02x_Accelerator_Catalog'!$B$2:$B$11,0)),"")</f>
        <v/>
      </c>
      <c r="L199" s="7">
        <f>IF(K199&gt;0,J199*1000/K199,"")</f>
        <v/>
      </c>
      <c r="M199" s="5" t="inlineStr">
        <is>
          <t>epoch_csp_chip_quantity_latest</t>
        </is>
      </c>
      <c r="N199" s="5" t="inlineStr">
        <is>
          <t>Extensible long-format output: add a new accelerator row in 02b and map it in 02x_Accelerator_Catalog to extend this table.</t>
        </is>
      </c>
    </row>
    <row r="200">
      <c r="A200" s="5">
        <f>B200&amp;"|"&amp;C200&amp;"|"&amp;D200&amp;"|"&amp;E200&amp;"|"&amp;F200</f>
        <v/>
      </c>
      <c r="B200" s="5" t="inlineStr">
        <is>
          <t>Base</t>
        </is>
      </c>
      <c r="C200" s="5" t="inlineStr">
        <is>
          <t>Meta</t>
        </is>
      </c>
      <c r="D200" s="5" t="n">
        <v>2026</v>
      </c>
      <c r="E200" s="5" t="inlineStr">
        <is>
          <t>Meta</t>
        </is>
      </c>
      <c r="F200" s="5" t="inlineStr">
        <is>
          <t>B200/B300 class</t>
        </is>
      </c>
      <c r="G200" s="5">
        <f>IFERROR(INDEX('02x_Accelerator_Catalog'!$C$2:$C$11,MATCH(F200,'02x_Accelerator_Catalog'!$B$2:$B$11,0)),"purpose_or_unbenchmarked")</f>
        <v/>
      </c>
      <c r="H200" s="28">
        <f>SUMIFS('02c_AI_CSP_Normalized'!$N$2:$N$305,'02c_AI_CSP_Normalized'!$B$2:$B$305,B200,'02c_AI_CSP_Normalized'!$C$2:$C$305,C200,'02c_AI_CSP_Normalized'!$D$2:$D$305,D200,'02c_AI_CSP_Normalized'!$E$2:$E$305,E200)</f>
        <v/>
      </c>
      <c r="I200" s="6">
        <f>SUMIFS('02b_CSP_Accelerator_Mix'!$H$2:$H$573,'02b_CSP_Accelerator_Mix'!$B$2:$B$573,B200,'02b_CSP_Accelerator_Mix'!$C$2:$C$573,E200,'02b_CSP_Accelerator_Mix'!$D$2:$D$573,D200,'02b_CSP_Accelerator_Mix'!$E$2:$E$573,F200)</f>
        <v/>
      </c>
      <c r="J200" s="28">
        <f>H200*I200</f>
        <v/>
      </c>
      <c r="K200" s="8">
        <f>IFERROR(INDEX('02x_Accelerator_Catalog'!$D$2:$D$11,MATCH(F200,'02x_Accelerator_Catalog'!$B$2:$B$11,0)),"")</f>
        <v/>
      </c>
      <c r="L200" s="7">
        <f>IF(K200&gt;0,J200*1000/K200,"")</f>
        <v/>
      </c>
      <c r="M200" s="5" t="inlineStr">
        <is>
          <t>epoch_csp_chip_quantity_latest</t>
        </is>
      </c>
      <c r="N200" s="5" t="inlineStr">
        <is>
          <t>Extensible long-format output: add a new accelerator row in 02b and map it in 02x_Accelerator_Catalog to extend this table.</t>
        </is>
      </c>
    </row>
    <row r="201">
      <c r="A201" s="5">
        <f>B201&amp;"|"&amp;C201&amp;"|"&amp;D201&amp;"|"&amp;E201&amp;"|"&amp;F201</f>
        <v/>
      </c>
      <c r="B201" s="5" t="inlineStr">
        <is>
          <t>Base</t>
        </is>
      </c>
      <c r="C201" s="5" t="inlineStr">
        <is>
          <t>Meta</t>
        </is>
      </c>
      <c r="D201" s="5" t="n">
        <v>2026</v>
      </c>
      <c r="E201" s="5" t="inlineStr">
        <is>
          <t>Meta</t>
        </is>
      </c>
      <c r="F201" s="5" t="inlineStr">
        <is>
          <t>H100/H200/A100 class</t>
        </is>
      </c>
      <c r="G201" s="5">
        <f>IFERROR(INDEX('02x_Accelerator_Catalog'!$C$2:$C$11,MATCH(F201,'02x_Accelerator_Catalog'!$B$2:$B$11,0)),"purpose_or_unbenchmarked")</f>
        <v/>
      </c>
      <c r="H201" s="28">
        <f>SUMIFS('02c_AI_CSP_Normalized'!$N$2:$N$305,'02c_AI_CSP_Normalized'!$B$2:$B$305,B201,'02c_AI_CSP_Normalized'!$C$2:$C$305,C201,'02c_AI_CSP_Normalized'!$D$2:$D$305,D201,'02c_AI_CSP_Normalized'!$E$2:$E$305,E201)</f>
        <v/>
      </c>
      <c r="I201" s="6">
        <f>SUMIFS('02b_CSP_Accelerator_Mix'!$H$2:$H$573,'02b_CSP_Accelerator_Mix'!$B$2:$B$573,B201,'02b_CSP_Accelerator_Mix'!$C$2:$C$573,E201,'02b_CSP_Accelerator_Mix'!$D$2:$D$573,D201,'02b_CSP_Accelerator_Mix'!$E$2:$E$573,F201)</f>
        <v/>
      </c>
      <c r="J201" s="28">
        <f>H201*I201</f>
        <v/>
      </c>
      <c r="K201" s="8">
        <f>IFERROR(INDEX('02x_Accelerator_Catalog'!$D$2:$D$11,MATCH(F201,'02x_Accelerator_Catalog'!$B$2:$B$11,0)),"")</f>
        <v/>
      </c>
      <c r="L201" s="7">
        <f>IF(K201&gt;0,J201*1000/K201,"")</f>
        <v/>
      </c>
      <c r="M201" s="5" t="inlineStr">
        <is>
          <t>epoch_csp_chip_quantity_latest</t>
        </is>
      </c>
      <c r="N201" s="5" t="inlineStr">
        <is>
          <t>Extensible long-format output: add a new accelerator row in 02b and map it in 02x_Accelerator_Catalog to extend this table.</t>
        </is>
      </c>
    </row>
    <row r="202">
      <c r="A202" s="5">
        <f>B202&amp;"|"&amp;C202&amp;"|"&amp;D202&amp;"|"&amp;E202&amp;"|"&amp;F202</f>
        <v/>
      </c>
      <c r="B202" s="5" t="inlineStr">
        <is>
          <t>Bull</t>
        </is>
      </c>
      <c r="C202" s="5" t="inlineStr">
        <is>
          <t>Meta</t>
        </is>
      </c>
      <c r="D202" s="5" t="n">
        <v>2026</v>
      </c>
      <c r="E202" s="5" t="inlineStr">
        <is>
          <t>Meta</t>
        </is>
      </c>
      <c r="F202" s="5" t="inlineStr">
        <is>
          <t>B200/B300 class</t>
        </is>
      </c>
      <c r="G202" s="5">
        <f>IFERROR(INDEX('02x_Accelerator_Catalog'!$C$2:$C$11,MATCH(F202,'02x_Accelerator_Catalog'!$B$2:$B$11,0)),"purpose_or_unbenchmarked")</f>
        <v/>
      </c>
      <c r="H202" s="28">
        <f>SUMIFS('02c_AI_CSP_Normalized'!$N$2:$N$305,'02c_AI_CSP_Normalized'!$B$2:$B$305,B202,'02c_AI_CSP_Normalized'!$C$2:$C$305,C202,'02c_AI_CSP_Normalized'!$D$2:$D$305,D202,'02c_AI_CSP_Normalized'!$E$2:$E$305,E202)</f>
        <v/>
      </c>
      <c r="I202" s="6">
        <f>SUMIFS('02b_CSP_Accelerator_Mix'!$H$2:$H$573,'02b_CSP_Accelerator_Mix'!$B$2:$B$573,B202,'02b_CSP_Accelerator_Mix'!$C$2:$C$573,E202,'02b_CSP_Accelerator_Mix'!$D$2:$D$573,D202,'02b_CSP_Accelerator_Mix'!$E$2:$E$573,F202)</f>
        <v/>
      </c>
      <c r="J202" s="28">
        <f>H202*I202</f>
        <v/>
      </c>
      <c r="K202" s="8">
        <f>IFERROR(INDEX('02x_Accelerator_Catalog'!$D$2:$D$11,MATCH(F202,'02x_Accelerator_Catalog'!$B$2:$B$11,0)),"")</f>
        <v/>
      </c>
      <c r="L202" s="7">
        <f>IF(K202&gt;0,J202*1000/K202,"")</f>
        <v/>
      </c>
      <c r="M202" s="5" t="inlineStr">
        <is>
          <t>epoch_csp_chip_quantity_latest</t>
        </is>
      </c>
      <c r="N202" s="5" t="inlineStr">
        <is>
          <t>Extensible long-format output: add a new accelerator row in 02b and map it in 02x_Accelerator_Catalog to extend this table.</t>
        </is>
      </c>
    </row>
    <row r="203">
      <c r="A203" s="5">
        <f>B203&amp;"|"&amp;C203&amp;"|"&amp;D203&amp;"|"&amp;E203&amp;"|"&amp;F203</f>
        <v/>
      </c>
      <c r="B203" s="5" t="inlineStr">
        <is>
          <t>Bull</t>
        </is>
      </c>
      <c r="C203" s="5" t="inlineStr">
        <is>
          <t>Meta</t>
        </is>
      </c>
      <c r="D203" s="5" t="n">
        <v>2026</v>
      </c>
      <c r="E203" s="5" t="inlineStr">
        <is>
          <t>Meta</t>
        </is>
      </c>
      <c r="F203" s="5" t="inlineStr">
        <is>
          <t>H100/H200/A100 class</t>
        </is>
      </c>
      <c r="G203" s="5">
        <f>IFERROR(INDEX('02x_Accelerator_Catalog'!$C$2:$C$11,MATCH(F203,'02x_Accelerator_Catalog'!$B$2:$B$11,0)),"purpose_or_unbenchmarked")</f>
        <v/>
      </c>
      <c r="H203" s="28">
        <f>SUMIFS('02c_AI_CSP_Normalized'!$N$2:$N$305,'02c_AI_CSP_Normalized'!$B$2:$B$305,B203,'02c_AI_CSP_Normalized'!$C$2:$C$305,C203,'02c_AI_CSP_Normalized'!$D$2:$D$305,D203,'02c_AI_CSP_Normalized'!$E$2:$E$305,E203)</f>
        <v/>
      </c>
      <c r="I203" s="6">
        <f>SUMIFS('02b_CSP_Accelerator_Mix'!$H$2:$H$573,'02b_CSP_Accelerator_Mix'!$B$2:$B$573,B203,'02b_CSP_Accelerator_Mix'!$C$2:$C$573,E203,'02b_CSP_Accelerator_Mix'!$D$2:$D$573,D203,'02b_CSP_Accelerator_Mix'!$E$2:$E$573,F203)</f>
        <v/>
      </c>
      <c r="J203" s="28">
        <f>H203*I203</f>
        <v/>
      </c>
      <c r="K203" s="8">
        <f>IFERROR(INDEX('02x_Accelerator_Catalog'!$D$2:$D$11,MATCH(F203,'02x_Accelerator_Catalog'!$B$2:$B$11,0)),"")</f>
        <v/>
      </c>
      <c r="L203" s="7">
        <f>IF(K203&gt;0,J203*1000/K203,"")</f>
        <v/>
      </c>
      <c r="M203" s="5" t="inlineStr">
        <is>
          <t>epoch_csp_chip_quantity_latest</t>
        </is>
      </c>
      <c r="N203" s="5" t="inlineStr">
        <is>
          <t>Extensible long-format output: add a new accelerator row in 02b and map it in 02x_Accelerator_Catalog to extend this table.</t>
        </is>
      </c>
    </row>
    <row r="204">
      <c r="A204" s="5">
        <f>B204&amp;"|"&amp;C204&amp;"|"&amp;D204&amp;"|"&amp;E204&amp;"|"&amp;F204</f>
        <v/>
      </c>
      <c r="B204" s="5" t="inlineStr">
        <is>
          <t>Grid-Constrained / Efficiency-Upside</t>
        </is>
      </c>
      <c r="C204" s="5" t="inlineStr">
        <is>
          <t>Meta</t>
        </is>
      </c>
      <c r="D204" s="5" t="n">
        <v>2026</v>
      </c>
      <c r="E204" s="5" t="inlineStr">
        <is>
          <t>Meta</t>
        </is>
      </c>
      <c r="F204" s="5" t="inlineStr">
        <is>
          <t>B200/B300 class</t>
        </is>
      </c>
      <c r="G204" s="5">
        <f>IFERROR(INDEX('02x_Accelerator_Catalog'!$C$2:$C$11,MATCH(F204,'02x_Accelerator_Catalog'!$B$2:$B$11,0)),"purpose_or_unbenchmarked")</f>
        <v/>
      </c>
      <c r="H204" s="28">
        <f>SUMIFS('02c_AI_CSP_Normalized'!$N$2:$N$305,'02c_AI_CSP_Normalized'!$B$2:$B$305,B204,'02c_AI_CSP_Normalized'!$C$2:$C$305,C204,'02c_AI_CSP_Normalized'!$D$2:$D$305,D204,'02c_AI_CSP_Normalized'!$E$2:$E$305,E204)</f>
        <v/>
      </c>
      <c r="I204" s="6">
        <f>SUMIFS('02b_CSP_Accelerator_Mix'!$H$2:$H$573,'02b_CSP_Accelerator_Mix'!$B$2:$B$573,B204,'02b_CSP_Accelerator_Mix'!$C$2:$C$573,E204,'02b_CSP_Accelerator_Mix'!$D$2:$D$573,D204,'02b_CSP_Accelerator_Mix'!$E$2:$E$573,F204)</f>
        <v/>
      </c>
      <c r="J204" s="28">
        <f>H204*I204</f>
        <v/>
      </c>
      <c r="K204" s="8">
        <f>IFERROR(INDEX('02x_Accelerator_Catalog'!$D$2:$D$11,MATCH(F204,'02x_Accelerator_Catalog'!$B$2:$B$11,0)),"")</f>
        <v/>
      </c>
      <c r="L204" s="7">
        <f>IF(K204&gt;0,J204*1000/K204,"")</f>
        <v/>
      </c>
      <c r="M204" s="5" t="inlineStr">
        <is>
          <t>epoch_csp_chip_quantity_latest</t>
        </is>
      </c>
      <c r="N204" s="5" t="inlineStr">
        <is>
          <t>Extensible long-format output: add a new accelerator row in 02b and map it in 02x_Accelerator_Catalog to extend this table.</t>
        </is>
      </c>
    </row>
    <row r="205">
      <c r="A205" s="5">
        <f>B205&amp;"|"&amp;C205&amp;"|"&amp;D205&amp;"|"&amp;E205&amp;"|"&amp;F205</f>
        <v/>
      </c>
      <c r="B205" s="5" t="inlineStr">
        <is>
          <t>Grid-Constrained / Efficiency-Upside</t>
        </is>
      </c>
      <c r="C205" s="5" t="inlineStr">
        <is>
          <t>Meta</t>
        </is>
      </c>
      <c r="D205" s="5" t="n">
        <v>2026</v>
      </c>
      <c r="E205" s="5" t="inlineStr">
        <is>
          <t>Meta</t>
        </is>
      </c>
      <c r="F205" s="5" t="inlineStr">
        <is>
          <t>H100/H200/A100 class</t>
        </is>
      </c>
      <c r="G205" s="5">
        <f>IFERROR(INDEX('02x_Accelerator_Catalog'!$C$2:$C$11,MATCH(F205,'02x_Accelerator_Catalog'!$B$2:$B$11,0)),"purpose_or_unbenchmarked")</f>
        <v/>
      </c>
      <c r="H205" s="28">
        <f>SUMIFS('02c_AI_CSP_Normalized'!$N$2:$N$305,'02c_AI_CSP_Normalized'!$B$2:$B$305,B205,'02c_AI_CSP_Normalized'!$C$2:$C$305,C205,'02c_AI_CSP_Normalized'!$D$2:$D$305,D205,'02c_AI_CSP_Normalized'!$E$2:$E$305,E205)</f>
        <v/>
      </c>
      <c r="I205" s="6">
        <f>SUMIFS('02b_CSP_Accelerator_Mix'!$H$2:$H$573,'02b_CSP_Accelerator_Mix'!$B$2:$B$573,B205,'02b_CSP_Accelerator_Mix'!$C$2:$C$573,E205,'02b_CSP_Accelerator_Mix'!$D$2:$D$573,D205,'02b_CSP_Accelerator_Mix'!$E$2:$E$573,F205)</f>
        <v/>
      </c>
      <c r="J205" s="28">
        <f>H205*I205</f>
        <v/>
      </c>
      <c r="K205" s="8">
        <f>IFERROR(INDEX('02x_Accelerator_Catalog'!$D$2:$D$11,MATCH(F205,'02x_Accelerator_Catalog'!$B$2:$B$11,0)),"")</f>
        <v/>
      </c>
      <c r="L205" s="7">
        <f>IF(K205&gt;0,J205*1000/K205,"")</f>
        <v/>
      </c>
      <c r="M205" s="5" t="inlineStr">
        <is>
          <t>epoch_csp_chip_quantity_latest</t>
        </is>
      </c>
      <c r="N205" s="5" t="inlineStr">
        <is>
          <t>Extensible long-format output: add a new accelerator row in 02b and map it in 02x_Accelerator_Catalog to extend this table.</t>
        </is>
      </c>
    </row>
    <row r="206">
      <c r="A206" s="5">
        <f>B206&amp;"|"&amp;C206&amp;"|"&amp;D206&amp;"|"&amp;E206&amp;"|"&amp;F206</f>
        <v/>
      </c>
      <c r="B206" s="5" t="inlineStr">
        <is>
          <t>Bear</t>
        </is>
      </c>
      <c r="C206" s="5" t="inlineStr">
        <is>
          <t>Meta</t>
        </is>
      </c>
      <c r="D206" s="5" t="n">
        <v>2027</v>
      </c>
      <c r="E206" s="5" t="inlineStr">
        <is>
          <t>Meta</t>
        </is>
      </c>
      <c r="F206" s="5" t="inlineStr">
        <is>
          <t>B200/B300 class</t>
        </is>
      </c>
      <c r="G206" s="5">
        <f>IFERROR(INDEX('02x_Accelerator_Catalog'!$C$2:$C$11,MATCH(F206,'02x_Accelerator_Catalog'!$B$2:$B$11,0)),"purpose_or_unbenchmarked")</f>
        <v/>
      </c>
      <c r="H206" s="28">
        <f>SUMIFS('02c_AI_CSP_Normalized'!$N$2:$N$305,'02c_AI_CSP_Normalized'!$B$2:$B$305,B206,'02c_AI_CSP_Normalized'!$C$2:$C$305,C206,'02c_AI_CSP_Normalized'!$D$2:$D$305,D206,'02c_AI_CSP_Normalized'!$E$2:$E$305,E206)</f>
        <v/>
      </c>
      <c r="I206" s="6">
        <f>SUMIFS('02b_CSP_Accelerator_Mix'!$H$2:$H$573,'02b_CSP_Accelerator_Mix'!$B$2:$B$573,B206,'02b_CSP_Accelerator_Mix'!$C$2:$C$573,E206,'02b_CSP_Accelerator_Mix'!$D$2:$D$573,D206,'02b_CSP_Accelerator_Mix'!$E$2:$E$573,F206)</f>
        <v/>
      </c>
      <c r="J206" s="28">
        <f>H206*I206</f>
        <v/>
      </c>
      <c r="K206" s="8">
        <f>IFERROR(INDEX('02x_Accelerator_Catalog'!$D$2:$D$11,MATCH(F206,'02x_Accelerator_Catalog'!$B$2:$B$11,0)),"")</f>
        <v/>
      </c>
      <c r="L206" s="7">
        <f>IF(K206&gt;0,J206*1000/K206,"")</f>
        <v/>
      </c>
      <c r="M206" s="5" t="inlineStr">
        <is>
          <t>epoch_csp_chip_quantity_latest</t>
        </is>
      </c>
      <c r="N206" s="5" t="inlineStr">
        <is>
          <t>Extensible long-format output: add a new accelerator row in 02b and map it in 02x_Accelerator_Catalog to extend this table.</t>
        </is>
      </c>
    </row>
    <row r="207">
      <c r="A207" s="5">
        <f>B207&amp;"|"&amp;C207&amp;"|"&amp;D207&amp;"|"&amp;E207&amp;"|"&amp;F207</f>
        <v/>
      </c>
      <c r="B207" s="5" t="inlineStr">
        <is>
          <t>Bear</t>
        </is>
      </c>
      <c r="C207" s="5" t="inlineStr">
        <is>
          <t>Meta</t>
        </is>
      </c>
      <c r="D207" s="5" t="n">
        <v>2027</v>
      </c>
      <c r="E207" s="5" t="inlineStr">
        <is>
          <t>Meta</t>
        </is>
      </c>
      <c r="F207" s="5" t="inlineStr">
        <is>
          <t>H100/H200/A100 class</t>
        </is>
      </c>
      <c r="G207" s="5">
        <f>IFERROR(INDEX('02x_Accelerator_Catalog'!$C$2:$C$11,MATCH(F207,'02x_Accelerator_Catalog'!$B$2:$B$11,0)),"purpose_or_unbenchmarked")</f>
        <v/>
      </c>
      <c r="H207" s="28">
        <f>SUMIFS('02c_AI_CSP_Normalized'!$N$2:$N$305,'02c_AI_CSP_Normalized'!$B$2:$B$305,B207,'02c_AI_CSP_Normalized'!$C$2:$C$305,C207,'02c_AI_CSP_Normalized'!$D$2:$D$305,D207,'02c_AI_CSP_Normalized'!$E$2:$E$305,E207)</f>
        <v/>
      </c>
      <c r="I207" s="6">
        <f>SUMIFS('02b_CSP_Accelerator_Mix'!$H$2:$H$573,'02b_CSP_Accelerator_Mix'!$B$2:$B$573,B207,'02b_CSP_Accelerator_Mix'!$C$2:$C$573,E207,'02b_CSP_Accelerator_Mix'!$D$2:$D$573,D207,'02b_CSP_Accelerator_Mix'!$E$2:$E$573,F207)</f>
        <v/>
      </c>
      <c r="J207" s="28">
        <f>H207*I207</f>
        <v/>
      </c>
      <c r="K207" s="8">
        <f>IFERROR(INDEX('02x_Accelerator_Catalog'!$D$2:$D$11,MATCH(F207,'02x_Accelerator_Catalog'!$B$2:$B$11,0)),"")</f>
        <v/>
      </c>
      <c r="L207" s="7">
        <f>IF(K207&gt;0,J207*1000/K207,"")</f>
        <v/>
      </c>
      <c r="M207" s="5" t="inlineStr">
        <is>
          <t>epoch_csp_chip_quantity_latest</t>
        </is>
      </c>
      <c r="N207" s="5" t="inlineStr">
        <is>
          <t>Extensible long-format output: add a new accelerator row in 02b and map it in 02x_Accelerator_Catalog to extend this table.</t>
        </is>
      </c>
    </row>
    <row r="208">
      <c r="A208" s="5">
        <f>B208&amp;"|"&amp;C208&amp;"|"&amp;D208&amp;"|"&amp;E208&amp;"|"&amp;F208</f>
        <v/>
      </c>
      <c r="B208" s="5" t="inlineStr">
        <is>
          <t>Base</t>
        </is>
      </c>
      <c r="C208" s="5" t="inlineStr">
        <is>
          <t>Meta</t>
        </is>
      </c>
      <c r="D208" s="5" t="n">
        <v>2027</v>
      </c>
      <c r="E208" s="5" t="inlineStr">
        <is>
          <t>Meta</t>
        </is>
      </c>
      <c r="F208" s="5" t="inlineStr">
        <is>
          <t>B200/B300 class</t>
        </is>
      </c>
      <c r="G208" s="5">
        <f>IFERROR(INDEX('02x_Accelerator_Catalog'!$C$2:$C$11,MATCH(F208,'02x_Accelerator_Catalog'!$B$2:$B$11,0)),"purpose_or_unbenchmarked")</f>
        <v/>
      </c>
      <c r="H208" s="28">
        <f>SUMIFS('02c_AI_CSP_Normalized'!$N$2:$N$305,'02c_AI_CSP_Normalized'!$B$2:$B$305,B208,'02c_AI_CSP_Normalized'!$C$2:$C$305,C208,'02c_AI_CSP_Normalized'!$D$2:$D$305,D208,'02c_AI_CSP_Normalized'!$E$2:$E$305,E208)</f>
        <v/>
      </c>
      <c r="I208" s="6">
        <f>SUMIFS('02b_CSP_Accelerator_Mix'!$H$2:$H$573,'02b_CSP_Accelerator_Mix'!$B$2:$B$573,B208,'02b_CSP_Accelerator_Mix'!$C$2:$C$573,E208,'02b_CSP_Accelerator_Mix'!$D$2:$D$573,D208,'02b_CSP_Accelerator_Mix'!$E$2:$E$573,F208)</f>
        <v/>
      </c>
      <c r="J208" s="28">
        <f>H208*I208</f>
        <v/>
      </c>
      <c r="K208" s="8">
        <f>IFERROR(INDEX('02x_Accelerator_Catalog'!$D$2:$D$11,MATCH(F208,'02x_Accelerator_Catalog'!$B$2:$B$11,0)),"")</f>
        <v/>
      </c>
      <c r="L208" s="7">
        <f>IF(K208&gt;0,J208*1000/K208,"")</f>
        <v/>
      </c>
      <c r="M208" s="5" t="inlineStr">
        <is>
          <t>epoch_csp_chip_quantity_latest</t>
        </is>
      </c>
      <c r="N208" s="5" t="inlineStr">
        <is>
          <t>Extensible long-format output: add a new accelerator row in 02b and map it in 02x_Accelerator_Catalog to extend this table.</t>
        </is>
      </c>
    </row>
    <row r="209">
      <c r="A209" s="5">
        <f>B209&amp;"|"&amp;C209&amp;"|"&amp;D209&amp;"|"&amp;E209&amp;"|"&amp;F209</f>
        <v/>
      </c>
      <c r="B209" s="5" t="inlineStr">
        <is>
          <t>Base</t>
        </is>
      </c>
      <c r="C209" s="5" t="inlineStr">
        <is>
          <t>Meta</t>
        </is>
      </c>
      <c r="D209" s="5" t="n">
        <v>2027</v>
      </c>
      <c r="E209" s="5" t="inlineStr">
        <is>
          <t>Meta</t>
        </is>
      </c>
      <c r="F209" s="5" t="inlineStr">
        <is>
          <t>H100/H200/A100 class</t>
        </is>
      </c>
      <c r="G209" s="5">
        <f>IFERROR(INDEX('02x_Accelerator_Catalog'!$C$2:$C$11,MATCH(F209,'02x_Accelerator_Catalog'!$B$2:$B$11,0)),"purpose_or_unbenchmarked")</f>
        <v/>
      </c>
      <c r="H209" s="28">
        <f>SUMIFS('02c_AI_CSP_Normalized'!$N$2:$N$305,'02c_AI_CSP_Normalized'!$B$2:$B$305,B209,'02c_AI_CSP_Normalized'!$C$2:$C$305,C209,'02c_AI_CSP_Normalized'!$D$2:$D$305,D209,'02c_AI_CSP_Normalized'!$E$2:$E$305,E209)</f>
        <v/>
      </c>
      <c r="I209" s="6">
        <f>SUMIFS('02b_CSP_Accelerator_Mix'!$H$2:$H$573,'02b_CSP_Accelerator_Mix'!$B$2:$B$573,B209,'02b_CSP_Accelerator_Mix'!$C$2:$C$573,E209,'02b_CSP_Accelerator_Mix'!$D$2:$D$573,D209,'02b_CSP_Accelerator_Mix'!$E$2:$E$573,F209)</f>
        <v/>
      </c>
      <c r="J209" s="28">
        <f>H209*I209</f>
        <v/>
      </c>
      <c r="K209" s="8">
        <f>IFERROR(INDEX('02x_Accelerator_Catalog'!$D$2:$D$11,MATCH(F209,'02x_Accelerator_Catalog'!$B$2:$B$11,0)),"")</f>
        <v/>
      </c>
      <c r="L209" s="7">
        <f>IF(K209&gt;0,J209*1000/K209,"")</f>
        <v/>
      </c>
      <c r="M209" s="5" t="inlineStr">
        <is>
          <t>epoch_csp_chip_quantity_latest</t>
        </is>
      </c>
      <c r="N209" s="5" t="inlineStr">
        <is>
          <t>Extensible long-format output: add a new accelerator row in 02b and map it in 02x_Accelerator_Catalog to extend this table.</t>
        </is>
      </c>
    </row>
    <row r="210">
      <c r="A210" s="5">
        <f>B210&amp;"|"&amp;C210&amp;"|"&amp;D210&amp;"|"&amp;E210&amp;"|"&amp;F210</f>
        <v/>
      </c>
      <c r="B210" s="5" t="inlineStr">
        <is>
          <t>Bull</t>
        </is>
      </c>
      <c r="C210" s="5" t="inlineStr">
        <is>
          <t>Meta</t>
        </is>
      </c>
      <c r="D210" s="5" t="n">
        <v>2027</v>
      </c>
      <c r="E210" s="5" t="inlineStr">
        <is>
          <t>Meta</t>
        </is>
      </c>
      <c r="F210" s="5" t="inlineStr">
        <is>
          <t>B200/B300 class</t>
        </is>
      </c>
      <c r="G210" s="5">
        <f>IFERROR(INDEX('02x_Accelerator_Catalog'!$C$2:$C$11,MATCH(F210,'02x_Accelerator_Catalog'!$B$2:$B$11,0)),"purpose_or_unbenchmarked")</f>
        <v/>
      </c>
      <c r="H210" s="28">
        <f>SUMIFS('02c_AI_CSP_Normalized'!$N$2:$N$305,'02c_AI_CSP_Normalized'!$B$2:$B$305,B210,'02c_AI_CSP_Normalized'!$C$2:$C$305,C210,'02c_AI_CSP_Normalized'!$D$2:$D$305,D210,'02c_AI_CSP_Normalized'!$E$2:$E$305,E210)</f>
        <v/>
      </c>
      <c r="I210" s="6">
        <f>SUMIFS('02b_CSP_Accelerator_Mix'!$H$2:$H$573,'02b_CSP_Accelerator_Mix'!$B$2:$B$573,B210,'02b_CSP_Accelerator_Mix'!$C$2:$C$573,E210,'02b_CSP_Accelerator_Mix'!$D$2:$D$573,D210,'02b_CSP_Accelerator_Mix'!$E$2:$E$573,F210)</f>
        <v/>
      </c>
      <c r="J210" s="28">
        <f>H210*I210</f>
        <v/>
      </c>
      <c r="K210" s="8">
        <f>IFERROR(INDEX('02x_Accelerator_Catalog'!$D$2:$D$11,MATCH(F210,'02x_Accelerator_Catalog'!$B$2:$B$11,0)),"")</f>
        <v/>
      </c>
      <c r="L210" s="7">
        <f>IF(K210&gt;0,J210*1000/K210,"")</f>
        <v/>
      </c>
      <c r="M210" s="5" t="inlineStr">
        <is>
          <t>epoch_csp_chip_quantity_latest</t>
        </is>
      </c>
      <c r="N210" s="5" t="inlineStr">
        <is>
          <t>Extensible long-format output: add a new accelerator row in 02b and map it in 02x_Accelerator_Catalog to extend this table.</t>
        </is>
      </c>
    </row>
    <row r="211">
      <c r="A211" s="5">
        <f>B211&amp;"|"&amp;C211&amp;"|"&amp;D211&amp;"|"&amp;E211&amp;"|"&amp;F211</f>
        <v/>
      </c>
      <c r="B211" s="5" t="inlineStr">
        <is>
          <t>Bull</t>
        </is>
      </c>
      <c r="C211" s="5" t="inlineStr">
        <is>
          <t>Meta</t>
        </is>
      </c>
      <c r="D211" s="5" t="n">
        <v>2027</v>
      </c>
      <c r="E211" s="5" t="inlineStr">
        <is>
          <t>Meta</t>
        </is>
      </c>
      <c r="F211" s="5" t="inlineStr">
        <is>
          <t>H100/H200/A100 class</t>
        </is>
      </c>
      <c r="G211" s="5">
        <f>IFERROR(INDEX('02x_Accelerator_Catalog'!$C$2:$C$11,MATCH(F211,'02x_Accelerator_Catalog'!$B$2:$B$11,0)),"purpose_or_unbenchmarked")</f>
        <v/>
      </c>
      <c r="H211" s="28">
        <f>SUMIFS('02c_AI_CSP_Normalized'!$N$2:$N$305,'02c_AI_CSP_Normalized'!$B$2:$B$305,B211,'02c_AI_CSP_Normalized'!$C$2:$C$305,C211,'02c_AI_CSP_Normalized'!$D$2:$D$305,D211,'02c_AI_CSP_Normalized'!$E$2:$E$305,E211)</f>
        <v/>
      </c>
      <c r="I211" s="6">
        <f>SUMIFS('02b_CSP_Accelerator_Mix'!$H$2:$H$573,'02b_CSP_Accelerator_Mix'!$B$2:$B$573,B211,'02b_CSP_Accelerator_Mix'!$C$2:$C$573,E211,'02b_CSP_Accelerator_Mix'!$D$2:$D$573,D211,'02b_CSP_Accelerator_Mix'!$E$2:$E$573,F211)</f>
        <v/>
      </c>
      <c r="J211" s="28">
        <f>H211*I211</f>
        <v/>
      </c>
      <c r="K211" s="8">
        <f>IFERROR(INDEX('02x_Accelerator_Catalog'!$D$2:$D$11,MATCH(F211,'02x_Accelerator_Catalog'!$B$2:$B$11,0)),"")</f>
        <v/>
      </c>
      <c r="L211" s="7">
        <f>IF(K211&gt;0,J211*1000/K211,"")</f>
        <v/>
      </c>
      <c r="M211" s="5" t="inlineStr">
        <is>
          <t>epoch_csp_chip_quantity_latest</t>
        </is>
      </c>
      <c r="N211" s="5" t="inlineStr">
        <is>
          <t>Extensible long-format output: add a new accelerator row in 02b and map it in 02x_Accelerator_Catalog to extend this table.</t>
        </is>
      </c>
    </row>
    <row r="212">
      <c r="A212" s="5">
        <f>B212&amp;"|"&amp;C212&amp;"|"&amp;D212&amp;"|"&amp;E212&amp;"|"&amp;F212</f>
        <v/>
      </c>
      <c r="B212" s="5" t="inlineStr">
        <is>
          <t>Grid-Constrained / Efficiency-Upside</t>
        </is>
      </c>
      <c r="C212" s="5" t="inlineStr">
        <is>
          <t>Meta</t>
        </is>
      </c>
      <c r="D212" s="5" t="n">
        <v>2027</v>
      </c>
      <c r="E212" s="5" t="inlineStr">
        <is>
          <t>Meta</t>
        </is>
      </c>
      <c r="F212" s="5" t="inlineStr">
        <is>
          <t>B200/B300 class</t>
        </is>
      </c>
      <c r="G212" s="5">
        <f>IFERROR(INDEX('02x_Accelerator_Catalog'!$C$2:$C$11,MATCH(F212,'02x_Accelerator_Catalog'!$B$2:$B$11,0)),"purpose_or_unbenchmarked")</f>
        <v/>
      </c>
      <c r="H212" s="28">
        <f>SUMIFS('02c_AI_CSP_Normalized'!$N$2:$N$305,'02c_AI_CSP_Normalized'!$B$2:$B$305,B212,'02c_AI_CSP_Normalized'!$C$2:$C$305,C212,'02c_AI_CSP_Normalized'!$D$2:$D$305,D212,'02c_AI_CSP_Normalized'!$E$2:$E$305,E212)</f>
        <v/>
      </c>
      <c r="I212" s="6">
        <f>SUMIFS('02b_CSP_Accelerator_Mix'!$H$2:$H$573,'02b_CSP_Accelerator_Mix'!$B$2:$B$573,B212,'02b_CSP_Accelerator_Mix'!$C$2:$C$573,E212,'02b_CSP_Accelerator_Mix'!$D$2:$D$573,D212,'02b_CSP_Accelerator_Mix'!$E$2:$E$573,F212)</f>
        <v/>
      </c>
      <c r="J212" s="28">
        <f>H212*I212</f>
        <v/>
      </c>
      <c r="K212" s="8">
        <f>IFERROR(INDEX('02x_Accelerator_Catalog'!$D$2:$D$11,MATCH(F212,'02x_Accelerator_Catalog'!$B$2:$B$11,0)),"")</f>
        <v/>
      </c>
      <c r="L212" s="7">
        <f>IF(K212&gt;0,J212*1000/K212,"")</f>
        <v/>
      </c>
      <c r="M212" s="5" t="inlineStr">
        <is>
          <t>epoch_csp_chip_quantity_latest</t>
        </is>
      </c>
      <c r="N212" s="5" t="inlineStr">
        <is>
          <t>Extensible long-format output: add a new accelerator row in 02b and map it in 02x_Accelerator_Catalog to extend this table.</t>
        </is>
      </c>
    </row>
    <row r="213">
      <c r="A213" s="5">
        <f>B213&amp;"|"&amp;C213&amp;"|"&amp;D213&amp;"|"&amp;E213&amp;"|"&amp;F213</f>
        <v/>
      </c>
      <c r="B213" s="5" t="inlineStr">
        <is>
          <t>Grid-Constrained / Efficiency-Upside</t>
        </is>
      </c>
      <c r="C213" s="5" t="inlineStr">
        <is>
          <t>Meta</t>
        </is>
      </c>
      <c r="D213" s="5" t="n">
        <v>2027</v>
      </c>
      <c r="E213" s="5" t="inlineStr">
        <is>
          <t>Meta</t>
        </is>
      </c>
      <c r="F213" s="5" t="inlineStr">
        <is>
          <t>H100/H200/A100 class</t>
        </is>
      </c>
      <c r="G213" s="5">
        <f>IFERROR(INDEX('02x_Accelerator_Catalog'!$C$2:$C$11,MATCH(F213,'02x_Accelerator_Catalog'!$B$2:$B$11,0)),"purpose_or_unbenchmarked")</f>
        <v/>
      </c>
      <c r="H213" s="28">
        <f>SUMIFS('02c_AI_CSP_Normalized'!$N$2:$N$305,'02c_AI_CSP_Normalized'!$B$2:$B$305,B213,'02c_AI_CSP_Normalized'!$C$2:$C$305,C213,'02c_AI_CSP_Normalized'!$D$2:$D$305,D213,'02c_AI_CSP_Normalized'!$E$2:$E$305,E213)</f>
        <v/>
      </c>
      <c r="I213" s="6">
        <f>SUMIFS('02b_CSP_Accelerator_Mix'!$H$2:$H$573,'02b_CSP_Accelerator_Mix'!$B$2:$B$573,B213,'02b_CSP_Accelerator_Mix'!$C$2:$C$573,E213,'02b_CSP_Accelerator_Mix'!$D$2:$D$573,D213,'02b_CSP_Accelerator_Mix'!$E$2:$E$573,F213)</f>
        <v/>
      </c>
      <c r="J213" s="28">
        <f>H213*I213</f>
        <v/>
      </c>
      <c r="K213" s="8">
        <f>IFERROR(INDEX('02x_Accelerator_Catalog'!$D$2:$D$11,MATCH(F213,'02x_Accelerator_Catalog'!$B$2:$B$11,0)),"")</f>
        <v/>
      </c>
      <c r="L213" s="7">
        <f>IF(K213&gt;0,J213*1000/K213,"")</f>
        <v/>
      </c>
      <c r="M213" s="5" t="inlineStr">
        <is>
          <t>epoch_csp_chip_quantity_latest</t>
        </is>
      </c>
      <c r="N213" s="5" t="inlineStr">
        <is>
          <t>Extensible long-format output: add a new accelerator row in 02b and map it in 02x_Accelerator_Catalog to extend this table.</t>
        </is>
      </c>
    </row>
    <row r="214">
      <c r="A214" s="5">
        <f>B214&amp;"|"&amp;C214&amp;"|"&amp;D214&amp;"|"&amp;E214&amp;"|"&amp;F214</f>
        <v/>
      </c>
      <c r="B214" s="5" t="inlineStr">
        <is>
          <t>Bear</t>
        </is>
      </c>
      <c r="C214" s="5" t="inlineStr">
        <is>
          <t>Meta</t>
        </is>
      </c>
      <c r="D214" s="5" t="n">
        <v>2028</v>
      </c>
      <c r="E214" s="5" t="inlineStr">
        <is>
          <t>Meta</t>
        </is>
      </c>
      <c r="F214" s="5" t="inlineStr">
        <is>
          <t>B200/B300 class</t>
        </is>
      </c>
      <c r="G214" s="5">
        <f>IFERROR(INDEX('02x_Accelerator_Catalog'!$C$2:$C$11,MATCH(F214,'02x_Accelerator_Catalog'!$B$2:$B$11,0)),"purpose_or_unbenchmarked")</f>
        <v/>
      </c>
      <c r="H214" s="28">
        <f>SUMIFS('02c_AI_CSP_Normalized'!$N$2:$N$305,'02c_AI_CSP_Normalized'!$B$2:$B$305,B214,'02c_AI_CSP_Normalized'!$C$2:$C$305,C214,'02c_AI_CSP_Normalized'!$D$2:$D$305,D214,'02c_AI_CSP_Normalized'!$E$2:$E$305,E214)</f>
        <v/>
      </c>
      <c r="I214" s="6">
        <f>SUMIFS('02b_CSP_Accelerator_Mix'!$H$2:$H$573,'02b_CSP_Accelerator_Mix'!$B$2:$B$573,B214,'02b_CSP_Accelerator_Mix'!$C$2:$C$573,E214,'02b_CSP_Accelerator_Mix'!$D$2:$D$573,D214,'02b_CSP_Accelerator_Mix'!$E$2:$E$573,F214)</f>
        <v/>
      </c>
      <c r="J214" s="28">
        <f>H214*I214</f>
        <v/>
      </c>
      <c r="K214" s="8">
        <f>IFERROR(INDEX('02x_Accelerator_Catalog'!$D$2:$D$11,MATCH(F214,'02x_Accelerator_Catalog'!$B$2:$B$11,0)),"")</f>
        <v/>
      </c>
      <c r="L214" s="7">
        <f>IF(K214&gt;0,J214*1000/K214,"")</f>
        <v/>
      </c>
      <c r="M214" s="5" t="inlineStr">
        <is>
          <t>epoch_csp_chip_quantity_latest</t>
        </is>
      </c>
      <c r="N214" s="5" t="inlineStr">
        <is>
          <t>Extensible long-format output: add a new accelerator row in 02b and map it in 02x_Accelerator_Catalog to extend this table.</t>
        </is>
      </c>
    </row>
    <row r="215">
      <c r="A215" s="5">
        <f>B215&amp;"|"&amp;C215&amp;"|"&amp;D215&amp;"|"&amp;E215&amp;"|"&amp;F215</f>
        <v/>
      </c>
      <c r="B215" s="5" t="inlineStr">
        <is>
          <t>Bear</t>
        </is>
      </c>
      <c r="C215" s="5" t="inlineStr">
        <is>
          <t>Meta</t>
        </is>
      </c>
      <c r="D215" s="5" t="n">
        <v>2028</v>
      </c>
      <c r="E215" s="5" t="inlineStr">
        <is>
          <t>Meta</t>
        </is>
      </c>
      <c r="F215" s="5" t="inlineStr">
        <is>
          <t>H100/H200/A100 class</t>
        </is>
      </c>
      <c r="G215" s="5">
        <f>IFERROR(INDEX('02x_Accelerator_Catalog'!$C$2:$C$11,MATCH(F215,'02x_Accelerator_Catalog'!$B$2:$B$11,0)),"purpose_or_unbenchmarked")</f>
        <v/>
      </c>
      <c r="H215" s="28">
        <f>SUMIFS('02c_AI_CSP_Normalized'!$N$2:$N$305,'02c_AI_CSP_Normalized'!$B$2:$B$305,B215,'02c_AI_CSP_Normalized'!$C$2:$C$305,C215,'02c_AI_CSP_Normalized'!$D$2:$D$305,D215,'02c_AI_CSP_Normalized'!$E$2:$E$305,E215)</f>
        <v/>
      </c>
      <c r="I215" s="6">
        <f>SUMIFS('02b_CSP_Accelerator_Mix'!$H$2:$H$573,'02b_CSP_Accelerator_Mix'!$B$2:$B$573,B215,'02b_CSP_Accelerator_Mix'!$C$2:$C$573,E215,'02b_CSP_Accelerator_Mix'!$D$2:$D$573,D215,'02b_CSP_Accelerator_Mix'!$E$2:$E$573,F215)</f>
        <v/>
      </c>
      <c r="J215" s="28">
        <f>H215*I215</f>
        <v/>
      </c>
      <c r="K215" s="8">
        <f>IFERROR(INDEX('02x_Accelerator_Catalog'!$D$2:$D$11,MATCH(F215,'02x_Accelerator_Catalog'!$B$2:$B$11,0)),"")</f>
        <v/>
      </c>
      <c r="L215" s="7">
        <f>IF(K215&gt;0,J215*1000/K215,"")</f>
        <v/>
      </c>
      <c r="M215" s="5" t="inlineStr">
        <is>
          <t>epoch_csp_chip_quantity_latest</t>
        </is>
      </c>
      <c r="N215" s="5" t="inlineStr">
        <is>
          <t>Extensible long-format output: add a new accelerator row in 02b and map it in 02x_Accelerator_Catalog to extend this table.</t>
        </is>
      </c>
    </row>
    <row r="216">
      <c r="A216" s="5">
        <f>B216&amp;"|"&amp;C216&amp;"|"&amp;D216&amp;"|"&amp;E216&amp;"|"&amp;F216</f>
        <v/>
      </c>
      <c r="B216" s="5" t="inlineStr">
        <is>
          <t>Bear</t>
        </is>
      </c>
      <c r="C216" s="5" t="inlineStr">
        <is>
          <t>Meta</t>
        </is>
      </c>
      <c r="D216" s="5" t="n">
        <v>2028</v>
      </c>
      <c r="E216" s="5" t="inlineStr">
        <is>
          <t>Meta</t>
        </is>
      </c>
      <c r="F216" s="5" t="inlineStr">
        <is>
          <t>R200/R300 future</t>
        </is>
      </c>
      <c r="G216" s="5">
        <f>IFERROR(INDEX('02x_Accelerator_Catalog'!$C$2:$C$11,MATCH(F216,'02x_Accelerator_Catalog'!$B$2:$B$11,0)),"purpose_or_unbenchmarked")</f>
        <v/>
      </c>
      <c r="H216" s="28">
        <f>SUMIFS('02c_AI_CSP_Normalized'!$N$2:$N$305,'02c_AI_CSP_Normalized'!$B$2:$B$305,B216,'02c_AI_CSP_Normalized'!$C$2:$C$305,C216,'02c_AI_CSP_Normalized'!$D$2:$D$305,D216,'02c_AI_CSP_Normalized'!$E$2:$E$305,E216)</f>
        <v/>
      </c>
      <c r="I216" s="6">
        <f>SUMIFS('02b_CSP_Accelerator_Mix'!$H$2:$H$573,'02b_CSP_Accelerator_Mix'!$B$2:$B$573,B216,'02b_CSP_Accelerator_Mix'!$C$2:$C$573,E216,'02b_CSP_Accelerator_Mix'!$D$2:$D$573,D216,'02b_CSP_Accelerator_Mix'!$E$2:$E$573,F216)</f>
        <v/>
      </c>
      <c r="J216" s="28">
        <f>H216*I216</f>
        <v/>
      </c>
      <c r="K216" s="8">
        <f>IFERROR(INDEX('02x_Accelerator_Catalog'!$D$2:$D$11,MATCH(F216,'02x_Accelerator_Catalog'!$B$2:$B$11,0)),"")</f>
        <v/>
      </c>
      <c r="L216" s="7">
        <f>IF(K216&gt;0,J216*1000/K216,"")</f>
        <v/>
      </c>
      <c r="M216" s="5" t="inlineStr">
        <is>
          <t>epoch_csp_chip_quantity_latest</t>
        </is>
      </c>
      <c r="N216" s="5" t="inlineStr">
        <is>
          <t>Extensible long-format output: add a new accelerator row in 02b and map it in 02x_Accelerator_Catalog to extend this table.</t>
        </is>
      </c>
    </row>
    <row r="217">
      <c r="A217" s="5">
        <f>B217&amp;"|"&amp;C217&amp;"|"&amp;D217&amp;"|"&amp;E217&amp;"|"&amp;F217</f>
        <v/>
      </c>
      <c r="B217" s="5" t="inlineStr">
        <is>
          <t>Base</t>
        </is>
      </c>
      <c r="C217" s="5" t="inlineStr">
        <is>
          <t>Meta</t>
        </is>
      </c>
      <c r="D217" s="5" t="n">
        <v>2028</v>
      </c>
      <c r="E217" s="5" t="inlineStr">
        <is>
          <t>Meta</t>
        </is>
      </c>
      <c r="F217" s="5" t="inlineStr">
        <is>
          <t>B200/B300 class</t>
        </is>
      </c>
      <c r="G217" s="5">
        <f>IFERROR(INDEX('02x_Accelerator_Catalog'!$C$2:$C$11,MATCH(F217,'02x_Accelerator_Catalog'!$B$2:$B$11,0)),"purpose_or_unbenchmarked")</f>
        <v/>
      </c>
      <c r="H217" s="28">
        <f>SUMIFS('02c_AI_CSP_Normalized'!$N$2:$N$305,'02c_AI_CSP_Normalized'!$B$2:$B$305,B217,'02c_AI_CSP_Normalized'!$C$2:$C$305,C217,'02c_AI_CSP_Normalized'!$D$2:$D$305,D217,'02c_AI_CSP_Normalized'!$E$2:$E$305,E217)</f>
        <v/>
      </c>
      <c r="I217" s="6">
        <f>SUMIFS('02b_CSP_Accelerator_Mix'!$H$2:$H$573,'02b_CSP_Accelerator_Mix'!$B$2:$B$573,B217,'02b_CSP_Accelerator_Mix'!$C$2:$C$573,E217,'02b_CSP_Accelerator_Mix'!$D$2:$D$573,D217,'02b_CSP_Accelerator_Mix'!$E$2:$E$573,F217)</f>
        <v/>
      </c>
      <c r="J217" s="28">
        <f>H217*I217</f>
        <v/>
      </c>
      <c r="K217" s="8">
        <f>IFERROR(INDEX('02x_Accelerator_Catalog'!$D$2:$D$11,MATCH(F217,'02x_Accelerator_Catalog'!$B$2:$B$11,0)),"")</f>
        <v/>
      </c>
      <c r="L217" s="7">
        <f>IF(K217&gt;0,J217*1000/K217,"")</f>
        <v/>
      </c>
      <c r="M217" s="5" t="inlineStr">
        <is>
          <t>epoch_csp_chip_quantity_latest</t>
        </is>
      </c>
      <c r="N217" s="5" t="inlineStr">
        <is>
          <t>Extensible long-format output: add a new accelerator row in 02b and map it in 02x_Accelerator_Catalog to extend this table.</t>
        </is>
      </c>
    </row>
    <row r="218">
      <c r="A218" s="5">
        <f>B218&amp;"|"&amp;C218&amp;"|"&amp;D218&amp;"|"&amp;E218&amp;"|"&amp;F218</f>
        <v/>
      </c>
      <c r="B218" s="5" t="inlineStr">
        <is>
          <t>Base</t>
        </is>
      </c>
      <c r="C218" s="5" t="inlineStr">
        <is>
          <t>Meta</t>
        </is>
      </c>
      <c r="D218" s="5" t="n">
        <v>2028</v>
      </c>
      <c r="E218" s="5" t="inlineStr">
        <is>
          <t>Meta</t>
        </is>
      </c>
      <c r="F218" s="5" t="inlineStr">
        <is>
          <t>H100/H200/A100 class</t>
        </is>
      </c>
      <c r="G218" s="5">
        <f>IFERROR(INDEX('02x_Accelerator_Catalog'!$C$2:$C$11,MATCH(F218,'02x_Accelerator_Catalog'!$B$2:$B$11,0)),"purpose_or_unbenchmarked")</f>
        <v/>
      </c>
      <c r="H218" s="28">
        <f>SUMIFS('02c_AI_CSP_Normalized'!$N$2:$N$305,'02c_AI_CSP_Normalized'!$B$2:$B$305,B218,'02c_AI_CSP_Normalized'!$C$2:$C$305,C218,'02c_AI_CSP_Normalized'!$D$2:$D$305,D218,'02c_AI_CSP_Normalized'!$E$2:$E$305,E218)</f>
        <v/>
      </c>
      <c r="I218" s="6">
        <f>SUMIFS('02b_CSP_Accelerator_Mix'!$H$2:$H$573,'02b_CSP_Accelerator_Mix'!$B$2:$B$573,B218,'02b_CSP_Accelerator_Mix'!$C$2:$C$573,E218,'02b_CSP_Accelerator_Mix'!$D$2:$D$573,D218,'02b_CSP_Accelerator_Mix'!$E$2:$E$573,F218)</f>
        <v/>
      </c>
      <c r="J218" s="28">
        <f>H218*I218</f>
        <v/>
      </c>
      <c r="K218" s="8">
        <f>IFERROR(INDEX('02x_Accelerator_Catalog'!$D$2:$D$11,MATCH(F218,'02x_Accelerator_Catalog'!$B$2:$B$11,0)),"")</f>
        <v/>
      </c>
      <c r="L218" s="7">
        <f>IF(K218&gt;0,J218*1000/K218,"")</f>
        <v/>
      </c>
      <c r="M218" s="5" t="inlineStr">
        <is>
          <t>epoch_csp_chip_quantity_latest</t>
        </is>
      </c>
      <c r="N218" s="5" t="inlineStr">
        <is>
          <t>Extensible long-format output: add a new accelerator row in 02b and map it in 02x_Accelerator_Catalog to extend this table.</t>
        </is>
      </c>
    </row>
    <row r="219">
      <c r="A219" s="5">
        <f>B219&amp;"|"&amp;C219&amp;"|"&amp;D219&amp;"|"&amp;E219&amp;"|"&amp;F219</f>
        <v/>
      </c>
      <c r="B219" s="5" t="inlineStr">
        <is>
          <t>Base</t>
        </is>
      </c>
      <c r="C219" s="5" t="inlineStr">
        <is>
          <t>Meta</t>
        </is>
      </c>
      <c r="D219" s="5" t="n">
        <v>2028</v>
      </c>
      <c r="E219" s="5" t="inlineStr">
        <is>
          <t>Meta</t>
        </is>
      </c>
      <c r="F219" s="5" t="inlineStr">
        <is>
          <t>R200/R300 future</t>
        </is>
      </c>
      <c r="G219" s="5">
        <f>IFERROR(INDEX('02x_Accelerator_Catalog'!$C$2:$C$11,MATCH(F219,'02x_Accelerator_Catalog'!$B$2:$B$11,0)),"purpose_or_unbenchmarked")</f>
        <v/>
      </c>
      <c r="H219" s="28">
        <f>SUMIFS('02c_AI_CSP_Normalized'!$N$2:$N$305,'02c_AI_CSP_Normalized'!$B$2:$B$305,B219,'02c_AI_CSP_Normalized'!$C$2:$C$305,C219,'02c_AI_CSP_Normalized'!$D$2:$D$305,D219,'02c_AI_CSP_Normalized'!$E$2:$E$305,E219)</f>
        <v/>
      </c>
      <c r="I219" s="6">
        <f>SUMIFS('02b_CSP_Accelerator_Mix'!$H$2:$H$573,'02b_CSP_Accelerator_Mix'!$B$2:$B$573,B219,'02b_CSP_Accelerator_Mix'!$C$2:$C$573,E219,'02b_CSP_Accelerator_Mix'!$D$2:$D$573,D219,'02b_CSP_Accelerator_Mix'!$E$2:$E$573,F219)</f>
        <v/>
      </c>
      <c r="J219" s="28">
        <f>H219*I219</f>
        <v/>
      </c>
      <c r="K219" s="8">
        <f>IFERROR(INDEX('02x_Accelerator_Catalog'!$D$2:$D$11,MATCH(F219,'02x_Accelerator_Catalog'!$B$2:$B$11,0)),"")</f>
        <v/>
      </c>
      <c r="L219" s="7">
        <f>IF(K219&gt;0,J219*1000/K219,"")</f>
        <v/>
      </c>
      <c r="M219" s="5" t="inlineStr">
        <is>
          <t>epoch_csp_chip_quantity_latest</t>
        </is>
      </c>
      <c r="N219" s="5" t="inlineStr">
        <is>
          <t>Extensible long-format output: add a new accelerator row in 02b and map it in 02x_Accelerator_Catalog to extend this table.</t>
        </is>
      </c>
    </row>
    <row r="220">
      <c r="A220" s="5">
        <f>B220&amp;"|"&amp;C220&amp;"|"&amp;D220&amp;"|"&amp;E220&amp;"|"&amp;F220</f>
        <v/>
      </c>
      <c r="B220" s="5" t="inlineStr">
        <is>
          <t>Bull</t>
        </is>
      </c>
      <c r="C220" s="5" t="inlineStr">
        <is>
          <t>Meta</t>
        </is>
      </c>
      <c r="D220" s="5" t="n">
        <v>2028</v>
      </c>
      <c r="E220" s="5" t="inlineStr">
        <is>
          <t>Meta</t>
        </is>
      </c>
      <c r="F220" s="5" t="inlineStr">
        <is>
          <t>B200/B300 class</t>
        </is>
      </c>
      <c r="G220" s="5">
        <f>IFERROR(INDEX('02x_Accelerator_Catalog'!$C$2:$C$11,MATCH(F220,'02x_Accelerator_Catalog'!$B$2:$B$11,0)),"purpose_or_unbenchmarked")</f>
        <v/>
      </c>
      <c r="H220" s="28">
        <f>SUMIFS('02c_AI_CSP_Normalized'!$N$2:$N$305,'02c_AI_CSP_Normalized'!$B$2:$B$305,B220,'02c_AI_CSP_Normalized'!$C$2:$C$305,C220,'02c_AI_CSP_Normalized'!$D$2:$D$305,D220,'02c_AI_CSP_Normalized'!$E$2:$E$305,E220)</f>
        <v/>
      </c>
      <c r="I220" s="6">
        <f>SUMIFS('02b_CSP_Accelerator_Mix'!$H$2:$H$573,'02b_CSP_Accelerator_Mix'!$B$2:$B$573,B220,'02b_CSP_Accelerator_Mix'!$C$2:$C$573,E220,'02b_CSP_Accelerator_Mix'!$D$2:$D$573,D220,'02b_CSP_Accelerator_Mix'!$E$2:$E$573,F220)</f>
        <v/>
      </c>
      <c r="J220" s="28">
        <f>H220*I220</f>
        <v/>
      </c>
      <c r="K220" s="8">
        <f>IFERROR(INDEX('02x_Accelerator_Catalog'!$D$2:$D$11,MATCH(F220,'02x_Accelerator_Catalog'!$B$2:$B$11,0)),"")</f>
        <v/>
      </c>
      <c r="L220" s="7">
        <f>IF(K220&gt;0,J220*1000/K220,"")</f>
        <v/>
      </c>
      <c r="M220" s="5" t="inlineStr">
        <is>
          <t>epoch_csp_chip_quantity_latest</t>
        </is>
      </c>
      <c r="N220" s="5" t="inlineStr">
        <is>
          <t>Extensible long-format output: add a new accelerator row in 02b and map it in 02x_Accelerator_Catalog to extend this table.</t>
        </is>
      </c>
    </row>
    <row r="221">
      <c r="A221" s="5">
        <f>B221&amp;"|"&amp;C221&amp;"|"&amp;D221&amp;"|"&amp;E221&amp;"|"&amp;F221</f>
        <v/>
      </c>
      <c r="B221" s="5" t="inlineStr">
        <is>
          <t>Bull</t>
        </is>
      </c>
      <c r="C221" s="5" t="inlineStr">
        <is>
          <t>Meta</t>
        </is>
      </c>
      <c r="D221" s="5" t="n">
        <v>2028</v>
      </c>
      <c r="E221" s="5" t="inlineStr">
        <is>
          <t>Meta</t>
        </is>
      </c>
      <c r="F221" s="5" t="inlineStr">
        <is>
          <t>H100/H200/A100 class</t>
        </is>
      </c>
      <c r="G221" s="5">
        <f>IFERROR(INDEX('02x_Accelerator_Catalog'!$C$2:$C$11,MATCH(F221,'02x_Accelerator_Catalog'!$B$2:$B$11,0)),"purpose_or_unbenchmarked")</f>
        <v/>
      </c>
      <c r="H221" s="28">
        <f>SUMIFS('02c_AI_CSP_Normalized'!$N$2:$N$305,'02c_AI_CSP_Normalized'!$B$2:$B$305,B221,'02c_AI_CSP_Normalized'!$C$2:$C$305,C221,'02c_AI_CSP_Normalized'!$D$2:$D$305,D221,'02c_AI_CSP_Normalized'!$E$2:$E$305,E221)</f>
        <v/>
      </c>
      <c r="I221" s="6">
        <f>SUMIFS('02b_CSP_Accelerator_Mix'!$H$2:$H$573,'02b_CSP_Accelerator_Mix'!$B$2:$B$573,B221,'02b_CSP_Accelerator_Mix'!$C$2:$C$573,E221,'02b_CSP_Accelerator_Mix'!$D$2:$D$573,D221,'02b_CSP_Accelerator_Mix'!$E$2:$E$573,F221)</f>
        <v/>
      </c>
      <c r="J221" s="28">
        <f>H221*I221</f>
        <v/>
      </c>
      <c r="K221" s="8">
        <f>IFERROR(INDEX('02x_Accelerator_Catalog'!$D$2:$D$11,MATCH(F221,'02x_Accelerator_Catalog'!$B$2:$B$11,0)),"")</f>
        <v/>
      </c>
      <c r="L221" s="7">
        <f>IF(K221&gt;0,J221*1000/K221,"")</f>
        <v/>
      </c>
      <c r="M221" s="5" t="inlineStr">
        <is>
          <t>epoch_csp_chip_quantity_latest</t>
        </is>
      </c>
      <c r="N221" s="5" t="inlineStr">
        <is>
          <t>Extensible long-format output: add a new accelerator row in 02b and map it in 02x_Accelerator_Catalog to extend this table.</t>
        </is>
      </c>
    </row>
    <row r="222">
      <c r="A222" s="5">
        <f>B222&amp;"|"&amp;C222&amp;"|"&amp;D222&amp;"|"&amp;E222&amp;"|"&amp;F222</f>
        <v/>
      </c>
      <c r="B222" s="5" t="inlineStr">
        <is>
          <t>Bull</t>
        </is>
      </c>
      <c r="C222" s="5" t="inlineStr">
        <is>
          <t>Meta</t>
        </is>
      </c>
      <c r="D222" s="5" t="n">
        <v>2028</v>
      </c>
      <c r="E222" s="5" t="inlineStr">
        <is>
          <t>Meta</t>
        </is>
      </c>
      <c r="F222" s="5" t="inlineStr">
        <is>
          <t>R200/R300 future</t>
        </is>
      </c>
      <c r="G222" s="5">
        <f>IFERROR(INDEX('02x_Accelerator_Catalog'!$C$2:$C$11,MATCH(F222,'02x_Accelerator_Catalog'!$B$2:$B$11,0)),"purpose_or_unbenchmarked")</f>
        <v/>
      </c>
      <c r="H222" s="28">
        <f>SUMIFS('02c_AI_CSP_Normalized'!$N$2:$N$305,'02c_AI_CSP_Normalized'!$B$2:$B$305,B222,'02c_AI_CSP_Normalized'!$C$2:$C$305,C222,'02c_AI_CSP_Normalized'!$D$2:$D$305,D222,'02c_AI_CSP_Normalized'!$E$2:$E$305,E222)</f>
        <v/>
      </c>
      <c r="I222" s="6">
        <f>SUMIFS('02b_CSP_Accelerator_Mix'!$H$2:$H$573,'02b_CSP_Accelerator_Mix'!$B$2:$B$573,B222,'02b_CSP_Accelerator_Mix'!$C$2:$C$573,E222,'02b_CSP_Accelerator_Mix'!$D$2:$D$573,D222,'02b_CSP_Accelerator_Mix'!$E$2:$E$573,F222)</f>
        <v/>
      </c>
      <c r="J222" s="28">
        <f>H222*I222</f>
        <v/>
      </c>
      <c r="K222" s="8">
        <f>IFERROR(INDEX('02x_Accelerator_Catalog'!$D$2:$D$11,MATCH(F222,'02x_Accelerator_Catalog'!$B$2:$B$11,0)),"")</f>
        <v/>
      </c>
      <c r="L222" s="7">
        <f>IF(K222&gt;0,J222*1000/K222,"")</f>
        <v/>
      </c>
      <c r="M222" s="5" t="inlineStr">
        <is>
          <t>epoch_csp_chip_quantity_latest</t>
        </is>
      </c>
      <c r="N222" s="5" t="inlineStr">
        <is>
          <t>Extensible long-format output: add a new accelerator row in 02b and map it in 02x_Accelerator_Catalog to extend this table.</t>
        </is>
      </c>
    </row>
    <row r="223">
      <c r="A223" s="5">
        <f>B223&amp;"|"&amp;C223&amp;"|"&amp;D223&amp;"|"&amp;E223&amp;"|"&amp;F223</f>
        <v/>
      </c>
      <c r="B223" s="5" t="inlineStr">
        <is>
          <t>Grid-Constrained / Efficiency-Upside</t>
        </is>
      </c>
      <c r="C223" s="5" t="inlineStr">
        <is>
          <t>Meta</t>
        </is>
      </c>
      <c r="D223" s="5" t="n">
        <v>2028</v>
      </c>
      <c r="E223" s="5" t="inlineStr">
        <is>
          <t>Meta</t>
        </is>
      </c>
      <c r="F223" s="5" t="inlineStr">
        <is>
          <t>B200/B300 class</t>
        </is>
      </c>
      <c r="G223" s="5">
        <f>IFERROR(INDEX('02x_Accelerator_Catalog'!$C$2:$C$11,MATCH(F223,'02x_Accelerator_Catalog'!$B$2:$B$11,0)),"purpose_or_unbenchmarked")</f>
        <v/>
      </c>
      <c r="H223" s="28">
        <f>SUMIFS('02c_AI_CSP_Normalized'!$N$2:$N$305,'02c_AI_CSP_Normalized'!$B$2:$B$305,B223,'02c_AI_CSP_Normalized'!$C$2:$C$305,C223,'02c_AI_CSP_Normalized'!$D$2:$D$305,D223,'02c_AI_CSP_Normalized'!$E$2:$E$305,E223)</f>
        <v/>
      </c>
      <c r="I223" s="6">
        <f>SUMIFS('02b_CSP_Accelerator_Mix'!$H$2:$H$573,'02b_CSP_Accelerator_Mix'!$B$2:$B$573,B223,'02b_CSP_Accelerator_Mix'!$C$2:$C$573,E223,'02b_CSP_Accelerator_Mix'!$D$2:$D$573,D223,'02b_CSP_Accelerator_Mix'!$E$2:$E$573,F223)</f>
        <v/>
      </c>
      <c r="J223" s="28">
        <f>H223*I223</f>
        <v/>
      </c>
      <c r="K223" s="8">
        <f>IFERROR(INDEX('02x_Accelerator_Catalog'!$D$2:$D$11,MATCH(F223,'02x_Accelerator_Catalog'!$B$2:$B$11,0)),"")</f>
        <v/>
      </c>
      <c r="L223" s="7">
        <f>IF(K223&gt;0,J223*1000/K223,"")</f>
        <v/>
      </c>
      <c r="M223" s="5" t="inlineStr">
        <is>
          <t>epoch_csp_chip_quantity_latest</t>
        </is>
      </c>
      <c r="N223" s="5" t="inlineStr">
        <is>
          <t>Extensible long-format output: add a new accelerator row in 02b and map it in 02x_Accelerator_Catalog to extend this table.</t>
        </is>
      </c>
    </row>
    <row r="224">
      <c r="A224" s="5">
        <f>B224&amp;"|"&amp;C224&amp;"|"&amp;D224&amp;"|"&amp;E224&amp;"|"&amp;F224</f>
        <v/>
      </c>
      <c r="B224" s="5" t="inlineStr">
        <is>
          <t>Grid-Constrained / Efficiency-Upside</t>
        </is>
      </c>
      <c r="C224" s="5" t="inlineStr">
        <is>
          <t>Meta</t>
        </is>
      </c>
      <c r="D224" s="5" t="n">
        <v>2028</v>
      </c>
      <c r="E224" s="5" t="inlineStr">
        <is>
          <t>Meta</t>
        </is>
      </c>
      <c r="F224" s="5" t="inlineStr">
        <is>
          <t>H100/H200/A100 class</t>
        </is>
      </c>
      <c r="G224" s="5">
        <f>IFERROR(INDEX('02x_Accelerator_Catalog'!$C$2:$C$11,MATCH(F224,'02x_Accelerator_Catalog'!$B$2:$B$11,0)),"purpose_or_unbenchmarked")</f>
        <v/>
      </c>
      <c r="H224" s="28">
        <f>SUMIFS('02c_AI_CSP_Normalized'!$N$2:$N$305,'02c_AI_CSP_Normalized'!$B$2:$B$305,B224,'02c_AI_CSP_Normalized'!$C$2:$C$305,C224,'02c_AI_CSP_Normalized'!$D$2:$D$305,D224,'02c_AI_CSP_Normalized'!$E$2:$E$305,E224)</f>
        <v/>
      </c>
      <c r="I224" s="6">
        <f>SUMIFS('02b_CSP_Accelerator_Mix'!$H$2:$H$573,'02b_CSP_Accelerator_Mix'!$B$2:$B$573,B224,'02b_CSP_Accelerator_Mix'!$C$2:$C$573,E224,'02b_CSP_Accelerator_Mix'!$D$2:$D$573,D224,'02b_CSP_Accelerator_Mix'!$E$2:$E$573,F224)</f>
        <v/>
      </c>
      <c r="J224" s="28">
        <f>H224*I224</f>
        <v/>
      </c>
      <c r="K224" s="8">
        <f>IFERROR(INDEX('02x_Accelerator_Catalog'!$D$2:$D$11,MATCH(F224,'02x_Accelerator_Catalog'!$B$2:$B$11,0)),"")</f>
        <v/>
      </c>
      <c r="L224" s="7">
        <f>IF(K224&gt;0,J224*1000/K224,"")</f>
        <v/>
      </c>
      <c r="M224" s="5" t="inlineStr">
        <is>
          <t>epoch_csp_chip_quantity_latest</t>
        </is>
      </c>
      <c r="N224" s="5" t="inlineStr">
        <is>
          <t>Extensible long-format output: add a new accelerator row in 02b and map it in 02x_Accelerator_Catalog to extend this table.</t>
        </is>
      </c>
    </row>
    <row r="225">
      <c r="A225" s="5">
        <f>B225&amp;"|"&amp;C225&amp;"|"&amp;D225&amp;"|"&amp;E225&amp;"|"&amp;F225</f>
        <v/>
      </c>
      <c r="B225" s="5" t="inlineStr">
        <is>
          <t>Grid-Constrained / Efficiency-Upside</t>
        </is>
      </c>
      <c r="C225" s="5" t="inlineStr">
        <is>
          <t>Meta</t>
        </is>
      </c>
      <c r="D225" s="5" t="n">
        <v>2028</v>
      </c>
      <c r="E225" s="5" t="inlineStr">
        <is>
          <t>Meta</t>
        </is>
      </c>
      <c r="F225" s="5" t="inlineStr">
        <is>
          <t>R200/R300 future</t>
        </is>
      </c>
      <c r="G225" s="5">
        <f>IFERROR(INDEX('02x_Accelerator_Catalog'!$C$2:$C$11,MATCH(F225,'02x_Accelerator_Catalog'!$B$2:$B$11,0)),"purpose_or_unbenchmarked")</f>
        <v/>
      </c>
      <c r="H225" s="28">
        <f>SUMIFS('02c_AI_CSP_Normalized'!$N$2:$N$305,'02c_AI_CSP_Normalized'!$B$2:$B$305,B225,'02c_AI_CSP_Normalized'!$C$2:$C$305,C225,'02c_AI_CSP_Normalized'!$D$2:$D$305,D225,'02c_AI_CSP_Normalized'!$E$2:$E$305,E225)</f>
        <v/>
      </c>
      <c r="I225" s="6">
        <f>SUMIFS('02b_CSP_Accelerator_Mix'!$H$2:$H$573,'02b_CSP_Accelerator_Mix'!$B$2:$B$573,B225,'02b_CSP_Accelerator_Mix'!$C$2:$C$573,E225,'02b_CSP_Accelerator_Mix'!$D$2:$D$573,D225,'02b_CSP_Accelerator_Mix'!$E$2:$E$573,F225)</f>
        <v/>
      </c>
      <c r="J225" s="28">
        <f>H225*I225</f>
        <v/>
      </c>
      <c r="K225" s="8">
        <f>IFERROR(INDEX('02x_Accelerator_Catalog'!$D$2:$D$11,MATCH(F225,'02x_Accelerator_Catalog'!$B$2:$B$11,0)),"")</f>
        <v/>
      </c>
      <c r="L225" s="7">
        <f>IF(K225&gt;0,J225*1000/K225,"")</f>
        <v/>
      </c>
      <c r="M225" s="5" t="inlineStr">
        <is>
          <t>epoch_csp_chip_quantity_latest</t>
        </is>
      </c>
      <c r="N225" s="5" t="inlineStr">
        <is>
          <t>Extensible long-format output: add a new accelerator row in 02b and map it in 02x_Accelerator_Catalog to extend this table.</t>
        </is>
      </c>
    </row>
    <row r="226">
      <c r="A226" s="5">
        <f>B226&amp;"|"&amp;C226&amp;"|"&amp;D226&amp;"|"&amp;E226&amp;"|"&amp;F226</f>
        <v/>
      </c>
      <c r="B226" s="5" t="inlineStr">
        <is>
          <t>Bear</t>
        </is>
      </c>
      <c r="C226" s="5" t="inlineStr">
        <is>
          <t>Meta</t>
        </is>
      </c>
      <c r="D226" s="5" t="n">
        <v>2029</v>
      </c>
      <c r="E226" s="5" t="inlineStr">
        <is>
          <t>Meta</t>
        </is>
      </c>
      <c r="F226" s="5" t="inlineStr">
        <is>
          <t>B200/B300 class</t>
        </is>
      </c>
      <c r="G226" s="5">
        <f>IFERROR(INDEX('02x_Accelerator_Catalog'!$C$2:$C$11,MATCH(F226,'02x_Accelerator_Catalog'!$B$2:$B$11,0)),"purpose_or_unbenchmarked")</f>
        <v/>
      </c>
      <c r="H226" s="28">
        <f>SUMIFS('02c_AI_CSP_Normalized'!$N$2:$N$305,'02c_AI_CSP_Normalized'!$B$2:$B$305,B226,'02c_AI_CSP_Normalized'!$C$2:$C$305,C226,'02c_AI_CSP_Normalized'!$D$2:$D$305,D226,'02c_AI_CSP_Normalized'!$E$2:$E$305,E226)</f>
        <v/>
      </c>
      <c r="I226" s="6">
        <f>SUMIFS('02b_CSP_Accelerator_Mix'!$H$2:$H$573,'02b_CSP_Accelerator_Mix'!$B$2:$B$573,B226,'02b_CSP_Accelerator_Mix'!$C$2:$C$573,E226,'02b_CSP_Accelerator_Mix'!$D$2:$D$573,D226,'02b_CSP_Accelerator_Mix'!$E$2:$E$573,F226)</f>
        <v/>
      </c>
      <c r="J226" s="28">
        <f>H226*I226</f>
        <v/>
      </c>
      <c r="K226" s="8">
        <f>IFERROR(INDEX('02x_Accelerator_Catalog'!$D$2:$D$11,MATCH(F226,'02x_Accelerator_Catalog'!$B$2:$B$11,0)),"")</f>
        <v/>
      </c>
      <c r="L226" s="7">
        <f>IF(K226&gt;0,J226*1000/K226,"")</f>
        <v/>
      </c>
      <c r="M226" s="5" t="inlineStr">
        <is>
          <t>epoch_csp_chip_quantity_latest</t>
        </is>
      </c>
      <c r="N226" s="5" t="inlineStr">
        <is>
          <t>Extensible long-format output: add a new accelerator row in 02b and map it in 02x_Accelerator_Catalog to extend this table.</t>
        </is>
      </c>
    </row>
    <row r="227">
      <c r="A227" s="5">
        <f>B227&amp;"|"&amp;C227&amp;"|"&amp;D227&amp;"|"&amp;E227&amp;"|"&amp;F227</f>
        <v/>
      </c>
      <c r="B227" s="5" t="inlineStr">
        <is>
          <t>Bear</t>
        </is>
      </c>
      <c r="C227" s="5" t="inlineStr">
        <is>
          <t>Meta</t>
        </is>
      </c>
      <c r="D227" s="5" t="n">
        <v>2029</v>
      </c>
      <c r="E227" s="5" t="inlineStr">
        <is>
          <t>Meta</t>
        </is>
      </c>
      <c r="F227" s="5" t="inlineStr">
        <is>
          <t>H100/H200/A100 class</t>
        </is>
      </c>
      <c r="G227" s="5">
        <f>IFERROR(INDEX('02x_Accelerator_Catalog'!$C$2:$C$11,MATCH(F227,'02x_Accelerator_Catalog'!$B$2:$B$11,0)),"purpose_or_unbenchmarked")</f>
        <v/>
      </c>
      <c r="H227" s="28">
        <f>SUMIFS('02c_AI_CSP_Normalized'!$N$2:$N$305,'02c_AI_CSP_Normalized'!$B$2:$B$305,B227,'02c_AI_CSP_Normalized'!$C$2:$C$305,C227,'02c_AI_CSP_Normalized'!$D$2:$D$305,D227,'02c_AI_CSP_Normalized'!$E$2:$E$305,E227)</f>
        <v/>
      </c>
      <c r="I227" s="6">
        <f>SUMIFS('02b_CSP_Accelerator_Mix'!$H$2:$H$573,'02b_CSP_Accelerator_Mix'!$B$2:$B$573,B227,'02b_CSP_Accelerator_Mix'!$C$2:$C$573,E227,'02b_CSP_Accelerator_Mix'!$D$2:$D$573,D227,'02b_CSP_Accelerator_Mix'!$E$2:$E$573,F227)</f>
        <v/>
      </c>
      <c r="J227" s="28">
        <f>H227*I227</f>
        <v/>
      </c>
      <c r="K227" s="8">
        <f>IFERROR(INDEX('02x_Accelerator_Catalog'!$D$2:$D$11,MATCH(F227,'02x_Accelerator_Catalog'!$B$2:$B$11,0)),"")</f>
        <v/>
      </c>
      <c r="L227" s="7">
        <f>IF(K227&gt;0,J227*1000/K227,"")</f>
        <v/>
      </c>
      <c r="M227" s="5" t="inlineStr">
        <is>
          <t>epoch_csp_chip_quantity_latest</t>
        </is>
      </c>
      <c r="N227" s="5" t="inlineStr">
        <is>
          <t>Extensible long-format output: add a new accelerator row in 02b and map it in 02x_Accelerator_Catalog to extend this table.</t>
        </is>
      </c>
    </row>
    <row r="228">
      <c r="A228" s="5">
        <f>B228&amp;"|"&amp;C228&amp;"|"&amp;D228&amp;"|"&amp;E228&amp;"|"&amp;F228</f>
        <v/>
      </c>
      <c r="B228" s="5" t="inlineStr">
        <is>
          <t>Bear</t>
        </is>
      </c>
      <c r="C228" s="5" t="inlineStr">
        <is>
          <t>Meta</t>
        </is>
      </c>
      <c r="D228" s="5" t="n">
        <v>2029</v>
      </c>
      <c r="E228" s="5" t="inlineStr">
        <is>
          <t>Meta</t>
        </is>
      </c>
      <c r="F228" s="5" t="inlineStr">
        <is>
          <t>R200/R300 future</t>
        </is>
      </c>
      <c r="G228" s="5">
        <f>IFERROR(INDEX('02x_Accelerator_Catalog'!$C$2:$C$11,MATCH(F228,'02x_Accelerator_Catalog'!$B$2:$B$11,0)),"purpose_or_unbenchmarked")</f>
        <v/>
      </c>
      <c r="H228" s="28">
        <f>SUMIFS('02c_AI_CSP_Normalized'!$N$2:$N$305,'02c_AI_CSP_Normalized'!$B$2:$B$305,B228,'02c_AI_CSP_Normalized'!$C$2:$C$305,C228,'02c_AI_CSP_Normalized'!$D$2:$D$305,D228,'02c_AI_CSP_Normalized'!$E$2:$E$305,E228)</f>
        <v/>
      </c>
      <c r="I228" s="6">
        <f>SUMIFS('02b_CSP_Accelerator_Mix'!$H$2:$H$573,'02b_CSP_Accelerator_Mix'!$B$2:$B$573,B228,'02b_CSP_Accelerator_Mix'!$C$2:$C$573,E228,'02b_CSP_Accelerator_Mix'!$D$2:$D$573,D228,'02b_CSP_Accelerator_Mix'!$E$2:$E$573,F228)</f>
        <v/>
      </c>
      <c r="J228" s="28">
        <f>H228*I228</f>
        <v/>
      </c>
      <c r="K228" s="8">
        <f>IFERROR(INDEX('02x_Accelerator_Catalog'!$D$2:$D$11,MATCH(F228,'02x_Accelerator_Catalog'!$B$2:$B$11,0)),"")</f>
        <v/>
      </c>
      <c r="L228" s="7">
        <f>IF(K228&gt;0,J228*1000/K228,"")</f>
        <v/>
      </c>
      <c r="M228" s="5" t="inlineStr">
        <is>
          <t>epoch_csp_chip_quantity_latest</t>
        </is>
      </c>
      <c r="N228" s="5" t="inlineStr">
        <is>
          <t>Extensible long-format output: add a new accelerator row in 02b and map it in 02x_Accelerator_Catalog to extend this table.</t>
        </is>
      </c>
    </row>
    <row r="229">
      <c r="A229" s="5">
        <f>B229&amp;"|"&amp;C229&amp;"|"&amp;D229&amp;"|"&amp;E229&amp;"|"&amp;F229</f>
        <v/>
      </c>
      <c r="B229" s="5" t="inlineStr">
        <is>
          <t>Base</t>
        </is>
      </c>
      <c r="C229" s="5" t="inlineStr">
        <is>
          <t>Meta</t>
        </is>
      </c>
      <c r="D229" s="5" t="n">
        <v>2029</v>
      </c>
      <c r="E229" s="5" t="inlineStr">
        <is>
          <t>Meta</t>
        </is>
      </c>
      <c r="F229" s="5" t="inlineStr">
        <is>
          <t>B200/B300 class</t>
        </is>
      </c>
      <c r="G229" s="5">
        <f>IFERROR(INDEX('02x_Accelerator_Catalog'!$C$2:$C$11,MATCH(F229,'02x_Accelerator_Catalog'!$B$2:$B$11,0)),"purpose_or_unbenchmarked")</f>
        <v/>
      </c>
      <c r="H229" s="28">
        <f>SUMIFS('02c_AI_CSP_Normalized'!$N$2:$N$305,'02c_AI_CSP_Normalized'!$B$2:$B$305,B229,'02c_AI_CSP_Normalized'!$C$2:$C$305,C229,'02c_AI_CSP_Normalized'!$D$2:$D$305,D229,'02c_AI_CSP_Normalized'!$E$2:$E$305,E229)</f>
        <v/>
      </c>
      <c r="I229" s="6">
        <f>SUMIFS('02b_CSP_Accelerator_Mix'!$H$2:$H$573,'02b_CSP_Accelerator_Mix'!$B$2:$B$573,B229,'02b_CSP_Accelerator_Mix'!$C$2:$C$573,E229,'02b_CSP_Accelerator_Mix'!$D$2:$D$573,D229,'02b_CSP_Accelerator_Mix'!$E$2:$E$573,F229)</f>
        <v/>
      </c>
      <c r="J229" s="28">
        <f>H229*I229</f>
        <v/>
      </c>
      <c r="K229" s="8">
        <f>IFERROR(INDEX('02x_Accelerator_Catalog'!$D$2:$D$11,MATCH(F229,'02x_Accelerator_Catalog'!$B$2:$B$11,0)),"")</f>
        <v/>
      </c>
      <c r="L229" s="7">
        <f>IF(K229&gt;0,J229*1000/K229,"")</f>
        <v/>
      </c>
      <c r="M229" s="5" t="inlineStr">
        <is>
          <t>epoch_csp_chip_quantity_latest</t>
        </is>
      </c>
      <c r="N229" s="5" t="inlineStr">
        <is>
          <t>Extensible long-format output: add a new accelerator row in 02b and map it in 02x_Accelerator_Catalog to extend this table.</t>
        </is>
      </c>
    </row>
    <row r="230">
      <c r="A230" s="5">
        <f>B230&amp;"|"&amp;C230&amp;"|"&amp;D230&amp;"|"&amp;E230&amp;"|"&amp;F230</f>
        <v/>
      </c>
      <c r="B230" s="5" t="inlineStr">
        <is>
          <t>Base</t>
        </is>
      </c>
      <c r="C230" s="5" t="inlineStr">
        <is>
          <t>Meta</t>
        </is>
      </c>
      <c r="D230" s="5" t="n">
        <v>2029</v>
      </c>
      <c r="E230" s="5" t="inlineStr">
        <is>
          <t>Meta</t>
        </is>
      </c>
      <c r="F230" s="5" t="inlineStr">
        <is>
          <t>H100/H200/A100 class</t>
        </is>
      </c>
      <c r="G230" s="5">
        <f>IFERROR(INDEX('02x_Accelerator_Catalog'!$C$2:$C$11,MATCH(F230,'02x_Accelerator_Catalog'!$B$2:$B$11,0)),"purpose_or_unbenchmarked")</f>
        <v/>
      </c>
      <c r="H230" s="28">
        <f>SUMIFS('02c_AI_CSP_Normalized'!$N$2:$N$305,'02c_AI_CSP_Normalized'!$B$2:$B$305,B230,'02c_AI_CSP_Normalized'!$C$2:$C$305,C230,'02c_AI_CSP_Normalized'!$D$2:$D$305,D230,'02c_AI_CSP_Normalized'!$E$2:$E$305,E230)</f>
        <v/>
      </c>
      <c r="I230" s="6">
        <f>SUMIFS('02b_CSP_Accelerator_Mix'!$H$2:$H$573,'02b_CSP_Accelerator_Mix'!$B$2:$B$573,B230,'02b_CSP_Accelerator_Mix'!$C$2:$C$573,E230,'02b_CSP_Accelerator_Mix'!$D$2:$D$573,D230,'02b_CSP_Accelerator_Mix'!$E$2:$E$573,F230)</f>
        <v/>
      </c>
      <c r="J230" s="28">
        <f>H230*I230</f>
        <v/>
      </c>
      <c r="K230" s="8">
        <f>IFERROR(INDEX('02x_Accelerator_Catalog'!$D$2:$D$11,MATCH(F230,'02x_Accelerator_Catalog'!$B$2:$B$11,0)),"")</f>
        <v/>
      </c>
      <c r="L230" s="7">
        <f>IF(K230&gt;0,J230*1000/K230,"")</f>
        <v/>
      </c>
      <c r="M230" s="5" t="inlineStr">
        <is>
          <t>epoch_csp_chip_quantity_latest</t>
        </is>
      </c>
      <c r="N230" s="5" t="inlineStr">
        <is>
          <t>Extensible long-format output: add a new accelerator row in 02b and map it in 02x_Accelerator_Catalog to extend this table.</t>
        </is>
      </c>
    </row>
    <row r="231">
      <c r="A231" s="5">
        <f>B231&amp;"|"&amp;C231&amp;"|"&amp;D231&amp;"|"&amp;E231&amp;"|"&amp;F231</f>
        <v/>
      </c>
      <c r="B231" s="5" t="inlineStr">
        <is>
          <t>Base</t>
        </is>
      </c>
      <c r="C231" s="5" t="inlineStr">
        <is>
          <t>Meta</t>
        </is>
      </c>
      <c r="D231" s="5" t="n">
        <v>2029</v>
      </c>
      <c r="E231" s="5" t="inlineStr">
        <is>
          <t>Meta</t>
        </is>
      </c>
      <c r="F231" s="5" t="inlineStr">
        <is>
          <t>R200/R300 future</t>
        </is>
      </c>
      <c r="G231" s="5">
        <f>IFERROR(INDEX('02x_Accelerator_Catalog'!$C$2:$C$11,MATCH(F231,'02x_Accelerator_Catalog'!$B$2:$B$11,0)),"purpose_or_unbenchmarked")</f>
        <v/>
      </c>
      <c r="H231" s="28">
        <f>SUMIFS('02c_AI_CSP_Normalized'!$N$2:$N$305,'02c_AI_CSP_Normalized'!$B$2:$B$305,B231,'02c_AI_CSP_Normalized'!$C$2:$C$305,C231,'02c_AI_CSP_Normalized'!$D$2:$D$305,D231,'02c_AI_CSP_Normalized'!$E$2:$E$305,E231)</f>
        <v/>
      </c>
      <c r="I231" s="6">
        <f>SUMIFS('02b_CSP_Accelerator_Mix'!$H$2:$H$573,'02b_CSP_Accelerator_Mix'!$B$2:$B$573,B231,'02b_CSP_Accelerator_Mix'!$C$2:$C$573,E231,'02b_CSP_Accelerator_Mix'!$D$2:$D$573,D231,'02b_CSP_Accelerator_Mix'!$E$2:$E$573,F231)</f>
        <v/>
      </c>
      <c r="J231" s="28">
        <f>H231*I231</f>
        <v/>
      </c>
      <c r="K231" s="8">
        <f>IFERROR(INDEX('02x_Accelerator_Catalog'!$D$2:$D$11,MATCH(F231,'02x_Accelerator_Catalog'!$B$2:$B$11,0)),"")</f>
        <v/>
      </c>
      <c r="L231" s="7">
        <f>IF(K231&gt;0,J231*1000/K231,"")</f>
        <v/>
      </c>
      <c r="M231" s="5" t="inlineStr">
        <is>
          <t>epoch_csp_chip_quantity_latest</t>
        </is>
      </c>
      <c r="N231" s="5" t="inlineStr">
        <is>
          <t>Extensible long-format output: add a new accelerator row in 02b and map it in 02x_Accelerator_Catalog to extend this table.</t>
        </is>
      </c>
    </row>
    <row r="232">
      <c r="A232" s="5">
        <f>B232&amp;"|"&amp;C232&amp;"|"&amp;D232&amp;"|"&amp;E232&amp;"|"&amp;F232</f>
        <v/>
      </c>
      <c r="B232" s="5" t="inlineStr">
        <is>
          <t>Bull</t>
        </is>
      </c>
      <c r="C232" s="5" t="inlineStr">
        <is>
          <t>Meta</t>
        </is>
      </c>
      <c r="D232" s="5" t="n">
        <v>2029</v>
      </c>
      <c r="E232" s="5" t="inlineStr">
        <is>
          <t>Meta</t>
        </is>
      </c>
      <c r="F232" s="5" t="inlineStr">
        <is>
          <t>B200/B300 class</t>
        </is>
      </c>
      <c r="G232" s="5">
        <f>IFERROR(INDEX('02x_Accelerator_Catalog'!$C$2:$C$11,MATCH(F232,'02x_Accelerator_Catalog'!$B$2:$B$11,0)),"purpose_or_unbenchmarked")</f>
        <v/>
      </c>
      <c r="H232" s="28">
        <f>SUMIFS('02c_AI_CSP_Normalized'!$N$2:$N$305,'02c_AI_CSP_Normalized'!$B$2:$B$305,B232,'02c_AI_CSP_Normalized'!$C$2:$C$305,C232,'02c_AI_CSP_Normalized'!$D$2:$D$305,D232,'02c_AI_CSP_Normalized'!$E$2:$E$305,E232)</f>
        <v/>
      </c>
      <c r="I232" s="6">
        <f>SUMIFS('02b_CSP_Accelerator_Mix'!$H$2:$H$573,'02b_CSP_Accelerator_Mix'!$B$2:$B$573,B232,'02b_CSP_Accelerator_Mix'!$C$2:$C$573,E232,'02b_CSP_Accelerator_Mix'!$D$2:$D$573,D232,'02b_CSP_Accelerator_Mix'!$E$2:$E$573,F232)</f>
        <v/>
      </c>
      <c r="J232" s="28">
        <f>H232*I232</f>
        <v/>
      </c>
      <c r="K232" s="8">
        <f>IFERROR(INDEX('02x_Accelerator_Catalog'!$D$2:$D$11,MATCH(F232,'02x_Accelerator_Catalog'!$B$2:$B$11,0)),"")</f>
        <v/>
      </c>
      <c r="L232" s="7">
        <f>IF(K232&gt;0,J232*1000/K232,"")</f>
        <v/>
      </c>
      <c r="M232" s="5" t="inlineStr">
        <is>
          <t>epoch_csp_chip_quantity_latest</t>
        </is>
      </c>
      <c r="N232" s="5" t="inlineStr">
        <is>
          <t>Extensible long-format output: add a new accelerator row in 02b and map it in 02x_Accelerator_Catalog to extend this table.</t>
        </is>
      </c>
    </row>
    <row r="233">
      <c r="A233" s="5">
        <f>B233&amp;"|"&amp;C233&amp;"|"&amp;D233&amp;"|"&amp;E233&amp;"|"&amp;F233</f>
        <v/>
      </c>
      <c r="B233" s="5" t="inlineStr">
        <is>
          <t>Bull</t>
        </is>
      </c>
      <c r="C233" s="5" t="inlineStr">
        <is>
          <t>Meta</t>
        </is>
      </c>
      <c r="D233" s="5" t="n">
        <v>2029</v>
      </c>
      <c r="E233" s="5" t="inlineStr">
        <is>
          <t>Meta</t>
        </is>
      </c>
      <c r="F233" s="5" t="inlineStr">
        <is>
          <t>H100/H200/A100 class</t>
        </is>
      </c>
      <c r="G233" s="5">
        <f>IFERROR(INDEX('02x_Accelerator_Catalog'!$C$2:$C$11,MATCH(F233,'02x_Accelerator_Catalog'!$B$2:$B$11,0)),"purpose_or_unbenchmarked")</f>
        <v/>
      </c>
      <c r="H233" s="28">
        <f>SUMIFS('02c_AI_CSP_Normalized'!$N$2:$N$305,'02c_AI_CSP_Normalized'!$B$2:$B$305,B233,'02c_AI_CSP_Normalized'!$C$2:$C$305,C233,'02c_AI_CSP_Normalized'!$D$2:$D$305,D233,'02c_AI_CSP_Normalized'!$E$2:$E$305,E233)</f>
        <v/>
      </c>
      <c r="I233" s="6">
        <f>SUMIFS('02b_CSP_Accelerator_Mix'!$H$2:$H$573,'02b_CSP_Accelerator_Mix'!$B$2:$B$573,B233,'02b_CSP_Accelerator_Mix'!$C$2:$C$573,E233,'02b_CSP_Accelerator_Mix'!$D$2:$D$573,D233,'02b_CSP_Accelerator_Mix'!$E$2:$E$573,F233)</f>
        <v/>
      </c>
      <c r="J233" s="28">
        <f>H233*I233</f>
        <v/>
      </c>
      <c r="K233" s="8">
        <f>IFERROR(INDEX('02x_Accelerator_Catalog'!$D$2:$D$11,MATCH(F233,'02x_Accelerator_Catalog'!$B$2:$B$11,0)),"")</f>
        <v/>
      </c>
      <c r="L233" s="7">
        <f>IF(K233&gt;0,J233*1000/K233,"")</f>
        <v/>
      </c>
      <c r="M233" s="5" t="inlineStr">
        <is>
          <t>epoch_csp_chip_quantity_latest</t>
        </is>
      </c>
      <c r="N233" s="5" t="inlineStr">
        <is>
          <t>Extensible long-format output: add a new accelerator row in 02b and map it in 02x_Accelerator_Catalog to extend this table.</t>
        </is>
      </c>
    </row>
    <row r="234">
      <c r="A234" s="5">
        <f>B234&amp;"|"&amp;C234&amp;"|"&amp;D234&amp;"|"&amp;E234&amp;"|"&amp;F234</f>
        <v/>
      </c>
      <c r="B234" s="5" t="inlineStr">
        <is>
          <t>Bull</t>
        </is>
      </c>
      <c r="C234" s="5" t="inlineStr">
        <is>
          <t>Meta</t>
        </is>
      </c>
      <c r="D234" s="5" t="n">
        <v>2029</v>
      </c>
      <c r="E234" s="5" t="inlineStr">
        <is>
          <t>Meta</t>
        </is>
      </c>
      <c r="F234" s="5" t="inlineStr">
        <is>
          <t>R200/R300 future</t>
        </is>
      </c>
      <c r="G234" s="5">
        <f>IFERROR(INDEX('02x_Accelerator_Catalog'!$C$2:$C$11,MATCH(F234,'02x_Accelerator_Catalog'!$B$2:$B$11,0)),"purpose_or_unbenchmarked")</f>
        <v/>
      </c>
      <c r="H234" s="28">
        <f>SUMIFS('02c_AI_CSP_Normalized'!$N$2:$N$305,'02c_AI_CSP_Normalized'!$B$2:$B$305,B234,'02c_AI_CSP_Normalized'!$C$2:$C$305,C234,'02c_AI_CSP_Normalized'!$D$2:$D$305,D234,'02c_AI_CSP_Normalized'!$E$2:$E$305,E234)</f>
        <v/>
      </c>
      <c r="I234" s="6">
        <f>SUMIFS('02b_CSP_Accelerator_Mix'!$H$2:$H$573,'02b_CSP_Accelerator_Mix'!$B$2:$B$573,B234,'02b_CSP_Accelerator_Mix'!$C$2:$C$573,E234,'02b_CSP_Accelerator_Mix'!$D$2:$D$573,D234,'02b_CSP_Accelerator_Mix'!$E$2:$E$573,F234)</f>
        <v/>
      </c>
      <c r="J234" s="28">
        <f>H234*I234</f>
        <v/>
      </c>
      <c r="K234" s="8">
        <f>IFERROR(INDEX('02x_Accelerator_Catalog'!$D$2:$D$11,MATCH(F234,'02x_Accelerator_Catalog'!$B$2:$B$11,0)),"")</f>
        <v/>
      </c>
      <c r="L234" s="7">
        <f>IF(K234&gt;0,J234*1000/K234,"")</f>
        <v/>
      </c>
      <c r="M234" s="5" t="inlineStr">
        <is>
          <t>epoch_csp_chip_quantity_latest</t>
        </is>
      </c>
      <c r="N234" s="5" t="inlineStr">
        <is>
          <t>Extensible long-format output: add a new accelerator row in 02b and map it in 02x_Accelerator_Catalog to extend this table.</t>
        </is>
      </c>
    </row>
    <row r="235">
      <c r="A235" s="5">
        <f>B235&amp;"|"&amp;C235&amp;"|"&amp;D235&amp;"|"&amp;E235&amp;"|"&amp;F235</f>
        <v/>
      </c>
      <c r="B235" s="5" t="inlineStr">
        <is>
          <t>Grid-Constrained / Efficiency-Upside</t>
        </is>
      </c>
      <c r="C235" s="5" t="inlineStr">
        <is>
          <t>Meta</t>
        </is>
      </c>
      <c r="D235" s="5" t="n">
        <v>2029</v>
      </c>
      <c r="E235" s="5" t="inlineStr">
        <is>
          <t>Meta</t>
        </is>
      </c>
      <c r="F235" s="5" t="inlineStr">
        <is>
          <t>B200/B300 class</t>
        </is>
      </c>
      <c r="G235" s="5">
        <f>IFERROR(INDEX('02x_Accelerator_Catalog'!$C$2:$C$11,MATCH(F235,'02x_Accelerator_Catalog'!$B$2:$B$11,0)),"purpose_or_unbenchmarked")</f>
        <v/>
      </c>
      <c r="H235" s="28">
        <f>SUMIFS('02c_AI_CSP_Normalized'!$N$2:$N$305,'02c_AI_CSP_Normalized'!$B$2:$B$305,B235,'02c_AI_CSP_Normalized'!$C$2:$C$305,C235,'02c_AI_CSP_Normalized'!$D$2:$D$305,D235,'02c_AI_CSP_Normalized'!$E$2:$E$305,E235)</f>
        <v/>
      </c>
      <c r="I235" s="6">
        <f>SUMIFS('02b_CSP_Accelerator_Mix'!$H$2:$H$573,'02b_CSP_Accelerator_Mix'!$B$2:$B$573,B235,'02b_CSP_Accelerator_Mix'!$C$2:$C$573,E235,'02b_CSP_Accelerator_Mix'!$D$2:$D$573,D235,'02b_CSP_Accelerator_Mix'!$E$2:$E$573,F235)</f>
        <v/>
      </c>
      <c r="J235" s="28">
        <f>H235*I235</f>
        <v/>
      </c>
      <c r="K235" s="8">
        <f>IFERROR(INDEX('02x_Accelerator_Catalog'!$D$2:$D$11,MATCH(F235,'02x_Accelerator_Catalog'!$B$2:$B$11,0)),"")</f>
        <v/>
      </c>
      <c r="L235" s="7">
        <f>IF(K235&gt;0,J235*1000/K235,"")</f>
        <v/>
      </c>
      <c r="M235" s="5" t="inlineStr">
        <is>
          <t>epoch_csp_chip_quantity_latest</t>
        </is>
      </c>
      <c r="N235" s="5" t="inlineStr">
        <is>
          <t>Extensible long-format output: add a new accelerator row in 02b and map it in 02x_Accelerator_Catalog to extend this table.</t>
        </is>
      </c>
    </row>
    <row r="236">
      <c r="A236" s="5">
        <f>B236&amp;"|"&amp;C236&amp;"|"&amp;D236&amp;"|"&amp;E236&amp;"|"&amp;F236</f>
        <v/>
      </c>
      <c r="B236" s="5" t="inlineStr">
        <is>
          <t>Grid-Constrained / Efficiency-Upside</t>
        </is>
      </c>
      <c r="C236" s="5" t="inlineStr">
        <is>
          <t>Meta</t>
        </is>
      </c>
      <c r="D236" s="5" t="n">
        <v>2029</v>
      </c>
      <c r="E236" s="5" t="inlineStr">
        <is>
          <t>Meta</t>
        </is>
      </c>
      <c r="F236" s="5" t="inlineStr">
        <is>
          <t>H100/H200/A100 class</t>
        </is>
      </c>
      <c r="G236" s="5">
        <f>IFERROR(INDEX('02x_Accelerator_Catalog'!$C$2:$C$11,MATCH(F236,'02x_Accelerator_Catalog'!$B$2:$B$11,0)),"purpose_or_unbenchmarked")</f>
        <v/>
      </c>
      <c r="H236" s="28">
        <f>SUMIFS('02c_AI_CSP_Normalized'!$N$2:$N$305,'02c_AI_CSP_Normalized'!$B$2:$B$305,B236,'02c_AI_CSP_Normalized'!$C$2:$C$305,C236,'02c_AI_CSP_Normalized'!$D$2:$D$305,D236,'02c_AI_CSP_Normalized'!$E$2:$E$305,E236)</f>
        <v/>
      </c>
      <c r="I236" s="6">
        <f>SUMIFS('02b_CSP_Accelerator_Mix'!$H$2:$H$573,'02b_CSP_Accelerator_Mix'!$B$2:$B$573,B236,'02b_CSP_Accelerator_Mix'!$C$2:$C$573,E236,'02b_CSP_Accelerator_Mix'!$D$2:$D$573,D236,'02b_CSP_Accelerator_Mix'!$E$2:$E$573,F236)</f>
        <v/>
      </c>
      <c r="J236" s="28">
        <f>H236*I236</f>
        <v/>
      </c>
      <c r="K236" s="8">
        <f>IFERROR(INDEX('02x_Accelerator_Catalog'!$D$2:$D$11,MATCH(F236,'02x_Accelerator_Catalog'!$B$2:$B$11,0)),"")</f>
        <v/>
      </c>
      <c r="L236" s="7">
        <f>IF(K236&gt;0,J236*1000/K236,"")</f>
        <v/>
      </c>
      <c r="M236" s="5" t="inlineStr">
        <is>
          <t>epoch_csp_chip_quantity_latest</t>
        </is>
      </c>
      <c r="N236" s="5" t="inlineStr">
        <is>
          <t>Extensible long-format output: add a new accelerator row in 02b and map it in 02x_Accelerator_Catalog to extend this table.</t>
        </is>
      </c>
    </row>
    <row r="237">
      <c r="A237" s="5">
        <f>B237&amp;"|"&amp;C237&amp;"|"&amp;D237&amp;"|"&amp;E237&amp;"|"&amp;F237</f>
        <v/>
      </c>
      <c r="B237" s="5" t="inlineStr">
        <is>
          <t>Grid-Constrained / Efficiency-Upside</t>
        </is>
      </c>
      <c r="C237" s="5" t="inlineStr">
        <is>
          <t>Meta</t>
        </is>
      </c>
      <c r="D237" s="5" t="n">
        <v>2029</v>
      </c>
      <c r="E237" s="5" t="inlineStr">
        <is>
          <t>Meta</t>
        </is>
      </c>
      <c r="F237" s="5" t="inlineStr">
        <is>
          <t>R200/R300 future</t>
        </is>
      </c>
      <c r="G237" s="5">
        <f>IFERROR(INDEX('02x_Accelerator_Catalog'!$C$2:$C$11,MATCH(F237,'02x_Accelerator_Catalog'!$B$2:$B$11,0)),"purpose_or_unbenchmarked")</f>
        <v/>
      </c>
      <c r="H237" s="28">
        <f>SUMIFS('02c_AI_CSP_Normalized'!$N$2:$N$305,'02c_AI_CSP_Normalized'!$B$2:$B$305,B237,'02c_AI_CSP_Normalized'!$C$2:$C$305,C237,'02c_AI_CSP_Normalized'!$D$2:$D$305,D237,'02c_AI_CSP_Normalized'!$E$2:$E$305,E237)</f>
        <v/>
      </c>
      <c r="I237" s="6">
        <f>SUMIFS('02b_CSP_Accelerator_Mix'!$H$2:$H$573,'02b_CSP_Accelerator_Mix'!$B$2:$B$573,B237,'02b_CSP_Accelerator_Mix'!$C$2:$C$573,E237,'02b_CSP_Accelerator_Mix'!$D$2:$D$573,D237,'02b_CSP_Accelerator_Mix'!$E$2:$E$573,F237)</f>
        <v/>
      </c>
      <c r="J237" s="28">
        <f>H237*I237</f>
        <v/>
      </c>
      <c r="K237" s="8">
        <f>IFERROR(INDEX('02x_Accelerator_Catalog'!$D$2:$D$11,MATCH(F237,'02x_Accelerator_Catalog'!$B$2:$B$11,0)),"")</f>
        <v/>
      </c>
      <c r="L237" s="7">
        <f>IF(K237&gt;0,J237*1000/K237,"")</f>
        <v/>
      </c>
      <c r="M237" s="5" t="inlineStr">
        <is>
          <t>epoch_csp_chip_quantity_latest</t>
        </is>
      </c>
      <c r="N237" s="5" t="inlineStr">
        <is>
          <t>Extensible long-format output: add a new accelerator row in 02b and map it in 02x_Accelerator_Catalog to extend this table.</t>
        </is>
      </c>
    </row>
    <row r="238">
      <c r="A238" s="5">
        <f>B238&amp;"|"&amp;C238&amp;"|"&amp;D238&amp;"|"&amp;E238&amp;"|"&amp;F238</f>
        <v/>
      </c>
      <c r="B238" s="5" t="inlineStr">
        <is>
          <t>Bear</t>
        </is>
      </c>
      <c r="C238" s="5" t="inlineStr">
        <is>
          <t>Meta</t>
        </is>
      </c>
      <c r="D238" s="5" t="n">
        <v>2030</v>
      </c>
      <c r="E238" s="5" t="inlineStr">
        <is>
          <t>Meta</t>
        </is>
      </c>
      <c r="F238" s="5" t="inlineStr">
        <is>
          <t>B200/B300 class</t>
        </is>
      </c>
      <c r="G238" s="5">
        <f>IFERROR(INDEX('02x_Accelerator_Catalog'!$C$2:$C$11,MATCH(F238,'02x_Accelerator_Catalog'!$B$2:$B$11,0)),"purpose_or_unbenchmarked")</f>
        <v/>
      </c>
      <c r="H238" s="28">
        <f>SUMIFS('02c_AI_CSP_Normalized'!$N$2:$N$305,'02c_AI_CSP_Normalized'!$B$2:$B$305,B238,'02c_AI_CSP_Normalized'!$C$2:$C$305,C238,'02c_AI_CSP_Normalized'!$D$2:$D$305,D238,'02c_AI_CSP_Normalized'!$E$2:$E$305,E238)</f>
        <v/>
      </c>
      <c r="I238" s="6">
        <f>SUMIFS('02b_CSP_Accelerator_Mix'!$H$2:$H$573,'02b_CSP_Accelerator_Mix'!$B$2:$B$573,B238,'02b_CSP_Accelerator_Mix'!$C$2:$C$573,E238,'02b_CSP_Accelerator_Mix'!$D$2:$D$573,D238,'02b_CSP_Accelerator_Mix'!$E$2:$E$573,F238)</f>
        <v/>
      </c>
      <c r="J238" s="28">
        <f>H238*I238</f>
        <v/>
      </c>
      <c r="K238" s="8">
        <f>IFERROR(INDEX('02x_Accelerator_Catalog'!$D$2:$D$11,MATCH(F238,'02x_Accelerator_Catalog'!$B$2:$B$11,0)),"")</f>
        <v/>
      </c>
      <c r="L238" s="7">
        <f>IF(K238&gt;0,J238*1000/K238,"")</f>
        <v/>
      </c>
      <c r="M238" s="5" t="inlineStr">
        <is>
          <t>epoch_csp_chip_quantity_latest</t>
        </is>
      </c>
      <c r="N238" s="5" t="inlineStr">
        <is>
          <t>Extensible long-format output: add a new accelerator row in 02b and map it in 02x_Accelerator_Catalog to extend this table.</t>
        </is>
      </c>
    </row>
    <row r="239">
      <c r="A239" s="5">
        <f>B239&amp;"|"&amp;C239&amp;"|"&amp;D239&amp;"|"&amp;E239&amp;"|"&amp;F239</f>
        <v/>
      </c>
      <c r="B239" s="5" t="inlineStr">
        <is>
          <t>Bear</t>
        </is>
      </c>
      <c r="C239" s="5" t="inlineStr">
        <is>
          <t>Meta</t>
        </is>
      </c>
      <c r="D239" s="5" t="n">
        <v>2030</v>
      </c>
      <c r="E239" s="5" t="inlineStr">
        <is>
          <t>Meta</t>
        </is>
      </c>
      <c r="F239" s="5" t="inlineStr">
        <is>
          <t>H100/H200/A100 class</t>
        </is>
      </c>
      <c r="G239" s="5">
        <f>IFERROR(INDEX('02x_Accelerator_Catalog'!$C$2:$C$11,MATCH(F239,'02x_Accelerator_Catalog'!$B$2:$B$11,0)),"purpose_or_unbenchmarked")</f>
        <v/>
      </c>
      <c r="H239" s="28">
        <f>SUMIFS('02c_AI_CSP_Normalized'!$N$2:$N$305,'02c_AI_CSP_Normalized'!$B$2:$B$305,B239,'02c_AI_CSP_Normalized'!$C$2:$C$305,C239,'02c_AI_CSP_Normalized'!$D$2:$D$305,D239,'02c_AI_CSP_Normalized'!$E$2:$E$305,E239)</f>
        <v/>
      </c>
      <c r="I239" s="6">
        <f>SUMIFS('02b_CSP_Accelerator_Mix'!$H$2:$H$573,'02b_CSP_Accelerator_Mix'!$B$2:$B$573,B239,'02b_CSP_Accelerator_Mix'!$C$2:$C$573,E239,'02b_CSP_Accelerator_Mix'!$D$2:$D$573,D239,'02b_CSP_Accelerator_Mix'!$E$2:$E$573,F239)</f>
        <v/>
      </c>
      <c r="J239" s="28">
        <f>H239*I239</f>
        <v/>
      </c>
      <c r="K239" s="8">
        <f>IFERROR(INDEX('02x_Accelerator_Catalog'!$D$2:$D$11,MATCH(F239,'02x_Accelerator_Catalog'!$B$2:$B$11,0)),"")</f>
        <v/>
      </c>
      <c r="L239" s="7">
        <f>IF(K239&gt;0,J239*1000/K239,"")</f>
        <v/>
      </c>
      <c r="M239" s="5" t="inlineStr">
        <is>
          <t>epoch_csp_chip_quantity_latest</t>
        </is>
      </c>
      <c r="N239" s="5" t="inlineStr">
        <is>
          <t>Extensible long-format output: add a new accelerator row in 02b and map it in 02x_Accelerator_Catalog to extend this table.</t>
        </is>
      </c>
    </row>
    <row r="240">
      <c r="A240" s="5">
        <f>B240&amp;"|"&amp;C240&amp;"|"&amp;D240&amp;"|"&amp;E240&amp;"|"&amp;F240</f>
        <v/>
      </c>
      <c r="B240" s="5" t="inlineStr">
        <is>
          <t>Bear</t>
        </is>
      </c>
      <c r="C240" s="5" t="inlineStr">
        <is>
          <t>Meta</t>
        </is>
      </c>
      <c r="D240" s="5" t="n">
        <v>2030</v>
      </c>
      <c r="E240" s="5" t="inlineStr">
        <is>
          <t>Meta</t>
        </is>
      </c>
      <c r="F240" s="5" t="inlineStr">
        <is>
          <t>R200/R300 future</t>
        </is>
      </c>
      <c r="G240" s="5">
        <f>IFERROR(INDEX('02x_Accelerator_Catalog'!$C$2:$C$11,MATCH(F240,'02x_Accelerator_Catalog'!$B$2:$B$11,0)),"purpose_or_unbenchmarked")</f>
        <v/>
      </c>
      <c r="H240" s="28">
        <f>SUMIFS('02c_AI_CSP_Normalized'!$N$2:$N$305,'02c_AI_CSP_Normalized'!$B$2:$B$305,B240,'02c_AI_CSP_Normalized'!$C$2:$C$305,C240,'02c_AI_CSP_Normalized'!$D$2:$D$305,D240,'02c_AI_CSP_Normalized'!$E$2:$E$305,E240)</f>
        <v/>
      </c>
      <c r="I240" s="6">
        <f>SUMIFS('02b_CSP_Accelerator_Mix'!$H$2:$H$573,'02b_CSP_Accelerator_Mix'!$B$2:$B$573,B240,'02b_CSP_Accelerator_Mix'!$C$2:$C$573,E240,'02b_CSP_Accelerator_Mix'!$D$2:$D$573,D240,'02b_CSP_Accelerator_Mix'!$E$2:$E$573,F240)</f>
        <v/>
      </c>
      <c r="J240" s="28">
        <f>H240*I240</f>
        <v/>
      </c>
      <c r="K240" s="8">
        <f>IFERROR(INDEX('02x_Accelerator_Catalog'!$D$2:$D$11,MATCH(F240,'02x_Accelerator_Catalog'!$B$2:$B$11,0)),"")</f>
        <v/>
      </c>
      <c r="L240" s="7">
        <f>IF(K240&gt;0,J240*1000/K240,"")</f>
        <v/>
      </c>
      <c r="M240" s="5" t="inlineStr">
        <is>
          <t>epoch_csp_chip_quantity_latest</t>
        </is>
      </c>
      <c r="N240" s="5" t="inlineStr">
        <is>
          <t>Extensible long-format output: add a new accelerator row in 02b and map it in 02x_Accelerator_Catalog to extend this table.</t>
        </is>
      </c>
    </row>
    <row r="241">
      <c r="A241" s="5">
        <f>B241&amp;"|"&amp;C241&amp;"|"&amp;D241&amp;"|"&amp;E241&amp;"|"&amp;F241</f>
        <v/>
      </c>
      <c r="B241" s="5" t="inlineStr">
        <is>
          <t>Base</t>
        </is>
      </c>
      <c r="C241" s="5" t="inlineStr">
        <is>
          <t>Meta</t>
        </is>
      </c>
      <c r="D241" s="5" t="n">
        <v>2030</v>
      </c>
      <c r="E241" s="5" t="inlineStr">
        <is>
          <t>Meta</t>
        </is>
      </c>
      <c r="F241" s="5" t="inlineStr">
        <is>
          <t>B200/B300 class</t>
        </is>
      </c>
      <c r="G241" s="5">
        <f>IFERROR(INDEX('02x_Accelerator_Catalog'!$C$2:$C$11,MATCH(F241,'02x_Accelerator_Catalog'!$B$2:$B$11,0)),"purpose_or_unbenchmarked")</f>
        <v/>
      </c>
      <c r="H241" s="28">
        <f>SUMIFS('02c_AI_CSP_Normalized'!$N$2:$N$305,'02c_AI_CSP_Normalized'!$B$2:$B$305,B241,'02c_AI_CSP_Normalized'!$C$2:$C$305,C241,'02c_AI_CSP_Normalized'!$D$2:$D$305,D241,'02c_AI_CSP_Normalized'!$E$2:$E$305,E241)</f>
        <v/>
      </c>
      <c r="I241" s="6">
        <f>SUMIFS('02b_CSP_Accelerator_Mix'!$H$2:$H$573,'02b_CSP_Accelerator_Mix'!$B$2:$B$573,B241,'02b_CSP_Accelerator_Mix'!$C$2:$C$573,E241,'02b_CSP_Accelerator_Mix'!$D$2:$D$573,D241,'02b_CSP_Accelerator_Mix'!$E$2:$E$573,F241)</f>
        <v/>
      </c>
      <c r="J241" s="28">
        <f>H241*I241</f>
        <v/>
      </c>
      <c r="K241" s="8">
        <f>IFERROR(INDEX('02x_Accelerator_Catalog'!$D$2:$D$11,MATCH(F241,'02x_Accelerator_Catalog'!$B$2:$B$11,0)),"")</f>
        <v/>
      </c>
      <c r="L241" s="7">
        <f>IF(K241&gt;0,J241*1000/K241,"")</f>
        <v/>
      </c>
      <c r="M241" s="5" t="inlineStr">
        <is>
          <t>epoch_csp_chip_quantity_latest</t>
        </is>
      </c>
      <c r="N241" s="5" t="inlineStr">
        <is>
          <t>Extensible long-format output: add a new accelerator row in 02b and map it in 02x_Accelerator_Catalog to extend this table.</t>
        </is>
      </c>
    </row>
    <row r="242">
      <c r="A242" s="5">
        <f>B242&amp;"|"&amp;C242&amp;"|"&amp;D242&amp;"|"&amp;E242&amp;"|"&amp;F242</f>
        <v/>
      </c>
      <c r="B242" s="5" t="inlineStr">
        <is>
          <t>Base</t>
        </is>
      </c>
      <c r="C242" s="5" t="inlineStr">
        <is>
          <t>Meta</t>
        </is>
      </c>
      <c r="D242" s="5" t="n">
        <v>2030</v>
      </c>
      <c r="E242" s="5" t="inlineStr">
        <is>
          <t>Meta</t>
        </is>
      </c>
      <c r="F242" s="5" t="inlineStr">
        <is>
          <t>H100/H200/A100 class</t>
        </is>
      </c>
      <c r="G242" s="5">
        <f>IFERROR(INDEX('02x_Accelerator_Catalog'!$C$2:$C$11,MATCH(F242,'02x_Accelerator_Catalog'!$B$2:$B$11,0)),"purpose_or_unbenchmarked")</f>
        <v/>
      </c>
      <c r="H242" s="28">
        <f>SUMIFS('02c_AI_CSP_Normalized'!$N$2:$N$305,'02c_AI_CSP_Normalized'!$B$2:$B$305,B242,'02c_AI_CSP_Normalized'!$C$2:$C$305,C242,'02c_AI_CSP_Normalized'!$D$2:$D$305,D242,'02c_AI_CSP_Normalized'!$E$2:$E$305,E242)</f>
        <v/>
      </c>
      <c r="I242" s="6">
        <f>SUMIFS('02b_CSP_Accelerator_Mix'!$H$2:$H$573,'02b_CSP_Accelerator_Mix'!$B$2:$B$573,B242,'02b_CSP_Accelerator_Mix'!$C$2:$C$573,E242,'02b_CSP_Accelerator_Mix'!$D$2:$D$573,D242,'02b_CSP_Accelerator_Mix'!$E$2:$E$573,F242)</f>
        <v/>
      </c>
      <c r="J242" s="28">
        <f>H242*I242</f>
        <v/>
      </c>
      <c r="K242" s="8">
        <f>IFERROR(INDEX('02x_Accelerator_Catalog'!$D$2:$D$11,MATCH(F242,'02x_Accelerator_Catalog'!$B$2:$B$11,0)),"")</f>
        <v/>
      </c>
      <c r="L242" s="7">
        <f>IF(K242&gt;0,J242*1000/K242,"")</f>
        <v/>
      </c>
      <c r="M242" s="5" t="inlineStr">
        <is>
          <t>epoch_csp_chip_quantity_latest</t>
        </is>
      </c>
      <c r="N242" s="5" t="inlineStr">
        <is>
          <t>Extensible long-format output: add a new accelerator row in 02b and map it in 02x_Accelerator_Catalog to extend this table.</t>
        </is>
      </c>
    </row>
    <row r="243">
      <c r="A243" s="5">
        <f>B243&amp;"|"&amp;C243&amp;"|"&amp;D243&amp;"|"&amp;E243&amp;"|"&amp;F243</f>
        <v/>
      </c>
      <c r="B243" s="5" t="inlineStr">
        <is>
          <t>Base</t>
        </is>
      </c>
      <c r="C243" s="5" t="inlineStr">
        <is>
          <t>Meta</t>
        </is>
      </c>
      <c r="D243" s="5" t="n">
        <v>2030</v>
      </c>
      <c r="E243" s="5" t="inlineStr">
        <is>
          <t>Meta</t>
        </is>
      </c>
      <c r="F243" s="5" t="inlineStr">
        <is>
          <t>R200/R300 future</t>
        </is>
      </c>
      <c r="G243" s="5">
        <f>IFERROR(INDEX('02x_Accelerator_Catalog'!$C$2:$C$11,MATCH(F243,'02x_Accelerator_Catalog'!$B$2:$B$11,0)),"purpose_or_unbenchmarked")</f>
        <v/>
      </c>
      <c r="H243" s="28">
        <f>SUMIFS('02c_AI_CSP_Normalized'!$N$2:$N$305,'02c_AI_CSP_Normalized'!$B$2:$B$305,B243,'02c_AI_CSP_Normalized'!$C$2:$C$305,C243,'02c_AI_CSP_Normalized'!$D$2:$D$305,D243,'02c_AI_CSP_Normalized'!$E$2:$E$305,E243)</f>
        <v/>
      </c>
      <c r="I243" s="6">
        <f>SUMIFS('02b_CSP_Accelerator_Mix'!$H$2:$H$573,'02b_CSP_Accelerator_Mix'!$B$2:$B$573,B243,'02b_CSP_Accelerator_Mix'!$C$2:$C$573,E243,'02b_CSP_Accelerator_Mix'!$D$2:$D$573,D243,'02b_CSP_Accelerator_Mix'!$E$2:$E$573,F243)</f>
        <v/>
      </c>
      <c r="J243" s="28">
        <f>H243*I243</f>
        <v/>
      </c>
      <c r="K243" s="8">
        <f>IFERROR(INDEX('02x_Accelerator_Catalog'!$D$2:$D$11,MATCH(F243,'02x_Accelerator_Catalog'!$B$2:$B$11,0)),"")</f>
        <v/>
      </c>
      <c r="L243" s="7">
        <f>IF(K243&gt;0,J243*1000/K243,"")</f>
        <v/>
      </c>
      <c r="M243" s="5" t="inlineStr">
        <is>
          <t>epoch_csp_chip_quantity_latest</t>
        </is>
      </c>
      <c r="N243" s="5" t="inlineStr">
        <is>
          <t>Extensible long-format output: add a new accelerator row in 02b and map it in 02x_Accelerator_Catalog to extend this table.</t>
        </is>
      </c>
    </row>
    <row r="244">
      <c r="A244" s="5">
        <f>B244&amp;"|"&amp;C244&amp;"|"&amp;D244&amp;"|"&amp;E244&amp;"|"&amp;F244</f>
        <v/>
      </c>
      <c r="B244" s="5" t="inlineStr">
        <is>
          <t>Bull</t>
        </is>
      </c>
      <c r="C244" s="5" t="inlineStr">
        <is>
          <t>Meta</t>
        </is>
      </c>
      <c r="D244" s="5" t="n">
        <v>2030</v>
      </c>
      <c r="E244" s="5" t="inlineStr">
        <is>
          <t>Meta</t>
        </is>
      </c>
      <c r="F244" s="5" t="inlineStr">
        <is>
          <t>B200/B300 class</t>
        </is>
      </c>
      <c r="G244" s="5">
        <f>IFERROR(INDEX('02x_Accelerator_Catalog'!$C$2:$C$11,MATCH(F244,'02x_Accelerator_Catalog'!$B$2:$B$11,0)),"purpose_or_unbenchmarked")</f>
        <v/>
      </c>
      <c r="H244" s="28">
        <f>SUMIFS('02c_AI_CSP_Normalized'!$N$2:$N$305,'02c_AI_CSP_Normalized'!$B$2:$B$305,B244,'02c_AI_CSP_Normalized'!$C$2:$C$305,C244,'02c_AI_CSP_Normalized'!$D$2:$D$305,D244,'02c_AI_CSP_Normalized'!$E$2:$E$305,E244)</f>
        <v/>
      </c>
      <c r="I244" s="6">
        <f>SUMIFS('02b_CSP_Accelerator_Mix'!$H$2:$H$573,'02b_CSP_Accelerator_Mix'!$B$2:$B$573,B244,'02b_CSP_Accelerator_Mix'!$C$2:$C$573,E244,'02b_CSP_Accelerator_Mix'!$D$2:$D$573,D244,'02b_CSP_Accelerator_Mix'!$E$2:$E$573,F244)</f>
        <v/>
      </c>
      <c r="J244" s="28">
        <f>H244*I244</f>
        <v/>
      </c>
      <c r="K244" s="8">
        <f>IFERROR(INDEX('02x_Accelerator_Catalog'!$D$2:$D$11,MATCH(F244,'02x_Accelerator_Catalog'!$B$2:$B$11,0)),"")</f>
        <v/>
      </c>
      <c r="L244" s="7">
        <f>IF(K244&gt;0,J244*1000/K244,"")</f>
        <v/>
      </c>
      <c r="M244" s="5" t="inlineStr">
        <is>
          <t>epoch_csp_chip_quantity_latest</t>
        </is>
      </c>
      <c r="N244" s="5" t="inlineStr">
        <is>
          <t>Extensible long-format output: add a new accelerator row in 02b and map it in 02x_Accelerator_Catalog to extend this table.</t>
        </is>
      </c>
    </row>
    <row r="245">
      <c r="A245" s="5">
        <f>B245&amp;"|"&amp;C245&amp;"|"&amp;D245&amp;"|"&amp;E245&amp;"|"&amp;F245</f>
        <v/>
      </c>
      <c r="B245" s="5" t="inlineStr">
        <is>
          <t>Bull</t>
        </is>
      </c>
      <c r="C245" s="5" t="inlineStr">
        <is>
          <t>Meta</t>
        </is>
      </c>
      <c r="D245" s="5" t="n">
        <v>2030</v>
      </c>
      <c r="E245" s="5" t="inlineStr">
        <is>
          <t>Meta</t>
        </is>
      </c>
      <c r="F245" s="5" t="inlineStr">
        <is>
          <t>H100/H200/A100 class</t>
        </is>
      </c>
      <c r="G245" s="5">
        <f>IFERROR(INDEX('02x_Accelerator_Catalog'!$C$2:$C$11,MATCH(F245,'02x_Accelerator_Catalog'!$B$2:$B$11,0)),"purpose_or_unbenchmarked")</f>
        <v/>
      </c>
      <c r="H245" s="28">
        <f>SUMIFS('02c_AI_CSP_Normalized'!$N$2:$N$305,'02c_AI_CSP_Normalized'!$B$2:$B$305,B245,'02c_AI_CSP_Normalized'!$C$2:$C$305,C245,'02c_AI_CSP_Normalized'!$D$2:$D$305,D245,'02c_AI_CSP_Normalized'!$E$2:$E$305,E245)</f>
        <v/>
      </c>
      <c r="I245" s="6">
        <f>SUMIFS('02b_CSP_Accelerator_Mix'!$H$2:$H$573,'02b_CSP_Accelerator_Mix'!$B$2:$B$573,B245,'02b_CSP_Accelerator_Mix'!$C$2:$C$573,E245,'02b_CSP_Accelerator_Mix'!$D$2:$D$573,D245,'02b_CSP_Accelerator_Mix'!$E$2:$E$573,F245)</f>
        <v/>
      </c>
      <c r="J245" s="28">
        <f>H245*I245</f>
        <v/>
      </c>
      <c r="K245" s="8">
        <f>IFERROR(INDEX('02x_Accelerator_Catalog'!$D$2:$D$11,MATCH(F245,'02x_Accelerator_Catalog'!$B$2:$B$11,0)),"")</f>
        <v/>
      </c>
      <c r="L245" s="7">
        <f>IF(K245&gt;0,J245*1000/K245,"")</f>
        <v/>
      </c>
      <c r="M245" s="5" t="inlineStr">
        <is>
          <t>epoch_csp_chip_quantity_latest</t>
        </is>
      </c>
      <c r="N245" s="5" t="inlineStr">
        <is>
          <t>Extensible long-format output: add a new accelerator row in 02b and map it in 02x_Accelerator_Catalog to extend this table.</t>
        </is>
      </c>
    </row>
    <row r="246">
      <c r="A246" s="5">
        <f>B246&amp;"|"&amp;C246&amp;"|"&amp;D246&amp;"|"&amp;E246&amp;"|"&amp;F246</f>
        <v/>
      </c>
      <c r="B246" s="5" t="inlineStr">
        <is>
          <t>Bull</t>
        </is>
      </c>
      <c r="C246" s="5" t="inlineStr">
        <is>
          <t>Meta</t>
        </is>
      </c>
      <c r="D246" s="5" t="n">
        <v>2030</v>
      </c>
      <c r="E246" s="5" t="inlineStr">
        <is>
          <t>Meta</t>
        </is>
      </c>
      <c r="F246" s="5" t="inlineStr">
        <is>
          <t>R200/R300 future</t>
        </is>
      </c>
      <c r="G246" s="5">
        <f>IFERROR(INDEX('02x_Accelerator_Catalog'!$C$2:$C$11,MATCH(F246,'02x_Accelerator_Catalog'!$B$2:$B$11,0)),"purpose_or_unbenchmarked")</f>
        <v/>
      </c>
      <c r="H246" s="28">
        <f>SUMIFS('02c_AI_CSP_Normalized'!$N$2:$N$305,'02c_AI_CSP_Normalized'!$B$2:$B$305,B246,'02c_AI_CSP_Normalized'!$C$2:$C$305,C246,'02c_AI_CSP_Normalized'!$D$2:$D$305,D246,'02c_AI_CSP_Normalized'!$E$2:$E$305,E246)</f>
        <v/>
      </c>
      <c r="I246" s="6">
        <f>SUMIFS('02b_CSP_Accelerator_Mix'!$H$2:$H$573,'02b_CSP_Accelerator_Mix'!$B$2:$B$573,B246,'02b_CSP_Accelerator_Mix'!$C$2:$C$573,E246,'02b_CSP_Accelerator_Mix'!$D$2:$D$573,D246,'02b_CSP_Accelerator_Mix'!$E$2:$E$573,F246)</f>
        <v/>
      </c>
      <c r="J246" s="28">
        <f>H246*I246</f>
        <v/>
      </c>
      <c r="K246" s="8">
        <f>IFERROR(INDEX('02x_Accelerator_Catalog'!$D$2:$D$11,MATCH(F246,'02x_Accelerator_Catalog'!$B$2:$B$11,0)),"")</f>
        <v/>
      </c>
      <c r="L246" s="7">
        <f>IF(K246&gt;0,J246*1000/K246,"")</f>
        <v/>
      </c>
      <c r="M246" s="5" t="inlineStr">
        <is>
          <t>epoch_csp_chip_quantity_latest</t>
        </is>
      </c>
      <c r="N246" s="5" t="inlineStr">
        <is>
          <t>Extensible long-format output: add a new accelerator row in 02b and map it in 02x_Accelerator_Catalog to extend this table.</t>
        </is>
      </c>
    </row>
    <row r="247">
      <c r="A247" s="5">
        <f>B247&amp;"|"&amp;C247&amp;"|"&amp;D247&amp;"|"&amp;E247&amp;"|"&amp;F247</f>
        <v/>
      </c>
      <c r="B247" s="5" t="inlineStr">
        <is>
          <t>Grid-Constrained / Efficiency-Upside</t>
        </is>
      </c>
      <c r="C247" s="5" t="inlineStr">
        <is>
          <t>Meta</t>
        </is>
      </c>
      <c r="D247" s="5" t="n">
        <v>2030</v>
      </c>
      <c r="E247" s="5" t="inlineStr">
        <is>
          <t>Meta</t>
        </is>
      </c>
      <c r="F247" s="5" t="inlineStr">
        <is>
          <t>B200/B300 class</t>
        </is>
      </c>
      <c r="G247" s="5">
        <f>IFERROR(INDEX('02x_Accelerator_Catalog'!$C$2:$C$11,MATCH(F247,'02x_Accelerator_Catalog'!$B$2:$B$11,0)),"purpose_or_unbenchmarked")</f>
        <v/>
      </c>
      <c r="H247" s="28">
        <f>SUMIFS('02c_AI_CSP_Normalized'!$N$2:$N$305,'02c_AI_CSP_Normalized'!$B$2:$B$305,B247,'02c_AI_CSP_Normalized'!$C$2:$C$305,C247,'02c_AI_CSP_Normalized'!$D$2:$D$305,D247,'02c_AI_CSP_Normalized'!$E$2:$E$305,E247)</f>
        <v/>
      </c>
      <c r="I247" s="6">
        <f>SUMIFS('02b_CSP_Accelerator_Mix'!$H$2:$H$573,'02b_CSP_Accelerator_Mix'!$B$2:$B$573,B247,'02b_CSP_Accelerator_Mix'!$C$2:$C$573,E247,'02b_CSP_Accelerator_Mix'!$D$2:$D$573,D247,'02b_CSP_Accelerator_Mix'!$E$2:$E$573,F247)</f>
        <v/>
      </c>
      <c r="J247" s="28">
        <f>H247*I247</f>
        <v/>
      </c>
      <c r="K247" s="8">
        <f>IFERROR(INDEX('02x_Accelerator_Catalog'!$D$2:$D$11,MATCH(F247,'02x_Accelerator_Catalog'!$B$2:$B$11,0)),"")</f>
        <v/>
      </c>
      <c r="L247" s="7">
        <f>IF(K247&gt;0,J247*1000/K247,"")</f>
        <v/>
      </c>
      <c r="M247" s="5" t="inlineStr">
        <is>
          <t>epoch_csp_chip_quantity_latest</t>
        </is>
      </c>
      <c r="N247" s="5" t="inlineStr">
        <is>
          <t>Extensible long-format output: add a new accelerator row in 02b and map it in 02x_Accelerator_Catalog to extend this table.</t>
        </is>
      </c>
    </row>
    <row r="248">
      <c r="A248" s="5">
        <f>B248&amp;"|"&amp;C248&amp;"|"&amp;D248&amp;"|"&amp;E248&amp;"|"&amp;F248</f>
        <v/>
      </c>
      <c r="B248" s="5" t="inlineStr">
        <is>
          <t>Grid-Constrained / Efficiency-Upside</t>
        </is>
      </c>
      <c r="C248" s="5" t="inlineStr">
        <is>
          <t>Meta</t>
        </is>
      </c>
      <c r="D248" s="5" t="n">
        <v>2030</v>
      </c>
      <c r="E248" s="5" t="inlineStr">
        <is>
          <t>Meta</t>
        </is>
      </c>
      <c r="F248" s="5" t="inlineStr">
        <is>
          <t>H100/H200/A100 class</t>
        </is>
      </c>
      <c r="G248" s="5">
        <f>IFERROR(INDEX('02x_Accelerator_Catalog'!$C$2:$C$11,MATCH(F248,'02x_Accelerator_Catalog'!$B$2:$B$11,0)),"purpose_or_unbenchmarked")</f>
        <v/>
      </c>
      <c r="H248" s="28">
        <f>SUMIFS('02c_AI_CSP_Normalized'!$N$2:$N$305,'02c_AI_CSP_Normalized'!$B$2:$B$305,B248,'02c_AI_CSP_Normalized'!$C$2:$C$305,C248,'02c_AI_CSP_Normalized'!$D$2:$D$305,D248,'02c_AI_CSP_Normalized'!$E$2:$E$305,E248)</f>
        <v/>
      </c>
      <c r="I248" s="6">
        <f>SUMIFS('02b_CSP_Accelerator_Mix'!$H$2:$H$573,'02b_CSP_Accelerator_Mix'!$B$2:$B$573,B248,'02b_CSP_Accelerator_Mix'!$C$2:$C$573,E248,'02b_CSP_Accelerator_Mix'!$D$2:$D$573,D248,'02b_CSP_Accelerator_Mix'!$E$2:$E$573,F248)</f>
        <v/>
      </c>
      <c r="J248" s="28">
        <f>H248*I248</f>
        <v/>
      </c>
      <c r="K248" s="8">
        <f>IFERROR(INDEX('02x_Accelerator_Catalog'!$D$2:$D$11,MATCH(F248,'02x_Accelerator_Catalog'!$B$2:$B$11,0)),"")</f>
        <v/>
      </c>
      <c r="L248" s="7">
        <f>IF(K248&gt;0,J248*1000/K248,"")</f>
        <v/>
      </c>
      <c r="M248" s="5" t="inlineStr">
        <is>
          <t>epoch_csp_chip_quantity_latest</t>
        </is>
      </c>
      <c r="N248" s="5" t="inlineStr">
        <is>
          <t>Extensible long-format output: add a new accelerator row in 02b and map it in 02x_Accelerator_Catalog to extend this table.</t>
        </is>
      </c>
    </row>
    <row r="249">
      <c r="A249" s="5">
        <f>B249&amp;"|"&amp;C249&amp;"|"&amp;D249&amp;"|"&amp;E249&amp;"|"&amp;F249</f>
        <v/>
      </c>
      <c r="B249" s="5" t="inlineStr">
        <is>
          <t>Grid-Constrained / Efficiency-Upside</t>
        </is>
      </c>
      <c r="C249" s="5" t="inlineStr">
        <is>
          <t>Meta</t>
        </is>
      </c>
      <c r="D249" s="5" t="n">
        <v>2030</v>
      </c>
      <c r="E249" s="5" t="inlineStr">
        <is>
          <t>Meta</t>
        </is>
      </c>
      <c r="F249" s="5" t="inlineStr">
        <is>
          <t>R200/R300 future</t>
        </is>
      </c>
      <c r="G249" s="5">
        <f>IFERROR(INDEX('02x_Accelerator_Catalog'!$C$2:$C$11,MATCH(F249,'02x_Accelerator_Catalog'!$B$2:$B$11,0)),"purpose_or_unbenchmarked")</f>
        <v/>
      </c>
      <c r="H249" s="28">
        <f>SUMIFS('02c_AI_CSP_Normalized'!$N$2:$N$305,'02c_AI_CSP_Normalized'!$B$2:$B$305,B249,'02c_AI_CSP_Normalized'!$C$2:$C$305,C249,'02c_AI_CSP_Normalized'!$D$2:$D$305,D249,'02c_AI_CSP_Normalized'!$E$2:$E$305,E249)</f>
        <v/>
      </c>
      <c r="I249" s="6">
        <f>SUMIFS('02b_CSP_Accelerator_Mix'!$H$2:$H$573,'02b_CSP_Accelerator_Mix'!$B$2:$B$573,B249,'02b_CSP_Accelerator_Mix'!$C$2:$C$573,E249,'02b_CSP_Accelerator_Mix'!$D$2:$D$573,D249,'02b_CSP_Accelerator_Mix'!$E$2:$E$573,F249)</f>
        <v/>
      </c>
      <c r="J249" s="28">
        <f>H249*I249</f>
        <v/>
      </c>
      <c r="K249" s="8">
        <f>IFERROR(INDEX('02x_Accelerator_Catalog'!$D$2:$D$11,MATCH(F249,'02x_Accelerator_Catalog'!$B$2:$B$11,0)),"")</f>
        <v/>
      </c>
      <c r="L249" s="7">
        <f>IF(K249&gt;0,J249*1000/K249,"")</f>
        <v/>
      </c>
      <c r="M249" s="5" t="inlineStr">
        <is>
          <t>epoch_csp_chip_quantity_latest</t>
        </is>
      </c>
      <c r="N249" s="5" t="inlineStr">
        <is>
          <t>Extensible long-format output: add a new accelerator row in 02b and map it in 02x_Accelerator_Catalog to extend this table.</t>
        </is>
      </c>
    </row>
    <row r="250">
      <c r="A250" s="5">
        <f>B250&amp;"|"&amp;C250&amp;"|"&amp;D250&amp;"|"&amp;E250&amp;"|"&amp;F250</f>
        <v/>
      </c>
      <c r="B250" s="5" t="inlineStr">
        <is>
          <t>Bear</t>
        </is>
      </c>
      <c r="C250" s="5" t="inlineStr">
        <is>
          <t>Microsoft</t>
        </is>
      </c>
      <c r="D250" s="5" t="n">
        <v>2026</v>
      </c>
      <c r="E250" s="5" t="inlineStr">
        <is>
          <t>Microsoft</t>
        </is>
      </c>
      <c r="F250" s="5" t="inlineStr">
        <is>
          <t>B200/B300 class</t>
        </is>
      </c>
      <c r="G250" s="5">
        <f>IFERROR(INDEX('02x_Accelerator_Catalog'!$C$2:$C$11,MATCH(F250,'02x_Accelerator_Catalog'!$B$2:$B$11,0)),"purpose_or_unbenchmarked")</f>
        <v/>
      </c>
      <c r="H250" s="28">
        <f>SUMIFS('02c_AI_CSP_Normalized'!$N$2:$N$305,'02c_AI_CSP_Normalized'!$B$2:$B$305,B250,'02c_AI_CSP_Normalized'!$C$2:$C$305,C250,'02c_AI_CSP_Normalized'!$D$2:$D$305,D250,'02c_AI_CSP_Normalized'!$E$2:$E$305,E250)</f>
        <v/>
      </c>
      <c r="I250" s="6">
        <f>SUMIFS('02b_CSP_Accelerator_Mix'!$H$2:$H$573,'02b_CSP_Accelerator_Mix'!$B$2:$B$573,B250,'02b_CSP_Accelerator_Mix'!$C$2:$C$573,E250,'02b_CSP_Accelerator_Mix'!$D$2:$D$573,D250,'02b_CSP_Accelerator_Mix'!$E$2:$E$573,F250)</f>
        <v/>
      </c>
      <c r="J250" s="28">
        <f>H250*I250</f>
        <v/>
      </c>
      <c r="K250" s="8">
        <f>IFERROR(INDEX('02x_Accelerator_Catalog'!$D$2:$D$11,MATCH(F250,'02x_Accelerator_Catalog'!$B$2:$B$11,0)),"")</f>
        <v/>
      </c>
      <c r="L250" s="7">
        <f>IF(K250&gt;0,J250*1000/K250,"")</f>
        <v/>
      </c>
      <c r="M250" s="5" t="inlineStr">
        <is>
          <t>epoch_csp_chip_quantity_latest</t>
        </is>
      </c>
      <c r="N250" s="5" t="inlineStr">
        <is>
          <t>Extensible long-format output: add a new accelerator row in 02b and map it in 02x_Accelerator_Catalog to extend this table.</t>
        </is>
      </c>
    </row>
    <row r="251">
      <c r="A251" s="5">
        <f>B251&amp;"|"&amp;C251&amp;"|"&amp;D251&amp;"|"&amp;E251&amp;"|"&amp;F251</f>
        <v/>
      </c>
      <c r="B251" s="5" t="inlineStr">
        <is>
          <t>Bear</t>
        </is>
      </c>
      <c r="C251" s="5" t="inlineStr">
        <is>
          <t>Microsoft</t>
        </is>
      </c>
      <c r="D251" s="5" t="n">
        <v>2026</v>
      </c>
      <c r="E251" s="5" t="inlineStr">
        <is>
          <t>Microsoft</t>
        </is>
      </c>
      <c r="F251" s="5" t="inlineStr">
        <is>
          <t>H100/H200/A100 class</t>
        </is>
      </c>
      <c r="G251" s="5">
        <f>IFERROR(INDEX('02x_Accelerator_Catalog'!$C$2:$C$11,MATCH(F251,'02x_Accelerator_Catalog'!$B$2:$B$11,0)),"purpose_or_unbenchmarked")</f>
        <v/>
      </c>
      <c r="H251" s="28">
        <f>SUMIFS('02c_AI_CSP_Normalized'!$N$2:$N$305,'02c_AI_CSP_Normalized'!$B$2:$B$305,B251,'02c_AI_CSP_Normalized'!$C$2:$C$305,C251,'02c_AI_CSP_Normalized'!$D$2:$D$305,D251,'02c_AI_CSP_Normalized'!$E$2:$E$305,E251)</f>
        <v/>
      </c>
      <c r="I251" s="6">
        <f>SUMIFS('02b_CSP_Accelerator_Mix'!$H$2:$H$573,'02b_CSP_Accelerator_Mix'!$B$2:$B$573,B251,'02b_CSP_Accelerator_Mix'!$C$2:$C$573,E251,'02b_CSP_Accelerator_Mix'!$D$2:$D$573,D251,'02b_CSP_Accelerator_Mix'!$E$2:$E$573,F251)</f>
        <v/>
      </c>
      <c r="J251" s="28">
        <f>H251*I251</f>
        <v/>
      </c>
      <c r="K251" s="8">
        <f>IFERROR(INDEX('02x_Accelerator_Catalog'!$D$2:$D$11,MATCH(F251,'02x_Accelerator_Catalog'!$B$2:$B$11,0)),"")</f>
        <v/>
      </c>
      <c r="L251" s="7">
        <f>IF(K251&gt;0,J251*1000/K251,"")</f>
        <v/>
      </c>
      <c r="M251" s="5" t="inlineStr">
        <is>
          <t>epoch_csp_chip_quantity_latest</t>
        </is>
      </c>
      <c r="N251" s="5" t="inlineStr">
        <is>
          <t>Extensible long-format output: add a new accelerator row in 02b and map it in 02x_Accelerator_Catalog to extend this table.</t>
        </is>
      </c>
    </row>
    <row r="252">
      <c r="A252" s="5">
        <f>B252&amp;"|"&amp;C252&amp;"|"&amp;D252&amp;"|"&amp;E252&amp;"|"&amp;F252</f>
        <v/>
      </c>
      <c r="B252" s="5" t="inlineStr">
        <is>
          <t>Base</t>
        </is>
      </c>
      <c r="C252" s="5" t="inlineStr">
        <is>
          <t>Microsoft</t>
        </is>
      </c>
      <c r="D252" s="5" t="n">
        <v>2026</v>
      </c>
      <c r="E252" s="5" t="inlineStr">
        <is>
          <t>Microsoft</t>
        </is>
      </c>
      <c r="F252" s="5" t="inlineStr">
        <is>
          <t>B200/B300 class</t>
        </is>
      </c>
      <c r="G252" s="5">
        <f>IFERROR(INDEX('02x_Accelerator_Catalog'!$C$2:$C$11,MATCH(F252,'02x_Accelerator_Catalog'!$B$2:$B$11,0)),"purpose_or_unbenchmarked")</f>
        <v/>
      </c>
      <c r="H252" s="28">
        <f>SUMIFS('02c_AI_CSP_Normalized'!$N$2:$N$305,'02c_AI_CSP_Normalized'!$B$2:$B$305,B252,'02c_AI_CSP_Normalized'!$C$2:$C$305,C252,'02c_AI_CSP_Normalized'!$D$2:$D$305,D252,'02c_AI_CSP_Normalized'!$E$2:$E$305,E252)</f>
        <v/>
      </c>
      <c r="I252" s="6">
        <f>SUMIFS('02b_CSP_Accelerator_Mix'!$H$2:$H$573,'02b_CSP_Accelerator_Mix'!$B$2:$B$573,B252,'02b_CSP_Accelerator_Mix'!$C$2:$C$573,E252,'02b_CSP_Accelerator_Mix'!$D$2:$D$573,D252,'02b_CSP_Accelerator_Mix'!$E$2:$E$573,F252)</f>
        <v/>
      </c>
      <c r="J252" s="28">
        <f>H252*I252</f>
        <v/>
      </c>
      <c r="K252" s="8">
        <f>IFERROR(INDEX('02x_Accelerator_Catalog'!$D$2:$D$11,MATCH(F252,'02x_Accelerator_Catalog'!$B$2:$B$11,0)),"")</f>
        <v/>
      </c>
      <c r="L252" s="7">
        <f>IF(K252&gt;0,J252*1000/K252,"")</f>
        <v/>
      </c>
      <c r="M252" s="5" t="inlineStr">
        <is>
          <t>epoch_csp_chip_quantity_latest</t>
        </is>
      </c>
      <c r="N252" s="5" t="inlineStr">
        <is>
          <t>Extensible long-format output: add a new accelerator row in 02b and map it in 02x_Accelerator_Catalog to extend this table.</t>
        </is>
      </c>
    </row>
    <row r="253">
      <c r="A253" s="5">
        <f>B253&amp;"|"&amp;C253&amp;"|"&amp;D253&amp;"|"&amp;E253&amp;"|"&amp;F253</f>
        <v/>
      </c>
      <c r="B253" s="5" t="inlineStr">
        <is>
          <t>Base</t>
        </is>
      </c>
      <c r="C253" s="5" t="inlineStr">
        <is>
          <t>Microsoft</t>
        </is>
      </c>
      <c r="D253" s="5" t="n">
        <v>2026</v>
      </c>
      <c r="E253" s="5" t="inlineStr">
        <is>
          <t>Microsoft</t>
        </is>
      </c>
      <c r="F253" s="5" t="inlineStr">
        <is>
          <t>H100/H200/A100 class</t>
        </is>
      </c>
      <c r="G253" s="5">
        <f>IFERROR(INDEX('02x_Accelerator_Catalog'!$C$2:$C$11,MATCH(F253,'02x_Accelerator_Catalog'!$B$2:$B$11,0)),"purpose_or_unbenchmarked")</f>
        <v/>
      </c>
      <c r="H253" s="28">
        <f>SUMIFS('02c_AI_CSP_Normalized'!$N$2:$N$305,'02c_AI_CSP_Normalized'!$B$2:$B$305,B253,'02c_AI_CSP_Normalized'!$C$2:$C$305,C253,'02c_AI_CSP_Normalized'!$D$2:$D$305,D253,'02c_AI_CSP_Normalized'!$E$2:$E$305,E253)</f>
        <v/>
      </c>
      <c r="I253" s="6">
        <f>SUMIFS('02b_CSP_Accelerator_Mix'!$H$2:$H$573,'02b_CSP_Accelerator_Mix'!$B$2:$B$573,B253,'02b_CSP_Accelerator_Mix'!$C$2:$C$573,E253,'02b_CSP_Accelerator_Mix'!$D$2:$D$573,D253,'02b_CSP_Accelerator_Mix'!$E$2:$E$573,F253)</f>
        <v/>
      </c>
      <c r="J253" s="28">
        <f>H253*I253</f>
        <v/>
      </c>
      <c r="K253" s="8">
        <f>IFERROR(INDEX('02x_Accelerator_Catalog'!$D$2:$D$11,MATCH(F253,'02x_Accelerator_Catalog'!$B$2:$B$11,0)),"")</f>
        <v/>
      </c>
      <c r="L253" s="7">
        <f>IF(K253&gt;0,J253*1000/K253,"")</f>
        <v/>
      </c>
      <c r="M253" s="5" t="inlineStr">
        <is>
          <t>epoch_csp_chip_quantity_latest</t>
        </is>
      </c>
      <c r="N253" s="5" t="inlineStr">
        <is>
          <t>Extensible long-format output: add a new accelerator row in 02b and map it in 02x_Accelerator_Catalog to extend this table.</t>
        </is>
      </c>
    </row>
    <row r="254">
      <c r="A254" s="5">
        <f>B254&amp;"|"&amp;C254&amp;"|"&amp;D254&amp;"|"&amp;E254&amp;"|"&amp;F254</f>
        <v/>
      </c>
      <c r="B254" s="5" t="inlineStr">
        <is>
          <t>Bull</t>
        </is>
      </c>
      <c r="C254" s="5" t="inlineStr">
        <is>
          <t>Microsoft</t>
        </is>
      </c>
      <c r="D254" s="5" t="n">
        <v>2026</v>
      </c>
      <c r="E254" s="5" t="inlineStr">
        <is>
          <t>Microsoft</t>
        </is>
      </c>
      <c r="F254" s="5" t="inlineStr">
        <is>
          <t>B200/B300 class</t>
        </is>
      </c>
      <c r="G254" s="5">
        <f>IFERROR(INDEX('02x_Accelerator_Catalog'!$C$2:$C$11,MATCH(F254,'02x_Accelerator_Catalog'!$B$2:$B$11,0)),"purpose_or_unbenchmarked")</f>
        <v/>
      </c>
      <c r="H254" s="28">
        <f>SUMIFS('02c_AI_CSP_Normalized'!$N$2:$N$305,'02c_AI_CSP_Normalized'!$B$2:$B$305,B254,'02c_AI_CSP_Normalized'!$C$2:$C$305,C254,'02c_AI_CSP_Normalized'!$D$2:$D$305,D254,'02c_AI_CSP_Normalized'!$E$2:$E$305,E254)</f>
        <v/>
      </c>
      <c r="I254" s="6">
        <f>SUMIFS('02b_CSP_Accelerator_Mix'!$H$2:$H$573,'02b_CSP_Accelerator_Mix'!$B$2:$B$573,B254,'02b_CSP_Accelerator_Mix'!$C$2:$C$573,E254,'02b_CSP_Accelerator_Mix'!$D$2:$D$573,D254,'02b_CSP_Accelerator_Mix'!$E$2:$E$573,F254)</f>
        <v/>
      </c>
      <c r="J254" s="28">
        <f>H254*I254</f>
        <v/>
      </c>
      <c r="K254" s="8">
        <f>IFERROR(INDEX('02x_Accelerator_Catalog'!$D$2:$D$11,MATCH(F254,'02x_Accelerator_Catalog'!$B$2:$B$11,0)),"")</f>
        <v/>
      </c>
      <c r="L254" s="7">
        <f>IF(K254&gt;0,J254*1000/K254,"")</f>
        <v/>
      </c>
      <c r="M254" s="5" t="inlineStr">
        <is>
          <t>epoch_csp_chip_quantity_latest</t>
        </is>
      </c>
      <c r="N254" s="5" t="inlineStr">
        <is>
          <t>Extensible long-format output: add a new accelerator row in 02b and map it in 02x_Accelerator_Catalog to extend this table.</t>
        </is>
      </c>
    </row>
    <row r="255">
      <c r="A255" s="5">
        <f>B255&amp;"|"&amp;C255&amp;"|"&amp;D255&amp;"|"&amp;E255&amp;"|"&amp;F255</f>
        <v/>
      </c>
      <c r="B255" s="5" t="inlineStr">
        <is>
          <t>Bull</t>
        </is>
      </c>
      <c r="C255" s="5" t="inlineStr">
        <is>
          <t>Microsoft</t>
        </is>
      </c>
      <c r="D255" s="5" t="n">
        <v>2026</v>
      </c>
      <c r="E255" s="5" t="inlineStr">
        <is>
          <t>Microsoft</t>
        </is>
      </c>
      <c r="F255" s="5" t="inlineStr">
        <is>
          <t>H100/H200/A100 class</t>
        </is>
      </c>
      <c r="G255" s="5">
        <f>IFERROR(INDEX('02x_Accelerator_Catalog'!$C$2:$C$11,MATCH(F255,'02x_Accelerator_Catalog'!$B$2:$B$11,0)),"purpose_or_unbenchmarked")</f>
        <v/>
      </c>
      <c r="H255" s="28">
        <f>SUMIFS('02c_AI_CSP_Normalized'!$N$2:$N$305,'02c_AI_CSP_Normalized'!$B$2:$B$305,B255,'02c_AI_CSP_Normalized'!$C$2:$C$305,C255,'02c_AI_CSP_Normalized'!$D$2:$D$305,D255,'02c_AI_CSP_Normalized'!$E$2:$E$305,E255)</f>
        <v/>
      </c>
      <c r="I255" s="6">
        <f>SUMIFS('02b_CSP_Accelerator_Mix'!$H$2:$H$573,'02b_CSP_Accelerator_Mix'!$B$2:$B$573,B255,'02b_CSP_Accelerator_Mix'!$C$2:$C$573,E255,'02b_CSP_Accelerator_Mix'!$D$2:$D$573,D255,'02b_CSP_Accelerator_Mix'!$E$2:$E$573,F255)</f>
        <v/>
      </c>
      <c r="J255" s="28">
        <f>H255*I255</f>
        <v/>
      </c>
      <c r="K255" s="8">
        <f>IFERROR(INDEX('02x_Accelerator_Catalog'!$D$2:$D$11,MATCH(F255,'02x_Accelerator_Catalog'!$B$2:$B$11,0)),"")</f>
        <v/>
      </c>
      <c r="L255" s="7">
        <f>IF(K255&gt;0,J255*1000/K255,"")</f>
        <v/>
      </c>
      <c r="M255" s="5" t="inlineStr">
        <is>
          <t>epoch_csp_chip_quantity_latest</t>
        </is>
      </c>
      <c r="N255" s="5" t="inlineStr">
        <is>
          <t>Extensible long-format output: add a new accelerator row in 02b and map it in 02x_Accelerator_Catalog to extend this table.</t>
        </is>
      </c>
    </row>
    <row r="256">
      <c r="A256" s="5">
        <f>B256&amp;"|"&amp;C256&amp;"|"&amp;D256&amp;"|"&amp;E256&amp;"|"&amp;F256</f>
        <v/>
      </c>
      <c r="B256" s="5" t="inlineStr">
        <is>
          <t>Grid-Constrained / Efficiency-Upside</t>
        </is>
      </c>
      <c r="C256" s="5" t="inlineStr">
        <is>
          <t>Microsoft</t>
        </is>
      </c>
      <c r="D256" s="5" t="n">
        <v>2026</v>
      </c>
      <c r="E256" s="5" t="inlineStr">
        <is>
          <t>Microsoft</t>
        </is>
      </c>
      <c r="F256" s="5" t="inlineStr">
        <is>
          <t>B200/B300 class</t>
        </is>
      </c>
      <c r="G256" s="5">
        <f>IFERROR(INDEX('02x_Accelerator_Catalog'!$C$2:$C$11,MATCH(F256,'02x_Accelerator_Catalog'!$B$2:$B$11,0)),"purpose_or_unbenchmarked")</f>
        <v/>
      </c>
      <c r="H256" s="28">
        <f>SUMIFS('02c_AI_CSP_Normalized'!$N$2:$N$305,'02c_AI_CSP_Normalized'!$B$2:$B$305,B256,'02c_AI_CSP_Normalized'!$C$2:$C$305,C256,'02c_AI_CSP_Normalized'!$D$2:$D$305,D256,'02c_AI_CSP_Normalized'!$E$2:$E$305,E256)</f>
        <v/>
      </c>
      <c r="I256" s="6">
        <f>SUMIFS('02b_CSP_Accelerator_Mix'!$H$2:$H$573,'02b_CSP_Accelerator_Mix'!$B$2:$B$573,B256,'02b_CSP_Accelerator_Mix'!$C$2:$C$573,E256,'02b_CSP_Accelerator_Mix'!$D$2:$D$573,D256,'02b_CSP_Accelerator_Mix'!$E$2:$E$573,F256)</f>
        <v/>
      </c>
      <c r="J256" s="28">
        <f>H256*I256</f>
        <v/>
      </c>
      <c r="K256" s="8">
        <f>IFERROR(INDEX('02x_Accelerator_Catalog'!$D$2:$D$11,MATCH(F256,'02x_Accelerator_Catalog'!$B$2:$B$11,0)),"")</f>
        <v/>
      </c>
      <c r="L256" s="7">
        <f>IF(K256&gt;0,J256*1000/K256,"")</f>
        <v/>
      </c>
      <c r="M256" s="5" t="inlineStr">
        <is>
          <t>epoch_csp_chip_quantity_latest</t>
        </is>
      </c>
      <c r="N256" s="5" t="inlineStr">
        <is>
          <t>Extensible long-format output: add a new accelerator row in 02b and map it in 02x_Accelerator_Catalog to extend this table.</t>
        </is>
      </c>
    </row>
    <row r="257">
      <c r="A257" s="5">
        <f>B257&amp;"|"&amp;C257&amp;"|"&amp;D257&amp;"|"&amp;E257&amp;"|"&amp;F257</f>
        <v/>
      </c>
      <c r="B257" s="5" t="inlineStr">
        <is>
          <t>Grid-Constrained / Efficiency-Upside</t>
        </is>
      </c>
      <c r="C257" s="5" t="inlineStr">
        <is>
          <t>Microsoft</t>
        </is>
      </c>
      <c r="D257" s="5" t="n">
        <v>2026</v>
      </c>
      <c r="E257" s="5" t="inlineStr">
        <is>
          <t>Microsoft</t>
        </is>
      </c>
      <c r="F257" s="5" t="inlineStr">
        <is>
          <t>H100/H200/A100 class</t>
        </is>
      </c>
      <c r="G257" s="5">
        <f>IFERROR(INDEX('02x_Accelerator_Catalog'!$C$2:$C$11,MATCH(F257,'02x_Accelerator_Catalog'!$B$2:$B$11,0)),"purpose_or_unbenchmarked")</f>
        <v/>
      </c>
      <c r="H257" s="28">
        <f>SUMIFS('02c_AI_CSP_Normalized'!$N$2:$N$305,'02c_AI_CSP_Normalized'!$B$2:$B$305,B257,'02c_AI_CSP_Normalized'!$C$2:$C$305,C257,'02c_AI_CSP_Normalized'!$D$2:$D$305,D257,'02c_AI_CSP_Normalized'!$E$2:$E$305,E257)</f>
        <v/>
      </c>
      <c r="I257" s="6">
        <f>SUMIFS('02b_CSP_Accelerator_Mix'!$H$2:$H$573,'02b_CSP_Accelerator_Mix'!$B$2:$B$573,B257,'02b_CSP_Accelerator_Mix'!$C$2:$C$573,E257,'02b_CSP_Accelerator_Mix'!$D$2:$D$573,D257,'02b_CSP_Accelerator_Mix'!$E$2:$E$573,F257)</f>
        <v/>
      </c>
      <c r="J257" s="28">
        <f>H257*I257</f>
        <v/>
      </c>
      <c r="K257" s="8">
        <f>IFERROR(INDEX('02x_Accelerator_Catalog'!$D$2:$D$11,MATCH(F257,'02x_Accelerator_Catalog'!$B$2:$B$11,0)),"")</f>
        <v/>
      </c>
      <c r="L257" s="7">
        <f>IF(K257&gt;0,J257*1000/K257,"")</f>
        <v/>
      </c>
      <c r="M257" s="5" t="inlineStr">
        <is>
          <t>epoch_csp_chip_quantity_latest</t>
        </is>
      </c>
      <c r="N257" s="5" t="inlineStr">
        <is>
          <t>Extensible long-format output: add a new accelerator row in 02b and map it in 02x_Accelerator_Catalog to extend this table.</t>
        </is>
      </c>
    </row>
    <row r="258">
      <c r="A258" s="5">
        <f>B258&amp;"|"&amp;C258&amp;"|"&amp;D258&amp;"|"&amp;E258&amp;"|"&amp;F258</f>
        <v/>
      </c>
      <c r="B258" s="5" t="inlineStr">
        <is>
          <t>Bear</t>
        </is>
      </c>
      <c r="C258" s="5" t="inlineStr">
        <is>
          <t>Microsoft</t>
        </is>
      </c>
      <c r="D258" s="5" t="n">
        <v>2027</v>
      </c>
      <c r="E258" s="5" t="inlineStr">
        <is>
          <t>Microsoft</t>
        </is>
      </c>
      <c r="F258" s="5" t="inlineStr">
        <is>
          <t>B200/B300 class</t>
        </is>
      </c>
      <c r="G258" s="5">
        <f>IFERROR(INDEX('02x_Accelerator_Catalog'!$C$2:$C$11,MATCH(F258,'02x_Accelerator_Catalog'!$B$2:$B$11,0)),"purpose_or_unbenchmarked")</f>
        <v/>
      </c>
      <c r="H258" s="28">
        <f>SUMIFS('02c_AI_CSP_Normalized'!$N$2:$N$305,'02c_AI_CSP_Normalized'!$B$2:$B$305,B258,'02c_AI_CSP_Normalized'!$C$2:$C$305,C258,'02c_AI_CSP_Normalized'!$D$2:$D$305,D258,'02c_AI_CSP_Normalized'!$E$2:$E$305,E258)</f>
        <v/>
      </c>
      <c r="I258" s="6">
        <f>SUMIFS('02b_CSP_Accelerator_Mix'!$H$2:$H$573,'02b_CSP_Accelerator_Mix'!$B$2:$B$573,B258,'02b_CSP_Accelerator_Mix'!$C$2:$C$573,E258,'02b_CSP_Accelerator_Mix'!$D$2:$D$573,D258,'02b_CSP_Accelerator_Mix'!$E$2:$E$573,F258)</f>
        <v/>
      </c>
      <c r="J258" s="28">
        <f>H258*I258</f>
        <v/>
      </c>
      <c r="K258" s="8">
        <f>IFERROR(INDEX('02x_Accelerator_Catalog'!$D$2:$D$11,MATCH(F258,'02x_Accelerator_Catalog'!$B$2:$B$11,0)),"")</f>
        <v/>
      </c>
      <c r="L258" s="7">
        <f>IF(K258&gt;0,J258*1000/K258,"")</f>
        <v/>
      </c>
      <c r="M258" s="5" t="inlineStr">
        <is>
          <t>epoch_csp_chip_quantity_latest</t>
        </is>
      </c>
      <c r="N258" s="5" t="inlineStr">
        <is>
          <t>Extensible long-format output: add a new accelerator row in 02b and map it in 02x_Accelerator_Catalog to extend this table.</t>
        </is>
      </c>
    </row>
    <row r="259">
      <c r="A259" s="5">
        <f>B259&amp;"|"&amp;C259&amp;"|"&amp;D259&amp;"|"&amp;E259&amp;"|"&amp;F259</f>
        <v/>
      </c>
      <c r="B259" s="5" t="inlineStr">
        <is>
          <t>Bear</t>
        </is>
      </c>
      <c r="C259" s="5" t="inlineStr">
        <is>
          <t>Microsoft</t>
        </is>
      </c>
      <c r="D259" s="5" t="n">
        <v>2027</v>
      </c>
      <c r="E259" s="5" t="inlineStr">
        <is>
          <t>Microsoft</t>
        </is>
      </c>
      <c r="F259" s="5" t="inlineStr">
        <is>
          <t>H100/H200/A100 class</t>
        </is>
      </c>
      <c r="G259" s="5">
        <f>IFERROR(INDEX('02x_Accelerator_Catalog'!$C$2:$C$11,MATCH(F259,'02x_Accelerator_Catalog'!$B$2:$B$11,0)),"purpose_or_unbenchmarked")</f>
        <v/>
      </c>
      <c r="H259" s="28">
        <f>SUMIFS('02c_AI_CSP_Normalized'!$N$2:$N$305,'02c_AI_CSP_Normalized'!$B$2:$B$305,B259,'02c_AI_CSP_Normalized'!$C$2:$C$305,C259,'02c_AI_CSP_Normalized'!$D$2:$D$305,D259,'02c_AI_CSP_Normalized'!$E$2:$E$305,E259)</f>
        <v/>
      </c>
      <c r="I259" s="6">
        <f>SUMIFS('02b_CSP_Accelerator_Mix'!$H$2:$H$573,'02b_CSP_Accelerator_Mix'!$B$2:$B$573,B259,'02b_CSP_Accelerator_Mix'!$C$2:$C$573,E259,'02b_CSP_Accelerator_Mix'!$D$2:$D$573,D259,'02b_CSP_Accelerator_Mix'!$E$2:$E$573,F259)</f>
        <v/>
      </c>
      <c r="J259" s="28">
        <f>H259*I259</f>
        <v/>
      </c>
      <c r="K259" s="8">
        <f>IFERROR(INDEX('02x_Accelerator_Catalog'!$D$2:$D$11,MATCH(F259,'02x_Accelerator_Catalog'!$B$2:$B$11,0)),"")</f>
        <v/>
      </c>
      <c r="L259" s="7">
        <f>IF(K259&gt;0,J259*1000/K259,"")</f>
        <v/>
      </c>
      <c r="M259" s="5" t="inlineStr">
        <is>
          <t>epoch_csp_chip_quantity_latest</t>
        </is>
      </c>
      <c r="N259" s="5" t="inlineStr">
        <is>
          <t>Extensible long-format output: add a new accelerator row in 02b and map it in 02x_Accelerator_Catalog to extend this table.</t>
        </is>
      </c>
    </row>
    <row r="260">
      <c r="A260" s="5">
        <f>B260&amp;"|"&amp;C260&amp;"|"&amp;D260&amp;"|"&amp;E260&amp;"|"&amp;F260</f>
        <v/>
      </c>
      <c r="B260" s="5" t="inlineStr">
        <is>
          <t>Base</t>
        </is>
      </c>
      <c r="C260" s="5" t="inlineStr">
        <is>
          <t>Microsoft</t>
        </is>
      </c>
      <c r="D260" s="5" t="n">
        <v>2027</v>
      </c>
      <c r="E260" s="5" t="inlineStr">
        <is>
          <t>Microsoft</t>
        </is>
      </c>
      <c r="F260" s="5" t="inlineStr">
        <is>
          <t>B200/B300 class</t>
        </is>
      </c>
      <c r="G260" s="5">
        <f>IFERROR(INDEX('02x_Accelerator_Catalog'!$C$2:$C$11,MATCH(F260,'02x_Accelerator_Catalog'!$B$2:$B$11,0)),"purpose_or_unbenchmarked")</f>
        <v/>
      </c>
      <c r="H260" s="28">
        <f>SUMIFS('02c_AI_CSP_Normalized'!$N$2:$N$305,'02c_AI_CSP_Normalized'!$B$2:$B$305,B260,'02c_AI_CSP_Normalized'!$C$2:$C$305,C260,'02c_AI_CSP_Normalized'!$D$2:$D$305,D260,'02c_AI_CSP_Normalized'!$E$2:$E$305,E260)</f>
        <v/>
      </c>
      <c r="I260" s="6">
        <f>SUMIFS('02b_CSP_Accelerator_Mix'!$H$2:$H$573,'02b_CSP_Accelerator_Mix'!$B$2:$B$573,B260,'02b_CSP_Accelerator_Mix'!$C$2:$C$573,E260,'02b_CSP_Accelerator_Mix'!$D$2:$D$573,D260,'02b_CSP_Accelerator_Mix'!$E$2:$E$573,F260)</f>
        <v/>
      </c>
      <c r="J260" s="28">
        <f>H260*I260</f>
        <v/>
      </c>
      <c r="K260" s="8">
        <f>IFERROR(INDEX('02x_Accelerator_Catalog'!$D$2:$D$11,MATCH(F260,'02x_Accelerator_Catalog'!$B$2:$B$11,0)),"")</f>
        <v/>
      </c>
      <c r="L260" s="7">
        <f>IF(K260&gt;0,J260*1000/K260,"")</f>
        <v/>
      </c>
      <c r="M260" s="5" t="inlineStr">
        <is>
          <t>epoch_csp_chip_quantity_latest</t>
        </is>
      </c>
      <c r="N260" s="5" t="inlineStr">
        <is>
          <t>Extensible long-format output: add a new accelerator row in 02b and map it in 02x_Accelerator_Catalog to extend this table.</t>
        </is>
      </c>
    </row>
    <row r="261">
      <c r="A261" s="5">
        <f>B261&amp;"|"&amp;C261&amp;"|"&amp;D261&amp;"|"&amp;E261&amp;"|"&amp;F261</f>
        <v/>
      </c>
      <c r="B261" s="5" t="inlineStr">
        <is>
          <t>Base</t>
        </is>
      </c>
      <c r="C261" s="5" t="inlineStr">
        <is>
          <t>Microsoft</t>
        </is>
      </c>
      <c r="D261" s="5" t="n">
        <v>2027</v>
      </c>
      <c r="E261" s="5" t="inlineStr">
        <is>
          <t>Microsoft</t>
        </is>
      </c>
      <c r="F261" s="5" t="inlineStr">
        <is>
          <t>H100/H200/A100 class</t>
        </is>
      </c>
      <c r="G261" s="5">
        <f>IFERROR(INDEX('02x_Accelerator_Catalog'!$C$2:$C$11,MATCH(F261,'02x_Accelerator_Catalog'!$B$2:$B$11,0)),"purpose_or_unbenchmarked")</f>
        <v/>
      </c>
      <c r="H261" s="28">
        <f>SUMIFS('02c_AI_CSP_Normalized'!$N$2:$N$305,'02c_AI_CSP_Normalized'!$B$2:$B$305,B261,'02c_AI_CSP_Normalized'!$C$2:$C$305,C261,'02c_AI_CSP_Normalized'!$D$2:$D$305,D261,'02c_AI_CSP_Normalized'!$E$2:$E$305,E261)</f>
        <v/>
      </c>
      <c r="I261" s="6">
        <f>SUMIFS('02b_CSP_Accelerator_Mix'!$H$2:$H$573,'02b_CSP_Accelerator_Mix'!$B$2:$B$573,B261,'02b_CSP_Accelerator_Mix'!$C$2:$C$573,E261,'02b_CSP_Accelerator_Mix'!$D$2:$D$573,D261,'02b_CSP_Accelerator_Mix'!$E$2:$E$573,F261)</f>
        <v/>
      </c>
      <c r="J261" s="28">
        <f>H261*I261</f>
        <v/>
      </c>
      <c r="K261" s="8">
        <f>IFERROR(INDEX('02x_Accelerator_Catalog'!$D$2:$D$11,MATCH(F261,'02x_Accelerator_Catalog'!$B$2:$B$11,0)),"")</f>
        <v/>
      </c>
      <c r="L261" s="7">
        <f>IF(K261&gt;0,J261*1000/K261,"")</f>
        <v/>
      </c>
      <c r="M261" s="5" t="inlineStr">
        <is>
          <t>epoch_csp_chip_quantity_latest</t>
        </is>
      </c>
      <c r="N261" s="5" t="inlineStr">
        <is>
          <t>Extensible long-format output: add a new accelerator row in 02b and map it in 02x_Accelerator_Catalog to extend this table.</t>
        </is>
      </c>
    </row>
    <row r="262">
      <c r="A262" s="5">
        <f>B262&amp;"|"&amp;C262&amp;"|"&amp;D262&amp;"|"&amp;E262&amp;"|"&amp;F262</f>
        <v/>
      </c>
      <c r="B262" s="5" t="inlineStr">
        <is>
          <t>Bull</t>
        </is>
      </c>
      <c r="C262" s="5" t="inlineStr">
        <is>
          <t>Microsoft</t>
        </is>
      </c>
      <c r="D262" s="5" t="n">
        <v>2027</v>
      </c>
      <c r="E262" s="5" t="inlineStr">
        <is>
          <t>Microsoft</t>
        </is>
      </c>
      <c r="F262" s="5" t="inlineStr">
        <is>
          <t>B200/B300 class</t>
        </is>
      </c>
      <c r="G262" s="5">
        <f>IFERROR(INDEX('02x_Accelerator_Catalog'!$C$2:$C$11,MATCH(F262,'02x_Accelerator_Catalog'!$B$2:$B$11,0)),"purpose_or_unbenchmarked")</f>
        <v/>
      </c>
      <c r="H262" s="28">
        <f>SUMIFS('02c_AI_CSP_Normalized'!$N$2:$N$305,'02c_AI_CSP_Normalized'!$B$2:$B$305,B262,'02c_AI_CSP_Normalized'!$C$2:$C$305,C262,'02c_AI_CSP_Normalized'!$D$2:$D$305,D262,'02c_AI_CSP_Normalized'!$E$2:$E$305,E262)</f>
        <v/>
      </c>
      <c r="I262" s="6">
        <f>SUMIFS('02b_CSP_Accelerator_Mix'!$H$2:$H$573,'02b_CSP_Accelerator_Mix'!$B$2:$B$573,B262,'02b_CSP_Accelerator_Mix'!$C$2:$C$573,E262,'02b_CSP_Accelerator_Mix'!$D$2:$D$573,D262,'02b_CSP_Accelerator_Mix'!$E$2:$E$573,F262)</f>
        <v/>
      </c>
      <c r="J262" s="28">
        <f>H262*I262</f>
        <v/>
      </c>
      <c r="K262" s="8">
        <f>IFERROR(INDEX('02x_Accelerator_Catalog'!$D$2:$D$11,MATCH(F262,'02x_Accelerator_Catalog'!$B$2:$B$11,0)),"")</f>
        <v/>
      </c>
      <c r="L262" s="7">
        <f>IF(K262&gt;0,J262*1000/K262,"")</f>
        <v/>
      </c>
      <c r="M262" s="5" t="inlineStr">
        <is>
          <t>epoch_csp_chip_quantity_latest</t>
        </is>
      </c>
      <c r="N262" s="5" t="inlineStr">
        <is>
          <t>Extensible long-format output: add a new accelerator row in 02b and map it in 02x_Accelerator_Catalog to extend this table.</t>
        </is>
      </c>
    </row>
    <row r="263">
      <c r="A263" s="5">
        <f>B263&amp;"|"&amp;C263&amp;"|"&amp;D263&amp;"|"&amp;E263&amp;"|"&amp;F263</f>
        <v/>
      </c>
      <c r="B263" s="5" t="inlineStr">
        <is>
          <t>Bull</t>
        </is>
      </c>
      <c r="C263" s="5" t="inlineStr">
        <is>
          <t>Microsoft</t>
        </is>
      </c>
      <c r="D263" s="5" t="n">
        <v>2027</v>
      </c>
      <c r="E263" s="5" t="inlineStr">
        <is>
          <t>Microsoft</t>
        </is>
      </c>
      <c r="F263" s="5" t="inlineStr">
        <is>
          <t>H100/H200/A100 class</t>
        </is>
      </c>
      <c r="G263" s="5">
        <f>IFERROR(INDEX('02x_Accelerator_Catalog'!$C$2:$C$11,MATCH(F263,'02x_Accelerator_Catalog'!$B$2:$B$11,0)),"purpose_or_unbenchmarked")</f>
        <v/>
      </c>
      <c r="H263" s="28">
        <f>SUMIFS('02c_AI_CSP_Normalized'!$N$2:$N$305,'02c_AI_CSP_Normalized'!$B$2:$B$305,B263,'02c_AI_CSP_Normalized'!$C$2:$C$305,C263,'02c_AI_CSP_Normalized'!$D$2:$D$305,D263,'02c_AI_CSP_Normalized'!$E$2:$E$305,E263)</f>
        <v/>
      </c>
      <c r="I263" s="6">
        <f>SUMIFS('02b_CSP_Accelerator_Mix'!$H$2:$H$573,'02b_CSP_Accelerator_Mix'!$B$2:$B$573,B263,'02b_CSP_Accelerator_Mix'!$C$2:$C$573,E263,'02b_CSP_Accelerator_Mix'!$D$2:$D$573,D263,'02b_CSP_Accelerator_Mix'!$E$2:$E$573,F263)</f>
        <v/>
      </c>
      <c r="J263" s="28">
        <f>H263*I263</f>
        <v/>
      </c>
      <c r="K263" s="8">
        <f>IFERROR(INDEX('02x_Accelerator_Catalog'!$D$2:$D$11,MATCH(F263,'02x_Accelerator_Catalog'!$B$2:$B$11,0)),"")</f>
        <v/>
      </c>
      <c r="L263" s="7">
        <f>IF(K263&gt;0,J263*1000/K263,"")</f>
        <v/>
      </c>
      <c r="M263" s="5" t="inlineStr">
        <is>
          <t>epoch_csp_chip_quantity_latest</t>
        </is>
      </c>
      <c r="N263" s="5" t="inlineStr">
        <is>
          <t>Extensible long-format output: add a new accelerator row in 02b and map it in 02x_Accelerator_Catalog to extend this table.</t>
        </is>
      </c>
    </row>
    <row r="264">
      <c r="A264" s="5">
        <f>B264&amp;"|"&amp;C264&amp;"|"&amp;D264&amp;"|"&amp;E264&amp;"|"&amp;F264</f>
        <v/>
      </c>
      <c r="B264" s="5" t="inlineStr">
        <is>
          <t>Grid-Constrained / Efficiency-Upside</t>
        </is>
      </c>
      <c r="C264" s="5" t="inlineStr">
        <is>
          <t>Microsoft</t>
        </is>
      </c>
      <c r="D264" s="5" t="n">
        <v>2027</v>
      </c>
      <c r="E264" s="5" t="inlineStr">
        <is>
          <t>Microsoft</t>
        </is>
      </c>
      <c r="F264" s="5" t="inlineStr">
        <is>
          <t>B200/B300 class</t>
        </is>
      </c>
      <c r="G264" s="5">
        <f>IFERROR(INDEX('02x_Accelerator_Catalog'!$C$2:$C$11,MATCH(F264,'02x_Accelerator_Catalog'!$B$2:$B$11,0)),"purpose_or_unbenchmarked")</f>
        <v/>
      </c>
      <c r="H264" s="28">
        <f>SUMIFS('02c_AI_CSP_Normalized'!$N$2:$N$305,'02c_AI_CSP_Normalized'!$B$2:$B$305,B264,'02c_AI_CSP_Normalized'!$C$2:$C$305,C264,'02c_AI_CSP_Normalized'!$D$2:$D$305,D264,'02c_AI_CSP_Normalized'!$E$2:$E$305,E264)</f>
        <v/>
      </c>
      <c r="I264" s="6">
        <f>SUMIFS('02b_CSP_Accelerator_Mix'!$H$2:$H$573,'02b_CSP_Accelerator_Mix'!$B$2:$B$573,B264,'02b_CSP_Accelerator_Mix'!$C$2:$C$573,E264,'02b_CSP_Accelerator_Mix'!$D$2:$D$573,D264,'02b_CSP_Accelerator_Mix'!$E$2:$E$573,F264)</f>
        <v/>
      </c>
      <c r="J264" s="28">
        <f>H264*I264</f>
        <v/>
      </c>
      <c r="K264" s="8">
        <f>IFERROR(INDEX('02x_Accelerator_Catalog'!$D$2:$D$11,MATCH(F264,'02x_Accelerator_Catalog'!$B$2:$B$11,0)),"")</f>
        <v/>
      </c>
      <c r="L264" s="7">
        <f>IF(K264&gt;0,J264*1000/K264,"")</f>
        <v/>
      </c>
      <c r="M264" s="5" t="inlineStr">
        <is>
          <t>epoch_csp_chip_quantity_latest</t>
        </is>
      </c>
      <c r="N264" s="5" t="inlineStr">
        <is>
          <t>Extensible long-format output: add a new accelerator row in 02b and map it in 02x_Accelerator_Catalog to extend this table.</t>
        </is>
      </c>
    </row>
    <row r="265">
      <c r="A265" s="5">
        <f>B265&amp;"|"&amp;C265&amp;"|"&amp;D265&amp;"|"&amp;E265&amp;"|"&amp;F265</f>
        <v/>
      </c>
      <c r="B265" s="5" t="inlineStr">
        <is>
          <t>Grid-Constrained / Efficiency-Upside</t>
        </is>
      </c>
      <c r="C265" s="5" t="inlineStr">
        <is>
          <t>Microsoft</t>
        </is>
      </c>
      <c r="D265" s="5" t="n">
        <v>2027</v>
      </c>
      <c r="E265" s="5" t="inlineStr">
        <is>
          <t>Microsoft</t>
        </is>
      </c>
      <c r="F265" s="5" t="inlineStr">
        <is>
          <t>H100/H200/A100 class</t>
        </is>
      </c>
      <c r="G265" s="5">
        <f>IFERROR(INDEX('02x_Accelerator_Catalog'!$C$2:$C$11,MATCH(F265,'02x_Accelerator_Catalog'!$B$2:$B$11,0)),"purpose_or_unbenchmarked")</f>
        <v/>
      </c>
      <c r="H265" s="28">
        <f>SUMIFS('02c_AI_CSP_Normalized'!$N$2:$N$305,'02c_AI_CSP_Normalized'!$B$2:$B$305,B265,'02c_AI_CSP_Normalized'!$C$2:$C$305,C265,'02c_AI_CSP_Normalized'!$D$2:$D$305,D265,'02c_AI_CSP_Normalized'!$E$2:$E$305,E265)</f>
        <v/>
      </c>
      <c r="I265" s="6">
        <f>SUMIFS('02b_CSP_Accelerator_Mix'!$H$2:$H$573,'02b_CSP_Accelerator_Mix'!$B$2:$B$573,B265,'02b_CSP_Accelerator_Mix'!$C$2:$C$573,E265,'02b_CSP_Accelerator_Mix'!$D$2:$D$573,D265,'02b_CSP_Accelerator_Mix'!$E$2:$E$573,F265)</f>
        <v/>
      </c>
      <c r="J265" s="28">
        <f>H265*I265</f>
        <v/>
      </c>
      <c r="K265" s="8">
        <f>IFERROR(INDEX('02x_Accelerator_Catalog'!$D$2:$D$11,MATCH(F265,'02x_Accelerator_Catalog'!$B$2:$B$11,0)),"")</f>
        <v/>
      </c>
      <c r="L265" s="7">
        <f>IF(K265&gt;0,J265*1000/K265,"")</f>
        <v/>
      </c>
      <c r="M265" s="5" t="inlineStr">
        <is>
          <t>epoch_csp_chip_quantity_latest</t>
        </is>
      </c>
      <c r="N265" s="5" t="inlineStr">
        <is>
          <t>Extensible long-format output: add a new accelerator row in 02b and map it in 02x_Accelerator_Catalog to extend this table.</t>
        </is>
      </c>
    </row>
    <row r="266">
      <c r="A266" s="5">
        <f>B266&amp;"|"&amp;C266&amp;"|"&amp;D266&amp;"|"&amp;E266&amp;"|"&amp;F266</f>
        <v/>
      </c>
      <c r="B266" s="5" t="inlineStr">
        <is>
          <t>Bear</t>
        </is>
      </c>
      <c r="C266" s="5" t="inlineStr">
        <is>
          <t>Microsoft</t>
        </is>
      </c>
      <c r="D266" s="5" t="n">
        <v>2028</v>
      </c>
      <c r="E266" s="5" t="inlineStr">
        <is>
          <t>Microsoft</t>
        </is>
      </c>
      <c r="F266" s="5" t="inlineStr">
        <is>
          <t>B200/B300 class</t>
        </is>
      </c>
      <c r="G266" s="5">
        <f>IFERROR(INDEX('02x_Accelerator_Catalog'!$C$2:$C$11,MATCH(F266,'02x_Accelerator_Catalog'!$B$2:$B$11,0)),"purpose_or_unbenchmarked")</f>
        <v/>
      </c>
      <c r="H266" s="28">
        <f>SUMIFS('02c_AI_CSP_Normalized'!$N$2:$N$305,'02c_AI_CSP_Normalized'!$B$2:$B$305,B266,'02c_AI_CSP_Normalized'!$C$2:$C$305,C266,'02c_AI_CSP_Normalized'!$D$2:$D$305,D266,'02c_AI_CSP_Normalized'!$E$2:$E$305,E266)</f>
        <v/>
      </c>
      <c r="I266" s="6">
        <f>SUMIFS('02b_CSP_Accelerator_Mix'!$H$2:$H$573,'02b_CSP_Accelerator_Mix'!$B$2:$B$573,B266,'02b_CSP_Accelerator_Mix'!$C$2:$C$573,E266,'02b_CSP_Accelerator_Mix'!$D$2:$D$573,D266,'02b_CSP_Accelerator_Mix'!$E$2:$E$573,F266)</f>
        <v/>
      </c>
      <c r="J266" s="28">
        <f>H266*I266</f>
        <v/>
      </c>
      <c r="K266" s="8">
        <f>IFERROR(INDEX('02x_Accelerator_Catalog'!$D$2:$D$11,MATCH(F266,'02x_Accelerator_Catalog'!$B$2:$B$11,0)),"")</f>
        <v/>
      </c>
      <c r="L266" s="7">
        <f>IF(K266&gt;0,J266*1000/K266,"")</f>
        <v/>
      </c>
      <c r="M266" s="5" t="inlineStr">
        <is>
          <t>epoch_csp_chip_quantity_latest</t>
        </is>
      </c>
      <c r="N266" s="5" t="inlineStr">
        <is>
          <t>Extensible long-format output: add a new accelerator row in 02b and map it in 02x_Accelerator_Catalog to extend this table.</t>
        </is>
      </c>
    </row>
    <row r="267">
      <c r="A267" s="5">
        <f>B267&amp;"|"&amp;C267&amp;"|"&amp;D267&amp;"|"&amp;E267&amp;"|"&amp;F267</f>
        <v/>
      </c>
      <c r="B267" s="5" t="inlineStr">
        <is>
          <t>Bear</t>
        </is>
      </c>
      <c r="C267" s="5" t="inlineStr">
        <is>
          <t>Microsoft</t>
        </is>
      </c>
      <c r="D267" s="5" t="n">
        <v>2028</v>
      </c>
      <c r="E267" s="5" t="inlineStr">
        <is>
          <t>Microsoft</t>
        </is>
      </c>
      <c r="F267" s="5" t="inlineStr">
        <is>
          <t>H100/H200/A100 class</t>
        </is>
      </c>
      <c r="G267" s="5">
        <f>IFERROR(INDEX('02x_Accelerator_Catalog'!$C$2:$C$11,MATCH(F267,'02x_Accelerator_Catalog'!$B$2:$B$11,0)),"purpose_or_unbenchmarked")</f>
        <v/>
      </c>
      <c r="H267" s="28">
        <f>SUMIFS('02c_AI_CSP_Normalized'!$N$2:$N$305,'02c_AI_CSP_Normalized'!$B$2:$B$305,B267,'02c_AI_CSP_Normalized'!$C$2:$C$305,C267,'02c_AI_CSP_Normalized'!$D$2:$D$305,D267,'02c_AI_CSP_Normalized'!$E$2:$E$305,E267)</f>
        <v/>
      </c>
      <c r="I267" s="6">
        <f>SUMIFS('02b_CSP_Accelerator_Mix'!$H$2:$H$573,'02b_CSP_Accelerator_Mix'!$B$2:$B$573,B267,'02b_CSP_Accelerator_Mix'!$C$2:$C$573,E267,'02b_CSP_Accelerator_Mix'!$D$2:$D$573,D267,'02b_CSP_Accelerator_Mix'!$E$2:$E$573,F267)</f>
        <v/>
      </c>
      <c r="J267" s="28">
        <f>H267*I267</f>
        <v/>
      </c>
      <c r="K267" s="8">
        <f>IFERROR(INDEX('02x_Accelerator_Catalog'!$D$2:$D$11,MATCH(F267,'02x_Accelerator_Catalog'!$B$2:$B$11,0)),"")</f>
        <v/>
      </c>
      <c r="L267" s="7">
        <f>IF(K267&gt;0,J267*1000/K267,"")</f>
        <v/>
      </c>
      <c r="M267" s="5" t="inlineStr">
        <is>
          <t>epoch_csp_chip_quantity_latest</t>
        </is>
      </c>
      <c r="N267" s="5" t="inlineStr">
        <is>
          <t>Extensible long-format output: add a new accelerator row in 02b and map it in 02x_Accelerator_Catalog to extend this table.</t>
        </is>
      </c>
    </row>
    <row r="268">
      <c r="A268" s="5">
        <f>B268&amp;"|"&amp;C268&amp;"|"&amp;D268&amp;"|"&amp;E268&amp;"|"&amp;F268</f>
        <v/>
      </c>
      <c r="B268" s="5" t="inlineStr">
        <is>
          <t>Base</t>
        </is>
      </c>
      <c r="C268" s="5" t="inlineStr">
        <is>
          <t>Microsoft</t>
        </is>
      </c>
      <c r="D268" s="5" t="n">
        <v>2028</v>
      </c>
      <c r="E268" s="5" t="inlineStr">
        <is>
          <t>Microsoft</t>
        </is>
      </c>
      <c r="F268" s="5" t="inlineStr">
        <is>
          <t>B200/B300 class</t>
        </is>
      </c>
      <c r="G268" s="5">
        <f>IFERROR(INDEX('02x_Accelerator_Catalog'!$C$2:$C$11,MATCH(F268,'02x_Accelerator_Catalog'!$B$2:$B$11,0)),"purpose_or_unbenchmarked")</f>
        <v/>
      </c>
      <c r="H268" s="28">
        <f>SUMIFS('02c_AI_CSP_Normalized'!$N$2:$N$305,'02c_AI_CSP_Normalized'!$B$2:$B$305,B268,'02c_AI_CSP_Normalized'!$C$2:$C$305,C268,'02c_AI_CSP_Normalized'!$D$2:$D$305,D268,'02c_AI_CSP_Normalized'!$E$2:$E$305,E268)</f>
        <v/>
      </c>
      <c r="I268" s="6">
        <f>SUMIFS('02b_CSP_Accelerator_Mix'!$H$2:$H$573,'02b_CSP_Accelerator_Mix'!$B$2:$B$573,B268,'02b_CSP_Accelerator_Mix'!$C$2:$C$573,E268,'02b_CSP_Accelerator_Mix'!$D$2:$D$573,D268,'02b_CSP_Accelerator_Mix'!$E$2:$E$573,F268)</f>
        <v/>
      </c>
      <c r="J268" s="28">
        <f>H268*I268</f>
        <v/>
      </c>
      <c r="K268" s="8">
        <f>IFERROR(INDEX('02x_Accelerator_Catalog'!$D$2:$D$11,MATCH(F268,'02x_Accelerator_Catalog'!$B$2:$B$11,0)),"")</f>
        <v/>
      </c>
      <c r="L268" s="7">
        <f>IF(K268&gt;0,J268*1000/K268,"")</f>
        <v/>
      </c>
      <c r="M268" s="5" t="inlineStr">
        <is>
          <t>epoch_csp_chip_quantity_latest</t>
        </is>
      </c>
      <c r="N268" s="5" t="inlineStr">
        <is>
          <t>Extensible long-format output: add a new accelerator row in 02b and map it in 02x_Accelerator_Catalog to extend this table.</t>
        </is>
      </c>
    </row>
    <row r="269">
      <c r="A269" s="5">
        <f>B269&amp;"|"&amp;C269&amp;"|"&amp;D269&amp;"|"&amp;E269&amp;"|"&amp;F269</f>
        <v/>
      </c>
      <c r="B269" s="5" t="inlineStr">
        <is>
          <t>Base</t>
        </is>
      </c>
      <c r="C269" s="5" t="inlineStr">
        <is>
          <t>Microsoft</t>
        </is>
      </c>
      <c r="D269" s="5" t="n">
        <v>2028</v>
      </c>
      <c r="E269" s="5" t="inlineStr">
        <is>
          <t>Microsoft</t>
        </is>
      </c>
      <c r="F269" s="5" t="inlineStr">
        <is>
          <t>H100/H200/A100 class</t>
        </is>
      </c>
      <c r="G269" s="5">
        <f>IFERROR(INDEX('02x_Accelerator_Catalog'!$C$2:$C$11,MATCH(F269,'02x_Accelerator_Catalog'!$B$2:$B$11,0)),"purpose_or_unbenchmarked")</f>
        <v/>
      </c>
      <c r="H269" s="28">
        <f>SUMIFS('02c_AI_CSP_Normalized'!$N$2:$N$305,'02c_AI_CSP_Normalized'!$B$2:$B$305,B269,'02c_AI_CSP_Normalized'!$C$2:$C$305,C269,'02c_AI_CSP_Normalized'!$D$2:$D$305,D269,'02c_AI_CSP_Normalized'!$E$2:$E$305,E269)</f>
        <v/>
      </c>
      <c r="I269" s="6">
        <f>SUMIFS('02b_CSP_Accelerator_Mix'!$H$2:$H$573,'02b_CSP_Accelerator_Mix'!$B$2:$B$573,B269,'02b_CSP_Accelerator_Mix'!$C$2:$C$573,E269,'02b_CSP_Accelerator_Mix'!$D$2:$D$573,D269,'02b_CSP_Accelerator_Mix'!$E$2:$E$573,F269)</f>
        <v/>
      </c>
      <c r="J269" s="28">
        <f>H269*I269</f>
        <v/>
      </c>
      <c r="K269" s="8">
        <f>IFERROR(INDEX('02x_Accelerator_Catalog'!$D$2:$D$11,MATCH(F269,'02x_Accelerator_Catalog'!$B$2:$B$11,0)),"")</f>
        <v/>
      </c>
      <c r="L269" s="7">
        <f>IF(K269&gt;0,J269*1000/K269,"")</f>
        <v/>
      </c>
      <c r="M269" s="5" t="inlineStr">
        <is>
          <t>epoch_csp_chip_quantity_latest</t>
        </is>
      </c>
      <c r="N269" s="5" t="inlineStr">
        <is>
          <t>Extensible long-format output: add a new accelerator row in 02b and map it in 02x_Accelerator_Catalog to extend this table.</t>
        </is>
      </c>
    </row>
    <row r="270">
      <c r="A270" s="5">
        <f>B270&amp;"|"&amp;C270&amp;"|"&amp;D270&amp;"|"&amp;E270&amp;"|"&amp;F270</f>
        <v/>
      </c>
      <c r="B270" s="5" t="inlineStr">
        <is>
          <t>Bull</t>
        </is>
      </c>
      <c r="C270" s="5" t="inlineStr">
        <is>
          <t>Microsoft</t>
        </is>
      </c>
      <c r="D270" s="5" t="n">
        <v>2028</v>
      </c>
      <c r="E270" s="5" t="inlineStr">
        <is>
          <t>Microsoft</t>
        </is>
      </c>
      <c r="F270" s="5" t="inlineStr">
        <is>
          <t>B200/B300 class</t>
        </is>
      </c>
      <c r="G270" s="5">
        <f>IFERROR(INDEX('02x_Accelerator_Catalog'!$C$2:$C$11,MATCH(F270,'02x_Accelerator_Catalog'!$B$2:$B$11,0)),"purpose_or_unbenchmarked")</f>
        <v/>
      </c>
      <c r="H270" s="28">
        <f>SUMIFS('02c_AI_CSP_Normalized'!$N$2:$N$305,'02c_AI_CSP_Normalized'!$B$2:$B$305,B270,'02c_AI_CSP_Normalized'!$C$2:$C$305,C270,'02c_AI_CSP_Normalized'!$D$2:$D$305,D270,'02c_AI_CSP_Normalized'!$E$2:$E$305,E270)</f>
        <v/>
      </c>
      <c r="I270" s="6">
        <f>SUMIFS('02b_CSP_Accelerator_Mix'!$H$2:$H$573,'02b_CSP_Accelerator_Mix'!$B$2:$B$573,B270,'02b_CSP_Accelerator_Mix'!$C$2:$C$573,E270,'02b_CSP_Accelerator_Mix'!$D$2:$D$573,D270,'02b_CSP_Accelerator_Mix'!$E$2:$E$573,F270)</f>
        <v/>
      </c>
      <c r="J270" s="28">
        <f>H270*I270</f>
        <v/>
      </c>
      <c r="K270" s="8">
        <f>IFERROR(INDEX('02x_Accelerator_Catalog'!$D$2:$D$11,MATCH(F270,'02x_Accelerator_Catalog'!$B$2:$B$11,0)),"")</f>
        <v/>
      </c>
      <c r="L270" s="7">
        <f>IF(K270&gt;0,J270*1000/K270,"")</f>
        <v/>
      </c>
      <c r="M270" s="5" t="inlineStr">
        <is>
          <t>epoch_csp_chip_quantity_latest</t>
        </is>
      </c>
      <c r="N270" s="5" t="inlineStr">
        <is>
          <t>Extensible long-format output: add a new accelerator row in 02b and map it in 02x_Accelerator_Catalog to extend this table.</t>
        </is>
      </c>
    </row>
    <row r="271">
      <c r="A271" s="5">
        <f>B271&amp;"|"&amp;C271&amp;"|"&amp;D271&amp;"|"&amp;E271&amp;"|"&amp;F271</f>
        <v/>
      </c>
      <c r="B271" s="5" t="inlineStr">
        <is>
          <t>Bull</t>
        </is>
      </c>
      <c r="C271" s="5" t="inlineStr">
        <is>
          <t>Microsoft</t>
        </is>
      </c>
      <c r="D271" s="5" t="n">
        <v>2028</v>
      </c>
      <c r="E271" s="5" t="inlineStr">
        <is>
          <t>Microsoft</t>
        </is>
      </c>
      <c r="F271" s="5" t="inlineStr">
        <is>
          <t>H100/H200/A100 class</t>
        </is>
      </c>
      <c r="G271" s="5">
        <f>IFERROR(INDEX('02x_Accelerator_Catalog'!$C$2:$C$11,MATCH(F271,'02x_Accelerator_Catalog'!$B$2:$B$11,0)),"purpose_or_unbenchmarked")</f>
        <v/>
      </c>
      <c r="H271" s="28">
        <f>SUMIFS('02c_AI_CSP_Normalized'!$N$2:$N$305,'02c_AI_CSP_Normalized'!$B$2:$B$305,B271,'02c_AI_CSP_Normalized'!$C$2:$C$305,C271,'02c_AI_CSP_Normalized'!$D$2:$D$305,D271,'02c_AI_CSP_Normalized'!$E$2:$E$305,E271)</f>
        <v/>
      </c>
      <c r="I271" s="6">
        <f>SUMIFS('02b_CSP_Accelerator_Mix'!$H$2:$H$573,'02b_CSP_Accelerator_Mix'!$B$2:$B$573,B271,'02b_CSP_Accelerator_Mix'!$C$2:$C$573,E271,'02b_CSP_Accelerator_Mix'!$D$2:$D$573,D271,'02b_CSP_Accelerator_Mix'!$E$2:$E$573,F271)</f>
        <v/>
      </c>
      <c r="J271" s="28">
        <f>H271*I271</f>
        <v/>
      </c>
      <c r="K271" s="8">
        <f>IFERROR(INDEX('02x_Accelerator_Catalog'!$D$2:$D$11,MATCH(F271,'02x_Accelerator_Catalog'!$B$2:$B$11,0)),"")</f>
        <v/>
      </c>
      <c r="L271" s="7">
        <f>IF(K271&gt;0,J271*1000/K271,"")</f>
        <v/>
      </c>
      <c r="M271" s="5" t="inlineStr">
        <is>
          <t>epoch_csp_chip_quantity_latest</t>
        </is>
      </c>
      <c r="N271" s="5" t="inlineStr">
        <is>
          <t>Extensible long-format output: add a new accelerator row in 02b and map it in 02x_Accelerator_Catalog to extend this table.</t>
        </is>
      </c>
    </row>
    <row r="272">
      <c r="A272" s="5">
        <f>B272&amp;"|"&amp;C272&amp;"|"&amp;D272&amp;"|"&amp;E272&amp;"|"&amp;F272</f>
        <v/>
      </c>
      <c r="B272" s="5" t="inlineStr">
        <is>
          <t>Grid-Constrained / Efficiency-Upside</t>
        </is>
      </c>
      <c r="C272" s="5" t="inlineStr">
        <is>
          <t>Microsoft</t>
        </is>
      </c>
      <c r="D272" s="5" t="n">
        <v>2028</v>
      </c>
      <c r="E272" s="5" t="inlineStr">
        <is>
          <t>Microsoft</t>
        </is>
      </c>
      <c r="F272" s="5" t="inlineStr">
        <is>
          <t>B200/B300 class</t>
        </is>
      </c>
      <c r="G272" s="5">
        <f>IFERROR(INDEX('02x_Accelerator_Catalog'!$C$2:$C$11,MATCH(F272,'02x_Accelerator_Catalog'!$B$2:$B$11,0)),"purpose_or_unbenchmarked")</f>
        <v/>
      </c>
      <c r="H272" s="28">
        <f>SUMIFS('02c_AI_CSP_Normalized'!$N$2:$N$305,'02c_AI_CSP_Normalized'!$B$2:$B$305,B272,'02c_AI_CSP_Normalized'!$C$2:$C$305,C272,'02c_AI_CSP_Normalized'!$D$2:$D$305,D272,'02c_AI_CSP_Normalized'!$E$2:$E$305,E272)</f>
        <v/>
      </c>
      <c r="I272" s="6">
        <f>SUMIFS('02b_CSP_Accelerator_Mix'!$H$2:$H$573,'02b_CSP_Accelerator_Mix'!$B$2:$B$573,B272,'02b_CSP_Accelerator_Mix'!$C$2:$C$573,E272,'02b_CSP_Accelerator_Mix'!$D$2:$D$573,D272,'02b_CSP_Accelerator_Mix'!$E$2:$E$573,F272)</f>
        <v/>
      </c>
      <c r="J272" s="28">
        <f>H272*I272</f>
        <v/>
      </c>
      <c r="K272" s="8">
        <f>IFERROR(INDEX('02x_Accelerator_Catalog'!$D$2:$D$11,MATCH(F272,'02x_Accelerator_Catalog'!$B$2:$B$11,0)),"")</f>
        <v/>
      </c>
      <c r="L272" s="7">
        <f>IF(K272&gt;0,J272*1000/K272,"")</f>
        <v/>
      </c>
      <c r="M272" s="5" t="inlineStr">
        <is>
          <t>epoch_csp_chip_quantity_latest</t>
        </is>
      </c>
      <c r="N272" s="5" t="inlineStr">
        <is>
          <t>Extensible long-format output: add a new accelerator row in 02b and map it in 02x_Accelerator_Catalog to extend this table.</t>
        </is>
      </c>
    </row>
    <row r="273">
      <c r="A273" s="5">
        <f>B273&amp;"|"&amp;C273&amp;"|"&amp;D273&amp;"|"&amp;E273&amp;"|"&amp;F273</f>
        <v/>
      </c>
      <c r="B273" s="5" t="inlineStr">
        <is>
          <t>Grid-Constrained / Efficiency-Upside</t>
        </is>
      </c>
      <c r="C273" s="5" t="inlineStr">
        <is>
          <t>Microsoft</t>
        </is>
      </c>
      <c r="D273" s="5" t="n">
        <v>2028</v>
      </c>
      <c r="E273" s="5" t="inlineStr">
        <is>
          <t>Microsoft</t>
        </is>
      </c>
      <c r="F273" s="5" t="inlineStr">
        <is>
          <t>H100/H200/A100 class</t>
        </is>
      </c>
      <c r="G273" s="5">
        <f>IFERROR(INDEX('02x_Accelerator_Catalog'!$C$2:$C$11,MATCH(F273,'02x_Accelerator_Catalog'!$B$2:$B$11,0)),"purpose_or_unbenchmarked")</f>
        <v/>
      </c>
      <c r="H273" s="28">
        <f>SUMIFS('02c_AI_CSP_Normalized'!$N$2:$N$305,'02c_AI_CSP_Normalized'!$B$2:$B$305,B273,'02c_AI_CSP_Normalized'!$C$2:$C$305,C273,'02c_AI_CSP_Normalized'!$D$2:$D$305,D273,'02c_AI_CSP_Normalized'!$E$2:$E$305,E273)</f>
        <v/>
      </c>
      <c r="I273" s="6">
        <f>SUMIFS('02b_CSP_Accelerator_Mix'!$H$2:$H$573,'02b_CSP_Accelerator_Mix'!$B$2:$B$573,B273,'02b_CSP_Accelerator_Mix'!$C$2:$C$573,E273,'02b_CSP_Accelerator_Mix'!$D$2:$D$573,D273,'02b_CSP_Accelerator_Mix'!$E$2:$E$573,F273)</f>
        <v/>
      </c>
      <c r="J273" s="28">
        <f>H273*I273</f>
        <v/>
      </c>
      <c r="K273" s="8">
        <f>IFERROR(INDEX('02x_Accelerator_Catalog'!$D$2:$D$11,MATCH(F273,'02x_Accelerator_Catalog'!$B$2:$B$11,0)),"")</f>
        <v/>
      </c>
      <c r="L273" s="7">
        <f>IF(K273&gt;0,J273*1000/K273,"")</f>
        <v/>
      </c>
      <c r="M273" s="5" t="inlineStr">
        <is>
          <t>epoch_csp_chip_quantity_latest</t>
        </is>
      </c>
      <c r="N273" s="5" t="inlineStr">
        <is>
          <t>Extensible long-format output: add a new accelerator row in 02b and map it in 02x_Accelerator_Catalog to extend this table.</t>
        </is>
      </c>
    </row>
    <row r="274">
      <c r="A274" s="5">
        <f>B274&amp;"|"&amp;C274&amp;"|"&amp;D274&amp;"|"&amp;E274&amp;"|"&amp;F274</f>
        <v/>
      </c>
      <c r="B274" s="5" t="inlineStr">
        <is>
          <t>Bear</t>
        </is>
      </c>
      <c r="C274" s="5" t="inlineStr">
        <is>
          <t>Microsoft</t>
        </is>
      </c>
      <c r="D274" s="5" t="n">
        <v>2029</v>
      </c>
      <c r="E274" s="5" t="inlineStr">
        <is>
          <t>Microsoft</t>
        </is>
      </c>
      <c r="F274" s="5" t="inlineStr">
        <is>
          <t>B200/B300 class</t>
        </is>
      </c>
      <c r="G274" s="5">
        <f>IFERROR(INDEX('02x_Accelerator_Catalog'!$C$2:$C$11,MATCH(F274,'02x_Accelerator_Catalog'!$B$2:$B$11,0)),"purpose_or_unbenchmarked")</f>
        <v/>
      </c>
      <c r="H274" s="28">
        <f>SUMIFS('02c_AI_CSP_Normalized'!$N$2:$N$305,'02c_AI_CSP_Normalized'!$B$2:$B$305,B274,'02c_AI_CSP_Normalized'!$C$2:$C$305,C274,'02c_AI_CSP_Normalized'!$D$2:$D$305,D274,'02c_AI_CSP_Normalized'!$E$2:$E$305,E274)</f>
        <v/>
      </c>
      <c r="I274" s="6">
        <f>SUMIFS('02b_CSP_Accelerator_Mix'!$H$2:$H$573,'02b_CSP_Accelerator_Mix'!$B$2:$B$573,B274,'02b_CSP_Accelerator_Mix'!$C$2:$C$573,E274,'02b_CSP_Accelerator_Mix'!$D$2:$D$573,D274,'02b_CSP_Accelerator_Mix'!$E$2:$E$573,F274)</f>
        <v/>
      </c>
      <c r="J274" s="28">
        <f>H274*I274</f>
        <v/>
      </c>
      <c r="K274" s="8">
        <f>IFERROR(INDEX('02x_Accelerator_Catalog'!$D$2:$D$11,MATCH(F274,'02x_Accelerator_Catalog'!$B$2:$B$11,0)),"")</f>
        <v/>
      </c>
      <c r="L274" s="7">
        <f>IF(K274&gt;0,J274*1000/K274,"")</f>
        <v/>
      </c>
      <c r="M274" s="5" t="inlineStr">
        <is>
          <t>epoch_csp_chip_quantity_latest</t>
        </is>
      </c>
      <c r="N274" s="5" t="inlineStr">
        <is>
          <t>Extensible long-format output: add a new accelerator row in 02b and map it in 02x_Accelerator_Catalog to extend this table.</t>
        </is>
      </c>
    </row>
    <row r="275">
      <c r="A275" s="5">
        <f>B275&amp;"|"&amp;C275&amp;"|"&amp;D275&amp;"|"&amp;E275&amp;"|"&amp;F275</f>
        <v/>
      </c>
      <c r="B275" s="5" t="inlineStr">
        <is>
          <t>Bear</t>
        </is>
      </c>
      <c r="C275" s="5" t="inlineStr">
        <is>
          <t>Microsoft</t>
        </is>
      </c>
      <c r="D275" s="5" t="n">
        <v>2029</v>
      </c>
      <c r="E275" s="5" t="inlineStr">
        <is>
          <t>Microsoft</t>
        </is>
      </c>
      <c r="F275" s="5" t="inlineStr">
        <is>
          <t>H100/H200/A100 class</t>
        </is>
      </c>
      <c r="G275" s="5">
        <f>IFERROR(INDEX('02x_Accelerator_Catalog'!$C$2:$C$11,MATCH(F275,'02x_Accelerator_Catalog'!$B$2:$B$11,0)),"purpose_or_unbenchmarked")</f>
        <v/>
      </c>
      <c r="H275" s="28">
        <f>SUMIFS('02c_AI_CSP_Normalized'!$N$2:$N$305,'02c_AI_CSP_Normalized'!$B$2:$B$305,B275,'02c_AI_CSP_Normalized'!$C$2:$C$305,C275,'02c_AI_CSP_Normalized'!$D$2:$D$305,D275,'02c_AI_CSP_Normalized'!$E$2:$E$305,E275)</f>
        <v/>
      </c>
      <c r="I275" s="6">
        <f>SUMIFS('02b_CSP_Accelerator_Mix'!$H$2:$H$573,'02b_CSP_Accelerator_Mix'!$B$2:$B$573,B275,'02b_CSP_Accelerator_Mix'!$C$2:$C$573,E275,'02b_CSP_Accelerator_Mix'!$D$2:$D$573,D275,'02b_CSP_Accelerator_Mix'!$E$2:$E$573,F275)</f>
        <v/>
      </c>
      <c r="J275" s="28">
        <f>H275*I275</f>
        <v/>
      </c>
      <c r="K275" s="8">
        <f>IFERROR(INDEX('02x_Accelerator_Catalog'!$D$2:$D$11,MATCH(F275,'02x_Accelerator_Catalog'!$B$2:$B$11,0)),"")</f>
        <v/>
      </c>
      <c r="L275" s="7">
        <f>IF(K275&gt;0,J275*1000/K275,"")</f>
        <v/>
      </c>
      <c r="M275" s="5" t="inlineStr">
        <is>
          <t>epoch_csp_chip_quantity_latest</t>
        </is>
      </c>
      <c r="N275" s="5" t="inlineStr">
        <is>
          <t>Extensible long-format output: add a new accelerator row in 02b and map it in 02x_Accelerator_Catalog to extend this table.</t>
        </is>
      </c>
    </row>
    <row r="276">
      <c r="A276" s="5">
        <f>B276&amp;"|"&amp;C276&amp;"|"&amp;D276&amp;"|"&amp;E276&amp;"|"&amp;F276</f>
        <v/>
      </c>
      <c r="B276" s="5" t="inlineStr">
        <is>
          <t>Base</t>
        </is>
      </c>
      <c r="C276" s="5" t="inlineStr">
        <is>
          <t>Microsoft</t>
        </is>
      </c>
      <c r="D276" s="5" t="n">
        <v>2029</v>
      </c>
      <c r="E276" s="5" t="inlineStr">
        <is>
          <t>Microsoft</t>
        </is>
      </c>
      <c r="F276" s="5" t="inlineStr">
        <is>
          <t>B200/B300 class</t>
        </is>
      </c>
      <c r="G276" s="5">
        <f>IFERROR(INDEX('02x_Accelerator_Catalog'!$C$2:$C$11,MATCH(F276,'02x_Accelerator_Catalog'!$B$2:$B$11,0)),"purpose_or_unbenchmarked")</f>
        <v/>
      </c>
      <c r="H276" s="28">
        <f>SUMIFS('02c_AI_CSP_Normalized'!$N$2:$N$305,'02c_AI_CSP_Normalized'!$B$2:$B$305,B276,'02c_AI_CSP_Normalized'!$C$2:$C$305,C276,'02c_AI_CSP_Normalized'!$D$2:$D$305,D276,'02c_AI_CSP_Normalized'!$E$2:$E$305,E276)</f>
        <v/>
      </c>
      <c r="I276" s="6">
        <f>SUMIFS('02b_CSP_Accelerator_Mix'!$H$2:$H$573,'02b_CSP_Accelerator_Mix'!$B$2:$B$573,B276,'02b_CSP_Accelerator_Mix'!$C$2:$C$573,E276,'02b_CSP_Accelerator_Mix'!$D$2:$D$573,D276,'02b_CSP_Accelerator_Mix'!$E$2:$E$573,F276)</f>
        <v/>
      </c>
      <c r="J276" s="28">
        <f>H276*I276</f>
        <v/>
      </c>
      <c r="K276" s="8">
        <f>IFERROR(INDEX('02x_Accelerator_Catalog'!$D$2:$D$11,MATCH(F276,'02x_Accelerator_Catalog'!$B$2:$B$11,0)),"")</f>
        <v/>
      </c>
      <c r="L276" s="7">
        <f>IF(K276&gt;0,J276*1000/K276,"")</f>
        <v/>
      </c>
      <c r="M276" s="5" t="inlineStr">
        <is>
          <t>epoch_csp_chip_quantity_latest</t>
        </is>
      </c>
      <c r="N276" s="5" t="inlineStr">
        <is>
          <t>Extensible long-format output: add a new accelerator row in 02b and map it in 02x_Accelerator_Catalog to extend this table.</t>
        </is>
      </c>
    </row>
    <row r="277">
      <c r="A277" s="5">
        <f>B277&amp;"|"&amp;C277&amp;"|"&amp;D277&amp;"|"&amp;E277&amp;"|"&amp;F277</f>
        <v/>
      </c>
      <c r="B277" s="5" t="inlineStr">
        <is>
          <t>Base</t>
        </is>
      </c>
      <c r="C277" s="5" t="inlineStr">
        <is>
          <t>Microsoft</t>
        </is>
      </c>
      <c r="D277" s="5" t="n">
        <v>2029</v>
      </c>
      <c r="E277" s="5" t="inlineStr">
        <is>
          <t>Microsoft</t>
        </is>
      </c>
      <c r="F277" s="5" t="inlineStr">
        <is>
          <t>H100/H200/A100 class</t>
        </is>
      </c>
      <c r="G277" s="5">
        <f>IFERROR(INDEX('02x_Accelerator_Catalog'!$C$2:$C$11,MATCH(F277,'02x_Accelerator_Catalog'!$B$2:$B$11,0)),"purpose_or_unbenchmarked")</f>
        <v/>
      </c>
      <c r="H277" s="28">
        <f>SUMIFS('02c_AI_CSP_Normalized'!$N$2:$N$305,'02c_AI_CSP_Normalized'!$B$2:$B$305,B277,'02c_AI_CSP_Normalized'!$C$2:$C$305,C277,'02c_AI_CSP_Normalized'!$D$2:$D$305,D277,'02c_AI_CSP_Normalized'!$E$2:$E$305,E277)</f>
        <v/>
      </c>
      <c r="I277" s="6">
        <f>SUMIFS('02b_CSP_Accelerator_Mix'!$H$2:$H$573,'02b_CSP_Accelerator_Mix'!$B$2:$B$573,B277,'02b_CSP_Accelerator_Mix'!$C$2:$C$573,E277,'02b_CSP_Accelerator_Mix'!$D$2:$D$573,D277,'02b_CSP_Accelerator_Mix'!$E$2:$E$573,F277)</f>
        <v/>
      </c>
      <c r="J277" s="28">
        <f>H277*I277</f>
        <v/>
      </c>
      <c r="K277" s="8">
        <f>IFERROR(INDEX('02x_Accelerator_Catalog'!$D$2:$D$11,MATCH(F277,'02x_Accelerator_Catalog'!$B$2:$B$11,0)),"")</f>
        <v/>
      </c>
      <c r="L277" s="7">
        <f>IF(K277&gt;0,J277*1000/K277,"")</f>
        <v/>
      </c>
      <c r="M277" s="5" t="inlineStr">
        <is>
          <t>epoch_csp_chip_quantity_latest</t>
        </is>
      </c>
      <c r="N277" s="5" t="inlineStr">
        <is>
          <t>Extensible long-format output: add a new accelerator row in 02b and map it in 02x_Accelerator_Catalog to extend this table.</t>
        </is>
      </c>
    </row>
    <row r="278">
      <c r="A278" s="5">
        <f>B278&amp;"|"&amp;C278&amp;"|"&amp;D278&amp;"|"&amp;E278&amp;"|"&amp;F278</f>
        <v/>
      </c>
      <c r="B278" s="5" t="inlineStr">
        <is>
          <t>Bull</t>
        </is>
      </c>
      <c r="C278" s="5" t="inlineStr">
        <is>
          <t>Microsoft</t>
        </is>
      </c>
      <c r="D278" s="5" t="n">
        <v>2029</v>
      </c>
      <c r="E278" s="5" t="inlineStr">
        <is>
          <t>Microsoft</t>
        </is>
      </c>
      <c r="F278" s="5" t="inlineStr">
        <is>
          <t>B200/B300 class</t>
        </is>
      </c>
      <c r="G278" s="5">
        <f>IFERROR(INDEX('02x_Accelerator_Catalog'!$C$2:$C$11,MATCH(F278,'02x_Accelerator_Catalog'!$B$2:$B$11,0)),"purpose_or_unbenchmarked")</f>
        <v/>
      </c>
      <c r="H278" s="28">
        <f>SUMIFS('02c_AI_CSP_Normalized'!$N$2:$N$305,'02c_AI_CSP_Normalized'!$B$2:$B$305,B278,'02c_AI_CSP_Normalized'!$C$2:$C$305,C278,'02c_AI_CSP_Normalized'!$D$2:$D$305,D278,'02c_AI_CSP_Normalized'!$E$2:$E$305,E278)</f>
        <v/>
      </c>
      <c r="I278" s="6">
        <f>SUMIFS('02b_CSP_Accelerator_Mix'!$H$2:$H$573,'02b_CSP_Accelerator_Mix'!$B$2:$B$573,B278,'02b_CSP_Accelerator_Mix'!$C$2:$C$573,E278,'02b_CSP_Accelerator_Mix'!$D$2:$D$573,D278,'02b_CSP_Accelerator_Mix'!$E$2:$E$573,F278)</f>
        <v/>
      </c>
      <c r="J278" s="28">
        <f>H278*I278</f>
        <v/>
      </c>
      <c r="K278" s="8">
        <f>IFERROR(INDEX('02x_Accelerator_Catalog'!$D$2:$D$11,MATCH(F278,'02x_Accelerator_Catalog'!$B$2:$B$11,0)),"")</f>
        <v/>
      </c>
      <c r="L278" s="7">
        <f>IF(K278&gt;0,J278*1000/K278,"")</f>
        <v/>
      </c>
      <c r="M278" s="5" t="inlineStr">
        <is>
          <t>epoch_csp_chip_quantity_latest</t>
        </is>
      </c>
      <c r="N278" s="5" t="inlineStr">
        <is>
          <t>Extensible long-format output: add a new accelerator row in 02b and map it in 02x_Accelerator_Catalog to extend this table.</t>
        </is>
      </c>
    </row>
    <row r="279">
      <c r="A279" s="5">
        <f>B279&amp;"|"&amp;C279&amp;"|"&amp;D279&amp;"|"&amp;E279&amp;"|"&amp;F279</f>
        <v/>
      </c>
      <c r="B279" s="5" t="inlineStr">
        <is>
          <t>Bull</t>
        </is>
      </c>
      <c r="C279" s="5" t="inlineStr">
        <is>
          <t>Microsoft</t>
        </is>
      </c>
      <c r="D279" s="5" t="n">
        <v>2029</v>
      </c>
      <c r="E279" s="5" t="inlineStr">
        <is>
          <t>Microsoft</t>
        </is>
      </c>
      <c r="F279" s="5" t="inlineStr">
        <is>
          <t>H100/H200/A100 class</t>
        </is>
      </c>
      <c r="G279" s="5">
        <f>IFERROR(INDEX('02x_Accelerator_Catalog'!$C$2:$C$11,MATCH(F279,'02x_Accelerator_Catalog'!$B$2:$B$11,0)),"purpose_or_unbenchmarked")</f>
        <v/>
      </c>
      <c r="H279" s="28">
        <f>SUMIFS('02c_AI_CSP_Normalized'!$N$2:$N$305,'02c_AI_CSP_Normalized'!$B$2:$B$305,B279,'02c_AI_CSP_Normalized'!$C$2:$C$305,C279,'02c_AI_CSP_Normalized'!$D$2:$D$305,D279,'02c_AI_CSP_Normalized'!$E$2:$E$305,E279)</f>
        <v/>
      </c>
      <c r="I279" s="6">
        <f>SUMIFS('02b_CSP_Accelerator_Mix'!$H$2:$H$573,'02b_CSP_Accelerator_Mix'!$B$2:$B$573,B279,'02b_CSP_Accelerator_Mix'!$C$2:$C$573,E279,'02b_CSP_Accelerator_Mix'!$D$2:$D$573,D279,'02b_CSP_Accelerator_Mix'!$E$2:$E$573,F279)</f>
        <v/>
      </c>
      <c r="J279" s="28">
        <f>H279*I279</f>
        <v/>
      </c>
      <c r="K279" s="8">
        <f>IFERROR(INDEX('02x_Accelerator_Catalog'!$D$2:$D$11,MATCH(F279,'02x_Accelerator_Catalog'!$B$2:$B$11,0)),"")</f>
        <v/>
      </c>
      <c r="L279" s="7">
        <f>IF(K279&gt;0,J279*1000/K279,"")</f>
        <v/>
      </c>
      <c r="M279" s="5" t="inlineStr">
        <is>
          <t>epoch_csp_chip_quantity_latest</t>
        </is>
      </c>
      <c r="N279" s="5" t="inlineStr">
        <is>
          <t>Extensible long-format output: add a new accelerator row in 02b and map it in 02x_Accelerator_Catalog to extend this table.</t>
        </is>
      </c>
    </row>
    <row r="280">
      <c r="A280" s="5">
        <f>B280&amp;"|"&amp;C280&amp;"|"&amp;D280&amp;"|"&amp;E280&amp;"|"&amp;F280</f>
        <v/>
      </c>
      <c r="B280" s="5" t="inlineStr">
        <is>
          <t>Grid-Constrained / Efficiency-Upside</t>
        </is>
      </c>
      <c r="C280" s="5" t="inlineStr">
        <is>
          <t>Microsoft</t>
        </is>
      </c>
      <c r="D280" s="5" t="n">
        <v>2029</v>
      </c>
      <c r="E280" s="5" t="inlineStr">
        <is>
          <t>Microsoft</t>
        </is>
      </c>
      <c r="F280" s="5" t="inlineStr">
        <is>
          <t>B200/B300 class</t>
        </is>
      </c>
      <c r="G280" s="5">
        <f>IFERROR(INDEX('02x_Accelerator_Catalog'!$C$2:$C$11,MATCH(F280,'02x_Accelerator_Catalog'!$B$2:$B$11,0)),"purpose_or_unbenchmarked")</f>
        <v/>
      </c>
      <c r="H280" s="28">
        <f>SUMIFS('02c_AI_CSP_Normalized'!$N$2:$N$305,'02c_AI_CSP_Normalized'!$B$2:$B$305,B280,'02c_AI_CSP_Normalized'!$C$2:$C$305,C280,'02c_AI_CSP_Normalized'!$D$2:$D$305,D280,'02c_AI_CSP_Normalized'!$E$2:$E$305,E280)</f>
        <v/>
      </c>
      <c r="I280" s="6">
        <f>SUMIFS('02b_CSP_Accelerator_Mix'!$H$2:$H$573,'02b_CSP_Accelerator_Mix'!$B$2:$B$573,B280,'02b_CSP_Accelerator_Mix'!$C$2:$C$573,E280,'02b_CSP_Accelerator_Mix'!$D$2:$D$573,D280,'02b_CSP_Accelerator_Mix'!$E$2:$E$573,F280)</f>
        <v/>
      </c>
      <c r="J280" s="28">
        <f>H280*I280</f>
        <v/>
      </c>
      <c r="K280" s="8">
        <f>IFERROR(INDEX('02x_Accelerator_Catalog'!$D$2:$D$11,MATCH(F280,'02x_Accelerator_Catalog'!$B$2:$B$11,0)),"")</f>
        <v/>
      </c>
      <c r="L280" s="7">
        <f>IF(K280&gt;0,J280*1000/K280,"")</f>
        <v/>
      </c>
      <c r="M280" s="5" t="inlineStr">
        <is>
          <t>epoch_csp_chip_quantity_latest</t>
        </is>
      </c>
      <c r="N280" s="5" t="inlineStr">
        <is>
          <t>Extensible long-format output: add a new accelerator row in 02b and map it in 02x_Accelerator_Catalog to extend this table.</t>
        </is>
      </c>
    </row>
    <row r="281">
      <c r="A281" s="5">
        <f>B281&amp;"|"&amp;C281&amp;"|"&amp;D281&amp;"|"&amp;E281&amp;"|"&amp;F281</f>
        <v/>
      </c>
      <c r="B281" s="5" t="inlineStr">
        <is>
          <t>Grid-Constrained / Efficiency-Upside</t>
        </is>
      </c>
      <c r="C281" s="5" t="inlineStr">
        <is>
          <t>Microsoft</t>
        </is>
      </c>
      <c r="D281" s="5" t="n">
        <v>2029</v>
      </c>
      <c r="E281" s="5" t="inlineStr">
        <is>
          <t>Microsoft</t>
        </is>
      </c>
      <c r="F281" s="5" t="inlineStr">
        <is>
          <t>H100/H200/A100 class</t>
        </is>
      </c>
      <c r="G281" s="5">
        <f>IFERROR(INDEX('02x_Accelerator_Catalog'!$C$2:$C$11,MATCH(F281,'02x_Accelerator_Catalog'!$B$2:$B$11,0)),"purpose_or_unbenchmarked")</f>
        <v/>
      </c>
      <c r="H281" s="28">
        <f>SUMIFS('02c_AI_CSP_Normalized'!$N$2:$N$305,'02c_AI_CSP_Normalized'!$B$2:$B$305,B281,'02c_AI_CSP_Normalized'!$C$2:$C$305,C281,'02c_AI_CSP_Normalized'!$D$2:$D$305,D281,'02c_AI_CSP_Normalized'!$E$2:$E$305,E281)</f>
        <v/>
      </c>
      <c r="I281" s="6">
        <f>SUMIFS('02b_CSP_Accelerator_Mix'!$H$2:$H$573,'02b_CSP_Accelerator_Mix'!$B$2:$B$573,B281,'02b_CSP_Accelerator_Mix'!$C$2:$C$573,E281,'02b_CSP_Accelerator_Mix'!$D$2:$D$573,D281,'02b_CSP_Accelerator_Mix'!$E$2:$E$573,F281)</f>
        <v/>
      </c>
      <c r="J281" s="28">
        <f>H281*I281</f>
        <v/>
      </c>
      <c r="K281" s="8">
        <f>IFERROR(INDEX('02x_Accelerator_Catalog'!$D$2:$D$11,MATCH(F281,'02x_Accelerator_Catalog'!$B$2:$B$11,0)),"")</f>
        <v/>
      </c>
      <c r="L281" s="7">
        <f>IF(K281&gt;0,J281*1000/K281,"")</f>
        <v/>
      </c>
      <c r="M281" s="5" t="inlineStr">
        <is>
          <t>epoch_csp_chip_quantity_latest</t>
        </is>
      </c>
      <c r="N281" s="5" t="inlineStr">
        <is>
          <t>Extensible long-format output: add a new accelerator row in 02b and map it in 02x_Accelerator_Catalog to extend this table.</t>
        </is>
      </c>
    </row>
    <row r="282">
      <c r="A282" s="5">
        <f>B282&amp;"|"&amp;C282&amp;"|"&amp;D282&amp;"|"&amp;E282&amp;"|"&amp;F282</f>
        <v/>
      </c>
      <c r="B282" s="5" t="inlineStr">
        <is>
          <t>Bear</t>
        </is>
      </c>
      <c r="C282" s="5" t="inlineStr">
        <is>
          <t>Microsoft</t>
        </is>
      </c>
      <c r="D282" s="5" t="n">
        <v>2030</v>
      </c>
      <c r="E282" s="5" t="inlineStr">
        <is>
          <t>Microsoft</t>
        </is>
      </c>
      <c r="F282" s="5" t="inlineStr">
        <is>
          <t>B200/B300 class</t>
        </is>
      </c>
      <c r="G282" s="5">
        <f>IFERROR(INDEX('02x_Accelerator_Catalog'!$C$2:$C$11,MATCH(F282,'02x_Accelerator_Catalog'!$B$2:$B$11,0)),"purpose_or_unbenchmarked")</f>
        <v/>
      </c>
      <c r="H282" s="28">
        <f>SUMIFS('02c_AI_CSP_Normalized'!$N$2:$N$305,'02c_AI_CSP_Normalized'!$B$2:$B$305,B282,'02c_AI_CSP_Normalized'!$C$2:$C$305,C282,'02c_AI_CSP_Normalized'!$D$2:$D$305,D282,'02c_AI_CSP_Normalized'!$E$2:$E$305,E282)</f>
        <v/>
      </c>
      <c r="I282" s="6">
        <f>SUMIFS('02b_CSP_Accelerator_Mix'!$H$2:$H$573,'02b_CSP_Accelerator_Mix'!$B$2:$B$573,B282,'02b_CSP_Accelerator_Mix'!$C$2:$C$573,E282,'02b_CSP_Accelerator_Mix'!$D$2:$D$573,D282,'02b_CSP_Accelerator_Mix'!$E$2:$E$573,F282)</f>
        <v/>
      </c>
      <c r="J282" s="28">
        <f>H282*I282</f>
        <v/>
      </c>
      <c r="K282" s="8">
        <f>IFERROR(INDEX('02x_Accelerator_Catalog'!$D$2:$D$11,MATCH(F282,'02x_Accelerator_Catalog'!$B$2:$B$11,0)),"")</f>
        <v/>
      </c>
      <c r="L282" s="7">
        <f>IF(K282&gt;0,J282*1000/K282,"")</f>
        <v/>
      </c>
      <c r="M282" s="5" t="inlineStr">
        <is>
          <t>epoch_csp_chip_quantity_latest</t>
        </is>
      </c>
      <c r="N282" s="5" t="inlineStr">
        <is>
          <t>Extensible long-format output: add a new accelerator row in 02b and map it in 02x_Accelerator_Catalog to extend this table.</t>
        </is>
      </c>
    </row>
    <row r="283">
      <c r="A283" s="5">
        <f>B283&amp;"|"&amp;C283&amp;"|"&amp;D283&amp;"|"&amp;E283&amp;"|"&amp;F283</f>
        <v/>
      </c>
      <c r="B283" s="5" t="inlineStr">
        <is>
          <t>Bear</t>
        </is>
      </c>
      <c r="C283" s="5" t="inlineStr">
        <is>
          <t>Microsoft</t>
        </is>
      </c>
      <c r="D283" s="5" t="n">
        <v>2030</v>
      </c>
      <c r="E283" s="5" t="inlineStr">
        <is>
          <t>Microsoft</t>
        </is>
      </c>
      <c r="F283" s="5" t="inlineStr">
        <is>
          <t>H100/H200/A100 class</t>
        </is>
      </c>
      <c r="G283" s="5">
        <f>IFERROR(INDEX('02x_Accelerator_Catalog'!$C$2:$C$11,MATCH(F283,'02x_Accelerator_Catalog'!$B$2:$B$11,0)),"purpose_or_unbenchmarked")</f>
        <v/>
      </c>
      <c r="H283" s="28">
        <f>SUMIFS('02c_AI_CSP_Normalized'!$N$2:$N$305,'02c_AI_CSP_Normalized'!$B$2:$B$305,B283,'02c_AI_CSP_Normalized'!$C$2:$C$305,C283,'02c_AI_CSP_Normalized'!$D$2:$D$305,D283,'02c_AI_CSP_Normalized'!$E$2:$E$305,E283)</f>
        <v/>
      </c>
      <c r="I283" s="6">
        <f>SUMIFS('02b_CSP_Accelerator_Mix'!$H$2:$H$573,'02b_CSP_Accelerator_Mix'!$B$2:$B$573,B283,'02b_CSP_Accelerator_Mix'!$C$2:$C$573,E283,'02b_CSP_Accelerator_Mix'!$D$2:$D$573,D283,'02b_CSP_Accelerator_Mix'!$E$2:$E$573,F283)</f>
        <v/>
      </c>
      <c r="J283" s="28">
        <f>H283*I283</f>
        <v/>
      </c>
      <c r="K283" s="8">
        <f>IFERROR(INDEX('02x_Accelerator_Catalog'!$D$2:$D$11,MATCH(F283,'02x_Accelerator_Catalog'!$B$2:$B$11,0)),"")</f>
        <v/>
      </c>
      <c r="L283" s="7">
        <f>IF(K283&gt;0,J283*1000/K283,"")</f>
        <v/>
      </c>
      <c r="M283" s="5" t="inlineStr">
        <is>
          <t>epoch_csp_chip_quantity_latest</t>
        </is>
      </c>
      <c r="N283" s="5" t="inlineStr">
        <is>
          <t>Extensible long-format output: add a new accelerator row in 02b and map it in 02x_Accelerator_Catalog to extend this table.</t>
        </is>
      </c>
    </row>
    <row r="284">
      <c r="A284" s="5">
        <f>B284&amp;"|"&amp;C284&amp;"|"&amp;D284&amp;"|"&amp;E284&amp;"|"&amp;F284</f>
        <v/>
      </c>
      <c r="B284" s="5" t="inlineStr">
        <is>
          <t>Base</t>
        </is>
      </c>
      <c r="C284" s="5" t="inlineStr">
        <is>
          <t>Microsoft</t>
        </is>
      </c>
      <c r="D284" s="5" t="n">
        <v>2030</v>
      </c>
      <c r="E284" s="5" t="inlineStr">
        <is>
          <t>Microsoft</t>
        </is>
      </c>
      <c r="F284" s="5" t="inlineStr">
        <is>
          <t>B200/B300 class</t>
        </is>
      </c>
      <c r="G284" s="5">
        <f>IFERROR(INDEX('02x_Accelerator_Catalog'!$C$2:$C$11,MATCH(F284,'02x_Accelerator_Catalog'!$B$2:$B$11,0)),"purpose_or_unbenchmarked")</f>
        <v/>
      </c>
      <c r="H284" s="28">
        <f>SUMIFS('02c_AI_CSP_Normalized'!$N$2:$N$305,'02c_AI_CSP_Normalized'!$B$2:$B$305,B284,'02c_AI_CSP_Normalized'!$C$2:$C$305,C284,'02c_AI_CSP_Normalized'!$D$2:$D$305,D284,'02c_AI_CSP_Normalized'!$E$2:$E$305,E284)</f>
        <v/>
      </c>
      <c r="I284" s="6">
        <f>SUMIFS('02b_CSP_Accelerator_Mix'!$H$2:$H$573,'02b_CSP_Accelerator_Mix'!$B$2:$B$573,B284,'02b_CSP_Accelerator_Mix'!$C$2:$C$573,E284,'02b_CSP_Accelerator_Mix'!$D$2:$D$573,D284,'02b_CSP_Accelerator_Mix'!$E$2:$E$573,F284)</f>
        <v/>
      </c>
      <c r="J284" s="28">
        <f>H284*I284</f>
        <v/>
      </c>
      <c r="K284" s="8">
        <f>IFERROR(INDEX('02x_Accelerator_Catalog'!$D$2:$D$11,MATCH(F284,'02x_Accelerator_Catalog'!$B$2:$B$11,0)),"")</f>
        <v/>
      </c>
      <c r="L284" s="7">
        <f>IF(K284&gt;0,J284*1000/K284,"")</f>
        <v/>
      </c>
      <c r="M284" s="5" t="inlineStr">
        <is>
          <t>epoch_csp_chip_quantity_latest</t>
        </is>
      </c>
      <c r="N284" s="5" t="inlineStr">
        <is>
          <t>Extensible long-format output: add a new accelerator row in 02b and map it in 02x_Accelerator_Catalog to extend this table.</t>
        </is>
      </c>
    </row>
    <row r="285">
      <c r="A285" s="5">
        <f>B285&amp;"|"&amp;C285&amp;"|"&amp;D285&amp;"|"&amp;E285&amp;"|"&amp;F285</f>
        <v/>
      </c>
      <c r="B285" s="5" t="inlineStr">
        <is>
          <t>Base</t>
        </is>
      </c>
      <c r="C285" s="5" t="inlineStr">
        <is>
          <t>Microsoft</t>
        </is>
      </c>
      <c r="D285" s="5" t="n">
        <v>2030</v>
      </c>
      <c r="E285" s="5" t="inlineStr">
        <is>
          <t>Microsoft</t>
        </is>
      </c>
      <c r="F285" s="5" t="inlineStr">
        <is>
          <t>H100/H200/A100 class</t>
        </is>
      </c>
      <c r="G285" s="5">
        <f>IFERROR(INDEX('02x_Accelerator_Catalog'!$C$2:$C$11,MATCH(F285,'02x_Accelerator_Catalog'!$B$2:$B$11,0)),"purpose_or_unbenchmarked")</f>
        <v/>
      </c>
      <c r="H285" s="28">
        <f>SUMIFS('02c_AI_CSP_Normalized'!$N$2:$N$305,'02c_AI_CSP_Normalized'!$B$2:$B$305,B285,'02c_AI_CSP_Normalized'!$C$2:$C$305,C285,'02c_AI_CSP_Normalized'!$D$2:$D$305,D285,'02c_AI_CSP_Normalized'!$E$2:$E$305,E285)</f>
        <v/>
      </c>
      <c r="I285" s="6">
        <f>SUMIFS('02b_CSP_Accelerator_Mix'!$H$2:$H$573,'02b_CSP_Accelerator_Mix'!$B$2:$B$573,B285,'02b_CSP_Accelerator_Mix'!$C$2:$C$573,E285,'02b_CSP_Accelerator_Mix'!$D$2:$D$573,D285,'02b_CSP_Accelerator_Mix'!$E$2:$E$573,F285)</f>
        <v/>
      </c>
      <c r="J285" s="28">
        <f>H285*I285</f>
        <v/>
      </c>
      <c r="K285" s="8">
        <f>IFERROR(INDEX('02x_Accelerator_Catalog'!$D$2:$D$11,MATCH(F285,'02x_Accelerator_Catalog'!$B$2:$B$11,0)),"")</f>
        <v/>
      </c>
      <c r="L285" s="7">
        <f>IF(K285&gt;0,J285*1000/K285,"")</f>
        <v/>
      </c>
      <c r="M285" s="5" t="inlineStr">
        <is>
          <t>epoch_csp_chip_quantity_latest</t>
        </is>
      </c>
      <c r="N285" s="5" t="inlineStr">
        <is>
          <t>Extensible long-format output: add a new accelerator row in 02b and map it in 02x_Accelerator_Catalog to extend this table.</t>
        </is>
      </c>
    </row>
    <row r="286">
      <c r="A286" s="5">
        <f>B286&amp;"|"&amp;C286&amp;"|"&amp;D286&amp;"|"&amp;E286&amp;"|"&amp;F286</f>
        <v/>
      </c>
      <c r="B286" s="5" t="inlineStr">
        <is>
          <t>Bull</t>
        </is>
      </c>
      <c r="C286" s="5" t="inlineStr">
        <is>
          <t>Microsoft</t>
        </is>
      </c>
      <c r="D286" s="5" t="n">
        <v>2030</v>
      </c>
      <c r="E286" s="5" t="inlineStr">
        <is>
          <t>Microsoft</t>
        </is>
      </c>
      <c r="F286" s="5" t="inlineStr">
        <is>
          <t>B200/B300 class</t>
        </is>
      </c>
      <c r="G286" s="5">
        <f>IFERROR(INDEX('02x_Accelerator_Catalog'!$C$2:$C$11,MATCH(F286,'02x_Accelerator_Catalog'!$B$2:$B$11,0)),"purpose_or_unbenchmarked")</f>
        <v/>
      </c>
      <c r="H286" s="28">
        <f>SUMIFS('02c_AI_CSP_Normalized'!$N$2:$N$305,'02c_AI_CSP_Normalized'!$B$2:$B$305,B286,'02c_AI_CSP_Normalized'!$C$2:$C$305,C286,'02c_AI_CSP_Normalized'!$D$2:$D$305,D286,'02c_AI_CSP_Normalized'!$E$2:$E$305,E286)</f>
        <v/>
      </c>
      <c r="I286" s="6">
        <f>SUMIFS('02b_CSP_Accelerator_Mix'!$H$2:$H$573,'02b_CSP_Accelerator_Mix'!$B$2:$B$573,B286,'02b_CSP_Accelerator_Mix'!$C$2:$C$573,E286,'02b_CSP_Accelerator_Mix'!$D$2:$D$573,D286,'02b_CSP_Accelerator_Mix'!$E$2:$E$573,F286)</f>
        <v/>
      </c>
      <c r="J286" s="28">
        <f>H286*I286</f>
        <v/>
      </c>
      <c r="K286" s="8">
        <f>IFERROR(INDEX('02x_Accelerator_Catalog'!$D$2:$D$11,MATCH(F286,'02x_Accelerator_Catalog'!$B$2:$B$11,0)),"")</f>
        <v/>
      </c>
      <c r="L286" s="7">
        <f>IF(K286&gt;0,J286*1000/K286,"")</f>
        <v/>
      </c>
      <c r="M286" s="5" t="inlineStr">
        <is>
          <t>epoch_csp_chip_quantity_latest</t>
        </is>
      </c>
      <c r="N286" s="5" t="inlineStr">
        <is>
          <t>Extensible long-format output: add a new accelerator row in 02b and map it in 02x_Accelerator_Catalog to extend this table.</t>
        </is>
      </c>
    </row>
    <row r="287">
      <c r="A287" s="5">
        <f>B287&amp;"|"&amp;C287&amp;"|"&amp;D287&amp;"|"&amp;E287&amp;"|"&amp;F287</f>
        <v/>
      </c>
      <c r="B287" s="5" t="inlineStr">
        <is>
          <t>Bull</t>
        </is>
      </c>
      <c r="C287" s="5" t="inlineStr">
        <is>
          <t>Microsoft</t>
        </is>
      </c>
      <c r="D287" s="5" t="n">
        <v>2030</v>
      </c>
      <c r="E287" s="5" t="inlineStr">
        <is>
          <t>Microsoft</t>
        </is>
      </c>
      <c r="F287" s="5" t="inlineStr">
        <is>
          <t>H100/H200/A100 class</t>
        </is>
      </c>
      <c r="G287" s="5">
        <f>IFERROR(INDEX('02x_Accelerator_Catalog'!$C$2:$C$11,MATCH(F287,'02x_Accelerator_Catalog'!$B$2:$B$11,0)),"purpose_or_unbenchmarked")</f>
        <v/>
      </c>
      <c r="H287" s="28">
        <f>SUMIFS('02c_AI_CSP_Normalized'!$N$2:$N$305,'02c_AI_CSP_Normalized'!$B$2:$B$305,B287,'02c_AI_CSP_Normalized'!$C$2:$C$305,C287,'02c_AI_CSP_Normalized'!$D$2:$D$305,D287,'02c_AI_CSP_Normalized'!$E$2:$E$305,E287)</f>
        <v/>
      </c>
      <c r="I287" s="6">
        <f>SUMIFS('02b_CSP_Accelerator_Mix'!$H$2:$H$573,'02b_CSP_Accelerator_Mix'!$B$2:$B$573,B287,'02b_CSP_Accelerator_Mix'!$C$2:$C$573,E287,'02b_CSP_Accelerator_Mix'!$D$2:$D$573,D287,'02b_CSP_Accelerator_Mix'!$E$2:$E$573,F287)</f>
        <v/>
      </c>
      <c r="J287" s="28">
        <f>H287*I287</f>
        <v/>
      </c>
      <c r="K287" s="8">
        <f>IFERROR(INDEX('02x_Accelerator_Catalog'!$D$2:$D$11,MATCH(F287,'02x_Accelerator_Catalog'!$B$2:$B$11,0)),"")</f>
        <v/>
      </c>
      <c r="L287" s="7">
        <f>IF(K287&gt;0,J287*1000/K287,"")</f>
        <v/>
      </c>
      <c r="M287" s="5" t="inlineStr">
        <is>
          <t>epoch_csp_chip_quantity_latest</t>
        </is>
      </c>
      <c r="N287" s="5" t="inlineStr">
        <is>
          <t>Extensible long-format output: add a new accelerator row in 02b and map it in 02x_Accelerator_Catalog to extend this table.</t>
        </is>
      </c>
    </row>
    <row r="288">
      <c r="A288" s="5">
        <f>B288&amp;"|"&amp;C288&amp;"|"&amp;D288&amp;"|"&amp;E288&amp;"|"&amp;F288</f>
        <v/>
      </c>
      <c r="B288" s="5" t="inlineStr">
        <is>
          <t>Grid-Constrained / Efficiency-Upside</t>
        </is>
      </c>
      <c r="C288" s="5" t="inlineStr">
        <is>
          <t>Microsoft</t>
        </is>
      </c>
      <c r="D288" s="5" t="n">
        <v>2030</v>
      </c>
      <c r="E288" s="5" t="inlineStr">
        <is>
          <t>Microsoft</t>
        </is>
      </c>
      <c r="F288" s="5" t="inlineStr">
        <is>
          <t>B200/B300 class</t>
        </is>
      </c>
      <c r="G288" s="5">
        <f>IFERROR(INDEX('02x_Accelerator_Catalog'!$C$2:$C$11,MATCH(F288,'02x_Accelerator_Catalog'!$B$2:$B$11,0)),"purpose_or_unbenchmarked")</f>
        <v/>
      </c>
      <c r="H288" s="28">
        <f>SUMIFS('02c_AI_CSP_Normalized'!$N$2:$N$305,'02c_AI_CSP_Normalized'!$B$2:$B$305,B288,'02c_AI_CSP_Normalized'!$C$2:$C$305,C288,'02c_AI_CSP_Normalized'!$D$2:$D$305,D288,'02c_AI_CSP_Normalized'!$E$2:$E$305,E288)</f>
        <v/>
      </c>
      <c r="I288" s="6">
        <f>SUMIFS('02b_CSP_Accelerator_Mix'!$H$2:$H$573,'02b_CSP_Accelerator_Mix'!$B$2:$B$573,B288,'02b_CSP_Accelerator_Mix'!$C$2:$C$573,E288,'02b_CSP_Accelerator_Mix'!$D$2:$D$573,D288,'02b_CSP_Accelerator_Mix'!$E$2:$E$573,F288)</f>
        <v/>
      </c>
      <c r="J288" s="28">
        <f>H288*I288</f>
        <v/>
      </c>
      <c r="K288" s="8">
        <f>IFERROR(INDEX('02x_Accelerator_Catalog'!$D$2:$D$11,MATCH(F288,'02x_Accelerator_Catalog'!$B$2:$B$11,0)),"")</f>
        <v/>
      </c>
      <c r="L288" s="7">
        <f>IF(K288&gt;0,J288*1000/K288,"")</f>
        <v/>
      </c>
      <c r="M288" s="5" t="inlineStr">
        <is>
          <t>epoch_csp_chip_quantity_latest</t>
        </is>
      </c>
      <c r="N288" s="5" t="inlineStr">
        <is>
          <t>Extensible long-format output: add a new accelerator row in 02b and map it in 02x_Accelerator_Catalog to extend this table.</t>
        </is>
      </c>
    </row>
    <row r="289">
      <c r="A289" s="5">
        <f>B289&amp;"|"&amp;C289&amp;"|"&amp;D289&amp;"|"&amp;E289&amp;"|"&amp;F289</f>
        <v/>
      </c>
      <c r="B289" s="5" t="inlineStr">
        <is>
          <t>Grid-Constrained / Efficiency-Upside</t>
        </is>
      </c>
      <c r="C289" s="5" t="inlineStr">
        <is>
          <t>Microsoft</t>
        </is>
      </c>
      <c r="D289" s="5" t="n">
        <v>2030</v>
      </c>
      <c r="E289" s="5" t="inlineStr">
        <is>
          <t>Microsoft</t>
        </is>
      </c>
      <c r="F289" s="5" t="inlineStr">
        <is>
          <t>H100/H200/A100 class</t>
        </is>
      </c>
      <c r="G289" s="5">
        <f>IFERROR(INDEX('02x_Accelerator_Catalog'!$C$2:$C$11,MATCH(F289,'02x_Accelerator_Catalog'!$B$2:$B$11,0)),"purpose_or_unbenchmarked")</f>
        <v/>
      </c>
      <c r="H289" s="28">
        <f>SUMIFS('02c_AI_CSP_Normalized'!$N$2:$N$305,'02c_AI_CSP_Normalized'!$B$2:$B$305,B289,'02c_AI_CSP_Normalized'!$C$2:$C$305,C289,'02c_AI_CSP_Normalized'!$D$2:$D$305,D289,'02c_AI_CSP_Normalized'!$E$2:$E$305,E289)</f>
        <v/>
      </c>
      <c r="I289" s="6">
        <f>SUMIFS('02b_CSP_Accelerator_Mix'!$H$2:$H$573,'02b_CSP_Accelerator_Mix'!$B$2:$B$573,B289,'02b_CSP_Accelerator_Mix'!$C$2:$C$573,E289,'02b_CSP_Accelerator_Mix'!$D$2:$D$573,D289,'02b_CSP_Accelerator_Mix'!$E$2:$E$573,F289)</f>
        <v/>
      </c>
      <c r="J289" s="28">
        <f>H289*I289</f>
        <v/>
      </c>
      <c r="K289" s="8">
        <f>IFERROR(INDEX('02x_Accelerator_Catalog'!$D$2:$D$11,MATCH(F289,'02x_Accelerator_Catalog'!$B$2:$B$11,0)),"")</f>
        <v/>
      </c>
      <c r="L289" s="7">
        <f>IF(K289&gt;0,J289*1000/K289,"")</f>
        <v/>
      </c>
      <c r="M289" s="5" t="inlineStr">
        <is>
          <t>epoch_csp_chip_quantity_latest</t>
        </is>
      </c>
      <c r="N289" s="5" t="inlineStr">
        <is>
          <t>Extensible long-format output: add a new accelerator row in 02b and map it in 02x_Accelerator_Catalog to extend this table.</t>
        </is>
      </c>
    </row>
    <row r="290">
      <c r="A290" s="5">
        <f>B290&amp;"|"&amp;C290&amp;"|"&amp;D290&amp;"|"&amp;E290&amp;"|"&amp;F290</f>
        <v/>
      </c>
      <c r="B290" s="5" t="inlineStr">
        <is>
          <t>Bear</t>
        </is>
      </c>
      <c r="C290" s="5" t="inlineStr">
        <is>
          <t>Microsoft</t>
        </is>
      </c>
      <c r="D290" s="5" t="n">
        <v>2026</v>
      </c>
      <c r="E290" s="5" t="inlineStr">
        <is>
          <t>Nscale</t>
        </is>
      </c>
      <c r="F290" s="5" t="inlineStr">
        <is>
          <t>B200/B300 class</t>
        </is>
      </c>
      <c r="G290" s="5">
        <f>IFERROR(INDEX('02x_Accelerator_Catalog'!$C$2:$C$11,MATCH(F290,'02x_Accelerator_Catalog'!$B$2:$B$11,0)),"purpose_or_unbenchmarked")</f>
        <v/>
      </c>
      <c r="H290" s="28">
        <f>SUMIFS('02c_AI_CSP_Normalized'!$N$2:$N$305,'02c_AI_CSP_Normalized'!$B$2:$B$305,B290,'02c_AI_CSP_Normalized'!$C$2:$C$305,C290,'02c_AI_CSP_Normalized'!$D$2:$D$305,D290,'02c_AI_CSP_Normalized'!$E$2:$E$305,E290)</f>
        <v/>
      </c>
      <c r="I290" s="6">
        <f>SUMIFS('02b_CSP_Accelerator_Mix'!$H$2:$H$573,'02b_CSP_Accelerator_Mix'!$B$2:$B$573,B290,'02b_CSP_Accelerator_Mix'!$C$2:$C$573,E290,'02b_CSP_Accelerator_Mix'!$D$2:$D$573,D290,'02b_CSP_Accelerator_Mix'!$E$2:$E$573,F290)</f>
        <v/>
      </c>
      <c r="J290" s="28">
        <f>H290*I290</f>
        <v/>
      </c>
      <c r="K290" s="8">
        <f>IFERROR(INDEX('02x_Accelerator_Catalog'!$D$2:$D$11,MATCH(F290,'02x_Accelerator_Catalog'!$B$2:$B$11,0)),"")</f>
        <v/>
      </c>
      <c r="L290" s="7">
        <f>IF(K290&gt;0,J290*1000/K290,"")</f>
        <v/>
      </c>
      <c r="M290" s="5" t="inlineStr">
        <is>
          <t>epoch_csp_chip_quantity_latest</t>
        </is>
      </c>
      <c r="N290" s="5" t="inlineStr">
        <is>
          <t>Extensible long-format output: add a new accelerator row in 02b and map it in 02x_Accelerator_Catalog to extend this table.</t>
        </is>
      </c>
    </row>
    <row r="291">
      <c r="A291" s="5">
        <f>B291&amp;"|"&amp;C291&amp;"|"&amp;D291&amp;"|"&amp;E291&amp;"|"&amp;F291</f>
        <v/>
      </c>
      <c r="B291" s="5" t="inlineStr">
        <is>
          <t>Base</t>
        </is>
      </c>
      <c r="C291" s="5" t="inlineStr">
        <is>
          <t>Microsoft</t>
        </is>
      </c>
      <c r="D291" s="5" t="n">
        <v>2026</v>
      </c>
      <c r="E291" s="5" t="inlineStr">
        <is>
          <t>Nscale</t>
        </is>
      </c>
      <c r="F291" s="5" t="inlineStr">
        <is>
          <t>B200/B300 class</t>
        </is>
      </c>
      <c r="G291" s="5">
        <f>IFERROR(INDEX('02x_Accelerator_Catalog'!$C$2:$C$11,MATCH(F291,'02x_Accelerator_Catalog'!$B$2:$B$11,0)),"purpose_or_unbenchmarked")</f>
        <v/>
      </c>
      <c r="H291" s="28">
        <f>SUMIFS('02c_AI_CSP_Normalized'!$N$2:$N$305,'02c_AI_CSP_Normalized'!$B$2:$B$305,B291,'02c_AI_CSP_Normalized'!$C$2:$C$305,C291,'02c_AI_CSP_Normalized'!$D$2:$D$305,D291,'02c_AI_CSP_Normalized'!$E$2:$E$305,E291)</f>
        <v/>
      </c>
      <c r="I291" s="6">
        <f>SUMIFS('02b_CSP_Accelerator_Mix'!$H$2:$H$573,'02b_CSP_Accelerator_Mix'!$B$2:$B$573,B291,'02b_CSP_Accelerator_Mix'!$C$2:$C$573,E291,'02b_CSP_Accelerator_Mix'!$D$2:$D$573,D291,'02b_CSP_Accelerator_Mix'!$E$2:$E$573,F291)</f>
        <v/>
      </c>
      <c r="J291" s="28">
        <f>H291*I291</f>
        <v/>
      </c>
      <c r="K291" s="8">
        <f>IFERROR(INDEX('02x_Accelerator_Catalog'!$D$2:$D$11,MATCH(F291,'02x_Accelerator_Catalog'!$B$2:$B$11,0)),"")</f>
        <v/>
      </c>
      <c r="L291" s="7">
        <f>IF(K291&gt;0,J291*1000/K291,"")</f>
        <v/>
      </c>
      <c r="M291" s="5" t="inlineStr">
        <is>
          <t>epoch_csp_chip_quantity_latest</t>
        </is>
      </c>
      <c r="N291" s="5" t="inlineStr">
        <is>
          <t>Extensible long-format output: add a new accelerator row in 02b and map it in 02x_Accelerator_Catalog to extend this table.</t>
        </is>
      </c>
    </row>
    <row r="292">
      <c r="A292" s="5">
        <f>B292&amp;"|"&amp;C292&amp;"|"&amp;D292&amp;"|"&amp;E292&amp;"|"&amp;F292</f>
        <v/>
      </c>
      <c r="B292" s="5" t="inlineStr">
        <is>
          <t>Bull</t>
        </is>
      </c>
      <c r="C292" s="5" t="inlineStr">
        <is>
          <t>Microsoft</t>
        </is>
      </c>
      <c r="D292" s="5" t="n">
        <v>2026</v>
      </c>
      <c r="E292" s="5" t="inlineStr">
        <is>
          <t>Nscale</t>
        </is>
      </c>
      <c r="F292" s="5" t="inlineStr">
        <is>
          <t>B200/B300 class</t>
        </is>
      </c>
      <c r="G292" s="5">
        <f>IFERROR(INDEX('02x_Accelerator_Catalog'!$C$2:$C$11,MATCH(F292,'02x_Accelerator_Catalog'!$B$2:$B$11,0)),"purpose_or_unbenchmarked")</f>
        <v/>
      </c>
      <c r="H292" s="28">
        <f>SUMIFS('02c_AI_CSP_Normalized'!$N$2:$N$305,'02c_AI_CSP_Normalized'!$B$2:$B$305,B292,'02c_AI_CSP_Normalized'!$C$2:$C$305,C292,'02c_AI_CSP_Normalized'!$D$2:$D$305,D292,'02c_AI_CSP_Normalized'!$E$2:$E$305,E292)</f>
        <v/>
      </c>
      <c r="I292" s="6">
        <f>SUMIFS('02b_CSP_Accelerator_Mix'!$H$2:$H$573,'02b_CSP_Accelerator_Mix'!$B$2:$B$573,B292,'02b_CSP_Accelerator_Mix'!$C$2:$C$573,E292,'02b_CSP_Accelerator_Mix'!$D$2:$D$573,D292,'02b_CSP_Accelerator_Mix'!$E$2:$E$573,F292)</f>
        <v/>
      </c>
      <c r="J292" s="28">
        <f>H292*I292</f>
        <v/>
      </c>
      <c r="K292" s="8">
        <f>IFERROR(INDEX('02x_Accelerator_Catalog'!$D$2:$D$11,MATCH(F292,'02x_Accelerator_Catalog'!$B$2:$B$11,0)),"")</f>
        <v/>
      </c>
      <c r="L292" s="7">
        <f>IF(K292&gt;0,J292*1000/K292,"")</f>
        <v/>
      </c>
      <c r="M292" s="5" t="inlineStr">
        <is>
          <t>epoch_csp_chip_quantity_latest</t>
        </is>
      </c>
      <c r="N292" s="5" t="inlineStr">
        <is>
          <t>Extensible long-format output: add a new accelerator row in 02b and map it in 02x_Accelerator_Catalog to extend this table.</t>
        </is>
      </c>
    </row>
    <row r="293">
      <c r="A293" s="5">
        <f>B293&amp;"|"&amp;C293&amp;"|"&amp;D293&amp;"|"&amp;E293&amp;"|"&amp;F293</f>
        <v/>
      </c>
      <c r="B293" s="5" t="inlineStr">
        <is>
          <t>Grid-Constrained / Efficiency-Upside</t>
        </is>
      </c>
      <c r="C293" s="5" t="inlineStr">
        <is>
          <t>Microsoft</t>
        </is>
      </c>
      <c r="D293" s="5" t="n">
        <v>2026</v>
      </c>
      <c r="E293" s="5" t="inlineStr">
        <is>
          <t>Nscale</t>
        </is>
      </c>
      <c r="F293" s="5" t="inlineStr">
        <is>
          <t>B200/B300 class</t>
        </is>
      </c>
      <c r="G293" s="5">
        <f>IFERROR(INDEX('02x_Accelerator_Catalog'!$C$2:$C$11,MATCH(F293,'02x_Accelerator_Catalog'!$B$2:$B$11,0)),"purpose_or_unbenchmarked")</f>
        <v/>
      </c>
      <c r="H293" s="28">
        <f>SUMIFS('02c_AI_CSP_Normalized'!$N$2:$N$305,'02c_AI_CSP_Normalized'!$B$2:$B$305,B293,'02c_AI_CSP_Normalized'!$C$2:$C$305,C293,'02c_AI_CSP_Normalized'!$D$2:$D$305,D293,'02c_AI_CSP_Normalized'!$E$2:$E$305,E293)</f>
        <v/>
      </c>
      <c r="I293" s="6">
        <f>SUMIFS('02b_CSP_Accelerator_Mix'!$H$2:$H$573,'02b_CSP_Accelerator_Mix'!$B$2:$B$573,B293,'02b_CSP_Accelerator_Mix'!$C$2:$C$573,E293,'02b_CSP_Accelerator_Mix'!$D$2:$D$573,D293,'02b_CSP_Accelerator_Mix'!$E$2:$E$573,F293)</f>
        <v/>
      </c>
      <c r="J293" s="28">
        <f>H293*I293</f>
        <v/>
      </c>
      <c r="K293" s="8">
        <f>IFERROR(INDEX('02x_Accelerator_Catalog'!$D$2:$D$11,MATCH(F293,'02x_Accelerator_Catalog'!$B$2:$B$11,0)),"")</f>
        <v/>
      </c>
      <c r="L293" s="7">
        <f>IF(K293&gt;0,J293*1000/K293,"")</f>
        <v/>
      </c>
      <c r="M293" s="5" t="inlineStr">
        <is>
          <t>epoch_csp_chip_quantity_latest</t>
        </is>
      </c>
      <c r="N293" s="5" t="inlineStr">
        <is>
          <t>Extensible long-format output: add a new accelerator row in 02b and map it in 02x_Accelerator_Catalog to extend this table.</t>
        </is>
      </c>
    </row>
    <row r="294">
      <c r="A294" s="5">
        <f>B294&amp;"|"&amp;C294&amp;"|"&amp;D294&amp;"|"&amp;E294&amp;"|"&amp;F294</f>
        <v/>
      </c>
      <c r="B294" s="5" t="inlineStr">
        <is>
          <t>Bear</t>
        </is>
      </c>
      <c r="C294" s="5" t="inlineStr">
        <is>
          <t>Microsoft</t>
        </is>
      </c>
      <c r="D294" s="5" t="n">
        <v>2027</v>
      </c>
      <c r="E294" s="5" t="inlineStr">
        <is>
          <t>Nscale</t>
        </is>
      </c>
      <c r="F294" s="5" t="inlineStr">
        <is>
          <t>B200/B300 class</t>
        </is>
      </c>
      <c r="G294" s="5">
        <f>IFERROR(INDEX('02x_Accelerator_Catalog'!$C$2:$C$11,MATCH(F294,'02x_Accelerator_Catalog'!$B$2:$B$11,0)),"purpose_or_unbenchmarked")</f>
        <v/>
      </c>
      <c r="H294" s="28">
        <f>SUMIFS('02c_AI_CSP_Normalized'!$N$2:$N$305,'02c_AI_CSP_Normalized'!$B$2:$B$305,B294,'02c_AI_CSP_Normalized'!$C$2:$C$305,C294,'02c_AI_CSP_Normalized'!$D$2:$D$305,D294,'02c_AI_CSP_Normalized'!$E$2:$E$305,E294)</f>
        <v/>
      </c>
      <c r="I294" s="6">
        <f>SUMIFS('02b_CSP_Accelerator_Mix'!$H$2:$H$573,'02b_CSP_Accelerator_Mix'!$B$2:$B$573,B294,'02b_CSP_Accelerator_Mix'!$C$2:$C$573,E294,'02b_CSP_Accelerator_Mix'!$D$2:$D$573,D294,'02b_CSP_Accelerator_Mix'!$E$2:$E$573,F294)</f>
        <v/>
      </c>
      <c r="J294" s="28">
        <f>H294*I294</f>
        <v/>
      </c>
      <c r="K294" s="8">
        <f>IFERROR(INDEX('02x_Accelerator_Catalog'!$D$2:$D$11,MATCH(F294,'02x_Accelerator_Catalog'!$B$2:$B$11,0)),"")</f>
        <v/>
      </c>
      <c r="L294" s="7">
        <f>IF(K294&gt;0,J294*1000/K294,"")</f>
        <v/>
      </c>
      <c r="M294" s="5" t="inlineStr">
        <is>
          <t>epoch_csp_chip_quantity_latest</t>
        </is>
      </c>
      <c r="N294" s="5" t="inlineStr">
        <is>
          <t>Extensible long-format output: add a new accelerator row in 02b and map it in 02x_Accelerator_Catalog to extend this table.</t>
        </is>
      </c>
    </row>
    <row r="295">
      <c r="A295" s="5">
        <f>B295&amp;"|"&amp;C295&amp;"|"&amp;D295&amp;"|"&amp;E295&amp;"|"&amp;F295</f>
        <v/>
      </c>
      <c r="B295" s="5" t="inlineStr">
        <is>
          <t>Base</t>
        </is>
      </c>
      <c r="C295" s="5" t="inlineStr">
        <is>
          <t>Microsoft</t>
        </is>
      </c>
      <c r="D295" s="5" t="n">
        <v>2027</v>
      </c>
      <c r="E295" s="5" t="inlineStr">
        <is>
          <t>Nscale</t>
        </is>
      </c>
      <c r="F295" s="5" t="inlineStr">
        <is>
          <t>B200/B300 class</t>
        </is>
      </c>
      <c r="G295" s="5">
        <f>IFERROR(INDEX('02x_Accelerator_Catalog'!$C$2:$C$11,MATCH(F295,'02x_Accelerator_Catalog'!$B$2:$B$11,0)),"purpose_or_unbenchmarked")</f>
        <v/>
      </c>
      <c r="H295" s="28">
        <f>SUMIFS('02c_AI_CSP_Normalized'!$N$2:$N$305,'02c_AI_CSP_Normalized'!$B$2:$B$305,B295,'02c_AI_CSP_Normalized'!$C$2:$C$305,C295,'02c_AI_CSP_Normalized'!$D$2:$D$305,D295,'02c_AI_CSP_Normalized'!$E$2:$E$305,E295)</f>
        <v/>
      </c>
      <c r="I295" s="6">
        <f>SUMIFS('02b_CSP_Accelerator_Mix'!$H$2:$H$573,'02b_CSP_Accelerator_Mix'!$B$2:$B$573,B295,'02b_CSP_Accelerator_Mix'!$C$2:$C$573,E295,'02b_CSP_Accelerator_Mix'!$D$2:$D$573,D295,'02b_CSP_Accelerator_Mix'!$E$2:$E$573,F295)</f>
        <v/>
      </c>
      <c r="J295" s="28">
        <f>H295*I295</f>
        <v/>
      </c>
      <c r="K295" s="8">
        <f>IFERROR(INDEX('02x_Accelerator_Catalog'!$D$2:$D$11,MATCH(F295,'02x_Accelerator_Catalog'!$B$2:$B$11,0)),"")</f>
        <v/>
      </c>
      <c r="L295" s="7">
        <f>IF(K295&gt;0,J295*1000/K295,"")</f>
        <v/>
      </c>
      <c r="M295" s="5" t="inlineStr">
        <is>
          <t>epoch_csp_chip_quantity_latest</t>
        </is>
      </c>
      <c r="N295" s="5" t="inlineStr">
        <is>
          <t>Extensible long-format output: add a new accelerator row in 02b and map it in 02x_Accelerator_Catalog to extend this table.</t>
        </is>
      </c>
    </row>
    <row r="296">
      <c r="A296" s="5">
        <f>B296&amp;"|"&amp;C296&amp;"|"&amp;D296&amp;"|"&amp;E296&amp;"|"&amp;F296</f>
        <v/>
      </c>
      <c r="B296" s="5" t="inlineStr">
        <is>
          <t>Bull</t>
        </is>
      </c>
      <c r="C296" s="5" t="inlineStr">
        <is>
          <t>Microsoft</t>
        </is>
      </c>
      <c r="D296" s="5" t="n">
        <v>2027</v>
      </c>
      <c r="E296" s="5" t="inlineStr">
        <is>
          <t>Nscale</t>
        </is>
      </c>
      <c r="F296" s="5" t="inlineStr">
        <is>
          <t>B200/B300 class</t>
        </is>
      </c>
      <c r="G296" s="5">
        <f>IFERROR(INDEX('02x_Accelerator_Catalog'!$C$2:$C$11,MATCH(F296,'02x_Accelerator_Catalog'!$B$2:$B$11,0)),"purpose_or_unbenchmarked")</f>
        <v/>
      </c>
      <c r="H296" s="28">
        <f>SUMIFS('02c_AI_CSP_Normalized'!$N$2:$N$305,'02c_AI_CSP_Normalized'!$B$2:$B$305,B296,'02c_AI_CSP_Normalized'!$C$2:$C$305,C296,'02c_AI_CSP_Normalized'!$D$2:$D$305,D296,'02c_AI_CSP_Normalized'!$E$2:$E$305,E296)</f>
        <v/>
      </c>
      <c r="I296" s="6">
        <f>SUMIFS('02b_CSP_Accelerator_Mix'!$H$2:$H$573,'02b_CSP_Accelerator_Mix'!$B$2:$B$573,B296,'02b_CSP_Accelerator_Mix'!$C$2:$C$573,E296,'02b_CSP_Accelerator_Mix'!$D$2:$D$573,D296,'02b_CSP_Accelerator_Mix'!$E$2:$E$573,F296)</f>
        <v/>
      </c>
      <c r="J296" s="28">
        <f>H296*I296</f>
        <v/>
      </c>
      <c r="K296" s="8">
        <f>IFERROR(INDEX('02x_Accelerator_Catalog'!$D$2:$D$11,MATCH(F296,'02x_Accelerator_Catalog'!$B$2:$B$11,0)),"")</f>
        <v/>
      </c>
      <c r="L296" s="7">
        <f>IF(K296&gt;0,J296*1000/K296,"")</f>
        <v/>
      </c>
      <c r="M296" s="5" t="inlineStr">
        <is>
          <t>epoch_csp_chip_quantity_latest</t>
        </is>
      </c>
      <c r="N296" s="5" t="inlineStr">
        <is>
          <t>Extensible long-format output: add a new accelerator row in 02b and map it in 02x_Accelerator_Catalog to extend this table.</t>
        </is>
      </c>
    </row>
    <row r="297">
      <c r="A297" s="5">
        <f>B297&amp;"|"&amp;C297&amp;"|"&amp;D297&amp;"|"&amp;E297&amp;"|"&amp;F297</f>
        <v/>
      </c>
      <c r="B297" s="5" t="inlineStr">
        <is>
          <t>Grid-Constrained / Efficiency-Upside</t>
        </is>
      </c>
      <c r="C297" s="5" t="inlineStr">
        <is>
          <t>Microsoft</t>
        </is>
      </c>
      <c r="D297" s="5" t="n">
        <v>2027</v>
      </c>
      <c r="E297" s="5" t="inlineStr">
        <is>
          <t>Nscale</t>
        </is>
      </c>
      <c r="F297" s="5" t="inlineStr">
        <is>
          <t>B200/B300 class</t>
        </is>
      </c>
      <c r="G297" s="5">
        <f>IFERROR(INDEX('02x_Accelerator_Catalog'!$C$2:$C$11,MATCH(F297,'02x_Accelerator_Catalog'!$B$2:$B$11,0)),"purpose_or_unbenchmarked")</f>
        <v/>
      </c>
      <c r="H297" s="28">
        <f>SUMIFS('02c_AI_CSP_Normalized'!$N$2:$N$305,'02c_AI_CSP_Normalized'!$B$2:$B$305,B297,'02c_AI_CSP_Normalized'!$C$2:$C$305,C297,'02c_AI_CSP_Normalized'!$D$2:$D$305,D297,'02c_AI_CSP_Normalized'!$E$2:$E$305,E297)</f>
        <v/>
      </c>
      <c r="I297" s="6">
        <f>SUMIFS('02b_CSP_Accelerator_Mix'!$H$2:$H$573,'02b_CSP_Accelerator_Mix'!$B$2:$B$573,B297,'02b_CSP_Accelerator_Mix'!$C$2:$C$573,E297,'02b_CSP_Accelerator_Mix'!$D$2:$D$573,D297,'02b_CSP_Accelerator_Mix'!$E$2:$E$573,F297)</f>
        <v/>
      </c>
      <c r="J297" s="28">
        <f>H297*I297</f>
        <v/>
      </c>
      <c r="K297" s="8">
        <f>IFERROR(INDEX('02x_Accelerator_Catalog'!$D$2:$D$11,MATCH(F297,'02x_Accelerator_Catalog'!$B$2:$B$11,0)),"")</f>
        <v/>
      </c>
      <c r="L297" s="7">
        <f>IF(K297&gt;0,J297*1000/K297,"")</f>
        <v/>
      </c>
      <c r="M297" s="5" t="inlineStr">
        <is>
          <t>epoch_csp_chip_quantity_latest</t>
        </is>
      </c>
      <c r="N297" s="5" t="inlineStr">
        <is>
          <t>Extensible long-format output: add a new accelerator row in 02b and map it in 02x_Accelerator_Catalog to extend this table.</t>
        </is>
      </c>
    </row>
    <row r="298">
      <c r="A298" s="5">
        <f>B298&amp;"|"&amp;C298&amp;"|"&amp;D298&amp;"|"&amp;E298&amp;"|"&amp;F298</f>
        <v/>
      </c>
      <c r="B298" s="5" t="inlineStr">
        <is>
          <t>Bear</t>
        </is>
      </c>
      <c r="C298" s="5" t="inlineStr">
        <is>
          <t>Microsoft</t>
        </is>
      </c>
      <c r="D298" s="5" t="n">
        <v>2028</v>
      </c>
      <c r="E298" s="5" t="inlineStr">
        <is>
          <t>Nscale</t>
        </is>
      </c>
      <c r="F298" s="5" t="inlineStr">
        <is>
          <t>B200/B300 class</t>
        </is>
      </c>
      <c r="G298" s="5">
        <f>IFERROR(INDEX('02x_Accelerator_Catalog'!$C$2:$C$11,MATCH(F298,'02x_Accelerator_Catalog'!$B$2:$B$11,0)),"purpose_or_unbenchmarked")</f>
        <v/>
      </c>
      <c r="H298" s="28">
        <f>SUMIFS('02c_AI_CSP_Normalized'!$N$2:$N$305,'02c_AI_CSP_Normalized'!$B$2:$B$305,B298,'02c_AI_CSP_Normalized'!$C$2:$C$305,C298,'02c_AI_CSP_Normalized'!$D$2:$D$305,D298,'02c_AI_CSP_Normalized'!$E$2:$E$305,E298)</f>
        <v/>
      </c>
      <c r="I298" s="6">
        <f>SUMIFS('02b_CSP_Accelerator_Mix'!$H$2:$H$573,'02b_CSP_Accelerator_Mix'!$B$2:$B$573,B298,'02b_CSP_Accelerator_Mix'!$C$2:$C$573,E298,'02b_CSP_Accelerator_Mix'!$D$2:$D$573,D298,'02b_CSP_Accelerator_Mix'!$E$2:$E$573,F298)</f>
        <v/>
      </c>
      <c r="J298" s="28">
        <f>H298*I298</f>
        <v/>
      </c>
      <c r="K298" s="8">
        <f>IFERROR(INDEX('02x_Accelerator_Catalog'!$D$2:$D$11,MATCH(F298,'02x_Accelerator_Catalog'!$B$2:$B$11,0)),"")</f>
        <v/>
      </c>
      <c r="L298" s="7">
        <f>IF(K298&gt;0,J298*1000/K298,"")</f>
        <v/>
      </c>
      <c r="M298" s="5" t="inlineStr">
        <is>
          <t>epoch_csp_chip_quantity_latest</t>
        </is>
      </c>
      <c r="N298" s="5" t="inlineStr">
        <is>
          <t>Extensible long-format output: add a new accelerator row in 02b and map it in 02x_Accelerator_Catalog to extend this table.</t>
        </is>
      </c>
    </row>
    <row r="299">
      <c r="A299" s="5">
        <f>B299&amp;"|"&amp;C299&amp;"|"&amp;D299&amp;"|"&amp;E299&amp;"|"&amp;F299</f>
        <v/>
      </c>
      <c r="B299" s="5" t="inlineStr">
        <is>
          <t>Base</t>
        </is>
      </c>
      <c r="C299" s="5" t="inlineStr">
        <is>
          <t>Microsoft</t>
        </is>
      </c>
      <c r="D299" s="5" t="n">
        <v>2028</v>
      </c>
      <c r="E299" s="5" t="inlineStr">
        <is>
          <t>Nscale</t>
        </is>
      </c>
      <c r="F299" s="5" t="inlineStr">
        <is>
          <t>B200/B300 class</t>
        </is>
      </c>
      <c r="G299" s="5">
        <f>IFERROR(INDEX('02x_Accelerator_Catalog'!$C$2:$C$11,MATCH(F299,'02x_Accelerator_Catalog'!$B$2:$B$11,0)),"purpose_or_unbenchmarked")</f>
        <v/>
      </c>
      <c r="H299" s="28">
        <f>SUMIFS('02c_AI_CSP_Normalized'!$N$2:$N$305,'02c_AI_CSP_Normalized'!$B$2:$B$305,B299,'02c_AI_CSP_Normalized'!$C$2:$C$305,C299,'02c_AI_CSP_Normalized'!$D$2:$D$305,D299,'02c_AI_CSP_Normalized'!$E$2:$E$305,E299)</f>
        <v/>
      </c>
      <c r="I299" s="6">
        <f>SUMIFS('02b_CSP_Accelerator_Mix'!$H$2:$H$573,'02b_CSP_Accelerator_Mix'!$B$2:$B$573,B299,'02b_CSP_Accelerator_Mix'!$C$2:$C$573,E299,'02b_CSP_Accelerator_Mix'!$D$2:$D$573,D299,'02b_CSP_Accelerator_Mix'!$E$2:$E$573,F299)</f>
        <v/>
      </c>
      <c r="J299" s="28">
        <f>H299*I299</f>
        <v/>
      </c>
      <c r="K299" s="8">
        <f>IFERROR(INDEX('02x_Accelerator_Catalog'!$D$2:$D$11,MATCH(F299,'02x_Accelerator_Catalog'!$B$2:$B$11,0)),"")</f>
        <v/>
      </c>
      <c r="L299" s="7">
        <f>IF(K299&gt;0,J299*1000/K299,"")</f>
        <v/>
      </c>
      <c r="M299" s="5" t="inlineStr">
        <is>
          <t>epoch_csp_chip_quantity_latest</t>
        </is>
      </c>
      <c r="N299" s="5" t="inlineStr">
        <is>
          <t>Extensible long-format output: add a new accelerator row in 02b and map it in 02x_Accelerator_Catalog to extend this table.</t>
        </is>
      </c>
    </row>
    <row r="300">
      <c r="A300" s="5">
        <f>B300&amp;"|"&amp;C300&amp;"|"&amp;D300&amp;"|"&amp;E300&amp;"|"&amp;F300</f>
        <v/>
      </c>
      <c r="B300" s="5" t="inlineStr">
        <is>
          <t>Bull</t>
        </is>
      </c>
      <c r="C300" s="5" t="inlineStr">
        <is>
          <t>Microsoft</t>
        </is>
      </c>
      <c r="D300" s="5" t="n">
        <v>2028</v>
      </c>
      <c r="E300" s="5" t="inlineStr">
        <is>
          <t>Nscale</t>
        </is>
      </c>
      <c r="F300" s="5" t="inlineStr">
        <is>
          <t>B200/B300 class</t>
        </is>
      </c>
      <c r="G300" s="5">
        <f>IFERROR(INDEX('02x_Accelerator_Catalog'!$C$2:$C$11,MATCH(F300,'02x_Accelerator_Catalog'!$B$2:$B$11,0)),"purpose_or_unbenchmarked")</f>
        <v/>
      </c>
      <c r="H300" s="28">
        <f>SUMIFS('02c_AI_CSP_Normalized'!$N$2:$N$305,'02c_AI_CSP_Normalized'!$B$2:$B$305,B300,'02c_AI_CSP_Normalized'!$C$2:$C$305,C300,'02c_AI_CSP_Normalized'!$D$2:$D$305,D300,'02c_AI_CSP_Normalized'!$E$2:$E$305,E300)</f>
        <v/>
      </c>
      <c r="I300" s="6">
        <f>SUMIFS('02b_CSP_Accelerator_Mix'!$H$2:$H$573,'02b_CSP_Accelerator_Mix'!$B$2:$B$573,B300,'02b_CSP_Accelerator_Mix'!$C$2:$C$573,E300,'02b_CSP_Accelerator_Mix'!$D$2:$D$573,D300,'02b_CSP_Accelerator_Mix'!$E$2:$E$573,F300)</f>
        <v/>
      </c>
      <c r="J300" s="28">
        <f>H300*I300</f>
        <v/>
      </c>
      <c r="K300" s="8">
        <f>IFERROR(INDEX('02x_Accelerator_Catalog'!$D$2:$D$11,MATCH(F300,'02x_Accelerator_Catalog'!$B$2:$B$11,0)),"")</f>
        <v/>
      </c>
      <c r="L300" s="7">
        <f>IF(K300&gt;0,J300*1000/K300,"")</f>
        <v/>
      </c>
      <c r="M300" s="5" t="inlineStr">
        <is>
          <t>epoch_csp_chip_quantity_latest</t>
        </is>
      </c>
      <c r="N300" s="5" t="inlineStr">
        <is>
          <t>Extensible long-format output: add a new accelerator row in 02b and map it in 02x_Accelerator_Catalog to extend this table.</t>
        </is>
      </c>
    </row>
    <row r="301">
      <c r="A301" s="5">
        <f>B301&amp;"|"&amp;C301&amp;"|"&amp;D301&amp;"|"&amp;E301&amp;"|"&amp;F301</f>
        <v/>
      </c>
      <c r="B301" s="5" t="inlineStr">
        <is>
          <t>Grid-Constrained / Efficiency-Upside</t>
        </is>
      </c>
      <c r="C301" s="5" t="inlineStr">
        <is>
          <t>Microsoft</t>
        </is>
      </c>
      <c r="D301" s="5" t="n">
        <v>2028</v>
      </c>
      <c r="E301" s="5" t="inlineStr">
        <is>
          <t>Nscale</t>
        </is>
      </c>
      <c r="F301" s="5" t="inlineStr">
        <is>
          <t>B200/B300 class</t>
        </is>
      </c>
      <c r="G301" s="5">
        <f>IFERROR(INDEX('02x_Accelerator_Catalog'!$C$2:$C$11,MATCH(F301,'02x_Accelerator_Catalog'!$B$2:$B$11,0)),"purpose_or_unbenchmarked")</f>
        <v/>
      </c>
      <c r="H301" s="28">
        <f>SUMIFS('02c_AI_CSP_Normalized'!$N$2:$N$305,'02c_AI_CSP_Normalized'!$B$2:$B$305,B301,'02c_AI_CSP_Normalized'!$C$2:$C$305,C301,'02c_AI_CSP_Normalized'!$D$2:$D$305,D301,'02c_AI_CSP_Normalized'!$E$2:$E$305,E301)</f>
        <v/>
      </c>
      <c r="I301" s="6">
        <f>SUMIFS('02b_CSP_Accelerator_Mix'!$H$2:$H$573,'02b_CSP_Accelerator_Mix'!$B$2:$B$573,B301,'02b_CSP_Accelerator_Mix'!$C$2:$C$573,E301,'02b_CSP_Accelerator_Mix'!$D$2:$D$573,D301,'02b_CSP_Accelerator_Mix'!$E$2:$E$573,F301)</f>
        <v/>
      </c>
      <c r="J301" s="28">
        <f>H301*I301</f>
        <v/>
      </c>
      <c r="K301" s="8">
        <f>IFERROR(INDEX('02x_Accelerator_Catalog'!$D$2:$D$11,MATCH(F301,'02x_Accelerator_Catalog'!$B$2:$B$11,0)),"")</f>
        <v/>
      </c>
      <c r="L301" s="7">
        <f>IF(K301&gt;0,J301*1000/K301,"")</f>
        <v/>
      </c>
      <c r="M301" s="5" t="inlineStr">
        <is>
          <t>epoch_csp_chip_quantity_latest</t>
        </is>
      </c>
      <c r="N301" s="5" t="inlineStr">
        <is>
          <t>Extensible long-format output: add a new accelerator row in 02b and map it in 02x_Accelerator_Catalog to extend this table.</t>
        </is>
      </c>
    </row>
    <row r="302">
      <c r="A302" s="5">
        <f>B302&amp;"|"&amp;C302&amp;"|"&amp;D302&amp;"|"&amp;E302&amp;"|"&amp;F302</f>
        <v/>
      </c>
      <c r="B302" s="5" t="inlineStr">
        <is>
          <t>Bear</t>
        </is>
      </c>
      <c r="C302" s="5" t="inlineStr">
        <is>
          <t>Microsoft</t>
        </is>
      </c>
      <c r="D302" s="5" t="n">
        <v>2029</v>
      </c>
      <c r="E302" s="5" t="inlineStr">
        <is>
          <t>Nscale</t>
        </is>
      </c>
      <c r="F302" s="5" t="inlineStr">
        <is>
          <t>B200/B300 class</t>
        </is>
      </c>
      <c r="G302" s="5">
        <f>IFERROR(INDEX('02x_Accelerator_Catalog'!$C$2:$C$11,MATCH(F302,'02x_Accelerator_Catalog'!$B$2:$B$11,0)),"purpose_or_unbenchmarked")</f>
        <v/>
      </c>
      <c r="H302" s="28">
        <f>SUMIFS('02c_AI_CSP_Normalized'!$N$2:$N$305,'02c_AI_CSP_Normalized'!$B$2:$B$305,B302,'02c_AI_CSP_Normalized'!$C$2:$C$305,C302,'02c_AI_CSP_Normalized'!$D$2:$D$305,D302,'02c_AI_CSP_Normalized'!$E$2:$E$305,E302)</f>
        <v/>
      </c>
      <c r="I302" s="6">
        <f>SUMIFS('02b_CSP_Accelerator_Mix'!$H$2:$H$573,'02b_CSP_Accelerator_Mix'!$B$2:$B$573,B302,'02b_CSP_Accelerator_Mix'!$C$2:$C$573,E302,'02b_CSP_Accelerator_Mix'!$D$2:$D$573,D302,'02b_CSP_Accelerator_Mix'!$E$2:$E$573,F302)</f>
        <v/>
      </c>
      <c r="J302" s="28">
        <f>H302*I302</f>
        <v/>
      </c>
      <c r="K302" s="8">
        <f>IFERROR(INDEX('02x_Accelerator_Catalog'!$D$2:$D$11,MATCH(F302,'02x_Accelerator_Catalog'!$B$2:$B$11,0)),"")</f>
        <v/>
      </c>
      <c r="L302" s="7">
        <f>IF(K302&gt;0,J302*1000/K302,"")</f>
        <v/>
      </c>
      <c r="M302" s="5" t="inlineStr">
        <is>
          <t>epoch_csp_chip_quantity_latest</t>
        </is>
      </c>
      <c r="N302" s="5" t="inlineStr">
        <is>
          <t>Extensible long-format output: add a new accelerator row in 02b and map it in 02x_Accelerator_Catalog to extend this table.</t>
        </is>
      </c>
    </row>
    <row r="303">
      <c r="A303" s="5">
        <f>B303&amp;"|"&amp;C303&amp;"|"&amp;D303&amp;"|"&amp;E303&amp;"|"&amp;F303</f>
        <v/>
      </c>
      <c r="B303" s="5" t="inlineStr">
        <is>
          <t>Base</t>
        </is>
      </c>
      <c r="C303" s="5" t="inlineStr">
        <is>
          <t>Microsoft</t>
        </is>
      </c>
      <c r="D303" s="5" t="n">
        <v>2029</v>
      </c>
      <c r="E303" s="5" t="inlineStr">
        <is>
          <t>Nscale</t>
        </is>
      </c>
      <c r="F303" s="5" t="inlineStr">
        <is>
          <t>B200/B300 class</t>
        </is>
      </c>
      <c r="G303" s="5">
        <f>IFERROR(INDEX('02x_Accelerator_Catalog'!$C$2:$C$11,MATCH(F303,'02x_Accelerator_Catalog'!$B$2:$B$11,0)),"purpose_or_unbenchmarked")</f>
        <v/>
      </c>
      <c r="H303" s="28">
        <f>SUMIFS('02c_AI_CSP_Normalized'!$N$2:$N$305,'02c_AI_CSP_Normalized'!$B$2:$B$305,B303,'02c_AI_CSP_Normalized'!$C$2:$C$305,C303,'02c_AI_CSP_Normalized'!$D$2:$D$305,D303,'02c_AI_CSP_Normalized'!$E$2:$E$305,E303)</f>
        <v/>
      </c>
      <c r="I303" s="6">
        <f>SUMIFS('02b_CSP_Accelerator_Mix'!$H$2:$H$573,'02b_CSP_Accelerator_Mix'!$B$2:$B$573,B303,'02b_CSP_Accelerator_Mix'!$C$2:$C$573,E303,'02b_CSP_Accelerator_Mix'!$D$2:$D$573,D303,'02b_CSP_Accelerator_Mix'!$E$2:$E$573,F303)</f>
        <v/>
      </c>
      <c r="J303" s="28">
        <f>H303*I303</f>
        <v/>
      </c>
      <c r="K303" s="8">
        <f>IFERROR(INDEX('02x_Accelerator_Catalog'!$D$2:$D$11,MATCH(F303,'02x_Accelerator_Catalog'!$B$2:$B$11,0)),"")</f>
        <v/>
      </c>
      <c r="L303" s="7">
        <f>IF(K303&gt;0,J303*1000/K303,"")</f>
        <v/>
      </c>
      <c r="M303" s="5" t="inlineStr">
        <is>
          <t>epoch_csp_chip_quantity_latest</t>
        </is>
      </c>
      <c r="N303" s="5" t="inlineStr">
        <is>
          <t>Extensible long-format output: add a new accelerator row in 02b and map it in 02x_Accelerator_Catalog to extend this table.</t>
        </is>
      </c>
    </row>
    <row r="304">
      <c r="A304" s="5">
        <f>B304&amp;"|"&amp;C304&amp;"|"&amp;D304&amp;"|"&amp;E304&amp;"|"&amp;F304</f>
        <v/>
      </c>
      <c r="B304" s="5" t="inlineStr">
        <is>
          <t>Bull</t>
        </is>
      </c>
      <c r="C304" s="5" t="inlineStr">
        <is>
          <t>Microsoft</t>
        </is>
      </c>
      <c r="D304" s="5" t="n">
        <v>2029</v>
      </c>
      <c r="E304" s="5" t="inlineStr">
        <is>
          <t>Nscale</t>
        </is>
      </c>
      <c r="F304" s="5" t="inlineStr">
        <is>
          <t>B200/B300 class</t>
        </is>
      </c>
      <c r="G304" s="5">
        <f>IFERROR(INDEX('02x_Accelerator_Catalog'!$C$2:$C$11,MATCH(F304,'02x_Accelerator_Catalog'!$B$2:$B$11,0)),"purpose_or_unbenchmarked")</f>
        <v/>
      </c>
      <c r="H304" s="28">
        <f>SUMIFS('02c_AI_CSP_Normalized'!$N$2:$N$305,'02c_AI_CSP_Normalized'!$B$2:$B$305,B304,'02c_AI_CSP_Normalized'!$C$2:$C$305,C304,'02c_AI_CSP_Normalized'!$D$2:$D$305,D304,'02c_AI_CSP_Normalized'!$E$2:$E$305,E304)</f>
        <v/>
      </c>
      <c r="I304" s="6">
        <f>SUMIFS('02b_CSP_Accelerator_Mix'!$H$2:$H$573,'02b_CSP_Accelerator_Mix'!$B$2:$B$573,B304,'02b_CSP_Accelerator_Mix'!$C$2:$C$573,E304,'02b_CSP_Accelerator_Mix'!$D$2:$D$573,D304,'02b_CSP_Accelerator_Mix'!$E$2:$E$573,F304)</f>
        <v/>
      </c>
      <c r="J304" s="28">
        <f>H304*I304</f>
        <v/>
      </c>
      <c r="K304" s="8">
        <f>IFERROR(INDEX('02x_Accelerator_Catalog'!$D$2:$D$11,MATCH(F304,'02x_Accelerator_Catalog'!$B$2:$B$11,0)),"")</f>
        <v/>
      </c>
      <c r="L304" s="7">
        <f>IF(K304&gt;0,J304*1000/K304,"")</f>
        <v/>
      </c>
      <c r="M304" s="5" t="inlineStr">
        <is>
          <t>epoch_csp_chip_quantity_latest</t>
        </is>
      </c>
      <c r="N304" s="5" t="inlineStr">
        <is>
          <t>Extensible long-format output: add a new accelerator row in 02b and map it in 02x_Accelerator_Catalog to extend this table.</t>
        </is>
      </c>
    </row>
    <row r="305">
      <c r="A305" s="5">
        <f>B305&amp;"|"&amp;C305&amp;"|"&amp;D305&amp;"|"&amp;E305&amp;"|"&amp;F305</f>
        <v/>
      </c>
      <c r="B305" s="5" t="inlineStr">
        <is>
          <t>Grid-Constrained / Efficiency-Upside</t>
        </is>
      </c>
      <c r="C305" s="5" t="inlineStr">
        <is>
          <t>Microsoft</t>
        </is>
      </c>
      <c r="D305" s="5" t="n">
        <v>2029</v>
      </c>
      <c r="E305" s="5" t="inlineStr">
        <is>
          <t>Nscale</t>
        </is>
      </c>
      <c r="F305" s="5" t="inlineStr">
        <is>
          <t>B200/B300 class</t>
        </is>
      </c>
      <c r="G305" s="5">
        <f>IFERROR(INDEX('02x_Accelerator_Catalog'!$C$2:$C$11,MATCH(F305,'02x_Accelerator_Catalog'!$B$2:$B$11,0)),"purpose_or_unbenchmarked")</f>
        <v/>
      </c>
      <c r="H305" s="28">
        <f>SUMIFS('02c_AI_CSP_Normalized'!$N$2:$N$305,'02c_AI_CSP_Normalized'!$B$2:$B$305,B305,'02c_AI_CSP_Normalized'!$C$2:$C$305,C305,'02c_AI_CSP_Normalized'!$D$2:$D$305,D305,'02c_AI_CSP_Normalized'!$E$2:$E$305,E305)</f>
        <v/>
      </c>
      <c r="I305" s="6">
        <f>SUMIFS('02b_CSP_Accelerator_Mix'!$H$2:$H$573,'02b_CSP_Accelerator_Mix'!$B$2:$B$573,B305,'02b_CSP_Accelerator_Mix'!$C$2:$C$573,E305,'02b_CSP_Accelerator_Mix'!$D$2:$D$573,D305,'02b_CSP_Accelerator_Mix'!$E$2:$E$573,F305)</f>
        <v/>
      </c>
      <c r="J305" s="28">
        <f>H305*I305</f>
        <v/>
      </c>
      <c r="K305" s="8">
        <f>IFERROR(INDEX('02x_Accelerator_Catalog'!$D$2:$D$11,MATCH(F305,'02x_Accelerator_Catalog'!$B$2:$B$11,0)),"")</f>
        <v/>
      </c>
      <c r="L305" s="7">
        <f>IF(K305&gt;0,J305*1000/K305,"")</f>
        <v/>
      </c>
      <c r="M305" s="5" t="inlineStr">
        <is>
          <t>epoch_csp_chip_quantity_latest</t>
        </is>
      </c>
      <c r="N305" s="5" t="inlineStr">
        <is>
          <t>Extensible long-format output: add a new accelerator row in 02b and map it in 02x_Accelerator_Catalog to extend this table.</t>
        </is>
      </c>
    </row>
    <row r="306">
      <c r="A306" s="5">
        <f>B306&amp;"|"&amp;C306&amp;"|"&amp;D306&amp;"|"&amp;E306&amp;"|"&amp;F306</f>
        <v/>
      </c>
      <c r="B306" s="5" t="inlineStr">
        <is>
          <t>Bear</t>
        </is>
      </c>
      <c r="C306" s="5" t="inlineStr">
        <is>
          <t>Microsoft</t>
        </is>
      </c>
      <c r="D306" s="5" t="n">
        <v>2030</v>
      </c>
      <c r="E306" s="5" t="inlineStr">
        <is>
          <t>Nscale</t>
        </is>
      </c>
      <c r="F306" s="5" t="inlineStr">
        <is>
          <t>B200/B300 class</t>
        </is>
      </c>
      <c r="G306" s="5">
        <f>IFERROR(INDEX('02x_Accelerator_Catalog'!$C$2:$C$11,MATCH(F306,'02x_Accelerator_Catalog'!$B$2:$B$11,0)),"purpose_or_unbenchmarked")</f>
        <v/>
      </c>
      <c r="H306" s="28">
        <f>SUMIFS('02c_AI_CSP_Normalized'!$N$2:$N$305,'02c_AI_CSP_Normalized'!$B$2:$B$305,B306,'02c_AI_CSP_Normalized'!$C$2:$C$305,C306,'02c_AI_CSP_Normalized'!$D$2:$D$305,D306,'02c_AI_CSP_Normalized'!$E$2:$E$305,E306)</f>
        <v/>
      </c>
      <c r="I306" s="6">
        <f>SUMIFS('02b_CSP_Accelerator_Mix'!$H$2:$H$573,'02b_CSP_Accelerator_Mix'!$B$2:$B$573,B306,'02b_CSP_Accelerator_Mix'!$C$2:$C$573,E306,'02b_CSP_Accelerator_Mix'!$D$2:$D$573,D306,'02b_CSP_Accelerator_Mix'!$E$2:$E$573,F306)</f>
        <v/>
      </c>
      <c r="J306" s="28">
        <f>H306*I306</f>
        <v/>
      </c>
      <c r="K306" s="8">
        <f>IFERROR(INDEX('02x_Accelerator_Catalog'!$D$2:$D$11,MATCH(F306,'02x_Accelerator_Catalog'!$B$2:$B$11,0)),"")</f>
        <v/>
      </c>
      <c r="L306" s="7">
        <f>IF(K306&gt;0,J306*1000/K306,"")</f>
        <v/>
      </c>
      <c r="M306" s="5" t="inlineStr">
        <is>
          <t>epoch_csp_chip_quantity_latest</t>
        </is>
      </c>
      <c r="N306" s="5" t="inlineStr">
        <is>
          <t>Extensible long-format output: add a new accelerator row in 02b and map it in 02x_Accelerator_Catalog to extend this table.</t>
        </is>
      </c>
    </row>
    <row r="307">
      <c r="A307" s="5">
        <f>B307&amp;"|"&amp;C307&amp;"|"&amp;D307&amp;"|"&amp;E307&amp;"|"&amp;F307</f>
        <v/>
      </c>
      <c r="B307" s="5" t="inlineStr">
        <is>
          <t>Base</t>
        </is>
      </c>
      <c r="C307" s="5" t="inlineStr">
        <is>
          <t>Microsoft</t>
        </is>
      </c>
      <c r="D307" s="5" t="n">
        <v>2030</v>
      </c>
      <c r="E307" s="5" t="inlineStr">
        <is>
          <t>Nscale</t>
        </is>
      </c>
      <c r="F307" s="5" t="inlineStr">
        <is>
          <t>B200/B300 class</t>
        </is>
      </c>
      <c r="G307" s="5">
        <f>IFERROR(INDEX('02x_Accelerator_Catalog'!$C$2:$C$11,MATCH(F307,'02x_Accelerator_Catalog'!$B$2:$B$11,0)),"purpose_or_unbenchmarked")</f>
        <v/>
      </c>
      <c r="H307" s="28">
        <f>SUMIFS('02c_AI_CSP_Normalized'!$N$2:$N$305,'02c_AI_CSP_Normalized'!$B$2:$B$305,B307,'02c_AI_CSP_Normalized'!$C$2:$C$305,C307,'02c_AI_CSP_Normalized'!$D$2:$D$305,D307,'02c_AI_CSP_Normalized'!$E$2:$E$305,E307)</f>
        <v/>
      </c>
      <c r="I307" s="6">
        <f>SUMIFS('02b_CSP_Accelerator_Mix'!$H$2:$H$573,'02b_CSP_Accelerator_Mix'!$B$2:$B$573,B307,'02b_CSP_Accelerator_Mix'!$C$2:$C$573,E307,'02b_CSP_Accelerator_Mix'!$D$2:$D$573,D307,'02b_CSP_Accelerator_Mix'!$E$2:$E$573,F307)</f>
        <v/>
      </c>
      <c r="J307" s="28">
        <f>H307*I307</f>
        <v/>
      </c>
      <c r="K307" s="8">
        <f>IFERROR(INDEX('02x_Accelerator_Catalog'!$D$2:$D$11,MATCH(F307,'02x_Accelerator_Catalog'!$B$2:$B$11,0)),"")</f>
        <v/>
      </c>
      <c r="L307" s="7">
        <f>IF(K307&gt;0,J307*1000/K307,"")</f>
        <v/>
      </c>
      <c r="M307" s="5" t="inlineStr">
        <is>
          <t>epoch_csp_chip_quantity_latest</t>
        </is>
      </c>
      <c r="N307" s="5" t="inlineStr">
        <is>
          <t>Extensible long-format output: add a new accelerator row in 02b and map it in 02x_Accelerator_Catalog to extend this table.</t>
        </is>
      </c>
    </row>
    <row r="308">
      <c r="A308" s="5">
        <f>B308&amp;"|"&amp;C308&amp;"|"&amp;D308&amp;"|"&amp;E308&amp;"|"&amp;F308</f>
        <v/>
      </c>
      <c r="B308" s="5" t="inlineStr">
        <is>
          <t>Bull</t>
        </is>
      </c>
      <c r="C308" s="5" t="inlineStr">
        <is>
          <t>Microsoft</t>
        </is>
      </c>
      <c r="D308" s="5" t="n">
        <v>2030</v>
      </c>
      <c r="E308" s="5" t="inlineStr">
        <is>
          <t>Nscale</t>
        </is>
      </c>
      <c r="F308" s="5" t="inlineStr">
        <is>
          <t>B200/B300 class</t>
        </is>
      </c>
      <c r="G308" s="5">
        <f>IFERROR(INDEX('02x_Accelerator_Catalog'!$C$2:$C$11,MATCH(F308,'02x_Accelerator_Catalog'!$B$2:$B$11,0)),"purpose_or_unbenchmarked")</f>
        <v/>
      </c>
      <c r="H308" s="28">
        <f>SUMIFS('02c_AI_CSP_Normalized'!$N$2:$N$305,'02c_AI_CSP_Normalized'!$B$2:$B$305,B308,'02c_AI_CSP_Normalized'!$C$2:$C$305,C308,'02c_AI_CSP_Normalized'!$D$2:$D$305,D308,'02c_AI_CSP_Normalized'!$E$2:$E$305,E308)</f>
        <v/>
      </c>
      <c r="I308" s="6">
        <f>SUMIFS('02b_CSP_Accelerator_Mix'!$H$2:$H$573,'02b_CSP_Accelerator_Mix'!$B$2:$B$573,B308,'02b_CSP_Accelerator_Mix'!$C$2:$C$573,E308,'02b_CSP_Accelerator_Mix'!$D$2:$D$573,D308,'02b_CSP_Accelerator_Mix'!$E$2:$E$573,F308)</f>
        <v/>
      </c>
      <c r="J308" s="28">
        <f>H308*I308</f>
        <v/>
      </c>
      <c r="K308" s="8">
        <f>IFERROR(INDEX('02x_Accelerator_Catalog'!$D$2:$D$11,MATCH(F308,'02x_Accelerator_Catalog'!$B$2:$B$11,0)),"")</f>
        <v/>
      </c>
      <c r="L308" s="7">
        <f>IF(K308&gt;0,J308*1000/K308,"")</f>
        <v/>
      </c>
      <c r="M308" s="5" t="inlineStr">
        <is>
          <t>epoch_csp_chip_quantity_latest</t>
        </is>
      </c>
      <c r="N308" s="5" t="inlineStr">
        <is>
          <t>Extensible long-format output: add a new accelerator row in 02b and map it in 02x_Accelerator_Catalog to extend this table.</t>
        </is>
      </c>
    </row>
    <row r="309">
      <c r="A309" s="5">
        <f>B309&amp;"|"&amp;C309&amp;"|"&amp;D309&amp;"|"&amp;E309&amp;"|"&amp;F309</f>
        <v/>
      </c>
      <c r="B309" s="5" t="inlineStr">
        <is>
          <t>Grid-Constrained / Efficiency-Upside</t>
        </is>
      </c>
      <c r="C309" s="5" t="inlineStr">
        <is>
          <t>Microsoft</t>
        </is>
      </c>
      <c r="D309" s="5" t="n">
        <v>2030</v>
      </c>
      <c r="E309" s="5" t="inlineStr">
        <is>
          <t>Nscale</t>
        </is>
      </c>
      <c r="F309" s="5" t="inlineStr">
        <is>
          <t>B200/B300 class</t>
        </is>
      </c>
      <c r="G309" s="5">
        <f>IFERROR(INDEX('02x_Accelerator_Catalog'!$C$2:$C$11,MATCH(F309,'02x_Accelerator_Catalog'!$B$2:$B$11,0)),"purpose_or_unbenchmarked")</f>
        <v/>
      </c>
      <c r="H309" s="28">
        <f>SUMIFS('02c_AI_CSP_Normalized'!$N$2:$N$305,'02c_AI_CSP_Normalized'!$B$2:$B$305,B309,'02c_AI_CSP_Normalized'!$C$2:$C$305,C309,'02c_AI_CSP_Normalized'!$D$2:$D$305,D309,'02c_AI_CSP_Normalized'!$E$2:$E$305,E309)</f>
        <v/>
      </c>
      <c r="I309" s="6">
        <f>SUMIFS('02b_CSP_Accelerator_Mix'!$H$2:$H$573,'02b_CSP_Accelerator_Mix'!$B$2:$B$573,B309,'02b_CSP_Accelerator_Mix'!$C$2:$C$573,E309,'02b_CSP_Accelerator_Mix'!$D$2:$D$573,D309,'02b_CSP_Accelerator_Mix'!$E$2:$E$573,F309)</f>
        <v/>
      </c>
      <c r="J309" s="28">
        <f>H309*I309</f>
        <v/>
      </c>
      <c r="K309" s="8">
        <f>IFERROR(INDEX('02x_Accelerator_Catalog'!$D$2:$D$11,MATCH(F309,'02x_Accelerator_Catalog'!$B$2:$B$11,0)),"")</f>
        <v/>
      </c>
      <c r="L309" s="7">
        <f>IF(K309&gt;0,J309*1000/K309,"")</f>
        <v/>
      </c>
      <c r="M309" s="5" t="inlineStr">
        <is>
          <t>epoch_csp_chip_quantity_latest</t>
        </is>
      </c>
      <c r="N309" s="5" t="inlineStr">
        <is>
          <t>Extensible long-format output: add a new accelerator row in 02b and map it in 02x_Accelerator_Catalog to extend this table.</t>
        </is>
      </c>
    </row>
    <row r="310">
      <c r="A310" s="5">
        <f>B310&amp;"|"&amp;C310&amp;"|"&amp;D310&amp;"|"&amp;E310&amp;"|"&amp;F310</f>
        <v/>
      </c>
      <c r="B310" s="5" t="inlineStr">
        <is>
          <t>Bear</t>
        </is>
      </c>
      <c r="C310" s="5" t="inlineStr">
        <is>
          <t>OpenAI</t>
        </is>
      </c>
      <c r="D310" s="5" t="n">
        <v>2026</v>
      </c>
      <c r="E310" s="5" t="inlineStr">
        <is>
          <t>CoreWeave</t>
        </is>
      </c>
      <c r="F310" s="5" t="inlineStr">
        <is>
          <t>B200/B300 class</t>
        </is>
      </c>
      <c r="G310" s="5">
        <f>IFERROR(INDEX('02x_Accelerator_Catalog'!$C$2:$C$11,MATCH(F310,'02x_Accelerator_Catalog'!$B$2:$B$11,0)),"purpose_or_unbenchmarked")</f>
        <v/>
      </c>
      <c r="H310" s="28">
        <f>SUMIFS('02c_AI_CSP_Normalized'!$N$2:$N$305,'02c_AI_CSP_Normalized'!$B$2:$B$305,B310,'02c_AI_CSP_Normalized'!$C$2:$C$305,C310,'02c_AI_CSP_Normalized'!$D$2:$D$305,D310,'02c_AI_CSP_Normalized'!$E$2:$E$305,E310)</f>
        <v/>
      </c>
      <c r="I310" s="6">
        <f>SUMIFS('02b_CSP_Accelerator_Mix'!$H$2:$H$573,'02b_CSP_Accelerator_Mix'!$B$2:$B$573,B310,'02b_CSP_Accelerator_Mix'!$C$2:$C$573,E310,'02b_CSP_Accelerator_Mix'!$D$2:$D$573,D310,'02b_CSP_Accelerator_Mix'!$E$2:$E$573,F310)</f>
        <v/>
      </c>
      <c r="J310" s="28">
        <f>H310*I310</f>
        <v/>
      </c>
      <c r="K310" s="8">
        <f>IFERROR(INDEX('02x_Accelerator_Catalog'!$D$2:$D$11,MATCH(F310,'02x_Accelerator_Catalog'!$B$2:$B$11,0)),"")</f>
        <v/>
      </c>
      <c r="L310" s="7">
        <f>IF(K310&gt;0,J310*1000/K310,"")</f>
        <v/>
      </c>
      <c r="M310" s="5" t="inlineStr">
        <is>
          <t>epoch_csp_chip_quantity_latest</t>
        </is>
      </c>
      <c r="N310" s="5" t="inlineStr">
        <is>
          <t>Extensible long-format output: add a new accelerator row in 02b and map it in 02x_Accelerator_Catalog to extend this table.</t>
        </is>
      </c>
    </row>
    <row r="311">
      <c r="A311" s="5">
        <f>B311&amp;"|"&amp;C311&amp;"|"&amp;D311&amp;"|"&amp;E311&amp;"|"&amp;F311</f>
        <v/>
      </c>
      <c r="B311" s="5" t="inlineStr">
        <is>
          <t>Bear</t>
        </is>
      </c>
      <c r="C311" s="5" t="inlineStr">
        <is>
          <t>OpenAI</t>
        </is>
      </c>
      <c r="D311" s="5" t="n">
        <v>2026</v>
      </c>
      <c r="E311" s="5" t="inlineStr">
        <is>
          <t>CoreWeave</t>
        </is>
      </c>
      <c r="F311" s="5" t="inlineStr">
        <is>
          <t>H100/H200/A100 class</t>
        </is>
      </c>
      <c r="G311" s="5">
        <f>IFERROR(INDEX('02x_Accelerator_Catalog'!$C$2:$C$11,MATCH(F311,'02x_Accelerator_Catalog'!$B$2:$B$11,0)),"purpose_or_unbenchmarked")</f>
        <v/>
      </c>
      <c r="H311" s="28">
        <f>SUMIFS('02c_AI_CSP_Normalized'!$N$2:$N$305,'02c_AI_CSP_Normalized'!$B$2:$B$305,B311,'02c_AI_CSP_Normalized'!$C$2:$C$305,C311,'02c_AI_CSP_Normalized'!$D$2:$D$305,D311,'02c_AI_CSP_Normalized'!$E$2:$E$305,E311)</f>
        <v/>
      </c>
      <c r="I311" s="6">
        <f>SUMIFS('02b_CSP_Accelerator_Mix'!$H$2:$H$573,'02b_CSP_Accelerator_Mix'!$B$2:$B$573,B311,'02b_CSP_Accelerator_Mix'!$C$2:$C$573,E311,'02b_CSP_Accelerator_Mix'!$D$2:$D$573,D311,'02b_CSP_Accelerator_Mix'!$E$2:$E$573,F311)</f>
        <v/>
      </c>
      <c r="J311" s="28">
        <f>H311*I311</f>
        <v/>
      </c>
      <c r="K311" s="8">
        <f>IFERROR(INDEX('02x_Accelerator_Catalog'!$D$2:$D$11,MATCH(F311,'02x_Accelerator_Catalog'!$B$2:$B$11,0)),"")</f>
        <v/>
      </c>
      <c r="L311" s="7">
        <f>IF(K311&gt;0,J311*1000/K311,"")</f>
        <v/>
      </c>
      <c r="M311" s="5" t="inlineStr">
        <is>
          <t>epoch_csp_chip_quantity_latest</t>
        </is>
      </c>
      <c r="N311" s="5" t="inlineStr">
        <is>
          <t>Extensible long-format output: add a new accelerator row in 02b and map it in 02x_Accelerator_Catalog to extend this table.</t>
        </is>
      </c>
    </row>
    <row r="312">
      <c r="A312" s="5">
        <f>B312&amp;"|"&amp;C312&amp;"|"&amp;D312&amp;"|"&amp;E312&amp;"|"&amp;F312</f>
        <v/>
      </c>
      <c r="B312" s="5" t="inlineStr">
        <is>
          <t>Base</t>
        </is>
      </c>
      <c r="C312" s="5" t="inlineStr">
        <is>
          <t>OpenAI</t>
        </is>
      </c>
      <c r="D312" s="5" t="n">
        <v>2026</v>
      </c>
      <c r="E312" s="5" t="inlineStr">
        <is>
          <t>CoreWeave</t>
        </is>
      </c>
      <c r="F312" s="5" t="inlineStr">
        <is>
          <t>B200/B300 class</t>
        </is>
      </c>
      <c r="G312" s="5">
        <f>IFERROR(INDEX('02x_Accelerator_Catalog'!$C$2:$C$11,MATCH(F312,'02x_Accelerator_Catalog'!$B$2:$B$11,0)),"purpose_or_unbenchmarked")</f>
        <v/>
      </c>
      <c r="H312" s="28">
        <f>SUMIFS('02c_AI_CSP_Normalized'!$N$2:$N$305,'02c_AI_CSP_Normalized'!$B$2:$B$305,B312,'02c_AI_CSP_Normalized'!$C$2:$C$305,C312,'02c_AI_CSP_Normalized'!$D$2:$D$305,D312,'02c_AI_CSP_Normalized'!$E$2:$E$305,E312)</f>
        <v/>
      </c>
      <c r="I312" s="6">
        <f>SUMIFS('02b_CSP_Accelerator_Mix'!$H$2:$H$573,'02b_CSP_Accelerator_Mix'!$B$2:$B$573,B312,'02b_CSP_Accelerator_Mix'!$C$2:$C$573,E312,'02b_CSP_Accelerator_Mix'!$D$2:$D$573,D312,'02b_CSP_Accelerator_Mix'!$E$2:$E$573,F312)</f>
        <v/>
      </c>
      <c r="J312" s="28">
        <f>H312*I312</f>
        <v/>
      </c>
      <c r="K312" s="8">
        <f>IFERROR(INDEX('02x_Accelerator_Catalog'!$D$2:$D$11,MATCH(F312,'02x_Accelerator_Catalog'!$B$2:$B$11,0)),"")</f>
        <v/>
      </c>
      <c r="L312" s="7">
        <f>IF(K312&gt;0,J312*1000/K312,"")</f>
        <v/>
      </c>
      <c r="M312" s="5" t="inlineStr">
        <is>
          <t>epoch_csp_chip_quantity_latest</t>
        </is>
      </c>
      <c r="N312" s="5" t="inlineStr">
        <is>
          <t>Extensible long-format output: add a new accelerator row in 02b and map it in 02x_Accelerator_Catalog to extend this table.</t>
        </is>
      </c>
    </row>
    <row r="313">
      <c r="A313" s="5">
        <f>B313&amp;"|"&amp;C313&amp;"|"&amp;D313&amp;"|"&amp;E313&amp;"|"&amp;F313</f>
        <v/>
      </c>
      <c r="B313" s="5" t="inlineStr">
        <is>
          <t>Base</t>
        </is>
      </c>
      <c r="C313" s="5" t="inlineStr">
        <is>
          <t>OpenAI</t>
        </is>
      </c>
      <c r="D313" s="5" t="n">
        <v>2026</v>
      </c>
      <c r="E313" s="5" t="inlineStr">
        <is>
          <t>CoreWeave</t>
        </is>
      </c>
      <c r="F313" s="5" t="inlineStr">
        <is>
          <t>H100/H200/A100 class</t>
        </is>
      </c>
      <c r="G313" s="5">
        <f>IFERROR(INDEX('02x_Accelerator_Catalog'!$C$2:$C$11,MATCH(F313,'02x_Accelerator_Catalog'!$B$2:$B$11,0)),"purpose_or_unbenchmarked")</f>
        <v/>
      </c>
      <c r="H313" s="28">
        <f>SUMIFS('02c_AI_CSP_Normalized'!$N$2:$N$305,'02c_AI_CSP_Normalized'!$B$2:$B$305,B313,'02c_AI_CSP_Normalized'!$C$2:$C$305,C313,'02c_AI_CSP_Normalized'!$D$2:$D$305,D313,'02c_AI_CSP_Normalized'!$E$2:$E$305,E313)</f>
        <v/>
      </c>
      <c r="I313" s="6">
        <f>SUMIFS('02b_CSP_Accelerator_Mix'!$H$2:$H$573,'02b_CSP_Accelerator_Mix'!$B$2:$B$573,B313,'02b_CSP_Accelerator_Mix'!$C$2:$C$573,E313,'02b_CSP_Accelerator_Mix'!$D$2:$D$573,D313,'02b_CSP_Accelerator_Mix'!$E$2:$E$573,F313)</f>
        <v/>
      </c>
      <c r="J313" s="28">
        <f>H313*I313</f>
        <v/>
      </c>
      <c r="K313" s="8">
        <f>IFERROR(INDEX('02x_Accelerator_Catalog'!$D$2:$D$11,MATCH(F313,'02x_Accelerator_Catalog'!$B$2:$B$11,0)),"")</f>
        <v/>
      </c>
      <c r="L313" s="7">
        <f>IF(K313&gt;0,J313*1000/K313,"")</f>
        <v/>
      </c>
      <c r="M313" s="5" t="inlineStr">
        <is>
          <t>epoch_csp_chip_quantity_latest</t>
        </is>
      </c>
      <c r="N313" s="5" t="inlineStr">
        <is>
          <t>Extensible long-format output: add a new accelerator row in 02b and map it in 02x_Accelerator_Catalog to extend this table.</t>
        </is>
      </c>
    </row>
    <row r="314">
      <c r="A314" s="5">
        <f>B314&amp;"|"&amp;C314&amp;"|"&amp;D314&amp;"|"&amp;E314&amp;"|"&amp;F314</f>
        <v/>
      </c>
      <c r="B314" s="5" t="inlineStr">
        <is>
          <t>Bull</t>
        </is>
      </c>
      <c r="C314" s="5" t="inlineStr">
        <is>
          <t>OpenAI</t>
        </is>
      </c>
      <c r="D314" s="5" t="n">
        <v>2026</v>
      </c>
      <c r="E314" s="5" t="inlineStr">
        <is>
          <t>CoreWeave</t>
        </is>
      </c>
      <c r="F314" s="5" t="inlineStr">
        <is>
          <t>B200/B300 class</t>
        </is>
      </c>
      <c r="G314" s="5">
        <f>IFERROR(INDEX('02x_Accelerator_Catalog'!$C$2:$C$11,MATCH(F314,'02x_Accelerator_Catalog'!$B$2:$B$11,0)),"purpose_or_unbenchmarked")</f>
        <v/>
      </c>
      <c r="H314" s="28">
        <f>SUMIFS('02c_AI_CSP_Normalized'!$N$2:$N$305,'02c_AI_CSP_Normalized'!$B$2:$B$305,B314,'02c_AI_CSP_Normalized'!$C$2:$C$305,C314,'02c_AI_CSP_Normalized'!$D$2:$D$305,D314,'02c_AI_CSP_Normalized'!$E$2:$E$305,E314)</f>
        <v/>
      </c>
      <c r="I314" s="6">
        <f>SUMIFS('02b_CSP_Accelerator_Mix'!$H$2:$H$573,'02b_CSP_Accelerator_Mix'!$B$2:$B$573,B314,'02b_CSP_Accelerator_Mix'!$C$2:$C$573,E314,'02b_CSP_Accelerator_Mix'!$D$2:$D$573,D314,'02b_CSP_Accelerator_Mix'!$E$2:$E$573,F314)</f>
        <v/>
      </c>
      <c r="J314" s="28">
        <f>H314*I314</f>
        <v/>
      </c>
      <c r="K314" s="8">
        <f>IFERROR(INDEX('02x_Accelerator_Catalog'!$D$2:$D$11,MATCH(F314,'02x_Accelerator_Catalog'!$B$2:$B$11,0)),"")</f>
        <v/>
      </c>
      <c r="L314" s="7">
        <f>IF(K314&gt;0,J314*1000/K314,"")</f>
        <v/>
      </c>
      <c r="M314" s="5" t="inlineStr">
        <is>
          <t>epoch_csp_chip_quantity_latest</t>
        </is>
      </c>
      <c r="N314" s="5" t="inlineStr">
        <is>
          <t>Extensible long-format output: add a new accelerator row in 02b and map it in 02x_Accelerator_Catalog to extend this table.</t>
        </is>
      </c>
    </row>
    <row r="315">
      <c r="A315" s="5">
        <f>B315&amp;"|"&amp;C315&amp;"|"&amp;D315&amp;"|"&amp;E315&amp;"|"&amp;F315</f>
        <v/>
      </c>
      <c r="B315" s="5" t="inlineStr">
        <is>
          <t>Bull</t>
        </is>
      </c>
      <c r="C315" s="5" t="inlineStr">
        <is>
          <t>OpenAI</t>
        </is>
      </c>
      <c r="D315" s="5" t="n">
        <v>2026</v>
      </c>
      <c r="E315" s="5" t="inlineStr">
        <is>
          <t>CoreWeave</t>
        </is>
      </c>
      <c r="F315" s="5" t="inlineStr">
        <is>
          <t>H100/H200/A100 class</t>
        </is>
      </c>
      <c r="G315" s="5">
        <f>IFERROR(INDEX('02x_Accelerator_Catalog'!$C$2:$C$11,MATCH(F315,'02x_Accelerator_Catalog'!$B$2:$B$11,0)),"purpose_or_unbenchmarked")</f>
        <v/>
      </c>
      <c r="H315" s="28">
        <f>SUMIFS('02c_AI_CSP_Normalized'!$N$2:$N$305,'02c_AI_CSP_Normalized'!$B$2:$B$305,B315,'02c_AI_CSP_Normalized'!$C$2:$C$305,C315,'02c_AI_CSP_Normalized'!$D$2:$D$305,D315,'02c_AI_CSP_Normalized'!$E$2:$E$305,E315)</f>
        <v/>
      </c>
      <c r="I315" s="6">
        <f>SUMIFS('02b_CSP_Accelerator_Mix'!$H$2:$H$573,'02b_CSP_Accelerator_Mix'!$B$2:$B$573,B315,'02b_CSP_Accelerator_Mix'!$C$2:$C$573,E315,'02b_CSP_Accelerator_Mix'!$D$2:$D$573,D315,'02b_CSP_Accelerator_Mix'!$E$2:$E$573,F315)</f>
        <v/>
      </c>
      <c r="J315" s="28">
        <f>H315*I315</f>
        <v/>
      </c>
      <c r="K315" s="8">
        <f>IFERROR(INDEX('02x_Accelerator_Catalog'!$D$2:$D$11,MATCH(F315,'02x_Accelerator_Catalog'!$B$2:$B$11,0)),"")</f>
        <v/>
      </c>
      <c r="L315" s="7">
        <f>IF(K315&gt;0,J315*1000/K315,"")</f>
        <v/>
      </c>
      <c r="M315" s="5" t="inlineStr">
        <is>
          <t>epoch_csp_chip_quantity_latest</t>
        </is>
      </c>
      <c r="N315" s="5" t="inlineStr">
        <is>
          <t>Extensible long-format output: add a new accelerator row in 02b and map it in 02x_Accelerator_Catalog to extend this table.</t>
        </is>
      </c>
    </row>
    <row r="316">
      <c r="A316" s="5">
        <f>B316&amp;"|"&amp;C316&amp;"|"&amp;D316&amp;"|"&amp;E316&amp;"|"&amp;F316</f>
        <v/>
      </c>
      <c r="B316" s="5" t="inlineStr">
        <is>
          <t>Grid-Constrained / Efficiency-Upside</t>
        </is>
      </c>
      <c r="C316" s="5" t="inlineStr">
        <is>
          <t>OpenAI</t>
        </is>
      </c>
      <c r="D316" s="5" t="n">
        <v>2026</v>
      </c>
      <c r="E316" s="5" t="inlineStr">
        <is>
          <t>CoreWeave</t>
        </is>
      </c>
      <c r="F316" s="5" t="inlineStr">
        <is>
          <t>B200/B300 class</t>
        </is>
      </c>
      <c r="G316" s="5">
        <f>IFERROR(INDEX('02x_Accelerator_Catalog'!$C$2:$C$11,MATCH(F316,'02x_Accelerator_Catalog'!$B$2:$B$11,0)),"purpose_or_unbenchmarked")</f>
        <v/>
      </c>
      <c r="H316" s="28">
        <f>SUMIFS('02c_AI_CSP_Normalized'!$N$2:$N$305,'02c_AI_CSP_Normalized'!$B$2:$B$305,B316,'02c_AI_CSP_Normalized'!$C$2:$C$305,C316,'02c_AI_CSP_Normalized'!$D$2:$D$305,D316,'02c_AI_CSP_Normalized'!$E$2:$E$305,E316)</f>
        <v/>
      </c>
      <c r="I316" s="6">
        <f>SUMIFS('02b_CSP_Accelerator_Mix'!$H$2:$H$573,'02b_CSP_Accelerator_Mix'!$B$2:$B$573,B316,'02b_CSP_Accelerator_Mix'!$C$2:$C$573,E316,'02b_CSP_Accelerator_Mix'!$D$2:$D$573,D316,'02b_CSP_Accelerator_Mix'!$E$2:$E$573,F316)</f>
        <v/>
      </c>
      <c r="J316" s="28">
        <f>H316*I316</f>
        <v/>
      </c>
      <c r="K316" s="8">
        <f>IFERROR(INDEX('02x_Accelerator_Catalog'!$D$2:$D$11,MATCH(F316,'02x_Accelerator_Catalog'!$B$2:$B$11,0)),"")</f>
        <v/>
      </c>
      <c r="L316" s="7">
        <f>IF(K316&gt;0,J316*1000/K316,"")</f>
        <v/>
      </c>
      <c r="M316" s="5" t="inlineStr">
        <is>
          <t>epoch_csp_chip_quantity_latest</t>
        </is>
      </c>
      <c r="N316" s="5" t="inlineStr">
        <is>
          <t>Extensible long-format output: add a new accelerator row in 02b and map it in 02x_Accelerator_Catalog to extend this table.</t>
        </is>
      </c>
    </row>
    <row r="317">
      <c r="A317" s="5">
        <f>B317&amp;"|"&amp;C317&amp;"|"&amp;D317&amp;"|"&amp;E317&amp;"|"&amp;F317</f>
        <v/>
      </c>
      <c r="B317" s="5" t="inlineStr">
        <is>
          <t>Grid-Constrained / Efficiency-Upside</t>
        </is>
      </c>
      <c r="C317" s="5" t="inlineStr">
        <is>
          <t>OpenAI</t>
        </is>
      </c>
      <c r="D317" s="5" t="n">
        <v>2026</v>
      </c>
      <c r="E317" s="5" t="inlineStr">
        <is>
          <t>CoreWeave</t>
        </is>
      </c>
      <c r="F317" s="5" t="inlineStr">
        <is>
          <t>H100/H200/A100 class</t>
        </is>
      </c>
      <c r="G317" s="5">
        <f>IFERROR(INDEX('02x_Accelerator_Catalog'!$C$2:$C$11,MATCH(F317,'02x_Accelerator_Catalog'!$B$2:$B$11,0)),"purpose_or_unbenchmarked")</f>
        <v/>
      </c>
      <c r="H317" s="28">
        <f>SUMIFS('02c_AI_CSP_Normalized'!$N$2:$N$305,'02c_AI_CSP_Normalized'!$B$2:$B$305,B317,'02c_AI_CSP_Normalized'!$C$2:$C$305,C317,'02c_AI_CSP_Normalized'!$D$2:$D$305,D317,'02c_AI_CSP_Normalized'!$E$2:$E$305,E317)</f>
        <v/>
      </c>
      <c r="I317" s="6">
        <f>SUMIFS('02b_CSP_Accelerator_Mix'!$H$2:$H$573,'02b_CSP_Accelerator_Mix'!$B$2:$B$573,B317,'02b_CSP_Accelerator_Mix'!$C$2:$C$573,E317,'02b_CSP_Accelerator_Mix'!$D$2:$D$573,D317,'02b_CSP_Accelerator_Mix'!$E$2:$E$573,F317)</f>
        <v/>
      </c>
      <c r="J317" s="28">
        <f>H317*I317</f>
        <v/>
      </c>
      <c r="K317" s="8">
        <f>IFERROR(INDEX('02x_Accelerator_Catalog'!$D$2:$D$11,MATCH(F317,'02x_Accelerator_Catalog'!$B$2:$B$11,0)),"")</f>
        <v/>
      </c>
      <c r="L317" s="7">
        <f>IF(K317&gt;0,J317*1000/K317,"")</f>
        <v/>
      </c>
      <c r="M317" s="5" t="inlineStr">
        <is>
          <t>epoch_csp_chip_quantity_latest</t>
        </is>
      </c>
      <c r="N317" s="5" t="inlineStr">
        <is>
          <t>Extensible long-format output: add a new accelerator row in 02b and map it in 02x_Accelerator_Catalog to extend this table.</t>
        </is>
      </c>
    </row>
    <row r="318">
      <c r="A318" s="5">
        <f>B318&amp;"|"&amp;C318&amp;"|"&amp;D318&amp;"|"&amp;E318&amp;"|"&amp;F318</f>
        <v/>
      </c>
      <c r="B318" s="5" t="inlineStr">
        <is>
          <t>Bear</t>
        </is>
      </c>
      <c r="C318" s="5" t="inlineStr">
        <is>
          <t>OpenAI</t>
        </is>
      </c>
      <c r="D318" s="5" t="n">
        <v>2027</v>
      </c>
      <c r="E318" s="5" t="inlineStr">
        <is>
          <t>CoreWeave</t>
        </is>
      </c>
      <c r="F318" s="5" t="inlineStr">
        <is>
          <t>B200/B300 class</t>
        </is>
      </c>
      <c r="G318" s="5">
        <f>IFERROR(INDEX('02x_Accelerator_Catalog'!$C$2:$C$11,MATCH(F318,'02x_Accelerator_Catalog'!$B$2:$B$11,0)),"purpose_or_unbenchmarked")</f>
        <v/>
      </c>
      <c r="H318" s="28">
        <f>SUMIFS('02c_AI_CSP_Normalized'!$N$2:$N$305,'02c_AI_CSP_Normalized'!$B$2:$B$305,B318,'02c_AI_CSP_Normalized'!$C$2:$C$305,C318,'02c_AI_CSP_Normalized'!$D$2:$D$305,D318,'02c_AI_CSP_Normalized'!$E$2:$E$305,E318)</f>
        <v/>
      </c>
      <c r="I318" s="6">
        <f>SUMIFS('02b_CSP_Accelerator_Mix'!$H$2:$H$573,'02b_CSP_Accelerator_Mix'!$B$2:$B$573,B318,'02b_CSP_Accelerator_Mix'!$C$2:$C$573,E318,'02b_CSP_Accelerator_Mix'!$D$2:$D$573,D318,'02b_CSP_Accelerator_Mix'!$E$2:$E$573,F318)</f>
        <v/>
      </c>
      <c r="J318" s="28">
        <f>H318*I318</f>
        <v/>
      </c>
      <c r="K318" s="8">
        <f>IFERROR(INDEX('02x_Accelerator_Catalog'!$D$2:$D$11,MATCH(F318,'02x_Accelerator_Catalog'!$B$2:$B$11,0)),"")</f>
        <v/>
      </c>
      <c r="L318" s="7">
        <f>IF(K318&gt;0,J318*1000/K318,"")</f>
        <v/>
      </c>
      <c r="M318" s="5" t="inlineStr">
        <is>
          <t>epoch_csp_chip_quantity_latest</t>
        </is>
      </c>
      <c r="N318" s="5" t="inlineStr">
        <is>
          <t>Extensible long-format output: add a new accelerator row in 02b and map it in 02x_Accelerator_Catalog to extend this table.</t>
        </is>
      </c>
    </row>
    <row r="319">
      <c r="A319" s="5">
        <f>B319&amp;"|"&amp;C319&amp;"|"&amp;D319&amp;"|"&amp;E319&amp;"|"&amp;F319</f>
        <v/>
      </c>
      <c r="B319" s="5" t="inlineStr">
        <is>
          <t>Bear</t>
        </is>
      </c>
      <c r="C319" s="5" t="inlineStr">
        <is>
          <t>OpenAI</t>
        </is>
      </c>
      <c r="D319" s="5" t="n">
        <v>2027</v>
      </c>
      <c r="E319" s="5" t="inlineStr">
        <is>
          <t>CoreWeave</t>
        </is>
      </c>
      <c r="F319" s="5" t="inlineStr">
        <is>
          <t>H100/H200/A100 class</t>
        </is>
      </c>
      <c r="G319" s="5">
        <f>IFERROR(INDEX('02x_Accelerator_Catalog'!$C$2:$C$11,MATCH(F319,'02x_Accelerator_Catalog'!$B$2:$B$11,0)),"purpose_or_unbenchmarked")</f>
        <v/>
      </c>
      <c r="H319" s="28">
        <f>SUMIFS('02c_AI_CSP_Normalized'!$N$2:$N$305,'02c_AI_CSP_Normalized'!$B$2:$B$305,B319,'02c_AI_CSP_Normalized'!$C$2:$C$305,C319,'02c_AI_CSP_Normalized'!$D$2:$D$305,D319,'02c_AI_CSP_Normalized'!$E$2:$E$305,E319)</f>
        <v/>
      </c>
      <c r="I319" s="6">
        <f>SUMIFS('02b_CSP_Accelerator_Mix'!$H$2:$H$573,'02b_CSP_Accelerator_Mix'!$B$2:$B$573,B319,'02b_CSP_Accelerator_Mix'!$C$2:$C$573,E319,'02b_CSP_Accelerator_Mix'!$D$2:$D$573,D319,'02b_CSP_Accelerator_Mix'!$E$2:$E$573,F319)</f>
        <v/>
      </c>
      <c r="J319" s="28">
        <f>H319*I319</f>
        <v/>
      </c>
      <c r="K319" s="8">
        <f>IFERROR(INDEX('02x_Accelerator_Catalog'!$D$2:$D$11,MATCH(F319,'02x_Accelerator_Catalog'!$B$2:$B$11,0)),"")</f>
        <v/>
      </c>
      <c r="L319" s="7">
        <f>IF(K319&gt;0,J319*1000/K319,"")</f>
        <v/>
      </c>
      <c r="M319" s="5" t="inlineStr">
        <is>
          <t>epoch_csp_chip_quantity_latest</t>
        </is>
      </c>
      <c r="N319" s="5" t="inlineStr">
        <is>
          <t>Extensible long-format output: add a new accelerator row in 02b and map it in 02x_Accelerator_Catalog to extend this table.</t>
        </is>
      </c>
    </row>
    <row r="320">
      <c r="A320" s="5">
        <f>B320&amp;"|"&amp;C320&amp;"|"&amp;D320&amp;"|"&amp;E320&amp;"|"&amp;F320</f>
        <v/>
      </c>
      <c r="B320" s="5" t="inlineStr">
        <is>
          <t>Base</t>
        </is>
      </c>
      <c r="C320" s="5" t="inlineStr">
        <is>
          <t>OpenAI</t>
        </is>
      </c>
      <c r="D320" s="5" t="n">
        <v>2027</v>
      </c>
      <c r="E320" s="5" t="inlineStr">
        <is>
          <t>CoreWeave</t>
        </is>
      </c>
      <c r="F320" s="5" t="inlineStr">
        <is>
          <t>B200/B300 class</t>
        </is>
      </c>
      <c r="G320" s="5">
        <f>IFERROR(INDEX('02x_Accelerator_Catalog'!$C$2:$C$11,MATCH(F320,'02x_Accelerator_Catalog'!$B$2:$B$11,0)),"purpose_or_unbenchmarked")</f>
        <v/>
      </c>
      <c r="H320" s="28">
        <f>SUMIFS('02c_AI_CSP_Normalized'!$N$2:$N$305,'02c_AI_CSP_Normalized'!$B$2:$B$305,B320,'02c_AI_CSP_Normalized'!$C$2:$C$305,C320,'02c_AI_CSP_Normalized'!$D$2:$D$305,D320,'02c_AI_CSP_Normalized'!$E$2:$E$305,E320)</f>
        <v/>
      </c>
      <c r="I320" s="6">
        <f>SUMIFS('02b_CSP_Accelerator_Mix'!$H$2:$H$573,'02b_CSP_Accelerator_Mix'!$B$2:$B$573,B320,'02b_CSP_Accelerator_Mix'!$C$2:$C$573,E320,'02b_CSP_Accelerator_Mix'!$D$2:$D$573,D320,'02b_CSP_Accelerator_Mix'!$E$2:$E$573,F320)</f>
        <v/>
      </c>
      <c r="J320" s="28">
        <f>H320*I320</f>
        <v/>
      </c>
      <c r="K320" s="8">
        <f>IFERROR(INDEX('02x_Accelerator_Catalog'!$D$2:$D$11,MATCH(F320,'02x_Accelerator_Catalog'!$B$2:$B$11,0)),"")</f>
        <v/>
      </c>
      <c r="L320" s="7">
        <f>IF(K320&gt;0,J320*1000/K320,"")</f>
        <v/>
      </c>
      <c r="M320" s="5" t="inlineStr">
        <is>
          <t>epoch_csp_chip_quantity_latest</t>
        </is>
      </c>
      <c r="N320" s="5" t="inlineStr">
        <is>
          <t>Extensible long-format output: add a new accelerator row in 02b and map it in 02x_Accelerator_Catalog to extend this table.</t>
        </is>
      </c>
    </row>
    <row r="321">
      <c r="A321" s="5">
        <f>B321&amp;"|"&amp;C321&amp;"|"&amp;D321&amp;"|"&amp;E321&amp;"|"&amp;F321</f>
        <v/>
      </c>
      <c r="B321" s="5" t="inlineStr">
        <is>
          <t>Base</t>
        </is>
      </c>
      <c r="C321" s="5" t="inlineStr">
        <is>
          <t>OpenAI</t>
        </is>
      </c>
      <c r="D321" s="5" t="n">
        <v>2027</v>
      </c>
      <c r="E321" s="5" t="inlineStr">
        <is>
          <t>CoreWeave</t>
        </is>
      </c>
      <c r="F321" s="5" t="inlineStr">
        <is>
          <t>H100/H200/A100 class</t>
        </is>
      </c>
      <c r="G321" s="5">
        <f>IFERROR(INDEX('02x_Accelerator_Catalog'!$C$2:$C$11,MATCH(F321,'02x_Accelerator_Catalog'!$B$2:$B$11,0)),"purpose_or_unbenchmarked")</f>
        <v/>
      </c>
      <c r="H321" s="28">
        <f>SUMIFS('02c_AI_CSP_Normalized'!$N$2:$N$305,'02c_AI_CSP_Normalized'!$B$2:$B$305,B321,'02c_AI_CSP_Normalized'!$C$2:$C$305,C321,'02c_AI_CSP_Normalized'!$D$2:$D$305,D321,'02c_AI_CSP_Normalized'!$E$2:$E$305,E321)</f>
        <v/>
      </c>
      <c r="I321" s="6">
        <f>SUMIFS('02b_CSP_Accelerator_Mix'!$H$2:$H$573,'02b_CSP_Accelerator_Mix'!$B$2:$B$573,B321,'02b_CSP_Accelerator_Mix'!$C$2:$C$573,E321,'02b_CSP_Accelerator_Mix'!$D$2:$D$573,D321,'02b_CSP_Accelerator_Mix'!$E$2:$E$573,F321)</f>
        <v/>
      </c>
      <c r="J321" s="28">
        <f>H321*I321</f>
        <v/>
      </c>
      <c r="K321" s="8">
        <f>IFERROR(INDEX('02x_Accelerator_Catalog'!$D$2:$D$11,MATCH(F321,'02x_Accelerator_Catalog'!$B$2:$B$11,0)),"")</f>
        <v/>
      </c>
      <c r="L321" s="7">
        <f>IF(K321&gt;0,J321*1000/K321,"")</f>
        <v/>
      </c>
      <c r="M321" s="5" t="inlineStr">
        <is>
          <t>epoch_csp_chip_quantity_latest</t>
        </is>
      </c>
      <c r="N321" s="5" t="inlineStr">
        <is>
          <t>Extensible long-format output: add a new accelerator row in 02b and map it in 02x_Accelerator_Catalog to extend this table.</t>
        </is>
      </c>
    </row>
    <row r="322">
      <c r="A322" s="5">
        <f>B322&amp;"|"&amp;C322&amp;"|"&amp;D322&amp;"|"&amp;E322&amp;"|"&amp;F322</f>
        <v/>
      </c>
      <c r="B322" s="5" t="inlineStr">
        <is>
          <t>Bull</t>
        </is>
      </c>
      <c r="C322" s="5" t="inlineStr">
        <is>
          <t>OpenAI</t>
        </is>
      </c>
      <c r="D322" s="5" t="n">
        <v>2027</v>
      </c>
      <c r="E322" s="5" t="inlineStr">
        <is>
          <t>CoreWeave</t>
        </is>
      </c>
      <c r="F322" s="5" t="inlineStr">
        <is>
          <t>B200/B300 class</t>
        </is>
      </c>
      <c r="G322" s="5">
        <f>IFERROR(INDEX('02x_Accelerator_Catalog'!$C$2:$C$11,MATCH(F322,'02x_Accelerator_Catalog'!$B$2:$B$11,0)),"purpose_or_unbenchmarked")</f>
        <v/>
      </c>
      <c r="H322" s="28">
        <f>SUMIFS('02c_AI_CSP_Normalized'!$N$2:$N$305,'02c_AI_CSP_Normalized'!$B$2:$B$305,B322,'02c_AI_CSP_Normalized'!$C$2:$C$305,C322,'02c_AI_CSP_Normalized'!$D$2:$D$305,D322,'02c_AI_CSP_Normalized'!$E$2:$E$305,E322)</f>
        <v/>
      </c>
      <c r="I322" s="6">
        <f>SUMIFS('02b_CSP_Accelerator_Mix'!$H$2:$H$573,'02b_CSP_Accelerator_Mix'!$B$2:$B$573,B322,'02b_CSP_Accelerator_Mix'!$C$2:$C$573,E322,'02b_CSP_Accelerator_Mix'!$D$2:$D$573,D322,'02b_CSP_Accelerator_Mix'!$E$2:$E$573,F322)</f>
        <v/>
      </c>
      <c r="J322" s="28">
        <f>H322*I322</f>
        <v/>
      </c>
      <c r="K322" s="8">
        <f>IFERROR(INDEX('02x_Accelerator_Catalog'!$D$2:$D$11,MATCH(F322,'02x_Accelerator_Catalog'!$B$2:$B$11,0)),"")</f>
        <v/>
      </c>
      <c r="L322" s="7">
        <f>IF(K322&gt;0,J322*1000/K322,"")</f>
        <v/>
      </c>
      <c r="M322" s="5" t="inlineStr">
        <is>
          <t>epoch_csp_chip_quantity_latest</t>
        </is>
      </c>
      <c r="N322" s="5" t="inlineStr">
        <is>
          <t>Extensible long-format output: add a new accelerator row in 02b and map it in 02x_Accelerator_Catalog to extend this table.</t>
        </is>
      </c>
    </row>
    <row r="323">
      <c r="A323" s="5">
        <f>B323&amp;"|"&amp;C323&amp;"|"&amp;D323&amp;"|"&amp;E323&amp;"|"&amp;F323</f>
        <v/>
      </c>
      <c r="B323" s="5" t="inlineStr">
        <is>
          <t>Bull</t>
        </is>
      </c>
      <c r="C323" s="5" t="inlineStr">
        <is>
          <t>OpenAI</t>
        </is>
      </c>
      <c r="D323" s="5" t="n">
        <v>2027</v>
      </c>
      <c r="E323" s="5" t="inlineStr">
        <is>
          <t>CoreWeave</t>
        </is>
      </c>
      <c r="F323" s="5" t="inlineStr">
        <is>
          <t>H100/H200/A100 class</t>
        </is>
      </c>
      <c r="G323" s="5">
        <f>IFERROR(INDEX('02x_Accelerator_Catalog'!$C$2:$C$11,MATCH(F323,'02x_Accelerator_Catalog'!$B$2:$B$11,0)),"purpose_or_unbenchmarked")</f>
        <v/>
      </c>
      <c r="H323" s="28">
        <f>SUMIFS('02c_AI_CSP_Normalized'!$N$2:$N$305,'02c_AI_CSP_Normalized'!$B$2:$B$305,B323,'02c_AI_CSP_Normalized'!$C$2:$C$305,C323,'02c_AI_CSP_Normalized'!$D$2:$D$305,D323,'02c_AI_CSP_Normalized'!$E$2:$E$305,E323)</f>
        <v/>
      </c>
      <c r="I323" s="6">
        <f>SUMIFS('02b_CSP_Accelerator_Mix'!$H$2:$H$573,'02b_CSP_Accelerator_Mix'!$B$2:$B$573,B323,'02b_CSP_Accelerator_Mix'!$C$2:$C$573,E323,'02b_CSP_Accelerator_Mix'!$D$2:$D$573,D323,'02b_CSP_Accelerator_Mix'!$E$2:$E$573,F323)</f>
        <v/>
      </c>
      <c r="J323" s="28">
        <f>H323*I323</f>
        <v/>
      </c>
      <c r="K323" s="8">
        <f>IFERROR(INDEX('02x_Accelerator_Catalog'!$D$2:$D$11,MATCH(F323,'02x_Accelerator_Catalog'!$B$2:$B$11,0)),"")</f>
        <v/>
      </c>
      <c r="L323" s="7">
        <f>IF(K323&gt;0,J323*1000/K323,"")</f>
        <v/>
      </c>
      <c r="M323" s="5" t="inlineStr">
        <is>
          <t>epoch_csp_chip_quantity_latest</t>
        </is>
      </c>
      <c r="N323" s="5" t="inlineStr">
        <is>
          <t>Extensible long-format output: add a new accelerator row in 02b and map it in 02x_Accelerator_Catalog to extend this table.</t>
        </is>
      </c>
    </row>
    <row r="324">
      <c r="A324" s="5">
        <f>B324&amp;"|"&amp;C324&amp;"|"&amp;D324&amp;"|"&amp;E324&amp;"|"&amp;F324</f>
        <v/>
      </c>
      <c r="B324" s="5" t="inlineStr">
        <is>
          <t>Grid-Constrained / Efficiency-Upside</t>
        </is>
      </c>
      <c r="C324" s="5" t="inlineStr">
        <is>
          <t>OpenAI</t>
        </is>
      </c>
      <c r="D324" s="5" t="n">
        <v>2027</v>
      </c>
      <c r="E324" s="5" t="inlineStr">
        <is>
          <t>CoreWeave</t>
        </is>
      </c>
      <c r="F324" s="5" t="inlineStr">
        <is>
          <t>B200/B300 class</t>
        </is>
      </c>
      <c r="G324" s="5">
        <f>IFERROR(INDEX('02x_Accelerator_Catalog'!$C$2:$C$11,MATCH(F324,'02x_Accelerator_Catalog'!$B$2:$B$11,0)),"purpose_or_unbenchmarked")</f>
        <v/>
      </c>
      <c r="H324" s="28">
        <f>SUMIFS('02c_AI_CSP_Normalized'!$N$2:$N$305,'02c_AI_CSP_Normalized'!$B$2:$B$305,B324,'02c_AI_CSP_Normalized'!$C$2:$C$305,C324,'02c_AI_CSP_Normalized'!$D$2:$D$305,D324,'02c_AI_CSP_Normalized'!$E$2:$E$305,E324)</f>
        <v/>
      </c>
      <c r="I324" s="6">
        <f>SUMIFS('02b_CSP_Accelerator_Mix'!$H$2:$H$573,'02b_CSP_Accelerator_Mix'!$B$2:$B$573,B324,'02b_CSP_Accelerator_Mix'!$C$2:$C$573,E324,'02b_CSP_Accelerator_Mix'!$D$2:$D$573,D324,'02b_CSP_Accelerator_Mix'!$E$2:$E$573,F324)</f>
        <v/>
      </c>
      <c r="J324" s="28">
        <f>H324*I324</f>
        <v/>
      </c>
      <c r="K324" s="8">
        <f>IFERROR(INDEX('02x_Accelerator_Catalog'!$D$2:$D$11,MATCH(F324,'02x_Accelerator_Catalog'!$B$2:$B$11,0)),"")</f>
        <v/>
      </c>
      <c r="L324" s="7">
        <f>IF(K324&gt;0,J324*1000/K324,"")</f>
        <v/>
      </c>
      <c r="M324" s="5" t="inlineStr">
        <is>
          <t>epoch_csp_chip_quantity_latest</t>
        </is>
      </c>
      <c r="N324" s="5" t="inlineStr">
        <is>
          <t>Extensible long-format output: add a new accelerator row in 02b and map it in 02x_Accelerator_Catalog to extend this table.</t>
        </is>
      </c>
    </row>
    <row r="325">
      <c r="A325" s="5">
        <f>B325&amp;"|"&amp;C325&amp;"|"&amp;D325&amp;"|"&amp;E325&amp;"|"&amp;F325</f>
        <v/>
      </c>
      <c r="B325" s="5" t="inlineStr">
        <is>
          <t>Grid-Constrained / Efficiency-Upside</t>
        </is>
      </c>
      <c r="C325" s="5" t="inlineStr">
        <is>
          <t>OpenAI</t>
        </is>
      </c>
      <c r="D325" s="5" t="n">
        <v>2027</v>
      </c>
      <c r="E325" s="5" t="inlineStr">
        <is>
          <t>CoreWeave</t>
        </is>
      </c>
      <c r="F325" s="5" t="inlineStr">
        <is>
          <t>H100/H200/A100 class</t>
        </is>
      </c>
      <c r="G325" s="5">
        <f>IFERROR(INDEX('02x_Accelerator_Catalog'!$C$2:$C$11,MATCH(F325,'02x_Accelerator_Catalog'!$B$2:$B$11,0)),"purpose_or_unbenchmarked")</f>
        <v/>
      </c>
      <c r="H325" s="28">
        <f>SUMIFS('02c_AI_CSP_Normalized'!$N$2:$N$305,'02c_AI_CSP_Normalized'!$B$2:$B$305,B325,'02c_AI_CSP_Normalized'!$C$2:$C$305,C325,'02c_AI_CSP_Normalized'!$D$2:$D$305,D325,'02c_AI_CSP_Normalized'!$E$2:$E$305,E325)</f>
        <v/>
      </c>
      <c r="I325" s="6">
        <f>SUMIFS('02b_CSP_Accelerator_Mix'!$H$2:$H$573,'02b_CSP_Accelerator_Mix'!$B$2:$B$573,B325,'02b_CSP_Accelerator_Mix'!$C$2:$C$573,E325,'02b_CSP_Accelerator_Mix'!$D$2:$D$573,D325,'02b_CSP_Accelerator_Mix'!$E$2:$E$573,F325)</f>
        <v/>
      </c>
      <c r="J325" s="28">
        <f>H325*I325</f>
        <v/>
      </c>
      <c r="K325" s="8">
        <f>IFERROR(INDEX('02x_Accelerator_Catalog'!$D$2:$D$11,MATCH(F325,'02x_Accelerator_Catalog'!$B$2:$B$11,0)),"")</f>
        <v/>
      </c>
      <c r="L325" s="7">
        <f>IF(K325&gt;0,J325*1000/K325,"")</f>
        <v/>
      </c>
      <c r="M325" s="5" t="inlineStr">
        <is>
          <t>epoch_csp_chip_quantity_latest</t>
        </is>
      </c>
      <c r="N325" s="5" t="inlineStr">
        <is>
          <t>Extensible long-format output: add a new accelerator row in 02b and map it in 02x_Accelerator_Catalog to extend this table.</t>
        </is>
      </c>
    </row>
    <row r="326">
      <c r="A326" s="5">
        <f>B326&amp;"|"&amp;C326&amp;"|"&amp;D326&amp;"|"&amp;E326&amp;"|"&amp;F326</f>
        <v/>
      </c>
      <c r="B326" s="5" t="inlineStr">
        <is>
          <t>Bear</t>
        </is>
      </c>
      <c r="C326" s="5" t="inlineStr">
        <is>
          <t>OpenAI</t>
        </is>
      </c>
      <c r="D326" s="5" t="n">
        <v>2028</v>
      </c>
      <c r="E326" s="5" t="inlineStr">
        <is>
          <t>CoreWeave</t>
        </is>
      </c>
      <c r="F326" s="5" t="inlineStr">
        <is>
          <t>B200/B300 class</t>
        </is>
      </c>
      <c r="G326" s="5">
        <f>IFERROR(INDEX('02x_Accelerator_Catalog'!$C$2:$C$11,MATCH(F326,'02x_Accelerator_Catalog'!$B$2:$B$11,0)),"purpose_or_unbenchmarked")</f>
        <v/>
      </c>
      <c r="H326" s="28">
        <f>SUMIFS('02c_AI_CSP_Normalized'!$N$2:$N$305,'02c_AI_CSP_Normalized'!$B$2:$B$305,B326,'02c_AI_CSP_Normalized'!$C$2:$C$305,C326,'02c_AI_CSP_Normalized'!$D$2:$D$305,D326,'02c_AI_CSP_Normalized'!$E$2:$E$305,E326)</f>
        <v/>
      </c>
      <c r="I326" s="6">
        <f>SUMIFS('02b_CSP_Accelerator_Mix'!$H$2:$H$573,'02b_CSP_Accelerator_Mix'!$B$2:$B$573,B326,'02b_CSP_Accelerator_Mix'!$C$2:$C$573,E326,'02b_CSP_Accelerator_Mix'!$D$2:$D$573,D326,'02b_CSP_Accelerator_Mix'!$E$2:$E$573,F326)</f>
        <v/>
      </c>
      <c r="J326" s="28">
        <f>H326*I326</f>
        <v/>
      </c>
      <c r="K326" s="8">
        <f>IFERROR(INDEX('02x_Accelerator_Catalog'!$D$2:$D$11,MATCH(F326,'02x_Accelerator_Catalog'!$B$2:$B$11,0)),"")</f>
        <v/>
      </c>
      <c r="L326" s="7">
        <f>IF(K326&gt;0,J326*1000/K326,"")</f>
        <v/>
      </c>
      <c r="M326" s="5" t="inlineStr">
        <is>
          <t>epoch_csp_chip_quantity_latest</t>
        </is>
      </c>
      <c r="N326" s="5" t="inlineStr">
        <is>
          <t>Extensible long-format output: add a new accelerator row in 02b and map it in 02x_Accelerator_Catalog to extend this table.</t>
        </is>
      </c>
    </row>
    <row r="327">
      <c r="A327" s="5">
        <f>B327&amp;"|"&amp;C327&amp;"|"&amp;D327&amp;"|"&amp;E327&amp;"|"&amp;F327</f>
        <v/>
      </c>
      <c r="B327" s="5" t="inlineStr">
        <is>
          <t>Bear</t>
        </is>
      </c>
      <c r="C327" s="5" t="inlineStr">
        <is>
          <t>OpenAI</t>
        </is>
      </c>
      <c r="D327" s="5" t="n">
        <v>2028</v>
      </c>
      <c r="E327" s="5" t="inlineStr">
        <is>
          <t>CoreWeave</t>
        </is>
      </c>
      <c r="F327" s="5" t="inlineStr">
        <is>
          <t>H100/H200/A100 class</t>
        </is>
      </c>
      <c r="G327" s="5">
        <f>IFERROR(INDEX('02x_Accelerator_Catalog'!$C$2:$C$11,MATCH(F327,'02x_Accelerator_Catalog'!$B$2:$B$11,0)),"purpose_or_unbenchmarked")</f>
        <v/>
      </c>
      <c r="H327" s="28">
        <f>SUMIFS('02c_AI_CSP_Normalized'!$N$2:$N$305,'02c_AI_CSP_Normalized'!$B$2:$B$305,B327,'02c_AI_CSP_Normalized'!$C$2:$C$305,C327,'02c_AI_CSP_Normalized'!$D$2:$D$305,D327,'02c_AI_CSP_Normalized'!$E$2:$E$305,E327)</f>
        <v/>
      </c>
      <c r="I327" s="6">
        <f>SUMIFS('02b_CSP_Accelerator_Mix'!$H$2:$H$573,'02b_CSP_Accelerator_Mix'!$B$2:$B$573,B327,'02b_CSP_Accelerator_Mix'!$C$2:$C$573,E327,'02b_CSP_Accelerator_Mix'!$D$2:$D$573,D327,'02b_CSP_Accelerator_Mix'!$E$2:$E$573,F327)</f>
        <v/>
      </c>
      <c r="J327" s="28">
        <f>H327*I327</f>
        <v/>
      </c>
      <c r="K327" s="8">
        <f>IFERROR(INDEX('02x_Accelerator_Catalog'!$D$2:$D$11,MATCH(F327,'02x_Accelerator_Catalog'!$B$2:$B$11,0)),"")</f>
        <v/>
      </c>
      <c r="L327" s="7">
        <f>IF(K327&gt;0,J327*1000/K327,"")</f>
        <v/>
      </c>
      <c r="M327" s="5" t="inlineStr">
        <is>
          <t>epoch_csp_chip_quantity_latest</t>
        </is>
      </c>
      <c r="N327" s="5" t="inlineStr">
        <is>
          <t>Extensible long-format output: add a new accelerator row in 02b and map it in 02x_Accelerator_Catalog to extend this table.</t>
        </is>
      </c>
    </row>
    <row r="328">
      <c r="A328" s="5">
        <f>B328&amp;"|"&amp;C328&amp;"|"&amp;D328&amp;"|"&amp;E328&amp;"|"&amp;F328</f>
        <v/>
      </c>
      <c r="B328" s="5" t="inlineStr">
        <is>
          <t>Base</t>
        </is>
      </c>
      <c r="C328" s="5" t="inlineStr">
        <is>
          <t>OpenAI</t>
        </is>
      </c>
      <c r="D328" s="5" t="n">
        <v>2028</v>
      </c>
      <c r="E328" s="5" t="inlineStr">
        <is>
          <t>CoreWeave</t>
        </is>
      </c>
      <c r="F328" s="5" t="inlineStr">
        <is>
          <t>B200/B300 class</t>
        </is>
      </c>
      <c r="G328" s="5">
        <f>IFERROR(INDEX('02x_Accelerator_Catalog'!$C$2:$C$11,MATCH(F328,'02x_Accelerator_Catalog'!$B$2:$B$11,0)),"purpose_or_unbenchmarked")</f>
        <v/>
      </c>
      <c r="H328" s="28">
        <f>SUMIFS('02c_AI_CSP_Normalized'!$N$2:$N$305,'02c_AI_CSP_Normalized'!$B$2:$B$305,B328,'02c_AI_CSP_Normalized'!$C$2:$C$305,C328,'02c_AI_CSP_Normalized'!$D$2:$D$305,D328,'02c_AI_CSP_Normalized'!$E$2:$E$305,E328)</f>
        <v/>
      </c>
      <c r="I328" s="6">
        <f>SUMIFS('02b_CSP_Accelerator_Mix'!$H$2:$H$573,'02b_CSP_Accelerator_Mix'!$B$2:$B$573,B328,'02b_CSP_Accelerator_Mix'!$C$2:$C$573,E328,'02b_CSP_Accelerator_Mix'!$D$2:$D$573,D328,'02b_CSP_Accelerator_Mix'!$E$2:$E$573,F328)</f>
        <v/>
      </c>
      <c r="J328" s="28">
        <f>H328*I328</f>
        <v/>
      </c>
      <c r="K328" s="8">
        <f>IFERROR(INDEX('02x_Accelerator_Catalog'!$D$2:$D$11,MATCH(F328,'02x_Accelerator_Catalog'!$B$2:$B$11,0)),"")</f>
        <v/>
      </c>
      <c r="L328" s="7">
        <f>IF(K328&gt;0,J328*1000/K328,"")</f>
        <v/>
      </c>
      <c r="M328" s="5" t="inlineStr">
        <is>
          <t>epoch_csp_chip_quantity_latest</t>
        </is>
      </c>
      <c r="N328" s="5" t="inlineStr">
        <is>
          <t>Extensible long-format output: add a new accelerator row in 02b and map it in 02x_Accelerator_Catalog to extend this table.</t>
        </is>
      </c>
    </row>
    <row r="329">
      <c r="A329" s="5">
        <f>B329&amp;"|"&amp;C329&amp;"|"&amp;D329&amp;"|"&amp;E329&amp;"|"&amp;F329</f>
        <v/>
      </c>
      <c r="B329" s="5" t="inlineStr">
        <is>
          <t>Base</t>
        </is>
      </c>
      <c r="C329" s="5" t="inlineStr">
        <is>
          <t>OpenAI</t>
        </is>
      </c>
      <c r="D329" s="5" t="n">
        <v>2028</v>
      </c>
      <c r="E329" s="5" t="inlineStr">
        <is>
          <t>CoreWeave</t>
        </is>
      </c>
      <c r="F329" s="5" t="inlineStr">
        <is>
          <t>H100/H200/A100 class</t>
        </is>
      </c>
      <c r="G329" s="5">
        <f>IFERROR(INDEX('02x_Accelerator_Catalog'!$C$2:$C$11,MATCH(F329,'02x_Accelerator_Catalog'!$B$2:$B$11,0)),"purpose_or_unbenchmarked")</f>
        <v/>
      </c>
      <c r="H329" s="28">
        <f>SUMIFS('02c_AI_CSP_Normalized'!$N$2:$N$305,'02c_AI_CSP_Normalized'!$B$2:$B$305,B329,'02c_AI_CSP_Normalized'!$C$2:$C$305,C329,'02c_AI_CSP_Normalized'!$D$2:$D$305,D329,'02c_AI_CSP_Normalized'!$E$2:$E$305,E329)</f>
        <v/>
      </c>
      <c r="I329" s="6">
        <f>SUMIFS('02b_CSP_Accelerator_Mix'!$H$2:$H$573,'02b_CSP_Accelerator_Mix'!$B$2:$B$573,B329,'02b_CSP_Accelerator_Mix'!$C$2:$C$573,E329,'02b_CSP_Accelerator_Mix'!$D$2:$D$573,D329,'02b_CSP_Accelerator_Mix'!$E$2:$E$573,F329)</f>
        <v/>
      </c>
      <c r="J329" s="28">
        <f>H329*I329</f>
        <v/>
      </c>
      <c r="K329" s="8">
        <f>IFERROR(INDEX('02x_Accelerator_Catalog'!$D$2:$D$11,MATCH(F329,'02x_Accelerator_Catalog'!$B$2:$B$11,0)),"")</f>
        <v/>
      </c>
      <c r="L329" s="7">
        <f>IF(K329&gt;0,J329*1000/K329,"")</f>
        <v/>
      </c>
      <c r="M329" s="5" t="inlineStr">
        <is>
          <t>epoch_csp_chip_quantity_latest</t>
        </is>
      </c>
      <c r="N329" s="5" t="inlineStr">
        <is>
          <t>Extensible long-format output: add a new accelerator row in 02b and map it in 02x_Accelerator_Catalog to extend this table.</t>
        </is>
      </c>
    </row>
    <row r="330">
      <c r="A330" s="5">
        <f>B330&amp;"|"&amp;C330&amp;"|"&amp;D330&amp;"|"&amp;E330&amp;"|"&amp;F330</f>
        <v/>
      </c>
      <c r="B330" s="5" t="inlineStr">
        <is>
          <t>Bull</t>
        </is>
      </c>
      <c r="C330" s="5" t="inlineStr">
        <is>
          <t>OpenAI</t>
        </is>
      </c>
      <c r="D330" s="5" t="n">
        <v>2028</v>
      </c>
      <c r="E330" s="5" t="inlineStr">
        <is>
          <t>CoreWeave</t>
        </is>
      </c>
      <c r="F330" s="5" t="inlineStr">
        <is>
          <t>B200/B300 class</t>
        </is>
      </c>
      <c r="G330" s="5">
        <f>IFERROR(INDEX('02x_Accelerator_Catalog'!$C$2:$C$11,MATCH(F330,'02x_Accelerator_Catalog'!$B$2:$B$11,0)),"purpose_or_unbenchmarked")</f>
        <v/>
      </c>
      <c r="H330" s="28">
        <f>SUMIFS('02c_AI_CSP_Normalized'!$N$2:$N$305,'02c_AI_CSP_Normalized'!$B$2:$B$305,B330,'02c_AI_CSP_Normalized'!$C$2:$C$305,C330,'02c_AI_CSP_Normalized'!$D$2:$D$305,D330,'02c_AI_CSP_Normalized'!$E$2:$E$305,E330)</f>
        <v/>
      </c>
      <c r="I330" s="6">
        <f>SUMIFS('02b_CSP_Accelerator_Mix'!$H$2:$H$573,'02b_CSP_Accelerator_Mix'!$B$2:$B$573,B330,'02b_CSP_Accelerator_Mix'!$C$2:$C$573,E330,'02b_CSP_Accelerator_Mix'!$D$2:$D$573,D330,'02b_CSP_Accelerator_Mix'!$E$2:$E$573,F330)</f>
        <v/>
      </c>
      <c r="J330" s="28">
        <f>H330*I330</f>
        <v/>
      </c>
      <c r="K330" s="8">
        <f>IFERROR(INDEX('02x_Accelerator_Catalog'!$D$2:$D$11,MATCH(F330,'02x_Accelerator_Catalog'!$B$2:$B$11,0)),"")</f>
        <v/>
      </c>
      <c r="L330" s="7">
        <f>IF(K330&gt;0,J330*1000/K330,"")</f>
        <v/>
      </c>
      <c r="M330" s="5" t="inlineStr">
        <is>
          <t>epoch_csp_chip_quantity_latest</t>
        </is>
      </c>
      <c r="N330" s="5" t="inlineStr">
        <is>
          <t>Extensible long-format output: add a new accelerator row in 02b and map it in 02x_Accelerator_Catalog to extend this table.</t>
        </is>
      </c>
    </row>
    <row r="331">
      <c r="A331" s="5">
        <f>B331&amp;"|"&amp;C331&amp;"|"&amp;D331&amp;"|"&amp;E331&amp;"|"&amp;F331</f>
        <v/>
      </c>
      <c r="B331" s="5" t="inlineStr">
        <is>
          <t>Bull</t>
        </is>
      </c>
      <c r="C331" s="5" t="inlineStr">
        <is>
          <t>OpenAI</t>
        </is>
      </c>
      <c r="D331" s="5" t="n">
        <v>2028</v>
      </c>
      <c r="E331" s="5" t="inlineStr">
        <is>
          <t>CoreWeave</t>
        </is>
      </c>
      <c r="F331" s="5" t="inlineStr">
        <is>
          <t>H100/H200/A100 class</t>
        </is>
      </c>
      <c r="G331" s="5">
        <f>IFERROR(INDEX('02x_Accelerator_Catalog'!$C$2:$C$11,MATCH(F331,'02x_Accelerator_Catalog'!$B$2:$B$11,0)),"purpose_or_unbenchmarked")</f>
        <v/>
      </c>
      <c r="H331" s="28">
        <f>SUMIFS('02c_AI_CSP_Normalized'!$N$2:$N$305,'02c_AI_CSP_Normalized'!$B$2:$B$305,B331,'02c_AI_CSP_Normalized'!$C$2:$C$305,C331,'02c_AI_CSP_Normalized'!$D$2:$D$305,D331,'02c_AI_CSP_Normalized'!$E$2:$E$305,E331)</f>
        <v/>
      </c>
      <c r="I331" s="6">
        <f>SUMIFS('02b_CSP_Accelerator_Mix'!$H$2:$H$573,'02b_CSP_Accelerator_Mix'!$B$2:$B$573,B331,'02b_CSP_Accelerator_Mix'!$C$2:$C$573,E331,'02b_CSP_Accelerator_Mix'!$D$2:$D$573,D331,'02b_CSP_Accelerator_Mix'!$E$2:$E$573,F331)</f>
        <v/>
      </c>
      <c r="J331" s="28">
        <f>H331*I331</f>
        <v/>
      </c>
      <c r="K331" s="8">
        <f>IFERROR(INDEX('02x_Accelerator_Catalog'!$D$2:$D$11,MATCH(F331,'02x_Accelerator_Catalog'!$B$2:$B$11,0)),"")</f>
        <v/>
      </c>
      <c r="L331" s="7">
        <f>IF(K331&gt;0,J331*1000/K331,"")</f>
        <v/>
      </c>
      <c r="M331" s="5" t="inlineStr">
        <is>
          <t>epoch_csp_chip_quantity_latest</t>
        </is>
      </c>
      <c r="N331" s="5" t="inlineStr">
        <is>
          <t>Extensible long-format output: add a new accelerator row in 02b and map it in 02x_Accelerator_Catalog to extend this table.</t>
        </is>
      </c>
    </row>
    <row r="332">
      <c r="A332" s="5">
        <f>B332&amp;"|"&amp;C332&amp;"|"&amp;D332&amp;"|"&amp;E332&amp;"|"&amp;F332</f>
        <v/>
      </c>
      <c r="B332" s="5" t="inlineStr">
        <is>
          <t>Grid-Constrained / Efficiency-Upside</t>
        </is>
      </c>
      <c r="C332" s="5" t="inlineStr">
        <is>
          <t>OpenAI</t>
        </is>
      </c>
      <c r="D332" s="5" t="n">
        <v>2028</v>
      </c>
      <c r="E332" s="5" t="inlineStr">
        <is>
          <t>CoreWeave</t>
        </is>
      </c>
      <c r="F332" s="5" t="inlineStr">
        <is>
          <t>B200/B300 class</t>
        </is>
      </c>
      <c r="G332" s="5">
        <f>IFERROR(INDEX('02x_Accelerator_Catalog'!$C$2:$C$11,MATCH(F332,'02x_Accelerator_Catalog'!$B$2:$B$11,0)),"purpose_or_unbenchmarked")</f>
        <v/>
      </c>
      <c r="H332" s="28">
        <f>SUMIFS('02c_AI_CSP_Normalized'!$N$2:$N$305,'02c_AI_CSP_Normalized'!$B$2:$B$305,B332,'02c_AI_CSP_Normalized'!$C$2:$C$305,C332,'02c_AI_CSP_Normalized'!$D$2:$D$305,D332,'02c_AI_CSP_Normalized'!$E$2:$E$305,E332)</f>
        <v/>
      </c>
      <c r="I332" s="6">
        <f>SUMIFS('02b_CSP_Accelerator_Mix'!$H$2:$H$573,'02b_CSP_Accelerator_Mix'!$B$2:$B$573,B332,'02b_CSP_Accelerator_Mix'!$C$2:$C$573,E332,'02b_CSP_Accelerator_Mix'!$D$2:$D$573,D332,'02b_CSP_Accelerator_Mix'!$E$2:$E$573,F332)</f>
        <v/>
      </c>
      <c r="J332" s="28">
        <f>H332*I332</f>
        <v/>
      </c>
      <c r="K332" s="8">
        <f>IFERROR(INDEX('02x_Accelerator_Catalog'!$D$2:$D$11,MATCH(F332,'02x_Accelerator_Catalog'!$B$2:$B$11,0)),"")</f>
        <v/>
      </c>
      <c r="L332" s="7">
        <f>IF(K332&gt;0,J332*1000/K332,"")</f>
        <v/>
      </c>
      <c r="M332" s="5" t="inlineStr">
        <is>
          <t>epoch_csp_chip_quantity_latest</t>
        </is>
      </c>
      <c r="N332" s="5" t="inlineStr">
        <is>
          <t>Extensible long-format output: add a new accelerator row in 02b and map it in 02x_Accelerator_Catalog to extend this table.</t>
        </is>
      </c>
    </row>
    <row r="333">
      <c r="A333" s="5">
        <f>B333&amp;"|"&amp;C333&amp;"|"&amp;D333&amp;"|"&amp;E333&amp;"|"&amp;F333</f>
        <v/>
      </c>
      <c r="B333" s="5" t="inlineStr">
        <is>
          <t>Grid-Constrained / Efficiency-Upside</t>
        </is>
      </c>
      <c r="C333" s="5" t="inlineStr">
        <is>
          <t>OpenAI</t>
        </is>
      </c>
      <c r="D333" s="5" t="n">
        <v>2028</v>
      </c>
      <c r="E333" s="5" t="inlineStr">
        <is>
          <t>CoreWeave</t>
        </is>
      </c>
      <c r="F333" s="5" t="inlineStr">
        <is>
          <t>H100/H200/A100 class</t>
        </is>
      </c>
      <c r="G333" s="5">
        <f>IFERROR(INDEX('02x_Accelerator_Catalog'!$C$2:$C$11,MATCH(F333,'02x_Accelerator_Catalog'!$B$2:$B$11,0)),"purpose_or_unbenchmarked")</f>
        <v/>
      </c>
      <c r="H333" s="28">
        <f>SUMIFS('02c_AI_CSP_Normalized'!$N$2:$N$305,'02c_AI_CSP_Normalized'!$B$2:$B$305,B333,'02c_AI_CSP_Normalized'!$C$2:$C$305,C333,'02c_AI_CSP_Normalized'!$D$2:$D$305,D333,'02c_AI_CSP_Normalized'!$E$2:$E$305,E333)</f>
        <v/>
      </c>
      <c r="I333" s="6">
        <f>SUMIFS('02b_CSP_Accelerator_Mix'!$H$2:$H$573,'02b_CSP_Accelerator_Mix'!$B$2:$B$573,B333,'02b_CSP_Accelerator_Mix'!$C$2:$C$573,E333,'02b_CSP_Accelerator_Mix'!$D$2:$D$573,D333,'02b_CSP_Accelerator_Mix'!$E$2:$E$573,F333)</f>
        <v/>
      </c>
      <c r="J333" s="28">
        <f>H333*I333</f>
        <v/>
      </c>
      <c r="K333" s="8">
        <f>IFERROR(INDEX('02x_Accelerator_Catalog'!$D$2:$D$11,MATCH(F333,'02x_Accelerator_Catalog'!$B$2:$B$11,0)),"")</f>
        <v/>
      </c>
      <c r="L333" s="7">
        <f>IF(K333&gt;0,J333*1000/K333,"")</f>
        <v/>
      </c>
      <c r="M333" s="5" t="inlineStr">
        <is>
          <t>epoch_csp_chip_quantity_latest</t>
        </is>
      </c>
      <c r="N333" s="5" t="inlineStr">
        <is>
          <t>Extensible long-format output: add a new accelerator row in 02b and map it in 02x_Accelerator_Catalog to extend this table.</t>
        </is>
      </c>
    </row>
    <row r="334">
      <c r="A334" s="5">
        <f>B334&amp;"|"&amp;C334&amp;"|"&amp;D334&amp;"|"&amp;E334&amp;"|"&amp;F334</f>
        <v/>
      </c>
      <c r="B334" s="5" t="inlineStr">
        <is>
          <t>Bear</t>
        </is>
      </c>
      <c r="C334" s="5" t="inlineStr">
        <is>
          <t>OpenAI</t>
        </is>
      </c>
      <c r="D334" s="5" t="n">
        <v>2029</v>
      </c>
      <c r="E334" s="5" t="inlineStr">
        <is>
          <t>CoreWeave</t>
        </is>
      </c>
      <c r="F334" s="5" t="inlineStr">
        <is>
          <t>B200/B300 class</t>
        </is>
      </c>
      <c r="G334" s="5">
        <f>IFERROR(INDEX('02x_Accelerator_Catalog'!$C$2:$C$11,MATCH(F334,'02x_Accelerator_Catalog'!$B$2:$B$11,0)),"purpose_or_unbenchmarked")</f>
        <v/>
      </c>
      <c r="H334" s="28">
        <f>SUMIFS('02c_AI_CSP_Normalized'!$N$2:$N$305,'02c_AI_CSP_Normalized'!$B$2:$B$305,B334,'02c_AI_CSP_Normalized'!$C$2:$C$305,C334,'02c_AI_CSP_Normalized'!$D$2:$D$305,D334,'02c_AI_CSP_Normalized'!$E$2:$E$305,E334)</f>
        <v/>
      </c>
      <c r="I334" s="6">
        <f>SUMIFS('02b_CSP_Accelerator_Mix'!$H$2:$H$573,'02b_CSP_Accelerator_Mix'!$B$2:$B$573,B334,'02b_CSP_Accelerator_Mix'!$C$2:$C$573,E334,'02b_CSP_Accelerator_Mix'!$D$2:$D$573,D334,'02b_CSP_Accelerator_Mix'!$E$2:$E$573,F334)</f>
        <v/>
      </c>
      <c r="J334" s="28">
        <f>H334*I334</f>
        <v/>
      </c>
      <c r="K334" s="8">
        <f>IFERROR(INDEX('02x_Accelerator_Catalog'!$D$2:$D$11,MATCH(F334,'02x_Accelerator_Catalog'!$B$2:$B$11,0)),"")</f>
        <v/>
      </c>
      <c r="L334" s="7">
        <f>IF(K334&gt;0,J334*1000/K334,"")</f>
        <v/>
      </c>
      <c r="M334" s="5" t="inlineStr">
        <is>
          <t>epoch_csp_chip_quantity_latest</t>
        </is>
      </c>
      <c r="N334" s="5" t="inlineStr">
        <is>
          <t>Extensible long-format output: add a new accelerator row in 02b and map it in 02x_Accelerator_Catalog to extend this table.</t>
        </is>
      </c>
    </row>
    <row r="335">
      <c r="A335" s="5">
        <f>B335&amp;"|"&amp;C335&amp;"|"&amp;D335&amp;"|"&amp;E335&amp;"|"&amp;F335</f>
        <v/>
      </c>
      <c r="B335" s="5" t="inlineStr">
        <is>
          <t>Bear</t>
        </is>
      </c>
      <c r="C335" s="5" t="inlineStr">
        <is>
          <t>OpenAI</t>
        </is>
      </c>
      <c r="D335" s="5" t="n">
        <v>2029</v>
      </c>
      <c r="E335" s="5" t="inlineStr">
        <is>
          <t>CoreWeave</t>
        </is>
      </c>
      <c r="F335" s="5" t="inlineStr">
        <is>
          <t>H100/H200/A100 class</t>
        </is>
      </c>
      <c r="G335" s="5">
        <f>IFERROR(INDEX('02x_Accelerator_Catalog'!$C$2:$C$11,MATCH(F335,'02x_Accelerator_Catalog'!$B$2:$B$11,0)),"purpose_or_unbenchmarked")</f>
        <v/>
      </c>
      <c r="H335" s="28">
        <f>SUMIFS('02c_AI_CSP_Normalized'!$N$2:$N$305,'02c_AI_CSP_Normalized'!$B$2:$B$305,B335,'02c_AI_CSP_Normalized'!$C$2:$C$305,C335,'02c_AI_CSP_Normalized'!$D$2:$D$305,D335,'02c_AI_CSP_Normalized'!$E$2:$E$305,E335)</f>
        <v/>
      </c>
      <c r="I335" s="6">
        <f>SUMIFS('02b_CSP_Accelerator_Mix'!$H$2:$H$573,'02b_CSP_Accelerator_Mix'!$B$2:$B$573,B335,'02b_CSP_Accelerator_Mix'!$C$2:$C$573,E335,'02b_CSP_Accelerator_Mix'!$D$2:$D$573,D335,'02b_CSP_Accelerator_Mix'!$E$2:$E$573,F335)</f>
        <v/>
      </c>
      <c r="J335" s="28">
        <f>H335*I335</f>
        <v/>
      </c>
      <c r="K335" s="8">
        <f>IFERROR(INDEX('02x_Accelerator_Catalog'!$D$2:$D$11,MATCH(F335,'02x_Accelerator_Catalog'!$B$2:$B$11,0)),"")</f>
        <v/>
      </c>
      <c r="L335" s="7">
        <f>IF(K335&gt;0,J335*1000/K335,"")</f>
        <v/>
      </c>
      <c r="M335" s="5" t="inlineStr">
        <is>
          <t>epoch_csp_chip_quantity_latest</t>
        </is>
      </c>
      <c r="N335" s="5" t="inlineStr">
        <is>
          <t>Extensible long-format output: add a new accelerator row in 02b and map it in 02x_Accelerator_Catalog to extend this table.</t>
        </is>
      </c>
    </row>
    <row r="336">
      <c r="A336" s="5">
        <f>B336&amp;"|"&amp;C336&amp;"|"&amp;D336&amp;"|"&amp;E336&amp;"|"&amp;F336</f>
        <v/>
      </c>
      <c r="B336" s="5" t="inlineStr">
        <is>
          <t>Base</t>
        </is>
      </c>
      <c r="C336" s="5" t="inlineStr">
        <is>
          <t>OpenAI</t>
        </is>
      </c>
      <c r="D336" s="5" t="n">
        <v>2029</v>
      </c>
      <c r="E336" s="5" t="inlineStr">
        <is>
          <t>CoreWeave</t>
        </is>
      </c>
      <c r="F336" s="5" t="inlineStr">
        <is>
          <t>B200/B300 class</t>
        </is>
      </c>
      <c r="G336" s="5">
        <f>IFERROR(INDEX('02x_Accelerator_Catalog'!$C$2:$C$11,MATCH(F336,'02x_Accelerator_Catalog'!$B$2:$B$11,0)),"purpose_or_unbenchmarked")</f>
        <v/>
      </c>
      <c r="H336" s="28">
        <f>SUMIFS('02c_AI_CSP_Normalized'!$N$2:$N$305,'02c_AI_CSP_Normalized'!$B$2:$B$305,B336,'02c_AI_CSP_Normalized'!$C$2:$C$305,C336,'02c_AI_CSP_Normalized'!$D$2:$D$305,D336,'02c_AI_CSP_Normalized'!$E$2:$E$305,E336)</f>
        <v/>
      </c>
      <c r="I336" s="6">
        <f>SUMIFS('02b_CSP_Accelerator_Mix'!$H$2:$H$573,'02b_CSP_Accelerator_Mix'!$B$2:$B$573,B336,'02b_CSP_Accelerator_Mix'!$C$2:$C$573,E336,'02b_CSP_Accelerator_Mix'!$D$2:$D$573,D336,'02b_CSP_Accelerator_Mix'!$E$2:$E$573,F336)</f>
        <v/>
      </c>
      <c r="J336" s="28">
        <f>H336*I336</f>
        <v/>
      </c>
      <c r="K336" s="8">
        <f>IFERROR(INDEX('02x_Accelerator_Catalog'!$D$2:$D$11,MATCH(F336,'02x_Accelerator_Catalog'!$B$2:$B$11,0)),"")</f>
        <v/>
      </c>
      <c r="L336" s="7">
        <f>IF(K336&gt;0,J336*1000/K336,"")</f>
        <v/>
      </c>
      <c r="M336" s="5" t="inlineStr">
        <is>
          <t>epoch_csp_chip_quantity_latest</t>
        </is>
      </c>
      <c r="N336" s="5" t="inlineStr">
        <is>
          <t>Extensible long-format output: add a new accelerator row in 02b and map it in 02x_Accelerator_Catalog to extend this table.</t>
        </is>
      </c>
    </row>
    <row r="337">
      <c r="A337" s="5">
        <f>B337&amp;"|"&amp;C337&amp;"|"&amp;D337&amp;"|"&amp;E337&amp;"|"&amp;F337</f>
        <v/>
      </c>
      <c r="B337" s="5" t="inlineStr">
        <is>
          <t>Base</t>
        </is>
      </c>
      <c r="C337" s="5" t="inlineStr">
        <is>
          <t>OpenAI</t>
        </is>
      </c>
      <c r="D337" s="5" t="n">
        <v>2029</v>
      </c>
      <c r="E337" s="5" t="inlineStr">
        <is>
          <t>CoreWeave</t>
        </is>
      </c>
      <c r="F337" s="5" t="inlineStr">
        <is>
          <t>H100/H200/A100 class</t>
        </is>
      </c>
      <c r="G337" s="5">
        <f>IFERROR(INDEX('02x_Accelerator_Catalog'!$C$2:$C$11,MATCH(F337,'02x_Accelerator_Catalog'!$B$2:$B$11,0)),"purpose_or_unbenchmarked")</f>
        <v/>
      </c>
      <c r="H337" s="28">
        <f>SUMIFS('02c_AI_CSP_Normalized'!$N$2:$N$305,'02c_AI_CSP_Normalized'!$B$2:$B$305,B337,'02c_AI_CSP_Normalized'!$C$2:$C$305,C337,'02c_AI_CSP_Normalized'!$D$2:$D$305,D337,'02c_AI_CSP_Normalized'!$E$2:$E$305,E337)</f>
        <v/>
      </c>
      <c r="I337" s="6">
        <f>SUMIFS('02b_CSP_Accelerator_Mix'!$H$2:$H$573,'02b_CSP_Accelerator_Mix'!$B$2:$B$573,B337,'02b_CSP_Accelerator_Mix'!$C$2:$C$573,E337,'02b_CSP_Accelerator_Mix'!$D$2:$D$573,D337,'02b_CSP_Accelerator_Mix'!$E$2:$E$573,F337)</f>
        <v/>
      </c>
      <c r="J337" s="28">
        <f>H337*I337</f>
        <v/>
      </c>
      <c r="K337" s="8">
        <f>IFERROR(INDEX('02x_Accelerator_Catalog'!$D$2:$D$11,MATCH(F337,'02x_Accelerator_Catalog'!$B$2:$B$11,0)),"")</f>
        <v/>
      </c>
      <c r="L337" s="7">
        <f>IF(K337&gt;0,J337*1000/K337,"")</f>
        <v/>
      </c>
      <c r="M337" s="5" t="inlineStr">
        <is>
          <t>epoch_csp_chip_quantity_latest</t>
        </is>
      </c>
      <c r="N337" s="5" t="inlineStr">
        <is>
          <t>Extensible long-format output: add a new accelerator row in 02b and map it in 02x_Accelerator_Catalog to extend this table.</t>
        </is>
      </c>
    </row>
    <row r="338">
      <c r="A338" s="5">
        <f>B338&amp;"|"&amp;C338&amp;"|"&amp;D338&amp;"|"&amp;E338&amp;"|"&amp;F338</f>
        <v/>
      </c>
      <c r="B338" s="5" t="inlineStr">
        <is>
          <t>Bull</t>
        </is>
      </c>
      <c r="C338" s="5" t="inlineStr">
        <is>
          <t>OpenAI</t>
        </is>
      </c>
      <c r="D338" s="5" t="n">
        <v>2029</v>
      </c>
      <c r="E338" s="5" t="inlineStr">
        <is>
          <t>CoreWeave</t>
        </is>
      </c>
      <c r="F338" s="5" t="inlineStr">
        <is>
          <t>B200/B300 class</t>
        </is>
      </c>
      <c r="G338" s="5">
        <f>IFERROR(INDEX('02x_Accelerator_Catalog'!$C$2:$C$11,MATCH(F338,'02x_Accelerator_Catalog'!$B$2:$B$11,0)),"purpose_or_unbenchmarked")</f>
        <v/>
      </c>
      <c r="H338" s="28">
        <f>SUMIFS('02c_AI_CSP_Normalized'!$N$2:$N$305,'02c_AI_CSP_Normalized'!$B$2:$B$305,B338,'02c_AI_CSP_Normalized'!$C$2:$C$305,C338,'02c_AI_CSP_Normalized'!$D$2:$D$305,D338,'02c_AI_CSP_Normalized'!$E$2:$E$305,E338)</f>
        <v/>
      </c>
      <c r="I338" s="6">
        <f>SUMIFS('02b_CSP_Accelerator_Mix'!$H$2:$H$573,'02b_CSP_Accelerator_Mix'!$B$2:$B$573,B338,'02b_CSP_Accelerator_Mix'!$C$2:$C$573,E338,'02b_CSP_Accelerator_Mix'!$D$2:$D$573,D338,'02b_CSP_Accelerator_Mix'!$E$2:$E$573,F338)</f>
        <v/>
      </c>
      <c r="J338" s="28">
        <f>H338*I338</f>
        <v/>
      </c>
      <c r="K338" s="8">
        <f>IFERROR(INDEX('02x_Accelerator_Catalog'!$D$2:$D$11,MATCH(F338,'02x_Accelerator_Catalog'!$B$2:$B$11,0)),"")</f>
        <v/>
      </c>
      <c r="L338" s="7">
        <f>IF(K338&gt;0,J338*1000/K338,"")</f>
        <v/>
      </c>
      <c r="M338" s="5" t="inlineStr">
        <is>
          <t>epoch_csp_chip_quantity_latest</t>
        </is>
      </c>
      <c r="N338" s="5" t="inlineStr">
        <is>
          <t>Extensible long-format output: add a new accelerator row in 02b and map it in 02x_Accelerator_Catalog to extend this table.</t>
        </is>
      </c>
    </row>
    <row r="339">
      <c r="A339" s="5">
        <f>B339&amp;"|"&amp;C339&amp;"|"&amp;D339&amp;"|"&amp;E339&amp;"|"&amp;F339</f>
        <v/>
      </c>
      <c r="B339" s="5" t="inlineStr">
        <is>
          <t>Bull</t>
        </is>
      </c>
      <c r="C339" s="5" t="inlineStr">
        <is>
          <t>OpenAI</t>
        </is>
      </c>
      <c r="D339" s="5" t="n">
        <v>2029</v>
      </c>
      <c r="E339" s="5" t="inlineStr">
        <is>
          <t>CoreWeave</t>
        </is>
      </c>
      <c r="F339" s="5" t="inlineStr">
        <is>
          <t>H100/H200/A100 class</t>
        </is>
      </c>
      <c r="G339" s="5">
        <f>IFERROR(INDEX('02x_Accelerator_Catalog'!$C$2:$C$11,MATCH(F339,'02x_Accelerator_Catalog'!$B$2:$B$11,0)),"purpose_or_unbenchmarked")</f>
        <v/>
      </c>
      <c r="H339" s="28">
        <f>SUMIFS('02c_AI_CSP_Normalized'!$N$2:$N$305,'02c_AI_CSP_Normalized'!$B$2:$B$305,B339,'02c_AI_CSP_Normalized'!$C$2:$C$305,C339,'02c_AI_CSP_Normalized'!$D$2:$D$305,D339,'02c_AI_CSP_Normalized'!$E$2:$E$305,E339)</f>
        <v/>
      </c>
      <c r="I339" s="6">
        <f>SUMIFS('02b_CSP_Accelerator_Mix'!$H$2:$H$573,'02b_CSP_Accelerator_Mix'!$B$2:$B$573,B339,'02b_CSP_Accelerator_Mix'!$C$2:$C$573,E339,'02b_CSP_Accelerator_Mix'!$D$2:$D$573,D339,'02b_CSP_Accelerator_Mix'!$E$2:$E$573,F339)</f>
        <v/>
      </c>
      <c r="J339" s="28">
        <f>H339*I339</f>
        <v/>
      </c>
      <c r="K339" s="8">
        <f>IFERROR(INDEX('02x_Accelerator_Catalog'!$D$2:$D$11,MATCH(F339,'02x_Accelerator_Catalog'!$B$2:$B$11,0)),"")</f>
        <v/>
      </c>
      <c r="L339" s="7">
        <f>IF(K339&gt;0,J339*1000/K339,"")</f>
        <v/>
      </c>
      <c r="M339" s="5" t="inlineStr">
        <is>
          <t>epoch_csp_chip_quantity_latest</t>
        </is>
      </c>
      <c r="N339" s="5" t="inlineStr">
        <is>
          <t>Extensible long-format output: add a new accelerator row in 02b and map it in 02x_Accelerator_Catalog to extend this table.</t>
        </is>
      </c>
    </row>
    <row r="340">
      <c r="A340" s="5">
        <f>B340&amp;"|"&amp;C340&amp;"|"&amp;D340&amp;"|"&amp;E340&amp;"|"&amp;F340</f>
        <v/>
      </c>
      <c r="B340" s="5" t="inlineStr">
        <is>
          <t>Grid-Constrained / Efficiency-Upside</t>
        </is>
      </c>
      <c r="C340" s="5" t="inlineStr">
        <is>
          <t>OpenAI</t>
        </is>
      </c>
      <c r="D340" s="5" t="n">
        <v>2029</v>
      </c>
      <c r="E340" s="5" t="inlineStr">
        <is>
          <t>CoreWeave</t>
        </is>
      </c>
      <c r="F340" s="5" t="inlineStr">
        <is>
          <t>B200/B300 class</t>
        </is>
      </c>
      <c r="G340" s="5">
        <f>IFERROR(INDEX('02x_Accelerator_Catalog'!$C$2:$C$11,MATCH(F340,'02x_Accelerator_Catalog'!$B$2:$B$11,0)),"purpose_or_unbenchmarked")</f>
        <v/>
      </c>
      <c r="H340" s="28">
        <f>SUMIFS('02c_AI_CSP_Normalized'!$N$2:$N$305,'02c_AI_CSP_Normalized'!$B$2:$B$305,B340,'02c_AI_CSP_Normalized'!$C$2:$C$305,C340,'02c_AI_CSP_Normalized'!$D$2:$D$305,D340,'02c_AI_CSP_Normalized'!$E$2:$E$305,E340)</f>
        <v/>
      </c>
      <c r="I340" s="6">
        <f>SUMIFS('02b_CSP_Accelerator_Mix'!$H$2:$H$573,'02b_CSP_Accelerator_Mix'!$B$2:$B$573,B340,'02b_CSP_Accelerator_Mix'!$C$2:$C$573,E340,'02b_CSP_Accelerator_Mix'!$D$2:$D$573,D340,'02b_CSP_Accelerator_Mix'!$E$2:$E$573,F340)</f>
        <v/>
      </c>
      <c r="J340" s="28">
        <f>H340*I340</f>
        <v/>
      </c>
      <c r="K340" s="8">
        <f>IFERROR(INDEX('02x_Accelerator_Catalog'!$D$2:$D$11,MATCH(F340,'02x_Accelerator_Catalog'!$B$2:$B$11,0)),"")</f>
        <v/>
      </c>
      <c r="L340" s="7">
        <f>IF(K340&gt;0,J340*1000/K340,"")</f>
        <v/>
      </c>
      <c r="M340" s="5" t="inlineStr">
        <is>
          <t>epoch_csp_chip_quantity_latest</t>
        </is>
      </c>
      <c r="N340" s="5" t="inlineStr">
        <is>
          <t>Extensible long-format output: add a new accelerator row in 02b and map it in 02x_Accelerator_Catalog to extend this table.</t>
        </is>
      </c>
    </row>
    <row r="341">
      <c r="A341" s="5">
        <f>B341&amp;"|"&amp;C341&amp;"|"&amp;D341&amp;"|"&amp;E341&amp;"|"&amp;F341</f>
        <v/>
      </c>
      <c r="B341" s="5" t="inlineStr">
        <is>
          <t>Grid-Constrained / Efficiency-Upside</t>
        </is>
      </c>
      <c r="C341" s="5" t="inlineStr">
        <is>
          <t>OpenAI</t>
        </is>
      </c>
      <c r="D341" s="5" t="n">
        <v>2029</v>
      </c>
      <c r="E341" s="5" t="inlineStr">
        <is>
          <t>CoreWeave</t>
        </is>
      </c>
      <c r="F341" s="5" t="inlineStr">
        <is>
          <t>H100/H200/A100 class</t>
        </is>
      </c>
      <c r="G341" s="5">
        <f>IFERROR(INDEX('02x_Accelerator_Catalog'!$C$2:$C$11,MATCH(F341,'02x_Accelerator_Catalog'!$B$2:$B$11,0)),"purpose_or_unbenchmarked")</f>
        <v/>
      </c>
      <c r="H341" s="28">
        <f>SUMIFS('02c_AI_CSP_Normalized'!$N$2:$N$305,'02c_AI_CSP_Normalized'!$B$2:$B$305,B341,'02c_AI_CSP_Normalized'!$C$2:$C$305,C341,'02c_AI_CSP_Normalized'!$D$2:$D$305,D341,'02c_AI_CSP_Normalized'!$E$2:$E$305,E341)</f>
        <v/>
      </c>
      <c r="I341" s="6">
        <f>SUMIFS('02b_CSP_Accelerator_Mix'!$H$2:$H$573,'02b_CSP_Accelerator_Mix'!$B$2:$B$573,B341,'02b_CSP_Accelerator_Mix'!$C$2:$C$573,E341,'02b_CSP_Accelerator_Mix'!$D$2:$D$573,D341,'02b_CSP_Accelerator_Mix'!$E$2:$E$573,F341)</f>
        <v/>
      </c>
      <c r="J341" s="28">
        <f>H341*I341</f>
        <v/>
      </c>
      <c r="K341" s="8">
        <f>IFERROR(INDEX('02x_Accelerator_Catalog'!$D$2:$D$11,MATCH(F341,'02x_Accelerator_Catalog'!$B$2:$B$11,0)),"")</f>
        <v/>
      </c>
      <c r="L341" s="7">
        <f>IF(K341&gt;0,J341*1000/K341,"")</f>
        <v/>
      </c>
      <c r="M341" s="5" t="inlineStr">
        <is>
          <t>epoch_csp_chip_quantity_latest</t>
        </is>
      </c>
      <c r="N341" s="5" t="inlineStr">
        <is>
          <t>Extensible long-format output: add a new accelerator row in 02b and map it in 02x_Accelerator_Catalog to extend this table.</t>
        </is>
      </c>
    </row>
    <row r="342">
      <c r="A342" s="5">
        <f>B342&amp;"|"&amp;C342&amp;"|"&amp;D342&amp;"|"&amp;E342&amp;"|"&amp;F342</f>
        <v/>
      </c>
      <c r="B342" s="5" t="inlineStr">
        <is>
          <t>Bear</t>
        </is>
      </c>
      <c r="C342" s="5" t="inlineStr">
        <is>
          <t>OpenAI</t>
        </is>
      </c>
      <c r="D342" s="5" t="n">
        <v>2030</v>
      </c>
      <c r="E342" s="5" t="inlineStr">
        <is>
          <t>CoreWeave</t>
        </is>
      </c>
      <c r="F342" s="5" t="inlineStr">
        <is>
          <t>B200/B300 class</t>
        </is>
      </c>
      <c r="G342" s="5">
        <f>IFERROR(INDEX('02x_Accelerator_Catalog'!$C$2:$C$11,MATCH(F342,'02x_Accelerator_Catalog'!$B$2:$B$11,0)),"purpose_or_unbenchmarked")</f>
        <v/>
      </c>
      <c r="H342" s="28">
        <f>SUMIFS('02c_AI_CSP_Normalized'!$N$2:$N$305,'02c_AI_CSP_Normalized'!$B$2:$B$305,B342,'02c_AI_CSP_Normalized'!$C$2:$C$305,C342,'02c_AI_CSP_Normalized'!$D$2:$D$305,D342,'02c_AI_CSP_Normalized'!$E$2:$E$305,E342)</f>
        <v/>
      </c>
      <c r="I342" s="6">
        <f>SUMIFS('02b_CSP_Accelerator_Mix'!$H$2:$H$573,'02b_CSP_Accelerator_Mix'!$B$2:$B$573,B342,'02b_CSP_Accelerator_Mix'!$C$2:$C$573,E342,'02b_CSP_Accelerator_Mix'!$D$2:$D$573,D342,'02b_CSP_Accelerator_Mix'!$E$2:$E$573,F342)</f>
        <v/>
      </c>
      <c r="J342" s="28">
        <f>H342*I342</f>
        <v/>
      </c>
      <c r="K342" s="8">
        <f>IFERROR(INDEX('02x_Accelerator_Catalog'!$D$2:$D$11,MATCH(F342,'02x_Accelerator_Catalog'!$B$2:$B$11,0)),"")</f>
        <v/>
      </c>
      <c r="L342" s="7">
        <f>IF(K342&gt;0,J342*1000/K342,"")</f>
        <v/>
      </c>
      <c r="M342" s="5" t="inlineStr">
        <is>
          <t>epoch_csp_chip_quantity_latest</t>
        </is>
      </c>
      <c r="N342" s="5" t="inlineStr">
        <is>
          <t>Extensible long-format output: add a new accelerator row in 02b and map it in 02x_Accelerator_Catalog to extend this table.</t>
        </is>
      </c>
    </row>
    <row r="343">
      <c r="A343" s="5">
        <f>B343&amp;"|"&amp;C343&amp;"|"&amp;D343&amp;"|"&amp;E343&amp;"|"&amp;F343</f>
        <v/>
      </c>
      <c r="B343" s="5" t="inlineStr">
        <is>
          <t>Bear</t>
        </is>
      </c>
      <c r="C343" s="5" t="inlineStr">
        <is>
          <t>OpenAI</t>
        </is>
      </c>
      <c r="D343" s="5" t="n">
        <v>2030</v>
      </c>
      <c r="E343" s="5" t="inlineStr">
        <is>
          <t>CoreWeave</t>
        </is>
      </c>
      <c r="F343" s="5" t="inlineStr">
        <is>
          <t>H100/H200/A100 class</t>
        </is>
      </c>
      <c r="G343" s="5">
        <f>IFERROR(INDEX('02x_Accelerator_Catalog'!$C$2:$C$11,MATCH(F343,'02x_Accelerator_Catalog'!$B$2:$B$11,0)),"purpose_or_unbenchmarked")</f>
        <v/>
      </c>
      <c r="H343" s="28">
        <f>SUMIFS('02c_AI_CSP_Normalized'!$N$2:$N$305,'02c_AI_CSP_Normalized'!$B$2:$B$305,B343,'02c_AI_CSP_Normalized'!$C$2:$C$305,C343,'02c_AI_CSP_Normalized'!$D$2:$D$305,D343,'02c_AI_CSP_Normalized'!$E$2:$E$305,E343)</f>
        <v/>
      </c>
      <c r="I343" s="6">
        <f>SUMIFS('02b_CSP_Accelerator_Mix'!$H$2:$H$573,'02b_CSP_Accelerator_Mix'!$B$2:$B$573,B343,'02b_CSP_Accelerator_Mix'!$C$2:$C$573,E343,'02b_CSP_Accelerator_Mix'!$D$2:$D$573,D343,'02b_CSP_Accelerator_Mix'!$E$2:$E$573,F343)</f>
        <v/>
      </c>
      <c r="J343" s="28">
        <f>H343*I343</f>
        <v/>
      </c>
      <c r="K343" s="8">
        <f>IFERROR(INDEX('02x_Accelerator_Catalog'!$D$2:$D$11,MATCH(F343,'02x_Accelerator_Catalog'!$B$2:$B$11,0)),"")</f>
        <v/>
      </c>
      <c r="L343" s="7">
        <f>IF(K343&gt;0,J343*1000/K343,"")</f>
        <v/>
      </c>
      <c r="M343" s="5" t="inlineStr">
        <is>
          <t>epoch_csp_chip_quantity_latest</t>
        </is>
      </c>
      <c r="N343" s="5" t="inlineStr">
        <is>
          <t>Extensible long-format output: add a new accelerator row in 02b and map it in 02x_Accelerator_Catalog to extend this table.</t>
        </is>
      </c>
    </row>
    <row r="344">
      <c r="A344" s="5">
        <f>B344&amp;"|"&amp;C344&amp;"|"&amp;D344&amp;"|"&amp;E344&amp;"|"&amp;F344</f>
        <v/>
      </c>
      <c r="B344" s="5" t="inlineStr">
        <is>
          <t>Base</t>
        </is>
      </c>
      <c r="C344" s="5" t="inlineStr">
        <is>
          <t>OpenAI</t>
        </is>
      </c>
      <c r="D344" s="5" t="n">
        <v>2030</v>
      </c>
      <c r="E344" s="5" t="inlineStr">
        <is>
          <t>CoreWeave</t>
        </is>
      </c>
      <c r="F344" s="5" t="inlineStr">
        <is>
          <t>B200/B300 class</t>
        </is>
      </c>
      <c r="G344" s="5">
        <f>IFERROR(INDEX('02x_Accelerator_Catalog'!$C$2:$C$11,MATCH(F344,'02x_Accelerator_Catalog'!$B$2:$B$11,0)),"purpose_or_unbenchmarked")</f>
        <v/>
      </c>
      <c r="H344" s="28">
        <f>SUMIFS('02c_AI_CSP_Normalized'!$N$2:$N$305,'02c_AI_CSP_Normalized'!$B$2:$B$305,B344,'02c_AI_CSP_Normalized'!$C$2:$C$305,C344,'02c_AI_CSP_Normalized'!$D$2:$D$305,D344,'02c_AI_CSP_Normalized'!$E$2:$E$305,E344)</f>
        <v/>
      </c>
      <c r="I344" s="6">
        <f>SUMIFS('02b_CSP_Accelerator_Mix'!$H$2:$H$573,'02b_CSP_Accelerator_Mix'!$B$2:$B$573,B344,'02b_CSP_Accelerator_Mix'!$C$2:$C$573,E344,'02b_CSP_Accelerator_Mix'!$D$2:$D$573,D344,'02b_CSP_Accelerator_Mix'!$E$2:$E$573,F344)</f>
        <v/>
      </c>
      <c r="J344" s="28">
        <f>H344*I344</f>
        <v/>
      </c>
      <c r="K344" s="8">
        <f>IFERROR(INDEX('02x_Accelerator_Catalog'!$D$2:$D$11,MATCH(F344,'02x_Accelerator_Catalog'!$B$2:$B$11,0)),"")</f>
        <v/>
      </c>
      <c r="L344" s="7">
        <f>IF(K344&gt;0,J344*1000/K344,"")</f>
        <v/>
      </c>
      <c r="M344" s="5" t="inlineStr">
        <is>
          <t>epoch_csp_chip_quantity_latest</t>
        </is>
      </c>
      <c r="N344" s="5" t="inlineStr">
        <is>
          <t>Extensible long-format output: add a new accelerator row in 02b and map it in 02x_Accelerator_Catalog to extend this table.</t>
        </is>
      </c>
    </row>
    <row r="345">
      <c r="A345" s="5">
        <f>B345&amp;"|"&amp;C345&amp;"|"&amp;D345&amp;"|"&amp;E345&amp;"|"&amp;F345</f>
        <v/>
      </c>
      <c r="B345" s="5" t="inlineStr">
        <is>
          <t>Base</t>
        </is>
      </c>
      <c r="C345" s="5" t="inlineStr">
        <is>
          <t>OpenAI</t>
        </is>
      </c>
      <c r="D345" s="5" t="n">
        <v>2030</v>
      </c>
      <c r="E345" s="5" t="inlineStr">
        <is>
          <t>CoreWeave</t>
        </is>
      </c>
      <c r="F345" s="5" t="inlineStr">
        <is>
          <t>H100/H200/A100 class</t>
        </is>
      </c>
      <c r="G345" s="5">
        <f>IFERROR(INDEX('02x_Accelerator_Catalog'!$C$2:$C$11,MATCH(F345,'02x_Accelerator_Catalog'!$B$2:$B$11,0)),"purpose_or_unbenchmarked")</f>
        <v/>
      </c>
      <c r="H345" s="28">
        <f>SUMIFS('02c_AI_CSP_Normalized'!$N$2:$N$305,'02c_AI_CSP_Normalized'!$B$2:$B$305,B345,'02c_AI_CSP_Normalized'!$C$2:$C$305,C345,'02c_AI_CSP_Normalized'!$D$2:$D$305,D345,'02c_AI_CSP_Normalized'!$E$2:$E$305,E345)</f>
        <v/>
      </c>
      <c r="I345" s="6">
        <f>SUMIFS('02b_CSP_Accelerator_Mix'!$H$2:$H$573,'02b_CSP_Accelerator_Mix'!$B$2:$B$573,B345,'02b_CSP_Accelerator_Mix'!$C$2:$C$573,E345,'02b_CSP_Accelerator_Mix'!$D$2:$D$573,D345,'02b_CSP_Accelerator_Mix'!$E$2:$E$573,F345)</f>
        <v/>
      </c>
      <c r="J345" s="28">
        <f>H345*I345</f>
        <v/>
      </c>
      <c r="K345" s="8">
        <f>IFERROR(INDEX('02x_Accelerator_Catalog'!$D$2:$D$11,MATCH(F345,'02x_Accelerator_Catalog'!$B$2:$B$11,0)),"")</f>
        <v/>
      </c>
      <c r="L345" s="7">
        <f>IF(K345&gt;0,J345*1000/K345,"")</f>
        <v/>
      </c>
      <c r="M345" s="5" t="inlineStr">
        <is>
          <t>epoch_csp_chip_quantity_latest</t>
        </is>
      </c>
      <c r="N345" s="5" t="inlineStr">
        <is>
          <t>Extensible long-format output: add a new accelerator row in 02b and map it in 02x_Accelerator_Catalog to extend this table.</t>
        </is>
      </c>
    </row>
    <row r="346">
      <c r="A346" s="5">
        <f>B346&amp;"|"&amp;C346&amp;"|"&amp;D346&amp;"|"&amp;E346&amp;"|"&amp;F346</f>
        <v/>
      </c>
      <c r="B346" s="5" t="inlineStr">
        <is>
          <t>Bull</t>
        </is>
      </c>
      <c r="C346" s="5" t="inlineStr">
        <is>
          <t>OpenAI</t>
        </is>
      </c>
      <c r="D346" s="5" t="n">
        <v>2030</v>
      </c>
      <c r="E346" s="5" t="inlineStr">
        <is>
          <t>CoreWeave</t>
        </is>
      </c>
      <c r="F346" s="5" t="inlineStr">
        <is>
          <t>B200/B300 class</t>
        </is>
      </c>
      <c r="G346" s="5">
        <f>IFERROR(INDEX('02x_Accelerator_Catalog'!$C$2:$C$11,MATCH(F346,'02x_Accelerator_Catalog'!$B$2:$B$11,0)),"purpose_or_unbenchmarked")</f>
        <v/>
      </c>
      <c r="H346" s="28">
        <f>SUMIFS('02c_AI_CSP_Normalized'!$N$2:$N$305,'02c_AI_CSP_Normalized'!$B$2:$B$305,B346,'02c_AI_CSP_Normalized'!$C$2:$C$305,C346,'02c_AI_CSP_Normalized'!$D$2:$D$305,D346,'02c_AI_CSP_Normalized'!$E$2:$E$305,E346)</f>
        <v/>
      </c>
      <c r="I346" s="6">
        <f>SUMIFS('02b_CSP_Accelerator_Mix'!$H$2:$H$573,'02b_CSP_Accelerator_Mix'!$B$2:$B$573,B346,'02b_CSP_Accelerator_Mix'!$C$2:$C$573,E346,'02b_CSP_Accelerator_Mix'!$D$2:$D$573,D346,'02b_CSP_Accelerator_Mix'!$E$2:$E$573,F346)</f>
        <v/>
      </c>
      <c r="J346" s="28">
        <f>H346*I346</f>
        <v/>
      </c>
      <c r="K346" s="8">
        <f>IFERROR(INDEX('02x_Accelerator_Catalog'!$D$2:$D$11,MATCH(F346,'02x_Accelerator_Catalog'!$B$2:$B$11,0)),"")</f>
        <v/>
      </c>
      <c r="L346" s="7">
        <f>IF(K346&gt;0,J346*1000/K346,"")</f>
        <v/>
      </c>
      <c r="M346" s="5" t="inlineStr">
        <is>
          <t>epoch_csp_chip_quantity_latest</t>
        </is>
      </c>
      <c r="N346" s="5" t="inlineStr">
        <is>
          <t>Extensible long-format output: add a new accelerator row in 02b and map it in 02x_Accelerator_Catalog to extend this table.</t>
        </is>
      </c>
    </row>
    <row r="347">
      <c r="A347" s="5">
        <f>B347&amp;"|"&amp;C347&amp;"|"&amp;D347&amp;"|"&amp;E347&amp;"|"&amp;F347</f>
        <v/>
      </c>
      <c r="B347" s="5" t="inlineStr">
        <is>
          <t>Bull</t>
        </is>
      </c>
      <c r="C347" s="5" t="inlineStr">
        <is>
          <t>OpenAI</t>
        </is>
      </c>
      <c r="D347" s="5" t="n">
        <v>2030</v>
      </c>
      <c r="E347" s="5" t="inlineStr">
        <is>
          <t>CoreWeave</t>
        </is>
      </c>
      <c r="F347" s="5" t="inlineStr">
        <is>
          <t>H100/H200/A100 class</t>
        </is>
      </c>
      <c r="G347" s="5">
        <f>IFERROR(INDEX('02x_Accelerator_Catalog'!$C$2:$C$11,MATCH(F347,'02x_Accelerator_Catalog'!$B$2:$B$11,0)),"purpose_or_unbenchmarked")</f>
        <v/>
      </c>
      <c r="H347" s="28">
        <f>SUMIFS('02c_AI_CSP_Normalized'!$N$2:$N$305,'02c_AI_CSP_Normalized'!$B$2:$B$305,B347,'02c_AI_CSP_Normalized'!$C$2:$C$305,C347,'02c_AI_CSP_Normalized'!$D$2:$D$305,D347,'02c_AI_CSP_Normalized'!$E$2:$E$305,E347)</f>
        <v/>
      </c>
      <c r="I347" s="6">
        <f>SUMIFS('02b_CSP_Accelerator_Mix'!$H$2:$H$573,'02b_CSP_Accelerator_Mix'!$B$2:$B$573,B347,'02b_CSP_Accelerator_Mix'!$C$2:$C$573,E347,'02b_CSP_Accelerator_Mix'!$D$2:$D$573,D347,'02b_CSP_Accelerator_Mix'!$E$2:$E$573,F347)</f>
        <v/>
      </c>
      <c r="J347" s="28">
        <f>H347*I347</f>
        <v/>
      </c>
      <c r="K347" s="8">
        <f>IFERROR(INDEX('02x_Accelerator_Catalog'!$D$2:$D$11,MATCH(F347,'02x_Accelerator_Catalog'!$B$2:$B$11,0)),"")</f>
        <v/>
      </c>
      <c r="L347" s="7">
        <f>IF(K347&gt;0,J347*1000/K347,"")</f>
        <v/>
      </c>
      <c r="M347" s="5" t="inlineStr">
        <is>
          <t>epoch_csp_chip_quantity_latest</t>
        </is>
      </c>
      <c r="N347" s="5" t="inlineStr">
        <is>
          <t>Extensible long-format output: add a new accelerator row in 02b and map it in 02x_Accelerator_Catalog to extend this table.</t>
        </is>
      </c>
    </row>
    <row r="348">
      <c r="A348" s="5">
        <f>B348&amp;"|"&amp;C348&amp;"|"&amp;D348&amp;"|"&amp;E348&amp;"|"&amp;F348</f>
        <v/>
      </c>
      <c r="B348" s="5" t="inlineStr">
        <is>
          <t>Grid-Constrained / Efficiency-Upside</t>
        </is>
      </c>
      <c r="C348" s="5" t="inlineStr">
        <is>
          <t>OpenAI</t>
        </is>
      </c>
      <c r="D348" s="5" t="n">
        <v>2030</v>
      </c>
      <c r="E348" s="5" t="inlineStr">
        <is>
          <t>CoreWeave</t>
        </is>
      </c>
      <c r="F348" s="5" t="inlineStr">
        <is>
          <t>B200/B300 class</t>
        </is>
      </c>
      <c r="G348" s="5">
        <f>IFERROR(INDEX('02x_Accelerator_Catalog'!$C$2:$C$11,MATCH(F348,'02x_Accelerator_Catalog'!$B$2:$B$11,0)),"purpose_or_unbenchmarked")</f>
        <v/>
      </c>
      <c r="H348" s="28">
        <f>SUMIFS('02c_AI_CSP_Normalized'!$N$2:$N$305,'02c_AI_CSP_Normalized'!$B$2:$B$305,B348,'02c_AI_CSP_Normalized'!$C$2:$C$305,C348,'02c_AI_CSP_Normalized'!$D$2:$D$305,D348,'02c_AI_CSP_Normalized'!$E$2:$E$305,E348)</f>
        <v/>
      </c>
      <c r="I348" s="6">
        <f>SUMIFS('02b_CSP_Accelerator_Mix'!$H$2:$H$573,'02b_CSP_Accelerator_Mix'!$B$2:$B$573,B348,'02b_CSP_Accelerator_Mix'!$C$2:$C$573,E348,'02b_CSP_Accelerator_Mix'!$D$2:$D$573,D348,'02b_CSP_Accelerator_Mix'!$E$2:$E$573,F348)</f>
        <v/>
      </c>
      <c r="J348" s="28">
        <f>H348*I348</f>
        <v/>
      </c>
      <c r="K348" s="8">
        <f>IFERROR(INDEX('02x_Accelerator_Catalog'!$D$2:$D$11,MATCH(F348,'02x_Accelerator_Catalog'!$B$2:$B$11,0)),"")</f>
        <v/>
      </c>
      <c r="L348" s="7">
        <f>IF(K348&gt;0,J348*1000/K348,"")</f>
        <v/>
      </c>
      <c r="M348" s="5" t="inlineStr">
        <is>
          <t>epoch_csp_chip_quantity_latest</t>
        </is>
      </c>
      <c r="N348" s="5" t="inlineStr">
        <is>
          <t>Extensible long-format output: add a new accelerator row in 02b and map it in 02x_Accelerator_Catalog to extend this table.</t>
        </is>
      </c>
    </row>
    <row r="349">
      <c r="A349" s="5">
        <f>B349&amp;"|"&amp;C349&amp;"|"&amp;D349&amp;"|"&amp;E349&amp;"|"&amp;F349</f>
        <v/>
      </c>
      <c r="B349" s="5" t="inlineStr">
        <is>
          <t>Grid-Constrained / Efficiency-Upside</t>
        </is>
      </c>
      <c r="C349" s="5" t="inlineStr">
        <is>
          <t>OpenAI</t>
        </is>
      </c>
      <c r="D349" s="5" t="n">
        <v>2030</v>
      </c>
      <c r="E349" s="5" t="inlineStr">
        <is>
          <t>CoreWeave</t>
        </is>
      </c>
      <c r="F349" s="5" t="inlineStr">
        <is>
          <t>H100/H200/A100 class</t>
        </is>
      </c>
      <c r="G349" s="5">
        <f>IFERROR(INDEX('02x_Accelerator_Catalog'!$C$2:$C$11,MATCH(F349,'02x_Accelerator_Catalog'!$B$2:$B$11,0)),"purpose_or_unbenchmarked")</f>
        <v/>
      </c>
      <c r="H349" s="28">
        <f>SUMIFS('02c_AI_CSP_Normalized'!$N$2:$N$305,'02c_AI_CSP_Normalized'!$B$2:$B$305,B349,'02c_AI_CSP_Normalized'!$C$2:$C$305,C349,'02c_AI_CSP_Normalized'!$D$2:$D$305,D349,'02c_AI_CSP_Normalized'!$E$2:$E$305,E349)</f>
        <v/>
      </c>
      <c r="I349" s="6">
        <f>SUMIFS('02b_CSP_Accelerator_Mix'!$H$2:$H$573,'02b_CSP_Accelerator_Mix'!$B$2:$B$573,B349,'02b_CSP_Accelerator_Mix'!$C$2:$C$573,E349,'02b_CSP_Accelerator_Mix'!$D$2:$D$573,D349,'02b_CSP_Accelerator_Mix'!$E$2:$E$573,F349)</f>
        <v/>
      </c>
      <c r="J349" s="28">
        <f>H349*I349</f>
        <v/>
      </c>
      <c r="K349" s="8">
        <f>IFERROR(INDEX('02x_Accelerator_Catalog'!$D$2:$D$11,MATCH(F349,'02x_Accelerator_Catalog'!$B$2:$B$11,0)),"")</f>
        <v/>
      </c>
      <c r="L349" s="7">
        <f>IF(K349&gt;0,J349*1000/K349,"")</f>
        <v/>
      </c>
      <c r="M349" s="5" t="inlineStr">
        <is>
          <t>epoch_csp_chip_quantity_latest</t>
        </is>
      </c>
      <c r="N349" s="5" t="inlineStr">
        <is>
          <t>Extensible long-format output: add a new accelerator row in 02b and map it in 02x_Accelerator_Catalog to extend this table.</t>
        </is>
      </c>
    </row>
    <row r="350">
      <c r="A350" s="5">
        <f>B350&amp;"|"&amp;C350&amp;"|"&amp;D350&amp;"|"&amp;E350&amp;"|"&amp;F350</f>
        <v/>
      </c>
      <c r="B350" s="5" t="inlineStr">
        <is>
          <t>Bear</t>
        </is>
      </c>
      <c r="C350" s="5" t="inlineStr">
        <is>
          <t>OpenAI</t>
        </is>
      </c>
      <c r="D350" s="5" t="n">
        <v>2028</v>
      </c>
      <c r="E350" s="5" t="inlineStr">
        <is>
          <t>G42</t>
        </is>
      </c>
      <c r="F350" s="5" t="inlineStr">
        <is>
          <t>B200/B300 class</t>
        </is>
      </c>
      <c r="G350" s="5">
        <f>IFERROR(INDEX('02x_Accelerator_Catalog'!$C$2:$C$11,MATCH(F350,'02x_Accelerator_Catalog'!$B$2:$B$11,0)),"purpose_or_unbenchmarked")</f>
        <v/>
      </c>
      <c r="H350" s="28">
        <f>SUMIFS('02c_AI_CSP_Normalized'!$N$2:$N$305,'02c_AI_CSP_Normalized'!$B$2:$B$305,B350,'02c_AI_CSP_Normalized'!$C$2:$C$305,C350,'02c_AI_CSP_Normalized'!$D$2:$D$305,D350,'02c_AI_CSP_Normalized'!$E$2:$E$305,E350)</f>
        <v/>
      </c>
      <c r="I350" s="6">
        <f>SUMIFS('02b_CSP_Accelerator_Mix'!$H$2:$H$573,'02b_CSP_Accelerator_Mix'!$B$2:$B$573,B350,'02b_CSP_Accelerator_Mix'!$C$2:$C$573,E350,'02b_CSP_Accelerator_Mix'!$D$2:$D$573,D350,'02b_CSP_Accelerator_Mix'!$E$2:$E$573,F350)</f>
        <v/>
      </c>
      <c r="J350" s="28">
        <f>H350*I350</f>
        <v/>
      </c>
      <c r="K350" s="8">
        <f>IFERROR(INDEX('02x_Accelerator_Catalog'!$D$2:$D$11,MATCH(F350,'02x_Accelerator_Catalog'!$B$2:$B$11,0)),"")</f>
        <v/>
      </c>
      <c r="L350" s="7">
        <f>IF(K350&gt;0,J350*1000/K350,"")</f>
        <v/>
      </c>
      <c r="M350" s="5" t="inlineStr">
        <is>
          <t>epoch_csp_chip_quantity_latest</t>
        </is>
      </c>
      <c r="N350" s="5" t="inlineStr">
        <is>
          <t>Extensible long-format output: add a new accelerator row in 02b and map it in 02x_Accelerator_Catalog to extend this table.</t>
        </is>
      </c>
    </row>
    <row r="351">
      <c r="A351" s="5">
        <f>B351&amp;"|"&amp;C351&amp;"|"&amp;D351&amp;"|"&amp;E351&amp;"|"&amp;F351</f>
        <v/>
      </c>
      <c r="B351" s="5" t="inlineStr">
        <is>
          <t>Base</t>
        </is>
      </c>
      <c r="C351" s="5" t="inlineStr">
        <is>
          <t>OpenAI</t>
        </is>
      </c>
      <c r="D351" s="5" t="n">
        <v>2028</v>
      </c>
      <c r="E351" s="5" t="inlineStr">
        <is>
          <t>G42</t>
        </is>
      </c>
      <c r="F351" s="5" t="inlineStr">
        <is>
          <t>B200/B300 class</t>
        </is>
      </c>
      <c r="G351" s="5">
        <f>IFERROR(INDEX('02x_Accelerator_Catalog'!$C$2:$C$11,MATCH(F351,'02x_Accelerator_Catalog'!$B$2:$B$11,0)),"purpose_or_unbenchmarked")</f>
        <v/>
      </c>
      <c r="H351" s="28">
        <f>SUMIFS('02c_AI_CSP_Normalized'!$N$2:$N$305,'02c_AI_CSP_Normalized'!$B$2:$B$305,B351,'02c_AI_CSP_Normalized'!$C$2:$C$305,C351,'02c_AI_CSP_Normalized'!$D$2:$D$305,D351,'02c_AI_CSP_Normalized'!$E$2:$E$305,E351)</f>
        <v/>
      </c>
      <c r="I351" s="6">
        <f>SUMIFS('02b_CSP_Accelerator_Mix'!$H$2:$H$573,'02b_CSP_Accelerator_Mix'!$B$2:$B$573,B351,'02b_CSP_Accelerator_Mix'!$C$2:$C$573,E351,'02b_CSP_Accelerator_Mix'!$D$2:$D$573,D351,'02b_CSP_Accelerator_Mix'!$E$2:$E$573,F351)</f>
        <v/>
      </c>
      <c r="J351" s="28">
        <f>H351*I351</f>
        <v/>
      </c>
      <c r="K351" s="8">
        <f>IFERROR(INDEX('02x_Accelerator_Catalog'!$D$2:$D$11,MATCH(F351,'02x_Accelerator_Catalog'!$B$2:$B$11,0)),"")</f>
        <v/>
      </c>
      <c r="L351" s="7">
        <f>IF(K351&gt;0,J351*1000/K351,"")</f>
        <v/>
      </c>
      <c r="M351" s="5" t="inlineStr">
        <is>
          <t>epoch_csp_chip_quantity_latest</t>
        </is>
      </c>
      <c r="N351" s="5" t="inlineStr">
        <is>
          <t>Extensible long-format output: add a new accelerator row in 02b and map it in 02x_Accelerator_Catalog to extend this table.</t>
        </is>
      </c>
    </row>
    <row r="352">
      <c r="A352" s="5">
        <f>B352&amp;"|"&amp;C352&amp;"|"&amp;D352&amp;"|"&amp;E352&amp;"|"&amp;F352</f>
        <v/>
      </c>
      <c r="B352" s="5" t="inlineStr">
        <is>
          <t>Bull</t>
        </is>
      </c>
      <c r="C352" s="5" t="inlineStr">
        <is>
          <t>OpenAI</t>
        </is>
      </c>
      <c r="D352" s="5" t="n">
        <v>2028</v>
      </c>
      <c r="E352" s="5" t="inlineStr">
        <is>
          <t>G42</t>
        </is>
      </c>
      <c r="F352" s="5" t="inlineStr">
        <is>
          <t>B200/B300 class</t>
        </is>
      </c>
      <c r="G352" s="5">
        <f>IFERROR(INDEX('02x_Accelerator_Catalog'!$C$2:$C$11,MATCH(F352,'02x_Accelerator_Catalog'!$B$2:$B$11,0)),"purpose_or_unbenchmarked")</f>
        <v/>
      </c>
      <c r="H352" s="28">
        <f>SUMIFS('02c_AI_CSP_Normalized'!$N$2:$N$305,'02c_AI_CSP_Normalized'!$B$2:$B$305,B352,'02c_AI_CSP_Normalized'!$C$2:$C$305,C352,'02c_AI_CSP_Normalized'!$D$2:$D$305,D352,'02c_AI_CSP_Normalized'!$E$2:$E$305,E352)</f>
        <v/>
      </c>
      <c r="I352" s="6">
        <f>SUMIFS('02b_CSP_Accelerator_Mix'!$H$2:$H$573,'02b_CSP_Accelerator_Mix'!$B$2:$B$573,B352,'02b_CSP_Accelerator_Mix'!$C$2:$C$573,E352,'02b_CSP_Accelerator_Mix'!$D$2:$D$573,D352,'02b_CSP_Accelerator_Mix'!$E$2:$E$573,F352)</f>
        <v/>
      </c>
      <c r="J352" s="28">
        <f>H352*I352</f>
        <v/>
      </c>
      <c r="K352" s="8">
        <f>IFERROR(INDEX('02x_Accelerator_Catalog'!$D$2:$D$11,MATCH(F352,'02x_Accelerator_Catalog'!$B$2:$B$11,0)),"")</f>
        <v/>
      </c>
      <c r="L352" s="7">
        <f>IF(K352&gt;0,J352*1000/K352,"")</f>
        <v/>
      </c>
      <c r="M352" s="5" t="inlineStr">
        <is>
          <t>epoch_csp_chip_quantity_latest</t>
        </is>
      </c>
      <c r="N352" s="5" t="inlineStr">
        <is>
          <t>Extensible long-format output: add a new accelerator row in 02b and map it in 02x_Accelerator_Catalog to extend this table.</t>
        </is>
      </c>
    </row>
    <row r="353">
      <c r="A353" s="5">
        <f>B353&amp;"|"&amp;C353&amp;"|"&amp;D353&amp;"|"&amp;E353&amp;"|"&amp;F353</f>
        <v/>
      </c>
      <c r="B353" s="5" t="inlineStr">
        <is>
          <t>Grid-Constrained / Efficiency-Upside</t>
        </is>
      </c>
      <c r="C353" s="5" t="inlineStr">
        <is>
          <t>OpenAI</t>
        </is>
      </c>
      <c r="D353" s="5" t="n">
        <v>2028</v>
      </c>
      <c r="E353" s="5" t="inlineStr">
        <is>
          <t>G42</t>
        </is>
      </c>
      <c r="F353" s="5" t="inlineStr">
        <is>
          <t>B200/B300 class</t>
        </is>
      </c>
      <c r="G353" s="5">
        <f>IFERROR(INDEX('02x_Accelerator_Catalog'!$C$2:$C$11,MATCH(F353,'02x_Accelerator_Catalog'!$B$2:$B$11,0)),"purpose_or_unbenchmarked")</f>
        <v/>
      </c>
      <c r="H353" s="28">
        <f>SUMIFS('02c_AI_CSP_Normalized'!$N$2:$N$305,'02c_AI_CSP_Normalized'!$B$2:$B$305,B353,'02c_AI_CSP_Normalized'!$C$2:$C$305,C353,'02c_AI_CSP_Normalized'!$D$2:$D$305,D353,'02c_AI_CSP_Normalized'!$E$2:$E$305,E353)</f>
        <v/>
      </c>
      <c r="I353" s="6">
        <f>SUMIFS('02b_CSP_Accelerator_Mix'!$H$2:$H$573,'02b_CSP_Accelerator_Mix'!$B$2:$B$573,B353,'02b_CSP_Accelerator_Mix'!$C$2:$C$573,E353,'02b_CSP_Accelerator_Mix'!$D$2:$D$573,D353,'02b_CSP_Accelerator_Mix'!$E$2:$E$573,F353)</f>
        <v/>
      </c>
      <c r="J353" s="28">
        <f>H353*I353</f>
        <v/>
      </c>
      <c r="K353" s="8">
        <f>IFERROR(INDEX('02x_Accelerator_Catalog'!$D$2:$D$11,MATCH(F353,'02x_Accelerator_Catalog'!$B$2:$B$11,0)),"")</f>
        <v/>
      </c>
      <c r="L353" s="7">
        <f>IF(K353&gt;0,J353*1000/K353,"")</f>
        <v/>
      </c>
      <c r="M353" s="5" t="inlineStr">
        <is>
          <t>epoch_csp_chip_quantity_latest</t>
        </is>
      </c>
      <c r="N353" s="5" t="inlineStr">
        <is>
          <t>Extensible long-format output: add a new accelerator row in 02b and map it in 02x_Accelerator_Catalog to extend this table.</t>
        </is>
      </c>
    </row>
    <row r="354">
      <c r="A354" s="5">
        <f>B354&amp;"|"&amp;C354&amp;"|"&amp;D354&amp;"|"&amp;E354&amp;"|"&amp;F354</f>
        <v/>
      </c>
      <c r="B354" s="5" t="inlineStr">
        <is>
          <t>Bear</t>
        </is>
      </c>
      <c r="C354" s="5" t="inlineStr">
        <is>
          <t>OpenAI</t>
        </is>
      </c>
      <c r="D354" s="5" t="n">
        <v>2029</v>
      </c>
      <c r="E354" s="5" t="inlineStr">
        <is>
          <t>G42</t>
        </is>
      </c>
      <c r="F354" s="5" t="inlineStr">
        <is>
          <t>B200/B300 class</t>
        </is>
      </c>
      <c r="G354" s="5">
        <f>IFERROR(INDEX('02x_Accelerator_Catalog'!$C$2:$C$11,MATCH(F354,'02x_Accelerator_Catalog'!$B$2:$B$11,0)),"purpose_or_unbenchmarked")</f>
        <v/>
      </c>
      <c r="H354" s="28">
        <f>SUMIFS('02c_AI_CSP_Normalized'!$N$2:$N$305,'02c_AI_CSP_Normalized'!$B$2:$B$305,B354,'02c_AI_CSP_Normalized'!$C$2:$C$305,C354,'02c_AI_CSP_Normalized'!$D$2:$D$305,D354,'02c_AI_CSP_Normalized'!$E$2:$E$305,E354)</f>
        <v/>
      </c>
      <c r="I354" s="6">
        <f>SUMIFS('02b_CSP_Accelerator_Mix'!$H$2:$H$573,'02b_CSP_Accelerator_Mix'!$B$2:$B$573,B354,'02b_CSP_Accelerator_Mix'!$C$2:$C$573,E354,'02b_CSP_Accelerator_Mix'!$D$2:$D$573,D354,'02b_CSP_Accelerator_Mix'!$E$2:$E$573,F354)</f>
        <v/>
      </c>
      <c r="J354" s="28">
        <f>H354*I354</f>
        <v/>
      </c>
      <c r="K354" s="8">
        <f>IFERROR(INDEX('02x_Accelerator_Catalog'!$D$2:$D$11,MATCH(F354,'02x_Accelerator_Catalog'!$B$2:$B$11,0)),"")</f>
        <v/>
      </c>
      <c r="L354" s="7">
        <f>IF(K354&gt;0,J354*1000/K354,"")</f>
        <v/>
      </c>
      <c r="M354" s="5" t="inlineStr">
        <is>
          <t>epoch_csp_chip_quantity_latest</t>
        </is>
      </c>
      <c r="N354" s="5" t="inlineStr">
        <is>
          <t>Extensible long-format output: add a new accelerator row in 02b and map it in 02x_Accelerator_Catalog to extend this table.</t>
        </is>
      </c>
    </row>
    <row r="355">
      <c r="A355" s="5">
        <f>B355&amp;"|"&amp;C355&amp;"|"&amp;D355&amp;"|"&amp;E355&amp;"|"&amp;F355</f>
        <v/>
      </c>
      <c r="B355" s="5" t="inlineStr">
        <is>
          <t>Base</t>
        </is>
      </c>
      <c r="C355" s="5" t="inlineStr">
        <is>
          <t>OpenAI</t>
        </is>
      </c>
      <c r="D355" s="5" t="n">
        <v>2029</v>
      </c>
      <c r="E355" s="5" t="inlineStr">
        <is>
          <t>G42</t>
        </is>
      </c>
      <c r="F355" s="5" t="inlineStr">
        <is>
          <t>B200/B300 class</t>
        </is>
      </c>
      <c r="G355" s="5">
        <f>IFERROR(INDEX('02x_Accelerator_Catalog'!$C$2:$C$11,MATCH(F355,'02x_Accelerator_Catalog'!$B$2:$B$11,0)),"purpose_or_unbenchmarked")</f>
        <v/>
      </c>
      <c r="H355" s="28">
        <f>SUMIFS('02c_AI_CSP_Normalized'!$N$2:$N$305,'02c_AI_CSP_Normalized'!$B$2:$B$305,B355,'02c_AI_CSP_Normalized'!$C$2:$C$305,C355,'02c_AI_CSP_Normalized'!$D$2:$D$305,D355,'02c_AI_CSP_Normalized'!$E$2:$E$305,E355)</f>
        <v/>
      </c>
      <c r="I355" s="6">
        <f>SUMIFS('02b_CSP_Accelerator_Mix'!$H$2:$H$573,'02b_CSP_Accelerator_Mix'!$B$2:$B$573,B355,'02b_CSP_Accelerator_Mix'!$C$2:$C$573,E355,'02b_CSP_Accelerator_Mix'!$D$2:$D$573,D355,'02b_CSP_Accelerator_Mix'!$E$2:$E$573,F355)</f>
        <v/>
      </c>
      <c r="J355" s="28">
        <f>H355*I355</f>
        <v/>
      </c>
      <c r="K355" s="8">
        <f>IFERROR(INDEX('02x_Accelerator_Catalog'!$D$2:$D$11,MATCH(F355,'02x_Accelerator_Catalog'!$B$2:$B$11,0)),"")</f>
        <v/>
      </c>
      <c r="L355" s="7">
        <f>IF(K355&gt;0,J355*1000/K355,"")</f>
        <v/>
      </c>
      <c r="M355" s="5" t="inlineStr">
        <is>
          <t>epoch_csp_chip_quantity_latest</t>
        </is>
      </c>
      <c r="N355" s="5" t="inlineStr">
        <is>
          <t>Extensible long-format output: add a new accelerator row in 02b and map it in 02x_Accelerator_Catalog to extend this table.</t>
        </is>
      </c>
    </row>
    <row r="356">
      <c r="A356" s="5">
        <f>B356&amp;"|"&amp;C356&amp;"|"&amp;D356&amp;"|"&amp;E356&amp;"|"&amp;F356</f>
        <v/>
      </c>
      <c r="B356" s="5" t="inlineStr">
        <is>
          <t>Bull</t>
        </is>
      </c>
      <c r="C356" s="5" t="inlineStr">
        <is>
          <t>OpenAI</t>
        </is>
      </c>
      <c r="D356" s="5" t="n">
        <v>2029</v>
      </c>
      <c r="E356" s="5" t="inlineStr">
        <is>
          <t>G42</t>
        </is>
      </c>
      <c r="F356" s="5" t="inlineStr">
        <is>
          <t>B200/B300 class</t>
        </is>
      </c>
      <c r="G356" s="5">
        <f>IFERROR(INDEX('02x_Accelerator_Catalog'!$C$2:$C$11,MATCH(F356,'02x_Accelerator_Catalog'!$B$2:$B$11,0)),"purpose_or_unbenchmarked")</f>
        <v/>
      </c>
      <c r="H356" s="28">
        <f>SUMIFS('02c_AI_CSP_Normalized'!$N$2:$N$305,'02c_AI_CSP_Normalized'!$B$2:$B$305,B356,'02c_AI_CSP_Normalized'!$C$2:$C$305,C356,'02c_AI_CSP_Normalized'!$D$2:$D$305,D356,'02c_AI_CSP_Normalized'!$E$2:$E$305,E356)</f>
        <v/>
      </c>
      <c r="I356" s="6">
        <f>SUMIFS('02b_CSP_Accelerator_Mix'!$H$2:$H$573,'02b_CSP_Accelerator_Mix'!$B$2:$B$573,B356,'02b_CSP_Accelerator_Mix'!$C$2:$C$573,E356,'02b_CSP_Accelerator_Mix'!$D$2:$D$573,D356,'02b_CSP_Accelerator_Mix'!$E$2:$E$573,F356)</f>
        <v/>
      </c>
      <c r="J356" s="28">
        <f>H356*I356</f>
        <v/>
      </c>
      <c r="K356" s="8">
        <f>IFERROR(INDEX('02x_Accelerator_Catalog'!$D$2:$D$11,MATCH(F356,'02x_Accelerator_Catalog'!$B$2:$B$11,0)),"")</f>
        <v/>
      </c>
      <c r="L356" s="7">
        <f>IF(K356&gt;0,J356*1000/K356,"")</f>
        <v/>
      </c>
      <c r="M356" s="5" t="inlineStr">
        <is>
          <t>epoch_csp_chip_quantity_latest</t>
        </is>
      </c>
      <c r="N356" s="5" t="inlineStr">
        <is>
          <t>Extensible long-format output: add a new accelerator row in 02b and map it in 02x_Accelerator_Catalog to extend this table.</t>
        </is>
      </c>
    </row>
    <row r="357">
      <c r="A357" s="5">
        <f>B357&amp;"|"&amp;C357&amp;"|"&amp;D357&amp;"|"&amp;E357&amp;"|"&amp;F357</f>
        <v/>
      </c>
      <c r="B357" s="5" t="inlineStr">
        <is>
          <t>Grid-Constrained / Efficiency-Upside</t>
        </is>
      </c>
      <c r="C357" s="5" t="inlineStr">
        <is>
          <t>OpenAI</t>
        </is>
      </c>
      <c r="D357" s="5" t="n">
        <v>2029</v>
      </c>
      <c r="E357" s="5" t="inlineStr">
        <is>
          <t>G42</t>
        </is>
      </c>
      <c r="F357" s="5" t="inlineStr">
        <is>
          <t>B200/B300 class</t>
        </is>
      </c>
      <c r="G357" s="5">
        <f>IFERROR(INDEX('02x_Accelerator_Catalog'!$C$2:$C$11,MATCH(F357,'02x_Accelerator_Catalog'!$B$2:$B$11,0)),"purpose_or_unbenchmarked")</f>
        <v/>
      </c>
      <c r="H357" s="28">
        <f>SUMIFS('02c_AI_CSP_Normalized'!$N$2:$N$305,'02c_AI_CSP_Normalized'!$B$2:$B$305,B357,'02c_AI_CSP_Normalized'!$C$2:$C$305,C357,'02c_AI_CSP_Normalized'!$D$2:$D$305,D357,'02c_AI_CSP_Normalized'!$E$2:$E$305,E357)</f>
        <v/>
      </c>
      <c r="I357" s="6">
        <f>SUMIFS('02b_CSP_Accelerator_Mix'!$H$2:$H$573,'02b_CSP_Accelerator_Mix'!$B$2:$B$573,B357,'02b_CSP_Accelerator_Mix'!$C$2:$C$573,E357,'02b_CSP_Accelerator_Mix'!$D$2:$D$573,D357,'02b_CSP_Accelerator_Mix'!$E$2:$E$573,F357)</f>
        <v/>
      </c>
      <c r="J357" s="28">
        <f>H357*I357</f>
        <v/>
      </c>
      <c r="K357" s="8">
        <f>IFERROR(INDEX('02x_Accelerator_Catalog'!$D$2:$D$11,MATCH(F357,'02x_Accelerator_Catalog'!$B$2:$B$11,0)),"")</f>
        <v/>
      </c>
      <c r="L357" s="7">
        <f>IF(K357&gt;0,J357*1000/K357,"")</f>
        <v/>
      </c>
      <c r="M357" s="5" t="inlineStr">
        <is>
          <t>epoch_csp_chip_quantity_latest</t>
        </is>
      </c>
      <c r="N357" s="5" t="inlineStr">
        <is>
          <t>Extensible long-format output: add a new accelerator row in 02b and map it in 02x_Accelerator_Catalog to extend this table.</t>
        </is>
      </c>
    </row>
    <row r="358">
      <c r="A358" s="5">
        <f>B358&amp;"|"&amp;C358&amp;"|"&amp;D358&amp;"|"&amp;E358&amp;"|"&amp;F358</f>
        <v/>
      </c>
      <c r="B358" s="5" t="inlineStr">
        <is>
          <t>Bear</t>
        </is>
      </c>
      <c r="C358" s="5" t="inlineStr">
        <is>
          <t>OpenAI</t>
        </is>
      </c>
      <c r="D358" s="5" t="n">
        <v>2030</v>
      </c>
      <c r="E358" s="5" t="inlineStr">
        <is>
          <t>G42</t>
        </is>
      </c>
      <c r="F358" s="5" t="inlineStr">
        <is>
          <t>B200/B300 class</t>
        </is>
      </c>
      <c r="G358" s="5">
        <f>IFERROR(INDEX('02x_Accelerator_Catalog'!$C$2:$C$11,MATCH(F358,'02x_Accelerator_Catalog'!$B$2:$B$11,0)),"purpose_or_unbenchmarked")</f>
        <v/>
      </c>
      <c r="H358" s="28">
        <f>SUMIFS('02c_AI_CSP_Normalized'!$N$2:$N$305,'02c_AI_CSP_Normalized'!$B$2:$B$305,B358,'02c_AI_CSP_Normalized'!$C$2:$C$305,C358,'02c_AI_CSP_Normalized'!$D$2:$D$305,D358,'02c_AI_CSP_Normalized'!$E$2:$E$305,E358)</f>
        <v/>
      </c>
      <c r="I358" s="6">
        <f>SUMIFS('02b_CSP_Accelerator_Mix'!$H$2:$H$573,'02b_CSP_Accelerator_Mix'!$B$2:$B$573,B358,'02b_CSP_Accelerator_Mix'!$C$2:$C$573,E358,'02b_CSP_Accelerator_Mix'!$D$2:$D$573,D358,'02b_CSP_Accelerator_Mix'!$E$2:$E$573,F358)</f>
        <v/>
      </c>
      <c r="J358" s="28">
        <f>H358*I358</f>
        <v/>
      </c>
      <c r="K358" s="8">
        <f>IFERROR(INDEX('02x_Accelerator_Catalog'!$D$2:$D$11,MATCH(F358,'02x_Accelerator_Catalog'!$B$2:$B$11,0)),"")</f>
        <v/>
      </c>
      <c r="L358" s="7">
        <f>IF(K358&gt;0,J358*1000/K358,"")</f>
        <v/>
      </c>
      <c r="M358" s="5" t="inlineStr">
        <is>
          <t>epoch_csp_chip_quantity_latest</t>
        </is>
      </c>
      <c r="N358" s="5" t="inlineStr">
        <is>
          <t>Extensible long-format output: add a new accelerator row in 02b and map it in 02x_Accelerator_Catalog to extend this table.</t>
        </is>
      </c>
    </row>
    <row r="359">
      <c r="A359" s="5">
        <f>B359&amp;"|"&amp;C359&amp;"|"&amp;D359&amp;"|"&amp;E359&amp;"|"&amp;F359</f>
        <v/>
      </c>
      <c r="B359" s="5" t="inlineStr">
        <is>
          <t>Base</t>
        </is>
      </c>
      <c r="C359" s="5" t="inlineStr">
        <is>
          <t>OpenAI</t>
        </is>
      </c>
      <c r="D359" s="5" t="n">
        <v>2030</v>
      </c>
      <c r="E359" s="5" t="inlineStr">
        <is>
          <t>G42</t>
        </is>
      </c>
      <c r="F359" s="5" t="inlineStr">
        <is>
          <t>B200/B300 class</t>
        </is>
      </c>
      <c r="G359" s="5">
        <f>IFERROR(INDEX('02x_Accelerator_Catalog'!$C$2:$C$11,MATCH(F359,'02x_Accelerator_Catalog'!$B$2:$B$11,0)),"purpose_or_unbenchmarked")</f>
        <v/>
      </c>
      <c r="H359" s="28">
        <f>SUMIFS('02c_AI_CSP_Normalized'!$N$2:$N$305,'02c_AI_CSP_Normalized'!$B$2:$B$305,B359,'02c_AI_CSP_Normalized'!$C$2:$C$305,C359,'02c_AI_CSP_Normalized'!$D$2:$D$305,D359,'02c_AI_CSP_Normalized'!$E$2:$E$305,E359)</f>
        <v/>
      </c>
      <c r="I359" s="6">
        <f>SUMIFS('02b_CSP_Accelerator_Mix'!$H$2:$H$573,'02b_CSP_Accelerator_Mix'!$B$2:$B$573,B359,'02b_CSP_Accelerator_Mix'!$C$2:$C$573,E359,'02b_CSP_Accelerator_Mix'!$D$2:$D$573,D359,'02b_CSP_Accelerator_Mix'!$E$2:$E$573,F359)</f>
        <v/>
      </c>
      <c r="J359" s="28">
        <f>H359*I359</f>
        <v/>
      </c>
      <c r="K359" s="8">
        <f>IFERROR(INDEX('02x_Accelerator_Catalog'!$D$2:$D$11,MATCH(F359,'02x_Accelerator_Catalog'!$B$2:$B$11,0)),"")</f>
        <v/>
      </c>
      <c r="L359" s="7">
        <f>IF(K359&gt;0,J359*1000/K359,"")</f>
        <v/>
      </c>
      <c r="M359" s="5" t="inlineStr">
        <is>
          <t>epoch_csp_chip_quantity_latest</t>
        </is>
      </c>
      <c r="N359" s="5" t="inlineStr">
        <is>
          <t>Extensible long-format output: add a new accelerator row in 02b and map it in 02x_Accelerator_Catalog to extend this table.</t>
        </is>
      </c>
    </row>
    <row r="360">
      <c r="A360" s="5">
        <f>B360&amp;"|"&amp;C360&amp;"|"&amp;D360&amp;"|"&amp;E360&amp;"|"&amp;F360</f>
        <v/>
      </c>
      <c r="B360" s="5" t="inlineStr">
        <is>
          <t>Bull</t>
        </is>
      </c>
      <c r="C360" s="5" t="inlineStr">
        <is>
          <t>OpenAI</t>
        </is>
      </c>
      <c r="D360" s="5" t="n">
        <v>2030</v>
      </c>
      <c r="E360" s="5" t="inlineStr">
        <is>
          <t>G42</t>
        </is>
      </c>
      <c r="F360" s="5" t="inlineStr">
        <is>
          <t>B200/B300 class</t>
        </is>
      </c>
      <c r="G360" s="5">
        <f>IFERROR(INDEX('02x_Accelerator_Catalog'!$C$2:$C$11,MATCH(F360,'02x_Accelerator_Catalog'!$B$2:$B$11,0)),"purpose_or_unbenchmarked")</f>
        <v/>
      </c>
      <c r="H360" s="28">
        <f>SUMIFS('02c_AI_CSP_Normalized'!$N$2:$N$305,'02c_AI_CSP_Normalized'!$B$2:$B$305,B360,'02c_AI_CSP_Normalized'!$C$2:$C$305,C360,'02c_AI_CSP_Normalized'!$D$2:$D$305,D360,'02c_AI_CSP_Normalized'!$E$2:$E$305,E360)</f>
        <v/>
      </c>
      <c r="I360" s="6">
        <f>SUMIFS('02b_CSP_Accelerator_Mix'!$H$2:$H$573,'02b_CSP_Accelerator_Mix'!$B$2:$B$573,B360,'02b_CSP_Accelerator_Mix'!$C$2:$C$573,E360,'02b_CSP_Accelerator_Mix'!$D$2:$D$573,D360,'02b_CSP_Accelerator_Mix'!$E$2:$E$573,F360)</f>
        <v/>
      </c>
      <c r="J360" s="28">
        <f>H360*I360</f>
        <v/>
      </c>
      <c r="K360" s="8">
        <f>IFERROR(INDEX('02x_Accelerator_Catalog'!$D$2:$D$11,MATCH(F360,'02x_Accelerator_Catalog'!$B$2:$B$11,0)),"")</f>
        <v/>
      </c>
      <c r="L360" s="7">
        <f>IF(K360&gt;0,J360*1000/K360,"")</f>
        <v/>
      </c>
      <c r="M360" s="5" t="inlineStr">
        <is>
          <t>epoch_csp_chip_quantity_latest</t>
        </is>
      </c>
      <c r="N360" s="5" t="inlineStr">
        <is>
          <t>Extensible long-format output: add a new accelerator row in 02b and map it in 02x_Accelerator_Catalog to extend this table.</t>
        </is>
      </c>
    </row>
    <row r="361">
      <c r="A361" s="5">
        <f>B361&amp;"|"&amp;C361&amp;"|"&amp;D361&amp;"|"&amp;E361&amp;"|"&amp;F361</f>
        <v/>
      </c>
      <c r="B361" s="5" t="inlineStr">
        <is>
          <t>Grid-Constrained / Efficiency-Upside</t>
        </is>
      </c>
      <c r="C361" s="5" t="inlineStr">
        <is>
          <t>OpenAI</t>
        </is>
      </c>
      <c r="D361" s="5" t="n">
        <v>2030</v>
      </c>
      <c r="E361" s="5" t="inlineStr">
        <is>
          <t>G42</t>
        </is>
      </c>
      <c r="F361" s="5" t="inlineStr">
        <is>
          <t>B200/B300 class</t>
        </is>
      </c>
      <c r="G361" s="5">
        <f>IFERROR(INDEX('02x_Accelerator_Catalog'!$C$2:$C$11,MATCH(F361,'02x_Accelerator_Catalog'!$B$2:$B$11,0)),"purpose_or_unbenchmarked")</f>
        <v/>
      </c>
      <c r="H361" s="28">
        <f>SUMIFS('02c_AI_CSP_Normalized'!$N$2:$N$305,'02c_AI_CSP_Normalized'!$B$2:$B$305,B361,'02c_AI_CSP_Normalized'!$C$2:$C$305,C361,'02c_AI_CSP_Normalized'!$D$2:$D$305,D361,'02c_AI_CSP_Normalized'!$E$2:$E$305,E361)</f>
        <v/>
      </c>
      <c r="I361" s="6">
        <f>SUMIFS('02b_CSP_Accelerator_Mix'!$H$2:$H$573,'02b_CSP_Accelerator_Mix'!$B$2:$B$573,B361,'02b_CSP_Accelerator_Mix'!$C$2:$C$573,E361,'02b_CSP_Accelerator_Mix'!$D$2:$D$573,D361,'02b_CSP_Accelerator_Mix'!$E$2:$E$573,F361)</f>
        <v/>
      </c>
      <c r="J361" s="28">
        <f>H361*I361</f>
        <v/>
      </c>
      <c r="K361" s="8">
        <f>IFERROR(INDEX('02x_Accelerator_Catalog'!$D$2:$D$11,MATCH(F361,'02x_Accelerator_Catalog'!$B$2:$B$11,0)),"")</f>
        <v/>
      </c>
      <c r="L361" s="7">
        <f>IF(K361&gt;0,J361*1000/K361,"")</f>
        <v/>
      </c>
      <c r="M361" s="5" t="inlineStr">
        <is>
          <t>epoch_csp_chip_quantity_latest</t>
        </is>
      </c>
      <c r="N361" s="5" t="inlineStr">
        <is>
          <t>Extensible long-format output: add a new accelerator row in 02b and map it in 02x_Accelerator_Catalog to extend this table.</t>
        </is>
      </c>
    </row>
    <row r="362">
      <c r="A362" s="5">
        <f>B362&amp;"|"&amp;C362&amp;"|"&amp;D362&amp;"|"&amp;E362&amp;"|"&amp;F362</f>
        <v/>
      </c>
      <c r="B362" s="5" t="inlineStr">
        <is>
          <t>Bear</t>
        </is>
      </c>
      <c r="C362" s="5" t="inlineStr">
        <is>
          <t>OpenAI</t>
        </is>
      </c>
      <c r="D362" s="5" t="n">
        <v>2026</v>
      </c>
      <c r="E362" s="5" t="inlineStr">
        <is>
          <t>Microsoft</t>
        </is>
      </c>
      <c r="F362" s="5" t="inlineStr">
        <is>
          <t>B200/B300 class</t>
        </is>
      </c>
      <c r="G362" s="5">
        <f>IFERROR(INDEX('02x_Accelerator_Catalog'!$C$2:$C$11,MATCH(F362,'02x_Accelerator_Catalog'!$B$2:$B$11,0)),"purpose_or_unbenchmarked")</f>
        <v/>
      </c>
      <c r="H362" s="28">
        <f>SUMIFS('02c_AI_CSP_Normalized'!$N$2:$N$305,'02c_AI_CSP_Normalized'!$B$2:$B$305,B362,'02c_AI_CSP_Normalized'!$C$2:$C$305,C362,'02c_AI_CSP_Normalized'!$D$2:$D$305,D362,'02c_AI_CSP_Normalized'!$E$2:$E$305,E362)</f>
        <v/>
      </c>
      <c r="I362" s="6">
        <f>SUMIFS('02b_CSP_Accelerator_Mix'!$H$2:$H$573,'02b_CSP_Accelerator_Mix'!$B$2:$B$573,B362,'02b_CSP_Accelerator_Mix'!$C$2:$C$573,E362,'02b_CSP_Accelerator_Mix'!$D$2:$D$573,D362,'02b_CSP_Accelerator_Mix'!$E$2:$E$573,F362)</f>
        <v/>
      </c>
      <c r="J362" s="28">
        <f>H362*I362</f>
        <v/>
      </c>
      <c r="K362" s="8">
        <f>IFERROR(INDEX('02x_Accelerator_Catalog'!$D$2:$D$11,MATCH(F362,'02x_Accelerator_Catalog'!$B$2:$B$11,0)),"")</f>
        <v/>
      </c>
      <c r="L362" s="7">
        <f>IF(K362&gt;0,J362*1000/K362,"")</f>
        <v/>
      </c>
      <c r="M362" s="5" t="inlineStr">
        <is>
          <t>epoch_csp_chip_quantity_latest</t>
        </is>
      </c>
      <c r="N362" s="5" t="inlineStr">
        <is>
          <t>Extensible long-format output: add a new accelerator row in 02b and map it in 02x_Accelerator_Catalog to extend this table.</t>
        </is>
      </c>
    </row>
    <row r="363">
      <c r="A363" s="5">
        <f>B363&amp;"|"&amp;C363&amp;"|"&amp;D363&amp;"|"&amp;E363&amp;"|"&amp;F363</f>
        <v/>
      </c>
      <c r="B363" s="5" t="inlineStr">
        <is>
          <t>Bear</t>
        </is>
      </c>
      <c r="C363" s="5" t="inlineStr">
        <is>
          <t>OpenAI</t>
        </is>
      </c>
      <c r="D363" s="5" t="n">
        <v>2026</v>
      </c>
      <c r="E363" s="5" t="inlineStr">
        <is>
          <t>Microsoft</t>
        </is>
      </c>
      <c r="F363" s="5" t="inlineStr">
        <is>
          <t>H100/H200/A100 class</t>
        </is>
      </c>
      <c r="G363" s="5">
        <f>IFERROR(INDEX('02x_Accelerator_Catalog'!$C$2:$C$11,MATCH(F363,'02x_Accelerator_Catalog'!$B$2:$B$11,0)),"purpose_or_unbenchmarked")</f>
        <v/>
      </c>
      <c r="H363" s="28">
        <f>SUMIFS('02c_AI_CSP_Normalized'!$N$2:$N$305,'02c_AI_CSP_Normalized'!$B$2:$B$305,B363,'02c_AI_CSP_Normalized'!$C$2:$C$305,C363,'02c_AI_CSP_Normalized'!$D$2:$D$305,D363,'02c_AI_CSP_Normalized'!$E$2:$E$305,E363)</f>
        <v/>
      </c>
      <c r="I363" s="6">
        <f>SUMIFS('02b_CSP_Accelerator_Mix'!$H$2:$H$573,'02b_CSP_Accelerator_Mix'!$B$2:$B$573,B363,'02b_CSP_Accelerator_Mix'!$C$2:$C$573,E363,'02b_CSP_Accelerator_Mix'!$D$2:$D$573,D363,'02b_CSP_Accelerator_Mix'!$E$2:$E$573,F363)</f>
        <v/>
      </c>
      <c r="J363" s="28">
        <f>H363*I363</f>
        <v/>
      </c>
      <c r="K363" s="8">
        <f>IFERROR(INDEX('02x_Accelerator_Catalog'!$D$2:$D$11,MATCH(F363,'02x_Accelerator_Catalog'!$B$2:$B$11,0)),"")</f>
        <v/>
      </c>
      <c r="L363" s="7">
        <f>IF(K363&gt;0,J363*1000/K363,"")</f>
        <v/>
      </c>
      <c r="M363" s="5" t="inlineStr">
        <is>
          <t>epoch_csp_chip_quantity_latest</t>
        </is>
      </c>
      <c r="N363" s="5" t="inlineStr">
        <is>
          <t>Extensible long-format output: add a new accelerator row in 02b and map it in 02x_Accelerator_Catalog to extend this table.</t>
        </is>
      </c>
    </row>
    <row r="364">
      <c r="A364" s="5">
        <f>B364&amp;"|"&amp;C364&amp;"|"&amp;D364&amp;"|"&amp;E364&amp;"|"&amp;F364</f>
        <v/>
      </c>
      <c r="B364" s="5" t="inlineStr">
        <is>
          <t>Base</t>
        </is>
      </c>
      <c r="C364" s="5" t="inlineStr">
        <is>
          <t>OpenAI</t>
        </is>
      </c>
      <c r="D364" s="5" t="n">
        <v>2026</v>
      </c>
      <c r="E364" s="5" t="inlineStr">
        <is>
          <t>Microsoft</t>
        </is>
      </c>
      <c r="F364" s="5" t="inlineStr">
        <is>
          <t>B200/B300 class</t>
        </is>
      </c>
      <c r="G364" s="5">
        <f>IFERROR(INDEX('02x_Accelerator_Catalog'!$C$2:$C$11,MATCH(F364,'02x_Accelerator_Catalog'!$B$2:$B$11,0)),"purpose_or_unbenchmarked")</f>
        <v/>
      </c>
      <c r="H364" s="28">
        <f>SUMIFS('02c_AI_CSP_Normalized'!$N$2:$N$305,'02c_AI_CSP_Normalized'!$B$2:$B$305,B364,'02c_AI_CSP_Normalized'!$C$2:$C$305,C364,'02c_AI_CSP_Normalized'!$D$2:$D$305,D364,'02c_AI_CSP_Normalized'!$E$2:$E$305,E364)</f>
        <v/>
      </c>
      <c r="I364" s="6">
        <f>SUMIFS('02b_CSP_Accelerator_Mix'!$H$2:$H$573,'02b_CSP_Accelerator_Mix'!$B$2:$B$573,B364,'02b_CSP_Accelerator_Mix'!$C$2:$C$573,E364,'02b_CSP_Accelerator_Mix'!$D$2:$D$573,D364,'02b_CSP_Accelerator_Mix'!$E$2:$E$573,F364)</f>
        <v/>
      </c>
      <c r="J364" s="28">
        <f>H364*I364</f>
        <v/>
      </c>
      <c r="K364" s="8">
        <f>IFERROR(INDEX('02x_Accelerator_Catalog'!$D$2:$D$11,MATCH(F364,'02x_Accelerator_Catalog'!$B$2:$B$11,0)),"")</f>
        <v/>
      </c>
      <c r="L364" s="7">
        <f>IF(K364&gt;0,J364*1000/K364,"")</f>
        <v/>
      </c>
      <c r="M364" s="5" t="inlineStr">
        <is>
          <t>epoch_csp_chip_quantity_latest</t>
        </is>
      </c>
      <c r="N364" s="5" t="inlineStr">
        <is>
          <t>Extensible long-format output: add a new accelerator row in 02b and map it in 02x_Accelerator_Catalog to extend this table.</t>
        </is>
      </c>
    </row>
    <row r="365">
      <c r="A365" s="5">
        <f>B365&amp;"|"&amp;C365&amp;"|"&amp;D365&amp;"|"&amp;E365&amp;"|"&amp;F365</f>
        <v/>
      </c>
      <c r="B365" s="5" t="inlineStr">
        <is>
          <t>Base</t>
        </is>
      </c>
      <c r="C365" s="5" t="inlineStr">
        <is>
          <t>OpenAI</t>
        </is>
      </c>
      <c r="D365" s="5" t="n">
        <v>2026</v>
      </c>
      <c r="E365" s="5" t="inlineStr">
        <is>
          <t>Microsoft</t>
        </is>
      </c>
      <c r="F365" s="5" t="inlineStr">
        <is>
          <t>H100/H200/A100 class</t>
        </is>
      </c>
      <c r="G365" s="5">
        <f>IFERROR(INDEX('02x_Accelerator_Catalog'!$C$2:$C$11,MATCH(F365,'02x_Accelerator_Catalog'!$B$2:$B$11,0)),"purpose_or_unbenchmarked")</f>
        <v/>
      </c>
      <c r="H365" s="28">
        <f>SUMIFS('02c_AI_CSP_Normalized'!$N$2:$N$305,'02c_AI_CSP_Normalized'!$B$2:$B$305,B365,'02c_AI_CSP_Normalized'!$C$2:$C$305,C365,'02c_AI_CSP_Normalized'!$D$2:$D$305,D365,'02c_AI_CSP_Normalized'!$E$2:$E$305,E365)</f>
        <v/>
      </c>
      <c r="I365" s="6">
        <f>SUMIFS('02b_CSP_Accelerator_Mix'!$H$2:$H$573,'02b_CSP_Accelerator_Mix'!$B$2:$B$573,B365,'02b_CSP_Accelerator_Mix'!$C$2:$C$573,E365,'02b_CSP_Accelerator_Mix'!$D$2:$D$573,D365,'02b_CSP_Accelerator_Mix'!$E$2:$E$573,F365)</f>
        <v/>
      </c>
      <c r="J365" s="28">
        <f>H365*I365</f>
        <v/>
      </c>
      <c r="K365" s="8">
        <f>IFERROR(INDEX('02x_Accelerator_Catalog'!$D$2:$D$11,MATCH(F365,'02x_Accelerator_Catalog'!$B$2:$B$11,0)),"")</f>
        <v/>
      </c>
      <c r="L365" s="7">
        <f>IF(K365&gt;0,J365*1000/K365,"")</f>
        <v/>
      </c>
      <c r="M365" s="5" t="inlineStr">
        <is>
          <t>epoch_csp_chip_quantity_latest</t>
        </is>
      </c>
      <c r="N365" s="5" t="inlineStr">
        <is>
          <t>Extensible long-format output: add a new accelerator row in 02b and map it in 02x_Accelerator_Catalog to extend this table.</t>
        </is>
      </c>
    </row>
    <row r="366">
      <c r="A366" s="5">
        <f>B366&amp;"|"&amp;C366&amp;"|"&amp;D366&amp;"|"&amp;E366&amp;"|"&amp;F366</f>
        <v/>
      </c>
      <c r="B366" s="5" t="inlineStr">
        <is>
          <t>Bull</t>
        </is>
      </c>
      <c r="C366" s="5" t="inlineStr">
        <is>
          <t>OpenAI</t>
        </is>
      </c>
      <c r="D366" s="5" t="n">
        <v>2026</v>
      </c>
      <c r="E366" s="5" t="inlineStr">
        <is>
          <t>Microsoft</t>
        </is>
      </c>
      <c r="F366" s="5" t="inlineStr">
        <is>
          <t>B200/B300 class</t>
        </is>
      </c>
      <c r="G366" s="5">
        <f>IFERROR(INDEX('02x_Accelerator_Catalog'!$C$2:$C$11,MATCH(F366,'02x_Accelerator_Catalog'!$B$2:$B$11,0)),"purpose_or_unbenchmarked")</f>
        <v/>
      </c>
      <c r="H366" s="28">
        <f>SUMIFS('02c_AI_CSP_Normalized'!$N$2:$N$305,'02c_AI_CSP_Normalized'!$B$2:$B$305,B366,'02c_AI_CSP_Normalized'!$C$2:$C$305,C366,'02c_AI_CSP_Normalized'!$D$2:$D$305,D366,'02c_AI_CSP_Normalized'!$E$2:$E$305,E366)</f>
        <v/>
      </c>
      <c r="I366" s="6">
        <f>SUMIFS('02b_CSP_Accelerator_Mix'!$H$2:$H$573,'02b_CSP_Accelerator_Mix'!$B$2:$B$573,B366,'02b_CSP_Accelerator_Mix'!$C$2:$C$573,E366,'02b_CSP_Accelerator_Mix'!$D$2:$D$573,D366,'02b_CSP_Accelerator_Mix'!$E$2:$E$573,F366)</f>
        <v/>
      </c>
      <c r="J366" s="28">
        <f>H366*I366</f>
        <v/>
      </c>
      <c r="K366" s="8">
        <f>IFERROR(INDEX('02x_Accelerator_Catalog'!$D$2:$D$11,MATCH(F366,'02x_Accelerator_Catalog'!$B$2:$B$11,0)),"")</f>
        <v/>
      </c>
      <c r="L366" s="7">
        <f>IF(K366&gt;0,J366*1000/K366,"")</f>
        <v/>
      </c>
      <c r="M366" s="5" t="inlineStr">
        <is>
          <t>epoch_csp_chip_quantity_latest</t>
        </is>
      </c>
      <c r="N366" s="5" t="inlineStr">
        <is>
          <t>Extensible long-format output: add a new accelerator row in 02b and map it in 02x_Accelerator_Catalog to extend this table.</t>
        </is>
      </c>
    </row>
    <row r="367">
      <c r="A367" s="5">
        <f>B367&amp;"|"&amp;C367&amp;"|"&amp;D367&amp;"|"&amp;E367&amp;"|"&amp;F367</f>
        <v/>
      </c>
      <c r="B367" s="5" t="inlineStr">
        <is>
          <t>Bull</t>
        </is>
      </c>
      <c r="C367" s="5" t="inlineStr">
        <is>
          <t>OpenAI</t>
        </is>
      </c>
      <c r="D367" s="5" t="n">
        <v>2026</v>
      </c>
      <c r="E367" s="5" t="inlineStr">
        <is>
          <t>Microsoft</t>
        </is>
      </c>
      <c r="F367" s="5" t="inlineStr">
        <is>
          <t>H100/H200/A100 class</t>
        </is>
      </c>
      <c r="G367" s="5">
        <f>IFERROR(INDEX('02x_Accelerator_Catalog'!$C$2:$C$11,MATCH(F367,'02x_Accelerator_Catalog'!$B$2:$B$11,0)),"purpose_or_unbenchmarked")</f>
        <v/>
      </c>
      <c r="H367" s="28">
        <f>SUMIFS('02c_AI_CSP_Normalized'!$N$2:$N$305,'02c_AI_CSP_Normalized'!$B$2:$B$305,B367,'02c_AI_CSP_Normalized'!$C$2:$C$305,C367,'02c_AI_CSP_Normalized'!$D$2:$D$305,D367,'02c_AI_CSP_Normalized'!$E$2:$E$305,E367)</f>
        <v/>
      </c>
      <c r="I367" s="6">
        <f>SUMIFS('02b_CSP_Accelerator_Mix'!$H$2:$H$573,'02b_CSP_Accelerator_Mix'!$B$2:$B$573,B367,'02b_CSP_Accelerator_Mix'!$C$2:$C$573,E367,'02b_CSP_Accelerator_Mix'!$D$2:$D$573,D367,'02b_CSP_Accelerator_Mix'!$E$2:$E$573,F367)</f>
        <v/>
      </c>
      <c r="J367" s="28">
        <f>H367*I367</f>
        <v/>
      </c>
      <c r="K367" s="8">
        <f>IFERROR(INDEX('02x_Accelerator_Catalog'!$D$2:$D$11,MATCH(F367,'02x_Accelerator_Catalog'!$B$2:$B$11,0)),"")</f>
        <v/>
      </c>
      <c r="L367" s="7">
        <f>IF(K367&gt;0,J367*1000/K367,"")</f>
        <v/>
      </c>
      <c r="M367" s="5" t="inlineStr">
        <is>
          <t>epoch_csp_chip_quantity_latest</t>
        </is>
      </c>
      <c r="N367" s="5" t="inlineStr">
        <is>
          <t>Extensible long-format output: add a new accelerator row in 02b and map it in 02x_Accelerator_Catalog to extend this table.</t>
        </is>
      </c>
    </row>
    <row r="368">
      <c r="A368" s="5">
        <f>B368&amp;"|"&amp;C368&amp;"|"&amp;D368&amp;"|"&amp;E368&amp;"|"&amp;F368</f>
        <v/>
      </c>
      <c r="B368" s="5" t="inlineStr">
        <is>
          <t>Grid-Constrained / Efficiency-Upside</t>
        </is>
      </c>
      <c r="C368" s="5" t="inlineStr">
        <is>
          <t>OpenAI</t>
        </is>
      </c>
      <c r="D368" s="5" t="n">
        <v>2026</v>
      </c>
      <c r="E368" s="5" t="inlineStr">
        <is>
          <t>Microsoft</t>
        </is>
      </c>
      <c r="F368" s="5" t="inlineStr">
        <is>
          <t>B200/B300 class</t>
        </is>
      </c>
      <c r="G368" s="5">
        <f>IFERROR(INDEX('02x_Accelerator_Catalog'!$C$2:$C$11,MATCH(F368,'02x_Accelerator_Catalog'!$B$2:$B$11,0)),"purpose_or_unbenchmarked")</f>
        <v/>
      </c>
      <c r="H368" s="28">
        <f>SUMIFS('02c_AI_CSP_Normalized'!$N$2:$N$305,'02c_AI_CSP_Normalized'!$B$2:$B$305,B368,'02c_AI_CSP_Normalized'!$C$2:$C$305,C368,'02c_AI_CSP_Normalized'!$D$2:$D$305,D368,'02c_AI_CSP_Normalized'!$E$2:$E$305,E368)</f>
        <v/>
      </c>
      <c r="I368" s="6">
        <f>SUMIFS('02b_CSP_Accelerator_Mix'!$H$2:$H$573,'02b_CSP_Accelerator_Mix'!$B$2:$B$573,B368,'02b_CSP_Accelerator_Mix'!$C$2:$C$573,E368,'02b_CSP_Accelerator_Mix'!$D$2:$D$573,D368,'02b_CSP_Accelerator_Mix'!$E$2:$E$573,F368)</f>
        <v/>
      </c>
      <c r="J368" s="28">
        <f>H368*I368</f>
        <v/>
      </c>
      <c r="K368" s="8">
        <f>IFERROR(INDEX('02x_Accelerator_Catalog'!$D$2:$D$11,MATCH(F368,'02x_Accelerator_Catalog'!$B$2:$B$11,0)),"")</f>
        <v/>
      </c>
      <c r="L368" s="7">
        <f>IF(K368&gt;0,J368*1000/K368,"")</f>
        <v/>
      </c>
      <c r="M368" s="5" t="inlineStr">
        <is>
          <t>epoch_csp_chip_quantity_latest</t>
        </is>
      </c>
      <c r="N368" s="5" t="inlineStr">
        <is>
          <t>Extensible long-format output: add a new accelerator row in 02b and map it in 02x_Accelerator_Catalog to extend this table.</t>
        </is>
      </c>
    </row>
    <row r="369">
      <c r="A369" s="5">
        <f>B369&amp;"|"&amp;C369&amp;"|"&amp;D369&amp;"|"&amp;E369&amp;"|"&amp;F369</f>
        <v/>
      </c>
      <c r="B369" s="5" t="inlineStr">
        <is>
          <t>Grid-Constrained / Efficiency-Upside</t>
        </is>
      </c>
      <c r="C369" s="5" t="inlineStr">
        <is>
          <t>OpenAI</t>
        </is>
      </c>
      <c r="D369" s="5" t="n">
        <v>2026</v>
      </c>
      <c r="E369" s="5" t="inlineStr">
        <is>
          <t>Microsoft</t>
        </is>
      </c>
      <c r="F369" s="5" t="inlineStr">
        <is>
          <t>H100/H200/A100 class</t>
        </is>
      </c>
      <c r="G369" s="5">
        <f>IFERROR(INDEX('02x_Accelerator_Catalog'!$C$2:$C$11,MATCH(F369,'02x_Accelerator_Catalog'!$B$2:$B$11,0)),"purpose_or_unbenchmarked")</f>
        <v/>
      </c>
      <c r="H369" s="28">
        <f>SUMIFS('02c_AI_CSP_Normalized'!$N$2:$N$305,'02c_AI_CSP_Normalized'!$B$2:$B$305,B369,'02c_AI_CSP_Normalized'!$C$2:$C$305,C369,'02c_AI_CSP_Normalized'!$D$2:$D$305,D369,'02c_AI_CSP_Normalized'!$E$2:$E$305,E369)</f>
        <v/>
      </c>
      <c r="I369" s="6">
        <f>SUMIFS('02b_CSP_Accelerator_Mix'!$H$2:$H$573,'02b_CSP_Accelerator_Mix'!$B$2:$B$573,B369,'02b_CSP_Accelerator_Mix'!$C$2:$C$573,E369,'02b_CSP_Accelerator_Mix'!$D$2:$D$573,D369,'02b_CSP_Accelerator_Mix'!$E$2:$E$573,F369)</f>
        <v/>
      </c>
      <c r="J369" s="28">
        <f>H369*I369</f>
        <v/>
      </c>
      <c r="K369" s="8">
        <f>IFERROR(INDEX('02x_Accelerator_Catalog'!$D$2:$D$11,MATCH(F369,'02x_Accelerator_Catalog'!$B$2:$B$11,0)),"")</f>
        <v/>
      </c>
      <c r="L369" s="7">
        <f>IF(K369&gt;0,J369*1000/K369,"")</f>
        <v/>
      </c>
      <c r="M369" s="5" t="inlineStr">
        <is>
          <t>epoch_csp_chip_quantity_latest</t>
        </is>
      </c>
      <c r="N369" s="5" t="inlineStr">
        <is>
          <t>Extensible long-format output: add a new accelerator row in 02b and map it in 02x_Accelerator_Catalog to extend this table.</t>
        </is>
      </c>
    </row>
    <row r="370">
      <c r="A370" s="5">
        <f>B370&amp;"|"&amp;C370&amp;"|"&amp;D370&amp;"|"&amp;E370&amp;"|"&amp;F370</f>
        <v/>
      </c>
      <c r="B370" s="5" t="inlineStr">
        <is>
          <t>Bear</t>
        </is>
      </c>
      <c r="C370" s="5" t="inlineStr">
        <is>
          <t>OpenAI</t>
        </is>
      </c>
      <c r="D370" s="5" t="n">
        <v>2027</v>
      </c>
      <c r="E370" s="5" t="inlineStr">
        <is>
          <t>Microsoft</t>
        </is>
      </c>
      <c r="F370" s="5" t="inlineStr">
        <is>
          <t>B200/B300 class</t>
        </is>
      </c>
      <c r="G370" s="5">
        <f>IFERROR(INDEX('02x_Accelerator_Catalog'!$C$2:$C$11,MATCH(F370,'02x_Accelerator_Catalog'!$B$2:$B$11,0)),"purpose_or_unbenchmarked")</f>
        <v/>
      </c>
      <c r="H370" s="28">
        <f>SUMIFS('02c_AI_CSP_Normalized'!$N$2:$N$305,'02c_AI_CSP_Normalized'!$B$2:$B$305,B370,'02c_AI_CSP_Normalized'!$C$2:$C$305,C370,'02c_AI_CSP_Normalized'!$D$2:$D$305,D370,'02c_AI_CSP_Normalized'!$E$2:$E$305,E370)</f>
        <v/>
      </c>
      <c r="I370" s="6">
        <f>SUMIFS('02b_CSP_Accelerator_Mix'!$H$2:$H$573,'02b_CSP_Accelerator_Mix'!$B$2:$B$573,B370,'02b_CSP_Accelerator_Mix'!$C$2:$C$573,E370,'02b_CSP_Accelerator_Mix'!$D$2:$D$573,D370,'02b_CSP_Accelerator_Mix'!$E$2:$E$573,F370)</f>
        <v/>
      </c>
      <c r="J370" s="28">
        <f>H370*I370</f>
        <v/>
      </c>
      <c r="K370" s="8">
        <f>IFERROR(INDEX('02x_Accelerator_Catalog'!$D$2:$D$11,MATCH(F370,'02x_Accelerator_Catalog'!$B$2:$B$11,0)),"")</f>
        <v/>
      </c>
      <c r="L370" s="7">
        <f>IF(K370&gt;0,J370*1000/K370,"")</f>
        <v/>
      </c>
      <c r="M370" s="5" t="inlineStr">
        <is>
          <t>epoch_csp_chip_quantity_latest</t>
        </is>
      </c>
      <c r="N370" s="5" t="inlineStr">
        <is>
          <t>Extensible long-format output: add a new accelerator row in 02b and map it in 02x_Accelerator_Catalog to extend this table.</t>
        </is>
      </c>
    </row>
    <row r="371">
      <c r="A371" s="5">
        <f>B371&amp;"|"&amp;C371&amp;"|"&amp;D371&amp;"|"&amp;E371&amp;"|"&amp;F371</f>
        <v/>
      </c>
      <c r="B371" s="5" t="inlineStr">
        <is>
          <t>Bear</t>
        </is>
      </c>
      <c r="C371" s="5" t="inlineStr">
        <is>
          <t>OpenAI</t>
        </is>
      </c>
      <c r="D371" s="5" t="n">
        <v>2027</v>
      </c>
      <c r="E371" s="5" t="inlineStr">
        <is>
          <t>Microsoft</t>
        </is>
      </c>
      <c r="F371" s="5" t="inlineStr">
        <is>
          <t>H100/H200/A100 class</t>
        </is>
      </c>
      <c r="G371" s="5">
        <f>IFERROR(INDEX('02x_Accelerator_Catalog'!$C$2:$C$11,MATCH(F371,'02x_Accelerator_Catalog'!$B$2:$B$11,0)),"purpose_or_unbenchmarked")</f>
        <v/>
      </c>
      <c r="H371" s="28">
        <f>SUMIFS('02c_AI_CSP_Normalized'!$N$2:$N$305,'02c_AI_CSP_Normalized'!$B$2:$B$305,B371,'02c_AI_CSP_Normalized'!$C$2:$C$305,C371,'02c_AI_CSP_Normalized'!$D$2:$D$305,D371,'02c_AI_CSP_Normalized'!$E$2:$E$305,E371)</f>
        <v/>
      </c>
      <c r="I371" s="6">
        <f>SUMIFS('02b_CSP_Accelerator_Mix'!$H$2:$H$573,'02b_CSP_Accelerator_Mix'!$B$2:$B$573,B371,'02b_CSP_Accelerator_Mix'!$C$2:$C$573,E371,'02b_CSP_Accelerator_Mix'!$D$2:$D$573,D371,'02b_CSP_Accelerator_Mix'!$E$2:$E$573,F371)</f>
        <v/>
      </c>
      <c r="J371" s="28">
        <f>H371*I371</f>
        <v/>
      </c>
      <c r="K371" s="8">
        <f>IFERROR(INDEX('02x_Accelerator_Catalog'!$D$2:$D$11,MATCH(F371,'02x_Accelerator_Catalog'!$B$2:$B$11,0)),"")</f>
        <v/>
      </c>
      <c r="L371" s="7">
        <f>IF(K371&gt;0,J371*1000/K371,"")</f>
        <v/>
      </c>
      <c r="M371" s="5" t="inlineStr">
        <is>
          <t>epoch_csp_chip_quantity_latest</t>
        </is>
      </c>
      <c r="N371" s="5" t="inlineStr">
        <is>
          <t>Extensible long-format output: add a new accelerator row in 02b and map it in 02x_Accelerator_Catalog to extend this table.</t>
        </is>
      </c>
    </row>
    <row r="372">
      <c r="A372" s="5">
        <f>B372&amp;"|"&amp;C372&amp;"|"&amp;D372&amp;"|"&amp;E372&amp;"|"&amp;F372</f>
        <v/>
      </c>
      <c r="B372" s="5" t="inlineStr">
        <is>
          <t>Base</t>
        </is>
      </c>
      <c r="C372" s="5" t="inlineStr">
        <is>
          <t>OpenAI</t>
        </is>
      </c>
      <c r="D372" s="5" t="n">
        <v>2027</v>
      </c>
      <c r="E372" s="5" t="inlineStr">
        <is>
          <t>Microsoft</t>
        </is>
      </c>
      <c r="F372" s="5" t="inlineStr">
        <is>
          <t>B200/B300 class</t>
        </is>
      </c>
      <c r="G372" s="5">
        <f>IFERROR(INDEX('02x_Accelerator_Catalog'!$C$2:$C$11,MATCH(F372,'02x_Accelerator_Catalog'!$B$2:$B$11,0)),"purpose_or_unbenchmarked")</f>
        <v/>
      </c>
      <c r="H372" s="28">
        <f>SUMIFS('02c_AI_CSP_Normalized'!$N$2:$N$305,'02c_AI_CSP_Normalized'!$B$2:$B$305,B372,'02c_AI_CSP_Normalized'!$C$2:$C$305,C372,'02c_AI_CSP_Normalized'!$D$2:$D$305,D372,'02c_AI_CSP_Normalized'!$E$2:$E$305,E372)</f>
        <v/>
      </c>
      <c r="I372" s="6">
        <f>SUMIFS('02b_CSP_Accelerator_Mix'!$H$2:$H$573,'02b_CSP_Accelerator_Mix'!$B$2:$B$573,B372,'02b_CSP_Accelerator_Mix'!$C$2:$C$573,E372,'02b_CSP_Accelerator_Mix'!$D$2:$D$573,D372,'02b_CSP_Accelerator_Mix'!$E$2:$E$573,F372)</f>
        <v/>
      </c>
      <c r="J372" s="28">
        <f>H372*I372</f>
        <v/>
      </c>
      <c r="K372" s="8">
        <f>IFERROR(INDEX('02x_Accelerator_Catalog'!$D$2:$D$11,MATCH(F372,'02x_Accelerator_Catalog'!$B$2:$B$11,0)),"")</f>
        <v/>
      </c>
      <c r="L372" s="7">
        <f>IF(K372&gt;0,J372*1000/K372,"")</f>
        <v/>
      </c>
      <c r="M372" s="5" t="inlineStr">
        <is>
          <t>epoch_csp_chip_quantity_latest</t>
        </is>
      </c>
      <c r="N372" s="5" t="inlineStr">
        <is>
          <t>Extensible long-format output: add a new accelerator row in 02b and map it in 02x_Accelerator_Catalog to extend this table.</t>
        </is>
      </c>
    </row>
    <row r="373">
      <c r="A373" s="5">
        <f>B373&amp;"|"&amp;C373&amp;"|"&amp;D373&amp;"|"&amp;E373&amp;"|"&amp;F373</f>
        <v/>
      </c>
      <c r="B373" s="5" t="inlineStr">
        <is>
          <t>Base</t>
        </is>
      </c>
      <c r="C373" s="5" t="inlineStr">
        <is>
          <t>OpenAI</t>
        </is>
      </c>
      <c r="D373" s="5" t="n">
        <v>2027</v>
      </c>
      <c r="E373" s="5" t="inlineStr">
        <is>
          <t>Microsoft</t>
        </is>
      </c>
      <c r="F373" s="5" t="inlineStr">
        <is>
          <t>H100/H200/A100 class</t>
        </is>
      </c>
      <c r="G373" s="5">
        <f>IFERROR(INDEX('02x_Accelerator_Catalog'!$C$2:$C$11,MATCH(F373,'02x_Accelerator_Catalog'!$B$2:$B$11,0)),"purpose_or_unbenchmarked")</f>
        <v/>
      </c>
      <c r="H373" s="28">
        <f>SUMIFS('02c_AI_CSP_Normalized'!$N$2:$N$305,'02c_AI_CSP_Normalized'!$B$2:$B$305,B373,'02c_AI_CSP_Normalized'!$C$2:$C$305,C373,'02c_AI_CSP_Normalized'!$D$2:$D$305,D373,'02c_AI_CSP_Normalized'!$E$2:$E$305,E373)</f>
        <v/>
      </c>
      <c r="I373" s="6">
        <f>SUMIFS('02b_CSP_Accelerator_Mix'!$H$2:$H$573,'02b_CSP_Accelerator_Mix'!$B$2:$B$573,B373,'02b_CSP_Accelerator_Mix'!$C$2:$C$573,E373,'02b_CSP_Accelerator_Mix'!$D$2:$D$573,D373,'02b_CSP_Accelerator_Mix'!$E$2:$E$573,F373)</f>
        <v/>
      </c>
      <c r="J373" s="28">
        <f>H373*I373</f>
        <v/>
      </c>
      <c r="K373" s="8">
        <f>IFERROR(INDEX('02x_Accelerator_Catalog'!$D$2:$D$11,MATCH(F373,'02x_Accelerator_Catalog'!$B$2:$B$11,0)),"")</f>
        <v/>
      </c>
      <c r="L373" s="7">
        <f>IF(K373&gt;0,J373*1000/K373,"")</f>
        <v/>
      </c>
      <c r="M373" s="5" t="inlineStr">
        <is>
          <t>epoch_csp_chip_quantity_latest</t>
        </is>
      </c>
      <c r="N373" s="5" t="inlineStr">
        <is>
          <t>Extensible long-format output: add a new accelerator row in 02b and map it in 02x_Accelerator_Catalog to extend this table.</t>
        </is>
      </c>
    </row>
    <row r="374">
      <c r="A374" s="5">
        <f>B374&amp;"|"&amp;C374&amp;"|"&amp;D374&amp;"|"&amp;E374&amp;"|"&amp;F374</f>
        <v/>
      </c>
      <c r="B374" s="5" t="inlineStr">
        <is>
          <t>Bull</t>
        </is>
      </c>
      <c r="C374" s="5" t="inlineStr">
        <is>
          <t>OpenAI</t>
        </is>
      </c>
      <c r="D374" s="5" t="n">
        <v>2027</v>
      </c>
      <c r="E374" s="5" t="inlineStr">
        <is>
          <t>Microsoft</t>
        </is>
      </c>
      <c r="F374" s="5" t="inlineStr">
        <is>
          <t>B200/B300 class</t>
        </is>
      </c>
      <c r="G374" s="5">
        <f>IFERROR(INDEX('02x_Accelerator_Catalog'!$C$2:$C$11,MATCH(F374,'02x_Accelerator_Catalog'!$B$2:$B$11,0)),"purpose_or_unbenchmarked")</f>
        <v/>
      </c>
      <c r="H374" s="28">
        <f>SUMIFS('02c_AI_CSP_Normalized'!$N$2:$N$305,'02c_AI_CSP_Normalized'!$B$2:$B$305,B374,'02c_AI_CSP_Normalized'!$C$2:$C$305,C374,'02c_AI_CSP_Normalized'!$D$2:$D$305,D374,'02c_AI_CSP_Normalized'!$E$2:$E$305,E374)</f>
        <v/>
      </c>
      <c r="I374" s="6">
        <f>SUMIFS('02b_CSP_Accelerator_Mix'!$H$2:$H$573,'02b_CSP_Accelerator_Mix'!$B$2:$B$573,B374,'02b_CSP_Accelerator_Mix'!$C$2:$C$573,E374,'02b_CSP_Accelerator_Mix'!$D$2:$D$573,D374,'02b_CSP_Accelerator_Mix'!$E$2:$E$573,F374)</f>
        <v/>
      </c>
      <c r="J374" s="28">
        <f>H374*I374</f>
        <v/>
      </c>
      <c r="K374" s="8">
        <f>IFERROR(INDEX('02x_Accelerator_Catalog'!$D$2:$D$11,MATCH(F374,'02x_Accelerator_Catalog'!$B$2:$B$11,0)),"")</f>
        <v/>
      </c>
      <c r="L374" s="7">
        <f>IF(K374&gt;0,J374*1000/K374,"")</f>
        <v/>
      </c>
      <c r="M374" s="5" t="inlineStr">
        <is>
          <t>epoch_csp_chip_quantity_latest</t>
        </is>
      </c>
      <c r="N374" s="5" t="inlineStr">
        <is>
          <t>Extensible long-format output: add a new accelerator row in 02b and map it in 02x_Accelerator_Catalog to extend this table.</t>
        </is>
      </c>
    </row>
    <row r="375">
      <c r="A375" s="5">
        <f>B375&amp;"|"&amp;C375&amp;"|"&amp;D375&amp;"|"&amp;E375&amp;"|"&amp;F375</f>
        <v/>
      </c>
      <c r="B375" s="5" t="inlineStr">
        <is>
          <t>Bull</t>
        </is>
      </c>
      <c r="C375" s="5" t="inlineStr">
        <is>
          <t>OpenAI</t>
        </is>
      </c>
      <c r="D375" s="5" t="n">
        <v>2027</v>
      </c>
      <c r="E375" s="5" t="inlineStr">
        <is>
          <t>Microsoft</t>
        </is>
      </c>
      <c r="F375" s="5" t="inlineStr">
        <is>
          <t>H100/H200/A100 class</t>
        </is>
      </c>
      <c r="G375" s="5">
        <f>IFERROR(INDEX('02x_Accelerator_Catalog'!$C$2:$C$11,MATCH(F375,'02x_Accelerator_Catalog'!$B$2:$B$11,0)),"purpose_or_unbenchmarked")</f>
        <v/>
      </c>
      <c r="H375" s="28">
        <f>SUMIFS('02c_AI_CSP_Normalized'!$N$2:$N$305,'02c_AI_CSP_Normalized'!$B$2:$B$305,B375,'02c_AI_CSP_Normalized'!$C$2:$C$305,C375,'02c_AI_CSP_Normalized'!$D$2:$D$305,D375,'02c_AI_CSP_Normalized'!$E$2:$E$305,E375)</f>
        <v/>
      </c>
      <c r="I375" s="6">
        <f>SUMIFS('02b_CSP_Accelerator_Mix'!$H$2:$H$573,'02b_CSP_Accelerator_Mix'!$B$2:$B$573,B375,'02b_CSP_Accelerator_Mix'!$C$2:$C$573,E375,'02b_CSP_Accelerator_Mix'!$D$2:$D$573,D375,'02b_CSP_Accelerator_Mix'!$E$2:$E$573,F375)</f>
        <v/>
      </c>
      <c r="J375" s="28">
        <f>H375*I375</f>
        <v/>
      </c>
      <c r="K375" s="8">
        <f>IFERROR(INDEX('02x_Accelerator_Catalog'!$D$2:$D$11,MATCH(F375,'02x_Accelerator_Catalog'!$B$2:$B$11,0)),"")</f>
        <v/>
      </c>
      <c r="L375" s="7">
        <f>IF(K375&gt;0,J375*1000/K375,"")</f>
        <v/>
      </c>
      <c r="M375" s="5" t="inlineStr">
        <is>
          <t>epoch_csp_chip_quantity_latest</t>
        </is>
      </c>
      <c r="N375" s="5" t="inlineStr">
        <is>
          <t>Extensible long-format output: add a new accelerator row in 02b and map it in 02x_Accelerator_Catalog to extend this table.</t>
        </is>
      </c>
    </row>
    <row r="376">
      <c r="A376" s="5">
        <f>B376&amp;"|"&amp;C376&amp;"|"&amp;D376&amp;"|"&amp;E376&amp;"|"&amp;F376</f>
        <v/>
      </c>
      <c r="B376" s="5" t="inlineStr">
        <is>
          <t>Grid-Constrained / Efficiency-Upside</t>
        </is>
      </c>
      <c r="C376" s="5" t="inlineStr">
        <is>
          <t>OpenAI</t>
        </is>
      </c>
      <c r="D376" s="5" t="n">
        <v>2027</v>
      </c>
      <c r="E376" s="5" t="inlineStr">
        <is>
          <t>Microsoft</t>
        </is>
      </c>
      <c r="F376" s="5" t="inlineStr">
        <is>
          <t>B200/B300 class</t>
        </is>
      </c>
      <c r="G376" s="5">
        <f>IFERROR(INDEX('02x_Accelerator_Catalog'!$C$2:$C$11,MATCH(F376,'02x_Accelerator_Catalog'!$B$2:$B$11,0)),"purpose_or_unbenchmarked")</f>
        <v/>
      </c>
      <c r="H376" s="28">
        <f>SUMIFS('02c_AI_CSP_Normalized'!$N$2:$N$305,'02c_AI_CSP_Normalized'!$B$2:$B$305,B376,'02c_AI_CSP_Normalized'!$C$2:$C$305,C376,'02c_AI_CSP_Normalized'!$D$2:$D$305,D376,'02c_AI_CSP_Normalized'!$E$2:$E$305,E376)</f>
        <v/>
      </c>
      <c r="I376" s="6">
        <f>SUMIFS('02b_CSP_Accelerator_Mix'!$H$2:$H$573,'02b_CSP_Accelerator_Mix'!$B$2:$B$573,B376,'02b_CSP_Accelerator_Mix'!$C$2:$C$573,E376,'02b_CSP_Accelerator_Mix'!$D$2:$D$573,D376,'02b_CSP_Accelerator_Mix'!$E$2:$E$573,F376)</f>
        <v/>
      </c>
      <c r="J376" s="28">
        <f>H376*I376</f>
        <v/>
      </c>
      <c r="K376" s="8">
        <f>IFERROR(INDEX('02x_Accelerator_Catalog'!$D$2:$D$11,MATCH(F376,'02x_Accelerator_Catalog'!$B$2:$B$11,0)),"")</f>
        <v/>
      </c>
      <c r="L376" s="7">
        <f>IF(K376&gt;0,J376*1000/K376,"")</f>
        <v/>
      </c>
      <c r="M376" s="5" t="inlineStr">
        <is>
          <t>epoch_csp_chip_quantity_latest</t>
        </is>
      </c>
      <c r="N376" s="5" t="inlineStr">
        <is>
          <t>Extensible long-format output: add a new accelerator row in 02b and map it in 02x_Accelerator_Catalog to extend this table.</t>
        </is>
      </c>
    </row>
    <row r="377">
      <c r="A377" s="5">
        <f>B377&amp;"|"&amp;C377&amp;"|"&amp;D377&amp;"|"&amp;E377&amp;"|"&amp;F377</f>
        <v/>
      </c>
      <c r="B377" s="5" t="inlineStr">
        <is>
          <t>Grid-Constrained / Efficiency-Upside</t>
        </is>
      </c>
      <c r="C377" s="5" t="inlineStr">
        <is>
          <t>OpenAI</t>
        </is>
      </c>
      <c r="D377" s="5" t="n">
        <v>2027</v>
      </c>
      <c r="E377" s="5" t="inlineStr">
        <is>
          <t>Microsoft</t>
        </is>
      </c>
      <c r="F377" s="5" t="inlineStr">
        <is>
          <t>H100/H200/A100 class</t>
        </is>
      </c>
      <c r="G377" s="5">
        <f>IFERROR(INDEX('02x_Accelerator_Catalog'!$C$2:$C$11,MATCH(F377,'02x_Accelerator_Catalog'!$B$2:$B$11,0)),"purpose_or_unbenchmarked")</f>
        <v/>
      </c>
      <c r="H377" s="28">
        <f>SUMIFS('02c_AI_CSP_Normalized'!$N$2:$N$305,'02c_AI_CSP_Normalized'!$B$2:$B$305,B377,'02c_AI_CSP_Normalized'!$C$2:$C$305,C377,'02c_AI_CSP_Normalized'!$D$2:$D$305,D377,'02c_AI_CSP_Normalized'!$E$2:$E$305,E377)</f>
        <v/>
      </c>
      <c r="I377" s="6">
        <f>SUMIFS('02b_CSP_Accelerator_Mix'!$H$2:$H$573,'02b_CSP_Accelerator_Mix'!$B$2:$B$573,B377,'02b_CSP_Accelerator_Mix'!$C$2:$C$573,E377,'02b_CSP_Accelerator_Mix'!$D$2:$D$573,D377,'02b_CSP_Accelerator_Mix'!$E$2:$E$573,F377)</f>
        <v/>
      </c>
      <c r="J377" s="28">
        <f>H377*I377</f>
        <v/>
      </c>
      <c r="K377" s="8">
        <f>IFERROR(INDEX('02x_Accelerator_Catalog'!$D$2:$D$11,MATCH(F377,'02x_Accelerator_Catalog'!$B$2:$B$11,0)),"")</f>
        <v/>
      </c>
      <c r="L377" s="7">
        <f>IF(K377&gt;0,J377*1000/K377,"")</f>
        <v/>
      </c>
      <c r="M377" s="5" t="inlineStr">
        <is>
          <t>epoch_csp_chip_quantity_latest</t>
        </is>
      </c>
      <c r="N377" s="5" t="inlineStr">
        <is>
          <t>Extensible long-format output: add a new accelerator row in 02b and map it in 02x_Accelerator_Catalog to extend this table.</t>
        </is>
      </c>
    </row>
    <row r="378">
      <c r="A378" s="5">
        <f>B378&amp;"|"&amp;C378&amp;"|"&amp;D378&amp;"|"&amp;E378&amp;"|"&amp;F378</f>
        <v/>
      </c>
      <c r="B378" s="5" t="inlineStr">
        <is>
          <t>Bear</t>
        </is>
      </c>
      <c r="C378" s="5" t="inlineStr">
        <is>
          <t>OpenAI</t>
        </is>
      </c>
      <c r="D378" s="5" t="n">
        <v>2028</v>
      </c>
      <c r="E378" s="5" t="inlineStr">
        <is>
          <t>Microsoft</t>
        </is>
      </c>
      <c r="F378" s="5" t="inlineStr">
        <is>
          <t>B200/B300 class</t>
        </is>
      </c>
      <c r="G378" s="5">
        <f>IFERROR(INDEX('02x_Accelerator_Catalog'!$C$2:$C$11,MATCH(F378,'02x_Accelerator_Catalog'!$B$2:$B$11,0)),"purpose_or_unbenchmarked")</f>
        <v/>
      </c>
      <c r="H378" s="28">
        <f>SUMIFS('02c_AI_CSP_Normalized'!$N$2:$N$305,'02c_AI_CSP_Normalized'!$B$2:$B$305,B378,'02c_AI_CSP_Normalized'!$C$2:$C$305,C378,'02c_AI_CSP_Normalized'!$D$2:$D$305,D378,'02c_AI_CSP_Normalized'!$E$2:$E$305,E378)</f>
        <v/>
      </c>
      <c r="I378" s="6">
        <f>SUMIFS('02b_CSP_Accelerator_Mix'!$H$2:$H$573,'02b_CSP_Accelerator_Mix'!$B$2:$B$573,B378,'02b_CSP_Accelerator_Mix'!$C$2:$C$573,E378,'02b_CSP_Accelerator_Mix'!$D$2:$D$573,D378,'02b_CSP_Accelerator_Mix'!$E$2:$E$573,F378)</f>
        <v/>
      </c>
      <c r="J378" s="28">
        <f>H378*I378</f>
        <v/>
      </c>
      <c r="K378" s="8">
        <f>IFERROR(INDEX('02x_Accelerator_Catalog'!$D$2:$D$11,MATCH(F378,'02x_Accelerator_Catalog'!$B$2:$B$11,0)),"")</f>
        <v/>
      </c>
      <c r="L378" s="7">
        <f>IF(K378&gt;0,J378*1000/K378,"")</f>
        <v/>
      </c>
      <c r="M378" s="5" t="inlineStr">
        <is>
          <t>epoch_csp_chip_quantity_latest</t>
        </is>
      </c>
      <c r="N378" s="5" t="inlineStr">
        <is>
          <t>Extensible long-format output: add a new accelerator row in 02b and map it in 02x_Accelerator_Catalog to extend this table.</t>
        </is>
      </c>
    </row>
    <row r="379">
      <c r="A379" s="5">
        <f>B379&amp;"|"&amp;C379&amp;"|"&amp;D379&amp;"|"&amp;E379&amp;"|"&amp;F379</f>
        <v/>
      </c>
      <c r="B379" s="5" t="inlineStr">
        <is>
          <t>Bear</t>
        </is>
      </c>
      <c r="C379" s="5" t="inlineStr">
        <is>
          <t>OpenAI</t>
        </is>
      </c>
      <c r="D379" s="5" t="n">
        <v>2028</v>
      </c>
      <c r="E379" s="5" t="inlineStr">
        <is>
          <t>Microsoft</t>
        </is>
      </c>
      <c r="F379" s="5" t="inlineStr">
        <is>
          <t>H100/H200/A100 class</t>
        </is>
      </c>
      <c r="G379" s="5">
        <f>IFERROR(INDEX('02x_Accelerator_Catalog'!$C$2:$C$11,MATCH(F379,'02x_Accelerator_Catalog'!$B$2:$B$11,0)),"purpose_or_unbenchmarked")</f>
        <v/>
      </c>
      <c r="H379" s="28">
        <f>SUMIFS('02c_AI_CSP_Normalized'!$N$2:$N$305,'02c_AI_CSP_Normalized'!$B$2:$B$305,B379,'02c_AI_CSP_Normalized'!$C$2:$C$305,C379,'02c_AI_CSP_Normalized'!$D$2:$D$305,D379,'02c_AI_CSP_Normalized'!$E$2:$E$305,E379)</f>
        <v/>
      </c>
      <c r="I379" s="6">
        <f>SUMIFS('02b_CSP_Accelerator_Mix'!$H$2:$H$573,'02b_CSP_Accelerator_Mix'!$B$2:$B$573,B379,'02b_CSP_Accelerator_Mix'!$C$2:$C$573,E379,'02b_CSP_Accelerator_Mix'!$D$2:$D$573,D379,'02b_CSP_Accelerator_Mix'!$E$2:$E$573,F379)</f>
        <v/>
      </c>
      <c r="J379" s="28">
        <f>H379*I379</f>
        <v/>
      </c>
      <c r="K379" s="8">
        <f>IFERROR(INDEX('02x_Accelerator_Catalog'!$D$2:$D$11,MATCH(F379,'02x_Accelerator_Catalog'!$B$2:$B$11,0)),"")</f>
        <v/>
      </c>
      <c r="L379" s="7">
        <f>IF(K379&gt;0,J379*1000/K379,"")</f>
        <v/>
      </c>
      <c r="M379" s="5" t="inlineStr">
        <is>
          <t>epoch_csp_chip_quantity_latest</t>
        </is>
      </c>
      <c r="N379" s="5" t="inlineStr">
        <is>
          <t>Extensible long-format output: add a new accelerator row in 02b and map it in 02x_Accelerator_Catalog to extend this table.</t>
        </is>
      </c>
    </row>
    <row r="380">
      <c r="A380" s="5">
        <f>B380&amp;"|"&amp;C380&amp;"|"&amp;D380&amp;"|"&amp;E380&amp;"|"&amp;F380</f>
        <v/>
      </c>
      <c r="B380" s="5" t="inlineStr">
        <is>
          <t>Base</t>
        </is>
      </c>
      <c r="C380" s="5" t="inlineStr">
        <is>
          <t>OpenAI</t>
        </is>
      </c>
      <c r="D380" s="5" t="n">
        <v>2028</v>
      </c>
      <c r="E380" s="5" t="inlineStr">
        <is>
          <t>Microsoft</t>
        </is>
      </c>
      <c r="F380" s="5" t="inlineStr">
        <is>
          <t>B200/B300 class</t>
        </is>
      </c>
      <c r="G380" s="5">
        <f>IFERROR(INDEX('02x_Accelerator_Catalog'!$C$2:$C$11,MATCH(F380,'02x_Accelerator_Catalog'!$B$2:$B$11,0)),"purpose_or_unbenchmarked")</f>
        <v/>
      </c>
      <c r="H380" s="28">
        <f>SUMIFS('02c_AI_CSP_Normalized'!$N$2:$N$305,'02c_AI_CSP_Normalized'!$B$2:$B$305,B380,'02c_AI_CSP_Normalized'!$C$2:$C$305,C380,'02c_AI_CSP_Normalized'!$D$2:$D$305,D380,'02c_AI_CSP_Normalized'!$E$2:$E$305,E380)</f>
        <v/>
      </c>
      <c r="I380" s="6">
        <f>SUMIFS('02b_CSP_Accelerator_Mix'!$H$2:$H$573,'02b_CSP_Accelerator_Mix'!$B$2:$B$573,B380,'02b_CSP_Accelerator_Mix'!$C$2:$C$573,E380,'02b_CSP_Accelerator_Mix'!$D$2:$D$573,D380,'02b_CSP_Accelerator_Mix'!$E$2:$E$573,F380)</f>
        <v/>
      </c>
      <c r="J380" s="28">
        <f>H380*I380</f>
        <v/>
      </c>
      <c r="K380" s="8">
        <f>IFERROR(INDEX('02x_Accelerator_Catalog'!$D$2:$D$11,MATCH(F380,'02x_Accelerator_Catalog'!$B$2:$B$11,0)),"")</f>
        <v/>
      </c>
      <c r="L380" s="7">
        <f>IF(K380&gt;0,J380*1000/K380,"")</f>
        <v/>
      </c>
      <c r="M380" s="5" t="inlineStr">
        <is>
          <t>epoch_csp_chip_quantity_latest</t>
        </is>
      </c>
      <c r="N380" s="5" t="inlineStr">
        <is>
          <t>Extensible long-format output: add a new accelerator row in 02b and map it in 02x_Accelerator_Catalog to extend this table.</t>
        </is>
      </c>
    </row>
    <row r="381">
      <c r="A381" s="5">
        <f>B381&amp;"|"&amp;C381&amp;"|"&amp;D381&amp;"|"&amp;E381&amp;"|"&amp;F381</f>
        <v/>
      </c>
      <c r="B381" s="5" t="inlineStr">
        <is>
          <t>Base</t>
        </is>
      </c>
      <c r="C381" s="5" t="inlineStr">
        <is>
          <t>OpenAI</t>
        </is>
      </c>
      <c r="D381" s="5" t="n">
        <v>2028</v>
      </c>
      <c r="E381" s="5" t="inlineStr">
        <is>
          <t>Microsoft</t>
        </is>
      </c>
      <c r="F381" s="5" t="inlineStr">
        <is>
          <t>H100/H200/A100 class</t>
        </is>
      </c>
      <c r="G381" s="5">
        <f>IFERROR(INDEX('02x_Accelerator_Catalog'!$C$2:$C$11,MATCH(F381,'02x_Accelerator_Catalog'!$B$2:$B$11,0)),"purpose_or_unbenchmarked")</f>
        <v/>
      </c>
      <c r="H381" s="28">
        <f>SUMIFS('02c_AI_CSP_Normalized'!$N$2:$N$305,'02c_AI_CSP_Normalized'!$B$2:$B$305,B381,'02c_AI_CSP_Normalized'!$C$2:$C$305,C381,'02c_AI_CSP_Normalized'!$D$2:$D$305,D381,'02c_AI_CSP_Normalized'!$E$2:$E$305,E381)</f>
        <v/>
      </c>
      <c r="I381" s="6">
        <f>SUMIFS('02b_CSP_Accelerator_Mix'!$H$2:$H$573,'02b_CSP_Accelerator_Mix'!$B$2:$B$573,B381,'02b_CSP_Accelerator_Mix'!$C$2:$C$573,E381,'02b_CSP_Accelerator_Mix'!$D$2:$D$573,D381,'02b_CSP_Accelerator_Mix'!$E$2:$E$573,F381)</f>
        <v/>
      </c>
      <c r="J381" s="28">
        <f>H381*I381</f>
        <v/>
      </c>
      <c r="K381" s="8">
        <f>IFERROR(INDEX('02x_Accelerator_Catalog'!$D$2:$D$11,MATCH(F381,'02x_Accelerator_Catalog'!$B$2:$B$11,0)),"")</f>
        <v/>
      </c>
      <c r="L381" s="7">
        <f>IF(K381&gt;0,J381*1000/K381,"")</f>
        <v/>
      </c>
      <c r="M381" s="5" t="inlineStr">
        <is>
          <t>epoch_csp_chip_quantity_latest</t>
        </is>
      </c>
      <c r="N381" s="5" t="inlineStr">
        <is>
          <t>Extensible long-format output: add a new accelerator row in 02b and map it in 02x_Accelerator_Catalog to extend this table.</t>
        </is>
      </c>
    </row>
    <row r="382">
      <c r="A382" s="5">
        <f>B382&amp;"|"&amp;C382&amp;"|"&amp;D382&amp;"|"&amp;E382&amp;"|"&amp;F382</f>
        <v/>
      </c>
      <c r="B382" s="5" t="inlineStr">
        <is>
          <t>Bull</t>
        </is>
      </c>
      <c r="C382" s="5" t="inlineStr">
        <is>
          <t>OpenAI</t>
        </is>
      </c>
      <c r="D382" s="5" t="n">
        <v>2028</v>
      </c>
      <c r="E382" s="5" t="inlineStr">
        <is>
          <t>Microsoft</t>
        </is>
      </c>
      <c r="F382" s="5" t="inlineStr">
        <is>
          <t>B200/B300 class</t>
        </is>
      </c>
      <c r="G382" s="5">
        <f>IFERROR(INDEX('02x_Accelerator_Catalog'!$C$2:$C$11,MATCH(F382,'02x_Accelerator_Catalog'!$B$2:$B$11,0)),"purpose_or_unbenchmarked")</f>
        <v/>
      </c>
      <c r="H382" s="28">
        <f>SUMIFS('02c_AI_CSP_Normalized'!$N$2:$N$305,'02c_AI_CSP_Normalized'!$B$2:$B$305,B382,'02c_AI_CSP_Normalized'!$C$2:$C$305,C382,'02c_AI_CSP_Normalized'!$D$2:$D$305,D382,'02c_AI_CSP_Normalized'!$E$2:$E$305,E382)</f>
        <v/>
      </c>
      <c r="I382" s="6">
        <f>SUMIFS('02b_CSP_Accelerator_Mix'!$H$2:$H$573,'02b_CSP_Accelerator_Mix'!$B$2:$B$573,B382,'02b_CSP_Accelerator_Mix'!$C$2:$C$573,E382,'02b_CSP_Accelerator_Mix'!$D$2:$D$573,D382,'02b_CSP_Accelerator_Mix'!$E$2:$E$573,F382)</f>
        <v/>
      </c>
      <c r="J382" s="28">
        <f>H382*I382</f>
        <v/>
      </c>
      <c r="K382" s="8">
        <f>IFERROR(INDEX('02x_Accelerator_Catalog'!$D$2:$D$11,MATCH(F382,'02x_Accelerator_Catalog'!$B$2:$B$11,0)),"")</f>
        <v/>
      </c>
      <c r="L382" s="7">
        <f>IF(K382&gt;0,J382*1000/K382,"")</f>
        <v/>
      </c>
      <c r="M382" s="5" t="inlineStr">
        <is>
          <t>epoch_csp_chip_quantity_latest</t>
        </is>
      </c>
      <c r="N382" s="5" t="inlineStr">
        <is>
          <t>Extensible long-format output: add a new accelerator row in 02b and map it in 02x_Accelerator_Catalog to extend this table.</t>
        </is>
      </c>
    </row>
    <row r="383">
      <c r="A383" s="5">
        <f>B383&amp;"|"&amp;C383&amp;"|"&amp;D383&amp;"|"&amp;E383&amp;"|"&amp;F383</f>
        <v/>
      </c>
      <c r="B383" s="5" t="inlineStr">
        <is>
          <t>Bull</t>
        </is>
      </c>
      <c r="C383" s="5" t="inlineStr">
        <is>
          <t>OpenAI</t>
        </is>
      </c>
      <c r="D383" s="5" t="n">
        <v>2028</v>
      </c>
      <c r="E383" s="5" t="inlineStr">
        <is>
          <t>Microsoft</t>
        </is>
      </c>
      <c r="F383" s="5" t="inlineStr">
        <is>
          <t>H100/H200/A100 class</t>
        </is>
      </c>
      <c r="G383" s="5">
        <f>IFERROR(INDEX('02x_Accelerator_Catalog'!$C$2:$C$11,MATCH(F383,'02x_Accelerator_Catalog'!$B$2:$B$11,0)),"purpose_or_unbenchmarked")</f>
        <v/>
      </c>
      <c r="H383" s="28">
        <f>SUMIFS('02c_AI_CSP_Normalized'!$N$2:$N$305,'02c_AI_CSP_Normalized'!$B$2:$B$305,B383,'02c_AI_CSP_Normalized'!$C$2:$C$305,C383,'02c_AI_CSP_Normalized'!$D$2:$D$305,D383,'02c_AI_CSP_Normalized'!$E$2:$E$305,E383)</f>
        <v/>
      </c>
      <c r="I383" s="6">
        <f>SUMIFS('02b_CSP_Accelerator_Mix'!$H$2:$H$573,'02b_CSP_Accelerator_Mix'!$B$2:$B$573,B383,'02b_CSP_Accelerator_Mix'!$C$2:$C$573,E383,'02b_CSP_Accelerator_Mix'!$D$2:$D$573,D383,'02b_CSP_Accelerator_Mix'!$E$2:$E$573,F383)</f>
        <v/>
      </c>
      <c r="J383" s="28">
        <f>H383*I383</f>
        <v/>
      </c>
      <c r="K383" s="8">
        <f>IFERROR(INDEX('02x_Accelerator_Catalog'!$D$2:$D$11,MATCH(F383,'02x_Accelerator_Catalog'!$B$2:$B$11,0)),"")</f>
        <v/>
      </c>
      <c r="L383" s="7">
        <f>IF(K383&gt;0,J383*1000/K383,"")</f>
        <v/>
      </c>
      <c r="M383" s="5" t="inlineStr">
        <is>
          <t>epoch_csp_chip_quantity_latest</t>
        </is>
      </c>
      <c r="N383" s="5" t="inlineStr">
        <is>
          <t>Extensible long-format output: add a new accelerator row in 02b and map it in 02x_Accelerator_Catalog to extend this table.</t>
        </is>
      </c>
    </row>
    <row r="384">
      <c r="A384" s="5">
        <f>B384&amp;"|"&amp;C384&amp;"|"&amp;D384&amp;"|"&amp;E384&amp;"|"&amp;F384</f>
        <v/>
      </c>
      <c r="B384" s="5" t="inlineStr">
        <is>
          <t>Grid-Constrained / Efficiency-Upside</t>
        </is>
      </c>
      <c r="C384" s="5" t="inlineStr">
        <is>
          <t>OpenAI</t>
        </is>
      </c>
      <c r="D384" s="5" t="n">
        <v>2028</v>
      </c>
      <c r="E384" s="5" t="inlineStr">
        <is>
          <t>Microsoft</t>
        </is>
      </c>
      <c r="F384" s="5" t="inlineStr">
        <is>
          <t>B200/B300 class</t>
        </is>
      </c>
      <c r="G384" s="5">
        <f>IFERROR(INDEX('02x_Accelerator_Catalog'!$C$2:$C$11,MATCH(F384,'02x_Accelerator_Catalog'!$B$2:$B$11,0)),"purpose_or_unbenchmarked")</f>
        <v/>
      </c>
      <c r="H384" s="28">
        <f>SUMIFS('02c_AI_CSP_Normalized'!$N$2:$N$305,'02c_AI_CSP_Normalized'!$B$2:$B$305,B384,'02c_AI_CSP_Normalized'!$C$2:$C$305,C384,'02c_AI_CSP_Normalized'!$D$2:$D$305,D384,'02c_AI_CSP_Normalized'!$E$2:$E$305,E384)</f>
        <v/>
      </c>
      <c r="I384" s="6">
        <f>SUMIFS('02b_CSP_Accelerator_Mix'!$H$2:$H$573,'02b_CSP_Accelerator_Mix'!$B$2:$B$573,B384,'02b_CSP_Accelerator_Mix'!$C$2:$C$573,E384,'02b_CSP_Accelerator_Mix'!$D$2:$D$573,D384,'02b_CSP_Accelerator_Mix'!$E$2:$E$573,F384)</f>
        <v/>
      </c>
      <c r="J384" s="28">
        <f>H384*I384</f>
        <v/>
      </c>
      <c r="K384" s="8">
        <f>IFERROR(INDEX('02x_Accelerator_Catalog'!$D$2:$D$11,MATCH(F384,'02x_Accelerator_Catalog'!$B$2:$B$11,0)),"")</f>
        <v/>
      </c>
      <c r="L384" s="7">
        <f>IF(K384&gt;0,J384*1000/K384,"")</f>
        <v/>
      </c>
      <c r="M384" s="5" t="inlineStr">
        <is>
          <t>epoch_csp_chip_quantity_latest</t>
        </is>
      </c>
      <c r="N384" s="5" t="inlineStr">
        <is>
          <t>Extensible long-format output: add a new accelerator row in 02b and map it in 02x_Accelerator_Catalog to extend this table.</t>
        </is>
      </c>
    </row>
    <row r="385">
      <c r="A385" s="5">
        <f>B385&amp;"|"&amp;C385&amp;"|"&amp;D385&amp;"|"&amp;E385&amp;"|"&amp;F385</f>
        <v/>
      </c>
      <c r="B385" s="5" t="inlineStr">
        <is>
          <t>Grid-Constrained / Efficiency-Upside</t>
        </is>
      </c>
      <c r="C385" s="5" t="inlineStr">
        <is>
          <t>OpenAI</t>
        </is>
      </c>
      <c r="D385" s="5" t="n">
        <v>2028</v>
      </c>
      <c r="E385" s="5" t="inlineStr">
        <is>
          <t>Microsoft</t>
        </is>
      </c>
      <c r="F385" s="5" t="inlineStr">
        <is>
          <t>H100/H200/A100 class</t>
        </is>
      </c>
      <c r="G385" s="5">
        <f>IFERROR(INDEX('02x_Accelerator_Catalog'!$C$2:$C$11,MATCH(F385,'02x_Accelerator_Catalog'!$B$2:$B$11,0)),"purpose_or_unbenchmarked")</f>
        <v/>
      </c>
      <c r="H385" s="28">
        <f>SUMIFS('02c_AI_CSP_Normalized'!$N$2:$N$305,'02c_AI_CSP_Normalized'!$B$2:$B$305,B385,'02c_AI_CSP_Normalized'!$C$2:$C$305,C385,'02c_AI_CSP_Normalized'!$D$2:$D$305,D385,'02c_AI_CSP_Normalized'!$E$2:$E$305,E385)</f>
        <v/>
      </c>
      <c r="I385" s="6">
        <f>SUMIFS('02b_CSP_Accelerator_Mix'!$H$2:$H$573,'02b_CSP_Accelerator_Mix'!$B$2:$B$573,B385,'02b_CSP_Accelerator_Mix'!$C$2:$C$573,E385,'02b_CSP_Accelerator_Mix'!$D$2:$D$573,D385,'02b_CSP_Accelerator_Mix'!$E$2:$E$573,F385)</f>
        <v/>
      </c>
      <c r="J385" s="28">
        <f>H385*I385</f>
        <v/>
      </c>
      <c r="K385" s="8">
        <f>IFERROR(INDEX('02x_Accelerator_Catalog'!$D$2:$D$11,MATCH(F385,'02x_Accelerator_Catalog'!$B$2:$B$11,0)),"")</f>
        <v/>
      </c>
      <c r="L385" s="7">
        <f>IF(K385&gt;0,J385*1000/K385,"")</f>
        <v/>
      </c>
      <c r="M385" s="5" t="inlineStr">
        <is>
          <t>epoch_csp_chip_quantity_latest</t>
        </is>
      </c>
      <c r="N385" s="5" t="inlineStr">
        <is>
          <t>Extensible long-format output: add a new accelerator row in 02b and map it in 02x_Accelerator_Catalog to extend this table.</t>
        </is>
      </c>
    </row>
    <row r="386">
      <c r="A386" s="5">
        <f>B386&amp;"|"&amp;C386&amp;"|"&amp;D386&amp;"|"&amp;E386&amp;"|"&amp;F386</f>
        <v/>
      </c>
      <c r="B386" s="5" t="inlineStr">
        <is>
          <t>Bear</t>
        </is>
      </c>
      <c r="C386" s="5" t="inlineStr">
        <is>
          <t>OpenAI</t>
        </is>
      </c>
      <c r="D386" s="5" t="n">
        <v>2029</v>
      </c>
      <c r="E386" s="5" t="inlineStr">
        <is>
          <t>Microsoft</t>
        </is>
      </c>
      <c r="F386" s="5" t="inlineStr">
        <is>
          <t>B200/B300 class</t>
        </is>
      </c>
      <c r="G386" s="5">
        <f>IFERROR(INDEX('02x_Accelerator_Catalog'!$C$2:$C$11,MATCH(F386,'02x_Accelerator_Catalog'!$B$2:$B$11,0)),"purpose_or_unbenchmarked")</f>
        <v/>
      </c>
      <c r="H386" s="28">
        <f>SUMIFS('02c_AI_CSP_Normalized'!$N$2:$N$305,'02c_AI_CSP_Normalized'!$B$2:$B$305,B386,'02c_AI_CSP_Normalized'!$C$2:$C$305,C386,'02c_AI_CSP_Normalized'!$D$2:$D$305,D386,'02c_AI_CSP_Normalized'!$E$2:$E$305,E386)</f>
        <v/>
      </c>
      <c r="I386" s="6">
        <f>SUMIFS('02b_CSP_Accelerator_Mix'!$H$2:$H$573,'02b_CSP_Accelerator_Mix'!$B$2:$B$573,B386,'02b_CSP_Accelerator_Mix'!$C$2:$C$573,E386,'02b_CSP_Accelerator_Mix'!$D$2:$D$573,D386,'02b_CSP_Accelerator_Mix'!$E$2:$E$573,F386)</f>
        <v/>
      </c>
      <c r="J386" s="28">
        <f>H386*I386</f>
        <v/>
      </c>
      <c r="K386" s="8">
        <f>IFERROR(INDEX('02x_Accelerator_Catalog'!$D$2:$D$11,MATCH(F386,'02x_Accelerator_Catalog'!$B$2:$B$11,0)),"")</f>
        <v/>
      </c>
      <c r="L386" s="7">
        <f>IF(K386&gt;0,J386*1000/K386,"")</f>
        <v/>
      </c>
      <c r="M386" s="5" t="inlineStr">
        <is>
          <t>epoch_csp_chip_quantity_latest</t>
        </is>
      </c>
      <c r="N386" s="5" t="inlineStr">
        <is>
          <t>Extensible long-format output: add a new accelerator row in 02b and map it in 02x_Accelerator_Catalog to extend this table.</t>
        </is>
      </c>
    </row>
    <row r="387">
      <c r="A387" s="5">
        <f>B387&amp;"|"&amp;C387&amp;"|"&amp;D387&amp;"|"&amp;E387&amp;"|"&amp;F387</f>
        <v/>
      </c>
      <c r="B387" s="5" t="inlineStr">
        <is>
          <t>Bear</t>
        </is>
      </c>
      <c r="C387" s="5" t="inlineStr">
        <is>
          <t>OpenAI</t>
        </is>
      </c>
      <c r="D387" s="5" t="n">
        <v>2029</v>
      </c>
      <c r="E387" s="5" t="inlineStr">
        <is>
          <t>Microsoft</t>
        </is>
      </c>
      <c r="F387" s="5" t="inlineStr">
        <is>
          <t>H100/H200/A100 class</t>
        </is>
      </c>
      <c r="G387" s="5">
        <f>IFERROR(INDEX('02x_Accelerator_Catalog'!$C$2:$C$11,MATCH(F387,'02x_Accelerator_Catalog'!$B$2:$B$11,0)),"purpose_or_unbenchmarked")</f>
        <v/>
      </c>
      <c r="H387" s="28">
        <f>SUMIFS('02c_AI_CSP_Normalized'!$N$2:$N$305,'02c_AI_CSP_Normalized'!$B$2:$B$305,B387,'02c_AI_CSP_Normalized'!$C$2:$C$305,C387,'02c_AI_CSP_Normalized'!$D$2:$D$305,D387,'02c_AI_CSP_Normalized'!$E$2:$E$305,E387)</f>
        <v/>
      </c>
      <c r="I387" s="6">
        <f>SUMIFS('02b_CSP_Accelerator_Mix'!$H$2:$H$573,'02b_CSP_Accelerator_Mix'!$B$2:$B$573,B387,'02b_CSP_Accelerator_Mix'!$C$2:$C$573,E387,'02b_CSP_Accelerator_Mix'!$D$2:$D$573,D387,'02b_CSP_Accelerator_Mix'!$E$2:$E$573,F387)</f>
        <v/>
      </c>
      <c r="J387" s="28">
        <f>H387*I387</f>
        <v/>
      </c>
      <c r="K387" s="8">
        <f>IFERROR(INDEX('02x_Accelerator_Catalog'!$D$2:$D$11,MATCH(F387,'02x_Accelerator_Catalog'!$B$2:$B$11,0)),"")</f>
        <v/>
      </c>
      <c r="L387" s="7">
        <f>IF(K387&gt;0,J387*1000/K387,"")</f>
        <v/>
      </c>
      <c r="M387" s="5" t="inlineStr">
        <is>
          <t>epoch_csp_chip_quantity_latest</t>
        </is>
      </c>
      <c r="N387" s="5" t="inlineStr">
        <is>
          <t>Extensible long-format output: add a new accelerator row in 02b and map it in 02x_Accelerator_Catalog to extend this table.</t>
        </is>
      </c>
    </row>
    <row r="388">
      <c r="A388" s="5">
        <f>B388&amp;"|"&amp;C388&amp;"|"&amp;D388&amp;"|"&amp;E388&amp;"|"&amp;F388</f>
        <v/>
      </c>
      <c r="B388" s="5" t="inlineStr">
        <is>
          <t>Base</t>
        </is>
      </c>
      <c r="C388" s="5" t="inlineStr">
        <is>
          <t>OpenAI</t>
        </is>
      </c>
      <c r="D388" s="5" t="n">
        <v>2029</v>
      </c>
      <c r="E388" s="5" t="inlineStr">
        <is>
          <t>Microsoft</t>
        </is>
      </c>
      <c r="F388" s="5" t="inlineStr">
        <is>
          <t>B200/B300 class</t>
        </is>
      </c>
      <c r="G388" s="5">
        <f>IFERROR(INDEX('02x_Accelerator_Catalog'!$C$2:$C$11,MATCH(F388,'02x_Accelerator_Catalog'!$B$2:$B$11,0)),"purpose_or_unbenchmarked")</f>
        <v/>
      </c>
      <c r="H388" s="28">
        <f>SUMIFS('02c_AI_CSP_Normalized'!$N$2:$N$305,'02c_AI_CSP_Normalized'!$B$2:$B$305,B388,'02c_AI_CSP_Normalized'!$C$2:$C$305,C388,'02c_AI_CSP_Normalized'!$D$2:$D$305,D388,'02c_AI_CSP_Normalized'!$E$2:$E$305,E388)</f>
        <v/>
      </c>
      <c r="I388" s="6">
        <f>SUMIFS('02b_CSP_Accelerator_Mix'!$H$2:$H$573,'02b_CSP_Accelerator_Mix'!$B$2:$B$573,B388,'02b_CSP_Accelerator_Mix'!$C$2:$C$573,E388,'02b_CSP_Accelerator_Mix'!$D$2:$D$573,D388,'02b_CSP_Accelerator_Mix'!$E$2:$E$573,F388)</f>
        <v/>
      </c>
      <c r="J388" s="28">
        <f>H388*I388</f>
        <v/>
      </c>
      <c r="K388" s="8">
        <f>IFERROR(INDEX('02x_Accelerator_Catalog'!$D$2:$D$11,MATCH(F388,'02x_Accelerator_Catalog'!$B$2:$B$11,0)),"")</f>
        <v/>
      </c>
      <c r="L388" s="7">
        <f>IF(K388&gt;0,J388*1000/K388,"")</f>
        <v/>
      </c>
      <c r="M388" s="5" t="inlineStr">
        <is>
          <t>epoch_csp_chip_quantity_latest</t>
        </is>
      </c>
      <c r="N388" s="5" t="inlineStr">
        <is>
          <t>Extensible long-format output: add a new accelerator row in 02b and map it in 02x_Accelerator_Catalog to extend this table.</t>
        </is>
      </c>
    </row>
    <row r="389">
      <c r="A389" s="5">
        <f>B389&amp;"|"&amp;C389&amp;"|"&amp;D389&amp;"|"&amp;E389&amp;"|"&amp;F389</f>
        <v/>
      </c>
      <c r="B389" s="5" t="inlineStr">
        <is>
          <t>Base</t>
        </is>
      </c>
      <c r="C389" s="5" t="inlineStr">
        <is>
          <t>OpenAI</t>
        </is>
      </c>
      <c r="D389" s="5" t="n">
        <v>2029</v>
      </c>
      <c r="E389" s="5" t="inlineStr">
        <is>
          <t>Microsoft</t>
        </is>
      </c>
      <c r="F389" s="5" t="inlineStr">
        <is>
          <t>H100/H200/A100 class</t>
        </is>
      </c>
      <c r="G389" s="5">
        <f>IFERROR(INDEX('02x_Accelerator_Catalog'!$C$2:$C$11,MATCH(F389,'02x_Accelerator_Catalog'!$B$2:$B$11,0)),"purpose_or_unbenchmarked")</f>
        <v/>
      </c>
      <c r="H389" s="28">
        <f>SUMIFS('02c_AI_CSP_Normalized'!$N$2:$N$305,'02c_AI_CSP_Normalized'!$B$2:$B$305,B389,'02c_AI_CSP_Normalized'!$C$2:$C$305,C389,'02c_AI_CSP_Normalized'!$D$2:$D$305,D389,'02c_AI_CSP_Normalized'!$E$2:$E$305,E389)</f>
        <v/>
      </c>
      <c r="I389" s="6">
        <f>SUMIFS('02b_CSP_Accelerator_Mix'!$H$2:$H$573,'02b_CSP_Accelerator_Mix'!$B$2:$B$573,B389,'02b_CSP_Accelerator_Mix'!$C$2:$C$573,E389,'02b_CSP_Accelerator_Mix'!$D$2:$D$573,D389,'02b_CSP_Accelerator_Mix'!$E$2:$E$573,F389)</f>
        <v/>
      </c>
      <c r="J389" s="28">
        <f>H389*I389</f>
        <v/>
      </c>
      <c r="K389" s="8">
        <f>IFERROR(INDEX('02x_Accelerator_Catalog'!$D$2:$D$11,MATCH(F389,'02x_Accelerator_Catalog'!$B$2:$B$11,0)),"")</f>
        <v/>
      </c>
      <c r="L389" s="7">
        <f>IF(K389&gt;0,J389*1000/K389,"")</f>
        <v/>
      </c>
      <c r="M389" s="5" t="inlineStr">
        <is>
          <t>epoch_csp_chip_quantity_latest</t>
        </is>
      </c>
      <c r="N389" s="5" t="inlineStr">
        <is>
          <t>Extensible long-format output: add a new accelerator row in 02b and map it in 02x_Accelerator_Catalog to extend this table.</t>
        </is>
      </c>
    </row>
    <row r="390">
      <c r="A390" s="5">
        <f>B390&amp;"|"&amp;C390&amp;"|"&amp;D390&amp;"|"&amp;E390&amp;"|"&amp;F390</f>
        <v/>
      </c>
      <c r="B390" s="5" t="inlineStr">
        <is>
          <t>Bull</t>
        </is>
      </c>
      <c r="C390" s="5" t="inlineStr">
        <is>
          <t>OpenAI</t>
        </is>
      </c>
      <c r="D390" s="5" t="n">
        <v>2029</v>
      </c>
      <c r="E390" s="5" t="inlineStr">
        <is>
          <t>Microsoft</t>
        </is>
      </c>
      <c r="F390" s="5" t="inlineStr">
        <is>
          <t>B200/B300 class</t>
        </is>
      </c>
      <c r="G390" s="5">
        <f>IFERROR(INDEX('02x_Accelerator_Catalog'!$C$2:$C$11,MATCH(F390,'02x_Accelerator_Catalog'!$B$2:$B$11,0)),"purpose_or_unbenchmarked")</f>
        <v/>
      </c>
      <c r="H390" s="28">
        <f>SUMIFS('02c_AI_CSP_Normalized'!$N$2:$N$305,'02c_AI_CSP_Normalized'!$B$2:$B$305,B390,'02c_AI_CSP_Normalized'!$C$2:$C$305,C390,'02c_AI_CSP_Normalized'!$D$2:$D$305,D390,'02c_AI_CSP_Normalized'!$E$2:$E$305,E390)</f>
        <v/>
      </c>
      <c r="I390" s="6">
        <f>SUMIFS('02b_CSP_Accelerator_Mix'!$H$2:$H$573,'02b_CSP_Accelerator_Mix'!$B$2:$B$573,B390,'02b_CSP_Accelerator_Mix'!$C$2:$C$573,E390,'02b_CSP_Accelerator_Mix'!$D$2:$D$573,D390,'02b_CSP_Accelerator_Mix'!$E$2:$E$573,F390)</f>
        <v/>
      </c>
      <c r="J390" s="28">
        <f>H390*I390</f>
        <v/>
      </c>
      <c r="K390" s="8">
        <f>IFERROR(INDEX('02x_Accelerator_Catalog'!$D$2:$D$11,MATCH(F390,'02x_Accelerator_Catalog'!$B$2:$B$11,0)),"")</f>
        <v/>
      </c>
      <c r="L390" s="7">
        <f>IF(K390&gt;0,J390*1000/K390,"")</f>
        <v/>
      </c>
      <c r="M390" s="5" t="inlineStr">
        <is>
          <t>epoch_csp_chip_quantity_latest</t>
        </is>
      </c>
      <c r="N390" s="5" t="inlineStr">
        <is>
          <t>Extensible long-format output: add a new accelerator row in 02b and map it in 02x_Accelerator_Catalog to extend this table.</t>
        </is>
      </c>
    </row>
    <row r="391">
      <c r="A391" s="5">
        <f>B391&amp;"|"&amp;C391&amp;"|"&amp;D391&amp;"|"&amp;E391&amp;"|"&amp;F391</f>
        <v/>
      </c>
      <c r="B391" s="5" t="inlineStr">
        <is>
          <t>Bull</t>
        </is>
      </c>
      <c r="C391" s="5" t="inlineStr">
        <is>
          <t>OpenAI</t>
        </is>
      </c>
      <c r="D391" s="5" t="n">
        <v>2029</v>
      </c>
      <c r="E391" s="5" t="inlineStr">
        <is>
          <t>Microsoft</t>
        </is>
      </c>
      <c r="F391" s="5" t="inlineStr">
        <is>
          <t>H100/H200/A100 class</t>
        </is>
      </c>
      <c r="G391" s="5">
        <f>IFERROR(INDEX('02x_Accelerator_Catalog'!$C$2:$C$11,MATCH(F391,'02x_Accelerator_Catalog'!$B$2:$B$11,0)),"purpose_or_unbenchmarked")</f>
        <v/>
      </c>
      <c r="H391" s="28">
        <f>SUMIFS('02c_AI_CSP_Normalized'!$N$2:$N$305,'02c_AI_CSP_Normalized'!$B$2:$B$305,B391,'02c_AI_CSP_Normalized'!$C$2:$C$305,C391,'02c_AI_CSP_Normalized'!$D$2:$D$305,D391,'02c_AI_CSP_Normalized'!$E$2:$E$305,E391)</f>
        <v/>
      </c>
      <c r="I391" s="6">
        <f>SUMIFS('02b_CSP_Accelerator_Mix'!$H$2:$H$573,'02b_CSP_Accelerator_Mix'!$B$2:$B$573,B391,'02b_CSP_Accelerator_Mix'!$C$2:$C$573,E391,'02b_CSP_Accelerator_Mix'!$D$2:$D$573,D391,'02b_CSP_Accelerator_Mix'!$E$2:$E$573,F391)</f>
        <v/>
      </c>
      <c r="J391" s="28">
        <f>H391*I391</f>
        <v/>
      </c>
      <c r="K391" s="8">
        <f>IFERROR(INDEX('02x_Accelerator_Catalog'!$D$2:$D$11,MATCH(F391,'02x_Accelerator_Catalog'!$B$2:$B$11,0)),"")</f>
        <v/>
      </c>
      <c r="L391" s="7">
        <f>IF(K391&gt;0,J391*1000/K391,"")</f>
        <v/>
      </c>
      <c r="M391" s="5" t="inlineStr">
        <is>
          <t>epoch_csp_chip_quantity_latest</t>
        </is>
      </c>
      <c r="N391" s="5" t="inlineStr">
        <is>
          <t>Extensible long-format output: add a new accelerator row in 02b and map it in 02x_Accelerator_Catalog to extend this table.</t>
        </is>
      </c>
    </row>
    <row r="392">
      <c r="A392" s="5">
        <f>B392&amp;"|"&amp;C392&amp;"|"&amp;D392&amp;"|"&amp;E392&amp;"|"&amp;F392</f>
        <v/>
      </c>
      <c r="B392" s="5" t="inlineStr">
        <is>
          <t>Grid-Constrained / Efficiency-Upside</t>
        </is>
      </c>
      <c r="C392" s="5" t="inlineStr">
        <is>
          <t>OpenAI</t>
        </is>
      </c>
      <c r="D392" s="5" t="n">
        <v>2029</v>
      </c>
      <c r="E392" s="5" t="inlineStr">
        <is>
          <t>Microsoft</t>
        </is>
      </c>
      <c r="F392" s="5" t="inlineStr">
        <is>
          <t>B200/B300 class</t>
        </is>
      </c>
      <c r="G392" s="5">
        <f>IFERROR(INDEX('02x_Accelerator_Catalog'!$C$2:$C$11,MATCH(F392,'02x_Accelerator_Catalog'!$B$2:$B$11,0)),"purpose_or_unbenchmarked")</f>
        <v/>
      </c>
      <c r="H392" s="28">
        <f>SUMIFS('02c_AI_CSP_Normalized'!$N$2:$N$305,'02c_AI_CSP_Normalized'!$B$2:$B$305,B392,'02c_AI_CSP_Normalized'!$C$2:$C$305,C392,'02c_AI_CSP_Normalized'!$D$2:$D$305,D392,'02c_AI_CSP_Normalized'!$E$2:$E$305,E392)</f>
        <v/>
      </c>
      <c r="I392" s="6">
        <f>SUMIFS('02b_CSP_Accelerator_Mix'!$H$2:$H$573,'02b_CSP_Accelerator_Mix'!$B$2:$B$573,B392,'02b_CSP_Accelerator_Mix'!$C$2:$C$573,E392,'02b_CSP_Accelerator_Mix'!$D$2:$D$573,D392,'02b_CSP_Accelerator_Mix'!$E$2:$E$573,F392)</f>
        <v/>
      </c>
      <c r="J392" s="28">
        <f>H392*I392</f>
        <v/>
      </c>
      <c r="K392" s="8">
        <f>IFERROR(INDEX('02x_Accelerator_Catalog'!$D$2:$D$11,MATCH(F392,'02x_Accelerator_Catalog'!$B$2:$B$11,0)),"")</f>
        <v/>
      </c>
      <c r="L392" s="7">
        <f>IF(K392&gt;0,J392*1000/K392,"")</f>
        <v/>
      </c>
      <c r="M392" s="5" t="inlineStr">
        <is>
          <t>epoch_csp_chip_quantity_latest</t>
        </is>
      </c>
      <c r="N392" s="5" t="inlineStr">
        <is>
          <t>Extensible long-format output: add a new accelerator row in 02b and map it in 02x_Accelerator_Catalog to extend this table.</t>
        </is>
      </c>
    </row>
    <row r="393">
      <c r="A393" s="5">
        <f>B393&amp;"|"&amp;C393&amp;"|"&amp;D393&amp;"|"&amp;E393&amp;"|"&amp;F393</f>
        <v/>
      </c>
      <c r="B393" s="5" t="inlineStr">
        <is>
          <t>Grid-Constrained / Efficiency-Upside</t>
        </is>
      </c>
      <c r="C393" s="5" t="inlineStr">
        <is>
          <t>OpenAI</t>
        </is>
      </c>
      <c r="D393" s="5" t="n">
        <v>2029</v>
      </c>
      <c r="E393" s="5" t="inlineStr">
        <is>
          <t>Microsoft</t>
        </is>
      </c>
      <c r="F393" s="5" t="inlineStr">
        <is>
          <t>H100/H200/A100 class</t>
        </is>
      </c>
      <c r="G393" s="5">
        <f>IFERROR(INDEX('02x_Accelerator_Catalog'!$C$2:$C$11,MATCH(F393,'02x_Accelerator_Catalog'!$B$2:$B$11,0)),"purpose_or_unbenchmarked")</f>
        <v/>
      </c>
      <c r="H393" s="28">
        <f>SUMIFS('02c_AI_CSP_Normalized'!$N$2:$N$305,'02c_AI_CSP_Normalized'!$B$2:$B$305,B393,'02c_AI_CSP_Normalized'!$C$2:$C$305,C393,'02c_AI_CSP_Normalized'!$D$2:$D$305,D393,'02c_AI_CSP_Normalized'!$E$2:$E$305,E393)</f>
        <v/>
      </c>
      <c r="I393" s="6">
        <f>SUMIFS('02b_CSP_Accelerator_Mix'!$H$2:$H$573,'02b_CSP_Accelerator_Mix'!$B$2:$B$573,B393,'02b_CSP_Accelerator_Mix'!$C$2:$C$573,E393,'02b_CSP_Accelerator_Mix'!$D$2:$D$573,D393,'02b_CSP_Accelerator_Mix'!$E$2:$E$573,F393)</f>
        <v/>
      </c>
      <c r="J393" s="28">
        <f>H393*I393</f>
        <v/>
      </c>
      <c r="K393" s="8">
        <f>IFERROR(INDEX('02x_Accelerator_Catalog'!$D$2:$D$11,MATCH(F393,'02x_Accelerator_Catalog'!$B$2:$B$11,0)),"")</f>
        <v/>
      </c>
      <c r="L393" s="7">
        <f>IF(K393&gt;0,J393*1000/K393,"")</f>
        <v/>
      </c>
      <c r="M393" s="5" t="inlineStr">
        <is>
          <t>epoch_csp_chip_quantity_latest</t>
        </is>
      </c>
      <c r="N393" s="5" t="inlineStr">
        <is>
          <t>Extensible long-format output: add a new accelerator row in 02b and map it in 02x_Accelerator_Catalog to extend this table.</t>
        </is>
      </c>
    </row>
    <row r="394">
      <c r="A394" s="5">
        <f>B394&amp;"|"&amp;C394&amp;"|"&amp;D394&amp;"|"&amp;E394&amp;"|"&amp;F394</f>
        <v/>
      </c>
      <c r="B394" s="5" t="inlineStr">
        <is>
          <t>Bear</t>
        </is>
      </c>
      <c r="C394" s="5" t="inlineStr">
        <is>
          <t>OpenAI</t>
        </is>
      </c>
      <c r="D394" s="5" t="n">
        <v>2030</v>
      </c>
      <c r="E394" s="5" t="inlineStr">
        <is>
          <t>Microsoft</t>
        </is>
      </c>
      <c r="F394" s="5" t="inlineStr">
        <is>
          <t>B200/B300 class</t>
        </is>
      </c>
      <c r="G394" s="5">
        <f>IFERROR(INDEX('02x_Accelerator_Catalog'!$C$2:$C$11,MATCH(F394,'02x_Accelerator_Catalog'!$B$2:$B$11,0)),"purpose_or_unbenchmarked")</f>
        <v/>
      </c>
      <c r="H394" s="28">
        <f>SUMIFS('02c_AI_CSP_Normalized'!$N$2:$N$305,'02c_AI_CSP_Normalized'!$B$2:$B$305,B394,'02c_AI_CSP_Normalized'!$C$2:$C$305,C394,'02c_AI_CSP_Normalized'!$D$2:$D$305,D394,'02c_AI_CSP_Normalized'!$E$2:$E$305,E394)</f>
        <v/>
      </c>
      <c r="I394" s="6">
        <f>SUMIFS('02b_CSP_Accelerator_Mix'!$H$2:$H$573,'02b_CSP_Accelerator_Mix'!$B$2:$B$573,B394,'02b_CSP_Accelerator_Mix'!$C$2:$C$573,E394,'02b_CSP_Accelerator_Mix'!$D$2:$D$573,D394,'02b_CSP_Accelerator_Mix'!$E$2:$E$573,F394)</f>
        <v/>
      </c>
      <c r="J394" s="28">
        <f>H394*I394</f>
        <v/>
      </c>
      <c r="K394" s="8">
        <f>IFERROR(INDEX('02x_Accelerator_Catalog'!$D$2:$D$11,MATCH(F394,'02x_Accelerator_Catalog'!$B$2:$B$11,0)),"")</f>
        <v/>
      </c>
      <c r="L394" s="7">
        <f>IF(K394&gt;0,J394*1000/K394,"")</f>
        <v/>
      </c>
      <c r="M394" s="5" t="inlineStr">
        <is>
          <t>epoch_csp_chip_quantity_latest</t>
        </is>
      </c>
      <c r="N394" s="5" t="inlineStr">
        <is>
          <t>Extensible long-format output: add a new accelerator row in 02b and map it in 02x_Accelerator_Catalog to extend this table.</t>
        </is>
      </c>
    </row>
    <row r="395">
      <c r="A395" s="5">
        <f>B395&amp;"|"&amp;C395&amp;"|"&amp;D395&amp;"|"&amp;E395&amp;"|"&amp;F395</f>
        <v/>
      </c>
      <c r="B395" s="5" t="inlineStr">
        <is>
          <t>Bear</t>
        </is>
      </c>
      <c r="C395" s="5" t="inlineStr">
        <is>
          <t>OpenAI</t>
        </is>
      </c>
      <c r="D395" s="5" t="n">
        <v>2030</v>
      </c>
      <c r="E395" s="5" t="inlineStr">
        <is>
          <t>Microsoft</t>
        </is>
      </c>
      <c r="F395" s="5" t="inlineStr">
        <is>
          <t>H100/H200/A100 class</t>
        </is>
      </c>
      <c r="G395" s="5">
        <f>IFERROR(INDEX('02x_Accelerator_Catalog'!$C$2:$C$11,MATCH(F395,'02x_Accelerator_Catalog'!$B$2:$B$11,0)),"purpose_or_unbenchmarked")</f>
        <v/>
      </c>
      <c r="H395" s="28">
        <f>SUMIFS('02c_AI_CSP_Normalized'!$N$2:$N$305,'02c_AI_CSP_Normalized'!$B$2:$B$305,B395,'02c_AI_CSP_Normalized'!$C$2:$C$305,C395,'02c_AI_CSP_Normalized'!$D$2:$D$305,D395,'02c_AI_CSP_Normalized'!$E$2:$E$305,E395)</f>
        <v/>
      </c>
      <c r="I395" s="6">
        <f>SUMIFS('02b_CSP_Accelerator_Mix'!$H$2:$H$573,'02b_CSP_Accelerator_Mix'!$B$2:$B$573,B395,'02b_CSP_Accelerator_Mix'!$C$2:$C$573,E395,'02b_CSP_Accelerator_Mix'!$D$2:$D$573,D395,'02b_CSP_Accelerator_Mix'!$E$2:$E$573,F395)</f>
        <v/>
      </c>
      <c r="J395" s="28">
        <f>H395*I395</f>
        <v/>
      </c>
      <c r="K395" s="8">
        <f>IFERROR(INDEX('02x_Accelerator_Catalog'!$D$2:$D$11,MATCH(F395,'02x_Accelerator_Catalog'!$B$2:$B$11,0)),"")</f>
        <v/>
      </c>
      <c r="L395" s="7">
        <f>IF(K395&gt;0,J395*1000/K395,"")</f>
        <v/>
      </c>
      <c r="M395" s="5" t="inlineStr">
        <is>
          <t>epoch_csp_chip_quantity_latest</t>
        </is>
      </c>
      <c r="N395" s="5" t="inlineStr">
        <is>
          <t>Extensible long-format output: add a new accelerator row in 02b and map it in 02x_Accelerator_Catalog to extend this table.</t>
        </is>
      </c>
    </row>
    <row r="396">
      <c r="A396" s="5">
        <f>B396&amp;"|"&amp;C396&amp;"|"&amp;D396&amp;"|"&amp;E396&amp;"|"&amp;F396</f>
        <v/>
      </c>
      <c r="B396" s="5" t="inlineStr">
        <is>
          <t>Base</t>
        </is>
      </c>
      <c r="C396" s="5" t="inlineStr">
        <is>
          <t>OpenAI</t>
        </is>
      </c>
      <c r="D396" s="5" t="n">
        <v>2030</v>
      </c>
      <c r="E396" s="5" t="inlineStr">
        <is>
          <t>Microsoft</t>
        </is>
      </c>
      <c r="F396" s="5" t="inlineStr">
        <is>
          <t>B200/B300 class</t>
        </is>
      </c>
      <c r="G396" s="5">
        <f>IFERROR(INDEX('02x_Accelerator_Catalog'!$C$2:$C$11,MATCH(F396,'02x_Accelerator_Catalog'!$B$2:$B$11,0)),"purpose_or_unbenchmarked")</f>
        <v/>
      </c>
      <c r="H396" s="28">
        <f>SUMIFS('02c_AI_CSP_Normalized'!$N$2:$N$305,'02c_AI_CSP_Normalized'!$B$2:$B$305,B396,'02c_AI_CSP_Normalized'!$C$2:$C$305,C396,'02c_AI_CSP_Normalized'!$D$2:$D$305,D396,'02c_AI_CSP_Normalized'!$E$2:$E$305,E396)</f>
        <v/>
      </c>
      <c r="I396" s="6">
        <f>SUMIFS('02b_CSP_Accelerator_Mix'!$H$2:$H$573,'02b_CSP_Accelerator_Mix'!$B$2:$B$573,B396,'02b_CSP_Accelerator_Mix'!$C$2:$C$573,E396,'02b_CSP_Accelerator_Mix'!$D$2:$D$573,D396,'02b_CSP_Accelerator_Mix'!$E$2:$E$573,F396)</f>
        <v/>
      </c>
      <c r="J396" s="28">
        <f>H396*I396</f>
        <v/>
      </c>
      <c r="K396" s="8">
        <f>IFERROR(INDEX('02x_Accelerator_Catalog'!$D$2:$D$11,MATCH(F396,'02x_Accelerator_Catalog'!$B$2:$B$11,0)),"")</f>
        <v/>
      </c>
      <c r="L396" s="7">
        <f>IF(K396&gt;0,J396*1000/K396,"")</f>
        <v/>
      </c>
      <c r="M396" s="5" t="inlineStr">
        <is>
          <t>epoch_csp_chip_quantity_latest</t>
        </is>
      </c>
      <c r="N396" s="5" t="inlineStr">
        <is>
          <t>Extensible long-format output: add a new accelerator row in 02b and map it in 02x_Accelerator_Catalog to extend this table.</t>
        </is>
      </c>
    </row>
    <row r="397">
      <c r="A397" s="5">
        <f>B397&amp;"|"&amp;C397&amp;"|"&amp;D397&amp;"|"&amp;E397&amp;"|"&amp;F397</f>
        <v/>
      </c>
      <c r="B397" s="5" t="inlineStr">
        <is>
          <t>Base</t>
        </is>
      </c>
      <c r="C397" s="5" t="inlineStr">
        <is>
          <t>OpenAI</t>
        </is>
      </c>
      <c r="D397" s="5" t="n">
        <v>2030</v>
      </c>
      <c r="E397" s="5" t="inlineStr">
        <is>
          <t>Microsoft</t>
        </is>
      </c>
      <c r="F397" s="5" t="inlineStr">
        <is>
          <t>H100/H200/A100 class</t>
        </is>
      </c>
      <c r="G397" s="5">
        <f>IFERROR(INDEX('02x_Accelerator_Catalog'!$C$2:$C$11,MATCH(F397,'02x_Accelerator_Catalog'!$B$2:$B$11,0)),"purpose_or_unbenchmarked")</f>
        <v/>
      </c>
      <c r="H397" s="28">
        <f>SUMIFS('02c_AI_CSP_Normalized'!$N$2:$N$305,'02c_AI_CSP_Normalized'!$B$2:$B$305,B397,'02c_AI_CSP_Normalized'!$C$2:$C$305,C397,'02c_AI_CSP_Normalized'!$D$2:$D$305,D397,'02c_AI_CSP_Normalized'!$E$2:$E$305,E397)</f>
        <v/>
      </c>
      <c r="I397" s="6">
        <f>SUMIFS('02b_CSP_Accelerator_Mix'!$H$2:$H$573,'02b_CSP_Accelerator_Mix'!$B$2:$B$573,B397,'02b_CSP_Accelerator_Mix'!$C$2:$C$573,E397,'02b_CSP_Accelerator_Mix'!$D$2:$D$573,D397,'02b_CSP_Accelerator_Mix'!$E$2:$E$573,F397)</f>
        <v/>
      </c>
      <c r="J397" s="28">
        <f>H397*I397</f>
        <v/>
      </c>
      <c r="K397" s="8">
        <f>IFERROR(INDEX('02x_Accelerator_Catalog'!$D$2:$D$11,MATCH(F397,'02x_Accelerator_Catalog'!$B$2:$B$11,0)),"")</f>
        <v/>
      </c>
      <c r="L397" s="7">
        <f>IF(K397&gt;0,J397*1000/K397,"")</f>
        <v/>
      </c>
      <c r="M397" s="5" t="inlineStr">
        <is>
          <t>epoch_csp_chip_quantity_latest</t>
        </is>
      </c>
      <c r="N397" s="5" t="inlineStr">
        <is>
          <t>Extensible long-format output: add a new accelerator row in 02b and map it in 02x_Accelerator_Catalog to extend this table.</t>
        </is>
      </c>
    </row>
    <row r="398">
      <c r="A398" s="5">
        <f>B398&amp;"|"&amp;C398&amp;"|"&amp;D398&amp;"|"&amp;E398&amp;"|"&amp;F398</f>
        <v/>
      </c>
      <c r="B398" s="5" t="inlineStr">
        <is>
          <t>Bull</t>
        </is>
      </c>
      <c r="C398" s="5" t="inlineStr">
        <is>
          <t>OpenAI</t>
        </is>
      </c>
      <c r="D398" s="5" t="n">
        <v>2030</v>
      </c>
      <c r="E398" s="5" t="inlineStr">
        <is>
          <t>Microsoft</t>
        </is>
      </c>
      <c r="F398" s="5" t="inlineStr">
        <is>
          <t>B200/B300 class</t>
        </is>
      </c>
      <c r="G398" s="5">
        <f>IFERROR(INDEX('02x_Accelerator_Catalog'!$C$2:$C$11,MATCH(F398,'02x_Accelerator_Catalog'!$B$2:$B$11,0)),"purpose_or_unbenchmarked")</f>
        <v/>
      </c>
      <c r="H398" s="28">
        <f>SUMIFS('02c_AI_CSP_Normalized'!$N$2:$N$305,'02c_AI_CSP_Normalized'!$B$2:$B$305,B398,'02c_AI_CSP_Normalized'!$C$2:$C$305,C398,'02c_AI_CSP_Normalized'!$D$2:$D$305,D398,'02c_AI_CSP_Normalized'!$E$2:$E$305,E398)</f>
        <v/>
      </c>
      <c r="I398" s="6">
        <f>SUMIFS('02b_CSP_Accelerator_Mix'!$H$2:$H$573,'02b_CSP_Accelerator_Mix'!$B$2:$B$573,B398,'02b_CSP_Accelerator_Mix'!$C$2:$C$573,E398,'02b_CSP_Accelerator_Mix'!$D$2:$D$573,D398,'02b_CSP_Accelerator_Mix'!$E$2:$E$573,F398)</f>
        <v/>
      </c>
      <c r="J398" s="28">
        <f>H398*I398</f>
        <v/>
      </c>
      <c r="K398" s="8">
        <f>IFERROR(INDEX('02x_Accelerator_Catalog'!$D$2:$D$11,MATCH(F398,'02x_Accelerator_Catalog'!$B$2:$B$11,0)),"")</f>
        <v/>
      </c>
      <c r="L398" s="7">
        <f>IF(K398&gt;0,J398*1000/K398,"")</f>
        <v/>
      </c>
      <c r="M398" s="5" t="inlineStr">
        <is>
          <t>epoch_csp_chip_quantity_latest</t>
        </is>
      </c>
      <c r="N398" s="5" t="inlineStr">
        <is>
          <t>Extensible long-format output: add a new accelerator row in 02b and map it in 02x_Accelerator_Catalog to extend this table.</t>
        </is>
      </c>
    </row>
    <row r="399">
      <c r="A399" s="5">
        <f>B399&amp;"|"&amp;C399&amp;"|"&amp;D399&amp;"|"&amp;E399&amp;"|"&amp;F399</f>
        <v/>
      </c>
      <c r="B399" s="5" t="inlineStr">
        <is>
          <t>Bull</t>
        </is>
      </c>
      <c r="C399" s="5" t="inlineStr">
        <is>
          <t>OpenAI</t>
        </is>
      </c>
      <c r="D399" s="5" t="n">
        <v>2030</v>
      </c>
      <c r="E399" s="5" t="inlineStr">
        <is>
          <t>Microsoft</t>
        </is>
      </c>
      <c r="F399" s="5" t="inlineStr">
        <is>
          <t>H100/H200/A100 class</t>
        </is>
      </c>
      <c r="G399" s="5">
        <f>IFERROR(INDEX('02x_Accelerator_Catalog'!$C$2:$C$11,MATCH(F399,'02x_Accelerator_Catalog'!$B$2:$B$11,0)),"purpose_or_unbenchmarked")</f>
        <v/>
      </c>
      <c r="H399" s="28">
        <f>SUMIFS('02c_AI_CSP_Normalized'!$N$2:$N$305,'02c_AI_CSP_Normalized'!$B$2:$B$305,B399,'02c_AI_CSP_Normalized'!$C$2:$C$305,C399,'02c_AI_CSP_Normalized'!$D$2:$D$305,D399,'02c_AI_CSP_Normalized'!$E$2:$E$305,E399)</f>
        <v/>
      </c>
      <c r="I399" s="6">
        <f>SUMIFS('02b_CSP_Accelerator_Mix'!$H$2:$H$573,'02b_CSP_Accelerator_Mix'!$B$2:$B$573,B399,'02b_CSP_Accelerator_Mix'!$C$2:$C$573,E399,'02b_CSP_Accelerator_Mix'!$D$2:$D$573,D399,'02b_CSP_Accelerator_Mix'!$E$2:$E$573,F399)</f>
        <v/>
      </c>
      <c r="J399" s="28">
        <f>H399*I399</f>
        <v/>
      </c>
      <c r="K399" s="8">
        <f>IFERROR(INDEX('02x_Accelerator_Catalog'!$D$2:$D$11,MATCH(F399,'02x_Accelerator_Catalog'!$B$2:$B$11,0)),"")</f>
        <v/>
      </c>
      <c r="L399" s="7">
        <f>IF(K399&gt;0,J399*1000/K399,"")</f>
        <v/>
      </c>
      <c r="M399" s="5" t="inlineStr">
        <is>
          <t>epoch_csp_chip_quantity_latest</t>
        </is>
      </c>
      <c r="N399" s="5" t="inlineStr">
        <is>
          <t>Extensible long-format output: add a new accelerator row in 02b and map it in 02x_Accelerator_Catalog to extend this table.</t>
        </is>
      </c>
    </row>
    <row r="400">
      <c r="A400" s="5">
        <f>B400&amp;"|"&amp;C400&amp;"|"&amp;D400&amp;"|"&amp;E400&amp;"|"&amp;F400</f>
        <v/>
      </c>
      <c r="B400" s="5" t="inlineStr">
        <is>
          <t>Grid-Constrained / Efficiency-Upside</t>
        </is>
      </c>
      <c r="C400" s="5" t="inlineStr">
        <is>
          <t>OpenAI</t>
        </is>
      </c>
      <c r="D400" s="5" t="n">
        <v>2030</v>
      </c>
      <c r="E400" s="5" t="inlineStr">
        <is>
          <t>Microsoft</t>
        </is>
      </c>
      <c r="F400" s="5" t="inlineStr">
        <is>
          <t>B200/B300 class</t>
        </is>
      </c>
      <c r="G400" s="5">
        <f>IFERROR(INDEX('02x_Accelerator_Catalog'!$C$2:$C$11,MATCH(F400,'02x_Accelerator_Catalog'!$B$2:$B$11,0)),"purpose_or_unbenchmarked")</f>
        <v/>
      </c>
      <c r="H400" s="28">
        <f>SUMIFS('02c_AI_CSP_Normalized'!$N$2:$N$305,'02c_AI_CSP_Normalized'!$B$2:$B$305,B400,'02c_AI_CSP_Normalized'!$C$2:$C$305,C400,'02c_AI_CSP_Normalized'!$D$2:$D$305,D400,'02c_AI_CSP_Normalized'!$E$2:$E$305,E400)</f>
        <v/>
      </c>
      <c r="I400" s="6">
        <f>SUMIFS('02b_CSP_Accelerator_Mix'!$H$2:$H$573,'02b_CSP_Accelerator_Mix'!$B$2:$B$573,B400,'02b_CSP_Accelerator_Mix'!$C$2:$C$573,E400,'02b_CSP_Accelerator_Mix'!$D$2:$D$573,D400,'02b_CSP_Accelerator_Mix'!$E$2:$E$573,F400)</f>
        <v/>
      </c>
      <c r="J400" s="28">
        <f>H400*I400</f>
        <v/>
      </c>
      <c r="K400" s="8">
        <f>IFERROR(INDEX('02x_Accelerator_Catalog'!$D$2:$D$11,MATCH(F400,'02x_Accelerator_Catalog'!$B$2:$B$11,0)),"")</f>
        <v/>
      </c>
      <c r="L400" s="7">
        <f>IF(K400&gt;0,J400*1000/K400,"")</f>
        <v/>
      </c>
      <c r="M400" s="5" t="inlineStr">
        <is>
          <t>epoch_csp_chip_quantity_latest</t>
        </is>
      </c>
      <c r="N400" s="5" t="inlineStr">
        <is>
          <t>Extensible long-format output: add a new accelerator row in 02b and map it in 02x_Accelerator_Catalog to extend this table.</t>
        </is>
      </c>
    </row>
    <row r="401">
      <c r="A401" s="5">
        <f>B401&amp;"|"&amp;C401&amp;"|"&amp;D401&amp;"|"&amp;E401&amp;"|"&amp;F401</f>
        <v/>
      </c>
      <c r="B401" s="5" t="inlineStr">
        <is>
          <t>Grid-Constrained / Efficiency-Upside</t>
        </is>
      </c>
      <c r="C401" s="5" t="inlineStr">
        <is>
          <t>OpenAI</t>
        </is>
      </c>
      <c r="D401" s="5" t="n">
        <v>2030</v>
      </c>
      <c r="E401" s="5" t="inlineStr">
        <is>
          <t>Microsoft</t>
        </is>
      </c>
      <c r="F401" s="5" t="inlineStr">
        <is>
          <t>H100/H200/A100 class</t>
        </is>
      </c>
      <c r="G401" s="5">
        <f>IFERROR(INDEX('02x_Accelerator_Catalog'!$C$2:$C$11,MATCH(F401,'02x_Accelerator_Catalog'!$B$2:$B$11,0)),"purpose_or_unbenchmarked")</f>
        <v/>
      </c>
      <c r="H401" s="28">
        <f>SUMIFS('02c_AI_CSP_Normalized'!$N$2:$N$305,'02c_AI_CSP_Normalized'!$B$2:$B$305,B401,'02c_AI_CSP_Normalized'!$C$2:$C$305,C401,'02c_AI_CSP_Normalized'!$D$2:$D$305,D401,'02c_AI_CSP_Normalized'!$E$2:$E$305,E401)</f>
        <v/>
      </c>
      <c r="I401" s="6">
        <f>SUMIFS('02b_CSP_Accelerator_Mix'!$H$2:$H$573,'02b_CSP_Accelerator_Mix'!$B$2:$B$573,B401,'02b_CSP_Accelerator_Mix'!$C$2:$C$573,E401,'02b_CSP_Accelerator_Mix'!$D$2:$D$573,D401,'02b_CSP_Accelerator_Mix'!$E$2:$E$573,F401)</f>
        <v/>
      </c>
      <c r="J401" s="28">
        <f>H401*I401</f>
        <v/>
      </c>
      <c r="K401" s="8">
        <f>IFERROR(INDEX('02x_Accelerator_Catalog'!$D$2:$D$11,MATCH(F401,'02x_Accelerator_Catalog'!$B$2:$B$11,0)),"")</f>
        <v/>
      </c>
      <c r="L401" s="7">
        <f>IF(K401&gt;0,J401*1000/K401,"")</f>
        <v/>
      </c>
      <c r="M401" s="5" t="inlineStr">
        <is>
          <t>epoch_csp_chip_quantity_latest</t>
        </is>
      </c>
      <c r="N401" s="5" t="inlineStr">
        <is>
          <t>Extensible long-format output: add a new accelerator row in 02b and map it in 02x_Accelerator_Catalog to extend this table.</t>
        </is>
      </c>
    </row>
    <row r="402">
      <c r="A402" s="5">
        <f>B402&amp;"|"&amp;C402&amp;"|"&amp;D402&amp;"|"&amp;E402&amp;"|"&amp;F402</f>
        <v/>
      </c>
      <c r="B402" s="5" t="inlineStr">
        <is>
          <t>Bear</t>
        </is>
      </c>
      <c r="C402" s="5" t="inlineStr">
        <is>
          <t>OpenAI</t>
        </is>
      </c>
      <c r="D402" s="5" t="n">
        <v>2026</v>
      </c>
      <c r="E402" s="5" t="inlineStr">
        <is>
          <t>Oracle</t>
        </is>
      </c>
      <c r="F402" s="5" t="inlineStr">
        <is>
          <t>B200/B300 class</t>
        </is>
      </c>
      <c r="G402" s="5">
        <f>IFERROR(INDEX('02x_Accelerator_Catalog'!$C$2:$C$11,MATCH(F402,'02x_Accelerator_Catalog'!$B$2:$B$11,0)),"purpose_or_unbenchmarked")</f>
        <v/>
      </c>
      <c r="H402" s="28">
        <f>SUMIFS('02c_AI_CSP_Normalized'!$N$2:$N$305,'02c_AI_CSP_Normalized'!$B$2:$B$305,B402,'02c_AI_CSP_Normalized'!$C$2:$C$305,C402,'02c_AI_CSP_Normalized'!$D$2:$D$305,D402,'02c_AI_CSP_Normalized'!$E$2:$E$305,E402)</f>
        <v/>
      </c>
      <c r="I402" s="6">
        <f>SUMIFS('02b_CSP_Accelerator_Mix'!$H$2:$H$573,'02b_CSP_Accelerator_Mix'!$B$2:$B$573,B402,'02b_CSP_Accelerator_Mix'!$C$2:$C$573,E402,'02b_CSP_Accelerator_Mix'!$D$2:$D$573,D402,'02b_CSP_Accelerator_Mix'!$E$2:$E$573,F402)</f>
        <v/>
      </c>
      <c r="J402" s="28">
        <f>H402*I402</f>
        <v/>
      </c>
      <c r="K402" s="8">
        <f>IFERROR(INDEX('02x_Accelerator_Catalog'!$D$2:$D$11,MATCH(F402,'02x_Accelerator_Catalog'!$B$2:$B$11,0)),"")</f>
        <v/>
      </c>
      <c r="L402" s="7">
        <f>IF(K402&gt;0,J402*1000/K402,"")</f>
        <v/>
      </c>
      <c r="M402" s="5" t="inlineStr">
        <is>
          <t>epoch_csp_chip_quantity_latest</t>
        </is>
      </c>
      <c r="N402" s="5" t="inlineStr">
        <is>
          <t>Extensible long-format output: add a new accelerator row in 02b and map it in 02x_Accelerator_Catalog to extend this table.</t>
        </is>
      </c>
    </row>
    <row r="403">
      <c r="A403" s="5">
        <f>B403&amp;"|"&amp;C403&amp;"|"&amp;D403&amp;"|"&amp;E403&amp;"|"&amp;F403</f>
        <v/>
      </c>
      <c r="B403" s="5" t="inlineStr">
        <is>
          <t>Bear</t>
        </is>
      </c>
      <c r="C403" s="5" t="inlineStr">
        <is>
          <t>OpenAI</t>
        </is>
      </c>
      <c r="D403" s="5" t="n">
        <v>2026</v>
      </c>
      <c r="E403" s="5" t="inlineStr">
        <is>
          <t>Oracle</t>
        </is>
      </c>
      <c r="F403" s="5" t="inlineStr">
        <is>
          <t>H100/H200/A100 class</t>
        </is>
      </c>
      <c r="G403" s="5">
        <f>IFERROR(INDEX('02x_Accelerator_Catalog'!$C$2:$C$11,MATCH(F403,'02x_Accelerator_Catalog'!$B$2:$B$11,0)),"purpose_or_unbenchmarked")</f>
        <v/>
      </c>
      <c r="H403" s="28">
        <f>SUMIFS('02c_AI_CSP_Normalized'!$N$2:$N$305,'02c_AI_CSP_Normalized'!$B$2:$B$305,B403,'02c_AI_CSP_Normalized'!$C$2:$C$305,C403,'02c_AI_CSP_Normalized'!$D$2:$D$305,D403,'02c_AI_CSP_Normalized'!$E$2:$E$305,E403)</f>
        <v/>
      </c>
      <c r="I403" s="6">
        <f>SUMIFS('02b_CSP_Accelerator_Mix'!$H$2:$H$573,'02b_CSP_Accelerator_Mix'!$B$2:$B$573,B403,'02b_CSP_Accelerator_Mix'!$C$2:$C$573,E403,'02b_CSP_Accelerator_Mix'!$D$2:$D$573,D403,'02b_CSP_Accelerator_Mix'!$E$2:$E$573,F403)</f>
        <v/>
      </c>
      <c r="J403" s="28">
        <f>H403*I403</f>
        <v/>
      </c>
      <c r="K403" s="8">
        <f>IFERROR(INDEX('02x_Accelerator_Catalog'!$D$2:$D$11,MATCH(F403,'02x_Accelerator_Catalog'!$B$2:$B$11,0)),"")</f>
        <v/>
      </c>
      <c r="L403" s="7">
        <f>IF(K403&gt;0,J403*1000/K403,"")</f>
        <v/>
      </c>
      <c r="M403" s="5" t="inlineStr">
        <is>
          <t>epoch_csp_chip_quantity_latest</t>
        </is>
      </c>
      <c r="N403" s="5" t="inlineStr">
        <is>
          <t>Extensible long-format output: add a new accelerator row in 02b and map it in 02x_Accelerator_Catalog to extend this table.</t>
        </is>
      </c>
    </row>
    <row r="404">
      <c r="A404" s="5">
        <f>B404&amp;"|"&amp;C404&amp;"|"&amp;D404&amp;"|"&amp;E404&amp;"|"&amp;F404</f>
        <v/>
      </c>
      <c r="B404" s="5" t="inlineStr">
        <is>
          <t>Base</t>
        </is>
      </c>
      <c r="C404" s="5" t="inlineStr">
        <is>
          <t>OpenAI</t>
        </is>
      </c>
      <c r="D404" s="5" t="n">
        <v>2026</v>
      </c>
      <c r="E404" s="5" t="inlineStr">
        <is>
          <t>Oracle</t>
        </is>
      </c>
      <c r="F404" s="5" t="inlineStr">
        <is>
          <t>B200/B300 class</t>
        </is>
      </c>
      <c r="G404" s="5">
        <f>IFERROR(INDEX('02x_Accelerator_Catalog'!$C$2:$C$11,MATCH(F404,'02x_Accelerator_Catalog'!$B$2:$B$11,0)),"purpose_or_unbenchmarked")</f>
        <v/>
      </c>
      <c r="H404" s="28">
        <f>SUMIFS('02c_AI_CSP_Normalized'!$N$2:$N$305,'02c_AI_CSP_Normalized'!$B$2:$B$305,B404,'02c_AI_CSP_Normalized'!$C$2:$C$305,C404,'02c_AI_CSP_Normalized'!$D$2:$D$305,D404,'02c_AI_CSP_Normalized'!$E$2:$E$305,E404)</f>
        <v/>
      </c>
      <c r="I404" s="6">
        <f>SUMIFS('02b_CSP_Accelerator_Mix'!$H$2:$H$573,'02b_CSP_Accelerator_Mix'!$B$2:$B$573,B404,'02b_CSP_Accelerator_Mix'!$C$2:$C$573,E404,'02b_CSP_Accelerator_Mix'!$D$2:$D$573,D404,'02b_CSP_Accelerator_Mix'!$E$2:$E$573,F404)</f>
        <v/>
      </c>
      <c r="J404" s="28">
        <f>H404*I404</f>
        <v/>
      </c>
      <c r="K404" s="8">
        <f>IFERROR(INDEX('02x_Accelerator_Catalog'!$D$2:$D$11,MATCH(F404,'02x_Accelerator_Catalog'!$B$2:$B$11,0)),"")</f>
        <v/>
      </c>
      <c r="L404" s="7">
        <f>IF(K404&gt;0,J404*1000/K404,"")</f>
        <v/>
      </c>
      <c r="M404" s="5" t="inlineStr">
        <is>
          <t>epoch_csp_chip_quantity_latest</t>
        </is>
      </c>
      <c r="N404" s="5" t="inlineStr">
        <is>
          <t>Extensible long-format output: add a new accelerator row in 02b and map it in 02x_Accelerator_Catalog to extend this table.</t>
        </is>
      </c>
    </row>
    <row r="405">
      <c r="A405" s="5">
        <f>B405&amp;"|"&amp;C405&amp;"|"&amp;D405&amp;"|"&amp;E405&amp;"|"&amp;F405</f>
        <v/>
      </c>
      <c r="B405" s="5" t="inlineStr">
        <is>
          <t>Base</t>
        </is>
      </c>
      <c r="C405" s="5" t="inlineStr">
        <is>
          <t>OpenAI</t>
        </is>
      </c>
      <c r="D405" s="5" t="n">
        <v>2026</v>
      </c>
      <c r="E405" s="5" t="inlineStr">
        <is>
          <t>Oracle</t>
        </is>
      </c>
      <c r="F405" s="5" t="inlineStr">
        <is>
          <t>H100/H200/A100 class</t>
        </is>
      </c>
      <c r="G405" s="5">
        <f>IFERROR(INDEX('02x_Accelerator_Catalog'!$C$2:$C$11,MATCH(F405,'02x_Accelerator_Catalog'!$B$2:$B$11,0)),"purpose_or_unbenchmarked")</f>
        <v/>
      </c>
      <c r="H405" s="28">
        <f>SUMIFS('02c_AI_CSP_Normalized'!$N$2:$N$305,'02c_AI_CSP_Normalized'!$B$2:$B$305,B405,'02c_AI_CSP_Normalized'!$C$2:$C$305,C405,'02c_AI_CSP_Normalized'!$D$2:$D$305,D405,'02c_AI_CSP_Normalized'!$E$2:$E$305,E405)</f>
        <v/>
      </c>
      <c r="I405" s="6">
        <f>SUMIFS('02b_CSP_Accelerator_Mix'!$H$2:$H$573,'02b_CSP_Accelerator_Mix'!$B$2:$B$573,B405,'02b_CSP_Accelerator_Mix'!$C$2:$C$573,E405,'02b_CSP_Accelerator_Mix'!$D$2:$D$573,D405,'02b_CSP_Accelerator_Mix'!$E$2:$E$573,F405)</f>
        <v/>
      </c>
      <c r="J405" s="28">
        <f>H405*I405</f>
        <v/>
      </c>
      <c r="K405" s="8">
        <f>IFERROR(INDEX('02x_Accelerator_Catalog'!$D$2:$D$11,MATCH(F405,'02x_Accelerator_Catalog'!$B$2:$B$11,0)),"")</f>
        <v/>
      </c>
      <c r="L405" s="7">
        <f>IF(K405&gt;0,J405*1000/K405,"")</f>
        <v/>
      </c>
      <c r="M405" s="5" t="inlineStr">
        <is>
          <t>epoch_csp_chip_quantity_latest</t>
        </is>
      </c>
      <c r="N405" s="5" t="inlineStr">
        <is>
          <t>Extensible long-format output: add a new accelerator row in 02b and map it in 02x_Accelerator_Catalog to extend this table.</t>
        </is>
      </c>
    </row>
    <row r="406">
      <c r="A406" s="5">
        <f>B406&amp;"|"&amp;C406&amp;"|"&amp;D406&amp;"|"&amp;E406&amp;"|"&amp;F406</f>
        <v/>
      </c>
      <c r="B406" s="5" t="inlineStr">
        <is>
          <t>Bull</t>
        </is>
      </c>
      <c r="C406" s="5" t="inlineStr">
        <is>
          <t>OpenAI</t>
        </is>
      </c>
      <c r="D406" s="5" t="n">
        <v>2026</v>
      </c>
      <c r="E406" s="5" t="inlineStr">
        <is>
          <t>Oracle</t>
        </is>
      </c>
      <c r="F406" s="5" t="inlineStr">
        <is>
          <t>B200/B300 class</t>
        </is>
      </c>
      <c r="G406" s="5">
        <f>IFERROR(INDEX('02x_Accelerator_Catalog'!$C$2:$C$11,MATCH(F406,'02x_Accelerator_Catalog'!$B$2:$B$11,0)),"purpose_or_unbenchmarked")</f>
        <v/>
      </c>
      <c r="H406" s="28">
        <f>SUMIFS('02c_AI_CSP_Normalized'!$N$2:$N$305,'02c_AI_CSP_Normalized'!$B$2:$B$305,B406,'02c_AI_CSP_Normalized'!$C$2:$C$305,C406,'02c_AI_CSP_Normalized'!$D$2:$D$305,D406,'02c_AI_CSP_Normalized'!$E$2:$E$305,E406)</f>
        <v/>
      </c>
      <c r="I406" s="6">
        <f>SUMIFS('02b_CSP_Accelerator_Mix'!$H$2:$H$573,'02b_CSP_Accelerator_Mix'!$B$2:$B$573,B406,'02b_CSP_Accelerator_Mix'!$C$2:$C$573,E406,'02b_CSP_Accelerator_Mix'!$D$2:$D$573,D406,'02b_CSP_Accelerator_Mix'!$E$2:$E$573,F406)</f>
        <v/>
      </c>
      <c r="J406" s="28">
        <f>H406*I406</f>
        <v/>
      </c>
      <c r="K406" s="8">
        <f>IFERROR(INDEX('02x_Accelerator_Catalog'!$D$2:$D$11,MATCH(F406,'02x_Accelerator_Catalog'!$B$2:$B$11,0)),"")</f>
        <v/>
      </c>
      <c r="L406" s="7">
        <f>IF(K406&gt;0,J406*1000/K406,"")</f>
        <v/>
      </c>
      <c r="M406" s="5" t="inlineStr">
        <is>
          <t>epoch_csp_chip_quantity_latest</t>
        </is>
      </c>
      <c r="N406" s="5" t="inlineStr">
        <is>
          <t>Extensible long-format output: add a new accelerator row in 02b and map it in 02x_Accelerator_Catalog to extend this table.</t>
        </is>
      </c>
    </row>
    <row r="407">
      <c r="A407" s="5">
        <f>B407&amp;"|"&amp;C407&amp;"|"&amp;D407&amp;"|"&amp;E407&amp;"|"&amp;F407</f>
        <v/>
      </c>
      <c r="B407" s="5" t="inlineStr">
        <is>
          <t>Bull</t>
        </is>
      </c>
      <c r="C407" s="5" t="inlineStr">
        <is>
          <t>OpenAI</t>
        </is>
      </c>
      <c r="D407" s="5" t="n">
        <v>2026</v>
      </c>
      <c r="E407" s="5" t="inlineStr">
        <is>
          <t>Oracle</t>
        </is>
      </c>
      <c r="F407" s="5" t="inlineStr">
        <is>
          <t>H100/H200/A100 class</t>
        </is>
      </c>
      <c r="G407" s="5">
        <f>IFERROR(INDEX('02x_Accelerator_Catalog'!$C$2:$C$11,MATCH(F407,'02x_Accelerator_Catalog'!$B$2:$B$11,0)),"purpose_or_unbenchmarked")</f>
        <v/>
      </c>
      <c r="H407" s="28">
        <f>SUMIFS('02c_AI_CSP_Normalized'!$N$2:$N$305,'02c_AI_CSP_Normalized'!$B$2:$B$305,B407,'02c_AI_CSP_Normalized'!$C$2:$C$305,C407,'02c_AI_CSP_Normalized'!$D$2:$D$305,D407,'02c_AI_CSP_Normalized'!$E$2:$E$305,E407)</f>
        <v/>
      </c>
      <c r="I407" s="6">
        <f>SUMIFS('02b_CSP_Accelerator_Mix'!$H$2:$H$573,'02b_CSP_Accelerator_Mix'!$B$2:$B$573,B407,'02b_CSP_Accelerator_Mix'!$C$2:$C$573,E407,'02b_CSP_Accelerator_Mix'!$D$2:$D$573,D407,'02b_CSP_Accelerator_Mix'!$E$2:$E$573,F407)</f>
        <v/>
      </c>
      <c r="J407" s="28">
        <f>H407*I407</f>
        <v/>
      </c>
      <c r="K407" s="8">
        <f>IFERROR(INDEX('02x_Accelerator_Catalog'!$D$2:$D$11,MATCH(F407,'02x_Accelerator_Catalog'!$B$2:$B$11,0)),"")</f>
        <v/>
      </c>
      <c r="L407" s="7">
        <f>IF(K407&gt;0,J407*1000/K407,"")</f>
        <v/>
      </c>
      <c r="M407" s="5" t="inlineStr">
        <is>
          <t>epoch_csp_chip_quantity_latest</t>
        </is>
      </c>
      <c r="N407" s="5" t="inlineStr">
        <is>
          <t>Extensible long-format output: add a new accelerator row in 02b and map it in 02x_Accelerator_Catalog to extend this table.</t>
        </is>
      </c>
    </row>
    <row r="408">
      <c r="A408" s="5">
        <f>B408&amp;"|"&amp;C408&amp;"|"&amp;D408&amp;"|"&amp;E408&amp;"|"&amp;F408</f>
        <v/>
      </c>
      <c r="B408" s="5" t="inlineStr">
        <is>
          <t>Grid-Constrained / Efficiency-Upside</t>
        </is>
      </c>
      <c r="C408" s="5" t="inlineStr">
        <is>
          <t>OpenAI</t>
        </is>
      </c>
      <c r="D408" s="5" t="n">
        <v>2026</v>
      </c>
      <c r="E408" s="5" t="inlineStr">
        <is>
          <t>Oracle</t>
        </is>
      </c>
      <c r="F408" s="5" t="inlineStr">
        <is>
          <t>B200/B300 class</t>
        </is>
      </c>
      <c r="G408" s="5">
        <f>IFERROR(INDEX('02x_Accelerator_Catalog'!$C$2:$C$11,MATCH(F408,'02x_Accelerator_Catalog'!$B$2:$B$11,0)),"purpose_or_unbenchmarked")</f>
        <v/>
      </c>
      <c r="H408" s="28">
        <f>SUMIFS('02c_AI_CSP_Normalized'!$N$2:$N$305,'02c_AI_CSP_Normalized'!$B$2:$B$305,B408,'02c_AI_CSP_Normalized'!$C$2:$C$305,C408,'02c_AI_CSP_Normalized'!$D$2:$D$305,D408,'02c_AI_CSP_Normalized'!$E$2:$E$305,E408)</f>
        <v/>
      </c>
      <c r="I408" s="6">
        <f>SUMIFS('02b_CSP_Accelerator_Mix'!$H$2:$H$573,'02b_CSP_Accelerator_Mix'!$B$2:$B$573,B408,'02b_CSP_Accelerator_Mix'!$C$2:$C$573,E408,'02b_CSP_Accelerator_Mix'!$D$2:$D$573,D408,'02b_CSP_Accelerator_Mix'!$E$2:$E$573,F408)</f>
        <v/>
      </c>
      <c r="J408" s="28">
        <f>H408*I408</f>
        <v/>
      </c>
      <c r="K408" s="8">
        <f>IFERROR(INDEX('02x_Accelerator_Catalog'!$D$2:$D$11,MATCH(F408,'02x_Accelerator_Catalog'!$B$2:$B$11,0)),"")</f>
        <v/>
      </c>
      <c r="L408" s="7">
        <f>IF(K408&gt;0,J408*1000/K408,"")</f>
        <v/>
      </c>
      <c r="M408" s="5" t="inlineStr">
        <is>
          <t>epoch_csp_chip_quantity_latest</t>
        </is>
      </c>
      <c r="N408" s="5" t="inlineStr">
        <is>
          <t>Extensible long-format output: add a new accelerator row in 02b and map it in 02x_Accelerator_Catalog to extend this table.</t>
        </is>
      </c>
    </row>
    <row r="409">
      <c r="A409" s="5">
        <f>B409&amp;"|"&amp;C409&amp;"|"&amp;D409&amp;"|"&amp;E409&amp;"|"&amp;F409</f>
        <v/>
      </c>
      <c r="B409" s="5" t="inlineStr">
        <is>
          <t>Grid-Constrained / Efficiency-Upside</t>
        </is>
      </c>
      <c r="C409" s="5" t="inlineStr">
        <is>
          <t>OpenAI</t>
        </is>
      </c>
      <c r="D409" s="5" t="n">
        <v>2026</v>
      </c>
      <c r="E409" s="5" t="inlineStr">
        <is>
          <t>Oracle</t>
        </is>
      </c>
      <c r="F409" s="5" t="inlineStr">
        <is>
          <t>H100/H200/A100 class</t>
        </is>
      </c>
      <c r="G409" s="5">
        <f>IFERROR(INDEX('02x_Accelerator_Catalog'!$C$2:$C$11,MATCH(F409,'02x_Accelerator_Catalog'!$B$2:$B$11,0)),"purpose_or_unbenchmarked")</f>
        <v/>
      </c>
      <c r="H409" s="28">
        <f>SUMIFS('02c_AI_CSP_Normalized'!$N$2:$N$305,'02c_AI_CSP_Normalized'!$B$2:$B$305,B409,'02c_AI_CSP_Normalized'!$C$2:$C$305,C409,'02c_AI_CSP_Normalized'!$D$2:$D$305,D409,'02c_AI_CSP_Normalized'!$E$2:$E$305,E409)</f>
        <v/>
      </c>
      <c r="I409" s="6">
        <f>SUMIFS('02b_CSP_Accelerator_Mix'!$H$2:$H$573,'02b_CSP_Accelerator_Mix'!$B$2:$B$573,B409,'02b_CSP_Accelerator_Mix'!$C$2:$C$573,E409,'02b_CSP_Accelerator_Mix'!$D$2:$D$573,D409,'02b_CSP_Accelerator_Mix'!$E$2:$E$573,F409)</f>
        <v/>
      </c>
      <c r="J409" s="28">
        <f>H409*I409</f>
        <v/>
      </c>
      <c r="K409" s="8">
        <f>IFERROR(INDEX('02x_Accelerator_Catalog'!$D$2:$D$11,MATCH(F409,'02x_Accelerator_Catalog'!$B$2:$B$11,0)),"")</f>
        <v/>
      </c>
      <c r="L409" s="7">
        <f>IF(K409&gt;0,J409*1000/K409,"")</f>
        <v/>
      </c>
      <c r="M409" s="5" t="inlineStr">
        <is>
          <t>epoch_csp_chip_quantity_latest</t>
        </is>
      </c>
      <c r="N409" s="5" t="inlineStr">
        <is>
          <t>Extensible long-format output: add a new accelerator row in 02b and map it in 02x_Accelerator_Catalog to extend this table.</t>
        </is>
      </c>
    </row>
    <row r="410">
      <c r="A410" s="5">
        <f>B410&amp;"|"&amp;C410&amp;"|"&amp;D410&amp;"|"&amp;E410&amp;"|"&amp;F410</f>
        <v/>
      </c>
      <c r="B410" s="5" t="inlineStr">
        <is>
          <t>Bear</t>
        </is>
      </c>
      <c r="C410" s="5" t="inlineStr">
        <is>
          <t>OpenAI</t>
        </is>
      </c>
      <c r="D410" s="5" t="n">
        <v>2027</v>
      </c>
      <c r="E410" s="5" t="inlineStr">
        <is>
          <t>Oracle</t>
        </is>
      </c>
      <c r="F410" s="5" t="inlineStr">
        <is>
          <t>B200/B300 class</t>
        </is>
      </c>
      <c r="G410" s="5">
        <f>IFERROR(INDEX('02x_Accelerator_Catalog'!$C$2:$C$11,MATCH(F410,'02x_Accelerator_Catalog'!$B$2:$B$11,0)),"purpose_or_unbenchmarked")</f>
        <v/>
      </c>
      <c r="H410" s="28">
        <f>SUMIFS('02c_AI_CSP_Normalized'!$N$2:$N$305,'02c_AI_CSP_Normalized'!$B$2:$B$305,B410,'02c_AI_CSP_Normalized'!$C$2:$C$305,C410,'02c_AI_CSP_Normalized'!$D$2:$D$305,D410,'02c_AI_CSP_Normalized'!$E$2:$E$305,E410)</f>
        <v/>
      </c>
      <c r="I410" s="6">
        <f>SUMIFS('02b_CSP_Accelerator_Mix'!$H$2:$H$573,'02b_CSP_Accelerator_Mix'!$B$2:$B$573,B410,'02b_CSP_Accelerator_Mix'!$C$2:$C$573,E410,'02b_CSP_Accelerator_Mix'!$D$2:$D$573,D410,'02b_CSP_Accelerator_Mix'!$E$2:$E$573,F410)</f>
        <v/>
      </c>
      <c r="J410" s="28">
        <f>H410*I410</f>
        <v/>
      </c>
      <c r="K410" s="8">
        <f>IFERROR(INDEX('02x_Accelerator_Catalog'!$D$2:$D$11,MATCH(F410,'02x_Accelerator_Catalog'!$B$2:$B$11,0)),"")</f>
        <v/>
      </c>
      <c r="L410" s="7">
        <f>IF(K410&gt;0,J410*1000/K410,"")</f>
        <v/>
      </c>
      <c r="M410" s="5" t="inlineStr">
        <is>
          <t>epoch_csp_chip_quantity_latest</t>
        </is>
      </c>
      <c r="N410" s="5" t="inlineStr">
        <is>
          <t>Extensible long-format output: add a new accelerator row in 02b and map it in 02x_Accelerator_Catalog to extend this table.</t>
        </is>
      </c>
    </row>
    <row r="411">
      <c r="A411" s="5">
        <f>B411&amp;"|"&amp;C411&amp;"|"&amp;D411&amp;"|"&amp;E411&amp;"|"&amp;F411</f>
        <v/>
      </c>
      <c r="B411" s="5" t="inlineStr">
        <is>
          <t>Bear</t>
        </is>
      </c>
      <c r="C411" s="5" t="inlineStr">
        <is>
          <t>OpenAI</t>
        </is>
      </c>
      <c r="D411" s="5" t="n">
        <v>2027</v>
      </c>
      <c r="E411" s="5" t="inlineStr">
        <is>
          <t>Oracle</t>
        </is>
      </c>
      <c r="F411" s="5" t="inlineStr">
        <is>
          <t>H100/H200/A100 class</t>
        </is>
      </c>
      <c r="G411" s="5">
        <f>IFERROR(INDEX('02x_Accelerator_Catalog'!$C$2:$C$11,MATCH(F411,'02x_Accelerator_Catalog'!$B$2:$B$11,0)),"purpose_or_unbenchmarked")</f>
        <v/>
      </c>
      <c r="H411" s="28">
        <f>SUMIFS('02c_AI_CSP_Normalized'!$N$2:$N$305,'02c_AI_CSP_Normalized'!$B$2:$B$305,B411,'02c_AI_CSP_Normalized'!$C$2:$C$305,C411,'02c_AI_CSP_Normalized'!$D$2:$D$305,D411,'02c_AI_CSP_Normalized'!$E$2:$E$305,E411)</f>
        <v/>
      </c>
      <c r="I411" s="6">
        <f>SUMIFS('02b_CSP_Accelerator_Mix'!$H$2:$H$573,'02b_CSP_Accelerator_Mix'!$B$2:$B$573,B411,'02b_CSP_Accelerator_Mix'!$C$2:$C$573,E411,'02b_CSP_Accelerator_Mix'!$D$2:$D$573,D411,'02b_CSP_Accelerator_Mix'!$E$2:$E$573,F411)</f>
        <v/>
      </c>
      <c r="J411" s="28">
        <f>H411*I411</f>
        <v/>
      </c>
      <c r="K411" s="8">
        <f>IFERROR(INDEX('02x_Accelerator_Catalog'!$D$2:$D$11,MATCH(F411,'02x_Accelerator_Catalog'!$B$2:$B$11,0)),"")</f>
        <v/>
      </c>
      <c r="L411" s="7">
        <f>IF(K411&gt;0,J411*1000/K411,"")</f>
        <v/>
      </c>
      <c r="M411" s="5" t="inlineStr">
        <is>
          <t>epoch_csp_chip_quantity_latest</t>
        </is>
      </c>
      <c r="N411" s="5" t="inlineStr">
        <is>
          <t>Extensible long-format output: add a new accelerator row in 02b and map it in 02x_Accelerator_Catalog to extend this table.</t>
        </is>
      </c>
    </row>
    <row r="412">
      <c r="A412" s="5">
        <f>B412&amp;"|"&amp;C412&amp;"|"&amp;D412&amp;"|"&amp;E412&amp;"|"&amp;F412</f>
        <v/>
      </c>
      <c r="B412" s="5" t="inlineStr">
        <is>
          <t>Bear</t>
        </is>
      </c>
      <c r="C412" s="5" t="inlineStr">
        <is>
          <t>OpenAI</t>
        </is>
      </c>
      <c r="D412" s="5" t="n">
        <v>2027</v>
      </c>
      <c r="E412" s="5" t="inlineStr">
        <is>
          <t>Oracle</t>
        </is>
      </c>
      <c r="F412" s="5" t="inlineStr">
        <is>
          <t>R200/R300 future</t>
        </is>
      </c>
      <c r="G412" s="5">
        <f>IFERROR(INDEX('02x_Accelerator_Catalog'!$C$2:$C$11,MATCH(F412,'02x_Accelerator_Catalog'!$B$2:$B$11,0)),"purpose_or_unbenchmarked")</f>
        <v/>
      </c>
      <c r="H412" s="28">
        <f>SUMIFS('02c_AI_CSP_Normalized'!$N$2:$N$305,'02c_AI_CSP_Normalized'!$B$2:$B$305,B412,'02c_AI_CSP_Normalized'!$C$2:$C$305,C412,'02c_AI_CSP_Normalized'!$D$2:$D$305,D412,'02c_AI_CSP_Normalized'!$E$2:$E$305,E412)</f>
        <v/>
      </c>
      <c r="I412" s="6">
        <f>SUMIFS('02b_CSP_Accelerator_Mix'!$H$2:$H$573,'02b_CSP_Accelerator_Mix'!$B$2:$B$573,B412,'02b_CSP_Accelerator_Mix'!$C$2:$C$573,E412,'02b_CSP_Accelerator_Mix'!$D$2:$D$573,D412,'02b_CSP_Accelerator_Mix'!$E$2:$E$573,F412)</f>
        <v/>
      </c>
      <c r="J412" s="28">
        <f>H412*I412</f>
        <v/>
      </c>
      <c r="K412" s="8">
        <f>IFERROR(INDEX('02x_Accelerator_Catalog'!$D$2:$D$11,MATCH(F412,'02x_Accelerator_Catalog'!$B$2:$B$11,0)),"")</f>
        <v/>
      </c>
      <c r="L412" s="7">
        <f>IF(K412&gt;0,J412*1000/K412,"")</f>
        <v/>
      </c>
      <c r="M412" s="5" t="inlineStr">
        <is>
          <t>epoch_csp_chip_quantity_latest</t>
        </is>
      </c>
      <c r="N412" s="5" t="inlineStr">
        <is>
          <t>Extensible long-format output: add a new accelerator row in 02b and map it in 02x_Accelerator_Catalog to extend this table.</t>
        </is>
      </c>
    </row>
    <row r="413">
      <c r="A413" s="5">
        <f>B413&amp;"|"&amp;C413&amp;"|"&amp;D413&amp;"|"&amp;E413&amp;"|"&amp;F413</f>
        <v/>
      </c>
      <c r="B413" s="5" t="inlineStr">
        <is>
          <t>Base</t>
        </is>
      </c>
      <c r="C413" s="5" t="inlineStr">
        <is>
          <t>OpenAI</t>
        </is>
      </c>
      <c r="D413" s="5" t="n">
        <v>2027</v>
      </c>
      <c r="E413" s="5" t="inlineStr">
        <is>
          <t>Oracle</t>
        </is>
      </c>
      <c r="F413" s="5" t="inlineStr">
        <is>
          <t>B200/B300 class</t>
        </is>
      </c>
      <c r="G413" s="5">
        <f>IFERROR(INDEX('02x_Accelerator_Catalog'!$C$2:$C$11,MATCH(F413,'02x_Accelerator_Catalog'!$B$2:$B$11,0)),"purpose_or_unbenchmarked")</f>
        <v/>
      </c>
      <c r="H413" s="28">
        <f>SUMIFS('02c_AI_CSP_Normalized'!$N$2:$N$305,'02c_AI_CSP_Normalized'!$B$2:$B$305,B413,'02c_AI_CSP_Normalized'!$C$2:$C$305,C413,'02c_AI_CSP_Normalized'!$D$2:$D$305,D413,'02c_AI_CSP_Normalized'!$E$2:$E$305,E413)</f>
        <v/>
      </c>
      <c r="I413" s="6">
        <f>SUMIFS('02b_CSP_Accelerator_Mix'!$H$2:$H$573,'02b_CSP_Accelerator_Mix'!$B$2:$B$573,B413,'02b_CSP_Accelerator_Mix'!$C$2:$C$573,E413,'02b_CSP_Accelerator_Mix'!$D$2:$D$573,D413,'02b_CSP_Accelerator_Mix'!$E$2:$E$573,F413)</f>
        <v/>
      </c>
      <c r="J413" s="28">
        <f>H413*I413</f>
        <v/>
      </c>
      <c r="K413" s="8">
        <f>IFERROR(INDEX('02x_Accelerator_Catalog'!$D$2:$D$11,MATCH(F413,'02x_Accelerator_Catalog'!$B$2:$B$11,0)),"")</f>
        <v/>
      </c>
      <c r="L413" s="7">
        <f>IF(K413&gt;0,J413*1000/K413,"")</f>
        <v/>
      </c>
      <c r="M413" s="5" t="inlineStr">
        <is>
          <t>epoch_csp_chip_quantity_latest</t>
        </is>
      </c>
      <c r="N413" s="5" t="inlineStr">
        <is>
          <t>Extensible long-format output: add a new accelerator row in 02b and map it in 02x_Accelerator_Catalog to extend this table.</t>
        </is>
      </c>
    </row>
    <row r="414">
      <c r="A414" s="5">
        <f>B414&amp;"|"&amp;C414&amp;"|"&amp;D414&amp;"|"&amp;E414&amp;"|"&amp;F414</f>
        <v/>
      </c>
      <c r="B414" s="5" t="inlineStr">
        <is>
          <t>Base</t>
        </is>
      </c>
      <c r="C414" s="5" t="inlineStr">
        <is>
          <t>OpenAI</t>
        </is>
      </c>
      <c r="D414" s="5" t="n">
        <v>2027</v>
      </c>
      <c r="E414" s="5" t="inlineStr">
        <is>
          <t>Oracle</t>
        </is>
      </c>
      <c r="F414" s="5" t="inlineStr">
        <is>
          <t>H100/H200/A100 class</t>
        </is>
      </c>
      <c r="G414" s="5">
        <f>IFERROR(INDEX('02x_Accelerator_Catalog'!$C$2:$C$11,MATCH(F414,'02x_Accelerator_Catalog'!$B$2:$B$11,0)),"purpose_or_unbenchmarked")</f>
        <v/>
      </c>
      <c r="H414" s="28">
        <f>SUMIFS('02c_AI_CSP_Normalized'!$N$2:$N$305,'02c_AI_CSP_Normalized'!$B$2:$B$305,B414,'02c_AI_CSP_Normalized'!$C$2:$C$305,C414,'02c_AI_CSP_Normalized'!$D$2:$D$305,D414,'02c_AI_CSP_Normalized'!$E$2:$E$305,E414)</f>
        <v/>
      </c>
      <c r="I414" s="6">
        <f>SUMIFS('02b_CSP_Accelerator_Mix'!$H$2:$H$573,'02b_CSP_Accelerator_Mix'!$B$2:$B$573,B414,'02b_CSP_Accelerator_Mix'!$C$2:$C$573,E414,'02b_CSP_Accelerator_Mix'!$D$2:$D$573,D414,'02b_CSP_Accelerator_Mix'!$E$2:$E$573,F414)</f>
        <v/>
      </c>
      <c r="J414" s="28">
        <f>H414*I414</f>
        <v/>
      </c>
      <c r="K414" s="8">
        <f>IFERROR(INDEX('02x_Accelerator_Catalog'!$D$2:$D$11,MATCH(F414,'02x_Accelerator_Catalog'!$B$2:$B$11,0)),"")</f>
        <v/>
      </c>
      <c r="L414" s="7">
        <f>IF(K414&gt;0,J414*1000/K414,"")</f>
        <v/>
      </c>
      <c r="M414" s="5" t="inlineStr">
        <is>
          <t>epoch_csp_chip_quantity_latest</t>
        </is>
      </c>
      <c r="N414" s="5" t="inlineStr">
        <is>
          <t>Extensible long-format output: add a new accelerator row in 02b and map it in 02x_Accelerator_Catalog to extend this table.</t>
        </is>
      </c>
    </row>
    <row r="415">
      <c r="A415" s="5">
        <f>B415&amp;"|"&amp;C415&amp;"|"&amp;D415&amp;"|"&amp;E415&amp;"|"&amp;F415</f>
        <v/>
      </c>
      <c r="B415" s="5" t="inlineStr">
        <is>
          <t>Base</t>
        </is>
      </c>
      <c r="C415" s="5" t="inlineStr">
        <is>
          <t>OpenAI</t>
        </is>
      </c>
      <c r="D415" s="5" t="n">
        <v>2027</v>
      </c>
      <c r="E415" s="5" t="inlineStr">
        <is>
          <t>Oracle</t>
        </is>
      </c>
      <c r="F415" s="5" t="inlineStr">
        <is>
          <t>R200/R300 future</t>
        </is>
      </c>
      <c r="G415" s="5">
        <f>IFERROR(INDEX('02x_Accelerator_Catalog'!$C$2:$C$11,MATCH(F415,'02x_Accelerator_Catalog'!$B$2:$B$11,0)),"purpose_or_unbenchmarked")</f>
        <v/>
      </c>
      <c r="H415" s="28">
        <f>SUMIFS('02c_AI_CSP_Normalized'!$N$2:$N$305,'02c_AI_CSP_Normalized'!$B$2:$B$305,B415,'02c_AI_CSP_Normalized'!$C$2:$C$305,C415,'02c_AI_CSP_Normalized'!$D$2:$D$305,D415,'02c_AI_CSP_Normalized'!$E$2:$E$305,E415)</f>
        <v/>
      </c>
      <c r="I415" s="6">
        <f>SUMIFS('02b_CSP_Accelerator_Mix'!$H$2:$H$573,'02b_CSP_Accelerator_Mix'!$B$2:$B$573,B415,'02b_CSP_Accelerator_Mix'!$C$2:$C$573,E415,'02b_CSP_Accelerator_Mix'!$D$2:$D$573,D415,'02b_CSP_Accelerator_Mix'!$E$2:$E$573,F415)</f>
        <v/>
      </c>
      <c r="J415" s="28">
        <f>H415*I415</f>
        <v/>
      </c>
      <c r="K415" s="8">
        <f>IFERROR(INDEX('02x_Accelerator_Catalog'!$D$2:$D$11,MATCH(F415,'02x_Accelerator_Catalog'!$B$2:$B$11,0)),"")</f>
        <v/>
      </c>
      <c r="L415" s="7">
        <f>IF(K415&gt;0,J415*1000/K415,"")</f>
        <v/>
      </c>
      <c r="M415" s="5" t="inlineStr">
        <is>
          <t>epoch_csp_chip_quantity_latest</t>
        </is>
      </c>
      <c r="N415" s="5" t="inlineStr">
        <is>
          <t>Extensible long-format output: add a new accelerator row in 02b and map it in 02x_Accelerator_Catalog to extend this table.</t>
        </is>
      </c>
    </row>
    <row r="416">
      <c r="A416" s="5">
        <f>B416&amp;"|"&amp;C416&amp;"|"&amp;D416&amp;"|"&amp;E416&amp;"|"&amp;F416</f>
        <v/>
      </c>
      <c r="B416" s="5" t="inlineStr">
        <is>
          <t>Bull</t>
        </is>
      </c>
      <c r="C416" s="5" t="inlineStr">
        <is>
          <t>OpenAI</t>
        </is>
      </c>
      <c r="D416" s="5" t="n">
        <v>2027</v>
      </c>
      <c r="E416" s="5" t="inlineStr">
        <is>
          <t>Oracle</t>
        </is>
      </c>
      <c r="F416" s="5" t="inlineStr">
        <is>
          <t>B200/B300 class</t>
        </is>
      </c>
      <c r="G416" s="5">
        <f>IFERROR(INDEX('02x_Accelerator_Catalog'!$C$2:$C$11,MATCH(F416,'02x_Accelerator_Catalog'!$B$2:$B$11,0)),"purpose_or_unbenchmarked")</f>
        <v/>
      </c>
      <c r="H416" s="28">
        <f>SUMIFS('02c_AI_CSP_Normalized'!$N$2:$N$305,'02c_AI_CSP_Normalized'!$B$2:$B$305,B416,'02c_AI_CSP_Normalized'!$C$2:$C$305,C416,'02c_AI_CSP_Normalized'!$D$2:$D$305,D416,'02c_AI_CSP_Normalized'!$E$2:$E$305,E416)</f>
        <v/>
      </c>
      <c r="I416" s="6">
        <f>SUMIFS('02b_CSP_Accelerator_Mix'!$H$2:$H$573,'02b_CSP_Accelerator_Mix'!$B$2:$B$573,B416,'02b_CSP_Accelerator_Mix'!$C$2:$C$573,E416,'02b_CSP_Accelerator_Mix'!$D$2:$D$573,D416,'02b_CSP_Accelerator_Mix'!$E$2:$E$573,F416)</f>
        <v/>
      </c>
      <c r="J416" s="28">
        <f>H416*I416</f>
        <v/>
      </c>
      <c r="K416" s="8">
        <f>IFERROR(INDEX('02x_Accelerator_Catalog'!$D$2:$D$11,MATCH(F416,'02x_Accelerator_Catalog'!$B$2:$B$11,0)),"")</f>
        <v/>
      </c>
      <c r="L416" s="7">
        <f>IF(K416&gt;0,J416*1000/K416,"")</f>
        <v/>
      </c>
      <c r="M416" s="5" t="inlineStr">
        <is>
          <t>epoch_csp_chip_quantity_latest</t>
        </is>
      </c>
      <c r="N416" s="5" t="inlineStr">
        <is>
          <t>Extensible long-format output: add a new accelerator row in 02b and map it in 02x_Accelerator_Catalog to extend this table.</t>
        </is>
      </c>
    </row>
    <row r="417">
      <c r="A417" s="5">
        <f>B417&amp;"|"&amp;C417&amp;"|"&amp;D417&amp;"|"&amp;E417&amp;"|"&amp;F417</f>
        <v/>
      </c>
      <c r="B417" s="5" t="inlineStr">
        <is>
          <t>Bull</t>
        </is>
      </c>
      <c r="C417" s="5" t="inlineStr">
        <is>
          <t>OpenAI</t>
        </is>
      </c>
      <c r="D417" s="5" t="n">
        <v>2027</v>
      </c>
      <c r="E417" s="5" t="inlineStr">
        <is>
          <t>Oracle</t>
        </is>
      </c>
      <c r="F417" s="5" t="inlineStr">
        <is>
          <t>H100/H200/A100 class</t>
        </is>
      </c>
      <c r="G417" s="5">
        <f>IFERROR(INDEX('02x_Accelerator_Catalog'!$C$2:$C$11,MATCH(F417,'02x_Accelerator_Catalog'!$B$2:$B$11,0)),"purpose_or_unbenchmarked")</f>
        <v/>
      </c>
      <c r="H417" s="28">
        <f>SUMIFS('02c_AI_CSP_Normalized'!$N$2:$N$305,'02c_AI_CSP_Normalized'!$B$2:$B$305,B417,'02c_AI_CSP_Normalized'!$C$2:$C$305,C417,'02c_AI_CSP_Normalized'!$D$2:$D$305,D417,'02c_AI_CSP_Normalized'!$E$2:$E$305,E417)</f>
        <v/>
      </c>
      <c r="I417" s="6">
        <f>SUMIFS('02b_CSP_Accelerator_Mix'!$H$2:$H$573,'02b_CSP_Accelerator_Mix'!$B$2:$B$573,B417,'02b_CSP_Accelerator_Mix'!$C$2:$C$573,E417,'02b_CSP_Accelerator_Mix'!$D$2:$D$573,D417,'02b_CSP_Accelerator_Mix'!$E$2:$E$573,F417)</f>
        <v/>
      </c>
      <c r="J417" s="28">
        <f>H417*I417</f>
        <v/>
      </c>
      <c r="K417" s="8">
        <f>IFERROR(INDEX('02x_Accelerator_Catalog'!$D$2:$D$11,MATCH(F417,'02x_Accelerator_Catalog'!$B$2:$B$11,0)),"")</f>
        <v/>
      </c>
      <c r="L417" s="7">
        <f>IF(K417&gt;0,J417*1000/K417,"")</f>
        <v/>
      </c>
      <c r="M417" s="5" t="inlineStr">
        <is>
          <t>epoch_csp_chip_quantity_latest</t>
        </is>
      </c>
      <c r="N417" s="5" t="inlineStr">
        <is>
          <t>Extensible long-format output: add a new accelerator row in 02b and map it in 02x_Accelerator_Catalog to extend this table.</t>
        </is>
      </c>
    </row>
    <row r="418">
      <c r="A418" s="5">
        <f>B418&amp;"|"&amp;C418&amp;"|"&amp;D418&amp;"|"&amp;E418&amp;"|"&amp;F418</f>
        <v/>
      </c>
      <c r="B418" s="5" t="inlineStr">
        <is>
          <t>Bull</t>
        </is>
      </c>
      <c r="C418" s="5" t="inlineStr">
        <is>
          <t>OpenAI</t>
        </is>
      </c>
      <c r="D418" s="5" t="n">
        <v>2027</v>
      </c>
      <c r="E418" s="5" t="inlineStr">
        <is>
          <t>Oracle</t>
        </is>
      </c>
      <c r="F418" s="5" t="inlineStr">
        <is>
          <t>R200/R300 future</t>
        </is>
      </c>
      <c r="G418" s="5">
        <f>IFERROR(INDEX('02x_Accelerator_Catalog'!$C$2:$C$11,MATCH(F418,'02x_Accelerator_Catalog'!$B$2:$B$11,0)),"purpose_or_unbenchmarked")</f>
        <v/>
      </c>
      <c r="H418" s="28">
        <f>SUMIFS('02c_AI_CSP_Normalized'!$N$2:$N$305,'02c_AI_CSP_Normalized'!$B$2:$B$305,B418,'02c_AI_CSP_Normalized'!$C$2:$C$305,C418,'02c_AI_CSP_Normalized'!$D$2:$D$305,D418,'02c_AI_CSP_Normalized'!$E$2:$E$305,E418)</f>
        <v/>
      </c>
      <c r="I418" s="6">
        <f>SUMIFS('02b_CSP_Accelerator_Mix'!$H$2:$H$573,'02b_CSP_Accelerator_Mix'!$B$2:$B$573,B418,'02b_CSP_Accelerator_Mix'!$C$2:$C$573,E418,'02b_CSP_Accelerator_Mix'!$D$2:$D$573,D418,'02b_CSP_Accelerator_Mix'!$E$2:$E$573,F418)</f>
        <v/>
      </c>
      <c r="J418" s="28">
        <f>H418*I418</f>
        <v/>
      </c>
      <c r="K418" s="8">
        <f>IFERROR(INDEX('02x_Accelerator_Catalog'!$D$2:$D$11,MATCH(F418,'02x_Accelerator_Catalog'!$B$2:$B$11,0)),"")</f>
        <v/>
      </c>
      <c r="L418" s="7">
        <f>IF(K418&gt;0,J418*1000/K418,"")</f>
        <v/>
      </c>
      <c r="M418" s="5" t="inlineStr">
        <is>
          <t>epoch_csp_chip_quantity_latest</t>
        </is>
      </c>
      <c r="N418" s="5" t="inlineStr">
        <is>
          <t>Extensible long-format output: add a new accelerator row in 02b and map it in 02x_Accelerator_Catalog to extend this table.</t>
        </is>
      </c>
    </row>
    <row r="419">
      <c r="A419" s="5">
        <f>B419&amp;"|"&amp;C419&amp;"|"&amp;D419&amp;"|"&amp;E419&amp;"|"&amp;F419</f>
        <v/>
      </c>
      <c r="B419" s="5" t="inlineStr">
        <is>
          <t>Grid-Constrained / Efficiency-Upside</t>
        </is>
      </c>
      <c r="C419" s="5" t="inlineStr">
        <is>
          <t>OpenAI</t>
        </is>
      </c>
      <c r="D419" s="5" t="n">
        <v>2027</v>
      </c>
      <c r="E419" s="5" t="inlineStr">
        <is>
          <t>Oracle</t>
        </is>
      </c>
      <c r="F419" s="5" t="inlineStr">
        <is>
          <t>B200/B300 class</t>
        </is>
      </c>
      <c r="G419" s="5">
        <f>IFERROR(INDEX('02x_Accelerator_Catalog'!$C$2:$C$11,MATCH(F419,'02x_Accelerator_Catalog'!$B$2:$B$11,0)),"purpose_or_unbenchmarked")</f>
        <v/>
      </c>
      <c r="H419" s="28">
        <f>SUMIFS('02c_AI_CSP_Normalized'!$N$2:$N$305,'02c_AI_CSP_Normalized'!$B$2:$B$305,B419,'02c_AI_CSP_Normalized'!$C$2:$C$305,C419,'02c_AI_CSP_Normalized'!$D$2:$D$305,D419,'02c_AI_CSP_Normalized'!$E$2:$E$305,E419)</f>
        <v/>
      </c>
      <c r="I419" s="6">
        <f>SUMIFS('02b_CSP_Accelerator_Mix'!$H$2:$H$573,'02b_CSP_Accelerator_Mix'!$B$2:$B$573,B419,'02b_CSP_Accelerator_Mix'!$C$2:$C$573,E419,'02b_CSP_Accelerator_Mix'!$D$2:$D$573,D419,'02b_CSP_Accelerator_Mix'!$E$2:$E$573,F419)</f>
        <v/>
      </c>
      <c r="J419" s="28">
        <f>H419*I419</f>
        <v/>
      </c>
      <c r="K419" s="8">
        <f>IFERROR(INDEX('02x_Accelerator_Catalog'!$D$2:$D$11,MATCH(F419,'02x_Accelerator_Catalog'!$B$2:$B$11,0)),"")</f>
        <v/>
      </c>
      <c r="L419" s="7">
        <f>IF(K419&gt;0,J419*1000/K419,"")</f>
        <v/>
      </c>
      <c r="M419" s="5" t="inlineStr">
        <is>
          <t>epoch_csp_chip_quantity_latest</t>
        </is>
      </c>
      <c r="N419" s="5" t="inlineStr">
        <is>
          <t>Extensible long-format output: add a new accelerator row in 02b and map it in 02x_Accelerator_Catalog to extend this table.</t>
        </is>
      </c>
    </row>
    <row r="420">
      <c r="A420" s="5">
        <f>B420&amp;"|"&amp;C420&amp;"|"&amp;D420&amp;"|"&amp;E420&amp;"|"&amp;F420</f>
        <v/>
      </c>
      <c r="B420" s="5" t="inlineStr">
        <is>
          <t>Grid-Constrained / Efficiency-Upside</t>
        </is>
      </c>
      <c r="C420" s="5" t="inlineStr">
        <is>
          <t>OpenAI</t>
        </is>
      </c>
      <c r="D420" s="5" t="n">
        <v>2027</v>
      </c>
      <c r="E420" s="5" t="inlineStr">
        <is>
          <t>Oracle</t>
        </is>
      </c>
      <c r="F420" s="5" t="inlineStr">
        <is>
          <t>H100/H200/A100 class</t>
        </is>
      </c>
      <c r="G420" s="5">
        <f>IFERROR(INDEX('02x_Accelerator_Catalog'!$C$2:$C$11,MATCH(F420,'02x_Accelerator_Catalog'!$B$2:$B$11,0)),"purpose_or_unbenchmarked")</f>
        <v/>
      </c>
      <c r="H420" s="28">
        <f>SUMIFS('02c_AI_CSP_Normalized'!$N$2:$N$305,'02c_AI_CSP_Normalized'!$B$2:$B$305,B420,'02c_AI_CSP_Normalized'!$C$2:$C$305,C420,'02c_AI_CSP_Normalized'!$D$2:$D$305,D420,'02c_AI_CSP_Normalized'!$E$2:$E$305,E420)</f>
        <v/>
      </c>
      <c r="I420" s="6">
        <f>SUMIFS('02b_CSP_Accelerator_Mix'!$H$2:$H$573,'02b_CSP_Accelerator_Mix'!$B$2:$B$573,B420,'02b_CSP_Accelerator_Mix'!$C$2:$C$573,E420,'02b_CSP_Accelerator_Mix'!$D$2:$D$573,D420,'02b_CSP_Accelerator_Mix'!$E$2:$E$573,F420)</f>
        <v/>
      </c>
      <c r="J420" s="28">
        <f>H420*I420</f>
        <v/>
      </c>
      <c r="K420" s="8">
        <f>IFERROR(INDEX('02x_Accelerator_Catalog'!$D$2:$D$11,MATCH(F420,'02x_Accelerator_Catalog'!$B$2:$B$11,0)),"")</f>
        <v/>
      </c>
      <c r="L420" s="7">
        <f>IF(K420&gt;0,J420*1000/K420,"")</f>
        <v/>
      </c>
      <c r="M420" s="5" t="inlineStr">
        <is>
          <t>epoch_csp_chip_quantity_latest</t>
        </is>
      </c>
      <c r="N420" s="5" t="inlineStr">
        <is>
          <t>Extensible long-format output: add a new accelerator row in 02b and map it in 02x_Accelerator_Catalog to extend this table.</t>
        </is>
      </c>
    </row>
    <row r="421">
      <c r="A421" s="5">
        <f>B421&amp;"|"&amp;C421&amp;"|"&amp;D421&amp;"|"&amp;E421&amp;"|"&amp;F421</f>
        <v/>
      </c>
      <c r="B421" s="5" t="inlineStr">
        <is>
          <t>Grid-Constrained / Efficiency-Upside</t>
        </is>
      </c>
      <c r="C421" s="5" t="inlineStr">
        <is>
          <t>OpenAI</t>
        </is>
      </c>
      <c r="D421" s="5" t="n">
        <v>2027</v>
      </c>
      <c r="E421" s="5" t="inlineStr">
        <is>
          <t>Oracle</t>
        </is>
      </c>
      <c r="F421" s="5" t="inlineStr">
        <is>
          <t>R200/R300 future</t>
        </is>
      </c>
      <c r="G421" s="5">
        <f>IFERROR(INDEX('02x_Accelerator_Catalog'!$C$2:$C$11,MATCH(F421,'02x_Accelerator_Catalog'!$B$2:$B$11,0)),"purpose_or_unbenchmarked")</f>
        <v/>
      </c>
      <c r="H421" s="28">
        <f>SUMIFS('02c_AI_CSP_Normalized'!$N$2:$N$305,'02c_AI_CSP_Normalized'!$B$2:$B$305,B421,'02c_AI_CSP_Normalized'!$C$2:$C$305,C421,'02c_AI_CSP_Normalized'!$D$2:$D$305,D421,'02c_AI_CSP_Normalized'!$E$2:$E$305,E421)</f>
        <v/>
      </c>
      <c r="I421" s="6">
        <f>SUMIFS('02b_CSP_Accelerator_Mix'!$H$2:$H$573,'02b_CSP_Accelerator_Mix'!$B$2:$B$573,B421,'02b_CSP_Accelerator_Mix'!$C$2:$C$573,E421,'02b_CSP_Accelerator_Mix'!$D$2:$D$573,D421,'02b_CSP_Accelerator_Mix'!$E$2:$E$573,F421)</f>
        <v/>
      </c>
      <c r="J421" s="28">
        <f>H421*I421</f>
        <v/>
      </c>
      <c r="K421" s="8">
        <f>IFERROR(INDEX('02x_Accelerator_Catalog'!$D$2:$D$11,MATCH(F421,'02x_Accelerator_Catalog'!$B$2:$B$11,0)),"")</f>
        <v/>
      </c>
      <c r="L421" s="7">
        <f>IF(K421&gt;0,J421*1000/K421,"")</f>
        <v/>
      </c>
      <c r="M421" s="5" t="inlineStr">
        <is>
          <t>epoch_csp_chip_quantity_latest</t>
        </is>
      </c>
      <c r="N421" s="5" t="inlineStr">
        <is>
          <t>Extensible long-format output: add a new accelerator row in 02b and map it in 02x_Accelerator_Catalog to extend this table.</t>
        </is>
      </c>
    </row>
    <row r="422">
      <c r="A422" s="5">
        <f>B422&amp;"|"&amp;C422&amp;"|"&amp;D422&amp;"|"&amp;E422&amp;"|"&amp;F422</f>
        <v/>
      </c>
      <c r="B422" s="5" t="inlineStr">
        <is>
          <t>Bear</t>
        </is>
      </c>
      <c r="C422" s="5" t="inlineStr">
        <is>
          <t>OpenAI</t>
        </is>
      </c>
      <c r="D422" s="5" t="n">
        <v>2028</v>
      </c>
      <c r="E422" s="5" t="inlineStr">
        <is>
          <t>Oracle</t>
        </is>
      </c>
      <c r="F422" s="5" t="inlineStr">
        <is>
          <t>B200/B300 class</t>
        </is>
      </c>
      <c r="G422" s="5">
        <f>IFERROR(INDEX('02x_Accelerator_Catalog'!$C$2:$C$11,MATCH(F422,'02x_Accelerator_Catalog'!$B$2:$B$11,0)),"purpose_or_unbenchmarked")</f>
        <v/>
      </c>
      <c r="H422" s="28">
        <f>SUMIFS('02c_AI_CSP_Normalized'!$N$2:$N$305,'02c_AI_CSP_Normalized'!$B$2:$B$305,B422,'02c_AI_CSP_Normalized'!$C$2:$C$305,C422,'02c_AI_CSP_Normalized'!$D$2:$D$305,D422,'02c_AI_CSP_Normalized'!$E$2:$E$305,E422)</f>
        <v/>
      </c>
      <c r="I422" s="6">
        <f>SUMIFS('02b_CSP_Accelerator_Mix'!$H$2:$H$573,'02b_CSP_Accelerator_Mix'!$B$2:$B$573,B422,'02b_CSP_Accelerator_Mix'!$C$2:$C$573,E422,'02b_CSP_Accelerator_Mix'!$D$2:$D$573,D422,'02b_CSP_Accelerator_Mix'!$E$2:$E$573,F422)</f>
        <v/>
      </c>
      <c r="J422" s="28">
        <f>H422*I422</f>
        <v/>
      </c>
      <c r="K422" s="8">
        <f>IFERROR(INDEX('02x_Accelerator_Catalog'!$D$2:$D$11,MATCH(F422,'02x_Accelerator_Catalog'!$B$2:$B$11,0)),"")</f>
        <v/>
      </c>
      <c r="L422" s="7">
        <f>IF(K422&gt;0,J422*1000/K422,"")</f>
        <v/>
      </c>
      <c r="M422" s="5" t="inlineStr">
        <is>
          <t>epoch_csp_chip_quantity_latest</t>
        </is>
      </c>
      <c r="N422" s="5" t="inlineStr">
        <is>
          <t>Extensible long-format output: add a new accelerator row in 02b and map it in 02x_Accelerator_Catalog to extend this table.</t>
        </is>
      </c>
    </row>
    <row r="423">
      <c r="A423" s="5">
        <f>B423&amp;"|"&amp;C423&amp;"|"&amp;D423&amp;"|"&amp;E423&amp;"|"&amp;F423</f>
        <v/>
      </c>
      <c r="B423" s="5" t="inlineStr">
        <is>
          <t>Bear</t>
        </is>
      </c>
      <c r="C423" s="5" t="inlineStr">
        <is>
          <t>OpenAI</t>
        </is>
      </c>
      <c r="D423" s="5" t="n">
        <v>2028</v>
      </c>
      <c r="E423" s="5" t="inlineStr">
        <is>
          <t>Oracle</t>
        </is>
      </c>
      <c r="F423" s="5" t="inlineStr">
        <is>
          <t>H100/H200/A100 class</t>
        </is>
      </c>
      <c r="G423" s="5">
        <f>IFERROR(INDEX('02x_Accelerator_Catalog'!$C$2:$C$11,MATCH(F423,'02x_Accelerator_Catalog'!$B$2:$B$11,0)),"purpose_or_unbenchmarked")</f>
        <v/>
      </c>
      <c r="H423" s="28">
        <f>SUMIFS('02c_AI_CSP_Normalized'!$N$2:$N$305,'02c_AI_CSP_Normalized'!$B$2:$B$305,B423,'02c_AI_CSP_Normalized'!$C$2:$C$305,C423,'02c_AI_CSP_Normalized'!$D$2:$D$305,D423,'02c_AI_CSP_Normalized'!$E$2:$E$305,E423)</f>
        <v/>
      </c>
      <c r="I423" s="6">
        <f>SUMIFS('02b_CSP_Accelerator_Mix'!$H$2:$H$573,'02b_CSP_Accelerator_Mix'!$B$2:$B$573,B423,'02b_CSP_Accelerator_Mix'!$C$2:$C$573,E423,'02b_CSP_Accelerator_Mix'!$D$2:$D$573,D423,'02b_CSP_Accelerator_Mix'!$E$2:$E$573,F423)</f>
        <v/>
      </c>
      <c r="J423" s="28">
        <f>H423*I423</f>
        <v/>
      </c>
      <c r="K423" s="8">
        <f>IFERROR(INDEX('02x_Accelerator_Catalog'!$D$2:$D$11,MATCH(F423,'02x_Accelerator_Catalog'!$B$2:$B$11,0)),"")</f>
        <v/>
      </c>
      <c r="L423" s="7">
        <f>IF(K423&gt;0,J423*1000/K423,"")</f>
        <v/>
      </c>
      <c r="M423" s="5" t="inlineStr">
        <is>
          <t>epoch_csp_chip_quantity_latest</t>
        </is>
      </c>
      <c r="N423" s="5" t="inlineStr">
        <is>
          <t>Extensible long-format output: add a new accelerator row in 02b and map it in 02x_Accelerator_Catalog to extend this table.</t>
        </is>
      </c>
    </row>
    <row r="424">
      <c r="A424" s="5">
        <f>B424&amp;"|"&amp;C424&amp;"|"&amp;D424&amp;"|"&amp;E424&amp;"|"&amp;F424</f>
        <v/>
      </c>
      <c r="B424" s="5" t="inlineStr">
        <is>
          <t>Bear</t>
        </is>
      </c>
      <c r="C424" s="5" t="inlineStr">
        <is>
          <t>OpenAI</t>
        </is>
      </c>
      <c r="D424" s="5" t="n">
        <v>2028</v>
      </c>
      <c r="E424" s="5" t="inlineStr">
        <is>
          <t>Oracle</t>
        </is>
      </c>
      <c r="F424" s="5" t="inlineStr">
        <is>
          <t>R200/R300 future</t>
        </is>
      </c>
      <c r="G424" s="5">
        <f>IFERROR(INDEX('02x_Accelerator_Catalog'!$C$2:$C$11,MATCH(F424,'02x_Accelerator_Catalog'!$B$2:$B$11,0)),"purpose_or_unbenchmarked")</f>
        <v/>
      </c>
      <c r="H424" s="28">
        <f>SUMIFS('02c_AI_CSP_Normalized'!$N$2:$N$305,'02c_AI_CSP_Normalized'!$B$2:$B$305,B424,'02c_AI_CSP_Normalized'!$C$2:$C$305,C424,'02c_AI_CSP_Normalized'!$D$2:$D$305,D424,'02c_AI_CSP_Normalized'!$E$2:$E$305,E424)</f>
        <v/>
      </c>
      <c r="I424" s="6">
        <f>SUMIFS('02b_CSP_Accelerator_Mix'!$H$2:$H$573,'02b_CSP_Accelerator_Mix'!$B$2:$B$573,B424,'02b_CSP_Accelerator_Mix'!$C$2:$C$573,E424,'02b_CSP_Accelerator_Mix'!$D$2:$D$573,D424,'02b_CSP_Accelerator_Mix'!$E$2:$E$573,F424)</f>
        <v/>
      </c>
      <c r="J424" s="28">
        <f>H424*I424</f>
        <v/>
      </c>
      <c r="K424" s="8">
        <f>IFERROR(INDEX('02x_Accelerator_Catalog'!$D$2:$D$11,MATCH(F424,'02x_Accelerator_Catalog'!$B$2:$B$11,0)),"")</f>
        <v/>
      </c>
      <c r="L424" s="7">
        <f>IF(K424&gt;0,J424*1000/K424,"")</f>
        <v/>
      </c>
      <c r="M424" s="5" t="inlineStr">
        <is>
          <t>epoch_csp_chip_quantity_latest</t>
        </is>
      </c>
      <c r="N424" s="5" t="inlineStr">
        <is>
          <t>Extensible long-format output: add a new accelerator row in 02b and map it in 02x_Accelerator_Catalog to extend this table.</t>
        </is>
      </c>
    </row>
    <row r="425">
      <c r="A425" s="5">
        <f>B425&amp;"|"&amp;C425&amp;"|"&amp;D425&amp;"|"&amp;E425&amp;"|"&amp;F425</f>
        <v/>
      </c>
      <c r="B425" s="5" t="inlineStr">
        <is>
          <t>Base</t>
        </is>
      </c>
      <c r="C425" s="5" t="inlineStr">
        <is>
          <t>OpenAI</t>
        </is>
      </c>
      <c r="D425" s="5" t="n">
        <v>2028</v>
      </c>
      <c r="E425" s="5" t="inlineStr">
        <is>
          <t>Oracle</t>
        </is>
      </c>
      <c r="F425" s="5" t="inlineStr">
        <is>
          <t>B200/B300 class</t>
        </is>
      </c>
      <c r="G425" s="5">
        <f>IFERROR(INDEX('02x_Accelerator_Catalog'!$C$2:$C$11,MATCH(F425,'02x_Accelerator_Catalog'!$B$2:$B$11,0)),"purpose_or_unbenchmarked")</f>
        <v/>
      </c>
      <c r="H425" s="28">
        <f>SUMIFS('02c_AI_CSP_Normalized'!$N$2:$N$305,'02c_AI_CSP_Normalized'!$B$2:$B$305,B425,'02c_AI_CSP_Normalized'!$C$2:$C$305,C425,'02c_AI_CSP_Normalized'!$D$2:$D$305,D425,'02c_AI_CSP_Normalized'!$E$2:$E$305,E425)</f>
        <v/>
      </c>
      <c r="I425" s="6">
        <f>SUMIFS('02b_CSP_Accelerator_Mix'!$H$2:$H$573,'02b_CSP_Accelerator_Mix'!$B$2:$B$573,B425,'02b_CSP_Accelerator_Mix'!$C$2:$C$573,E425,'02b_CSP_Accelerator_Mix'!$D$2:$D$573,D425,'02b_CSP_Accelerator_Mix'!$E$2:$E$573,F425)</f>
        <v/>
      </c>
      <c r="J425" s="28">
        <f>H425*I425</f>
        <v/>
      </c>
      <c r="K425" s="8">
        <f>IFERROR(INDEX('02x_Accelerator_Catalog'!$D$2:$D$11,MATCH(F425,'02x_Accelerator_Catalog'!$B$2:$B$11,0)),"")</f>
        <v/>
      </c>
      <c r="L425" s="7">
        <f>IF(K425&gt;0,J425*1000/K425,"")</f>
        <v/>
      </c>
      <c r="M425" s="5" t="inlineStr">
        <is>
          <t>epoch_csp_chip_quantity_latest</t>
        </is>
      </c>
      <c r="N425" s="5" t="inlineStr">
        <is>
          <t>Extensible long-format output: add a new accelerator row in 02b and map it in 02x_Accelerator_Catalog to extend this table.</t>
        </is>
      </c>
    </row>
    <row r="426">
      <c r="A426" s="5">
        <f>B426&amp;"|"&amp;C426&amp;"|"&amp;D426&amp;"|"&amp;E426&amp;"|"&amp;F426</f>
        <v/>
      </c>
      <c r="B426" s="5" t="inlineStr">
        <is>
          <t>Base</t>
        </is>
      </c>
      <c r="C426" s="5" t="inlineStr">
        <is>
          <t>OpenAI</t>
        </is>
      </c>
      <c r="D426" s="5" t="n">
        <v>2028</v>
      </c>
      <c r="E426" s="5" t="inlineStr">
        <is>
          <t>Oracle</t>
        </is>
      </c>
      <c r="F426" s="5" t="inlineStr">
        <is>
          <t>H100/H200/A100 class</t>
        </is>
      </c>
      <c r="G426" s="5">
        <f>IFERROR(INDEX('02x_Accelerator_Catalog'!$C$2:$C$11,MATCH(F426,'02x_Accelerator_Catalog'!$B$2:$B$11,0)),"purpose_or_unbenchmarked")</f>
        <v/>
      </c>
      <c r="H426" s="28">
        <f>SUMIFS('02c_AI_CSP_Normalized'!$N$2:$N$305,'02c_AI_CSP_Normalized'!$B$2:$B$305,B426,'02c_AI_CSP_Normalized'!$C$2:$C$305,C426,'02c_AI_CSP_Normalized'!$D$2:$D$305,D426,'02c_AI_CSP_Normalized'!$E$2:$E$305,E426)</f>
        <v/>
      </c>
      <c r="I426" s="6">
        <f>SUMIFS('02b_CSP_Accelerator_Mix'!$H$2:$H$573,'02b_CSP_Accelerator_Mix'!$B$2:$B$573,B426,'02b_CSP_Accelerator_Mix'!$C$2:$C$573,E426,'02b_CSP_Accelerator_Mix'!$D$2:$D$573,D426,'02b_CSP_Accelerator_Mix'!$E$2:$E$573,F426)</f>
        <v/>
      </c>
      <c r="J426" s="28">
        <f>H426*I426</f>
        <v/>
      </c>
      <c r="K426" s="8">
        <f>IFERROR(INDEX('02x_Accelerator_Catalog'!$D$2:$D$11,MATCH(F426,'02x_Accelerator_Catalog'!$B$2:$B$11,0)),"")</f>
        <v/>
      </c>
      <c r="L426" s="7">
        <f>IF(K426&gt;0,J426*1000/K426,"")</f>
        <v/>
      </c>
      <c r="M426" s="5" t="inlineStr">
        <is>
          <t>epoch_csp_chip_quantity_latest</t>
        </is>
      </c>
      <c r="N426" s="5" t="inlineStr">
        <is>
          <t>Extensible long-format output: add a new accelerator row in 02b and map it in 02x_Accelerator_Catalog to extend this table.</t>
        </is>
      </c>
    </row>
    <row r="427">
      <c r="A427" s="5">
        <f>B427&amp;"|"&amp;C427&amp;"|"&amp;D427&amp;"|"&amp;E427&amp;"|"&amp;F427</f>
        <v/>
      </c>
      <c r="B427" s="5" t="inlineStr">
        <is>
          <t>Base</t>
        </is>
      </c>
      <c r="C427" s="5" t="inlineStr">
        <is>
          <t>OpenAI</t>
        </is>
      </c>
      <c r="D427" s="5" t="n">
        <v>2028</v>
      </c>
      <c r="E427" s="5" t="inlineStr">
        <is>
          <t>Oracle</t>
        </is>
      </c>
      <c r="F427" s="5" t="inlineStr">
        <is>
          <t>R200/R300 future</t>
        </is>
      </c>
      <c r="G427" s="5">
        <f>IFERROR(INDEX('02x_Accelerator_Catalog'!$C$2:$C$11,MATCH(F427,'02x_Accelerator_Catalog'!$B$2:$B$11,0)),"purpose_or_unbenchmarked")</f>
        <v/>
      </c>
      <c r="H427" s="28">
        <f>SUMIFS('02c_AI_CSP_Normalized'!$N$2:$N$305,'02c_AI_CSP_Normalized'!$B$2:$B$305,B427,'02c_AI_CSP_Normalized'!$C$2:$C$305,C427,'02c_AI_CSP_Normalized'!$D$2:$D$305,D427,'02c_AI_CSP_Normalized'!$E$2:$E$305,E427)</f>
        <v/>
      </c>
      <c r="I427" s="6">
        <f>SUMIFS('02b_CSP_Accelerator_Mix'!$H$2:$H$573,'02b_CSP_Accelerator_Mix'!$B$2:$B$573,B427,'02b_CSP_Accelerator_Mix'!$C$2:$C$573,E427,'02b_CSP_Accelerator_Mix'!$D$2:$D$573,D427,'02b_CSP_Accelerator_Mix'!$E$2:$E$573,F427)</f>
        <v/>
      </c>
      <c r="J427" s="28">
        <f>H427*I427</f>
        <v/>
      </c>
      <c r="K427" s="8">
        <f>IFERROR(INDEX('02x_Accelerator_Catalog'!$D$2:$D$11,MATCH(F427,'02x_Accelerator_Catalog'!$B$2:$B$11,0)),"")</f>
        <v/>
      </c>
      <c r="L427" s="7">
        <f>IF(K427&gt;0,J427*1000/K427,"")</f>
        <v/>
      </c>
      <c r="M427" s="5" t="inlineStr">
        <is>
          <t>epoch_csp_chip_quantity_latest</t>
        </is>
      </c>
      <c r="N427" s="5" t="inlineStr">
        <is>
          <t>Extensible long-format output: add a new accelerator row in 02b and map it in 02x_Accelerator_Catalog to extend this table.</t>
        </is>
      </c>
    </row>
    <row r="428">
      <c r="A428" s="5">
        <f>B428&amp;"|"&amp;C428&amp;"|"&amp;D428&amp;"|"&amp;E428&amp;"|"&amp;F428</f>
        <v/>
      </c>
      <c r="B428" s="5" t="inlineStr">
        <is>
          <t>Bull</t>
        </is>
      </c>
      <c r="C428" s="5" t="inlineStr">
        <is>
          <t>OpenAI</t>
        </is>
      </c>
      <c r="D428" s="5" t="n">
        <v>2028</v>
      </c>
      <c r="E428" s="5" t="inlineStr">
        <is>
          <t>Oracle</t>
        </is>
      </c>
      <c r="F428" s="5" t="inlineStr">
        <is>
          <t>B200/B300 class</t>
        </is>
      </c>
      <c r="G428" s="5">
        <f>IFERROR(INDEX('02x_Accelerator_Catalog'!$C$2:$C$11,MATCH(F428,'02x_Accelerator_Catalog'!$B$2:$B$11,0)),"purpose_or_unbenchmarked")</f>
        <v/>
      </c>
      <c r="H428" s="28">
        <f>SUMIFS('02c_AI_CSP_Normalized'!$N$2:$N$305,'02c_AI_CSP_Normalized'!$B$2:$B$305,B428,'02c_AI_CSP_Normalized'!$C$2:$C$305,C428,'02c_AI_CSP_Normalized'!$D$2:$D$305,D428,'02c_AI_CSP_Normalized'!$E$2:$E$305,E428)</f>
        <v/>
      </c>
      <c r="I428" s="6">
        <f>SUMIFS('02b_CSP_Accelerator_Mix'!$H$2:$H$573,'02b_CSP_Accelerator_Mix'!$B$2:$B$573,B428,'02b_CSP_Accelerator_Mix'!$C$2:$C$573,E428,'02b_CSP_Accelerator_Mix'!$D$2:$D$573,D428,'02b_CSP_Accelerator_Mix'!$E$2:$E$573,F428)</f>
        <v/>
      </c>
      <c r="J428" s="28">
        <f>H428*I428</f>
        <v/>
      </c>
      <c r="K428" s="8">
        <f>IFERROR(INDEX('02x_Accelerator_Catalog'!$D$2:$D$11,MATCH(F428,'02x_Accelerator_Catalog'!$B$2:$B$11,0)),"")</f>
        <v/>
      </c>
      <c r="L428" s="7">
        <f>IF(K428&gt;0,J428*1000/K428,"")</f>
        <v/>
      </c>
      <c r="M428" s="5" t="inlineStr">
        <is>
          <t>epoch_csp_chip_quantity_latest</t>
        </is>
      </c>
      <c r="N428" s="5" t="inlineStr">
        <is>
          <t>Extensible long-format output: add a new accelerator row in 02b and map it in 02x_Accelerator_Catalog to extend this table.</t>
        </is>
      </c>
    </row>
    <row r="429">
      <c r="A429" s="5">
        <f>B429&amp;"|"&amp;C429&amp;"|"&amp;D429&amp;"|"&amp;E429&amp;"|"&amp;F429</f>
        <v/>
      </c>
      <c r="B429" s="5" t="inlineStr">
        <is>
          <t>Bull</t>
        </is>
      </c>
      <c r="C429" s="5" t="inlineStr">
        <is>
          <t>OpenAI</t>
        </is>
      </c>
      <c r="D429" s="5" t="n">
        <v>2028</v>
      </c>
      <c r="E429" s="5" t="inlineStr">
        <is>
          <t>Oracle</t>
        </is>
      </c>
      <c r="F429" s="5" t="inlineStr">
        <is>
          <t>H100/H200/A100 class</t>
        </is>
      </c>
      <c r="G429" s="5">
        <f>IFERROR(INDEX('02x_Accelerator_Catalog'!$C$2:$C$11,MATCH(F429,'02x_Accelerator_Catalog'!$B$2:$B$11,0)),"purpose_or_unbenchmarked")</f>
        <v/>
      </c>
      <c r="H429" s="28">
        <f>SUMIFS('02c_AI_CSP_Normalized'!$N$2:$N$305,'02c_AI_CSP_Normalized'!$B$2:$B$305,B429,'02c_AI_CSP_Normalized'!$C$2:$C$305,C429,'02c_AI_CSP_Normalized'!$D$2:$D$305,D429,'02c_AI_CSP_Normalized'!$E$2:$E$305,E429)</f>
        <v/>
      </c>
      <c r="I429" s="6">
        <f>SUMIFS('02b_CSP_Accelerator_Mix'!$H$2:$H$573,'02b_CSP_Accelerator_Mix'!$B$2:$B$573,B429,'02b_CSP_Accelerator_Mix'!$C$2:$C$573,E429,'02b_CSP_Accelerator_Mix'!$D$2:$D$573,D429,'02b_CSP_Accelerator_Mix'!$E$2:$E$573,F429)</f>
        <v/>
      </c>
      <c r="J429" s="28">
        <f>H429*I429</f>
        <v/>
      </c>
      <c r="K429" s="8">
        <f>IFERROR(INDEX('02x_Accelerator_Catalog'!$D$2:$D$11,MATCH(F429,'02x_Accelerator_Catalog'!$B$2:$B$11,0)),"")</f>
        <v/>
      </c>
      <c r="L429" s="7">
        <f>IF(K429&gt;0,J429*1000/K429,"")</f>
        <v/>
      </c>
      <c r="M429" s="5" t="inlineStr">
        <is>
          <t>epoch_csp_chip_quantity_latest</t>
        </is>
      </c>
      <c r="N429" s="5" t="inlineStr">
        <is>
          <t>Extensible long-format output: add a new accelerator row in 02b and map it in 02x_Accelerator_Catalog to extend this table.</t>
        </is>
      </c>
    </row>
    <row r="430">
      <c r="A430" s="5">
        <f>B430&amp;"|"&amp;C430&amp;"|"&amp;D430&amp;"|"&amp;E430&amp;"|"&amp;F430</f>
        <v/>
      </c>
      <c r="B430" s="5" t="inlineStr">
        <is>
          <t>Bull</t>
        </is>
      </c>
      <c r="C430" s="5" t="inlineStr">
        <is>
          <t>OpenAI</t>
        </is>
      </c>
      <c r="D430" s="5" t="n">
        <v>2028</v>
      </c>
      <c r="E430" s="5" t="inlineStr">
        <is>
          <t>Oracle</t>
        </is>
      </c>
      <c r="F430" s="5" t="inlineStr">
        <is>
          <t>R200/R300 future</t>
        </is>
      </c>
      <c r="G430" s="5">
        <f>IFERROR(INDEX('02x_Accelerator_Catalog'!$C$2:$C$11,MATCH(F430,'02x_Accelerator_Catalog'!$B$2:$B$11,0)),"purpose_or_unbenchmarked")</f>
        <v/>
      </c>
      <c r="H430" s="28">
        <f>SUMIFS('02c_AI_CSP_Normalized'!$N$2:$N$305,'02c_AI_CSP_Normalized'!$B$2:$B$305,B430,'02c_AI_CSP_Normalized'!$C$2:$C$305,C430,'02c_AI_CSP_Normalized'!$D$2:$D$305,D430,'02c_AI_CSP_Normalized'!$E$2:$E$305,E430)</f>
        <v/>
      </c>
      <c r="I430" s="6">
        <f>SUMIFS('02b_CSP_Accelerator_Mix'!$H$2:$H$573,'02b_CSP_Accelerator_Mix'!$B$2:$B$573,B430,'02b_CSP_Accelerator_Mix'!$C$2:$C$573,E430,'02b_CSP_Accelerator_Mix'!$D$2:$D$573,D430,'02b_CSP_Accelerator_Mix'!$E$2:$E$573,F430)</f>
        <v/>
      </c>
      <c r="J430" s="28">
        <f>H430*I430</f>
        <v/>
      </c>
      <c r="K430" s="8">
        <f>IFERROR(INDEX('02x_Accelerator_Catalog'!$D$2:$D$11,MATCH(F430,'02x_Accelerator_Catalog'!$B$2:$B$11,0)),"")</f>
        <v/>
      </c>
      <c r="L430" s="7">
        <f>IF(K430&gt;0,J430*1000/K430,"")</f>
        <v/>
      </c>
      <c r="M430" s="5" t="inlineStr">
        <is>
          <t>epoch_csp_chip_quantity_latest</t>
        </is>
      </c>
      <c r="N430" s="5" t="inlineStr">
        <is>
          <t>Extensible long-format output: add a new accelerator row in 02b and map it in 02x_Accelerator_Catalog to extend this table.</t>
        </is>
      </c>
    </row>
    <row r="431">
      <c r="A431" s="5">
        <f>B431&amp;"|"&amp;C431&amp;"|"&amp;D431&amp;"|"&amp;E431&amp;"|"&amp;F431</f>
        <v/>
      </c>
      <c r="B431" s="5" t="inlineStr">
        <is>
          <t>Grid-Constrained / Efficiency-Upside</t>
        </is>
      </c>
      <c r="C431" s="5" t="inlineStr">
        <is>
          <t>OpenAI</t>
        </is>
      </c>
      <c r="D431" s="5" t="n">
        <v>2028</v>
      </c>
      <c r="E431" s="5" t="inlineStr">
        <is>
          <t>Oracle</t>
        </is>
      </c>
      <c r="F431" s="5" t="inlineStr">
        <is>
          <t>B200/B300 class</t>
        </is>
      </c>
      <c r="G431" s="5">
        <f>IFERROR(INDEX('02x_Accelerator_Catalog'!$C$2:$C$11,MATCH(F431,'02x_Accelerator_Catalog'!$B$2:$B$11,0)),"purpose_or_unbenchmarked")</f>
        <v/>
      </c>
      <c r="H431" s="28">
        <f>SUMIFS('02c_AI_CSP_Normalized'!$N$2:$N$305,'02c_AI_CSP_Normalized'!$B$2:$B$305,B431,'02c_AI_CSP_Normalized'!$C$2:$C$305,C431,'02c_AI_CSP_Normalized'!$D$2:$D$305,D431,'02c_AI_CSP_Normalized'!$E$2:$E$305,E431)</f>
        <v/>
      </c>
      <c r="I431" s="6">
        <f>SUMIFS('02b_CSP_Accelerator_Mix'!$H$2:$H$573,'02b_CSP_Accelerator_Mix'!$B$2:$B$573,B431,'02b_CSP_Accelerator_Mix'!$C$2:$C$573,E431,'02b_CSP_Accelerator_Mix'!$D$2:$D$573,D431,'02b_CSP_Accelerator_Mix'!$E$2:$E$573,F431)</f>
        <v/>
      </c>
      <c r="J431" s="28">
        <f>H431*I431</f>
        <v/>
      </c>
      <c r="K431" s="8">
        <f>IFERROR(INDEX('02x_Accelerator_Catalog'!$D$2:$D$11,MATCH(F431,'02x_Accelerator_Catalog'!$B$2:$B$11,0)),"")</f>
        <v/>
      </c>
      <c r="L431" s="7">
        <f>IF(K431&gt;0,J431*1000/K431,"")</f>
        <v/>
      </c>
      <c r="M431" s="5" t="inlineStr">
        <is>
          <t>epoch_csp_chip_quantity_latest</t>
        </is>
      </c>
      <c r="N431" s="5" t="inlineStr">
        <is>
          <t>Extensible long-format output: add a new accelerator row in 02b and map it in 02x_Accelerator_Catalog to extend this table.</t>
        </is>
      </c>
    </row>
    <row r="432">
      <c r="A432" s="5">
        <f>B432&amp;"|"&amp;C432&amp;"|"&amp;D432&amp;"|"&amp;E432&amp;"|"&amp;F432</f>
        <v/>
      </c>
      <c r="B432" s="5" t="inlineStr">
        <is>
          <t>Grid-Constrained / Efficiency-Upside</t>
        </is>
      </c>
      <c r="C432" s="5" t="inlineStr">
        <is>
          <t>OpenAI</t>
        </is>
      </c>
      <c r="D432" s="5" t="n">
        <v>2028</v>
      </c>
      <c r="E432" s="5" t="inlineStr">
        <is>
          <t>Oracle</t>
        </is>
      </c>
      <c r="F432" s="5" t="inlineStr">
        <is>
          <t>H100/H200/A100 class</t>
        </is>
      </c>
      <c r="G432" s="5">
        <f>IFERROR(INDEX('02x_Accelerator_Catalog'!$C$2:$C$11,MATCH(F432,'02x_Accelerator_Catalog'!$B$2:$B$11,0)),"purpose_or_unbenchmarked")</f>
        <v/>
      </c>
      <c r="H432" s="28">
        <f>SUMIFS('02c_AI_CSP_Normalized'!$N$2:$N$305,'02c_AI_CSP_Normalized'!$B$2:$B$305,B432,'02c_AI_CSP_Normalized'!$C$2:$C$305,C432,'02c_AI_CSP_Normalized'!$D$2:$D$305,D432,'02c_AI_CSP_Normalized'!$E$2:$E$305,E432)</f>
        <v/>
      </c>
      <c r="I432" s="6">
        <f>SUMIFS('02b_CSP_Accelerator_Mix'!$H$2:$H$573,'02b_CSP_Accelerator_Mix'!$B$2:$B$573,B432,'02b_CSP_Accelerator_Mix'!$C$2:$C$573,E432,'02b_CSP_Accelerator_Mix'!$D$2:$D$573,D432,'02b_CSP_Accelerator_Mix'!$E$2:$E$573,F432)</f>
        <v/>
      </c>
      <c r="J432" s="28">
        <f>H432*I432</f>
        <v/>
      </c>
      <c r="K432" s="8">
        <f>IFERROR(INDEX('02x_Accelerator_Catalog'!$D$2:$D$11,MATCH(F432,'02x_Accelerator_Catalog'!$B$2:$B$11,0)),"")</f>
        <v/>
      </c>
      <c r="L432" s="7">
        <f>IF(K432&gt;0,J432*1000/K432,"")</f>
        <v/>
      </c>
      <c r="M432" s="5" t="inlineStr">
        <is>
          <t>epoch_csp_chip_quantity_latest</t>
        </is>
      </c>
      <c r="N432" s="5" t="inlineStr">
        <is>
          <t>Extensible long-format output: add a new accelerator row in 02b and map it in 02x_Accelerator_Catalog to extend this table.</t>
        </is>
      </c>
    </row>
    <row r="433">
      <c r="A433" s="5">
        <f>B433&amp;"|"&amp;C433&amp;"|"&amp;D433&amp;"|"&amp;E433&amp;"|"&amp;F433</f>
        <v/>
      </c>
      <c r="B433" s="5" t="inlineStr">
        <is>
          <t>Grid-Constrained / Efficiency-Upside</t>
        </is>
      </c>
      <c r="C433" s="5" t="inlineStr">
        <is>
          <t>OpenAI</t>
        </is>
      </c>
      <c r="D433" s="5" t="n">
        <v>2028</v>
      </c>
      <c r="E433" s="5" t="inlineStr">
        <is>
          <t>Oracle</t>
        </is>
      </c>
      <c r="F433" s="5" t="inlineStr">
        <is>
          <t>R200/R300 future</t>
        </is>
      </c>
      <c r="G433" s="5">
        <f>IFERROR(INDEX('02x_Accelerator_Catalog'!$C$2:$C$11,MATCH(F433,'02x_Accelerator_Catalog'!$B$2:$B$11,0)),"purpose_or_unbenchmarked")</f>
        <v/>
      </c>
      <c r="H433" s="28">
        <f>SUMIFS('02c_AI_CSP_Normalized'!$N$2:$N$305,'02c_AI_CSP_Normalized'!$B$2:$B$305,B433,'02c_AI_CSP_Normalized'!$C$2:$C$305,C433,'02c_AI_CSP_Normalized'!$D$2:$D$305,D433,'02c_AI_CSP_Normalized'!$E$2:$E$305,E433)</f>
        <v/>
      </c>
      <c r="I433" s="6">
        <f>SUMIFS('02b_CSP_Accelerator_Mix'!$H$2:$H$573,'02b_CSP_Accelerator_Mix'!$B$2:$B$573,B433,'02b_CSP_Accelerator_Mix'!$C$2:$C$573,E433,'02b_CSP_Accelerator_Mix'!$D$2:$D$573,D433,'02b_CSP_Accelerator_Mix'!$E$2:$E$573,F433)</f>
        <v/>
      </c>
      <c r="J433" s="28">
        <f>H433*I433</f>
        <v/>
      </c>
      <c r="K433" s="8">
        <f>IFERROR(INDEX('02x_Accelerator_Catalog'!$D$2:$D$11,MATCH(F433,'02x_Accelerator_Catalog'!$B$2:$B$11,0)),"")</f>
        <v/>
      </c>
      <c r="L433" s="7">
        <f>IF(K433&gt;0,J433*1000/K433,"")</f>
        <v/>
      </c>
      <c r="M433" s="5" t="inlineStr">
        <is>
          <t>epoch_csp_chip_quantity_latest</t>
        </is>
      </c>
      <c r="N433" s="5" t="inlineStr">
        <is>
          <t>Extensible long-format output: add a new accelerator row in 02b and map it in 02x_Accelerator_Catalog to extend this table.</t>
        </is>
      </c>
    </row>
    <row r="434">
      <c r="A434" s="5">
        <f>B434&amp;"|"&amp;C434&amp;"|"&amp;D434&amp;"|"&amp;E434&amp;"|"&amp;F434</f>
        <v/>
      </c>
      <c r="B434" s="5" t="inlineStr">
        <is>
          <t>Bear</t>
        </is>
      </c>
      <c r="C434" s="5" t="inlineStr">
        <is>
          <t>OpenAI</t>
        </is>
      </c>
      <c r="D434" s="5" t="n">
        <v>2029</v>
      </c>
      <c r="E434" s="5" t="inlineStr">
        <is>
          <t>Oracle</t>
        </is>
      </c>
      <c r="F434" s="5" t="inlineStr">
        <is>
          <t>B200/B300 class</t>
        </is>
      </c>
      <c r="G434" s="5">
        <f>IFERROR(INDEX('02x_Accelerator_Catalog'!$C$2:$C$11,MATCH(F434,'02x_Accelerator_Catalog'!$B$2:$B$11,0)),"purpose_or_unbenchmarked")</f>
        <v/>
      </c>
      <c r="H434" s="28">
        <f>SUMIFS('02c_AI_CSP_Normalized'!$N$2:$N$305,'02c_AI_CSP_Normalized'!$B$2:$B$305,B434,'02c_AI_CSP_Normalized'!$C$2:$C$305,C434,'02c_AI_CSP_Normalized'!$D$2:$D$305,D434,'02c_AI_CSP_Normalized'!$E$2:$E$305,E434)</f>
        <v/>
      </c>
      <c r="I434" s="6">
        <f>SUMIFS('02b_CSP_Accelerator_Mix'!$H$2:$H$573,'02b_CSP_Accelerator_Mix'!$B$2:$B$573,B434,'02b_CSP_Accelerator_Mix'!$C$2:$C$573,E434,'02b_CSP_Accelerator_Mix'!$D$2:$D$573,D434,'02b_CSP_Accelerator_Mix'!$E$2:$E$573,F434)</f>
        <v/>
      </c>
      <c r="J434" s="28">
        <f>H434*I434</f>
        <v/>
      </c>
      <c r="K434" s="8">
        <f>IFERROR(INDEX('02x_Accelerator_Catalog'!$D$2:$D$11,MATCH(F434,'02x_Accelerator_Catalog'!$B$2:$B$11,0)),"")</f>
        <v/>
      </c>
      <c r="L434" s="7">
        <f>IF(K434&gt;0,J434*1000/K434,"")</f>
        <v/>
      </c>
      <c r="M434" s="5" t="inlineStr">
        <is>
          <t>epoch_csp_chip_quantity_latest</t>
        </is>
      </c>
      <c r="N434" s="5" t="inlineStr">
        <is>
          <t>Extensible long-format output: add a new accelerator row in 02b and map it in 02x_Accelerator_Catalog to extend this table.</t>
        </is>
      </c>
    </row>
    <row r="435">
      <c r="A435" s="5">
        <f>B435&amp;"|"&amp;C435&amp;"|"&amp;D435&amp;"|"&amp;E435&amp;"|"&amp;F435</f>
        <v/>
      </c>
      <c r="B435" s="5" t="inlineStr">
        <is>
          <t>Bear</t>
        </is>
      </c>
      <c r="C435" s="5" t="inlineStr">
        <is>
          <t>OpenAI</t>
        </is>
      </c>
      <c r="D435" s="5" t="n">
        <v>2029</v>
      </c>
      <c r="E435" s="5" t="inlineStr">
        <is>
          <t>Oracle</t>
        </is>
      </c>
      <c r="F435" s="5" t="inlineStr">
        <is>
          <t>H100/H200/A100 class</t>
        </is>
      </c>
      <c r="G435" s="5">
        <f>IFERROR(INDEX('02x_Accelerator_Catalog'!$C$2:$C$11,MATCH(F435,'02x_Accelerator_Catalog'!$B$2:$B$11,0)),"purpose_or_unbenchmarked")</f>
        <v/>
      </c>
      <c r="H435" s="28">
        <f>SUMIFS('02c_AI_CSP_Normalized'!$N$2:$N$305,'02c_AI_CSP_Normalized'!$B$2:$B$305,B435,'02c_AI_CSP_Normalized'!$C$2:$C$305,C435,'02c_AI_CSP_Normalized'!$D$2:$D$305,D435,'02c_AI_CSP_Normalized'!$E$2:$E$305,E435)</f>
        <v/>
      </c>
      <c r="I435" s="6">
        <f>SUMIFS('02b_CSP_Accelerator_Mix'!$H$2:$H$573,'02b_CSP_Accelerator_Mix'!$B$2:$B$573,B435,'02b_CSP_Accelerator_Mix'!$C$2:$C$573,E435,'02b_CSP_Accelerator_Mix'!$D$2:$D$573,D435,'02b_CSP_Accelerator_Mix'!$E$2:$E$573,F435)</f>
        <v/>
      </c>
      <c r="J435" s="28">
        <f>H435*I435</f>
        <v/>
      </c>
      <c r="K435" s="8">
        <f>IFERROR(INDEX('02x_Accelerator_Catalog'!$D$2:$D$11,MATCH(F435,'02x_Accelerator_Catalog'!$B$2:$B$11,0)),"")</f>
        <v/>
      </c>
      <c r="L435" s="7">
        <f>IF(K435&gt;0,J435*1000/K435,"")</f>
        <v/>
      </c>
      <c r="M435" s="5" t="inlineStr">
        <is>
          <t>epoch_csp_chip_quantity_latest</t>
        </is>
      </c>
      <c r="N435" s="5" t="inlineStr">
        <is>
          <t>Extensible long-format output: add a new accelerator row in 02b and map it in 02x_Accelerator_Catalog to extend this table.</t>
        </is>
      </c>
    </row>
    <row r="436">
      <c r="A436" s="5">
        <f>B436&amp;"|"&amp;C436&amp;"|"&amp;D436&amp;"|"&amp;E436&amp;"|"&amp;F436</f>
        <v/>
      </c>
      <c r="B436" s="5" t="inlineStr">
        <is>
          <t>Bear</t>
        </is>
      </c>
      <c r="C436" s="5" t="inlineStr">
        <is>
          <t>OpenAI</t>
        </is>
      </c>
      <c r="D436" s="5" t="n">
        <v>2029</v>
      </c>
      <c r="E436" s="5" t="inlineStr">
        <is>
          <t>Oracle</t>
        </is>
      </c>
      <c r="F436" s="5" t="inlineStr">
        <is>
          <t>R200/R300 future</t>
        </is>
      </c>
      <c r="G436" s="5">
        <f>IFERROR(INDEX('02x_Accelerator_Catalog'!$C$2:$C$11,MATCH(F436,'02x_Accelerator_Catalog'!$B$2:$B$11,0)),"purpose_or_unbenchmarked")</f>
        <v/>
      </c>
      <c r="H436" s="28">
        <f>SUMIFS('02c_AI_CSP_Normalized'!$N$2:$N$305,'02c_AI_CSP_Normalized'!$B$2:$B$305,B436,'02c_AI_CSP_Normalized'!$C$2:$C$305,C436,'02c_AI_CSP_Normalized'!$D$2:$D$305,D436,'02c_AI_CSP_Normalized'!$E$2:$E$305,E436)</f>
        <v/>
      </c>
      <c r="I436" s="6">
        <f>SUMIFS('02b_CSP_Accelerator_Mix'!$H$2:$H$573,'02b_CSP_Accelerator_Mix'!$B$2:$B$573,B436,'02b_CSP_Accelerator_Mix'!$C$2:$C$573,E436,'02b_CSP_Accelerator_Mix'!$D$2:$D$573,D436,'02b_CSP_Accelerator_Mix'!$E$2:$E$573,F436)</f>
        <v/>
      </c>
      <c r="J436" s="28">
        <f>H436*I436</f>
        <v/>
      </c>
      <c r="K436" s="8">
        <f>IFERROR(INDEX('02x_Accelerator_Catalog'!$D$2:$D$11,MATCH(F436,'02x_Accelerator_Catalog'!$B$2:$B$11,0)),"")</f>
        <v/>
      </c>
      <c r="L436" s="7">
        <f>IF(K436&gt;0,J436*1000/K436,"")</f>
        <v/>
      </c>
      <c r="M436" s="5" t="inlineStr">
        <is>
          <t>epoch_csp_chip_quantity_latest</t>
        </is>
      </c>
      <c r="N436" s="5" t="inlineStr">
        <is>
          <t>Extensible long-format output: add a new accelerator row in 02b and map it in 02x_Accelerator_Catalog to extend this table.</t>
        </is>
      </c>
    </row>
    <row r="437">
      <c r="A437" s="5">
        <f>B437&amp;"|"&amp;C437&amp;"|"&amp;D437&amp;"|"&amp;E437&amp;"|"&amp;F437</f>
        <v/>
      </c>
      <c r="B437" s="5" t="inlineStr">
        <is>
          <t>Base</t>
        </is>
      </c>
      <c r="C437" s="5" t="inlineStr">
        <is>
          <t>OpenAI</t>
        </is>
      </c>
      <c r="D437" s="5" t="n">
        <v>2029</v>
      </c>
      <c r="E437" s="5" t="inlineStr">
        <is>
          <t>Oracle</t>
        </is>
      </c>
      <c r="F437" s="5" t="inlineStr">
        <is>
          <t>B200/B300 class</t>
        </is>
      </c>
      <c r="G437" s="5">
        <f>IFERROR(INDEX('02x_Accelerator_Catalog'!$C$2:$C$11,MATCH(F437,'02x_Accelerator_Catalog'!$B$2:$B$11,0)),"purpose_or_unbenchmarked")</f>
        <v/>
      </c>
      <c r="H437" s="28">
        <f>SUMIFS('02c_AI_CSP_Normalized'!$N$2:$N$305,'02c_AI_CSP_Normalized'!$B$2:$B$305,B437,'02c_AI_CSP_Normalized'!$C$2:$C$305,C437,'02c_AI_CSP_Normalized'!$D$2:$D$305,D437,'02c_AI_CSP_Normalized'!$E$2:$E$305,E437)</f>
        <v/>
      </c>
      <c r="I437" s="6">
        <f>SUMIFS('02b_CSP_Accelerator_Mix'!$H$2:$H$573,'02b_CSP_Accelerator_Mix'!$B$2:$B$573,B437,'02b_CSP_Accelerator_Mix'!$C$2:$C$573,E437,'02b_CSP_Accelerator_Mix'!$D$2:$D$573,D437,'02b_CSP_Accelerator_Mix'!$E$2:$E$573,F437)</f>
        <v/>
      </c>
      <c r="J437" s="28">
        <f>H437*I437</f>
        <v/>
      </c>
      <c r="K437" s="8">
        <f>IFERROR(INDEX('02x_Accelerator_Catalog'!$D$2:$D$11,MATCH(F437,'02x_Accelerator_Catalog'!$B$2:$B$11,0)),"")</f>
        <v/>
      </c>
      <c r="L437" s="7">
        <f>IF(K437&gt;0,J437*1000/K437,"")</f>
        <v/>
      </c>
      <c r="M437" s="5" t="inlineStr">
        <is>
          <t>epoch_csp_chip_quantity_latest</t>
        </is>
      </c>
      <c r="N437" s="5" t="inlineStr">
        <is>
          <t>Extensible long-format output: add a new accelerator row in 02b and map it in 02x_Accelerator_Catalog to extend this table.</t>
        </is>
      </c>
    </row>
    <row r="438">
      <c r="A438" s="5">
        <f>B438&amp;"|"&amp;C438&amp;"|"&amp;D438&amp;"|"&amp;E438&amp;"|"&amp;F438</f>
        <v/>
      </c>
      <c r="B438" s="5" t="inlineStr">
        <is>
          <t>Base</t>
        </is>
      </c>
      <c r="C438" s="5" t="inlineStr">
        <is>
          <t>OpenAI</t>
        </is>
      </c>
      <c r="D438" s="5" t="n">
        <v>2029</v>
      </c>
      <c r="E438" s="5" t="inlineStr">
        <is>
          <t>Oracle</t>
        </is>
      </c>
      <c r="F438" s="5" t="inlineStr">
        <is>
          <t>H100/H200/A100 class</t>
        </is>
      </c>
      <c r="G438" s="5">
        <f>IFERROR(INDEX('02x_Accelerator_Catalog'!$C$2:$C$11,MATCH(F438,'02x_Accelerator_Catalog'!$B$2:$B$11,0)),"purpose_or_unbenchmarked")</f>
        <v/>
      </c>
      <c r="H438" s="28">
        <f>SUMIFS('02c_AI_CSP_Normalized'!$N$2:$N$305,'02c_AI_CSP_Normalized'!$B$2:$B$305,B438,'02c_AI_CSP_Normalized'!$C$2:$C$305,C438,'02c_AI_CSP_Normalized'!$D$2:$D$305,D438,'02c_AI_CSP_Normalized'!$E$2:$E$305,E438)</f>
        <v/>
      </c>
      <c r="I438" s="6">
        <f>SUMIFS('02b_CSP_Accelerator_Mix'!$H$2:$H$573,'02b_CSP_Accelerator_Mix'!$B$2:$B$573,B438,'02b_CSP_Accelerator_Mix'!$C$2:$C$573,E438,'02b_CSP_Accelerator_Mix'!$D$2:$D$573,D438,'02b_CSP_Accelerator_Mix'!$E$2:$E$573,F438)</f>
        <v/>
      </c>
      <c r="J438" s="28">
        <f>H438*I438</f>
        <v/>
      </c>
      <c r="K438" s="8">
        <f>IFERROR(INDEX('02x_Accelerator_Catalog'!$D$2:$D$11,MATCH(F438,'02x_Accelerator_Catalog'!$B$2:$B$11,0)),"")</f>
        <v/>
      </c>
      <c r="L438" s="7">
        <f>IF(K438&gt;0,J438*1000/K438,"")</f>
        <v/>
      </c>
      <c r="M438" s="5" t="inlineStr">
        <is>
          <t>epoch_csp_chip_quantity_latest</t>
        </is>
      </c>
      <c r="N438" s="5" t="inlineStr">
        <is>
          <t>Extensible long-format output: add a new accelerator row in 02b and map it in 02x_Accelerator_Catalog to extend this table.</t>
        </is>
      </c>
    </row>
    <row r="439">
      <c r="A439" s="5">
        <f>B439&amp;"|"&amp;C439&amp;"|"&amp;D439&amp;"|"&amp;E439&amp;"|"&amp;F439</f>
        <v/>
      </c>
      <c r="B439" s="5" t="inlineStr">
        <is>
          <t>Base</t>
        </is>
      </c>
      <c r="C439" s="5" t="inlineStr">
        <is>
          <t>OpenAI</t>
        </is>
      </c>
      <c r="D439" s="5" t="n">
        <v>2029</v>
      </c>
      <c r="E439" s="5" t="inlineStr">
        <is>
          <t>Oracle</t>
        </is>
      </c>
      <c r="F439" s="5" t="inlineStr">
        <is>
          <t>R200/R300 future</t>
        </is>
      </c>
      <c r="G439" s="5">
        <f>IFERROR(INDEX('02x_Accelerator_Catalog'!$C$2:$C$11,MATCH(F439,'02x_Accelerator_Catalog'!$B$2:$B$11,0)),"purpose_or_unbenchmarked")</f>
        <v/>
      </c>
      <c r="H439" s="28">
        <f>SUMIFS('02c_AI_CSP_Normalized'!$N$2:$N$305,'02c_AI_CSP_Normalized'!$B$2:$B$305,B439,'02c_AI_CSP_Normalized'!$C$2:$C$305,C439,'02c_AI_CSP_Normalized'!$D$2:$D$305,D439,'02c_AI_CSP_Normalized'!$E$2:$E$305,E439)</f>
        <v/>
      </c>
      <c r="I439" s="6">
        <f>SUMIFS('02b_CSP_Accelerator_Mix'!$H$2:$H$573,'02b_CSP_Accelerator_Mix'!$B$2:$B$573,B439,'02b_CSP_Accelerator_Mix'!$C$2:$C$573,E439,'02b_CSP_Accelerator_Mix'!$D$2:$D$573,D439,'02b_CSP_Accelerator_Mix'!$E$2:$E$573,F439)</f>
        <v/>
      </c>
      <c r="J439" s="28">
        <f>H439*I439</f>
        <v/>
      </c>
      <c r="K439" s="8">
        <f>IFERROR(INDEX('02x_Accelerator_Catalog'!$D$2:$D$11,MATCH(F439,'02x_Accelerator_Catalog'!$B$2:$B$11,0)),"")</f>
        <v/>
      </c>
      <c r="L439" s="7">
        <f>IF(K439&gt;0,J439*1000/K439,"")</f>
        <v/>
      </c>
      <c r="M439" s="5" t="inlineStr">
        <is>
          <t>epoch_csp_chip_quantity_latest</t>
        </is>
      </c>
      <c r="N439" s="5" t="inlineStr">
        <is>
          <t>Extensible long-format output: add a new accelerator row in 02b and map it in 02x_Accelerator_Catalog to extend this table.</t>
        </is>
      </c>
    </row>
    <row r="440">
      <c r="A440" s="5">
        <f>B440&amp;"|"&amp;C440&amp;"|"&amp;D440&amp;"|"&amp;E440&amp;"|"&amp;F440</f>
        <v/>
      </c>
      <c r="B440" s="5" t="inlineStr">
        <is>
          <t>Bull</t>
        </is>
      </c>
      <c r="C440" s="5" t="inlineStr">
        <is>
          <t>OpenAI</t>
        </is>
      </c>
      <c r="D440" s="5" t="n">
        <v>2029</v>
      </c>
      <c r="E440" s="5" t="inlineStr">
        <is>
          <t>Oracle</t>
        </is>
      </c>
      <c r="F440" s="5" t="inlineStr">
        <is>
          <t>B200/B300 class</t>
        </is>
      </c>
      <c r="G440" s="5">
        <f>IFERROR(INDEX('02x_Accelerator_Catalog'!$C$2:$C$11,MATCH(F440,'02x_Accelerator_Catalog'!$B$2:$B$11,0)),"purpose_or_unbenchmarked")</f>
        <v/>
      </c>
      <c r="H440" s="28">
        <f>SUMIFS('02c_AI_CSP_Normalized'!$N$2:$N$305,'02c_AI_CSP_Normalized'!$B$2:$B$305,B440,'02c_AI_CSP_Normalized'!$C$2:$C$305,C440,'02c_AI_CSP_Normalized'!$D$2:$D$305,D440,'02c_AI_CSP_Normalized'!$E$2:$E$305,E440)</f>
        <v/>
      </c>
      <c r="I440" s="6">
        <f>SUMIFS('02b_CSP_Accelerator_Mix'!$H$2:$H$573,'02b_CSP_Accelerator_Mix'!$B$2:$B$573,B440,'02b_CSP_Accelerator_Mix'!$C$2:$C$573,E440,'02b_CSP_Accelerator_Mix'!$D$2:$D$573,D440,'02b_CSP_Accelerator_Mix'!$E$2:$E$573,F440)</f>
        <v/>
      </c>
      <c r="J440" s="28">
        <f>H440*I440</f>
        <v/>
      </c>
      <c r="K440" s="8">
        <f>IFERROR(INDEX('02x_Accelerator_Catalog'!$D$2:$D$11,MATCH(F440,'02x_Accelerator_Catalog'!$B$2:$B$11,0)),"")</f>
        <v/>
      </c>
      <c r="L440" s="7">
        <f>IF(K440&gt;0,J440*1000/K440,"")</f>
        <v/>
      </c>
      <c r="M440" s="5" t="inlineStr">
        <is>
          <t>epoch_csp_chip_quantity_latest</t>
        </is>
      </c>
      <c r="N440" s="5" t="inlineStr">
        <is>
          <t>Extensible long-format output: add a new accelerator row in 02b and map it in 02x_Accelerator_Catalog to extend this table.</t>
        </is>
      </c>
    </row>
    <row r="441">
      <c r="A441" s="5">
        <f>B441&amp;"|"&amp;C441&amp;"|"&amp;D441&amp;"|"&amp;E441&amp;"|"&amp;F441</f>
        <v/>
      </c>
      <c r="B441" s="5" t="inlineStr">
        <is>
          <t>Bull</t>
        </is>
      </c>
      <c r="C441" s="5" t="inlineStr">
        <is>
          <t>OpenAI</t>
        </is>
      </c>
      <c r="D441" s="5" t="n">
        <v>2029</v>
      </c>
      <c r="E441" s="5" t="inlineStr">
        <is>
          <t>Oracle</t>
        </is>
      </c>
      <c r="F441" s="5" t="inlineStr">
        <is>
          <t>H100/H200/A100 class</t>
        </is>
      </c>
      <c r="G441" s="5">
        <f>IFERROR(INDEX('02x_Accelerator_Catalog'!$C$2:$C$11,MATCH(F441,'02x_Accelerator_Catalog'!$B$2:$B$11,0)),"purpose_or_unbenchmarked")</f>
        <v/>
      </c>
      <c r="H441" s="28">
        <f>SUMIFS('02c_AI_CSP_Normalized'!$N$2:$N$305,'02c_AI_CSP_Normalized'!$B$2:$B$305,B441,'02c_AI_CSP_Normalized'!$C$2:$C$305,C441,'02c_AI_CSP_Normalized'!$D$2:$D$305,D441,'02c_AI_CSP_Normalized'!$E$2:$E$305,E441)</f>
        <v/>
      </c>
      <c r="I441" s="6">
        <f>SUMIFS('02b_CSP_Accelerator_Mix'!$H$2:$H$573,'02b_CSP_Accelerator_Mix'!$B$2:$B$573,B441,'02b_CSP_Accelerator_Mix'!$C$2:$C$573,E441,'02b_CSP_Accelerator_Mix'!$D$2:$D$573,D441,'02b_CSP_Accelerator_Mix'!$E$2:$E$573,F441)</f>
        <v/>
      </c>
      <c r="J441" s="28">
        <f>H441*I441</f>
        <v/>
      </c>
      <c r="K441" s="8">
        <f>IFERROR(INDEX('02x_Accelerator_Catalog'!$D$2:$D$11,MATCH(F441,'02x_Accelerator_Catalog'!$B$2:$B$11,0)),"")</f>
        <v/>
      </c>
      <c r="L441" s="7">
        <f>IF(K441&gt;0,J441*1000/K441,"")</f>
        <v/>
      </c>
      <c r="M441" s="5" t="inlineStr">
        <is>
          <t>epoch_csp_chip_quantity_latest</t>
        </is>
      </c>
      <c r="N441" s="5" t="inlineStr">
        <is>
          <t>Extensible long-format output: add a new accelerator row in 02b and map it in 02x_Accelerator_Catalog to extend this table.</t>
        </is>
      </c>
    </row>
    <row r="442">
      <c r="A442" s="5">
        <f>B442&amp;"|"&amp;C442&amp;"|"&amp;D442&amp;"|"&amp;E442&amp;"|"&amp;F442</f>
        <v/>
      </c>
      <c r="B442" s="5" t="inlineStr">
        <is>
          <t>Bull</t>
        </is>
      </c>
      <c r="C442" s="5" t="inlineStr">
        <is>
          <t>OpenAI</t>
        </is>
      </c>
      <c r="D442" s="5" t="n">
        <v>2029</v>
      </c>
      <c r="E442" s="5" t="inlineStr">
        <is>
          <t>Oracle</t>
        </is>
      </c>
      <c r="F442" s="5" t="inlineStr">
        <is>
          <t>R200/R300 future</t>
        </is>
      </c>
      <c r="G442" s="5">
        <f>IFERROR(INDEX('02x_Accelerator_Catalog'!$C$2:$C$11,MATCH(F442,'02x_Accelerator_Catalog'!$B$2:$B$11,0)),"purpose_or_unbenchmarked")</f>
        <v/>
      </c>
      <c r="H442" s="28">
        <f>SUMIFS('02c_AI_CSP_Normalized'!$N$2:$N$305,'02c_AI_CSP_Normalized'!$B$2:$B$305,B442,'02c_AI_CSP_Normalized'!$C$2:$C$305,C442,'02c_AI_CSP_Normalized'!$D$2:$D$305,D442,'02c_AI_CSP_Normalized'!$E$2:$E$305,E442)</f>
        <v/>
      </c>
      <c r="I442" s="6">
        <f>SUMIFS('02b_CSP_Accelerator_Mix'!$H$2:$H$573,'02b_CSP_Accelerator_Mix'!$B$2:$B$573,B442,'02b_CSP_Accelerator_Mix'!$C$2:$C$573,E442,'02b_CSP_Accelerator_Mix'!$D$2:$D$573,D442,'02b_CSP_Accelerator_Mix'!$E$2:$E$573,F442)</f>
        <v/>
      </c>
      <c r="J442" s="28">
        <f>H442*I442</f>
        <v/>
      </c>
      <c r="K442" s="8">
        <f>IFERROR(INDEX('02x_Accelerator_Catalog'!$D$2:$D$11,MATCH(F442,'02x_Accelerator_Catalog'!$B$2:$B$11,0)),"")</f>
        <v/>
      </c>
      <c r="L442" s="7">
        <f>IF(K442&gt;0,J442*1000/K442,"")</f>
        <v/>
      </c>
      <c r="M442" s="5" t="inlineStr">
        <is>
          <t>epoch_csp_chip_quantity_latest</t>
        </is>
      </c>
      <c r="N442" s="5" t="inlineStr">
        <is>
          <t>Extensible long-format output: add a new accelerator row in 02b and map it in 02x_Accelerator_Catalog to extend this table.</t>
        </is>
      </c>
    </row>
    <row r="443">
      <c r="A443" s="5">
        <f>B443&amp;"|"&amp;C443&amp;"|"&amp;D443&amp;"|"&amp;E443&amp;"|"&amp;F443</f>
        <v/>
      </c>
      <c r="B443" s="5" t="inlineStr">
        <is>
          <t>Grid-Constrained / Efficiency-Upside</t>
        </is>
      </c>
      <c r="C443" s="5" t="inlineStr">
        <is>
          <t>OpenAI</t>
        </is>
      </c>
      <c r="D443" s="5" t="n">
        <v>2029</v>
      </c>
      <c r="E443" s="5" t="inlineStr">
        <is>
          <t>Oracle</t>
        </is>
      </c>
      <c r="F443" s="5" t="inlineStr">
        <is>
          <t>B200/B300 class</t>
        </is>
      </c>
      <c r="G443" s="5">
        <f>IFERROR(INDEX('02x_Accelerator_Catalog'!$C$2:$C$11,MATCH(F443,'02x_Accelerator_Catalog'!$B$2:$B$11,0)),"purpose_or_unbenchmarked")</f>
        <v/>
      </c>
      <c r="H443" s="28">
        <f>SUMIFS('02c_AI_CSP_Normalized'!$N$2:$N$305,'02c_AI_CSP_Normalized'!$B$2:$B$305,B443,'02c_AI_CSP_Normalized'!$C$2:$C$305,C443,'02c_AI_CSP_Normalized'!$D$2:$D$305,D443,'02c_AI_CSP_Normalized'!$E$2:$E$305,E443)</f>
        <v/>
      </c>
      <c r="I443" s="6">
        <f>SUMIFS('02b_CSP_Accelerator_Mix'!$H$2:$H$573,'02b_CSP_Accelerator_Mix'!$B$2:$B$573,B443,'02b_CSP_Accelerator_Mix'!$C$2:$C$573,E443,'02b_CSP_Accelerator_Mix'!$D$2:$D$573,D443,'02b_CSP_Accelerator_Mix'!$E$2:$E$573,F443)</f>
        <v/>
      </c>
      <c r="J443" s="28">
        <f>H443*I443</f>
        <v/>
      </c>
      <c r="K443" s="8">
        <f>IFERROR(INDEX('02x_Accelerator_Catalog'!$D$2:$D$11,MATCH(F443,'02x_Accelerator_Catalog'!$B$2:$B$11,0)),"")</f>
        <v/>
      </c>
      <c r="L443" s="7">
        <f>IF(K443&gt;0,J443*1000/K443,"")</f>
        <v/>
      </c>
      <c r="M443" s="5" t="inlineStr">
        <is>
          <t>epoch_csp_chip_quantity_latest</t>
        </is>
      </c>
      <c r="N443" s="5" t="inlineStr">
        <is>
          <t>Extensible long-format output: add a new accelerator row in 02b and map it in 02x_Accelerator_Catalog to extend this table.</t>
        </is>
      </c>
    </row>
    <row r="444">
      <c r="A444" s="5">
        <f>B444&amp;"|"&amp;C444&amp;"|"&amp;D444&amp;"|"&amp;E444&amp;"|"&amp;F444</f>
        <v/>
      </c>
      <c r="B444" s="5" t="inlineStr">
        <is>
          <t>Grid-Constrained / Efficiency-Upside</t>
        </is>
      </c>
      <c r="C444" s="5" t="inlineStr">
        <is>
          <t>OpenAI</t>
        </is>
      </c>
      <c r="D444" s="5" t="n">
        <v>2029</v>
      </c>
      <c r="E444" s="5" t="inlineStr">
        <is>
          <t>Oracle</t>
        </is>
      </c>
      <c r="F444" s="5" t="inlineStr">
        <is>
          <t>H100/H200/A100 class</t>
        </is>
      </c>
      <c r="G444" s="5">
        <f>IFERROR(INDEX('02x_Accelerator_Catalog'!$C$2:$C$11,MATCH(F444,'02x_Accelerator_Catalog'!$B$2:$B$11,0)),"purpose_or_unbenchmarked")</f>
        <v/>
      </c>
      <c r="H444" s="28">
        <f>SUMIFS('02c_AI_CSP_Normalized'!$N$2:$N$305,'02c_AI_CSP_Normalized'!$B$2:$B$305,B444,'02c_AI_CSP_Normalized'!$C$2:$C$305,C444,'02c_AI_CSP_Normalized'!$D$2:$D$305,D444,'02c_AI_CSP_Normalized'!$E$2:$E$305,E444)</f>
        <v/>
      </c>
      <c r="I444" s="6">
        <f>SUMIFS('02b_CSP_Accelerator_Mix'!$H$2:$H$573,'02b_CSP_Accelerator_Mix'!$B$2:$B$573,B444,'02b_CSP_Accelerator_Mix'!$C$2:$C$573,E444,'02b_CSP_Accelerator_Mix'!$D$2:$D$573,D444,'02b_CSP_Accelerator_Mix'!$E$2:$E$573,F444)</f>
        <v/>
      </c>
      <c r="J444" s="28">
        <f>H444*I444</f>
        <v/>
      </c>
      <c r="K444" s="8">
        <f>IFERROR(INDEX('02x_Accelerator_Catalog'!$D$2:$D$11,MATCH(F444,'02x_Accelerator_Catalog'!$B$2:$B$11,0)),"")</f>
        <v/>
      </c>
      <c r="L444" s="7">
        <f>IF(K444&gt;0,J444*1000/K444,"")</f>
        <v/>
      </c>
      <c r="M444" s="5" t="inlineStr">
        <is>
          <t>epoch_csp_chip_quantity_latest</t>
        </is>
      </c>
      <c r="N444" s="5" t="inlineStr">
        <is>
          <t>Extensible long-format output: add a new accelerator row in 02b and map it in 02x_Accelerator_Catalog to extend this table.</t>
        </is>
      </c>
    </row>
    <row r="445">
      <c r="A445" s="5">
        <f>B445&amp;"|"&amp;C445&amp;"|"&amp;D445&amp;"|"&amp;E445&amp;"|"&amp;F445</f>
        <v/>
      </c>
      <c r="B445" s="5" t="inlineStr">
        <is>
          <t>Grid-Constrained / Efficiency-Upside</t>
        </is>
      </c>
      <c r="C445" s="5" t="inlineStr">
        <is>
          <t>OpenAI</t>
        </is>
      </c>
      <c r="D445" s="5" t="n">
        <v>2029</v>
      </c>
      <c r="E445" s="5" t="inlineStr">
        <is>
          <t>Oracle</t>
        </is>
      </c>
      <c r="F445" s="5" t="inlineStr">
        <is>
          <t>R200/R300 future</t>
        </is>
      </c>
      <c r="G445" s="5">
        <f>IFERROR(INDEX('02x_Accelerator_Catalog'!$C$2:$C$11,MATCH(F445,'02x_Accelerator_Catalog'!$B$2:$B$11,0)),"purpose_or_unbenchmarked")</f>
        <v/>
      </c>
      <c r="H445" s="28">
        <f>SUMIFS('02c_AI_CSP_Normalized'!$N$2:$N$305,'02c_AI_CSP_Normalized'!$B$2:$B$305,B445,'02c_AI_CSP_Normalized'!$C$2:$C$305,C445,'02c_AI_CSP_Normalized'!$D$2:$D$305,D445,'02c_AI_CSP_Normalized'!$E$2:$E$305,E445)</f>
        <v/>
      </c>
      <c r="I445" s="6">
        <f>SUMIFS('02b_CSP_Accelerator_Mix'!$H$2:$H$573,'02b_CSP_Accelerator_Mix'!$B$2:$B$573,B445,'02b_CSP_Accelerator_Mix'!$C$2:$C$573,E445,'02b_CSP_Accelerator_Mix'!$D$2:$D$573,D445,'02b_CSP_Accelerator_Mix'!$E$2:$E$573,F445)</f>
        <v/>
      </c>
      <c r="J445" s="28">
        <f>H445*I445</f>
        <v/>
      </c>
      <c r="K445" s="8">
        <f>IFERROR(INDEX('02x_Accelerator_Catalog'!$D$2:$D$11,MATCH(F445,'02x_Accelerator_Catalog'!$B$2:$B$11,0)),"")</f>
        <v/>
      </c>
      <c r="L445" s="7">
        <f>IF(K445&gt;0,J445*1000/K445,"")</f>
        <v/>
      </c>
      <c r="M445" s="5" t="inlineStr">
        <is>
          <t>epoch_csp_chip_quantity_latest</t>
        </is>
      </c>
      <c r="N445" s="5" t="inlineStr">
        <is>
          <t>Extensible long-format output: add a new accelerator row in 02b and map it in 02x_Accelerator_Catalog to extend this table.</t>
        </is>
      </c>
    </row>
    <row r="446">
      <c r="A446" s="5">
        <f>B446&amp;"|"&amp;C446&amp;"|"&amp;D446&amp;"|"&amp;E446&amp;"|"&amp;F446</f>
        <v/>
      </c>
      <c r="B446" s="5" t="inlineStr">
        <is>
          <t>Bear</t>
        </is>
      </c>
      <c r="C446" s="5" t="inlineStr">
        <is>
          <t>OpenAI</t>
        </is>
      </c>
      <c r="D446" s="5" t="n">
        <v>2030</v>
      </c>
      <c r="E446" s="5" t="inlineStr">
        <is>
          <t>Oracle</t>
        </is>
      </c>
      <c r="F446" s="5" t="inlineStr">
        <is>
          <t>B200/B300 class</t>
        </is>
      </c>
      <c r="G446" s="5">
        <f>IFERROR(INDEX('02x_Accelerator_Catalog'!$C$2:$C$11,MATCH(F446,'02x_Accelerator_Catalog'!$B$2:$B$11,0)),"purpose_or_unbenchmarked")</f>
        <v/>
      </c>
      <c r="H446" s="28">
        <f>SUMIFS('02c_AI_CSP_Normalized'!$N$2:$N$305,'02c_AI_CSP_Normalized'!$B$2:$B$305,B446,'02c_AI_CSP_Normalized'!$C$2:$C$305,C446,'02c_AI_CSP_Normalized'!$D$2:$D$305,D446,'02c_AI_CSP_Normalized'!$E$2:$E$305,E446)</f>
        <v/>
      </c>
      <c r="I446" s="6">
        <f>SUMIFS('02b_CSP_Accelerator_Mix'!$H$2:$H$573,'02b_CSP_Accelerator_Mix'!$B$2:$B$573,B446,'02b_CSP_Accelerator_Mix'!$C$2:$C$573,E446,'02b_CSP_Accelerator_Mix'!$D$2:$D$573,D446,'02b_CSP_Accelerator_Mix'!$E$2:$E$573,F446)</f>
        <v/>
      </c>
      <c r="J446" s="28">
        <f>H446*I446</f>
        <v/>
      </c>
      <c r="K446" s="8">
        <f>IFERROR(INDEX('02x_Accelerator_Catalog'!$D$2:$D$11,MATCH(F446,'02x_Accelerator_Catalog'!$B$2:$B$11,0)),"")</f>
        <v/>
      </c>
      <c r="L446" s="7">
        <f>IF(K446&gt;0,J446*1000/K446,"")</f>
        <v/>
      </c>
      <c r="M446" s="5" t="inlineStr">
        <is>
          <t>epoch_csp_chip_quantity_latest</t>
        </is>
      </c>
      <c r="N446" s="5" t="inlineStr">
        <is>
          <t>Extensible long-format output: add a new accelerator row in 02b and map it in 02x_Accelerator_Catalog to extend this table.</t>
        </is>
      </c>
    </row>
    <row r="447">
      <c r="A447" s="5">
        <f>B447&amp;"|"&amp;C447&amp;"|"&amp;D447&amp;"|"&amp;E447&amp;"|"&amp;F447</f>
        <v/>
      </c>
      <c r="B447" s="5" t="inlineStr">
        <is>
          <t>Bear</t>
        </is>
      </c>
      <c r="C447" s="5" t="inlineStr">
        <is>
          <t>OpenAI</t>
        </is>
      </c>
      <c r="D447" s="5" t="n">
        <v>2030</v>
      </c>
      <c r="E447" s="5" t="inlineStr">
        <is>
          <t>Oracle</t>
        </is>
      </c>
      <c r="F447" s="5" t="inlineStr">
        <is>
          <t>H100/H200/A100 class</t>
        </is>
      </c>
      <c r="G447" s="5">
        <f>IFERROR(INDEX('02x_Accelerator_Catalog'!$C$2:$C$11,MATCH(F447,'02x_Accelerator_Catalog'!$B$2:$B$11,0)),"purpose_or_unbenchmarked")</f>
        <v/>
      </c>
      <c r="H447" s="28">
        <f>SUMIFS('02c_AI_CSP_Normalized'!$N$2:$N$305,'02c_AI_CSP_Normalized'!$B$2:$B$305,B447,'02c_AI_CSP_Normalized'!$C$2:$C$305,C447,'02c_AI_CSP_Normalized'!$D$2:$D$305,D447,'02c_AI_CSP_Normalized'!$E$2:$E$305,E447)</f>
        <v/>
      </c>
      <c r="I447" s="6">
        <f>SUMIFS('02b_CSP_Accelerator_Mix'!$H$2:$H$573,'02b_CSP_Accelerator_Mix'!$B$2:$B$573,B447,'02b_CSP_Accelerator_Mix'!$C$2:$C$573,E447,'02b_CSP_Accelerator_Mix'!$D$2:$D$573,D447,'02b_CSP_Accelerator_Mix'!$E$2:$E$573,F447)</f>
        <v/>
      </c>
      <c r="J447" s="28">
        <f>H447*I447</f>
        <v/>
      </c>
      <c r="K447" s="8">
        <f>IFERROR(INDEX('02x_Accelerator_Catalog'!$D$2:$D$11,MATCH(F447,'02x_Accelerator_Catalog'!$B$2:$B$11,0)),"")</f>
        <v/>
      </c>
      <c r="L447" s="7">
        <f>IF(K447&gt;0,J447*1000/K447,"")</f>
        <v/>
      </c>
      <c r="M447" s="5" t="inlineStr">
        <is>
          <t>epoch_csp_chip_quantity_latest</t>
        </is>
      </c>
      <c r="N447" s="5" t="inlineStr">
        <is>
          <t>Extensible long-format output: add a new accelerator row in 02b and map it in 02x_Accelerator_Catalog to extend this table.</t>
        </is>
      </c>
    </row>
    <row r="448">
      <c r="A448" s="5">
        <f>B448&amp;"|"&amp;C448&amp;"|"&amp;D448&amp;"|"&amp;E448&amp;"|"&amp;F448</f>
        <v/>
      </c>
      <c r="B448" s="5" t="inlineStr">
        <is>
          <t>Bear</t>
        </is>
      </c>
      <c r="C448" s="5" t="inlineStr">
        <is>
          <t>OpenAI</t>
        </is>
      </c>
      <c r="D448" s="5" t="n">
        <v>2030</v>
      </c>
      <c r="E448" s="5" t="inlineStr">
        <is>
          <t>Oracle</t>
        </is>
      </c>
      <c r="F448" s="5" t="inlineStr">
        <is>
          <t>R200/R300 future</t>
        </is>
      </c>
      <c r="G448" s="5">
        <f>IFERROR(INDEX('02x_Accelerator_Catalog'!$C$2:$C$11,MATCH(F448,'02x_Accelerator_Catalog'!$B$2:$B$11,0)),"purpose_or_unbenchmarked")</f>
        <v/>
      </c>
      <c r="H448" s="28">
        <f>SUMIFS('02c_AI_CSP_Normalized'!$N$2:$N$305,'02c_AI_CSP_Normalized'!$B$2:$B$305,B448,'02c_AI_CSP_Normalized'!$C$2:$C$305,C448,'02c_AI_CSP_Normalized'!$D$2:$D$305,D448,'02c_AI_CSP_Normalized'!$E$2:$E$305,E448)</f>
        <v/>
      </c>
      <c r="I448" s="6">
        <f>SUMIFS('02b_CSP_Accelerator_Mix'!$H$2:$H$573,'02b_CSP_Accelerator_Mix'!$B$2:$B$573,B448,'02b_CSP_Accelerator_Mix'!$C$2:$C$573,E448,'02b_CSP_Accelerator_Mix'!$D$2:$D$573,D448,'02b_CSP_Accelerator_Mix'!$E$2:$E$573,F448)</f>
        <v/>
      </c>
      <c r="J448" s="28">
        <f>H448*I448</f>
        <v/>
      </c>
      <c r="K448" s="8">
        <f>IFERROR(INDEX('02x_Accelerator_Catalog'!$D$2:$D$11,MATCH(F448,'02x_Accelerator_Catalog'!$B$2:$B$11,0)),"")</f>
        <v/>
      </c>
      <c r="L448" s="7">
        <f>IF(K448&gt;0,J448*1000/K448,"")</f>
        <v/>
      </c>
      <c r="M448" s="5" t="inlineStr">
        <is>
          <t>epoch_csp_chip_quantity_latest</t>
        </is>
      </c>
      <c r="N448" s="5" t="inlineStr">
        <is>
          <t>Extensible long-format output: add a new accelerator row in 02b and map it in 02x_Accelerator_Catalog to extend this table.</t>
        </is>
      </c>
    </row>
    <row r="449">
      <c r="A449" s="5">
        <f>B449&amp;"|"&amp;C449&amp;"|"&amp;D449&amp;"|"&amp;E449&amp;"|"&amp;F449</f>
        <v/>
      </c>
      <c r="B449" s="5" t="inlineStr">
        <is>
          <t>Base</t>
        </is>
      </c>
      <c r="C449" s="5" t="inlineStr">
        <is>
          <t>OpenAI</t>
        </is>
      </c>
      <c r="D449" s="5" t="n">
        <v>2030</v>
      </c>
      <c r="E449" s="5" t="inlineStr">
        <is>
          <t>Oracle</t>
        </is>
      </c>
      <c r="F449" s="5" t="inlineStr">
        <is>
          <t>B200/B300 class</t>
        </is>
      </c>
      <c r="G449" s="5">
        <f>IFERROR(INDEX('02x_Accelerator_Catalog'!$C$2:$C$11,MATCH(F449,'02x_Accelerator_Catalog'!$B$2:$B$11,0)),"purpose_or_unbenchmarked")</f>
        <v/>
      </c>
      <c r="H449" s="28">
        <f>SUMIFS('02c_AI_CSP_Normalized'!$N$2:$N$305,'02c_AI_CSP_Normalized'!$B$2:$B$305,B449,'02c_AI_CSP_Normalized'!$C$2:$C$305,C449,'02c_AI_CSP_Normalized'!$D$2:$D$305,D449,'02c_AI_CSP_Normalized'!$E$2:$E$305,E449)</f>
        <v/>
      </c>
      <c r="I449" s="6">
        <f>SUMIFS('02b_CSP_Accelerator_Mix'!$H$2:$H$573,'02b_CSP_Accelerator_Mix'!$B$2:$B$573,B449,'02b_CSP_Accelerator_Mix'!$C$2:$C$573,E449,'02b_CSP_Accelerator_Mix'!$D$2:$D$573,D449,'02b_CSP_Accelerator_Mix'!$E$2:$E$573,F449)</f>
        <v/>
      </c>
      <c r="J449" s="28">
        <f>H449*I449</f>
        <v/>
      </c>
      <c r="K449" s="8">
        <f>IFERROR(INDEX('02x_Accelerator_Catalog'!$D$2:$D$11,MATCH(F449,'02x_Accelerator_Catalog'!$B$2:$B$11,0)),"")</f>
        <v/>
      </c>
      <c r="L449" s="7">
        <f>IF(K449&gt;0,J449*1000/K449,"")</f>
        <v/>
      </c>
      <c r="M449" s="5" t="inlineStr">
        <is>
          <t>epoch_csp_chip_quantity_latest</t>
        </is>
      </c>
      <c r="N449" s="5" t="inlineStr">
        <is>
          <t>Extensible long-format output: add a new accelerator row in 02b and map it in 02x_Accelerator_Catalog to extend this table.</t>
        </is>
      </c>
    </row>
    <row r="450">
      <c r="A450" s="5">
        <f>B450&amp;"|"&amp;C450&amp;"|"&amp;D450&amp;"|"&amp;E450&amp;"|"&amp;F450</f>
        <v/>
      </c>
      <c r="B450" s="5" t="inlineStr">
        <is>
          <t>Base</t>
        </is>
      </c>
      <c r="C450" s="5" t="inlineStr">
        <is>
          <t>OpenAI</t>
        </is>
      </c>
      <c r="D450" s="5" t="n">
        <v>2030</v>
      </c>
      <c r="E450" s="5" t="inlineStr">
        <is>
          <t>Oracle</t>
        </is>
      </c>
      <c r="F450" s="5" t="inlineStr">
        <is>
          <t>H100/H200/A100 class</t>
        </is>
      </c>
      <c r="G450" s="5">
        <f>IFERROR(INDEX('02x_Accelerator_Catalog'!$C$2:$C$11,MATCH(F450,'02x_Accelerator_Catalog'!$B$2:$B$11,0)),"purpose_or_unbenchmarked")</f>
        <v/>
      </c>
      <c r="H450" s="28">
        <f>SUMIFS('02c_AI_CSP_Normalized'!$N$2:$N$305,'02c_AI_CSP_Normalized'!$B$2:$B$305,B450,'02c_AI_CSP_Normalized'!$C$2:$C$305,C450,'02c_AI_CSP_Normalized'!$D$2:$D$305,D450,'02c_AI_CSP_Normalized'!$E$2:$E$305,E450)</f>
        <v/>
      </c>
      <c r="I450" s="6">
        <f>SUMIFS('02b_CSP_Accelerator_Mix'!$H$2:$H$573,'02b_CSP_Accelerator_Mix'!$B$2:$B$573,B450,'02b_CSP_Accelerator_Mix'!$C$2:$C$573,E450,'02b_CSP_Accelerator_Mix'!$D$2:$D$573,D450,'02b_CSP_Accelerator_Mix'!$E$2:$E$573,F450)</f>
        <v/>
      </c>
      <c r="J450" s="28">
        <f>H450*I450</f>
        <v/>
      </c>
      <c r="K450" s="8">
        <f>IFERROR(INDEX('02x_Accelerator_Catalog'!$D$2:$D$11,MATCH(F450,'02x_Accelerator_Catalog'!$B$2:$B$11,0)),"")</f>
        <v/>
      </c>
      <c r="L450" s="7">
        <f>IF(K450&gt;0,J450*1000/K450,"")</f>
        <v/>
      </c>
      <c r="M450" s="5" t="inlineStr">
        <is>
          <t>epoch_csp_chip_quantity_latest</t>
        </is>
      </c>
      <c r="N450" s="5" t="inlineStr">
        <is>
          <t>Extensible long-format output: add a new accelerator row in 02b and map it in 02x_Accelerator_Catalog to extend this table.</t>
        </is>
      </c>
    </row>
    <row r="451">
      <c r="A451" s="5">
        <f>B451&amp;"|"&amp;C451&amp;"|"&amp;D451&amp;"|"&amp;E451&amp;"|"&amp;F451</f>
        <v/>
      </c>
      <c r="B451" s="5" t="inlineStr">
        <is>
          <t>Base</t>
        </is>
      </c>
      <c r="C451" s="5" t="inlineStr">
        <is>
          <t>OpenAI</t>
        </is>
      </c>
      <c r="D451" s="5" t="n">
        <v>2030</v>
      </c>
      <c r="E451" s="5" t="inlineStr">
        <is>
          <t>Oracle</t>
        </is>
      </c>
      <c r="F451" s="5" t="inlineStr">
        <is>
          <t>R200/R300 future</t>
        </is>
      </c>
      <c r="G451" s="5">
        <f>IFERROR(INDEX('02x_Accelerator_Catalog'!$C$2:$C$11,MATCH(F451,'02x_Accelerator_Catalog'!$B$2:$B$11,0)),"purpose_or_unbenchmarked")</f>
        <v/>
      </c>
      <c r="H451" s="28">
        <f>SUMIFS('02c_AI_CSP_Normalized'!$N$2:$N$305,'02c_AI_CSP_Normalized'!$B$2:$B$305,B451,'02c_AI_CSP_Normalized'!$C$2:$C$305,C451,'02c_AI_CSP_Normalized'!$D$2:$D$305,D451,'02c_AI_CSP_Normalized'!$E$2:$E$305,E451)</f>
        <v/>
      </c>
      <c r="I451" s="6">
        <f>SUMIFS('02b_CSP_Accelerator_Mix'!$H$2:$H$573,'02b_CSP_Accelerator_Mix'!$B$2:$B$573,B451,'02b_CSP_Accelerator_Mix'!$C$2:$C$573,E451,'02b_CSP_Accelerator_Mix'!$D$2:$D$573,D451,'02b_CSP_Accelerator_Mix'!$E$2:$E$573,F451)</f>
        <v/>
      </c>
      <c r="J451" s="28">
        <f>H451*I451</f>
        <v/>
      </c>
      <c r="K451" s="8">
        <f>IFERROR(INDEX('02x_Accelerator_Catalog'!$D$2:$D$11,MATCH(F451,'02x_Accelerator_Catalog'!$B$2:$B$11,0)),"")</f>
        <v/>
      </c>
      <c r="L451" s="7">
        <f>IF(K451&gt;0,J451*1000/K451,"")</f>
        <v/>
      </c>
      <c r="M451" s="5" t="inlineStr">
        <is>
          <t>epoch_csp_chip_quantity_latest</t>
        </is>
      </c>
      <c r="N451" s="5" t="inlineStr">
        <is>
          <t>Extensible long-format output: add a new accelerator row in 02b and map it in 02x_Accelerator_Catalog to extend this table.</t>
        </is>
      </c>
    </row>
    <row r="452">
      <c r="A452" s="5">
        <f>B452&amp;"|"&amp;C452&amp;"|"&amp;D452&amp;"|"&amp;E452&amp;"|"&amp;F452</f>
        <v/>
      </c>
      <c r="B452" s="5" t="inlineStr">
        <is>
          <t>Bull</t>
        </is>
      </c>
      <c r="C452" s="5" t="inlineStr">
        <is>
          <t>OpenAI</t>
        </is>
      </c>
      <c r="D452" s="5" t="n">
        <v>2030</v>
      </c>
      <c r="E452" s="5" t="inlineStr">
        <is>
          <t>Oracle</t>
        </is>
      </c>
      <c r="F452" s="5" t="inlineStr">
        <is>
          <t>B200/B300 class</t>
        </is>
      </c>
      <c r="G452" s="5">
        <f>IFERROR(INDEX('02x_Accelerator_Catalog'!$C$2:$C$11,MATCH(F452,'02x_Accelerator_Catalog'!$B$2:$B$11,0)),"purpose_or_unbenchmarked")</f>
        <v/>
      </c>
      <c r="H452" s="28">
        <f>SUMIFS('02c_AI_CSP_Normalized'!$N$2:$N$305,'02c_AI_CSP_Normalized'!$B$2:$B$305,B452,'02c_AI_CSP_Normalized'!$C$2:$C$305,C452,'02c_AI_CSP_Normalized'!$D$2:$D$305,D452,'02c_AI_CSP_Normalized'!$E$2:$E$305,E452)</f>
        <v/>
      </c>
      <c r="I452" s="6">
        <f>SUMIFS('02b_CSP_Accelerator_Mix'!$H$2:$H$573,'02b_CSP_Accelerator_Mix'!$B$2:$B$573,B452,'02b_CSP_Accelerator_Mix'!$C$2:$C$573,E452,'02b_CSP_Accelerator_Mix'!$D$2:$D$573,D452,'02b_CSP_Accelerator_Mix'!$E$2:$E$573,F452)</f>
        <v/>
      </c>
      <c r="J452" s="28">
        <f>H452*I452</f>
        <v/>
      </c>
      <c r="K452" s="8">
        <f>IFERROR(INDEX('02x_Accelerator_Catalog'!$D$2:$D$11,MATCH(F452,'02x_Accelerator_Catalog'!$B$2:$B$11,0)),"")</f>
        <v/>
      </c>
      <c r="L452" s="7">
        <f>IF(K452&gt;0,J452*1000/K452,"")</f>
        <v/>
      </c>
      <c r="M452" s="5" t="inlineStr">
        <is>
          <t>epoch_csp_chip_quantity_latest</t>
        </is>
      </c>
      <c r="N452" s="5" t="inlineStr">
        <is>
          <t>Extensible long-format output: add a new accelerator row in 02b and map it in 02x_Accelerator_Catalog to extend this table.</t>
        </is>
      </c>
    </row>
    <row r="453">
      <c r="A453" s="5">
        <f>B453&amp;"|"&amp;C453&amp;"|"&amp;D453&amp;"|"&amp;E453&amp;"|"&amp;F453</f>
        <v/>
      </c>
      <c r="B453" s="5" t="inlineStr">
        <is>
          <t>Bull</t>
        </is>
      </c>
      <c r="C453" s="5" t="inlineStr">
        <is>
          <t>OpenAI</t>
        </is>
      </c>
      <c r="D453" s="5" t="n">
        <v>2030</v>
      </c>
      <c r="E453" s="5" t="inlineStr">
        <is>
          <t>Oracle</t>
        </is>
      </c>
      <c r="F453" s="5" t="inlineStr">
        <is>
          <t>H100/H200/A100 class</t>
        </is>
      </c>
      <c r="G453" s="5">
        <f>IFERROR(INDEX('02x_Accelerator_Catalog'!$C$2:$C$11,MATCH(F453,'02x_Accelerator_Catalog'!$B$2:$B$11,0)),"purpose_or_unbenchmarked")</f>
        <v/>
      </c>
      <c r="H453" s="28">
        <f>SUMIFS('02c_AI_CSP_Normalized'!$N$2:$N$305,'02c_AI_CSP_Normalized'!$B$2:$B$305,B453,'02c_AI_CSP_Normalized'!$C$2:$C$305,C453,'02c_AI_CSP_Normalized'!$D$2:$D$305,D453,'02c_AI_CSP_Normalized'!$E$2:$E$305,E453)</f>
        <v/>
      </c>
      <c r="I453" s="6">
        <f>SUMIFS('02b_CSP_Accelerator_Mix'!$H$2:$H$573,'02b_CSP_Accelerator_Mix'!$B$2:$B$573,B453,'02b_CSP_Accelerator_Mix'!$C$2:$C$573,E453,'02b_CSP_Accelerator_Mix'!$D$2:$D$573,D453,'02b_CSP_Accelerator_Mix'!$E$2:$E$573,F453)</f>
        <v/>
      </c>
      <c r="J453" s="28">
        <f>H453*I453</f>
        <v/>
      </c>
      <c r="K453" s="8">
        <f>IFERROR(INDEX('02x_Accelerator_Catalog'!$D$2:$D$11,MATCH(F453,'02x_Accelerator_Catalog'!$B$2:$B$11,0)),"")</f>
        <v/>
      </c>
      <c r="L453" s="7">
        <f>IF(K453&gt;0,J453*1000/K453,"")</f>
        <v/>
      </c>
      <c r="M453" s="5" t="inlineStr">
        <is>
          <t>epoch_csp_chip_quantity_latest</t>
        </is>
      </c>
      <c r="N453" s="5" t="inlineStr">
        <is>
          <t>Extensible long-format output: add a new accelerator row in 02b and map it in 02x_Accelerator_Catalog to extend this table.</t>
        </is>
      </c>
    </row>
    <row r="454">
      <c r="A454" s="5">
        <f>B454&amp;"|"&amp;C454&amp;"|"&amp;D454&amp;"|"&amp;E454&amp;"|"&amp;F454</f>
        <v/>
      </c>
      <c r="B454" s="5" t="inlineStr">
        <is>
          <t>Bull</t>
        </is>
      </c>
      <c r="C454" s="5" t="inlineStr">
        <is>
          <t>OpenAI</t>
        </is>
      </c>
      <c r="D454" s="5" t="n">
        <v>2030</v>
      </c>
      <c r="E454" s="5" t="inlineStr">
        <is>
          <t>Oracle</t>
        </is>
      </c>
      <c r="F454" s="5" t="inlineStr">
        <is>
          <t>R200/R300 future</t>
        </is>
      </c>
      <c r="G454" s="5">
        <f>IFERROR(INDEX('02x_Accelerator_Catalog'!$C$2:$C$11,MATCH(F454,'02x_Accelerator_Catalog'!$B$2:$B$11,0)),"purpose_or_unbenchmarked")</f>
        <v/>
      </c>
      <c r="H454" s="28">
        <f>SUMIFS('02c_AI_CSP_Normalized'!$N$2:$N$305,'02c_AI_CSP_Normalized'!$B$2:$B$305,B454,'02c_AI_CSP_Normalized'!$C$2:$C$305,C454,'02c_AI_CSP_Normalized'!$D$2:$D$305,D454,'02c_AI_CSP_Normalized'!$E$2:$E$305,E454)</f>
        <v/>
      </c>
      <c r="I454" s="6">
        <f>SUMIFS('02b_CSP_Accelerator_Mix'!$H$2:$H$573,'02b_CSP_Accelerator_Mix'!$B$2:$B$573,B454,'02b_CSP_Accelerator_Mix'!$C$2:$C$573,E454,'02b_CSP_Accelerator_Mix'!$D$2:$D$573,D454,'02b_CSP_Accelerator_Mix'!$E$2:$E$573,F454)</f>
        <v/>
      </c>
      <c r="J454" s="28">
        <f>H454*I454</f>
        <v/>
      </c>
      <c r="K454" s="8">
        <f>IFERROR(INDEX('02x_Accelerator_Catalog'!$D$2:$D$11,MATCH(F454,'02x_Accelerator_Catalog'!$B$2:$B$11,0)),"")</f>
        <v/>
      </c>
      <c r="L454" s="7">
        <f>IF(K454&gt;0,J454*1000/K454,"")</f>
        <v/>
      </c>
      <c r="M454" s="5" t="inlineStr">
        <is>
          <t>epoch_csp_chip_quantity_latest</t>
        </is>
      </c>
      <c r="N454" s="5" t="inlineStr">
        <is>
          <t>Extensible long-format output: add a new accelerator row in 02b and map it in 02x_Accelerator_Catalog to extend this table.</t>
        </is>
      </c>
    </row>
    <row r="455">
      <c r="A455" s="5">
        <f>B455&amp;"|"&amp;C455&amp;"|"&amp;D455&amp;"|"&amp;E455&amp;"|"&amp;F455</f>
        <v/>
      </c>
      <c r="B455" s="5" t="inlineStr">
        <is>
          <t>Grid-Constrained / Efficiency-Upside</t>
        </is>
      </c>
      <c r="C455" s="5" t="inlineStr">
        <is>
          <t>OpenAI</t>
        </is>
      </c>
      <c r="D455" s="5" t="n">
        <v>2030</v>
      </c>
      <c r="E455" s="5" t="inlineStr">
        <is>
          <t>Oracle</t>
        </is>
      </c>
      <c r="F455" s="5" t="inlineStr">
        <is>
          <t>B200/B300 class</t>
        </is>
      </c>
      <c r="G455" s="5">
        <f>IFERROR(INDEX('02x_Accelerator_Catalog'!$C$2:$C$11,MATCH(F455,'02x_Accelerator_Catalog'!$B$2:$B$11,0)),"purpose_or_unbenchmarked")</f>
        <v/>
      </c>
      <c r="H455" s="28">
        <f>SUMIFS('02c_AI_CSP_Normalized'!$N$2:$N$305,'02c_AI_CSP_Normalized'!$B$2:$B$305,B455,'02c_AI_CSP_Normalized'!$C$2:$C$305,C455,'02c_AI_CSP_Normalized'!$D$2:$D$305,D455,'02c_AI_CSP_Normalized'!$E$2:$E$305,E455)</f>
        <v/>
      </c>
      <c r="I455" s="6">
        <f>SUMIFS('02b_CSP_Accelerator_Mix'!$H$2:$H$573,'02b_CSP_Accelerator_Mix'!$B$2:$B$573,B455,'02b_CSP_Accelerator_Mix'!$C$2:$C$573,E455,'02b_CSP_Accelerator_Mix'!$D$2:$D$573,D455,'02b_CSP_Accelerator_Mix'!$E$2:$E$573,F455)</f>
        <v/>
      </c>
      <c r="J455" s="28">
        <f>H455*I455</f>
        <v/>
      </c>
      <c r="K455" s="8">
        <f>IFERROR(INDEX('02x_Accelerator_Catalog'!$D$2:$D$11,MATCH(F455,'02x_Accelerator_Catalog'!$B$2:$B$11,0)),"")</f>
        <v/>
      </c>
      <c r="L455" s="7">
        <f>IF(K455&gt;0,J455*1000/K455,"")</f>
        <v/>
      </c>
      <c r="M455" s="5" t="inlineStr">
        <is>
          <t>epoch_csp_chip_quantity_latest</t>
        </is>
      </c>
      <c r="N455" s="5" t="inlineStr">
        <is>
          <t>Extensible long-format output: add a new accelerator row in 02b and map it in 02x_Accelerator_Catalog to extend this table.</t>
        </is>
      </c>
    </row>
    <row r="456">
      <c r="A456" s="5">
        <f>B456&amp;"|"&amp;C456&amp;"|"&amp;D456&amp;"|"&amp;E456&amp;"|"&amp;F456</f>
        <v/>
      </c>
      <c r="B456" s="5" t="inlineStr">
        <is>
          <t>Grid-Constrained / Efficiency-Upside</t>
        </is>
      </c>
      <c r="C456" s="5" t="inlineStr">
        <is>
          <t>OpenAI</t>
        </is>
      </c>
      <c r="D456" s="5" t="n">
        <v>2030</v>
      </c>
      <c r="E456" s="5" t="inlineStr">
        <is>
          <t>Oracle</t>
        </is>
      </c>
      <c r="F456" s="5" t="inlineStr">
        <is>
          <t>H100/H200/A100 class</t>
        </is>
      </c>
      <c r="G456" s="5">
        <f>IFERROR(INDEX('02x_Accelerator_Catalog'!$C$2:$C$11,MATCH(F456,'02x_Accelerator_Catalog'!$B$2:$B$11,0)),"purpose_or_unbenchmarked")</f>
        <v/>
      </c>
      <c r="H456" s="28">
        <f>SUMIFS('02c_AI_CSP_Normalized'!$N$2:$N$305,'02c_AI_CSP_Normalized'!$B$2:$B$305,B456,'02c_AI_CSP_Normalized'!$C$2:$C$305,C456,'02c_AI_CSP_Normalized'!$D$2:$D$305,D456,'02c_AI_CSP_Normalized'!$E$2:$E$305,E456)</f>
        <v/>
      </c>
      <c r="I456" s="6">
        <f>SUMIFS('02b_CSP_Accelerator_Mix'!$H$2:$H$573,'02b_CSP_Accelerator_Mix'!$B$2:$B$573,B456,'02b_CSP_Accelerator_Mix'!$C$2:$C$573,E456,'02b_CSP_Accelerator_Mix'!$D$2:$D$573,D456,'02b_CSP_Accelerator_Mix'!$E$2:$E$573,F456)</f>
        <v/>
      </c>
      <c r="J456" s="28">
        <f>H456*I456</f>
        <v/>
      </c>
      <c r="K456" s="8">
        <f>IFERROR(INDEX('02x_Accelerator_Catalog'!$D$2:$D$11,MATCH(F456,'02x_Accelerator_Catalog'!$B$2:$B$11,0)),"")</f>
        <v/>
      </c>
      <c r="L456" s="7">
        <f>IF(K456&gt;0,J456*1000/K456,"")</f>
        <v/>
      </c>
      <c r="M456" s="5" t="inlineStr">
        <is>
          <t>epoch_csp_chip_quantity_latest</t>
        </is>
      </c>
      <c r="N456" s="5" t="inlineStr">
        <is>
          <t>Extensible long-format output: add a new accelerator row in 02b and map it in 02x_Accelerator_Catalog to extend this table.</t>
        </is>
      </c>
    </row>
    <row r="457">
      <c r="A457" s="5">
        <f>B457&amp;"|"&amp;C457&amp;"|"&amp;D457&amp;"|"&amp;E457&amp;"|"&amp;F457</f>
        <v/>
      </c>
      <c r="B457" s="5" t="inlineStr">
        <is>
          <t>Grid-Constrained / Efficiency-Upside</t>
        </is>
      </c>
      <c r="C457" s="5" t="inlineStr">
        <is>
          <t>OpenAI</t>
        </is>
      </c>
      <c r="D457" s="5" t="n">
        <v>2030</v>
      </c>
      <c r="E457" s="5" t="inlineStr">
        <is>
          <t>Oracle</t>
        </is>
      </c>
      <c r="F457" s="5" t="inlineStr">
        <is>
          <t>R200/R300 future</t>
        </is>
      </c>
      <c r="G457" s="5">
        <f>IFERROR(INDEX('02x_Accelerator_Catalog'!$C$2:$C$11,MATCH(F457,'02x_Accelerator_Catalog'!$B$2:$B$11,0)),"purpose_or_unbenchmarked")</f>
        <v/>
      </c>
      <c r="H457" s="28">
        <f>SUMIFS('02c_AI_CSP_Normalized'!$N$2:$N$305,'02c_AI_CSP_Normalized'!$B$2:$B$305,B457,'02c_AI_CSP_Normalized'!$C$2:$C$305,C457,'02c_AI_CSP_Normalized'!$D$2:$D$305,D457,'02c_AI_CSP_Normalized'!$E$2:$E$305,E457)</f>
        <v/>
      </c>
      <c r="I457" s="6">
        <f>SUMIFS('02b_CSP_Accelerator_Mix'!$H$2:$H$573,'02b_CSP_Accelerator_Mix'!$B$2:$B$573,B457,'02b_CSP_Accelerator_Mix'!$C$2:$C$573,E457,'02b_CSP_Accelerator_Mix'!$D$2:$D$573,D457,'02b_CSP_Accelerator_Mix'!$E$2:$E$573,F457)</f>
        <v/>
      </c>
      <c r="J457" s="28">
        <f>H457*I457</f>
        <v/>
      </c>
      <c r="K457" s="8">
        <f>IFERROR(INDEX('02x_Accelerator_Catalog'!$D$2:$D$11,MATCH(F457,'02x_Accelerator_Catalog'!$B$2:$B$11,0)),"")</f>
        <v/>
      </c>
      <c r="L457" s="7">
        <f>IF(K457&gt;0,J457*1000/K457,"")</f>
        <v/>
      </c>
      <c r="M457" s="5" t="inlineStr">
        <is>
          <t>epoch_csp_chip_quantity_latest</t>
        </is>
      </c>
      <c r="N457" s="5" t="inlineStr">
        <is>
          <t>Extensible long-format output: add a new accelerator row in 02b and map it in 02x_Accelerator_Catalog to extend this table.</t>
        </is>
      </c>
    </row>
    <row r="458">
      <c r="A458" s="5">
        <f>B458&amp;"|"&amp;C458&amp;"|"&amp;D458&amp;"|"&amp;E458&amp;"|"&amp;F458</f>
        <v/>
      </c>
      <c r="B458" s="5" t="inlineStr">
        <is>
          <t>Bear</t>
        </is>
      </c>
      <c r="C458" s="5" t="inlineStr">
        <is>
          <t>OpenAI</t>
        </is>
      </c>
      <c r="D458" s="5" t="n">
        <v>2028</v>
      </c>
      <c r="E458" s="5" t="inlineStr">
        <is>
          <t>Softbank</t>
        </is>
      </c>
      <c r="F458" s="5" t="inlineStr">
        <is>
          <t>B200/B300 class</t>
        </is>
      </c>
      <c r="G458" s="5">
        <f>IFERROR(INDEX('02x_Accelerator_Catalog'!$C$2:$C$11,MATCH(F458,'02x_Accelerator_Catalog'!$B$2:$B$11,0)),"purpose_or_unbenchmarked")</f>
        <v/>
      </c>
      <c r="H458" s="28">
        <f>SUMIFS('02c_AI_CSP_Normalized'!$N$2:$N$305,'02c_AI_CSP_Normalized'!$B$2:$B$305,B458,'02c_AI_CSP_Normalized'!$C$2:$C$305,C458,'02c_AI_CSP_Normalized'!$D$2:$D$305,D458,'02c_AI_CSP_Normalized'!$E$2:$E$305,E458)</f>
        <v/>
      </c>
      <c r="I458" s="6">
        <f>SUMIFS('02b_CSP_Accelerator_Mix'!$H$2:$H$573,'02b_CSP_Accelerator_Mix'!$B$2:$B$573,B458,'02b_CSP_Accelerator_Mix'!$C$2:$C$573,E458,'02b_CSP_Accelerator_Mix'!$D$2:$D$573,D458,'02b_CSP_Accelerator_Mix'!$E$2:$E$573,F458)</f>
        <v/>
      </c>
      <c r="J458" s="28">
        <f>H458*I458</f>
        <v/>
      </c>
      <c r="K458" s="8">
        <f>IFERROR(INDEX('02x_Accelerator_Catalog'!$D$2:$D$11,MATCH(F458,'02x_Accelerator_Catalog'!$B$2:$B$11,0)),"")</f>
        <v/>
      </c>
      <c r="L458" s="7">
        <f>IF(K458&gt;0,J458*1000/K458,"")</f>
        <v/>
      </c>
      <c r="M458" s="5" t="inlineStr">
        <is>
          <t>legacy_company_gpu_mix_fallback</t>
        </is>
      </c>
      <c r="N458" s="5" t="inlineStr">
        <is>
          <t>Extensible long-format output: add a new accelerator row in 02b and map it in 02x_Accelerator_Catalog to extend this table.</t>
        </is>
      </c>
    </row>
    <row r="459">
      <c r="A459" s="5">
        <f>B459&amp;"|"&amp;C459&amp;"|"&amp;D459&amp;"|"&amp;E459&amp;"|"&amp;F459</f>
        <v/>
      </c>
      <c r="B459" s="5" t="inlineStr">
        <is>
          <t>Bear</t>
        </is>
      </c>
      <c r="C459" s="5" t="inlineStr">
        <is>
          <t>OpenAI</t>
        </is>
      </c>
      <c r="D459" s="5" t="n">
        <v>2028</v>
      </c>
      <c r="E459" s="5" t="inlineStr">
        <is>
          <t>Softbank</t>
        </is>
      </c>
      <c r="F459" s="5" t="inlineStr">
        <is>
          <t>GB200/GB300 class</t>
        </is>
      </c>
      <c r="G459" s="5">
        <f>IFERROR(INDEX('02x_Accelerator_Catalog'!$C$2:$C$11,MATCH(F459,'02x_Accelerator_Catalog'!$B$2:$B$11,0)),"purpose_or_unbenchmarked")</f>
        <v/>
      </c>
      <c r="H459" s="28">
        <f>SUMIFS('02c_AI_CSP_Normalized'!$N$2:$N$305,'02c_AI_CSP_Normalized'!$B$2:$B$305,B459,'02c_AI_CSP_Normalized'!$C$2:$C$305,C459,'02c_AI_CSP_Normalized'!$D$2:$D$305,D459,'02c_AI_CSP_Normalized'!$E$2:$E$305,E459)</f>
        <v/>
      </c>
      <c r="I459" s="6">
        <f>SUMIFS('02b_CSP_Accelerator_Mix'!$H$2:$H$573,'02b_CSP_Accelerator_Mix'!$B$2:$B$573,B459,'02b_CSP_Accelerator_Mix'!$C$2:$C$573,E459,'02b_CSP_Accelerator_Mix'!$D$2:$D$573,D459,'02b_CSP_Accelerator_Mix'!$E$2:$E$573,F459)</f>
        <v/>
      </c>
      <c r="J459" s="28">
        <f>H459*I459</f>
        <v/>
      </c>
      <c r="K459" s="8">
        <f>IFERROR(INDEX('02x_Accelerator_Catalog'!$D$2:$D$11,MATCH(F459,'02x_Accelerator_Catalog'!$B$2:$B$11,0)),"")</f>
        <v/>
      </c>
      <c r="L459" s="7">
        <f>IF(K459&gt;0,J459*1000/K459,"")</f>
        <v/>
      </c>
      <c r="M459" s="5" t="inlineStr">
        <is>
          <t>legacy_company_gpu_mix_fallback</t>
        </is>
      </c>
      <c r="N459" s="5" t="inlineStr">
        <is>
          <t>Extensible long-format output: add a new accelerator row in 02b and map it in 02x_Accelerator_Catalog to extend this table.</t>
        </is>
      </c>
    </row>
    <row r="460">
      <c r="A460" s="5">
        <f>B460&amp;"|"&amp;C460&amp;"|"&amp;D460&amp;"|"&amp;E460&amp;"|"&amp;F460</f>
        <v/>
      </c>
      <c r="B460" s="5" t="inlineStr">
        <is>
          <t>Bear</t>
        </is>
      </c>
      <c r="C460" s="5" t="inlineStr">
        <is>
          <t>OpenAI</t>
        </is>
      </c>
      <c r="D460" s="5" t="n">
        <v>2028</v>
      </c>
      <c r="E460" s="5" t="inlineStr">
        <is>
          <t>Softbank</t>
        </is>
      </c>
      <c r="F460" s="5" t="inlineStr">
        <is>
          <t>H100/H200/A100 class</t>
        </is>
      </c>
      <c r="G460" s="5">
        <f>IFERROR(INDEX('02x_Accelerator_Catalog'!$C$2:$C$11,MATCH(F460,'02x_Accelerator_Catalog'!$B$2:$B$11,0)),"purpose_or_unbenchmarked")</f>
        <v/>
      </c>
      <c r="H460" s="28">
        <f>SUMIFS('02c_AI_CSP_Normalized'!$N$2:$N$305,'02c_AI_CSP_Normalized'!$B$2:$B$305,B460,'02c_AI_CSP_Normalized'!$C$2:$C$305,C460,'02c_AI_CSP_Normalized'!$D$2:$D$305,D460,'02c_AI_CSP_Normalized'!$E$2:$E$305,E460)</f>
        <v/>
      </c>
      <c r="I460" s="6">
        <f>SUMIFS('02b_CSP_Accelerator_Mix'!$H$2:$H$573,'02b_CSP_Accelerator_Mix'!$B$2:$B$573,B460,'02b_CSP_Accelerator_Mix'!$C$2:$C$573,E460,'02b_CSP_Accelerator_Mix'!$D$2:$D$573,D460,'02b_CSP_Accelerator_Mix'!$E$2:$E$573,F460)</f>
        <v/>
      </c>
      <c r="J460" s="28">
        <f>H460*I460</f>
        <v/>
      </c>
      <c r="K460" s="8">
        <f>IFERROR(INDEX('02x_Accelerator_Catalog'!$D$2:$D$11,MATCH(F460,'02x_Accelerator_Catalog'!$B$2:$B$11,0)),"")</f>
        <v/>
      </c>
      <c r="L460" s="7">
        <f>IF(K460&gt;0,J460*1000/K460,"")</f>
        <v/>
      </c>
      <c r="M460" s="5" t="inlineStr">
        <is>
          <t>legacy_company_gpu_mix_fallback</t>
        </is>
      </c>
      <c r="N460" s="5" t="inlineStr">
        <is>
          <t>Extensible long-format output: add a new accelerator row in 02b and map it in 02x_Accelerator_Catalog to extend this table.</t>
        </is>
      </c>
    </row>
    <row r="461">
      <c r="A461" s="5">
        <f>B461&amp;"|"&amp;C461&amp;"|"&amp;D461&amp;"|"&amp;E461&amp;"|"&amp;F461</f>
        <v/>
      </c>
      <c r="B461" s="5" t="inlineStr">
        <is>
          <t>Base</t>
        </is>
      </c>
      <c r="C461" s="5" t="inlineStr">
        <is>
          <t>OpenAI</t>
        </is>
      </c>
      <c r="D461" s="5" t="n">
        <v>2028</v>
      </c>
      <c r="E461" s="5" t="inlineStr">
        <is>
          <t>Softbank</t>
        </is>
      </c>
      <c r="F461" s="5" t="inlineStr">
        <is>
          <t>B200/B300 class</t>
        </is>
      </c>
      <c r="G461" s="5">
        <f>IFERROR(INDEX('02x_Accelerator_Catalog'!$C$2:$C$11,MATCH(F461,'02x_Accelerator_Catalog'!$B$2:$B$11,0)),"purpose_or_unbenchmarked")</f>
        <v/>
      </c>
      <c r="H461" s="28">
        <f>SUMIFS('02c_AI_CSP_Normalized'!$N$2:$N$305,'02c_AI_CSP_Normalized'!$B$2:$B$305,B461,'02c_AI_CSP_Normalized'!$C$2:$C$305,C461,'02c_AI_CSP_Normalized'!$D$2:$D$305,D461,'02c_AI_CSP_Normalized'!$E$2:$E$305,E461)</f>
        <v/>
      </c>
      <c r="I461" s="6">
        <f>SUMIFS('02b_CSP_Accelerator_Mix'!$H$2:$H$573,'02b_CSP_Accelerator_Mix'!$B$2:$B$573,B461,'02b_CSP_Accelerator_Mix'!$C$2:$C$573,E461,'02b_CSP_Accelerator_Mix'!$D$2:$D$573,D461,'02b_CSP_Accelerator_Mix'!$E$2:$E$573,F461)</f>
        <v/>
      </c>
      <c r="J461" s="28">
        <f>H461*I461</f>
        <v/>
      </c>
      <c r="K461" s="8">
        <f>IFERROR(INDEX('02x_Accelerator_Catalog'!$D$2:$D$11,MATCH(F461,'02x_Accelerator_Catalog'!$B$2:$B$11,0)),"")</f>
        <v/>
      </c>
      <c r="L461" s="7">
        <f>IF(K461&gt;0,J461*1000/K461,"")</f>
        <v/>
      </c>
      <c r="M461" s="5" t="inlineStr">
        <is>
          <t>legacy_company_gpu_mix_fallback</t>
        </is>
      </c>
      <c r="N461" s="5" t="inlineStr">
        <is>
          <t>Extensible long-format output: add a new accelerator row in 02b and map it in 02x_Accelerator_Catalog to extend this table.</t>
        </is>
      </c>
    </row>
    <row r="462">
      <c r="A462" s="5">
        <f>B462&amp;"|"&amp;C462&amp;"|"&amp;D462&amp;"|"&amp;E462&amp;"|"&amp;F462</f>
        <v/>
      </c>
      <c r="B462" s="5" t="inlineStr">
        <is>
          <t>Base</t>
        </is>
      </c>
      <c r="C462" s="5" t="inlineStr">
        <is>
          <t>OpenAI</t>
        </is>
      </c>
      <c r="D462" s="5" t="n">
        <v>2028</v>
      </c>
      <c r="E462" s="5" t="inlineStr">
        <is>
          <t>Softbank</t>
        </is>
      </c>
      <c r="F462" s="5" t="inlineStr">
        <is>
          <t>GB200/GB300 class</t>
        </is>
      </c>
      <c r="G462" s="5">
        <f>IFERROR(INDEX('02x_Accelerator_Catalog'!$C$2:$C$11,MATCH(F462,'02x_Accelerator_Catalog'!$B$2:$B$11,0)),"purpose_or_unbenchmarked")</f>
        <v/>
      </c>
      <c r="H462" s="28">
        <f>SUMIFS('02c_AI_CSP_Normalized'!$N$2:$N$305,'02c_AI_CSP_Normalized'!$B$2:$B$305,B462,'02c_AI_CSP_Normalized'!$C$2:$C$305,C462,'02c_AI_CSP_Normalized'!$D$2:$D$305,D462,'02c_AI_CSP_Normalized'!$E$2:$E$305,E462)</f>
        <v/>
      </c>
      <c r="I462" s="6">
        <f>SUMIFS('02b_CSP_Accelerator_Mix'!$H$2:$H$573,'02b_CSP_Accelerator_Mix'!$B$2:$B$573,B462,'02b_CSP_Accelerator_Mix'!$C$2:$C$573,E462,'02b_CSP_Accelerator_Mix'!$D$2:$D$573,D462,'02b_CSP_Accelerator_Mix'!$E$2:$E$573,F462)</f>
        <v/>
      </c>
      <c r="J462" s="28">
        <f>H462*I462</f>
        <v/>
      </c>
      <c r="K462" s="8">
        <f>IFERROR(INDEX('02x_Accelerator_Catalog'!$D$2:$D$11,MATCH(F462,'02x_Accelerator_Catalog'!$B$2:$B$11,0)),"")</f>
        <v/>
      </c>
      <c r="L462" s="7">
        <f>IF(K462&gt;0,J462*1000/K462,"")</f>
        <v/>
      </c>
      <c r="M462" s="5" t="inlineStr">
        <is>
          <t>legacy_company_gpu_mix_fallback</t>
        </is>
      </c>
      <c r="N462" s="5" t="inlineStr">
        <is>
          <t>Extensible long-format output: add a new accelerator row in 02b and map it in 02x_Accelerator_Catalog to extend this table.</t>
        </is>
      </c>
    </row>
    <row r="463">
      <c r="A463" s="5">
        <f>B463&amp;"|"&amp;C463&amp;"|"&amp;D463&amp;"|"&amp;E463&amp;"|"&amp;F463</f>
        <v/>
      </c>
      <c r="B463" s="5" t="inlineStr">
        <is>
          <t>Base</t>
        </is>
      </c>
      <c r="C463" s="5" t="inlineStr">
        <is>
          <t>OpenAI</t>
        </is>
      </c>
      <c r="D463" s="5" t="n">
        <v>2028</v>
      </c>
      <c r="E463" s="5" t="inlineStr">
        <is>
          <t>Softbank</t>
        </is>
      </c>
      <c r="F463" s="5" t="inlineStr">
        <is>
          <t>H100/H200/A100 class</t>
        </is>
      </c>
      <c r="G463" s="5">
        <f>IFERROR(INDEX('02x_Accelerator_Catalog'!$C$2:$C$11,MATCH(F463,'02x_Accelerator_Catalog'!$B$2:$B$11,0)),"purpose_or_unbenchmarked")</f>
        <v/>
      </c>
      <c r="H463" s="28">
        <f>SUMIFS('02c_AI_CSP_Normalized'!$N$2:$N$305,'02c_AI_CSP_Normalized'!$B$2:$B$305,B463,'02c_AI_CSP_Normalized'!$C$2:$C$305,C463,'02c_AI_CSP_Normalized'!$D$2:$D$305,D463,'02c_AI_CSP_Normalized'!$E$2:$E$305,E463)</f>
        <v/>
      </c>
      <c r="I463" s="6">
        <f>SUMIFS('02b_CSP_Accelerator_Mix'!$H$2:$H$573,'02b_CSP_Accelerator_Mix'!$B$2:$B$573,B463,'02b_CSP_Accelerator_Mix'!$C$2:$C$573,E463,'02b_CSP_Accelerator_Mix'!$D$2:$D$573,D463,'02b_CSP_Accelerator_Mix'!$E$2:$E$573,F463)</f>
        <v/>
      </c>
      <c r="J463" s="28">
        <f>H463*I463</f>
        <v/>
      </c>
      <c r="K463" s="8">
        <f>IFERROR(INDEX('02x_Accelerator_Catalog'!$D$2:$D$11,MATCH(F463,'02x_Accelerator_Catalog'!$B$2:$B$11,0)),"")</f>
        <v/>
      </c>
      <c r="L463" s="7">
        <f>IF(K463&gt;0,J463*1000/K463,"")</f>
        <v/>
      </c>
      <c r="M463" s="5" t="inlineStr">
        <is>
          <t>legacy_company_gpu_mix_fallback</t>
        </is>
      </c>
      <c r="N463" s="5" t="inlineStr">
        <is>
          <t>Extensible long-format output: add a new accelerator row in 02b and map it in 02x_Accelerator_Catalog to extend this table.</t>
        </is>
      </c>
    </row>
    <row r="464">
      <c r="A464" s="5">
        <f>B464&amp;"|"&amp;C464&amp;"|"&amp;D464&amp;"|"&amp;E464&amp;"|"&amp;F464</f>
        <v/>
      </c>
      <c r="B464" s="5" t="inlineStr">
        <is>
          <t>Bull</t>
        </is>
      </c>
      <c r="C464" s="5" t="inlineStr">
        <is>
          <t>OpenAI</t>
        </is>
      </c>
      <c r="D464" s="5" t="n">
        <v>2028</v>
      </c>
      <c r="E464" s="5" t="inlineStr">
        <is>
          <t>Softbank</t>
        </is>
      </c>
      <c r="F464" s="5" t="inlineStr">
        <is>
          <t>B200/B300 class</t>
        </is>
      </c>
      <c r="G464" s="5">
        <f>IFERROR(INDEX('02x_Accelerator_Catalog'!$C$2:$C$11,MATCH(F464,'02x_Accelerator_Catalog'!$B$2:$B$11,0)),"purpose_or_unbenchmarked")</f>
        <v/>
      </c>
      <c r="H464" s="28">
        <f>SUMIFS('02c_AI_CSP_Normalized'!$N$2:$N$305,'02c_AI_CSP_Normalized'!$B$2:$B$305,B464,'02c_AI_CSP_Normalized'!$C$2:$C$305,C464,'02c_AI_CSP_Normalized'!$D$2:$D$305,D464,'02c_AI_CSP_Normalized'!$E$2:$E$305,E464)</f>
        <v/>
      </c>
      <c r="I464" s="6">
        <f>SUMIFS('02b_CSP_Accelerator_Mix'!$H$2:$H$573,'02b_CSP_Accelerator_Mix'!$B$2:$B$573,B464,'02b_CSP_Accelerator_Mix'!$C$2:$C$573,E464,'02b_CSP_Accelerator_Mix'!$D$2:$D$573,D464,'02b_CSP_Accelerator_Mix'!$E$2:$E$573,F464)</f>
        <v/>
      </c>
      <c r="J464" s="28">
        <f>H464*I464</f>
        <v/>
      </c>
      <c r="K464" s="8">
        <f>IFERROR(INDEX('02x_Accelerator_Catalog'!$D$2:$D$11,MATCH(F464,'02x_Accelerator_Catalog'!$B$2:$B$11,0)),"")</f>
        <v/>
      </c>
      <c r="L464" s="7">
        <f>IF(K464&gt;0,J464*1000/K464,"")</f>
        <v/>
      </c>
      <c r="M464" s="5" t="inlineStr">
        <is>
          <t>legacy_company_gpu_mix_fallback</t>
        </is>
      </c>
      <c r="N464" s="5" t="inlineStr">
        <is>
          <t>Extensible long-format output: add a new accelerator row in 02b and map it in 02x_Accelerator_Catalog to extend this table.</t>
        </is>
      </c>
    </row>
    <row r="465">
      <c r="A465" s="5">
        <f>B465&amp;"|"&amp;C465&amp;"|"&amp;D465&amp;"|"&amp;E465&amp;"|"&amp;F465</f>
        <v/>
      </c>
      <c r="B465" s="5" t="inlineStr">
        <is>
          <t>Bull</t>
        </is>
      </c>
      <c r="C465" s="5" t="inlineStr">
        <is>
          <t>OpenAI</t>
        </is>
      </c>
      <c r="D465" s="5" t="n">
        <v>2028</v>
      </c>
      <c r="E465" s="5" t="inlineStr">
        <is>
          <t>Softbank</t>
        </is>
      </c>
      <c r="F465" s="5" t="inlineStr">
        <is>
          <t>GB200/GB300 class</t>
        </is>
      </c>
      <c r="G465" s="5">
        <f>IFERROR(INDEX('02x_Accelerator_Catalog'!$C$2:$C$11,MATCH(F465,'02x_Accelerator_Catalog'!$B$2:$B$11,0)),"purpose_or_unbenchmarked")</f>
        <v/>
      </c>
      <c r="H465" s="28">
        <f>SUMIFS('02c_AI_CSP_Normalized'!$N$2:$N$305,'02c_AI_CSP_Normalized'!$B$2:$B$305,B465,'02c_AI_CSP_Normalized'!$C$2:$C$305,C465,'02c_AI_CSP_Normalized'!$D$2:$D$305,D465,'02c_AI_CSP_Normalized'!$E$2:$E$305,E465)</f>
        <v/>
      </c>
      <c r="I465" s="6">
        <f>SUMIFS('02b_CSP_Accelerator_Mix'!$H$2:$H$573,'02b_CSP_Accelerator_Mix'!$B$2:$B$573,B465,'02b_CSP_Accelerator_Mix'!$C$2:$C$573,E465,'02b_CSP_Accelerator_Mix'!$D$2:$D$573,D465,'02b_CSP_Accelerator_Mix'!$E$2:$E$573,F465)</f>
        <v/>
      </c>
      <c r="J465" s="28">
        <f>H465*I465</f>
        <v/>
      </c>
      <c r="K465" s="8">
        <f>IFERROR(INDEX('02x_Accelerator_Catalog'!$D$2:$D$11,MATCH(F465,'02x_Accelerator_Catalog'!$B$2:$B$11,0)),"")</f>
        <v/>
      </c>
      <c r="L465" s="7">
        <f>IF(K465&gt;0,J465*1000/K465,"")</f>
        <v/>
      </c>
      <c r="M465" s="5" t="inlineStr">
        <is>
          <t>legacy_company_gpu_mix_fallback</t>
        </is>
      </c>
      <c r="N465" s="5" t="inlineStr">
        <is>
          <t>Extensible long-format output: add a new accelerator row in 02b and map it in 02x_Accelerator_Catalog to extend this table.</t>
        </is>
      </c>
    </row>
    <row r="466">
      <c r="A466" s="5">
        <f>B466&amp;"|"&amp;C466&amp;"|"&amp;D466&amp;"|"&amp;E466&amp;"|"&amp;F466</f>
        <v/>
      </c>
      <c r="B466" s="5" t="inlineStr">
        <is>
          <t>Bull</t>
        </is>
      </c>
      <c r="C466" s="5" t="inlineStr">
        <is>
          <t>OpenAI</t>
        </is>
      </c>
      <c r="D466" s="5" t="n">
        <v>2028</v>
      </c>
      <c r="E466" s="5" t="inlineStr">
        <is>
          <t>Softbank</t>
        </is>
      </c>
      <c r="F466" s="5" t="inlineStr">
        <is>
          <t>H100/H200/A100 class</t>
        </is>
      </c>
      <c r="G466" s="5">
        <f>IFERROR(INDEX('02x_Accelerator_Catalog'!$C$2:$C$11,MATCH(F466,'02x_Accelerator_Catalog'!$B$2:$B$11,0)),"purpose_or_unbenchmarked")</f>
        <v/>
      </c>
      <c r="H466" s="28">
        <f>SUMIFS('02c_AI_CSP_Normalized'!$N$2:$N$305,'02c_AI_CSP_Normalized'!$B$2:$B$305,B466,'02c_AI_CSP_Normalized'!$C$2:$C$305,C466,'02c_AI_CSP_Normalized'!$D$2:$D$305,D466,'02c_AI_CSP_Normalized'!$E$2:$E$305,E466)</f>
        <v/>
      </c>
      <c r="I466" s="6">
        <f>SUMIFS('02b_CSP_Accelerator_Mix'!$H$2:$H$573,'02b_CSP_Accelerator_Mix'!$B$2:$B$573,B466,'02b_CSP_Accelerator_Mix'!$C$2:$C$573,E466,'02b_CSP_Accelerator_Mix'!$D$2:$D$573,D466,'02b_CSP_Accelerator_Mix'!$E$2:$E$573,F466)</f>
        <v/>
      </c>
      <c r="J466" s="28">
        <f>H466*I466</f>
        <v/>
      </c>
      <c r="K466" s="8">
        <f>IFERROR(INDEX('02x_Accelerator_Catalog'!$D$2:$D$11,MATCH(F466,'02x_Accelerator_Catalog'!$B$2:$B$11,0)),"")</f>
        <v/>
      </c>
      <c r="L466" s="7">
        <f>IF(K466&gt;0,J466*1000/K466,"")</f>
        <v/>
      </c>
      <c r="M466" s="5" t="inlineStr">
        <is>
          <t>legacy_company_gpu_mix_fallback</t>
        </is>
      </c>
      <c r="N466" s="5" t="inlineStr">
        <is>
          <t>Extensible long-format output: add a new accelerator row in 02b and map it in 02x_Accelerator_Catalog to extend this table.</t>
        </is>
      </c>
    </row>
    <row r="467">
      <c r="A467" s="5">
        <f>B467&amp;"|"&amp;C467&amp;"|"&amp;D467&amp;"|"&amp;E467&amp;"|"&amp;F467</f>
        <v/>
      </c>
      <c r="B467" s="5" t="inlineStr">
        <is>
          <t>Grid-Constrained / Efficiency-Upside</t>
        </is>
      </c>
      <c r="C467" s="5" t="inlineStr">
        <is>
          <t>OpenAI</t>
        </is>
      </c>
      <c r="D467" s="5" t="n">
        <v>2028</v>
      </c>
      <c r="E467" s="5" t="inlineStr">
        <is>
          <t>Softbank</t>
        </is>
      </c>
      <c r="F467" s="5" t="inlineStr">
        <is>
          <t>B200/B300 class</t>
        </is>
      </c>
      <c r="G467" s="5">
        <f>IFERROR(INDEX('02x_Accelerator_Catalog'!$C$2:$C$11,MATCH(F467,'02x_Accelerator_Catalog'!$B$2:$B$11,0)),"purpose_or_unbenchmarked")</f>
        <v/>
      </c>
      <c r="H467" s="28">
        <f>SUMIFS('02c_AI_CSP_Normalized'!$N$2:$N$305,'02c_AI_CSP_Normalized'!$B$2:$B$305,B467,'02c_AI_CSP_Normalized'!$C$2:$C$305,C467,'02c_AI_CSP_Normalized'!$D$2:$D$305,D467,'02c_AI_CSP_Normalized'!$E$2:$E$305,E467)</f>
        <v/>
      </c>
      <c r="I467" s="6">
        <f>SUMIFS('02b_CSP_Accelerator_Mix'!$H$2:$H$573,'02b_CSP_Accelerator_Mix'!$B$2:$B$573,B467,'02b_CSP_Accelerator_Mix'!$C$2:$C$573,E467,'02b_CSP_Accelerator_Mix'!$D$2:$D$573,D467,'02b_CSP_Accelerator_Mix'!$E$2:$E$573,F467)</f>
        <v/>
      </c>
      <c r="J467" s="28">
        <f>H467*I467</f>
        <v/>
      </c>
      <c r="K467" s="8">
        <f>IFERROR(INDEX('02x_Accelerator_Catalog'!$D$2:$D$11,MATCH(F467,'02x_Accelerator_Catalog'!$B$2:$B$11,0)),"")</f>
        <v/>
      </c>
      <c r="L467" s="7">
        <f>IF(K467&gt;0,J467*1000/K467,"")</f>
        <v/>
      </c>
      <c r="M467" s="5" t="inlineStr">
        <is>
          <t>legacy_company_gpu_mix_fallback</t>
        </is>
      </c>
      <c r="N467" s="5" t="inlineStr">
        <is>
          <t>Extensible long-format output: add a new accelerator row in 02b and map it in 02x_Accelerator_Catalog to extend this table.</t>
        </is>
      </c>
    </row>
    <row r="468">
      <c r="A468" s="5">
        <f>B468&amp;"|"&amp;C468&amp;"|"&amp;D468&amp;"|"&amp;E468&amp;"|"&amp;F468</f>
        <v/>
      </c>
      <c r="B468" s="5" t="inlineStr">
        <is>
          <t>Grid-Constrained / Efficiency-Upside</t>
        </is>
      </c>
      <c r="C468" s="5" t="inlineStr">
        <is>
          <t>OpenAI</t>
        </is>
      </c>
      <c r="D468" s="5" t="n">
        <v>2028</v>
      </c>
      <c r="E468" s="5" t="inlineStr">
        <is>
          <t>Softbank</t>
        </is>
      </c>
      <c r="F468" s="5" t="inlineStr">
        <is>
          <t>GB200/GB300 class</t>
        </is>
      </c>
      <c r="G468" s="5">
        <f>IFERROR(INDEX('02x_Accelerator_Catalog'!$C$2:$C$11,MATCH(F468,'02x_Accelerator_Catalog'!$B$2:$B$11,0)),"purpose_or_unbenchmarked")</f>
        <v/>
      </c>
      <c r="H468" s="28">
        <f>SUMIFS('02c_AI_CSP_Normalized'!$N$2:$N$305,'02c_AI_CSP_Normalized'!$B$2:$B$305,B468,'02c_AI_CSP_Normalized'!$C$2:$C$305,C468,'02c_AI_CSP_Normalized'!$D$2:$D$305,D468,'02c_AI_CSP_Normalized'!$E$2:$E$305,E468)</f>
        <v/>
      </c>
      <c r="I468" s="6">
        <f>SUMIFS('02b_CSP_Accelerator_Mix'!$H$2:$H$573,'02b_CSP_Accelerator_Mix'!$B$2:$B$573,B468,'02b_CSP_Accelerator_Mix'!$C$2:$C$573,E468,'02b_CSP_Accelerator_Mix'!$D$2:$D$573,D468,'02b_CSP_Accelerator_Mix'!$E$2:$E$573,F468)</f>
        <v/>
      </c>
      <c r="J468" s="28">
        <f>H468*I468</f>
        <v/>
      </c>
      <c r="K468" s="8">
        <f>IFERROR(INDEX('02x_Accelerator_Catalog'!$D$2:$D$11,MATCH(F468,'02x_Accelerator_Catalog'!$B$2:$B$11,0)),"")</f>
        <v/>
      </c>
      <c r="L468" s="7">
        <f>IF(K468&gt;0,J468*1000/K468,"")</f>
        <v/>
      </c>
      <c r="M468" s="5" t="inlineStr">
        <is>
          <t>legacy_company_gpu_mix_fallback</t>
        </is>
      </c>
      <c r="N468" s="5" t="inlineStr">
        <is>
          <t>Extensible long-format output: add a new accelerator row in 02b and map it in 02x_Accelerator_Catalog to extend this table.</t>
        </is>
      </c>
    </row>
    <row r="469">
      <c r="A469" s="5">
        <f>B469&amp;"|"&amp;C469&amp;"|"&amp;D469&amp;"|"&amp;E469&amp;"|"&amp;F469</f>
        <v/>
      </c>
      <c r="B469" s="5" t="inlineStr">
        <is>
          <t>Grid-Constrained / Efficiency-Upside</t>
        </is>
      </c>
      <c r="C469" s="5" t="inlineStr">
        <is>
          <t>OpenAI</t>
        </is>
      </c>
      <c r="D469" s="5" t="n">
        <v>2028</v>
      </c>
      <c r="E469" s="5" t="inlineStr">
        <is>
          <t>Softbank</t>
        </is>
      </c>
      <c r="F469" s="5" t="inlineStr">
        <is>
          <t>H100/H200/A100 class</t>
        </is>
      </c>
      <c r="G469" s="5">
        <f>IFERROR(INDEX('02x_Accelerator_Catalog'!$C$2:$C$11,MATCH(F469,'02x_Accelerator_Catalog'!$B$2:$B$11,0)),"purpose_or_unbenchmarked")</f>
        <v/>
      </c>
      <c r="H469" s="28">
        <f>SUMIFS('02c_AI_CSP_Normalized'!$N$2:$N$305,'02c_AI_CSP_Normalized'!$B$2:$B$305,B469,'02c_AI_CSP_Normalized'!$C$2:$C$305,C469,'02c_AI_CSP_Normalized'!$D$2:$D$305,D469,'02c_AI_CSP_Normalized'!$E$2:$E$305,E469)</f>
        <v/>
      </c>
      <c r="I469" s="6">
        <f>SUMIFS('02b_CSP_Accelerator_Mix'!$H$2:$H$573,'02b_CSP_Accelerator_Mix'!$B$2:$B$573,B469,'02b_CSP_Accelerator_Mix'!$C$2:$C$573,E469,'02b_CSP_Accelerator_Mix'!$D$2:$D$573,D469,'02b_CSP_Accelerator_Mix'!$E$2:$E$573,F469)</f>
        <v/>
      </c>
      <c r="J469" s="28">
        <f>H469*I469</f>
        <v/>
      </c>
      <c r="K469" s="8">
        <f>IFERROR(INDEX('02x_Accelerator_Catalog'!$D$2:$D$11,MATCH(F469,'02x_Accelerator_Catalog'!$B$2:$B$11,0)),"")</f>
        <v/>
      </c>
      <c r="L469" s="7">
        <f>IF(K469&gt;0,J469*1000/K469,"")</f>
        <v/>
      </c>
      <c r="M469" s="5" t="inlineStr">
        <is>
          <t>legacy_company_gpu_mix_fallback</t>
        </is>
      </c>
      <c r="N469" s="5" t="inlineStr">
        <is>
          <t>Extensible long-format output: add a new accelerator row in 02b and map it in 02x_Accelerator_Catalog to extend this table.</t>
        </is>
      </c>
    </row>
    <row r="470">
      <c r="A470" s="5">
        <f>B470&amp;"|"&amp;C470&amp;"|"&amp;D470&amp;"|"&amp;E470&amp;"|"&amp;F470</f>
        <v/>
      </c>
      <c r="B470" s="5" t="inlineStr">
        <is>
          <t>Bear</t>
        </is>
      </c>
      <c r="C470" s="5" t="inlineStr">
        <is>
          <t>OpenAI</t>
        </is>
      </c>
      <c r="D470" s="5" t="n">
        <v>2029</v>
      </c>
      <c r="E470" s="5" t="inlineStr">
        <is>
          <t>Softbank</t>
        </is>
      </c>
      <c r="F470" s="5" t="inlineStr">
        <is>
          <t>B200/B300 class</t>
        </is>
      </c>
      <c r="G470" s="5">
        <f>IFERROR(INDEX('02x_Accelerator_Catalog'!$C$2:$C$11,MATCH(F470,'02x_Accelerator_Catalog'!$B$2:$B$11,0)),"purpose_or_unbenchmarked")</f>
        <v/>
      </c>
      <c r="H470" s="28">
        <f>SUMIFS('02c_AI_CSP_Normalized'!$N$2:$N$305,'02c_AI_CSP_Normalized'!$B$2:$B$305,B470,'02c_AI_CSP_Normalized'!$C$2:$C$305,C470,'02c_AI_CSP_Normalized'!$D$2:$D$305,D470,'02c_AI_CSP_Normalized'!$E$2:$E$305,E470)</f>
        <v/>
      </c>
      <c r="I470" s="6">
        <f>SUMIFS('02b_CSP_Accelerator_Mix'!$H$2:$H$573,'02b_CSP_Accelerator_Mix'!$B$2:$B$573,B470,'02b_CSP_Accelerator_Mix'!$C$2:$C$573,E470,'02b_CSP_Accelerator_Mix'!$D$2:$D$573,D470,'02b_CSP_Accelerator_Mix'!$E$2:$E$573,F470)</f>
        <v/>
      </c>
      <c r="J470" s="28">
        <f>H470*I470</f>
        <v/>
      </c>
      <c r="K470" s="8">
        <f>IFERROR(INDEX('02x_Accelerator_Catalog'!$D$2:$D$11,MATCH(F470,'02x_Accelerator_Catalog'!$B$2:$B$11,0)),"")</f>
        <v/>
      </c>
      <c r="L470" s="7">
        <f>IF(K470&gt;0,J470*1000/K470,"")</f>
        <v/>
      </c>
      <c r="M470" s="5" t="inlineStr">
        <is>
          <t>legacy_company_gpu_mix_fallback</t>
        </is>
      </c>
      <c r="N470" s="5" t="inlineStr">
        <is>
          <t>Extensible long-format output: add a new accelerator row in 02b and map it in 02x_Accelerator_Catalog to extend this table.</t>
        </is>
      </c>
    </row>
    <row r="471">
      <c r="A471" s="5">
        <f>B471&amp;"|"&amp;C471&amp;"|"&amp;D471&amp;"|"&amp;E471&amp;"|"&amp;F471</f>
        <v/>
      </c>
      <c r="B471" s="5" t="inlineStr">
        <is>
          <t>Bear</t>
        </is>
      </c>
      <c r="C471" s="5" t="inlineStr">
        <is>
          <t>OpenAI</t>
        </is>
      </c>
      <c r="D471" s="5" t="n">
        <v>2029</v>
      </c>
      <c r="E471" s="5" t="inlineStr">
        <is>
          <t>Softbank</t>
        </is>
      </c>
      <c r="F471" s="5" t="inlineStr">
        <is>
          <t>GB200/GB300 class</t>
        </is>
      </c>
      <c r="G471" s="5">
        <f>IFERROR(INDEX('02x_Accelerator_Catalog'!$C$2:$C$11,MATCH(F471,'02x_Accelerator_Catalog'!$B$2:$B$11,0)),"purpose_or_unbenchmarked")</f>
        <v/>
      </c>
      <c r="H471" s="28">
        <f>SUMIFS('02c_AI_CSP_Normalized'!$N$2:$N$305,'02c_AI_CSP_Normalized'!$B$2:$B$305,B471,'02c_AI_CSP_Normalized'!$C$2:$C$305,C471,'02c_AI_CSP_Normalized'!$D$2:$D$305,D471,'02c_AI_CSP_Normalized'!$E$2:$E$305,E471)</f>
        <v/>
      </c>
      <c r="I471" s="6">
        <f>SUMIFS('02b_CSP_Accelerator_Mix'!$H$2:$H$573,'02b_CSP_Accelerator_Mix'!$B$2:$B$573,B471,'02b_CSP_Accelerator_Mix'!$C$2:$C$573,E471,'02b_CSP_Accelerator_Mix'!$D$2:$D$573,D471,'02b_CSP_Accelerator_Mix'!$E$2:$E$573,F471)</f>
        <v/>
      </c>
      <c r="J471" s="28">
        <f>H471*I471</f>
        <v/>
      </c>
      <c r="K471" s="8">
        <f>IFERROR(INDEX('02x_Accelerator_Catalog'!$D$2:$D$11,MATCH(F471,'02x_Accelerator_Catalog'!$B$2:$B$11,0)),"")</f>
        <v/>
      </c>
      <c r="L471" s="7">
        <f>IF(K471&gt;0,J471*1000/K471,"")</f>
        <v/>
      </c>
      <c r="M471" s="5" t="inlineStr">
        <is>
          <t>legacy_company_gpu_mix_fallback</t>
        </is>
      </c>
      <c r="N471" s="5" t="inlineStr">
        <is>
          <t>Extensible long-format output: add a new accelerator row in 02b and map it in 02x_Accelerator_Catalog to extend this table.</t>
        </is>
      </c>
    </row>
    <row r="472">
      <c r="A472" s="5">
        <f>B472&amp;"|"&amp;C472&amp;"|"&amp;D472&amp;"|"&amp;E472&amp;"|"&amp;F472</f>
        <v/>
      </c>
      <c r="B472" s="5" t="inlineStr">
        <is>
          <t>Bear</t>
        </is>
      </c>
      <c r="C472" s="5" t="inlineStr">
        <is>
          <t>OpenAI</t>
        </is>
      </c>
      <c r="D472" s="5" t="n">
        <v>2029</v>
      </c>
      <c r="E472" s="5" t="inlineStr">
        <is>
          <t>Softbank</t>
        </is>
      </c>
      <c r="F472" s="5" t="inlineStr">
        <is>
          <t>H100/H200/A100 class</t>
        </is>
      </c>
      <c r="G472" s="5">
        <f>IFERROR(INDEX('02x_Accelerator_Catalog'!$C$2:$C$11,MATCH(F472,'02x_Accelerator_Catalog'!$B$2:$B$11,0)),"purpose_or_unbenchmarked")</f>
        <v/>
      </c>
      <c r="H472" s="28">
        <f>SUMIFS('02c_AI_CSP_Normalized'!$N$2:$N$305,'02c_AI_CSP_Normalized'!$B$2:$B$305,B472,'02c_AI_CSP_Normalized'!$C$2:$C$305,C472,'02c_AI_CSP_Normalized'!$D$2:$D$305,D472,'02c_AI_CSP_Normalized'!$E$2:$E$305,E472)</f>
        <v/>
      </c>
      <c r="I472" s="6">
        <f>SUMIFS('02b_CSP_Accelerator_Mix'!$H$2:$H$573,'02b_CSP_Accelerator_Mix'!$B$2:$B$573,B472,'02b_CSP_Accelerator_Mix'!$C$2:$C$573,E472,'02b_CSP_Accelerator_Mix'!$D$2:$D$573,D472,'02b_CSP_Accelerator_Mix'!$E$2:$E$573,F472)</f>
        <v/>
      </c>
      <c r="J472" s="28">
        <f>H472*I472</f>
        <v/>
      </c>
      <c r="K472" s="8">
        <f>IFERROR(INDEX('02x_Accelerator_Catalog'!$D$2:$D$11,MATCH(F472,'02x_Accelerator_Catalog'!$B$2:$B$11,0)),"")</f>
        <v/>
      </c>
      <c r="L472" s="7">
        <f>IF(K472&gt;0,J472*1000/K472,"")</f>
        <v/>
      </c>
      <c r="M472" s="5" t="inlineStr">
        <is>
          <t>legacy_company_gpu_mix_fallback</t>
        </is>
      </c>
      <c r="N472" s="5" t="inlineStr">
        <is>
          <t>Extensible long-format output: add a new accelerator row in 02b and map it in 02x_Accelerator_Catalog to extend this table.</t>
        </is>
      </c>
    </row>
    <row r="473">
      <c r="A473" s="5">
        <f>B473&amp;"|"&amp;C473&amp;"|"&amp;D473&amp;"|"&amp;E473&amp;"|"&amp;F473</f>
        <v/>
      </c>
      <c r="B473" s="5" t="inlineStr">
        <is>
          <t>Base</t>
        </is>
      </c>
      <c r="C473" s="5" t="inlineStr">
        <is>
          <t>OpenAI</t>
        </is>
      </c>
      <c r="D473" s="5" t="n">
        <v>2029</v>
      </c>
      <c r="E473" s="5" t="inlineStr">
        <is>
          <t>Softbank</t>
        </is>
      </c>
      <c r="F473" s="5" t="inlineStr">
        <is>
          <t>B200/B300 class</t>
        </is>
      </c>
      <c r="G473" s="5">
        <f>IFERROR(INDEX('02x_Accelerator_Catalog'!$C$2:$C$11,MATCH(F473,'02x_Accelerator_Catalog'!$B$2:$B$11,0)),"purpose_or_unbenchmarked")</f>
        <v/>
      </c>
      <c r="H473" s="28">
        <f>SUMIFS('02c_AI_CSP_Normalized'!$N$2:$N$305,'02c_AI_CSP_Normalized'!$B$2:$B$305,B473,'02c_AI_CSP_Normalized'!$C$2:$C$305,C473,'02c_AI_CSP_Normalized'!$D$2:$D$305,D473,'02c_AI_CSP_Normalized'!$E$2:$E$305,E473)</f>
        <v/>
      </c>
      <c r="I473" s="6">
        <f>SUMIFS('02b_CSP_Accelerator_Mix'!$H$2:$H$573,'02b_CSP_Accelerator_Mix'!$B$2:$B$573,B473,'02b_CSP_Accelerator_Mix'!$C$2:$C$573,E473,'02b_CSP_Accelerator_Mix'!$D$2:$D$573,D473,'02b_CSP_Accelerator_Mix'!$E$2:$E$573,F473)</f>
        <v/>
      </c>
      <c r="J473" s="28">
        <f>H473*I473</f>
        <v/>
      </c>
      <c r="K473" s="8">
        <f>IFERROR(INDEX('02x_Accelerator_Catalog'!$D$2:$D$11,MATCH(F473,'02x_Accelerator_Catalog'!$B$2:$B$11,0)),"")</f>
        <v/>
      </c>
      <c r="L473" s="7">
        <f>IF(K473&gt;0,J473*1000/K473,"")</f>
        <v/>
      </c>
      <c r="M473" s="5" t="inlineStr">
        <is>
          <t>legacy_company_gpu_mix_fallback</t>
        </is>
      </c>
      <c r="N473" s="5" t="inlineStr">
        <is>
          <t>Extensible long-format output: add a new accelerator row in 02b and map it in 02x_Accelerator_Catalog to extend this table.</t>
        </is>
      </c>
    </row>
    <row r="474">
      <c r="A474" s="5">
        <f>B474&amp;"|"&amp;C474&amp;"|"&amp;D474&amp;"|"&amp;E474&amp;"|"&amp;F474</f>
        <v/>
      </c>
      <c r="B474" s="5" t="inlineStr">
        <is>
          <t>Base</t>
        </is>
      </c>
      <c r="C474" s="5" t="inlineStr">
        <is>
          <t>OpenAI</t>
        </is>
      </c>
      <c r="D474" s="5" t="n">
        <v>2029</v>
      </c>
      <c r="E474" s="5" t="inlineStr">
        <is>
          <t>Softbank</t>
        </is>
      </c>
      <c r="F474" s="5" t="inlineStr">
        <is>
          <t>GB200/GB300 class</t>
        </is>
      </c>
      <c r="G474" s="5">
        <f>IFERROR(INDEX('02x_Accelerator_Catalog'!$C$2:$C$11,MATCH(F474,'02x_Accelerator_Catalog'!$B$2:$B$11,0)),"purpose_or_unbenchmarked")</f>
        <v/>
      </c>
      <c r="H474" s="28">
        <f>SUMIFS('02c_AI_CSP_Normalized'!$N$2:$N$305,'02c_AI_CSP_Normalized'!$B$2:$B$305,B474,'02c_AI_CSP_Normalized'!$C$2:$C$305,C474,'02c_AI_CSP_Normalized'!$D$2:$D$305,D474,'02c_AI_CSP_Normalized'!$E$2:$E$305,E474)</f>
        <v/>
      </c>
      <c r="I474" s="6">
        <f>SUMIFS('02b_CSP_Accelerator_Mix'!$H$2:$H$573,'02b_CSP_Accelerator_Mix'!$B$2:$B$573,B474,'02b_CSP_Accelerator_Mix'!$C$2:$C$573,E474,'02b_CSP_Accelerator_Mix'!$D$2:$D$573,D474,'02b_CSP_Accelerator_Mix'!$E$2:$E$573,F474)</f>
        <v/>
      </c>
      <c r="J474" s="28">
        <f>H474*I474</f>
        <v/>
      </c>
      <c r="K474" s="8">
        <f>IFERROR(INDEX('02x_Accelerator_Catalog'!$D$2:$D$11,MATCH(F474,'02x_Accelerator_Catalog'!$B$2:$B$11,0)),"")</f>
        <v/>
      </c>
      <c r="L474" s="7">
        <f>IF(K474&gt;0,J474*1000/K474,"")</f>
        <v/>
      </c>
      <c r="M474" s="5" t="inlineStr">
        <is>
          <t>legacy_company_gpu_mix_fallback</t>
        </is>
      </c>
      <c r="N474" s="5" t="inlineStr">
        <is>
          <t>Extensible long-format output: add a new accelerator row in 02b and map it in 02x_Accelerator_Catalog to extend this table.</t>
        </is>
      </c>
    </row>
    <row r="475">
      <c r="A475" s="5">
        <f>B475&amp;"|"&amp;C475&amp;"|"&amp;D475&amp;"|"&amp;E475&amp;"|"&amp;F475</f>
        <v/>
      </c>
      <c r="B475" s="5" t="inlineStr">
        <is>
          <t>Base</t>
        </is>
      </c>
      <c r="C475" s="5" t="inlineStr">
        <is>
          <t>OpenAI</t>
        </is>
      </c>
      <c r="D475" s="5" t="n">
        <v>2029</v>
      </c>
      <c r="E475" s="5" t="inlineStr">
        <is>
          <t>Softbank</t>
        </is>
      </c>
      <c r="F475" s="5" t="inlineStr">
        <is>
          <t>H100/H200/A100 class</t>
        </is>
      </c>
      <c r="G475" s="5">
        <f>IFERROR(INDEX('02x_Accelerator_Catalog'!$C$2:$C$11,MATCH(F475,'02x_Accelerator_Catalog'!$B$2:$B$11,0)),"purpose_or_unbenchmarked")</f>
        <v/>
      </c>
      <c r="H475" s="28">
        <f>SUMIFS('02c_AI_CSP_Normalized'!$N$2:$N$305,'02c_AI_CSP_Normalized'!$B$2:$B$305,B475,'02c_AI_CSP_Normalized'!$C$2:$C$305,C475,'02c_AI_CSP_Normalized'!$D$2:$D$305,D475,'02c_AI_CSP_Normalized'!$E$2:$E$305,E475)</f>
        <v/>
      </c>
      <c r="I475" s="6">
        <f>SUMIFS('02b_CSP_Accelerator_Mix'!$H$2:$H$573,'02b_CSP_Accelerator_Mix'!$B$2:$B$573,B475,'02b_CSP_Accelerator_Mix'!$C$2:$C$573,E475,'02b_CSP_Accelerator_Mix'!$D$2:$D$573,D475,'02b_CSP_Accelerator_Mix'!$E$2:$E$573,F475)</f>
        <v/>
      </c>
      <c r="J475" s="28">
        <f>H475*I475</f>
        <v/>
      </c>
      <c r="K475" s="8">
        <f>IFERROR(INDEX('02x_Accelerator_Catalog'!$D$2:$D$11,MATCH(F475,'02x_Accelerator_Catalog'!$B$2:$B$11,0)),"")</f>
        <v/>
      </c>
      <c r="L475" s="7">
        <f>IF(K475&gt;0,J475*1000/K475,"")</f>
        <v/>
      </c>
      <c r="M475" s="5" t="inlineStr">
        <is>
          <t>legacy_company_gpu_mix_fallback</t>
        </is>
      </c>
      <c r="N475" s="5" t="inlineStr">
        <is>
          <t>Extensible long-format output: add a new accelerator row in 02b and map it in 02x_Accelerator_Catalog to extend this table.</t>
        </is>
      </c>
    </row>
    <row r="476">
      <c r="A476" s="5">
        <f>B476&amp;"|"&amp;C476&amp;"|"&amp;D476&amp;"|"&amp;E476&amp;"|"&amp;F476</f>
        <v/>
      </c>
      <c r="B476" s="5" t="inlineStr">
        <is>
          <t>Bull</t>
        </is>
      </c>
      <c r="C476" s="5" t="inlineStr">
        <is>
          <t>OpenAI</t>
        </is>
      </c>
      <c r="D476" s="5" t="n">
        <v>2029</v>
      </c>
      <c r="E476" s="5" t="inlineStr">
        <is>
          <t>Softbank</t>
        </is>
      </c>
      <c r="F476" s="5" t="inlineStr">
        <is>
          <t>B200/B300 class</t>
        </is>
      </c>
      <c r="G476" s="5">
        <f>IFERROR(INDEX('02x_Accelerator_Catalog'!$C$2:$C$11,MATCH(F476,'02x_Accelerator_Catalog'!$B$2:$B$11,0)),"purpose_or_unbenchmarked")</f>
        <v/>
      </c>
      <c r="H476" s="28">
        <f>SUMIFS('02c_AI_CSP_Normalized'!$N$2:$N$305,'02c_AI_CSP_Normalized'!$B$2:$B$305,B476,'02c_AI_CSP_Normalized'!$C$2:$C$305,C476,'02c_AI_CSP_Normalized'!$D$2:$D$305,D476,'02c_AI_CSP_Normalized'!$E$2:$E$305,E476)</f>
        <v/>
      </c>
      <c r="I476" s="6">
        <f>SUMIFS('02b_CSP_Accelerator_Mix'!$H$2:$H$573,'02b_CSP_Accelerator_Mix'!$B$2:$B$573,B476,'02b_CSP_Accelerator_Mix'!$C$2:$C$573,E476,'02b_CSP_Accelerator_Mix'!$D$2:$D$573,D476,'02b_CSP_Accelerator_Mix'!$E$2:$E$573,F476)</f>
        <v/>
      </c>
      <c r="J476" s="28">
        <f>H476*I476</f>
        <v/>
      </c>
      <c r="K476" s="8">
        <f>IFERROR(INDEX('02x_Accelerator_Catalog'!$D$2:$D$11,MATCH(F476,'02x_Accelerator_Catalog'!$B$2:$B$11,0)),"")</f>
        <v/>
      </c>
      <c r="L476" s="7">
        <f>IF(K476&gt;0,J476*1000/K476,"")</f>
        <v/>
      </c>
      <c r="M476" s="5" t="inlineStr">
        <is>
          <t>legacy_company_gpu_mix_fallback</t>
        </is>
      </c>
      <c r="N476" s="5" t="inlineStr">
        <is>
          <t>Extensible long-format output: add a new accelerator row in 02b and map it in 02x_Accelerator_Catalog to extend this table.</t>
        </is>
      </c>
    </row>
    <row r="477">
      <c r="A477" s="5">
        <f>B477&amp;"|"&amp;C477&amp;"|"&amp;D477&amp;"|"&amp;E477&amp;"|"&amp;F477</f>
        <v/>
      </c>
      <c r="B477" s="5" t="inlineStr">
        <is>
          <t>Bull</t>
        </is>
      </c>
      <c r="C477" s="5" t="inlineStr">
        <is>
          <t>OpenAI</t>
        </is>
      </c>
      <c r="D477" s="5" t="n">
        <v>2029</v>
      </c>
      <c r="E477" s="5" t="inlineStr">
        <is>
          <t>Softbank</t>
        </is>
      </c>
      <c r="F477" s="5" t="inlineStr">
        <is>
          <t>GB200/GB300 class</t>
        </is>
      </c>
      <c r="G477" s="5">
        <f>IFERROR(INDEX('02x_Accelerator_Catalog'!$C$2:$C$11,MATCH(F477,'02x_Accelerator_Catalog'!$B$2:$B$11,0)),"purpose_or_unbenchmarked")</f>
        <v/>
      </c>
      <c r="H477" s="28">
        <f>SUMIFS('02c_AI_CSP_Normalized'!$N$2:$N$305,'02c_AI_CSP_Normalized'!$B$2:$B$305,B477,'02c_AI_CSP_Normalized'!$C$2:$C$305,C477,'02c_AI_CSP_Normalized'!$D$2:$D$305,D477,'02c_AI_CSP_Normalized'!$E$2:$E$305,E477)</f>
        <v/>
      </c>
      <c r="I477" s="6">
        <f>SUMIFS('02b_CSP_Accelerator_Mix'!$H$2:$H$573,'02b_CSP_Accelerator_Mix'!$B$2:$B$573,B477,'02b_CSP_Accelerator_Mix'!$C$2:$C$573,E477,'02b_CSP_Accelerator_Mix'!$D$2:$D$573,D477,'02b_CSP_Accelerator_Mix'!$E$2:$E$573,F477)</f>
        <v/>
      </c>
      <c r="J477" s="28">
        <f>H477*I477</f>
        <v/>
      </c>
      <c r="K477" s="8">
        <f>IFERROR(INDEX('02x_Accelerator_Catalog'!$D$2:$D$11,MATCH(F477,'02x_Accelerator_Catalog'!$B$2:$B$11,0)),"")</f>
        <v/>
      </c>
      <c r="L477" s="7">
        <f>IF(K477&gt;0,J477*1000/K477,"")</f>
        <v/>
      </c>
      <c r="M477" s="5" t="inlineStr">
        <is>
          <t>legacy_company_gpu_mix_fallback</t>
        </is>
      </c>
      <c r="N477" s="5" t="inlineStr">
        <is>
          <t>Extensible long-format output: add a new accelerator row in 02b and map it in 02x_Accelerator_Catalog to extend this table.</t>
        </is>
      </c>
    </row>
    <row r="478">
      <c r="A478" s="5">
        <f>B478&amp;"|"&amp;C478&amp;"|"&amp;D478&amp;"|"&amp;E478&amp;"|"&amp;F478</f>
        <v/>
      </c>
      <c r="B478" s="5" t="inlineStr">
        <is>
          <t>Bull</t>
        </is>
      </c>
      <c r="C478" s="5" t="inlineStr">
        <is>
          <t>OpenAI</t>
        </is>
      </c>
      <c r="D478" s="5" t="n">
        <v>2029</v>
      </c>
      <c r="E478" s="5" t="inlineStr">
        <is>
          <t>Softbank</t>
        </is>
      </c>
      <c r="F478" s="5" t="inlineStr">
        <is>
          <t>H100/H200/A100 class</t>
        </is>
      </c>
      <c r="G478" s="5">
        <f>IFERROR(INDEX('02x_Accelerator_Catalog'!$C$2:$C$11,MATCH(F478,'02x_Accelerator_Catalog'!$B$2:$B$11,0)),"purpose_or_unbenchmarked")</f>
        <v/>
      </c>
      <c r="H478" s="28">
        <f>SUMIFS('02c_AI_CSP_Normalized'!$N$2:$N$305,'02c_AI_CSP_Normalized'!$B$2:$B$305,B478,'02c_AI_CSP_Normalized'!$C$2:$C$305,C478,'02c_AI_CSP_Normalized'!$D$2:$D$305,D478,'02c_AI_CSP_Normalized'!$E$2:$E$305,E478)</f>
        <v/>
      </c>
      <c r="I478" s="6">
        <f>SUMIFS('02b_CSP_Accelerator_Mix'!$H$2:$H$573,'02b_CSP_Accelerator_Mix'!$B$2:$B$573,B478,'02b_CSP_Accelerator_Mix'!$C$2:$C$573,E478,'02b_CSP_Accelerator_Mix'!$D$2:$D$573,D478,'02b_CSP_Accelerator_Mix'!$E$2:$E$573,F478)</f>
        <v/>
      </c>
      <c r="J478" s="28">
        <f>H478*I478</f>
        <v/>
      </c>
      <c r="K478" s="8">
        <f>IFERROR(INDEX('02x_Accelerator_Catalog'!$D$2:$D$11,MATCH(F478,'02x_Accelerator_Catalog'!$B$2:$B$11,0)),"")</f>
        <v/>
      </c>
      <c r="L478" s="7">
        <f>IF(K478&gt;0,J478*1000/K478,"")</f>
        <v/>
      </c>
      <c r="M478" s="5" t="inlineStr">
        <is>
          <t>legacy_company_gpu_mix_fallback</t>
        </is>
      </c>
      <c r="N478" s="5" t="inlineStr">
        <is>
          <t>Extensible long-format output: add a new accelerator row in 02b and map it in 02x_Accelerator_Catalog to extend this table.</t>
        </is>
      </c>
    </row>
    <row r="479">
      <c r="A479" s="5">
        <f>B479&amp;"|"&amp;C479&amp;"|"&amp;D479&amp;"|"&amp;E479&amp;"|"&amp;F479</f>
        <v/>
      </c>
      <c r="B479" s="5" t="inlineStr">
        <is>
          <t>Grid-Constrained / Efficiency-Upside</t>
        </is>
      </c>
      <c r="C479" s="5" t="inlineStr">
        <is>
          <t>OpenAI</t>
        </is>
      </c>
      <c r="D479" s="5" t="n">
        <v>2029</v>
      </c>
      <c r="E479" s="5" t="inlineStr">
        <is>
          <t>Softbank</t>
        </is>
      </c>
      <c r="F479" s="5" t="inlineStr">
        <is>
          <t>B200/B300 class</t>
        </is>
      </c>
      <c r="G479" s="5">
        <f>IFERROR(INDEX('02x_Accelerator_Catalog'!$C$2:$C$11,MATCH(F479,'02x_Accelerator_Catalog'!$B$2:$B$11,0)),"purpose_or_unbenchmarked")</f>
        <v/>
      </c>
      <c r="H479" s="28">
        <f>SUMIFS('02c_AI_CSP_Normalized'!$N$2:$N$305,'02c_AI_CSP_Normalized'!$B$2:$B$305,B479,'02c_AI_CSP_Normalized'!$C$2:$C$305,C479,'02c_AI_CSP_Normalized'!$D$2:$D$305,D479,'02c_AI_CSP_Normalized'!$E$2:$E$305,E479)</f>
        <v/>
      </c>
      <c r="I479" s="6">
        <f>SUMIFS('02b_CSP_Accelerator_Mix'!$H$2:$H$573,'02b_CSP_Accelerator_Mix'!$B$2:$B$573,B479,'02b_CSP_Accelerator_Mix'!$C$2:$C$573,E479,'02b_CSP_Accelerator_Mix'!$D$2:$D$573,D479,'02b_CSP_Accelerator_Mix'!$E$2:$E$573,F479)</f>
        <v/>
      </c>
      <c r="J479" s="28">
        <f>H479*I479</f>
        <v/>
      </c>
      <c r="K479" s="8">
        <f>IFERROR(INDEX('02x_Accelerator_Catalog'!$D$2:$D$11,MATCH(F479,'02x_Accelerator_Catalog'!$B$2:$B$11,0)),"")</f>
        <v/>
      </c>
      <c r="L479" s="7">
        <f>IF(K479&gt;0,J479*1000/K479,"")</f>
        <v/>
      </c>
      <c r="M479" s="5" t="inlineStr">
        <is>
          <t>legacy_company_gpu_mix_fallback</t>
        </is>
      </c>
      <c r="N479" s="5" t="inlineStr">
        <is>
          <t>Extensible long-format output: add a new accelerator row in 02b and map it in 02x_Accelerator_Catalog to extend this table.</t>
        </is>
      </c>
    </row>
    <row r="480">
      <c r="A480" s="5">
        <f>B480&amp;"|"&amp;C480&amp;"|"&amp;D480&amp;"|"&amp;E480&amp;"|"&amp;F480</f>
        <v/>
      </c>
      <c r="B480" s="5" t="inlineStr">
        <is>
          <t>Grid-Constrained / Efficiency-Upside</t>
        </is>
      </c>
      <c r="C480" s="5" t="inlineStr">
        <is>
          <t>OpenAI</t>
        </is>
      </c>
      <c r="D480" s="5" t="n">
        <v>2029</v>
      </c>
      <c r="E480" s="5" t="inlineStr">
        <is>
          <t>Softbank</t>
        </is>
      </c>
      <c r="F480" s="5" t="inlineStr">
        <is>
          <t>GB200/GB300 class</t>
        </is>
      </c>
      <c r="G480" s="5">
        <f>IFERROR(INDEX('02x_Accelerator_Catalog'!$C$2:$C$11,MATCH(F480,'02x_Accelerator_Catalog'!$B$2:$B$11,0)),"purpose_or_unbenchmarked")</f>
        <v/>
      </c>
      <c r="H480" s="28">
        <f>SUMIFS('02c_AI_CSP_Normalized'!$N$2:$N$305,'02c_AI_CSP_Normalized'!$B$2:$B$305,B480,'02c_AI_CSP_Normalized'!$C$2:$C$305,C480,'02c_AI_CSP_Normalized'!$D$2:$D$305,D480,'02c_AI_CSP_Normalized'!$E$2:$E$305,E480)</f>
        <v/>
      </c>
      <c r="I480" s="6">
        <f>SUMIFS('02b_CSP_Accelerator_Mix'!$H$2:$H$573,'02b_CSP_Accelerator_Mix'!$B$2:$B$573,B480,'02b_CSP_Accelerator_Mix'!$C$2:$C$573,E480,'02b_CSP_Accelerator_Mix'!$D$2:$D$573,D480,'02b_CSP_Accelerator_Mix'!$E$2:$E$573,F480)</f>
        <v/>
      </c>
      <c r="J480" s="28">
        <f>H480*I480</f>
        <v/>
      </c>
      <c r="K480" s="8">
        <f>IFERROR(INDEX('02x_Accelerator_Catalog'!$D$2:$D$11,MATCH(F480,'02x_Accelerator_Catalog'!$B$2:$B$11,0)),"")</f>
        <v/>
      </c>
      <c r="L480" s="7">
        <f>IF(K480&gt;0,J480*1000/K480,"")</f>
        <v/>
      </c>
      <c r="M480" s="5" t="inlineStr">
        <is>
          <t>legacy_company_gpu_mix_fallback</t>
        </is>
      </c>
      <c r="N480" s="5" t="inlineStr">
        <is>
          <t>Extensible long-format output: add a new accelerator row in 02b and map it in 02x_Accelerator_Catalog to extend this table.</t>
        </is>
      </c>
    </row>
    <row r="481">
      <c r="A481" s="5">
        <f>B481&amp;"|"&amp;C481&amp;"|"&amp;D481&amp;"|"&amp;E481&amp;"|"&amp;F481</f>
        <v/>
      </c>
      <c r="B481" s="5" t="inlineStr">
        <is>
          <t>Grid-Constrained / Efficiency-Upside</t>
        </is>
      </c>
      <c r="C481" s="5" t="inlineStr">
        <is>
          <t>OpenAI</t>
        </is>
      </c>
      <c r="D481" s="5" t="n">
        <v>2029</v>
      </c>
      <c r="E481" s="5" t="inlineStr">
        <is>
          <t>Softbank</t>
        </is>
      </c>
      <c r="F481" s="5" t="inlineStr">
        <is>
          <t>H100/H200/A100 class</t>
        </is>
      </c>
      <c r="G481" s="5">
        <f>IFERROR(INDEX('02x_Accelerator_Catalog'!$C$2:$C$11,MATCH(F481,'02x_Accelerator_Catalog'!$B$2:$B$11,0)),"purpose_or_unbenchmarked")</f>
        <v/>
      </c>
      <c r="H481" s="28">
        <f>SUMIFS('02c_AI_CSP_Normalized'!$N$2:$N$305,'02c_AI_CSP_Normalized'!$B$2:$B$305,B481,'02c_AI_CSP_Normalized'!$C$2:$C$305,C481,'02c_AI_CSP_Normalized'!$D$2:$D$305,D481,'02c_AI_CSP_Normalized'!$E$2:$E$305,E481)</f>
        <v/>
      </c>
      <c r="I481" s="6">
        <f>SUMIFS('02b_CSP_Accelerator_Mix'!$H$2:$H$573,'02b_CSP_Accelerator_Mix'!$B$2:$B$573,B481,'02b_CSP_Accelerator_Mix'!$C$2:$C$573,E481,'02b_CSP_Accelerator_Mix'!$D$2:$D$573,D481,'02b_CSP_Accelerator_Mix'!$E$2:$E$573,F481)</f>
        <v/>
      </c>
      <c r="J481" s="28">
        <f>H481*I481</f>
        <v/>
      </c>
      <c r="K481" s="8">
        <f>IFERROR(INDEX('02x_Accelerator_Catalog'!$D$2:$D$11,MATCH(F481,'02x_Accelerator_Catalog'!$B$2:$B$11,0)),"")</f>
        <v/>
      </c>
      <c r="L481" s="7">
        <f>IF(K481&gt;0,J481*1000/K481,"")</f>
        <v/>
      </c>
      <c r="M481" s="5" t="inlineStr">
        <is>
          <t>legacy_company_gpu_mix_fallback</t>
        </is>
      </c>
      <c r="N481" s="5" t="inlineStr">
        <is>
          <t>Extensible long-format output: add a new accelerator row in 02b and map it in 02x_Accelerator_Catalog to extend this table.</t>
        </is>
      </c>
    </row>
    <row r="482">
      <c r="A482" s="5">
        <f>B482&amp;"|"&amp;C482&amp;"|"&amp;D482&amp;"|"&amp;E482&amp;"|"&amp;F482</f>
        <v/>
      </c>
      <c r="B482" s="5" t="inlineStr">
        <is>
          <t>Bear</t>
        </is>
      </c>
      <c r="C482" s="5" t="inlineStr">
        <is>
          <t>OpenAI</t>
        </is>
      </c>
      <c r="D482" s="5" t="n">
        <v>2030</v>
      </c>
      <c r="E482" s="5" t="inlineStr">
        <is>
          <t>Softbank</t>
        </is>
      </c>
      <c r="F482" s="5" t="inlineStr">
        <is>
          <t>B200/B300 class</t>
        </is>
      </c>
      <c r="G482" s="5">
        <f>IFERROR(INDEX('02x_Accelerator_Catalog'!$C$2:$C$11,MATCH(F482,'02x_Accelerator_Catalog'!$B$2:$B$11,0)),"purpose_or_unbenchmarked")</f>
        <v/>
      </c>
      <c r="H482" s="28">
        <f>SUMIFS('02c_AI_CSP_Normalized'!$N$2:$N$305,'02c_AI_CSP_Normalized'!$B$2:$B$305,B482,'02c_AI_CSP_Normalized'!$C$2:$C$305,C482,'02c_AI_CSP_Normalized'!$D$2:$D$305,D482,'02c_AI_CSP_Normalized'!$E$2:$E$305,E482)</f>
        <v/>
      </c>
      <c r="I482" s="6">
        <f>SUMIFS('02b_CSP_Accelerator_Mix'!$H$2:$H$573,'02b_CSP_Accelerator_Mix'!$B$2:$B$573,B482,'02b_CSP_Accelerator_Mix'!$C$2:$C$573,E482,'02b_CSP_Accelerator_Mix'!$D$2:$D$573,D482,'02b_CSP_Accelerator_Mix'!$E$2:$E$573,F482)</f>
        <v/>
      </c>
      <c r="J482" s="28">
        <f>H482*I482</f>
        <v/>
      </c>
      <c r="K482" s="8">
        <f>IFERROR(INDEX('02x_Accelerator_Catalog'!$D$2:$D$11,MATCH(F482,'02x_Accelerator_Catalog'!$B$2:$B$11,0)),"")</f>
        <v/>
      </c>
      <c r="L482" s="7">
        <f>IF(K482&gt;0,J482*1000/K482,"")</f>
        <v/>
      </c>
      <c r="M482" s="5" t="inlineStr">
        <is>
          <t>legacy_company_gpu_mix_fallback</t>
        </is>
      </c>
      <c r="N482" s="5" t="inlineStr">
        <is>
          <t>Extensible long-format output: add a new accelerator row in 02b and map it in 02x_Accelerator_Catalog to extend this table.</t>
        </is>
      </c>
    </row>
    <row r="483">
      <c r="A483" s="5">
        <f>B483&amp;"|"&amp;C483&amp;"|"&amp;D483&amp;"|"&amp;E483&amp;"|"&amp;F483</f>
        <v/>
      </c>
      <c r="B483" s="5" t="inlineStr">
        <is>
          <t>Bear</t>
        </is>
      </c>
      <c r="C483" s="5" t="inlineStr">
        <is>
          <t>OpenAI</t>
        </is>
      </c>
      <c r="D483" s="5" t="n">
        <v>2030</v>
      </c>
      <c r="E483" s="5" t="inlineStr">
        <is>
          <t>Softbank</t>
        </is>
      </c>
      <c r="F483" s="5" t="inlineStr">
        <is>
          <t>GB200/GB300 class</t>
        </is>
      </c>
      <c r="G483" s="5">
        <f>IFERROR(INDEX('02x_Accelerator_Catalog'!$C$2:$C$11,MATCH(F483,'02x_Accelerator_Catalog'!$B$2:$B$11,0)),"purpose_or_unbenchmarked")</f>
        <v/>
      </c>
      <c r="H483" s="28">
        <f>SUMIFS('02c_AI_CSP_Normalized'!$N$2:$N$305,'02c_AI_CSP_Normalized'!$B$2:$B$305,B483,'02c_AI_CSP_Normalized'!$C$2:$C$305,C483,'02c_AI_CSP_Normalized'!$D$2:$D$305,D483,'02c_AI_CSP_Normalized'!$E$2:$E$305,E483)</f>
        <v/>
      </c>
      <c r="I483" s="6">
        <f>SUMIFS('02b_CSP_Accelerator_Mix'!$H$2:$H$573,'02b_CSP_Accelerator_Mix'!$B$2:$B$573,B483,'02b_CSP_Accelerator_Mix'!$C$2:$C$573,E483,'02b_CSP_Accelerator_Mix'!$D$2:$D$573,D483,'02b_CSP_Accelerator_Mix'!$E$2:$E$573,F483)</f>
        <v/>
      </c>
      <c r="J483" s="28">
        <f>H483*I483</f>
        <v/>
      </c>
      <c r="K483" s="8">
        <f>IFERROR(INDEX('02x_Accelerator_Catalog'!$D$2:$D$11,MATCH(F483,'02x_Accelerator_Catalog'!$B$2:$B$11,0)),"")</f>
        <v/>
      </c>
      <c r="L483" s="7">
        <f>IF(K483&gt;0,J483*1000/K483,"")</f>
        <v/>
      </c>
      <c r="M483" s="5" t="inlineStr">
        <is>
          <t>legacy_company_gpu_mix_fallback</t>
        </is>
      </c>
      <c r="N483" s="5" t="inlineStr">
        <is>
          <t>Extensible long-format output: add a new accelerator row in 02b and map it in 02x_Accelerator_Catalog to extend this table.</t>
        </is>
      </c>
    </row>
    <row r="484">
      <c r="A484" s="5">
        <f>B484&amp;"|"&amp;C484&amp;"|"&amp;D484&amp;"|"&amp;E484&amp;"|"&amp;F484</f>
        <v/>
      </c>
      <c r="B484" s="5" t="inlineStr">
        <is>
          <t>Bear</t>
        </is>
      </c>
      <c r="C484" s="5" t="inlineStr">
        <is>
          <t>OpenAI</t>
        </is>
      </c>
      <c r="D484" s="5" t="n">
        <v>2030</v>
      </c>
      <c r="E484" s="5" t="inlineStr">
        <is>
          <t>Softbank</t>
        </is>
      </c>
      <c r="F484" s="5" t="inlineStr">
        <is>
          <t>H100/H200/A100 class</t>
        </is>
      </c>
      <c r="G484" s="5">
        <f>IFERROR(INDEX('02x_Accelerator_Catalog'!$C$2:$C$11,MATCH(F484,'02x_Accelerator_Catalog'!$B$2:$B$11,0)),"purpose_or_unbenchmarked")</f>
        <v/>
      </c>
      <c r="H484" s="28">
        <f>SUMIFS('02c_AI_CSP_Normalized'!$N$2:$N$305,'02c_AI_CSP_Normalized'!$B$2:$B$305,B484,'02c_AI_CSP_Normalized'!$C$2:$C$305,C484,'02c_AI_CSP_Normalized'!$D$2:$D$305,D484,'02c_AI_CSP_Normalized'!$E$2:$E$305,E484)</f>
        <v/>
      </c>
      <c r="I484" s="6">
        <f>SUMIFS('02b_CSP_Accelerator_Mix'!$H$2:$H$573,'02b_CSP_Accelerator_Mix'!$B$2:$B$573,B484,'02b_CSP_Accelerator_Mix'!$C$2:$C$573,E484,'02b_CSP_Accelerator_Mix'!$D$2:$D$573,D484,'02b_CSP_Accelerator_Mix'!$E$2:$E$573,F484)</f>
        <v/>
      </c>
      <c r="J484" s="28">
        <f>H484*I484</f>
        <v/>
      </c>
      <c r="K484" s="8">
        <f>IFERROR(INDEX('02x_Accelerator_Catalog'!$D$2:$D$11,MATCH(F484,'02x_Accelerator_Catalog'!$B$2:$B$11,0)),"")</f>
        <v/>
      </c>
      <c r="L484" s="7">
        <f>IF(K484&gt;0,J484*1000/K484,"")</f>
        <v/>
      </c>
      <c r="M484" s="5" t="inlineStr">
        <is>
          <t>legacy_company_gpu_mix_fallback</t>
        </is>
      </c>
      <c r="N484" s="5" t="inlineStr">
        <is>
          <t>Extensible long-format output: add a new accelerator row in 02b and map it in 02x_Accelerator_Catalog to extend this table.</t>
        </is>
      </c>
    </row>
    <row r="485">
      <c r="A485" s="5">
        <f>B485&amp;"|"&amp;C485&amp;"|"&amp;D485&amp;"|"&amp;E485&amp;"|"&amp;F485</f>
        <v/>
      </c>
      <c r="B485" s="5" t="inlineStr">
        <is>
          <t>Base</t>
        </is>
      </c>
      <c r="C485" s="5" t="inlineStr">
        <is>
          <t>OpenAI</t>
        </is>
      </c>
      <c r="D485" s="5" t="n">
        <v>2030</v>
      </c>
      <c r="E485" s="5" t="inlineStr">
        <is>
          <t>Softbank</t>
        </is>
      </c>
      <c r="F485" s="5" t="inlineStr">
        <is>
          <t>B200/B300 class</t>
        </is>
      </c>
      <c r="G485" s="5">
        <f>IFERROR(INDEX('02x_Accelerator_Catalog'!$C$2:$C$11,MATCH(F485,'02x_Accelerator_Catalog'!$B$2:$B$11,0)),"purpose_or_unbenchmarked")</f>
        <v/>
      </c>
      <c r="H485" s="28">
        <f>SUMIFS('02c_AI_CSP_Normalized'!$N$2:$N$305,'02c_AI_CSP_Normalized'!$B$2:$B$305,B485,'02c_AI_CSP_Normalized'!$C$2:$C$305,C485,'02c_AI_CSP_Normalized'!$D$2:$D$305,D485,'02c_AI_CSP_Normalized'!$E$2:$E$305,E485)</f>
        <v/>
      </c>
      <c r="I485" s="6">
        <f>SUMIFS('02b_CSP_Accelerator_Mix'!$H$2:$H$573,'02b_CSP_Accelerator_Mix'!$B$2:$B$573,B485,'02b_CSP_Accelerator_Mix'!$C$2:$C$573,E485,'02b_CSP_Accelerator_Mix'!$D$2:$D$573,D485,'02b_CSP_Accelerator_Mix'!$E$2:$E$573,F485)</f>
        <v/>
      </c>
      <c r="J485" s="28">
        <f>H485*I485</f>
        <v/>
      </c>
      <c r="K485" s="8">
        <f>IFERROR(INDEX('02x_Accelerator_Catalog'!$D$2:$D$11,MATCH(F485,'02x_Accelerator_Catalog'!$B$2:$B$11,0)),"")</f>
        <v/>
      </c>
      <c r="L485" s="7">
        <f>IF(K485&gt;0,J485*1000/K485,"")</f>
        <v/>
      </c>
      <c r="M485" s="5" t="inlineStr">
        <is>
          <t>legacy_company_gpu_mix_fallback</t>
        </is>
      </c>
      <c r="N485" s="5" t="inlineStr">
        <is>
          <t>Extensible long-format output: add a new accelerator row in 02b and map it in 02x_Accelerator_Catalog to extend this table.</t>
        </is>
      </c>
    </row>
    <row r="486">
      <c r="A486" s="5">
        <f>B486&amp;"|"&amp;C486&amp;"|"&amp;D486&amp;"|"&amp;E486&amp;"|"&amp;F486</f>
        <v/>
      </c>
      <c r="B486" s="5" t="inlineStr">
        <is>
          <t>Base</t>
        </is>
      </c>
      <c r="C486" s="5" t="inlineStr">
        <is>
          <t>OpenAI</t>
        </is>
      </c>
      <c r="D486" s="5" t="n">
        <v>2030</v>
      </c>
      <c r="E486" s="5" t="inlineStr">
        <is>
          <t>Softbank</t>
        </is>
      </c>
      <c r="F486" s="5" t="inlineStr">
        <is>
          <t>GB200/GB300 class</t>
        </is>
      </c>
      <c r="G486" s="5">
        <f>IFERROR(INDEX('02x_Accelerator_Catalog'!$C$2:$C$11,MATCH(F486,'02x_Accelerator_Catalog'!$B$2:$B$11,0)),"purpose_or_unbenchmarked")</f>
        <v/>
      </c>
      <c r="H486" s="28">
        <f>SUMIFS('02c_AI_CSP_Normalized'!$N$2:$N$305,'02c_AI_CSP_Normalized'!$B$2:$B$305,B486,'02c_AI_CSP_Normalized'!$C$2:$C$305,C486,'02c_AI_CSP_Normalized'!$D$2:$D$305,D486,'02c_AI_CSP_Normalized'!$E$2:$E$305,E486)</f>
        <v/>
      </c>
      <c r="I486" s="6">
        <f>SUMIFS('02b_CSP_Accelerator_Mix'!$H$2:$H$573,'02b_CSP_Accelerator_Mix'!$B$2:$B$573,B486,'02b_CSP_Accelerator_Mix'!$C$2:$C$573,E486,'02b_CSP_Accelerator_Mix'!$D$2:$D$573,D486,'02b_CSP_Accelerator_Mix'!$E$2:$E$573,F486)</f>
        <v/>
      </c>
      <c r="J486" s="28">
        <f>H486*I486</f>
        <v/>
      </c>
      <c r="K486" s="8">
        <f>IFERROR(INDEX('02x_Accelerator_Catalog'!$D$2:$D$11,MATCH(F486,'02x_Accelerator_Catalog'!$B$2:$B$11,0)),"")</f>
        <v/>
      </c>
      <c r="L486" s="7">
        <f>IF(K486&gt;0,J486*1000/K486,"")</f>
        <v/>
      </c>
      <c r="M486" s="5" t="inlineStr">
        <is>
          <t>legacy_company_gpu_mix_fallback</t>
        </is>
      </c>
      <c r="N486" s="5" t="inlineStr">
        <is>
          <t>Extensible long-format output: add a new accelerator row in 02b and map it in 02x_Accelerator_Catalog to extend this table.</t>
        </is>
      </c>
    </row>
    <row r="487">
      <c r="A487" s="5">
        <f>B487&amp;"|"&amp;C487&amp;"|"&amp;D487&amp;"|"&amp;E487&amp;"|"&amp;F487</f>
        <v/>
      </c>
      <c r="B487" s="5" t="inlineStr">
        <is>
          <t>Base</t>
        </is>
      </c>
      <c r="C487" s="5" t="inlineStr">
        <is>
          <t>OpenAI</t>
        </is>
      </c>
      <c r="D487" s="5" t="n">
        <v>2030</v>
      </c>
      <c r="E487" s="5" t="inlineStr">
        <is>
          <t>Softbank</t>
        </is>
      </c>
      <c r="F487" s="5" t="inlineStr">
        <is>
          <t>H100/H200/A100 class</t>
        </is>
      </c>
      <c r="G487" s="5">
        <f>IFERROR(INDEX('02x_Accelerator_Catalog'!$C$2:$C$11,MATCH(F487,'02x_Accelerator_Catalog'!$B$2:$B$11,0)),"purpose_or_unbenchmarked")</f>
        <v/>
      </c>
      <c r="H487" s="28">
        <f>SUMIFS('02c_AI_CSP_Normalized'!$N$2:$N$305,'02c_AI_CSP_Normalized'!$B$2:$B$305,B487,'02c_AI_CSP_Normalized'!$C$2:$C$305,C487,'02c_AI_CSP_Normalized'!$D$2:$D$305,D487,'02c_AI_CSP_Normalized'!$E$2:$E$305,E487)</f>
        <v/>
      </c>
      <c r="I487" s="6">
        <f>SUMIFS('02b_CSP_Accelerator_Mix'!$H$2:$H$573,'02b_CSP_Accelerator_Mix'!$B$2:$B$573,B487,'02b_CSP_Accelerator_Mix'!$C$2:$C$573,E487,'02b_CSP_Accelerator_Mix'!$D$2:$D$573,D487,'02b_CSP_Accelerator_Mix'!$E$2:$E$573,F487)</f>
        <v/>
      </c>
      <c r="J487" s="28">
        <f>H487*I487</f>
        <v/>
      </c>
      <c r="K487" s="8">
        <f>IFERROR(INDEX('02x_Accelerator_Catalog'!$D$2:$D$11,MATCH(F487,'02x_Accelerator_Catalog'!$B$2:$B$11,0)),"")</f>
        <v/>
      </c>
      <c r="L487" s="7">
        <f>IF(K487&gt;0,J487*1000/K487,"")</f>
        <v/>
      </c>
      <c r="M487" s="5" t="inlineStr">
        <is>
          <t>legacy_company_gpu_mix_fallback</t>
        </is>
      </c>
      <c r="N487" s="5" t="inlineStr">
        <is>
          <t>Extensible long-format output: add a new accelerator row in 02b and map it in 02x_Accelerator_Catalog to extend this table.</t>
        </is>
      </c>
    </row>
    <row r="488">
      <c r="A488" s="5">
        <f>B488&amp;"|"&amp;C488&amp;"|"&amp;D488&amp;"|"&amp;E488&amp;"|"&amp;F488</f>
        <v/>
      </c>
      <c r="B488" s="5" t="inlineStr">
        <is>
          <t>Bull</t>
        </is>
      </c>
      <c r="C488" s="5" t="inlineStr">
        <is>
          <t>OpenAI</t>
        </is>
      </c>
      <c r="D488" s="5" t="n">
        <v>2030</v>
      </c>
      <c r="E488" s="5" t="inlineStr">
        <is>
          <t>Softbank</t>
        </is>
      </c>
      <c r="F488" s="5" t="inlineStr">
        <is>
          <t>B200/B300 class</t>
        </is>
      </c>
      <c r="G488" s="5">
        <f>IFERROR(INDEX('02x_Accelerator_Catalog'!$C$2:$C$11,MATCH(F488,'02x_Accelerator_Catalog'!$B$2:$B$11,0)),"purpose_or_unbenchmarked")</f>
        <v/>
      </c>
      <c r="H488" s="28">
        <f>SUMIFS('02c_AI_CSP_Normalized'!$N$2:$N$305,'02c_AI_CSP_Normalized'!$B$2:$B$305,B488,'02c_AI_CSP_Normalized'!$C$2:$C$305,C488,'02c_AI_CSP_Normalized'!$D$2:$D$305,D488,'02c_AI_CSP_Normalized'!$E$2:$E$305,E488)</f>
        <v/>
      </c>
      <c r="I488" s="6">
        <f>SUMIFS('02b_CSP_Accelerator_Mix'!$H$2:$H$573,'02b_CSP_Accelerator_Mix'!$B$2:$B$573,B488,'02b_CSP_Accelerator_Mix'!$C$2:$C$573,E488,'02b_CSP_Accelerator_Mix'!$D$2:$D$573,D488,'02b_CSP_Accelerator_Mix'!$E$2:$E$573,F488)</f>
        <v/>
      </c>
      <c r="J488" s="28">
        <f>H488*I488</f>
        <v/>
      </c>
      <c r="K488" s="8">
        <f>IFERROR(INDEX('02x_Accelerator_Catalog'!$D$2:$D$11,MATCH(F488,'02x_Accelerator_Catalog'!$B$2:$B$11,0)),"")</f>
        <v/>
      </c>
      <c r="L488" s="7">
        <f>IF(K488&gt;0,J488*1000/K488,"")</f>
        <v/>
      </c>
      <c r="M488" s="5" t="inlineStr">
        <is>
          <t>legacy_company_gpu_mix_fallback</t>
        </is>
      </c>
      <c r="N488" s="5" t="inlineStr">
        <is>
          <t>Extensible long-format output: add a new accelerator row in 02b and map it in 02x_Accelerator_Catalog to extend this table.</t>
        </is>
      </c>
    </row>
    <row r="489">
      <c r="A489" s="5">
        <f>B489&amp;"|"&amp;C489&amp;"|"&amp;D489&amp;"|"&amp;E489&amp;"|"&amp;F489</f>
        <v/>
      </c>
      <c r="B489" s="5" t="inlineStr">
        <is>
          <t>Bull</t>
        </is>
      </c>
      <c r="C489" s="5" t="inlineStr">
        <is>
          <t>OpenAI</t>
        </is>
      </c>
      <c r="D489" s="5" t="n">
        <v>2030</v>
      </c>
      <c r="E489" s="5" t="inlineStr">
        <is>
          <t>Softbank</t>
        </is>
      </c>
      <c r="F489" s="5" t="inlineStr">
        <is>
          <t>GB200/GB300 class</t>
        </is>
      </c>
      <c r="G489" s="5">
        <f>IFERROR(INDEX('02x_Accelerator_Catalog'!$C$2:$C$11,MATCH(F489,'02x_Accelerator_Catalog'!$B$2:$B$11,0)),"purpose_or_unbenchmarked")</f>
        <v/>
      </c>
      <c r="H489" s="28">
        <f>SUMIFS('02c_AI_CSP_Normalized'!$N$2:$N$305,'02c_AI_CSP_Normalized'!$B$2:$B$305,B489,'02c_AI_CSP_Normalized'!$C$2:$C$305,C489,'02c_AI_CSP_Normalized'!$D$2:$D$305,D489,'02c_AI_CSP_Normalized'!$E$2:$E$305,E489)</f>
        <v/>
      </c>
      <c r="I489" s="6">
        <f>SUMIFS('02b_CSP_Accelerator_Mix'!$H$2:$H$573,'02b_CSP_Accelerator_Mix'!$B$2:$B$573,B489,'02b_CSP_Accelerator_Mix'!$C$2:$C$573,E489,'02b_CSP_Accelerator_Mix'!$D$2:$D$573,D489,'02b_CSP_Accelerator_Mix'!$E$2:$E$573,F489)</f>
        <v/>
      </c>
      <c r="J489" s="28">
        <f>H489*I489</f>
        <v/>
      </c>
      <c r="K489" s="8">
        <f>IFERROR(INDEX('02x_Accelerator_Catalog'!$D$2:$D$11,MATCH(F489,'02x_Accelerator_Catalog'!$B$2:$B$11,0)),"")</f>
        <v/>
      </c>
      <c r="L489" s="7">
        <f>IF(K489&gt;0,J489*1000/K489,"")</f>
        <v/>
      </c>
      <c r="M489" s="5" t="inlineStr">
        <is>
          <t>legacy_company_gpu_mix_fallback</t>
        </is>
      </c>
      <c r="N489" s="5" t="inlineStr">
        <is>
          <t>Extensible long-format output: add a new accelerator row in 02b and map it in 02x_Accelerator_Catalog to extend this table.</t>
        </is>
      </c>
    </row>
    <row r="490">
      <c r="A490" s="5">
        <f>B490&amp;"|"&amp;C490&amp;"|"&amp;D490&amp;"|"&amp;E490&amp;"|"&amp;F490</f>
        <v/>
      </c>
      <c r="B490" s="5" t="inlineStr">
        <is>
          <t>Bull</t>
        </is>
      </c>
      <c r="C490" s="5" t="inlineStr">
        <is>
          <t>OpenAI</t>
        </is>
      </c>
      <c r="D490" s="5" t="n">
        <v>2030</v>
      </c>
      <c r="E490" s="5" t="inlineStr">
        <is>
          <t>Softbank</t>
        </is>
      </c>
      <c r="F490" s="5" t="inlineStr">
        <is>
          <t>H100/H200/A100 class</t>
        </is>
      </c>
      <c r="G490" s="5">
        <f>IFERROR(INDEX('02x_Accelerator_Catalog'!$C$2:$C$11,MATCH(F490,'02x_Accelerator_Catalog'!$B$2:$B$11,0)),"purpose_or_unbenchmarked")</f>
        <v/>
      </c>
      <c r="H490" s="28">
        <f>SUMIFS('02c_AI_CSP_Normalized'!$N$2:$N$305,'02c_AI_CSP_Normalized'!$B$2:$B$305,B490,'02c_AI_CSP_Normalized'!$C$2:$C$305,C490,'02c_AI_CSP_Normalized'!$D$2:$D$305,D490,'02c_AI_CSP_Normalized'!$E$2:$E$305,E490)</f>
        <v/>
      </c>
      <c r="I490" s="6">
        <f>SUMIFS('02b_CSP_Accelerator_Mix'!$H$2:$H$573,'02b_CSP_Accelerator_Mix'!$B$2:$B$573,B490,'02b_CSP_Accelerator_Mix'!$C$2:$C$573,E490,'02b_CSP_Accelerator_Mix'!$D$2:$D$573,D490,'02b_CSP_Accelerator_Mix'!$E$2:$E$573,F490)</f>
        <v/>
      </c>
      <c r="J490" s="28">
        <f>H490*I490</f>
        <v/>
      </c>
      <c r="K490" s="8">
        <f>IFERROR(INDEX('02x_Accelerator_Catalog'!$D$2:$D$11,MATCH(F490,'02x_Accelerator_Catalog'!$B$2:$B$11,0)),"")</f>
        <v/>
      </c>
      <c r="L490" s="7">
        <f>IF(K490&gt;0,J490*1000/K490,"")</f>
        <v/>
      </c>
      <c r="M490" s="5" t="inlineStr">
        <is>
          <t>legacy_company_gpu_mix_fallback</t>
        </is>
      </c>
      <c r="N490" s="5" t="inlineStr">
        <is>
          <t>Extensible long-format output: add a new accelerator row in 02b and map it in 02x_Accelerator_Catalog to extend this table.</t>
        </is>
      </c>
    </row>
    <row r="491">
      <c r="A491" s="5">
        <f>B491&amp;"|"&amp;C491&amp;"|"&amp;D491&amp;"|"&amp;E491&amp;"|"&amp;F491</f>
        <v/>
      </c>
      <c r="B491" s="5" t="inlineStr">
        <is>
          <t>Grid-Constrained / Efficiency-Upside</t>
        </is>
      </c>
      <c r="C491" s="5" t="inlineStr">
        <is>
          <t>OpenAI</t>
        </is>
      </c>
      <c r="D491" s="5" t="n">
        <v>2030</v>
      </c>
      <c r="E491" s="5" t="inlineStr">
        <is>
          <t>Softbank</t>
        </is>
      </c>
      <c r="F491" s="5" t="inlineStr">
        <is>
          <t>B200/B300 class</t>
        </is>
      </c>
      <c r="G491" s="5">
        <f>IFERROR(INDEX('02x_Accelerator_Catalog'!$C$2:$C$11,MATCH(F491,'02x_Accelerator_Catalog'!$B$2:$B$11,0)),"purpose_or_unbenchmarked")</f>
        <v/>
      </c>
      <c r="H491" s="28">
        <f>SUMIFS('02c_AI_CSP_Normalized'!$N$2:$N$305,'02c_AI_CSP_Normalized'!$B$2:$B$305,B491,'02c_AI_CSP_Normalized'!$C$2:$C$305,C491,'02c_AI_CSP_Normalized'!$D$2:$D$305,D491,'02c_AI_CSP_Normalized'!$E$2:$E$305,E491)</f>
        <v/>
      </c>
      <c r="I491" s="6">
        <f>SUMIFS('02b_CSP_Accelerator_Mix'!$H$2:$H$573,'02b_CSP_Accelerator_Mix'!$B$2:$B$573,B491,'02b_CSP_Accelerator_Mix'!$C$2:$C$573,E491,'02b_CSP_Accelerator_Mix'!$D$2:$D$573,D491,'02b_CSP_Accelerator_Mix'!$E$2:$E$573,F491)</f>
        <v/>
      </c>
      <c r="J491" s="28">
        <f>H491*I491</f>
        <v/>
      </c>
      <c r="K491" s="8">
        <f>IFERROR(INDEX('02x_Accelerator_Catalog'!$D$2:$D$11,MATCH(F491,'02x_Accelerator_Catalog'!$B$2:$B$11,0)),"")</f>
        <v/>
      </c>
      <c r="L491" s="7">
        <f>IF(K491&gt;0,J491*1000/K491,"")</f>
        <v/>
      </c>
      <c r="M491" s="5" t="inlineStr">
        <is>
          <t>legacy_company_gpu_mix_fallback</t>
        </is>
      </c>
      <c r="N491" s="5" t="inlineStr">
        <is>
          <t>Extensible long-format output: add a new accelerator row in 02b and map it in 02x_Accelerator_Catalog to extend this table.</t>
        </is>
      </c>
    </row>
    <row r="492">
      <c r="A492" s="5">
        <f>B492&amp;"|"&amp;C492&amp;"|"&amp;D492&amp;"|"&amp;E492&amp;"|"&amp;F492</f>
        <v/>
      </c>
      <c r="B492" s="5" t="inlineStr">
        <is>
          <t>Grid-Constrained / Efficiency-Upside</t>
        </is>
      </c>
      <c r="C492" s="5" t="inlineStr">
        <is>
          <t>OpenAI</t>
        </is>
      </c>
      <c r="D492" s="5" t="n">
        <v>2030</v>
      </c>
      <c r="E492" s="5" t="inlineStr">
        <is>
          <t>Softbank</t>
        </is>
      </c>
      <c r="F492" s="5" t="inlineStr">
        <is>
          <t>GB200/GB300 class</t>
        </is>
      </c>
      <c r="G492" s="5">
        <f>IFERROR(INDEX('02x_Accelerator_Catalog'!$C$2:$C$11,MATCH(F492,'02x_Accelerator_Catalog'!$B$2:$B$11,0)),"purpose_or_unbenchmarked")</f>
        <v/>
      </c>
      <c r="H492" s="28">
        <f>SUMIFS('02c_AI_CSP_Normalized'!$N$2:$N$305,'02c_AI_CSP_Normalized'!$B$2:$B$305,B492,'02c_AI_CSP_Normalized'!$C$2:$C$305,C492,'02c_AI_CSP_Normalized'!$D$2:$D$305,D492,'02c_AI_CSP_Normalized'!$E$2:$E$305,E492)</f>
        <v/>
      </c>
      <c r="I492" s="6">
        <f>SUMIFS('02b_CSP_Accelerator_Mix'!$H$2:$H$573,'02b_CSP_Accelerator_Mix'!$B$2:$B$573,B492,'02b_CSP_Accelerator_Mix'!$C$2:$C$573,E492,'02b_CSP_Accelerator_Mix'!$D$2:$D$573,D492,'02b_CSP_Accelerator_Mix'!$E$2:$E$573,F492)</f>
        <v/>
      </c>
      <c r="J492" s="28">
        <f>H492*I492</f>
        <v/>
      </c>
      <c r="K492" s="8">
        <f>IFERROR(INDEX('02x_Accelerator_Catalog'!$D$2:$D$11,MATCH(F492,'02x_Accelerator_Catalog'!$B$2:$B$11,0)),"")</f>
        <v/>
      </c>
      <c r="L492" s="7">
        <f>IF(K492&gt;0,J492*1000/K492,"")</f>
        <v/>
      </c>
      <c r="M492" s="5" t="inlineStr">
        <is>
          <t>legacy_company_gpu_mix_fallback</t>
        </is>
      </c>
      <c r="N492" s="5" t="inlineStr">
        <is>
          <t>Extensible long-format output: add a new accelerator row in 02b and map it in 02x_Accelerator_Catalog to extend this table.</t>
        </is>
      </c>
    </row>
    <row r="493">
      <c r="A493" s="5">
        <f>B493&amp;"|"&amp;C493&amp;"|"&amp;D493&amp;"|"&amp;E493&amp;"|"&amp;F493</f>
        <v/>
      </c>
      <c r="B493" s="5" t="inlineStr">
        <is>
          <t>Grid-Constrained / Efficiency-Upside</t>
        </is>
      </c>
      <c r="C493" s="5" t="inlineStr">
        <is>
          <t>OpenAI</t>
        </is>
      </c>
      <c r="D493" s="5" t="n">
        <v>2030</v>
      </c>
      <c r="E493" s="5" t="inlineStr">
        <is>
          <t>Softbank</t>
        </is>
      </c>
      <c r="F493" s="5" t="inlineStr">
        <is>
          <t>H100/H200/A100 class</t>
        </is>
      </c>
      <c r="G493" s="5">
        <f>IFERROR(INDEX('02x_Accelerator_Catalog'!$C$2:$C$11,MATCH(F493,'02x_Accelerator_Catalog'!$B$2:$B$11,0)),"purpose_or_unbenchmarked")</f>
        <v/>
      </c>
      <c r="H493" s="28">
        <f>SUMIFS('02c_AI_CSP_Normalized'!$N$2:$N$305,'02c_AI_CSP_Normalized'!$B$2:$B$305,B493,'02c_AI_CSP_Normalized'!$C$2:$C$305,C493,'02c_AI_CSP_Normalized'!$D$2:$D$305,D493,'02c_AI_CSP_Normalized'!$E$2:$E$305,E493)</f>
        <v/>
      </c>
      <c r="I493" s="6">
        <f>SUMIFS('02b_CSP_Accelerator_Mix'!$H$2:$H$573,'02b_CSP_Accelerator_Mix'!$B$2:$B$573,B493,'02b_CSP_Accelerator_Mix'!$C$2:$C$573,E493,'02b_CSP_Accelerator_Mix'!$D$2:$D$573,D493,'02b_CSP_Accelerator_Mix'!$E$2:$E$573,F493)</f>
        <v/>
      </c>
      <c r="J493" s="28">
        <f>H493*I493</f>
        <v/>
      </c>
      <c r="K493" s="8">
        <f>IFERROR(INDEX('02x_Accelerator_Catalog'!$D$2:$D$11,MATCH(F493,'02x_Accelerator_Catalog'!$B$2:$B$11,0)),"")</f>
        <v/>
      </c>
      <c r="L493" s="7">
        <f>IF(K493&gt;0,J493*1000/K493,"")</f>
        <v/>
      </c>
      <c r="M493" s="5" t="inlineStr">
        <is>
          <t>legacy_company_gpu_mix_fallback</t>
        </is>
      </c>
      <c r="N493" s="5" t="inlineStr">
        <is>
          <t>Extensible long-format output: add a new accelerator row in 02b and map it in 02x_Accelerator_Catalog to extend this table.</t>
        </is>
      </c>
    </row>
    <row r="494">
      <c r="A494" s="5">
        <f>B494&amp;"|"&amp;C494&amp;"|"&amp;D494&amp;"|"&amp;E494&amp;"|"&amp;F494</f>
        <v/>
      </c>
      <c r="B494" s="5" t="inlineStr">
        <is>
          <t>Bear</t>
        </is>
      </c>
      <c r="C494" s="5" t="inlineStr">
        <is>
          <t>xAI</t>
        </is>
      </c>
      <c r="D494" s="5" t="n">
        <v>2026</v>
      </c>
      <c r="E494" s="5" t="inlineStr">
        <is>
          <t>SpaceXAI</t>
        </is>
      </c>
      <c r="F494" s="5" t="inlineStr">
        <is>
          <t>B200/B300 class</t>
        </is>
      </c>
      <c r="G494" s="5">
        <f>IFERROR(INDEX('02x_Accelerator_Catalog'!$C$2:$C$11,MATCH(F494,'02x_Accelerator_Catalog'!$B$2:$B$11,0)),"purpose_or_unbenchmarked")</f>
        <v/>
      </c>
      <c r="H494" s="28">
        <f>SUMIFS('02c_AI_CSP_Normalized'!$N$2:$N$305,'02c_AI_CSP_Normalized'!$B$2:$B$305,B494,'02c_AI_CSP_Normalized'!$C$2:$C$305,C494,'02c_AI_CSP_Normalized'!$D$2:$D$305,D494,'02c_AI_CSP_Normalized'!$E$2:$E$305,E494)</f>
        <v/>
      </c>
      <c r="I494" s="6">
        <f>SUMIFS('02b_CSP_Accelerator_Mix'!$H$2:$H$573,'02b_CSP_Accelerator_Mix'!$B$2:$B$573,B494,'02b_CSP_Accelerator_Mix'!$C$2:$C$573,E494,'02b_CSP_Accelerator_Mix'!$D$2:$D$573,D494,'02b_CSP_Accelerator_Mix'!$E$2:$E$573,F494)</f>
        <v/>
      </c>
      <c r="J494" s="28">
        <f>H494*I494</f>
        <v/>
      </c>
      <c r="K494" s="8">
        <f>IFERROR(INDEX('02x_Accelerator_Catalog'!$D$2:$D$11,MATCH(F494,'02x_Accelerator_Catalog'!$B$2:$B$11,0)),"")</f>
        <v/>
      </c>
      <c r="L494" s="7">
        <f>IF(K494&gt;0,J494*1000/K494,"")</f>
        <v/>
      </c>
      <c r="M494" s="5" t="inlineStr">
        <is>
          <t>epoch_csp_chip_quantity_latest</t>
        </is>
      </c>
      <c r="N494" s="5" t="inlineStr">
        <is>
          <t>Extensible long-format output: add a new accelerator row in 02b and map it in 02x_Accelerator_Catalog to extend this table.</t>
        </is>
      </c>
    </row>
    <row r="495">
      <c r="A495" s="5">
        <f>B495&amp;"|"&amp;C495&amp;"|"&amp;D495&amp;"|"&amp;E495&amp;"|"&amp;F495</f>
        <v/>
      </c>
      <c r="B495" s="5" t="inlineStr">
        <is>
          <t>Bear</t>
        </is>
      </c>
      <c r="C495" s="5" t="inlineStr">
        <is>
          <t>xAI</t>
        </is>
      </c>
      <c r="D495" s="5" t="n">
        <v>2026</v>
      </c>
      <c r="E495" s="5" t="inlineStr">
        <is>
          <t>SpaceXAI</t>
        </is>
      </c>
      <c r="F495" s="5" t="inlineStr">
        <is>
          <t>H100/H200/A100 class</t>
        </is>
      </c>
      <c r="G495" s="5">
        <f>IFERROR(INDEX('02x_Accelerator_Catalog'!$C$2:$C$11,MATCH(F495,'02x_Accelerator_Catalog'!$B$2:$B$11,0)),"purpose_or_unbenchmarked")</f>
        <v/>
      </c>
      <c r="H495" s="28">
        <f>SUMIFS('02c_AI_CSP_Normalized'!$N$2:$N$305,'02c_AI_CSP_Normalized'!$B$2:$B$305,B495,'02c_AI_CSP_Normalized'!$C$2:$C$305,C495,'02c_AI_CSP_Normalized'!$D$2:$D$305,D495,'02c_AI_CSP_Normalized'!$E$2:$E$305,E495)</f>
        <v/>
      </c>
      <c r="I495" s="6">
        <f>SUMIFS('02b_CSP_Accelerator_Mix'!$H$2:$H$573,'02b_CSP_Accelerator_Mix'!$B$2:$B$573,B495,'02b_CSP_Accelerator_Mix'!$C$2:$C$573,E495,'02b_CSP_Accelerator_Mix'!$D$2:$D$573,D495,'02b_CSP_Accelerator_Mix'!$E$2:$E$573,F495)</f>
        <v/>
      </c>
      <c r="J495" s="28">
        <f>H495*I495</f>
        <v/>
      </c>
      <c r="K495" s="8">
        <f>IFERROR(INDEX('02x_Accelerator_Catalog'!$D$2:$D$11,MATCH(F495,'02x_Accelerator_Catalog'!$B$2:$B$11,0)),"")</f>
        <v/>
      </c>
      <c r="L495" s="7">
        <f>IF(K495&gt;0,J495*1000/K495,"")</f>
        <v/>
      </c>
      <c r="M495" s="5" t="inlineStr">
        <is>
          <t>epoch_csp_chip_quantity_latest</t>
        </is>
      </c>
      <c r="N495" s="5" t="inlineStr">
        <is>
          <t>Extensible long-format output: add a new accelerator row in 02b and map it in 02x_Accelerator_Catalog to extend this table.</t>
        </is>
      </c>
    </row>
    <row r="496">
      <c r="A496" s="5">
        <f>B496&amp;"|"&amp;C496&amp;"|"&amp;D496&amp;"|"&amp;E496&amp;"|"&amp;F496</f>
        <v/>
      </c>
      <c r="B496" s="5" t="inlineStr">
        <is>
          <t>Base</t>
        </is>
      </c>
      <c r="C496" s="5" t="inlineStr">
        <is>
          <t>xAI</t>
        </is>
      </c>
      <c r="D496" s="5" t="n">
        <v>2026</v>
      </c>
      <c r="E496" s="5" t="inlineStr">
        <is>
          <t>SpaceXAI</t>
        </is>
      </c>
      <c r="F496" s="5" t="inlineStr">
        <is>
          <t>B200/B300 class</t>
        </is>
      </c>
      <c r="G496" s="5">
        <f>IFERROR(INDEX('02x_Accelerator_Catalog'!$C$2:$C$11,MATCH(F496,'02x_Accelerator_Catalog'!$B$2:$B$11,0)),"purpose_or_unbenchmarked")</f>
        <v/>
      </c>
      <c r="H496" s="28">
        <f>SUMIFS('02c_AI_CSP_Normalized'!$N$2:$N$305,'02c_AI_CSP_Normalized'!$B$2:$B$305,B496,'02c_AI_CSP_Normalized'!$C$2:$C$305,C496,'02c_AI_CSP_Normalized'!$D$2:$D$305,D496,'02c_AI_CSP_Normalized'!$E$2:$E$305,E496)</f>
        <v/>
      </c>
      <c r="I496" s="6">
        <f>SUMIFS('02b_CSP_Accelerator_Mix'!$H$2:$H$573,'02b_CSP_Accelerator_Mix'!$B$2:$B$573,B496,'02b_CSP_Accelerator_Mix'!$C$2:$C$573,E496,'02b_CSP_Accelerator_Mix'!$D$2:$D$573,D496,'02b_CSP_Accelerator_Mix'!$E$2:$E$573,F496)</f>
        <v/>
      </c>
      <c r="J496" s="28">
        <f>H496*I496</f>
        <v/>
      </c>
      <c r="K496" s="8">
        <f>IFERROR(INDEX('02x_Accelerator_Catalog'!$D$2:$D$11,MATCH(F496,'02x_Accelerator_Catalog'!$B$2:$B$11,0)),"")</f>
        <v/>
      </c>
      <c r="L496" s="7">
        <f>IF(K496&gt;0,J496*1000/K496,"")</f>
        <v/>
      </c>
      <c r="M496" s="5" t="inlineStr">
        <is>
          <t>epoch_csp_chip_quantity_latest</t>
        </is>
      </c>
      <c r="N496" s="5" t="inlineStr">
        <is>
          <t>Extensible long-format output: add a new accelerator row in 02b and map it in 02x_Accelerator_Catalog to extend this table.</t>
        </is>
      </c>
    </row>
    <row r="497">
      <c r="A497" s="5">
        <f>B497&amp;"|"&amp;C497&amp;"|"&amp;D497&amp;"|"&amp;E497&amp;"|"&amp;F497</f>
        <v/>
      </c>
      <c r="B497" s="5" t="inlineStr">
        <is>
          <t>Base</t>
        </is>
      </c>
      <c r="C497" s="5" t="inlineStr">
        <is>
          <t>xAI</t>
        </is>
      </c>
      <c r="D497" s="5" t="n">
        <v>2026</v>
      </c>
      <c r="E497" s="5" t="inlineStr">
        <is>
          <t>SpaceXAI</t>
        </is>
      </c>
      <c r="F497" s="5" t="inlineStr">
        <is>
          <t>H100/H200/A100 class</t>
        </is>
      </c>
      <c r="G497" s="5">
        <f>IFERROR(INDEX('02x_Accelerator_Catalog'!$C$2:$C$11,MATCH(F497,'02x_Accelerator_Catalog'!$B$2:$B$11,0)),"purpose_or_unbenchmarked")</f>
        <v/>
      </c>
      <c r="H497" s="28">
        <f>SUMIFS('02c_AI_CSP_Normalized'!$N$2:$N$305,'02c_AI_CSP_Normalized'!$B$2:$B$305,B497,'02c_AI_CSP_Normalized'!$C$2:$C$305,C497,'02c_AI_CSP_Normalized'!$D$2:$D$305,D497,'02c_AI_CSP_Normalized'!$E$2:$E$305,E497)</f>
        <v/>
      </c>
      <c r="I497" s="6">
        <f>SUMIFS('02b_CSP_Accelerator_Mix'!$H$2:$H$573,'02b_CSP_Accelerator_Mix'!$B$2:$B$573,B497,'02b_CSP_Accelerator_Mix'!$C$2:$C$573,E497,'02b_CSP_Accelerator_Mix'!$D$2:$D$573,D497,'02b_CSP_Accelerator_Mix'!$E$2:$E$573,F497)</f>
        <v/>
      </c>
      <c r="J497" s="28">
        <f>H497*I497</f>
        <v/>
      </c>
      <c r="K497" s="8">
        <f>IFERROR(INDEX('02x_Accelerator_Catalog'!$D$2:$D$11,MATCH(F497,'02x_Accelerator_Catalog'!$B$2:$B$11,0)),"")</f>
        <v/>
      </c>
      <c r="L497" s="7">
        <f>IF(K497&gt;0,J497*1000/K497,"")</f>
        <v/>
      </c>
      <c r="M497" s="5" t="inlineStr">
        <is>
          <t>epoch_csp_chip_quantity_latest</t>
        </is>
      </c>
      <c r="N497" s="5" t="inlineStr">
        <is>
          <t>Extensible long-format output: add a new accelerator row in 02b and map it in 02x_Accelerator_Catalog to extend this table.</t>
        </is>
      </c>
    </row>
    <row r="498">
      <c r="A498" s="5">
        <f>B498&amp;"|"&amp;C498&amp;"|"&amp;D498&amp;"|"&amp;E498&amp;"|"&amp;F498</f>
        <v/>
      </c>
      <c r="B498" s="5" t="inlineStr">
        <is>
          <t>Bull</t>
        </is>
      </c>
      <c r="C498" s="5" t="inlineStr">
        <is>
          <t>xAI</t>
        </is>
      </c>
      <c r="D498" s="5" t="n">
        <v>2026</v>
      </c>
      <c r="E498" s="5" t="inlineStr">
        <is>
          <t>SpaceXAI</t>
        </is>
      </c>
      <c r="F498" s="5" t="inlineStr">
        <is>
          <t>B200/B300 class</t>
        </is>
      </c>
      <c r="G498" s="5">
        <f>IFERROR(INDEX('02x_Accelerator_Catalog'!$C$2:$C$11,MATCH(F498,'02x_Accelerator_Catalog'!$B$2:$B$11,0)),"purpose_or_unbenchmarked")</f>
        <v/>
      </c>
      <c r="H498" s="28">
        <f>SUMIFS('02c_AI_CSP_Normalized'!$N$2:$N$305,'02c_AI_CSP_Normalized'!$B$2:$B$305,B498,'02c_AI_CSP_Normalized'!$C$2:$C$305,C498,'02c_AI_CSP_Normalized'!$D$2:$D$305,D498,'02c_AI_CSP_Normalized'!$E$2:$E$305,E498)</f>
        <v/>
      </c>
      <c r="I498" s="6">
        <f>SUMIFS('02b_CSP_Accelerator_Mix'!$H$2:$H$573,'02b_CSP_Accelerator_Mix'!$B$2:$B$573,B498,'02b_CSP_Accelerator_Mix'!$C$2:$C$573,E498,'02b_CSP_Accelerator_Mix'!$D$2:$D$573,D498,'02b_CSP_Accelerator_Mix'!$E$2:$E$573,F498)</f>
        <v/>
      </c>
      <c r="J498" s="28">
        <f>H498*I498</f>
        <v/>
      </c>
      <c r="K498" s="8">
        <f>IFERROR(INDEX('02x_Accelerator_Catalog'!$D$2:$D$11,MATCH(F498,'02x_Accelerator_Catalog'!$B$2:$B$11,0)),"")</f>
        <v/>
      </c>
      <c r="L498" s="7">
        <f>IF(K498&gt;0,J498*1000/K498,"")</f>
        <v/>
      </c>
      <c r="M498" s="5" t="inlineStr">
        <is>
          <t>epoch_csp_chip_quantity_latest</t>
        </is>
      </c>
      <c r="N498" s="5" t="inlineStr">
        <is>
          <t>Extensible long-format output: add a new accelerator row in 02b and map it in 02x_Accelerator_Catalog to extend this table.</t>
        </is>
      </c>
    </row>
    <row r="499">
      <c r="A499" s="5">
        <f>B499&amp;"|"&amp;C499&amp;"|"&amp;D499&amp;"|"&amp;E499&amp;"|"&amp;F499</f>
        <v/>
      </c>
      <c r="B499" s="5" t="inlineStr">
        <is>
          <t>Bull</t>
        </is>
      </c>
      <c r="C499" s="5" t="inlineStr">
        <is>
          <t>xAI</t>
        </is>
      </c>
      <c r="D499" s="5" t="n">
        <v>2026</v>
      </c>
      <c r="E499" s="5" t="inlineStr">
        <is>
          <t>SpaceXAI</t>
        </is>
      </c>
      <c r="F499" s="5" t="inlineStr">
        <is>
          <t>H100/H200/A100 class</t>
        </is>
      </c>
      <c r="G499" s="5">
        <f>IFERROR(INDEX('02x_Accelerator_Catalog'!$C$2:$C$11,MATCH(F499,'02x_Accelerator_Catalog'!$B$2:$B$11,0)),"purpose_or_unbenchmarked")</f>
        <v/>
      </c>
      <c r="H499" s="28">
        <f>SUMIFS('02c_AI_CSP_Normalized'!$N$2:$N$305,'02c_AI_CSP_Normalized'!$B$2:$B$305,B499,'02c_AI_CSP_Normalized'!$C$2:$C$305,C499,'02c_AI_CSP_Normalized'!$D$2:$D$305,D499,'02c_AI_CSP_Normalized'!$E$2:$E$305,E499)</f>
        <v/>
      </c>
      <c r="I499" s="6">
        <f>SUMIFS('02b_CSP_Accelerator_Mix'!$H$2:$H$573,'02b_CSP_Accelerator_Mix'!$B$2:$B$573,B499,'02b_CSP_Accelerator_Mix'!$C$2:$C$573,E499,'02b_CSP_Accelerator_Mix'!$D$2:$D$573,D499,'02b_CSP_Accelerator_Mix'!$E$2:$E$573,F499)</f>
        <v/>
      </c>
      <c r="J499" s="28">
        <f>H499*I499</f>
        <v/>
      </c>
      <c r="K499" s="8">
        <f>IFERROR(INDEX('02x_Accelerator_Catalog'!$D$2:$D$11,MATCH(F499,'02x_Accelerator_Catalog'!$B$2:$B$11,0)),"")</f>
        <v/>
      </c>
      <c r="L499" s="7">
        <f>IF(K499&gt;0,J499*1000/K499,"")</f>
        <v/>
      </c>
      <c r="M499" s="5" t="inlineStr">
        <is>
          <t>epoch_csp_chip_quantity_latest</t>
        </is>
      </c>
      <c r="N499" s="5" t="inlineStr">
        <is>
          <t>Extensible long-format output: add a new accelerator row in 02b and map it in 02x_Accelerator_Catalog to extend this table.</t>
        </is>
      </c>
    </row>
    <row r="500">
      <c r="A500" s="5">
        <f>B500&amp;"|"&amp;C500&amp;"|"&amp;D500&amp;"|"&amp;E500&amp;"|"&amp;F500</f>
        <v/>
      </c>
      <c r="B500" s="5" t="inlineStr">
        <is>
          <t>Grid-Constrained / Efficiency-Upside</t>
        </is>
      </c>
      <c r="C500" s="5" t="inlineStr">
        <is>
          <t>xAI</t>
        </is>
      </c>
      <c r="D500" s="5" t="n">
        <v>2026</v>
      </c>
      <c r="E500" s="5" t="inlineStr">
        <is>
          <t>SpaceXAI</t>
        </is>
      </c>
      <c r="F500" s="5" t="inlineStr">
        <is>
          <t>B200/B300 class</t>
        </is>
      </c>
      <c r="G500" s="5">
        <f>IFERROR(INDEX('02x_Accelerator_Catalog'!$C$2:$C$11,MATCH(F500,'02x_Accelerator_Catalog'!$B$2:$B$11,0)),"purpose_or_unbenchmarked")</f>
        <v/>
      </c>
      <c r="H500" s="28">
        <f>SUMIFS('02c_AI_CSP_Normalized'!$N$2:$N$305,'02c_AI_CSP_Normalized'!$B$2:$B$305,B500,'02c_AI_CSP_Normalized'!$C$2:$C$305,C500,'02c_AI_CSP_Normalized'!$D$2:$D$305,D500,'02c_AI_CSP_Normalized'!$E$2:$E$305,E500)</f>
        <v/>
      </c>
      <c r="I500" s="6">
        <f>SUMIFS('02b_CSP_Accelerator_Mix'!$H$2:$H$573,'02b_CSP_Accelerator_Mix'!$B$2:$B$573,B500,'02b_CSP_Accelerator_Mix'!$C$2:$C$573,E500,'02b_CSP_Accelerator_Mix'!$D$2:$D$573,D500,'02b_CSP_Accelerator_Mix'!$E$2:$E$573,F500)</f>
        <v/>
      </c>
      <c r="J500" s="28">
        <f>H500*I500</f>
        <v/>
      </c>
      <c r="K500" s="8">
        <f>IFERROR(INDEX('02x_Accelerator_Catalog'!$D$2:$D$11,MATCH(F500,'02x_Accelerator_Catalog'!$B$2:$B$11,0)),"")</f>
        <v/>
      </c>
      <c r="L500" s="7">
        <f>IF(K500&gt;0,J500*1000/K500,"")</f>
        <v/>
      </c>
      <c r="M500" s="5" t="inlineStr">
        <is>
          <t>epoch_csp_chip_quantity_latest</t>
        </is>
      </c>
      <c r="N500" s="5" t="inlineStr">
        <is>
          <t>Extensible long-format output: add a new accelerator row in 02b and map it in 02x_Accelerator_Catalog to extend this table.</t>
        </is>
      </c>
    </row>
    <row r="501">
      <c r="A501" s="5">
        <f>B501&amp;"|"&amp;C501&amp;"|"&amp;D501&amp;"|"&amp;E501&amp;"|"&amp;F501</f>
        <v/>
      </c>
      <c r="B501" s="5" t="inlineStr">
        <is>
          <t>Grid-Constrained / Efficiency-Upside</t>
        </is>
      </c>
      <c r="C501" s="5" t="inlineStr">
        <is>
          <t>xAI</t>
        </is>
      </c>
      <c r="D501" s="5" t="n">
        <v>2026</v>
      </c>
      <c r="E501" s="5" t="inlineStr">
        <is>
          <t>SpaceXAI</t>
        </is>
      </c>
      <c r="F501" s="5" t="inlineStr">
        <is>
          <t>H100/H200/A100 class</t>
        </is>
      </c>
      <c r="G501" s="5">
        <f>IFERROR(INDEX('02x_Accelerator_Catalog'!$C$2:$C$11,MATCH(F501,'02x_Accelerator_Catalog'!$B$2:$B$11,0)),"purpose_or_unbenchmarked")</f>
        <v/>
      </c>
      <c r="H501" s="28">
        <f>SUMIFS('02c_AI_CSP_Normalized'!$N$2:$N$305,'02c_AI_CSP_Normalized'!$B$2:$B$305,B501,'02c_AI_CSP_Normalized'!$C$2:$C$305,C501,'02c_AI_CSP_Normalized'!$D$2:$D$305,D501,'02c_AI_CSP_Normalized'!$E$2:$E$305,E501)</f>
        <v/>
      </c>
      <c r="I501" s="6">
        <f>SUMIFS('02b_CSP_Accelerator_Mix'!$H$2:$H$573,'02b_CSP_Accelerator_Mix'!$B$2:$B$573,B501,'02b_CSP_Accelerator_Mix'!$C$2:$C$573,E501,'02b_CSP_Accelerator_Mix'!$D$2:$D$573,D501,'02b_CSP_Accelerator_Mix'!$E$2:$E$573,F501)</f>
        <v/>
      </c>
      <c r="J501" s="28">
        <f>H501*I501</f>
        <v/>
      </c>
      <c r="K501" s="8">
        <f>IFERROR(INDEX('02x_Accelerator_Catalog'!$D$2:$D$11,MATCH(F501,'02x_Accelerator_Catalog'!$B$2:$B$11,0)),"")</f>
        <v/>
      </c>
      <c r="L501" s="7">
        <f>IF(K501&gt;0,J501*1000/K501,"")</f>
        <v/>
      </c>
      <c r="M501" s="5" t="inlineStr">
        <is>
          <t>epoch_csp_chip_quantity_latest</t>
        </is>
      </c>
      <c r="N501" s="5" t="inlineStr">
        <is>
          <t>Extensible long-format output: add a new accelerator row in 02b and map it in 02x_Accelerator_Catalog to extend this table.</t>
        </is>
      </c>
    </row>
    <row r="502">
      <c r="A502" s="5">
        <f>B502&amp;"|"&amp;C502&amp;"|"&amp;D502&amp;"|"&amp;E502&amp;"|"&amp;F502</f>
        <v/>
      </c>
      <c r="B502" s="5" t="inlineStr">
        <is>
          <t>Bear</t>
        </is>
      </c>
      <c r="C502" s="5" t="inlineStr">
        <is>
          <t>xAI</t>
        </is>
      </c>
      <c r="D502" s="5" t="n">
        <v>2027</v>
      </c>
      <c r="E502" s="5" t="inlineStr">
        <is>
          <t>SpaceXAI</t>
        </is>
      </c>
      <c r="F502" s="5" t="inlineStr">
        <is>
          <t>B200/B300 class</t>
        </is>
      </c>
      <c r="G502" s="5">
        <f>IFERROR(INDEX('02x_Accelerator_Catalog'!$C$2:$C$11,MATCH(F502,'02x_Accelerator_Catalog'!$B$2:$B$11,0)),"purpose_or_unbenchmarked")</f>
        <v/>
      </c>
      <c r="H502" s="28">
        <f>SUMIFS('02c_AI_CSP_Normalized'!$N$2:$N$305,'02c_AI_CSP_Normalized'!$B$2:$B$305,B502,'02c_AI_CSP_Normalized'!$C$2:$C$305,C502,'02c_AI_CSP_Normalized'!$D$2:$D$305,D502,'02c_AI_CSP_Normalized'!$E$2:$E$305,E502)</f>
        <v/>
      </c>
      <c r="I502" s="6">
        <f>SUMIFS('02b_CSP_Accelerator_Mix'!$H$2:$H$573,'02b_CSP_Accelerator_Mix'!$B$2:$B$573,B502,'02b_CSP_Accelerator_Mix'!$C$2:$C$573,E502,'02b_CSP_Accelerator_Mix'!$D$2:$D$573,D502,'02b_CSP_Accelerator_Mix'!$E$2:$E$573,F502)</f>
        <v/>
      </c>
      <c r="J502" s="28">
        <f>H502*I502</f>
        <v/>
      </c>
      <c r="K502" s="8">
        <f>IFERROR(INDEX('02x_Accelerator_Catalog'!$D$2:$D$11,MATCH(F502,'02x_Accelerator_Catalog'!$B$2:$B$11,0)),"")</f>
        <v/>
      </c>
      <c r="L502" s="7">
        <f>IF(K502&gt;0,J502*1000/K502,"")</f>
        <v/>
      </c>
      <c r="M502" s="5" t="inlineStr">
        <is>
          <t>epoch_csp_chip_quantity_latest</t>
        </is>
      </c>
      <c r="N502" s="5" t="inlineStr">
        <is>
          <t>Extensible long-format output: add a new accelerator row in 02b and map it in 02x_Accelerator_Catalog to extend this table.</t>
        </is>
      </c>
    </row>
    <row r="503">
      <c r="A503" s="5">
        <f>B503&amp;"|"&amp;C503&amp;"|"&amp;D503&amp;"|"&amp;E503&amp;"|"&amp;F503</f>
        <v/>
      </c>
      <c r="B503" s="5" t="inlineStr">
        <is>
          <t>Bear</t>
        </is>
      </c>
      <c r="C503" s="5" t="inlineStr">
        <is>
          <t>xAI</t>
        </is>
      </c>
      <c r="D503" s="5" t="n">
        <v>2027</v>
      </c>
      <c r="E503" s="5" t="inlineStr">
        <is>
          <t>SpaceXAI</t>
        </is>
      </c>
      <c r="F503" s="5" t="inlineStr">
        <is>
          <t>H100/H200/A100 class</t>
        </is>
      </c>
      <c r="G503" s="5">
        <f>IFERROR(INDEX('02x_Accelerator_Catalog'!$C$2:$C$11,MATCH(F503,'02x_Accelerator_Catalog'!$B$2:$B$11,0)),"purpose_or_unbenchmarked")</f>
        <v/>
      </c>
      <c r="H503" s="28">
        <f>SUMIFS('02c_AI_CSP_Normalized'!$N$2:$N$305,'02c_AI_CSP_Normalized'!$B$2:$B$305,B503,'02c_AI_CSP_Normalized'!$C$2:$C$305,C503,'02c_AI_CSP_Normalized'!$D$2:$D$305,D503,'02c_AI_CSP_Normalized'!$E$2:$E$305,E503)</f>
        <v/>
      </c>
      <c r="I503" s="6">
        <f>SUMIFS('02b_CSP_Accelerator_Mix'!$H$2:$H$573,'02b_CSP_Accelerator_Mix'!$B$2:$B$573,B503,'02b_CSP_Accelerator_Mix'!$C$2:$C$573,E503,'02b_CSP_Accelerator_Mix'!$D$2:$D$573,D503,'02b_CSP_Accelerator_Mix'!$E$2:$E$573,F503)</f>
        <v/>
      </c>
      <c r="J503" s="28">
        <f>H503*I503</f>
        <v/>
      </c>
      <c r="K503" s="8">
        <f>IFERROR(INDEX('02x_Accelerator_Catalog'!$D$2:$D$11,MATCH(F503,'02x_Accelerator_Catalog'!$B$2:$B$11,0)),"")</f>
        <v/>
      </c>
      <c r="L503" s="7">
        <f>IF(K503&gt;0,J503*1000/K503,"")</f>
        <v/>
      </c>
      <c r="M503" s="5" t="inlineStr">
        <is>
          <t>epoch_csp_chip_quantity_latest</t>
        </is>
      </c>
      <c r="N503" s="5" t="inlineStr">
        <is>
          <t>Extensible long-format output: add a new accelerator row in 02b and map it in 02x_Accelerator_Catalog to extend this table.</t>
        </is>
      </c>
    </row>
    <row r="504">
      <c r="A504" s="5">
        <f>B504&amp;"|"&amp;C504&amp;"|"&amp;D504&amp;"|"&amp;E504&amp;"|"&amp;F504</f>
        <v/>
      </c>
      <c r="B504" s="5" t="inlineStr">
        <is>
          <t>Base</t>
        </is>
      </c>
      <c r="C504" s="5" t="inlineStr">
        <is>
          <t>xAI</t>
        </is>
      </c>
      <c r="D504" s="5" t="n">
        <v>2027</v>
      </c>
      <c r="E504" s="5" t="inlineStr">
        <is>
          <t>SpaceXAI</t>
        </is>
      </c>
      <c r="F504" s="5" t="inlineStr">
        <is>
          <t>B200/B300 class</t>
        </is>
      </c>
      <c r="G504" s="5">
        <f>IFERROR(INDEX('02x_Accelerator_Catalog'!$C$2:$C$11,MATCH(F504,'02x_Accelerator_Catalog'!$B$2:$B$11,0)),"purpose_or_unbenchmarked")</f>
        <v/>
      </c>
      <c r="H504" s="28">
        <f>SUMIFS('02c_AI_CSP_Normalized'!$N$2:$N$305,'02c_AI_CSP_Normalized'!$B$2:$B$305,B504,'02c_AI_CSP_Normalized'!$C$2:$C$305,C504,'02c_AI_CSP_Normalized'!$D$2:$D$305,D504,'02c_AI_CSP_Normalized'!$E$2:$E$305,E504)</f>
        <v/>
      </c>
      <c r="I504" s="6">
        <f>SUMIFS('02b_CSP_Accelerator_Mix'!$H$2:$H$573,'02b_CSP_Accelerator_Mix'!$B$2:$B$573,B504,'02b_CSP_Accelerator_Mix'!$C$2:$C$573,E504,'02b_CSP_Accelerator_Mix'!$D$2:$D$573,D504,'02b_CSP_Accelerator_Mix'!$E$2:$E$573,F504)</f>
        <v/>
      </c>
      <c r="J504" s="28">
        <f>H504*I504</f>
        <v/>
      </c>
      <c r="K504" s="8">
        <f>IFERROR(INDEX('02x_Accelerator_Catalog'!$D$2:$D$11,MATCH(F504,'02x_Accelerator_Catalog'!$B$2:$B$11,0)),"")</f>
        <v/>
      </c>
      <c r="L504" s="7">
        <f>IF(K504&gt;0,J504*1000/K504,"")</f>
        <v/>
      </c>
      <c r="M504" s="5" t="inlineStr">
        <is>
          <t>epoch_csp_chip_quantity_latest</t>
        </is>
      </c>
      <c r="N504" s="5" t="inlineStr">
        <is>
          <t>Extensible long-format output: add a new accelerator row in 02b and map it in 02x_Accelerator_Catalog to extend this table.</t>
        </is>
      </c>
    </row>
    <row r="505">
      <c r="A505" s="5">
        <f>B505&amp;"|"&amp;C505&amp;"|"&amp;D505&amp;"|"&amp;E505&amp;"|"&amp;F505</f>
        <v/>
      </c>
      <c r="B505" s="5" t="inlineStr">
        <is>
          <t>Base</t>
        </is>
      </c>
      <c r="C505" s="5" t="inlineStr">
        <is>
          <t>xAI</t>
        </is>
      </c>
      <c r="D505" s="5" t="n">
        <v>2027</v>
      </c>
      <c r="E505" s="5" t="inlineStr">
        <is>
          <t>SpaceXAI</t>
        </is>
      </c>
      <c r="F505" s="5" t="inlineStr">
        <is>
          <t>H100/H200/A100 class</t>
        </is>
      </c>
      <c r="G505" s="5">
        <f>IFERROR(INDEX('02x_Accelerator_Catalog'!$C$2:$C$11,MATCH(F505,'02x_Accelerator_Catalog'!$B$2:$B$11,0)),"purpose_or_unbenchmarked")</f>
        <v/>
      </c>
      <c r="H505" s="28">
        <f>SUMIFS('02c_AI_CSP_Normalized'!$N$2:$N$305,'02c_AI_CSP_Normalized'!$B$2:$B$305,B505,'02c_AI_CSP_Normalized'!$C$2:$C$305,C505,'02c_AI_CSP_Normalized'!$D$2:$D$305,D505,'02c_AI_CSP_Normalized'!$E$2:$E$305,E505)</f>
        <v/>
      </c>
      <c r="I505" s="6">
        <f>SUMIFS('02b_CSP_Accelerator_Mix'!$H$2:$H$573,'02b_CSP_Accelerator_Mix'!$B$2:$B$573,B505,'02b_CSP_Accelerator_Mix'!$C$2:$C$573,E505,'02b_CSP_Accelerator_Mix'!$D$2:$D$573,D505,'02b_CSP_Accelerator_Mix'!$E$2:$E$573,F505)</f>
        <v/>
      </c>
      <c r="J505" s="28">
        <f>H505*I505</f>
        <v/>
      </c>
      <c r="K505" s="8">
        <f>IFERROR(INDEX('02x_Accelerator_Catalog'!$D$2:$D$11,MATCH(F505,'02x_Accelerator_Catalog'!$B$2:$B$11,0)),"")</f>
        <v/>
      </c>
      <c r="L505" s="7">
        <f>IF(K505&gt;0,J505*1000/K505,"")</f>
        <v/>
      </c>
      <c r="M505" s="5" t="inlineStr">
        <is>
          <t>epoch_csp_chip_quantity_latest</t>
        </is>
      </c>
      <c r="N505" s="5" t="inlineStr">
        <is>
          <t>Extensible long-format output: add a new accelerator row in 02b and map it in 02x_Accelerator_Catalog to extend this table.</t>
        </is>
      </c>
    </row>
    <row r="506">
      <c r="A506" s="5">
        <f>B506&amp;"|"&amp;C506&amp;"|"&amp;D506&amp;"|"&amp;E506&amp;"|"&amp;F506</f>
        <v/>
      </c>
      <c r="B506" s="5" t="inlineStr">
        <is>
          <t>Bull</t>
        </is>
      </c>
      <c r="C506" s="5" t="inlineStr">
        <is>
          <t>xAI</t>
        </is>
      </c>
      <c r="D506" s="5" t="n">
        <v>2027</v>
      </c>
      <c r="E506" s="5" t="inlineStr">
        <is>
          <t>SpaceXAI</t>
        </is>
      </c>
      <c r="F506" s="5" t="inlineStr">
        <is>
          <t>B200/B300 class</t>
        </is>
      </c>
      <c r="G506" s="5">
        <f>IFERROR(INDEX('02x_Accelerator_Catalog'!$C$2:$C$11,MATCH(F506,'02x_Accelerator_Catalog'!$B$2:$B$11,0)),"purpose_or_unbenchmarked")</f>
        <v/>
      </c>
      <c r="H506" s="28">
        <f>SUMIFS('02c_AI_CSP_Normalized'!$N$2:$N$305,'02c_AI_CSP_Normalized'!$B$2:$B$305,B506,'02c_AI_CSP_Normalized'!$C$2:$C$305,C506,'02c_AI_CSP_Normalized'!$D$2:$D$305,D506,'02c_AI_CSP_Normalized'!$E$2:$E$305,E506)</f>
        <v/>
      </c>
      <c r="I506" s="6">
        <f>SUMIFS('02b_CSP_Accelerator_Mix'!$H$2:$H$573,'02b_CSP_Accelerator_Mix'!$B$2:$B$573,B506,'02b_CSP_Accelerator_Mix'!$C$2:$C$573,E506,'02b_CSP_Accelerator_Mix'!$D$2:$D$573,D506,'02b_CSP_Accelerator_Mix'!$E$2:$E$573,F506)</f>
        <v/>
      </c>
      <c r="J506" s="28">
        <f>H506*I506</f>
        <v/>
      </c>
      <c r="K506" s="8">
        <f>IFERROR(INDEX('02x_Accelerator_Catalog'!$D$2:$D$11,MATCH(F506,'02x_Accelerator_Catalog'!$B$2:$B$11,0)),"")</f>
        <v/>
      </c>
      <c r="L506" s="7">
        <f>IF(K506&gt;0,J506*1000/K506,"")</f>
        <v/>
      </c>
      <c r="M506" s="5" t="inlineStr">
        <is>
          <t>epoch_csp_chip_quantity_latest</t>
        </is>
      </c>
      <c r="N506" s="5" t="inlineStr">
        <is>
          <t>Extensible long-format output: add a new accelerator row in 02b and map it in 02x_Accelerator_Catalog to extend this table.</t>
        </is>
      </c>
    </row>
    <row r="507">
      <c r="A507" s="5">
        <f>B507&amp;"|"&amp;C507&amp;"|"&amp;D507&amp;"|"&amp;E507&amp;"|"&amp;F507</f>
        <v/>
      </c>
      <c r="B507" s="5" t="inlineStr">
        <is>
          <t>Bull</t>
        </is>
      </c>
      <c r="C507" s="5" t="inlineStr">
        <is>
          <t>xAI</t>
        </is>
      </c>
      <c r="D507" s="5" t="n">
        <v>2027</v>
      </c>
      <c r="E507" s="5" t="inlineStr">
        <is>
          <t>SpaceXAI</t>
        </is>
      </c>
      <c r="F507" s="5" t="inlineStr">
        <is>
          <t>H100/H200/A100 class</t>
        </is>
      </c>
      <c r="G507" s="5">
        <f>IFERROR(INDEX('02x_Accelerator_Catalog'!$C$2:$C$11,MATCH(F507,'02x_Accelerator_Catalog'!$B$2:$B$11,0)),"purpose_or_unbenchmarked")</f>
        <v/>
      </c>
      <c r="H507" s="28">
        <f>SUMIFS('02c_AI_CSP_Normalized'!$N$2:$N$305,'02c_AI_CSP_Normalized'!$B$2:$B$305,B507,'02c_AI_CSP_Normalized'!$C$2:$C$305,C507,'02c_AI_CSP_Normalized'!$D$2:$D$305,D507,'02c_AI_CSP_Normalized'!$E$2:$E$305,E507)</f>
        <v/>
      </c>
      <c r="I507" s="6">
        <f>SUMIFS('02b_CSP_Accelerator_Mix'!$H$2:$H$573,'02b_CSP_Accelerator_Mix'!$B$2:$B$573,B507,'02b_CSP_Accelerator_Mix'!$C$2:$C$573,E507,'02b_CSP_Accelerator_Mix'!$D$2:$D$573,D507,'02b_CSP_Accelerator_Mix'!$E$2:$E$573,F507)</f>
        <v/>
      </c>
      <c r="J507" s="28">
        <f>H507*I507</f>
        <v/>
      </c>
      <c r="K507" s="8">
        <f>IFERROR(INDEX('02x_Accelerator_Catalog'!$D$2:$D$11,MATCH(F507,'02x_Accelerator_Catalog'!$B$2:$B$11,0)),"")</f>
        <v/>
      </c>
      <c r="L507" s="7">
        <f>IF(K507&gt;0,J507*1000/K507,"")</f>
        <v/>
      </c>
      <c r="M507" s="5" t="inlineStr">
        <is>
          <t>epoch_csp_chip_quantity_latest</t>
        </is>
      </c>
      <c r="N507" s="5" t="inlineStr">
        <is>
          <t>Extensible long-format output: add a new accelerator row in 02b and map it in 02x_Accelerator_Catalog to extend this table.</t>
        </is>
      </c>
    </row>
    <row r="508">
      <c r="A508" s="5">
        <f>B508&amp;"|"&amp;C508&amp;"|"&amp;D508&amp;"|"&amp;E508&amp;"|"&amp;F508</f>
        <v/>
      </c>
      <c r="B508" s="5" t="inlineStr">
        <is>
          <t>Grid-Constrained / Efficiency-Upside</t>
        </is>
      </c>
      <c r="C508" s="5" t="inlineStr">
        <is>
          <t>xAI</t>
        </is>
      </c>
      <c r="D508" s="5" t="n">
        <v>2027</v>
      </c>
      <c r="E508" s="5" t="inlineStr">
        <is>
          <t>SpaceXAI</t>
        </is>
      </c>
      <c r="F508" s="5" t="inlineStr">
        <is>
          <t>B200/B300 class</t>
        </is>
      </c>
      <c r="G508" s="5">
        <f>IFERROR(INDEX('02x_Accelerator_Catalog'!$C$2:$C$11,MATCH(F508,'02x_Accelerator_Catalog'!$B$2:$B$11,0)),"purpose_or_unbenchmarked")</f>
        <v/>
      </c>
      <c r="H508" s="28">
        <f>SUMIFS('02c_AI_CSP_Normalized'!$N$2:$N$305,'02c_AI_CSP_Normalized'!$B$2:$B$305,B508,'02c_AI_CSP_Normalized'!$C$2:$C$305,C508,'02c_AI_CSP_Normalized'!$D$2:$D$305,D508,'02c_AI_CSP_Normalized'!$E$2:$E$305,E508)</f>
        <v/>
      </c>
      <c r="I508" s="6">
        <f>SUMIFS('02b_CSP_Accelerator_Mix'!$H$2:$H$573,'02b_CSP_Accelerator_Mix'!$B$2:$B$573,B508,'02b_CSP_Accelerator_Mix'!$C$2:$C$573,E508,'02b_CSP_Accelerator_Mix'!$D$2:$D$573,D508,'02b_CSP_Accelerator_Mix'!$E$2:$E$573,F508)</f>
        <v/>
      </c>
      <c r="J508" s="28">
        <f>H508*I508</f>
        <v/>
      </c>
      <c r="K508" s="8">
        <f>IFERROR(INDEX('02x_Accelerator_Catalog'!$D$2:$D$11,MATCH(F508,'02x_Accelerator_Catalog'!$B$2:$B$11,0)),"")</f>
        <v/>
      </c>
      <c r="L508" s="7">
        <f>IF(K508&gt;0,J508*1000/K508,"")</f>
        <v/>
      </c>
      <c r="M508" s="5" t="inlineStr">
        <is>
          <t>epoch_csp_chip_quantity_latest</t>
        </is>
      </c>
      <c r="N508" s="5" t="inlineStr">
        <is>
          <t>Extensible long-format output: add a new accelerator row in 02b and map it in 02x_Accelerator_Catalog to extend this table.</t>
        </is>
      </c>
    </row>
    <row r="509">
      <c r="A509" s="5">
        <f>B509&amp;"|"&amp;C509&amp;"|"&amp;D509&amp;"|"&amp;E509&amp;"|"&amp;F509</f>
        <v/>
      </c>
      <c r="B509" s="5" t="inlineStr">
        <is>
          <t>Grid-Constrained / Efficiency-Upside</t>
        </is>
      </c>
      <c r="C509" s="5" t="inlineStr">
        <is>
          <t>xAI</t>
        </is>
      </c>
      <c r="D509" s="5" t="n">
        <v>2027</v>
      </c>
      <c r="E509" s="5" t="inlineStr">
        <is>
          <t>SpaceXAI</t>
        </is>
      </c>
      <c r="F509" s="5" t="inlineStr">
        <is>
          <t>H100/H200/A100 class</t>
        </is>
      </c>
      <c r="G509" s="5">
        <f>IFERROR(INDEX('02x_Accelerator_Catalog'!$C$2:$C$11,MATCH(F509,'02x_Accelerator_Catalog'!$B$2:$B$11,0)),"purpose_or_unbenchmarked")</f>
        <v/>
      </c>
      <c r="H509" s="28">
        <f>SUMIFS('02c_AI_CSP_Normalized'!$N$2:$N$305,'02c_AI_CSP_Normalized'!$B$2:$B$305,B509,'02c_AI_CSP_Normalized'!$C$2:$C$305,C509,'02c_AI_CSP_Normalized'!$D$2:$D$305,D509,'02c_AI_CSP_Normalized'!$E$2:$E$305,E509)</f>
        <v/>
      </c>
      <c r="I509" s="6">
        <f>SUMIFS('02b_CSP_Accelerator_Mix'!$H$2:$H$573,'02b_CSP_Accelerator_Mix'!$B$2:$B$573,B509,'02b_CSP_Accelerator_Mix'!$C$2:$C$573,E509,'02b_CSP_Accelerator_Mix'!$D$2:$D$573,D509,'02b_CSP_Accelerator_Mix'!$E$2:$E$573,F509)</f>
        <v/>
      </c>
      <c r="J509" s="28">
        <f>H509*I509</f>
        <v/>
      </c>
      <c r="K509" s="8">
        <f>IFERROR(INDEX('02x_Accelerator_Catalog'!$D$2:$D$11,MATCH(F509,'02x_Accelerator_Catalog'!$B$2:$B$11,0)),"")</f>
        <v/>
      </c>
      <c r="L509" s="7">
        <f>IF(K509&gt;0,J509*1000/K509,"")</f>
        <v/>
      </c>
      <c r="M509" s="5" t="inlineStr">
        <is>
          <t>epoch_csp_chip_quantity_latest</t>
        </is>
      </c>
      <c r="N509" s="5" t="inlineStr">
        <is>
          <t>Extensible long-format output: add a new accelerator row in 02b and map it in 02x_Accelerator_Catalog to extend this table.</t>
        </is>
      </c>
    </row>
    <row r="510">
      <c r="A510" s="5">
        <f>B510&amp;"|"&amp;C510&amp;"|"&amp;D510&amp;"|"&amp;E510&amp;"|"&amp;F510</f>
        <v/>
      </c>
      <c r="B510" s="5" t="inlineStr">
        <is>
          <t>Bear</t>
        </is>
      </c>
      <c r="C510" s="5" t="inlineStr">
        <is>
          <t>xAI</t>
        </is>
      </c>
      <c r="D510" s="5" t="n">
        <v>2028</v>
      </c>
      <c r="E510" s="5" t="inlineStr">
        <is>
          <t>SpaceXAI</t>
        </is>
      </c>
      <c r="F510" s="5" t="inlineStr">
        <is>
          <t>B200/B300 class</t>
        </is>
      </c>
      <c r="G510" s="5">
        <f>IFERROR(INDEX('02x_Accelerator_Catalog'!$C$2:$C$11,MATCH(F510,'02x_Accelerator_Catalog'!$B$2:$B$11,0)),"purpose_or_unbenchmarked")</f>
        <v/>
      </c>
      <c r="H510" s="28">
        <f>SUMIFS('02c_AI_CSP_Normalized'!$N$2:$N$305,'02c_AI_CSP_Normalized'!$B$2:$B$305,B510,'02c_AI_CSP_Normalized'!$C$2:$C$305,C510,'02c_AI_CSP_Normalized'!$D$2:$D$305,D510,'02c_AI_CSP_Normalized'!$E$2:$E$305,E510)</f>
        <v/>
      </c>
      <c r="I510" s="6">
        <f>SUMIFS('02b_CSP_Accelerator_Mix'!$H$2:$H$573,'02b_CSP_Accelerator_Mix'!$B$2:$B$573,B510,'02b_CSP_Accelerator_Mix'!$C$2:$C$573,E510,'02b_CSP_Accelerator_Mix'!$D$2:$D$573,D510,'02b_CSP_Accelerator_Mix'!$E$2:$E$573,F510)</f>
        <v/>
      </c>
      <c r="J510" s="28">
        <f>H510*I510</f>
        <v/>
      </c>
      <c r="K510" s="8">
        <f>IFERROR(INDEX('02x_Accelerator_Catalog'!$D$2:$D$11,MATCH(F510,'02x_Accelerator_Catalog'!$B$2:$B$11,0)),"")</f>
        <v/>
      </c>
      <c r="L510" s="7">
        <f>IF(K510&gt;0,J510*1000/K510,"")</f>
        <v/>
      </c>
      <c r="M510" s="5" t="inlineStr">
        <is>
          <t>epoch_csp_chip_quantity_latest</t>
        </is>
      </c>
      <c r="N510" s="5" t="inlineStr">
        <is>
          <t>Extensible long-format output: add a new accelerator row in 02b and map it in 02x_Accelerator_Catalog to extend this table.</t>
        </is>
      </c>
    </row>
    <row r="511">
      <c r="A511" s="5">
        <f>B511&amp;"|"&amp;C511&amp;"|"&amp;D511&amp;"|"&amp;E511&amp;"|"&amp;F511</f>
        <v/>
      </c>
      <c r="B511" s="5" t="inlineStr">
        <is>
          <t>Bear</t>
        </is>
      </c>
      <c r="C511" s="5" t="inlineStr">
        <is>
          <t>xAI</t>
        </is>
      </c>
      <c r="D511" s="5" t="n">
        <v>2028</v>
      </c>
      <c r="E511" s="5" t="inlineStr">
        <is>
          <t>SpaceXAI</t>
        </is>
      </c>
      <c r="F511" s="5" t="inlineStr">
        <is>
          <t>H100/H200/A100 class</t>
        </is>
      </c>
      <c r="G511" s="5">
        <f>IFERROR(INDEX('02x_Accelerator_Catalog'!$C$2:$C$11,MATCH(F511,'02x_Accelerator_Catalog'!$B$2:$B$11,0)),"purpose_or_unbenchmarked")</f>
        <v/>
      </c>
      <c r="H511" s="28">
        <f>SUMIFS('02c_AI_CSP_Normalized'!$N$2:$N$305,'02c_AI_CSP_Normalized'!$B$2:$B$305,B511,'02c_AI_CSP_Normalized'!$C$2:$C$305,C511,'02c_AI_CSP_Normalized'!$D$2:$D$305,D511,'02c_AI_CSP_Normalized'!$E$2:$E$305,E511)</f>
        <v/>
      </c>
      <c r="I511" s="6">
        <f>SUMIFS('02b_CSP_Accelerator_Mix'!$H$2:$H$573,'02b_CSP_Accelerator_Mix'!$B$2:$B$573,B511,'02b_CSP_Accelerator_Mix'!$C$2:$C$573,E511,'02b_CSP_Accelerator_Mix'!$D$2:$D$573,D511,'02b_CSP_Accelerator_Mix'!$E$2:$E$573,F511)</f>
        <v/>
      </c>
      <c r="J511" s="28">
        <f>H511*I511</f>
        <v/>
      </c>
      <c r="K511" s="8">
        <f>IFERROR(INDEX('02x_Accelerator_Catalog'!$D$2:$D$11,MATCH(F511,'02x_Accelerator_Catalog'!$B$2:$B$11,0)),"")</f>
        <v/>
      </c>
      <c r="L511" s="7">
        <f>IF(K511&gt;0,J511*1000/K511,"")</f>
        <v/>
      </c>
      <c r="M511" s="5" t="inlineStr">
        <is>
          <t>epoch_csp_chip_quantity_latest</t>
        </is>
      </c>
      <c r="N511" s="5" t="inlineStr">
        <is>
          <t>Extensible long-format output: add a new accelerator row in 02b and map it in 02x_Accelerator_Catalog to extend this table.</t>
        </is>
      </c>
    </row>
    <row r="512">
      <c r="A512" s="5">
        <f>B512&amp;"|"&amp;C512&amp;"|"&amp;D512&amp;"|"&amp;E512&amp;"|"&amp;F512</f>
        <v/>
      </c>
      <c r="B512" s="5" t="inlineStr">
        <is>
          <t>Base</t>
        </is>
      </c>
      <c r="C512" s="5" t="inlineStr">
        <is>
          <t>xAI</t>
        </is>
      </c>
      <c r="D512" s="5" t="n">
        <v>2028</v>
      </c>
      <c r="E512" s="5" t="inlineStr">
        <is>
          <t>SpaceXAI</t>
        </is>
      </c>
      <c r="F512" s="5" t="inlineStr">
        <is>
          <t>B200/B300 class</t>
        </is>
      </c>
      <c r="G512" s="5">
        <f>IFERROR(INDEX('02x_Accelerator_Catalog'!$C$2:$C$11,MATCH(F512,'02x_Accelerator_Catalog'!$B$2:$B$11,0)),"purpose_or_unbenchmarked")</f>
        <v/>
      </c>
      <c r="H512" s="28">
        <f>SUMIFS('02c_AI_CSP_Normalized'!$N$2:$N$305,'02c_AI_CSP_Normalized'!$B$2:$B$305,B512,'02c_AI_CSP_Normalized'!$C$2:$C$305,C512,'02c_AI_CSP_Normalized'!$D$2:$D$305,D512,'02c_AI_CSP_Normalized'!$E$2:$E$305,E512)</f>
        <v/>
      </c>
      <c r="I512" s="6">
        <f>SUMIFS('02b_CSP_Accelerator_Mix'!$H$2:$H$573,'02b_CSP_Accelerator_Mix'!$B$2:$B$573,B512,'02b_CSP_Accelerator_Mix'!$C$2:$C$573,E512,'02b_CSP_Accelerator_Mix'!$D$2:$D$573,D512,'02b_CSP_Accelerator_Mix'!$E$2:$E$573,F512)</f>
        <v/>
      </c>
      <c r="J512" s="28">
        <f>H512*I512</f>
        <v/>
      </c>
      <c r="K512" s="8">
        <f>IFERROR(INDEX('02x_Accelerator_Catalog'!$D$2:$D$11,MATCH(F512,'02x_Accelerator_Catalog'!$B$2:$B$11,0)),"")</f>
        <v/>
      </c>
      <c r="L512" s="7">
        <f>IF(K512&gt;0,J512*1000/K512,"")</f>
        <v/>
      </c>
      <c r="M512" s="5" t="inlineStr">
        <is>
          <t>epoch_csp_chip_quantity_latest</t>
        </is>
      </c>
      <c r="N512" s="5" t="inlineStr">
        <is>
          <t>Extensible long-format output: add a new accelerator row in 02b and map it in 02x_Accelerator_Catalog to extend this table.</t>
        </is>
      </c>
    </row>
    <row r="513">
      <c r="A513" s="5">
        <f>B513&amp;"|"&amp;C513&amp;"|"&amp;D513&amp;"|"&amp;E513&amp;"|"&amp;F513</f>
        <v/>
      </c>
      <c r="B513" s="5" t="inlineStr">
        <is>
          <t>Base</t>
        </is>
      </c>
      <c r="C513" s="5" t="inlineStr">
        <is>
          <t>xAI</t>
        </is>
      </c>
      <c r="D513" s="5" t="n">
        <v>2028</v>
      </c>
      <c r="E513" s="5" t="inlineStr">
        <is>
          <t>SpaceXAI</t>
        </is>
      </c>
      <c r="F513" s="5" t="inlineStr">
        <is>
          <t>H100/H200/A100 class</t>
        </is>
      </c>
      <c r="G513" s="5">
        <f>IFERROR(INDEX('02x_Accelerator_Catalog'!$C$2:$C$11,MATCH(F513,'02x_Accelerator_Catalog'!$B$2:$B$11,0)),"purpose_or_unbenchmarked")</f>
        <v/>
      </c>
      <c r="H513" s="28">
        <f>SUMIFS('02c_AI_CSP_Normalized'!$N$2:$N$305,'02c_AI_CSP_Normalized'!$B$2:$B$305,B513,'02c_AI_CSP_Normalized'!$C$2:$C$305,C513,'02c_AI_CSP_Normalized'!$D$2:$D$305,D513,'02c_AI_CSP_Normalized'!$E$2:$E$305,E513)</f>
        <v/>
      </c>
      <c r="I513" s="6">
        <f>SUMIFS('02b_CSP_Accelerator_Mix'!$H$2:$H$573,'02b_CSP_Accelerator_Mix'!$B$2:$B$573,B513,'02b_CSP_Accelerator_Mix'!$C$2:$C$573,E513,'02b_CSP_Accelerator_Mix'!$D$2:$D$573,D513,'02b_CSP_Accelerator_Mix'!$E$2:$E$573,F513)</f>
        <v/>
      </c>
      <c r="J513" s="28">
        <f>H513*I513</f>
        <v/>
      </c>
      <c r="K513" s="8">
        <f>IFERROR(INDEX('02x_Accelerator_Catalog'!$D$2:$D$11,MATCH(F513,'02x_Accelerator_Catalog'!$B$2:$B$11,0)),"")</f>
        <v/>
      </c>
      <c r="L513" s="7">
        <f>IF(K513&gt;0,J513*1000/K513,"")</f>
        <v/>
      </c>
      <c r="M513" s="5" t="inlineStr">
        <is>
          <t>epoch_csp_chip_quantity_latest</t>
        </is>
      </c>
      <c r="N513" s="5" t="inlineStr">
        <is>
          <t>Extensible long-format output: add a new accelerator row in 02b and map it in 02x_Accelerator_Catalog to extend this table.</t>
        </is>
      </c>
    </row>
    <row r="514">
      <c r="A514" s="5">
        <f>B514&amp;"|"&amp;C514&amp;"|"&amp;D514&amp;"|"&amp;E514&amp;"|"&amp;F514</f>
        <v/>
      </c>
      <c r="B514" s="5" t="inlineStr">
        <is>
          <t>Bull</t>
        </is>
      </c>
      <c r="C514" s="5" t="inlineStr">
        <is>
          <t>xAI</t>
        </is>
      </c>
      <c r="D514" s="5" t="n">
        <v>2028</v>
      </c>
      <c r="E514" s="5" t="inlineStr">
        <is>
          <t>SpaceXAI</t>
        </is>
      </c>
      <c r="F514" s="5" t="inlineStr">
        <is>
          <t>B200/B300 class</t>
        </is>
      </c>
      <c r="G514" s="5">
        <f>IFERROR(INDEX('02x_Accelerator_Catalog'!$C$2:$C$11,MATCH(F514,'02x_Accelerator_Catalog'!$B$2:$B$11,0)),"purpose_or_unbenchmarked")</f>
        <v/>
      </c>
      <c r="H514" s="28">
        <f>SUMIFS('02c_AI_CSP_Normalized'!$N$2:$N$305,'02c_AI_CSP_Normalized'!$B$2:$B$305,B514,'02c_AI_CSP_Normalized'!$C$2:$C$305,C514,'02c_AI_CSP_Normalized'!$D$2:$D$305,D514,'02c_AI_CSP_Normalized'!$E$2:$E$305,E514)</f>
        <v/>
      </c>
      <c r="I514" s="6">
        <f>SUMIFS('02b_CSP_Accelerator_Mix'!$H$2:$H$573,'02b_CSP_Accelerator_Mix'!$B$2:$B$573,B514,'02b_CSP_Accelerator_Mix'!$C$2:$C$573,E514,'02b_CSP_Accelerator_Mix'!$D$2:$D$573,D514,'02b_CSP_Accelerator_Mix'!$E$2:$E$573,F514)</f>
        <v/>
      </c>
      <c r="J514" s="28">
        <f>H514*I514</f>
        <v/>
      </c>
      <c r="K514" s="8">
        <f>IFERROR(INDEX('02x_Accelerator_Catalog'!$D$2:$D$11,MATCH(F514,'02x_Accelerator_Catalog'!$B$2:$B$11,0)),"")</f>
        <v/>
      </c>
      <c r="L514" s="7">
        <f>IF(K514&gt;0,J514*1000/K514,"")</f>
        <v/>
      </c>
      <c r="M514" s="5" t="inlineStr">
        <is>
          <t>epoch_csp_chip_quantity_latest</t>
        </is>
      </c>
      <c r="N514" s="5" t="inlineStr">
        <is>
          <t>Extensible long-format output: add a new accelerator row in 02b and map it in 02x_Accelerator_Catalog to extend this table.</t>
        </is>
      </c>
    </row>
    <row r="515">
      <c r="A515" s="5">
        <f>B515&amp;"|"&amp;C515&amp;"|"&amp;D515&amp;"|"&amp;E515&amp;"|"&amp;F515</f>
        <v/>
      </c>
      <c r="B515" s="5" t="inlineStr">
        <is>
          <t>Bull</t>
        </is>
      </c>
      <c r="C515" s="5" t="inlineStr">
        <is>
          <t>xAI</t>
        </is>
      </c>
      <c r="D515" s="5" t="n">
        <v>2028</v>
      </c>
      <c r="E515" s="5" t="inlineStr">
        <is>
          <t>SpaceXAI</t>
        </is>
      </c>
      <c r="F515" s="5" t="inlineStr">
        <is>
          <t>H100/H200/A100 class</t>
        </is>
      </c>
      <c r="G515" s="5">
        <f>IFERROR(INDEX('02x_Accelerator_Catalog'!$C$2:$C$11,MATCH(F515,'02x_Accelerator_Catalog'!$B$2:$B$11,0)),"purpose_or_unbenchmarked")</f>
        <v/>
      </c>
      <c r="H515" s="28">
        <f>SUMIFS('02c_AI_CSP_Normalized'!$N$2:$N$305,'02c_AI_CSP_Normalized'!$B$2:$B$305,B515,'02c_AI_CSP_Normalized'!$C$2:$C$305,C515,'02c_AI_CSP_Normalized'!$D$2:$D$305,D515,'02c_AI_CSP_Normalized'!$E$2:$E$305,E515)</f>
        <v/>
      </c>
      <c r="I515" s="6">
        <f>SUMIFS('02b_CSP_Accelerator_Mix'!$H$2:$H$573,'02b_CSP_Accelerator_Mix'!$B$2:$B$573,B515,'02b_CSP_Accelerator_Mix'!$C$2:$C$573,E515,'02b_CSP_Accelerator_Mix'!$D$2:$D$573,D515,'02b_CSP_Accelerator_Mix'!$E$2:$E$573,F515)</f>
        <v/>
      </c>
      <c r="J515" s="28">
        <f>H515*I515</f>
        <v/>
      </c>
      <c r="K515" s="8">
        <f>IFERROR(INDEX('02x_Accelerator_Catalog'!$D$2:$D$11,MATCH(F515,'02x_Accelerator_Catalog'!$B$2:$B$11,0)),"")</f>
        <v/>
      </c>
      <c r="L515" s="7">
        <f>IF(K515&gt;0,J515*1000/K515,"")</f>
        <v/>
      </c>
      <c r="M515" s="5" t="inlineStr">
        <is>
          <t>epoch_csp_chip_quantity_latest</t>
        </is>
      </c>
      <c r="N515" s="5" t="inlineStr">
        <is>
          <t>Extensible long-format output: add a new accelerator row in 02b and map it in 02x_Accelerator_Catalog to extend this table.</t>
        </is>
      </c>
    </row>
    <row r="516">
      <c r="A516" s="5">
        <f>B516&amp;"|"&amp;C516&amp;"|"&amp;D516&amp;"|"&amp;E516&amp;"|"&amp;F516</f>
        <v/>
      </c>
      <c r="B516" s="5" t="inlineStr">
        <is>
          <t>Grid-Constrained / Efficiency-Upside</t>
        </is>
      </c>
      <c r="C516" s="5" t="inlineStr">
        <is>
          <t>xAI</t>
        </is>
      </c>
      <c r="D516" s="5" t="n">
        <v>2028</v>
      </c>
      <c r="E516" s="5" t="inlineStr">
        <is>
          <t>SpaceXAI</t>
        </is>
      </c>
      <c r="F516" s="5" t="inlineStr">
        <is>
          <t>B200/B300 class</t>
        </is>
      </c>
      <c r="G516" s="5">
        <f>IFERROR(INDEX('02x_Accelerator_Catalog'!$C$2:$C$11,MATCH(F516,'02x_Accelerator_Catalog'!$B$2:$B$11,0)),"purpose_or_unbenchmarked")</f>
        <v/>
      </c>
      <c r="H516" s="28">
        <f>SUMIFS('02c_AI_CSP_Normalized'!$N$2:$N$305,'02c_AI_CSP_Normalized'!$B$2:$B$305,B516,'02c_AI_CSP_Normalized'!$C$2:$C$305,C516,'02c_AI_CSP_Normalized'!$D$2:$D$305,D516,'02c_AI_CSP_Normalized'!$E$2:$E$305,E516)</f>
        <v/>
      </c>
      <c r="I516" s="6">
        <f>SUMIFS('02b_CSP_Accelerator_Mix'!$H$2:$H$573,'02b_CSP_Accelerator_Mix'!$B$2:$B$573,B516,'02b_CSP_Accelerator_Mix'!$C$2:$C$573,E516,'02b_CSP_Accelerator_Mix'!$D$2:$D$573,D516,'02b_CSP_Accelerator_Mix'!$E$2:$E$573,F516)</f>
        <v/>
      </c>
      <c r="J516" s="28">
        <f>H516*I516</f>
        <v/>
      </c>
      <c r="K516" s="8">
        <f>IFERROR(INDEX('02x_Accelerator_Catalog'!$D$2:$D$11,MATCH(F516,'02x_Accelerator_Catalog'!$B$2:$B$11,0)),"")</f>
        <v/>
      </c>
      <c r="L516" s="7">
        <f>IF(K516&gt;0,J516*1000/K516,"")</f>
        <v/>
      </c>
      <c r="M516" s="5" t="inlineStr">
        <is>
          <t>epoch_csp_chip_quantity_latest</t>
        </is>
      </c>
      <c r="N516" s="5" t="inlineStr">
        <is>
          <t>Extensible long-format output: add a new accelerator row in 02b and map it in 02x_Accelerator_Catalog to extend this table.</t>
        </is>
      </c>
    </row>
    <row r="517">
      <c r="A517" s="5">
        <f>B517&amp;"|"&amp;C517&amp;"|"&amp;D517&amp;"|"&amp;E517&amp;"|"&amp;F517</f>
        <v/>
      </c>
      <c r="B517" s="5" t="inlineStr">
        <is>
          <t>Grid-Constrained / Efficiency-Upside</t>
        </is>
      </c>
      <c r="C517" s="5" t="inlineStr">
        <is>
          <t>xAI</t>
        </is>
      </c>
      <c r="D517" s="5" t="n">
        <v>2028</v>
      </c>
      <c r="E517" s="5" t="inlineStr">
        <is>
          <t>SpaceXAI</t>
        </is>
      </c>
      <c r="F517" s="5" t="inlineStr">
        <is>
          <t>H100/H200/A100 class</t>
        </is>
      </c>
      <c r="G517" s="5">
        <f>IFERROR(INDEX('02x_Accelerator_Catalog'!$C$2:$C$11,MATCH(F517,'02x_Accelerator_Catalog'!$B$2:$B$11,0)),"purpose_or_unbenchmarked")</f>
        <v/>
      </c>
      <c r="H517" s="28">
        <f>SUMIFS('02c_AI_CSP_Normalized'!$N$2:$N$305,'02c_AI_CSP_Normalized'!$B$2:$B$305,B517,'02c_AI_CSP_Normalized'!$C$2:$C$305,C517,'02c_AI_CSP_Normalized'!$D$2:$D$305,D517,'02c_AI_CSP_Normalized'!$E$2:$E$305,E517)</f>
        <v/>
      </c>
      <c r="I517" s="6">
        <f>SUMIFS('02b_CSP_Accelerator_Mix'!$H$2:$H$573,'02b_CSP_Accelerator_Mix'!$B$2:$B$573,B517,'02b_CSP_Accelerator_Mix'!$C$2:$C$573,E517,'02b_CSP_Accelerator_Mix'!$D$2:$D$573,D517,'02b_CSP_Accelerator_Mix'!$E$2:$E$573,F517)</f>
        <v/>
      </c>
      <c r="J517" s="28">
        <f>H517*I517</f>
        <v/>
      </c>
      <c r="K517" s="8">
        <f>IFERROR(INDEX('02x_Accelerator_Catalog'!$D$2:$D$11,MATCH(F517,'02x_Accelerator_Catalog'!$B$2:$B$11,0)),"")</f>
        <v/>
      </c>
      <c r="L517" s="7">
        <f>IF(K517&gt;0,J517*1000/K517,"")</f>
        <v/>
      </c>
      <c r="M517" s="5" t="inlineStr">
        <is>
          <t>epoch_csp_chip_quantity_latest</t>
        </is>
      </c>
      <c r="N517" s="5" t="inlineStr">
        <is>
          <t>Extensible long-format output: add a new accelerator row in 02b and map it in 02x_Accelerator_Catalog to extend this table.</t>
        </is>
      </c>
    </row>
    <row r="518">
      <c r="A518" s="5">
        <f>B518&amp;"|"&amp;C518&amp;"|"&amp;D518&amp;"|"&amp;E518&amp;"|"&amp;F518</f>
        <v/>
      </c>
      <c r="B518" s="5" t="inlineStr">
        <is>
          <t>Bear</t>
        </is>
      </c>
      <c r="C518" s="5" t="inlineStr">
        <is>
          <t>xAI</t>
        </is>
      </c>
      <c r="D518" s="5" t="n">
        <v>2029</v>
      </c>
      <c r="E518" s="5" t="inlineStr">
        <is>
          <t>SpaceXAI</t>
        </is>
      </c>
      <c r="F518" s="5" t="inlineStr">
        <is>
          <t>B200/B300 class</t>
        </is>
      </c>
      <c r="G518" s="5">
        <f>IFERROR(INDEX('02x_Accelerator_Catalog'!$C$2:$C$11,MATCH(F518,'02x_Accelerator_Catalog'!$B$2:$B$11,0)),"purpose_or_unbenchmarked")</f>
        <v/>
      </c>
      <c r="H518" s="28">
        <f>SUMIFS('02c_AI_CSP_Normalized'!$N$2:$N$305,'02c_AI_CSP_Normalized'!$B$2:$B$305,B518,'02c_AI_CSP_Normalized'!$C$2:$C$305,C518,'02c_AI_CSP_Normalized'!$D$2:$D$305,D518,'02c_AI_CSP_Normalized'!$E$2:$E$305,E518)</f>
        <v/>
      </c>
      <c r="I518" s="6">
        <f>SUMIFS('02b_CSP_Accelerator_Mix'!$H$2:$H$573,'02b_CSP_Accelerator_Mix'!$B$2:$B$573,B518,'02b_CSP_Accelerator_Mix'!$C$2:$C$573,E518,'02b_CSP_Accelerator_Mix'!$D$2:$D$573,D518,'02b_CSP_Accelerator_Mix'!$E$2:$E$573,F518)</f>
        <v/>
      </c>
      <c r="J518" s="28">
        <f>H518*I518</f>
        <v/>
      </c>
      <c r="K518" s="8">
        <f>IFERROR(INDEX('02x_Accelerator_Catalog'!$D$2:$D$11,MATCH(F518,'02x_Accelerator_Catalog'!$B$2:$B$11,0)),"")</f>
        <v/>
      </c>
      <c r="L518" s="7">
        <f>IF(K518&gt;0,J518*1000/K518,"")</f>
        <v/>
      </c>
      <c r="M518" s="5" t="inlineStr">
        <is>
          <t>epoch_csp_chip_quantity_latest</t>
        </is>
      </c>
      <c r="N518" s="5" t="inlineStr">
        <is>
          <t>Extensible long-format output: add a new accelerator row in 02b and map it in 02x_Accelerator_Catalog to extend this table.</t>
        </is>
      </c>
    </row>
    <row r="519">
      <c r="A519" s="5">
        <f>B519&amp;"|"&amp;C519&amp;"|"&amp;D519&amp;"|"&amp;E519&amp;"|"&amp;F519</f>
        <v/>
      </c>
      <c r="B519" s="5" t="inlineStr">
        <is>
          <t>Bear</t>
        </is>
      </c>
      <c r="C519" s="5" t="inlineStr">
        <is>
          <t>xAI</t>
        </is>
      </c>
      <c r="D519" s="5" t="n">
        <v>2029</v>
      </c>
      <c r="E519" s="5" t="inlineStr">
        <is>
          <t>SpaceXAI</t>
        </is>
      </c>
      <c r="F519" s="5" t="inlineStr">
        <is>
          <t>H100/H200/A100 class</t>
        </is>
      </c>
      <c r="G519" s="5">
        <f>IFERROR(INDEX('02x_Accelerator_Catalog'!$C$2:$C$11,MATCH(F519,'02x_Accelerator_Catalog'!$B$2:$B$11,0)),"purpose_or_unbenchmarked")</f>
        <v/>
      </c>
      <c r="H519" s="28">
        <f>SUMIFS('02c_AI_CSP_Normalized'!$N$2:$N$305,'02c_AI_CSP_Normalized'!$B$2:$B$305,B519,'02c_AI_CSP_Normalized'!$C$2:$C$305,C519,'02c_AI_CSP_Normalized'!$D$2:$D$305,D519,'02c_AI_CSP_Normalized'!$E$2:$E$305,E519)</f>
        <v/>
      </c>
      <c r="I519" s="6">
        <f>SUMIFS('02b_CSP_Accelerator_Mix'!$H$2:$H$573,'02b_CSP_Accelerator_Mix'!$B$2:$B$573,B519,'02b_CSP_Accelerator_Mix'!$C$2:$C$573,E519,'02b_CSP_Accelerator_Mix'!$D$2:$D$573,D519,'02b_CSP_Accelerator_Mix'!$E$2:$E$573,F519)</f>
        <v/>
      </c>
      <c r="J519" s="28">
        <f>H519*I519</f>
        <v/>
      </c>
      <c r="K519" s="8">
        <f>IFERROR(INDEX('02x_Accelerator_Catalog'!$D$2:$D$11,MATCH(F519,'02x_Accelerator_Catalog'!$B$2:$B$11,0)),"")</f>
        <v/>
      </c>
      <c r="L519" s="7">
        <f>IF(K519&gt;0,J519*1000/K519,"")</f>
        <v/>
      </c>
      <c r="M519" s="5" t="inlineStr">
        <is>
          <t>epoch_csp_chip_quantity_latest</t>
        </is>
      </c>
      <c r="N519" s="5" t="inlineStr">
        <is>
          <t>Extensible long-format output: add a new accelerator row in 02b and map it in 02x_Accelerator_Catalog to extend this table.</t>
        </is>
      </c>
    </row>
    <row r="520">
      <c r="A520" s="5">
        <f>B520&amp;"|"&amp;C520&amp;"|"&amp;D520&amp;"|"&amp;E520&amp;"|"&amp;F520</f>
        <v/>
      </c>
      <c r="B520" s="5" t="inlineStr">
        <is>
          <t>Base</t>
        </is>
      </c>
      <c r="C520" s="5" t="inlineStr">
        <is>
          <t>xAI</t>
        </is>
      </c>
      <c r="D520" s="5" t="n">
        <v>2029</v>
      </c>
      <c r="E520" s="5" t="inlineStr">
        <is>
          <t>SpaceXAI</t>
        </is>
      </c>
      <c r="F520" s="5" t="inlineStr">
        <is>
          <t>B200/B300 class</t>
        </is>
      </c>
      <c r="G520" s="5">
        <f>IFERROR(INDEX('02x_Accelerator_Catalog'!$C$2:$C$11,MATCH(F520,'02x_Accelerator_Catalog'!$B$2:$B$11,0)),"purpose_or_unbenchmarked")</f>
        <v/>
      </c>
      <c r="H520" s="28">
        <f>SUMIFS('02c_AI_CSP_Normalized'!$N$2:$N$305,'02c_AI_CSP_Normalized'!$B$2:$B$305,B520,'02c_AI_CSP_Normalized'!$C$2:$C$305,C520,'02c_AI_CSP_Normalized'!$D$2:$D$305,D520,'02c_AI_CSP_Normalized'!$E$2:$E$305,E520)</f>
        <v/>
      </c>
      <c r="I520" s="6">
        <f>SUMIFS('02b_CSP_Accelerator_Mix'!$H$2:$H$573,'02b_CSP_Accelerator_Mix'!$B$2:$B$573,B520,'02b_CSP_Accelerator_Mix'!$C$2:$C$573,E520,'02b_CSP_Accelerator_Mix'!$D$2:$D$573,D520,'02b_CSP_Accelerator_Mix'!$E$2:$E$573,F520)</f>
        <v/>
      </c>
      <c r="J520" s="28">
        <f>H520*I520</f>
        <v/>
      </c>
      <c r="K520" s="8">
        <f>IFERROR(INDEX('02x_Accelerator_Catalog'!$D$2:$D$11,MATCH(F520,'02x_Accelerator_Catalog'!$B$2:$B$11,0)),"")</f>
        <v/>
      </c>
      <c r="L520" s="7">
        <f>IF(K520&gt;0,J520*1000/K520,"")</f>
        <v/>
      </c>
      <c r="M520" s="5" t="inlineStr">
        <is>
          <t>epoch_csp_chip_quantity_latest</t>
        </is>
      </c>
      <c r="N520" s="5" t="inlineStr">
        <is>
          <t>Extensible long-format output: add a new accelerator row in 02b and map it in 02x_Accelerator_Catalog to extend this table.</t>
        </is>
      </c>
    </row>
    <row r="521">
      <c r="A521" s="5">
        <f>B521&amp;"|"&amp;C521&amp;"|"&amp;D521&amp;"|"&amp;E521&amp;"|"&amp;F521</f>
        <v/>
      </c>
      <c r="B521" s="5" t="inlineStr">
        <is>
          <t>Base</t>
        </is>
      </c>
      <c r="C521" s="5" t="inlineStr">
        <is>
          <t>xAI</t>
        </is>
      </c>
      <c r="D521" s="5" t="n">
        <v>2029</v>
      </c>
      <c r="E521" s="5" t="inlineStr">
        <is>
          <t>SpaceXAI</t>
        </is>
      </c>
      <c r="F521" s="5" t="inlineStr">
        <is>
          <t>H100/H200/A100 class</t>
        </is>
      </c>
      <c r="G521" s="5">
        <f>IFERROR(INDEX('02x_Accelerator_Catalog'!$C$2:$C$11,MATCH(F521,'02x_Accelerator_Catalog'!$B$2:$B$11,0)),"purpose_or_unbenchmarked")</f>
        <v/>
      </c>
      <c r="H521" s="28">
        <f>SUMIFS('02c_AI_CSP_Normalized'!$N$2:$N$305,'02c_AI_CSP_Normalized'!$B$2:$B$305,B521,'02c_AI_CSP_Normalized'!$C$2:$C$305,C521,'02c_AI_CSP_Normalized'!$D$2:$D$305,D521,'02c_AI_CSP_Normalized'!$E$2:$E$305,E521)</f>
        <v/>
      </c>
      <c r="I521" s="6">
        <f>SUMIFS('02b_CSP_Accelerator_Mix'!$H$2:$H$573,'02b_CSP_Accelerator_Mix'!$B$2:$B$573,B521,'02b_CSP_Accelerator_Mix'!$C$2:$C$573,E521,'02b_CSP_Accelerator_Mix'!$D$2:$D$573,D521,'02b_CSP_Accelerator_Mix'!$E$2:$E$573,F521)</f>
        <v/>
      </c>
      <c r="J521" s="28">
        <f>H521*I521</f>
        <v/>
      </c>
      <c r="K521" s="8">
        <f>IFERROR(INDEX('02x_Accelerator_Catalog'!$D$2:$D$11,MATCH(F521,'02x_Accelerator_Catalog'!$B$2:$B$11,0)),"")</f>
        <v/>
      </c>
      <c r="L521" s="7">
        <f>IF(K521&gt;0,J521*1000/K521,"")</f>
        <v/>
      </c>
      <c r="M521" s="5" t="inlineStr">
        <is>
          <t>epoch_csp_chip_quantity_latest</t>
        </is>
      </c>
      <c r="N521" s="5" t="inlineStr">
        <is>
          <t>Extensible long-format output: add a new accelerator row in 02b and map it in 02x_Accelerator_Catalog to extend this table.</t>
        </is>
      </c>
    </row>
    <row r="522">
      <c r="A522" s="5">
        <f>B522&amp;"|"&amp;C522&amp;"|"&amp;D522&amp;"|"&amp;E522&amp;"|"&amp;F522</f>
        <v/>
      </c>
      <c r="B522" s="5" t="inlineStr">
        <is>
          <t>Bull</t>
        </is>
      </c>
      <c r="C522" s="5" t="inlineStr">
        <is>
          <t>xAI</t>
        </is>
      </c>
      <c r="D522" s="5" t="n">
        <v>2029</v>
      </c>
      <c r="E522" s="5" t="inlineStr">
        <is>
          <t>SpaceXAI</t>
        </is>
      </c>
      <c r="F522" s="5" t="inlineStr">
        <is>
          <t>B200/B300 class</t>
        </is>
      </c>
      <c r="G522" s="5">
        <f>IFERROR(INDEX('02x_Accelerator_Catalog'!$C$2:$C$11,MATCH(F522,'02x_Accelerator_Catalog'!$B$2:$B$11,0)),"purpose_or_unbenchmarked")</f>
        <v/>
      </c>
      <c r="H522" s="28">
        <f>SUMIFS('02c_AI_CSP_Normalized'!$N$2:$N$305,'02c_AI_CSP_Normalized'!$B$2:$B$305,B522,'02c_AI_CSP_Normalized'!$C$2:$C$305,C522,'02c_AI_CSP_Normalized'!$D$2:$D$305,D522,'02c_AI_CSP_Normalized'!$E$2:$E$305,E522)</f>
        <v/>
      </c>
      <c r="I522" s="6">
        <f>SUMIFS('02b_CSP_Accelerator_Mix'!$H$2:$H$573,'02b_CSP_Accelerator_Mix'!$B$2:$B$573,B522,'02b_CSP_Accelerator_Mix'!$C$2:$C$573,E522,'02b_CSP_Accelerator_Mix'!$D$2:$D$573,D522,'02b_CSP_Accelerator_Mix'!$E$2:$E$573,F522)</f>
        <v/>
      </c>
      <c r="J522" s="28">
        <f>H522*I522</f>
        <v/>
      </c>
      <c r="K522" s="8">
        <f>IFERROR(INDEX('02x_Accelerator_Catalog'!$D$2:$D$11,MATCH(F522,'02x_Accelerator_Catalog'!$B$2:$B$11,0)),"")</f>
        <v/>
      </c>
      <c r="L522" s="7">
        <f>IF(K522&gt;0,J522*1000/K522,"")</f>
        <v/>
      </c>
      <c r="M522" s="5" t="inlineStr">
        <is>
          <t>epoch_csp_chip_quantity_latest</t>
        </is>
      </c>
      <c r="N522" s="5" t="inlineStr">
        <is>
          <t>Extensible long-format output: add a new accelerator row in 02b and map it in 02x_Accelerator_Catalog to extend this table.</t>
        </is>
      </c>
    </row>
    <row r="523">
      <c r="A523" s="5">
        <f>B523&amp;"|"&amp;C523&amp;"|"&amp;D523&amp;"|"&amp;E523&amp;"|"&amp;F523</f>
        <v/>
      </c>
      <c r="B523" s="5" t="inlineStr">
        <is>
          <t>Bull</t>
        </is>
      </c>
      <c r="C523" s="5" t="inlineStr">
        <is>
          <t>xAI</t>
        </is>
      </c>
      <c r="D523" s="5" t="n">
        <v>2029</v>
      </c>
      <c r="E523" s="5" t="inlineStr">
        <is>
          <t>SpaceXAI</t>
        </is>
      </c>
      <c r="F523" s="5" t="inlineStr">
        <is>
          <t>H100/H200/A100 class</t>
        </is>
      </c>
      <c r="G523" s="5">
        <f>IFERROR(INDEX('02x_Accelerator_Catalog'!$C$2:$C$11,MATCH(F523,'02x_Accelerator_Catalog'!$B$2:$B$11,0)),"purpose_or_unbenchmarked")</f>
        <v/>
      </c>
      <c r="H523" s="28">
        <f>SUMIFS('02c_AI_CSP_Normalized'!$N$2:$N$305,'02c_AI_CSP_Normalized'!$B$2:$B$305,B523,'02c_AI_CSP_Normalized'!$C$2:$C$305,C523,'02c_AI_CSP_Normalized'!$D$2:$D$305,D523,'02c_AI_CSP_Normalized'!$E$2:$E$305,E523)</f>
        <v/>
      </c>
      <c r="I523" s="6">
        <f>SUMIFS('02b_CSP_Accelerator_Mix'!$H$2:$H$573,'02b_CSP_Accelerator_Mix'!$B$2:$B$573,B523,'02b_CSP_Accelerator_Mix'!$C$2:$C$573,E523,'02b_CSP_Accelerator_Mix'!$D$2:$D$573,D523,'02b_CSP_Accelerator_Mix'!$E$2:$E$573,F523)</f>
        <v/>
      </c>
      <c r="J523" s="28">
        <f>H523*I523</f>
        <v/>
      </c>
      <c r="K523" s="8">
        <f>IFERROR(INDEX('02x_Accelerator_Catalog'!$D$2:$D$11,MATCH(F523,'02x_Accelerator_Catalog'!$B$2:$B$11,0)),"")</f>
        <v/>
      </c>
      <c r="L523" s="7">
        <f>IF(K523&gt;0,J523*1000/K523,"")</f>
        <v/>
      </c>
      <c r="M523" s="5" t="inlineStr">
        <is>
          <t>epoch_csp_chip_quantity_latest</t>
        </is>
      </c>
      <c r="N523" s="5" t="inlineStr">
        <is>
          <t>Extensible long-format output: add a new accelerator row in 02b and map it in 02x_Accelerator_Catalog to extend this table.</t>
        </is>
      </c>
    </row>
    <row r="524">
      <c r="A524" s="5">
        <f>B524&amp;"|"&amp;C524&amp;"|"&amp;D524&amp;"|"&amp;E524&amp;"|"&amp;F524</f>
        <v/>
      </c>
      <c r="B524" s="5" t="inlineStr">
        <is>
          <t>Grid-Constrained / Efficiency-Upside</t>
        </is>
      </c>
      <c r="C524" s="5" t="inlineStr">
        <is>
          <t>xAI</t>
        </is>
      </c>
      <c r="D524" s="5" t="n">
        <v>2029</v>
      </c>
      <c r="E524" s="5" t="inlineStr">
        <is>
          <t>SpaceXAI</t>
        </is>
      </c>
      <c r="F524" s="5" t="inlineStr">
        <is>
          <t>B200/B300 class</t>
        </is>
      </c>
      <c r="G524" s="5">
        <f>IFERROR(INDEX('02x_Accelerator_Catalog'!$C$2:$C$11,MATCH(F524,'02x_Accelerator_Catalog'!$B$2:$B$11,0)),"purpose_or_unbenchmarked")</f>
        <v/>
      </c>
      <c r="H524" s="28">
        <f>SUMIFS('02c_AI_CSP_Normalized'!$N$2:$N$305,'02c_AI_CSP_Normalized'!$B$2:$B$305,B524,'02c_AI_CSP_Normalized'!$C$2:$C$305,C524,'02c_AI_CSP_Normalized'!$D$2:$D$305,D524,'02c_AI_CSP_Normalized'!$E$2:$E$305,E524)</f>
        <v/>
      </c>
      <c r="I524" s="6">
        <f>SUMIFS('02b_CSP_Accelerator_Mix'!$H$2:$H$573,'02b_CSP_Accelerator_Mix'!$B$2:$B$573,B524,'02b_CSP_Accelerator_Mix'!$C$2:$C$573,E524,'02b_CSP_Accelerator_Mix'!$D$2:$D$573,D524,'02b_CSP_Accelerator_Mix'!$E$2:$E$573,F524)</f>
        <v/>
      </c>
      <c r="J524" s="28">
        <f>H524*I524</f>
        <v/>
      </c>
      <c r="K524" s="8">
        <f>IFERROR(INDEX('02x_Accelerator_Catalog'!$D$2:$D$11,MATCH(F524,'02x_Accelerator_Catalog'!$B$2:$B$11,0)),"")</f>
        <v/>
      </c>
      <c r="L524" s="7">
        <f>IF(K524&gt;0,J524*1000/K524,"")</f>
        <v/>
      </c>
      <c r="M524" s="5" t="inlineStr">
        <is>
          <t>epoch_csp_chip_quantity_latest</t>
        </is>
      </c>
      <c r="N524" s="5" t="inlineStr">
        <is>
          <t>Extensible long-format output: add a new accelerator row in 02b and map it in 02x_Accelerator_Catalog to extend this table.</t>
        </is>
      </c>
    </row>
    <row r="525">
      <c r="A525" s="5">
        <f>B525&amp;"|"&amp;C525&amp;"|"&amp;D525&amp;"|"&amp;E525&amp;"|"&amp;F525</f>
        <v/>
      </c>
      <c r="B525" s="5" t="inlineStr">
        <is>
          <t>Grid-Constrained / Efficiency-Upside</t>
        </is>
      </c>
      <c r="C525" s="5" t="inlineStr">
        <is>
          <t>xAI</t>
        </is>
      </c>
      <c r="D525" s="5" t="n">
        <v>2029</v>
      </c>
      <c r="E525" s="5" t="inlineStr">
        <is>
          <t>SpaceXAI</t>
        </is>
      </c>
      <c r="F525" s="5" t="inlineStr">
        <is>
          <t>H100/H200/A100 class</t>
        </is>
      </c>
      <c r="G525" s="5">
        <f>IFERROR(INDEX('02x_Accelerator_Catalog'!$C$2:$C$11,MATCH(F525,'02x_Accelerator_Catalog'!$B$2:$B$11,0)),"purpose_or_unbenchmarked")</f>
        <v/>
      </c>
      <c r="H525" s="28">
        <f>SUMIFS('02c_AI_CSP_Normalized'!$N$2:$N$305,'02c_AI_CSP_Normalized'!$B$2:$B$305,B525,'02c_AI_CSP_Normalized'!$C$2:$C$305,C525,'02c_AI_CSP_Normalized'!$D$2:$D$305,D525,'02c_AI_CSP_Normalized'!$E$2:$E$305,E525)</f>
        <v/>
      </c>
      <c r="I525" s="6">
        <f>SUMIFS('02b_CSP_Accelerator_Mix'!$H$2:$H$573,'02b_CSP_Accelerator_Mix'!$B$2:$B$573,B525,'02b_CSP_Accelerator_Mix'!$C$2:$C$573,E525,'02b_CSP_Accelerator_Mix'!$D$2:$D$573,D525,'02b_CSP_Accelerator_Mix'!$E$2:$E$573,F525)</f>
        <v/>
      </c>
      <c r="J525" s="28">
        <f>H525*I525</f>
        <v/>
      </c>
      <c r="K525" s="8">
        <f>IFERROR(INDEX('02x_Accelerator_Catalog'!$D$2:$D$11,MATCH(F525,'02x_Accelerator_Catalog'!$B$2:$B$11,0)),"")</f>
        <v/>
      </c>
      <c r="L525" s="7">
        <f>IF(K525&gt;0,J525*1000/K525,"")</f>
        <v/>
      </c>
      <c r="M525" s="5" t="inlineStr">
        <is>
          <t>epoch_csp_chip_quantity_latest</t>
        </is>
      </c>
      <c r="N525" s="5" t="inlineStr">
        <is>
          <t>Extensible long-format output: add a new accelerator row in 02b and map it in 02x_Accelerator_Catalog to extend this table.</t>
        </is>
      </c>
    </row>
    <row r="526">
      <c r="A526" s="5">
        <f>B526&amp;"|"&amp;C526&amp;"|"&amp;D526&amp;"|"&amp;E526&amp;"|"&amp;F526</f>
        <v/>
      </c>
      <c r="B526" s="5" t="inlineStr">
        <is>
          <t>Bear</t>
        </is>
      </c>
      <c r="C526" s="5" t="inlineStr">
        <is>
          <t>xAI</t>
        </is>
      </c>
      <c r="D526" s="5" t="n">
        <v>2030</v>
      </c>
      <c r="E526" s="5" t="inlineStr">
        <is>
          <t>SpaceXAI</t>
        </is>
      </c>
      <c r="F526" s="5" t="inlineStr">
        <is>
          <t>B200/B300 class</t>
        </is>
      </c>
      <c r="G526" s="5">
        <f>IFERROR(INDEX('02x_Accelerator_Catalog'!$C$2:$C$11,MATCH(F526,'02x_Accelerator_Catalog'!$B$2:$B$11,0)),"purpose_or_unbenchmarked")</f>
        <v/>
      </c>
      <c r="H526" s="28">
        <f>SUMIFS('02c_AI_CSP_Normalized'!$N$2:$N$305,'02c_AI_CSP_Normalized'!$B$2:$B$305,B526,'02c_AI_CSP_Normalized'!$C$2:$C$305,C526,'02c_AI_CSP_Normalized'!$D$2:$D$305,D526,'02c_AI_CSP_Normalized'!$E$2:$E$305,E526)</f>
        <v/>
      </c>
      <c r="I526" s="6">
        <f>SUMIFS('02b_CSP_Accelerator_Mix'!$H$2:$H$573,'02b_CSP_Accelerator_Mix'!$B$2:$B$573,B526,'02b_CSP_Accelerator_Mix'!$C$2:$C$573,E526,'02b_CSP_Accelerator_Mix'!$D$2:$D$573,D526,'02b_CSP_Accelerator_Mix'!$E$2:$E$573,F526)</f>
        <v/>
      </c>
      <c r="J526" s="28">
        <f>H526*I526</f>
        <v/>
      </c>
      <c r="K526" s="8">
        <f>IFERROR(INDEX('02x_Accelerator_Catalog'!$D$2:$D$11,MATCH(F526,'02x_Accelerator_Catalog'!$B$2:$B$11,0)),"")</f>
        <v/>
      </c>
      <c r="L526" s="7">
        <f>IF(K526&gt;0,J526*1000/K526,"")</f>
        <v/>
      </c>
      <c r="M526" s="5" t="inlineStr">
        <is>
          <t>epoch_csp_chip_quantity_latest</t>
        </is>
      </c>
      <c r="N526" s="5" t="inlineStr">
        <is>
          <t>Extensible long-format output: add a new accelerator row in 02b and map it in 02x_Accelerator_Catalog to extend this table.</t>
        </is>
      </c>
    </row>
    <row r="527">
      <c r="A527" s="5">
        <f>B527&amp;"|"&amp;C527&amp;"|"&amp;D527&amp;"|"&amp;E527&amp;"|"&amp;F527</f>
        <v/>
      </c>
      <c r="B527" s="5" t="inlineStr">
        <is>
          <t>Bear</t>
        </is>
      </c>
      <c r="C527" s="5" t="inlineStr">
        <is>
          <t>xAI</t>
        </is>
      </c>
      <c r="D527" s="5" t="n">
        <v>2030</v>
      </c>
      <c r="E527" s="5" t="inlineStr">
        <is>
          <t>SpaceXAI</t>
        </is>
      </c>
      <c r="F527" s="5" t="inlineStr">
        <is>
          <t>H100/H200/A100 class</t>
        </is>
      </c>
      <c r="G527" s="5">
        <f>IFERROR(INDEX('02x_Accelerator_Catalog'!$C$2:$C$11,MATCH(F527,'02x_Accelerator_Catalog'!$B$2:$B$11,0)),"purpose_or_unbenchmarked")</f>
        <v/>
      </c>
      <c r="H527" s="28">
        <f>SUMIFS('02c_AI_CSP_Normalized'!$N$2:$N$305,'02c_AI_CSP_Normalized'!$B$2:$B$305,B527,'02c_AI_CSP_Normalized'!$C$2:$C$305,C527,'02c_AI_CSP_Normalized'!$D$2:$D$305,D527,'02c_AI_CSP_Normalized'!$E$2:$E$305,E527)</f>
        <v/>
      </c>
      <c r="I527" s="6">
        <f>SUMIFS('02b_CSP_Accelerator_Mix'!$H$2:$H$573,'02b_CSP_Accelerator_Mix'!$B$2:$B$573,B527,'02b_CSP_Accelerator_Mix'!$C$2:$C$573,E527,'02b_CSP_Accelerator_Mix'!$D$2:$D$573,D527,'02b_CSP_Accelerator_Mix'!$E$2:$E$573,F527)</f>
        <v/>
      </c>
      <c r="J527" s="28">
        <f>H527*I527</f>
        <v/>
      </c>
      <c r="K527" s="8">
        <f>IFERROR(INDEX('02x_Accelerator_Catalog'!$D$2:$D$11,MATCH(F527,'02x_Accelerator_Catalog'!$B$2:$B$11,0)),"")</f>
        <v/>
      </c>
      <c r="L527" s="7">
        <f>IF(K527&gt;0,J527*1000/K527,"")</f>
        <v/>
      </c>
      <c r="M527" s="5" t="inlineStr">
        <is>
          <t>epoch_csp_chip_quantity_latest</t>
        </is>
      </c>
      <c r="N527" s="5" t="inlineStr">
        <is>
          <t>Extensible long-format output: add a new accelerator row in 02b and map it in 02x_Accelerator_Catalog to extend this table.</t>
        </is>
      </c>
    </row>
    <row r="528">
      <c r="A528" s="5">
        <f>B528&amp;"|"&amp;C528&amp;"|"&amp;D528&amp;"|"&amp;E528&amp;"|"&amp;F528</f>
        <v/>
      </c>
      <c r="B528" s="5" t="inlineStr">
        <is>
          <t>Base</t>
        </is>
      </c>
      <c r="C528" s="5" t="inlineStr">
        <is>
          <t>xAI</t>
        </is>
      </c>
      <c r="D528" s="5" t="n">
        <v>2030</v>
      </c>
      <c r="E528" s="5" t="inlineStr">
        <is>
          <t>SpaceXAI</t>
        </is>
      </c>
      <c r="F528" s="5" t="inlineStr">
        <is>
          <t>B200/B300 class</t>
        </is>
      </c>
      <c r="G528" s="5">
        <f>IFERROR(INDEX('02x_Accelerator_Catalog'!$C$2:$C$11,MATCH(F528,'02x_Accelerator_Catalog'!$B$2:$B$11,0)),"purpose_or_unbenchmarked")</f>
        <v/>
      </c>
      <c r="H528" s="28">
        <f>SUMIFS('02c_AI_CSP_Normalized'!$N$2:$N$305,'02c_AI_CSP_Normalized'!$B$2:$B$305,B528,'02c_AI_CSP_Normalized'!$C$2:$C$305,C528,'02c_AI_CSP_Normalized'!$D$2:$D$305,D528,'02c_AI_CSP_Normalized'!$E$2:$E$305,E528)</f>
        <v/>
      </c>
      <c r="I528" s="6">
        <f>SUMIFS('02b_CSP_Accelerator_Mix'!$H$2:$H$573,'02b_CSP_Accelerator_Mix'!$B$2:$B$573,B528,'02b_CSP_Accelerator_Mix'!$C$2:$C$573,E528,'02b_CSP_Accelerator_Mix'!$D$2:$D$573,D528,'02b_CSP_Accelerator_Mix'!$E$2:$E$573,F528)</f>
        <v/>
      </c>
      <c r="J528" s="28">
        <f>H528*I528</f>
        <v/>
      </c>
      <c r="K528" s="8">
        <f>IFERROR(INDEX('02x_Accelerator_Catalog'!$D$2:$D$11,MATCH(F528,'02x_Accelerator_Catalog'!$B$2:$B$11,0)),"")</f>
        <v/>
      </c>
      <c r="L528" s="7">
        <f>IF(K528&gt;0,J528*1000/K528,"")</f>
        <v/>
      </c>
      <c r="M528" s="5" t="inlineStr">
        <is>
          <t>epoch_csp_chip_quantity_latest</t>
        </is>
      </c>
      <c r="N528" s="5" t="inlineStr">
        <is>
          <t>Extensible long-format output: add a new accelerator row in 02b and map it in 02x_Accelerator_Catalog to extend this table.</t>
        </is>
      </c>
    </row>
    <row r="529">
      <c r="A529" s="5">
        <f>B529&amp;"|"&amp;C529&amp;"|"&amp;D529&amp;"|"&amp;E529&amp;"|"&amp;F529</f>
        <v/>
      </c>
      <c r="B529" s="5" t="inlineStr">
        <is>
          <t>Base</t>
        </is>
      </c>
      <c r="C529" s="5" t="inlineStr">
        <is>
          <t>xAI</t>
        </is>
      </c>
      <c r="D529" s="5" t="n">
        <v>2030</v>
      </c>
      <c r="E529" s="5" t="inlineStr">
        <is>
          <t>SpaceXAI</t>
        </is>
      </c>
      <c r="F529" s="5" t="inlineStr">
        <is>
          <t>H100/H200/A100 class</t>
        </is>
      </c>
      <c r="G529" s="5">
        <f>IFERROR(INDEX('02x_Accelerator_Catalog'!$C$2:$C$11,MATCH(F529,'02x_Accelerator_Catalog'!$B$2:$B$11,0)),"purpose_or_unbenchmarked")</f>
        <v/>
      </c>
      <c r="H529" s="28">
        <f>SUMIFS('02c_AI_CSP_Normalized'!$N$2:$N$305,'02c_AI_CSP_Normalized'!$B$2:$B$305,B529,'02c_AI_CSP_Normalized'!$C$2:$C$305,C529,'02c_AI_CSP_Normalized'!$D$2:$D$305,D529,'02c_AI_CSP_Normalized'!$E$2:$E$305,E529)</f>
        <v/>
      </c>
      <c r="I529" s="6">
        <f>SUMIFS('02b_CSP_Accelerator_Mix'!$H$2:$H$573,'02b_CSP_Accelerator_Mix'!$B$2:$B$573,B529,'02b_CSP_Accelerator_Mix'!$C$2:$C$573,E529,'02b_CSP_Accelerator_Mix'!$D$2:$D$573,D529,'02b_CSP_Accelerator_Mix'!$E$2:$E$573,F529)</f>
        <v/>
      </c>
      <c r="J529" s="28">
        <f>H529*I529</f>
        <v/>
      </c>
      <c r="K529" s="8">
        <f>IFERROR(INDEX('02x_Accelerator_Catalog'!$D$2:$D$11,MATCH(F529,'02x_Accelerator_Catalog'!$B$2:$B$11,0)),"")</f>
        <v/>
      </c>
      <c r="L529" s="7">
        <f>IF(K529&gt;0,J529*1000/K529,"")</f>
        <v/>
      </c>
      <c r="M529" s="5" t="inlineStr">
        <is>
          <t>epoch_csp_chip_quantity_latest</t>
        </is>
      </c>
      <c r="N529" s="5" t="inlineStr">
        <is>
          <t>Extensible long-format output: add a new accelerator row in 02b and map it in 02x_Accelerator_Catalog to extend this table.</t>
        </is>
      </c>
    </row>
    <row r="530">
      <c r="A530" s="5">
        <f>B530&amp;"|"&amp;C530&amp;"|"&amp;D530&amp;"|"&amp;E530&amp;"|"&amp;F530</f>
        <v/>
      </c>
      <c r="B530" s="5" t="inlineStr">
        <is>
          <t>Bull</t>
        </is>
      </c>
      <c r="C530" s="5" t="inlineStr">
        <is>
          <t>xAI</t>
        </is>
      </c>
      <c r="D530" s="5" t="n">
        <v>2030</v>
      </c>
      <c r="E530" s="5" t="inlineStr">
        <is>
          <t>SpaceXAI</t>
        </is>
      </c>
      <c r="F530" s="5" t="inlineStr">
        <is>
          <t>B200/B300 class</t>
        </is>
      </c>
      <c r="G530" s="5">
        <f>IFERROR(INDEX('02x_Accelerator_Catalog'!$C$2:$C$11,MATCH(F530,'02x_Accelerator_Catalog'!$B$2:$B$11,0)),"purpose_or_unbenchmarked")</f>
        <v/>
      </c>
      <c r="H530" s="28">
        <f>SUMIFS('02c_AI_CSP_Normalized'!$N$2:$N$305,'02c_AI_CSP_Normalized'!$B$2:$B$305,B530,'02c_AI_CSP_Normalized'!$C$2:$C$305,C530,'02c_AI_CSP_Normalized'!$D$2:$D$305,D530,'02c_AI_CSP_Normalized'!$E$2:$E$305,E530)</f>
        <v/>
      </c>
      <c r="I530" s="6">
        <f>SUMIFS('02b_CSP_Accelerator_Mix'!$H$2:$H$573,'02b_CSP_Accelerator_Mix'!$B$2:$B$573,B530,'02b_CSP_Accelerator_Mix'!$C$2:$C$573,E530,'02b_CSP_Accelerator_Mix'!$D$2:$D$573,D530,'02b_CSP_Accelerator_Mix'!$E$2:$E$573,F530)</f>
        <v/>
      </c>
      <c r="J530" s="28">
        <f>H530*I530</f>
        <v/>
      </c>
      <c r="K530" s="8">
        <f>IFERROR(INDEX('02x_Accelerator_Catalog'!$D$2:$D$11,MATCH(F530,'02x_Accelerator_Catalog'!$B$2:$B$11,0)),"")</f>
        <v/>
      </c>
      <c r="L530" s="7">
        <f>IF(K530&gt;0,J530*1000/K530,"")</f>
        <v/>
      </c>
      <c r="M530" s="5" t="inlineStr">
        <is>
          <t>epoch_csp_chip_quantity_latest</t>
        </is>
      </c>
      <c r="N530" s="5" t="inlineStr">
        <is>
          <t>Extensible long-format output: add a new accelerator row in 02b and map it in 02x_Accelerator_Catalog to extend this table.</t>
        </is>
      </c>
    </row>
    <row r="531">
      <c r="A531" s="5">
        <f>B531&amp;"|"&amp;C531&amp;"|"&amp;D531&amp;"|"&amp;E531&amp;"|"&amp;F531</f>
        <v/>
      </c>
      <c r="B531" s="5" t="inlineStr">
        <is>
          <t>Bull</t>
        </is>
      </c>
      <c r="C531" s="5" t="inlineStr">
        <is>
          <t>xAI</t>
        </is>
      </c>
      <c r="D531" s="5" t="n">
        <v>2030</v>
      </c>
      <c r="E531" s="5" t="inlineStr">
        <is>
          <t>SpaceXAI</t>
        </is>
      </c>
      <c r="F531" s="5" t="inlineStr">
        <is>
          <t>H100/H200/A100 class</t>
        </is>
      </c>
      <c r="G531" s="5">
        <f>IFERROR(INDEX('02x_Accelerator_Catalog'!$C$2:$C$11,MATCH(F531,'02x_Accelerator_Catalog'!$B$2:$B$11,0)),"purpose_or_unbenchmarked")</f>
        <v/>
      </c>
      <c r="H531" s="28">
        <f>SUMIFS('02c_AI_CSP_Normalized'!$N$2:$N$305,'02c_AI_CSP_Normalized'!$B$2:$B$305,B531,'02c_AI_CSP_Normalized'!$C$2:$C$305,C531,'02c_AI_CSP_Normalized'!$D$2:$D$305,D531,'02c_AI_CSP_Normalized'!$E$2:$E$305,E531)</f>
        <v/>
      </c>
      <c r="I531" s="6">
        <f>SUMIFS('02b_CSP_Accelerator_Mix'!$H$2:$H$573,'02b_CSP_Accelerator_Mix'!$B$2:$B$573,B531,'02b_CSP_Accelerator_Mix'!$C$2:$C$573,E531,'02b_CSP_Accelerator_Mix'!$D$2:$D$573,D531,'02b_CSP_Accelerator_Mix'!$E$2:$E$573,F531)</f>
        <v/>
      </c>
      <c r="J531" s="28">
        <f>H531*I531</f>
        <v/>
      </c>
      <c r="K531" s="8">
        <f>IFERROR(INDEX('02x_Accelerator_Catalog'!$D$2:$D$11,MATCH(F531,'02x_Accelerator_Catalog'!$B$2:$B$11,0)),"")</f>
        <v/>
      </c>
      <c r="L531" s="7">
        <f>IF(K531&gt;0,J531*1000/K531,"")</f>
        <v/>
      </c>
      <c r="M531" s="5" t="inlineStr">
        <is>
          <t>epoch_csp_chip_quantity_latest</t>
        </is>
      </c>
      <c r="N531" s="5" t="inlineStr">
        <is>
          <t>Extensible long-format output: add a new accelerator row in 02b and map it in 02x_Accelerator_Catalog to extend this table.</t>
        </is>
      </c>
    </row>
    <row r="532">
      <c r="A532" s="5">
        <f>B532&amp;"|"&amp;C532&amp;"|"&amp;D532&amp;"|"&amp;E532&amp;"|"&amp;F532</f>
        <v/>
      </c>
      <c r="B532" s="5" t="inlineStr">
        <is>
          <t>Grid-Constrained / Efficiency-Upside</t>
        </is>
      </c>
      <c r="C532" s="5" t="inlineStr">
        <is>
          <t>xAI</t>
        </is>
      </c>
      <c r="D532" s="5" t="n">
        <v>2030</v>
      </c>
      <c r="E532" s="5" t="inlineStr">
        <is>
          <t>SpaceXAI</t>
        </is>
      </c>
      <c r="F532" s="5" t="inlineStr">
        <is>
          <t>B200/B300 class</t>
        </is>
      </c>
      <c r="G532" s="5">
        <f>IFERROR(INDEX('02x_Accelerator_Catalog'!$C$2:$C$11,MATCH(F532,'02x_Accelerator_Catalog'!$B$2:$B$11,0)),"purpose_or_unbenchmarked")</f>
        <v/>
      </c>
      <c r="H532" s="28">
        <f>SUMIFS('02c_AI_CSP_Normalized'!$N$2:$N$305,'02c_AI_CSP_Normalized'!$B$2:$B$305,B532,'02c_AI_CSP_Normalized'!$C$2:$C$305,C532,'02c_AI_CSP_Normalized'!$D$2:$D$305,D532,'02c_AI_CSP_Normalized'!$E$2:$E$305,E532)</f>
        <v/>
      </c>
      <c r="I532" s="6">
        <f>SUMIFS('02b_CSP_Accelerator_Mix'!$H$2:$H$573,'02b_CSP_Accelerator_Mix'!$B$2:$B$573,B532,'02b_CSP_Accelerator_Mix'!$C$2:$C$573,E532,'02b_CSP_Accelerator_Mix'!$D$2:$D$573,D532,'02b_CSP_Accelerator_Mix'!$E$2:$E$573,F532)</f>
        <v/>
      </c>
      <c r="J532" s="28">
        <f>H532*I532</f>
        <v/>
      </c>
      <c r="K532" s="8">
        <f>IFERROR(INDEX('02x_Accelerator_Catalog'!$D$2:$D$11,MATCH(F532,'02x_Accelerator_Catalog'!$B$2:$B$11,0)),"")</f>
        <v/>
      </c>
      <c r="L532" s="7">
        <f>IF(K532&gt;0,J532*1000/K532,"")</f>
        <v/>
      </c>
      <c r="M532" s="5" t="inlineStr">
        <is>
          <t>epoch_csp_chip_quantity_latest</t>
        </is>
      </c>
      <c r="N532" s="5" t="inlineStr">
        <is>
          <t>Extensible long-format output: add a new accelerator row in 02b and map it in 02x_Accelerator_Catalog to extend this table.</t>
        </is>
      </c>
    </row>
    <row r="533">
      <c r="A533" s="5">
        <f>B533&amp;"|"&amp;C533&amp;"|"&amp;D533&amp;"|"&amp;E533&amp;"|"&amp;F533</f>
        <v/>
      </c>
      <c r="B533" s="5" t="inlineStr">
        <is>
          <t>Grid-Constrained / Efficiency-Upside</t>
        </is>
      </c>
      <c r="C533" s="5" t="inlineStr">
        <is>
          <t>xAI</t>
        </is>
      </c>
      <c r="D533" s="5" t="n">
        <v>2030</v>
      </c>
      <c r="E533" s="5" t="inlineStr">
        <is>
          <t>SpaceXAI</t>
        </is>
      </c>
      <c r="F533" s="5" t="inlineStr">
        <is>
          <t>H100/H200/A100 class</t>
        </is>
      </c>
      <c r="G533" s="5">
        <f>IFERROR(INDEX('02x_Accelerator_Catalog'!$C$2:$C$11,MATCH(F533,'02x_Accelerator_Catalog'!$B$2:$B$11,0)),"purpose_or_unbenchmarked")</f>
        <v/>
      </c>
      <c r="H533" s="28">
        <f>SUMIFS('02c_AI_CSP_Normalized'!$N$2:$N$305,'02c_AI_CSP_Normalized'!$B$2:$B$305,B533,'02c_AI_CSP_Normalized'!$C$2:$C$305,C533,'02c_AI_CSP_Normalized'!$D$2:$D$305,D533,'02c_AI_CSP_Normalized'!$E$2:$E$305,E533)</f>
        <v/>
      </c>
      <c r="I533" s="6">
        <f>SUMIFS('02b_CSP_Accelerator_Mix'!$H$2:$H$573,'02b_CSP_Accelerator_Mix'!$B$2:$B$573,B533,'02b_CSP_Accelerator_Mix'!$C$2:$C$573,E533,'02b_CSP_Accelerator_Mix'!$D$2:$D$573,D533,'02b_CSP_Accelerator_Mix'!$E$2:$E$573,F533)</f>
        <v/>
      </c>
      <c r="J533" s="28">
        <f>H533*I533</f>
        <v/>
      </c>
      <c r="K533" s="8">
        <f>IFERROR(INDEX('02x_Accelerator_Catalog'!$D$2:$D$11,MATCH(F533,'02x_Accelerator_Catalog'!$B$2:$B$11,0)),"")</f>
        <v/>
      </c>
      <c r="L533" s="7">
        <f>IF(K533&gt;0,J533*1000/K533,"")</f>
        <v/>
      </c>
      <c r="M533" s="5" t="inlineStr">
        <is>
          <t>epoch_csp_chip_quantity_latest</t>
        </is>
      </c>
      <c r="N533" s="5" t="inlineStr">
        <is>
          <t>Extensible long-format output: add a new accelerator row in 02b and map it in 02x_Accelerator_Catalog to extend this table.</t>
        </is>
      </c>
    </row>
    <row r="534">
      <c r="A534" s="5">
        <f>B534&amp;"|"&amp;C534&amp;"|"&amp;D534&amp;"|"&amp;E534&amp;"|"&amp;F534</f>
        <v/>
      </c>
      <c r="B534" s="5" t="inlineStr">
        <is>
          <t>Bear</t>
        </is>
      </c>
      <c r="C534" s="5" t="inlineStr">
        <is>
          <t>DeepSeek</t>
        </is>
      </c>
      <c r="D534" s="5" t="n">
        <v>2026</v>
      </c>
      <c r="E534" s="5" t="inlineStr">
        <is>
          <t>Legacy company envelope - DeepSeek</t>
        </is>
      </c>
      <c r="F534" s="5" t="inlineStr">
        <is>
          <t>B200/B300 class</t>
        </is>
      </c>
      <c r="G534" s="5">
        <f>IFERROR(INDEX('02x_Accelerator_Catalog'!$C$2:$C$11,MATCH(F534,'02x_Accelerator_Catalog'!$B$2:$B$11,0)),"purpose_or_unbenchmarked")</f>
        <v/>
      </c>
      <c r="H534" s="28">
        <f>SUMIFS('02c_AI_CSP_Normalized'!$N$2:$N$305,'02c_AI_CSP_Normalized'!$B$2:$B$305,B534,'02c_AI_CSP_Normalized'!$C$2:$C$305,C534,'02c_AI_CSP_Normalized'!$D$2:$D$305,D534,'02c_AI_CSP_Normalized'!$E$2:$E$305,E534)</f>
        <v/>
      </c>
      <c r="I534" s="6">
        <f>SUMIFS('02b_CSP_Accelerator_Mix'!$H$2:$H$573,'02b_CSP_Accelerator_Mix'!$B$2:$B$573,B534,'02b_CSP_Accelerator_Mix'!$C$2:$C$573,E534,'02b_CSP_Accelerator_Mix'!$D$2:$D$573,D534,'02b_CSP_Accelerator_Mix'!$E$2:$E$573,F534)</f>
        <v/>
      </c>
      <c r="J534" s="28">
        <f>H534*I534</f>
        <v/>
      </c>
      <c r="K534" s="8">
        <f>IFERROR(INDEX('02x_Accelerator_Catalog'!$D$2:$D$11,MATCH(F534,'02x_Accelerator_Catalog'!$B$2:$B$11,0)),"")</f>
        <v/>
      </c>
      <c r="L534" s="7">
        <f>IF(K534&gt;0,J534*1000/K534,"")</f>
        <v/>
      </c>
      <c r="M534" s="5" t="inlineStr">
        <is>
          <t>legacy_company_gpu_mix_fallback</t>
        </is>
      </c>
      <c r="N534" s="5" t="inlineStr">
        <is>
          <t>Extensible long-format output: add a new accelerator row in 02b and map it in 02x_Accelerator_Catalog to extend this table.</t>
        </is>
      </c>
    </row>
    <row r="535">
      <c r="A535" s="5">
        <f>B535&amp;"|"&amp;C535&amp;"|"&amp;D535&amp;"|"&amp;E535&amp;"|"&amp;F535</f>
        <v/>
      </c>
      <c r="B535" s="5" t="inlineStr">
        <is>
          <t>Bear</t>
        </is>
      </c>
      <c r="C535" s="5" t="inlineStr">
        <is>
          <t>DeepSeek</t>
        </is>
      </c>
      <c r="D535" s="5" t="n">
        <v>2026</v>
      </c>
      <c r="E535" s="5" t="inlineStr">
        <is>
          <t>Legacy company envelope - DeepSeek</t>
        </is>
      </c>
      <c r="F535" s="5" t="inlineStr">
        <is>
          <t>GB200/GB300 class</t>
        </is>
      </c>
      <c r="G535" s="5">
        <f>IFERROR(INDEX('02x_Accelerator_Catalog'!$C$2:$C$11,MATCH(F535,'02x_Accelerator_Catalog'!$B$2:$B$11,0)),"purpose_or_unbenchmarked")</f>
        <v/>
      </c>
      <c r="H535" s="28">
        <f>SUMIFS('02c_AI_CSP_Normalized'!$N$2:$N$305,'02c_AI_CSP_Normalized'!$B$2:$B$305,B535,'02c_AI_CSP_Normalized'!$C$2:$C$305,C535,'02c_AI_CSP_Normalized'!$D$2:$D$305,D535,'02c_AI_CSP_Normalized'!$E$2:$E$305,E535)</f>
        <v/>
      </c>
      <c r="I535" s="6">
        <f>SUMIFS('02b_CSP_Accelerator_Mix'!$H$2:$H$573,'02b_CSP_Accelerator_Mix'!$B$2:$B$573,B535,'02b_CSP_Accelerator_Mix'!$C$2:$C$573,E535,'02b_CSP_Accelerator_Mix'!$D$2:$D$573,D535,'02b_CSP_Accelerator_Mix'!$E$2:$E$573,F535)</f>
        <v/>
      </c>
      <c r="J535" s="28">
        <f>H535*I535</f>
        <v/>
      </c>
      <c r="K535" s="8">
        <f>IFERROR(INDEX('02x_Accelerator_Catalog'!$D$2:$D$11,MATCH(F535,'02x_Accelerator_Catalog'!$B$2:$B$11,0)),"")</f>
        <v/>
      </c>
      <c r="L535" s="7">
        <f>IF(K535&gt;0,J535*1000/K535,"")</f>
        <v/>
      </c>
      <c r="M535" s="5" t="inlineStr">
        <is>
          <t>legacy_company_gpu_mix_fallback</t>
        </is>
      </c>
      <c r="N535" s="5" t="inlineStr">
        <is>
          <t>Extensible long-format output: add a new accelerator row in 02b and map it in 02x_Accelerator_Catalog to extend this table.</t>
        </is>
      </c>
    </row>
    <row r="536">
      <c r="A536" s="5">
        <f>B536&amp;"|"&amp;C536&amp;"|"&amp;D536&amp;"|"&amp;E536&amp;"|"&amp;F536</f>
        <v/>
      </c>
      <c r="B536" s="5" t="inlineStr">
        <is>
          <t>Bear</t>
        </is>
      </c>
      <c r="C536" s="5" t="inlineStr">
        <is>
          <t>DeepSeek</t>
        </is>
      </c>
      <c r="D536" s="5" t="n">
        <v>2026</v>
      </c>
      <c r="E536" s="5" t="inlineStr">
        <is>
          <t>Legacy company envelope - DeepSeek</t>
        </is>
      </c>
      <c r="F536" s="5" t="inlineStr">
        <is>
          <t>H100/H200/A100 class</t>
        </is>
      </c>
      <c r="G536" s="5">
        <f>IFERROR(INDEX('02x_Accelerator_Catalog'!$C$2:$C$11,MATCH(F536,'02x_Accelerator_Catalog'!$B$2:$B$11,0)),"purpose_or_unbenchmarked")</f>
        <v/>
      </c>
      <c r="H536" s="28">
        <f>SUMIFS('02c_AI_CSP_Normalized'!$N$2:$N$305,'02c_AI_CSP_Normalized'!$B$2:$B$305,B536,'02c_AI_CSP_Normalized'!$C$2:$C$305,C536,'02c_AI_CSP_Normalized'!$D$2:$D$305,D536,'02c_AI_CSP_Normalized'!$E$2:$E$305,E536)</f>
        <v/>
      </c>
      <c r="I536" s="6">
        <f>SUMIFS('02b_CSP_Accelerator_Mix'!$H$2:$H$573,'02b_CSP_Accelerator_Mix'!$B$2:$B$573,B536,'02b_CSP_Accelerator_Mix'!$C$2:$C$573,E536,'02b_CSP_Accelerator_Mix'!$D$2:$D$573,D536,'02b_CSP_Accelerator_Mix'!$E$2:$E$573,F536)</f>
        <v/>
      </c>
      <c r="J536" s="28">
        <f>H536*I536</f>
        <v/>
      </c>
      <c r="K536" s="8">
        <f>IFERROR(INDEX('02x_Accelerator_Catalog'!$D$2:$D$11,MATCH(F536,'02x_Accelerator_Catalog'!$B$2:$B$11,0)),"")</f>
        <v/>
      </c>
      <c r="L536" s="7">
        <f>IF(K536&gt;0,J536*1000/K536,"")</f>
        <v/>
      </c>
      <c r="M536" s="5" t="inlineStr">
        <is>
          <t>legacy_company_gpu_mix_fallback</t>
        </is>
      </c>
      <c r="N536" s="5" t="inlineStr">
        <is>
          <t>Extensible long-format output: add a new accelerator row in 02b and map it in 02x_Accelerator_Catalog to extend this table.</t>
        </is>
      </c>
    </row>
    <row r="537">
      <c r="A537" s="5">
        <f>B537&amp;"|"&amp;C537&amp;"|"&amp;D537&amp;"|"&amp;E537&amp;"|"&amp;F537</f>
        <v/>
      </c>
      <c r="B537" s="5" t="inlineStr">
        <is>
          <t>Bear</t>
        </is>
      </c>
      <c r="C537" s="5" t="inlineStr">
        <is>
          <t>DeepSeek</t>
        </is>
      </c>
      <c r="D537" s="5" t="n">
        <v>2027</v>
      </c>
      <c r="E537" s="5" t="inlineStr">
        <is>
          <t>Legacy company envelope - DeepSeek</t>
        </is>
      </c>
      <c r="F537" s="5" t="inlineStr">
        <is>
          <t>B200/B300 class</t>
        </is>
      </c>
      <c r="G537" s="5">
        <f>IFERROR(INDEX('02x_Accelerator_Catalog'!$C$2:$C$11,MATCH(F537,'02x_Accelerator_Catalog'!$B$2:$B$11,0)),"purpose_or_unbenchmarked")</f>
        <v/>
      </c>
      <c r="H537" s="28">
        <f>SUMIFS('02c_AI_CSP_Normalized'!$N$2:$N$305,'02c_AI_CSP_Normalized'!$B$2:$B$305,B537,'02c_AI_CSP_Normalized'!$C$2:$C$305,C537,'02c_AI_CSP_Normalized'!$D$2:$D$305,D537,'02c_AI_CSP_Normalized'!$E$2:$E$305,E537)</f>
        <v/>
      </c>
      <c r="I537" s="6">
        <f>SUMIFS('02b_CSP_Accelerator_Mix'!$H$2:$H$573,'02b_CSP_Accelerator_Mix'!$B$2:$B$573,B537,'02b_CSP_Accelerator_Mix'!$C$2:$C$573,E537,'02b_CSP_Accelerator_Mix'!$D$2:$D$573,D537,'02b_CSP_Accelerator_Mix'!$E$2:$E$573,F537)</f>
        <v/>
      </c>
      <c r="J537" s="28">
        <f>H537*I537</f>
        <v/>
      </c>
      <c r="K537" s="8">
        <f>IFERROR(INDEX('02x_Accelerator_Catalog'!$D$2:$D$11,MATCH(F537,'02x_Accelerator_Catalog'!$B$2:$B$11,0)),"")</f>
        <v/>
      </c>
      <c r="L537" s="7">
        <f>IF(K537&gt;0,J537*1000/K537,"")</f>
        <v/>
      </c>
      <c r="M537" s="5" t="inlineStr">
        <is>
          <t>legacy_company_gpu_mix_fallback</t>
        </is>
      </c>
      <c r="N537" s="5" t="inlineStr">
        <is>
          <t>Extensible long-format output: add a new accelerator row in 02b and map it in 02x_Accelerator_Catalog to extend this table.</t>
        </is>
      </c>
    </row>
    <row r="538">
      <c r="A538" s="5">
        <f>B538&amp;"|"&amp;C538&amp;"|"&amp;D538&amp;"|"&amp;E538&amp;"|"&amp;F538</f>
        <v/>
      </c>
      <c r="B538" s="5" t="inlineStr">
        <is>
          <t>Bear</t>
        </is>
      </c>
      <c r="C538" s="5" t="inlineStr">
        <is>
          <t>DeepSeek</t>
        </is>
      </c>
      <c r="D538" s="5" t="n">
        <v>2027</v>
      </c>
      <c r="E538" s="5" t="inlineStr">
        <is>
          <t>Legacy company envelope - DeepSeek</t>
        </is>
      </c>
      <c r="F538" s="5" t="inlineStr">
        <is>
          <t>GB200/GB300 class</t>
        </is>
      </c>
      <c r="G538" s="5">
        <f>IFERROR(INDEX('02x_Accelerator_Catalog'!$C$2:$C$11,MATCH(F538,'02x_Accelerator_Catalog'!$B$2:$B$11,0)),"purpose_or_unbenchmarked")</f>
        <v/>
      </c>
      <c r="H538" s="28">
        <f>SUMIFS('02c_AI_CSP_Normalized'!$N$2:$N$305,'02c_AI_CSP_Normalized'!$B$2:$B$305,B538,'02c_AI_CSP_Normalized'!$C$2:$C$305,C538,'02c_AI_CSP_Normalized'!$D$2:$D$305,D538,'02c_AI_CSP_Normalized'!$E$2:$E$305,E538)</f>
        <v/>
      </c>
      <c r="I538" s="6">
        <f>SUMIFS('02b_CSP_Accelerator_Mix'!$H$2:$H$573,'02b_CSP_Accelerator_Mix'!$B$2:$B$573,B538,'02b_CSP_Accelerator_Mix'!$C$2:$C$573,E538,'02b_CSP_Accelerator_Mix'!$D$2:$D$573,D538,'02b_CSP_Accelerator_Mix'!$E$2:$E$573,F538)</f>
        <v/>
      </c>
      <c r="J538" s="28">
        <f>H538*I538</f>
        <v/>
      </c>
      <c r="K538" s="8">
        <f>IFERROR(INDEX('02x_Accelerator_Catalog'!$D$2:$D$11,MATCH(F538,'02x_Accelerator_Catalog'!$B$2:$B$11,0)),"")</f>
        <v/>
      </c>
      <c r="L538" s="7">
        <f>IF(K538&gt;0,J538*1000/K538,"")</f>
        <v/>
      </c>
      <c r="M538" s="5" t="inlineStr">
        <is>
          <t>legacy_company_gpu_mix_fallback</t>
        </is>
      </c>
      <c r="N538" s="5" t="inlineStr">
        <is>
          <t>Extensible long-format output: add a new accelerator row in 02b and map it in 02x_Accelerator_Catalog to extend this table.</t>
        </is>
      </c>
    </row>
    <row r="539">
      <c r="A539" s="5">
        <f>B539&amp;"|"&amp;C539&amp;"|"&amp;D539&amp;"|"&amp;E539&amp;"|"&amp;F539</f>
        <v/>
      </c>
      <c r="B539" s="5" t="inlineStr">
        <is>
          <t>Bear</t>
        </is>
      </c>
      <c r="C539" s="5" t="inlineStr">
        <is>
          <t>DeepSeek</t>
        </is>
      </c>
      <c r="D539" s="5" t="n">
        <v>2027</v>
      </c>
      <c r="E539" s="5" t="inlineStr">
        <is>
          <t>Legacy company envelope - DeepSeek</t>
        </is>
      </c>
      <c r="F539" s="5" t="inlineStr">
        <is>
          <t>H100/H200/A100 class</t>
        </is>
      </c>
      <c r="G539" s="5">
        <f>IFERROR(INDEX('02x_Accelerator_Catalog'!$C$2:$C$11,MATCH(F539,'02x_Accelerator_Catalog'!$B$2:$B$11,0)),"purpose_or_unbenchmarked")</f>
        <v/>
      </c>
      <c r="H539" s="28">
        <f>SUMIFS('02c_AI_CSP_Normalized'!$N$2:$N$305,'02c_AI_CSP_Normalized'!$B$2:$B$305,B539,'02c_AI_CSP_Normalized'!$C$2:$C$305,C539,'02c_AI_CSP_Normalized'!$D$2:$D$305,D539,'02c_AI_CSP_Normalized'!$E$2:$E$305,E539)</f>
        <v/>
      </c>
      <c r="I539" s="6">
        <f>SUMIFS('02b_CSP_Accelerator_Mix'!$H$2:$H$573,'02b_CSP_Accelerator_Mix'!$B$2:$B$573,B539,'02b_CSP_Accelerator_Mix'!$C$2:$C$573,E539,'02b_CSP_Accelerator_Mix'!$D$2:$D$573,D539,'02b_CSP_Accelerator_Mix'!$E$2:$E$573,F539)</f>
        <v/>
      </c>
      <c r="J539" s="28">
        <f>H539*I539</f>
        <v/>
      </c>
      <c r="K539" s="8">
        <f>IFERROR(INDEX('02x_Accelerator_Catalog'!$D$2:$D$11,MATCH(F539,'02x_Accelerator_Catalog'!$B$2:$B$11,0)),"")</f>
        <v/>
      </c>
      <c r="L539" s="7">
        <f>IF(K539&gt;0,J539*1000/K539,"")</f>
        <v/>
      </c>
      <c r="M539" s="5" t="inlineStr">
        <is>
          <t>legacy_company_gpu_mix_fallback</t>
        </is>
      </c>
      <c r="N539" s="5" t="inlineStr">
        <is>
          <t>Extensible long-format output: add a new accelerator row in 02b and map it in 02x_Accelerator_Catalog to extend this table.</t>
        </is>
      </c>
    </row>
    <row r="540">
      <c r="A540" s="5">
        <f>B540&amp;"|"&amp;C540&amp;"|"&amp;D540&amp;"|"&amp;E540&amp;"|"&amp;F540</f>
        <v/>
      </c>
      <c r="B540" s="5" t="inlineStr">
        <is>
          <t>Bear</t>
        </is>
      </c>
      <c r="C540" s="5" t="inlineStr">
        <is>
          <t>DeepSeek</t>
        </is>
      </c>
      <c r="D540" s="5" t="n">
        <v>2028</v>
      </c>
      <c r="E540" s="5" t="inlineStr">
        <is>
          <t>Legacy company envelope - DeepSeek</t>
        </is>
      </c>
      <c r="F540" s="5" t="inlineStr">
        <is>
          <t>B200/B300 class</t>
        </is>
      </c>
      <c r="G540" s="5">
        <f>IFERROR(INDEX('02x_Accelerator_Catalog'!$C$2:$C$11,MATCH(F540,'02x_Accelerator_Catalog'!$B$2:$B$11,0)),"purpose_or_unbenchmarked")</f>
        <v/>
      </c>
      <c r="H540" s="28">
        <f>SUMIFS('02c_AI_CSP_Normalized'!$N$2:$N$305,'02c_AI_CSP_Normalized'!$B$2:$B$305,B540,'02c_AI_CSP_Normalized'!$C$2:$C$305,C540,'02c_AI_CSP_Normalized'!$D$2:$D$305,D540,'02c_AI_CSP_Normalized'!$E$2:$E$305,E540)</f>
        <v/>
      </c>
      <c r="I540" s="6">
        <f>SUMIFS('02b_CSP_Accelerator_Mix'!$H$2:$H$573,'02b_CSP_Accelerator_Mix'!$B$2:$B$573,B540,'02b_CSP_Accelerator_Mix'!$C$2:$C$573,E540,'02b_CSP_Accelerator_Mix'!$D$2:$D$573,D540,'02b_CSP_Accelerator_Mix'!$E$2:$E$573,F540)</f>
        <v/>
      </c>
      <c r="J540" s="28">
        <f>H540*I540</f>
        <v/>
      </c>
      <c r="K540" s="8">
        <f>IFERROR(INDEX('02x_Accelerator_Catalog'!$D$2:$D$11,MATCH(F540,'02x_Accelerator_Catalog'!$B$2:$B$11,0)),"")</f>
        <v/>
      </c>
      <c r="L540" s="7">
        <f>IF(K540&gt;0,J540*1000/K540,"")</f>
        <v/>
      </c>
      <c r="M540" s="5" t="inlineStr">
        <is>
          <t>legacy_company_gpu_mix_fallback</t>
        </is>
      </c>
      <c r="N540" s="5" t="inlineStr">
        <is>
          <t>Extensible long-format output: add a new accelerator row in 02b and map it in 02x_Accelerator_Catalog to extend this table.</t>
        </is>
      </c>
    </row>
    <row r="541">
      <c r="A541" s="5">
        <f>B541&amp;"|"&amp;C541&amp;"|"&amp;D541&amp;"|"&amp;E541&amp;"|"&amp;F541</f>
        <v/>
      </c>
      <c r="B541" s="5" t="inlineStr">
        <is>
          <t>Bear</t>
        </is>
      </c>
      <c r="C541" s="5" t="inlineStr">
        <is>
          <t>DeepSeek</t>
        </is>
      </c>
      <c r="D541" s="5" t="n">
        <v>2028</v>
      </c>
      <c r="E541" s="5" t="inlineStr">
        <is>
          <t>Legacy company envelope - DeepSeek</t>
        </is>
      </c>
      <c r="F541" s="5" t="inlineStr">
        <is>
          <t>GB200/GB300 class</t>
        </is>
      </c>
      <c r="G541" s="5">
        <f>IFERROR(INDEX('02x_Accelerator_Catalog'!$C$2:$C$11,MATCH(F541,'02x_Accelerator_Catalog'!$B$2:$B$11,0)),"purpose_or_unbenchmarked")</f>
        <v/>
      </c>
      <c r="H541" s="28">
        <f>SUMIFS('02c_AI_CSP_Normalized'!$N$2:$N$305,'02c_AI_CSP_Normalized'!$B$2:$B$305,B541,'02c_AI_CSP_Normalized'!$C$2:$C$305,C541,'02c_AI_CSP_Normalized'!$D$2:$D$305,D541,'02c_AI_CSP_Normalized'!$E$2:$E$305,E541)</f>
        <v/>
      </c>
      <c r="I541" s="6">
        <f>SUMIFS('02b_CSP_Accelerator_Mix'!$H$2:$H$573,'02b_CSP_Accelerator_Mix'!$B$2:$B$573,B541,'02b_CSP_Accelerator_Mix'!$C$2:$C$573,E541,'02b_CSP_Accelerator_Mix'!$D$2:$D$573,D541,'02b_CSP_Accelerator_Mix'!$E$2:$E$573,F541)</f>
        <v/>
      </c>
      <c r="J541" s="28">
        <f>H541*I541</f>
        <v/>
      </c>
      <c r="K541" s="8">
        <f>IFERROR(INDEX('02x_Accelerator_Catalog'!$D$2:$D$11,MATCH(F541,'02x_Accelerator_Catalog'!$B$2:$B$11,0)),"")</f>
        <v/>
      </c>
      <c r="L541" s="7">
        <f>IF(K541&gt;0,J541*1000/K541,"")</f>
        <v/>
      </c>
      <c r="M541" s="5" t="inlineStr">
        <is>
          <t>legacy_company_gpu_mix_fallback</t>
        </is>
      </c>
      <c r="N541" s="5" t="inlineStr">
        <is>
          <t>Extensible long-format output: add a new accelerator row in 02b and map it in 02x_Accelerator_Catalog to extend this table.</t>
        </is>
      </c>
    </row>
    <row r="542">
      <c r="A542" s="5">
        <f>B542&amp;"|"&amp;C542&amp;"|"&amp;D542&amp;"|"&amp;E542&amp;"|"&amp;F542</f>
        <v/>
      </c>
      <c r="B542" s="5" t="inlineStr">
        <is>
          <t>Bear</t>
        </is>
      </c>
      <c r="C542" s="5" t="inlineStr">
        <is>
          <t>DeepSeek</t>
        </is>
      </c>
      <c r="D542" s="5" t="n">
        <v>2028</v>
      </c>
      <c r="E542" s="5" t="inlineStr">
        <is>
          <t>Legacy company envelope - DeepSeek</t>
        </is>
      </c>
      <c r="F542" s="5" t="inlineStr">
        <is>
          <t>H100/H200/A100 class</t>
        </is>
      </c>
      <c r="G542" s="5">
        <f>IFERROR(INDEX('02x_Accelerator_Catalog'!$C$2:$C$11,MATCH(F542,'02x_Accelerator_Catalog'!$B$2:$B$11,0)),"purpose_or_unbenchmarked")</f>
        <v/>
      </c>
      <c r="H542" s="28">
        <f>SUMIFS('02c_AI_CSP_Normalized'!$N$2:$N$305,'02c_AI_CSP_Normalized'!$B$2:$B$305,B542,'02c_AI_CSP_Normalized'!$C$2:$C$305,C542,'02c_AI_CSP_Normalized'!$D$2:$D$305,D542,'02c_AI_CSP_Normalized'!$E$2:$E$305,E542)</f>
        <v/>
      </c>
      <c r="I542" s="6">
        <f>SUMIFS('02b_CSP_Accelerator_Mix'!$H$2:$H$573,'02b_CSP_Accelerator_Mix'!$B$2:$B$573,B542,'02b_CSP_Accelerator_Mix'!$C$2:$C$573,E542,'02b_CSP_Accelerator_Mix'!$D$2:$D$573,D542,'02b_CSP_Accelerator_Mix'!$E$2:$E$573,F542)</f>
        <v/>
      </c>
      <c r="J542" s="28">
        <f>H542*I542</f>
        <v/>
      </c>
      <c r="K542" s="8">
        <f>IFERROR(INDEX('02x_Accelerator_Catalog'!$D$2:$D$11,MATCH(F542,'02x_Accelerator_Catalog'!$B$2:$B$11,0)),"")</f>
        <v/>
      </c>
      <c r="L542" s="7">
        <f>IF(K542&gt;0,J542*1000/K542,"")</f>
        <v/>
      </c>
      <c r="M542" s="5" t="inlineStr">
        <is>
          <t>legacy_company_gpu_mix_fallback</t>
        </is>
      </c>
      <c r="N542" s="5" t="inlineStr">
        <is>
          <t>Extensible long-format output: add a new accelerator row in 02b and map it in 02x_Accelerator_Catalog to extend this table.</t>
        </is>
      </c>
    </row>
    <row r="543">
      <c r="A543" s="5">
        <f>B543&amp;"|"&amp;C543&amp;"|"&amp;D543&amp;"|"&amp;E543&amp;"|"&amp;F543</f>
        <v/>
      </c>
      <c r="B543" s="5" t="inlineStr">
        <is>
          <t>Bear</t>
        </is>
      </c>
      <c r="C543" s="5" t="inlineStr">
        <is>
          <t>DeepSeek</t>
        </is>
      </c>
      <c r="D543" s="5" t="n">
        <v>2029</v>
      </c>
      <c r="E543" s="5" t="inlineStr">
        <is>
          <t>Legacy company envelope - DeepSeek</t>
        </is>
      </c>
      <c r="F543" s="5" t="inlineStr">
        <is>
          <t>B200/B300 class</t>
        </is>
      </c>
      <c r="G543" s="5">
        <f>IFERROR(INDEX('02x_Accelerator_Catalog'!$C$2:$C$11,MATCH(F543,'02x_Accelerator_Catalog'!$B$2:$B$11,0)),"purpose_or_unbenchmarked")</f>
        <v/>
      </c>
      <c r="H543" s="28">
        <f>SUMIFS('02c_AI_CSP_Normalized'!$N$2:$N$305,'02c_AI_CSP_Normalized'!$B$2:$B$305,B543,'02c_AI_CSP_Normalized'!$C$2:$C$305,C543,'02c_AI_CSP_Normalized'!$D$2:$D$305,D543,'02c_AI_CSP_Normalized'!$E$2:$E$305,E543)</f>
        <v/>
      </c>
      <c r="I543" s="6">
        <f>SUMIFS('02b_CSP_Accelerator_Mix'!$H$2:$H$573,'02b_CSP_Accelerator_Mix'!$B$2:$B$573,B543,'02b_CSP_Accelerator_Mix'!$C$2:$C$573,E543,'02b_CSP_Accelerator_Mix'!$D$2:$D$573,D543,'02b_CSP_Accelerator_Mix'!$E$2:$E$573,F543)</f>
        <v/>
      </c>
      <c r="J543" s="28">
        <f>H543*I543</f>
        <v/>
      </c>
      <c r="K543" s="8">
        <f>IFERROR(INDEX('02x_Accelerator_Catalog'!$D$2:$D$11,MATCH(F543,'02x_Accelerator_Catalog'!$B$2:$B$11,0)),"")</f>
        <v/>
      </c>
      <c r="L543" s="7">
        <f>IF(K543&gt;0,J543*1000/K543,"")</f>
        <v/>
      </c>
      <c r="M543" s="5" t="inlineStr">
        <is>
          <t>legacy_company_gpu_mix_fallback</t>
        </is>
      </c>
      <c r="N543" s="5" t="inlineStr">
        <is>
          <t>Extensible long-format output: add a new accelerator row in 02b and map it in 02x_Accelerator_Catalog to extend this table.</t>
        </is>
      </c>
    </row>
    <row r="544">
      <c r="A544" s="5">
        <f>B544&amp;"|"&amp;C544&amp;"|"&amp;D544&amp;"|"&amp;E544&amp;"|"&amp;F544</f>
        <v/>
      </c>
      <c r="B544" s="5" t="inlineStr">
        <is>
          <t>Bear</t>
        </is>
      </c>
      <c r="C544" s="5" t="inlineStr">
        <is>
          <t>DeepSeek</t>
        </is>
      </c>
      <c r="D544" s="5" t="n">
        <v>2029</v>
      </c>
      <c r="E544" s="5" t="inlineStr">
        <is>
          <t>Legacy company envelope - DeepSeek</t>
        </is>
      </c>
      <c r="F544" s="5" t="inlineStr">
        <is>
          <t>GB200/GB300 class</t>
        </is>
      </c>
      <c r="G544" s="5">
        <f>IFERROR(INDEX('02x_Accelerator_Catalog'!$C$2:$C$11,MATCH(F544,'02x_Accelerator_Catalog'!$B$2:$B$11,0)),"purpose_or_unbenchmarked")</f>
        <v/>
      </c>
      <c r="H544" s="28">
        <f>SUMIFS('02c_AI_CSP_Normalized'!$N$2:$N$305,'02c_AI_CSP_Normalized'!$B$2:$B$305,B544,'02c_AI_CSP_Normalized'!$C$2:$C$305,C544,'02c_AI_CSP_Normalized'!$D$2:$D$305,D544,'02c_AI_CSP_Normalized'!$E$2:$E$305,E544)</f>
        <v/>
      </c>
      <c r="I544" s="6">
        <f>SUMIFS('02b_CSP_Accelerator_Mix'!$H$2:$H$573,'02b_CSP_Accelerator_Mix'!$B$2:$B$573,B544,'02b_CSP_Accelerator_Mix'!$C$2:$C$573,E544,'02b_CSP_Accelerator_Mix'!$D$2:$D$573,D544,'02b_CSP_Accelerator_Mix'!$E$2:$E$573,F544)</f>
        <v/>
      </c>
      <c r="J544" s="28">
        <f>H544*I544</f>
        <v/>
      </c>
      <c r="K544" s="8">
        <f>IFERROR(INDEX('02x_Accelerator_Catalog'!$D$2:$D$11,MATCH(F544,'02x_Accelerator_Catalog'!$B$2:$B$11,0)),"")</f>
        <v/>
      </c>
      <c r="L544" s="7">
        <f>IF(K544&gt;0,J544*1000/K544,"")</f>
        <v/>
      </c>
      <c r="M544" s="5" t="inlineStr">
        <is>
          <t>legacy_company_gpu_mix_fallback</t>
        </is>
      </c>
      <c r="N544" s="5" t="inlineStr">
        <is>
          <t>Extensible long-format output: add a new accelerator row in 02b and map it in 02x_Accelerator_Catalog to extend this table.</t>
        </is>
      </c>
    </row>
    <row r="545">
      <c r="A545" s="5">
        <f>B545&amp;"|"&amp;C545&amp;"|"&amp;D545&amp;"|"&amp;E545&amp;"|"&amp;F545</f>
        <v/>
      </c>
      <c r="B545" s="5" t="inlineStr">
        <is>
          <t>Bear</t>
        </is>
      </c>
      <c r="C545" s="5" t="inlineStr">
        <is>
          <t>DeepSeek</t>
        </is>
      </c>
      <c r="D545" s="5" t="n">
        <v>2029</v>
      </c>
      <c r="E545" s="5" t="inlineStr">
        <is>
          <t>Legacy company envelope - DeepSeek</t>
        </is>
      </c>
      <c r="F545" s="5" t="inlineStr">
        <is>
          <t>H100/H200/A100 class</t>
        </is>
      </c>
      <c r="G545" s="5">
        <f>IFERROR(INDEX('02x_Accelerator_Catalog'!$C$2:$C$11,MATCH(F545,'02x_Accelerator_Catalog'!$B$2:$B$11,0)),"purpose_or_unbenchmarked")</f>
        <v/>
      </c>
      <c r="H545" s="28">
        <f>SUMIFS('02c_AI_CSP_Normalized'!$N$2:$N$305,'02c_AI_CSP_Normalized'!$B$2:$B$305,B545,'02c_AI_CSP_Normalized'!$C$2:$C$305,C545,'02c_AI_CSP_Normalized'!$D$2:$D$305,D545,'02c_AI_CSP_Normalized'!$E$2:$E$305,E545)</f>
        <v/>
      </c>
      <c r="I545" s="6">
        <f>SUMIFS('02b_CSP_Accelerator_Mix'!$H$2:$H$573,'02b_CSP_Accelerator_Mix'!$B$2:$B$573,B545,'02b_CSP_Accelerator_Mix'!$C$2:$C$573,E545,'02b_CSP_Accelerator_Mix'!$D$2:$D$573,D545,'02b_CSP_Accelerator_Mix'!$E$2:$E$573,F545)</f>
        <v/>
      </c>
      <c r="J545" s="28">
        <f>H545*I545</f>
        <v/>
      </c>
      <c r="K545" s="8">
        <f>IFERROR(INDEX('02x_Accelerator_Catalog'!$D$2:$D$11,MATCH(F545,'02x_Accelerator_Catalog'!$B$2:$B$11,0)),"")</f>
        <v/>
      </c>
      <c r="L545" s="7">
        <f>IF(K545&gt;0,J545*1000/K545,"")</f>
        <v/>
      </c>
      <c r="M545" s="5" t="inlineStr">
        <is>
          <t>legacy_company_gpu_mix_fallback</t>
        </is>
      </c>
      <c r="N545" s="5" t="inlineStr">
        <is>
          <t>Extensible long-format output: add a new accelerator row in 02b and map it in 02x_Accelerator_Catalog to extend this table.</t>
        </is>
      </c>
    </row>
    <row r="546">
      <c r="A546" s="5">
        <f>B546&amp;"|"&amp;C546&amp;"|"&amp;D546&amp;"|"&amp;E546&amp;"|"&amp;F546</f>
        <v/>
      </c>
      <c r="B546" s="5" t="inlineStr">
        <is>
          <t>Bear</t>
        </is>
      </c>
      <c r="C546" s="5" t="inlineStr">
        <is>
          <t>DeepSeek</t>
        </is>
      </c>
      <c r="D546" s="5" t="n">
        <v>2030</v>
      </c>
      <c r="E546" s="5" t="inlineStr">
        <is>
          <t>Legacy company envelope - DeepSeek</t>
        </is>
      </c>
      <c r="F546" s="5" t="inlineStr">
        <is>
          <t>B200/B300 class</t>
        </is>
      </c>
      <c r="G546" s="5">
        <f>IFERROR(INDEX('02x_Accelerator_Catalog'!$C$2:$C$11,MATCH(F546,'02x_Accelerator_Catalog'!$B$2:$B$11,0)),"purpose_or_unbenchmarked")</f>
        <v/>
      </c>
      <c r="H546" s="28">
        <f>SUMIFS('02c_AI_CSP_Normalized'!$N$2:$N$305,'02c_AI_CSP_Normalized'!$B$2:$B$305,B546,'02c_AI_CSP_Normalized'!$C$2:$C$305,C546,'02c_AI_CSP_Normalized'!$D$2:$D$305,D546,'02c_AI_CSP_Normalized'!$E$2:$E$305,E546)</f>
        <v/>
      </c>
      <c r="I546" s="6">
        <f>SUMIFS('02b_CSP_Accelerator_Mix'!$H$2:$H$573,'02b_CSP_Accelerator_Mix'!$B$2:$B$573,B546,'02b_CSP_Accelerator_Mix'!$C$2:$C$573,E546,'02b_CSP_Accelerator_Mix'!$D$2:$D$573,D546,'02b_CSP_Accelerator_Mix'!$E$2:$E$573,F546)</f>
        <v/>
      </c>
      <c r="J546" s="28">
        <f>H546*I546</f>
        <v/>
      </c>
      <c r="K546" s="8">
        <f>IFERROR(INDEX('02x_Accelerator_Catalog'!$D$2:$D$11,MATCH(F546,'02x_Accelerator_Catalog'!$B$2:$B$11,0)),"")</f>
        <v/>
      </c>
      <c r="L546" s="7">
        <f>IF(K546&gt;0,J546*1000/K546,"")</f>
        <v/>
      </c>
      <c r="M546" s="5" t="inlineStr">
        <is>
          <t>legacy_company_gpu_mix_fallback</t>
        </is>
      </c>
      <c r="N546" s="5" t="inlineStr">
        <is>
          <t>Extensible long-format output: add a new accelerator row in 02b and map it in 02x_Accelerator_Catalog to extend this table.</t>
        </is>
      </c>
    </row>
    <row r="547">
      <c r="A547" s="5">
        <f>B547&amp;"|"&amp;C547&amp;"|"&amp;D547&amp;"|"&amp;E547&amp;"|"&amp;F547</f>
        <v/>
      </c>
      <c r="B547" s="5" t="inlineStr">
        <is>
          <t>Bear</t>
        </is>
      </c>
      <c r="C547" s="5" t="inlineStr">
        <is>
          <t>DeepSeek</t>
        </is>
      </c>
      <c r="D547" s="5" t="n">
        <v>2030</v>
      </c>
      <c r="E547" s="5" t="inlineStr">
        <is>
          <t>Legacy company envelope - DeepSeek</t>
        </is>
      </c>
      <c r="F547" s="5" t="inlineStr">
        <is>
          <t>GB200/GB300 class</t>
        </is>
      </c>
      <c r="G547" s="5">
        <f>IFERROR(INDEX('02x_Accelerator_Catalog'!$C$2:$C$11,MATCH(F547,'02x_Accelerator_Catalog'!$B$2:$B$11,0)),"purpose_or_unbenchmarked")</f>
        <v/>
      </c>
      <c r="H547" s="28">
        <f>SUMIFS('02c_AI_CSP_Normalized'!$N$2:$N$305,'02c_AI_CSP_Normalized'!$B$2:$B$305,B547,'02c_AI_CSP_Normalized'!$C$2:$C$305,C547,'02c_AI_CSP_Normalized'!$D$2:$D$305,D547,'02c_AI_CSP_Normalized'!$E$2:$E$305,E547)</f>
        <v/>
      </c>
      <c r="I547" s="6">
        <f>SUMIFS('02b_CSP_Accelerator_Mix'!$H$2:$H$573,'02b_CSP_Accelerator_Mix'!$B$2:$B$573,B547,'02b_CSP_Accelerator_Mix'!$C$2:$C$573,E547,'02b_CSP_Accelerator_Mix'!$D$2:$D$573,D547,'02b_CSP_Accelerator_Mix'!$E$2:$E$573,F547)</f>
        <v/>
      </c>
      <c r="J547" s="28">
        <f>H547*I547</f>
        <v/>
      </c>
      <c r="K547" s="8">
        <f>IFERROR(INDEX('02x_Accelerator_Catalog'!$D$2:$D$11,MATCH(F547,'02x_Accelerator_Catalog'!$B$2:$B$11,0)),"")</f>
        <v/>
      </c>
      <c r="L547" s="7">
        <f>IF(K547&gt;0,J547*1000/K547,"")</f>
        <v/>
      </c>
      <c r="M547" s="5" t="inlineStr">
        <is>
          <t>legacy_company_gpu_mix_fallback</t>
        </is>
      </c>
      <c r="N547" s="5" t="inlineStr">
        <is>
          <t>Extensible long-format output: add a new accelerator row in 02b and map it in 02x_Accelerator_Catalog to extend this table.</t>
        </is>
      </c>
    </row>
    <row r="548">
      <c r="A548" s="5">
        <f>B548&amp;"|"&amp;C548&amp;"|"&amp;D548&amp;"|"&amp;E548&amp;"|"&amp;F548</f>
        <v/>
      </c>
      <c r="B548" s="5" t="inlineStr">
        <is>
          <t>Bear</t>
        </is>
      </c>
      <c r="C548" s="5" t="inlineStr">
        <is>
          <t>DeepSeek</t>
        </is>
      </c>
      <c r="D548" s="5" t="n">
        <v>2030</v>
      </c>
      <c r="E548" s="5" t="inlineStr">
        <is>
          <t>Legacy company envelope - DeepSeek</t>
        </is>
      </c>
      <c r="F548" s="5" t="inlineStr">
        <is>
          <t>H100/H200/A100 class</t>
        </is>
      </c>
      <c r="G548" s="5">
        <f>IFERROR(INDEX('02x_Accelerator_Catalog'!$C$2:$C$11,MATCH(F548,'02x_Accelerator_Catalog'!$B$2:$B$11,0)),"purpose_or_unbenchmarked")</f>
        <v/>
      </c>
      <c r="H548" s="28">
        <f>SUMIFS('02c_AI_CSP_Normalized'!$N$2:$N$305,'02c_AI_CSP_Normalized'!$B$2:$B$305,B548,'02c_AI_CSP_Normalized'!$C$2:$C$305,C548,'02c_AI_CSP_Normalized'!$D$2:$D$305,D548,'02c_AI_CSP_Normalized'!$E$2:$E$305,E548)</f>
        <v/>
      </c>
      <c r="I548" s="6">
        <f>SUMIFS('02b_CSP_Accelerator_Mix'!$H$2:$H$573,'02b_CSP_Accelerator_Mix'!$B$2:$B$573,B548,'02b_CSP_Accelerator_Mix'!$C$2:$C$573,E548,'02b_CSP_Accelerator_Mix'!$D$2:$D$573,D548,'02b_CSP_Accelerator_Mix'!$E$2:$E$573,F548)</f>
        <v/>
      </c>
      <c r="J548" s="28">
        <f>H548*I548</f>
        <v/>
      </c>
      <c r="K548" s="8">
        <f>IFERROR(INDEX('02x_Accelerator_Catalog'!$D$2:$D$11,MATCH(F548,'02x_Accelerator_Catalog'!$B$2:$B$11,0)),"")</f>
        <v/>
      </c>
      <c r="L548" s="7">
        <f>IF(K548&gt;0,J548*1000/K548,"")</f>
        <v/>
      </c>
      <c r="M548" s="5" t="inlineStr">
        <is>
          <t>legacy_company_gpu_mix_fallback</t>
        </is>
      </c>
      <c r="N548" s="5" t="inlineStr">
        <is>
          <t>Extensible long-format output: add a new accelerator row in 02b and map it in 02x_Accelerator_Catalog to extend this table.</t>
        </is>
      </c>
    </row>
    <row r="549">
      <c r="A549" s="5">
        <f>B549&amp;"|"&amp;C549&amp;"|"&amp;D549&amp;"|"&amp;E549&amp;"|"&amp;F549</f>
        <v/>
      </c>
      <c r="B549" s="5" t="inlineStr">
        <is>
          <t>Bear</t>
        </is>
      </c>
      <c r="C549" s="5" t="inlineStr">
        <is>
          <t>Tencent</t>
        </is>
      </c>
      <c r="D549" s="5" t="n">
        <v>2026</v>
      </c>
      <c r="E549" s="5" t="inlineStr">
        <is>
          <t>Legacy company envelope - Tencent</t>
        </is>
      </c>
      <c r="F549" s="5" t="inlineStr">
        <is>
          <t>B200/B300 class</t>
        </is>
      </c>
      <c r="G549" s="5">
        <f>IFERROR(INDEX('02x_Accelerator_Catalog'!$C$2:$C$11,MATCH(F549,'02x_Accelerator_Catalog'!$B$2:$B$11,0)),"purpose_or_unbenchmarked")</f>
        <v/>
      </c>
      <c r="H549" s="28">
        <f>SUMIFS('02c_AI_CSP_Normalized'!$N$2:$N$305,'02c_AI_CSP_Normalized'!$B$2:$B$305,B549,'02c_AI_CSP_Normalized'!$C$2:$C$305,C549,'02c_AI_CSP_Normalized'!$D$2:$D$305,D549,'02c_AI_CSP_Normalized'!$E$2:$E$305,E549)</f>
        <v/>
      </c>
      <c r="I549" s="6">
        <f>SUMIFS('02b_CSP_Accelerator_Mix'!$H$2:$H$573,'02b_CSP_Accelerator_Mix'!$B$2:$B$573,B549,'02b_CSP_Accelerator_Mix'!$C$2:$C$573,E549,'02b_CSP_Accelerator_Mix'!$D$2:$D$573,D549,'02b_CSP_Accelerator_Mix'!$E$2:$E$573,F549)</f>
        <v/>
      </c>
      <c r="J549" s="28">
        <f>H549*I549</f>
        <v/>
      </c>
      <c r="K549" s="8">
        <f>IFERROR(INDEX('02x_Accelerator_Catalog'!$D$2:$D$11,MATCH(F549,'02x_Accelerator_Catalog'!$B$2:$B$11,0)),"")</f>
        <v/>
      </c>
      <c r="L549" s="7">
        <f>IF(K549&gt;0,J549*1000/K549,"")</f>
        <v/>
      </c>
      <c r="M549" s="5" t="inlineStr">
        <is>
          <t>legacy_company_gpu_mix_fallback</t>
        </is>
      </c>
      <c r="N549" s="5" t="inlineStr">
        <is>
          <t>Extensible long-format output: add a new accelerator row in 02b and map it in 02x_Accelerator_Catalog to extend this table.</t>
        </is>
      </c>
    </row>
    <row r="550">
      <c r="A550" s="5">
        <f>B550&amp;"|"&amp;C550&amp;"|"&amp;D550&amp;"|"&amp;E550&amp;"|"&amp;F550</f>
        <v/>
      </c>
      <c r="B550" s="5" t="inlineStr">
        <is>
          <t>Bear</t>
        </is>
      </c>
      <c r="C550" s="5" t="inlineStr">
        <is>
          <t>Tencent</t>
        </is>
      </c>
      <c r="D550" s="5" t="n">
        <v>2026</v>
      </c>
      <c r="E550" s="5" t="inlineStr">
        <is>
          <t>Legacy company envelope - Tencent</t>
        </is>
      </c>
      <c r="F550" s="5" t="inlineStr">
        <is>
          <t>GB200/GB300 class</t>
        </is>
      </c>
      <c r="G550" s="5">
        <f>IFERROR(INDEX('02x_Accelerator_Catalog'!$C$2:$C$11,MATCH(F550,'02x_Accelerator_Catalog'!$B$2:$B$11,0)),"purpose_or_unbenchmarked")</f>
        <v/>
      </c>
      <c r="H550" s="28">
        <f>SUMIFS('02c_AI_CSP_Normalized'!$N$2:$N$305,'02c_AI_CSP_Normalized'!$B$2:$B$305,B550,'02c_AI_CSP_Normalized'!$C$2:$C$305,C550,'02c_AI_CSP_Normalized'!$D$2:$D$305,D550,'02c_AI_CSP_Normalized'!$E$2:$E$305,E550)</f>
        <v/>
      </c>
      <c r="I550" s="6">
        <f>SUMIFS('02b_CSP_Accelerator_Mix'!$H$2:$H$573,'02b_CSP_Accelerator_Mix'!$B$2:$B$573,B550,'02b_CSP_Accelerator_Mix'!$C$2:$C$573,E550,'02b_CSP_Accelerator_Mix'!$D$2:$D$573,D550,'02b_CSP_Accelerator_Mix'!$E$2:$E$573,F550)</f>
        <v/>
      </c>
      <c r="J550" s="28">
        <f>H550*I550</f>
        <v/>
      </c>
      <c r="K550" s="8">
        <f>IFERROR(INDEX('02x_Accelerator_Catalog'!$D$2:$D$11,MATCH(F550,'02x_Accelerator_Catalog'!$B$2:$B$11,0)),"")</f>
        <v/>
      </c>
      <c r="L550" s="7">
        <f>IF(K550&gt;0,J550*1000/K550,"")</f>
        <v/>
      </c>
      <c r="M550" s="5" t="inlineStr">
        <is>
          <t>legacy_company_gpu_mix_fallback</t>
        </is>
      </c>
      <c r="N550" s="5" t="inlineStr">
        <is>
          <t>Extensible long-format output: add a new accelerator row in 02b and map it in 02x_Accelerator_Catalog to extend this table.</t>
        </is>
      </c>
    </row>
    <row r="551">
      <c r="A551" s="5">
        <f>B551&amp;"|"&amp;C551&amp;"|"&amp;D551&amp;"|"&amp;E551&amp;"|"&amp;F551</f>
        <v/>
      </c>
      <c r="B551" s="5" t="inlineStr">
        <is>
          <t>Bear</t>
        </is>
      </c>
      <c r="C551" s="5" t="inlineStr">
        <is>
          <t>Tencent</t>
        </is>
      </c>
      <c r="D551" s="5" t="n">
        <v>2026</v>
      </c>
      <c r="E551" s="5" t="inlineStr">
        <is>
          <t>Legacy company envelope - Tencent</t>
        </is>
      </c>
      <c r="F551" s="5" t="inlineStr">
        <is>
          <t>H100/H200/A100 class</t>
        </is>
      </c>
      <c r="G551" s="5">
        <f>IFERROR(INDEX('02x_Accelerator_Catalog'!$C$2:$C$11,MATCH(F551,'02x_Accelerator_Catalog'!$B$2:$B$11,0)),"purpose_or_unbenchmarked")</f>
        <v/>
      </c>
      <c r="H551" s="28">
        <f>SUMIFS('02c_AI_CSP_Normalized'!$N$2:$N$305,'02c_AI_CSP_Normalized'!$B$2:$B$305,B551,'02c_AI_CSP_Normalized'!$C$2:$C$305,C551,'02c_AI_CSP_Normalized'!$D$2:$D$305,D551,'02c_AI_CSP_Normalized'!$E$2:$E$305,E551)</f>
        <v/>
      </c>
      <c r="I551" s="6">
        <f>SUMIFS('02b_CSP_Accelerator_Mix'!$H$2:$H$573,'02b_CSP_Accelerator_Mix'!$B$2:$B$573,B551,'02b_CSP_Accelerator_Mix'!$C$2:$C$573,E551,'02b_CSP_Accelerator_Mix'!$D$2:$D$573,D551,'02b_CSP_Accelerator_Mix'!$E$2:$E$573,F551)</f>
        <v/>
      </c>
      <c r="J551" s="28">
        <f>H551*I551</f>
        <v/>
      </c>
      <c r="K551" s="8">
        <f>IFERROR(INDEX('02x_Accelerator_Catalog'!$D$2:$D$11,MATCH(F551,'02x_Accelerator_Catalog'!$B$2:$B$11,0)),"")</f>
        <v/>
      </c>
      <c r="L551" s="7">
        <f>IF(K551&gt;0,J551*1000/K551,"")</f>
        <v/>
      </c>
      <c r="M551" s="5" t="inlineStr">
        <is>
          <t>legacy_company_gpu_mix_fallback</t>
        </is>
      </c>
      <c r="N551" s="5" t="inlineStr">
        <is>
          <t>Extensible long-format output: add a new accelerator row in 02b and map it in 02x_Accelerator_Catalog to extend this table.</t>
        </is>
      </c>
    </row>
    <row r="552">
      <c r="A552" s="5">
        <f>B552&amp;"|"&amp;C552&amp;"|"&amp;D552&amp;"|"&amp;E552&amp;"|"&amp;F552</f>
        <v/>
      </c>
      <c r="B552" s="5" t="inlineStr">
        <is>
          <t>Bear</t>
        </is>
      </c>
      <c r="C552" s="5" t="inlineStr">
        <is>
          <t>Tencent</t>
        </is>
      </c>
      <c r="D552" s="5" t="n">
        <v>2027</v>
      </c>
      <c r="E552" s="5" t="inlineStr">
        <is>
          <t>Legacy company envelope - Tencent</t>
        </is>
      </c>
      <c r="F552" s="5" t="inlineStr">
        <is>
          <t>B200/B300 class</t>
        </is>
      </c>
      <c r="G552" s="5">
        <f>IFERROR(INDEX('02x_Accelerator_Catalog'!$C$2:$C$11,MATCH(F552,'02x_Accelerator_Catalog'!$B$2:$B$11,0)),"purpose_or_unbenchmarked")</f>
        <v/>
      </c>
      <c r="H552" s="28">
        <f>SUMIFS('02c_AI_CSP_Normalized'!$N$2:$N$305,'02c_AI_CSP_Normalized'!$B$2:$B$305,B552,'02c_AI_CSP_Normalized'!$C$2:$C$305,C552,'02c_AI_CSP_Normalized'!$D$2:$D$305,D552,'02c_AI_CSP_Normalized'!$E$2:$E$305,E552)</f>
        <v/>
      </c>
      <c r="I552" s="6">
        <f>SUMIFS('02b_CSP_Accelerator_Mix'!$H$2:$H$573,'02b_CSP_Accelerator_Mix'!$B$2:$B$573,B552,'02b_CSP_Accelerator_Mix'!$C$2:$C$573,E552,'02b_CSP_Accelerator_Mix'!$D$2:$D$573,D552,'02b_CSP_Accelerator_Mix'!$E$2:$E$573,F552)</f>
        <v/>
      </c>
      <c r="J552" s="28">
        <f>H552*I552</f>
        <v/>
      </c>
      <c r="K552" s="8">
        <f>IFERROR(INDEX('02x_Accelerator_Catalog'!$D$2:$D$11,MATCH(F552,'02x_Accelerator_Catalog'!$B$2:$B$11,0)),"")</f>
        <v/>
      </c>
      <c r="L552" s="7">
        <f>IF(K552&gt;0,J552*1000/K552,"")</f>
        <v/>
      </c>
      <c r="M552" s="5" t="inlineStr">
        <is>
          <t>legacy_company_gpu_mix_fallback</t>
        </is>
      </c>
      <c r="N552" s="5" t="inlineStr">
        <is>
          <t>Extensible long-format output: add a new accelerator row in 02b and map it in 02x_Accelerator_Catalog to extend this table.</t>
        </is>
      </c>
    </row>
    <row r="553">
      <c r="A553" s="5">
        <f>B553&amp;"|"&amp;C553&amp;"|"&amp;D553&amp;"|"&amp;E553&amp;"|"&amp;F553</f>
        <v/>
      </c>
      <c r="B553" s="5" t="inlineStr">
        <is>
          <t>Bear</t>
        </is>
      </c>
      <c r="C553" s="5" t="inlineStr">
        <is>
          <t>Tencent</t>
        </is>
      </c>
      <c r="D553" s="5" t="n">
        <v>2027</v>
      </c>
      <c r="E553" s="5" t="inlineStr">
        <is>
          <t>Legacy company envelope - Tencent</t>
        </is>
      </c>
      <c r="F553" s="5" t="inlineStr">
        <is>
          <t>GB200/GB300 class</t>
        </is>
      </c>
      <c r="G553" s="5">
        <f>IFERROR(INDEX('02x_Accelerator_Catalog'!$C$2:$C$11,MATCH(F553,'02x_Accelerator_Catalog'!$B$2:$B$11,0)),"purpose_or_unbenchmarked")</f>
        <v/>
      </c>
      <c r="H553" s="28">
        <f>SUMIFS('02c_AI_CSP_Normalized'!$N$2:$N$305,'02c_AI_CSP_Normalized'!$B$2:$B$305,B553,'02c_AI_CSP_Normalized'!$C$2:$C$305,C553,'02c_AI_CSP_Normalized'!$D$2:$D$305,D553,'02c_AI_CSP_Normalized'!$E$2:$E$305,E553)</f>
        <v/>
      </c>
      <c r="I553" s="6">
        <f>SUMIFS('02b_CSP_Accelerator_Mix'!$H$2:$H$573,'02b_CSP_Accelerator_Mix'!$B$2:$B$573,B553,'02b_CSP_Accelerator_Mix'!$C$2:$C$573,E553,'02b_CSP_Accelerator_Mix'!$D$2:$D$573,D553,'02b_CSP_Accelerator_Mix'!$E$2:$E$573,F553)</f>
        <v/>
      </c>
      <c r="J553" s="28">
        <f>H553*I553</f>
        <v/>
      </c>
      <c r="K553" s="8">
        <f>IFERROR(INDEX('02x_Accelerator_Catalog'!$D$2:$D$11,MATCH(F553,'02x_Accelerator_Catalog'!$B$2:$B$11,0)),"")</f>
        <v/>
      </c>
      <c r="L553" s="7">
        <f>IF(K553&gt;0,J553*1000/K553,"")</f>
        <v/>
      </c>
      <c r="M553" s="5" t="inlineStr">
        <is>
          <t>legacy_company_gpu_mix_fallback</t>
        </is>
      </c>
      <c r="N553" s="5" t="inlineStr">
        <is>
          <t>Extensible long-format output: add a new accelerator row in 02b and map it in 02x_Accelerator_Catalog to extend this table.</t>
        </is>
      </c>
    </row>
    <row r="554">
      <c r="A554" s="5">
        <f>B554&amp;"|"&amp;C554&amp;"|"&amp;D554&amp;"|"&amp;E554&amp;"|"&amp;F554</f>
        <v/>
      </c>
      <c r="B554" s="5" t="inlineStr">
        <is>
          <t>Bear</t>
        </is>
      </c>
      <c r="C554" s="5" t="inlineStr">
        <is>
          <t>Tencent</t>
        </is>
      </c>
      <c r="D554" s="5" t="n">
        <v>2027</v>
      </c>
      <c r="E554" s="5" t="inlineStr">
        <is>
          <t>Legacy company envelope - Tencent</t>
        </is>
      </c>
      <c r="F554" s="5" t="inlineStr">
        <is>
          <t>H100/H200/A100 class</t>
        </is>
      </c>
      <c r="G554" s="5">
        <f>IFERROR(INDEX('02x_Accelerator_Catalog'!$C$2:$C$11,MATCH(F554,'02x_Accelerator_Catalog'!$B$2:$B$11,0)),"purpose_or_unbenchmarked")</f>
        <v/>
      </c>
      <c r="H554" s="28">
        <f>SUMIFS('02c_AI_CSP_Normalized'!$N$2:$N$305,'02c_AI_CSP_Normalized'!$B$2:$B$305,B554,'02c_AI_CSP_Normalized'!$C$2:$C$305,C554,'02c_AI_CSP_Normalized'!$D$2:$D$305,D554,'02c_AI_CSP_Normalized'!$E$2:$E$305,E554)</f>
        <v/>
      </c>
      <c r="I554" s="6">
        <f>SUMIFS('02b_CSP_Accelerator_Mix'!$H$2:$H$573,'02b_CSP_Accelerator_Mix'!$B$2:$B$573,B554,'02b_CSP_Accelerator_Mix'!$C$2:$C$573,E554,'02b_CSP_Accelerator_Mix'!$D$2:$D$573,D554,'02b_CSP_Accelerator_Mix'!$E$2:$E$573,F554)</f>
        <v/>
      </c>
      <c r="J554" s="28">
        <f>H554*I554</f>
        <v/>
      </c>
      <c r="K554" s="8">
        <f>IFERROR(INDEX('02x_Accelerator_Catalog'!$D$2:$D$11,MATCH(F554,'02x_Accelerator_Catalog'!$B$2:$B$11,0)),"")</f>
        <v/>
      </c>
      <c r="L554" s="7">
        <f>IF(K554&gt;0,J554*1000/K554,"")</f>
        <v/>
      </c>
      <c r="M554" s="5" t="inlineStr">
        <is>
          <t>legacy_company_gpu_mix_fallback</t>
        </is>
      </c>
      <c r="N554" s="5" t="inlineStr">
        <is>
          <t>Extensible long-format output: add a new accelerator row in 02b and map it in 02x_Accelerator_Catalog to extend this table.</t>
        </is>
      </c>
    </row>
    <row r="555">
      <c r="A555" s="5">
        <f>B555&amp;"|"&amp;C555&amp;"|"&amp;D555&amp;"|"&amp;E555&amp;"|"&amp;F555</f>
        <v/>
      </c>
      <c r="B555" s="5" t="inlineStr">
        <is>
          <t>Bear</t>
        </is>
      </c>
      <c r="C555" s="5" t="inlineStr">
        <is>
          <t>Tencent</t>
        </is>
      </c>
      <c r="D555" s="5" t="n">
        <v>2028</v>
      </c>
      <c r="E555" s="5" t="inlineStr">
        <is>
          <t>Legacy company envelope - Tencent</t>
        </is>
      </c>
      <c r="F555" s="5" t="inlineStr">
        <is>
          <t>B200/B300 class</t>
        </is>
      </c>
      <c r="G555" s="5">
        <f>IFERROR(INDEX('02x_Accelerator_Catalog'!$C$2:$C$11,MATCH(F555,'02x_Accelerator_Catalog'!$B$2:$B$11,0)),"purpose_or_unbenchmarked")</f>
        <v/>
      </c>
      <c r="H555" s="28">
        <f>SUMIFS('02c_AI_CSP_Normalized'!$N$2:$N$305,'02c_AI_CSP_Normalized'!$B$2:$B$305,B555,'02c_AI_CSP_Normalized'!$C$2:$C$305,C555,'02c_AI_CSP_Normalized'!$D$2:$D$305,D555,'02c_AI_CSP_Normalized'!$E$2:$E$305,E555)</f>
        <v/>
      </c>
      <c r="I555" s="6">
        <f>SUMIFS('02b_CSP_Accelerator_Mix'!$H$2:$H$573,'02b_CSP_Accelerator_Mix'!$B$2:$B$573,B555,'02b_CSP_Accelerator_Mix'!$C$2:$C$573,E555,'02b_CSP_Accelerator_Mix'!$D$2:$D$573,D555,'02b_CSP_Accelerator_Mix'!$E$2:$E$573,F555)</f>
        <v/>
      </c>
      <c r="J555" s="28">
        <f>H555*I555</f>
        <v/>
      </c>
      <c r="K555" s="8">
        <f>IFERROR(INDEX('02x_Accelerator_Catalog'!$D$2:$D$11,MATCH(F555,'02x_Accelerator_Catalog'!$B$2:$B$11,0)),"")</f>
        <v/>
      </c>
      <c r="L555" s="7">
        <f>IF(K555&gt;0,J555*1000/K555,"")</f>
        <v/>
      </c>
      <c r="M555" s="5" t="inlineStr">
        <is>
          <t>legacy_company_gpu_mix_fallback</t>
        </is>
      </c>
      <c r="N555" s="5" t="inlineStr">
        <is>
          <t>Extensible long-format output: add a new accelerator row in 02b and map it in 02x_Accelerator_Catalog to extend this table.</t>
        </is>
      </c>
    </row>
    <row r="556">
      <c r="A556" s="5">
        <f>B556&amp;"|"&amp;C556&amp;"|"&amp;D556&amp;"|"&amp;E556&amp;"|"&amp;F556</f>
        <v/>
      </c>
      <c r="B556" s="5" t="inlineStr">
        <is>
          <t>Bear</t>
        </is>
      </c>
      <c r="C556" s="5" t="inlineStr">
        <is>
          <t>Tencent</t>
        </is>
      </c>
      <c r="D556" s="5" t="n">
        <v>2028</v>
      </c>
      <c r="E556" s="5" t="inlineStr">
        <is>
          <t>Legacy company envelope - Tencent</t>
        </is>
      </c>
      <c r="F556" s="5" t="inlineStr">
        <is>
          <t>GB200/GB300 class</t>
        </is>
      </c>
      <c r="G556" s="5">
        <f>IFERROR(INDEX('02x_Accelerator_Catalog'!$C$2:$C$11,MATCH(F556,'02x_Accelerator_Catalog'!$B$2:$B$11,0)),"purpose_or_unbenchmarked")</f>
        <v/>
      </c>
      <c r="H556" s="28">
        <f>SUMIFS('02c_AI_CSP_Normalized'!$N$2:$N$305,'02c_AI_CSP_Normalized'!$B$2:$B$305,B556,'02c_AI_CSP_Normalized'!$C$2:$C$305,C556,'02c_AI_CSP_Normalized'!$D$2:$D$305,D556,'02c_AI_CSP_Normalized'!$E$2:$E$305,E556)</f>
        <v/>
      </c>
      <c r="I556" s="6">
        <f>SUMIFS('02b_CSP_Accelerator_Mix'!$H$2:$H$573,'02b_CSP_Accelerator_Mix'!$B$2:$B$573,B556,'02b_CSP_Accelerator_Mix'!$C$2:$C$573,E556,'02b_CSP_Accelerator_Mix'!$D$2:$D$573,D556,'02b_CSP_Accelerator_Mix'!$E$2:$E$573,F556)</f>
        <v/>
      </c>
      <c r="J556" s="28">
        <f>H556*I556</f>
        <v/>
      </c>
      <c r="K556" s="8">
        <f>IFERROR(INDEX('02x_Accelerator_Catalog'!$D$2:$D$11,MATCH(F556,'02x_Accelerator_Catalog'!$B$2:$B$11,0)),"")</f>
        <v/>
      </c>
      <c r="L556" s="7">
        <f>IF(K556&gt;0,J556*1000/K556,"")</f>
        <v/>
      </c>
      <c r="M556" s="5" t="inlineStr">
        <is>
          <t>legacy_company_gpu_mix_fallback</t>
        </is>
      </c>
      <c r="N556" s="5" t="inlineStr">
        <is>
          <t>Extensible long-format output: add a new accelerator row in 02b and map it in 02x_Accelerator_Catalog to extend this table.</t>
        </is>
      </c>
    </row>
    <row r="557">
      <c r="A557" s="5">
        <f>B557&amp;"|"&amp;C557&amp;"|"&amp;D557&amp;"|"&amp;E557&amp;"|"&amp;F557</f>
        <v/>
      </c>
      <c r="B557" s="5" t="inlineStr">
        <is>
          <t>Bear</t>
        </is>
      </c>
      <c r="C557" s="5" t="inlineStr">
        <is>
          <t>Tencent</t>
        </is>
      </c>
      <c r="D557" s="5" t="n">
        <v>2028</v>
      </c>
      <c r="E557" s="5" t="inlineStr">
        <is>
          <t>Legacy company envelope - Tencent</t>
        </is>
      </c>
      <c r="F557" s="5" t="inlineStr">
        <is>
          <t>H100/H200/A100 class</t>
        </is>
      </c>
      <c r="G557" s="5">
        <f>IFERROR(INDEX('02x_Accelerator_Catalog'!$C$2:$C$11,MATCH(F557,'02x_Accelerator_Catalog'!$B$2:$B$11,0)),"purpose_or_unbenchmarked")</f>
        <v/>
      </c>
      <c r="H557" s="28">
        <f>SUMIFS('02c_AI_CSP_Normalized'!$N$2:$N$305,'02c_AI_CSP_Normalized'!$B$2:$B$305,B557,'02c_AI_CSP_Normalized'!$C$2:$C$305,C557,'02c_AI_CSP_Normalized'!$D$2:$D$305,D557,'02c_AI_CSP_Normalized'!$E$2:$E$305,E557)</f>
        <v/>
      </c>
      <c r="I557" s="6">
        <f>SUMIFS('02b_CSP_Accelerator_Mix'!$H$2:$H$573,'02b_CSP_Accelerator_Mix'!$B$2:$B$573,B557,'02b_CSP_Accelerator_Mix'!$C$2:$C$573,E557,'02b_CSP_Accelerator_Mix'!$D$2:$D$573,D557,'02b_CSP_Accelerator_Mix'!$E$2:$E$573,F557)</f>
        <v/>
      </c>
      <c r="J557" s="28">
        <f>H557*I557</f>
        <v/>
      </c>
      <c r="K557" s="8">
        <f>IFERROR(INDEX('02x_Accelerator_Catalog'!$D$2:$D$11,MATCH(F557,'02x_Accelerator_Catalog'!$B$2:$B$11,0)),"")</f>
        <v/>
      </c>
      <c r="L557" s="7">
        <f>IF(K557&gt;0,J557*1000/K557,"")</f>
        <v/>
      </c>
      <c r="M557" s="5" t="inlineStr">
        <is>
          <t>legacy_company_gpu_mix_fallback</t>
        </is>
      </c>
      <c r="N557" s="5" t="inlineStr">
        <is>
          <t>Extensible long-format output: add a new accelerator row in 02b and map it in 02x_Accelerator_Catalog to extend this table.</t>
        </is>
      </c>
    </row>
    <row r="558">
      <c r="A558" s="5">
        <f>B558&amp;"|"&amp;C558&amp;"|"&amp;D558&amp;"|"&amp;E558&amp;"|"&amp;F558</f>
        <v/>
      </c>
      <c r="B558" s="5" t="inlineStr">
        <is>
          <t>Bear</t>
        </is>
      </c>
      <c r="C558" s="5" t="inlineStr">
        <is>
          <t>Tencent</t>
        </is>
      </c>
      <c r="D558" s="5" t="n">
        <v>2029</v>
      </c>
      <c r="E558" s="5" t="inlineStr">
        <is>
          <t>Legacy company envelope - Tencent</t>
        </is>
      </c>
      <c r="F558" s="5" t="inlineStr">
        <is>
          <t>B200/B300 class</t>
        </is>
      </c>
      <c r="G558" s="5">
        <f>IFERROR(INDEX('02x_Accelerator_Catalog'!$C$2:$C$11,MATCH(F558,'02x_Accelerator_Catalog'!$B$2:$B$11,0)),"purpose_or_unbenchmarked")</f>
        <v/>
      </c>
      <c r="H558" s="28">
        <f>SUMIFS('02c_AI_CSP_Normalized'!$N$2:$N$305,'02c_AI_CSP_Normalized'!$B$2:$B$305,B558,'02c_AI_CSP_Normalized'!$C$2:$C$305,C558,'02c_AI_CSP_Normalized'!$D$2:$D$305,D558,'02c_AI_CSP_Normalized'!$E$2:$E$305,E558)</f>
        <v/>
      </c>
      <c r="I558" s="6">
        <f>SUMIFS('02b_CSP_Accelerator_Mix'!$H$2:$H$573,'02b_CSP_Accelerator_Mix'!$B$2:$B$573,B558,'02b_CSP_Accelerator_Mix'!$C$2:$C$573,E558,'02b_CSP_Accelerator_Mix'!$D$2:$D$573,D558,'02b_CSP_Accelerator_Mix'!$E$2:$E$573,F558)</f>
        <v/>
      </c>
      <c r="J558" s="28">
        <f>H558*I558</f>
        <v/>
      </c>
      <c r="K558" s="8">
        <f>IFERROR(INDEX('02x_Accelerator_Catalog'!$D$2:$D$11,MATCH(F558,'02x_Accelerator_Catalog'!$B$2:$B$11,0)),"")</f>
        <v/>
      </c>
      <c r="L558" s="7">
        <f>IF(K558&gt;0,J558*1000/K558,"")</f>
        <v/>
      </c>
      <c r="M558" s="5" t="inlineStr">
        <is>
          <t>legacy_company_gpu_mix_fallback</t>
        </is>
      </c>
      <c r="N558" s="5" t="inlineStr">
        <is>
          <t>Extensible long-format output: add a new accelerator row in 02b and map it in 02x_Accelerator_Catalog to extend this table.</t>
        </is>
      </c>
    </row>
    <row r="559">
      <c r="A559" s="5">
        <f>B559&amp;"|"&amp;C559&amp;"|"&amp;D559&amp;"|"&amp;E559&amp;"|"&amp;F559</f>
        <v/>
      </c>
      <c r="B559" s="5" t="inlineStr">
        <is>
          <t>Bear</t>
        </is>
      </c>
      <c r="C559" s="5" t="inlineStr">
        <is>
          <t>Tencent</t>
        </is>
      </c>
      <c r="D559" s="5" t="n">
        <v>2029</v>
      </c>
      <c r="E559" s="5" t="inlineStr">
        <is>
          <t>Legacy company envelope - Tencent</t>
        </is>
      </c>
      <c r="F559" s="5" t="inlineStr">
        <is>
          <t>GB200/GB300 class</t>
        </is>
      </c>
      <c r="G559" s="5">
        <f>IFERROR(INDEX('02x_Accelerator_Catalog'!$C$2:$C$11,MATCH(F559,'02x_Accelerator_Catalog'!$B$2:$B$11,0)),"purpose_or_unbenchmarked")</f>
        <v/>
      </c>
      <c r="H559" s="28">
        <f>SUMIFS('02c_AI_CSP_Normalized'!$N$2:$N$305,'02c_AI_CSP_Normalized'!$B$2:$B$305,B559,'02c_AI_CSP_Normalized'!$C$2:$C$305,C559,'02c_AI_CSP_Normalized'!$D$2:$D$305,D559,'02c_AI_CSP_Normalized'!$E$2:$E$305,E559)</f>
        <v/>
      </c>
      <c r="I559" s="6">
        <f>SUMIFS('02b_CSP_Accelerator_Mix'!$H$2:$H$573,'02b_CSP_Accelerator_Mix'!$B$2:$B$573,B559,'02b_CSP_Accelerator_Mix'!$C$2:$C$573,E559,'02b_CSP_Accelerator_Mix'!$D$2:$D$573,D559,'02b_CSP_Accelerator_Mix'!$E$2:$E$573,F559)</f>
        <v/>
      </c>
      <c r="J559" s="28">
        <f>H559*I559</f>
        <v/>
      </c>
      <c r="K559" s="8">
        <f>IFERROR(INDEX('02x_Accelerator_Catalog'!$D$2:$D$11,MATCH(F559,'02x_Accelerator_Catalog'!$B$2:$B$11,0)),"")</f>
        <v/>
      </c>
      <c r="L559" s="7">
        <f>IF(K559&gt;0,J559*1000/K559,"")</f>
        <v/>
      </c>
      <c r="M559" s="5" t="inlineStr">
        <is>
          <t>legacy_company_gpu_mix_fallback</t>
        </is>
      </c>
      <c r="N559" s="5" t="inlineStr">
        <is>
          <t>Extensible long-format output: add a new accelerator row in 02b and map it in 02x_Accelerator_Catalog to extend this table.</t>
        </is>
      </c>
    </row>
    <row r="560">
      <c r="A560" s="5">
        <f>B560&amp;"|"&amp;C560&amp;"|"&amp;D560&amp;"|"&amp;E560&amp;"|"&amp;F560</f>
        <v/>
      </c>
      <c r="B560" s="5" t="inlineStr">
        <is>
          <t>Bear</t>
        </is>
      </c>
      <c r="C560" s="5" t="inlineStr">
        <is>
          <t>Tencent</t>
        </is>
      </c>
      <c r="D560" s="5" t="n">
        <v>2029</v>
      </c>
      <c r="E560" s="5" t="inlineStr">
        <is>
          <t>Legacy company envelope - Tencent</t>
        </is>
      </c>
      <c r="F560" s="5" t="inlineStr">
        <is>
          <t>H100/H200/A100 class</t>
        </is>
      </c>
      <c r="G560" s="5">
        <f>IFERROR(INDEX('02x_Accelerator_Catalog'!$C$2:$C$11,MATCH(F560,'02x_Accelerator_Catalog'!$B$2:$B$11,0)),"purpose_or_unbenchmarked")</f>
        <v/>
      </c>
      <c r="H560" s="28">
        <f>SUMIFS('02c_AI_CSP_Normalized'!$N$2:$N$305,'02c_AI_CSP_Normalized'!$B$2:$B$305,B560,'02c_AI_CSP_Normalized'!$C$2:$C$305,C560,'02c_AI_CSP_Normalized'!$D$2:$D$305,D560,'02c_AI_CSP_Normalized'!$E$2:$E$305,E560)</f>
        <v/>
      </c>
      <c r="I560" s="6">
        <f>SUMIFS('02b_CSP_Accelerator_Mix'!$H$2:$H$573,'02b_CSP_Accelerator_Mix'!$B$2:$B$573,B560,'02b_CSP_Accelerator_Mix'!$C$2:$C$573,E560,'02b_CSP_Accelerator_Mix'!$D$2:$D$573,D560,'02b_CSP_Accelerator_Mix'!$E$2:$E$573,F560)</f>
        <v/>
      </c>
      <c r="J560" s="28">
        <f>H560*I560</f>
        <v/>
      </c>
      <c r="K560" s="8">
        <f>IFERROR(INDEX('02x_Accelerator_Catalog'!$D$2:$D$11,MATCH(F560,'02x_Accelerator_Catalog'!$B$2:$B$11,0)),"")</f>
        <v/>
      </c>
      <c r="L560" s="7">
        <f>IF(K560&gt;0,J560*1000/K560,"")</f>
        <v/>
      </c>
      <c r="M560" s="5" t="inlineStr">
        <is>
          <t>legacy_company_gpu_mix_fallback</t>
        </is>
      </c>
      <c r="N560" s="5" t="inlineStr">
        <is>
          <t>Extensible long-format output: add a new accelerator row in 02b and map it in 02x_Accelerator_Catalog to extend this table.</t>
        </is>
      </c>
    </row>
    <row r="561">
      <c r="A561" s="5">
        <f>B561&amp;"|"&amp;C561&amp;"|"&amp;D561&amp;"|"&amp;E561&amp;"|"&amp;F561</f>
        <v/>
      </c>
      <c r="B561" s="5" t="inlineStr">
        <is>
          <t>Bear</t>
        </is>
      </c>
      <c r="C561" s="5" t="inlineStr">
        <is>
          <t>Tencent</t>
        </is>
      </c>
      <c r="D561" s="5" t="n">
        <v>2030</v>
      </c>
      <c r="E561" s="5" t="inlineStr">
        <is>
          <t>Legacy company envelope - Tencent</t>
        </is>
      </c>
      <c r="F561" s="5" t="inlineStr">
        <is>
          <t>B200/B300 class</t>
        </is>
      </c>
      <c r="G561" s="5">
        <f>IFERROR(INDEX('02x_Accelerator_Catalog'!$C$2:$C$11,MATCH(F561,'02x_Accelerator_Catalog'!$B$2:$B$11,0)),"purpose_or_unbenchmarked")</f>
        <v/>
      </c>
      <c r="H561" s="28">
        <f>SUMIFS('02c_AI_CSP_Normalized'!$N$2:$N$305,'02c_AI_CSP_Normalized'!$B$2:$B$305,B561,'02c_AI_CSP_Normalized'!$C$2:$C$305,C561,'02c_AI_CSP_Normalized'!$D$2:$D$305,D561,'02c_AI_CSP_Normalized'!$E$2:$E$305,E561)</f>
        <v/>
      </c>
      <c r="I561" s="6">
        <f>SUMIFS('02b_CSP_Accelerator_Mix'!$H$2:$H$573,'02b_CSP_Accelerator_Mix'!$B$2:$B$573,B561,'02b_CSP_Accelerator_Mix'!$C$2:$C$573,E561,'02b_CSP_Accelerator_Mix'!$D$2:$D$573,D561,'02b_CSP_Accelerator_Mix'!$E$2:$E$573,F561)</f>
        <v/>
      </c>
      <c r="J561" s="28">
        <f>H561*I561</f>
        <v/>
      </c>
      <c r="K561" s="8">
        <f>IFERROR(INDEX('02x_Accelerator_Catalog'!$D$2:$D$11,MATCH(F561,'02x_Accelerator_Catalog'!$B$2:$B$11,0)),"")</f>
        <v/>
      </c>
      <c r="L561" s="7">
        <f>IF(K561&gt;0,J561*1000/K561,"")</f>
        <v/>
      </c>
      <c r="M561" s="5" t="inlineStr">
        <is>
          <t>legacy_company_gpu_mix_fallback</t>
        </is>
      </c>
      <c r="N561" s="5" t="inlineStr">
        <is>
          <t>Extensible long-format output: add a new accelerator row in 02b and map it in 02x_Accelerator_Catalog to extend this table.</t>
        </is>
      </c>
    </row>
    <row r="562">
      <c r="A562" s="5">
        <f>B562&amp;"|"&amp;C562&amp;"|"&amp;D562&amp;"|"&amp;E562&amp;"|"&amp;F562</f>
        <v/>
      </c>
      <c r="B562" s="5" t="inlineStr">
        <is>
          <t>Bear</t>
        </is>
      </c>
      <c r="C562" s="5" t="inlineStr">
        <is>
          <t>Tencent</t>
        </is>
      </c>
      <c r="D562" s="5" t="n">
        <v>2030</v>
      </c>
      <c r="E562" s="5" t="inlineStr">
        <is>
          <t>Legacy company envelope - Tencent</t>
        </is>
      </c>
      <c r="F562" s="5" t="inlineStr">
        <is>
          <t>GB200/GB300 class</t>
        </is>
      </c>
      <c r="G562" s="5">
        <f>IFERROR(INDEX('02x_Accelerator_Catalog'!$C$2:$C$11,MATCH(F562,'02x_Accelerator_Catalog'!$B$2:$B$11,0)),"purpose_or_unbenchmarked")</f>
        <v/>
      </c>
      <c r="H562" s="28">
        <f>SUMIFS('02c_AI_CSP_Normalized'!$N$2:$N$305,'02c_AI_CSP_Normalized'!$B$2:$B$305,B562,'02c_AI_CSP_Normalized'!$C$2:$C$305,C562,'02c_AI_CSP_Normalized'!$D$2:$D$305,D562,'02c_AI_CSP_Normalized'!$E$2:$E$305,E562)</f>
        <v/>
      </c>
      <c r="I562" s="6">
        <f>SUMIFS('02b_CSP_Accelerator_Mix'!$H$2:$H$573,'02b_CSP_Accelerator_Mix'!$B$2:$B$573,B562,'02b_CSP_Accelerator_Mix'!$C$2:$C$573,E562,'02b_CSP_Accelerator_Mix'!$D$2:$D$573,D562,'02b_CSP_Accelerator_Mix'!$E$2:$E$573,F562)</f>
        <v/>
      </c>
      <c r="J562" s="28">
        <f>H562*I562</f>
        <v/>
      </c>
      <c r="K562" s="8">
        <f>IFERROR(INDEX('02x_Accelerator_Catalog'!$D$2:$D$11,MATCH(F562,'02x_Accelerator_Catalog'!$B$2:$B$11,0)),"")</f>
        <v/>
      </c>
      <c r="L562" s="7">
        <f>IF(K562&gt;0,J562*1000/K562,"")</f>
        <v/>
      </c>
      <c r="M562" s="5" t="inlineStr">
        <is>
          <t>legacy_company_gpu_mix_fallback</t>
        </is>
      </c>
      <c r="N562" s="5" t="inlineStr">
        <is>
          <t>Extensible long-format output: add a new accelerator row in 02b and map it in 02x_Accelerator_Catalog to extend this table.</t>
        </is>
      </c>
    </row>
    <row r="563">
      <c r="A563" s="5">
        <f>B563&amp;"|"&amp;C563&amp;"|"&amp;D563&amp;"|"&amp;E563&amp;"|"&amp;F563</f>
        <v/>
      </c>
      <c r="B563" s="5" t="inlineStr">
        <is>
          <t>Bear</t>
        </is>
      </c>
      <c r="C563" s="5" t="inlineStr">
        <is>
          <t>Tencent</t>
        </is>
      </c>
      <c r="D563" s="5" t="n">
        <v>2030</v>
      </c>
      <c r="E563" s="5" t="inlineStr">
        <is>
          <t>Legacy company envelope - Tencent</t>
        </is>
      </c>
      <c r="F563" s="5" t="inlineStr">
        <is>
          <t>H100/H200/A100 class</t>
        </is>
      </c>
      <c r="G563" s="5">
        <f>IFERROR(INDEX('02x_Accelerator_Catalog'!$C$2:$C$11,MATCH(F563,'02x_Accelerator_Catalog'!$B$2:$B$11,0)),"purpose_or_unbenchmarked")</f>
        <v/>
      </c>
      <c r="H563" s="28">
        <f>SUMIFS('02c_AI_CSP_Normalized'!$N$2:$N$305,'02c_AI_CSP_Normalized'!$B$2:$B$305,B563,'02c_AI_CSP_Normalized'!$C$2:$C$305,C563,'02c_AI_CSP_Normalized'!$D$2:$D$305,D563,'02c_AI_CSP_Normalized'!$E$2:$E$305,E563)</f>
        <v/>
      </c>
      <c r="I563" s="6">
        <f>SUMIFS('02b_CSP_Accelerator_Mix'!$H$2:$H$573,'02b_CSP_Accelerator_Mix'!$B$2:$B$573,B563,'02b_CSP_Accelerator_Mix'!$C$2:$C$573,E563,'02b_CSP_Accelerator_Mix'!$D$2:$D$573,D563,'02b_CSP_Accelerator_Mix'!$E$2:$E$573,F563)</f>
        <v/>
      </c>
      <c r="J563" s="28">
        <f>H563*I563</f>
        <v/>
      </c>
      <c r="K563" s="8">
        <f>IFERROR(INDEX('02x_Accelerator_Catalog'!$D$2:$D$11,MATCH(F563,'02x_Accelerator_Catalog'!$B$2:$B$11,0)),"")</f>
        <v/>
      </c>
      <c r="L563" s="7">
        <f>IF(K563&gt;0,J563*1000/K563,"")</f>
        <v/>
      </c>
      <c r="M563" s="5" t="inlineStr">
        <is>
          <t>legacy_company_gpu_mix_fallback</t>
        </is>
      </c>
      <c r="N563" s="5" t="inlineStr">
        <is>
          <t>Extensible long-format output: add a new accelerator row in 02b and map it in 02x_Accelerator_Catalog to extend this table.</t>
        </is>
      </c>
    </row>
    <row r="564">
      <c r="A564" s="5">
        <f>B564&amp;"|"&amp;C564&amp;"|"&amp;D564&amp;"|"&amp;E564&amp;"|"&amp;F564</f>
        <v/>
      </c>
      <c r="B564" s="5" t="inlineStr">
        <is>
          <t>Base</t>
        </is>
      </c>
      <c r="C564" s="5" t="inlineStr">
        <is>
          <t>DeepSeek</t>
        </is>
      </c>
      <c r="D564" s="5" t="n">
        <v>2026</v>
      </c>
      <c r="E564" s="5" t="inlineStr">
        <is>
          <t>Legacy company envelope - DeepSeek</t>
        </is>
      </c>
      <c r="F564" s="5" t="inlineStr">
        <is>
          <t>B200/B300 class</t>
        </is>
      </c>
      <c r="G564" s="5">
        <f>IFERROR(INDEX('02x_Accelerator_Catalog'!$C$2:$C$11,MATCH(F564,'02x_Accelerator_Catalog'!$B$2:$B$11,0)),"purpose_or_unbenchmarked")</f>
        <v/>
      </c>
      <c r="H564" s="28">
        <f>SUMIFS('02c_AI_CSP_Normalized'!$N$2:$N$305,'02c_AI_CSP_Normalized'!$B$2:$B$305,B564,'02c_AI_CSP_Normalized'!$C$2:$C$305,C564,'02c_AI_CSP_Normalized'!$D$2:$D$305,D564,'02c_AI_CSP_Normalized'!$E$2:$E$305,E564)</f>
        <v/>
      </c>
      <c r="I564" s="6">
        <f>SUMIFS('02b_CSP_Accelerator_Mix'!$H$2:$H$573,'02b_CSP_Accelerator_Mix'!$B$2:$B$573,B564,'02b_CSP_Accelerator_Mix'!$C$2:$C$573,E564,'02b_CSP_Accelerator_Mix'!$D$2:$D$573,D564,'02b_CSP_Accelerator_Mix'!$E$2:$E$573,F564)</f>
        <v/>
      </c>
      <c r="J564" s="28">
        <f>H564*I564</f>
        <v/>
      </c>
      <c r="K564" s="8">
        <f>IFERROR(INDEX('02x_Accelerator_Catalog'!$D$2:$D$11,MATCH(F564,'02x_Accelerator_Catalog'!$B$2:$B$11,0)),"")</f>
        <v/>
      </c>
      <c r="L564" s="7">
        <f>IF(K564&gt;0,J564*1000/K564,"")</f>
        <v/>
      </c>
      <c r="M564" s="5" t="inlineStr">
        <is>
          <t>legacy_company_gpu_mix_fallback</t>
        </is>
      </c>
      <c r="N564" s="5" t="inlineStr">
        <is>
          <t>Extensible long-format output: add a new accelerator row in 02b and map it in 02x_Accelerator_Catalog to extend this table.</t>
        </is>
      </c>
    </row>
    <row r="565">
      <c r="A565" s="5">
        <f>B565&amp;"|"&amp;C565&amp;"|"&amp;D565&amp;"|"&amp;E565&amp;"|"&amp;F565</f>
        <v/>
      </c>
      <c r="B565" s="5" t="inlineStr">
        <is>
          <t>Base</t>
        </is>
      </c>
      <c r="C565" s="5" t="inlineStr">
        <is>
          <t>DeepSeek</t>
        </is>
      </c>
      <c r="D565" s="5" t="n">
        <v>2026</v>
      </c>
      <c r="E565" s="5" t="inlineStr">
        <is>
          <t>Legacy company envelope - DeepSeek</t>
        </is>
      </c>
      <c r="F565" s="5" t="inlineStr">
        <is>
          <t>GB200/GB300 class</t>
        </is>
      </c>
      <c r="G565" s="5">
        <f>IFERROR(INDEX('02x_Accelerator_Catalog'!$C$2:$C$11,MATCH(F565,'02x_Accelerator_Catalog'!$B$2:$B$11,0)),"purpose_or_unbenchmarked")</f>
        <v/>
      </c>
      <c r="H565" s="28">
        <f>SUMIFS('02c_AI_CSP_Normalized'!$N$2:$N$305,'02c_AI_CSP_Normalized'!$B$2:$B$305,B565,'02c_AI_CSP_Normalized'!$C$2:$C$305,C565,'02c_AI_CSP_Normalized'!$D$2:$D$305,D565,'02c_AI_CSP_Normalized'!$E$2:$E$305,E565)</f>
        <v/>
      </c>
      <c r="I565" s="6">
        <f>SUMIFS('02b_CSP_Accelerator_Mix'!$H$2:$H$573,'02b_CSP_Accelerator_Mix'!$B$2:$B$573,B565,'02b_CSP_Accelerator_Mix'!$C$2:$C$573,E565,'02b_CSP_Accelerator_Mix'!$D$2:$D$573,D565,'02b_CSP_Accelerator_Mix'!$E$2:$E$573,F565)</f>
        <v/>
      </c>
      <c r="J565" s="28">
        <f>H565*I565</f>
        <v/>
      </c>
      <c r="K565" s="8">
        <f>IFERROR(INDEX('02x_Accelerator_Catalog'!$D$2:$D$11,MATCH(F565,'02x_Accelerator_Catalog'!$B$2:$B$11,0)),"")</f>
        <v/>
      </c>
      <c r="L565" s="7">
        <f>IF(K565&gt;0,J565*1000/K565,"")</f>
        <v/>
      </c>
      <c r="M565" s="5" t="inlineStr">
        <is>
          <t>legacy_company_gpu_mix_fallback</t>
        </is>
      </c>
      <c r="N565" s="5" t="inlineStr">
        <is>
          <t>Extensible long-format output: add a new accelerator row in 02b and map it in 02x_Accelerator_Catalog to extend this table.</t>
        </is>
      </c>
    </row>
    <row r="566">
      <c r="A566" s="5">
        <f>B566&amp;"|"&amp;C566&amp;"|"&amp;D566&amp;"|"&amp;E566&amp;"|"&amp;F566</f>
        <v/>
      </c>
      <c r="B566" s="5" t="inlineStr">
        <is>
          <t>Base</t>
        </is>
      </c>
      <c r="C566" s="5" t="inlineStr">
        <is>
          <t>DeepSeek</t>
        </is>
      </c>
      <c r="D566" s="5" t="n">
        <v>2026</v>
      </c>
      <c r="E566" s="5" t="inlineStr">
        <is>
          <t>Legacy company envelope - DeepSeek</t>
        </is>
      </c>
      <c r="F566" s="5" t="inlineStr">
        <is>
          <t>H100/H200/A100 class</t>
        </is>
      </c>
      <c r="G566" s="5">
        <f>IFERROR(INDEX('02x_Accelerator_Catalog'!$C$2:$C$11,MATCH(F566,'02x_Accelerator_Catalog'!$B$2:$B$11,0)),"purpose_or_unbenchmarked")</f>
        <v/>
      </c>
      <c r="H566" s="28">
        <f>SUMIFS('02c_AI_CSP_Normalized'!$N$2:$N$305,'02c_AI_CSP_Normalized'!$B$2:$B$305,B566,'02c_AI_CSP_Normalized'!$C$2:$C$305,C566,'02c_AI_CSP_Normalized'!$D$2:$D$305,D566,'02c_AI_CSP_Normalized'!$E$2:$E$305,E566)</f>
        <v/>
      </c>
      <c r="I566" s="6">
        <f>SUMIFS('02b_CSP_Accelerator_Mix'!$H$2:$H$573,'02b_CSP_Accelerator_Mix'!$B$2:$B$573,B566,'02b_CSP_Accelerator_Mix'!$C$2:$C$573,E566,'02b_CSP_Accelerator_Mix'!$D$2:$D$573,D566,'02b_CSP_Accelerator_Mix'!$E$2:$E$573,F566)</f>
        <v/>
      </c>
      <c r="J566" s="28">
        <f>H566*I566</f>
        <v/>
      </c>
      <c r="K566" s="8">
        <f>IFERROR(INDEX('02x_Accelerator_Catalog'!$D$2:$D$11,MATCH(F566,'02x_Accelerator_Catalog'!$B$2:$B$11,0)),"")</f>
        <v/>
      </c>
      <c r="L566" s="7">
        <f>IF(K566&gt;0,J566*1000/K566,"")</f>
        <v/>
      </c>
      <c r="M566" s="5" t="inlineStr">
        <is>
          <t>legacy_company_gpu_mix_fallback</t>
        </is>
      </c>
      <c r="N566" s="5" t="inlineStr">
        <is>
          <t>Extensible long-format output: add a new accelerator row in 02b and map it in 02x_Accelerator_Catalog to extend this table.</t>
        </is>
      </c>
    </row>
    <row r="567">
      <c r="A567" s="5">
        <f>B567&amp;"|"&amp;C567&amp;"|"&amp;D567&amp;"|"&amp;E567&amp;"|"&amp;F567</f>
        <v/>
      </c>
      <c r="B567" s="5" t="inlineStr">
        <is>
          <t>Base</t>
        </is>
      </c>
      <c r="C567" s="5" t="inlineStr">
        <is>
          <t>DeepSeek</t>
        </is>
      </c>
      <c r="D567" s="5" t="n">
        <v>2027</v>
      </c>
      <c r="E567" s="5" t="inlineStr">
        <is>
          <t>Legacy company envelope - DeepSeek</t>
        </is>
      </c>
      <c r="F567" s="5" t="inlineStr">
        <is>
          <t>B200/B300 class</t>
        </is>
      </c>
      <c r="G567" s="5">
        <f>IFERROR(INDEX('02x_Accelerator_Catalog'!$C$2:$C$11,MATCH(F567,'02x_Accelerator_Catalog'!$B$2:$B$11,0)),"purpose_or_unbenchmarked")</f>
        <v/>
      </c>
      <c r="H567" s="28">
        <f>SUMIFS('02c_AI_CSP_Normalized'!$N$2:$N$305,'02c_AI_CSP_Normalized'!$B$2:$B$305,B567,'02c_AI_CSP_Normalized'!$C$2:$C$305,C567,'02c_AI_CSP_Normalized'!$D$2:$D$305,D567,'02c_AI_CSP_Normalized'!$E$2:$E$305,E567)</f>
        <v/>
      </c>
      <c r="I567" s="6">
        <f>SUMIFS('02b_CSP_Accelerator_Mix'!$H$2:$H$573,'02b_CSP_Accelerator_Mix'!$B$2:$B$573,B567,'02b_CSP_Accelerator_Mix'!$C$2:$C$573,E567,'02b_CSP_Accelerator_Mix'!$D$2:$D$573,D567,'02b_CSP_Accelerator_Mix'!$E$2:$E$573,F567)</f>
        <v/>
      </c>
      <c r="J567" s="28">
        <f>H567*I567</f>
        <v/>
      </c>
      <c r="K567" s="8">
        <f>IFERROR(INDEX('02x_Accelerator_Catalog'!$D$2:$D$11,MATCH(F567,'02x_Accelerator_Catalog'!$B$2:$B$11,0)),"")</f>
        <v/>
      </c>
      <c r="L567" s="7">
        <f>IF(K567&gt;0,J567*1000/K567,"")</f>
        <v/>
      </c>
      <c r="M567" s="5" t="inlineStr">
        <is>
          <t>legacy_company_gpu_mix_fallback</t>
        </is>
      </c>
      <c r="N567" s="5" t="inlineStr">
        <is>
          <t>Extensible long-format output: add a new accelerator row in 02b and map it in 02x_Accelerator_Catalog to extend this table.</t>
        </is>
      </c>
    </row>
    <row r="568">
      <c r="A568" s="5">
        <f>B568&amp;"|"&amp;C568&amp;"|"&amp;D568&amp;"|"&amp;E568&amp;"|"&amp;F568</f>
        <v/>
      </c>
      <c r="B568" s="5" t="inlineStr">
        <is>
          <t>Base</t>
        </is>
      </c>
      <c r="C568" s="5" t="inlineStr">
        <is>
          <t>DeepSeek</t>
        </is>
      </c>
      <c r="D568" s="5" t="n">
        <v>2027</v>
      </c>
      <c r="E568" s="5" t="inlineStr">
        <is>
          <t>Legacy company envelope - DeepSeek</t>
        </is>
      </c>
      <c r="F568" s="5" t="inlineStr">
        <is>
          <t>GB200/GB300 class</t>
        </is>
      </c>
      <c r="G568" s="5">
        <f>IFERROR(INDEX('02x_Accelerator_Catalog'!$C$2:$C$11,MATCH(F568,'02x_Accelerator_Catalog'!$B$2:$B$11,0)),"purpose_or_unbenchmarked")</f>
        <v/>
      </c>
      <c r="H568" s="28">
        <f>SUMIFS('02c_AI_CSP_Normalized'!$N$2:$N$305,'02c_AI_CSP_Normalized'!$B$2:$B$305,B568,'02c_AI_CSP_Normalized'!$C$2:$C$305,C568,'02c_AI_CSP_Normalized'!$D$2:$D$305,D568,'02c_AI_CSP_Normalized'!$E$2:$E$305,E568)</f>
        <v/>
      </c>
      <c r="I568" s="6">
        <f>SUMIFS('02b_CSP_Accelerator_Mix'!$H$2:$H$573,'02b_CSP_Accelerator_Mix'!$B$2:$B$573,B568,'02b_CSP_Accelerator_Mix'!$C$2:$C$573,E568,'02b_CSP_Accelerator_Mix'!$D$2:$D$573,D568,'02b_CSP_Accelerator_Mix'!$E$2:$E$573,F568)</f>
        <v/>
      </c>
      <c r="J568" s="28">
        <f>H568*I568</f>
        <v/>
      </c>
      <c r="K568" s="8">
        <f>IFERROR(INDEX('02x_Accelerator_Catalog'!$D$2:$D$11,MATCH(F568,'02x_Accelerator_Catalog'!$B$2:$B$11,0)),"")</f>
        <v/>
      </c>
      <c r="L568" s="7">
        <f>IF(K568&gt;0,J568*1000/K568,"")</f>
        <v/>
      </c>
      <c r="M568" s="5" t="inlineStr">
        <is>
          <t>legacy_company_gpu_mix_fallback</t>
        </is>
      </c>
      <c r="N568" s="5" t="inlineStr">
        <is>
          <t>Extensible long-format output: add a new accelerator row in 02b and map it in 02x_Accelerator_Catalog to extend this table.</t>
        </is>
      </c>
    </row>
    <row r="569">
      <c r="A569" s="5">
        <f>B569&amp;"|"&amp;C569&amp;"|"&amp;D569&amp;"|"&amp;E569&amp;"|"&amp;F569</f>
        <v/>
      </c>
      <c r="B569" s="5" t="inlineStr">
        <is>
          <t>Base</t>
        </is>
      </c>
      <c r="C569" s="5" t="inlineStr">
        <is>
          <t>DeepSeek</t>
        </is>
      </c>
      <c r="D569" s="5" t="n">
        <v>2027</v>
      </c>
      <c r="E569" s="5" t="inlineStr">
        <is>
          <t>Legacy company envelope - DeepSeek</t>
        </is>
      </c>
      <c r="F569" s="5" t="inlineStr">
        <is>
          <t>H100/H200/A100 class</t>
        </is>
      </c>
      <c r="G569" s="5">
        <f>IFERROR(INDEX('02x_Accelerator_Catalog'!$C$2:$C$11,MATCH(F569,'02x_Accelerator_Catalog'!$B$2:$B$11,0)),"purpose_or_unbenchmarked")</f>
        <v/>
      </c>
      <c r="H569" s="28">
        <f>SUMIFS('02c_AI_CSP_Normalized'!$N$2:$N$305,'02c_AI_CSP_Normalized'!$B$2:$B$305,B569,'02c_AI_CSP_Normalized'!$C$2:$C$305,C569,'02c_AI_CSP_Normalized'!$D$2:$D$305,D569,'02c_AI_CSP_Normalized'!$E$2:$E$305,E569)</f>
        <v/>
      </c>
      <c r="I569" s="6">
        <f>SUMIFS('02b_CSP_Accelerator_Mix'!$H$2:$H$573,'02b_CSP_Accelerator_Mix'!$B$2:$B$573,B569,'02b_CSP_Accelerator_Mix'!$C$2:$C$573,E569,'02b_CSP_Accelerator_Mix'!$D$2:$D$573,D569,'02b_CSP_Accelerator_Mix'!$E$2:$E$573,F569)</f>
        <v/>
      </c>
      <c r="J569" s="28">
        <f>H569*I569</f>
        <v/>
      </c>
      <c r="K569" s="8">
        <f>IFERROR(INDEX('02x_Accelerator_Catalog'!$D$2:$D$11,MATCH(F569,'02x_Accelerator_Catalog'!$B$2:$B$11,0)),"")</f>
        <v/>
      </c>
      <c r="L569" s="7">
        <f>IF(K569&gt;0,J569*1000/K569,"")</f>
        <v/>
      </c>
      <c r="M569" s="5" t="inlineStr">
        <is>
          <t>legacy_company_gpu_mix_fallback</t>
        </is>
      </c>
      <c r="N569" s="5" t="inlineStr">
        <is>
          <t>Extensible long-format output: add a new accelerator row in 02b and map it in 02x_Accelerator_Catalog to extend this table.</t>
        </is>
      </c>
    </row>
    <row r="570">
      <c r="A570" s="5">
        <f>B570&amp;"|"&amp;C570&amp;"|"&amp;D570&amp;"|"&amp;E570&amp;"|"&amp;F570</f>
        <v/>
      </c>
      <c r="B570" s="5" t="inlineStr">
        <is>
          <t>Base</t>
        </is>
      </c>
      <c r="C570" s="5" t="inlineStr">
        <is>
          <t>DeepSeek</t>
        </is>
      </c>
      <c r="D570" s="5" t="n">
        <v>2028</v>
      </c>
      <c r="E570" s="5" t="inlineStr">
        <is>
          <t>Legacy company envelope - DeepSeek</t>
        </is>
      </c>
      <c r="F570" s="5" t="inlineStr">
        <is>
          <t>B200/B300 class</t>
        </is>
      </c>
      <c r="G570" s="5">
        <f>IFERROR(INDEX('02x_Accelerator_Catalog'!$C$2:$C$11,MATCH(F570,'02x_Accelerator_Catalog'!$B$2:$B$11,0)),"purpose_or_unbenchmarked")</f>
        <v/>
      </c>
      <c r="H570" s="28">
        <f>SUMIFS('02c_AI_CSP_Normalized'!$N$2:$N$305,'02c_AI_CSP_Normalized'!$B$2:$B$305,B570,'02c_AI_CSP_Normalized'!$C$2:$C$305,C570,'02c_AI_CSP_Normalized'!$D$2:$D$305,D570,'02c_AI_CSP_Normalized'!$E$2:$E$305,E570)</f>
        <v/>
      </c>
      <c r="I570" s="6">
        <f>SUMIFS('02b_CSP_Accelerator_Mix'!$H$2:$H$573,'02b_CSP_Accelerator_Mix'!$B$2:$B$573,B570,'02b_CSP_Accelerator_Mix'!$C$2:$C$573,E570,'02b_CSP_Accelerator_Mix'!$D$2:$D$573,D570,'02b_CSP_Accelerator_Mix'!$E$2:$E$573,F570)</f>
        <v/>
      </c>
      <c r="J570" s="28">
        <f>H570*I570</f>
        <v/>
      </c>
      <c r="K570" s="8">
        <f>IFERROR(INDEX('02x_Accelerator_Catalog'!$D$2:$D$11,MATCH(F570,'02x_Accelerator_Catalog'!$B$2:$B$11,0)),"")</f>
        <v/>
      </c>
      <c r="L570" s="7">
        <f>IF(K570&gt;0,J570*1000/K570,"")</f>
        <v/>
      </c>
      <c r="M570" s="5" t="inlineStr">
        <is>
          <t>legacy_company_gpu_mix_fallback</t>
        </is>
      </c>
      <c r="N570" s="5" t="inlineStr">
        <is>
          <t>Extensible long-format output: add a new accelerator row in 02b and map it in 02x_Accelerator_Catalog to extend this table.</t>
        </is>
      </c>
    </row>
    <row r="571">
      <c r="A571" s="5">
        <f>B571&amp;"|"&amp;C571&amp;"|"&amp;D571&amp;"|"&amp;E571&amp;"|"&amp;F571</f>
        <v/>
      </c>
      <c r="B571" s="5" t="inlineStr">
        <is>
          <t>Base</t>
        </is>
      </c>
      <c r="C571" s="5" t="inlineStr">
        <is>
          <t>DeepSeek</t>
        </is>
      </c>
      <c r="D571" s="5" t="n">
        <v>2028</v>
      </c>
      <c r="E571" s="5" t="inlineStr">
        <is>
          <t>Legacy company envelope - DeepSeek</t>
        </is>
      </c>
      <c r="F571" s="5" t="inlineStr">
        <is>
          <t>GB200/GB300 class</t>
        </is>
      </c>
      <c r="G571" s="5">
        <f>IFERROR(INDEX('02x_Accelerator_Catalog'!$C$2:$C$11,MATCH(F571,'02x_Accelerator_Catalog'!$B$2:$B$11,0)),"purpose_or_unbenchmarked")</f>
        <v/>
      </c>
      <c r="H571" s="28">
        <f>SUMIFS('02c_AI_CSP_Normalized'!$N$2:$N$305,'02c_AI_CSP_Normalized'!$B$2:$B$305,B571,'02c_AI_CSP_Normalized'!$C$2:$C$305,C571,'02c_AI_CSP_Normalized'!$D$2:$D$305,D571,'02c_AI_CSP_Normalized'!$E$2:$E$305,E571)</f>
        <v/>
      </c>
      <c r="I571" s="6">
        <f>SUMIFS('02b_CSP_Accelerator_Mix'!$H$2:$H$573,'02b_CSP_Accelerator_Mix'!$B$2:$B$573,B571,'02b_CSP_Accelerator_Mix'!$C$2:$C$573,E571,'02b_CSP_Accelerator_Mix'!$D$2:$D$573,D571,'02b_CSP_Accelerator_Mix'!$E$2:$E$573,F571)</f>
        <v/>
      </c>
      <c r="J571" s="28">
        <f>H571*I571</f>
        <v/>
      </c>
      <c r="K571" s="8">
        <f>IFERROR(INDEX('02x_Accelerator_Catalog'!$D$2:$D$11,MATCH(F571,'02x_Accelerator_Catalog'!$B$2:$B$11,0)),"")</f>
        <v/>
      </c>
      <c r="L571" s="7">
        <f>IF(K571&gt;0,J571*1000/K571,"")</f>
        <v/>
      </c>
      <c r="M571" s="5" t="inlineStr">
        <is>
          <t>legacy_company_gpu_mix_fallback</t>
        </is>
      </c>
      <c r="N571" s="5" t="inlineStr">
        <is>
          <t>Extensible long-format output: add a new accelerator row in 02b and map it in 02x_Accelerator_Catalog to extend this table.</t>
        </is>
      </c>
    </row>
    <row r="572">
      <c r="A572" s="5">
        <f>B572&amp;"|"&amp;C572&amp;"|"&amp;D572&amp;"|"&amp;E572&amp;"|"&amp;F572</f>
        <v/>
      </c>
      <c r="B572" s="5" t="inlineStr">
        <is>
          <t>Base</t>
        </is>
      </c>
      <c r="C572" s="5" t="inlineStr">
        <is>
          <t>DeepSeek</t>
        </is>
      </c>
      <c r="D572" s="5" t="n">
        <v>2028</v>
      </c>
      <c r="E572" s="5" t="inlineStr">
        <is>
          <t>Legacy company envelope - DeepSeek</t>
        </is>
      </c>
      <c r="F572" s="5" t="inlineStr">
        <is>
          <t>H100/H200/A100 class</t>
        </is>
      </c>
      <c r="G572" s="5">
        <f>IFERROR(INDEX('02x_Accelerator_Catalog'!$C$2:$C$11,MATCH(F572,'02x_Accelerator_Catalog'!$B$2:$B$11,0)),"purpose_or_unbenchmarked")</f>
        <v/>
      </c>
      <c r="H572" s="28">
        <f>SUMIFS('02c_AI_CSP_Normalized'!$N$2:$N$305,'02c_AI_CSP_Normalized'!$B$2:$B$305,B572,'02c_AI_CSP_Normalized'!$C$2:$C$305,C572,'02c_AI_CSP_Normalized'!$D$2:$D$305,D572,'02c_AI_CSP_Normalized'!$E$2:$E$305,E572)</f>
        <v/>
      </c>
      <c r="I572" s="6">
        <f>SUMIFS('02b_CSP_Accelerator_Mix'!$H$2:$H$573,'02b_CSP_Accelerator_Mix'!$B$2:$B$573,B572,'02b_CSP_Accelerator_Mix'!$C$2:$C$573,E572,'02b_CSP_Accelerator_Mix'!$D$2:$D$573,D572,'02b_CSP_Accelerator_Mix'!$E$2:$E$573,F572)</f>
        <v/>
      </c>
      <c r="J572" s="28">
        <f>H572*I572</f>
        <v/>
      </c>
      <c r="K572" s="8">
        <f>IFERROR(INDEX('02x_Accelerator_Catalog'!$D$2:$D$11,MATCH(F572,'02x_Accelerator_Catalog'!$B$2:$B$11,0)),"")</f>
        <v/>
      </c>
      <c r="L572" s="7">
        <f>IF(K572&gt;0,J572*1000/K572,"")</f>
        <v/>
      </c>
      <c r="M572" s="5" t="inlineStr">
        <is>
          <t>legacy_company_gpu_mix_fallback</t>
        </is>
      </c>
      <c r="N572" s="5" t="inlineStr">
        <is>
          <t>Extensible long-format output: add a new accelerator row in 02b and map it in 02x_Accelerator_Catalog to extend this table.</t>
        </is>
      </c>
    </row>
    <row r="573">
      <c r="A573" s="5">
        <f>B573&amp;"|"&amp;C573&amp;"|"&amp;D573&amp;"|"&amp;E573&amp;"|"&amp;F573</f>
        <v/>
      </c>
      <c r="B573" s="5" t="inlineStr">
        <is>
          <t>Base</t>
        </is>
      </c>
      <c r="C573" s="5" t="inlineStr">
        <is>
          <t>DeepSeek</t>
        </is>
      </c>
      <c r="D573" s="5" t="n">
        <v>2029</v>
      </c>
      <c r="E573" s="5" t="inlineStr">
        <is>
          <t>Legacy company envelope - DeepSeek</t>
        </is>
      </c>
      <c r="F573" s="5" t="inlineStr">
        <is>
          <t>B200/B300 class</t>
        </is>
      </c>
      <c r="G573" s="5">
        <f>IFERROR(INDEX('02x_Accelerator_Catalog'!$C$2:$C$11,MATCH(F573,'02x_Accelerator_Catalog'!$B$2:$B$11,0)),"purpose_or_unbenchmarked")</f>
        <v/>
      </c>
      <c r="H573" s="28">
        <f>SUMIFS('02c_AI_CSP_Normalized'!$N$2:$N$305,'02c_AI_CSP_Normalized'!$B$2:$B$305,B573,'02c_AI_CSP_Normalized'!$C$2:$C$305,C573,'02c_AI_CSP_Normalized'!$D$2:$D$305,D573,'02c_AI_CSP_Normalized'!$E$2:$E$305,E573)</f>
        <v/>
      </c>
      <c r="I573" s="6">
        <f>SUMIFS('02b_CSP_Accelerator_Mix'!$H$2:$H$573,'02b_CSP_Accelerator_Mix'!$B$2:$B$573,B573,'02b_CSP_Accelerator_Mix'!$C$2:$C$573,E573,'02b_CSP_Accelerator_Mix'!$D$2:$D$573,D573,'02b_CSP_Accelerator_Mix'!$E$2:$E$573,F573)</f>
        <v/>
      </c>
      <c r="J573" s="28">
        <f>H573*I573</f>
        <v/>
      </c>
      <c r="K573" s="8">
        <f>IFERROR(INDEX('02x_Accelerator_Catalog'!$D$2:$D$11,MATCH(F573,'02x_Accelerator_Catalog'!$B$2:$B$11,0)),"")</f>
        <v/>
      </c>
      <c r="L573" s="7">
        <f>IF(K573&gt;0,J573*1000/K573,"")</f>
        <v/>
      </c>
      <c r="M573" s="5" t="inlineStr">
        <is>
          <t>legacy_company_gpu_mix_fallback</t>
        </is>
      </c>
      <c r="N573" s="5" t="inlineStr">
        <is>
          <t>Extensible long-format output: add a new accelerator row in 02b and map it in 02x_Accelerator_Catalog to extend this table.</t>
        </is>
      </c>
    </row>
    <row r="574">
      <c r="A574" s="5">
        <f>B574&amp;"|"&amp;C574&amp;"|"&amp;D574&amp;"|"&amp;E574&amp;"|"&amp;F574</f>
        <v/>
      </c>
      <c r="B574" s="5" t="inlineStr">
        <is>
          <t>Base</t>
        </is>
      </c>
      <c r="C574" s="5" t="inlineStr">
        <is>
          <t>DeepSeek</t>
        </is>
      </c>
      <c r="D574" s="5" t="n">
        <v>2029</v>
      </c>
      <c r="E574" s="5" t="inlineStr">
        <is>
          <t>Legacy company envelope - DeepSeek</t>
        </is>
      </c>
      <c r="F574" s="5" t="inlineStr">
        <is>
          <t>GB200/GB300 class</t>
        </is>
      </c>
      <c r="G574" s="5">
        <f>IFERROR(INDEX('02x_Accelerator_Catalog'!$C$2:$C$11,MATCH(F574,'02x_Accelerator_Catalog'!$B$2:$B$11,0)),"purpose_or_unbenchmarked")</f>
        <v/>
      </c>
      <c r="H574" s="28">
        <f>SUMIFS('02c_AI_CSP_Normalized'!$N$2:$N$305,'02c_AI_CSP_Normalized'!$B$2:$B$305,B574,'02c_AI_CSP_Normalized'!$C$2:$C$305,C574,'02c_AI_CSP_Normalized'!$D$2:$D$305,D574,'02c_AI_CSP_Normalized'!$E$2:$E$305,E574)</f>
        <v/>
      </c>
      <c r="I574" s="6">
        <f>SUMIFS('02b_CSP_Accelerator_Mix'!$H$2:$H$573,'02b_CSP_Accelerator_Mix'!$B$2:$B$573,B574,'02b_CSP_Accelerator_Mix'!$C$2:$C$573,E574,'02b_CSP_Accelerator_Mix'!$D$2:$D$573,D574,'02b_CSP_Accelerator_Mix'!$E$2:$E$573,F574)</f>
        <v/>
      </c>
      <c r="J574" s="28">
        <f>H574*I574</f>
        <v/>
      </c>
      <c r="K574" s="8">
        <f>IFERROR(INDEX('02x_Accelerator_Catalog'!$D$2:$D$11,MATCH(F574,'02x_Accelerator_Catalog'!$B$2:$B$11,0)),"")</f>
        <v/>
      </c>
      <c r="L574" s="7">
        <f>IF(K574&gt;0,J574*1000/K574,"")</f>
        <v/>
      </c>
      <c r="M574" s="5" t="inlineStr">
        <is>
          <t>legacy_company_gpu_mix_fallback</t>
        </is>
      </c>
      <c r="N574" s="5" t="inlineStr">
        <is>
          <t>Extensible long-format output: add a new accelerator row in 02b and map it in 02x_Accelerator_Catalog to extend this table.</t>
        </is>
      </c>
    </row>
    <row r="575">
      <c r="A575" s="5">
        <f>B575&amp;"|"&amp;C575&amp;"|"&amp;D575&amp;"|"&amp;E575&amp;"|"&amp;F575</f>
        <v/>
      </c>
      <c r="B575" s="5" t="inlineStr">
        <is>
          <t>Base</t>
        </is>
      </c>
      <c r="C575" s="5" t="inlineStr">
        <is>
          <t>DeepSeek</t>
        </is>
      </c>
      <c r="D575" s="5" t="n">
        <v>2029</v>
      </c>
      <c r="E575" s="5" t="inlineStr">
        <is>
          <t>Legacy company envelope - DeepSeek</t>
        </is>
      </c>
      <c r="F575" s="5" t="inlineStr">
        <is>
          <t>H100/H200/A100 class</t>
        </is>
      </c>
      <c r="G575" s="5">
        <f>IFERROR(INDEX('02x_Accelerator_Catalog'!$C$2:$C$11,MATCH(F575,'02x_Accelerator_Catalog'!$B$2:$B$11,0)),"purpose_or_unbenchmarked")</f>
        <v/>
      </c>
      <c r="H575" s="28">
        <f>SUMIFS('02c_AI_CSP_Normalized'!$N$2:$N$305,'02c_AI_CSP_Normalized'!$B$2:$B$305,B575,'02c_AI_CSP_Normalized'!$C$2:$C$305,C575,'02c_AI_CSP_Normalized'!$D$2:$D$305,D575,'02c_AI_CSP_Normalized'!$E$2:$E$305,E575)</f>
        <v/>
      </c>
      <c r="I575" s="6">
        <f>SUMIFS('02b_CSP_Accelerator_Mix'!$H$2:$H$573,'02b_CSP_Accelerator_Mix'!$B$2:$B$573,B575,'02b_CSP_Accelerator_Mix'!$C$2:$C$573,E575,'02b_CSP_Accelerator_Mix'!$D$2:$D$573,D575,'02b_CSP_Accelerator_Mix'!$E$2:$E$573,F575)</f>
        <v/>
      </c>
      <c r="J575" s="28">
        <f>H575*I575</f>
        <v/>
      </c>
      <c r="K575" s="8">
        <f>IFERROR(INDEX('02x_Accelerator_Catalog'!$D$2:$D$11,MATCH(F575,'02x_Accelerator_Catalog'!$B$2:$B$11,0)),"")</f>
        <v/>
      </c>
      <c r="L575" s="7">
        <f>IF(K575&gt;0,J575*1000/K575,"")</f>
        <v/>
      </c>
      <c r="M575" s="5" t="inlineStr">
        <is>
          <t>legacy_company_gpu_mix_fallback</t>
        </is>
      </c>
      <c r="N575" s="5" t="inlineStr">
        <is>
          <t>Extensible long-format output: add a new accelerator row in 02b and map it in 02x_Accelerator_Catalog to extend this table.</t>
        </is>
      </c>
    </row>
    <row r="576">
      <c r="A576" s="5">
        <f>B576&amp;"|"&amp;C576&amp;"|"&amp;D576&amp;"|"&amp;E576&amp;"|"&amp;F576</f>
        <v/>
      </c>
      <c r="B576" s="5" t="inlineStr">
        <is>
          <t>Base</t>
        </is>
      </c>
      <c r="C576" s="5" t="inlineStr">
        <is>
          <t>DeepSeek</t>
        </is>
      </c>
      <c r="D576" s="5" t="n">
        <v>2030</v>
      </c>
      <c r="E576" s="5" t="inlineStr">
        <is>
          <t>Legacy company envelope - DeepSeek</t>
        </is>
      </c>
      <c r="F576" s="5" t="inlineStr">
        <is>
          <t>B200/B300 class</t>
        </is>
      </c>
      <c r="G576" s="5">
        <f>IFERROR(INDEX('02x_Accelerator_Catalog'!$C$2:$C$11,MATCH(F576,'02x_Accelerator_Catalog'!$B$2:$B$11,0)),"purpose_or_unbenchmarked")</f>
        <v/>
      </c>
      <c r="H576" s="28">
        <f>SUMIFS('02c_AI_CSP_Normalized'!$N$2:$N$305,'02c_AI_CSP_Normalized'!$B$2:$B$305,B576,'02c_AI_CSP_Normalized'!$C$2:$C$305,C576,'02c_AI_CSP_Normalized'!$D$2:$D$305,D576,'02c_AI_CSP_Normalized'!$E$2:$E$305,E576)</f>
        <v/>
      </c>
      <c r="I576" s="6">
        <f>SUMIFS('02b_CSP_Accelerator_Mix'!$H$2:$H$573,'02b_CSP_Accelerator_Mix'!$B$2:$B$573,B576,'02b_CSP_Accelerator_Mix'!$C$2:$C$573,E576,'02b_CSP_Accelerator_Mix'!$D$2:$D$573,D576,'02b_CSP_Accelerator_Mix'!$E$2:$E$573,F576)</f>
        <v/>
      </c>
      <c r="J576" s="28">
        <f>H576*I576</f>
        <v/>
      </c>
      <c r="K576" s="8">
        <f>IFERROR(INDEX('02x_Accelerator_Catalog'!$D$2:$D$11,MATCH(F576,'02x_Accelerator_Catalog'!$B$2:$B$11,0)),"")</f>
        <v/>
      </c>
      <c r="L576" s="7">
        <f>IF(K576&gt;0,J576*1000/K576,"")</f>
        <v/>
      </c>
      <c r="M576" s="5" t="inlineStr">
        <is>
          <t>legacy_company_gpu_mix_fallback</t>
        </is>
      </c>
      <c r="N576" s="5" t="inlineStr">
        <is>
          <t>Extensible long-format output: add a new accelerator row in 02b and map it in 02x_Accelerator_Catalog to extend this table.</t>
        </is>
      </c>
    </row>
    <row r="577">
      <c r="A577" s="5">
        <f>B577&amp;"|"&amp;C577&amp;"|"&amp;D577&amp;"|"&amp;E577&amp;"|"&amp;F577</f>
        <v/>
      </c>
      <c r="B577" s="5" t="inlineStr">
        <is>
          <t>Base</t>
        </is>
      </c>
      <c r="C577" s="5" t="inlineStr">
        <is>
          <t>DeepSeek</t>
        </is>
      </c>
      <c r="D577" s="5" t="n">
        <v>2030</v>
      </c>
      <c r="E577" s="5" t="inlineStr">
        <is>
          <t>Legacy company envelope - DeepSeek</t>
        </is>
      </c>
      <c r="F577" s="5" t="inlineStr">
        <is>
          <t>GB200/GB300 class</t>
        </is>
      </c>
      <c r="G577" s="5">
        <f>IFERROR(INDEX('02x_Accelerator_Catalog'!$C$2:$C$11,MATCH(F577,'02x_Accelerator_Catalog'!$B$2:$B$11,0)),"purpose_or_unbenchmarked")</f>
        <v/>
      </c>
      <c r="H577" s="28">
        <f>SUMIFS('02c_AI_CSP_Normalized'!$N$2:$N$305,'02c_AI_CSP_Normalized'!$B$2:$B$305,B577,'02c_AI_CSP_Normalized'!$C$2:$C$305,C577,'02c_AI_CSP_Normalized'!$D$2:$D$305,D577,'02c_AI_CSP_Normalized'!$E$2:$E$305,E577)</f>
        <v/>
      </c>
      <c r="I577" s="6">
        <f>SUMIFS('02b_CSP_Accelerator_Mix'!$H$2:$H$573,'02b_CSP_Accelerator_Mix'!$B$2:$B$573,B577,'02b_CSP_Accelerator_Mix'!$C$2:$C$573,E577,'02b_CSP_Accelerator_Mix'!$D$2:$D$573,D577,'02b_CSP_Accelerator_Mix'!$E$2:$E$573,F577)</f>
        <v/>
      </c>
      <c r="J577" s="28">
        <f>H577*I577</f>
        <v/>
      </c>
      <c r="K577" s="8">
        <f>IFERROR(INDEX('02x_Accelerator_Catalog'!$D$2:$D$11,MATCH(F577,'02x_Accelerator_Catalog'!$B$2:$B$11,0)),"")</f>
        <v/>
      </c>
      <c r="L577" s="7">
        <f>IF(K577&gt;0,J577*1000/K577,"")</f>
        <v/>
      </c>
      <c r="M577" s="5" t="inlineStr">
        <is>
          <t>legacy_company_gpu_mix_fallback</t>
        </is>
      </c>
      <c r="N577" s="5" t="inlineStr">
        <is>
          <t>Extensible long-format output: add a new accelerator row in 02b and map it in 02x_Accelerator_Catalog to extend this table.</t>
        </is>
      </c>
    </row>
    <row r="578">
      <c r="A578" s="5">
        <f>B578&amp;"|"&amp;C578&amp;"|"&amp;D578&amp;"|"&amp;E578&amp;"|"&amp;F578</f>
        <v/>
      </c>
      <c r="B578" s="5" t="inlineStr">
        <is>
          <t>Base</t>
        </is>
      </c>
      <c r="C578" s="5" t="inlineStr">
        <is>
          <t>DeepSeek</t>
        </is>
      </c>
      <c r="D578" s="5" t="n">
        <v>2030</v>
      </c>
      <c r="E578" s="5" t="inlineStr">
        <is>
          <t>Legacy company envelope - DeepSeek</t>
        </is>
      </c>
      <c r="F578" s="5" t="inlineStr">
        <is>
          <t>H100/H200/A100 class</t>
        </is>
      </c>
      <c r="G578" s="5">
        <f>IFERROR(INDEX('02x_Accelerator_Catalog'!$C$2:$C$11,MATCH(F578,'02x_Accelerator_Catalog'!$B$2:$B$11,0)),"purpose_or_unbenchmarked")</f>
        <v/>
      </c>
      <c r="H578" s="28">
        <f>SUMIFS('02c_AI_CSP_Normalized'!$N$2:$N$305,'02c_AI_CSP_Normalized'!$B$2:$B$305,B578,'02c_AI_CSP_Normalized'!$C$2:$C$305,C578,'02c_AI_CSP_Normalized'!$D$2:$D$305,D578,'02c_AI_CSP_Normalized'!$E$2:$E$305,E578)</f>
        <v/>
      </c>
      <c r="I578" s="6">
        <f>SUMIFS('02b_CSP_Accelerator_Mix'!$H$2:$H$573,'02b_CSP_Accelerator_Mix'!$B$2:$B$573,B578,'02b_CSP_Accelerator_Mix'!$C$2:$C$573,E578,'02b_CSP_Accelerator_Mix'!$D$2:$D$573,D578,'02b_CSP_Accelerator_Mix'!$E$2:$E$573,F578)</f>
        <v/>
      </c>
      <c r="J578" s="28">
        <f>H578*I578</f>
        <v/>
      </c>
      <c r="K578" s="8">
        <f>IFERROR(INDEX('02x_Accelerator_Catalog'!$D$2:$D$11,MATCH(F578,'02x_Accelerator_Catalog'!$B$2:$B$11,0)),"")</f>
        <v/>
      </c>
      <c r="L578" s="7">
        <f>IF(K578&gt;0,J578*1000/K578,"")</f>
        <v/>
      </c>
      <c r="M578" s="5" t="inlineStr">
        <is>
          <t>legacy_company_gpu_mix_fallback</t>
        </is>
      </c>
      <c r="N578" s="5" t="inlineStr">
        <is>
          <t>Extensible long-format output: add a new accelerator row in 02b and map it in 02x_Accelerator_Catalog to extend this table.</t>
        </is>
      </c>
    </row>
    <row r="579">
      <c r="A579" s="5">
        <f>B579&amp;"|"&amp;C579&amp;"|"&amp;D579&amp;"|"&amp;E579&amp;"|"&amp;F579</f>
        <v/>
      </c>
      <c r="B579" s="5" t="inlineStr">
        <is>
          <t>Base</t>
        </is>
      </c>
      <c r="C579" s="5" t="inlineStr">
        <is>
          <t>Tencent</t>
        </is>
      </c>
      <c r="D579" s="5" t="n">
        <v>2026</v>
      </c>
      <c r="E579" s="5" t="inlineStr">
        <is>
          <t>Legacy company envelope - Tencent</t>
        </is>
      </c>
      <c r="F579" s="5" t="inlineStr">
        <is>
          <t>B200/B300 class</t>
        </is>
      </c>
      <c r="G579" s="5">
        <f>IFERROR(INDEX('02x_Accelerator_Catalog'!$C$2:$C$11,MATCH(F579,'02x_Accelerator_Catalog'!$B$2:$B$11,0)),"purpose_or_unbenchmarked")</f>
        <v/>
      </c>
      <c r="H579" s="28">
        <f>SUMIFS('02c_AI_CSP_Normalized'!$N$2:$N$305,'02c_AI_CSP_Normalized'!$B$2:$B$305,B579,'02c_AI_CSP_Normalized'!$C$2:$C$305,C579,'02c_AI_CSP_Normalized'!$D$2:$D$305,D579,'02c_AI_CSP_Normalized'!$E$2:$E$305,E579)</f>
        <v/>
      </c>
      <c r="I579" s="6">
        <f>SUMIFS('02b_CSP_Accelerator_Mix'!$H$2:$H$573,'02b_CSP_Accelerator_Mix'!$B$2:$B$573,B579,'02b_CSP_Accelerator_Mix'!$C$2:$C$573,E579,'02b_CSP_Accelerator_Mix'!$D$2:$D$573,D579,'02b_CSP_Accelerator_Mix'!$E$2:$E$573,F579)</f>
        <v/>
      </c>
      <c r="J579" s="28">
        <f>H579*I579</f>
        <v/>
      </c>
      <c r="K579" s="8">
        <f>IFERROR(INDEX('02x_Accelerator_Catalog'!$D$2:$D$11,MATCH(F579,'02x_Accelerator_Catalog'!$B$2:$B$11,0)),"")</f>
        <v/>
      </c>
      <c r="L579" s="7">
        <f>IF(K579&gt;0,J579*1000/K579,"")</f>
        <v/>
      </c>
      <c r="M579" s="5" t="inlineStr">
        <is>
          <t>legacy_company_gpu_mix_fallback</t>
        </is>
      </c>
      <c r="N579" s="5" t="inlineStr">
        <is>
          <t>Extensible long-format output: add a new accelerator row in 02b and map it in 02x_Accelerator_Catalog to extend this table.</t>
        </is>
      </c>
    </row>
    <row r="580">
      <c r="A580" s="5">
        <f>B580&amp;"|"&amp;C580&amp;"|"&amp;D580&amp;"|"&amp;E580&amp;"|"&amp;F580</f>
        <v/>
      </c>
      <c r="B580" s="5" t="inlineStr">
        <is>
          <t>Base</t>
        </is>
      </c>
      <c r="C580" s="5" t="inlineStr">
        <is>
          <t>Tencent</t>
        </is>
      </c>
      <c r="D580" s="5" t="n">
        <v>2026</v>
      </c>
      <c r="E580" s="5" t="inlineStr">
        <is>
          <t>Legacy company envelope - Tencent</t>
        </is>
      </c>
      <c r="F580" s="5" t="inlineStr">
        <is>
          <t>GB200/GB300 class</t>
        </is>
      </c>
      <c r="G580" s="5">
        <f>IFERROR(INDEX('02x_Accelerator_Catalog'!$C$2:$C$11,MATCH(F580,'02x_Accelerator_Catalog'!$B$2:$B$11,0)),"purpose_or_unbenchmarked")</f>
        <v/>
      </c>
      <c r="H580" s="28">
        <f>SUMIFS('02c_AI_CSP_Normalized'!$N$2:$N$305,'02c_AI_CSP_Normalized'!$B$2:$B$305,B580,'02c_AI_CSP_Normalized'!$C$2:$C$305,C580,'02c_AI_CSP_Normalized'!$D$2:$D$305,D580,'02c_AI_CSP_Normalized'!$E$2:$E$305,E580)</f>
        <v/>
      </c>
      <c r="I580" s="6">
        <f>SUMIFS('02b_CSP_Accelerator_Mix'!$H$2:$H$573,'02b_CSP_Accelerator_Mix'!$B$2:$B$573,B580,'02b_CSP_Accelerator_Mix'!$C$2:$C$573,E580,'02b_CSP_Accelerator_Mix'!$D$2:$D$573,D580,'02b_CSP_Accelerator_Mix'!$E$2:$E$573,F580)</f>
        <v/>
      </c>
      <c r="J580" s="28">
        <f>H580*I580</f>
        <v/>
      </c>
      <c r="K580" s="8">
        <f>IFERROR(INDEX('02x_Accelerator_Catalog'!$D$2:$D$11,MATCH(F580,'02x_Accelerator_Catalog'!$B$2:$B$11,0)),"")</f>
        <v/>
      </c>
      <c r="L580" s="7">
        <f>IF(K580&gt;0,J580*1000/K580,"")</f>
        <v/>
      </c>
      <c r="M580" s="5" t="inlineStr">
        <is>
          <t>legacy_company_gpu_mix_fallback</t>
        </is>
      </c>
      <c r="N580" s="5" t="inlineStr">
        <is>
          <t>Extensible long-format output: add a new accelerator row in 02b and map it in 02x_Accelerator_Catalog to extend this table.</t>
        </is>
      </c>
    </row>
    <row r="581">
      <c r="A581" s="5">
        <f>B581&amp;"|"&amp;C581&amp;"|"&amp;D581&amp;"|"&amp;E581&amp;"|"&amp;F581</f>
        <v/>
      </c>
      <c r="B581" s="5" t="inlineStr">
        <is>
          <t>Base</t>
        </is>
      </c>
      <c r="C581" s="5" t="inlineStr">
        <is>
          <t>Tencent</t>
        </is>
      </c>
      <c r="D581" s="5" t="n">
        <v>2026</v>
      </c>
      <c r="E581" s="5" t="inlineStr">
        <is>
          <t>Legacy company envelope - Tencent</t>
        </is>
      </c>
      <c r="F581" s="5" t="inlineStr">
        <is>
          <t>H100/H200/A100 class</t>
        </is>
      </c>
      <c r="G581" s="5">
        <f>IFERROR(INDEX('02x_Accelerator_Catalog'!$C$2:$C$11,MATCH(F581,'02x_Accelerator_Catalog'!$B$2:$B$11,0)),"purpose_or_unbenchmarked")</f>
        <v/>
      </c>
      <c r="H581" s="28">
        <f>SUMIFS('02c_AI_CSP_Normalized'!$N$2:$N$305,'02c_AI_CSP_Normalized'!$B$2:$B$305,B581,'02c_AI_CSP_Normalized'!$C$2:$C$305,C581,'02c_AI_CSP_Normalized'!$D$2:$D$305,D581,'02c_AI_CSP_Normalized'!$E$2:$E$305,E581)</f>
        <v/>
      </c>
      <c r="I581" s="6">
        <f>SUMIFS('02b_CSP_Accelerator_Mix'!$H$2:$H$573,'02b_CSP_Accelerator_Mix'!$B$2:$B$573,B581,'02b_CSP_Accelerator_Mix'!$C$2:$C$573,E581,'02b_CSP_Accelerator_Mix'!$D$2:$D$573,D581,'02b_CSP_Accelerator_Mix'!$E$2:$E$573,F581)</f>
        <v/>
      </c>
      <c r="J581" s="28">
        <f>H581*I581</f>
        <v/>
      </c>
      <c r="K581" s="8">
        <f>IFERROR(INDEX('02x_Accelerator_Catalog'!$D$2:$D$11,MATCH(F581,'02x_Accelerator_Catalog'!$B$2:$B$11,0)),"")</f>
        <v/>
      </c>
      <c r="L581" s="7">
        <f>IF(K581&gt;0,J581*1000/K581,"")</f>
        <v/>
      </c>
      <c r="M581" s="5" t="inlineStr">
        <is>
          <t>legacy_company_gpu_mix_fallback</t>
        </is>
      </c>
      <c r="N581" s="5" t="inlineStr">
        <is>
          <t>Extensible long-format output: add a new accelerator row in 02b and map it in 02x_Accelerator_Catalog to extend this table.</t>
        </is>
      </c>
    </row>
    <row r="582">
      <c r="A582" s="5">
        <f>B582&amp;"|"&amp;C582&amp;"|"&amp;D582&amp;"|"&amp;E582&amp;"|"&amp;F582</f>
        <v/>
      </c>
      <c r="B582" s="5" t="inlineStr">
        <is>
          <t>Base</t>
        </is>
      </c>
      <c r="C582" s="5" t="inlineStr">
        <is>
          <t>Tencent</t>
        </is>
      </c>
      <c r="D582" s="5" t="n">
        <v>2027</v>
      </c>
      <c r="E582" s="5" t="inlineStr">
        <is>
          <t>Legacy company envelope - Tencent</t>
        </is>
      </c>
      <c r="F582" s="5" t="inlineStr">
        <is>
          <t>B200/B300 class</t>
        </is>
      </c>
      <c r="G582" s="5">
        <f>IFERROR(INDEX('02x_Accelerator_Catalog'!$C$2:$C$11,MATCH(F582,'02x_Accelerator_Catalog'!$B$2:$B$11,0)),"purpose_or_unbenchmarked")</f>
        <v/>
      </c>
      <c r="H582" s="28">
        <f>SUMIFS('02c_AI_CSP_Normalized'!$N$2:$N$305,'02c_AI_CSP_Normalized'!$B$2:$B$305,B582,'02c_AI_CSP_Normalized'!$C$2:$C$305,C582,'02c_AI_CSP_Normalized'!$D$2:$D$305,D582,'02c_AI_CSP_Normalized'!$E$2:$E$305,E582)</f>
        <v/>
      </c>
      <c r="I582" s="6">
        <f>SUMIFS('02b_CSP_Accelerator_Mix'!$H$2:$H$573,'02b_CSP_Accelerator_Mix'!$B$2:$B$573,B582,'02b_CSP_Accelerator_Mix'!$C$2:$C$573,E582,'02b_CSP_Accelerator_Mix'!$D$2:$D$573,D582,'02b_CSP_Accelerator_Mix'!$E$2:$E$573,F582)</f>
        <v/>
      </c>
      <c r="J582" s="28">
        <f>H582*I582</f>
        <v/>
      </c>
      <c r="K582" s="8">
        <f>IFERROR(INDEX('02x_Accelerator_Catalog'!$D$2:$D$11,MATCH(F582,'02x_Accelerator_Catalog'!$B$2:$B$11,0)),"")</f>
        <v/>
      </c>
      <c r="L582" s="7">
        <f>IF(K582&gt;0,J582*1000/K582,"")</f>
        <v/>
      </c>
      <c r="M582" s="5" t="inlineStr">
        <is>
          <t>legacy_company_gpu_mix_fallback</t>
        </is>
      </c>
      <c r="N582" s="5" t="inlineStr">
        <is>
          <t>Extensible long-format output: add a new accelerator row in 02b and map it in 02x_Accelerator_Catalog to extend this table.</t>
        </is>
      </c>
    </row>
    <row r="583">
      <c r="A583" s="5">
        <f>B583&amp;"|"&amp;C583&amp;"|"&amp;D583&amp;"|"&amp;E583&amp;"|"&amp;F583</f>
        <v/>
      </c>
      <c r="B583" s="5" t="inlineStr">
        <is>
          <t>Base</t>
        </is>
      </c>
      <c r="C583" s="5" t="inlineStr">
        <is>
          <t>Tencent</t>
        </is>
      </c>
      <c r="D583" s="5" t="n">
        <v>2027</v>
      </c>
      <c r="E583" s="5" t="inlineStr">
        <is>
          <t>Legacy company envelope - Tencent</t>
        </is>
      </c>
      <c r="F583" s="5" t="inlineStr">
        <is>
          <t>GB200/GB300 class</t>
        </is>
      </c>
      <c r="G583" s="5">
        <f>IFERROR(INDEX('02x_Accelerator_Catalog'!$C$2:$C$11,MATCH(F583,'02x_Accelerator_Catalog'!$B$2:$B$11,0)),"purpose_or_unbenchmarked")</f>
        <v/>
      </c>
      <c r="H583" s="28">
        <f>SUMIFS('02c_AI_CSP_Normalized'!$N$2:$N$305,'02c_AI_CSP_Normalized'!$B$2:$B$305,B583,'02c_AI_CSP_Normalized'!$C$2:$C$305,C583,'02c_AI_CSP_Normalized'!$D$2:$D$305,D583,'02c_AI_CSP_Normalized'!$E$2:$E$305,E583)</f>
        <v/>
      </c>
      <c r="I583" s="6">
        <f>SUMIFS('02b_CSP_Accelerator_Mix'!$H$2:$H$573,'02b_CSP_Accelerator_Mix'!$B$2:$B$573,B583,'02b_CSP_Accelerator_Mix'!$C$2:$C$573,E583,'02b_CSP_Accelerator_Mix'!$D$2:$D$573,D583,'02b_CSP_Accelerator_Mix'!$E$2:$E$573,F583)</f>
        <v/>
      </c>
      <c r="J583" s="28">
        <f>H583*I583</f>
        <v/>
      </c>
      <c r="K583" s="8">
        <f>IFERROR(INDEX('02x_Accelerator_Catalog'!$D$2:$D$11,MATCH(F583,'02x_Accelerator_Catalog'!$B$2:$B$11,0)),"")</f>
        <v/>
      </c>
      <c r="L583" s="7">
        <f>IF(K583&gt;0,J583*1000/K583,"")</f>
        <v/>
      </c>
      <c r="M583" s="5" t="inlineStr">
        <is>
          <t>legacy_company_gpu_mix_fallback</t>
        </is>
      </c>
      <c r="N583" s="5" t="inlineStr">
        <is>
          <t>Extensible long-format output: add a new accelerator row in 02b and map it in 02x_Accelerator_Catalog to extend this table.</t>
        </is>
      </c>
    </row>
    <row r="584">
      <c r="A584" s="5">
        <f>B584&amp;"|"&amp;C584&amp;"|"&amp;D584&amp;"|"&amp;E584&amp;"|"&amp;F584</f>
        <v/>
      </c>
      <c r="B584" s="5" t="inlineStr">
        <is>
          <t>Base</t>
        </is>
      </c>
      <c r="C584" s="5" t="inlineStr">
        <is>
          <t>Tencent</t>
        </is>
      </c>
      <c r="D584" s="5" t="n">
        <v>2027</v>
      </c>
      <c r="E584" s="5" t="inlineStr">
        <is>
          <t>Legacy company envelope - Tencent</t>
        </is>
      </c>
      <c r="F584" s="5" t="inlineStr">
        <is>
          <t>H100/H200/A100 class</t>
        </is>
      </c>
      <c r="G584" s="5">
        <f>IFERROR(INDEX('02x_Accelerator_Catalog'!$C$2:$C$11,MATCH(F584,'02x_Accelerator_Catalog'!$B$2:$B$11,0)),"purpose_or_unbenchmarked")</f>
        <v/>
      </c>
      <c r="H584" s="28">
        <f>SUMIFS('02c_AI_CSP_Normalized'!$N$2:$N$305,'02c_AI_CSP_Normalized'!$B$2:$B$305,B584,'02c_AI_CSP_Normalized'!$C$2:$C$305,C584,'02c_AI_CSP_Normalized'!$D$2:$D$305,D584,'02c_AI_CSP_Normalized'!$E$2:$E$305,E584)</f>
        <v/>
      </c>
      <c r="I584" s="6">
        <f>SUMIFS('02b_CSP_Accelerator_Mix'!$H$2:$H$573,'02b_CSP_Accelerator_Mix'!$B$2:$B$573,B584,'02b_CSP_Accelerator_Mix'!$C$2:$C$573,E584,'02b_CSP_Accelerator_Mix'!$D$2:$D$573,D584,'02b_CSP_Accelerator_Mix'!$E$2:$E$573,F584)</f>
        <v/>
      </c>
      <c r="J584" s="28">
        <f>H584*I584</f>
        <v/>
      </c>
      <c r="K584" s="8">
        <f>IFERROR(INDEX('02x_Accelerator_Catalog'!$D$2:$D$11,MATCH(F584,'02x_Accelerator_Catalog'!$B$2:$B$11,0)),"")</f>
        <v/>
      </c>
      <c r="L584" s="7">
        <f>IF(K584&gt;0,J584*1000/K584,"")</f>
        <v/>
      </c>
      <c r="M584" s="5" t="inlineStr">
        <is>
          <t>legacy_company_gpu_mix_fallback</t>
        </is>
      </c>
      <c r="N584" s="5" t="inlineStr">
        <is>
          <t>Extensible long-format output: add a new accelerator row in 02b and map it in 02x_Accelerator_Catalog to extend this table.</t>
        </is>
      </c>
    </row>
    <row r="585">
      <c r="A585" s="5">
        <f>B585&amp;"|"&amp;C585&amp;"|"&amp;D585&amp;"|"&amp;E585&amp;"|"&amp;F585</f>
        <v/>
      </c>
      <c r="B585" s="5" t="inlineStr">
        <is>
          <t>Base</t>
        </is>
      </c>
      <c r="C585" s="5" t="inlineStr">
        <is>
          <t>Tencent</t>
        </is>
      </c>
      <c r="D585" s="5" t="n">
        <v>2028</v>
      </c>
      <c r="E585" s="5" t="inlineStr">
        <is>
          <t>Legacy company envelope - Tencent</t>
        </is>
      </c>
      <c r="F585" s="5" t="inlineStr">
        <is>
          <t>B200/B300 class</t>
        </is>
      </c>
      <c r="G585" s="5">
        <f>IFERROR(INDEX('02x_Accelerator_Catalog'!$C$2:$C$11,MATCH(F585,'02x_Accelerator_Catalog'!$B$2:$B$11,0)),"purpose_or_unbenchmarked")</f>
        <v/>
      </c>
      <c r="H585" s="28">
        <f>SUMIFS('02c_AI_CSP_Normalized'!$N$2:$N$305,'02c_AI_CSP_Normalized'!$B$2:$B$305,B585,'02c_AI_CSP_Normalized'!$C$2:$C$305,C585,'02c_AI_CSP_Normalized'!$D$2:$D$305,D585,'02c_AI_CSP_Normalized'!$E$2:$E$305,E585)</f>
        <v/>
      </c>
      <c r="I585" s="6">
        <f>SUMIFS('02b_CSP_Accelerator_Mix'!$H$2:$H$573,'02b_CSP_Accelerator_Mix'!$B$2:$B$573,B585,'02b_CSP_Accelerator_Mix'!$C$2:$C$573,E585,'02b_CSP_Accelerator_Mix'!$D$2:$D$573,D585,'02b_CSP_Accelerator_Mix'!$E$2:$E$573,F585)</f>
        <v/>
      </c>
      <c r="J585" s="28">
        <f>H585*I585</f>
        <v/>
      </c>
      <c r="K585" s="8">
        <f>IFERROR(INDEX('02x_Accelerator_Catalog'!$D$2:$D$11,MATCH(F585,'02x_Accelerator_Catalog'!$B$2:$B$11,0)),"")</f>
        <v/>
      </c>
      <c r="L585" s="7">
        <f>IF(K585&gt;0,J585*1000/K585,"")</f>
        <v/>
      </c>
      <c r="M585" s="5" t="inlineStr">
        <is>
          <t>legacy_company_gpu_mix_fallback</t>
        </is>
      </c>
      <c r="N585" s="5" t="inlineStr">
        <is>
          <t>Extensible long-format output: add a new accelerator row in 02b and map it in 02x_Accelerator_Catalog to extend this table.</t>
        </is>
      </c>
    </row>
    <row r="586">
      <c r="A586" s="5">
        <f>B586&amp;"|"&amp;C586&amp;"|"&amp;D586&amp;"|"&amp;E586&amp;"|"&amp;F586</f>
        <v/>
      </c>
      <c r="B586" s="5" t="inlineStr">
        <is>
          <t>Base</t>
        </is>
      </c>
      <c r="C586" s="5" t="inlineStr">
        <is>
          <t>Tencent</t>
        </is>
      </c>
      <c r="D586" s="5" t="n">
        <v>2028</v>
      </c>
      <c r="E586" s="5" t="inlineStr">
        <is>
          <t>Legacy company envelope - Tencent</t>
        </is>
      </c>
      <c r="F586" s="5" t="inlineStr">
        <is>
          <t>GB200/GB300 class</t>
        </is>
      </c>
      <c r="G586" s="5">
        <f>IFERROR(INDEX('02x_Accelerator_Catalog'!$C$2:$C$11,MATCH(F586,'02x_Accelerator_Catalog'!$B$2:$B$11,0)),"purpose_or_unbenchmarked")</f>
        <v/>
      </c>
      <c r="H586" s="28">
        <f>SUMIFS('02c_AI_CSP_Normalized'!$N$2:$N$305,'02c_AI_CSP_Normalized'!$B$2:$B$305,B586,'02c_AI_CSP_Normalized'!$C$2:$C$305,C586,'02c_AI_CSP_Normalized'!$D$2:$D$305,D586,'02c_AI_CSP_Normalized'!$E$2:$E$305,E586)</f>
        <v/>
      </c>
      <c r="I586" s="6">
        <f>SUMIFS('02b_CSP_Accelerator_Mix'!$H$2:$H$573,'02b_CSP_Accelerator_Mix'!$B$2:$B$573,B586,'02b_CSP_Accelerator_Mix'!$C$2:$C$573,E586,'02b_CSP_Accelerator_Mix'!$D$2:$D$573,D586,'02b_CSP_Accelerator_Mix'!$E$2:$E$573,F586)</f>
        <v/>
      </c>
      <c r="J586" s="28">
        <f>H586*I586</f>
        <v/>
      </c>
      <c r="K586" s="8">
        <f>IFERROR(INDEX('02x_Accelerator_Catalog'!$D$2:$D$11,MATCH(F586,'02x_Accelerator_Catalog'!$B$2:$B$11,0)),"")</f>
        <v/>
      </c>
      <c r="L586" s="7">
        <f>IF(K586&gt;0,J586*1000/K586,"")</f>
        <v/>
      </c>
      <c r="M586" s="5" t="inlineStr">
        <is>
          <t>legacy_company_gpu_mix_fallback</t>
        </is>
      </c>
      <c r="N586" s="5" t="inlineStr">
        <is>
          <t>Extensible long-format output: add a new accelerator row in 02b and map it in 02x_Accelerator_Catalog to extend this table.</t>
        </is>
      </c>
    </row>
    <row r="587">
      <c r="A587" s="5">
        <f>B587&amp;"|"&amp;C587&amp;"|"&amp;D587&amp;"|"&amp;E587&amp;"|"&amp;F587</f>
        <v/>
      </c>
      <c r="B587" s="5" t="inlineStr">
        <is>
          <t>Base</t>
        </is>
      </c>
      <c r="C587" s="5" t="inlineStr">
        <is>
          <t>Tencent</t>
        </is>
      </c>
      <c r="D587" s="5" t="n">
        <v>2028</v>
      </c>
      <c r="E587" s="5" t="inlineStr">
        <is>
          <t>Legacy company envelope - Tencent</t>
        </is>
      </c>
      <c r="F587" s="5" t="inlineStr">
        <is>
          <t>H100/H200/A100 class</t>
        </is>
      </c>
      <c r="G587" s="5">
        <f>IFERROR(INDEX('02x_Accelerator_Catalog'!$C$2:$C$11,MATCH(F587,'02x_Accelerator_Catalog'!$B$2:$B$11,0)),"purpose_or_unbenchmarked")</f>
        <v/>
      </c>
      <c r="H587" s="28">
        <f>SUMIFS('02c_AI_CSP_Normalized'!$N$2:$N$305,'02c_AI_CSP_Normalized'!$B$2:$B$305,B587,'02c_AI_CSP_Normalized'!$C$2:$C$305,C587,'02c_AI_CSP_Normalized'!$D$2:$D$305,D587,'02c_AI_CSP_Normalized'!$E$2:$E$305,E587)</f>
        <v/>
      </c>
      <c r="I587" s="6">
        <f>SUMIFS('02b_CSP_Accelerator_Mix'!$H$2:$H$573,'02b_CSP_Accelerator_Mix'!$B$2:$B$573,B587,'02b_CSP_Accelerator_Mix'!$C$2:$C$573,E587,'02b_CSP_Accelerator_Mix'!$D$2:$D$573,D587,'02b_CSP_Accelerator_Mix'!$E$2:$E$573,F587)</f>
        <v/>
      </c>
      <c r="J587" s="28">
        <f>H587*I587</f>
        <v/>
      </c>
      <c r="K587" s="8">
        <f>IFERROR(INDEX('02x_Accelerator_Catalog'!$D$2:$D$11,MATCH(F587,'02x_Accelerator_Catalog'!$B$2:$B$11,0)),"")</f>
        <v/>
      </c>
      <c r="L587" s="7">
        <f>IF(K587&gt;0,J587*1000/K587,"")</f>
        <v/>
      </c>
      <c r="M587" s="5" t="inlineStr">
        <is>
          <t>legacy_company_gpu_mix_fallback</t>
        </is>
      </c>
      <c r="N587" s="5" t="inlineStr">
        <is>
          <t>Extensible long-format output: add a new accelerator row in 02b and map it in 02x_Accelerator_Catalog to extend this table.</t>
        </is>
      </c>
    </row>
    <row r="588">
      <c r="A588" s="5">
        <f>B588&amp;"|"&amp;C588&amp;"|"&amp;D588&amp;"|"&amp;E588&amp;"|"&amp;F588</f>
        <v/>
      </c>
      <c r="B588" s="5" t="inlineStr">
        <is>
          <t>Base</t>
        </is>
      </c>
      <c r="C588" s="5" t="inlineStr">
        <is>
          <t>Tencent</t>
        </is>
      </c>
      <c r="D588" s="5" t="n">
        <v>2029</v>
      </c>
      <c r="E588" s="5" t="inlineStr">
        <is>
          <t>Legacy company envelope - Tencent</t>
        </is>
      </c>
      <c r="F588" s="5" t="inlineStr">
        <is>
          <t>B200/B300 class</t>
        </is>
      </c>
      <c r="G588" s="5">
        <f>IFERROR(INDEX('02x_Accelerator_Catalog'!$C$2:$C$11,MATCH(F588,'02x_Accelerator_Catalog'!$B$2:$B$11,0)),"purpose_or_unbenchmarked")</f>
        <v/>
      </c>
      <c r="H588" s="28">
        <f>SUMIFS('02c_AI_CSP_Normalized'!$N$2:$N$305,'02c_AI_CSP_Normalized'!$B$2:$B$305,B588,'02c_AI_CSP_Normalized'!$C$2:$C$305,C588,'02c_AI_CSP_Normalized'!$D$2:$D$305,D588,'02c_AI_CSP_Normalized'!$E$2:$E$305,E588)</f>
        <v/>
      </c>
      <c r="I588" s="6">
        <f>SUMIFS('02b_CSP_Accelerator_Mix'!$H$2:$H$573,'02b_CSP_Accelerator_Mix'!$B$2:$B$573,B588,'02b_CSP_Accelerator_Mix'!$C$2:$C$573,E588,'02b_CSP_Accelerator_Mix'!$D$2:$D$573,D588,'02b_CSP_Accelerator_Mix'!$E$2:$E$573,F588)</f>
        <v/>
      </c>
      <c r="J588" s="28">
        <f>H588*I588</f>
        <v/>
      </c>
      <c r="K588" s="8">
        <f>IFERROR(INDEX('02x_Accelerator_Catalog'!$D$2:$D$11,MATCH(F588,'02x_Accelerator_Catalog'!$B$2:$B$11,0)),"")</f>
        <v/>
      </c>
      <c r="L588" s="7">
        <f>IF(K588&gt;0,J588*1000/K588,"")</f>
        <v/>
      </c>
      <c r="M588" s="5" t="inlineStr">
        <is>
          <t>legacy_company_gpu_mix_fallback</t>
        </is>
      </c>
      <c r="N588" s="5" t="inlineStr">
        <is>
          <t>Extensible long-format output: add a new accelerator row in 02b and map it in 02x_Accelerator_Catalog to extend this table.</t>
        </is>
      </c>
    </row>
    <row r="589">
      <c r="A589" s="5">
        <f>B589&amp;"|"&amp;C589&amp;"|"&amp;D589&amp;"|"&amp;E589&amp;"|"&amp;F589</f>
        <v/>
      </c>
      <c r="B589" s="5" t="inlineStr">
        <is>
          <t>Base</t>
        </is>
      </c>
      <c r="C589" s="5" t="inlineStr">
        <is>
          <t>Tencent</t>
        </is>
      </c>
      <c r="D589" s="5" t="n">
        <v>2029</v>
      </c>
      <c r="E589" s="5" t="inlineStr">
        <is>
          <t>Legacy company envelope - Tencent</t>
        </is>
      </c>
      <c r="F589" s="5" t="inlineStr">
        <is>
          <t>GB200/GB300 class</t>
        </is>
      </c>
      <c r="G589" s="5">
        <f>IFERROR(INDEX('02x_Accelerator_Catalog'!$C$2:$C$11,MATCH(F589,'02x_Accelerator_Catalog'!$B$2:$B$11,0)),"purpose_or_unbenchmarked")</f>
        <v/>
      </c>
      <c r="H589" s="28">
        <f>SUMIFS('02c_AI_CSP_Normalized'!$N$2:$N$305,'02c_AI_CSP_Normalized'!$B$2:$B$305,B589,'02c_AI_CSP_Normalized'!$C$2:$C$305,C589,'02c_AI_CSP_Normalized'!$D$2:$D$305,D589,'02c_AI_CSP_Normalized'!$E$2:$E$305,E589)</f>
        <v/>
      </c>
      <c r="I589" s="6">
        <f>SUMIFS('02b_CSP_Accelerator_Mix'!$H$2:$H$573,'02b_CSP_Accelerator_Mix'!$B$2:$B$573,B589,'02b_CSP_Accelerator_Mix'!$C$2:$C$573,E589,'02b_CSP_Accelerator_Mix'!$D$2:$D$573,D589,'02b_CSP_Accelerator_Mix'!$E$2:$E$573,F589)</f>
        <v/>
      </c>
      <c r="J589" s="28">
        <f>H589*I589</f>
        <v/>
      </c>
      <c r="K589" s="8">
        <f>IFERROR(INDEX('02x_Accelerator_Catalog'!$D$2:$D$11,MATCH(F589,'02x_Accelerator_Catalog'!$B$2:$B$11,0)),"")</f>
        <v/>
      </c>
      <c r="L589" s="7">
        <f>IF(K589&gt;0,J589*1000/K589,"")</f>
        <v/>
      </c>
      <c r="M589" s="5" t="inlineStr">
        <is>
          <t>legacy_company_gpu_mix_fallback</t>
        </is>
      </c>
      <c r="N589" s="5" t="inlineStr">
        <is>
          <t>Extensible long-format output: add a new accelerator row in 02b and map it in 02x_Accelerator_Catalog to extend this table.</t>
        </is>
      </c>
    </row>
    <row r="590">
      <c r="A590" s="5">
        <f>B590&amp;"|"&amp;C590&amp;"|"&amp;D590&amp;"|"&amp;E590&amp;"|"&amp;F590</f>
        <v/>
      </c>
      <c r="B590" s="5" t="inlineStr">
        <is>
          <t>Base</t>
        </is>
      </c>
      <c r="C590" s="5" t="inlineStr">
        <is>
          <t>Tencent</t>
        </is>
      </c>
      <c r="D590" s="5" t="n">
        <v>2029</v>
      </c>
      <c r="E590" s="5" t="inlineStr">
        <is>
          <t>Legacy company envelope - Tencent</t>
        </is>
      </c>
      <c r="F590" s="5" t="inlineStr">
        <is>
          <t>H100/H200/A100 class</t>
        </is>
      </c>
      <c r="G590" s="5">
        <f>IFERROR(INDEX('02x_Accelerator_Catalog'!$C$2:$C$11,MATCH(F590,'02x_Accelerator_Catalog'!$B$2:$B$11,0)),"purpose_or_unbenchmarked")</f>
        <v/>
      </c>
      <c r="H590" s="28">
        <f>SUMIFS('02c_AI_CSP_Normalized'!$N$2:$N$305,'02c_AI_CSP_Normalized'!$B$2:$B$305,B590,'02c_AI_CSP_Normalized'!$C$2:$C$305,C590,'02c_AI_CSP_Normalized'!$D$2:$D$305,D590,'02c_AI_CSP_Normalized'!$E$2:$E$305,E590)</f>
        <v/>
      </c>
      <c r="I590" s="6">
        <f>SUMIFS('02b_CSP_Accelerator_Mix'!$H$2:$H$573,'02b_CSP_Accelerator_Mix'!$B$2:$B$573,B590,'02b_CSP_Accelerator_Mix'!$C$2:$C$573,E590,'02b_CSP_Accelerator_Mix'!$D$2:$D$573,D590,'02b_CSP_Accelerator_Mix'!$E$2:$E$573,F590)</f>
        <v/>
      </c>
      <c r="J590" s="28">
        <f>H590*I590</f>
        <v/>
      </c>
      <c r="K590" s="8">
        <f>IFERROR(INDEX('02x_Accelerator_Catalog'!$D$2:$D$11,MATCH(F590,'02x_Accelerator_Catalog'!$B$2:$B$11,0)),"")</f>
        <v/>
      </c>
      <c r="L590" s="7">
        <f>IF(K590&gt;0,J590*1000/K590,"")</f>
        <v/>
      </c>
      <c r="M590" s="5" t="inlineStr">
        <is>
          <t>legacy_company_gpu_mix_fallback</t>
        </is>
      </c>
      <c r="N590" s="5" t="inlineStr">
        <is>
          <t>Extensible long-format output: add a new accelerator row in 02b and map it in 02x_Accelerator_Catalog to extend this table.</t>
        </is>
      </c>
    </row>
    <row r="591">
      <c r="A591" s="5">
        <f>B591&amp;"|"&amp;C591&amp;"|"&amp;D591&amp;"|"&amp;E591&amp;"|"&amp;F591</f>
        <v/>
      </c>
      <c r="B591" s="5" t="inlineStr">
        <is>
          <t>Base</t>
        </is>
      </c>
      <c r="C591" s="5" t="inlineStr">
        <is>
          <t>Tencent</t>
        </is>
      </c>
      <c r="D591" s="5" t="n">
        <v>2030</v>
      </c>
      <c r="E591" s="5" t="inlineStr">
        <is>
          <t>Legacy company envelope - Tencent</t>
        </is>
      </c>
      <c r="F591" s="5" t="inlineStr">
        <is>
          <t>B200/B300 class</t>
        </is>
      </c>
      <c r="G591" s="5">
        <f>IFERROR(INDEX('02x_Accelerator_Catalog'!$C$2:$C$11,MATCH(F591,'02x_Accelerator_Catalog'!$B$2:$B$11,0)),"purpose_or_unbenchmarked")</f>
        <v/>
      </c>
      <c r="H591" s="28">
        <f>SUMIFS('02c_AI_CSP_Normalized'!$N$2:$N$305,'02c_AI_CSP_Normalized'!$B$2:$B$305,B591,'02c_AI_CSP_Normalized'!$C$2:$C$305,C591,'02c_AI_CSP_Normalized'!$D$2:$D$305,D591,'02c_AI_CSP_Normalized'!$E$2:$E$305,E591)</f>
        <v/>
      </c>
      <c r="I591" s="6">
        <f>SUMIFS('02b_CSP_Accelerator_Mix'!$H$2:$H$573,'02b_CSP_Accelerator_Mix'!$B$2:$B$573,B591,'02b_CSP_Accelerator_Mix'!$C$2:$C$573,E591,'02b_CSP_Accelerator_Mix'!$D$2:$D$573,D591,'02b_CSP_Accelerator_Mix'!$E$2:$E$573,F591)</f>
        <v/>
      </c>
      <c r="J591" s="28">
        <f>H591*I591</f>
        <v/>
      </c>
      <c r="K591" s="8">
        <f>IFERROR(INDEX('02x_Accelerator_Catalog'!$D$2:$D$11,MATCH(F591,'02x_Accelerator_Catalog'!$B$2:$B$11,0)),"")</f>
        <v/>
      </c>
      <c r="L591" s="7">
        <f>IF(K591&gt;0,J591*1000/K591,"")</f>
        <v/>
      </c>
      <c r="M591" s="5" t="inlineStr">
        <is>
          <t>legacy_company_gpu_mix_fallback</t>
        </is>
      </c>
      <c r="N591" s="5" t="inlineStr">
        <is>
          <t>Extensible long-format output: add a new accelerator row in 02b and map it in 02x_Accelerator_Catalog to extend this table.</t>
        </is>
      </c>
    </row>
    <row r="592">
      <c r="A592" s="5">
        <f>B592&amp;"|"&amp;C592&amp;"|"&amp;D592&amp;"|"&amp;E592&amp;"|"&amp;F592</f>
        <v/>
      </c>
      <c r="B592" s="5" t="inlineStr">
        <is>
          <t>Base</t>
        </is>
      </c>
      <c r="C592" s="5" t="inlineStr">
        <is>
          <t>Tencent</t>
        </is>
      </c>
      <c r="D592" s="5" t="n">
        <v>2030</v>
      </c>
      <c r="E592" s="5" t="inlineStr">
        <is>
          <t>Legacy company envelope - Tencent</t>
        </is>
      </c>
      <c r="F592" s="5" t="inlineStr">
        <is>
          <t>GB200/GB300 class</t>
        </is>
      </c>
      <c r="G592" s="5">
        <f>IFERROR(INDEX('02x_Accelerator_Catalog'!$C$2:$C$11,MATCH(F592,'02x_Accelerator_Catalog'!$B$2:$B$11,0)),"purpose_or_unbenchmarked")</f>
        <v/>
      </c>
      <c r="H592" s="28">
        <f>SUMIFS('02c_AI_CSP_Normalized'!$N$2:$N$305,'02c_AI_CSP_Normalized'!$B$2:$B$305,B592,'02c_AI_CSP_Normalized'!$C$2:$C$305,C592,'02c_AI_CSP_Normalized'!$D$2:$D$305,D592,'02c_AI_CSP_Normalized'!$E$2:$E$305,E592)</f>
        <v/>
      </c>
      <c r="I592" s="6">
        <f>SUMIFS('02b_CSP_Accelerator_Mix'!$H$2:$H$573,'02b_CSP_Accelerator_Mix'!$B$2:$B$573,B592,'02b_CSP_Accelerator_Mix'!$C$2:$C$573,E592,'02b_CSP_Accelerator_Mix'!$D$2:$D$573,D592,'02b_CSP_Accelerator_Mix'!$E$2:$E$573,F592)</f>
        <v/>
      </c>
      <c r="J592" s="28">
        <f>H592*I592</f>
        <v/>
      </c>
      <c r="K592" s="8">
        <f>IFERROR(INDEX('02x_Accelerator_Catalog'!$D$2:$D$11,MATCH(F592,'02x_Accelerator_Catalog'!$B$2:$B$11,0)),"")</f>
        <v/>
      </c>
      <c r="L592" s="7">
        <f>IF(K592&gt;0,J592*1000/K592,"")</f>
        <v/>
      </c>
      <c r="M592" s="5" t="inlineStr">
        <is>
          <t>legacy_company_gpu_mix_fallback</t>
        </is>
      </c>
      <c r="N592" s="5" t="inlineStr">
        <is>
          <t>Extensible long-format output: add a new accelerator row in 02b and map it in 02x_Accelerator_Catalog to extend this table.</t>
        </is>
      </c>
    </row>
    <row r="593">
      <c r="A593" s="5">
        <f>B593&amp;"|"&amp;C593&amp;"|"&amp;D593&amp;"|"&amp;E593&amp;"|"&amp;F593</f>
        <v/>
      </c>
      <c r="B593" s="5" t="inlineStr">
        <is>
          <t>Base</t>
        </is>
      </c>
      <c r="C593" s="5" t="inlineStr">
        <is>
          <t>Tencent</t>
        </is>
      </c>
      <c r="D593" s="5" t="n">
        <v>2030</v>
      </c>
      <c r="E593" s="5" t="inlineStr">
        <is>
          <t>Legacy company envelope - Tencent</t>
        </is>
      </c>
      <c r="F593" s="5" t="inlineStr">
        <is>
          <t>H100/H200/A100 class</t>
        </is>
      </c>
      <c r="G593" s="5">
        <f>IFERROR(INDEX('02x_Accelerator_Catalog'!$C$2:$C$11,MATCH(F593,'02x_Accelerator_Catalog'!$B$2:$B$11,0)),"purpose_or_unbenchmarked")</f>
        <v/>
      </c>
      <c r="H593" s="28">
        <f>SUMIFS('02c_AI_CSP_Normalized'!$N$2:$N$305,'02c_AI_CSP_Normalized'!$B$2:$B$305,B593,'02c_AI_CSP_Normalized'!$C$2:$C$305,C593,'02c_AI_CSP_Normalized'!$D$2:$D$305,D593,'02c_AI_CSP_Normalized'!$E$2:$E$305,E593)</f>
        <v/>
      </c>
      <c r="I593" s="6">
        <f>SUMIFS('02b_CSP_Accelerator_Mix'!$H$2:$H$573,'02b_CSP_Accelerator_Mix'!$B$2:$B$573,B593,'02b_CSP_Accelerator_Mix'!$C$2:$C$573,E593,'02b_CSP_Accelerator_Mix'!$D$2:$D$573,D593,'02b_CSP_Accelerator_Mix'!$E$2:$E$573,F593)</f>
        <v/>
      </c>
      <c r="J593" s="28">
        <f>H593*I593</f>
        <v/>
      </c>
      <c r="K593" s="8">
        <f>IFERROR(INDEX('02x_Accelerator_Catalog'!$D$2:$D$11,MATCH(F593,'02x_Accelerator_Catalog'!$B$2:$B$11,0)),"")</f>
        <v/>
      </c>
      <c r="L593" s="7">
        <f>IF(K593&gt;0,J593*1000/K593,"")</f>
        <v/>
      </c>
      <c r="M593" s="5" t="inlineStr">
        <is>
          <t>legacy_company_gpu_mix_fallback</t>
        </is>
      </c>
      <c r="N593" s="5" t="inlineStr">
        <is>
          <t>Extensible long-format output: add a new accelerator row in 02b and map it in 02x_Accelerator_Catalog to extend this table.</t>
        </is>
      </c>
    </row>
    <row r="594">
      <c r="A594" s="5">
        <f>B594&amp;"|"&amp;C594&amp;"|"&amp;D594&amp;"|"&amp;E594&amp;"|"&amp;F594</f>
        <v/>
      </c>
      <c r="B594" s="5" t="inlineStr">
        <is>
          <t>Bull</t>
        </is>
      </c>
      <c r="C594" s="5" t="inlineStr">
        <is>
          <t>DeepSeek</t>
        </is>
      </c>
      <c r="D594" s="5" t="n">
        <v>2026</v>
      </c>
      <c r="E594" s="5" t="inlineStr">
        <is>
          <t>Legacy company envelope - DeepSeek</t>
        </is>
      </c>
      <c r="F594" s="5" t="inlineStr">
        <is>
          <t>B200/B300 class</t>
        </is>
      </c>
      <c r="G594" s="5">
        <f>IFERROR(INDEX('02x_Accelerator_Catalog'!$C$2:$C$11,MATCH(F594,'02x_Accelerator_Catalog'!$B$2:$B$11,0)),"purpose_or_unbenchmarked")</f>
        <v/>
      </c>
      <c r="H594" s="28">
        <f>SUMIFS('02c_AI_CSP_Normalized'!$N$2:$N$305,'02c_AI_CSP_Normalized'!$B$2:$B$305,B594,'02c_AI_CSP_Normalized'!$C$2:$C$305,C594,'02c_AI_CSP_Normalized'!$D$2:$D$305,D594,'02c_AI_CSP_Normalized'!$E$2:$E$305,E594)</f>
        <v/>
      </c>
      <c r="I594" s="6">
        <f>SUMIFS('02b_CSP_Accelerator_Mix'!$H$2:$H$573,'02b_CSP_Accelerator_Mix'!$B$2:$B$573,B594,'02b_CSP_Accelerator_Mix'!$C$2:$C$573,E594,'02b_CSP_Accelerator_Mix'!$D$2:$D$573,D594,'02b_CSP_Accelerator_Mix'!$E$2:$E$573,F594)</f>
        <v/>
      </c>
      <c r="J594" s="28">
        <f>H594*I594</f>
        <v/>
      </c>
      <c r="K594" s="8">
        <f>IFERROR(INDEX('02x_Accelerator_Catalog'!$D$2:$D$11,MATCH(F594,'02x_Accelerator_Catalog'!$B$2:$B$11,0)),"")</f>
        <v/>
      </c>
      <c r="L594" s="7">
        <f>IF(K594&gt;0,J594*1000/K594,"")</f>
        <v/>
      </c>
      <c r="M594" s="5" t="inlineStr">
        <is>
          <t>legacy_company_gpu_mix_fallback</t>
        </is>
      </c>
      <c r="N594" s="5" t="inlineStr">
        <is>
          <t>Extensible long-format output: add a new accelerator row in 02b and map it in 02x_Accelerator_Catalog to extend this table.</t>
        </is>
      </c>
    </row>
    <row r="595">
      <c r="A595" s="5">
        <f>B595&amp;"|"&amp;C595&amp;"|"&amp;D595&amp;"|"&amp;E595&amp;"|"&amp;F595</f>
        <v/>
      </c>
      <c r="B595" s="5" t="inlineStr">
        <is>
          <t>Bull</t>
        </is>
      </c>
      <c r="C595" s="5" t="inlineStr">
        <is>
          <t>DeepSeek</t>
        </is>
      </c>
      <c r="D595" s="5" t="n">
        <v>2026</v>
      </c>
      <c r="E595" s="5" t="inlineStr">
        <is>
          <t>Legacy company envelope - DeepSeek</t>
        </is>
      </c>
      <c r="F595" s="5" t="inlineStr">
        <is>
          <t>GB200/GB300 class</t>
        </is>
      </c>
      <c r="G595" s="5">
        <f>IFERROR(INDEX('02x_Accelerator_Catalog'!$C$2:$C$11,MATCH(F595,'02x_Accelerator_Catalog'!$B$2:$B$11,0)),"purpose_or_unbenchmarked")</f>
        <v/>
      </c>
      <c r="H595" s="28">
        <f>SUMIFS('02c_AI_CSP_Normalized'!$N$2:$N$305,'02c_AI_CSP_Normalized'!$B$2:$B$305,B595,'02c_AI_CSP_Normalized'!$C$2:$C$305,C595,'02c_AI_CSP_Normalized'!$D$2:$D$305,D595,'02c_AI_CSP_Normalized'!$E$2:$E$305,E595)</f>
        <v/>
      </c>
      <c r="I595" s="6">
        <f>SUMIFS('02b_CSP_Accelerator_Mix'!$H$2:$H$573,'02b_CSP_Accelerator_Mix'!$B$2:$B$573,B595,'02b_CSP_Accelerator_Mix'!$C$2:$C$573,E595,'02b_CSP_Accelerator_Mix'!$D$2:$D$573,D595,'02b_CSP_Accelerator_Mix'!$E$2:$E$573,F595)</f>
        <v/>
      </c>
      <c r="J595" s="28">
        <f>H595*I595</f>
        <v/>
      </c>
      <c r="K595" s="8">
        <f>IFERROR(INDEX('02x_Accelerator_Catalog'!$D$2:$D$11,MATCH(F595,'02x_Accelerator_Catalog'!$B$2:$B$11,0)),"")</f>
        <v/>
      </c>
      <c r="L595" s="7">
        <f>IF(K595&gt;0,J595*1000/K595,"")</f>
        <v/>
      </c>
      <c r="M595" s="5" t="inlineStr">
        <is>
          <t>legacy_company_gpu_mix_fallback</t>
        </is>
      </c>
      <c r="N595" s="5" t="inlineStr">
        <is>
          <t>Extensible long-format output: add a new accelerator row in 02b and map it in 02x_Accelerator_Catalog to extend this table.</t>
        </is>
      </c>
    </row>
    <row r="596">
      <c r="A596" s="5">
        <f>B596&amp;"|"&amp;C596&amp;"|"&amp;D596&amp;"|"&amp;E596&amp;"|"&amp;F596</f>
        <v/>
      </c>
      <c r="B596" s="5" t="inlineStr">
        <is>
          <t>Bull</t>
        </is>
      </c>
      <c r="C596" s="5" t="inlineStr">
        <is>
          <t>DeepSeek</t>
        </is>
      </c>
      <c r="D596" s="5" t="n">
        <v>2026</v>
      </c>
      <c r="E596" s="5" t="inlineStr">
        <is>
          <t>Legacy company envelope - DeepSeek</t>
        </is>
      </c>
      <c r="F596" s="5" t="inlineStr">
        <is>
          <t>H100/H200/A100 class</t>
        </is>
      </c>
      <c r="G596" s="5">
        <f>IFERROR(INDEX('02x_Accelerator_Catalog'!$C$2:$C$11,MATCH(F596,'02x_Accelerator_Catalog'!$B$2:$B$11,0)),"purpose_or_unbenchmarked")</f>
        <v/>
      </c>
      <c r="H596" s="28">
        <f>SUMIFS('02c_AI_CSP_Normalized'!$N$2:$N$305,'02c_AI_CSP_Normalized'!$B$2:$B$305,B596,'02c_AI_CSP_Normalized'!$C$2:$C$305,C596,'02c_AI_CSP_Normalized'!$D$2:$D$305,D596,'02c_AI_CSP_Normalized'!$E$2:$E$305,E596)</f>
        <v/>
      </c>
      <c r="I596" s="6">
        <f>SUMIFS('02b_CSP_Accelerator_Mix'!$H$2:$H$573,'02b_CSP_Accelerator_Mix'!$B$2:$B$573,B596,'02b_CSP_Accelerator_Mix'!$C$2:$C$573,E596,'02b_CSP_Accelerator_Mix'!$D$2:$D$573,D596,'02b_CSP_Accelerator_Mix'!$E$2:$E$573,F596)</f>
        <v/>
      </c>
      <c r="J596" s="28">
        <f>H596*I596</f>
        <v/>
      </c>
      <c r="K596" s="8">
        <f>IFERROR(INDEX('02x_Accelerator_Catalog'!$D$2:$D$11,MATCH(F596,'02x_Accelerator_Catalog'!$B$2:$B$11,0)),"")</f>
        <v/>
      </c>
      <c r="L596" s="7">
        <f>IF(K596&gt;0,J596*1000/K596,"")</f>
        <v/>
      </c>
      <c r="M596" s="5" t="inlineStr">
        <is>
          <t>legacy_company_gpu_mix_fallback</t>
        </is>
      </c>
      <c r="N596" s="5" t="inlineStr">
        <is>
          <t>Extensible long-format output: add a new accelerator row in 02b and map it in 02x_Accelerator_Catalog to extend this table.</t>
        </is>
      </c>
    </row>
    <row r="597">
      <c r="A597" s="5">
        <f>B597&amp;"|"&amp;C597&amp;"|"&amp;D597&amp;"|"&amp;E597&amp;"|"&amp;F597</f>
        <v/>
      </c>
      <c r="B597" s="5" t="inlineStr">
        <is>
          <t>Bull</t>
        </is>
      </c>
      <c r="C597" s="5" t="inlineStr">
        <is>
          <t>DeepSeek</t>
        </is>
      </c>
      <c r="D597" s="5" t="n">
        <v>2027</v>
      </c>
      <c r="E597" s="5" t="inlineStr">
        <is>
          <t>Legacy company envelope - DeepSeek</t>
        </is>
      </c>
      <c r="F597" s="5" t="inlineStr">
        <is>
          <t>B200/B300 class</t>
        </is>
      </c>
      <c r="G597" s="5">
        <f>IFERROR(INDEX('02x_Accelerator_Catalog'!$C$2:$C$11,MATCH(F597,'02x_Accelerator_Catalog'!$B$2:$B$11,0)),"purpose_or_unbenchmarked")</f>
        <v/>
      </c>
      <c r="H597" s="28">
        <f>SUMIFS('02c_AI_CSP_Normalized'!$N$2:$N$305,'02c_AI_CSP_Normalized'!$B$2:$B$305,B597,'02c_AI_CSP_Normalized'!$C$2:$C$305,C597,'02c_AI_CSP_Normalized'!$D$2:$D$305,D597,'02c_AI_CSP_Normalized'!$E$2:$E$305,E597)</f>
        <v/>
      </c>
      <c r="I597" s="6">
        <f>SUMIFS('02b_CSP_Accelerator_Mix'!$H$2:$H$573,'02b_CSP_Accelerator_Mix'!$B$2:$B$573,B597,'02b_CSP_Accelerator_Mix'!$C$2:$C$573,E597,'02b_CSP_Accelerator_Mix'!$D$2:$D$573,D597,'02b_CSP_Accelerator_Mix'!$E$2:$E$573,F597)</f>
        <v/>
      </c>
      <c r="J597" s="28">
        <f>H597*I597</f>
        <v/>
      </c>
      <c r="K597" s="8">
        <f>IFERROR(INDEX('02x_Accelerator_Catalog'!$D$2:$D$11,MATCH(F597,'02x_Accelerator_Catalog'!$B$2:$B$11,0)),"")</f>
        <v/>
      </c>
      <c r="L597" s="7">
        <f>IF(K597&gt;0,J597*1000/K597,"")</f>
        <v/>
      </c>
      <c r="M597" s="5" t="inlineStr">
        <is>
          <t>legacy_company_gpu_mix_fallback</t>
        </is>
      </c>
      <c r="N597" s="5" t="inlineStr">
        <is>
          <t>Extensible long-format output: add a new accelerator row in 02b and map it in 02x_Accelerator_Catalog to extend this table.</t>
        </is>
      </c>
    </row>
    <row r="598">
      <c r="A598" s="5">
        <f>B598&amp;"|"&amp;C598&amp;"|"&amp;D598&amp;"|"&amp;E598&amp;"|"&amp;F598</f>
        <v/>
      </c>
      <c r="B598" s="5" t="inlineStr">
        <is>
          <t>Bull</t>
        </is>
      </c>
      <c r="C598" s="5" t="inlineStr">
        <is>
          <t>DeepSeek</t>
        </is>
      </c>
      <c r="D598" s="5" t="n">
        <v>2027</v>
      </c>
      <c r="E598" s="5" t="inlineStr">
        <is>
          <t>Legacy company envelope - DeepSeek</t>
        </is>
      </c>
      <c r="F598" s="5" t="inlineStr">
        <is>
          <t>GB200/GB300 class</t>
        </is>
      </c>
      <c r="G598" s="5">
        <f>IFERROR(INDEX('02x_Accelerator_Catalog'!$C$2:$C$11,MATCH(F598,'02x_Accelerator_Catalog'!$B$2:$B$11,0)),"purpose_or_unbenchmarked")</f>
        <v/>
      </c>
      <c r="H598" s="28">
        <f>SUMIFS('02c_AI_CSP_Normalized'!$N$2:$N$305,'02c_AI_CSP_Normalized'!$B$2:$B$305,B598,'02c_AI_CSP_Normalized'!$C$2:$C$305,C598,'02c_AI_CSP_Normalized'!$D$2:$D$305,D598,'02c_AI_CSP_Normalized'!$E$2:$E$305,E598)</f>
        <v/>
      </c>
      <c r="I598" s="6">
        <f>SUMIFS('02b_CSP_Accelerator_Mix'!$H$2:$H$573,'02b_CSP_Accelerator_Mix'!$B$2:$B$573,B598,'02b_CSP_Accelerator_Mix'!$C$2:$C$573,E598,'02b_CSP_Accelerator_Mix'!$D$2:$D$573,D598,'02b_CSP_Accelerator_Mix'!$E$2:$E$573,F598)</f>
        <v/>
      </c>
      <c r="J598" s="28">
        <f>H598*I598</f>
        <v/>
      </c>
      <c r="K598" s="8">
        <f>IFERROR(INDEX('02x_Accelerator_Catalog'!$D$2:$D$11,MATCH(F598,'02x_Accelerator_Catalog'!$B$2:$B$11,0)),"")</f>
        <v/>
      </c>
      <c r="L598" s="7">
        <f>IF(K598&gt;0,J598*1000/K598,"")</f>
        <v/>
      </c>
      <c r="M598" s="5" t="inlineStr">
        <is>
          <t>legacy_company_gpu_mix_fallback</t>
        </is>
      </c>
      <c r="N598" s="5" t="inlineStr">
        <is>
          <t>Extensible long-format output: add a new accelerator row in 02b and map it in 02x_Accelerator_Catalog to extend this table.</t>
        </is>
      </c>
    </row>
    <row r="599">
      <c r="A599" s="5">
        <f>B599&amp;"|"&amp;C599&amp;"|"&amp;D599&amp;"|"&amp;E599&amp;"|"&amp;F599</f>
        <v/>
      </c>
      <c r="B599" s="5" t="inlineStr">
        <is>
          <t>Bull</t>
        </is>
      </c>
      <c r="C599" s="5" t="inlineStr">
        <is>
          <t>DeepSeek</t>
        </is>
      </c>
      <c r="D599" s="5" t="n">
        <v>2027</v>
      </c>
      <c r="E599" s="5" t="inlineStr">
        <is>
          <t>Legacy company envelope - DeepSeek</t>
        </is>
      </c>
      <c r="F599" s="5" t="inlineStr">
        <is>
          <t>H100/H200/A100 class</t>
        </is>
      </c>
      <c r="G599" s="5">
        <f>IFERROR(INDEX('02x_Accelerator_Catalog'!$C$2:$C$11,MATCH(F599,'02x_Accelerator_Catalog'!$B$2:$B$11,0)),"purpose_or_unbenchmarked")</f>
        <v/>
      </c>
      <c r="H599" s="28">
        <f>SUMIFS('02c_AI_CSP_Normalized'!$N$2:$N$305,'02c_AI_CSP_Normalized'!$B$2:$B$305,B599,'02c_AI_CSP_Normalized'!$C$2:$C$305,C599,'02c_AI_CSP_Normalized'!$D$2:$D$305,D599,'02c_AI_CSP_Normalized'!$E$2:$E$305,E599)</f>
        <v/>
      </c>
      <c r="I599" s="6">
        <f>SUMIFS('02b_CSP_Accelerator_Mix'!$H$2:$H$573,'02b_CSP_Accelerator_Mix'!$B$2:$B$573,B599,'02b_CSP_Accelerator_Mix'!$C$2:$C$573,E599,'02b_CSP_Accelerator_Mix'!$D$2:$D$573,D599,'02b_CSP_Accelerator_Mix'!$E$2:$E$573,F599)</f>
        <v/>
      </c>
      <c r="J599" s="28">
        <f>H599*I599</f>
        <v/>
      </c>
      <c r="K599" s="8">
        <f>IFERROR(INDEX('02x_Accelerator_Catalog'!$D$2:$D$11,MATCH(F599,'02x_Accelerator_Catalog'!$B$2:$B$11,0)),"")</f>
        <v/>
      </c>
      <c r="L599" s="7">
        <f>IF(K599&gt;0,J599*1000/K599,"")</f>
        <v/>
      </c>
      <c r="M599" s="5" t="inlineStr">
        <is>
          <t>legacy_company_gpu_mix_fallback</t>
        </is>
      </c>
      <c r="N599" s="5" t="inlineStr">
        <is>
          <t>Extensible long-format output: add a new accelerator row in 02b and map it in 02x_Accelerator_Catalog to extend this table.</t>
        </is>
      </c>
    </row>
    <row r="600">
      <c r="A600" s="5">
        <f>B600&amp;"|"&amp;C600&amp;"|"&amp;D600&amp;"|"&amp;E600&amp;"|"&amp;F600</f>
        <v/>
      </c>
      <c r="B600" s="5" t="inlineStr">
        <is>
          <t>Bull</t>
        </is>
      </c>
      <c r="C600" s="5" t="inlineStr">
        <is>
          <t>DeepSeek</t>
        </is>
      </c>
      <c r="D600" s="5" t="n">
        <v>2028</v>
      </c>
      <c r="E600" s="5" t="inlineStr">
        <is>
          <t>Legacy company envelope - DeepSeek</t>
        </is>
      </c>
      <c r="F600" s="5" t="inlineStr">
        <is>
          <t>B200/B300 class</t>
        </is>
      </c>
      <c r="G600" s="5">
        <f>IFERROR(INDEX('02x_Accelerator_Catalog'!$C$2:$C$11,MATCH(F600,'02x_Accelerator_Catalog'!$B$2:$B$11,0)),"purpose_or_unbenchmarked")</f>
        <v/>
      </c>
      <c r="H600" s="28">
        <f>SUMIFS('02c_AI_CSP_Normalized'!$N$2:$N$305,'02c_AI_CSP_Normalized'!$B$2:$B$305,B600,'02c_AI_CSP_Normalized'!$C$2:$C$305,C600,'02c_AI_CSP_Normalized'!$D$2:$D$305,D600,'02c_AI_CSP_Normalized'!$E$2:$E$305,E600)</f>
        <v/>
      </c>
      <c r="I600" s="6">
        <f>SUMIFS('02b_CSP_Accelerator_Mix'!$H$2:$H$573,'02b_CSP_Accelerator_Mix'!$B$2:$B$573,B600,'02b_CSP_Accelerator_Mix'!$C$2:$C$573,E600,'02b_CSP_Accelerator_Mix'!$D$2:$D$573,D600,'02b_CSP_Accelerator_Mix'!$E$2:$E$573,F600)</f>
        <v/>
      </c>
      <c r="J600" s="28">
        <f>H600*I600</f>
        <v/>
      </c>
      <c r="K600" s="8">
        <f>IFERROR(INDEX('02x_Accelerator_Catalog'!$D$2:$D$11,MATCH(F600,'02x_Accelerator_Catalog'!$B$2:$B$11,0)),"")</f>
        <v/>
      </c>
      <c r="L600" s="7">
        <f>IF(K600&gt;0,J600*1000/K600,"")</f>
        <v/>
      </c>
      <c r="M600" s="5" t="inlineStr">
        <is>
          <t>legacy_company_gpu_mix_fallback</t>
        </is>
      </c>
      <c r="N600" s="5" t="inlineStr">
        <is>
          <t>Extensible long-format output: add a new accelerator row in 02b and map it in 02x_Accelerator_Catalog to extend this table.</t>
        </is>
      </c>
    </row>
    <row r="601">
      <c r="A601" s="5">
        <f>B601&amp;"|"&amp;C601&amp;"|"&amp;D601&amp;"|"&amp;E601&amp;"|"&amp;F601</f>
        <v/>
      </c>
      <c r="B601" s="5" t="inlineStr">
        <is>
          <t>Bull</t>
        </is>
      </c>
      <c r="C601" s="5" t="inlineStr">
        <is>
          <t>DeepSeek</t>
        </is>
      </c>
      <c r="D601" s="5" t="n">
        <v>2028</v>
      </c>
      <c r="E601" s="5" t="inlineStr">
        <is>
          <t>Legacy company envelope - DeepSeek</t>
        </is>
      </c>
      <c r="F601" s="5" t="inlineStr">
        <is>
          <t>GB200/GB300 class</t>
        </is>
      </c>
      <c r="G601" s="5">
        <f>IFERROR(INDEX('02x_Accelerator_Catalog'!$C$2:$C$11,MATCH(F601,'02x_Accelerator_Catalog'!$B$2:$B$11,0)),"purpose_or_unbenchmarked")</f>
        <v/>
      </c>
      <c r="H601" s="28">
        <f>SUMIFS('02c_AI_CSP_Normalized'!$N$2:$N$305,'02c_AI_CSP_Normalized'!$B$2:$B$305,B601,'02c_AI_CSP_Normalized'!$C$2:$C$305,C601,'02c_AI_CSP_Normalized'!$D$2:$D$305,D601,'02c_AI_CSP_Normalized'!$E$2:$E$305,E601)</f>
        <v/>
      </c>
      <c r="I601" s="6">
        <f>SUMIFS('02b_CSP_Accelerator_Mix'!$H$2:$H$573,'02b_CSP_Accelerator_Mix'!$B$2:$B$573,B601,'02b_CSP_Accelerator_Mix'!$C$2:$C$573,E601,'02b_CSP_Accelerator_Mix'!$D$2:$D$573,D601,'02b_CSP_Accelerator_Mix'!$E$2:$E$573,F601)</f>
        <v/>
      </c>
      <c r="J601" s="28">
        <f>H601*I601</f>
        <v/>
      </c>
      <c r="K601" s="8">
        <f>IFERROR(INDEX('02x_Accelerator_Catalog'!$D$2:$D$11,MATCH(F601,'02x_Accelerator_Catalog'!$B$2:$B$11,0)),"")</f>
        <v/>
      </c>
      <c r="L601" s="7">
        <f>IF(K601&gt;0,J601*1000/K601,"")</f>
        <v/>
      </c>
      <c r="M601" s="5" t="inlineStr">
        <is>
          <t>legacy_company_gpu_mix_fallback</t>
        </is>
      </c>
      <c r="N601" s="5" t="inlineStr">
        <is>
          <t>Extensible long-format output: add a new accelerator row in 02b and map it in 02x_Accelerator_Catalog to extend this table.</t>
        </is>
      </c>
    </row>
    <row r="602">
      <c r="A602" s="5">
        <f>B602&amp;"|"&amp;C602&amp;"|"&amp;D602&amp;"|"&amp;E602&amp;"|"&amp;F602</f>
        <v/>
      </c>
      <c r="B602" s="5" t="inlineStr">
        <is>
          <t>Bull</t>
        </is>
      </c>
      <c r="C602" s="5" t="inlineStr">
        <is>
          <t>DeepSeek</t>
        </is>
      </c>
      <c r="D602" s="5" t="n">
        <v>2028</v>
      </c>
      <c r="E602" s="5" t="inlineStr">
        <is>
          <t>Legacy company envelope - DeepSeek</t>
        </is>
      </c>
      <c r="F602" s="5" t="inlineStr">
        <is>
          <t>H100/H200/A100 class</t>
        </is>
      </c>
      <c r="G602" s="5">
        <f>IFERROR(INDEX('02x_Accelerator_Catalog'!$C$2:$C$11,MATCH(F602,'02x_Accelerator_Catalog'!$B$2:$B$11,0)),"purpose_or_unbenchmarked")</f>
        <v/>
      </c>
      <c r="H602" s="28">
        <f>SUMIFS('02c_AI_CSP_Normalized'!$N$2:$N$305,'02c_AI_CSP_Normalized'!$B$2:$B$305,B602,'02c_AI_CSP_Normalized'!$C$2:$C$305,C602,'02c_AI_CSP_Normalized'!$D$2:$D$305,D602,'02c_AI_CSP_Normalized'!$E$2:$E$305,E602)</f>
        <v/>
      </c>
      <c r="I602" s="6">
        <f>SUMIFS('02b_CSP_Accelerator_Mix'!$H$2:$H$573,'02b_CSP_Accelerator_Mix'!$B$2:$B$573,B602,'02b_CSP_Accelerator_Mix'!$C$2:$C$573,E602,'02b_CSP_Accelerator_Mix'!$D$2:$D$573,D602,'02b_CSP_Accelerator_Mix'!$E$2:$E$573,F602)</f>
        <v/>
      </c>
      <c r="J602" s="28">
        <f>H602*I602</f>
        <v/>
      </c>
      <c r="K602" s="8">
        <f>IFERROR(INDEX('02x_Accelerator_Catalog'!$D$2:$D$11,MATCH(F602,'02x_Accelerator_Catalog'!$B$2:$B$11,0)),"")</f>
        <v/>
      </c>
      <c r="L602" s="7">
        <f>IF(K602&gt;0,J602*1000/K602,"")</f>
        <v/>
      </c>
      <c r="M602" s="5" t="inlineStr">
        <is>
          <t>legacy_company_gpu_mix_fallback</t>
        </is>
      </c>
      <c r="N602" s="5" t="inlineStr">
        <is>
          <t>Extensible long-format output: add a new accelerator row in 02b and map it in 02x_Accelerator_Catalog to extend this table.</t>
        </is>
      </c>
    </row>
    <row r="603">
      <c r="A603" s="5">
        <f>B603&amp;"|"&amp;C603&amp;"|"&amp;D603&amp;"|"&amp;E603&amp;"|"&amp;F603</f>
        <v/>
      </c>
      <c r="B603" s="5" t="inlineStr">
        <is>
          <t>Bull</t>
        </is>
      </c>
      <c r="C603" s="5" t="inlineStr">
        <is>
          <t>DeepSeek</t>
        </is>
      </c>
      <c r="D603" s="5" t="n">
        <v>2029</v>
      </c>
      <c r="E603" s="5" t="inlineStr">
        <is>
          <t>Legacy company envelope - DeepSeek</t>
        </is>
      </c>
      <c r="F603" s="5" t="inlineStr">
        <is>
          <t>B200/B300 class</t>
        </is>
      </c>
      <c r="G603" s="5">
        <f>IFERROR(INDEX('02x_Accelerator_Catalog'!$C$2:$C$11,MATCH(F603,'02x_Accelerator_Catalog'!$B$2:$B$11,0)),"purpose_or_unbenchmarked")</f>
        <v/>
      </c>
      <c r="H603" s="28">
        <f>SUMIFS('02c_AI_CSP_Normalized'!$N$2:$N$305,'02c_AI_CSP_Normalized'!$B$2:$B$305,B603,'02c_AI_CSP_Normalized'!$C$2:$C$305,C603,'02c_AI_CSP_Normalized'!$D$2:$D$305,D603,'02c_AI_CSP_Normalized'!$E$2:$E$305,E603)</f>
        <v/>
      </c>
      <c r="I603" s="6">
        <f>SUMIFS('02b_CSP_Accelerator_Mix'!$H$2:$H$573,'02b_CSP_Accelerator_Mix'!$B$2:$B$573,B603,'02b_CSP_Accelerator_Mix'!$C$2:$C$573,E603,'02b_CSP_Accelerator_Mix'!$D$2:$D$573,D603,'02b_CSP_Accelerator_Mix'!$E$2:$E$573,F603)</f>
        <v/>
      </c>
      <c r="J603" s="28">
        <f>H603*I603</f>
        <v/>
      </c>
      <c r="K603" s="8">
        <f>IFERROR(INDEX('02x_Accelerator_Catalog'!$D$2:$D$11,MATCH(F603,'02x_Accelerator_Catalog'!$B$2:$B$11,0)),"")</f>
        <v/>
      </c>
      <c r="L603" s="7">
        <f>IF(K603&gt;0,J603*1000/K603,"")</f>
        <v/>
      </c>
      <c r="M603" s="5" t="inlineStr">
        <is>
          <t>legacy_company_gpu_mix_fallback</t>
        </is>
      </c>
      <c r="N603" s="5" t="inlineStr">
        <is>
          <t>Extensible long-format output: add a new accelerator row in 02b and map it in 02x_Accelerator_Catalog to extend this table.</t>
        </is>
      </c>
    </row>
    <row r="604">
      <c r="A604" s="5">
        <f>B604&amp;"|"&amp;C604&amp;"|"&amp;D604&amp;"|"&amp;E604&amp;"|"&amp;F604</f>
        <v/>
      </c>
      <c r="B604" s="5" t="inlineStr">
        <is>
          <t>Bull</t>
        </is>
      </c>
      <c r="C604" s="5" t="inlineStr">
        <is>
          <t>DeepSeek</t>
        </is>
      </c>
      <c r="D604" s="5" t="n">
        <v>2029</v>
      </c>
      <c r="E604" s="5" t="inlineStr">
        <is>
          <t>Legacy company envelope - DeepSeek</t>
        </is>
      </c>
      <c r="F604" s="5" t="inlineStr">
        <is>
          <t>GB200/GB300 class</t>
        </is>
      </c>
      <c r="G604" s="5">
        <f>IFERROR(INDEX('02x_Accelerator_Catalog'!$C$2:$C$11,MATCH(F604,'02x_Accelerator_Catalog'!$B$2:$B$11,0)),"purpose_or_unbenchmarked")</f>
        <v/>
      </c>
      <c r="H604" s="28">
        <f>SUMIFS('02c_AI_CSP_Normalized'!$N$2:$N$305,'02c_AI_CSP_Normalized'!$B$2:$B$305,B604,'02c_AI_CSP_Normalized'!$C$2:$C$305,C604,'02c_AI_CSP_Normalized'!$D$2:$D$305,D604,'02c_AI_CSP_Normalized'!$E$2:$E$305,E604)</f>
        <v/>
      </c>
      <c r="I604" s="6">
        <f>SUMIFS('02b_CSP_Accelerator_Mix'!$H$2:$H$573,'02b_CSP_Accelerator_Mix'!$B$2:$B$573,B604,'02b_CSP_Accelerator_Mix'!$C$2:$C$573,E604,'02b_CSP_Accelerator_Mix'!$D$2:$D$573,D604,'02b_CSP_Accelerator_Mix'!$E$2:$E$573,F604)</f>
        <v/>
      </c>
      <c r="J604" s="28">
        <f>H604*I604</f>
        <v/>
      </c>
      <c r="K604" s="8">
        <f>IFERROR(INDEX('02x_Accelerator_Catalog'!$D$2:$D$11,MATCH(F604,'02x_Accelerator_Catalog'!$B$2:$B$11,0)),"")</f>
        <v/>
      </c>
      <c r="L604" s="7">
        <f>IF(K604&gt;0,J604*1000/K604,"")</f>
        <v/>
      </c>
      <c r="M604" s="5" t="inlineStr">
        <is>
          <t>legacy_company_gpu_mix_fallback</t>
        </is>
      </c>
      <c r="N604" s="5" t="inlineStr">
        <is>
          <t>Extensible long-format output: add a new accelerator row in 02b and map it in 02x_Accelerator_Catalog to extend this table.</t>
        </is>
      </c>
    </row>
    <row r="605">
      <c r="A605" s="5">
        <f>B605&amp;"|"&amp;C605&amp;"|"&amp;D605&amp;"|"&amp;E605&amp;"|"&amp;F605</f>
        <v/>
      </c>
      <c r="B605" s="5" t="inlineStr">
        <is>
          <t>Bull</t>
        </is>
      </c>
      <c r="C605" s="5" t="inlineStr">
        <is>
          <t>DeepSeek</t>
        </is>
      </c>
      <c r="D605" s="5" t="n">
        <v>2029</v>
      </c>
      <c r="E605" s="5" t="inlineStr">
        <is>
          <t>Legacy company envelope - DeepSeek</t>
        </is>
      </c>
      <c r="F605" s="5" t="inlineStr">
        <is>
          <t>H100/H200/A100 class</t>
        </is>
      </c>
      <c r="G605" s="5">
        <f>IFERROR(INDEX('02x_Accelerator_Catalog'!$C$2:$C$11,MATCH(F605,'02x_Accelerator_Catalog'!$B$2:$B$11,0)),"purpose_or_unbenchmarked")</f>
        <v/>
      </c>
      <c r="H605" s="28">
        <f>SUMIFS('02c_AI_CSP_Normalized'!$N$2:$N$305,'02c_AI_CSP_Normalized'!$B$2:$B$305,B605,'02c_AI_CSP_Normalized'!$C$2:$C$305,C605,'02c_AI_CSP_Normalized'!$D$2:$D$305,D605,'02c_AI_CSP_Normalized'!$E$2:$E$305,E605)</f>
        <v/>
      </c>
      <c r="I605" s="6">
        <f>SUMIFS('02b_CSP_Accelerator_Mix'!$H$2:$H$573,'02b_CSP_Accelerator_Mix'!$B$2:$B$573,B605,'02b_CSP_Accelerator_Mix'!$C$2:$C$573,E605,'02b_CSP_Accelerator_Mix'!$D$2:$D$573,D605,'02b_CSP_Accelerator_Mix'!$E$2:$E$573,F605)</f>
        <v/>
      </c>
      <c r="J605" s="28">
        <f>H605*I605</f>
        <v/>
      </c>
      <c r="K605" s="8">
        <f>IFERROR(INDEX('02x_Accelerator_Catalog'!$D$2:$D$11,MATCH(F605,'02x_Accelerator_Catalog'!$B$2:$B$11,0)),"")</f>
        <v/>
      </c>
      <c r="L605" s="7">
        <f>IF(K605&gt;0,J605*1000/K605,"")</f>
        <v/>
      </c>
      <c r="M605" s="5" t="inlineStr">
        <is>
          <t>legacy_company_gpu_mix_fallback</t>
        </is>
      </c>
      <c r="N605" s="5" t="inlineStr">
        <is>
          <t>Extensible long-format output: add a new accelerator row in 02b and map it in 02x_Accelerator_Catalog to extend this table.</t>
        </is>
      </c>
    </row>
    <row r="606">
      <c r="A606" s="5">
        <f>B606&amp;"|"&amp;C606&amp;"|"&amp;D606&amp;"|"&amp;E606&amp;"|"&amp;F606</f>
        <v/>
      </c>
      <c r="B606" s="5" t="inlineStr">
        <is>
          <t>Bull</t>
        </is>
      </c>
      <c r="C606" s="5" t="inlineStr">
        <is>
          <t>DeepSeek</t>
        </is>
      </c>
      <c r="D606" s="5" t="n">
        <v>2030</v>
      </c>
      <c r="E606" s="5" t="inlineStr">
        <is>
          <t>Legacy company envelope - DeepSeek</t>
        </is>
      </c>
      <c r="F606" s="5" t="inlineStr">
        <is>
          <t>B200/B300 class</t>
        </is>
      </c>
      <c r="G606" s="5">
        <f>IFERROR(INDEX('02x_Accelerator_Catalog'!$C$2:$C$11,MATCH(F606,'02x_Accelerator_Catalog'!$B$2:$B$11,0)),"purpose_or_unbenchmarked")</f>
        <v/>
      </c>
      <c r="H606" s="28">
        <f>SUMIFS('02c_AI_CSP_Normalized'!$N$2:$N$305,'02c_AI_CSP_Normalized'!$B$2:$B$305,B606,'02c_AI_CSP_Normalized'!$C$2:$C$305,C606,'02c_AI_CSP_Normalized'!$D$2:$D$305,D606,'02c_AI_CSP_Normalized'!$E$2:$E$305,E606)</f>
        <v/>
      </c>
      <c r="I606" s="6">
        <f>SUMIFS('02b_CSP_Accelerator_Mix'!$H$2:$H$573,'02b_CSP_Accelerator_Mix'!$B$2:$B$573,B606,'02b_CSP_Accelerator_Mix'!$C$2:$C$573,E606,'02b_CSP_Accelerator_Mix'!$D$2:$D$573,D606,'02b_CSP_Accelerator_Mix'!$E$2:$E$573,F606)</f>
        <v/>
      </c>
      <c r="J606" s="28">
        <f>H606*I606</f>
        <v/>
      </c>
      <c r="K606" s="8">
        <f>IFERROR(INDEX('02x_Accelerator_Catalog'!$D$2:$D$11,MATCH(F606,'02x_Accelerator_Catalog'!$B$2:$B$11,0)),"")</f>
        <v/>
      </c>
      <c r="L606" s="7">
        <f>IF(K606&gt;0,J606*1000/K606,"")</f>
        <v/>
      </c>
      <c r="M606" s="5" t="inlineStr">
        <is>
          <t>legacy_company_gpu_mix_fallback</t>
        </is>
      </c>
      <c r="N606" s="5" t="inlineStr">
        <is>
          <t>Extensible long-format output: add a new accelerator row in 02b and map it in 02x_Accelerator_Catalog to extend this table.</t>
        </is>
      </c>
    </row>
    <row r="607">
      <c r="A607" s="5">
        <f>B607&amp;"|"&amp;C607&amp;"|"&amp;D607&amp;"|"&amp;E607&amp;"|"&amp;F607</f>
        <v/>
      </c>
      <c r="B607" s="5" t="inlineStr">
        <is>
          <t>Bull</t>
        </is>
      </c>
      <c r="C607" s="5" t="inlineStr">
        <is>
          <t>DeepSeek</t>
        </is>
      </c>
      <c r="D607" s="5" t="n">
        <v>2030</v>
      </c>
      <c r="E607" s="5" t="inlineStr">
        <is>
          <t>Legacy company envelope - DeepSeek</t>
        </is>
      </c>
      <c r="F607" s="5" t="inlineStr">
        <is>
          <t>GB200/GB300 class</t>
        </is>
      </c>
      <c r="G607" s="5">
        <f>IFERROR(INDEX('02x_Accelerator_Catalog'!$C$2:$C$11,MATCH(F607,'02x_Accelerator_Catalog'!$B$2:$B$11,0)),"purpose_or_unbenchmarked")</f>
        <v/>
      </c>
      <c r="H607" s="28">
        <f>SUMIFS('02c_AI_CSP_Normalized'!$N$2:$N$305,'02c_AI_CSP_Normalized'!$B$2:$B$305,B607,'02c_AI_CSP_Normalized'!$C$2:$C$305,C607,'02c_AI_CSP_Normalized'!$D$2:$D$305,D607,'02c_AI_CSP_Normalized'!$E$2:$E$305,E607)</f>
        <v/>
      </c>
      <c r="I607" s="6">
        <f>SUMIFS('02b_CSP_Accelerator_Mix'!$H$2:$H$573,'02b_CSP_Accelerator_Mix'!$B$2:$B$573,B607,'02b_CSP_Accelerator_Mix'!$C$2:$C$573,E607,'02b_CSP_Accelerator_Mix'!$D$2:$D$573,D607,'02b_CSP_Accelerator_Mix'!$E$2:$E$573,F607)</f>
        <v/>
      </c>
      <c r="J607" s="28">
        <f>H607*I607</f>
        <v/>
      </c>
      <c r="K607" s="8">
        <f>IFERROR(INDEX('02x_Accelerator_Catalog'!$D$2:$D$11,MATCH(F607,'02x_Accelerator_Catalog'!$B$2:$B$11,0)),"")</f>
        <v/>
      </c>
      <c r="L607" s="7">
        <f>IF(K607&gt;0,J607*1000/K607,"")</f>
        <v/>
      </c>
      <c r="M607" s="5" t="inlineStr">
        <is>
          <t>legacy_company_gpu_mix_fallback</t>
        </is>
      </c>
      <c r="N607" s="5" t="inlineStr">
        <is>
          <t>Extensible long-format output: add a new accelerator row in 02b and map it in 02x_Accelerator_Catalog to extend this table.</t>
        </is>
      </c>
    </row>
    <row r="608">
      <c r="A608" s="5">
        <f>B608&amp;"|"&amp;C608&amp;"|"&amp;D608&amp;"|"&amp;E608&amp;"|"&amp;F608</f>
        <v/>
      </c>
      <c r="B608" s="5" t="inlineStr">
        <is>
          <t>Bull</t>
        </is>
      </c>
      <c r="C608" s="5" t="inlineStr">
        <is>
          <t>DeepSeek</t>
        </is>
      </c>
      <c r="D608" s="5" t="n">
        <v>2030</v>
      </c>
      <c r="E608" s="5" t="inlineStr">
        <is>
          <t>Legacy company envelope - DeepSeek</t>
        </is>
      </c>
      <c r="F608" s="5" t="inlineStr">
        <is>
          <t>H100/H200/A100 class</t>
        </is>
      </c>
      <c r="G608" s="5">
        <f>IFERROR(INDEX('02x_Accelerator_Catalog'!$C$2:$C$11,MATCH(F608,'02x_Accelerator_Catalog'!$B$2:$B$11,0)),"purpose_or_unbenchmarked")</f>
        <v/>
      </c>
      <c r="H608" s="28">
        <f>SUMIFS('02c_AI_CSP_Normalized'!$N$2:$N$305,'02c_AI_CSP_Normalized'!$B$2:$B$305,B608,'02c_AI_CSP_Normalized'!$C$2:$C$305,C608,'02c_AI_CSP_Normalized'!$D$2:$D$305,D608,'02c_AI_CSP_Normalized'!$E$2:$E$305,E608)</f>
        <v/>
      </c>
      <c r="I608" s="6">
        <f>SUMIFS('02b_CSP_Accelerator_Mix'!$H$2:$H$573,'02b_CSP_Accelerator_Mix'!$B$2:$B$573,B608,'02b_CSP_Accelerator_Mix'!$C$2:$C$573,E608,'02b_CSP_Accelerator_Mix'!$D$2:$D$573,D608,'02b_CSP_Accelerator_Mix'!$E$2:$E$573,F608)</f>
        <v/>
      </c>
      <c r="J608" s="28">
        <f>H608*I608</f>
        <v/>
      </c>
      <c r="K608" s="8">
        <f>IFERROR(INDEX('02x_Accelerator_Catalog'!$D$2:$D$11,MATCH(F608,'02x_Accelerator_Catalog'!$B$2:$B$11,0)),"")</f>
        <v/>
      </c>
      <c r="L608" s="7">
        <f>IF(K608&gt;0,J608*1000/K608,"")</f>
        <v/>
      </c>
      <c r="M608" s="5" t="inlineStr">
        <is>
          <t>legacy_company_gpu_mix_fallback</t>
        </is>
      </c>
      <c r="N608" s="5" t="inlineStr">
        <is>
          <t>Extensible long-format output: add a new accelerator row in 02b and map it in 02x_Accelerator_Catalog to extend this table.</t>
        </is>
      </c>
    </row>
    <row r="609">
      <c r="A609" s="5">
        <f>B609&amp;"|"&amp;C609&amp;"|"&amp;D609&amp;"|"&amp;E609&amp;"|"&amp;F609</f>
        <v/>
      </c>
      <c r="B609" s="5" t="inlineStr">
        <is>
          <t>Bull</t>
        </is>
      </c>
      <c r="C609" s="5" t="inlineStr">
        <is>
          <t>Tencent</t>
        </is>
      </c>
      <c r="D609" s="5" t="n">
        <v>2026</v>
      </c>
      <c r="E609" s="5" t="inlineStr">
        <is>
          <t>Legacy company envelope - Tencent</t>
        </is>
      </c>
      <c r="F609" s="5" t="inlineStr">
        <is>
          <t>B200/B300 class</t>
        </is>
      </c>
      <c r="G609" s="5">
        <f>IFERROR(INDEX('02x_Accelerator_Catalog'!$C$2:$C$11,MATCH(F609,'02x_Accelerator_Catalog'!$B$2:$B$11,0)),"purpose_or_unbenchmarked")</f>
        <v/>
      </c>
      <c r="H609" s="28">
        <f>SUMIFS('02c_AI_CSP_Normalized'!$N$2:$N$305,'02c_AI_CSP_Normalized'!$B$2:$B$305,B609,'02c_AI_CSP_Normalized'!$C$2:$C$305,C609,'02c_AI_CSP_Normalized'!$D$2:$D$305,D609,'02c_AI_CSP_Normalized'!$E$2:$E$305,E609)</f>
        <v/>
      </c>
      <c r="I609" s="6">
        <f>SUMIFS('02b_CSP_Accelerator_Mix'!$H$2:$H$573,'02b_CSP_Accelerator_Mix'!$B$2:$B$573,B609,'02b_CSP_Accelerator_Mix'!$C$2:$C$573,E609,'02b_CSP_Accelerator_Mix'!$D$2:$D$573,D609,'02b_CSP_Accelerator_Mix'!$E$2:$E$573,F609)</f>
        <v/>
      </c>
      <c r="J609" s="28">
        <f>H609*I609</f>
        <v/>
      </c>
      <c r="K609" s="8">
        <f>IFERROR(INDEX('02x_Accelerator_Catalog'!$D$2:$D$11,MATCH(F609,'02x_Accelerator_Catalog'!$B$2:$B$11,0)),"")</f>
        <v/>
      </c>
      <c r="L609" s="7">
        <f>IF(K609&gt;0,J609*1000/K609,"")</f>
        <v/>
      </c>
      <c r="M609" s="5" t="inlineStr">
        <is>
          <t>legacy_company_gpu_mix_fallback</t>
        </is>
      </c>
      <c r="N609" s="5" t="inlineStr">
        <is>
          <t>Extensible long-format output: add a new accelerator row in 02b and map it in 02x_Accelerator_Catalog to extend this table.</t>
        </is>
      </c>
    </row>
    <row r="610">
      <c r="A610" s="5">
        <f>B610&amp;"|"&amp;C610&amp;"|"&amp;D610&amp;"|"&amp;E610&amp;"|"&amp;F610</f>
        <v/>
      </c>
      <c r="B610" s="5" t="inlineStr">
        <is>
          <t>Bull</t>
        </is>
      </c>
      <c r="C610" s="5" t="inlineStr">
        <is>
          <t>Tencent</t>
        </is>
      </c>
      <c r="D610" s="5" t="n">
        <v>2026</v>
      </c>
      <c r="E610" s="5" t="inlineStr">
        <is>
          <t>Legacy company envelope - Tencent</t>
        </is>
      </c>
      <c r="F610" s="5" t="inlineStr">
        <is>
          <t>GB200/GB300 class</t>
        </is>
      </c>
      <c r="G610" s="5">
        <f>IFERROR(INDEX('02x_Accelerator_Catalog'!$C$2:$C$11,MATCH(F610,'02x_Accelerator_Catalog'!$B$2:$B$11,0)),"purpose_or_unbenchmarked")</f>
        <v/>
      </c>
      <c r="H610" s="28">
        <f>SUMIFS('02c_AI_CSP_Normalized'!$N$2:$N$305,'02c_AI_CSP_Normalized'!$B$2:$B$305,B610,'02c_AI_CSP_Normalized'!$C$2:$C$305,C610,'02c_AI_CSP_Normalized'!$D$2:$D$305,D610,'02c_AI_CSP_Normalized'!$E$2:$E$305,E610)</f>
        <v/>
      </c>
      <c r="I610" s="6">
        <f>SUMIFS('02b_CSP_Accelerator_Mix'!$H$2:$H$573,'02b_CSP_Accelerator_Mix'!$B$2:$B$573,B610,'02b_CSP_Accelerator_Mix'!$C$2:$C$573,E610,'02b_CSP_Accelerator_Mix'!$D$2:$D$573,D610,'02b_CSP_Accelerator_Mix'!$E$2:$E$573,F610)</f>
        <v/>
      </c>
      <c r="J610" s="28">
        <f>H610*I610</f>
        <v/>
      </c>
      <c r="K610" s="8">
        <f>IFERROR(INDEX('02x_Accelerator_Catalog'!$D$2:$D$11,MATCH(F610,'02x_Accelerator_Catalog'!$B$2:$B$11,0)),"")</f>
        <v/>
      </c>
      <c r="L610" s="7">
        <f>IF(K610&gt;0,J610*1000/K610,"")</f>
        <v/>
      </c>
      <c r="M610" s="5" t="inlineStr">
        <is>
          <t>legacy_company_gpu_mix_fallback</t>
        </is>
      </c>
      <c r="N610" s="5" t="inlineStr">
        <is>
          <t>Extensible long-format output: add a new accelerator row in 02b and map it in 02x_Accelerator_Catalog to extend this table.</t>
        </is>
      </c>
    </row>
    <row r="611">
      <c r="A611" s="5">
        <f>B611&amp;"|"&amp;C611&amp;"|"&amp;D611&amp;"|"&amp;E611&amp;"|"&amp;F611</f>
        <v/>
      </c>
      <c r="B611" s="5" t="inlineStr">
        <is>
          <t>Bull</t>
        </is>
      </c>
      <c r="C611" s="5" t="inlineStr">
        <is>
          <t>Tencent</t>
        </is>
      </c>
      <c r="D611" s="5" t="n">
        <v>2026</v>
      </c>
      <c r="E611" s="5" t="inlineStr">
        <is>
          <t>Legacy company envelope - Tencent</t>
        </is>
      </c>
      <c r="F611" s="5" t="inlineStr">
        <is>
          <t>H100/H200/A100 class</t>
        </is>
      </c>
      <c r="G611" s="5">
        <f>IFERROR(INDEX('02x_Accelerator_Catalog'!$C$2:$C$11,MATCH(F611,'02x_Accelerator_Catalog'!$B$2:$B$11,0)),"purpose_or_unbenchmarked")</f>
        <v/>
      </c>
      <c r="H611" s="28">
        <f>SUMIFS('02c_AI_CSP_Normalized'!$N$2:$N$305,'02c_AI_CSP_Normalized'!$B$2:$B$305,B611,'02c_AI_CSP_Normalized'!$C$2:$C$305,C611,'02c_AI_CSP_Normalized'!$D$2:$D$305,D611,'02c_AI_CSP_Normalized'!$E$2:$E$305,E611)</f>
        <v/>
      </c>
      <c r="I611" s="6">
        <f>SUMIFS('02b_CSP_Accelerator_Mix'!$H$2:$H$573,'02b_CSP_Accelerator_Mix'!$B$2:$B$573,B611,'02b_CSP_Accelerator_Mix'!$C$2:$C$573,E611,'02b_CSP_Accelerator_Mix'!$D$2:$D$573,D611,'02b_CSP_Accelerator_Mix'!$E$2:$E$573,F611)</f>
        <v/>
      </c>
      <c r="J611" s="28">
        <f>H611*I611</f>
        <v/>
      </c>
      <c r="K611" s="8">
        <f>IFERROR(INDEX('02x_Accelerator_Catalog'!$D$2:$D$11,MATCH(F611,'02x_Accelerator_Catalog'!$B$2:$B$11,0)),"")</f>
        <v/>
      </c>
      <c r="L611" s="7">
        <f>IF(K611&gt;0,J611*1000/K611,"")</f>
        <v/>
      </c>
      <c r="M611" s="5" t="inlineStr">
        <is>
          <t>legacy_company_gpu_mix_fallback</t>
        </is>
      </c>
      <c r="N611" s="5" t="inlineStr">
        <is>
          <t>Extensible long-format output: add a new accelerator row in 02b and map it in 02x_Accelerator_Catalog to extend this table.</t>
        </is>
      </c>
    </row>
    <row r="612">
      <c r="A612" s="5">
        <f>B612&amp;"|"&amp;C612&amp;"|"&amp;D612&amp;"|"&amp;E612&amp;"|"&amp;F612</f>
        <v/>
      </c>
      <c r="B612" s="5" t="inlineStr">
        <is>
          <t>Bull</t>
        </is>
      </c>
      <c r="C612" s="5" t="inlineStr">
        <is>
          <t>Tencent</t>
        </is>
      </c>
      <c r="D612" s="5" t="n">
        <v>2027</v>
      </c>
      <c r="E612" s="5" t="inlineStr">
        <is>
          <t>Legacy company envelope - Tencent</t>
        </is>
      </c>
      <c r="F612" s="5" t="inlineStr">
        <is>
          <t>B200/B300 class</t>
        </is>
      </c>
      <c r="G612" s="5">
        <f>IFERROR(INDEX('02x_Accelerator_Catalog'!$C$2:$C$11,MATCH(F612,'02x_Accelerator_Catalog'!$B$2:$B$11,0)),"purpose_or_unbenchmarked")</f>
        <v/>
      </c>
      <c r="H612" s="28">
        <f>SUMIFS('02c_AI_CSP_Normalized'!$N$2:$N$305,'02c_AI_CSP_Normalized'!$B$2:$B$305,B612,'02c_AI_CSP_Normalized'!$C$2:$C$305,C612,'02c_AI_CSP_Normalized'!$D$2:$D$305,D612,'02c_AI_CSP_Normalized'!$E$2:$E$305,E612)</f>
        <v/>
      </c>
      <c r="I612" s="6">
        <f>SUMIFS('02b_CSP_Accelerator_Mix'!$H$2:$H$573,'02b_CSP_Accelerator_Mix'!$B$2:$B$573,B612,'02b_CSP_Accelerator_Mix'!$C$2:$C$573,E612,'02b_CSP_Accelerator_Mix'!$D$2:$D$573,D612,'02b_CSP_Accelerator_Mix'!$E$2:$E$573,F612)</f>
        <v/>
      </c>
      <c r="J612" s="28">
        <f>H612*I612</f>
        <v/>
      </c>
      <c r="K612" s="8">
        <f>IFERROR(INDEX('02x_Accelerator_Catalog'!$D$2:$D$11,MATCH(F612,'02x_Accelerator_Catalog'!$B$2:$B$11,0)),"")</f>
        <v/>
      </c>
      <c r="L612" s="7">
        <f>IF(K612&gt;0,J612*1000/K612,"")</f>
        <v/>
      </c>
      <c r="M612" s="5" t="inlineStr">
        <is>
          <t>legacy_company_gpu_mix_fallback</t>
        </is>
      </c>
      <c r="N612" s="5" t="inlineStr">
        <is>
          <t>Extensible long-format output: add a new accelerator row in 02b and map it in 02x_Accelerator_Catalog to extend this table.</t>
        </is>
      </c>
    </row>
    <row r="613">
      <c r="A613" s="5">
        <f>B613&amp;"|"&amp;C613&amp;"|"&amp;D613&amp;"|"&amp;E613&amp;"|"&amp;F613</f>
        <v/>
      </c>
      <c r="B613" s="5" t="inlineStr">
        <is>
          <t>Bull</t>
        </is>
      </c>
      <c r="C613" s="5" t="inlineStr">
        <is>
          <t>Tencent</t>
        </is>
      </c>
      <c r="D613" s="5" t="n">
        <v>2027</v>
      </c>
      <c r="E613" s="5" t="inlineStr">
        <is>
          <t>Legacy company envelope - Tencent</t>
        </is>
      </c>
      <c r="F613" s="5" t="inlineStr">
        <is>
          <t>GB200/GB300 class</t>
        </is>
      </c>
      <c r="G613" s="5">
        <f>IFERROR(INDEX('02x_Accelerator_Catalog'!$C$2:$C$11,MATCH(F613,'02x_Accelerator_Catalog'!$B$2:$B$11,0)),"purpose_or_unbenchmarked")</f>
        <v/>
      </c>
      <c r="H613" s="28">
        <f>SUMIFS('02c_AI_CSP_Normalized'!$N$2:$N$305,'02c_AI_CSP_Normalized'!$B$2:$B$305,B613,'02c_AI_CSP_Normalized'!$C$2:$C$305,C613,'02c_AI_CSP_Normalized'!$D$2:$D$305,D613,'02c_AI_CSP_Normalized'!$E$2:$E$305,E613)</f>
        <v/>
      </c>
      <c r="I613" s="6">
        <f>SUMIFS('02b_CSP_Accelerator_Mix'!$H$2:$H$573,'02b_CSP_Accelerator_Mix'!$B$2:$B$573,B613,'02b_CSP_Accelerator_Mix'!$C$2:$C$573,E613,'02b_CSP_Accelerator_Mix'!$D$2:$D$573,D613,'02b_CSP_Accelerator_Mix'!$E$2:$E$573,F613)</f>
        <v/>
      </c>
      <c r="J613" s="28">
        <f>H613*I613</f>
        <v/>
      </c>
      <c r="K613" s="8">
        <f>IFERROR(INDEX('02x_Accelerator_Catalog'!$D$2:$D$11,MATCH(F613,'02x_Accelerator_Catalog'!$B$2:$B$11,0)),"")</f>
        <v/>
      </c>
      <c r="L613" s="7">
        <f>IF(K613&gt;0,J613*1000/K613,"")</f>
        <v/>
      </c>
      <c r="M613" s="5" t="inlineStr">
        <is>
          <t>legacy_company_gpu_mix_fallback</t>
        </is>
      </c>
      <c r="N613" s="5" t="inlineStr">
        <is>
          <t>Extensible long-format output: add a new accelerator row in 02b and map it in 02x_Accelerator_Catalog to extend this table.</t>
        </is>
      </c>
    </row>
    <row r="614">
      <c r="A614" s="5">
        <f>B614&amp;"|"&amp;C614&amp;"|"&amp;D614&amp;"|"&amp;E614&amp;"|"&amp;F614</f>
        <v/>
      </c>
      <c r="B614" s="5" t="inlineStr">
        <is>
          <t>Bull</t>
        </is>
      </c>
      <c r="C614" s="5" t="inlineStr">
        <is>
          <t>Tencent</t>
        </is>
      </c>
      <c r="D614" s="5" t="n">
        <v>2027</v>
      </c>
      <c r="E614" s="5" t="inlineStr">
        <is>
          <t>Legacy company envelope - Tencent</t>
        </is>
      </c>
      <c r="F614" s="5" t="inlineStr">
        <is>
          <t>H100/H200/A100 class</t>
        </is>
      </c>
      <c r="G614" s="5">
        <f>IFERROR(INDEX('02x_Accelerator_Catalog'!$C$2:$C$11,MATCH(F614,'02x_Accelerator_Catalog'!$B$2:$B$11,0)),"purpose_or_unbenchmarked")</f>
        <v/>
      </c>
      <c r="H614" s="28">
        <f>SUMIFS('02c_AI_CSP_Normalized'!$N$2:$N$305,'02c_AI_CSP_Normalized'!$B$2:$B$305,B614,'02c_AI_CSP_Normalized'!$C$2:$C$305,C614,'02c_AI_CSP_Normalized'!$D$2:$D$305,D614,'02c_AI_CSP_Normalized'!$E$2:$E$305,E614)</f>
        <v/>
      </c>
      <c r="I614" s="6">
        <f>SUMIFS('02b_CSP_Accelerator_Mix'!$H$2:$H$573,'02b_CSP_Accelerator_Mix'!$B$2:$B$573,B614,'02b_CSP_Accelerator_Mix'!$C$2:$C$573,E614,'02b_CSP_Accelerator_Mix'!$D$2:$D$573,D614,'02b_CSP_Accelerator_Mix'!$E$2:$E$573,F614)</f>
        <v/>
      </c>
      <c r="J614" s="28">
        <f>H614*I614</f>
        <v/>
      </c>
      <c r="K614" s="8">
        <f>IFERROR(INDEX('02x_Accelerator_Catalog'!$D$2:$D$11,MATCH(F614,'02x_Accelerator_Catalog'!$B$2:$B$11,0)),"")</f>
        <v/>
      </c>
      <c r="L614" s="7">
        <f>IF(K614&gt;0,J614*1000/K614,"")</f>
        <v/>
      </c>
      <c r="M614" s="5" t="inlineStr">
        <is>
          <t>legacy_company_gpu_mix_fallback</t>
        </is>
      </c>
      <c r="N614" s="5" t="inlineStr">
        <is>
          <t>Extensible long-format output: add a new accelerator row in 02b and map it in 02x_Accelerator_Catalog to extend this table.</t>
        </is>
      </c>
    </row>
    <row r="615">
      <c r="A615" s="5">
        <f>B615&amp;"|"&amp;C615&amp;"|"&amp;D615&amp;"|"&amp;E615&amp;"|"&amp;F615</f>
        <v/>
      </c>
      <c r="B615" s="5" t="inlineStr">
        <is>
          <t>Bull</t>
        </is>
      </c>
      <c r="C615" s="5" t="inlineStr">
        <is>
          <t>Tencent</t>
        </is>
      </c>
      <c r="D615" s="5" t="n">
        <v>2028</v>
      </c>
      <c r="E615" s="5" t="inlineStr">
        <is>
          <t>Legacy company envelope - Tencent</t>
        </is>
      </c>
      <c r="F615" s="5" t="inlineStr">
        <is>
          <t>B200/B300 class</t>
        </is>
      </c>
      <c r="G615" s="5">
        <f>IFERROR(INDEX('02x_Accelerator_Catalog'!$C$2:$C$11,MATCH(F615,'02x_Accelerator_Catalog'!$B$2:$B$11,0)),"purpose_or_unbenchmarked")</f>
        <v/>
      </c>
      <c r="H615" s="28">
        <f>SUMIFS('02c_AI_CSP_Normalized'!$N$2:$N$305,'02c_AI_CSP_Normalized'!$B$2:$B$305,B615,'02c_AI_CSP_Normalized'!$C$2:$C$305,C615,'02c_AI_CSP_Normalized'!$D$2:$D$305,D615,'02c_AI_CSP_Normalized'!$E$2:$E$305,E615)</f>
        <v/>
      </c>
      <c r="I615" s="6">
        <f>SUMIFS('02b_CSP_Accelerator_Mix'!$H$2:$H$573,'02b_CSP_Accelerator_Mix'!$B$2:$B$573,B615,'02b_CSP_Accelerator_Mix'!$C$2:$C$573,E615,'02b_CSP_Accelerator_Mix'!$D$2:$D$573,D615,'02b_CSP_Accelerator_Mix'!$E$2:$E$573,F615)</f>
        <v/>
      </c>
      <c r="J615" s="28">
        <f>H615*I615</f>
        <v/>
      </c>
      <c r="K615" s="8">
        <f>IFERROR(INDEX('02x_Accelerator_Catalog'!$D$2:$D$11,MATCH(F615,'02x_Accelerator_Catalog'!$B$2:$B$11,0)),"")</f>
        <v/>
      </c>
      <c r="L615" s="7">
        <f>IF(K615&gt;0,J615*1000/K615,"")</f>
        <v/>
      </c>
      <c r="M615" s="5" t="inlineStr">
        <is>
          <t>legacy_company_gpu_mix_fallback</t>
        </is>
      </c>
      <c r="N615" s="5" t="inlineStr">
        <is>
          <t>Extensible long-format output: add a new accelerator row in 02b and map it in 02x_Accelerator_Catalog to extend this table.</t>
        </is>
      </c>
    </row>
    <row r="616">
      <c r="A616" s="5">
        <f>B616&amp;"|"&amp;C616&amp;"|"&amp;D616&amp;"|"&amp;E616&amp;"|"&amp;F616</f>
        <v/>
      </c>
      <c r="B616" s="5" t="inlineStr">
        <is>
          <t>Bull</t>
        </is>
      </c>
      <c r="C616" s="5" t="inlineStr">
        <is>
          <t>Tencent</t>
        </is>
      </c>
      <c r="D616" s="5" t="n">
        <v>2028</v>
      </c>
      <c r="E616" s="5" t="inlineStr">
        <is>
          <t>Legacy company envelope - Tencent</t>
        </is>
      </c>
      <c r="F616" s="5" t="inlineStr">
        <is>
          <t>GB200/GB300 class</t>
        </is>
      </c>
      <c r="G616" s="5">
        <f>IFERROR(INDEX('02x_Accelerator_Catalog'!$C$2:$C$11,MATCH(F616,'02x_Accelerator_Catalog'!$B$2:$B$11,0)),"purpose_or_unbenchmarked")</f>
        <v/>
      </c>
      <c r="H616" s="28">
        <f>SUMIFS('02c_AI_CSP_Normalized'!$N$2:$N$305,'02c_AI_CSP_Normalized'!$B$2:$B$305,B616,'02c_AI_CSP_Normalized'!$C$2:$C$305,C616,'02c_AI_CSP_Normalized'!$D$2:$D$305,D616,'02c_AI_CSP_Normalized'!$E$2:$E$305,E616)</f>
        <v/>
      </c>
      <c r="I616" s="6">
        <f>SUMIFS('02b_CSP_Accelerator_Mix'!$H$2:$H$573,'02b_CSP_Accelerator_Mix'!$B$2:$B$573,B616,'02b_CSP_Accelerator_Mix'!$C$2:$C$573,E616,'02b_CSP_Accelerator_Mix'!$D$2:$D$573,D616,'02b_CSP_Accelerator_Mix'!$E$2:$E$573,F616)</f>
        <v/>
      </c>
      <c r="J616" s="28">
        <f>H616*I616</f>
        <v/>
      </c>
      <c r="K616" s="8">
        <f>IFERROR(INDEX('02x_Accelerator_Catalog'!$D$2:$D$11,MATCH(F616,'02x_Accelerator_Catalog'!$B$2:$B$11,0)),"")</f>
        <v/>
      </c>
      <c r="L616" s="7">
        <f>IF(K616&gt;0,J616*1000/K616,"")</f>
        <v/>
      </c>
      <c r="M616" s="5" t="inlineStr">
        <is>
          <t>legacy_company_gpu_mix_fallback</t>
        </is>
      </c>
      <c r="N616" s="5" t="inlineStr">
        <is>
          <t>Extensible long-format output: add a new accelerator row in 02b and map it in 02x_Accelerator_Catalog to extend this table.</t>
        </is>
      </c>
    </row>
    <row r="617">
      <c r="A617" s="5">
        <f>B617&amp;"|"&amp;C617&amp;"|"&amp;D617&amp;"|"&amp;E617&amp;"|"&amp;F617</f>
        <v/>
      </c>
      <c r="B617" s="5" t="inlineStr">
        <is>
          <t>Bull</t>
        </is>
      </c>
      <c r="C617" s="5" t="inlineStr">
        <is>
          <t>Tencent</t>
        </is>
      </c>
      <c r="D617" s="5" t="n">
        <v>2028</v>
      </c>
      <c r="E617" s="5" t="inlineStr">
        <is>
          <t>Legacy company envelope - Tencent</t>
        </is>
      </c>
      <c r="F617" s="5" t="inlineStr">
        <is>
          <t>H100/H200/A100 class</t>
        </is>
      </c>
      <c r="G617" s="5">
        <f>IFERROR(INDEX('02x_Accelerator_Catalog'!$C$2:$C$11,MATCH(F617,'02x_Accelerator_Catalog'!$B$2:$B$11,0)),"purpose_or_unbenchmarked")</f>
        <v/>
      </c>
      <c r="H617" s="28">
        <f>SUMIFS('02c_AI_CSP_Normalized'!$N$2:$N$305,'02c_AI_CSP_Normalized'!$B$2:$B$305,B617,'02c_AI_CSP_Normalized'!$C$2:$C$305,C617,'02c_AI_CSP_Normalized'!$D$2:$D$305,D617,'02c_AI_CSP_Normalized'!$E$2:$E$305,E617)</f>
        <v/>
      </c>
      <c r="I617" s="6">
        <f>SUMIFS('02b_CSP_Accelerator_Mix'!$H$2:$H$573,'02b_CSP_Accelerator_Mix'!$B$2:$B$573,B617,'02b_CSP_Accelerator_Mix'!$C$2:$C$573,E617,'02b_CSP_Accelerator_Mix'!$D$2:$D$573,D617,'02b_CSP_Accelerator_Mix'!$E$2:$E$573,F617)</f>
        <v/>
      </c>
      <c r="J617" s="28">
        <f>H617*I617</f>
        <v/>
      </c>
      <c r="K617" s="8">
        <f>IFERROR(INDEX('02x_Accelerator_Catalog'!$D$2:$D$11,MATCH(F617,'02x_Accelerator_Catalog'!$B$2:$B$11,0)),"")</f>
        <v/>
      </c>
      <c r="L617" s="7">
        <f>IF(K617&gt;0,J617*1000/K617,"")</f>
        <v/>
      </c>
      <c r="M617" s="5" t="inlineStr">
        <is>
          <t>legacy_company_gpu_mix_fallback</t>
        </is>
      </c>
      <c r="N617" s="5" t="inlineStr">
        <is>
          <t>Extensible long-format output: add a new accelerator row in 02b and map it in 02x_Accelerator_Catalog to extend this table.</t>
        </is>
      </c>
    </row>
    <row r="618">
      <c r="A618" s="5">
        <f>B618&amp;"|"&amp;C618&amp;"|"&amp;D618&amp;"|"&amp;E618&amp;"|"&amp;F618</f>
        <v/>
      </c>
      <c r="B618" s="5" t="inlineStr">
        <is>
          <t>Bull</t>
        </is>
      </c>
      <c r="C618" s="5" t="inlineStr">
        <is>
          <t>Tencent</t>
        </is>
      </c>
      <c r="D618" s="5" t="n">
        <v>2029</v>
      </c>
      <c r="E618" s="5" t="inlineStr">
        <is>
          <t>Legacy company envelope - Tencent</t>
        </is>
      </c>
      <c r="F618" s="5" t="inlineStr">
        <is>
          <t>B200/B300 class</t>
        </is>
      </c>
      <c r="G618" s="5">
        <f>IFERROR(INDEX('02x_Accelerator_Catalog'!$C$2:$C$11,MATCH(F618,'02x_Accelerator_Catalog'!$B$2:$B$11,0)),"purpose_or_unbenchmarked")</f>
        <v/>
      </c>
      <c r="H618" s="28">
        <f>SUMIFS('02c_AI_CSP_Normalized'!$N$2:$N$305,'02c_AI_CSP_Normalized'!$B$2:$B$305,B618,'02c_AI_CSP_Normalized'!$C$2:$C$305,C618,'02c_AI_CSP_Normalized'!$D$2:$D$305,D618,'02c_AI_CSP_Normalized'!$E$2:$E$305,E618)</f>
        <v/>
      </c>
      <c r="I618" s="6">
        <f>SUMIFS('02b_CSP_Accelerator_Mix'!$H$2:$H$573,'02b_CSP_Accelerator_Mix'!$B$2:$B$573,B618,'02b_CSP_Accelerator_Mix'!$C$2:$C$573,E618,'02b_CSP_Accelerator_Mix'!$D$2:$D$573,D618,'02b_CSP_Accelerator_Mix'!$E$2:$E$573,F618)</f>
        <v/>
      </c>
      <c r="J618" s="28">
        <f>H618*I618</f>
        <v/>
      </c>
      <c r="K618" s="8">
        <f>IFERROR(INDEX('02x_Accelerator_Catalog'!$D$2:$D$11,MATCH(F618,'02x_Accelerator_Catalog'!$B$2:$B$11,0)),"")</f>
        <v/>
      </c>
      <c r="L618" s="7">
        <f>IF(K618&gt;0,J618*1000/K618,"")</f>
        <v/>
      </c>
      <c r="M618" s="5" t="inlineStr">
        <is>
          <t>legacy_company_gpu_mix_fallback</t>
        </is>
      </c>
      <c r="N618" s="5" t="inlineStr">
        <is>
          <t>Extensible long-format output: add a new accelerator row in 02b and map it in 02x_Accelerator_Catalog to extend this table.</t>
        </is>
      </c>
    </row>
    <row r="619">
      <c r="A619" s="5">
        <f>B619&amp;"|"&amp;C619&amp;"|"&amp;D619&amp;"|"&amp;E619&amp;"|"&amp;F619</f>
        <v/>
      </c>
      <c r="B619" s="5" t="inlineStr">
        <is>
          <t>Bull</t>
        </is>
      </c>
      <c r="C619" s="5" t="inlineStr">
        <is>
          <t>Tencent</t>
        </is>
      </c>
      <c r="D619" s="5" t="n">
        <v>2029</v>
      </c>
      <c r="E619" s="5" t="inlineStr">
        <is>
          <t>Legacy company envelope - Tencent</t>
        </is>
      </c>
      <c r="F619" s="5" t="inlineStr">
        <is>
          <t>GB200/GB300 class</t>
        </is>
      </c>
      <c r="G619" s="5">
        <f>IFERROR(INDEX('02x_Accelerator_Catalog'!$C$2:$C$11,MATCH(F619,'02x_Accelerator_Catalog'!$B$2:$B$11,0)),"purpose_or_unbenchmarked")</f>
        <v/>
      </c>
      <c r="H619" s="28">
        <f>SUMIFS('02c_AI_CSP_Normalized'!$N$2:$N$305,'02c_AI_CSP_Normalized'!$B$2:$B$305,B619,'02c_AI_CSP_Normalized'!$C$2:$C$305,C619,'02c_AI_CSP_Normalized'!$D$2:$D$305,D619,'02c_AI_CSP_Normalized'!$E$2:$E$305,E619)</f>
        <v/>
      </c>
      <c r="I619" s="6">
        <f>SUMIFS('02b_CSP_Accelerator_Mix'!$H$2:$H$573,'02b_CSP_Accelerator_Mix'!$B$2:$B$573,B619,'02b_CSP_Accelerator_Mix'!$C$2:$C$573,E619,'02b_CSP_Accelerator_Mix'!$D$2:$D$573,D619,'02b_CSP_Accelerator_Mix'!$E$2:$E$573,F619)</f>
        <v/>
      </c>
      <c r="J619" s="28">
        <f>H619*I619</f>
        <v/>
      </c>
      <c r="K619" s="8">
        <f>IFERROR(INDEX('02x_Accelerator_Catalog'!$D$2:$D$11,MATCH(F619,'02x_Accelerator_Catalog'!$B$2:$B$11,0)),"")</f>
        <v/>
      </c>
      <c r="L619" s="7">
        <f>IF(K619&gt;0,J619*1000/K619,"")</f>
        <v/>
      </c>
      <c r="M619" s="5" t="inlineStr">
        <is>
          <t>legacy_company_gpu_mix_fallback</t>
        </is>
      </c>
      <c r="N619" s="5" t="inlineStr">
        <is>
          <t>Extensible long-format output: add a new accelerator row in 02b and map it in 02x_Accelerator_Catalog to extend this table.</t>
        </is>
      </c>
    </row>
    <row r="620">
      <c r="A620" s="5">
        <f>B620&amp;"|"&amp;C620&amp;"|"&amp;D620&amp;"|"&amp;E620&amp;"|"&amp;F620</f>
        <v/>
      </c>
      <c r="B620" s="5" t="inlineStr">
        <is>
          <t>Bull</t>
        </is>
      </c>
      <c r="C620" s="5" t="inlineStr">
        <is>
          <t>Tencent</t>
        </is>
      </c>
      <c r="D620" s="5" t="n">
        <v>2029</v>
      </c>
      <c r="E620" s="5" t="inlineStr">
        <is>
          <t>Legacy company envelope - Tencent</t>
        </is>
      </c>
      <c r="F620" s="5" t="inlineStr">
        <is>
          <t>H100/H200/A100 class</t>
        </is>
      </c>
      <c r="G620" s="5">
        <f>IFERROR(INDEX('02x_Accelerator_Catalog'!$C$2:$C$11,MATCH(F620,'02x_Accelerator_Catalog'!$B$2:$B$11,0)),"purpose_or_unbenchmarked")</f>
        <v/>
      </c>
      <c r="H620" s="28">
        <f>SUMIFS('02c_AI_CSP_Normalized'!$N$2:$N$305,'02c_AI_CSP_Normalized'!$B$2:$B$305,B620,'02c_AI_CSP_Normalized'!$C$2:$C$305,C620,'02c_AI_CSP_Normalized'!$D$2:$D$305,D620,'02c_AI_CSP_Normalized'!$E$2:$E$305,E620)</f>
        <v/>
      </c>
      <c r="I620" s="6">
        <f>SUMIFS('02b_CSP_Accelerator_Mix'!$H$2:$H$573,'02b_CSP_Accelerator_Mix'!$B$2:$B$573,B620,'02b_CSP_Accelerator_Mix'!$C$2:$C$573,E620,'02b_CSP_Accelerator_Mix'!$D$2:$D$573,D620,'02b_CSP_Accelerator_Mix'!$E$2:$E$573,F620)</f>
        <v/>
      </c>
      <c r="J620" s="28">
        <f>H620*I620</f>
        <v/>
      </c>
      <c r="K620" s="8">
        <f>IFERROR(INDEX('02x_Accelerator_Catalog'!$D$2:$D$11,MATCH(F620,'02x_Accelerator_Catalog'!$B$2:$B$11,0)),"")</f>
        <v/>
      </c>
      <c r="L620" s="7">
        <f>IF(K620&gt;0,J620*1000/K620,"")</f>
        <v/>
      </c>
      <c r="M620" s="5" t="inlineStr">
        <is>
          <t>legacy_company_gpu_mix_fallback</t>
        </is>
      </c>
      <c r="N620" s="5" t="inlineStr">
        <is>
          <t>Extensible long-format output: add a new accelerator row in 02b and map it in 02x_Accelerator_Catalog to extend this table.</t>
        </is>
      </c>
    </row>
    <row r="621">
      <c r="A621" s="5">
        <f>B621&amp;"|"&amp;C621&amp;"|"&amp;D621&amp;"|"&amp;E621&amp;"|"&amp;F621</f>
        <v/>
      </c>
      <c r="B621" s="5" t="inlineStr">
        <is>
          <t>Bull</t>
        </is>
      </c>
      <c r="C621" s="5" t="inlineStr">
        <is>
          <t>Tencent</t>
        </is>
      </c>
      <c r="D621" s="5" t="n">
        <v>2030</v>
      </c>
      <c r="E621" s="5" t="inlineStr">
        <is>
          <t>Legacy company envelope - Tencent</t>
        </is>
      </c>
      <c r="F621" s="5" t="inlineStr">
        <is>
          <t>B200/B300 class</t>
        </is>
      </c>
      <c r="G621" s="5">
        <f>IFERROR(INDEX('02x_Accelerator_Catalog'!$C$2:$C$11,MATCH(F621,'02x_Accelerator_Catalog'!$B$2:$B$11,0)),"purpose_or_unbenchmarked")</f>
        <v/>
      </c>
      <c r="H621" s="28">
        <f>SUMIFS('02c_AI_CSP_Normalized'!$N$2:$N$305,'02c_AI_CSP_Normalized'!$B$2:$B$305,B621,'02c_AI_CSP_Normalized'!$C$2:$C$305,C621,'02c_AI_CSP_Normalized'!$D$2:$D$305,D621,'02c_AI_CSP_Normalized'!$E$2:$E$305,E621)</f>
        <v/>
      </c>
      <c r="I621" s="6">
        <f>SUMIFS('02b_CSP_Accelerator_Mix'!$H$2:$H$573,'02b_CSP_Accelerator_Mix'!$B$2:$B$573,B621,'02b_CSP_Accelerator_Mix'!$C$2:$C$573,E621,'02b_CSP_Accelerator_Mix'!$D$2:$D$573,D621,'02b_CSP_Accelerator_Mix'!$E$2:$E$573,F621)</f>
        <v/>
      </c>
      <c r="J621" s="28">
        <f>H621*I621</f>
        <v/>
      </c>
      <c r="K621" s="8">
        <f>IFERROR(INDEX('02x_Accelerator_Catalog'!$D$2:$D$11,MATCH(F621,'02x_Accelerator_Catalog'!$B$2:$B$11,0)),"")</f>
        <v/>
      </c>
      <c r="L621" s="7">
        <f>IF(K621&gt;0,J621*1000/K621,"")</f>
        <v/>
      </c>
      <c r="M621" s="5" t="inlineStr">
        <is>
          <t>legacy_company_gpu_mix_fallback</t>
        </is>
      </c>
      <c r="N621" s="5" t="inlineStr">
        <is>
          <t>Extensible long-format output: add a new accelerator row in 02b and map it in 02x_Accelerator_Catalog to extend this table.</t>
        </is>
      </c>
    </row>
    <row r="622">
      <c r="A622" s="5">
        <f>B622&amp;"|"&amp;C622&amp;"|"&amp;D622&amp;"|"&amp;E622&amp;"|"&amp;F622</f>
        <v/>
      </c>
      <c r="B622" s="5" t="inlineStr">
        <is>
          <t>Bull</t>
        </is>
      </c>
      <c r="C622" s="5" t="inlineStr">
        <is>
          <t>Tencent</t>
        </is>
      </c>
      <c r="D622" s="5" t="n">
        <v>2030</v>
      </c>
      <c r="E622" s="5" t="inlineStr">
        <is>
          <t>Legacy company envelope - Tencent</t>
        </is>
      </c>
      <c r="F622" s="5" t="inlineStr">
        <is>
          <t>GB200/GB300 class</t>
        </is>
      </c>
      <c r="G622" s="5">
        <f>IFERROR(INDEX('02x_Accelerator_Catalog'!$C$2:$C$11,MATCH(F622,'02x_Accelerator_Catalog'!$B$2:$B$11,0)),"purpose_or_unbenchmarked")</f>
        <v/>
      </c>
      <c r="H622" s="28">
        <f>SUMIFS('02c_AI_CSP_Normalized'!$N$2:$N$305,'02c_AI_CSP_Normalized'!$B$2:$B$305,B622,'02c_AI_CSP_Normalized'!$C$2:$C$305,C622,'02c_AI_CSP_Normalized'!$D$2:$D$305,D622,'02c_AI_CSP_Normalized'!$E$2:$E$305,E622)</f>
        <v/>
      </c>
      <c r="I622" s="6">
        <f>SUMIFS('02b_CSP_Accelerator_Mix'!$H$2:$H$573,'02b_CSP_Accelerator_Mix'!$B$2:$B$573,B622,'02b_CSP_Accelerator_Mix'!$C$2:$C$573,E622,'02b_CSP_Accelerator_Mix'!$D$2:$D$573,D622,'02b_CSP_Accelerator_Mix'!$E$2:$E$573,F622)</f>
        <v/>
      </c>
      <c r="J622" s="28">
        <f>H622*I622</f>
        <v/>
      </c>
      <c r="K622" s="8">
        <f>IFERROR(INDEX('02x_Accelerator_Catalog'!$D$2:$D$11,MATCH(F622,'02x_Accelerator_Catalog'!$B$2:$B$11,0)),"")</f>
        <v/>
      </c>
      <c r="L622" s="7">
        <f>IF(K622&gt;0,J622*1000/K622,"")</f>
        <v/>
      </c>
      <c r="M622" s="5" t="inlineStr">
        <is>
          <t>legacy_company_gpu_mix_fallback</t>
        </is>
      </c>
      <c r="N622" s="5" t="inlineStr">
        <is>
          <t>Extensible long-format output: add a new accelerator row in 02b and map it in 02x_Accelerator_Catalog to extend this table.</t>
        </is>
      </c>
    </row>
    <row r="623">
      <c r="A623" s="5">
        <f>B623&amp;"|"&amp;C623&amp;"|"&amp;D623&amp;"|"&amp;E623&amp;"|"&amp;F623</f>
        <v/>
      </c>
      <c r="B623" s="5" t="inlineStr">
        <is>
          <t>Bull</t>
        </is>
      </c>
      <c r="C623" s="5" t="inlineStr">
        <is>
          <t>Tencent</t>
        </is>
      </c>
      <c r="D623" s="5" t="n">
        <v>2030</v>
      </c>
      <c r="E623" s="5" t="inlineStr">
        <is>
          <t>Legacy company envelope - Tencent</t>
        </is>
      </c>
      <c r="F623" s="5" t="inlineStr">
        <is>
          <t>H100/H200/A100 class</t>
        </is>
      </c>
      <c r="G623" s="5">
        <f>IFERROR(INDEX('02x_Accelerator_Catalog'!$C$2:$C$11,MATCH(F623,'02x_Accelerator_Catalog'!$B$2:$B$11,0)),"purpose_or_unbenchmarked")</f>
        <v/>
      </c>
      <c r="H623" s="28">
        <f>SUMIFS('02c_AI_CSP_Normalized'!$N$2:$N$305,'02c_AI_CSP_Normalized'!$B$2:$B$305,B623,'02c_AI_CSP_Normalized'!$C$2:$C$305,C623,'02c_AI_CSP_Normalized'!$D$2:$D$305,D623,'02c_AI_CSP_Normalized'!$E$2:$E$305,E623)</f>
        <v/>
      </c>
      <c r="I623" s="6">
        <f>SUMIFS('02b_CSP_Accelerator_Mix'!$H$2:$H$573,'02b_CSP_Accelerator_Mix'!$B$2:$B$573,B623,'02b_CSP_Accelerator_Mix'!$C$2:$C$573,E623,'02b_CSP_Accelerator_Mix'!$D$2:$D$573,D623,'02b_CSP_Accelerator_Mix'!$E$2:$E$573,F623)</f>
        <v/>
      </c>
      <c r="J623" s="28">
        <f>H623*I623</f>
        <v/>
      </c>
      <c r="K623" s="8">
        <f>IFERROR(INDEX('02x_Accelerator_Catalog'!$D$2:$D$11,MATCH(F623,'02x_Accelerator_Catalog'!$B$2:$B$11,0)),"")</f>
        <v/>
      </c>
      <c r="L623" s="7">
        <f>IF(K623&gt;0,J623*1000/K623,"")</f>
        <v/>
      </c>
      <c r="M623" s="5" t="inlineStr">
        <is>
          <t>legacy_company_gpu_mix_fallback</t>
        </is>
      </c>
      <c r="N623" s="5" t="inlineStr">
        <is>
          <t>Extensible long-format output: add a new accelerator row in 02b and map it in 02x_Accelerator_Catalog to extend this table.</t>
        </is>
      </c>
    </row>
    <row r="624">
      <c r="A624" s="5">
        <f>B624&amp;"|"&amp;C624&amp;"|"&amp;D624&amp;"|"&amp;E624&amp;"|"&amp;F624</f>
        <v/>
      </c>
      <c r="B624" s="5" t="inlineStr">
        <is>
          <t>Grid-Constrained / Efficiency-Upside</t>
        </is>
      </c>
      <c r="C624" s="5" t="inlineStr">
        <is>
          <t>DeepSeek</t>
        </is>
      </c>
      <c r="D624" s="5" t="n">
        <v>2026</v>
      </c>
      <c r="E624" s="5" t="inlineStr">
        <is>
          <t>Legacy company envelope - DeepSeek</t>
        </is>
      </c>
      <c r="F624" s="5" t="inlineStr">
        <is>
          <t>B200/B300 class</t>
        </is>
      </c>
      <c r="G624" s="5">
        <f>IFERROR(INDEX('02x_Accelerator_Catalog'!$C$2:$C$11,MATCH(F624,'02x_Accelerator_Catalog'!$B$2:$B$11,0)),"purpose_or_unbenchmarked")</f>
        <v/>
      </c>
      <c r="H624" s="28">
        <f>SUMIFS('02c_AI_CSP_Normalized'!$N$2:$N$305,'02c_AI_CSP_Normalized'!$B$2:$B$305,B624,'02c_AI_CSP_Normalized'!$C$2:$C$305,C624,'02c_AI_CSP_Normalized'!$D$2:$D$305,D624,'02c_AI_CSP_Normalized'!$E$2:$E$305,E624)</f>
        <v/>
      </c>
      <c r="I624" s="6">
        <f>SUMIFS('02b_CSP_Accelerator_Mix'!$H$2:$H$573,'02b_CSP_Accelerator_Mix'!$B$2:$B$573,B624,'02b_CSP_Accelerator_Mix'!$C$2:$C$573,E624,'02b_CSP_Accelerator_Mix'!$D$2:$D$573,D624,'02b_CSP_Accelerator_Mix'!$E$2:$E$573,F624)</f>
        <v/>
      </c>
      <c r="J624" s="28">
        <f>H624*I624</f>
        <v/>
      </c>
      <c r="K624" s="8">
        <f>IFERROR(INDEX('02x_Accelerator_Catalog'!$D$2:$D$11,MATCH(F624,'02x_Accelerator_Catalog'!$B$2:$B$11,0)),"")</f>
        <v/>
      </c>
      <c r="L624" s="7">
        <f>IF(K624&gt;0,J624*1000/K624,"")</f>
        <v/>
      </c>
      <c r="M624" s="5" t="inlineStr">
        <is>
          <t>legacy_company_gpu_mix_fallback</t>
        </is>
      </c>
      <c r="N624" s="5" t="inlineStr">
        <is>
          <t>Extensible long-format output: add a new accelerator row in 02b and map it in 02x_Accelerator_Catalog to extend this table.</t>
        </is>
      </c>
    </row>
    <row r="625">
      <c r="A625" s="5">
        <f>B625&amp;"|"&amp;C625&amp;"|"&amp;D625&amp;"|"&amp;E625&amp;"|"&amp;F625</f>
        <v/>
      </c>
      <c r="B625" s="5" t="inlineStr">
        <is>
          <t>Grid-Constrained / Efficiency-Upside</t>
        </is>
      </c>
      <c r="C625" s="5" t="inlineStr">
        <is>
          <t>DeepSeek</t>
        </is>
      </c>
      <c r="D625" s="5" t="n">
        <v>2026</v>
      </c>
      <c r="E625" s="5" t="inlineStr">
        <is>
          <t>Legacy company envelope - DeepSeek</t>
        </is>
      </c>
      <c r="F625" s="5" t="inlineStr">
        <is>
          <t>GB200/GB300 class</t>
        </is>
      </c>
      <c r="G625" s="5">
        <f>IFERROR(INDEX('02x_Accelerator_Catalog'!$C$2:$C$11,MATCH(F625,'02x_Accelerator_Catalog'!$B$2:$B$11,0)),"purpose_or_unbenchmarked")</f>
        <v/>
      </c>
      <c r="H625" s="28">
        <f>SUMIFS('02c_AI_CSP_Normalized'!$N$2:$N$305,'02c_AI_CSP_Normalized'!$B$2:$B$305,B625,'02c_AI_CSP_Normalized'!$C$2:$C$305,C625,'02c_AI_CSP_Normalized'!$D$2:$D$305,D625,'02c_AI_CSP_Normalized'!$E$2:$E$305,E625)</f>
        <v/>
      </c>
      <c r="I625" s="6">
        <f>SUMIFS('02b_CSP_Accelerator_Mix'!$H$2:$H$573,'02b_CSP_Accelerator_Mix'!$B$2:$B$573,B625,'02b_CSP_Accelerator_Mix'!$C$2:$C$573,E625,'02b_CSP_Accelerator_Mix'!$D$2:$D$573,D625,'02b_CSP_Accelerator_Mix'!$E$2:$E$573,F625)</f>
        <v/>
      </c>
      <c r="J625" s="28">
        <f>H625*I625</f>
        <v/>
      </c>
      <c r="K625" s="8">
        <f>IFERROR(INDEX('02x_Accelerator_Catalog'!$D$2:$D$11,MATCH(F625,'02x_Accelerator_Catalog'!$B$2:$B$11,0)),"")</f>
        <v/>
      </c>
      <c r="L625" s="7">
        <f>IF(K625&gt;0,J625*1000/K625,"")</f>
        <v/>
      </c>
      <c r="M625" s="5" t="inlineStr">
        <is>
          <t>legacy_company_gpu_mix_fallback</t>
        </is>
      </c>
      <c r="N625" s="5" t="inlineStr">
        <is>
          <t>Extensible long-format output: add a new accelerator row in 02b and map it in 02x_Accelerator_Catalog to extend this table.</t>
        </is>
      </c>
    </row>
    <row r="626">
      <c r="A626" s="5">
        <f>B626&amp;"|"&amp;C626&amp;"|"&amp;D626&amp;"|"&amp;E626&amp;"|"&amp;F626</f>
        <v/>
      </c>
      <c r="B626" s="5" t="inlineStr">
        <is>
          <t>Grid-Constrained / Efficiency-Upside</t>
        </is>
      </c>
      <c r="C626" s="5" t="inlineStr">
        <is>
          <t>DeepSeek</t>
        </is>
      </c>
      <c r="D626" s="5" t="n">
        <v>2026</v>
      </c>
      <c r="E626" s="5" t="inlineStr">
        <is>
          <t>Legacy company envelope - DeepSeek</t>
        </is>
      </c>
      <c r="F626" s="5" t="inlineStr">
        <is>
          <t>H100/H200/A100 class</t>
        </is>
      </c>
      <c r="G626" s="5">
        <f>IFERROR(INDEX('02x_Accelerator_Catalog'!$C$2:$C$11,MATCH(F626,'02x_Accelerator_Catalog'!$B$2:$B$11,0)),"purpose_or_unbenchmarked")</f>
        <v/>
      </c>
      <c r="H626" s="28">
        <f>SUMIFS('02c_AI_CSP_Normalized'!$N$2:$N$305,'02c_AI_CSP_Normalized'!$B$2:$B$305,B626,'02c_AI_CSP_Normalized'!$C$2:$C$305,C626,'02c_AI_CSP_Normalized'!$D$2:$D$305,D626,'02c_AI_CSP_Normalized'!$E$2:$E$305,E626)</f>
        <v/>
      </c>
      <c r="I626" s="6">
        <f>SUMIFS('02b_CSP_Accelerator_Mix'!$H$2:$H$573,'02b_CSP_Accelerator_Mix'!$B$2:$B$573,B626,'02b_CSP_Accelerator_Mix'!$C$2:$C$573,E626,'02b_CSP_Accelerator_Mix'!$D$2:$D$573,D626,'02b_CSP_Accelerator_Mix'!$E$2:$E$573,F626)</f>
        <v/>
      </c>
      <c r="J626" s="28">
        <f>H626*I626</f>
        <v/>
      </c>
      <c r="K626" s="8">
        <f>IFERROR(INDEX('02x_Accelerator_Catalog'!$D$2:$D$11,MATCH(F626,'02x_Accelerator_Catalog'!$B$2:$B$11,0)),"")</f>
        <v/>
      </c>
      <c r="L626" s="7">
        <f>IF(K626&gt;0,J626*1000/K626,"")</f>
        <v/>
      </c>
      <c r="M626" s="5" t="inlineStr">
        <is>
          <t>legacy_company_gpu_mix_fallback</t>
        </is>
      </c>
      <c r="N626" s="5" t="inlineStr">
        <is>
          <t>Extensible long-format output: add a new accelerator row in 02b and map it in 02x_Accelerator_Catalog to extend this table.</t>
        </is>
      </c>
    </row>
    <row r="627">
      <c r="A627" s="5">
        <f>B627&amp;"|"&amp;C627&amp;"|"&amp;D627&amp;"|"&amp;E627&amp;"|"&amp;F627</f>
        <v/>
      </c>
      <c r="B627" s="5" t="inlineStr">
        <is>
          <t>Grid-Constrained / Efficiency-Upside</t>
        </is>
      </c>
      <c r="C627" s="5" t="inlineStr">
        <is>
          <t>DeepSeek</t>
        </is>
      </c>
      <c r="D627" s="5" t="n">
        <v>2027</v>
      </c>
      <c r="E627" s="5" t="inlineStr">
        <is>
          <t>Legacy company envelope - DeepSeek</t>
        </is>
      </c>
      <c r="F627" s="5" t="inlineStr">
        <is>
          <t>B200/B300 class</t>
        </is>
      </c>
      <c r="G627" s="5">
        <f>IFERROR(INDEX('02x_Accelerator_Catalog'!$C$2:$C$11,MATCH(F627,'02x_Accelerator_Catalog'!$B$2:$B$11,0)),"purpose_or_unbenchmarked")</f>
        <v/>
      </c>
      <c r="H627" s="28">
        <f>SUMIFS('02c_AI_CSP_Normalized'!$N$2:$N$305,'02c_AI_CSP_Normalized'!$B$2:$B$305,B627,'02c_AI_CSP_Normalized'!$C$2:$C$305,C627,'02c_AI_CSP_Normalized'!$D$2:$D$305,D627,'02c_AI_CSP_Normalized'!$E$2:$E$305,E627)</f>
        <v/>
      </c>
      <c r="I627" s="6">
        <f>SUMIFS('02b_CSP_Accelerator_Mix'!$H$2:$H$573,'02b_CSP_Accelerator_Mix'!$B$2:$B$573,B627,'02b_CSP_Accelerator_Mix'!$C$2:$C$573,E627,'02b_CSP_Accelerator_Mix'!$D$2:$D$573,D627,'02b_CSP_Accelerator_Mix'!$E$2:$E$573,F627)</f>
        <v/>
      </c>
      <c r="J627" s="28">
        <f>H627*I627</f>
        <v/>
      </c>
      <c r="K627" s="8">
        <f>IFERROR(INDEX('02x_Accelerator_Catalog'!$D$2:$D$11,MATCH(F627,'02x_Accelerator_Catalog'!$B$2:$B$11,0)),"")</f>
        <v/>
      </c>
      <c r="L627" s="7">
        <f>IF(K627&gt;0,J627*1000/K627,"")</f>
        <v/>
      </c>
      <c r="M627" s="5" t="inlineStr">
        <is>
          <t>legacy_company_gpu_mix_fallback</t>
        </is>
      </c>
      <c r="N627" s="5" t="inlineStr">
        <is>
          <t>Extensible long-format output: add a new accelerator row in 02b and map it in 02x_Accelerator_Catalog to extend this table.</t>
        </is>
      </c>
    </row>
    <row r="628">
      <c r="A628" s="5">
        <f>B628&amp;"|"&amp;C628&amp;"|"&amp;D628&amp;"|"&amp;E628&amp;"|"&amp;F628</f>
        <v/>
      </c>
      <c r="B628" s="5" t="inlineStr">
        <is>
          <t>Grid-Constrained / Efficiency-Upside</t>
        </is>
      </c>
      <c r="C628" s="5" t="inlineStr">
        <is>
          <t>DeepSeek</t>
        </is>
      </c>
      <c r="D628" s="5" t="n">
        <v>2027</v>
      </c>
      <c r="E628" s="5" t="inlineStr">
        <is>
          <t>Legacy company envelope - DeepSeek</t>
        </is>
      </c>
      <c r="F628" s="5" t="inlineStr">
        <is>
          <t>GB200/GB300 class</t>
        </is>
      </c>
      <c r="G628" s="5">
        <f>IFERROR(INDEX('02x_Accelerator_Catalog'!$C$2:$C$11,MATCH(F628,'02x_Accelerator_Catalog'!$B$2:$B$11,0)),"purpose_or_unbenchmarked")</f>
        <v/>
      </c>
      <c r="H628" s="28">
        <f>SUMIFS('02c_AI_CSP_Normalized'!$N$2:$N$305,'02c_AI_CSP_Normalized'!$B$2:$B$305,B628,'02c_AI_CSP_Normalized'!$C$2:$C$305,C628,'02c_AI_CSP_Normalized'!$D$2:$D$305,D628,'02c_AI_CSP_Normalized'!$E$2:$E$305,E628)</f>
        <v/>
      </c>
      <c r="I628" s="6">
        <f>SUMIFS('02b_CSP_Accelerator_Mix'!$H$2:$H$573,'02b_CSP_Accelerator_Mix'!$B$2:$B$573,B628,'02b_CSP_Accelerator_Mix'!$C$2:$C$573,E628,'02b_CSP_Accelerator_Mix'!$D$2:$D$573,D628,'02b_CSP_Accelerator_Mix'!$E$2:$E$573,F628)</f>
        <v/>
      </c>
      <c r="J628" s="28">
        <f>H628*I628</f>
        <v/>
      </c>
      <c r="K628" s="8">
        <f>IFERROR(INDEX('02x_Accelerator_Catalog'!$D$2:$D$11,MATCH(F628,'02x_Accelerator_Catalog'!$B$2:$B$11,0)),"")</f>
        <v/>
      </c>
      <c r="L628" s="7">
        <f>IF(K628&gt;0,J628*1000/K628,"")</f>
        <v/>
      </c>
      <c r="M628" s="5" t="inlineStr">
        <is>
          <t>legacy_company_gpu_mix_fallback</t>
        </is>
      </c>
      <c r="N628" s="5" t="inlineStr">
        <is>
          <t>Extensible long-format output: add a new accelerator row in 02b and map it in 02x_Accelerator_Catalog to extend this table.</t>
        </is>
      </c>
    </row>
    <row r="629">
      <c r="A629" s="5">
        <f>B629&amp;"|"&amp;C629&amp;"|"&amp;D629&amp;"|"&amp;E629&amp;"|"&amp;F629</f>
        <v/>
      </c>
      <c r="B629" s="5" t="inlineStr">
        <is>
          <t>Grid-Constrained / Efficiency-Upside</t>
        </is>
      </c>
      <c r="C629" s="5" t="inlineStr">
        <is>
          <t>DeepSeek</t>
        </is>
      </c>
      <c r="D629" s="5" t="n">
        <v>2027</v>
      </c>
      <c r="E629" s="5" t="inlineStr">
        <is>
          <t>Legacy company envelope - DeepSeek</t>
        </is>
      </c>
      <c r="F629" s="5" t="inlineStr">
        <is>
          <t>H100/H200/A100 class</t>
        </is>
      </c>
      <c r="G629" s="5">
        <f>IFERROR(INDEX('02x_Accelerator_Catalog'!$C$2:$C$11,MATCH(F629,'02x_Accelerator_Catalog'!$B$2:$B$11,0)),"purpose_or_unbenchmarked")</f>
        <v/>
      </c>
      <c r="H629" s="28">
        <f>SUMIFS('02c_AI_CSP_Normalized'!$N$2:$N$305,'02c_AI_CSP_Normalized'!$B$2:$B$305,B629,'02c_AI_CSP_Normalized'!$C$2:$C$305,C629,'02c_AI_CSP_Normalized'!$D$2:$D$305,D629,'02c_AI_CSP_Normalized'!$E$2:$E$305,E629)</f>
        <v/>
      </c>
      <c r="I629" s="6">
        <f>SUMIFS('02b_CSP_Accelerator_Mix'!$H$2:$H$573,'02b_CSP_Accelerator_Mix'!$B$2:$B$573,B629,'02b_CSP_Accelerator_Mix'!$C$2:$C$573,E629,'02b_CSP_Accelerator_Mix'!$D$2:$D$573,D629,'02b_CSP_Accelerator_Mix'!$E$2:$E$573,F629)</f>
        <v/>
      </c>
      <c r="J629" s="28">
        <f>H629*I629</f>
        <v/>
      </c>
      <c r="K629" s="8">
        <f>IFERROR(INDEX('02x_Accelerator_Catalog'!$D$2:$D$11,MATCH(F629,'02x_Accelerator_Catalog'!$B$2:$B$11,0)),"")</f>
        <v/>
      </c>
      <c r="L629" s="7">
        <f>IF(K629&gt;0,J629*1000/K629,"")</f>
        <v/>
      </c>
      <c r="M629" s="5" t="inlineStr">
        <is>
          <t>legacy_company_gpu_mix_fallback</t>
        </is>
      </c>
      <c r="N629" s="5" t="inlineStr">
        <is>
          <t>Extensible long-format output: add a new accelerator row in 02b and map it in 02x_Accelerator_Catalog to extend this table.</t>
        </is>
      </c>
    </row>
    <row r="630">
      <c r="A630" s="5">
        <f>B630&amp;"|"&amp;C630&amp;"|"&amp;D630&amp;"|"&amp;E630&amp;"|"&amp;F630</f>
        <v/>
      </c>
      <c r="B630" s="5" t="inlineStr">
        <is>
          <t>Grid-Constrained / Efficiency-Upside</t>
        </is>
      </c>
      <c r="C630" s="5" t="inlineStr">
        <is>
          <t>DeepSeek</t>
        </is>
      </c>
      <c r="D630" s="5" t="n">
        <v>2028</v>
      </c>
      <c r="E630" s="5" t="inlineStr">
        <is>
          <t>Legacy company envelope - DeepSeek</t>
        </is>
      </c>
      <c r="F630" s="5" t="inlineStr">
        <is>
          <t>B200/B300 class</t>
        </is>
      </c>
      <c r="G630" s="5">
        <f>IFERROR(INDEX('02x_Accelerator_Catalog'!$C$2:$C$11,MATCH(F630,'02x_Accelerator_Catalog'!$B$2:$B$11,0)),"purpose_or_unbenchmarked")</f>
        <v/>
      </c>
      <c r="H630" s="28">
        <f>SUMIFS('02c_AI_CSP_Normalized'!$N$2:$N$305,'02c_AI_CSP_Normalized'!$B$2:$B$305,B630,'02c_AI_CSP_Normalized'!$C$2:$C$305,C630,'02c_AI_CSP_Normalized'!$D$2:$D$305,D630,'02c_AI_CSP_Normalized'!$E$2:$E$305,E630)</f>
        <v/>
      </c>
      <c r="I630" s="6">
        <f>SUMIFS('02b_CSP_Accelerator_Mix'!$H$2:$H$573,'02b_CSP_Accelerator_Mix'!$B$2:$B$573,B630,'02b_CSP_Accelerator_Mix'!$C$2:$C$573,E630,'02b_CSP_Accelerator_Mix'!$D$2:$D$573,D630,'02b_CSP_Accelerator_Mix'!$E$2:$E$573,F630)</f>
        <v/>
      </c>
      <c r="J630" s="28">
        <f>H630*I630</f>
        <v/>
      </c>
      <c r="K630" s="8">
        <f>IFERROR(INDEX('02x_Accelerator_Catalog'!$D$2:$D$11,MATCH(F630,'02x_Accelerator_Catalog'!$B$2:$B$11,0)),"")</f>
        <v/>
      </c>
      <c r="L630" s="7">
        <f>IF(K630&gt;0,J630*1000/K630,"")</f>
        <v/>
      </c>
      <c r="M630" s="5" t="inlineStr">
        <is>
          <t>legacy_company_gpu_mix_fallback</t>
        </is>
      </c>
      <c r="N630" s="5" t="inlineStr">
        <is>
          <t>Extensible long-format output: add a new accelerator row in 02b and map it in 02x_Accelerator_Catalog to extend this table.</t>
        </is>
      </c>
    </row>
    <row r="631">
      <c r="A631" s="5">
        <f>B631&amp;"|"&amp;C631&amp;"|"&amp;D631&amp;"|"&amp;E631&amp;"|"&amp;F631</f>
        <v/>
      </c>
      <c r="B631" s="5" t="inlineStr">
        <is>
          <t>Grid-Constrained / Efficiency-Upside</t>
        </is>
      </c>
      <c r="C631" s="5" t="inlineStr">
        <is>
          <t>DeepSeek</t>
        </is>
      </c>
      <c r="D631" s="5" t="n">
        <v>2028</v>
      </c>
      <c r="E631" s="5" t="inlineStr">
        <is>
          <t>Legacy company envelope - DeepSeek</t>
        </is>
      </c>
      <c r="F631" s="5" t="inlineStr">
        <is>
          <t>GB200/GB300 class</t>
        </is>
      </c>
      <c r="G631" s="5">
        <f>IFERROR(INDEX('02x_Accelerator_Catalog'!$C$2:$C$11,MATCH(F631,'02x_Accelerator_Catalog'!$B$2:$B$11,0)),"purpose_or_unbenchmarked")</f>
        <v/>
      </c>
      <c r="H631" s="28">
        <f>SUMIFS('02c_AI_CSP_Normalized'!$N$2:$N$305,'02c_AI_CSP_Normalized'!$B$2:$B$305,B631,'02c_AI_CSP_Normalized'!$C$2:$C$305,C631,'02c_AI_CSP_Normalized'!$D$2:$D$305,D631,'02c_AI_CSP_Normalized'!$E$2:$E$305,E631)</f>
        <v/>
      </c>
      <c r="I631" s="6">
        <f>SUMIFS('02b_CSP_Accelerator_Mix'!$H$2:$H$573,'02b_CSP_Accelerator_Mix'!$B$2:$B$573,B631,'02b_CSP_Accelerator_Mix'!$C$2:$C$573,E631,'02b_CSP_Accelerator_Mix'!$D$2:$D$573,D631,'02b_CSP_Accelerator_Mix'!$E$2:$E$573,F631)</f>
        <v/>
      </c>
      <c r="J631" s="28">
        <f>H631*I631</f>
        <v/>
      </c>
      <c r="K631" s="8">
        <f>IFERROR(INDEX('02x_Accelerator_Catalog'!$D$2:$D$11,MATCH(F631,'02x_Accelerator_Catalog'!$B$2:$B$11,0)),"")</f>
        <v/>
      </c>
      <c r="L631" s="7">
        <f>IF(K631&gt;0,J631*1000/K631,"")</f>
        <v/>
      </c>
      <c r="M631" s="5" t="inlineStr">
        <is>
          <t>legacy_company_gpu_mix_fallback</t>
        </is>
      </c>
      <c r="N631" s="5" t="inlineStr">
        <is>
          <t>Extensible long-format output: add a new accelerator row in 02b and map it in 02x_Accelerator_Catalog to extend this table.</t>
        </is>
      </c>
    </row>
    <row r="632">
      <c r="A632" s="5">
        <f>B632&amp;"|"&amp;C632&amp;"|"&amp;D632&amp;"|"&amp;E632&amp;"|"&amp;F632</f>
        <v/>
      </c>
      <c r="B632" s="5" t="inlineStr">
        <is>
          <t>Grid-Constrained / Efficiency-Upside</t>
        </is>
      </c>
      <c r="C632" s="5" t="inlineStr">
        <is>
          <t>DeepSeek</t>
        </is>
      </c>
      <c r="D632" s="5" t="n">
        <v>2028</v>
      </c>
      <c r="E632" s="5" t="inlineStr">
        <is>
          <t>Legacy company envelope - DeepSeek</t>
        </is>
      </c>
      <c r="F632" s="5" t="inlineStr">
        <is>
          <t>H100/H200/A100 class</t>
        </is>
      </c>
      <c r="G632" s="5">
        <f>IFERROR(INDEX('02x_Accelerator_Catalog'!$C$2:$C$11,MATCH(F632,'02x_Accelerator_Catalog'!$B$2:$B$11,0)),"purpose_or_unbenchmarked")</f>
        <v/>
      </c>
      <c r="H632" s="28">
        <f>SUMIFS('02c_AI_CSP_Normalized'!$N$2:$N$305,'02c_AI_CSP_Normalized'!$B$2:$B$305,B632,'02c_AI_CSP_Normalized'!$C$2:$C$305,C632,'02c_AI_CSP_Normalized'!$D$2:$D$305,D632,'02c_AI_CSP_Normalized'!$E$2:$E$305,E632)</f>
        <v/>
      </c>
      <c r="I632" s="6">
        <f>SUMIFS('02b_CSP_Accelerator_Mix'!$H$2:$H$573,'02b_CSP_Accelerator_Mix'!$B$2:$B$573,B632,'02b_CSP_Accelerator_Mix'!$C$2:$C$573,E632,'02b_CSP_Accelerator_Mix'!$D$2:$D$573,D632,'02b_CSP_Accelerator_Mix'!$E$2:$E$573,F632)</f>
        <v/>
      </c>
      <c r="J632" s="28">
        <f>H632*I632</f>
        <v/>
      </c>
      <c r="K632" s="8">
        <f>IFERROR(INDEX('02x_Accelerator_Catalog'!$D$2:$D$11,MATCH(F632,'02x_Accelerator_Catalog'!$B$2:$B$11,0)),"")</f>
        <v/>
      </c>
      <c r="L632" s="7">
        <f>IF(K632&gt;0,J632*1000/K632,"")</f>
        <v/>
      </c>
      <c r="M632" s="5" t="inlineStr">
        <is>
          <t>legacy_company_gpu_mix_fallback</t>
        </is>
      </c>
      <c r="N632" s="5" t="inlineStr">
        <is>
          <t>Extensible long-format output: add a new accelerator row in 02b and map it in 02x_Accelerator_Catalog to extend this table.</t>
        </is>
      </c>
    </row>
    <row r="633">
      <c r="A633" s="5">
        <f>B633&amp;"|"&amp;C633&amp;"|"&amp;D633&amp;"|"&amp;E633&amp;"|"&amp;F633</f>
        <v/>
      </c>
      <c r="B633" s="5" t="inlineStr">
        <is>
          <t>Grid-Constrained / Efficiency-Upside</t>
        </is>
      </c>
      <c r="C633" s="5" t="inlineStr">
        <is>
          <t>DeepSeek</t>
        </is>
      </c>
      <c r="D633" s="5" t="n">
        <v>2029</v>
      </c>
      <c r="E633" s="5" t="inlineStr">
        <is>
          <t>Legacy company envelope - DeepSeek</t>
        </is>
      </c>
      <c r="F633" s="5" t="inlineStr">
        <is>
          <t>B200/B300 class</t>
        </is>
      </c>
      <c r="G633" s="5">
        <f>IFERROR(INDEX('02x_Accelerator_Catalog'!$C$2:$C$11,MATCH(F633,'02x_Accelerator_Catalog'!$B$2:$B$11,0)),"purpose_or_unbenchmarked")</f>
        <v/>
      </c>
      <c r="H633" s="28">
        <f>SUMIFS('02c_AI_CSP_Normalized'!$N$2:$N$305,'02c_AI_CSP_Normalized'!$B$2:$B$305,B633,'02c_AI_CSP_Normalized'!$C$2:$C$305,C633,'02c_AI_CSP_Normalized'!$D$2:$D$305,D633,'02c_AI_CSP_Normalized'!$E$2:$E$305,E633)</f>
        <v/>
      </c>
      <c r="I633" s="6">
        <f>SUMIFS('02b_CSP_Accelerator_Mix'!$H$2:$H$573,'02b_CSP_Accelerator_Mix'!$B$2:$B$573,B633,'02b_CSP_Accelerator_Mix'!$C$2:$C$573,E633,'02b_CSP_Accelerator_Mix'!$D$2:$D$573,D633,'02b_CSP_Accelerator_Mix'!$E$2:$E$573,F633)</f>
        <v/>
      </c>
      <c r="J633" s="28">
        <f>H633*I633</f>
        <v/>
      </c>
      <c r="K633" s="8">
        <f>IFERROR(INDEX('02x_Accelerator_Catalog'!$D$2:$D$11,MATCH(F633,'02x_Accelerator_Catalog'!$B$2:$B$11,0)),"")</f>
        <v/>
      </c>
      <c r="L633" s="7">
        <f>IF(K633&gt;0,J633*1000/K633,"")</f>
        <v/>
      </c>
      <c r="M633" s="5" t="inlineStr">
        <is>
          <t>legacy_company_gpu_mix_fallback</t>
        </is>
      </c>
      <c r="N633" s="5" t="inlineStr">
        <is>
          <t>Extensible long-format output: add a new accelerator row in 02b and map it in 02x_Accelerator_Catalog to extend this table.</t>
        </is>
      </c>
    </row>
    <row r="634">
      <c r="A634" s="5">
        <f>B634&amp;"|"&amp;C634&amp;"|"&amp;D634&amp;"|"&amp;E634&amp;"|"&amp;F634</f>
        <v/>
      </c>
      <c r="B634" s="5" t="inlineStr">
        <is>
          <t>Grid-Constrained / Efficiency-Upside</t>
        </is>
      </c>
      <c r="C634" s="5" t="inlineStr">
        <is>
          <t>DeepSeek</t>
        </is>
      </c>
      <c r="D634" s="5" t="n">
        <v>2029</v>
      </c>
      <c r="E634" s="5" t="inlineStr">
        <is>
          <t>Legacy company envelope - DeepSeek</t>
        </is>
      </c>
      <c r="F634" s="5" t="inlineStr">
        <is>
          <t>GB200/GB300 class</t>
        </is>
      </c>
      <c r="G634" s="5">
        <f>IFERROR(INDEX('02x_Accelerator_Catalog'!$C$2:$C$11,MATCH(F634,'02x_Accelerator_Catalog'!$B$2:$B$11,0)),"purpose_or_unbenchmarked")</f>
        <v/>
      </c>
      <c r="H634" s="28">
        <f>SUMIFS('02c_AI_CSP_Normalized'!$N$2:$N$305,'02c_AI_CSP_Normalized'!$B$2:$B$305,B634,'02c_AI_CSP_Normalized'!$C$2:$C$305,C634,'02c_AI_CSP_Normalized'!$D$2:$D$305,D634,'02c_AI_CSP_Normalized'!$E$2:$E$305,E634)</f>
        <v/>
      </c>
      <c r="I634" s="6">
        <f>SUMIFS('02b_CSP_Accelerator_Mix'!$H$2:$H$573,'02b_CSP_Accelerator_Mix'!$B$2:$B$573,B634,'02b_CSP_Accelerator_Mix'!$C$2:$C$573,E634,'02b_CSP_Accelerator_Mix'!$D$2:$D$573,D634,'02b_CSP_Accelerator_Mix'!$E$2:$E$573,F634)</f>
        <v/>
      </c>
      <c r="J634" s="28">
        <f>H634*I634</f>
        <v/>
      </c>
      <c r="K634" s="8">
        <f>IFERROR(INDEX('02x_Accelerator_Catalog'!$D$2:$D$11,MATCH(F634,'02x_Accelerator_Catalog'!$B$2:$B$11,0)),"")</f>
        <v/>
      </c>
      <c r="L634" s="7">
        <f>IF(K634&gt;0,J634*1000/K634,"")</f>
        <v/>
      </c>
      <c r="M634" s="5" t="inlineStr">
        <is>
          <t>legacy_company_gpu_mix_fallback</t>
        </is>
      </c>
      <c r="N634" s="5" t="inlineStr">
        <is>
          <t>Extensible long-format output: add a new accelerator row in 02b and map it in 02x_Accelerator_Catalog to extend this table.</t>
        </is>
      </c>
    </row>
    <row r="635">
      <c r="A635" s="5">
        <f>B635&amp;"|"&amp;C635&amp;"|"&amp;D635&amp;"|"&amp;E635&amp;"|"&amp;F635</f>
        <v/>
      </c>
      <c r="B635" s="5" t="inlineStr">
        <is>
          <t>Grid-Constrained / Efficiency-Upside</t>
        </is>
      </c>
      <c r="C635" s="5" t="inlineStr">
        <is>
          <t>DeepSeek</t>
        </is>
      </c>
      <c r="D635" s="5" t="n">
        <v>2029</v>
      </c>
      <c r="E635" s="5" t="inlineStr">
        <is>
          <t>Legacy company envelope - DeepSeek</t>
        </is>
      </c>
      <c r="F635" s="5" t="inlineStr">
        <is>
          <t>H100/H200/A100 class</t>
        </is>
      </c>
      <c r="G635" s="5">
        <f>IFERROR(INDEX('02x_Accelerator_Catalog'!$C$2:$C$11,MATCH(F635,'02x_Accelerator_Catalog'!$B$2:$B$11,0)),"purpose_or_unbenchmarked")</f>
        <v/>
      </c>
      <c r="H635" s="28">
        <f>SUMIFS('02c_AI_CSP_Normalized'!$N$2:$N$305,'02c_AI_CSP_Normalized'!$B$2:$B$305,B635,'02c_AI_CSP_Normalized'!$C$2:$C$305,C635,'02c_AI_CSP_Normalized'!$D$2:$D$305,D635,'02c_AI_CSP_Normalized'!$E$2:$E$305,E635)</f>
        <v/>
      </c>
      <c r="I635" s="6">
        <f>SUMIFS('02b_CSP_Accelerator_Mix'!$H$2:$H$573,'02b_CSP_Accelerator_Mix'!$B$2:$B$573,B635,'02b_CSP_Accelerator_Mix'!$C$2:$C$573,E635,'02b_CSP_Accelerator_Mix'!$D$2:$D$573,D635,'02b_CSP_Accelerator_Mix'!$E$2:$E$573,F635)</f>
        <v/>
      </c>
      <c r="J635" s="28">
        <f>H635*I635</f>
        <v/>
      </c>
      <c r="K635" s="8">
        <f>IFERROR(INDEX('02x_Accelerator_Catalog'!$D$2:$D$11,MATCH(F635,'02x_Accelerator_Catalog'!$B$2:$B$11,0)),"")</f>
        <v/>
      </c>
      <c r="L635" s="7">
        <f>IF(K635&gt;0,J635*1000/K635,"")</f>
        <v/>
      </c>
      <c r="M635" s="5" t="inlineStr">
        <is>
          <t>legacy_company_gpu_mix_fallback</t>
        </is>
      </c>
      <c r="N635" s="5" t="inlineStr">
        <is>
          <t>Extensible long-format output: add a new accelerator row in 02b and map it in 02x_Accelerator_Catalog to extend this table.</t>
        </is>
      </c>
    </row>
    <row r="636">
      <c r="A636" s="5">
        <f>B636&amp;"|"&amp;C636&amp;"|"&amp;D636&amp;"|"&amp;E636&amp;"|"&amp;F636</f>
        <v/>
      </c>
      <c r="B636" s="5" t="inlineStr">
        <is>
          <t>Grid-Constrained / Efficiency-Upside</t>
        </is>
      </c>
      <c r="C636" s="5" t="inlineStr">
        <is>
          <t>DeepSeek</t>
        </is>
      </c>
      <c r="D636" s="5" t="n">
        <v>2030</v>
      </c>
      <c r="E636" s="5" t="inlineStr">
        <is>
          <t>Legacy company envelope - DeepSeek</t>
        </is>
      </c>
      <c r="F636" s="5" t="inlineStr">
        <is>
          <t>B200/B300 class</t>
        </is>
      </c>
      <c r="G636" s="5">
        <f>IFERROR(INDEX('02x_Accelerator_Catalog'!$C$2:$C$11,MATCH(F636,'02x_Accelerator_Catalog'!$B$2:$B$11,0)),"purpose_or_unbenchmarked")</f>
        <v/>
      </c>
      <c r="H636" s="28">
        <f>SUMIFS('02c_AI_CSP_Normalized'!$N$2:$N$305,'02c_AI_CSP_Normalized'!$B$2:$B$305,B636,'02c_AI_CSP_Normalized'!$C$2:$C$305,C636,'02c_AI_CSP_Normalized'!$D$2:$D$305,D636,'02c_AI_CSP_Normalized'!$E$2:$E$305,E636)</f>
        <v/>
      </c>
      <c r="I636" s="6">
        <f>SUMIFS('02b_CSP_Accelerator_Mix'!$H$2:$H$573,'02b_CSP_Accelerator_Mix'!$B$2:$B$573,B636,'02b_CSP_Accelerator_Mix'!$C$2:$C$573,E636,'02b_CSP_Accelerator_Mix'!$D$2:$D$573,D636,'02b_CSP_Accelerator_Mix'!$E$2:$E$573,F636)</f>
        <v/>
      </c>
      <c r="J636" s="28">
        <f>H636*I636</f>
        <v/>
      </c>
      <c r="K636" s="8">
        <f>IFERROR(INDEX('02x_Accelerator_Catalog'!$D$2:$D$11,MATCH(F636,'02x_Accelerator_Catalog'!$B$2:$B$11,0)),"")</f>
        <v/>
      </c>
      <c r="L636" s="7">
        <f>IF(K636&gt;0,J636*1000/K636,"")</f>
        <v/>
      </c>
      <c r="M636" s="5" t="inlineStr">
        <is>
          <t>legacy_company_gpu_mix_fallback</t>
        </is>
      </c>
      <c r="N636" s="5" t="inlineStr">
        <is>
          <t>Extensible long-format output: add a new accelerator row in 02b and map it in 02x_Accelerator_Catalog to extend this table.</t>
        </is>
      </c>
    </row>
    <row r="637">
      <c r="A637" s="5">
        <f>B637&amp;"|"&amp;C637&amp;"|"&amp;D637&amp;"|"&amp;E637&amp;"|"&amp;F637</f>
        <v/>
      </c>
      <c r="B637" s="5" t="inlineStr">
        <is>
          <t>Grid-Constrained / Efficiency-Upside</t>
        </is>
      </c>
      <c r="C637" s="5" t="inlineStr">
        <is>
          <t>DeepSeek</t>
        </is>
      </c>
      <c r="D637" s="5" t="n">
        <v>2030</v>
      </c>
      <c r="E637" s="5" t="inlineStr">
        <is>
          <t>Legacy company envelope - DeepSeek</t>
        </is>
      </c>
      <c r="F637" s="5" t="inlineStr">
        <is>
          <t>GB200/GB300 class</t>
        </is>
      </c>
      <c r="G637" s="5">
        <f>IFERROR(INDEX('02x_Accelerator_Catalog'!$C$2:$C$11,MATCH(F637,'02x_Accelerator_Catalog'!$B$2:$B$11,0)),"purpose_or_unbenchmarked")</f>
        <v/>
      </c>
      <c r="H637" s="28">
        <f>SUMIFS('02c_AI_CSP_Normalized'!$N$2:$N$305,'02c_AI_CSP_Normalized'!$B$2:$B$305,B637,'02c_AI_CSP_Normalized'!$C$2:$C$305,C637,'02c_AI_CSP_Normalized'!$D$2:$D$305,D637,'02c_AI_CSP_Normalized'!$E$2:$E$305,E637)</f>
        <v/>
      </c>
      <c r="I637" s="6">
        <f>SUMIFS('02b_CSP_Accelerator_Mix'!$H$2:$H$573,'02b_CSP_Accelerator_Mix'!$B$2:$B$573,B637,'02b_CSP_Accelerator_Mix'!$C$2:$C$573,E637,'02b_CSP_Accelerator_Mix'!$D$2:$D$573,D637,'02b_CSP_Accelerator_Mix'!$E$2:$E$573,F637)</f>
        <v/>
      </c>
      <c r="J637" s="28">
        <f>H637*I637</f>
        <v/>
      </c>
      <c r="K637" s="8">
        <f>IFERROR(INDEX('02x_Accelerator_Catalog'!$D$2:$D$11,MATCH(F637,'02x_Accelerator_Catalog'!$B$2:$B$11,0)),"")</f>
        <v/>
      </c>
      <c r="L637" s="7">
        <f>IF(K637&gt;0,J637*1000/K637,"")</f>
        <v/>
      </c>
      <c r="M637" s="5" t="inlineStr">
        <is>
          <t>legacy_company_gpu_mix_fallback</t>
        </is>
      </c>
      <c r="N637" s="5" t="inlineStr">
        <is>
          <t>Extensible long-format output: add a new accelerator row in 02b and map it in 02x_Accelerator_Catalog to extend this table.</t>
        </is>
      </c>
    </row>
    <row r="638">
      <c r="A638" s="5">
        <f>B638&amp;"|"&amp;C638&amp;"|"&amp;D638&amp;"|"&amp;E638&amp;"|"&amp;F638</f>
        <v/>
      </c>
      <c r="B638" s="5" t="inlineStr">
        <is>
          <t>Grid-Constrained / Efficiency-Upside</t>
        </is>
      </c>
      <c r="C638" s="5" t="inlineStr">
        <is>
          <t>DeepSeek</t>
        </is>
      </c>
      <c r="D638" s="5" t="n">
        <v>2030</v>
      </c>
      <c r="E638" s="5" t="inlineStr">
        <is>
          <t>Legacy company envelope - DeepSeek</t>
        </is>
      </c>
      <c r="F638" s="5" t="inlineStr">
        <is>
          <t>H100/H200/A100 class</t>
        </is>
      </c>
      <c r="G638" s="5">
        <f>IFERROR(INDEX('02x_Accelerator_Catalog'!$C$2:$C$11,MATCH(F638,'02x_Accelerator_Catalog'!$B$2:$B$11,0)),"purpose_or_unbenchmarked")</f>
        <v/>
      </c>
      <c r="H638" s="28">
        <f>SUMIFS('02c_AI_CSP_Normalized'!$N$2:$N$305,'02c_AI_CSP_Normalized'!$B$2:$B$305,B638,'02c_AI_CSP_Normalized'!$C$2:$C$305,C638,'02c_AI_CSP_Normalized'!$D$2:$D$305,D638,'02c_AI_CSP_Normalized'!$E$2:$E$305,E638)</f>
        <v/>
      </c>
      <c r="I638" s="6">
        <f>SUMIFS('02b_CSP_Accelerator_Mix'!$H$2:$H$573,'02b_CSP_Accelerator_Mix'!$B$2:$B$573,B638,'02b_CSP_Accelerator_Mix'!$C$2:$C$573,E638,'02b_CSP_Accelerator_Mix'!$D$2:$D$573,D638,'02b_CSP_Accelerator_Mix'!$E$2:$E$573,F638)</f>
        <v/>
      </c>
      <c r="J638" s="28">
        <f>H638*I638</f>
        <v/>
      </c>
      <c r="K638" s="8">
        <f>IFERROR(INDEX('02x_Accelerator_Catalog'!$D$2:$D$11,MATCH(F638,'02x_Accelerator_Catalog'!$B$2:$B$11,0)),"")</f>
        <v/>
      </c>
      <c r="L638" s="7">
        <f>IF(K638&gt;0,J638*1000/K638,"")</f>
        <v/>
      </c>
      <c r="M638" s="5" t="inlineStr">
        <is>
          <t>legacy_company_gpu_mix_fallback</t>
        </is>
      </c>
      <c r="N638" s="5" t="inlineStr">
        <is>
          <t>Extensible long-format output: add a new accelerator row in 02b and map it in 02x_Accelerator_Catalog to extend this table.</t>
        </is>
      </c>
    </row>
    <row r="639">
      <c r="A639" s="5">
        <f>B639&amp;"|"&amp;C639&amp;"|"&amp;D639&amp;"|"&amp;E639&amp;"|"&amp;F639</f>
        <v/>
      </c>
      <c r="B639" s="5" t="inlineStr">
        <is>
          <t>Grid-Constrained / Efficiency-Upside</t>
        </is>
      </c>
      <c r="C639" s="5" t="inlineStr">
        <is>
          <t>Tencent</t>
        </is>
      </c>
      <c r="D639" s="5" t="n">
        <v>2026</v>
      </c>
      <c r="E639" s="5" t="inlineStr">
        <is>
          <t>Legacy company envelope - Tencent</t>
        </is>
      </c>
      <c r="F639" s="5" t="inlineStr">
        <is>
          <t>B200/B300 class</t>
        </is>
      </c>
      <c r="G639" s="5">
        <f>IFERROR(INDEX('02x_Accelerator_Catalog'!$C$2:$C$11,MATCH(F639,'02x_Accelerator_Catalog'!$B$2:$B$11,0)),"purpose_or_unbenchmarked")</f>
        <v/>
      </c>
      <c r="H639" s="28">
        <f>SUMIFS('02c_AI_CSP_Normalized'!$N$2:$N$305,'02c_AI_CSP_Normalized'!$B$2:$B$305,B639,'02c_AI_CSP_Normalized'!$C$2:$C$305,C639,'02c_AI_CSP_Normalized'!$D$2:$D$305,D639,'02c_AI_CSP_Normalized'!$E$2:$E$305,E639)</f>
        <v/>
      </c>
      <c r="I639" s="6">
        <f>SUMIFS('02b_CSP_Accelerator_Mix'!$H$2:$H$573,'02b_CSP_Accelerator_Mix'!$B$2:$B$573,B639,'02b_CSP_Accelerator_Mix'!$C$2:$C$573,E639,'02b_CSP_Accelerator_Mix'!$D$2:$D$573,D639,'02b_CSP_Accelerator_Mix'!$E$2:$E$573,F639)</f>
        <v/>
      </c>
      <c r="J639" s="28">
        <f>H639*I639</f>
        <v/>
      </c>
      <c r="K639" s="8">
        <f>IFERROR(INDEX('02x_Accelerator_Catalog'!$D$2:$D$11,MATCH(F639,'02x_Accelerator_Catalog'!$B$2:$B$11,0)),"")</f>
        <v/>
      </c>
      <c r="L639" s="7">
        <f>IF(K639&gt;0,J639*1000/K639,"")</f>
        <v/>
      </c>
      <c r="M639" s="5" t="inlineStr">
        <is>
          <t>legacy_company_gpu_mix_fallback</t>
        </is>
      </c>
      <c r="N639" s="5" t="inlineStr">
        <is>
          <t>Extensible long-format output: add a new accelerator row in 02b and map it in 02x_Accelerator_Catalog to extend this table.</t>
        </is>
      </c>
    </row>
    <row r="640">
      <c r="A640" s="5">
        <f>B640&amp;"|"&amp;C640&amp;"|"&amp;D640&amp;"|"&amp;E640&amp;"|"&amp;F640</f>
        <v/>
      </c>
      <c r="B640" s="5" t="inlineStr">
        <is>
          <t>Grid-Constrained / Efficiency-Upside</t>
        </is>
      </c>
      <c r="C640" s="5" t="inlineStr">
        <is>
          <t>Tencent</t>
        </is>
      </c>
      <c r="D640" s="5" t="n">
        <v>2026</v>
      </c>
      <c r="E640" s="5" t="inlineStr">
        <is>
          <t>Legacy company envelope - Tencent</t>
        </is>
      </c>
      <c r="F640" s="5" t="inlineStr">
        <is>
          <t>GB200/GB300 class</t>
        </is>
      </c>
      <c r="G640" s="5">
        <f>IFERROR(INDEX('02x_Accelerator_Catalog'!$C$2:$C$11,MATCH(F640,'02x_Accelerator_Catalog'!$B$2:$B$11,0)),"purpose_or_unbenchmarked")</f>
        <v/>
      </c>
      <c r="H640" s="28">
        <f>SUMIFS('02c_AI_CSP_Normalized'!$N$2:$N$305,'02c_AI_CSP_Normalized'!$B$2:$B$305,B640,'02c_AI_CSP_Normalized'!$C$2:$C$305,C640,'02c_AI_CSP_Normalized'!$D$2:$D$305,D640,'02c_AI_CSP_Normalized'!$E$2:$E$305,E640)</f>
        <v/>
      </c>
      <c r="I640" s="6">
        <f>SUMIFS('02b_CSP_Accelerator_Mix'!$H$2:$H$573,'02b_CSP_Accelerator_Mix'!$B$2:$B$573,B640,'02b_CSP_Accelerator_Mix'!$C$2:$C$573,E640,'02b_CSP_Accelerator_Mix'!$D$2:$D$573,D640,'02b_CSP_Accelerator_Mix'!$E$2:$E$573,F640)</f>
        <v/>
      </c>
      <c r="J640" s="28">
        <f>H640*I640</f>
        <v/>
      </c>
      <c r="K640" s="8">
        <f>IFERROR(INDEX('02x_Accelerator_Catalog'!$D$2:$D$11,MATCH(F640,'02x_Accelerator_Catalog'!$B$2:$B$11,0)),"")</f>
        <v/>
      </c>
      <c r="L640" s="7">
        <f>IF(K640&gt;0,J640*1000/K640,"")</f>
        <v/>
      </c>
      <c r="M640" s="5" t="inlineStr">
        <is>
          <t>legacy_company_gpu_mix_fallback</t>
        </is>
      </c>
      <c r="N640" s="5" t="inlineStr">
        <is>
          <t>Extensible long-format output: add a new accelerator row in 02b and map it in 02x_Accelerator_Catalog to extend this table.</t>
        </is>
      </c>
    </row>
    <row r="641">
      <c r="A641" s="5">
        <f>B641&amp;"|"&amp;C641&amp;"|"&amp;D641&amp;"|"&amp;E641&amp;"|"&amp;F641</f>
        <v/>
      </c>
      <c r="B641" s="5" t="inlineStr">
        <is>
          <t>Grid-Constrained / Efficiency-Upside</t>
        </is>
      </c>
      <c r="C641" s="5" t="inlineStr">
        <is>
          <t>Tencent</t>
        </is>
      </c>
      <c r="D641" s="5" t="n">
        <v>2026</v>
      </c>
      <c r="E641" s="5" t="inlineStr">
        <is>
          <t>Legacy company envelope - Tencent</t>
        </is>
      </c>
      <c r="F641" s="5" t="inlineStr">
        <is>
          <t>H100/H200/A100 class</t>
        </is>
      </c>
      <c r="G641" s="5">
        <f>IFERROR(INDEX('02x_Accelerator_Catalog'!$C$2:$C$11,MATCH(F641,'02x_Accelerator_Catalog'!$B$2:$B$11,0)),"purpose_or_unbenchmarked")</f>
        <v/>
      </c>
      <c r="H641" s="28">
        <f>SUMIFS('02c_AI_CSP_Normalized'!$N$2:$N$305,'02c_AI_CSP_Normalized'!$B$2:$B$305,B641,'02c_AI_CSP_Normalized'!$C$2:$C$305,C641,'02c_AI_CSP_Normalized'!$D$2:$D$305,D641,'02c_AI_CSP_Normalized'!$E$2:$E$305,E641)</f>
        <v/>
      </c>
      <c r="I641" s="6">
        <f>SUMIFS('02b_CSP_Accelerator_Mix'!$H$2:$H$573,'02b_CSP_Accelerator_Mix'!$B$2:$B$573,B641,'02b_CSP_Accelerator_Mix'!$C$2:$C$573,E641,'02b_CSP_Accelerator_Mix'!$D$2:$D$573,D641,'02b_CSP_Accelerator_Mix'!$E$2:$E$573,F641)</f>
        <v/>
      </c>
      <c r="J641" s="28">
        <f>H641*I641</f>
        <v/>
      </c>
      <c r="K641" s="8">
        <f>IFERROR(INDEX('02x_Accelerator_Catalog'!$D$2:$D$11,MATCH(F641,'02x_Accelerator_Catalog'!$B$2:$B$11,0)),"")</f>
        <v/>
      </c>
      <c r="L641" s="7">
        <f>IF(K641&gt;0,J641*1000/K641,"")</f>
        <v/>
      </c>
      <c r="M641" s="5" t="inlineStr">
        <is>
          <t>legacy_company_gpu_mix_fallback</t>
        </is>
      </c>
      <c r="N641" s="5" t="inlineStr">
        <is>
          <t>Extensible long-format output: add a new accelerator row in 02b and map it in 02x_Accelerator_Catalog to extend this table.</t>
        </is>
      </c>
    </row>
    <row r="642">
      <c r="A642" s="5">
        <f>B642&amp;"|"&amp;C642&amp;"|"&amp;D642&amp;"|"&amp;E642&amp;"|"&amp;F642</f>
        <v/>
      </c>
      <c r="B642" s="5" t="inlineStr">
        <is>
          <t>Grid-Constrained / Efficiency-Upside</t>
        </is>
      </c>
      <c r="C642" s="5" t="inlineStr">
        <is>
          <t>Tencent</t>
        </is>
      </c>
      <c r="D642" s="5" t="n">
        <v>2027</v>
      </c>
      <c r="E642" s="5" t="inlineStr">
        <is>
          <t>Legacy company envelope - Tencent</t>
        </is>
      </c>
      <c r="F642" s="5" t="inlineStr">
        <is>
          <t>B200/B300 class</t>
        </is>
      </c>
      <c r="G642" s="5">
        <f>IFERROR(INDEX('02x_Accelerator_Catalog'!$C$2:$C$11,MATCH(F642,'02x_Accelerator_Catalog'!$B$2:$B$11,0)),"purpose_or_unbenchmarked")</f>
        <v/>
      </c>
      <c r="H642" s="28">
        <f>SUMIFS('02c_AI_CSP_Normalized'!$N$2:$N$305,'02c_AI_CSP_Normalized'!$B$2:$B$305,B642,'02c_AI_CSP_Normalized'!$C$2:$C$305,C642,'02c_AI_CSP_Normalized'!$D$2:$D$305,D642,'02c_AI_CSP_Normalized'!$E$2:$E$305,E642)</f>
        <v/>
      </c>
      <c r="I642" s="6">
        <f>SUMIFS('02b_CSP_Accelerator_Mix'!$H$2:$H$573,'02b_CSP_Accelerator_Mix'!$B$2:$B$573,B642,'02b_CSP_Accelerator_Mix'!$C$2:$C$573,E642,'02b_CSP_Accelerator_Mix'!$D$2:$D$573,D642,'02b_CSP_Accelerator_Mix'!$E$2:$E$573,F642)</f>
        <v/>
      </c>
      <c r="J642" s="28">
        <f>H642*I642</f>
        <v/>
      </c>
      <c r="K642" s="8">
        <f>IFERROR(INDEX('02x_Accelerator_Catalog'!$D$2:$D$11,MATCH(F642,'02x_Accelerator_Catalog'!$B$2:$B$11,0)),"")</f>
        <v/>
      </c>
      <c r="L642" s="7">
        <f>IF(K642&gt;0,J642*1000/K642,"")</f>
        <v/>
      </c>
      <c r="M642" s="5" t="inlineStr">
        <is>
          <t>legacy_company_gpu_mix_fallback</t>
        </is>
      </c>
      <c r="N642" s="5" t="inlineStr">
        <is>
          <t>Extensible long-format output: add a new accelerator row in 02b and map it in 02x_Accelerator_Catalog to extend this table.</t>
        </is>
      </c>
    </row>
    <row r="643">
      <c r="A643" s="5">
        <f>B643&amp;"|"&amp;C643&amp;"|"&amp;D643&amp;"|"&amp;E643&amp;"|"&amp;F643</f>
        <v/>
      </c>
      <c r="B643" s="5" t="inlineStr">
        <is>
          <t>Grid-Constrained / Efficiency-Upside</t>
        </is>
      </c>
      <c r="C643" s="5" t="inlineStr">
        <is>
          <t>Tencent</t>
        </is>
      </c>
      <c r="D643" s="5" t="n">
        <v>2027</v>
      </c>
      <c r="E643" s="5" t="inlineStr">
        <is>
          <t>Legacy company envelope - Tencent</t>
        </is>
      </c>
      <c r="F643" s="5" t="inlineStr">
        <is>
          <t>GB200/GB300 class</t>
        </is>
      </c>
      <c r="G643" s="5">
        <f>IFERROR(INDEX('02x_Accelerator_Catalog'!$C$2:$C$11,MATCH(F643,'02x_Accelerator_Catalog'!$B$2:$B$11,0)),"purpose_or_unbenchmarked")</f>
        <v/>
      </c>
      <c r="H643" s="28">
        <f>SUMIFS('02c_AI_CSP_Normalized'!$N$2:$N$305,'02c_AI_CSP_Normalized'!$B$2:$B$305,B643,'02c_AI_CSP_Normalized'!$C$2:$C$305,C643,'02c_AI_CSP_Normalized'!$D$2:$D$305,D643,'02c_AI_CSP_Normalized'!$E$2:$E$305,E643)</f>
        <v/>
      </c>
      <c r="I643" s="6">
        <f>SUMIFS('02b_CSP_Accelerator_Mix'!$H$2:$H$573,'02b_CSP_Accelerator_Mix'!$B$2:$B$573,B643,'02b_CSP_Accelerator_Mix'!$C$2:$C$573,E643,'02b_CSP_Accelerator_Mix'!$D$2:$D$573,D643,'02b_CSP_Accelerator_Mix'!$E$2:$E$573,F643)</f>
        <v/>
      </c>
      <c r="J643" s="28">
        <f>H643*I643</f>
        <v/>
      </c>
      <c r="K643" s="8">
        <f>IFERROR(INDEX('02x_Accelerator_Catalog'!$D$2:$D$11,MATCH(F643,'02x_Accelerator_Catalog'!$B$2:$B$11,0)),"")</f>
        <v/>
      </c>
      <c r="L643" s="7">
        <f>IF(K643&gt;0,J643*1000/K643,"")</f>
        <v/>
      </c>
      <c r="M643" s="5" t="inlineStr">
        <is>
          <t>legacy_company_gpu_mix_fallback</t>
        </is>
      </c>
      <c r="N643" s="5" t="inlineStr">
        <is>
          <t>Extensible long-format output: add a new accelerator row in 02b and map it in 02x_Accelerator_Catalog to extend this table.</t>
        </is>
      </c>
    </row>
    <row r="644">
      <c r="A644" s="5">
        <f>B644&amp;"|"&amp;C644&amp;"|"&amp;D644&amp;"|"&amp;E644&amp;"|"&amp;F644</f>
        <v/>
      </c>
      <c r="B644" s="5" t="inlineStr">
        <is>
          <t>Grid-Constrained / Efficiency-Upside</t>
        </is>
      </c>
      <c r="C644" s="5" t="inlineStr">
        <is>
          <t>Tencent</t>
        </is>
      </c>
      <c r="D644" s="5" t="n">
        <v>2027</v>
      </c>
      <c r="E644" s="5" t="inlineStr">
        <is>
          <t>Legacy company envelope - Tencent</t>
        </is>
      </c>
      <c r="F644" s="5" t="inlineStr">
        <is>
          <t>H100/H200/A100 class</t>
        </is>
      </c>
      <c r="G644" s="5">
        <f>IFERROR(INDEX('02x_Accelerator_Catalog'!$C$2:$C$11,MATCH(F644,'02x_Accelerator_Catalog'!$B$2:$B$11,0)),"purpose_or_unbenchmarked")</f>
        <v/>
      </c>
      <c r="H644" s="28">
        <f>SUMIFS('02c_AI_CSP_Normalized'!$N$2:$N$305,'02c_AI_CSP_Normalized'!$B$2:$B$305,B644,'02c_AI_CSP_Normalized'!$C$2:$C$305,C644,'02c_AI_CSP_Normalized'!$D$2:$D$305,D644,'02c_AI_CSP_Normalized'!$E$2:$E$305,E644)</f>
        <v/>
      </c>
      <c r="I644" s="6">
        <f>SUMIFS('02b_CSP_Accelerator_Mix'!$H$2:$H$573,'02b_CSP_Accelerator_Mix'!$B$2:$B$573,B644,'02b_CSP_Accelerator_Mix'!$C$2:$C$573,E644,'02b_CSP_Accelerator_Mix'!$D$2:$D$573,D644,'02b_CSP_Accelerator_Mix'!$E$2:$E$573,F644)</f>
        <v/>
      </c>
      <c r="J644" s="28">
        <f>H644*I644</f>
        <v/>
      </c>
      <c r="K644" s="8">
        <f>IFERROR(INDEX('02x_Accelerator_Catalog'!$D$2:$D$11,MATCH(F644,'02x_Accelerator_Catalog'!$B$2:$B$11,0)),"")</f>
        <v/>
      </c>
      <c r="L644" s="7">
        <f>IF(K644&gt;0,J644*1000/K644,"")</f>
        <v/>
      </c>
      <c r="M644" s="5" t="inlineStr">
        <is>
          <t>legacy_company_gpu_mix_fallback</t>
        </is>
      </c>
      <c r="N644" s="5" t="inlineStr">
        <is>
          <t>Extensible long-format output: add a new accelerator row in 02b and map it in 02x_Accelerator_Catalog to extend this table.</t>
        </is>
      </c>
    </row>
    <row r="645">
      <c r="A645" s="5">
        <f>B645&amp;"|"&amp;C645&amp;"|"&amp;D645&amp;"|"&amp;E645&amp;"|"&amp;F645</f>
        <v/>
      </c>
      <c r="B645" s="5" t="inlineStr">
        <is>
          <t>Grid-Constrained / Efficiency-Upside</t>
        </is>
      </c>
      <c r="C645" s="5" t="inlineStr">
        <is>
          <t>Tencent</t>
        </is>
      </c>
      <c r="D645" s="5" t="n">
        <v>2028</v>
      </c>
      <c r="E645" s="5" t="inlineStr">
        <is>
          <t>Legacy company envelope - Tencent</t>
        </is>
      </c>
      <c r="F645" s="5" t="inlineStr">
        <is>
          <t>B200/B300 class</t>
        </is>
      </c>
      <c r="G645" s="5">
        <f>IFERROR(INDEX('02x_Accelerator_Catalog'!$C$2:$C$11,MATCH(F645,'02x_Accelerator_Catalog'!$B$2:$B$11,0)),"purpose_or_unbenchmarked")</f>
        <v/>
      </c>
      <c r="H645" s="28">
        <f>SUMIFS('02c_AI_CSP_Normalized'!$N$2:$N$305,'02c_AI_CSP_Normalized'!$B$2:$B$305,B645,'02c_AI_CSP_Normalized'!$C$2:$C$305,C645,'02c_AI_CSP_Normalized'!$D$2:$D$305,D645,'02c_AI_CSP_Normalized'!$E$2:$E$305,E645)</f>
        <v/>
      </c>
      <c r="I645" s="6">
        <f>SUMIFS('02b_CSP_Accelerator_Mix'!$H$2:$H$573,'02b_CSP_Accelerator_Mix'!$B$2:$B$573,B645,'02b_CSP_Accelerator_Mix'!$C$2:$C$573,E645,'02b_CSP_Accelerator_Mix'!$D$2:$D$573,D645,'02b_CSP_Accelerator_Mix'!$E$2:$E$573,F645)</f>
        <v/>
      </c>
      <c r="J645" s="28">
        <f>H645*I645</f>
        <v/>
      </c>
      <c r="K645" s="8">
        <f>IFERROR(INDEX('02x_Accelerator_Catalog'!$D$2:$D$11,MATCH(F645,'02x_Accelerator_Catalog'!$B$2:$B$11,0)),"")</f>
        <v/>
      </c>
      <c r="L645" s="7">
        <f>IF(K645&gt;0,J645*1000/K645,"")</f>
        <v/>
      </c>
      <c r="M645" s="5" t="inlineStr">
        <is>
          <t>legacy_company_gpu_mix_fallback</t>
        </is>
      </c>
      <c r="N645" s="5" t="inlineStr">
        <is>
          <t>Extensible long-format output: add a new accelerator row in 02b and map it in 02x_Accelerator_Catalog to extend this table.</t>
        </is>
      </c>
    </row>
    <row r="646">
      <c r="A646" s="5">
        <f>B646&amp;"|"&amp;C646&amp;"|"&amp;D646&amp;"|"&amp;E646&amp;"|"&amp;F646</f>
        <v/>
      </c>
      <c r="B646" s="5" t="inlineStr">
        <is>
          <t>Grid-Constrained / Efficiency-Upside</t>
        </is>
      </c>
      <c r="C646" s="5" t="inlineStr">
        <is>
          <t>Tencent</t>
        </is>
      </c>
      <c r="D646" s="5" t="n">
        <v>2028</v>
      </c>
      <c r="E646" s="5" t="inlineStr">
        <is>
          <t>Legacy company envelope - Tencent</t>
        </is>
      </c>
      <c r="F646" s="5" t="inlineStr">
        <is>
          <t>GB200/GB300 class</t>
        </is>
      </c>
      <c r="G646" s="5">
        <f>IFERROR(INDEX('02x_Accelerator_Catalog'!$C$2:$C$11,MATCH(F646,'02x_Accelerator_Catalog'!$B$2:$B$11,0)),"purpose_or_unbenchmarked")</f>
        <v/>
      </c>
      <c r="H646" s="28">
        <f>SUMIFS('02c_AI_CSP_Normalized'!$N$2:$N$305,'02c_AI_CSP_Normalized'!$B$2:$B$305,B646,'02c_AI_CSP_Normalized'!$C$2:$C$305,C646,'02c_AI_CSP_Normalized'!$D$2:$D$305,D646,'02c_AI_CSP_Normalized'!$E$2:$E$305,E646)</f>
        <v/>
      </c>
      <c r="I646" s="6">
        <f>SUMIFS('02b_CSP_Accelerator_Mix'!$H$2:$H$573,'02b_CSP_Accelerator_Mix'!$B$2:$B$573,B646,'02b_CSP_Accelerator_Mix'!$C$2:$C$573,E646,'02b_CSP_Accelerator_Mix'!$D$2:$D$573,D646,'02b_CSP_Accelerator_Mix'!$E$2:$E$573,F646)</f>
        <v/>
      </c>
      <c r="J646" s="28">
        <f>H646*I646</f>
        <v/>
      </c>
      <c r="K646" s="8">
        <f>IFERROR(INDEX('02x_Accelerator_Catalog'!$D$2:$D$11,MATCH(F646,'02x_Accelerator_Catalog'!$B$2:$B$11,0)),"")</f>
        <v/>
      </c>
      <c r="L646" s="7">
        <f>IF(K646&gt;0,J646*1000/K646,"")</f>
        <v/>
      </c>
      <c r="M646" s="5" t="inlineStr">
        <is>
          <t>legacy_company_gpu_mix_fallback</t>
        </is>
      </c>
      <c r="N646" s="5" t="inlineStr">
        <is>
          <t>Extensible long-format output: add a new accelerator row in 02b and map it in 02x_Accelerator_Catalog to extend this table.</t>
        </is>
      </c>
    </row>
    <row r="647">
      <c r="A647" s="5">
        <f>B647&amp;"|"&amp;C647&amp;"|"&amp;D647&amp;"|"&amp;E647&amp;"|"&amp;F647</f>
        <v/>
      </c>
      <c r="B647" s="5" t="inlineStr">
        <is>
          <t>Grid-Constrained / Efficiency-Upside</t>
        </is>
      </c>
      <c r="C647" s="5" t="inlineStr">
        <is>
          <t>Tencent</t>
        </is>
      </c>
      <c r="D647" s="5" t="n">
        <v>2028</v>
      </c>
      <c r="E647" s="5" t="inlineStr">
        <is>
          <t>Legacy company envelope - Tencent</t>
        </is>
      </c>
      <c r="F647" s="5" t="inlineStr">
        <is>
          <t>H100/H200/A100 class</t>
        </is>
      </c>
      <c r="G647" s="5">
        <f>IFERROR(INDEX('02x_Accelerator_Catalog'!$C$2:$C$11,MATCH(F647,'02x_Accelerator_Catalog'!$B$2:$B$11,0)),"purpose_or_unbenchmarked")</f>
        <v/>
      </c>
      <c r="H647" s="28">
        <f>SUMIFS('02c_AI_CSP_Normalized'!$N$2:$N$305,'02c_AI_CSP_Normalized'!$B$2:$B$305,B647,'02c_AI_CSP_Normalized'!$C$2:$C$305,C647,'02c_AI_CSP_Normalized'!$D$2:$D$305,D647,'02c_AI_CSP_Normalized'!$E$2:$E$305,E647)</f>
        <v/>
      </c>
      <c r="I647" s="6">
        <f>SUMIFS('02b_CSP_Accelerator_Mix'!$H$2:$H$573,'02b_CSP_Accelerator_Mix'!$B$2:$B$573,B647,'02b_CSP_Accelerator_Mix'!$C$2:$C$573,E647,'02b_CSP_Accelerator_Mix'!$D$2:$D$573,D647,'02b_CSP_Accelerator_Mix'!$E$2:$E$573,F647)</f>
        <v/>
      </c>
      <c r="J647" s="28">
        <f>H647*I647</f>
        <v/>
      </c>
      <c r="K647" s="8">
        <f>IFERROR(INDEX('02x_Accelerator_Catalog'!$D$2:$D$11,MATCH(F647,'02x_Accelerator_Catalog'!$B$2:$B$11,0)),"")</f>
        <v/>
      </c>
      <c r="L647" s="7">
        <f>IF(K647&gt;0,J647*1000/K647,"")</f>
        <v/>
      </c>
      <c r="M647" s="5" t="inlineStr">
        <is>
          <t>legacy_company_gpu_mix_fallback</t>
        </is>
      </c>
      <c r="N647" s="5" t="inlineStr">
        <is>
          <t>Extensible long-format output: add a new accelerator row in 02b and map it in 02x_Accelerator_Catalog to extend this table.</t>
        </is>
      </c>
    </row>
    <row r="648">
      <c r="A648" s="5">
        <f>B648&amp;"|"&amp;C648&amp;"|"&amp;D648&amp;"|"&amp;E648&amp;"|"&amp;F648</f>
        <v/>
      </c>
      <c r="B648" s="5" t="inlineStr">
        <is>
          <t>Grid-Constrained / Efficiency-Upside</t>
        </is>
      </c>
      <c r="C648" s="5" t="inlineStr">
        <is>
          <t>Tencent</t>
        </is>
      </c>
      <c r="D648" s="5" t="n">
        <v>2029</v>
      </c>
      <c r="E648" s="5" t="inlineStr">
        <is>
          <t>Legacy company envelope - Tencent</t>
        </is>
      </c>
      <c r="F648" s="5" t="inlineStr">
        <is>
          <t>B200/B300 class</t>
        </is>
      </c>
      <c r="G648" s="5">
        <f>IFERROR(INDEX('02x_Accelerator_Catalog'!$C$2:$C$11,MATCH(F648,'02x_Accelerator_Catalog'!$B$2:$B$11,0)),"purpose_or_unbenchmarked")</f>
        <v/>
      </c>
      <c r="H648" s="28">
        <f>SUMIFS('02c_AI_CSP_Normalized'!$N$2:$N$305,'02c_AI_CSP_Normalized'!$B$2:$B$305,B648,'02c_AI_CSP_Normalized'!$C$2:$C$305,C648,'02c_AI_CSP_Normalized'!$D$2:$D$305,D648,'02c_AI_CSP_Normalized'!$E$2:$E$305,E648)</f>
        <v/>
      </c>
      <c r="I648" s="6">
        <f>SUMIFS('02b_CSP_Accelerator_Mix'!$H$2:$H$573,'02b_CSP_Accelerator_Mix'!$B$2:$B$573,B648,'02b_CSP_Accelerator_Mix'!$C$2:$C$573,E648,'02b_CSP_Accelerator_Mix'!$D$2:$D$573,D648,'02b_CSP_Accelerator_Mix'!$E$2:$E$573,F648)</f>
        <v/>
      </c>
      <c r="J648" s="28">
        <f>H648*I648</f>
        <v/>
      </c>
      <c r="K648" s="8">
        <f>IFERROR(INDEX('02x_Accelerator_Catalog'!$D$2:$D$11,MATCH(F648,'02x_Accelerator_Catalog'!$B$2:$B$11,0)),"")</f>
        <v/>
      </c>
      <c r="L648" s="7">
        <f>IF(K648&gt;0,J648*1000/K648,"")</f>
        <v/>
      </c>
      <c r="M648" s="5" t="inlineStr">
        <is>
          <t>legacy_company_gpu_mix_fallback</t>
        </is>
      </c>
      <c r="N648" s="5" t="inlineStr">
        <is>
          <t>Extensible long-format output: add a new accelerator row in 02b and map it in 02x_Accelerator_Catalog to extend this table.</t>
        </is>
      </c>
    </row>
    <row r="649">
      <c r="A649" s="5">
        <f>B649&amp;"|"&amp;C649&amp;"|"&amp;D649&amp;"|"&amp;E649&amp;"|"&amp;F649</f>
        <v/>
      </c>
      <c r="B649" s="5" t="inlineStr">
        <is>
          <t>Grid-Constrained / Efficiency-Upside</t>
        </is>
      </c>
      <c r="C649" s="5" t="inlineStr">
        <is>
          <t>Tencent</t>
        </is>
      </c>
      <c r="D649" s="5" t="n">
        <v>2029</v>
      </c>
      <c r="E649" s="5" t="inlineStr">
        <is>
          <t>Legacy company envelope - Tencent</t>
        </is>
      </c>
      <c r="F649" s="5" t="inlineStr">
        <is>
          <t>GB200/GB300 class</t>
        </is>
      </c>
      <c r="G649" s="5">
        <f>IFERROR(INDEX('02x_Accelerator_Catalog'!$C$2:$C$11,MATCH(F649,'02x_Accelerator_Catalog'!$B$2:$B$11,0)),"purpose_or_unbenchmarked")</f>
        <v/>
      </c>
      <c r="H649" s="28">
        <f>SUMIFS('02c_AI_CSP_Normalized'!$N$2:$N$305,'02c_AI_CSP_Normalized'!$B$2:$B$305,B649,'02c_AI_CSP_Normalized'!$C$2:$C$305,C649,'02c_AI_CSP_Normalized'!$D$2:$D$305,D649,'02c_AI_CSP_Normalized'!$E$2:$E$305,E649)</f>
        <v/>
      </c>
      <c r="I649" s="6">
        <f>SUMIFS('02b_CSP_Accelerator_Mix'!$H$2:$H$573,'02b_CSP_Accelerator_Mix'!$B$2:$B$573,B649,'02b_CSP_Accelerator_Mix'!$C$2:$C$573,E649,'02b_CSP_Accelerator_Mix'!$D$2:$D$573,D649,'02b_CSP_Accelerator_Mix'!$E$2:$E$573,F649)</f>
        <v/>
      </c>
      <c r="J649" s="28">
        <f>H649*I649</f>
        <v/>
      </c>
      <c r="K649" s="8">
        <f>IFERROR(INDEX('02x_Accelerator_Catalog'!$D$2:$D$11,MATCH(F649,'02x_Accelerator_Catalog'!$B$2:$B$11,0)),"")</f>
        <v/>
      </c>
      <c r="L649" s="7">
        <f>IF(K649&gt;0,J649*1000/K649,"")</f>
        <v/>
      </c>
      <c r="M649" s="5" t="inlineStr">
        <is>
          <t>legacy_company_gpu_mix_fallback</t>
        </is>
      </c>
      <c r="N649" s="5" t="inlineStr">
        <is>
          <t>Extensible long-format output: add a new accelerator row in 02b and map it in 02x_Accelerator_Catalog to extend this table.</t>
        </is>
      </c>
    </row>
    <row r="650">
      <c r="A650" s="5">
        <f>B650&amp;"|"&amp;C650&amp;"|"&amp;D650&amp;"|"&amp;E650&amp;"|"&amp;F650</f>
        <v/>
      </c>
      <c r="B650" s="5" t="inlineStr">
        <is>
          <t>Grid-Constrained / Efficiency-Upside</t>
        </is>
      </c>
      <c r="C650" s="5" t="inlineStr">
        <is>
          <t>Tencent</t>
        </is>
      </c>
      <c r="D650" s="5" t="n">
        <v>2029</v>
      </c>
      <c r="E650" s="5" t="inlineStr">
        <is>
          <t>Legacy company envelope - Tencent</t>
        </is>
      </c>
      <c r="F650" s="5" t="inlineStr">
        <is>
          <t>H100/H200/A100 class</t>
        </is>
      </c>
      <c r="G650" s="5">
        <f>IFERROR(INDEX('02x_Accelerator_Catalog'!$C$2:$C$11,MATCH(F650,'02x_Accelerator_Catalog'!$B$2:$B$11,0)),"purpose_or_unbenchmarked")</f>
        <v/>
      </c>
      <c r="H650" s="28">
        <f>SUMIFS('02c_AI_CSP_Normalized'!$N$2:$N$305,'02c_AI_CSP_Normalized'!$B$2:$B$305,B650,'02c_AI_CSP_Normalized'!$C$2:$C$305,C650,'02c_AI_CSP_Normalized'!$D$2:$D$305,D650,'02c_AI_CSP_Normalized'!$E$2:$E$305,E650)</f>
        <v/>
      </c>
      <c r="I650" s="6">
        <f>SUMIFS('02b_CSP_Accelerator_Mix'!$H$2:$H$573,'02b_CSP_Accelerator_Mix'!$B$2:$B$573,B650,'02b_CSP_Accelerator_Mix'!$C$2:$C$573,E650,'02b_CSP_Accelerator_Mix'!$D$2:$D$573,D650,'02b_CSP_Accelerator_Mix'!$E$2:$E$573,F650)</f>
        <v/>
      </c>
      <c r="J650" s="28">
        <f>H650*I650</f>
        <v/>
      </c>
      <c r="K650" s="8">
        <f>IFERROR(INDEX('02x_Accelerator_Catalog'!$D$2:$D$11,MATCH(F650,'02x_Accelerator_Catalog'!$B$2:$B$11,0)),"")</f>
        <v/>
      </c>
      <c r="L650" s="7">
        <f>IF(K650&gt;0,J650*1000/K650,"")</f>
        <v/>
      </c>
      <c r="M650" s="5" t="inlineStr">
        <is>
          <t>legacy_company_gpu_mix_fallback</t>
        </is>
      </c>
      <c r="N650" s="5" t="inlineStr">
        <is>
          <t>Extensible long-format output: add a new accelerator row in 02b and map it in 02x_Accelerator_Catalog to extend this table.</t>
        </is>
      </c>
    </row>
    <row r="651">
      <c r="A651" s="5">
        <f>B651&amp;"|"&amp;C651&amp;"|"&amp;D651&amp;"|"&amp;E651&amp;"|"&amp;F651</f>
        <v/>
      </c>
      <c r="B651" s="5" t="inlineStr">
        <is>
          <t>Grid-Constrained / Efficiency-Upside</t>
        </is>
      </c>
      <c r="C651" s="5" t="inlineStr">
        <is>
          <t>Tencent</t>
        </is>
      </c>
      <c r="D651" s="5" t="n">
        <v>2030</v>
      </c>
      <c r="E651" s="5" t="inlineStr">
        <is>
          <t>Legacy company envelope - Tencent</t>
        </is>
      </c>
      <c r="F651" s="5" t="inlineStr">
        <is>
          <t>B200/B300 class</t>
        </is>
      </c>
      <c r="G651" s="5">
        <f>IFERROR(INDEX('02x_Accelerator_Catalog'!$C$2:$C$11,MATCH(F651,'02x_Accelerator_Catalog'!$B$2:$B$11,0)),"purpose_or_unbenchmarked")</f>
        <v/>
      </c>
      <c r="H651" s="28">
        <f>SUMIFS('02c_AI_CSP_Normalized'!$N$2:$N$305,'02c_AI_CSP_Normalized'!$B$2:$B$305,B651,'02c_AI_CSP_Normalized'!$C$2:$C$305,C651,'02c_AI_CSP_Normalized'!$D$2:$D$305,D651,'02c_AI_CSP_Normalized'!$E$2:$E$305,E651)</f>
        <v/>
      </c>
      <c r="I651" s="6">
        <f>SUMIFS('02b_CSP_Accelerator_Mix'!$H$2:$H$573,'02b_CSP_Accelerator_Mix'!$B$2:$B$573,B651,'02b_CSP_Accelerator_Mix'!$C$2:$C$573,E651,'02b_CSP_Accelerator_Mix'!$D$2:$D$573,D651,'02b_CSP_Accelerator_Mix'!$E$2:$E$573,F651)</f>
        <v/>
      </c>
      <c r="J651" s="28">
        <f>H651*I651</f>
        <v/>
      </c>
      <c r="K651" s="8">
        <f>IFERROR(INDEX('02x_Accelerator_Catalog'!$D$2:$D$11,MATCH(F651,'02x_Accelerator_Catalog'!$B$2:$B$11,0)),"")</f>
        <v/>
      </c>
      <c r="L651" s="7">
        <f>IF(K651&gt;0,J651*1000/K651,"")</f>
        <v/>
      </c>
      <c r="M651" s="5" t="inlineStr">
        <is>
          <t>legacy_company_gpu_mix_fallback</t>
        </is>
      </c>
      <c r="N651" s="5" t="inlineStr">
        <is>
          <t>Extensible long-format output: add a new accelerator row in 02b and map it in 02x_Accelerator_Catalog to extend this table.</t>
        </is>
      </c>
    </row>
    <row r="652">
      <c r="A652" s="5">
        <f>B652&amp;"|"&amp;C652&amp;"|"&amp;D652&amp;"|"&amp;E652&amp;"|"&amp;F652</f>
        <v/>
      </c>
      <c r="B652" s="5" t="inlineStr">
        <is>
          <t>Grid-Constrained / Efficiency-Upside</t>
        </is>
      </c>
      <c r="C652" s="5" t="inlineStr">
        <is>
          <t>Tencent</t>
        </is>
      </c>
      <c r="D652" s="5" t="n">
        <v>2030</v>
      </c>
      <c r="E652" s="5" t="inlineStr">
        <is>
          <t>Legacy company envelope - Tencent</t>
        </is>
      </c>
      <c r="F652" s="5" t="inlineStr">
        <is>
          <t>GB200/GB300 class</t>
        </is>
      </c>
      <c r="G652" s="5">
        <f>IFERROR(INDEX('02x_Accelerator_Catalog'!$C$2:$C$11,MATCH(F652,'02x_Accelerator_Catalog'!$B$2:$B$11,0)),"purpose_or_unbenchmarked")</f>
        <v/>
      </c>
      <c r="H652" s="28">
        <f>SUMIFS('02c_AI_CSP_Normalized'!$N$2:$N$305,'02c_AI_CSP_Normalized'!$B$2:$B$305,B652,'02c_AI_CSP_Normalized'!$C$2:$C$305,C652,'02c_AI_CSP_Normalized'!$D$2:$D$305,D652,'02c_AI_CSP_Normalized'!$E$2:$E$305,E652)</f>
        <v/>
      </c>
      <c r="I652" s="6">
        <f>SUMIFS('02b_CSP_Accelerator_Mix'!$H$2:$H$573,'02b_CSP_Accelerator_Mix'!$B$2:$B$573,B652,'02b_CSP_Accelerator_Mix'!$C$2:$C$573,E652,'02b_CSP_Accelerator_Mix'!$D$2:$D$573,D652,'02b_CSP_Accelerator_Mix'!$E$2:$E$573,F652)</f>
        <v/>
      </c>
      <c r="J652" s="28">
        <f>H652*I652</f>
        <v/>
      </c>
      <c r="K652" s="8">
        <f>IFERROR(INDEX('02x_Accelerator_Catalog'!$D$2:$D$11,MATCH(F652,'02x_Accelerator_Catalog'!$B$2:$B$11,0)),"")</f>
        <v/>
      </c>
      <c r="L652" s="7">
        <f>IF(K652&gt;0,J652*1000/K652,"")</f>
        <v/>
      </c>
      <c r="M652" s="5" t="inlineStr">
        <is>
          <t>legacy_company_gpu_mix_fallback</t>
        </is>
      </c>
      <c r="N652" s="5" t="inlineStr">
        <is>
          <t>Extensible long-format output: add a new accelerator row in 02b and map it in 02x_Accelerator_Catalog to extend this table.</t>
        </is>
      </c>
    </row>
    <row r="653">
      <c r="A653" s="5">
        <f>B653&amp;"|"&amp;C653&amp;"|"&amp;D653&amp;"|"&amp;E653&amp;"|"&amp;F653</f>
        <v/>
      </c>
      <c r="B653" s="5" t="inlineStr">
        <is>
          <t>Grid-Constrained / Efficiency-Upside</t>
        </is>
      </c>
      <c r="C653" s="5" t="inlineStr">
        <is>
          <t>Tencent</t>
        </is>
      </c>
      <c r="D653" s="5" t="n">
        <v>2030</v>
      </c>
      <c r="E653" s="5" t="inlineStr">
        <is>
          <t>Legacy company envelope - Tencent</t>
        </is>
      </c>
      <c r="F653" s="5" t="inlineStr">
        <is>
          <t>H100/H200/A100 class</t>
        </is>
      </c>
      <c r="G653" s="5">
        <f>IFERROR(INDEX('02x_Accelerator_Catalog'!$C$2:$C$11,MATCH(F653,'02x_Accelerator_Catalog'!$B$2:$B$11,0)),"purpose_or_unbenchmarked")</f>
        <v/>
      </c>
      <c r="H653" s="28">
        <f>SUMIFS('02c_AI_CSP_Normalized'!$N$2:$N$305,'02c_AI_CSP_Normalized'!$B$2:$B$305,B653,'02c_AI_CSP_Normalized'!$C$2:$C$305,C653,'02c_AI_CSP_Normalized'!$D$2:$D$305,D653,'02c_AI_CSP_Normalized'!$E$2:$E$305,E653)</f>
        <v/>
      </c>
      <c r="I653" s="6">
        <f>SUMIFS('02b_CSP_Accelerator_Mix'!$H$2:$H$573,'02b_CSP_Accelerator_Mix'!$B$2:$B$573,B653,'02b_CSP_Accelerator_Mix'!$C$2:$C$573,E653,'02b_CSP_Accelerator_Mix'!$D$2:$D$573,D653,'02b_CSP_Accelerator_Mix'!$E$2:$E$573,F653)</f>
        <v/>
      </c>
      <c r="J653" s="28">
        <f>H653*I653</f>
        <v/>
      </c>
      <c r="K653" s="8">
        <f>IFERROR(INDEX('02x_Accelerator_Catalog'!$D$2:$D$11,MATCH(F653,'02x_Accelerator_Catalog'!$B$2:$B$11,0)),"")</f>
        <v/>
      </c>
      <c r="L653" s="7">
        <f>IF(K653&gt;0,J653*1000/K653,"")</f>
        <v/>
      </c>
      <c r="M653" s="5" t="inlineStr">
        <is>
          <t>legacy_company_gpu_mix_fallback</t>
        </is>
      </c>
      <c r="N653" s="5" t="inlineStr">
        <is>
          <t>Extensible long-format output: add a new accelerator row in 02b and map it in 02x_Accelerator_Catalog to extend this table.</t>
        </is>
      </c>
    </row>
  </sheetData>
  <autoFilter ref="A1:N65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72" customWidth="1" min="16" max="16"/>
    <col width="38" customWidth="1" min="17" max="17"/>
    <col width="72" customWidth="1" min="18" max="1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h200_reference_share</t>
        </is>
      </c>
      <c r="E1" s="4" t="inlineStr">
        <is>
          <t>b200_reference_share</t>
        </is>
      </c>
      <c r="F1" s="4" t="inlineStr">
        <is>
          <t>gb200_reference_share</t>
        </is>
      </c>
      <c r="G1" s="4" t="inlineStr">
        <is>
          <t>purpose_or_unbenchmarked_share</t>
        </is>
      </c>
      <c r="H1" s="4" t="inlineStr">
        <is>
          <t>share_sum_check</t>
        </is>
      </c>
      <c r="I1" s="4" t="inlineStr">
        <is>
          <t>inference_weight_mw</t>
        </is>
      </c>
      <c r="J1" s="4" t="inlineStr">
        <is>
          <t>r200_future_share</t>
        </is>
      </c>
      <c r="K1" s="4" t="inlineStr">
        <is>
          <t>tpu_share</t>
        </is>
      </c>
      <c r="L1" s="4" t="inlineStr">
        <is>
          <t>trainium_share</t>
        </is>
      </c>
      <c r="M1" s="4" t="inlineStr">
        <is>
          <t>maia_share</t>
        </is>
      </c>
      <c r="N1" s="4" t="inlineStr">
        <is>
          <t>mtia_share</t>
        </is>
      </c>
      <c r="O1" s="4" t="inlineStr">
        <is>
          <t>other_share</t>
        </is>
      </c>
      <c r="P1" s="4" t="inlineStr">
        <is>
          <t>mix_derivation_formula</t>
        </is>
      </c>
      <c r="Q1" s="4" t="inlineStr">
        <is>
          <t>source_type</t>
        </is>
      </c>
      <c r="R1" s="4" t="inlineStr">
        <is>
          <t>note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6">
        <f>IF(I2&gt;0,SUMIFS('02d_AI_Accelerator_Power'!$J$2:$J$653,'02d_AI_Accelerator_Power'!$B$2:$B$653,A2,'02d_AI_Accelerator_Power'!$C$2:$C$653,B2,'02d_AI_Accelerator_Power'!$D$2:$D$653,C2,'02d_AI_Accelerator_Power'!$G$2:$G$653,"h200_reference")/I2,0.173278)</f>
        <v/>
      </c>
      <c r="E2" s="6">
        <f>IF(I2&gt;0,SUMIFS('02d_AI_Accelerator_Power'!$J$2:$J$653,'02d_AI_Accelerator_Power'!$B$2:$B$653,A2,'02d_AI_Accelerator_Power'!$C$2:$C$653,B2,'02d_AI_Accelerator_Power'!$D$2:$D$653,C2,'02d_AI_Accelerator_Power'!$G$2:$G$653,"b200_reference")/I2,0.826722)</f>
        <v/>
      </c>
      <c r="F2" s="6">
        <f>IF(I2&gt;0,SUMIFS('02d_AI_Accelerator_Power'!$J$2:$J$653,'02d_AI_Accelerator_Power'!$B$2:$B$653,A2,'02d_AI_Accelerator_Power'!$C$2:$C$653,B2,'02d_AI_Accelerator_Power'!$D$2:$D$653,C2,'02d_AI_Accelerator_Power'!$G$2:$G$653,"gb200_reference")/I2,0.0)</f>
        <v/>
      </c>
      <c r="G2" s="6">
        <f>IF(I2&gt;0,SUMIFS('02d_AI_Accelerator_Power'!$J$2:$J$653,'02d_AI_Accelerator_Power'!$B$2:$B$653,A2,'02d_AI_Accelerator_Power'!$C$2:$C$653,B2,'02d_AI_Accelerator_Power'!$D$2:$D$653,C2,'02d_AI_Accelerator_Power'!$G$2:$G$653,"purpose_or_unbenchmarked")/I2,0.0)</f>
        <v/>
      </c>
      <c r="H2" s="6">
        <f>SUM(D2:G2)</f>
        <v/>
      </c>
      <c r="I2" s="28">
        <f>SUMIFS('02d_AI_Accelerator_Power'!$J$2:$J$653,'02d_AI_Accelerator_Power'!$B$2:$B$653,A2,'02d_AI_Accelerator_Power'!$C$2:$C$653,B2,'02d_AI_Accelerator_Power'!$D$2:$D$653,C2)</f>
        <v/>
      </c>
      <c r="J2" s="6">
        <f>IF(I2&gt;0,SUMIFS('02d_AI_Accelerator_Power'!$J$2:$J$653,'02d_AI_Accelerator_Power'!$B$2:$B$653,A2,'02d_AI_Accelerator_Power'!$C$2:$C$653,B2,'02d_AI_Accelerator_Power'!$D$2:$D$653,C2,'02d_AI_Accelerator_Power'!$F$2:$F$653,"R200/R300 future")/I2,0)</f>
        <v/>
      </c>
      <c r="K2" s="6">
        <f>IF(I2&gt;0,SUMIFS('02d_AI_Accelerator_Power'!$J$2:$J$653,'02d_AI_Accelerator_Power'!$B$2:$B$653,A2,'02d_AI_Accelerator_Power'!$C$2:$C$653,B2,'02d_AI_Accelerator_Power'!$D$2:$D$653,C2,'02d_AI_Accelerator_Power'!$F$2:$F$653,"TPU")/I2,0)</f>
        <v/>
      </c>
      <c r="L2" s="6">
        <f>IF(I2&gt;0,SUMIFS('02d_AI_Accelerator_Power'!$J$2:$J$653,'02d_AI_Accelerator_Power'!$B$2:$B$653,A2,'02d_AI_Accelerator_Power'!$C$2:$C$653,B2,'02d_AI_Accelerator_Power'!$D$2:$D$653,C2,'02d_AI_Accelerator_Power'!$F$2:$F$653,"Trainium")/I2,0)</f>
        <v/>
      </c>
      <c r="M2" s="6">
        <f>IF(I2&gt;0,SUMIFS('02d_AI_Accelerator_Power'!$J$2:$J$653,'02d_AI_Accelerator_Power'!$B$2:$B$653,A2,'02d_AI_Accelerator_Power'!$C$2:$C$653,B2,'02d_AI_Accelerator_Power'!$D$2:$D$653,C2,'02d_AI_Accelerator_Power'!$F$2:$F$653,"Maia")/I2,0)</f>
        <v/>
      </c>
      <c r="N2" s="6">
        <f>IF(I2&gt;0,SUMIFS('02d_AI_Accelerator_Power'!$J$2:$J$653,'02d_AI_Accelerator_Power'!$B$2:$B$653,A2,'02d_AI_Accelerator_Power'!$C$2:$C$653,B2,'02d_AI_Accelerator_Power'!$D$2:$D$653,C2,'02d_AI_Accelerator_Power'!$F$2:$F$653,"MTIA")/I2,0)</f>
        <v/>
      </c>
      <c r="O2" s="6">
        <f>IF(I2&gt;0,SUMIFS('02d_AI_Accelerator_Power'!$J$2:$J$653,'02d_AI_Accelerator_Power'!$B$2:$B$653,A2,'02d_AI_Accelerator_Power'!$C$2:$C$653,B2,'02d_AI_Accelerator_Power'!$D$2:$D$653,C2,'02d_AI_Accelerator_Power'!$F$2:$F$653,"Other / unknown accelerator")/I2,0)</f>
        <v/>
      </c>
      <c r="P2" s="3" t="inlineStr">
        <is>
          <t>CSP contract normalized: company inference MW * (CSP total MW * AI contract share * inference share) / company contract inference weight, then multiplied by CSP accelerator rows.</t>
        </is>
      </c>
      <c r="Q2" s="3" t="inlineStr">
        <is>
          <t>csp_contract_share_x_csp_accelerator_mix</t>
        </is>
      </c>
      <c r="R2" s="3" t="inlineStr">
        <is>
          <t>Edit 02a CSP contract allocation, 02b CSP accelerator mix, or 02x accelerator catalog; 03_Calculation reads D:G from this sheet.</t>
        </is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6">
        <f>IF(I3&gt;0,SUMIFS('02d_AI_Accelerator_Power'!$J$2:$J$653,'02d_AI_Accelerator_Power'!$B$2:$B$653,A3,'02d_AI_Accelerator_Power'!$C$2:$C$653,B3,'02d_AI_Accelerator_Power'!$D$2:$D$653,C3,'02d_AI_Accelerator_Power'!$G$2:$G$653,"h200_reference")/I3,0.124979)</f>
        <v/>
      </c>
      <c r="E3" s="6">
        <f>IF(I3&gt;0,SUMIFS('02d_AI_Accelerator_Power'!$J$2:$J$653,'02d_AI_Accelerator_Power'!$B$2:$B$653,A3,'02d_AI_Accelerator_Power'!$C$2:$C$653,B3,'02d_AI_Accelerator_Power'!$D$2:$D$653,C3,'02d_AI_Accelerator_Power'!$G$2:$G$653,"b200_reference")/I3,0.875021)</f>
        <v/>
      </c>
      <c r="F3" s="6">
        <f>IF(I3&gt;0,SUMIFS('02d_AI_Accelerator_Power'!$J$2:$J$653,'02d_AI_Accelerator_Power'!$B$2:$B$653,A3,'02d_AI_Accelerator_Power'!$C$2:$C$653,B3,'02d_AI_Accelerator_Power'!$D$2:$D$653,C3,'02d_AI_Accelerator_Power'!$G$2:$G$653,"gb200_reference")/I3,0.0)</f>
        <v/>
      </c>
      <c r="G3" s="6">
        <f>IF(I3&gt;0,SUMIFS('02d_AI_Accelerator_Power'!$J$2:$J$653,'02d_AI_Accelerator_Power'!$B$2:$B$653,A3,'02d_AI_Accelerator_Power'!$C$2:$C$653,B3,'02d_AI_Accelerator_Power'!$D$2:$D$653,C3,'02d_AI_Accelerator_Power'!$G$2:$G$653,"purpose_or_unbenchmarked")/I3,0.0)</f>
        <v/>
      </c>
      <c r="H3" s="6">
        <f>SUM(D3:G3)</f>
        <v/>
      </c>
      <c r="I3" s="28">
        <f>SUMIFS('02d_AI_Accelerator_Power'!$J$2:$J$653,'02d_AI_Accelerator_Power'!$B$2:$B$653,A3,'02d_AI_Accelerator_Power'!$C$2:$C$653,B3,'02d_AI_Accelerator_Power'!$D$2:$D$653,C3)</f>
        <v/>
      </c>
      <c r="J3" s="6">
        <f>IF(I3&gt;0,SUMIFS('02d_AI_Accelerator_Power'!$J$2:$J$653,'02d_AI_Accelerator_Power'!$B$2:$B$653,A3,'02d_AI_Accelerator_Power'!$C$2:$C$653,B3,'02d_AI_Accelerator_Power'!$D$2:$D$653,C3,'02d_AI_Accelerator_Power'!$F$2:$F$653,"R200/R300 future")/I3,0)</f>
        <v/>
      </c>
      <c r="K3" s="6">
        <f>IF(I3&gt;0,SUMIFS('02d_AI_Accelerator_Power'!$J$2:$J$653,'02d_AI_Accelerator_Power'!$B$2:$B$653,A3,'02d_AI_Accelerator_Power'!$C$2:$C$653,B3,'02d_AI_Accelerator_Power'!$D$2:$D$653,C3,'02d_AI_Accelerator_Power'!$F$2:$F$653,"TPU")/I3,0)</f>
        <v/>
      </c>
      <c r="L3" s="6">
        <f>IF(I3&gt;0,SUMIFS('02d_AI_Accelerator_Power'!$J$2:$J$653,'02d_AI_Accelerator_Power'!$B$2:$B$653,A3,'02d_AI_Accelerator_Power'!$C$2:$C$653,B3,'02d_AI_Accelerator_Power'!$D$2:$D$653,C3,'02d_AI_Accelerator_Power'!$F$2:$F$653,"Trainium")/I3,0)</f>
        <v/>
      </c>
      <c r="M3" s="6">
        <f>IF(I3&gt;0,SUMIFS('02d_AI_Accelerator_Power'!$J$2:$J$653,'02d_AI_Accelerator_Power'!$B$2:$B$653,A3,'02d_AI_Accelerator_Power'!$C$2:$C$653,B3,'02d_AI_Accelerator_Power'!$D$2:$D$653,C3,'02d_AI_Accelerator_Power'!$F$2:$F$653,"Maia")/I3,0)</f>
        <v/>
      </c>
      <c r="N3" s="6">
        <f>IF(I3&gt;0,SUMIFS('02d_AI_Accelerator_Power'!$J$2:$J$653,'02d_AI_Accelerator_Power'!$B$2:$B$653,A3,'02d_AI_Accelerator_Power'!$C$2:$C$653,B3,'02d_AI_Accelerator_Power'!$D$2:$D$653,C3,'02d_AI_Accelerator_Power'!$F$2:$F$653,"MTIA")/I3,0)</f>
        <v/>
      </c>
      <c r="O3" s="6">
        <f>IF(I3&gt;0,SUMIFS('02d_AI_Accelerator_Power'!$J$2:$J$653,'02d_AI_Accelerator_Power'!$B$2:$B$653,A3,'02d_AI_Accelerator_Power'!$C$2:$C$653,B3,'02d_AI_Accelerator_Power'!$D$2:$D$653,C3,'02d_AI_Accelerator_Power'!$F$2:$F$653,"Other / unknown accelerator")/I3,0)</f>
        <v/>
      </c>
      <c r="P3" s="3" t="inlineStr">
        <is>
          <t>CSP contract normalized: company inference MW * (CSP total MW * AI contract share * inference share) / company contract inference weight, then multiplied by CSP accelerator rows.</t>
        </is>
      </c>
      <c r="Q3" s="3" t="inlineStr">
        <is>
          <t>csp_contract_share_x_csp_accelerator_mix</t>
        </is>
      </c>
      <c r="R3" s="3" t="inlineStr">
        <is>
          <t>Edit 02a CSP contract allocation, 02b CSP accelerator mix, or 02x accelerator catalog; 03_Calculation reads D:G from this sheet.</t>
        </is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6">
        <f>IF(I4&gt;0,SUMIFS('02d_AI_Accelerator_Power'!$J$2:$J$653,'02d_AI_Accelerator_Power'!$B$2:$B$653,A4,'02d_AI_Accelerator_Power'!$C$2:$C$653,B4,'02d_AI_Accelerator_Power'!$D$2:$D$653,C4,'02d_AI_Accelerator_Power'!$G$2:$G$653,"h200_reference")/I4,0.052258)</f>
        <v/>
      </c>
      <c r="E4" s="6">
        <f>IF(I4&gt;0,SUMIFS('02d_AI_Accelerator_Power'!$J$2:$J$653,'02d_AI_Accelerator_Power'!$B$2:$B$653,A4,'02d_AI_Accelerator_Power'!$C$2:$C$653,B4,'02d_AI_Accelerator_Power'!$D$2:$D$653,C4,'02d_AI_Accelerator_Power'!$G$2:$G$653,"b200_reference")/I4,0.947742)</f>
        <v/>
      </c>
      <c r="F4" s="6">
        <f>IF(I4&gt;0,SUMIFS('02d_AI_Accelerator_Power'!$J$2:$J$653,'02d_AI_Accelerator_Power'!$B$2:$B$653,A4,'02d_AI_Accelerator_Power'!$C$2:$C$653,B4,'02d_AI_Accelerator_Power'!$D$2:$D$653,C4,'02d_AI_Accelerator_Power'!$G$2:$G$653,"gb200_reference")/I4,0.0)</f>
        <v/>
      </c>
      <c r="G4" s="6">
        <f>IF(I4&gt;0,SUMIFS('02d_AI_Accelerator_Power'!$J$2:$J$653,'02d_AI_Accelerator_Power'!$B$2:$B$653,A4,'02d_AI_Accelerator_Power'!$C$2:$C$653,B4,'02d_AI_Accelerator_Power'!$D$2:$D$653,C4,'02d_AI_Accelerator_Power'!$G$2:$G$653,"purpose_or_unbenchmarked")/I4,0.0)</f>
        <v/>
      </c>
      <c r="H4" s="6">
        <f>SUM(D4:G4)</f>
        <v/>
      </c>
      <c r="I4" s="28">
        <f>SUMIFS('02d_AI_Accelerator_Power'!$J$2:$J$653,'02d_AI_Accelerator_Power'!$B$2:$B$653,A4,'02d_AI_Accelerator_Power'!$C$2:$C$653,B4,'02d_AI_Accelerator_Power'!$D$2:$D$653,C4)</f>
        <v/>
      </c>
      <c r="J4" s="6">
        <f>IF(I4&gt;0,SUMIFS('02d_AI_Accelerator_Power'!$J$2:$J$653,'02d_AI_Accelerator_Power'!$B$2:$B$653,A4,'02d_AI_Accelerator_Power'!$C$2:$C$653,B4,'02d_AI_Accelerator_Power'!$D$2:$D$653,C4,'02d_AI_Accelerator_Power'!$F$2:$F$653,"R200/R300 future")/I4,0)</f>
        <v/>
      </c>
      <c r="K4" s="6">
        <f>IF(I4&gt;0,SUMIFS('02d_AI_Accelerator_Power'!$J$2:$J$653,'02d_AI_Accelerator_Power'!$B$2:$B$653,A4,'02d_AI_Accelerator_Power'!$C$2:$C$653,B4,'02d_AI_Accelerator_Power'!$D$2:$D$653,C4,'02d_AI_Accelerator_Power'!$F$2:$F$653,"TPU")/I4,0)</f>
        <v/>
      </c>
      <c r="L4" s="6">
        <f>IF(I4&gt;0,SUMIFS('02d_AI_Accelerator_Power'!$J$2:$J$653,'02d_AI_Accelerator_Power'!$B$2:$B$653,A4,'02d_AI_Accelerator_Power'!$C$2:$C$653,B4,'02d_AI_Accelerator_Power'!$D$2:$D$653,C4,'02d_AI_Accelerator_Power'!$F$2:$F$653,"Trainium")/I4,0)</f>
        <v/>
      </c>
      <c r="M4" s="6">
        <f>IF(I4&gt;0,SUMIFS('02d_AI_Accelerator_Power'!$J$2:$J$653,'02d_AI_Accelerator_Power'!$B$2:$B$653,A4,'02d_AI_Accelerator_Power'!$C$2:$C$653,B4,'02d_AI_Accelerator_Power'!$D$2:$D$653,C4,'02d_AI_Accelerator_Power'!$F$2:$F$653,"Maia")/I4,0)</f>
        <v/>
      </c>
      <c r="N4" s="6">
        <f>IF(I4&gt;0,SUMIFS('02d_AI_Accelerator_Power'!$J$2:$J$653,'02d_AI_Accelerator_Power'!$B$2:$B$653,A4,'02d_AI_Accelerator_Power'!$C$2:$C$653,B4,'02d_AI_Accelerator_Power'!$D$2:$D$653,C4,'02d_AI_Accelerator_Power'!$F$2:$F$653,"MTIA")/I4,0)</f>
        <v/>
      </c>
      <c r="O4" s="6">
        <f>IF(I4&gt;0,SUMIFS('02d_AI_Accelerator_Power'!$J$2:$J$653,'02d_AI_Accelerator_Power'!$B$2:$B$653,A4,'02d_AI_Accelerator_Power'!$C$2:$C$653,B4,'02d_AI_Accelerator_Power'!$D$2:$D$653,C4,'02d_AI_Accelerator_Power'!$F$2:$F$653,"Other / unknown accelerator")/I4,0)</f>
        <v/>
      </c>
      <c r="P4" s="3" t="inlineStr">
        <is>
          <t>CSP contract normalized: company inference MW * (CSP total MW * AI contract share * inference share) / company contract inference weight, then multiplied by CSP accelerator rows.</t>
        </is>
      </c>
      <c r="Q4" s="3" t="inlineStr">
        <is>
          <t>csp_contract_share_x_csp_accelerator_mix</t>
        </is>
      </c>
      <c r="R4" s="3" t="inlineStr">
        <is>
          <t>Edit 02a CSP contract allocation, 02b CSP accelerator mix, or 02x accelerator catalog; 03_Calculation reads D:G from this sheet.</t>
        </is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6">
        <f>IF(I5&gt;0,SUMIFS('02d_AI_Accelerator_Power'!$J$2:$J$653,'02d_AI_Accelerator_Power'!$B$2:$B$653,A5,'02d_AI_Accelerator_Power'!$C$2:$C$653,B5,'02d_AI_Accelerator_Power'!$D$2:$D$653,C5,'02d_AI_Accelerator_Power'!$G$2:$G$653,"h200_reference")/I5,0.052258)</f>
        <v/>
      </c>
      <c r="E5" s="6">
        <f>IF(I5&gt;0,SUMIFS('02d_AI_Accelerator_Power'!$J$2:$J$653,'02d_AI_Accelerator_Power'!$B$2:$B$653,A5,'02d_AI_Accelerator_Power'!$C$2:$C$653,B5,'02d_AI_Accelerator_Power'!$D$2:$D$653,C5,'02d_AI_Accelerator_Power'!$G$2:$G$653,"b200_reference")/I5,0.947742)</f>
        <v/>
      </c>
      <c r="F5" s="6">
        <f>IF(I5&gt;0,SUMIFS('02d_AI_Accelerator_Power'!$J$2:$J$653,'02d_AI_Accelerator_Power'!$B$2:$B$653,A5,'02d_AI_Accelerator_Power'!$C$2:$C$653,B5,'02d_AI_Accelerator_Power'!$D$2:$D$653,C5,'02d_AI_Accelerator_Power'!$G$2:$G$653,"gb200_reference")/I5,0.0)</f>
        <v/>
      </c>
      <c r="G5" s="6">
        <f>IF(I5&gt;0,SUMIFS('02d_AI_Accelerator_Power'!$J$2:$J$653,'02d_AI_Accelerator_Power'!$B$2:$B$653,A5,'02d_AI_Accelerator_Power'!$C$2:$C$653,B5,'02d_AI_Accelerator_Power'!$D$2:$D$653,C5,'02d_AI_Accelerator_Power'!$G$2:$G$653,"purpose_or_unbenchmarked")/I5,0.0)</f>
        <v/>
      </c>
      <c r="H5" s="6">
        <f>SUM(D5:G5)</f>
        <v/>
      </c>
      <c r="I5" s="28">
        <f>SUMIFS('02d_AI_Accelerator_Power'!$J$2:$J$653,'02d_AI_Accelerator_Power'!$B$2:$B$653,A5,'02d_AI_Accelerator_Power'!$C$2:$C$653,B5,'02d_AI_Accelerator_Power'!$D$2:$D$653,C5)</f>
        <v/>
      </c>
      <c r="J5" s="6">
        <f>IF(I5&gt;0,SUMIFS('02d_AI_Accelerator_Power'!$J$2:$J$653,'02d_AI_Accelerator_Power'!$B$2:$B$653,A5,'02d_AI_Accelerator_Power'!$C$2:$C$653,B5,'02d_AI_Accelerator_Power'!$D$2:$D$653,C5,'02d_AI_Accelerator_Power'!$F$2:$F$653,"R200/R300 future")/I5,0)</f>
        <v/>
      </c>
      <c r="K5" s="6">
        <f>IF(I5&gt;0,SUMIFS('02d_AI_Accelerator_Power'!$J$2:$J$653,'02d_AI_Accelerator_Power'!$B$2:$B$653,A5,'02d_AI_Accelerator_Power'!$C$2:$C$653,B5,'02d_AI_Accelerator_Power'!$D$2:$D$653,C5,'02d_AI_Accelerator_Power'!$F$2:$F$653,"TPU")/I5,0)</f>
        <v/>
      </c>
      <c r="L5" s="6">
        <f>IF(I5&gt;0,SUMIFS('02d_AI_Accelerator_Power'!$J$2:$J$653,'02d_AI_Accelerator_Power'!$B$2:$B$653,A5,'02d_AI_Accelerator_Power'!$C$2:$C$653,B5,'02d_AI_Accelerator_Power'!$D$2:$D$653,C5,'02d_AI_Accelerator_Power'!$F$2:$F$653,"Trainium")/I5,0)</f>
        <v/>
      </c>
      <c r="M5" s="6">
        <f>IF(I5&gt;0,SUMIFS('02d_AI_Accelerator_Power'!$J$2:$J$653,'02d_AI_Accelerator_Power'!$B$2:$B$653,A5,'02d_AI_Accelerator_Power'!$C$2:$C$653,B5,'02d_AI_Accelerator_Power'!$D$2:$D$653,C5,'02d_AI_Accelerator_Power'!$F$2:$F$653,"Maia")/I5,0)</f>
        <v/>
      </c>
      <c r="N5" s="6">
        <f>IF(I5&gt;0,SUMIFS('02d_AI_Accelerator_Power'!$J$2:$J$653,'02d_AI_Accelerator_Power'!$B$2:$B$653,A5,'02d_AI_Accelerator_Power'!$C$2:$C$653,B5,'02d_AI_Accelerator_Power'!$D$2:$D$653,C5,'02d_AI_Accelerator_Power'!$F$2:$F$653,"MTIA")/I5,0)</f>
        <v/>
      </c>
      <c r="O5" s="6">
        <f>IF(I5&gt;0,SUMIFS('02d_AI_Accelerator_Power'!$J$2:$J$653,'02d_AI_Accelerator_Power'!$B$2:$B$653,A5,'02d_AI_Accelerator_Power'!$C$2:$C$653,B5,'02d_AI_Accelerator_Power'!$D$2:$D$653,C5,'02d_AI_Accelerator_Power'!$F$2:$F$653,"Other / unknown accelerator")/I5,0)</f>
        <v/>
      </c>
      <c r="P5" s="3" t="inlineStr">
        <is>
          <t>CSP contract normalized: company inference MW * (CSP total MW * AI contract share * inference share) / company contract inference weight, then multiplied by CSP accelerator rows.</t>
        </is>
      </c>
      <c r="Q5" s="3" t="inlineStr">
        <is>
          <t>csp_contract_share_x_csp_accelerator_mix</t>
        </is>
      </c>
      <c r="R5" s="3" t="inlineStr">
        <is>
          <t>Edit 02a CSP contract allocation, 02b CSP accelerator mix, or 02x accelerator catalog; 03_Calculation reads D:G from this sheet.</t>
        </is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6">
        <f>IF(I6&gt;0,SUMIFS('02d_AI_Accelerator_Power'!$J$2:$J$653,'02d_AI_Accelerator_Power'!$B$2:$B$653,A6,'02d_AI_Accelerator_Power'!$C$2:$C$653,B6,'02d_AI_Accelerator_Power'!$D$2:$D$653,C6,'02d_AI_Accelerator_Power'!$G$2:$G$653,"h200_reference")/I6,0.052258)</f>
        <v/>
      </c>
      <c r="E6" s="6">
        <f>IF(I6&gt;0,SUMIFS('02d_AI_Accelerator_Power'!$J$2:$J$653,'02d_AI_Accelerator_Power'!$B$2:$B$653,A6,'02d_AI_Accelerator_Power'!$C$2:$C$653,B6,'02d_AI_Accelerator_Power'!$D$2:$D$653,C6,'02d_AI_Accelerator_Power'!$G$2:$G$653,"b200_reference")/I6,0.947742)</f>
        <v/>
      </c>
      <c r="F6" s="6">
        <f>IF(I6&gt;0,SUMIFS('02d_AI_Accelerator_Power'!$J$2:$J$653,'02d_AI_Accelerator_Power'!$B$2:$B$653,A6,'02d_AI_Accelerator_Power'!$C$2:$C$653,B6,'02d_AI_Accelerator_Power'!$D$2:$D$653,C6,'02d_AI_Accelerator_Power'!$G$2:$G$653,"gb200_reference")/I6,0.0)</f>
        <v/>
      </c>
      <c r="G6" s="6">
        <f>IF(I6&gt;0,SUMIFS('02d_AI_Accelerator_Power'!$J$2:$J$653,'02d_AI_Accelerator_Power'!$B$2:$B$653,A6,'02d_AI_Accelerator_Power'!$C$2:$C$653,B6,'02d_AI_Accelerator_Power'!$D$2:$D$653,C6,'02d_AI_Accelerator_Power'!$G$2:$G$653,"purpose_or_unbenchmarked")/I6,0.0)</f>
        <v/>
      </c>
      <c r="H6" s="6">
        <f>SUM(D6:G6)</f>
        <v/>
      </c>
      <c r="I6" s="28">
        <f>SUMIFS('02d_AI_Accelerator_Power'!$J$2:$J$653,'02d_AI_Accelerator_Power'!$B$2:$B$653,A6,'02d_AI_Accelerator_Power'!$C$2:$C$653,B6,'02d_AI_Accelerator_Power'!$D$2:$D$653,C6)</f>
        <v/>
      </c>
      <c r="J6" s="6">
        <f>IF(I6&gt;0,SUMIFS('02d_AI_Accelerator_Power'!$J$2:$J$653,'02d_AI_Accelerator_Power'!$B$2:$B$653,A6,'02d_AI_Accelerator_Power'!$C$2:$C$653,B6,'02d_AI_Accelerator_Power'!$D$2:$D$653,C6,'02d_AI_Accelerator_Power'!$F$2:$F$653,"R200/R300 future")/I6,0)</f>
        <v/>
      </c>
      <c r="K6" s="6">
        <f>IF(I6&gt;0,SUMIFS('02d_AI_Accelerator_Power'!$J$2:$J$653,'02d_AI_Accelerator_Power'!$B$2:$B$653,A6,'02d_AI_Accelerator_Power'!$C$2:$C$653,B6,'02d_AI_Accelerator_Power'!$D$2:$D$653,C6,'02d_AI_Accelerator_Power'!$F$2:$F$653,"TPU")/I6,0)</f>
        <v/>
      </c>
      <c r="L6" s="6">
        <f>IF(I6&gt;0,SUMIFS('02d_AI_Accelerator_Power'!$J$2:$J$653,'02d_AI_Accelerator_Power'!$B$2:$B$653,A6,'02d_AI_Accelerator_Power'!$C$2:$C$653,B6,'02d_AI_Accelerator_Power'!$D$2:$D$653,C6,'02d_AI_Accelerator_Power'!$F$2:$F$653,"Trainium")/I6,0)</f>
        <v/>
      </c>
      <c r="M6" s="6">
        <f>IF(I6&gt;0,SUMIFS('02d_AI_Accelerator_Power'!$J$2:$J$653,'02d_AI_Accelerator_Power'!$B$2:$B$653,A6,'02d_AI_Accelerator_Power'!$C$2:$C$653,B6,'02d_AI_Accelerator_Power'!$D$2:$D$653,C6,'02d_AI_Accelerator_Power'!$F$2:$F$653,"Maia")/I6,0)</f>
        <v/>
      </c>
      <c r="N6" s="6">
        <f>IF(I6&gt;0,SUMIFS('02d_AI_Accelerator_Power'!$J$2:$J$653,'02d_AI_Accelerator_Power'!$B$2:$B$653,A6,'02d_AI_Accelerator_Power'!$C$2:$C$653,B6,'02d_AI_Accelerator_Power'!$D$2:$D$653,C6,'02d_AI_Accelerator_Power'!$F$2:$F$653,"MTIA")/I6,0)</f>
        <v/>
      </c>
      <c r="O6" s="6">
        <f>IF(I6&gt;0,SUMIFS('02d_AI_Accelerator_Power'!$J$2:$J$653,'02d_AI_Accelerator_Power'!$B$2:$B$653,A6,'02d_AI_Accelerator_Power'!$C$2:$C$653,B6,'02d_AI_Accelerator_Power'!$D$2:$D$653,C6,'02d_AI_Accelerator_Power'!$F$2:$F$653,"Other / unknown accelerator")/I6,0)</f>
        <v/>
      </c>
      <c r="P6" s="3" t="inlineStr">
        <is>
          <t>CSP contract normalized: company inference MW * (CSP total MW * AI contract share * inference share) / company contract inference weight, then multiplied by CSP accelerator rows.</t>
        </is>
      </c>
      <c r="Q6" s="3" t="inlineStr">
        <is>
          <t>csp_contract_share_x_csp_accelerator_mix</t>
        </is>
      </c>
      <c r="R6" s="3" t="inlineStr">
        <is>
          <t>Edit 02a CSP contract allocation, 02b CSP accelerator mix, or 02x accelerator catalog; 03_Calculation reads D:G from this sheet.</t>
        </is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6">
        <f>IF(I7&gt;0,SUMIFS('02d_AI_Accelerator_Power'!$J$2:$J$653,'02d_AI_Accelerator_Power'!$B$2:$B$653,A7,'02d_AI_Accelerator_Power'!$C$2:$C$653,B7,'02d_AI_Accelerator_Power'!$D$2:$D$653,C7,'02d_AI_Accelerator_Power'!$G$2:$G$653,"h200_reference")/I7,0.0)</f>
        <v/>
      </c>
      <c r="E7" s="6">
        <f>IF(I7&gt;0,SUMIFS('02d_AI_Accelerator_Power'!$J$2:$J$653,'02d_AI_Accelerator_Power'!$B$2:$B$653,A7,'02d_AI_Accelerator_Power'!$C$2:$C$653,B7,'02d_AI_Accelerator_Power'!$D$2:$D$653,C7,'02d_AI_Accelerator_Power'!$G$2:$G$653,"b200_reference")/I7,0.057223)</f>
        <v/>
      </c>
      <c r="F7" s="6">
        <f>IF(I7&gt;0,SUMIFS('02d_AI_Accelerator_Power'!$J$2:$J$653,'02d_AI_Accelerator_Power'!$B$2:$B$653,A7,'02d_AI_Accelerator_Power'!$C$2:$C$653,B7,'02d_AI_Accelerator_Power'!$D$2:$D$653,C7,'02d_AI_Accelerator_Power'!$G$2:$G$653,"gb200_reference")/I7,0.0)</f>
        <v/>
      </c>
      <c r="G7" s="6">
        <f>IF(I7&gt;0,SUMIFS('02d_AI_Accelerator_Power'!$J$2:$J$653,'02d_AI_Accelerator_Power'!$B$2:$B$653,A7,'02d_AI_Accelerator_Power'!$C$2:$C$653,B7,'02d_AI_Accelerator_Power'!$D$2:$D$653,C7,'02d_AI_Accelerator_Power'!$G$2:$G$653,"purpose_or_unbenchmarked")/I7,0.942777)</f>
        <v/>
      </c>
      <c r="H7" s="6">
        <f>SUM(D7:G7)</f>
        <v/>
      </c>
      <c r="I7" s="28">
        <f>SUMIFS('02d_AI_Accelerator_Power'!$J$2:$J$653,'02d_AI_Accelerator_Power'!$B$2:$B$653,A7,'02d_AI_Accelerator_Power'!$C$2:$C$653,B7,'02d_AI_Accelerator_Power'!$D$2:$D$653,C7)</f>
        <v/>
      </c>
      <c r="J7" s="6">
        <f>IF(I7&gt;0,SUMIFS('02d_AI_Accelerator_Power'!$J$2:$J$653,'02d_AI_Accelerator_Power'!$B$2:$B$653,A7,'02d_AI_Accelerator_Power'!$C$2:$C$653,B7,'02d_AI_Accelerator_Power'!$D$2:$D$653,C7,'02d_AI_Accelerator_Power'!$F$2:$F$653,"R200/R300 future")/I7,0)</f>
        <v/>
      </c>
      <c r="K7" s="6">
        <f>IF(I7&gt;0,SUMIFS('02d_AI_Accelerator_Power'!$J$2:$J$653,'02d_AI_Accelerator_Power'!$B$2:$B$653,A7,'02d_AI_Accelerator_Power'!$C$2:$C$653,B7,'02d_AI_Accelerator_Power'!$D$2:$D$653,C7,'02d_AI_Accelerator_Power'!$F$2:$F$653,"TPU")/I7,0)</f>
        <v/>
      </c>
      <c r="L7" s="6">
        <f>IF(I7&gt;0,SUMIFS('02d_AI_Accelerator_Power'!$J$2:$J$653,'02d_AI_Accelerator_Power'!$B$2:$B$653,A7,'02d_AI_Accelerator_Power'!$C$2:$C$653,B7,'02d_AI_Accelerator_Power'!$D$2:$D$653,C7,'02d_AI_Accelerator_Power'!$F$2:$F$653,"Trainium")/I7,0)</f>
        <v/>
      </c>
      <c r="M7" s="6">
        <f>IF(I7&gt;0,SUMIFS('02d_AI_Accelerator_Power'!$J$2:$J$653,'02d_AI_Accelerator_Power'!$B$2:$B$653,A7,'02d_AI_Accelerator_Power'!$C$2:$C$653,B7,'02d_AI_Accelerator_Power'!$D$2:$D$653,C7,'02d_AI_Accelerator_Power'!$F$2:$F$653,"Maia")/I7,0)</f>
        <v/>
      </c>
      <c r="N7" s="6">
        <f>IF(I7&gt;0,SUMIFS('02d_AI_Accelerator_Power'!$J$2:$J$653,'02d_AI_Accelerator_Power'!$B$2:$B$653,A7,'02d_AI_Accelerator_Power'!$C$2:$C$653,B7,'02d_AI_Accelerator_Power'!$D$2:$D$653,C7,'02d_AI_Accelerator_Power'!$F$2:$F$653,"MTIA")/I7,0)</f>
        <v/>
      </c>
      <c r="O7" s="6">
        <f>IF(I7&gt;0,SUMIFS('02d_AI_Accelerator_Power'!$J$2:$J$653,'02d_AI_Accelerator_Power'!$B$2:$B$653,A7,'02d_AI_Accelerator_Power'!$C$2:$C$653,B7,'02d_AI_Accelerator_Power'!$D$2:$D$653,C7,'02d_AI_Accelerator_Power'!$F$2:$F$653,"Other / unknown accelerator")/I7,0)</f>
        <v/>
      </c>
      <c r="P7" s="3" t="inlineStr">
        <is>
          <t>CSP contract normalized: company inference MW * (CSP total MW * AI contract share * inference share) / company contract inference weight, then multiplied by CSP accelerator rows.</t>
        </is>
      </c>
      <c r="Q7" s="3" t="inlineStr">
        <is>
          <t>csp_contract_share_x_csp_accelerator_mix</t>
        </is>
      </c>
      <c r="R7" s="3" t="inlineStr">
        <is>
          <t>Edit 02a CSP contract allocation, 02b CSP accelerator mix, or 02x accelerator catalog; 03_Calculation reads D:G from this sheet.</t>
        </is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6">
        <f>IF(I8&gt;0,SUMIFS('02d_AI_Accelerator_Power'!$J$2:$J$653,'02d_AI_Accelerator_Power'!$B$2:$B$653,A8,'02d_AI_Accelerator_Power'!$C$2:$C$653,B8,'02d_AI_Accelerator_Power'!$D$2:$D$653,C8,'02d_AI_Accelerator_Power'!$G$2:$G$653,"h200_reference")/I8,0.0)</f>
        <v/>
      </c>
      <c r="E8" s="6">
        <f>IF(I8&gt;0,SUMIFS('02d_AI_Accelerator_Power'!$J$2:$J$653,'02d_AI_Accelerator_Power'!$B$2:$B$653,A8,'02d_AI_Accelerator_Power'!$C$2:$C$653,B8,'02d_AI_Accelerator_Power'!$D$2:$D$653,C8,'02d_AI_Accelerator_Power'!$G$2:$G$653,"b200_reference")/I8,0.088811)</f>
        <v/>
      </c>
      <c r="F8" s="6">
        <f>IF(I8&gt;0,SUMIFS('02d_AI_Accelerator_Power'!$J$2:$J$653,'02d_AI_Accelerator_Power'!$B$2:$B$653,A8,'02d_AI_Accelerator_Power'!$C$2:$C$653,B8,'02d_AI_Accelerator_Power'!$D$2:$D$653,C8,'02d_AI_Accelerator_Power'!$G$2:$G$653,"gb200_reference")/I8,0.0)</f>
        <v/>
      </c>
      <c r="G8" s="6">
        <f>IF(I8&gt;0,SUMIFS('02d_AI_Accelerator_Power'!$J$2:$J$653,'02d_AI_Accelerator_Power'!$B$2:$B$653,A8,'02d_AI_Accelerator_Power'!$C$2:$C$653,B8,'02d_AI_Accelerator_Power'!$D$2:$D$653,C8,'02d_AI_Accelerator_Power'!$G$2:$G$653,"purpose_or_unbenchmarked")/I8,0.911189)</f>
        <v/>
      </c>
      <c r="H8" s="6">
        <f>SUM(D8:G8)</f>
        <v/>
      </c>
      <c r="I8" s="28">
        <f>SUMIFS('02d_AI_Accelerator_Power'!$J$2:$J$653,'02d_AI_Accelerator_Power'!$B$2:$B$653,A8,'02d_AI_Accelerator_Power'!$C$2:$C$653,B8,'02d_AI_Accelerator_Power'!$D$2:$D$653,C8)</f>
        <v/>
      </c>
      <c r="J8" s="6">
        <f>IF(I8&gt;0,SUMIFS('02d_AI_Accelerator_Power'!$J$2:$J$653,'02d_AI_Accelerator_Power'!$B$2:$B$653,A8,'02d_AI_Accelerator_Power'!$C$2:$C$653,B8,'02d_AI_Accelerator_Power'!$D$2:$D$653,C8,'02d_AI_Accelerator_Power'!$F$2:$F$653,"R200/R300 future")/I8,0)</f>
        <v/>
      </c>
      <c r="K8" s="6">
        <f>IF(I8&gt;0,SUMIFS('02d_AI_Accelerator_Power'!$J$2:$J$653,'02d_AI_Accelerator_Power'!$B$2:$B$653,A8,'02d_AI_Accelerator_Power'!$C$2:$C$653,B8,'02d_AI_Accelerator_Power'!$D$2:$D$653,C8,'02d_AI_Accelerator_Power'!$F$2:$F$653,"TPU")/I8,0)</f>
        <v/>
      </c>
      <c r="L8" s="6">
        <f>IF(I8&gt;0,SUMIFS('02d_AI_Accelerator_Power'!$J$2:$J$653,'02d_AI_Accelerator_Power'!$B$2:$B$653,A8,'02d_AI_Accelerator_Power'!$C$2:$C$653,B8,'02d_AI_Accelerator_Power'!$D$2:$D$653,C8,'02d_AI_Accelerator_Power'!$F$2:$F$653,"Trainium")/I8,0)</f>
        <v/>
      </c>
      <c r="M8" s="6">
        <f>IF(I8&gt;0,SUMIFS('02d_AI_Accelerator_Power'!$J$2:$J$653,'02d_AI_Accelerator_Power'!$B$2:$B$653,A8,'02d_AI_Accelerator_Power'!$C$2:$C$653,B8,'02d_AI_Accelerator_Power'!$D$2:$D$653,C8,'02d_AI_Accelerator_Power'!$F$2:$F$653,"Maia")/I8,0)</f>
        <v/>
      </c>
      <c r="N8" s="6">
        <f>IF(I8&gt;0,SUMIFS('02d_AI_Accelerator_Power'!$J$2:$J$653,'02d_AI_Accelerator_Power'!$B$2:$B$653,A8,'02d_AI_Accelerator_Power'!$C$2:$C$653,B8,'02d_AI_Accelerator_Power'!$D$2:$D$653,C8,'02d_AI_Accelerator_Power'!$F$2:$F$653,"MTIA")/I8,0)</f>
        <v/>
      </c>
      <c r="O8" s="6">
        <f>IF(I8&gt;0,SUMIFS('02d_AI_Accelerator_Power'!$J$2:$J$653,'02d_AI_Accelerator_Power'!$B$2:$B$653,A8,'02d_AI_Accelerator_Power'!$C$2:$C$653,B8,'02d_AI_Accelerator_Power'!$D$2:$D$653,C8,'02d_AI_Accelerator_Power'!$F$2:$F$653,"Other / unknown accelerator")/I8,0)</f>
        <v/>
      </c>
      <c r="P8" s="3" t="inlineStr">
        <is>
          <t>CSP contract normalized: company inference MW * (CSP total MW * AI contract share * inference share) / company contract inference weight, then multiplied by CSP accelerator rows.</t>
        </is>
      </c>
      <c r="Q8" s="3" t="inlineStr">
        <is>
          <t>csp_contract_share_x_csp_accelerator_mix</t>
        </is>
      </c>
      <c r="R8" s="3" t="inlineStr">
        <is>
          <t>Edit 02a CSP contract allocation, 02b CSP accelerator mix, or 02x accelerator catalog; 03_Calculation reads D:G from this sheet.</t>
        </is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6">
        <f>IF(I9&gt;0,SUMIFS('02d_AI_Accelerator_Power'!$J$2:$J$653,'02d_AI_Accelerator_Power'!$B$2:$B$653,A9,'02d_AI_Accelerator_Power'!$C$2:$C$653,B9,'02d_AI_Accelerator_Power'!$D$2:$D$653,C9,'02d_AI_Accelerator_Power'!$G$2:$G$653,"h200_reference")/I9,0.0)</f>
        <v/>
      </c>
      <c r="E9" s="6">
        <f>IF(I9&gt;0,SUMIFS('02d_AI_Accelerator_Power'!$J$2:$J$653,'02d_AI_Accelerator_Power'!$B$2:$B$653,A9,'02d_AI_Accelerator_Power'!$C$2:$C$653,B9,'02d_AI_Accelerator_Power'!$D$2:$D$653,C9,'02d_AI_Accelerator_Power'!$G$2:$G$653,"b200_reference")/I9,0.088811)</f>
        <v/>
      </c>
      <c r="F9" s="6">
        <f>IF(I9&gt;0,SUMIFS('02d_AI_Accelerator_Power'!$J$2:$J$653,'02d_AI_Accelerator_Power'!$B$2:$B$653,A9,'02d_AI_Accelerator_Power'!$C$2:$C$653,B9,'02d_AI_Accelerator_Power'!$D$2:$D$653,C9,'02d_AI_Accelerator_Power'!$G$2:$G$653,"gb200_reference")/I9,0.0)</f>
        <v/>
      </c>
      <c r="G9" s="6">
        <f>IF(I9&gt;0,SUMIFS('02d_AI_Accelerator_Power'!$J$2:$J$653,'02d_AI_Accelerator_Power'!$B$2:$B$653,A9,'02d_AI_Accelerator_Power'!$C$2:$C$653,B9,'02d_AI_Accelerator_Power'!$D$2:$D$653,C9,'02d_AI_Accelerator_Power'!$G$2:$G$653,"purpose_or_unbenchmarked")/I9,0.911189)</f>
        <v/>
      </c>
      <c r="H9" s="6">
        <f>SUM(D9:G9)</f>
        <v/>
      </c>
      <c r="I9" s="28">
        <f>SUMIFS('02d_AI_Accelerator_Power'!$J$2:$J$653,'02d_AI_Accelerator_Power'!$B$2:$B$653,A9,'02d_AI_Accelerator_Power'!$C$2:$C$653,B9,'02d_AI_Accelerator_Power'!$D$2:$D$653,C9)</f>
        <v/>
      </c>
      <c r="J9" s="6">
        <f>IF(I9&gt;0,SUMIFS('02d_AI_Accelerator_Power'!$J$2:$J$653,'02d_AI_Accelerator_Power'!$B$2:$B$653,A9,'02d_AI_Accelerator_Power'!$C$2:$C$653,B9,'02d_AI_Accelerator_Power'!$D$2:$D$653,C9,'02d_AI_Accelerator_Power'!$F$2:$F$653,"R200/R300 future")/I9,0)</f>
        <v/>
      </c>
      <c r="K9" s="6">
        <f>IF(I9&gt;0,SUMIFS('02d_AI_Accelerator_Power'!$J$2:$J$653,'02d_AI_Accelerator_Power'!$B$2:$B$653,A9,'02d_AI_Accelerator_Power'!$C$2:$C$653,B9,'02d_AI_Accelerator_Power'!$D$2:$D$653,C9,'02d_AI_Accelerator_Power'!$F$2:$F$653,"TPU")/I9,0)</f>
        <v/>
      </c>
      <c r="L9" s="6">
        <f>IF(I9&gt;0,SUMIFS('02d_AI_Accelerator_Power'!$J$2:$J$653,'02d_AI_Accelerator_Power'!$B$2:$B$653,A9,'02d_AI_Accelerator_Power'!$C$2:$C$653,B9,'02d_AI_Accelerator_Power'!$D$2:$D$653,C9,'02d_AI_Accelerator_Power'!$F$2:$F$653,"Trainium")/I9,0)</f>
        <v/>
      </c>
      <c r="M9" s="6">
        <f>IF(I9&gt;0,SUMIFS('02d_AI_Accelerator_Power'!$J$2:$J$653,'02d_AI_Accelerator_Power'!$B$2:$B$653,A9,'02d_AI_Accelerator_Power'!$C$2:$C$653,B9,'02d_AI_Accelerator_Power'!$D$2:$D$653,C9,'02d_AI_Accelerator_Power'!$F$2:$F$653,"Maia")/I9,0)</f>
        <v/>
      </c>
      <c r="N9" s="6">
        <f>IF(I9&gt;0,SUMIFS('02d_AI_Accelerator_Power'!$J$2:$J$653,'02d_AI_Accelerator_Power'!$B$2:$B$653,A9,'02d_AI_Accelerator_Power'!$C$2:$C$653,B9,'02d_AI_Accelerator_Power'!$D$2:$D$653,C9,'02d_AI_Accelerator_Power'!$F$2:$F$653,"MTIA")/I9,0)</f>
        <v/>
      </c>
      <c r="O9" s="6">
        <f>IF(I9&gt;0,SUMIFS('02d_AI_Accelerator_Power'!$J$2:$J$653,'02d_AI_Accelerator_Power'!$B$2:$B$653,A9,'02d_AI_Accelerator_Power'!$C$2:$C$653,B9,'02d_AI_Accelerator_Power'!$D$2:$D$653,C9,'02d_AI_Accelerator_Power'!$F$2:$F$653,"Other / unknown accelerator")/I9,0)</f>
        <v/>
      </c>
      <c r="P9" s="3" t="inlineStr">
        <is>
          <t>CSP contract normalized: company inference MW * (CSP total MW * AI contract share * inference share) / company contract inference weight, then multiplied by CSP accelerator rows.</t>
        </is>
      </c>
      <c r="Q9" s="3" t="inlineStr">
        <is>
          <t>csp_contract_share_x_csp_accelerator_mix</t>
        </is>
      </c>
      <c r="R9" s="3" t="inlineStr">
        <is>
          <t>Edit 02a CSP contract allocation, 02b CSP accelerator mix, or 02x accelerator catalog; 03_Calculation reads D:G from this sheet.</t>
        </is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6">
        <f>IF(I10&gt;0,SUMIFS('02d_AI_Accelerator_Power'!$J$2:$J$653,'02d_AI_Accelerator_Power'!$B$2:$B$653,A10,'02d_AI_Accelerator_Power'!$C$2:$C$653,B10,'02d_AI_Accelerator_Power'!$D$2:$D$653,C10,'02d_AI_Accelerator_Power'!$G$2:$G$653,"h200_reference")/I10,0.0)</f>
        <v/>
      </c>
      <c r="E10" s="6">
        <f>IF(I10&gt;0,SUMIFS('02d_AI_Accelerator_Power'!$J$2:$J$653,'02d_AI_Accelerator_Power'!$B$2:$B$653,A10,'02d_AI_Accelerator_Power'!$C$2:$C$653,B10,'02d_AI_Accelerator_Power'!$D$2:$D$653,C10,'02d_AI_Accelerator_Power'!$G$2:$G$653,"b200_reference")/I10,0.088811)</f>
        <v/>
      </c>
      <c r="F10" s="6">
        <f>IF(I10&gt;0,SUMIFS('02d_AI_Accelerator_Power'!$J$2:$J$653,'02d_AI_Accelerator_Power'!$B$2:$B$653,A10,'02d_AI_Accelerator_Power'!$C$2:$C$653,B10,'02d_AI_Accelerator_Power'!$D$2:$D$653,C10,'02d_AI_Accelerator_Power'!$G$2:$G$653,"gb200_reference")/I10,0.0)</f>
        <v/>
      </c>
      <c r="G10" s="6">
        <f>IF(I10&gt;0,SUMIFS('02d_AI_Accelerator_Power'!$J$2:$J$653,'02d_AI_Accelerator_Power'!$B$2:$B$653,A10,'02d_AI_Accelerator_Power'!$C$2:$C$653,B10,'02d_AI_Accelerator_Power'!$D$2:$D$653,C10,'02d_AI_Accelerator_Power'!$G$2:$G$653,"purpose_or_unbenchmarked")/I10,0.911189)</f>
        <v/>
      </c>
      <c r="H10" s="6">
        <f>SUM(D10:G10)</f>
        <v/>
      </c>
      <c r="I10" s="28">
        <f>SUMIFS('02d_AI_Accelerator_Power'!$J$2:$J$653,'02d_AI_Accelerator_Power'!$B$2:$B$653,A10,'02d_AI_Accelerator_Power'!$C$2:$C$653,B10,'02d_AI_Accelerator_Power'!$D$2:$D$653,C10)</f>
        <v/>
      </c>
      <c r="J10" s="6">
        <f>IF(I10&gt;0,SUMIFS('02d_AI_Accelerator_Power'!$J$2:$J$653,'02d_AI_Accelerator_Power'!$B$2:$B$653,A10,'02d_AI_Accelerator_Power'!$C$2:$C$653,B10,'02d_AI_Accelerator_Power'!$D$2:$D$653,C10,'02d_AI_Accelerator_Power'!$F$2:$F$653,"R200/R300 future")/I10,0)</f>
        <v/>
      </c>
      <c r="K10" s="6">
        <f>IF(I10&gt;0,SUMIFS('02d_AI_Accelerator_Power'!$J$2:$J$653,'02d_AI_Accelerator_Power'!$B$2:$B$653,A10,'02d_AI_Accelerator_Power'!$C$2:$C$653,B10,'02d_AI_Accelerator_Power'!$D$2:$D$653,C10,'02d_AI_Accelerator_Power'!$F$2:$F$653,"TPU")/I10,0)</f>
        <v/>
      </c>
      <c r="L10" s="6">
        <f>IF(I10&gt;0,SUMIFS('02d_AI_Accelerator_Power'!$J$2:$J$653,'02d_AI_Accelerator_Power'!$B$2:$B$653,A10,'02d_AI_Accelerator_Power'!$C$2:$C$653,B10,'02d_AI_Accelerator_Power'!$D$2:$D$653,C10,'02d_AI_Accelerator_Power'!$F$2:$F$653,"Trainium")/I10,0)</f>
        <v/>
      </c>
      <c r="M10" s="6">
        <f>IF(I10&gt;0,SUMIFS('02d_AI_Accelerator_Power'!$J$2:$J$653,'02d_AI_Accelerator_Power'!$B$2:$B$653,A10,'02d_AI_Accelerator_Power'!$C$2:$C$653,B10,'02d_AI_Accelerator_Power'!$D$2:$D$653,C10,'02d_AI_Accelerator_Power'!$F$2:$F$653,"Maia")/I10,0)</f>
        <v/>
      </c>
      <c r="N10" s="6">
        <f>IF(I10&gt;0,SUMIFS('02d_AI_Accelerator_Power'!$J$2:$J$653,'02d_AI_Accelerator_Power'!$B$2:$B$653,A10,'02d_AI_Accelerator_Power'!$C$2:$C$653,B10,'02d_AI_Accelerator_Power'!$D$2:$D$653,C10,'02d_AI_Accelerator_Power'!$F$2:$F$653,"MTIA")/I10,0)</f>
        <v/>
      </c>
      <c r="O10" s="6">
        <f>IF(I10&gt;0,SUMIFS('02d_AI_Accelerator_Power'!$J$2:$J$653,'02d_AI_Accelerator_Power'!$B$2:$B$653,A10,'02d_AI_Accelerator_Power'!$C$2:$C$653,B10,'02d_AI_Accelerator_Power'!$D$2:$D$653,C10,'02d_AI_Accelerator_Power'!$F$2:$F$653,"Other / unknown accelerator")/I10,0)</f>
        <v/>
      </c>
      <c r="P10" s="3" t="inlineStr">
        <is>
          <t>CSP contract normalized: company inference MW * (CSP total MW * AI contract share * inference share) / company contract inference weight, then multiplied by CSP accelerator rows.</t>
        </is>
      </c>
      <c r="Q10" s="3" t="inlineStr">
        <is>
          <t>csp_contract_share_x_csp_accelerator_mix</t>
        </is>
      </c>
      <c r="R10" s="3" t="inlineStr">
        <is>
          <t>Edit 02a CSP contract allocation, 02b CSP accelerator mix, or 02x accelerator catalog; 03_Calculation reads D:G from this sheet.</t>
        </is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6">
        <f>IF(I11&gt;0,SUMIFS('02d_AI_Accelerator_Power'!$J$2:$J$653,'02d_AI_Accelerator_Power'!$B$2:$B$653,A11,'02d_AI_Accelerator_Power'!$C$2:$C$653,B11,'02d_AI_Accelerator_Power'!$D$2:$D$653,C11,'02d_AI_Accelerator_Power'!$G$2:$G$653,"h200_reference")/I11,0.0)</f>
        <v/>
      </c>
      <c r="E11" s="6">
        <f>IF(I11&gt;0,SUMIFS('02d_AI_Accelerator_Power'!$J$2:$J$653,'02d_AI_Accelerator_Power'!$B$2:$B$653,A11,'02d_AI_Accelerator_Power'!$C$2:$C$653,B11,'02d_AI_Accelerator_Power'!$D$2:$D$653,C11,'02d_AI_Accelerator_Power'!$G$2:$G$653,"b200_reference")/I11,0.088811)</f>
        <v/>
      </c>
      <c r="F11" s="6">
        <f>IF(I11&gt;0,SUMIFS('02d_AI_Accelerator_Power'!$J$2:$J$653,'02d_AI_Accelerator_Power'!$B$2:$B$653,A11,'02d_AI_Accelerator_Power'!$C$2:$C$653,B11,'02d_AI_Accelerator_Power'!$D$2:$D$653,C11,'02d_AI_Accelerator_Power'!$G$2:$G$653,"gb200_reference")/I11,0.0)</f>
        <v/>
      </c>
      <c r="G11" s="6">
        <f>IF(I11&gt;0,SUMIFS('02d_AI_Accelerator_Power'!$J$2:$J$653,'02d_AI_Accelerator_Power'!$B$2:$B$653,A11,'02d_AI_Accelerator_Power'!$C$2:$C$653,B11,'02d_AI_Accelerator_Power'!$D$2:$D$653,C11,'02d_AI_Accelerator_Power'!$G$2:$G$653,"purpose_or_unbenchmarked")/I11,0.911189)</f>
        <v/>
      </c>
      <c r="H11" s="6">
        <f>SUM(D11:G11)</f>
        <v/>
      </c>
      <c r="I11" s="28">
        <f>SUMIFS('02d_AI_Accelerator_Power'!$J$2:$J$653,'02d_AI_Accelerator_Power'!$B$2:$B$653,A11,'02d_AI_Accelerator_Power'!$C$2:$C$653,B11,'02d_AI_Accelerator_Power'!$D$2:$D$653,C11)</f>
        <v/>
      </c>
      <c r="J11" s="6">
        <f>IF(I11&gt;0,SUMIFS('02d_AI_Accelerator_Power'!$J$2:$J$653,'02d_AI_Accelerator_Power'!$B$2:$B$653,A11,'02d_AI_Accelerator_Power'!$C$2:$C$653,B11,'02d_AI_Accelerator_Power'!$D$2:$D$653,C11,'02d_AI_Accelerator_Power'!$F$2:$F$653,"R200/R300 future")/I11,0)</f>
        <v/>
      </c>
      <c r="K11" s="6">
        <f>IF(I11&gt;0,SUMIFS('02d_AI_Accelerator_Power'!$J$2:$J$653,'02d_AI_Accelerator_Power'!$B$2:$B$653,A11,'02d_AI_Accelerator_Power'!$C$2:$C$653,B11,'02d_AI_Accelerator_Power'!$D$2:$D$653,C11,'02d_AI_Accelerator_Power'!$F$2:$F$653,"TPU")/I11,0)</f>
        <v/>
      </c>
      <c r="L11" s="6">
        <f>IF(I11&gt;0,SUMIFS('02d_AI_Accelerator_Power'!$J$2:$J$653,'02d_AI_Accelerator_Power'!$B$2:$B$653,A11,'02d_AI_Accelerator_Power'!$C$2:$C$653,B11,'02d_AI_Accelerator_Power'!$D$2:$D$653,C11,'02d_AI_Accelerator_Power'!$F$2:$F$653,"Trainium")/I11,0)</f>
        <v/>
      </c>
      <c r="M11" s="6">
        <f>IF(I11&gt;0,SUMIFS('02d_AI_Accelerator_Power'!$J$2:$J$653,'02d_AI_Accelerator_Power'!$B$2:$B$653,A11,'02d_AI_Accelerator_Power'!$C$2:$C$653,B11,'02d_AI_Accelerator_Power'!$D$2:$D$653,C11,'02d_AI_Accelerator_Power'!$F$2:$F$653,"Maia")/I11,0)</f>
        <v/>
      </c>
      <c r="N11" s="6">
        <f>IF(I11&gt;0,SUMIFS('02d_AI_Accelerator_Power'!$J$2:$J$653,'02d_AI_Accelerator_Power'!$B$2:$B$653,A11,'02d_AI_Accelerator_Power'!$C$2:$C$653,B11,'02d_AI_Accelerator_Power'!$D$2:$D$653,C11,'02d_AI_Accelerator_Power'!$F$2:$F$653,"MTIA")/I11,0)</f>
        <v/>
      </c>
      <c r="O11" s="6">
        <f>IF(I11&gt;0,SUMIFS('02d_AI_Accelerator_Power'!$J$2:$J$653,'02d_AI_Accelerator_Power'!$B$2:$B$653,A11,'02d_AI_Accelerator_Power'!$C$2:$C$653,B11,'02d_AI_Accelerator_Power'!$D$2:$D$653,C11,'02d_AI_Accelerator_Power'!$F$2:$F$653,"Other / unknown accelerator")/I11,0)</f>
        <v/>
      </c>
      <c r="P11" s="3" t="inlineStr">
        <is>
          <t>CSP contract normalized: company inference MW * (CSP total MW * AI contract share * inference share) / company contract inference weight, then multiplied by CSP accelerator rows.</t>
        </is>
      </c>
      <c r="Q11" s="3" t="inlineStr">
        <is>
          <t>csp_contract_share_x_csp_accelerator_mix</t>
        </is>
      </c>
      <c r="R11" s="3" t="inlineStr">
        <is>
          <t>Edit 02a CSP contract allocation, 02b CSP accelerator mix, or 02x accelerator catalog; 03_Calculation reads D:G from this sheet.</t>
        </is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6">
        <f>IF(I12&gt;0,SUMIFS('02d_AI_Accelerator_Power'!$J$2:$J$653,'02d_AI_Accelerator_Power'!$B$2:$B$653,A12,'02d_AI_Accelerator_Power'!$C$2:$C$653,B12,'02d_AI_Accelerator_Power'!$D$2:$D$653,C12,'02d_AI_Accelerator_Power'!$G$2:$G$653,"h200_reference")/I12,0.09603)</f>
        <v/>
      </c>
      <c r="E12" s="6">
        <f>IF(I12&gt;0,SUMIFS('02d_AI_Accelerator_Power'!$J$2:$J$653,'02d_AI_Accelerator_Power'!$B$2:$B$653,A12,'02d_AI_Accelerator_Power'!$C$2:$C$653,B12,'02d_AI_Accelerator_Power'!$D$2:$D$653,C12,'02d_AI_Accelerator_Power'!$G$2:$G$653,"b200_reference")/I12,0.90397)</f>
        <v/>
      </c>
      <c r="F12" s="6">
        <f>IF(I12&gt;0,SUMIFS('02d_AI_Accelerator_Power'!$J$2:$J$653,'02d_AI_Accelerator_Power'!$B$2:$B$653,A12,'02d_AI_Accelerator_Power'!$C$2:$C$653,B12,'02d_AI_Accelerator_Power'!$D$2:$D$653,C12,'02d_AI_Accelerator_Power'!$G$2:$G$653,"gb200_reference")/I12,0.0)</f>
        <v/>
      </c>
      <c r="G12" s="6">
        <f>IF(I12&gt;0,SUMIFS('02d_AI_Accelerator_Power'!$J$2:$J$653,'02d_AI_Accelerator_Power'!$B$2:$B$653,A12,'02d_AI_Accelerator_Power'!$C$2:$C$653,B12,'02d_AI_Accelerator_Power'!$D$2:$D$653,C12,'02d_AI_Accelerator_Power'!$G$2:$G$653,"purpose_or_unbenchmarked")/I12,0.0)</f>
        <v/>
      </c>
      <c r="H12" s="6">
        <f>SUM(D12:G12)</f>
        <v/>
      </c>
      <c r="I12" s="28">
        <f>SUMIFS('02d_AI_Accelerator_Power'!$J$2:$J$653,'02d_AI_Accelerator_Power'!$B$2:$B$653,A12,'02d_AI_Accelerator_Power'!$C$2:$C$653,B12,'02d_AI_Accelerator_Power'!$D$2:$D$653,C12)</f>
        <v/>
      </c>
      <c r="J12" s="6">
        <f>IF(I12&gt;0,SUMIFS('02d_AI_Accelerator_Power'!$J$2:$J$653,'02d_AI_Accelerator_Power'!$B$2:$B$653,A12,'02d_AI_Accelerator_Power'!$C$2:$C$653,B12,'02d_AI_Accelerator_Power'!$D$2:$D$653,C12,'02d_AI_Accelerator_Power'!$F$2:$F$653,"R200/R300 future")/I12,0)</f>
        <v/>
      </c>
      <c r="K12" s="6">
        <f>IF(I12&gt;0,SUMIFS('02d_AI_Accelerator_Power'!$J$2:$J$653,'02d_AI_Accelerator_Power'!$B$2:$B$653,A12,'02d_AI_Accelerator_Power'!$C$2:$C$653,B12,'02d_AI_Accelerator_Power'!$D$2:$D$653,C12,'02d_AI_Accelerator_Power'!$F$2:$F$653,"TPU")/I12,0)</f>
        <v/>
      </c>
      <c r="L12" s="6">
        <f>IF(I12&gt;0,SUMIFS('02d_AI_Accelerator_Power'!$J$2:$J$653,'02d_AI_Accelerator_Power'!$B$2:$B$653,A12,'02d_AI_Accelerator_Power'!$C$2:$C$653,B12,'02d_AI_Accelerator_Power'!$D$2:$D$653,C12,'02d_AI_Accelerator_Power'!$F$2:$F$653,"Trainium")/I12,0)</f>
        <v/>
      </c>
      <c r="M12" s="6">
        <f>IF(I12&gt;0,SUMIFS('02d_AI_Accelerator_Power'!$J$2:$J$653,'02d_AI_Accelerator_Power'!$B$2:$B$653,A12,'02d_AI_Accelerator_Power'!$C$2:$C$653,B12,'02d_AI_Accelerator_Power'!$D$2:$D$653,C12,'02d_AI_Accelerator_Power'!$F$2:$F$653,"Maia")/I12,0)</f>
        <v/>
      </c>
      <c r="N12" s="6">
        <f>IF(I12&gt;0,SUMIFS('02d_AI_Accelerator_Power'!$J$2:$J$653,'02d_AI_Accelerator_Power'!$B$2:$B$653,A12,'02d_AI_Accelerator_Power'!$C$2:$C$653,B12,'02d_AI_Accelerator_Power'!$D$2:$D$653,C12,'02d_AI_Accelerator_Power'!$F$2:$F$653,"MTIA")/I12,0)</f>
        <v/>
      </c>
      <c r="O12" s="6">
        <f>IF(I12&gt;0,SUMIFS('02d_AI_Accelerator_Power'!$J$2:$J$653,'02d_AI_Accelerator_Power'!$B$2:$B$653,A12,'02d_AI_Accelerator_Power'!$C$2:$C$653,B12,'02d_AI_Accelerator_Power'!$D$2:$D$653,C12,'02d_AI_Accelerator_Power'!$F$2:$F$653,"Other / unknown accelerator")/I12,0)</f>
        <v/>
      </c>
      <c r="P12" s="3" t="inlineStr">
        <is>
          <t>CSP contract normalized: company inference MW * (CSP total MW * AI contract share * inference share) / company contract inference weight, then multiplied by CSP accelerator rows.</t>
        </is>
      </c>
      <c r="Q12" s="3" t="inlineStr">
        <is>
          <t>csp_contract_share_x_csp_accelerator_mix</t>
        </is>
      </c>
      <c r="R12" s="3" t="inlineStr">
        <is>
          <t>Edit 02a CSP contract allocation, 02b CSP accelerator mix, or 02x accelerator catalog; 03_Calculation reads D:G from this sheet.</t>
        </is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6">
        <f>IF(I13&gt;0,SUMIFS('02d_AI_Accelerator_Power'!$J$2:$J$653,'02d_AI_Accelerator_Power'!$B$2:$B$653,A13,'02d_AI_Accelerator_Power'!$C$2:$C$653,B13,'02d_AI_Accelerator_Power'!$D$2:$D$653,C13,'02d_AI_Accelerator_Power'!$G$2:$G$653,"h200_reference")/I13,0.09216)</f>
        <v/>
      </c>
      <c r="E13" s="6">
        <f>IF(I13&gt;0,SUMIFS('02d_AI_Accelerator_Power'!$J$2:$J$653,'02d_AI_Accelerator_Power'!$B$2:$B$653,A13,'02d_AI_Accelerator_Power'!$C$2:$C$653,B13,'02d_AI_Accelerator_Power'!$D$2:$D$653,C13,'02d_AI_Accelerator_Power'!$G$2:$G$653,"b200_reference")/I13,0.90784)</f>
        <v/>
      </c>
      <c r="F13" s="6">
        <f>IF(I13&gt;0,SUMIFS('02d_AI_Accelerator_Power'!$J$2:$J$653,'02d_AI_Accelerator_Power'!$B$2:$B$653,A13,'02d_AI_Accelerator_Power'!$C$2:$C$653,B13,'02d_AI_Accelerator_Power'!$D$2:$D$653,C13,'02d_AI_Accelerator_Power'!$G$2:$G$653,"gb200_reference")/I13,0.0)</f>
        <v/>
      </c>
      <c r="G13" s="6">
        <f>IF(I13&gt;0,SUMIFS('02d_AI_Accelerator_Power'!$J$2:$J$653,'02d_AI_Accelerator_Power'!$B$2:$B$653,A13,'02d_AI_Accelerator_Power'!$C$2:$C$653,B13,'02d_AI_Accelerator_Power'!$D$2:$D$653,C13,'02d_AI_Accelerator_Power'!$G$2:$G$653,"purpose_or_unbenchmarked")/I13,0.0)</f>
        <v/>
      </c>
      <c r="H13" s="6">
        <f>SUM(D13:G13)</f>
        <v/>
      </c>
      <c r="I13" s="28">
        <f>SUMIFS('02d_AI_Accelerator_Power'!$J$2:$J$653,'02d_AI_Accelerator_Power'!$B$2:$B$653,A13,'02d_AI_Accelerator_Power'!$C$2:$C$653,B13,'02d_AI_Accelerator_Power'!$D$2:$D$653,C13)</f>
        <v/>
      </c>
      <c r="J13" s="6">
        <f>IF(I13&gt;0,SUMIFS('02d_AI_Accelerator_Power'!$J$2:$J$653,'02d_AI_Accelerator_Power'!$B$2:$B$653,A13,'02d_AI_Accelerator_Power'!$C$2:$C$653,B13,'02d_AI_Accelerator_Power'!$D$2:$D$653,C13,'02d_AI_Accelerator_Power'!$F$2:$F$653,"R200/R300 future")/I13,0)</f>
        <v/>
      </c>
      <c r="K13" s="6">
        <f>IF(I13&gt;0,SUMIFS('02d_AI_Accelerator_Power'!$J$2:$J$653,'02d_AI_Accelerator_Power'!$B$2:$B$653,A13,'02d_AI_Accelerator_Power'!$C$2:$C$653,B13,'02d_AI_Accelerator_Power'!$D$2:$D$653,C13,'02d_AI_Accelerator_Power'!$F$2:$F$653,"TPU")/I13,0)</f>
        <v/>
      </c>
      <c r="L13" s="6">
        <f>IF(I13&gt;0,SUMIFS('02d_AI_Accelerator_Power'!$J$2:$J$653,'02d_AI_Accelerator_Power'!$B$2:$B$653,A13,'02d_AI_Accelerator_Power'!$C$2:$C$653,B13,'02d_AI_Accelerator_Power'!$D$2:$D$653,C13,'02d_AI_Accelerator_Power'!$F$2:$F$653,"Trainium")/I13,0)</f>
        <v/>
      </c>
      <c r="M13" s="6">
        <f>IF(I13&gt;0,SUMIFS('02d_AI_Accelerator_Power'!$J$2:$J$653,'02d_AI_Accelerator_Power'!$B$2:$B$653,A13,'02d_AI_Accelerator_Power'!$C$2:$C$653,B13,'02d_AI_Accelerator_Power'!$D$2:$D$653,C13,'02d_AI_Accelerator_Power'!$F$2:$F$653,"Maia")/I13,0)</f>
        <v/>
      </c>
      <c r="N13" s="6">
        <f>IF(I13&gt;0,SUMIFS('02d_AI_Accelerator_Power'!$J$2:$J$653,'02d_AI_Accelerator_Power'!$B$2:$B$653,A13,'02d_AI_Accelerator_Power'!$C$2:$C$653,B13,'02d_AI_Accelerator_Power'!$D$2:$D$653,C13,'02d_AI_Accelerator_Power'!$F$2:$F$653,"MTIA")/I13,0)</f>
        <v/>
      </c>
      <c r="O13" s="6">
        <f>IF(I13&gt;0,SUMIFS('02d_AI_Accelerator_Power'!$J$2:$J$653,'02d_AI_Accelerator_Power'!$B$2:$B$653,A13,'02d_AI_Accelerator_Power'!$C$2:$C$653,B13,'02d_AI_Accelerator_Power'!$D$2:$D$653,C13,'02d_AI_Accelerator_Power'!$F$2:$F$653,"Other / unknown accelerator")/I13,0)</f>
        <v/>
      </c>
      <c r="P13" s="3" t="inlineStr">
        <is>
          <t>CSP contract normalized: company inference MW * (CSP total MW * AI contract share * inference share) / company contract inference weight, then multiplied by CSP accelerator rows.</t>
        </is>
      </c>
      <c r="Q13" s="3" t="inlineStr">
        <is>
          <t>csp_contract_share_x_csp_accelerator_mix</t>
        </is>
      </c>
      <c r="R13" s="3" t="inlineStr">
        <is>
          <t>Edit 02a CSP contract allocation, 02b CSP accelerator mix, or 02x accelerator catalog; 03_Calculation reads D:G from this sheet.</t>
        </is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6">
        <f>IF(I14&gt;0,SUMIFS('02d_AI_Accelerator_Power'!$J$2:$J$653,'02d_AI_Accelerator_Power'!$B$2:$B$653,A14,'02d_AI_Accelerator_Power'!$C$2:$C$653,B14,'02d_AI_Accelerator_Power'!$D$2:$D$653,C14,'02d_AI_Accelerator_Power'!$G$2:$G$653,"h200_reference")/I14,0.074919)</f>
        <v/>
      </c>
      <c r="E14" s="6">
        <f>IF(I14&gt;0,SUMIFS('02d_AI_Accelerator_Power'!$J$2:$J$653,'02d_AI_Accelerator_Power'!$B$2:$B$653,A14,'02d_AI_Accelerator_Power'!$C$2:$C$653,B14,'02d_AI_Accelerator_Power'!$D$2:$D$653,C14,'02d_AI_Accelerator_Power'!$G$2:$G$653,"b200_reference")/I14,0.738007)</f>
        <v/>
      </c>
      <c r="F14" s="6">
        <f>IF(I14&gt;0,SUMIFS('02d_AI_Accelerator_Power'!$J$2:$J$653,'02d_AI_Accelerator_Power'!$B$2:$B$653,A14,'02d_AI_Accelerator_Power'!$C$2:$C$653,B14,'02d_AI_Accelerator_Power'!$D$2:$D$653,C14,'02d_AI_Accelerator_Power'!$G$2:$G$653,"gb200_reference")/I14,0.0)</f>
        <v/>
      </c>
      <c r="G14" s="6">
        <f>IF(I14&gt;0,SUMIFS('02d_AI_Accelerator_Power'!$J$2:$J$653,'02d_AI_Accelerator_Power'!$B$2:$B$653,A14,'02d_AI_Accelerator_Power'!$C$2:$C$653,B14,'02d_AI_Accelerator_Power'!$D$2:$D$653,C14,'02d_AI_Accelerator_Power'!$G$2:$G$653,"purpose_or_unbenchmarked")/I14,0.187074)</f>
        <v/>
      </c>
      <c r="H14" s="6">
        <f>SUM(D14:G14)</f>
        <v/>
      </c>
      <c r="I14" s="28">
        <f>SUMIFS('02d_AI_Accelerator_Power'!$J$2:$J$653,'02d_AI_Accelerator_Power'!$B$2:$B$653,A14,'02d_AI_Accelerator_Power'!$C$2:$C$653,B14,'02d_AI_Accelerator_Power'!$D$2:$D$653,C14)</f>
        <v/>
      </c>
      <c r="J14" s="6">
        <f>IF(I14&gt;0,SUMIFS('02d_AI_Accelerator_Power'!$J$2:$J$653,'02d_AI_Accelerator_Power'!$B$2:$B$653,A14,'02d_AI_Accelerator_Power'!$C$2:$C$653,B14,'02d_AI_Accelerator_Power'!$D$2:$D$653,C14,'02d_AI_Accelerator_Power'!$F$2:$F$653,"R200/R300 future")/I14,0)</f>
        <v/>
      </c>
      <c r="K14" s="6">
        <f>IF(I14&gt;0,SUMIFS('02d_AI_Accelerator_Power'!$J$2:$J$653,'02d_AI_Accelerator_Power'!$B$2:$B$653,A14,'02d_AI_Accelerator_Power'!$C$2:$C$653,B14,'02d_AI_Accelerator_Power'!$D$2:$D$653,C14,'02d_AI_Accelerator_Power'!$F$2:$F$653,"TPU")/I14,0)</f>
        <v/>
      </c>
      <c r="L14" s="6">
        <f>IF(I14&gt;0,SUMIFS('02d_AI_Accelerator_Power'!$J$2:$J$653,'02d_AI_Accelerator_Power'!$B$2:$B$653,A14,'02d_AI_Accelerator_Power'!$C$2:$C$653,B14,'02d_AI_Accelerator_Power'!$D$2:$D$653,C14,'02d_AI_Accelerator_Power'!$F$2:$F$653,"Trainium")/I14,0)</f>
        <v/>
      </c>
      <c r="M14" s="6">
        <f>IF(I14&gt;0,SUMIFS('02d_AI_Accelerator_Power'!$J$2:$J$653,'02d_AI_Accelerator_Power'!$B$2:$B$653,A14,'02d_AI_Accelerator_Power'!$C$2:$C$653,B14,'02d_AI_Accelerator_Power'!$D$2:$D$653,C14,'02d_AI_Accelerator_Power'!$F$2:$F$653,"Maia")/I14,0)</f>
        <v/>
      </c>
      <c r="N14" s="6">
        <f>IF(I14&gt;0,SUMIFS('02d_AI_Accelerator_Power'!$J$2:$J$653,'02d_AI_Accelerator_Power'!$B$2:$B$653,A14,'02d_AI_Accelerator_Power'!$C$2:$C$653,B14,'02d_AI_Accelerator_Power'!$D$2:$D$653,C14,'02d_AI_Accelerator_Power'!$F$2:$F$653,"MTIA")/I14,0)</f>
        <v/>
      </c>
      <c r="O14" s="6">
        <f>IF(I14&gt;0,SUMIFS('02d_AI_Accelerator_Power'!$J$2:$J$653,'02d_AI_Accelerator_Power'!$B$2:$B$653,A14,'02d_AI_Accelerator_Power'!$C$2:$C$653,B14,'02d_AI_Accelerator_Power'!$D$2:$D$653,C14,'02d_AI_Accelerator_Power'!$F$2:$F$653,"Other / unknown accelerator")/I14,0)</f>
        <v/>
      </c>
      <c r="P14" s="3" t="inlineStr">
        <is>
          <t>CSP contract normalized: company inference MW * (CSP total MW * AI contract share * inference share) / company contract inference weight, then multiplied by CSP accelerator rows.</t>
        </is>
      </c>
      <c r="Q14" s="3" t="inlineStr">
        <is>
          <t>csp_contract_share_x_csp_accelerator_mix</t>
        </is>
      </c>
      <c r="R14" s="3" t="inlineStr">
        <is>
          <t>Edit 02a CSP contract allocation, 02b CSP accelerator mix, or 02x accelerator catalog; 03_Calculation reads D:G from this sheet.</t>
        </is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6">
        <f>IF(I15&gt;0,SUMIFS('02d_AI_Accelerator_Power'!$J$2:$J$653,'02d_AI_Accelerator_Power'!$B$2:$B$653,A15,'02d_AI_Accelerator_Power'!$C$2:$C$653,B15,'02d_AI_Accelerator_Power'!$D$2:$D$653,C15,'02d_AI_Accelerator_Power'!$G$2:$G$653,"h200_reference")/I15,0.074919)</f>
        <v/>
      </c>
      <c r="E15" s="6">
        <f>IF(I15&gt;0,SUMIFS('02d_AI_Accelerator_Power'!$J$2:$J$653,'02d_AI_Accelerator_Power'!$B$2:$B$653,A15,'02d_AI_Accelerator_Power'!$C$2:$C$653,B15,'02d_AI_Accelerator_Power'!$D$2:$D$653,C15,'02d_AI_Accelerator_Power'!$G$2:$G$653,"b200_reference")/I15,0.738007)</f>
        <v/>
      </c>
      <c r="F15" s="6">
        <f>IF(I15&gt;0,SUMIFS('02d_AI_Accelerator_Power'!$J$2:$J$653,'02d_AI_Accelerator_Power'!$B$2:$B$653,A15,'02d_AI_Accelerator_Power'!$C$2:$C$653,B15,'02d_AI_Accelerator_Power'!$D$2:$D$653,C15,'02d_AI_Accelerator_Power'!$G$2:$G$653,"gb200_reference")/I15,0.0)</f>
        <v/>
      </c>
      <c r="G15" s="6">
        <f>IF(I15&gt;0,SUMIFS('02d_AI_Accelerator_Power'!$J$2:$J$653,'02d_AI_Accelerator_Power'!$B$2:$B$653,A15,'02d_AI_Accelerator_Power'!$C$2:$C$653,B15,'02d_AI_Accelerator_Power'!$D$2:$D$653,C15,'02d_AI_Accelerator_Power'!$G$2:$G$653,"purpose_or_unbenchmarked")/I15,0.187074)</f>
        <v/>
      </c>
      <c r="H15" s="6">
        <f>SUM(D15:G15)</f>
        <v/>
      </c>
      <c r="I15" s="28">
        <f>SUMIFS('02d_AI_Accelerator_Power'!$J$2:$J$653,'02d_AI_Accelerator_Power'!$B$2:$B$653,A15,'02d_AI_Accelerator_Power'!$C$2:$C$653,B15,'02d_AI_Accelerator_Power'!$D$2:$D$653,C15)</f>
        <v/>
      </c>
      <c r="J15" s="6">
        <f>IF(I15&gt;0,SUMIFS('02d_AI_Accelerator_Power'!$J$2:$J$653,'02d_AI_Accelerator_Power'!$B$2:$B$653,A15,'02d_AI_Accelerator_Power'!$C$2:$C$653,B15,'02d_AI_Accelerator_Power'!$D$2:$D$653,C15,'02d_AI_Accelerator_Power'!$F$2:$F$653,"R200/R300 future")/I15,0)</f>
        <v/>
      </c>
      <c r="K15" s="6">
        <f>IF(I15&gt;0,SUMIFS('02d_AI_Accelerator_Power'!$J$2:$J$653,'02d_AI_Accelerator_Power'!$B$2:$B$653,A15,'02d_AI_Accelerator_Power'!$C$2:$C$653,B15,'02d_AI_Accelerator_Power'!$D$2:$D$653,C15,'02d_AI_Accelerator_Power'!$F$2:$F$653,"TPU")/I15,0)</f>
        <v/>
      </c>
      <c r="L15" s="6">
        <f>IF(I15&gt;0,SUMIFS('02d_AI_Accelerator_Power'!$J$2:$J$653,'02d_AI_Accelerator_Power'!$B$2:$B$653,A15,'02d_AI_Accelerator_Power'!$C$2:$C$653,B15,'02d_AI_Accelerator_Power'!$D$2:$D$653,C15,'02d_AI_Accelerator_Power'!$F$2:$F$653,"Trainium")/I15,0)</f>
        <v/>
      </c>
      <c r="M15" s="6">
        <f>IF(I15&gt;0,SUMIFS('02d_AI_Accelerator_Power'!$J$2:$J$653,'02d_AI_Accelerator_Power'!$B$2:$B$653,A15,'02d_AI_Accelerator_Power'!$C$2:$C$653,B15,'02d_AI_Accelerator_Power'!$D$2:$D$653,C15,'02d_AI_Accelerator_Power'!$F$2:$F$653,"Maia")/I15,0)</f>
        <v/>
      </c>
      <c r="N15" s="6">
        <f>IF(I15&gt;0,SUMIFS('02d_AI_Accelerator_Power'!$J$2:$J$653,'02d_AI_Accelerator_Power'!$B$2:$B$653,A15,'02d_AI_Accelerator_Power'!$C$2:$C$653,B15,'02d_AI_Accelerator_Power'!$D$2:$D$653,C15,'02d_AI_Accelerator_Power'!$F$2:$F$653,"MTIA")/I15,0)</f>
        <v/>
      </c>
      <c r="O15" s="6">
        <f>IF(I15&gt;0,SUMIFS('02d_AI_Accelerator_Power'!$J$2:$J$653,'02d_AI_Accelerator_Power'!$B$2:$B$653,A15,'02d_AI_Accelerator_Power'!$C$2:$C$653,B15,'02d_AI_Accelerator_Power'!$D$2:$D$653,C15,'02d_AI_Accelerator_Power'!$F$2:$F$653,"Other / unknown accelerator")/I15,0)</f>
        <v/>
      </c>
      <c r="P15" s="3" t="inlineStr">
        <is>
          <t>CSP contract normalized: company inference MW * (CSP total MW * AI contract share * inference share) / company contract inference weight, then multiplied by CSP accelerator rows.</t>
        </is>
      </c>
      <c r="Q15" s="3" t="inlineStr">
        <is>
          <t>csp_contract_share_x_csp_accelerator_mix</t>
        </is>
      </c>
      <c r="R15" s="3" t="inlineStr">
        <is>
          <t>Edit 02a CSP contract allocation, 02b CSP accelerator mix, or 02x accelerator catalog; 03_Calculation reads D:G from this sheet.</t>
        </is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6">
        <f>IF(I16&gt;0,SUMIFS('02d_AI_Accelerator_Power'!$J$2:$J$653,'02d_AI_Accelerator_Power'!$B$2:$B$653,A16,'02d_AI_Accelerator_Power'!$C$2:$C$653,B16,'02d_AI_Accelerator_Power'!$D$2:$D$653,C16,'02d_AI_Accelerator_Power'!$G$2:$G$653,"h200_reference")/I16,0.074919)</f>
        <v/>
      </c>
      <c r="E16" s="6">
        <f>IF(I16&gt;0,SUMIFS('02d_AI_Accelerator_Power'!$J$2:$J$653,'02d_AI_Accelerator_Power'!$B$2:$B$653,A16,'02d_AI_Accelerator_Power'!$C$2:$C$653,B16,'02d_AI_Accelerator_Power'!$D$2:$D$653,C16,'02d_AI_Accelerator_Power'!$G$2:$G$653,"b200_reference")/I16,0.738007)</f>
        <v/>
      </c>
      <c r="F16" s="6">
        <f>IF(I16&gt;0,SUMIFS('02d_AI_Accelerator_Power'!$J$2:$J$653,'02d_AI_Accelerator_Power'!$B$2:$B$653,A16,'02d_AI_Accelerator_Power'!$C$2:$C$653,B16,'02d_AI_Accelerator_Power'!$D$2:$D$653,C16,'02d_AI_Accelerator_Power'!$G$2:$G$653,"gb200_reference")/I16,0.0)</f>
        <v/>
      </c>
      <c r="G16" s="6">
        <f>IF(I16&gt;0,SUMIFS('02d_AI_Accelerator_Power'!$J$2:$J$653,'02d_AI_Accelerator_Power'!$B$2:$B$653,A16,'02d_AI_Accelerator_Power'!$C$2:$C$653,B16,'02d_AI_Accelerator_Power'!$D$2:$D$653,C16,'02d_AI_Accelerator_Power'!$G$2:$G$653,"purpose_or_unbenchmarked")/I16,0.187074)</f>
        <v/>
      </c>
      <c r="H16" s="6">
        <f>SUM(D16:G16)</f>
        <v/>
      </c>
      <c r="I16" s="28">
        <f>SUMIFS('02d_AI_Accelerator_Power'!$J$2:$J$653,'02d_AI_Accelerator_Power'!$B$2:$B$653,A16,'02d_AI_Accelerator_Power'!$C$2:$C$653,B16,'02d_AI_Accelerator_Power'!$D$2:$D$653,C16)</f>
        <v/>
      </c>
      <c r="J16" s="6">
        <f>IF(I16&gt;0,SUMIFS('02d_AI_Accelerator_Power'!$J$2:$J$653,'02d_AI_Accelerator_Power'!$B$2:$B$653,A16,'02d_AI_Accelerator_Power'!$C$2:$C$653,B16,'02d_AI_Accelerator_Power'!$D$2:$D$653,C16,'02d_AI_Accelerator_Power'!$F$2:$F$653,"R200/R300 future")/I16,0)</f>
        <v/>
      </c>
      <c r="K16" s="6">
        <f>IF(I16&gt;0,SUMIFS('02d_AI_Accelerator_Power'!$J$2:$J$653,'02d_AI_Accelerator_Power'!$B$2:$B$653,A16,'02d_AI_Accelerator_Power'!$C$2:$C$653,B16,'02d_AI_Accelerator_Power'!$D$2:$D$653,C16,'02d_AI_Accelerator_Power'!$F$2:$F$653,"TPU")/I16,0)</f>
        <v/>
      </c>
      <c r="L16" s="6">
        <f>IF(I16&gt;0,SUMIFS('02d_AI_Accelerator_Power'!$J$2:$J$653,'02d_AI_Accelerator_Power'!$B$2:$B$653,A16,'02d_AI_Accelerator_Power'!$C$2:$C$653,B16,'02d_AI_Accelerator_Power'!$D$2:$D$653,C16,'02d_AI_Accelerator_Power'!$F$2:$F$653,"Trainium")/I16,0)</f>
        <v/>
      </c>
      <c r="M16" s="6">
        <f>IF(I16&gt;0,SUMIFS('02d_AI_Accelerator_Power'!$J$2:$J$653,'02d_AI_Accelerator_Power'!$B$2:$B$653,A16,'02d_AI_Accelerator_Power'!$C$2:$C$653,B16,'02d_AI_Accelerator_Power'!$D$2:$D$653,C16,'02d_AI_Accelerator_Power'!$F$2:$F$653,"Maia")/I16,0)</f>
        <v/>
      </c>
      <c r="N16" s="6">
        <f>IF(I16&gt;0,SUMIFS('02d_AI_Accelerator_Power'!$J$2:$J$653,'02d_AI_Accelerator_Power'!$B$2:$B$653,A16,'02d_AI_Accelerator_Power'!$C$2:$C$653,B16,'02d_AI_Accelerator_Power'!$D$2:$D$653,C16,'02d_AI_Accelerator_Power'!$F$2:$F$653,"MTIA")/I16,0)</f>
        <v/>
      </c>
      <c r="O16" s="6">
        <f>IF(I16&gt;0,SUMIFS('02d_AI_Accelerator_Power'!$J$2:$J$653,'02d_AI_Accelerator_Power'!$B$2:$B$653,A16,'02d_AI_Accelerator_Power'!$C$2:$C$653,B16,'02d_AI_Accelerator_Power'!$D$2:$D$653,C16,'02d_AI_Accelerator_Power'!$F$2:$F$653,"Other / unknown accelerator")/I16,0)</f>
        <v/>
      </c>
      <c r="P16" s="3" t="inlineStr">
        <is>
          <t>CSP contract normalized: company inference MW * (CSP total MW * AI contract share * inference share) / company contract inference weight, then multiplied by CSP accelerator rows.</t>
        </is>
      </c>
      <c r="Q16" s="3" t="inlineStr">
        <is>
          <t>csp_contract_share_x_csp_accelerator_mix</t>
        </is>
      </c>
      <c r="R16" s="3" t="inlineStr">
        <is>
          <t>Edit 02a CSP contract allocation, 02b CSP accelerator mix, or 02x accelerator catalog; 03_Calculation reads D:G from this sheet.</t>
        </is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6">
        <f>IF(I17&gt;0,SUMIFS('02d_AI_Accelerator_Power'!$J$2:$J$653,'02d_AI_Accelerator_Power'!$B$2:$B$653,A17,'02d_AI_Accelerator_Power'!$C$2:$C$653,B17,'02d_AI_Accelerator_Power'!$D$2:$D$653,C17,'02d_AI_Accelerator_Power'!$G$2:$G$653,"h200_reference")/I17,0.294118)</f>
        <v/>
      </c>
      <c r="E17" s="6">
        <f>IF(I17&gt;0,SUMIFS('02d_AI_Accelerator_Power'!$J$2:$J$653,'02d_AI_Accelerator_Power'!$B$2:$B$653,A17,'02d_AI_Accelerator_Power'!$C$2:$C$653,B17,'02d_AI_Accelerator_Power'!$D$2:$D$653,C17,'02d_AI_Accelerator_Power'!$G$2:$G$653,"b200_reference")/I17,0.705882)</f>
        <v/>
      </c>
      <c r="F17" s="6">
        <f>IF(I17&gt;0,SUMIFS('02d_AI_Accelerator_Power'!$J$2:$J$653,'02d_AI_Accelerator_Power'!$B$2:$B$653,A17,'02d_AI_Accelerator_Power'!$C$2:$C$653,B17,'02d_AI_Accelerator_Power'!$D$2:$D$653,C17,'02d_AI_Accelerator_Power'!$G$2:$G$653,"gb200_reference")/I17,0.0)</f>
        <v/>
      </c>
      <c r="G17" s="6">
        <f>IF(I17&gt;0,SUMIFS('02d_AI_Accelerator_Power'!$J$2:$J$653,'02d_AI_Accelerator_Power'!$B$2:$B$653,A17,'02d_AI_Accelerator_Power'!$C$2:$C$653,B17,'02d_AI_Accelerator_Power'!$D$2:$D$653,C17,'02d_AI_Accelerator_Power'!$G$2:$G$653,"purpose_or_unbenchmarked")/I17,0.0)</f>
        <v/>
      </c>
      <c r="H17" s="6">
        <f>SUM(D17:G17)</f>
        <v/>
      </c>
      <c r="I17" s="28">
        <f>SUMIFS('02d_AI_Accelerator_Power'!$J$2:$J$653,'02d_AI_Accelerator_Power'!$B$2:$B$653,A17,'02d_AI_Accelerator_Power'!$C$2:$C$653,B17,'02d_AI_Accelerator_Power'!$D$2:$D$653,C17)</f>
        <v/>
      </c>
      <c r="J17" s="6">
        <f>IF(I17&gt;0,SUMIFS('02d_AI_Accelerator_Power'!$J$2:$J$653,'02d_AI_Accelerator_Power'!$B$2:$B$653,A17,'02d_AI_Accelerator_Power'!$C$2:$C$653,B17,'02d_AI_Accelerator_Power'!$D$2:$D$653,C17,'02d_AI_Accelerator_Power'!$F$2:$F$653,"R200/R300 future")/I17,0)</f>
        <v/>
      </c>
      <c r="K17" s="6">
        <f>IF(I17&gt;0,SUMIFS('02d_AI_Accelerator_Power'!$J$2:$J$653,'02d_AI_Accelerator_Power'!$B$2:$B$653,A17,'02d_AI_Accelerator_Power'!$C$2:$C$653,B17,'02d_AI_Accelerator_Power'!$D$2:$D$653,C17,'02d_AI_Accelerator_Power'!$F$2:$F$653,"TPU")/I17,0)</f>
        <v/>
      </c>
      <c r="L17" s="6">
        <f>IF(I17&gt;0,SUMIFS('02d_AI_Accelerator_Power'!$J$2:$J$653,'02d_AI_Accelerator_Power'!$B$2:$B$653,A17,'02d_AI_Accelerator_Power'!$C$2:$C$653,B17,'02d_AI_Accelerator_Power'!$D$2:$D$653,C17,'02d_AI_Accelerator_Power'!$F$2:$F$653,"Trainium")/I17,0)</f>
        <v/>
      </c>
      <c r="M17" s="6">
        <f>IF(I17&gt;0,SUMIFS('02d_AI_Accelerator_Power'!$J$2:$J$653,'02d_AI_Accelerator_Power'!$B$2:$B$653,A17,'02d_AI_Accelerator_Power'!$C$2:$C$653,B17,'02d_AI_Accelerator_Power'!$D$2:$D$653,C17,'02d_AI_Accelerator_Power'!$F$2:$F$653,"Maia")/I17,0)</f>
        <v/>
      </c>
      <c r="N17" s="6">
        <f>IF(I17&gt;0,SUMIFS('02d_AI_Accelerator_Power'!$J$2:$J$653,'02d_AI_Accelerator_Power'!$B$2:$B$653,A17,'02d_AI_Accelerator_Power'!$C$2:$C$653,B17,'02d_AI_Accelerator_Power'!$D$2:$D$653,C17,'02d_AI_Accelerator_Power'!$F$2:$F$653,"MTIA")/I17,0)</f>
        <v/>
      </c>
      <c r="O17" s="6">
        <f>IF(I17&gt;0,SUMIFS('02d_AI_Accelerator_Power'!$J$2:$J$653,'02d_AI_Accelerator_Power'!$B$2:$B$653,A17,'02d_AI_Accelerator_Power'!$C$2:$C$653,B17,'02d_AI_Accelerator_Power'!$D$2:$D$653,C17,'02d_AI_Accelerator_Power'!$F$2:$F$653,"Other / unknown accelerator")/I17,0)</f>
        <v/>
      </c>
      <c r="P17" s="3" t="inlineStr">
        <is>
          <t>CSP contract normalized: company inference MW * (CSP total MW * AI contract share * inference share) / company contract inference weight, then multiplied by CSP accelerator rows.</t>
        </is>
      </c>
      <c r="Q17" s="3" t="inlineStr">
        <is>
          <t>csp_contract_share_x_csp_accelerator_mix</t>
        </is>
      </c>
      <c r="R17" s="3" t="inlineStr">
        <is>
          <t>Edit 02a CSP contract allocation, 02b CSP accelerator mix, or 02x accelerator catalog; 03_Calculation reads D:G from this sheet.</t>
        </is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6">
        <f>IF(I18&gt;0,SUMIFS('02d_AI_Accelerator_Power'!$J$2:$J$653,'02d_AI_Accelerator_Power'!$B$2:$B$653,A18,'02d_AI_Accelerator_Power'!$C$2:$C$653,B18,'02d_AI_Accelerator_Power'!$D$2:$D$653,C18,'02d_AI_Accelerator_Power'!$G$2:$G$653,"h200_reference")/I18,0.294118)</f>
        <v/>
      </c>
      <c r="E18" s="6">
        <f>IF(I18&gt;0,SUMIFS('02d_AI_Accelerator_Power'!$J$2:$J$653,'02d_AI_Accelerator_Power'!$B$2:$B$653,A18,'02d_AI_Accelerator_Power'!$C$2:$C$653,B18,'02d_AI_Accelerator_Power'!$D$2:$D$653,C18,'02d_AI_Accelerator_Power'!$G$2:$G$653,"b200_reference")/I18,0.705882)</f>
        <v/>
      </c>
      <c r="F18" s="6">
        <f>IF(I18&gt;0,SUMIFS('02d_AI_Accelerator_Power'!$J$2:$J$653,'02d_AI_Accelerator_Power'!$B$2:$B$653,A18,'02d_AI_Accelerator_Power'!$C$2:$C$653,B18,'02d_AI_Accelerator_Power'!$D$2:$D$653,C18,'02d_AI_Accelerator_Power'!$G$2:$G$653,"gb200_reference")/I18,0.0)</f>
        <v/>
      </c>
      <c r="G18" s="6">
        <f>IF(I18&gt;0,SUMIFS('02d_AI_Accelerator_Power'!$J$2:$J$653,'02d_AI_Accelerator_Power'!$B$2:$B$653,A18,'02d_AI_Accelerator_Power'!$C$2:$C$653,B18,'02d_AI_Accelerator_Power'!$D$2:$D$653,C18,'02d_AI_Accelerator_Power'!$G$2:$G$653,"purpose_or_unbenchmarked")/I18,0.0)</f>
        <v/>
      </c>
      <c r="H18" s="6">
        <f>SUM(D18:G18)</f>
        <v/>
      </c>
      <c r="I18" s="28">
        <f>SUMIFS('02d_AI_Accelerator_Power'!$J$2:$J$653,'02d_AI_Accelerator_Power'!$B$2:$B$653,A18,'02d_AI_Accelerator_Power'!$C$2:$C$653,B18,'02d_AI_Accelerator_Power'!$D$2:$D$653,C18)</f>
        <v/>
      </c>
      <c r="J18" s="6">
        <f>IF(I18&gt;0,SUMIFS('02d_AI_Accelerator_Power'!$J$2:$J$653,'02d_AI_Accelerator_Power'!$B$2:$B$653,A18,'02d_AI_Accelerator_Power'!$C$2:$C$653,B18,'02d_AI_Accelerator_Power'!$D$2:$D$653,C18,'02d_AI_Accelerator_Power'!$F$2:$F$653,"R200/R300 future")/I18,0)</f>
        <v/>
      </c>
      <c r="K18" s="6">
        <f>IF(I18&gt;0,SUMIFS('02d_AI_Accelerator_Power'!$J$2:$J$653,'02d_AI_Accelerator_Power'!$B$2:$B$653,A18,'02d_AI_Accelerator_Power'!$C$2:$C$653,B18,'02d_AI_Accelerator_Power'!$D$2:$D$653,C18,'02d_AI_Accelerator_Power'!$F$2:$F$653,"TPU")/I18,0)</f>
        <v/>
      </c>
      <c r="L18" s="6">
        <f>IF(I18&gt;0,SUMIFS('02d_AI_Accelerator_Power'!$J$2:$J$653,'02d_AI_Accelerator_Power'!$B$2:$B$653,A18,'02d_AI_Accelerator_Power'!$C$2:$C$653,B18,'02d_AI_Accelerator_Power'!$D$2:$D$653,C18,'02d_AI_Accelerator_Power'!$F$2:$F$653,"Trainium")/I18,0)</f>
        <v/>
      </c>
      <c r="M18" s="6">
        <f>IF(I18&gt;0,SUMIFS('02d_AI_Accelerator_Power'!$J$2:$J$653,'02d_AI_Accelerator_Power'!$B$2:$B$653,A18,'02d_AI_Accelerator_Power'!$C$2:$C$653,B18,'02d_AI_Accelerator_Power'!$D$2:$D$653,C18,'02d_AI_Accelerator_Power'!$F$2:$F$653,"Maia")/I18,0)</f>
        <v/>
      </c>
      <c r="N18" s="6">
        <f>IF(I18&gt;0,SUMIFS('02d_AI_Accelerator_Power'!$J$2:$J$653,'02d_AI_Accelerator_Power'!$B$2:$B$653,A18,'02d_AI_Accelerator_Power'!$C$2:$C$653,B18,'02d_AI_Accelerator_Power'!$D$2:$D$653,C18,'02d_AI_Accelerator_Power'!$F$2:$F$653,"MTIA")/I18,0)</f>
        <v/>
      </c>
      <c r="O18" s="6">
        <f>IF(I18&gt;0,SUMIFS('02d_AI_Accelerator_Power'!$J$2:$J$653,'02d_AI_Accelerator_Power'!$B$2:$B$653,A18,'02d_AI_Accelerator_Power'!$C$2:$C$653,B18,'02d_AI_Accelerator_Power'!$D$2:$D$653,C18,'02d_AI_Accelerator_Power'!$F$2:$F$653,"Other / unknown accelerator")/I18,0)</f>
        <v/>
      </c>
      <c r="P18" s="3" t="inlineStr">
        <is>
          <t>CSP contract normalized: company inference MW * (CSP total MW * AI contract share * inference share) / company contract inference weight, then multiplied by CSP accelerator rows.</t>
        </is>
      </c>
      <c r="Q18" s="3" t="inlineStr">
        <is>
          <t>csp_contract_share_x_csp_accelerator_mix</t>
        </is>
      </c>
      <c r="R18" s="3" t="inlineStr">
        <is>
          <t>Edit 02a CSP contract allocation, 02b CSP accelerator mix, or 02x accelerator catalog; 03_Calculation reads D:G from this sheet.</t>
        </is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6">
        <f>IF(I19&gt;0,SUMIFS('02d_AI_Accelerator_Power'!$J$2:$J$653,'02d_AI_Accelerator_Power'!$B$2:$B$653,A19,'02d_AI_Accelerator_Power'!$C$2:$C$653,B19,'02d_AI_Accelerator_Power'!$D$2:$D$653,C19,'02d_AI_Accelerator_Power'!$G$2:$G$653,"h200_reference")/I19,0.294118)</f>
        <v/>
      </c>
      <c r="E19" s="6">
        <f>IF(I19&gt;0,SUMIFS('02d_AI_Accelerator_Power'!$J$2:$J$653,'02d_AI_Accelerator_Power'!$B$2:$B$653,A19,'02d_AI_Accelerator_Power'!$C$2:$C$653,B19,'02d_AI_Accelerator_Power'!$D$2:$D$653,C19,'02d_AI_Accelerator_Power'!$G$2:$G$653,"b200_reference")/I19,0.705882)</f>
        <v/>
      </c>
      <c r="F19" s="6">
        <f>IF(I19&gt;0,SUMIFS('02d_AI_Accelerator_Power'!$J$2:$J$653,'02d_AI_Accelerator_Power'!$B$2:$B$653,A19,'02d_AI_Accelerator_Power'!$C$2:$C$653,B19,'02d_AI_Accelerator_Power'!$D$2:$D$653,C19,'02d_AI_Accelerator_Power'!$G$2:$G$653,"gb200_reference")/I19,0.0)</f>
        <v/>
      </c>
      <c r="G19" s="6">
        <f>IF(I19&gt;0,SUMIFS('02d_AI_Accelerator_Power'!$J$2:$J$653,'02d_AI_Accelerator_Power'!$B$2:$B$653,A19,'02d_AI_Accelerator_Power'!$C$2:$C$653,B19,'02d_AI_Accelerator_Power'!$D$2:$D$653,C19,'02d_AI_Accelerator_Power'!$G$2:$G$653,"purpose_or_unbenchmarked")/I19,0.0)</f>
        <v/>
      </c>
      <c r="H19" s="6">
        <f>SUM(D19:G19)</f>
        <v/>
      </c>
      <c r="I19" s="28">
        <f>SUMIFS('02d_AI_Accelerator_Power'!$J$2:$J$653,'02d_AI_Accelerator_Power'!$B$2:$B$653,A19,'02d_AI_Accelerator_Power'!$C$2:$C$653,B19,'02d_AI_Accelerator_Power'!$D$2:$D$653,C19)</f>
        <v/>
      </c>
      <c r="J19" s="6">
        <f>IF(I19&gt;0,SUMIFS('02d_AI_Accelerator_Power'!$J$2:$J$653,'02d_AI_Accelerator_Power'!$B$2:$B$653,A19,'02d_AI_Accelerator_Power'!$C$2:$C$653,B19,'02d_AI_Accelerator_Power'!$D$2:$D$653,C19,'02d_AI_Accelerator_Power'!$F$2:$F$653,"R200/R300 future")/I19,0)</f>
        <v/>
      </c>
      <c r="K19" s="6">
        <f>IF(I19&gt;0,SUMIFS('02d_AI_Accelerator_Power'!$J$2:$J$653,'02d_AI_Accelerator_Power'!$B$2:$B$653,A19,'02d_AI_Accelerator_Power'!$C$2:$C$653,B19,'02d_AI_Accelerator_Power'!$D$2:$D$653,C19,'02d_AI_Accelerator_Power'!$F$2:$F$653,"TPU")/I19,0)</f>
        <v/>
      </c>
      <c r="L19" s="6">
        <f>IF(I19&gt;0,SUMIFS('02d_AI_Accelerator_Power'!$J$2:$J$653,'02d_AI_Accelerator_Power'!$B$2:$B$653,A19,'02d_AI_Accelerator_Power'!$C$2:$C$653,B19,'02d_AI_Accelerator_Power'!$D$2:$D$653,C19,'02d_AI_Accelerator_Power'!$F$2:$F$653,"Trainium")/I19,0)</f>
        <v/>
      </c>
      <c r="M19" s="6">
        <f>IF(I19&gt;0,SUMIFS('02d_AI_Accelerator_Power'!$J$2:$J$653,'02d_AI_Accelerator_Power'!$B$2:$B$653,A19,'02d_AI_Accelerator_Power'!$C$2:$C$653,B19,'02d_AI_Accelerator_Power'!$D$2:$D$653,C19,'02d_AI_Accelerator_Power'!$F$2:$F$653,"Maia")/I19,0)</f>
        <v/>
      </c>
      <c r="N19" s="6">
        <f>IF(I19&gt;0,SUMIFS('02d_AI_Accelerator_Power'!$J$2:$J$653,'02d_AI_Accelerator_Power'!$B$2:$B$653,A19,'02d_AI_Accelerator_Power'!$C$2:$C$653,B19,'02d_AI_Accelerator_Power'!$D$2:$D$653,C19,'02d_AI_Accelerator_Power'!$F$2:$F$653,"MTIA")/I19,0)</f>
        <v/>
      </c>
      <c r="O19" s="6">
        <f>IF(I19&gt;0,SUMIFS('02d_AI_Accelerator_Power'!$J$2:$J$653,'02d_AI_Accelerator_Power'!$B$2:$B$653,A19,'02d_AI_Accelerator_Power'!$C$2:$C$653,B19,'02d_AI_Accelerator_Power'!$D$2:$D$653,C19,'02d_AI_Accelerator_Power'!$F$2:$F$653,"Other / unknown accelerator")/I19,0)</f>
        <v/>
      </c>
      <c r="P19" s="3" t="inlineStr">
        <is>
          <t>CSP contract normalized: company inference MW * (CSP total MW * AI contract share * inference share) / company contract inference weight, then multiplied by CSP accelerator rows.</t>
        </is>
      </c>
      <c r="Q19" s="3" t="inlineStr">
        <is>
          <t>csp_contract_share_x_csp_accelerator_mix</t>
        </is>
      </c>
      <c r="R19" s="3" t="inlineStr">
        <is>
          <t>Edit 02a CSP contract allocation, 02b CSP accelerator mix, or 02x accelerator catalog; 03_Calculation reads D:G from this sheet.</t>
        </is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6">
        <f>IF(I20&gt;0,SUMIFS('02d_AI_Accelerator_Power'!$J$2:$J$653,'02d_AI_Accelerator_Power'!$B$2:$B$653,A20,'02d_AI_Accelerator_Power'!$C$2:$C$653,B20,'02d_AI_Accelerator_Power'!$D$2:$D$653,C20,'02d_AI_Accelerator_Power'!$G$2:$G$653,"h200_reference")/I20,0.294118)</f>
        <v/>
      </c>
      <c r="E20" s="6">
        <f>IF(I20&gt;0,SUMIFS('02d_AI_Accelerator_Power'!$J$2:$J$653,'02d_AI_Accelerator_Power'!$B$2:$B$653,A20,'02d_AI_Accelerator_Power'!$C$2:$C$653,B20,'02d_AI_Accelerator_Power'!$D$2:$D$653,C20,'02d_AI_Accelerator_Power'!$G$2:$G$653,"b200_reference")/I20,0.705882)</f>
        <v/>
      </c>
      <c r="F20" s="6">
        <f>IF(I20&gt;0,SUMIFS('02d_AI_Accelerator_Power'!$J$2:$J$653,'02d_AI_Accelerator_Power'!$B$2:$B$653,A20,'02d_AI_Accelerator_Power'!$C$2:$C$653,B20,'02d_AI_Accelerator_Power'!$D$2:$D$653,C20,'02d_AI_Accelerator_Power'!$G$2:$G$653,"gb200_reference")/I20,0.0)</f>
        <v/>
      </c>
      <c r="G20" s="6">
        <f>IF(I20&gt;0,SUMIFS('02d_AI_Accelerator_Power'!$J$2:$J$653,'02d_AI_Accelerator_Power'!$B$2:$B$653,A20,'02d_AI_Accelerator_Power'!$C$2:$C$653,B20,'02d_AI_Accelerator_Power'!$D$2:$D$653,C20,'02d_AI_Accelerator_Power'!$G$2:$G$653,"purpose_or_unbenchmarked")/I20,0.0)</f>
        <v/>
      </c>
      <c r="H20" s="6">
        <f>SUM(D20:G20)</f>
        <v/>
      </c>
      <c r="I20" s="28">
        <f>SUMIFS('02d_AI_Accelerator_Power'!$J$2:$J$653,'02d_AI_Accelerator_Power'!$B$2:$B$653,A20,'02d_AI_Accelerator_Power'!$C$2:$C$653,B20,'02d_AI_Accelerator_Power'!$D$2:$D$653,C20)</f>
        <v/>
      </c>
      <c r="J20" s="6">
        <f>IF(I20&gt;0,SUMIFS('02d_AI_Accelerator_Power'!$J$2:$J$653,'02d_AI_Accelerator_Power'!$B$2:$B$653,A20,'02d_AI_Accelerator_Power'!$C$2:$C$653,B20,'02d_AI_Accelerator_Power'!$D$2:$D$653,C20,'02d_AI_Accelerator_Power'!$F$2:$F$653,"R200/R300 future")/I20,0)</f>
        <v/>
      </c>
      <c r="K20" s="6">
        <f>IF(I20&gt;0,SUMIFS('02d_AI_Accelerator_Power'!$J$2:$J$653,'02d_AI_Accelerator_Power'!$B$2:$B$653,A20,'02d_AI_Accelerator_Power'!$C$2:$C$653,B20,'02d_AI_Accelerator_Power'!$D$2:$D$653,C20,'02d_AI_Accelerator_Power'!$F$2:$F$653,"TPU")/I20,0)</f>
        <v/>
      </c>
      <c r="L20" s="6">
        <f>IF(I20&gt;0,SUMIFS('02d_AI_Accelerator_Power'!$J$2:$J$653,'02d_AI_Accelerator_Power'!$B$2:$B$653,A20,'02d_AI_Accelerator_Power'!$C$2:$C$653,B20,'02d_AI_Accelerator_Power'!$D$2:$D$653,C20,'02d_AI_Accelerator_Power'!$F$2:$F$653,"Trainium")/I20,0)</f>
        <v/>
      </c>
      <c r="M20" s="6">
        <f>IF(I20&gt;0,SUMIFS('02d_AI_Accelerator_Power'!$J$2:$J$653,'02d_AI_Accelerator_Power'!$B$2:$B$653,A20,'02d_AI_Accelerator_Power'!$C$2:$C$653,B20,'02d_AI_Accelerator_Power'!$D$2:$D$653,C20,'02d_AI_Accelerator_Power'!$F$2:$F$653,"Maia")/I20,0)</f>
        <v/>
      </c>
      <c r="N20" s="6">
        <f>IF(I20&gt;0,SUMIFS('02d_AI_Accelerator_Power'!$J$2:$J$653,'02d_AI_Accelerator_Power'!$B$2:$B$653,A20,'02d_AI_Accelerator_Power'!$C$2:$C$653,B20,'02d_AI_Accelerator_Power'!$D$2:$D$653,C20,'02d_AI_Accelerator_Power'!$F$2:$F$653,"MTIA")/I20,0)</f>
        <v/>
      </c>
      <c r="O20" s="6">
        <f>IF(I20&gt;0,SUMIFS('02d_AI_Accelerator_Power'!$J$2:$J$653,'02d_AI_Accelerator_Power'!$B$2:$B$653,A20,'02d_AI_Accelerator_Power'!$C$2:$C$653,B20,'02d_AI_Accelerator_Power'!$D$2:$D$653,C20,'02d_AI_Accelerator_Power'!$F$2:$F$653,"Other / unknown accelerator")/I20,0)</f>
        <v/>
      </c>
      <c r="P20" s="3" t="inlineStr">
        <is>
          <t>CSP contract normalized: company inference MW * (CSP total MW * AI contract share * inference share) / company contract inference weight, then multiplied by CSP accelerator rows.</t>
        </is>
      </c>
      <c r="Q20" s="3" t="inlineStr">
        <is>
          <t>csp_contract_share_x_csp_accelerator_mix</t>
        </is>
      </c>
      <c r="R20" s="3" t="inlineStr">
        <is>
          <t>Edit 02a CSP contract allocation, 02b CSP accelerator mix, or 02x accelerator catalog; 03_Calculation reads D:G from this sheet.</t>
        </is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6">
        <f>IF(I21&gt;0,SUMIFS('02d_AI_Accelerator_Power'!$J$2:$J$653,'02d_AI_Accelerator_Power'!$B$2:$B$653,A21,'02d_AI_Accelerator_Power'!$C$2:$C$653,B21,'02d_AI_Accelerator_Power'!$D$2:$D$653,C21,'02d_AI_Accelerator_Power'!$G$2:$G$653,"h200_reference")/I21,0.294118)</f>
        <v/>
      </c>
      <c r="E21" s="6">
        <f>IF(I21&gt;0,SUMIFS('02d_AI_Accelerator_Power'!$J$2:$J$653,'02d_AI_Accelerator_Power'!$B$2:$B$653,A21,'02d_AI_Accelerator_Power'!$C$2:$C$653,B21,'02d_AI_Accelerator_Power'!$D$2:$D$653,C21,'02d_AI_Accelerator_Power'!$G$2:$G$653,"b200_reference")/I21,0.705882)</f>
        <v/>
      </c>
      <c r="F21" s="6">
        <f>IF(I21&gt;0,SUMIFS('02d_AI_Accelerator_Power'!$J$2:$J$653,'02d_AI_Accelerator_Power'!$B$2:$B$653,A21,'02d_AI_Accelerator_Power'!$C$2:$C$653,B21,'02d_AI_Accelerator_Power'!$D$2:$D$653,C21,'02d_AI_Accelerator_Power'!$G$2:$G$653,"gb200_reference")/I21,0.0)</f>
        <v/>
      </c>
      <c r="G21" s="6">
        <f>IF(I21&gt;0,SUMIFS('02d_AI_Accelerator_Power'!$J$2:$J$653,'02d_AI_Accelerator_Power'!$B$2:$B$653,A21,'02d_AI_Accelerator_Power'!$C$2:$C$653,B21,'02d_AI_Accelerator_Power'!$D$2:$D$653,C21,'02d_AI_Accelerator_Power'!$G$2:$G$653,"purpose_or_unbenchmarked")/I21,0.0)</f>
        <v/>
      </c>
      <c r="H21" s="6">
        <f>SUM(D21:G21)</f>
        <v/>
      </c>
      <c r="I21" s="28">
        <f>SUMIFS('02d_AI_Accelerator_Power'!$J$2:$J$653,'02d_AI_Accelerator_Power'!$B$2:$B$653,A21,'02d_AI_Accelerator_Power'!$C$2:$C$653,B21,'02d_AI_Accelerator_Power'!$D$2:$D$653,C21)</f>
        <v/>
      </c>
      <c r="J21" s="6">
        <f>IF(I21&gt;0,SUMIFS('02d_AI_Accelerator_Power'!$J$2:$J$653,'02d_AI_Accelerator_Power'!$B$2:$B$653,A21,'02d_AI_Accelerator_Power'!$C$2:$C$653,B21,'02d_AI_Accelerator_Power'!$D$2:$D$653,C21,'02d_AI_Accelerator_Power'!$F$2:$F$653,"R200/R300 future")/I21,0)</f>
        <v/>
      </c>
      <c r="K21" s="6">
        <f>IF(I21&gt;0,SUMIFS('02d_AI_Accelerator_Power'!$J$2:$J$653,'02d_AI_Accelerator_Power'!$B$2:$B$653,A21,'02d_AI_Accelerator_Power'!$C$2:$C$653,B21,'02d_AI_Accelerator_Power'!$D$2:$D$653,C21,'02d_AI_Accelerator_Power'!$F$2:$F$653,"TPU")/I21,0)</f>
        <v/>
      </c>
      <c r="L21" s="6">
        <f>IF(I21&gt;0,SUMIFS('02d_AI_Accelerator_Power'!$J$2:$J$653,'02d_AI_Accelerator_Power'!$B$2:$B$653,A21,'02d_AI_Accelerator_Power'!$C$2:$C$653,B21,'02d_AI_Accelerator_Power'!$D$2:$D$653,C21,'02d_AI_Accelerator_Power'!$F$2:$F$653,"Trainium")/I21,0)</f>
        <v/>
      </c>
      <c r="M21" s="6">
        <f>IF(I21&gt;0,SUMIFS('02d_AI_Accelerator_Power'!$J$2:$J$653,'02d_AI_Accelerator_Power'!$B$2:$B$653,A21,'02d_AI_Accelerator_Power'!$C$2:$C$653,B21,'02d_AI_Accelerator_Power'!$D$2:$D$653,C21,'02d_AI_Accelerator_Power'!$F$2:$F$653,"Maia")/I21,0)</f>
        <v/>
      </c>
      <c r="N21" s="6">
        <f>IF(I21&gt;0,SUMIFS('02d_AI_Accelerator_Power'!$J$2:$J$653,'02d_AI_Accelerator_Power'!$B$2:$B$653,A21,'02d_AI_Accelerator_Power'!$C$2:$C$653,B21,'02d_AI_Accelerator_Power'!$D$2:$D$653,C21,'02d_AI_Accelerator_Power'!$F$2:$F$653,"MTIA")/I21,0)</f>
        <v/>
      </c>
      <c r="O21" s="6">
        <f>IF(I21&gt;0,SUMIFS('02d_AI_Accelerator_Power'!$J$2:$J$653,'02d_AI_Accelerator_Power'!$B$2:$B$653,A21,'02d_AI_Accelerator_Power'!$C$2:$C$653,B21,'02d_AI_Accelerator_Power'!$D$2:$D$653,C21,'02d_AI_Accelerator_Power'!$F$2:$F$653,"Other / unknown accelerator")/I21,0)</f>
        <v/>
      </c>
      <c r="P21" s="3" t="inlineStr">
        <is>
          <t>CSP contract normalized: company inference MW * (CSP total MW * AI contract share * inference share) / company contract inference weight, then multiplied by CSP accelerator rows.</t>
        </is>
      </c>
      <c r="Q21" s="3" t="inlineStr">
        <is>
          <t>csp_contract_share_x_csp_accelerator_mix</t>
        </is>
      </c>
      <c r="R21" s="3" t="inlineStr">
        <is>
          <t>Edit 02a CSP contract allocation, 02b CSP accelerator mix, or 02x accelerator catalog; 03_Calculation reads D:G from this sheet.</t>
        </is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6">
        <f>IF(I22&gt;0,SUMIFS('02d_AI_Accelerator_Power'!$J$2:$J$653,'02d_AI_Accelerator_Power'!$B$2:$B$653,A22,'02d_AI_Accelerator_Power'!$C$2:$C$653,B22,'02d_AI_Accelerator_Power'!$D$2:$D$653,C22,'02d_AI_Accelerator_Power'!$G$2:$G$653,"h200_reference")/I22,0.09216)</f>
        <v/>
      </c>
      <c r="E22" s="6">
        <f>IF(I22&gt;0,SUMIFS('02d_AI_Accelerator_Power'!$J$2:$J$653,'02d_AI_Accelerator_Power'!$B$2:$B$653,A22,'02d_AI_Accelerator_Power'!$C$2:$C$653,B22,'02d_AI_Accelerator_Power'!$D$2:$D$653,C22,'02d_AI_Accelerator_Power'!$G$2:$G$653,"b200_reference")/I22,0.90784)</f>
        <v/>
      </c>
      <c r="F22" s="6">
        <f>IF(I22&gt;0,SUMIFS('02d_AI_Accelerator_Power'!$J$2:$J$653,'02d_AI_Accelerator_Power'!$B$2:$B$653,A22,'02d_AI_Accelerator_Power'!$C$2:$C$653,B22,'02d_AI_Accelerator_Power'!$D$2:$D$653,C22,'02d_AI_Accelerator_Power'!$G$2:$G$653,"gb200_reference")/I22,0.0)</f>
        <v/>
      </c>
      <c r="G22" s="6">
        <f>IF(I22&gt;0,SUMIFS('02d_AI_Accelerator_Power'!$J$2:$J$653,'02d_AI_Accelerator_Power'!$B$2:$B$653,A22,'02d_AI_Accelerator_Power'!$C$2:$C$653,B22,'02d_AI_Accelerator_Power'!$D$2:$D$653,C22,'02d_AI_Accelerator_Power'!$G$2:$G$653,"purpose_or_unbenchmarked")/I22,0.0)</f>
        <v/>
      </c>
      <c r="H22" s="6">
        <f>SUM(D22:G22)</f>
        <v/>
      </c>
      <c r="I22" s="28">
        <f>SUMIFS('02d_AI_Accelerator_Power'!$J$2:$J$653,'02d_AI_Accelerator_Power'!$B$2:$B$653,A22,'02d_AI_Accelerator_Power'!$C$2:$C$653,B22,'02d_AI_Accelerator_Power'!$D$2:$D$653,C22)</f>
        <v/>
      </c>
      <c r="J22" s="6">
        <f>IF(I22&gt;0,SUMIFS('02d_AI_Accelerator_Power'!$J$2:$J$653,'02d_AI_Accelerator_Power'!$B$2:$B$653,A22,'02d_AI_Accelerator_Power'!$C$2:$C$653,B22,'02d_AI_Accelerator_Power'!$D$2:$D$653,C22,'02d_AI_Accelerator_Power'!$F$2:$F$653,"R200/R300 future")/I22,0)</f>
        <v/>
      </c>
      <c r="K22" s="6">
        <f>IF(I22&gt;0,SUMIFS('02d_AI_Accelerator_Power'!$J$2:$J$653,'02d_AI_Accelerator_Power'!$B$2:$B$653,A22,'02d_AI_Accelerator_Power'!$C$2:$C$653,B22,'02d_AI_Accelerator_Power'!$D$2:$D$653,C22,'02d_AI_Accelerator_Power'!$F$2:$F$653,"TPU")/I22,0)</f>
        <v/>
      </c>
      <c r="L22" s="6">
        <f>IF(I22&gt;0,SUMIFS('02d_AI_Accelerator_Power'!$J$2:$J$653,'02d_AI_Accelerator_Power'!$B$2:$B$653,A22,'02d_AI_Accelerator_Power'!$C$2:$C$653,B22,'02d_AI_Accelerator_Power'!$D$2:$D$653,C22,'02d_AI_Accelerator_Power'!$F$2:$F$653,"Trainium")/I22,0)</f>
        <v/>
      </c>
      <c r="M22" s="6">
        <f>IF(I22&gt;0,SUMIFS('02d_AI_Accelerator_Power'!$J$2:$J$653,'02d_AI_Accelerator_Power'!$B$2:$B$653,A22,'02d_AI_Accelerator_Power'!$C$2:$C$653,B22,'02d_AI_Accelerator_Power'!$D$2:$D$653,C22,'02d_AI_Accelerator_Power'!$F$2:$F$653,"Maia")/I22,0)</f>
        <v/>
      </c>
      <c r="N22" s="6">
        <f>IF(I22&gt;0,SUMIFS('02d_AI_Accelerator_Power'!$J$2:$J$653,'02d_AI_Accelerator_Power'!$B$2:$B$653,A22,'02d_AI_Accelerator_Power'!$C$2:$C$653,B22,'02d_AI_Accelerator_Power'!$D$2:$D$653,C22,'02d_AI_Accelerator_Power'!$F$2:$F$653,"MTIA")/I22,0)</f>
        <v/>
      </c>
      <c r="O22" s="6">
        <f>IF(I22&gt;0,SUMIFS('02d_AI_Accelerator_Power'!$J$2:$J$653,'02d_AI_Accelerator_Power'!$B$2:$B$653,A22,'02d_AI_Accelerator_Power'!$C$2:$C$653,B22,'02d_AI_Accelerator_Power'!$D$2:$D$653,C22,'02d_AI_Accelerator_Power'!$F$2:$F$653,"Other / unknown accelerator")/I22,0)</f>
        <v/>
      </c>
      <c r="P22" s="3" t="inlineStr">
        <is>
          <t>CSP contract normalized: company inference MW * (CSP total MW * AI contract share * inference share) / company contract inference weight, then multiplied by CSP accelerator rows.</t>
        </is>
      </c>
      <c r="Q22" s="3" t="inlineStr">
        <is>
          <t>csp_contract_share_x_csp_accelerator_mix</t>
        </is>
      </c>
      <c r="R22" s="3" t="inlineStr">
        <is>
          <t>Edit 02a CSP contract allocation, 02b CSP accelerator mix, or 02x accelerator catalog; 03_Calculation reads D:G from this sheet.</t>
        </is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6">
        <f>IF(I23&gt;0,SUMIFS('02d_AI_Accelerator_Power'!$J$2:$J$653,'02d_AI_Accelerator_Power'!$B$2:$B$653,A23,'02d_AI_Accelerator_Power'!$C$2:$C$653,B23,'02d_AI_Accelerator_Power'!$D$2:$D$653,C23,'02d_AI_Accelerator_Power'!$G$2:$G$653,"h200_reference")/I23,0.069876)</f>
        <v/>
      </c>
      <c r="E23" s="6">
        <f>IF(I23&gt;0,SUMIFS('02d_AI_Accelerator_Power'!$J$2:$J$653,'02d_AI_Accelerator_Power'!$B$2:$B$653,A23,'02d_AI_Accelerator_Power'!$C$2:$C$653,B23,'02d_AI_Accelerator_Power'!$D$2:$D$653,C23,'02d_AI_Accelerator_Power'!$G$2:$G$653,"b200_reference")/I23,0.908191)</f>
        <v/>
      </c>
      <c r="F23" s="6">
        <f>IF(I23&gt;0,SUMIFS('02d_AI_Accelerator_Power'!$J$2:$J$653,'02d_AI_Accelerator_Power'!$B$2:$B$653,A23,'02d_AI_Accelerator_Power'!$C$2:$C$653,B23,'02d_AI_Accelerator_Power'!$D$2:$D$653,C23,'02d_AI_Accelerator_Power'!$G$2:$G$653,"gb200_reference")/I23,0.0)</f>
        <v/>
      </c>
      <c r="G23" s="6">
        <f>IF(I23&gt;0,SUMIFS('02d_AI_Accelerator_Power'!$J$2:$J$653,'02d_AI_Accelerator_Power'!$B$2:$B$653,A23,'02d_AI_Accelerator_Power'!$C$2:$C$653,B23,'02d_AI_Accelerator_Power'!$D$2:$D$653,C23,'02d_AI_Accelerator_Power'!$G$2:$G$653,"purpose_or_unbenchmarked")/I23,0.021932)</f>
        <v/>
      </c>
      <c r="H23" s="6">
        <f>SUM(D23:G23)</f>
        <v/>
      </c>
      <c r="I23" s="28">
        <f>SUMIFS('02d_AI_Accelerator_Power'!$J$2:$J$653,'02d_AI_Accelerator_Power'!$B$2:$B$653,A23,'02d_AI_Accelerator_Power'!$C$2:$C$653,B23,'02d_AI_Accelerator_Power'!$D$2:$D$653,C23)</f>
        <v/>
      </c>
      <c r="J23" s="6">
        <f>IF(I23&gt;0,SUMIFS('02d_AI_Accelerator_Power'!$J$2:$J$653,'02d_AI_Accelerator_Power'!$B$2:$B$653,A23,'02d_AI_Accelerator_Power'!$C$2:$C$653,B23,'02d_AI_Accelerator_Power'!$D$2:$D$653,C23,'02d_AI_Accelerator_Power'!$F$2:$F$653,"R200/R300 future")/I23,0)</f>
        <v/>
      </c>
      <c r="K23" s="6">
        <f>IF(I23&gt;0,SUMIFS('02d_AI_Accelerator_Power'!$J$2:$J$653,'02d_AI_Accelerator_Power'!$B$2:$B$653,A23,'02d_AI_Accelerator_Power'!$C$2:$C$653,B23,'02d_AI_Accelerator_Power'!$D$2:$D$653,C23,'02d_AI_Accelerator_Power'!$F$2:$F$653,"TPU")/I23,0)</f>
        <v/>
      </c>
      <c r="L23" s="6">
        <f>IF(I23&gt;0,SUMIFS('02d_AI_Accelerator_Power'!$J$2:$J$653,'02d_AI_Accelerator_Power'!$B$2:$B$653,A23,'02d_AI_Accelerator_Power'!$C$2:$C$653,B23,'02d_AI_Accelerator_Power'!$D$2:$D$653,C23,'02d_AI_Accelerator_Power'!$F$2:$F$653,"Trainium")/I23,0)</f>
        <v/>
      </c>
      <c r="M23" s="6">
        <f>IF(I23&gt;0,SUMIFS('02d_AI_Accelerator_Power'!$J$2:$J$653,'02d_AI_Accelerator_Power'!$B$2:$B$653,A23,'02d_AI_Accelerator_Power'!$C$2:$C$653,B23,'02d_AI_Accelerator_Power'!$D$2:$D$653,C23,'02d_AI_Accelerator_Power'!$F$2:$F$653,"Maia")/I23,0)</f>
        <v/>
      </c>
      <c r="N23" s="6">
        <f>IF(I23&gt;0,SUMIFS('02d_AI_Accelerator_Power'!$J$2:$J$653,'02d_AI_Accelerator_Power'!$B$2:$B$653,A23,'02d_AI_Accelerator_Power'!$C$2:$C$653,B23,'02d_AI_Accelerator_Power'!$D$2:$D$653,C23,'02d_AI_Accelerator_Power'!$F$2:$F$653,"MTIA")/I23,0)</f>
        <v/>
      </c>
      <c r="O23" s="6">
        <f>IF(I23&gt;0,SUMIFS('02d_AI_Accelerator_Power'!$J$2:$J$653,'02d_AI_Accelerator_Power'!$B$2:$B$653,A23,'02d_AI_Accelerator_Power'!$C$2:$C$653,B23,'02d_AI_Accelerator_Power'!$D$2:$D$653,C23,'02d_AI_Accelerator_Power'!$F$2:$F$653,"Other / unknown accelerator")/I23,0)</f>
        <v/>
      </c>
      <c r="P23" s="3" t="inlineStr">
        <is>
          <t>CSP contract normalized: company inference MW * (CSP total MW * AI contract share * inference share) / company contract inference weight, then multiplied by CSP accelerator rows.</t>
        </is>
      </c>
      <c r="Q23" s="3" t="inlineStr">
        <is>
          <t>csp_contract_share_x_csp_accelerator_mix</t>
        </is>
      </c>
      <c r="R23" s="3" t="inlineStr">
        <is>
          <t>Edit 02a CSP contract allocation, 02b CSP accelerator mix, or 02x accelerator catalog; 03_Calculation reads D:G from this sheet.</t>
        </is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6">
        <f>IF(I24&gt;0,SUMIFS('02d_AI_Accelerator_Power'!$J$2:$J$653,'02d_AI_Accelerator_Power'!$B$2:$B$653,A24,'02d_AI_Accelerator_Power'!$C$2:$C$653,B24,'02d_AI_Accelerator_Power'!$D$2:$D$653,C24,'02d_AI_Accelerator_Power'!$G$2:$G$653,"h200_reference")/I24,0.055734)</f>
        <v/>
      </c>
      <c r="E24" s="6">
        <f>IF(I24&gt;0,SUMIFS('02d_AI_Accelerator_Power'!$J$2:$J$653,'02d_AI_Accelerator_Power'!$B$2:$B$653,A24,'02d_AI_Accelerator_Power'!$C$2:$C$653,B24,'02d_AI_Accelerator_Power'!$D$2:$D$653,C24,'02d_AI_Accelerator_Power'!$G$2:$G$653,"b200_reference")/I24,0.784048)</f>
        <v/>
      </c>
      <c r="F24" s="6">
        <f>IF(I24&gt;0,SUMIFS('02d_AI_Accelerator_Power'!$J$2:$J$653,'02d_AI_Accelerator_Power'!$B$2:$B$653,A24,'02d_AI_Accelerator_Power'!$C$2:$C$653,B24,'02d_AI_Accelerator_Power'!$D$2:$D$653,C24,'02d_AI_Accelerator_Power'!$G$2:$G$653,"gb200_reference")/I24,0.024576)</f>
        <v/>
      </c>
      <c r="G24" s="6">
        <f>IF(I24&gt;0,SUMIFS('02d_AI_Accelerator_Power'!$J$2:$J$653,'02d_AI_Accelerator_Power'!$B$2:$B$653,A24,'02d_AI_Accelerator_Power'!$C$2:$C$653,B24,'02d_AI_Accelerator_Power'!$D$2:$D$653,C24,'02d_AI_Accelerator_Power'!$G$2:$G$653,"purpose_or_unbenchmarked")/I24,0.135642)</f>
        <v/>
      </c>
      <c r="H24" s="6">
        <f>SUM(D24:G24)</f>
        <v/>
      </c>
      <c r="I24" s="28">
        <f>SUMIFS('02d_AI_Accelerator_Power'!$J$2:$J$653,'02d_AI_Accelerator_Power'!$B$2:$B$653,A24,'02d_AI_Accelerator_Power'!$C$2:$C$653,B24,'02d_AI_Accelerator_Power'!$D$2:$D$653,C24)</f>
        <v/>
      </c>
      <c r="J24" s="6">
        <f>IF(I24&gt;0,SUMIFS('02d_AI_Accelerator_Power'!$J$2:$J$653,'02d_AI_Accelerator_Power'!$B$2:$B$653,A24,'02d_AI_Accelerator_Power'!$C$2:$C$653,B24,'02d_AI_Accelerator_Power'!$D$2:$D$653,C24,'02d_AI_Accelerator_Power'!$F$2:$F$653,"R200/R300 future")/I24,0)</f>
        <v/>
      </c>
      <c r="K24" s="6">
        <f>IF(I24&gt;0,SUMIFS('02d_AI_Accelerator_Power'!$J$2:$J$653,'02d_AI_Accelerator_Power'!$B$2:$B$653,A24,'02d_AI_Accelerator_Power'!$C$2:$C$653,B24,'02d_AI_Accelerator_Power'!$D$2:$D$653,C24,'02d_AI_Accelerator_Power'!$F$2:$F$653,"TPU")/I24,0)</f>
        <v/>
      </c>
      <c r="L24" s="6">
        <f>IF(I24&gt;0,SUMIFS('02d_AI_Accelerator_Power'!$J$2:$J$653,'02d_AI_Accelerator_Power'!$B$2:$B$653,A24,'02d_AI_Accelerator_Power'!$C$2:$C$653,B24,'02d_AI_Accelerator_Power'!$D$2:$D$653,C24,'02d_AI_Accelerator_Power'!$F$2:$F$653,"Trainium")/I24,0)</f>
        <v/>
      </c>
      <c r="M24" s="6">
        <f>IF(I24&gt;0,SUMIFS('02d_AI_Accelerator_Power'!$J$2:$J$653,'02d_AI_Accelerator_Power'!$B$2:$B$653,A24,'02d_AI_Accelerator_Power'!$C$2:$C$653,B24,'02d_AI_Accelerator_Power'!$D$2:$D$653,C24,'02d_AI_Accelerator_Power'!$F$2:$F$653,"Maia")/I24,0)</f>
        <v/>
      </c>
      <c r="N24" s="6">
        <f>IF(I24&gt;0,SUMIFS('02d_AI_Accelerator_Power'!$J$2:$J$653,'02d_AI_Accelerator_Power'!$B$2:$B$653,A24,'02d_AI_Accelerator_Power'!$C$2:$C$653,B24,'02d_AI_Accelerator_Power'!$D$2:$D$653,C24,'02d_AI_Accelerator_Power'!$F$2:$F$653,"MTIA")/I24,0)</f>
        <v/>
      </c>
      <c r="O24" s="6">
        <f>IF(I24&gt;0,SUMIFS('02d_AI_Accelerator_Power'!$J$2:$J$653,'02d_AI_Accelerator_Power'!$B$2:$B$653,A24,'02d_AI_Accelerator_Power'!$C$2:$C$653,B24,'02d_AI_Accelerator_Power'!$D$2:$D$653,C24,'02d_AI_Accelerator_Power'!$F$2:$F$653,"Other / unknown accelerator")/I24,0)</f>
        <v/>
      </c>
      <c r="P24" s="3" t="inlineStr">
        <is>
          <t>CSP contract normalized: company inference MW * (CSP total MW * AI contract share * inference share) / company contract inference weight, then multiplied by CSP accelerator rows.</t>
        </is>
      </c>
      <c r="Q24" s="3" t="inlineStr">
        <is>
          <t>csp_contract_share_x_csp_accelerator_mix</t>
        </is>
      </c>
      <c r="R24" s="3" t="inlineStr">
        <is>
          <t>Edit 02a CSP contract allocation, 02b CSP accelerator mix, or 02x accelerator catalog; 03_Calculation reads D:G from this sheet.</t>
        </is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6">
        <f>IF(I25&gt;0,SUMIFS('02d_AI_Accelerator_Power'!$J$2:$J$653,'02d_AI_Accelerator_Power'!$B$2:$B$653,A25,'02d_AI_Accelerator_Power'!$C$2:$C$653,B25,'02d_AI_Accelerator_Power'!$D$2:$D$653,C25,'02d_AI_Accelerator_Power'!$G$2:$G$653,"h200_reference")/I25,0.045663)</f>
        <v/>
      </c>
      <c r="E25" s="6">
        <f>IF(I25&gt;0,SUMIFS('02d_AI_Accelerator_Power'!$J$2:$J$653,'02d_AI_Accelerator_Power'!$B$2:$B$653,A25,'02d_AI_Accelerator_Power'!$C$2:$C$653,B25,'02d_AI_Accelerator_Power'!$D$2:$D$653,C25,'02d_AI_Accelerator_Power'!$G$2:$G$653,"b200_reference")/I25,0.790096)</f>
        <v/>
      </c>
      <c r="F25" s="6">
        <f>IF(I25&gt;0,SUMIFS('02d_AI_Accelerator_Power'!$J$2:$J$653,'02d_AI_Accelerator_Power'!$B$2:$B$653,A25,'02d_AI_Accelerator_Power'!$C$2:$C$653,B25,'02d_AI_Accelerator_Power'!$D$2:$D$653,C25,'02d_AI_Accelerator_Power'!$G$2:$G$653,"gb200_reference")/I25,0.033546)</f>
        <v/>
      </c>
      <c r="G25" s="6">
        <f>IF(I25&gt;0,SUMIFS('02d_AI_Accelerator_Power'!$J$2:$J$653,'02d_AI_Accelerator_Power'!$B$2:$B$653,A25,'02d_AI_Accelerator_Power'!$C$2:$C$653,B25,'02d_AI_Accelerator_Power'!$D$2:$D$653,C25,'02d_AI_Accelerator_Power'!$G$2:$G$653,"purpose_or_unbenchmarked")/I25,0.130695)</f>
        <v/>
      </c>
      <c r="H25" s="6">
        <f>SUM(D25:G25)</f>
        <v/>
      </c>
      <c r="I25" s="28">
        <f>SUMIFS('02d_AI_Accelerator_Power'!$J$2:$J$653,'02d_AI_Accelerator_Power'!$B$2:$B$653,A25,'02d_AI_Accelerator_Power'!$C$2:$C$653,B25,'02d_AI_Accelerator_Power'!$D$2:$D$653,C25)</f>
        <v/>
      </c>
      <c r="J25" s="6">
        <f>IF(I25&gt;0,SUMIFS('02d_AI_Accelerator_Power'!$J$2:$J$653,'02d_AI_Accelerator_Power'!$B$2:$B$653,A25,'02d_AI_Accelerator_Power'!$C$2:$C$653,B25,'02d_AI_Accelerator_Power'!$D$2:$D$653,C25,'02d_AI_Accelerator_Power'!$F$2:$F$653,"R200/R300 future")/I25,0)</f>
        <v/>
      </c>
      <c r="K25" s="6">
        <f>IF(I25&gt;0,SUMIFS('02d_AI_Accelerator_Power'!$J$2:$J$653,'02d_AI_Accelerator_Power'!$B$2:$B$653,A25,'02d_AI_Accelerator_Power'!$C$2:$C$653,B25,'02d_AI_Accelerator_Power'!$D$2:$D$653,C25,'02d_AI_Accelerator_Power'!$F$2:$F$653,"TPU")/I25,0)</f>
        <v/>
      </c>
      <c r="L25" s="6">
        <f>IF(I25&gt;0,SUMIFS('02d_AI_Accelerator_Power'!$J$2:$J$653,'02d_AI_Accelerator_Power'!$B$2:$B$653,A25,'02d_AI_Accelerator_Power'!$C$2:$C$653,B25,'02d_AI_Accelerator_Power'!$D$2:$D$653,C25,'02d_AI_Accelerator_Power'!$F$2:$F$653,"Trainium")/I25,0)</f>
        <v/>
      </c>
      <c r="M25" s="6">
        <f>IF(I25&gt;0,SUMIFS('02d_AI_Accelerator_Power'!$J$2:$J$653,'02d_AI_Accelerator_Power'!$B$2:$B$653,A25,'02d_AI_Accelerator_Power'!$C$2:$C$653,B25,'02d_AI_Accelerator_Power'!$D$2:$D$653,C25,'02d_AI_Accelerator_Power'!$F$2:$F$653,"Maia")/I25,0)</f>
        <v/>
      </c>
      <c r="N25" s="6">
        <f>IF(I25&gt;0,SUMIFS('02d_AI_Accelerator_Power'!$J$2:$J$653,'02d_AI_Accelerator_Power'!$B$2:$B$653,A25,'02d_AI_Accelerator_Power'!$C$2:$C$653,B25,'02d_AI_Accelerator_Power'!$D$2:$D$653,C25,'02d_AI_Accelerator_Power'!$F$2:$F$653,"MTIA")/I25,0)</f>
        <v/>
      </c>
      <c r="O25" s="6">
        <f>IF(I25&gt;0,SUMIFS('02d_AI_Accelerator_Power'!$J$2:$J$653,'02d_AI_Accelerator_Power'!$B$2:$B$653,A25,'02d_AI_Accelerator_Power'!$C$2:$C$653,B25,'02d_AI_Accelerator_Power'!$D$2:$D$653,C25,'02d_AI_Accelerator_Power'!$F$2:$F$653,"Other / unknown accelerator")/I25,0)</f>
        <v/>
      </c>
      <c r="P25" s="3" t="inlineStr">
        <is>
          <t>CSP contract normalized: company inference MW * (CSP total MW * AI contract share * inference share) / company contract inference weight, then multiplied by CSP accelerator rows.</t>
        </is>
      </c>
      <c r="Q25" s="3" t="inlineStr">
        <is>
          <t>csp_contract_share_x_csp_accelerator_mix</t>
        </is>
      </c>
      <c r="R25" s="3" t="inlineStr">
        <is>
          <t>Edit 02a CSP contract allocation, 02b CSP accelerator mix, or 02x accelerator catalog; 03_Calculation reads D:G from this sheet.</t>
        </is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6">
        <f>IF(I26&gt;0,SUMIFS('02d_AI_Accelerator_Power'!$J$2:$J$653,'02d_AI_Accelerator_Power'!$B$2:$B$653,A26,'02d_AI_Accelerator_Power'!$C$2:$C$653,B26,'02d_AI_Accelerator_Power'!$D$2:$D$653,C26,'02d_AI_Accelerator_Power'!$G$2:$G$653,"h200_reference")/I26,0.036744)</f>
        <v/>
      </c>
      <c r="E26" s="6">
        <f>IF(I26&gt;0,SUMIFS('02d_AI_Accelerator_Power'!$J$2:$J$653,'02d_AI_Accelerator_Power'!$B$2:$B$653,A26,'02d_AI_Accelerator_Power'!$C$2:$C$653,B26,'02d_AI_Accelerator_Power'!$D$2:$D$653,C26,'02d_AI_Accelerator_Power'!$G$2:$G$653,"b200_reference")/I26,0.789149)</f>
        <v/>
      </c>
      <c r="F26" s="6">
        <f>IF(I26&gt;0,SUMIFS('02d_AI_Accelerator_Power'!$J$2:$J$653,'02d_AI_Accelerator_Power'!$B$2:$B$653,A26,'02d_AI_Accelerator_Power'!$C$2:$C$653,B26,'02d_AI_Accelerator_Power'!$D$2:$D$653,C26,'02d_AI_Accelerator_Power'!$G$2:$G$653,"gb200_reference")/I26,0.043412)</f>
        <v/>
      </c>
      <c r="G26" s="6">
        <f>IF(I26&gt;0,SUMIFS('02d_AI_Accelerator_Power'!$J$2:$J$653,'02d_AI_Accelerator_Power'!$B$2:$B$653,A26,'02d_AI_Accelerator_Power'!$C$2:$C$653,B26,'02d_AI_Accelerator_Power'!$D$2:$D$653,C26,'02d_AI_Accelerator_Power'!$G$2:$G$653,"purpose_or_unbenchmarked")/I26,0.130695)</f>
        <v/>
      </c>
      <c r="H26" s="6">
        <f>SUM(D26:G26)</f>
        <v/>
      </c>
      <c r="I26" s="28">
        <f>SUMIFS('02d_AI_Accelerator_Power'!$J$2:$J$653,'02d_AI_Accelerator_Power'!$B$2:$B$653,A26,'02d_AI_Accelerator_Power'!$C$2:$C$653,B26,'02d_AI_Accelerator_Power'!$D$2:$D$653,C26)</f>
        <v/>
      </c>
      <c r="J26" s="6">
        <f>IF(I26&gt;0,SUMIFS('02d_AI_Accelerator_Power'!$J$2:$J$653,'02d_AI_Accelerator_Power'!$B$2:$B$653,A26,'02d_AI_Accelerator_Power'!$C$2:$C$653,B26,'02d_AI_Accelerator_Power'!$D$2:$D$653,C26,'02d_AI_Accelerator_Power'!$F$2:$F$653,"R200/R300 future")/I26,0)</f>
        <v/>
      </c>
      <c r="K26" s="6">
        <f>IF(I26&gt;0,SUMIFS('02d_AI_Accelerator_Power'!$J$2:$J$653,'02d_AI_Accelerator_Power'!$B$2:$B$653,A26,'02d_AI_Accelerator_Power'!$C$2:$C$653,B26,'02d_AI_Accelerator_Power'!$D$2:$D$653,C26,'02d_AI_Accelerator_Power'!$F$2:$F$653,"TPU")/I26,0)</f>
        <v/>
      </c>
      <c r="L26" s="6">
        <f>IF(I26&gt;0,SUMIFS('02d_AI_Accelerator_Power'!$J$2:$J$653,'02d_AI_Accelerator_Power'!$B$2:$B$653,A26,'02d_AI_Accelerator_Power'!$C$2:$C$653,B26,'02d_AI_Accelerator_Power'!$D$2:$D$653,C26,'02d_AI_Accelerator_Power'!$F$2:$F$653,"Trainium")/I26,0)</f>
        <v/>
      </c>
      <c r="M26" s="6">
        <f>IF(I26&gt;0,SUMIFS('02d_AI_Accelerator_Power'!$J$2:$J$653,'02d_AI_Accelerator_Power'!$B$2:$B$653,A26,'02d_AI_Accelerator_Power'!$C$2:$C$653,B26,'02d_AI_Accelerator_Power'!$D$2:$D$653,C26,'02d_AI_Accelerator_Power'!$F$2:$F$653,"Maia")/I26,0)</f>
        <v/>
      </c>
      <c r="N26" s="6">
        <f>IF(I26&gt;0,SUMIFS('02d_AI_Accelerator_Power'!$J$2:$J$653,'02d_AI_Accelerator_Power'!$B$2:$B$653,A26,'02d_AI_Accelerator_Power'!$C$2:$C$653,B26,'02d_AI_Accelerator_Power'!$D$2:$D$653,C26,'02d_AI_Accelerator_Power'!$F$2:$F$653,"MTIA")/I26,0)</f>
        <v/>
      </c>
      <c r="O26" s="6">
        <f>IF(I26&gt;0,SUMIFS('02d_AI_Accelerator_Power'!$J$2:$J$653,'02d_AI_Accelerator_Power'!$B$2:$B$653,A26,'02d_AI_Accelerator_Power'!$C$2:$C$653,B26,'02d_AI_Accelerator_Power'!$D$2:$D$653,C26,'02d_AI_Accelerator_Power'!$F$2:$F$653,"Other / unknown accelerator")/I26,0)</f>
        <v/>
      </c>
      <c r="P26" s="3" t="inlineStr">
        <is>
          <t>CSP contract normalized: company inference MW * (CSP total MW * AI contract share * inference share) / company contract inference weight, then multiplied by CSP accelerator rows.</t>
        </is>
      </c>
      <c r="Q26" s="3" t="inlineStr">
        <is>
          <t>csp_contract_share_x_csp_accelerator_mix</t>
        </is>
      </c>
      <c r="R26" s="3" t="inlineStr">
        <is>
          <t>Edit 02a CSP contract allocation, 02b CSP accelerator mix, or 02x accelerator catalog; 03_Calculation reads D:G from this sheet.</t>
        </is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6">
        <f>IF(I27&gt;0,SUMIFS('02d_AI_Accelerator_Power'!$J$2:$J$653,'02d_AI_Accelerator_Power'!$B$2:$B$653,A27,'02d_AI_Accelerator_Power'!$C$2:$C$653,B27,'02d_AI_Accelerator_Power'!$D$2:$D$653,C27,'02d_AI_Accelerator_Power'!$G$2:$G$653,"h200_reference")/I27,0.114987)</f>
        <v/>
      </c>
      <c r="E27" s="6">
        <f>IF(I27&gt;0,SUMIFS('02d_AI_Accelerator_Power'!$J$2:$J$653,'02d_AI_Accelerator_Power'!$B$2:$B$653,A27,'02d_AI_Accelerator_Power'!$C$2:$C$653,B27,'02d_AI_Accelerator_Power'!$D$2:$D$653,C27,'02d_AI_Accelerator_Power'!$G$2:$G$653,"b200_reference")/I27,0.227101)</f>
        <v/>
      </c>
      <c r="F27" s="6">
        <f>IF(I27&gt;0,SUMIFS('02d_AI_Accelerator_Power'!$J$2:$J$653,'02d_AI_Accelerator_Power'!$B$2:$B$653,A27,'02d_AI_Accelerator_Power'!$C$2:$C$653,B27,'02d_AI_Accelerator_Power'!$D$2:$D$653,C27,'02d_AI_Accelerator_Power'!$G$2:$G$653,"gb200_reference")/I27,0.0)</f>
        <v/>
      </c>
      <c r="G27" s="6">
        <f>IF(I27&gt;0,SUMIFS('02d_AI_Accelerator_Power'!$J$2:$J$653,'02d_AI_Accelerator_Power'!$B$2:$B$653,A27,'02d_AI_Accelerator_Power'!$C$2:$C$653,B27,'02d_AI_Accelerator_Power'!$D$2:$D$653,C27,'02d_AI_Accelerator_Power'!$G$2:$G$653,"purpose_or_unbenchmarked")/I27,0.657912)</f>
        <v/>
      </c>
      <c r="H27" s="6">
        <f>SUM(D27:G27)</f>
        <v/>
      </c>
      <c r="I27" s="28">
        <f>SUMIFS('02d_AI_Accelerator_Power'!$J$2:$J$653,'02d_AI_Accelerator_Power'!$B$2:$B$653,A27,'02d_AI_Accelerator_Power'!$C$2:$C$653,B27,'02d_AI_Accelerator_Power'!$D$2:$D$653,C27)</f>
        <v/>
      </c>
      <c r="J27" s="6">
        <f>IF(I27&gt;0,SUMIFS('02d_AI_Accelerator_Power'!$J$2:$J$653,'02d_AI_Accelerator_Power'!$B$2:$B$653,A27,'02d_AI_Accelerator_Power'!$C$2:$C$653,B27,'02d_AI_Accelerator_Power'!$D$2:$D$653,C27,'02d_AI_Accelerator_Power'!$F$2:$F$653,"R200/R300 future")/I27,0)</f>
        <v/>
      </c>
      <c r="K27" s="6">
        <f>IF(I27&gt;0,SUMIFS('02d_AI_Accelerator_Power'!$J$2:$J$653,'02d_AI_Accelerator_Power'!$B$2:$B$653,A27,'02d_AI_Accelerator_Power'!$C$2:$C$653,B27,'02d_AI_Accelerator_Power'!$D$2:$D$653,C27,'02d_AI_Accelerator_Power'!$F$2:$F$653,"TPU")/I27,0)</f>
        <v/>
      </c>
      <c r="L27" s="6">
        <f>IF(I27&gt;0,SUMIFS('02d_AI_Accelerator_Power'!$J$2:$J$653,'02d_AI_Accelerator_Power'!$B$2:$B$653,A27,'02d_AI_Accelerator_Power'!$C$2:$C$653,B27,'02d_AI_Accelerator_Power'!$D$2:$D$653,C27,'02d_AI_Accelerator_Power'!$F$2:$F$653,"Trainium")/I27,0)</f>
        <v/>
      </c>
      <c r="M27" s="6">
        <f>IF(I27&gt;0,SUMIFS('02d_AI_Accelerator_Power'!$J$2:$J$653,'02d_AI_Accelerator_Power'!$B$2:$B$653,A27,'02d_AI_Accelerator_Power'!$C$2:$C$653,B27,'02d_AI_Accelerator_Power'!$D$2:$D$653,C27,'02d_AI_Accelerator_Power'!$F$2:$F$653,"Maia")/I27,0)</f>
        <v/>
      </c>
      <c r="N27" s="6">
        <f>IF(I27&gt;0,SUMIFS('02d_AI_Accelerator_Power'!$J$2:$J$653,'02d_AI_Accelerator_Power'!$B$2:$B$653,A27,'02d_AI_Accelerator_Power'!$C$2:$C$653,B27,'02d_AI_Accelerator_Power'!$D$2:$D$653,C27,'02d_AI_Accelerator_Power'!$F$2:$F$653,"MTIA")/I27,0)</f>
        <v/>
      </c>
      <c r="O27" s="6">
        <f>IF(I27&gt;0,SUMIFS('02d_AI_Accelerator_Power'!$J$2:$J$653,'02d_AI_Accelerator_Power'!$B$2:$B$653,A27,'02d_AI_Accelerator_Power'!$C$2:$C$653,B27,'02d_AI_Accelerator_Power'!$D$2:$D$653,C27,'02d_AI_Accelerator_Power'!$F$2:$F$653,"Other / unknown accelerator")/I27,0)</f>
        <v/>
      </c>
      <c r="P27" s="3" t="inlineStr">
        <is>
          <t>CSP contract normalized: company inference MW * (CSP total MW * AI contract share * inference share) / company contract inference weight, then multiplied by CSP accelerator rows.</t>
        </is>
      </c>
      <c r="Q27" s="3" t="inlineStr">
        <is>
          <t>csp_contract_share_x_csp_accelerator_mix</t>
        </is>
      </c>
      <c r="R27" s="3" t="inlineStr">
        <is>
          <t>Edit 02a CSP contract allocation, 02b CSP accelerator mix, or 02x accelerator catalog; 03_Calculation reads D:G from this sheet.</t>
        </is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6">
        <f>IF(I28&gt;0,SUMIFS('02d_AI_Accelerator_Power'!$J$2:$J$653,'02d_AI_Accelerator_Power'!$B$2:$B$653,A28,'02d_AI_Accelerator_Power'!$C$2:$C$653,B28,'02d_AI_Accelerator_Power'!$D$2:$D$653,C28,'02d_AI_Accelerator_Power'!$G$2:$G$653,"h200_reference")/I28,0.120505)</f>
        <v/>
      </c>
      <c r="E28" s="6">
        <f>IF(I28&gt;0,SUMIFS('02d_AI_Accelerator_Power'!$J$2:$J$653,'02d_AI_Accelerator_Power'!$B$2:$B$653,A28,'02d_AI_Accelerator_Power'!$C$2:$C$653,B28,'02d_AI_Accelerator_Power'!$D$2:$D$653,C28,'02d_AI_Accelerator_Power'!$G$2:$G$653,"b200_reference")/I28,0.215994)</f>
        <v/>
      </c>
      <c r="F28" s="6">
        <f>IF(I28&gt;0,SUMIFS('02d_AI_Accelerator_Power'!$J$2:$J$653,'02d_AI_Accelerator_Power'!$B$2:$B$653,A28,'02d_AI_Accelerator_Power'!$C$2:$C$653,B28,'02d_AI_Accelerator_Power'!$D$2:$D$653,C28,'02d_AI_Accelerator_Power'!$G$2:$G$653,"gb200_reference")/I28,0.0)</f>
        <v/>
      </c>
      <c r="G28" s="6">
        <f>IF(I28&gt;0,SUMIFS('02d_AI_Accelerator_Power'!$J$2:$J$653,'02d_AI_Accelerator_Power'!$B$2:$B$653,A28,'02d_AI_Accelerator_Power'!$C$2:$C$653,B28,'02d_AI_Accelerator_Power'!$D$2:$D$653,C28,'02d_AI_Accelerator_Power'!$G$2:$G$653,"purpose_or_unbenchmarked")/I28,0.663501)</f>
        <v/>
      </c>
      <c r="H28" s="6">
        <f>SUM(D28:G28)</f>
        <v/>
      </c>
      <c r="I28" s="28">
        <f>SUMIFS('02d_AI_Accelerator_Power'!$J$2:$J$653,'02d_AI_Accelerator_Power'!$B$2:$B$653,A28,'02d_AI_Accelerator_Power'!$C$2:$C$653,B28,'02d_AI_Accelerator_Power'!$D$2:$D$653,C28)</f>
        <v/>
      </c>
      <c r="J28" s="6">
        <f>IF(I28&gt;0,SUMIFS('02d_AI_Accelerator_Power'!$J$2:$J$653,'02d_AI_Accelerator_Power'!$B$2:$B$653,A28,'02d_AI_Accelerator_Power'!$C$2:$C$653,B28,'02d_AI_Accelerator_Power'!$D$2:$D$653,C28,'02d_AI_Accelerator_Power'!$F$2:$F$653,"R200/R300 future")/I28,0)</f>
        <v/>
      </c>
      <c r="K28" s="6">
        <f>IF(I28&gt;0,SUMIFS('02d_AI_Accelerator_Power'!$J$2:$J$653,'02d_AI_Accelerator_Power'!$B$2:$B$653,A28,'02d_AI_Accelerator_Power'!$C$2:$C$653,B28,'02d_AI_Accelerator_Power'!$D$2:$D$653,C28,'02d_AI_Accelerator_Power'!$F$2:$F$653,"TPU")/I28,0)</f>
        <v/>
      </c>
      <c r="L28" s="6">
        <f>IF(I28&gt;0,SUMIFS('02d_AI_Accelerator_Power'!$J$2:$J$653,'02d_AI_Accelerator_Power'!$B$2:$B$653,A28,'02d_AI_Accelerator_Power'!$C$2:$C$653,B28,'02d_AI_Accelerator_Power'!$D$2:$D$653,C28,'02d_AI_Accelerator_Power'!$F$2:$F$653,"Trainium")/I28,0)</f>
        <v/>
      </c>
      <c r="M28" s="6">
        <f>IF(I28&gt;0,SUMIFS('02d_AI_Accelerator_Power'!$J$2:$J$653,'02d_AI_Accelerator_Power'!$B$2:$B$653,A28,'02d_AI_Accelerator_Power'!$C$2:$C$653,B28,'02d_AI_Accelerator_Power'!$D$2:$D$653,C28,'02d_AI_Accelerator_Power'!$F$2:$F$653,"Maia")/I28,0)</f>
        <v/>
      </c>
      <c r="N28" s="6">
        <f>IF(I28&gt;0,SUMIFS('02d_AI_Accelerator_Power'!$J$2:$J$653,'02d_AI_Accelerator_Power'!$B$2:$B$653,A28,'02d_AI_Accelerator_Power'!$C$2:$C$653,B28,'02d_AI_Accelerator_Power'!$D$2:$D$653,C28,'02d_AI_Accelerator_Power'!$F$2:$F$653,"MTIA")/I28,0)</f>
        <v/>
      </c>
      <c r="O28" s="6">
        <f>IF(I28&gt;0,SUMIFS('02d_AI_Accelerator_Power'!$J$2:$J$653,'02d_AI_Accelerator_Power'!$B$2:$B$653,A28,'02d_AI_Accelerator_Power'!$C$2:$C$653,B28,'02d_AI_Accelerator_Power'!$D$2:$D$653,C28,'02d_AI_Accelerator_Power'!$F$2:$F$653,"Other / unknown accelerator")/I28,0)</f>
        <v/>
      </c>
      <c r="P28" s="3" t="inlineStr">
        <is>
          <t>CSP contract normalized: company inference MW * (CSP total MW * AI contract share * inference share) / company contract inference weight, then multiplied by CSP accelerator rows.</t>
        </is>
      </c>
      <c r="Q28" s="3" t="inlineStr">
        <is>
          <t>csp_contract_share_x_csp_accelerator_mix</t>
        </is>
      </c>
      <c r="R28" s="3" t="inlineStr">
        <is>
          <t>Edit 02a CSP contract allocation, 02b CSP accelerator mix, or 02x accelerator catalog; 03_Calculation reads D:G from this sheet.</t>
        </is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6">
        <f>IF(I29&gt;0,SUMIFS('02d_AI_Accelerator_Power'!$J$2:$J$653,'02d_AI_Accelerator_Power'!$B$2:$B$653,A29,'02d_AI_Accelerator_Power'!$C$2:$C$653,B29,'02d_AI_Accelerator_Power'!$D$2:$D$653,C29,'02d_AI_Accelerator_Power'!$G$2:$G$653,"h200_reference")/I29,0.078841)</f>
        <v/>
      </c>
      <c r="E29" s="6">
        <f>IF(I29&gt;0,SUMIFS('02d_AI_Accelerator_Power'!$J$2:$J$653,'02d_AI_Accelerator_Power'!$B$2:$B$653,A29,'02d_AI_Accelerator_Power'!$C$2:$C$653,B29,'02d_AI_Accelerator_Power'!$D$2:$D$653,C29,'02d_AI_Accelerator_Power'!$G$2:$G$653,"b200_reference")/I29,0.120599)</f>
        <v/>
      </c>
      <c r="F29" s="6">
        <f>IF(I29&gt;0,SUMIFS('02d_AI_Accelerator_Power'!$J$2:$J$653,'02d_AI_Accelerator_Power'!$B$2:$B$653,A29,'02d_AI_Accelerator_Power'!$C$2:$C$653,B29,'02d_AI_Accelerator_Power'!$D$2:$D$653,C29,'02d_AI_Accelerator_Power'!$G$2:$G$653,"gb200_reference")/I29,0.0)</f>
        <v/>
      </c>
      <c r="G29" s="6">
        <f>IF(I29&gt;0,SUMIFS('02d_AI_Accelerator_Power'!$J$2:$J$653,'02d_AI_Accelerator_Power'!$B$2:$B$653,A29,'02d_AI_Accelerator_Power'!$C$2:$C$653,B29,'02d_AI_Accelerator_Power'!$D$2:$D$653,C29,'02d_AI_Accelerator_Power'!$G$2:$G$653,"purpose_or_unbenchmarked")/I29,0.80056)</f>
        <v/>
      </c>
      <c r="H29" s="6">
        <f>SUM(D29:G29)</f>
        <v/>
      </c>
      <c r="I29" s="28">
        <f>SUMIFS('02d_AI_Accelerator_Power'!$J$2:$J$653,'02d_AI_Accelerator_Power'!$B$2:$B$653,A29,'02d_AI_Accelerator_Power'!$C$2:$C$653,B29,'02d_AI_Accelerator_Power'!$D$2:$D$653,C29)</f>
        <v/>
      </c>
      <c r="J29" s="6">
        <f>IF(I29&gt;0,SUMIFS('02d_AI_Accelerator_Power'!$J$2:$J$653,'02d_AI_Accelerator_Power'!$B$2:$B$653,A29,'02d_AI_Accelerator_Power'!$C$2:$C$653,B29,'02d_AI_Accelerator_Power'!$D$2:$D$653,C29,'02d_AI_Accelerator_Power'!$F$2:$F$653,"R200/R300 future")/I29,0)</f>
        <v/>
      </c>
      <c r="K29" s="6">
        <f>IF(I29&gt;0,SUMIFS('02d_AI_Accelerator_Power'!$J$2:$J$653,'02d_AI_Accelerator_Power'!$B$2:$B$653,A29,'02d_AI_Accelerator_Power'!$C$2:$C$653,B29,'02d_AI_Accelerator_Power'!$D$2:$D$653,C29,'02d_AI_Accelerator_Power'!$F$2:$F$653,"TPU")/I29,0)</f>
        <v/>
      </c>
      <c r="L29" s="6">
        <f>IF(I29&gt;0,SUMIFS('02d_AI_Accelerator_Power'!$J$2:$J$653,'02d_AI_Accelerator_Power'!$B$2:$B$653,A29,'02d_AI_Accelerator_Power'!$C$2:$C$653,B29,'02d_AI_Accelerator_Power'!$D$2:$D$653,C29,'02d_AI_Accelerator_Power'!$F$2:$F$653,"Trainium")/I29,0)</f>
        <v/>
      </c>
      <c r="M29" s="6">
        <f>IF(I29&gt;0,SUMIFS('02d_AI_Accelerator_Power'!$J$2:$J$653,'02d_AI_Accelerator_Power'!$B$2:$B$653,A29,'02d_AI_Accelerator_Power'!$C$2:$C$653,B29,'02d_AI_Accelerator_Power'!$D$2:$D$653,C29,'02d_AI_Accelerator_Power'!$F$2:$F$653,"Maia")/I29,0)</f>
        <v/>
      </c>
      <c r="N29" s="6">
        <f>IF(I29&gt;0,SUMIFS('02d_AI_Accelerator_Power'!$J$2:$J$653,'02d_AI_Accelerator_Power'!$B$2:$B$653,A29,'02d_AI_Accelerator_Power'!$C$2:$C$653,B29,'02d_AI_Accelerator_Power'!$D$2:$D$653,C29,'02d_AI_Accelerator_Power'!$F$2:$F$653,"MTIA")/I29,0)</f>
        <v/>
      </c>
      <c r="O29" s="6">
        <f>IF(I29&gt;0,SUMIFS('02d_AI_Accelerator_Power'!$J$2:$J$653,'02d_AI_Accelerator_Power'!$B$2:$B$653,A29,'02d_AI_Accelerator_Power'!$C$2:$C$653,B29,'02d_AI_Accelerator_Power'!$D$2:$D$653,C29,'02d_AI_Accelerator_Power'!$F$2:$F$653,"Other / unknown accelerator")/I29,0)</f>
        <v/>
      </c>
      <c r="P29" s="3" t="inlineStr">
        <is>
          <t>CSP contract normalized: company inference MW * (CSP total MW * AI contract share * inference share) / company contract inference weight, then multiplied by CSP accelerator rows.</t>
        </is>
      </c>
      <c r="Q29" s="3" t="inlineStr">
        <is>
          <t>csp_contract_share_x_csp_accelerator_mix</t>
        </is>
      </c>
      <c r="R29" s="3" t="inlineStr">
        <is>
          <t>Edit 02a CSP contract allocation, 02b CSP accelerator mix, or 02x accelerator catalog; 03_Calculation reads D:G from this sheet.</t>
        </is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6">
        <f>IF(I30&gt;0,SUMIFS('02d_AI_Accelerator_Power'!$J$2:$J$653,'02d_AI_Accelerator_Power'!$B$2:$B$653,A30,'02d_AI_Accelerator_Power'!$C$2:$C$653,B30,'02d_AI_Accelerator_Power'!$D$2:$D$653,C30,'02d_AI_Accelerator_Power'!$G$2:$G$653,"h200_reference")/I30,0.078841)</f>
        <v/>
      </c>
      <c r="E30" s="6">
        <f>IF(I30&gt;0,SUMIFS('02d_AI_Accelerator_Power'!$J$2:$J$653,'02d_AI_Accelerator_Power'!$B$2:$B$653,A30,'02d_AI_Accelerator_Power'!$C$2:$C$653,B30,'02d_AI_Accelerator_Power'!$D$2:$D$653,C30,'02d_AI_Accelerator_Power'!$G$2:$G$653,"b200_reference")/I30,0.120599)</f>
        <v/>
      </c>
      <c r="F30" s="6">
        <f>IF(I30&gt;0,SUMIFS('02d_AI_Accelerator_Power'!$J$2:$J$653,'02d_AI_Accelerator_Power'!$B$2:$B$653,A30,'02d_AI_Accelerator_Power'!$C$2:$C$653,B30,'02d_AI_Accelerator_Power'!$D$2:$D$653,C30,'02d_AI_Accelerator_Power'!$G$2:$G$653,"gb200_reference")/I30,0.0)</f>
        <v/>
      </c>
      <c r="G30" s="6">
        <f>IF(I30&gt;0,SUMIFS('02d_AI_Accelerator_Power'!$J$2:$J$653,'02d_AI_Accelerator_Power'!$B$2:$B$653,A30,'02d_AI_Accelerator_Power'!$C$2:$C$653,B30,'02d_AI_Accelerator_Power'!$D$2:$D$653,C30,'02d_AI_Accelerator_Power'!$G$2:$G$653,"purpose_or_unbenchmarked")/I30,0.80056)</f>
        <v/>
      </c>
      <c r="H30" s="6">
        <f>SUM(D30:G30)</f>
        <v/>
      </c>
      <c r="I30" s="28">
        <f>SUMIFS('02d_AI_Accelerator_Power'!$J$2:$J$653,'02d_AI_Accelerator_Power'!$B$2:$B$653,A30,'02d_AI_Accelerator_Power'!$C$2:$C$653,B30,'02d_AI_Accelerator_Power'!$D$2:$D$653,C30)</f>
        <v/>
      </c>
      <c r="J30" s="6">
        <f>IF(I30&gt;0,SUMIFS('02d_AI_Accelerator_Power'!$J$2:$J$653,'02d_AI_Accelerator_Power'!$B$2:$B$653,A30,'02d_AI_Accelerator_Power'!$C$2:$C$653,B30,'02d_AI_Accelerator_Power'!$D$2:$D$653,C30,'02d_AI_Accelerator_Power'!$F$2:$F$653,"R200/R300 future")/I30,0)</f>
        <v/>
      </c>
      <c r="K30" s="6">
        <f>IF(I30&gt;0,SUMIFS('02d_AI_Accelerator_Power'!$J$2:$J$653,'02d_AI_Accelerator_Power'!$B$2:$B$653,A30,'02d_AI_Accelerator_Power'!$C$2:$C$653,B30,'02d_AI_Accelerator_Power'!$D$2:$D$653,C30,'02d_AI_Accelerator_Power'!$F$2:$F$653,"TPU")/I30,0)</f>
        <v/>
      </c>
      <c r="L30" s="6">
        <f>IF(I30&gt;0,SUMIFS('02d_AI_Accelerator_Power'!$J$2:$J$653,'02d_AI_Accelerator_Power'!$B$2:$B$653,A30,'02d_AI_Accelerator_Power'!$C$2:$C$653,B30,'02d_AI_Accelerator_Power'!$D$2:$D$653,C30,'02d_AI_Accelerator_Power'!$F$2:$F$653,"Trainium")/I30,0)</f>
        <v/>
      </c>
      <c r="M30" s="6">
        <f>IF(I30&gt;0,SUMIFS('02d_AI_Accelerator_Power'!$J$2:$J$653,'02d_AI_Accelerator_Power'!$B$2:$B$653,A30,'02d_AI_Accelerator_Power'!$C$2:$C$653,B30,'02d_AI_Accelerator_Power'!$D$2:$D$653,C30,'02d_AI_Accelerator_Power'!$F$2:$F$653,"Maia")/I30,0)</f>
        <v/>
      </c>
      <c r="N30" s="6">
        <f>IF(I30&gt;0,SUMIFS('02d_AI_Accelerator_Power'!$J$2:$J$653,'02d_AI_Accelerator_Power'!$B$2:$B$653,A30,'02d_AI_Accelerator_Power'!$C$2:$C$653,B30,'02d_AI_Accelerator_Power'!$D$2:$D$653,C30,'02d_AI_Accelerator_Power'!$F$2:$F$653,"MTIA")/I30,0)</f>
        <v/>
      </c>
      <c r="O30" s="6">
        <f>IF(I30&gt;0,SUMIFS('02d_AI_Accelerator_Power'!$J$2:$J$653,'02d_AI_Accelerator_Power'!$B$2:$B$653,A30,'02d_AI_Accelerator_Power'!$C$2:$C$653,B30,'02d_AI_Accelerator_Power'!$D$2:$D$653,C30,'02d_AI_Accelerator_Power'!$F$2:$F$653,"Other / unknown accelerator")/I30,0)</f>
        <v/>
      </c>
      <c r="P30" s="3" t="inlineStr">
        <is>
          <t>CSP contract normalized: company inference MW * (CSP total MW * AI contract share * inference share) / company contract inference weight, then multiplied by CSP accelerator rows.</t>
        </is>
      </c>
      <c r="Q30" s="3" t="inlineStr">
        <is>
          <t>csp_contract_share_x_csp_accelerator_mix</t>
        </is>
      </c>
      <c r="R30" s="3" t="inlineStr">
        <is>
          <t>Edit 02a CSP contract allocation, 02b CSP accelerator mix, or 02x accelerator catalog; 03_Calculation reads D:G from this sheet.</t>
        </is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6">
        <f>IF(I31&gt;0,SUMIFS('02d_AI_Accelerator_Power'!$J$2:$J$653,'02d_AI_Accelerator_Power'!$B$2:$B$653,A31,'02d_AI_Accelerator_Power'!$C$2:$C$653,B31,'02d_AI_Accelerator_Power'!$D$2:$D$653,C31,'02d_AI_Accelerator_Power'!$G$2:$G$653,"h200_reference")/I31,0.078841)</f>
        <v/>
      </c>
      <c r="E31" s="6">
        <f>IF(I31&gt;0,SUMIFS('02d_AI_Accelerator_Power'!$J$2:$J$653,'02d_AI_Accelerator_Power'!$B$2:$B$653,A31,'02d_AI_Accelerator_Power'!$C$2:$C$653,B31,'02d_AI_Accelerator_Power'!$D$2:$D$653,C31,'02d_AI_Accelerator_Power'!$G$2:$G$653,"b200_reference")/I31,0.120599)</f>
        <v/>
      </c>
      <c r="F31" s="6">
        <f>IF(I31&gt;0,SUMIFS('02d_AI_Accelerator_Power'!$J$2:$J$653,'02d_AI_Accelerator_Power'!$B$2:$B$653,A31,'02d_AI_Accelerator_Power'!$C$2:$C$653,B31,'02d_AI_Accelerator_Power'!$D$2:$D$653,C31,'02d_AI_Accelerator_Power'!$G$2:$G$653,"gb200_reference")/I31,0.0)</f>
        <v/>
      </c>
      <c r="G31" s="6">
        <f>IF(I31&gt;0,SUMIFS('02d_AI_Accelerator_Power'!$J$2:$J$653,'02d_AI_Accelerator_Power'!$B$2:$B$653,A31,'02d_AI_Accelerator_Power'!$C$2:$C$653,B31,'02d_AI_Accelerator_Power'!$D$2:$D$653,C31,'02d_AI_Accelerator_Power'!$G$2:$G$653,"purpose_or_unbenchmarked")/I31,0.80056)</f>
        <v/>
      </c>
      <c r="H31" s="6">
        <f>SUM(D31:G31)</f>
        <v/>
      </c>
      <c r="I31" s="28">
        <f>SUMIFS('02d_AI_Accelerator_Power'!$J$2:$J$653,'02d_AI_Accelerator_Power'!$B$2:$B$653,A31,'02d_AI_Accelerator_Power'!$C$2:$C$653,B31,'02d_AI_Accelerator_Power'!$D$2:$D$653,C31)</f>
        <v/>
      </c>
      <c r="J31" s="6">
        <f>IF(I31&gt;0,SUMIFS('02d_AI_Accelerator_Power'!$J$2:$J$653,'02d_AI_Accelerator_Power'!$B$2:$B$653,A31,'02d_AI_Accelerator_Power'!$C$2:$C$653,B31,'02d_AI_Accelerator_Power'!$D$2:$D$653,C31,'02d_AI_Accelerator_Power'!$F$2:$F$653,"R200/R300 future")/I31,0)</f>
        <v/>
      </c>
      <c r="K31" s="6">
        <f>IF(I31&gt;0,SUMIFS('02d_AI_Accelerator_Power'!$J$2:$J$653,'02d_AI_Accelerator_Power'!$B$2:$B$653,A31,'02d_AI_Accelerator_Power'!$C$2:$C$653,B31,'02d_AI_Accelerator_Power'!$D$2:$D$653,C31,'02d_AI_Accelerator_Power'!$F$2:$F$653,"TPU")/I31,0)</f>
        <v/>
      </c>
      <c r="L31" s="6">
        <f>IF(I31&gt;0,SUMIFS('02d_AI_Accelerator_Power'!$J$2:$J$653,'02d_AI_Accelerator_Power'!$B$2:$B$653,A31,'02d_AI_Accelerator_Power'!$C$2:$C$653,B31,'02d_AI_Accelerator_Power'!$D$2:$D$653,C31,'02d_AI_Accelerator_Power'!$F$2:$F$653,"Trainium")/I31,0)</f>
        <v/>
      </c>
      <c r="M31" s="6">
        <f>IF(I31&gt;0,SUMIFS('02d_AI_Accelerator_Power'!$J$2:$J$653,'02d_AI_Accelerator_Power'!$B$2:$B$653,A31,'02d_AI_Accelerator_Power'!$C$2:$C$653,B31,'02d_AI_Accelerator_Power'!$D$2:$D$653,C31,'02d_AI_Accelerator_Power'!$F$2:$F$653,"Maia")/I31,0)</f>
        <v/>
      </c>
      <c r="N31" s="6">
        <f>IF(I31&gt;0,SUMIFS('02d_AI_Accelerator_Power'!$J$2:$J$653,'02d_AI_Accelerator_Power'!$B$2:$B$653,A31,'02d_AI_Accelerator_Power'!$C$2:$C$653,B31,'02d_AI_Accelerator_Power'!$D$2:$D$653,C31,'02d_AI_Accelerator_Power'!$F$2:$F$653,"MTIA")/I31,0)</f>
        <v/>
      </c>
      <c r="O31" s="6">
        <f>IF(I31&gt;0,SUMIFS('02d_AI_Accelerator_Power'!$J$2:$J$653,'02d_AI_Accelerator_Power'!$B$2:$B$653,A31,'02d_AI_Accelerator_Power'!$C$2:$C$653,B31,'02d_AI_Accelerator_Power'!$D$2:$D$653,C31,'02d_AI_Accelerator_Power'!$F$2:$F$653,"Other / unknown accelerator")/I31,0)</f>
        <v/>
      </c>
      <c r="P31" s="3" t="inlineStr">
        <is>
          <t>CSP contract normalized: company inference MW * (CSP total MW * AI contract share * inference share) / company contract inference weight, then multiplied by CSP accelerator rows.</t>
        </is>
      </c>
      <c r="Q31" s="3" t="inlineStr">
        <is>
          <t>csp_contract_share_x_csp_accelerator_mix</t>
        </is>
      </c>
      <c r="R31" s="3" t="inlineStr">
        <is>
          <t>Edit 02a CSP contract allocation, 02b CSP accelerator mix, or 02x accelerator catalog; 03_Calculation reads D:G from this sheet.</t>
        </is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6">
        <f>IF(I32&gt;0,SUMIFS('02d_AI_Accelerator_Power'!$J$2:$J$653,'02d_AI_Accelerator_Power'!$B$2:$B$653,A32,'02d_AI_Accelerator_Power'!$C$2:$C$653,B32,'02d_AI_Accelerator_Power'!$D$2:$D$653,C32,'02d_AI_Accelerator_Power'!$G$2:$G$653,"h200_reference")/I32,0.55)</f>
        <v/>
      </c>
      <c r="E32" s="6">
        <f>IF(I32&gt;0,SUMIFS('02d_AI_Accelerator_Power'!$J$2:$J$653,'02d_AI_Accelerator_Power'!$B$2:$B$653,A32,'02d_AI_Accelerator_Power'!$C$2:$C$653,B32,'02d_AI_Accelerator_Power'!$D$2:$D$653,C32,'02d_AI_Accelerator_Power'!$G$2:$G$653,"b200_reference")/I32,0.4)</f>
        <v/>
      </c>
      <c r="F32" s="6">
        <f>IF(I32&gt;0,SUMIFS('02d_AI_Accelerator_Power'!$J$2:$J$653,'02d_AI_Accelerator_Power'!$B$2:$B$653,A32,'02d_AI_Accelerator_Power'!$C$2:$C$653,B32,'02d_AI_Accelerator_Power'!$D$2:$D$653,C32,'02d_AI_Accelerator_Power'!$G$2:$G$653,"gb200_reference")/I32,0.05)</f>
        <v/>
      </c>
      <c r="G32" s="6">
        <f>IF(I32&gt;0,SUMIFS('02d_AI_Accelerator_Power'!$J$2:$J$653,'02d_AI_Accelerator_Power'!$B$2:$B$653,A32,'02d_AI_Accelerator_Power'!$C$2:$C$653,B32,'02d_AI_Accelerator_Power'!$D$2:$D$653,C32,'02d_AI_Accelerator_Power'!$G$2:$G$653,"purpose_or_unbenchmarked")/I32,0.0)</f>
        <v/>
      </c>
      <c r="H32" s="6">
        <f>SUM(D32:G32)</f>
        <v/>
      </c>
      <c r="I32" s="28">
        <f>SUMIFS('02d_AI_Accelerator_Power'!$J$2:$J$653,'02d_AI_Accelerator_Power'!$B$2:$B$653,A32,'02d_AI_Accelerator_Power'!$C$2:$C$653,B32,'02d_AI_Accelerator_Power'!$D$2:$D$653,C32)</f>
        <v/>
      </c>
      <c r="J32" s="6">
        <f>IF(I32&gt;0,SUMIFS('02d_AI_Accelerator_Power'!$J$2:$J$653,'02d_AI_Accelerator_Power'!$B$2:$B$653,A32,'02d_AI_Accelerator_Power'!$C$2:$C$653,B32,'02d_AI_Accelerator_Power'!$D$2:$D$653,C32,'02d_AI_Accelerator_Power'!$F$2:$F$653,"R200/R300 future")/I32,0)</f>
        <v/>
      </c>
      <c r="K32" s="6">
        <f>IF(I32&gt;0,SUMIFS('02d_AI_Accelerator_Power'!$J$2:$J$653,'02d_AI_Accelerator_Power'!$B$2:$B$653,A32,'02d_AI_Accelerator_Power'!$C$2:$C$653,B32,'02d_AI_Accelerator_Power'!$D$2:$D$653,C32,'02d_AI_Accelerator_Power'!$F$2:$F$653,"TPU")/I32,0)</f>
        <v/>
      </c>
      <c r="L32" s="6">
        <f>IF(I32&gt;0,SUMIFS('02d_AI_Accelerator_Power'!$J$2:$J$653,'02d_AI_Accelerator_Power'!$B$2:$B$653,A32,'02d_AI_Accelerator_Power'!$C$2:$C$653,B32,'02d_AI_Accelerator_Power'!$D$2:$D$653,C32,'02d_AI_Accelerator_Power'!$F$2:$F$653,"Trainium")/I32,0)</f>
        <v/>
      </c>
      <c r="M32" s="6">
        <f>IF(I32&gt;0,SUMIFS('02d_AI_Accelerator_Power'!$J$2:$J$653,'02d_AI_Accelerator_Power'!$B$2:$B$653,A32,'02d_AI_Accelerator_Power'!$C$2:$C$653,B32,'02d_AI_Accelerator_Power'!$D$2:$D$653,C32,'02d_AI_Accelerator_Power'!$F$2:$F$653,"Maia")/I32,0)</f>
        <v/>
      </c>
      <c r="N32" s="6">
        <f>IF(I32&gt;0,SUMIFS('02d_AI_Accelerator_Power'!$J$2:$J$653,'02d_AI_Accelerator_Power'!$B$2:$B$653,A32,'02d_AI_Accelerator_Power'!$C$2:$C$653,B32,'02d_AI_Accelerator_Power'!$D$2:$D$653,C32,'02d_AI_Accelerator_Power'!$F$2:$F$653,"MTIA")/I32,0)</f>
        <v/>
      </c>
      <c r="O32" s="6">
        <f>IF(I32&gt;0,SUMIFS('02d_AI_Accelerator_Power'!$J$2:$J$653,'02d_AI_Accelerator_Power'!$B$2:$B$653,A32,'02d_AI_Accelerator_Power'!$C$2:$C$653,B32,'02d_AI_Accelerator_Power'!$D$2:$D$653,C32,'02d_AI_Accelerator_Power'!$F$2:$F$653,"Other / unknown accelerator")/I32,0)</f>
        <v/>
      </c>
      <c r="P32" s="3" t="inlineStr">
        <is>
          <t>CSP contract normalized: company inference MW * (CSP total MW * AI contract share * inference share) / company contract inference weight, then multiplied by CSP accelerator rows.</t>
        </is>
      </c>
      <c r="Q32" s="3" t="inlineStr">
        <is>
          <t>csp_contract_share_x_csp_accelerator_mix</t>
        </is>
      </c>
      <c r="R32" s="3" t="inlineStr">
        <is>
          <t>Edit 02a CSP contract allocation, 02b CSP accelerator mix, or 02x accelerator catalog; 03_Calculation reads D:G from this sheet.</t>
        </is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6">
        <f>IF(I33&gt;0,SUMIFS('02d_AI_Accelerator_Power'!$J$2:$J$653,'02d_AI_Accelerator_Power'!$B$2:$B$653,A33,'02d_AI_Accelerator_Power'!$C$2:$C$653,B33,'02d_AI_Accelerator_Power'!$D$2:$D$653,C33,'02d_AI_Accelerator_Power'!$G$2:$G$653,"h200_reference")/I33,0.438)</f>
        <v/>
      </c>
      <c r="E33" s="6">
        <f>IF(I33&gt;0,SUMIFS('02d_AI_Accelerator_Power'!$J$2:$J$653,'02d_AI_Accelerator_Power'!$B$2:$B$653,A33,'02d_AI_Accelerator_Power'!$C$2:$C$653,B33,'02d_AI_Accelerator_Power'!$D$2:$D$653,C33,'02d_AI_Accelerator_Power'!$G$2:$G$653,"b200_reference")/I33,0.388)</f>
        <v/>
      </c>
      <c r="F33" s="6">
        <f>IF(I33&gt;0,SUMIFS('02d_AI_Accelerator_Power'!$J$2:$J$653,'02d_AI_Accelerator_Power'!$B$2:$B$653,A33,'02d_AI_Accelerator_Power'!$C$2:$C$653,B33,'02d_AI_Accelerator_Power'!$D$2:$D$653,C33,'02d_AI_Accelerator_Power'!$G$2:$G$653,"gb200_reference")/I33,0.174)</f>
        <v/>
      </c>
      <c r="G33" s="6">
        <f>IF(I33&gt;0,SUMIFS('02d_AI_Accelerator_Power'!$J$2:$J$653,'02d_AI_Accelerator_Power'!$B$2:$B$653,A33,'02d_AI_Accelerator_Power'!$C$2:$C$653,B33,'02d_AI_Accelerator_Power'!$D$2:$D$653,C33,'02d_AI_Accelerator_Power'!$G$2:$G$653,"purpose_or_unbenchmarked")/I33,0.0)</f>
        <v/>
      </c>
      <c r="H33" s="6">
        <f>SUM(D33:G33)</f>
        <v/>
      </c>
      <c r="I33" s="28">
        <f>SUMIFS('02d_AI_Accelerator_Power'!$J$2:$J$653,'02d_AI_Accelerator_Power'!$B$2:$B$653,A33,'02d_AI_Accelerator_Power'!$C$2:$C$653,B33,'02d_AI_Accelerator_Power'!$D$2:$D$653,C33)</f>
        <v/>
      </c>
      <c r="J33" s="6">
        <f>IF(I33&gt;0,SUMIFS('02d_AI_Accelerator_Power'!$J$2:$J$653,'02d_AI_Accelerator_Power'!$B$2:$B$653,A33,'02d_AI_Accelerator_Power'!$C$2:$C$653,B33,'02d_AI_Accelerator_Power'!$D$2:$D$653,C33,'02d_AI_Accelerator_Power'!$F$2:$F$653,"R200/R300 future")/I33,0)</f>
        <v/>
      </c>
      <c r="K33" s="6">
        <f>IF(I33&gt;0,SUMIFS('02d_AI_Accelerator_Power'!$J$2:$J$653,'02d_AI_Accelerator_Power'!$B$2:$B$653,A33,'02d_AI_Accelerator_Power'!$C$2:$C$653,B33,'02d_AI_Accelerator_Power'!$D$2:$D$653,C33,'02d_AI_Accelerator_Power'!$F$2:$F$653,"TPU")/I33,0)</f>
        <v/>
      </c>
      <c r="L33" s="6">
        <f>IF(I33&gt;0,SUMIFS('02d_AI_Accelerator_Power'!$J$2:$J$653,'02d_AI_Accelerator_Power'!$B$2:$B$653,A33,'02d_AI_Accelerator_Power'!$C$2:$C$653,B33,'02d_AI_Accelerator_Power'!$D$2:$D$653,C33,'02d_AI_Accelerator_Power'!$F$2:$F$653,"Trainium")/I33,0)</f>
        <v/>
      </c>
      <c r="M33" s="6">
        <f>IF(I33&gt;0,SUMIFS('02d_AI_Accelerator_Power'!$J$2:$J$653,'02d_AI_Accelerator_Power'!$B$2:$B$653,A33,'02d_AI_Accelerator_Power'!$C$2:$C$653,B33,'02d_AI_Accelerator_Power'!$D$2:$D$653,C33,'02d_AI_Accelerator_Power'!$F$2:$F$653,"Maia")/I33,0)</f>
        <v/>
      </c>
      <c r="N33" s="6">
        <f>IF(I33&gt;0,SUMIFS('02d_AI_Accelerator_Power'!$J$2:$J$653,'02d_AI_Accelerator_Power'!$B$2:$B$653,A33,'02d_AI_Accelerator_Power'!$C$2:$C$653,B33,'02d_AI_Accelerator_Power'!$D$2:$D$653,C33,'02d_AI_Accelerator_Power'!$F$2:$F$653,"MTIA")/I33,0)</f>
        <v/>
      </c>
      <c r="O33" s="6">
        <f>IF(I33&gt;0,SUMIFS('02d_AI_Accelerator_Power'!$J$2:$J$653,'02d_AI_Accelerator_Power'!$B$2:$B$653,A33,'02d_AI_Accelerator_Power'!$C$2:$C$653,B33,'02d_AI_Accelerator_Power'!$D$2:$D$653,C33,'02d_AI_Accelerator_Power'!$F$2:$F$653,"Other / unknown accelerator")/I33,0)</f>
        <v/>
      </c>
      <c r="P33" s="3" t="inlineStr">
        <is>
          <t>CSP contract normalized: company inference MW * (CSP total MW * AI contract share * inference share) / company contract inference weight, then multiplied by CSP accelerator rows.</t>
        </is>
      </c>
      <c r="Q33" s="3" t="inlineStr">
        <is>
          <t>csp_contract_share_x_csp_accelerator_mix</t>
        </is>
      </c>
      <c r="R33" s="3" t="inlineStr">
        <is>
          <t>Edit 02a CSP contract allocation, 02b CSP accelerator mix, or 02x accelerator catalog; 03_Calculation reads D:G from this sheet.</t>
        </is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6">
        <f>IF(I34&gt;0,SUMIFS('02d_AI_Accelerator_Power'!$J$2:$J$653,'02d_AI_Accelerator_Power'!$B$2:$B$653,A34,'02d_AI_Accelerator_Power'!$C$2:$C$653,B34,'02d_AI_Accelerator_Power'!$D$2:$D$653,C34,'02d_AI_Accelerator_Power'!$G$2:$G$653,"h200_reference")/I34,0.325)</f>
        <v/>
      </c>
      <c r="E34" s="6">
        <f>IF(I34&gt;0,SUMIFS('02d_AI_Accelerator_Power'!$J$2:$J$653,'02d_AI_Accelerator_Power'!$B$2:$B$653,A34,'02d_AI_Accelerator_Power'!$C$2:$C$653,B34,'02d_AI_Accelerator_Power'!$D$2:$D$653,C34,'02d_AI_Accelerator_Power'!$G$2:$G$653,"b200_reference")/I34,0.375)</f>
        <v/>
      </c>
      <c r="F34" s="6">
        <f>IF(I34&gt;0,SUMIFS('02d_AI_Accelerator_Power'!$J$2:$J$653,'02d_AI_Accelerator_Power'!$B$2:$B$653,A34,'02d_AI_Accelerator_Power'!$C$2:$C$653,B34,'02d_AI_Accelerator_Power'!$D$2:$D$653,C34,'02d_AI_Accelerator_Power'!$G$2:$G$653,"gb200_reference")/I34,0.3)</f>
        <v/>
      </c>
      <c r="G34" s="6">
        <f>IF(I34&gt;0,SUMIFS('02d_AI_Accelerator_Power'!$J$2:$J$653,'02d_AI_Accelerator_Power'!$B$2:$B$653,A34,'02d_AI_Accelerator_Power'!$C$2:$C$653,B34,'02d_AI_Accelerator_Power'!$D$2:$D$653,C34,'02d_AI_Accelerator_Power'!$G$2:$G$653,"purpose_or_unbenchmarked")/I34,0.0)</f>
        <v/>
      </c>
      <c r="H34" s="6">
        <f>SUM(D34:G34)</f>
        <v/>
      </c>
      <c r="I34" s="28">
        <f>SUMIFS('02d_AI_Accelerator_Power'!$J$2:$J$653,'02d_AI_Accelerator_Power'!$B$2:$B$653,A34,'02d_AI_Accelerator_Power'!$C$2:$C$653,B34,'02d_AI_Accelerator_Power'!$D$2:$D$653,C34)</f>
        <v/>
      </c>
      <c r="J34" s="6">
        <f>IF(I34&gt;0,SUMIFS('02d_AI_Accelerator_Power'!$J$2:$J$653,'02d_AI_Accelerator_Power'!$B$2:$B$653,A34,'02d_AI_Accelerator_Power'!$C$2:$C$653,B34,'02d_AI_Accelerator_Power'!$D$2:$D$653,C34,'02d_AI_Accelerator_Power'!$F$2:$F$653,"R200/R300 future")/I34,0)</f>
        <v/>
      </c>
      <c r="K34" s="6">
        <f>IF(I34&gt;0,SUMIFS('02d_AI_Accelerator_Power'!$J$2:$J$653,'02d_AI_Accelerator_Power'!$B$2:$B$653,A34,'02d_AI_Accelerator_Power'!$C$2:$C$653,B34,'02d_AI_Accelerator_Power'!$D$2:$D$653,C34,'02d_AI_Accelerator_Power'!$F$2:$F$653,"TPU")/I34,0)</f>
        <v/>
      </c>
      <c r="L34" s="6">
        <f>IF(I34&gt;0,SUMIFS('02d_AI_Accelerator_Power'!$J$2:$J$653,'02d_AI_Accelerator_Power'!$B$2:$B$653,A34,'02d_AI_Accelerator_Power'!$C$2:$C$653,B34,'02d_AI_Accelerator_Power'!$D$2:$D$653,C34,'02d_AI_Accelerator_Power'!$F$2:$F$653,"Trainium")/I34,0)</f>
        <v/>
      </c>
      <c r="M34" s="6">
        <f>IF(I34&gt;0,SUMIFS('02d_AI_Accelerator_Power'!$J$2:$J$653,'02d_AI_Accelerator_Power'!$B$2:$B$653,A34,'02d_AI_Accelerator_Power'!$C$2:$C$653,B34,'02d_AI_Accelerator_Power'!$D$2:$D$653,C34,'02d_AI_Accelerator_Power'!$F$2:$F$653,"Maia")/I34,0)</f>
        <v/>
      </c>
      <c r="N34" s="6">
        <f>IF(I34&gt;0,SUMIFS('02d_AI_Accelerator_Power'!$J$2:$J$653,'02d_AI_Accelerator_Power'!$B$2:$B$653,A34,'02d_AI_Accelerator_Power'!$C$2:$C$653,B34,'02d_AI_Accelerator_Power'!$D$2:$D$653,C34,'02d_AI_Accelerator_Power'!$F$2:$F$653,"MTIA")/I34,0)</f>
        <v/>
      </c>
      <c r="O34" s="6">
        <f>IF(I34&gt;0,SUMIFS('02d_AI_Accelerator_Power'!$J$2:$J$653,'02d_AI_Accelerator_Power'!$B$2:$B$653,A34,'02d_AI_Accelerator_Power'!$C$2:$C$653,B34,'02d_AI_Accelerator_Power'!$D$2:$D$653,C34,'02d_AI_Accelerator_Power'!$F$2:$F$653,"Other / unknown accelerator")/I34,0)</f>
        <v/>
      </c>
      <c r="P34" s="3" t="inlineStr">
        <is>
          <t>CSP contract normalized: company inference MW * (CSP total MW * AI contract share * inference share) / company contract inference weight, then multiplied by CSP accelerator rows.</t>
        </is>
      </c>
      <c r="Q34" s="3" t="inlineStr">
        <is>
          <t>csp_contract_share_x_csp_accelerator_mix</t>
        </is>
      </c>
      <c r="R34" s="3" t="inlineStr">
        <is>
          <t>Edit 02a CSP contract allocation, 02b CSP accelerator mix, or 02x accelerator catalog; 03_Calculation reads D:G from this sheet.</t>
        </is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6">
        <f>IF(I35&gt;0,SUMIFS('02d_AI_Accelerator_Power'!$J$2:$J$653,'02d_AI_Accelerator_Power'!$B$2:$B$653,A35,'02d_AI_Accelerator_Power'!$C$2:$C$653,B35,'02d_AI_Accelerator_Power'!$D$2:$D$653,C35,'02d_AI_Accelerator_Power'!$G$2:$G$653,"h200_reference")/I35,0.213)</f>
        <v/>
      </c>
      <c r="E35" s="6">
        <f>IF(I35&gt;0,SUMIFS('02d_AI_Accelerator_Power'!$J$2:$J$653,'02d_AI_Accelerator_Power'!$B$2:$B$653,A35,'02d_AI_Accelerator_Power'!$C$2:$C$653,B35,'02d_AI_Accelerator_Power'!$D$2:$D$653,C35,'02d_AI_Accelerator_Power'!$G$2:$G$653,"b200_reference")/I35,0.362)</f>
        <v/>
      </c>
      <c r="F35" s="6">
        <f>IF(I35&gt;0,SUMIFS('02d_AI_Accelerator_Power'!$J$2:$J$653,'02d_AI_Accelerator_Power'!$B$2:$B$653,A35,'02d_AI_Accelerator_Power'!$C$2:$C$653,B35,'02d_AI_Accelerator_Power'!$D$2:$D$653,C35,'02d_AI_Accelerator_Power'!$G$2:$G$653,"gb200_reference")/I35,0.425)</f>
        <v/>
      </c>
      <c r="G35" s="6">
        <f>IF(I35&gt;0,SUMIFS('02d_AI_Accelerator_Power'!$J$2:$J$653,'02d_AI_Accelerator_Power'!$B$2:$B$653,A35,'02d_AI_Accelerator_Power'!$C$2:$C$653,B35,'02d_AI_Accelerator_Power'!$D$2:$D$653,C35,'02d_AI_Accelerator_Power'!$G$2:$G$653,"purpose_or_unbenchmarked")/I35,0.0)</f>
        <v/>
      </c>
      <c r="H35" s="6">
        <f>SUM(D35:G35)</f>
        <v/>
      </c>
      <c r="I35" s="28">
        <f>SUMIFS('02d_AI_Accelerator_Power'!$J$2:$J$653,'02d_AI_Accelerator_Power'!$B$2:$B$653,A35,'02d_AI_Accelerator_Power'!$C$2:$C$653,B35,'02d_AI_Accelerator_Power'!$D$2:$D$653,C35)</f>
        <v/>
      </c>
      <c r="J35" s="6">
        <f>IF(I35&gt;0,SUMIFS('02d_AI_Accelerator_Power'!$J$2:$J$653,'02d_AI_Accelerator_Power'!$B$2:$B$653,A35,'02d_AI_Accelerator_Power'!$C$2:$C$653,B35,'02d_AI_Accelerator_Power'!$D$2:$D$653,C35,'02d_AI_Accelerator_Power'!$F$2:$F$653,"R200/R300 future")/I35,0)</f>
        <v/>
      </c>
      <c r="K35" s="6">
        <f>IF(I35&gt;0,SUMIFS('02d_AI_Accelerator_Power'!$J$2:$J$653,'02d_AI_Accelerator_Power'!$B$2:$B$653,A35,'02d_AI_Accelerator_Power'!$C$2:$C$653,B35,'02d_AI_Accelerator_Power'!$D$2:$D$653,C35,'02d_AI_Accelerator_Power'!$F$2:$F$653,"TPU")/I35,0)</f>
        <v/>
      </c>
      <c r="L35" s="6">
        <f>IF(I35&gt;0,SUMIFS('02d_AI_Accelerator_Power'!$J$2:$J$653,'02d_AI_Accelerator_Power'!$B$2:$B$653,A35,'02d_AI_Accelerator_Power'!$C$2:$C$653,B35,'02d_AI_Accelerator_Power'!$D$2:$D$653,C35,'02d_AI_Accelerator_Power'!$F$2:$F$653,"Trainium")/I35,0)</f>
        <v/>
      </c>
      <c r="M35" s="6">
        <f>IF(I35&gt;0,SUMIFS('02d_AI_Accelerator_Power'!$J$2:$J$653,'02d_AI_Accelerator_Power'!$B$2:$B$653,A35,'02d_AI_Accelerator_Power'!$C$2:$C$653,B35,'02d_AI_Accelerator_Power'!$D$2:$D$653,C35,'02d_AI_Accelerator_Power'!$F$2:$F$653,"Maia")/I35,0)</f>
        <v/>
      </c>
      <c r="N35" s="6">
        <f>IF(I35&gt;0,SUMIFS('02d_AI_Accelerator_Power'!$J$2:$J$653,'02d_AI_Accelerator_Power'!$B$2:$B$653,A35,'02d_AI_Accelerator_Power'!$C$2:$C$653,B35,'02d_AI_Accelerator_Power'!$D$2:$D$653,C35,'02d_AI_Accelerator_Power'!$F$2:$F$653,"MTIA")/I35,0)</f>
        <v/>
      </c>
      <c r="O35" s="6">
        <f>IF(I35&gt;0,SUMIFS('02d_AI_Accelerator_Power'!$J$2:$J$653,'02d_AI_Accelerator_Power'!$B$2:$B$653,A35,'02d_AI_Accelerator_Power'!$C$2:$C$653,B35,'02d_AI_Accelerator_Power'!$D$2:$D$653,C35,'02d_AI_Accelerator_Power'!$F$2:$F$653,"Other / unknown accelerator")/I35,0)</f>
        <v/>
      </c>
      <c r="P35" s="3" t="inlineStr">
        <is>
          <t>CSP contract normalized: company inference MW * (CSP total MW * AI contract share * inference share) / company contract inference weight, then multiplied by CSP accelerator rows.</t>
        </is>
      </c>
      <c r="Q35" s="3" t="inlineStr">
        <is>
          <t>csp_contract_share_x_csp_accelerator_mix</t>
        </is>
      </c>
      <c r="R35" s="3" t="inlineStr">
        <is>
          <t>Edit 02a CSP contract allocation, 02b CSP accelerator mix, or 02x accelerator catalog; 03_Calculation reads D:G from this sheet.</t>
        </is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6">
        <f>IF(I36&gt;0,SUMIFS('02d_AI_Accelerator_Power'!$J$2:$J$653,'02d_AI_Accelerator_Power'!$B$2:$B$653,A36,'02d_AI_Accelerator_Power'!$C$2:$C$653,B36,'02d_AI_Accelerator_Power'!$D$2:$D$653,C36,'02d_AI_Accelerator_Power'!$G$2:$G$653,"h200_reference")/I36,0.1)</f>
        <v/>
      </c>
      <c r="E36" s="6">
        <f>IF(I36&gt;0,SUMIFS('02d_AI_Accelerator_Power'!$J$2:$J$653,'02d_AI_Accelerator_Power'!$B$2:$B$653,A36,'02d_AI_Accelerator_Power'!$C$2:$C$653,B36,'02d_AI_Accelerator_Power'!$D$2:$D$653,C36,'02d_AI_Accelerator_Power'!$G$2:$G$653,"b200_reference")/I36,0.35)</f>
        <v/>
      </c>
      <c r="F36" s="6">
        <f>IF(I36&gt;0,SUMIFS('02d_AI_Accelerator_Power'!$J$2:$J$653,'02d_AI_Accelerator_Power'!$B$2:$B$653,A36,'02d_AI_Accelerator_Power'!$C$2:$C$653,B36,'02d_AI_Accelerator_Power'!$D$2:$D$653,C36,'02d_AI_Accelerator_Power'!$G$2:$G$653,"gb200_reference")/I36,0.55)</f>
        <v/>
      </c>
      <c r="G36" s="6">
        <f>IF(I36&gt;0,SUMIFS('02d_AI_Accelerator_Power'!$J$2:$J$653,'02d_AI_Accelerator_Power'!$B$2:$B$653,A36,'02d_AI_Accelerator_Power'!$C$2:$C$653,B36,'02d_AI_Accelerator_Power'!$D$2:$D$653,C36,'02d_AI_Accelerator_Power'!$G$2:$G$653,"purpose_or_unbenchmarked")/I36,0.0)</f>
        <v/>
      </c>
      <c r="H36" s="6">
        <f>SUM(D36:G36)</f>
        <v/>
      </c>
      <c r="I36" s="28">
        <f>SUMIFS('02d_AI_Accelerator_Power'!$J$2:$J$653,'02d_AI_Accelerator_Power'!$B$2:$B$653,A36,'02d_AI_Accelerator_Power'!$C$2:$C$653,B36,'02d_AI_Accelerator_Power'!$D$2:$D$653,C36)</f>
        <v/>
      </c>
      <c r="J36" s="6">
        <f>IF(I36&gt;0,SUMIFS('02d_AI_Accelerator_Power'!$J$2:$J$653,'02d_AI_Accelerator_Power'!$B$2:$B$653,A36,'02d_AI_Accelerator_Power'!$C$2:$C$653,B36,'02d_AI_Accelerator_Power'!$D$2:$D$653,C36,'02d_AI_Accelerator_Power'!$F$2:$F$653,"R200/R300 future")/I36,0)</f>
        <v/>
      </c>
      <c r="K36" s="6">
        <f>IF(I36&gt;0,SUMIFS('02d_AI_Accelerator_Power'!$J$2:$J$653,'02d_AI_Accelerator_Power'!$B$2:$B$653,A36,'02d_AI_Accelerator_Power'!$C$2:$C$653,B36,'02d_AI_Accelerator_Power'!$D$2:$D$653,C36,'02d_AI_Accelerator_Power'!$F$2:$F$653,"TPU")/I36,0)</f>
        <v/>
      </c>
      <c r="L36" s="6">
        <f>IF(I36&gt;0,SUMIFS('02d_AI_Accelerator_Power'!$J$2:$J$653,'02d_AI_Accelerator_Power'!$B$2:$B$653,A36,'02d_AI_Accelerator_Power'!$C$2:$C$653,B36,'02d_AI_Accelerator_Power'!$D$2:$D$653,C36,'02d_AI_Accelerator_Power'!$F$2:$F$653,"Trainium")/I36,0)</f>
        <v/>
      </c>
      <c r="M36" s="6">
        <f>IF(I36&gt;0,SUMIFS('02d_AI_Accelerator_Power'!$J$2:$J$653,'02d_AI_Accelerator_Power'!$B$2:$B$653,A36,'02d_AI_Accelerator_Power'!$C$2:$C$653,B36,'02d_AI_Accelerator_Power'!$D$2:$D$653,C36,'02d_AI_Accelerator_Power'!$F$2:$F$653,"Maia")/I36,0)</f>
        <v/>
      </c>
      <c r="N36" s="6">
        <f>IF(I36&gt;0,SUMIFS('02d_AI_Accelerator_Power'!$J$2:$J$653,'02d_AI_Accelerator_Power'!$B$2:$B$653,A36,'02d_AI_Accelerator_Power'!$C$2:$C$653,B36,'02d_AI_Accelerator_Power'!$D$2:$D$653,C36,'02d_AI_Accelerator_Power'!$F$2:$F$653,"MTIA")/I36,0)</f>
        <v/>
      </c>
      <c r="O36" s="6">
        <f>IF(I36&gt;0,SUMIFS('02d_AI_Accelerator_Power'!$J$2:$J$653,'02d_AI_Accelerator_Power'!$B$2:$B$653,A36,'02d_AI_Accelerator_Power'!$C$2:$C$653,B36,'02d_AI_Accelerator_Power'!$D$2:$D$653,C36,'02d_AI_Accelerator_Power'!$F$2:$F$653,"Other / unknown accelerator")/I36,0)</f>
        <v/>
      </c>
      <c r="P36" s="3" t="inlineStr">
        <is>
          <t>CSP contract normalized: company inference MW * (CSP total MW * AI contract share * inference share) / company contract inference weight, then multiplied by CSP accelerator rows.</t>
        </is>
      </c>
      <c r="Q36" s="3" t="inlineStr">
        <is>
          <t>csp_contract_share_x_csp_accelerator_mix</t>
        </is>
      </c>
      <c r="R36" s="3" t="inlineStr">
        <is>
          <t>Edit 02a CSP contract allocation, 02b CSP accelerator mix, or 02x accelerator catalog; 03_Calculation reads D:G from this sheet.</t>
        </is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6">
        <f>IF(I37&gt;0,SUMIFS('02d_AI_Accelerator_Power'!$J$2:$J$653,'02d_AI_Accelerator_Power'!$B$2:$B$653,A37,'02d_AI_Accelerator_Power'!$C$2:$C$653,B37,'02d_AI_Accelerator_Power'!$D$2:$D$653,C37,'02d_AI_Accelerator_Power'!$G$2:$G$653,"h200_reference")/I37,1.0)</f>
        <v/>
      </c>
      <c r="E37" s="6">
        <f>IF(I37&gt;0,SUMIFS('02d_AI_Accelerator_Power'!$J$2:$J$653,'02d_AI_Accelerator_Power'!$B$2:$B$653,A37,'02d_AI_Accelerator_Power'!$C$2:$C$653,B37,'02d_AI_Accelerator_Power'!$D$2:$D$653,C37,'02d_AI_Accelerator_Power'!$G$2:$G$653,"b200_reference")/I37,0.0)</f>
        <v/>
      </c>
      <c r="F37" s="6">
        <f>IF(I37&gt;0,SUMIFS('02d_AI_Accelerator_Power'!$J$2:$J$653,'02d_AI_Accelerator_Power'!$B$2:$B$653,A37,'02d_AI_Accelerator_Power'!$C$2:$C$653,B37,'02d_AI_Accelerator_Power'!$D$2:$D$653,C37,'02d_AI_Accelerator_Power'!$G$2:$G$653,"gb200_reference")/I37,0.0)</f>
        <v/>
      </c>
      <c r="G37" s="6">
        <f>IF(I37&gt;0,SUMIFS('02d_AI_Accelerator_Power'!$J$2:$J$653,'02d_AI_Accelerator_Power'!$B$2:$B$653,A37,'02d_AI_Accelerator_Power'!$C$2:$C$653,B37,'02d_AI_Accelerator_Power'!$D$2:$D$653,C37,'02d_AI_Accelerator_Power'!$G$2:$G$653,"purpose_or_unbenchmarked")/I37,0.0)</f>
        <v/>
      </c>
      <c r="H37" s="6">
        <f>SUM(D37:G37)</f>
        <v/>
      </c>
      <c r="I37" s="28">
        <f>SUMIFS('02d_AI_Accelerator_Power'!$J$2:$J$653,'02d_AI_Accelerator_Power'!$B$2:$B$653,A37,'02d_AI_Accelerator_Power'!$C$2:$C$653,B37,'02d_AI_Accelerator_Power'!$D$2:$D$653,C37)</f>
        <v/>
      </c>
      <c r="J37" s="6">
        <f>IF(I37&gt;0,SUMIFS('02d_AI_Accelerator_Power'!$J$2:$J$653,'02d_AI_Accelerator_Power'!$B$2:$B$653,A37,'02d_AI_Accelerator_Power'!$C$2:$C$653,B37,'02d_AI_Accelerator_Power'!$D$2:$D$653,C37,'02d_AI_Accelerator_Power'!$F$2:$F$653,"R200/R300 future")/I37,0)</f>
        <v/>
      </c>
      <c r="K37" s="6">
        <f>IF(I37&gt;0,SUMIFS('02d_AI_Accelerator_Power'!$J$2:$J$653,'02d_AI_Accelerator_Power'!$B$2:$B$653,A37,'02d_AI_Accelerator_Power'!$C$2:$C$653,B37,'02d_AI_Accelerator_Power'!$D$2:$D$653,C37,'02d_AI_Accelerator_Power'!$F$2:$F$653,"TPU")/I37,0)</f>
        <v/>
      </c>
      <c r="L37" s="6">
        <f>IF(I37&gt;0,SUMIFS('02d_AI_Accelerator_Power'!$J$2:$J$653,'02d_AI_Accelerator_Power'!$B$2:$B$653,A37,'02d_AI_Accelerator_Power'!$C$2:$C$653,B37,'02d_AI_Accelerator_Power'!$D$2:$D$653,C37,'02d_AI_Accelerator_Power'!$F$2:$F$653,"Trainium")/I37,0)</f>
        <v/>
      </c>
      <c r="M37" s="6">
        <f>IF(I37&gt;0,SUMIFS('02d_AI_Accelerator_Power'!$J$2:$J$653,'02d_AI_Accelerator_Power'!$B$2:$B$653,A37,'02d_AI_Accelerator_Power'!$C$2:$C$653,B37,'02d_AI_Accelerator_Power'!$D$2:$D$653,C37,'02d_AI_Accelerator_Power'!$F$2:$F$653,"Maia")/I37,0)</f>
        <v/>
      </c>
      <c r="N37" s="6">
        <f>IF(I37&gt;0,SUMIFS('02d_AI_Accelerator_Power'!$J$2:$J$653,'02d_AI_Accelerator_Power'!$B$2:$B$653,A37,'02d_AI_Accelerator_Power'!$C$2:$C$653,B37,'02d_AI_Accelerator_Power'!$D$2:$D$653,C37,'02d_AI_Accelerator_Power'!$F$2:$F$653,"MTIA")/I37,0)</f>
        <v/>
      </c>
      <c r="O37" s="6">
        <f>IF(I37&gt;0,SUMIFS('02d_AI_Accelerator_Power'!$J$2:$J$653,'02d_AI_Accelerator_Power'!$B$2:$B$653,A37,'02d_AI_Accelerator_Power'!$C$2:$C$653,B37,'02d_AI_Accelerator_Power'!$D$2:$D$653,C37,'02d_AI_Accelerator_Power'!$F$2:$F$653,"Other / unknown accelerator")/I37,0)</f>
        <v/>
      </c>
      <c r="P37" s="3" t="inlineStr">
        <is>
          <t>CSP contract normalized: company inference MW * (CSP total MW * AI contract share * inference share) / company contract inference weight, then multiplied by CSP accelerator rows.</t>
        </is>
      </c>
      <c r="Q37" s="3" t="inlineStr">
        <is>
          <t>csp_contract_share_x_csp_accelerator_mix</t>
        </is>
      </c>
      <c r="R37" s="3" t="inlineStr">
        <is>
          <t>Edit 02a CSP contract allocation, 02b CSP accelerator mix, or 02x accelerator catalog; 03_Calculation reads D:G from this sheet.</t>
        </is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6">
        <f>IF(I38&gt;0,SUMIFS('02d_AI_Accelerator_Power'!$J$2:$J$653,'02d_AI_Accelerator_Power'!$B$2:$B$653,A38,'02d_AI_Accelerator_Power'!$C$2:$C$653,B38,'02d_AI_Accelerator_Power'!$D$2:$D$653,C38,'02d_AI_Accelerator_Power'!$G$2:$G$653,"h200_reference")/I38,1.0)</f>
        <v/>
      </c>
      <c r="E38" s="6">
        <f>IF(I38&gt;0,SUMIFS('02d_AI_Accelerator_Power'!$J$2:$J$653,'02d_AI_Accelerator_Power'!$B$2:$B$653,A38,'02d_AI_Accelerator_Power'!$C$2:$C$653,B38,'02d_AI_Accelerator_Power'!$D$2:$D$653,C38,'02d_AI_Accelerator_Power'!$G$2:$G$653,"b200_reference")/I38,0.0)</f>
        <v/>
      </c>
      <c r="F38" s="6">
        <f>IF(I38&gt;0,SUMIFS('02d_AI_Accelerator_Power'!$J$2:$J$653,'02d_AI_Accelerator_Power'!$B$2:$B$653,A38,'02d_AI_Accelerator_Power'!$C$2:$C$653,B38,'02d_AI_Accelerator_Power'!$D$2:$D$653,C38,'02d_AI_Accelerator_Power'!$G$2:$G$653,"gb200_reference")/I38,0.0)</f>
        <v/>
      </c>
      <c r="G38" s="6">
        <f>IF(I38&gt;0,SUMIFS('02d_AI_Accelerator_Power'!$J$2:$J$653,'02d_AI_Accelerator_Power'!$B$2:$B$653,A38,'02d_AI_Accelerator_Power'!$C$2:$C$653,B38,'02d_AI_Accelerator_Power'!$D$2:$D$653,C38,'02d_AI_Accelerator_Power'!$G$2:$G$653,"purpose_or_unbenchmarked")/I38,0.0)</f>
        <v/>
      </c>
      <c r="H38" s="6">
        <f>SUM(D38:G38)</f>
        <v/>
      </c>
      <c r="I38" s="28">
        <f>SUMIFS('02d_AI_Accelerator_Power'!$J$2:$J$653,'02d_AI_Accelerator_Power'!$B$2:$B$653,A38,'02d_AI_Accelerator_Power'!$C$2:$C$653,B38,'02d_AI_Accelerator_Power'!$D$2:$D$653,C38)</f>
        <v/>
      </c>
      <c r="J38" s="6">
        <f>IF(I38&gt;0,SUMIFS('02d_AI_Accelerator_Power'!$J$2:$J$653,'02d_AI_Accelerator_Power'!$B$2:$B$653,A38,'02d_AI_Accelerator_Power'!$C$2:$C$653,B38,'02d_AI_Accelerator_Power'!$D$2:$D$653,C38,'02d_AI_Accelerator_Power'!$F$2:$F$653,"R200/R300 future")/I38,0)</f>
        <v/>
      </c>
      <c r="K38" s="6">
        <f>IF(I38&gt;0,SUMIFS('02d_AI_Accelerator_Power'!$J$2:$J$653,'02d_AI_Accelerator_Power'!$B$2:$B$653,A38,'02d_AI_Accelerator_Power'!$C$2:$C$653,B38,'02d_AI_Accelerator_Power'!$D$2:$D$653,C38,'02d_AI_Accelerator_Power'!$F$2:$F$653,"TPU")/I38,0)</f>
        <v/>
      </c>
      <c r="L38" s="6">
        <f>IF(I38&gt;0,SUMIFS('02d_AI_Accelerator_Power'!$J$2:$J$653,'02d_AI_Accelerator_Power'!$B$2:$B$653,A38,'02d_AI_Accelerator_Power'!$C$2:$C$653,B38,'02d_AI_Accelerator_Power'!$D$2:$D$653,C38,'02d_AI_Accelerator_Power'!$F$2:$F$653,"Trainium")/I38,0)</f>
        <v/>
      </c>
      <c r="M38" s="6">
        <f>IF(I38&gt;0,SUMIFS('02d_AI_Accelerator_Power'!$J$2:$J$653,'02d_AI_Accelerator_Power'!$B$2:$B$653,A38,'02d_AI_Accelerator_Power'!$C$2:$C$653,B38,'02d_AI_Accelerator_Power'!$D$2:$D$653,C38,'02d_AI_Accelerator_Power'!$F$2:$F$653,"Maia")/I38,0)</f>
        <v/>
      </c>
      <c r="N38" s="6">
        <f>IF(I38&gt;0,SUMIFS('02d_AI_Accelerator_Power'!$J$2:$J$653,'02d_AI_Accelerator_Power'!$B$2:$B$653,A38,'02d_AI_Accelerator_Power'!$C$2:$C$653,B38,'02d_AI_Accelerator_Power'!$D$2:$D$653,C38,'02d_AI_Accelerator_Power'!$F$2:$F$653,"MTIA")/I38,0)</f>
        <v/>
      </c>
      <c r="O38" s="6">
        <f>IF(I38&gt;0,SUMIFS('02d_AI_Accelerator_Power'!$J$2:$J$653,'02d_AI_Accelerator_Power'!$B$2:$B$653,A38,'02d_AI_Accelerator_Power'!$C$2:$C$653,B38,'02d_AI_Accelerator_Power'!$D$2:$D$653,C38,'02d_AI_Accelerator_Power'!$F$2:$F$653,"Other / unknown accelerator")/I38,0)</f>
        <v/>
      </c>
      <c r="P38" s="3" t="inlineStr">
        <is>
          <t>CSP contract normalized: company inference MW * (CSP total MW * AI contract share * inference share) / company contract inference weight, then multiplied by CSP accelerator rows.</t>
        </is>
      </c>
      <c r="Q38" s="3" t="inlineStr">
        <is>
          <t>csp_contract_share_x_csp_accelerator_mix</t>
        </is>
      </c>
      <c r="R38" s="3" t="inlineStr">
        <is>
          <t>Edit 02a CSP contract allocation, 02b CSP accelerator mix, or 02x accelerator catalog; 03_Calculation reads D:G from this sheet.</t>
        </is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6">
        <f>IF(I39&gt;0,SUMIFS('02d_AI_Accelerator_Power'!$J$2:$J$653,'02d_AI_Accelerator_Power'!$B$2:$B$653,A39,'02d_AI_Accelerator_Power'!$C$2:$C$653,B39,'02d_AI_Accelerator_Power'!$D$2:$D$653,C39,'02d_AI_Accelerator_Power'!$G$2:$G$653,"h200_reference")/I39,1.0)</f>
        <v/>
      </c>
      <c r="E39" s="6">
        <f>IF(I39&gt;0,SUMIFS('02d_AI_Accelerator_Power'!$J$2:$J$653,'02d_AI_Accelerator_Power'!$B$2:$B$653,A39,'02d_AI_Accelerator_Power'!$C$2:$C$653,B39,'02d_AI_Accelerator_Power'!$D$2:$D$653,C39,'02d_AI_Accelerator_Power'!$G$2:$G$653,"b200_reference")/I39,0.0)</f>
        <v/>
      </c>
      <c r="F39" s="6">
        <f>IF(I39&gt;0,SUMIFS('02d_AI_Accelerator_Power'!$J$2:$J$653,'02d_AI_Accelerator_Power'!$B$2:$B$653,A39,'02d_AI_Accelerator_Power'!$C$2:$C$653,B39,'02d_AI_Accelerator_Power'!$D$2:$D$653,C39,'02d_AI_Accelerator_Power'!$G$2:$G$653,"gb200_reference")/I39,0.0)</f>
        <v/>
      </c>
      <c r="G39" s="6">
        <f>IF(I39&gt;0,SUMIFS('02d_AI_Accelerator_Power'!$J$2:$J$653,'02d_AI_Accelerator_Power'!$B$2:$B$653,A39,'02d_AI_Accelerator_Power'!$C$2:$C$653,B39,'02d_AI_Accelerator_Power'!$D$2:$D$653,C39,'02d_AI_Accelerator_Power'!$G$2:$G$653,"purpose_or_unbenchmarked")/I39,0.0)</f>
        <v/>
      </c>
      <c r="H39" s="6">
        <f>SUM(D39:G39)</f>
        <v/>
      </c>
      <c r="I39" s="28">
        <f>SUMIFS('02d_AI_Accelerator_Power'!$J$2:$J$653,'02d_AI_Accelerator_Power'!$B$2:$B$653,A39,'02d_AI_Accelerator_Power'!$C$2:$C$653,B39,'02d_AI_Accelerator_Power'!$D$2:$D$653,C39)</f>
        <v/>
      </c>
      <c r="J39" s="6">
        <f>IF(I39&gt;0,SUMIFS('02d_AI_Accelerator_Power'!$J$2:$J$653,'02d_AI_Accelerator_Power'!$B$2:$B$653,A39,'02d_AI_Accelerator_Power'!$C$2:$C$653,B39,'02d_AI_Accelerator_Power'!$D$2:$D$653,C39,'02d_AI_Accelerator_Power'!$F$2:$F$653,"R200/R300 future")/I39,0)</f>
        <v/>
      </c>
      <c r="K39" s="6">
        <f>IF(I39&gt;0,SUMIFS('02d_AI_Accelerator_Power'!$J$2:$J$653,'02d_AI_Accelerator_Power'!$B$2:$B$653,A39,'02d_AI_Accelerator_Power'!$C$2:$C$653,B39,'02d_AI_Accelerator_Power'!$D$2:$D$653,C39,'02d_AI_Accelerator_Power'!$F$2:$F$653,"TPU")/I39,0)</f>
        <v/>
      </c>
      <c r="L39" s="6">
        <f>IF(I39&gt;0,SUMIFS('02d_AI_Accelerator_Power'!$J$2:$J$653,'02d_AI_Accelerator_Power'!$B$2:$B$653,A39,'02d_AI_Accelerator_Power'!$C$2:$C$653,B39,'02d_AI_Accelerator_Power'!$D$2:$D$653,C39,'02d_AI_Accelerator_Power'!$F$2:$F$653,"Trainium")/I39,0)</f>
        <v/>
      </c>
      <c r="M39" s="6">
        <f>IF(I39&gt;0,SUMIFS('02d_AI_Accelerator_Power'!$J$2:$J$653,'02d_AI_Accelerator_Power'!$B$2:$B$653,A39,'02d_AI_Accelerator_Power'!$C$2:$C$653,B39,'02d_AI_Accelerator_Power'!$D$2:$D$653,C39,'02d_AI_Accelerator_Power'!$F$2:$F$653,"Maia")/I39,0)</f>
        <v/>
      </c>
      <c r="N39" s="6">
        <f>IF(I39&gt;0,SUMIFS('02d_AI_Accelerator_Power'!$J$2:$J$653,'02d_AI_Accelerator_Power'!$B$2:$B$653,A39,'02d_AI_Accelerator_Power'!$C$2:$C$653,B39,'02d_AI_Accelerator_Power'!$D$2:$D$653,C39,'02d_AI_Accelerator_Power'!$F$2:$F$653,"MTIA")/I39,0)</f>
        <v/>
      </c>
      <c r="O39" s="6">
        <f>IF(I39&gt;0,SUMIFS('02d_AI_Accelerator_Power'!$J$2:$J$653,'02d_AI_Accelerator_Power'!$B$2:$B$653,A39,'02d_AI_Accelerator_Power'!$C$2:$C$653,B39,'02d_AI_Accelerator_Power'!$D$2:$D$653,C39,'02d_AI_Accelerator_Power'!$F$2:$F$653,"Other / unknown accelerator")/I39,0)</f>
        <v/>
      </c>
      <c r="P39" s="3" t="inlineStr">
        <is>
          <t>CSP contract normalized: company inference MW * (CSP total MW * AI contract share * inference share) / company contract inference weight, then multiplied by CSP accelerator rows.</t>
        </is>
      </c>
      <c r="Q39" s="3" t="inlineStr">
        <is>
          <t>csp_contract_share_x_csp_accelerator_mix</t>
        </is>
      </c>
      <c r="R39" s="3" t="inlineStr">
        <is>
          <t>Edit 02a CSP contract allocation, 02b CSP accelerator mix, or 02x accelerator catalog; 03_Calculation reads D:G from this sheet.</t>
        </is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6">
        <f>IF(I40&gt;0,SUMIFS('02d_AI_Accelerator_Power'!$J$2:$J$653,'02d_AI_Accelerator_Power'!$B$2:$B$653,A40,'02d_AI_Accelerator_Power'!$C$2:$C$653,B40,'02d_AI_Accelerator_Power'!$D$2:$D$653,C40,'02d_AI_Accelerator_Power'!$G$2:$G$653,"h200_reference")/I40,1.0)</f>
        <v/>
      </c>
      <c r="E40" s="6">
        <f>IF(I40&gt;0,SUMIFS('02d_AI_Accelerator_Power'!$J$2:$J$653,'02d_AI_Accelerator_Power'!$B$2:$B$653,A40,'02d_AI_Accelerator_Power'!$C$2:$C$653,B40,'02d_AI_Accelerator_Power'!$D$2:$D$653,C40,'02d_AI_Accelerator_Power'!$G$2:$G$653,"b200_reference")/I40,0.0)</f>
        <v/>
      </c>
      <c r="F40" s="6">
        <f>IF(I40&gt;0,SUMIFS('02d_AI_Accelerator_Power'!$J$2:$J$653,'02d_AI_Accelerator_Power'!$B$2:$B$653,A40,'02d_AI_Accelerator_Power'!$C$2:$C$653,B40,'02d_AI_Accelerator_Power'!$D$2:$D$653,C40,'02d_AI_Accelerator_Power'!$G$2:$G$653,"gb200_reference")/I40,0.0)</f>
        <v/>
      </c>
      <c r="G40" s="6">
        <f>IF(I40&gt;0,SUMIFS('02d_AI_Accelerator_Power'!$J$2:$J$653,'02d_AI_Accelerator_Power'!$B$2:$B$653,A40,'02d_AI_Accelerator_Power'!$C$2:$C$653,B40,'02d_AI_Accelerator_Power'!$D$2:$D$653,C40,'02d_AI_Accelerator_Power'!$G$2:$G$653,"purpose_or_unbenchmarked")/I40,0.0)</f>
        <v/>
      </c>
      <c r="H40" s="6">
        <f>SUM(D40:G40)</f>
        <v/>
      </c>
      <c r="I40" s="28">
        <f>SUMIFS('02d_AI_Accelerator_Power'!$J$2:$J$653,'02d_AI_Accelerator_Power'!$B$2:$B$653,A40,'02d_AI_Accelerator_Power'!$C$2:$C$653,B40,'02d_AI_Accelerator_Power'!$D$2:$D$653,C40)</f>
        <v/>
      </c>
      <c r="J40" s="6">
        <f>IF(I40&gt;0,SUMIFS('02d_AI_Accelerator_Power'!$J$2:$J$653,'02d_AI_Accelerator_Power'!$B$2:$B$653,A40,'02d_AI_Accelerator_Power'!$C$2:$C$653,B40,'02d_AI_Accelerator_Power'!$D$2:$D$653,C40,'02d_AI_Accelerator_Power'!$F$2:$F$653,"R200/R300 future")/I40,0)</f>
        <v/>
      </c>
      <c r="K40" s="6">
        <f>IF(I40&gt;0,SUMIFS('02d_AI_Accelerator_Power'!$J$2:$J$653,'02d_AI_Accelerator_Power'!$B$2:$B$653,A40,'02d_AI_Accelerator_Power'!$C$2:$C$653,B40,'02d_AI_Accelerator_Power'!$D$2:$D$653,C40,'02d_AI_Accelerator_Power'!$F$2:$F$653,"TPU")/I40,0)</f>
        <v/>
      </c>
      <c r="L40" s="6">
        <f>IF(I40&gt;0,SUMIFS('02d_AI_Accelerator_Power'!$J$2:$J$653,'02d_AI_Accelerator_Power'!$B$2:$B$653,A40,'02d_AI_Accelerator_Power'!$C$2:$C$653,B40,'02d_AI_Accelerator_Power'!$D$2:$D$653,C40,'02d_AI_Accelerator_Power'!$F$2:$F$653,"Trainium")/I40,0)</f>
        <v/>
      </c>
      <c r="M40" s="6">
        <f>IF(I40&gt;0,SUMIFS('02d_AI_Accelerator_Power'!$J$2:$J$653,'02d_AI_Accelerator_Power'!$B$2:$B$653,A40,'02d_AI_Accelerator_Power'!$C$2:$C$653,B40,'02d_AI_Accelerator_Power'!$D$2:$D$653,C40,'02d_AI_Accelerator_Power'!$F$2:$F$653,"Maia")/I40,0)</f>
        <v/>
      </c>
      <c r="N40" s="6">
        <f>IF(I40&gt;0,SUMIFS('02d_AI_Accelerator_Power'!$J$2:$J$653,'02d_AI_Accelerator_Power'!$B$2:$B$653,A40,'02d_AI_Accelerator_Power'!$C$2:$C$653,B40,'02d_AI_Accelerator_Power'!$D$2:$D$653,C40,'02d_AI_Accelerator_Power'!$F$2:$F$653,"MTIA")/I40,0)</f>
        <v/>
      </c>
      <c r="O40" s="6">
        <f>IF(I40&gt;0,SUMIFS('02d_AI_Accelerator_Power'!$J$2:$J$653,'02d_AI_Accelerator_Power'!$B$2:$B$653,A40,'02d_AI_Accelerator_Power'!$C$2:$C$653,B40,'02d_AI_Accelerator_Power'!$D$2:$D$653,C40,'02d_AI_Accelerator_Power'!$F$2:$F$653,"Other / unknown accelerator")/I40,0)</f>
        <v/>
      </c>
      <c r="P40" s="3" t="inlineStr">
        <is>
          <t>CSP contract normalized: company inference MW * (CSP total MW * AI contract share * inference share) / company contract inference weight, then multiplied by CSP accelerator rows.</t>
        </is>
      </c>
      <c r="Q40" s="3" t="inlineStr">
        <is>
          <t>csp_contract_share_x_csp_accelerator_mix</t>
        </is>
      </c>
      <c r="R40" s="3" t="inlineStr">
        <is>
          <t>Edit 02a CSP contract allocation, 02b CSP accelerator mix, or 02x accelerator catalog; 03_Calculation reads D:G from this sheet.</t>
        </is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6">
        <f>IF(I41&gt;0,SUMIFS('02d_AI_Accelerator_Power'!$J$2:$J$653,'02d_AI_Accelerator_Power'!$B$2:$B$653,A41,'02d_AI_Accelerator_Power'!$C$2:$C$653,B41,'02d_AI_Accelerator_Power'!$D$2:$D$653,C41,'02d_AI_Accelerator_Power'!$G$2:$G$653,"h200_reference")/I41,1.0)</f>
        <v/>
      </c>
      <c r="E41" s="6">
        <f>IF(I41&gt;0,SUMIFS('02d_AI_Accelerator_Power'!$J$2:$J$653,'02d_AI_Accelerator_Power'!$B$2:$B$653,A41,'02d_AI_Accelerator_Power'!$C$2:$C$653,B41,'02d_AI_Accelerator_Power'!$D$2:$D$653,C41,'02d_AI_Accelerator_Power'!$G$2:$G$653,"b200_reference")/I41,0.0)</f>
        <v/>
      </c>
      <c r="F41" s="6">
        <f>IF(I41&gt;0,SUMIFS('02d_AI_Accelerator_Power'!$J$2:$J$653,'02d_AI_Accelerator_Power'!$B$2:$B$653,A41,'02d_AI_Accelerator_Power'!$C$2:$C$653,B41,'02d_AI_Accelerator_Power'!$D$2:$D$653,C41,'02d_AI_Accelerator_Power'!$G$2:$G$653,"gb200_reference")/I41,0.0)</f>
        <v/>
      </c>
      <c r="G41" s="6">
        <f>IF(I41&gt;0,SUMIFS('02d_AI_Accelerator_Power'!$J$2:$J$653,'02d_AI_Accelerator_Power'!$B$2:$B$653,A41,'02d_AI_Accelerator_Power'!$C$2:$C$653,B41,'02d_AI_Accelerator_Power'!$D$2:$D$653,C41,'02d_AI_Accelerator_Power'!$G$2:$G$653,"purpose_or_unbenchmarked")/I41,0.0)</f>
        <v/>
      </c>
      <c r="H41" s="6">
        <f>SUM(D41:G41)</f>
        <v/>
      </c>
      <c r="I41" s="28">
        <f>SUMIFS('02d_AI_Accelerator_Power'!$J$2:$J$653,'02d_AI_Accelerator_Power'!$B$2:$B$653,A41,'02d_AI_Accelerator_Power'!$C$2:$C$653,B41,'02d_AI_Accelerator_Power'!$D$2:$D$653,C41)</f>
        <v/>
      </c>
      <c r="J41" s="6">
        <f>IF(I41&gt;0,SUMIFS('02d_AI_Accelerator_Power'!$J$2:$J$653,'02d_AI_Accelerator_Power'!$B$2:$B$653,A41,'02d_AI_Accelerator_Power'!$C$2:$C$653,B41,'02d_AI_Accelerator_Power'!$D$2:$D$653,C41,'02d_AI_Accelerator_Power'!$F$2:$F$653,"R200/R300 future")/I41,0)</f>
        <v/>
      </c>
      <c r="K41" s="6">
        <f>IF(I41&gt;0,SUMIFS('02d_AI_Accelerator_Power'!$J$2:$J$653,'02d_AI_Accelerator_Power'!$B$2:$B$653,A41,'02d_AI_Accelerator_Power'!$C$2:$C$653,B41,'02d_AI_Accelerator_Power'!$D$2:$D$653,C41,'02d_AI_Accelerator_Power'!$F$2:$F$653,"TPU")/I41,0)</f>
        <v/>
      </c>
      <c r="L41" s="6">
        <f>IF(I41&gt;0,SUMIFS('02d_AI_Accelerator_Power'!$J$2:$J$653,'02d_AI_Accelerator_Power'!$B$2:$B$653,A41,'02d_AI_Accelerator_Power'!$C$2:$C$653,B41,'02d_AI_Accelerator_Power'!$D$2:$D$653,C41,'02d_AI_Accelerator_Power'!$F$2:$F$653,"Trainium")/I41,0)</f>
        <v/>
      </c>
      <c r="M41" s="6">
        <f>IF(I41&gt;0,SUMIFS('02d_AI_Accelerator_Power'!$J$2:$J$653,'02d_AI_Accelerator_Power'!$B$2:$B$653,A41,'02d_AI_Accelerator_Power'!$C$2:$C$653,B41,'02d_AI_Accelerator_Power'!$D$2:$D$653,C41,'02d_AI_Accelerator_Power'!$F$2:$F$653,"Maia")/I41,0)</f>
        <v/>
      </c>
      <c r="N41" s="6">
        <f>IF(I41&gt;0,SUMIFS('02d_AI_Accelerator_Power'!$J$2:$J$653,'02d_AI_Accelerator_Power'!$B$2:$B$653,A41,'02d_AI_Accelerator_Power'!$C$2:$C$653,B41,'02d_AI_Accelerator_Power'!$D$2:$D$653,C41,'02d_AI_Accelerator_Power'!$F$2:$F$653,"MTIA")/I41,0)</f>
        <v/>
      </c>
      <c r="O41" s="6">
        <f>IF(I41&gt;0,SUMIFS('02d_AI_Accelerator_Power'!$J$2:$J$653,'02d_AI_Accelerator_Power'!$B$2:$B$653,A41,'02d_AI_Accelerator_Power'!$C$2:$C$653,B41,'02d_AI_Accelerator_Power'!$D$2:$D$653,C41,'02d_AI_Accelerator_Power'!$F$2:$F$653,"Other / unknown accelerator")/I41,0)</f>
        <v/>
      </c>
      <c r="P41" s="3" t="inlineStr">
        <is>
          <t>CSP contract normalized: company inference MW * (CSP total MW * AI contract share * inference share) / company contract inference weight, then multiplied by CSP accelerator rows.</t>
        </is>
      </c>
      <c r="Q41" s="3" t="inlineStr">
        <is>
          <t>csp_contract_share_x_csp_accelerator_mix</t>
        </is>
      </c>
      <c r="R41" s="3" t="inlineStr">
        <is>
          <t>Edit 02a CSP contract allocation, 02b CSP accelerator mix, or 02x accelerator catalog; 03_Calculation reads D:G from this sheet.</t>
        </is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6">
        <f>IF(I42&gt;0,SUMIFS('02d_AI_Accelerator_Power'!$J$2:$J$653,'02d_AI_Accelerator_Power'!$B$2:$B$653,A42,'02d_AI_Accelerator_Power'!$C$2:$C$653,B42,'02d_AI_Accelerator_Power'!$D$2:$D$653,C42,'02d_AI_Accelerator_Power'!$G$2:$G$653,"h200_reference")/I42,0.55)</f>
        <v/>
      </c>
      <c r="E42" s="6">
        <f>IF(I42&gt;0,SUMIFS('02d_AI_Accelerator_Power'!$J$2:$J$653,'02d_AI_Accelerator_Power'!$B$2:$B$653,A42,'02d_AI_Accelerator_Power'!$C$2:$C$653,B42,'02d_AI_Accelerator_Power'!$D$2:$D$653,C42,'02d_AI_Accelerator_Power'!$G$2:$G$653,"b200_reference")/I42,0.4)</f>
        <v/>
      </c>
      <c r="F42" s="6">
        <f>IF(I42&gt;0,SUMIFS('02d_AI_Accelerator_Power'!$J$2:$J$653,'02d_AI_Accelerator_Power'!$B$2:$B$653,A42,'02d_AI_Accelerator_Power'!$C$2:$C$653,B42,'02d_AI_Accelerator_Power'!$D$2:$D$653,C42,'02d_AI_Accelerator_Power'!$G$2:$G$653,"gb200_reference")/I42,0.05)</f>
        <v/>
      </c>
      <c r="G42" s="6">
        <f>IF(I42&gt;0,SUMIFS('02d_AI_Accelerator_Power'!$J$2:$J$653,'02d_AI_Accelerator_Power'!$B$2:$B$653,A42,'02d_AI_Accelerator_Power'!$C$2:$C$653,B42,'02d_AI_Accelerator_Power'!$D$2:$D$653,C42,'02d_AI_Accelerator_Power'!$G$2:$G$653,"purpose_or_unbenchmarked")/I42,0.0)</f>
        <v/>
      </c>
      <c r="H42" s="6">
        <f>SUM(D42:G42)</f>
        <v/>
      </c>
      <c r="I42" s="28">
        <f>SUMIFS('02d_AI_Accelerator_Power'!$J$2:$J$653,'02d_AI_Accelerator_Power'!$B$2:$B$653,A42,'02d_AI_Accelerator_Power'!$C$2:$C$653,B42,'02d_AI_Accelerator_Power'!$D$2:$D$653,C42)</f>
        <v/>
      </c>
      <c r="J42" s="6">
        <f>IF(I42&gt;0,SUMIFS('02d_AI_Accelerator_Power'!$J$2:$J$653,'02d_AI_Accelerator_Power'!$B$2:$B$653,A42,'02d_AI_Accelerator_Power'!$C$2:$C$653,B42,'02d_AI_Accelerator_Power'!$D$2:$D$653,C42,'02d_AI_Accelerator_Power'!$F$2:$F$653,"R200/R300 future")/I42,0)</f>
        <v/>
      </c>
      <c r="K42" s="6">
        <f>IF(I42&gt;0,SUMIFS('02d_AI_Accelerator_Power'!$J$2:$J$653,'02d_AI_Accelerator_Power'!$B$2:$B$653,A42,'02d_AI_Accelerator_Power'!$C$2:$C$653,B42,'02d_AI_Accelerator_Power'!$D$2:$D$653,C42,'02d_AI_Accelerator_Power'!$F$2:$F$653,"TPU")/I42,0)</f>
        <v/>
      </c>
      <c r="L42" s="6">
        <f>IF(I42&gt;0,SUMIFS('02d_AI_Accelerator_Power'!$J$2:$J$653,'02d_AI_Accelerator_Power'!$B$2:$B$653,A42,'02d_AI_Accelerator_Power'!$C$2:$C$653,B42,'02d_AI_Accelerator_Power'!$D$2:$D$653,C42,'02d_AI_Accelerator_Power'!$F$2:$F$653,"Trainium")/I42,0)</f>
        <v/>
      </c>
      <c r="M42" s="6">
        <f>IF(I42&gt;0,SUMIFS('02d_AI_Accelerator_Power'!$J$2:$J$653,'02d_AI_Accelerator_Power'!$B$2:$B$653,A42,'02d_AI_Accelerator_Power'!$C$2:$C$653,B42,'02d_AI_Accelerator_Power'!$D$2:$D$653,C42,'02d_AI_Accelerator_Power'!$F$2:$F$653,"Maia")/I42,0)</f>
        <v/>
      </c>
      <c r="N42" s="6">
        <f>IF(I42&gt;0,SUMIFS('02d_AI_Accelerator_Power'!$J$2:$J$653,'02d_AI_Accelerator_Power'!$B$2:$B$653,A42,'02d_AI_Accelerator_Power'!$C$2:$C$653,B42,'02d_AI_Accelerator_Power'!$D$2:$D$653,C42,'02d_AI_Accelerator_Power'!$F$2:$F$653,"MTIA")/I42,0)</f>
        <v/>
      </c>
      <c r="O42" s="6">
        <f>IF(I42&gt;0,SUMIFS('02d_AI_Accelerator_Power'!$J$2:$J$653,'02d_AI_Accelerator_Power'!$B$2:$B$653,A42,'02d_AI_Accelerator_Power'!$C$2:$C$653,B42,'02d_AI_Accelerator_Power'!$D$2:$D$653,C42,'02d_AI_Accelerator_Power'!$F$2:$F$653,"Other / unknown accelerator")/I42,0)</f>
        <v/>
      </c>
      <c r="P42" s="3" t="inlineStr">
        <is>
          <t>CSP contract normalized: company inference MW * (CSP total MW * AI contract share * inference share) / company contract inference weight, then multiplied by CSP accelerator rows.</t>
        </is>
      </c>
      <c r="Q42" s="3" t="inlineStr">
        <is>
          <t>csp_contract_share_x_csp_accelerator_mix</t>
        </is>
      </c>
      <c r="R42" s="3" t="inlineStr">
        <is>
          <t>Edit 02a CSP contract allocation, 02b CSP accelerator mix, or 02x accelerator catalog; 03_Calculation reads D:G from this sheet.</t>
        </is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6">
        <f>IF(I43&gt;0,SUMIFS('02d_AI_Accelerator_Power'!$J$2:$J$653,'02d_AI_Accelerator_Power'!$B$2:$B$653,A43,'02d_AI_Accelerator_Power'!$C$2:$C$653,B43,'02d_AI_Accelerator_Power'!$D$2:$D$653,C43,'02d_AI_Accelerator_Power'!$G$2:$G$653,"h200_reference")/I43,0.438)</f>
        <v/>
      </c>
      <c r="E43" s="6">
        <f>IF(I43&gt;0,SUMIFS('02d_AI_Accelerator_Power'!$J$2:$J$653,'02d_AI_Accelerator_Power'!$B$2:$B$653,A43,'02d_AI_Accelerator_Power'!$C$2:$C$653,B43,'02d_AI_Accelerator_Power'!$D$2:$D$653,C43,'02d_AI_Accelerator_Power'!$G$2:$G$653,"b200_reference")/I43,0.388)</f>
        <v/>
      </c>
      <c r="F43" s="6">
        <f>IF(I43&gt;0,SUMIFS('02d_AI_Accelerator_Power'!$J$2:$J$653,'02d_AI_Accelerator_Power'!$B$2:$B$653,A43,'02d_AI_Accelerator_Power'!$C$2:$C$653,B43,'02d_AI_Accelerator_Power'!$D$2:$D$653,C43,'02d_AI_Accelerator_Power'!$G$2:$G$653,"gb200_reference")/I43,0.174)</f>
        <v/>
      </c>
      <c r="G43" s="6">
        <f>IF(I43&gt;0,SUMIFS('02d_AI_Accelerator_Power'!$J$2:$J$653,'02d_AI_Accelerator_Power'!$B$2:$B$653,A43,'02d_AI_Accelerator_Power'!$C$2:$C$653,B43,'02d_AI_Accelerator_Power'!$D$2:$D$653,C43,'02d_AI_Accelerator_Power'!$G$2:$G$653,"purpose_or_unbenchmarked")/I43,0.0)</f>
        <v/>
      </c>
      <c r="H43" s="6">
        <f>SUM(D43:G43)</f>
        <v/>
      </c>
      <c r="I43" s="28">
        <f>SUMIFS('02d_AI_Accelerator_Power'!$J$2:$J$653,'02d_AI_Accelerator_Power'!$B$2:$B$653,A43,'02d_AI_Accelerator_Power'!$C$2:$C$653,B43,'02d_AI_Accelerator_Power'!$D$2:$D$653,C43)</f>
        <v/>
      </c>
      <c r="J43" s="6">
        <f>IF(I43&gt;0,SUMIFS('02d_AI_Accelerator_Power'!$J$2:$J$653,'02d_AI_Accelerator_Power'!$B$2:$B$653,A43,'02d_AI_Accelerator_Power'!$C$2:$C$653,B43,'02d_AI_Accelerator_Power'!$D$2:$D$653,C43,'02d_AI_Accelerator_Power'!$F$2:$F$653,"R200/R300 future")/I43,0)</f>
        <v/>
      </c>
      <c r="K43" s="6">
        <f>IF(I43&gt;0,SUMIFS('02d_AI_Accelerator_Power'!$J$2:$J$653,'02d_AI_Accelerator_Power'!$B$2:$B$653,A43,'02d_AI_Accelerator_Power'!$C$2:$C$653,B43,'02d_AI_Accelerator_Power'!$D$2:$D$653,C43,'02d_AI_Accelerator_Power'!$F$2:$F$653,"TPU")/I43,0)</f>
        <v/>
      </c>
      <c r="L43" s="6">
        <f>IF(I43&gt;0,SUMIFS('02d_AI_Accelerator_Power'!$J$2:$J$653,'02d_AI_Accelerator_Power'!$B$2:$B$653,A43,'02d_AI_Accelerator_Power'!$C$2:$C$653,B43,'02d_AI_Accelerator_Power'!$D$2:$D$653,C43,'02d_AI_Accelerator_Power'!$F$2:$F$653,"Trainium")/I43,0)</f>
        <v/>
      </c>
      <c r="M43" s="6">
        <f>IF(I43&gt;0,SUMIFS('02d_AI_Accelerator_Power'!$J$2:$J$653,'02d_AI_Accelerator_Power'!$B$2:$B$653,A43,'02d_AI_Accelerator_Power'!$C$2:$C$653,B43,'02d_AI_Accelerator_Power'!$D$2:$D$653,C43,'02d_AI_Accelerator_Power'!$F$2:$F$653,"Maia")/I43,0)</f>
        <v/>
      </c>
      <c r="N43" s="6">
        <f>IF(I43&gt;0,SUMIFS('02d_AI_Accelerator_Power'!$J$2:$J$653,'02d_AI_Accelerator_Power'!$B$2:$B$653,A43,'02d_AI_Accelerator_Power'!$C$2:$C$653,B43,'02d_AI_Accelerator_Power'!$D$2:$D$653,C43,'02d_AI_Accelerator_Power'!$F$2:$F$653,"MTIA")/I43,0)</f>
        <v/>
      </c>
      <c r="O43" s="6">
        <f>IF(I43&gt;0,SUMIFS('02d_AI_Accelerator_Power'!$J$2:$J$653,'02d_AI_Accelerator_Power'!$B$2:$B$653,A43,'02d_AI_Accelerator_Power'!$C$2:$C$653,B43,'02d_AI_Accelerator_Power'!$D$2:$D$653,C43,'02d_AI_Accelerator_Power'!$F$2:$F$653,"Other / unknown accelerator")/I43,0)</f>
        <v/>
      </c>
      <c r="P43" s="3" t="inlineStr">
        <is>
          <t>CSP contract normalized: company inference MW * (CSP total MW * AI contract share * inference share) / company contract inference weight, then multiplied by CSP accelerator rows.</t>
        </is>
      </c>
      <c r="Q43" s="3" t="inlineStr">
        <is>
          <t>csp_contract_share_x_csp_accelerator_mix</t>
        </is>
      </c>
      <c r="R43" s="3" t="inlineStr">
        <is>
          <t>Edit 02a CSP contract allocation, 02b CSP accelerator mix, or 02x accelerator catalog; 03_Calculation reads D:G from this sheet.</t>
        </is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6">
        <f>IF(I44&gt;0,SUMIFS('02d_AI_Accelerator_Power'!$J$2:$J$653,'02d_AI_Accelerator_Power'!$B$2:$B$653,A44,'02d_AI_Accelerator_Power'!$C$2:$C$653,B44,'02d_AI_Accelerator_Power'!$D$2:$D$653,C44,'02d_AI_Accelerator_Power'!$G$2:$G$653,"h200_reference")/I44,0.325)</f>
        <v/>
      </c>
      <c r="E44" s="6">
        <f>IF(I44&gt;0,SUMIFS('02d_AI_Accelerator_Power'!$J$2:$J$653,'02d_AI_Accelerator_Power'!$B$2:$B$653,A44,'02d_AI_Accelerator_Power'!$C$2:$C$653,B44,'02d_AI_Accelerator_Power'!$D$2:$D$653,C44,'02d_AI_Accelerator_Power'!$G$2:$G$653,"b200_reference")/I44,0.375)</f>
        <v/>
      </c>
      <c r="F44" s="6">
        <f>IF(I44&gt;0,SUMIFS('02d_AI_Accelerator_Power'!$J$2:$J$653,'02d_AI_Accelerator_Power'!$B$2:$B$653,A44,'02d_AI_Accelerator_Power'!$C$2:$C$653,B44,'02d_AI_Accelerator_Power'!$D$2:$D$653,C44,'02d_AI_Accelerator_Power'!$G$2:$G$653,"gb200_reference")/I44,0.3)</f>
        <v/>
      </c>
      <c r="G44" s="6">
        <f>IF(I44&gt;0,SUMIFS('02d_AI_Accelerator_Power'!$J$2:$J$653,'02d_AI_Accelerator_Power'!$B$2:$B$653,A44,'02d_AI_Accelerator_Power'!$C$2:$C$653,B44,'02d_AI_Accelerator_Power'!$D$2:$D$653,C44,'02d_AI_Accelerator_Power'!$G$2:$G$653,"purpose_or_unbenchmarked")/I44,0.0)</f>
        <v/>
      </c>
      <c r="H44" s="6">
        <f>SUM(D44:G44)</f>
        <v/>
      </c>
      <c r="I44" s="28">
        <f>SUMIFS('02d_AI_Accelerator_Power'!$J$2:$J$653,'02d_AI_Accelerator_Power'!$B$2:$B$653,A44,'02d_AI_Accelerator_Power'!$C$2:$C$653,B44,'02d_AI_Accelerator_Power'!$D$2:$D$653,C44)</f>
        <v/>
      </c>
      <c r="J44" s="6">
        <f>IF(I44&gt;0,SUMIFS('02d_AI_Accelerator_Power'!$J$2:$J$653,'02d_AI_Accelerator_Power'!$B$2:$B$653,A44,'02d_AI_Accelerator_Power'!$C$2:$C$653,B44,'02d_AI_Accelerator_Power'!$D$2:$D$653,C44,'02d_AI_Accelerator_Power'!$F$2:$F$653,"R200/R300 future")/I44,0)</f>
        <v/>
      </c>
      <c r="K44" s="6">
        <f>IF(I44&gt;0,SUMIFS('02d_AI_Accelerator_Power'!$J$2:$J$653,'02d_AI_Accelerator_Power'!$B$2:$B$653,A44,'02d_AI_Accelerator_Power'!$C$2:$C$653,B44,'02d_AI_Accelerator_Power'!$D$2:$D$653,C44,'02d_AI_Accelerator_Power'!$F$2:$F$653,"TPU")/I44,0)</f>
        <v/>
      </c>
      <c r="L44" s="6">
        <f>IF(I44&gt;0,SUMIFS('02d_AI_Accelerator_Power'!$J$2:$J$653,'02d_AI_Accelerator_Power'!$B$2:$B$653,A44,'02d_AI_Accelerator_Power'!$C$2:$C$653,B44,'02d_AI_Accelerator_Power'!$D$2:$D$653,C44,'02d_AI_Accelerator_Power'!$F$2:$F$653,"Trainium")/I44,0)</f>
        <v/>
      </c>
      <c r="M44" s="6">
        <f>IF(I44&gt;0,SUMIFS('02d_AI_Accelerator_Power'!$J$2:$J$653,'02d_AI_Accelerator_Power'!$B$2:$B$653,A44,'02d_AI_Accelerator_Power'!$C$2:$C$653,B44,'02d_AI_Accelerator_Power'!$D$2:$D$653,C44,'02d_AI_Accelerator_Power'!$F$2:$F$653,"Maia")/I44,0)</f>
        <v/>
      </c>
      <c r="N44" s="6">
        <f>IF(I44&gt;0,SUMIFS('02d_AI_Accelerator_Power'!$J$2:$J$653,'02d_AI_Accelerator_Power'!$B$2:$B$653,A44,'02d_AI_Accelerator_Power'!$C$2:$C$653,B44,'02d_AI_Accelerator_Power'!$D$2:$D$653,C44,'02d_AI_Accelerator_Power'!$F$2:$F$653,"MTIA")/I44,0)</f>
        <v/>
      </c>
      <c r="O44" s="6">
        <f>IF(I44&gt;0,SUMIFS('02d_AI_Accelerator_Power'!$J$2:$J$653,'02d_AI_Accelerator_Power'!$B$2:$B$653,A44,'02d_AI_Accelerator_Power'!$C$2:$C$653,B44,'02d_AI_Accelerator_Power'!$D$2:$D$653,C44,'02d_AI_Accelerator_Power'!$F$2:$F$653,"Other / unknown accelerator")/I44,0)</f>
        <v/>
      </c>
      <c r="P44" s="3" t="inlineStr">
        <is>
          <t>CSP contract normalized: company inference MW * (CSP total MW * AI contract share * inference share) / company contract inference weight, then multiplied by CSP accelerator rows.</t>
        </is>
      </c>
      <c r="Q44" s="3" t="inlineStr">
        <is>
          <t>csp_contract_share_x_csp_accelerator_mix</t>
        </is>
      </c>
      <c r="R44" s="3" t="inlineStr">
        <is>
          <t>Edit 02a CSP contract allocation, 02b CSP accelerator mix, or 02x accelerator catalog; 03_Calculation reads D:G from this sheet.</t>
        </is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6">
        <f>IF(I45&gt;0,SUMIFS('02d_AI_Accelerator_Power'!$J$2:$J$653,'02d_AI_Accelerator_Power'!$B$2:$B$653,A45,'02d_AI_Accelerator_Power'!$C$2:$C$653,B45,'02d_AI_Accelerator_Power'!$D$2:$D$653,C45,'02d_AI_Accelerator_Power'!$G$2:$G$653,"h200_reference")/I45,0.213)</f>
        <v/>
      </c>
      <c r="E45" s="6">
        <f>IF(I45&gt;0,SUMIFS('02d_AI_Accelerator_Power'!$J$2:$J$653,'02d_AI_Accelerator_Power'!$B$2:$B$653,A45,'02d_AI_Accelerator_Power'!$C$2:$C$653,B45,'02d_AI_Accelerator_Power'!$D$2:$D$653,C45,'02d_AI_Accelerator_Power'!$G$2:$G$653,"b200_reference")/I45,0.362)</f>
        <v/>
      </c>
      <c r="F45" s="6">
        <f>IF(I45&gt;0,SUMIFS('02d_AI_Accelerator_Power'!$J$2:$J$653,'02d_AI_Accelerator_Power'!$B$2:$B$653,A45,'02d_AI_Accelerator_Power'!$C$2:$C$653,B45,'02d_AI_Accelerator_Power'!$D$2:$D$653,C45,'02d_AI_Accelerator_Power'!$G$2:$G$653,"gb200_reference")/I45,0.425)</f>
        <v/>
      </c>
      <c r="G45" s="6">
        <f>IF(I45&gt;0,SUMIFS('02d_AI_Accelerator_Power'!$J$2:$J$653,'02d_AI_Accelerator_Power'!$B$2:$B$653,A45,'02d_AI_Accelerator_Power'!$C$2:$C$653,B45,'02d_AI_Accelerator_Power'!$D$2:$D$653,C45,'02d_AI_Accelerator_Power'!$G$2:$G$653,"purpose_or_unbenchmarked")/I45,0.0)</f>
        <v/>
      </c>
      <c r="H45" s="6">
        <f>SUM(D45:G45)</f>
        <v/>
      </c>
      <c r="I45" s="28">
        <f>SUMIFS('02d_AI_Accelerator_Power'!$J$2:$J$653,'02d_AI_Accelerator_Power'!$B$2:$B$653,A45,'02d_AI_Accelerator_Power'!$C$2:$C$653,B45,'02d_AI_Accelerator_Power'!$D$2:$D$653,C45)</f>
        <v/>
      </c>
      <c r="J45" s="6">
        <f>IF(I45&gt;0,SUMIFS('02d_AI_Accelerator_Power'!$J$2:$J$653,'02d_AI_Accelerator_Power'!$B$2:$B$653,A45,'02d_AI_Accelerator_Power'!$C$2:$C$653,B45,'02d_AI_Accelerator_Power'!$D$2:$D$653,C45,'02d_AI_Accelerator_Power'!$F$2:$F$653,"R200/R300 future")/I45,0)</f>
        <v/>
      </c>
      <c r="K45" s="6">
        <f>IF(I45&gt;0,SUMIFS('02d_AI_Accelerator_Power'!$J$2:$J$653,'02d_AI_Accelerator_Power'!$B$2:$B$653,A45,'02d_AI_Accelerator_Power'!$C$2:$C$653,B45,'02d_AI_Accelerator_Power'!$D$2:$D$653,C45,'02d_AI_Accelerator_Power'!$F$2:$F$653,"TPU")/I45,0)</f>
        <v/>
      </c>
      <c r="L45" s="6">
        <f>IF(I45&gt;0,SUMIFS('02d_AI_Accelerator_Power'!$J$2:$J$653,'02d_AI_Accelerator_Power'!$B$2:$B$653,A45,'02d_AI_Accelerator_Power'!$C$2:$C$653,B45,'02d_AI_Accelerator_Power'!$D$2:$D$653,C45,'02d_AI_Accelerator_Power'!$F$2:$F$653,"Trainium")/I45,0)</f>
        <v/>
      </c>
      <c r="M45" s="6">
        <f>IF(I45&gt;0,SUMIFS('02d_AI_Accelerator_Power'!$J$2:$J$653,'02d_AI_Accelerator_Power'!$B$2:$B$653,A45,'02d_AI_Accelerator_Power'!$C$2:$C$653,B45,'02d_AI_Accelerator_Power'!$D$2:$D$653,C45,'02d_AI_Accelerator_Power'!$F$2:$F$653,"Maia")/I45,0)</f>
        <v/>
      </c>
      <c r="N45" s="6">
        <f>IF(I45&gt;0,SUMIFS('02d_AI_Accelerator_Power'!$J$2:$J$653,'02d_AI_Accelerator_Power'!$B$2:$B$653,A45,'02d_AI_Accelerator_Power'!$C$2:$C$653,B45,'02d_AI_Accelerator_Power'!$D$2:$D$653,C45,'02d_AI_Accelerator_Power'!$F$2:$F$653,"MTIA")/I45,0)</f>
        <v/>
      </c>
      <c r="O45" s="6">
        <f>IF(I45&gt;0,SUMIFS('02d_AI_Accelerator_Power'!$J$2:$J$653,'02d_AI_Accelerator_Power'!$B$2:$B$653,A45,'02d_AI_Accelerator_Power'!$C$2:$C$653,B45,'02d_AI_Accelerator_Power'!$D$2:$D$653,C45,'02d_AI_Accelerator_Power'!$F$2:$F$653,"Other / unknown accelerator")/I45,0)</f>
        <v/>
      </c>
      <c r="P45" s="3" t="inlineStr">
        <is>
          <t>CSP contract normalized: company inference MW * (CSP total MW * AI contract share * inference share) / company contract inference weight, then multiplied by CSP accelerator rows.</t>
        </is>
      </c>
      <c r="Q45" s="3" t="inlineStr">
        <is>
          <t>csp_contract_share_x_csp_accelerator_mix</t>
        </is>
      </c>
      <c r="R45" s="3" t="inlineStr">
        <is>
          <t>Edit 02a CSP contract allocation, 02b CSP accelerator mix, or 02x accelerator catalog; 03_Calculation reads D:G from this sheet.</t>
        </is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6">
        <f>IF(I46&gt;0,SUMIFS('02d_AI_Accelerator_Power'!$J$2:$J$653,'02d_AI_Accelerator_Power'!$B$2:$B$653,A46,'02d_AI_Accelerator_Power'!$C$2:$C$653,B46,'02d_AI_Accelerator_Power'!$D$2:$D$653,C46,'02d_AI_Accelerator_Power'!$G$2:$G$653,"h200_reference")/I46,0.1)</f>
        <v/>
      </c>
      <c r="E46" s="6">
        <f>IF(I46&gt;0,SUMIFS('02d_AI_Accelerator_Power'!$J$2:$J$653,'02d_AI_Accelerator_Power'!$B$2:$B$653,A46,'02d_AI_Accelerator_Power'!$C$2:$C$653,B46,'02d_AI_Accelerator_Power'!$D$2:$D$653,C46,'02d_AI_Accelerator_Power'!$G$2:$G$653,"b200_reference")/I46,0.35)</f>
        <v/>
      </c>
      <c r="F46" s="6">
        <f>IF(I46&gt;0,SUMIFS('02d_AI_Accelerator_Power'!$J$2:$J$653,'02d_AI_Accelerator_Power'!$B$2:$B$653,A46,'02d_AI_Accelerator_Power'!$C$2:$C$653,B46,'02d_AI_Accelerator_Power'!$D$2:$D$653,C46,'02d_AI_Accelerator_Power'!$G$2:$G$653,"gb200_reference")/I46,0.55)</f>
        <v/>
      </c>
      <c r="G46" s="6">
        <f>IF(I46&gt;0,SUMIFS('02d_AI_Accelerator_Power'!$J$2:$J$653,'02d_AI_Accelerator_Power'!$B$2:$B$653,A46,'02d_AI_Accelerator_Power'!$C$2:$C$653,B46,'02d_AI_Accelerator_Power'!$D$2:$D$653,C46,'02d_AI_Accelerator_Power'!$G$2:$G$653,"purpose_or_unbenchmarked")/I46,0.0)</f>
        <v/>
      </c>
      <c r="H46" s="6">
        <f>SUM(D46:G46)</f>
        <v/>
      </c>
      <c r="I46" s="28">
        <f>SUMIFS('02d_AI_Accelerator_Power'!$J$2:$J$653,'02d_AI_Accelerator_Power'!$B$2:$B$653,A46,'02d_AI_Accelerator_Power'!$C$2:$C$653,B46,'02d_AI_Accelerator_Power'!$D$2:$D$653,C46)</f>
        <v/>
      </c>
      <c r="J46" s="6">
        <f>IF(I46&gt;0,SUMIFS('02d_AI_Accelerator_Power'!$J$2:$J$653,'02d_AI_Accelerator_Power'!$B$2:$B$653,A46,'02d_AI_Accelerator_Power'!$C$2:$C$653,B46,'02d_AI_Accelerator_Power'!$D$2:$D$653,C46,'02d_AI_Accelerator_Power'!$F$2:$F$653,"R200/R300 future")/I46,0)</f>
        <v/>
      </c>
      <c r="K46" s="6">
        <f>IF(I46&gt;0,SUMIFS('02d_AI_Accelerator_Power'!$J$2:$J$653,'02d_AI_Accelerator_Power'!$B$2:$B$653,A46,'02d_AI_Accelerator_Power'!$C$2:$C$653,B46,'02d_AI_Accelerator_Power'!$D$2:$D$653,C46,'02d_AI_Accelerator_Power'!$F$2:$F$653,"TPU")/I46,0)</f>
        <v/>
      </c>
      <c r="L46" s="6">
        <f>IF(I46&gt;0,SUMIFS('02d_AI_Accelerator_Power'!$J$2:$J$653,'02d_AI_Accelerator_Power'!$B$2:$B$653,A46,'02d_AI_Accelerator_Power'!$C$2:$C$653,B46,'02d_AI_Accelerator_Power'!$D$2:$D$653,C46,'02d_AI_Accelerator_Power'!$F$2:$F$653,"Trainium")/I46,0)</f>
        <v/>
      </c>
      <c r="M46" s="6">
        <f>IF(I46&gt;0,SUMIFS('02d_AI_Accelerator_Power'!$J$2:$J$653,'02d_AI_Accelerator_Power'!$B$2:$B$653,A46,'02d_AI_Accelerator_Power'!$C$2:$C$653,B46,'02d_AI_Accelerator_Power'!$D$2:$D$653,C46,'02d_AI_Accelerator_Power'!$F$2:$F$653,"Maia")/I46,0)</f>
        <v/>
      </c>
      <c r="N46" s="6">
        <f>IF(I46&gt;0,SUMIFS('02d_AI_Accelerator_Power'!$J$2:$J$653,'02d_AI_Accelerator_Power'!$B$2:$B$653,A46,'02d_AI_Accelerator_Power'!$C$2:$C$653,B46,'02d_AI_Accelerator_Power'!$D$2:$D$653,C46,'02d_AI_Accelerator_Power'!$F$2:$F$653,"MTIA")/I46,0)</f>
        <v/>
      </c>
      <c r="O46" s="6">
        <f>IF(I46&gt;0,SUMIFS('02d_AI_Accelerator_Power'!$J$2:$J$653,'02d_AI_Accelerator_Power'!$B$2:$B$653,A46,'02d_AI_Accelerator_Power'!$C$2:$C$653,B46,'02d_AI_Accelerator_Power'!$D$2:$D$653,C46,'02d_AI_Accelerator_Power'!$F$2:$F$653,"Other / unknown accelerator")/I46,0)</f>
        <v/>
      </c>
      <c r="P46" s="3" t="inlineStr">
        <is>
          <t>CSP contract normalized: company inference MW * (CSP total MW * AI contract share * inference share) / company contract inference weight, then multiplied by CSP accelerator rows.</t>
        </is>
      </c>
      <c r="Q46" s="3" t="inlineStr">
        <is>
          <t>csp_contract_share_x_csp_accelerator_mix</t>
        </is>
      </c>
      <c r="R46" s="3" t="inlineStr">
        <is>
          <t>Edit 02a CSP contract allocation, 02b CSP accelerator mix, or 02x accelerator catalog; 03_Calculation reads D:G from this sheet.</t>
        </is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6">
        <f>IF(I47&gt;0,SUMIFS('02d_AI_Accelerator_Power'!$J$2:$J$653,'02d_AI_Accelerator_Power'!$B$2:$B$653,A47,'02d_AI_Accelerator_Power'!$C$2:$C$653,B47,'02d_AI_Accelerator_Power'!$D$2:$D$653,C47,'02d_AI_Accelerator_Power'!$G$2:$G$653,"h200_reference")/I47,0.173278)</f>
        <v/>
      </c>
      <c r="E47" s="6">
        <f>IF(I47&gt;0,SUMIFS('02d_AI_Accelerator_Power'!$J$2:$J$653,'02d_AI_Accelerator_Power'!$B$2:$B$653,A47,'02d_AI_Accelerator_Power'!$C$2:$C$653,B47,'02d_AI_Accelerator_Power'!$D$2:$D$653,C47,'02d_AI_Accelerator_Power'!$G$2:$G$653,"b200_reference")/I47,0.826722)</f>
        <v/>
      </c>
      <c r="F47" s="6">
        <f>IF(I47&gt;0,SUMIFS('02d_AI_Accelerator_Power'!$J$2:$J$653,'02d_AI_Accelerator_Power'!$B$2:$B$653,A47,'02d_AI_Accelerator_Power'!$C$2:$C$653,B47,'02d_AI_Accelerator_Power'!$D$2:$D$653,C47,'02d_AI_Accelerator_Power'!$G$2:$G$653,"gb200_reference")/I47,0.0)</f>
        <v/>
      </c>
      <c r="G47" s="6">
        <f>IF(I47&gt;0,SUMIFS('02d_AI_Accelerator_Power'!$J$2:$J$653,'02d_AI_Accelerator_Power'!$B$2:$B$653,A47,'02d_AI_Accelerator_Power'!$C$2:$C$653,B47,'02d_AI_Accelerator_Power'!$D$2:$D$653,C47,'02d_AI_Accelerator_Power'!$G$2:$G$653,"purpose_or_unbenchmarked")/I47,0.0)</f>
        <v/>
      </c>
      <c r="H47" s="6">
        <f>SUM(D47:G47)</f>
        <v/>
      </c>
      <c r="I47" s="28">
        <f>SUMIFS('02d_AI_Accelerator_Power'!$J$2:$J$653,'02d_AI_Accelerator_Power'!$B$2:$B$653,A47,'02d_AI_Accelerator_Power'!$C$2:$C$653,B47,'02d_AI_Accelerator_Power'!$D$2:$D$653,C47)</f>
        <v/>
      </c>
      <c r="J47" s="6">
        <f>IF(I47&gt;0,SUMIFS('02d_AI_Accelerator_Power'!$J$2:$J$653,'02d_AI_Accelerator_Power'!$B$2:$B$653,A47,'02d_AI_Accelerator_Power'!$C$2:$C$653,B47,'02d_AI_Accelerator_Power'!$D$2:$D$653,C47,'02d_AI_Accelerator_Power'!$F$2:$F$653,"R200/R300 future")/I47,0)</f>
        <v/>
      </c>
      <c r="K47" s="6">
        <f>IF(I47&gt;0,SUMIFS('02d_AI_Accelerator_Power'!$J$2:$J$653,'02d_AI_Accelerator_Power'!$B$2:$B$653,A47,'02d_AI_Accelerator_Power'!$C$2:$C$653,B47,'02d_AI_Accelerator_Power'!$D$2:$D$653,C47,'02d_AI_Accelerator_Power'!$F$2:$F$653,"TPU")/I47,0)</f>
        <v/>
      </c>
      <c r="L47" s="6">
        <f>IF(I47&gt;0,SUMIFS('02d_AI_Accelerator_Power'!$J$2:$J$653,'02d_AI_Accelerator_Power'!$B$2:$B$653,A47,'02d_AI_Accelerator_Power'!$C$2:$C$653,B47,'02d_AI_Accelerator_Power'!$D$2:$D$653,C47,'02d_AI_Accelerator_Power'!$F$2:$F$653,"Trainium")/I47,0)</f>
        <v/>
      </c>
      <c r="M47" s="6">
        <f>IF(I47&gt;0,SUMIFS('02d_AI_Accelerator_Power'!$J$2:$J$653,'02d_AI_Accelerator_Power'!$B$2:$B$653,A47,'02d_AI_Accelerator_Power'!$C$2:$C$653,B47,'02d_AI_Accelerator_Power'!$D$2:$D$653,C47,'02d_AI_Accelerator_Power'!$F$2:$F$653,"Maia")/I47,0)</f>
        <v/>
      </c>
      <c r="N47" s="6">
        <f>IF(I47&gt;0,SUMIFS('02d_AI_Accelerator_Power'!$J$2:$J$653,'02d_AI_Accelerator_Power'!$B$2:$B$653,A47,'02d_AI_Accelerator_Power'!$C$2:$C$653,B47,'02d_AI_Accelerator_Power'!$D$2:$D$653,C47,'02d_AI_Accelerator_Power'!$F$2:$F$653,"MTIA")/I47,0)</f>
        <v/>
      </c>
      <c r="O47" s="6">
        <f>IF(I47&gt;0,SUMIFS('02d_AI_Accelerator_Power'!$J$2:$J$653,'02d_AI_Accelerator_Power'!$B$2:$B$653,A47,'02d_AI_Accelerator_Power'!$C$2:$C$653,B47,'02d_AI_Accelerator_Power'!$D$2:$D$653,C47,'02d_AI_Accelerator_Power'!$F$2:$F$653,"Other / unknown accelerator")/I47,0)</f>
        <v/>
      </c>
      <c r="P47" s="3" t="inlineStr">
        <is>
          <t>CSP contract normalized: company inference MW * (CSP total MW * AI contract share * inference share) / company contract inference weight, then multiplied by CSP accelerator rows.</t>
        </is>
      </c>
      <c r="Q47" s="3" t="inlineStr">
        <is>
          <t>csp_contract_share_x_csp_accelerator_mix</t>
        </is>
      </c>
      <c r="R47" s="3" t="inlineStr">
        <is>
          <t>Edit 02a CSP contract allocation, 02b CSP accelerator mix, or 02x accelerator catalog; 03_Calculation reads D:G from this sheet.</t>
        </is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6">
        <f>IF(I48&gt;0,SUMIFS('02d_AI_Accelerator_Power'!$J$2:$J$653,'02d_AI_Accelerator_Power'!$B$2:$B$653,A48,'02d_AI_Accelerator_Power'!$C$2:$C$653,B48,'02d_AI_Accelerator_Power'!$D$2:$D$653,C48,'02d_AI_Accelerator_Power'!$G$2:$G$653,"h200_reference")/I48,0.124979)</f>
        <v/>
      </c>
      <c r="E48" s="6">
        <f>IF(I48&gt;0,SUMIFS('02d_AI_Accelerator_Power'!$J$2:$J$653,'02d_AI_Accelerator_Power'!$B$2:$B$653,A48,'02d_AI_Accelerator_Power'!$C$2:$C$653,B48,'02d_AI_Accelerator_Power'!$D$2:$D$653,C48,'02d_AI_Accelerator_Power'!$G$2:$G$653,"b200_reference")/I48,0.875021)</f>
        <v/>
      </c>
      <c r="F48" s="6">
        <f>IF(I48&gt;0,SUMIFS('02d_AI_Accelerator_Power'!$J$2:$J$653,'02d_AI_Accelerator_Power'!$B$2:$B$653,A48,'02d_AI_Accelerator_Power'!$C$2:$C$653,B48,'02d_AI_Accelerator_Power'!$D$2:$D$653,C48,'02d_AI_Accelerator_Power'!$G$2:$G$653,"gb200_reference")/I48,0.0)</f>
        <v/>
      </c>
      <c r="G48" s="6">
        <f>IF(I48&gt;0,SUMIFS('02d_AI_Accelerator_Power'!$J$2:$J$653,'02d_AI_Accelerator_Power'!$B$2:$B$653,A48,'02d_AI_Accelerator_Power'!$C$2:$C$653,B48,'02d_AI_Accelerator_Power'!$D$2:$D$653,C48,'02d_AI_Accelerator_Power'!$G$2:$G$653,"purpose_or_unbenchmarked")/I48,0.0)</f>
        <v/>
      </c>
      <c r="H48" s="6">
        <f>SUM(D48:G48)</f>
        <v/>
      </c>
      <c r="I48" s="28">
        <f>SUMIFS('02d_AI_Accelerator_Power'!$J$2:$J$653,'02d_AI_Accelerator_Power'!$B$2:$B$653,A48,'02d_AI_Accelerator_Power'!$C$2:$C$653,B48,'02d_AI_Accelerator_Power'!$D$2:$D$653,C48)</f>
        <v/>
      </c>
      <c r="J48" s="6">
        <f>IF(I48&gt;0,SUMIFS('02d_AI_Accelerator_Power'!$J$2:$J$653,'02d_AI_Accelerator_Power'!$B$2:$B$653,A48,'02d_AI_Accelerator_Power'!$C$2:$C$653,B48,'02d_AI_Accelerator_Power'!$D$2:$D$653,C48,'02d_AI_Accelerator_Power'!$F$2:$F$653,"R200/R300 future")/I48,0)</f>
        <v/>
      </c>
      <c r="K48" s="6">
        <f>IF(I48&gt;0,SUMIFS('02d_AI_Accelerator_Power'!$J$2:$J$653,'02d_AI_Accelerator_Power'!$B$2:$B$653,A48,'02d_AI_Accelerator_Power'!$C$2:$C$653,B48,'02d_AI_Accelerator_Power'!$D$2:$D$653,C48,'02d_AI_Accelerator_Power'!$F$2:$F$653,"TPU")/I48,0)</f>
        <v/>
      </c>
      <c r="L48" s="6">
        <f>IF(I48&gt;0,SUMIFS('02d_AI_Accelerator_Power'!$J$2:$J$653,'02d_AI_Accelerator_Power'!$B$2:$B$653,A48,'02d_AI_Accelerator_Power'!$C$2:$C$653,B48,'02d_AI_Accelerator_Power'!$D$2:$D$653,C48,'02d_AI_Accelerator_Power'!$F$2:$F$653,"Trainium")/I48,0)</f>
        <v/>
      </c>
      <c r="M48" s="6">
        <f>IF(I48&gt;0,SUMIFS('02d_AI_Accelerator_Power'!$J$2:$J$653,'02d_AI_Accelerator_Power'!$B$2:$B$653,A48,'02d_AI_Accelerator_Power'!$C$2:$C$653,B48,'02d_AI_Accelerator_Power'!$D$2:$D$653,C48,'02d_AI_Accelerator_Power'!$F$2:$F$653,"Maia")/I48,0)</f>
        <v/>
      </c>
      <c r="N48" s="6">
        <f>IF(I48&gt;0,SUMIFS('02d_AI_Accelerator_Power'!$J$2:$J$653,'02d_AI_Accelerator_Power'!$B$2:$B$653,A48,'02d_AI_Accelerator_Power'!$C$2:$C$653,B48,'02d_AI_Accelerator_Power'!$D$2:$D$653,C48,'02d_AI_Accelerator_Power'!$F$2:$F$653,"MTIA")/I48,0)</f>
        <v/>
      </c>
      <c r="O48" s="6">
        <f>IF(I48&gt;0,SUMIFS('02d_AI_Accelerator_Power'!$J$2:$J$653,'02d_AI_Accelerator_Power'!$B$2:$B$653,A48,'02d_AI_Accelerator_Power'!$C$2:$C$653,B48,'02d_AI_Accelerator_Power'!$D$2:$D$653,C48,'02d_AI_Accelerator_Power'!$F$2:$F$653,"Other / unknown accelerator")/I48,0)</f>
        <v/>
      </c>
      <c r="P48" s="3" t="inlineStr">
        <is>
          <t>CSP contract normalized: company inference MW * (CSP total MW * AI contract share * inference share) / company contract inference weight, then multiplied by CSP accelerator rows.</t>
        </is>
      </c>
      <c r="Q48" s="3" t="inlineStr">
        <is>
          <t>csp_contract_share_x_csp_accelerator_mix</t>
        </is>
      </c>
      <c r="R48" s="3" t="inlineStr">
        <is>
          <t>Edit 02a CSP contract allocation, 02b CSP accelerator mix, or 02x accelerator catalog; 03_Calculation reads D:G from this sheet.</t>
        </is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6">
        <f>IF(I49&gt;0,SUMIFS('02d_AI_Accelerator_Power'!$J$2:$J$653,'02d_AI_Accelerator_Power'!$B$2:$B$653,A49,'02d_AI_Accelerator_Power'!$C$2:$C$653,B49,'02d_AI_Accelerator_Power'!$D$2:$D$653,C49,'02d_AI_Accelerator_Power'!$G$2:$G$653,"h200_reference")/I49,0.052258)</f>
        <v/>
      </c>
      <c r="E49" s="6">
        <f>IF(I49&gt;0,SUMIFS('02d_AI_Accelerator_Power'!$J$2:$J$653,'02d_AI_Accelerator_Power'!$B$2:$B$653,A49,'02d_AI_Accelerator_Power'!$C$2:$C$653,B49,'02d_AI_Accelerator_Power'!$D$2:$D$653,C49,'02d_AI_Accelerator_Power'!$G$2:$G$653,"b200_reference")/I49,0.947742)</f>
        <v/>
      </c>
      <c r="F49" s="6">
        <f>IF(I49&gt;0,SUMIFS('02d_AI_Accelerator_Power'!$J$2:$J$653,'02d_AI_Accelerator_Power'!$B$2:$B$653,A49,'02d_AI_Accelerator_Power'!$C$2:$C$653,B49,'02d_AI_Accelerator_Power'!$D$2:$D$653,C49,'02d_AI_Accelerator_Power'!$G$2:$G$653,"gb200_reference")/I49,0.0)</f>
        <v/>
      </c>
      <c r="G49" s="6">
        <f>IF(I49&gt;0,SUMIFS('02d_AI_Accelerator_Power'!$J$2:$J$653,'02d_AI_Accelerator_Power'!$B$2:$B$653,A49,'02d_AI_Accelerator_Power'!$C$2:$C$653,B49,'02d_AI_Accelerator_Power'!$D$2:$D$653,C49,'02d_AI_Accelerator_Power'!$G$2:$G$653,"purpose_or_unbenchmarked")/I49,0.0)</f>
        <v/>
      </c>
      <c r="H49" s="6">
        <f>SUM(D49:G49)</f>
        <v/>
      </c>
      <c r="I49" s="28">
        <f>SUMIFS('02d_AI_Accelerator_Power'!$J$2:$J$653,'02d_AI_Accelerator_Power'!$B$2:$B$653,A49,'02d_AI_Accelerator_Power'!$C$2:$C$653,B49,'02d_AI_Accelerator_Power'!$D$2:$D$653,C49)</f>
        <v/>
      </c>
      <c r="J49" s="6">
        <f>IF(I49&gt;0,SUMIFS('02d_AI_Accelerator_Power'!$J$2:$J$653,'02d_AI_Accelerator_Power'!$B$2:$B$653,A49,'02d_AI_Accelerator_Power'!$C$2:$C$653,B49,'02d_AI_Accelerator_Power'!$D$2:$D$653,C49,'02d_AI_Accelerator_Power'!$F$2:$F$653,"R200/R300 future")/I49,0)</f>
        <v/>
      </c>
      <c r="K49" s="6">
        <f>IF(I49&gt;0,SUMIFS('02d_AI_Accelerator_Power'!$J$2:$J$653,'02d_AI_Accelerator_Power'!$B$2:$B$653,A49,'02d_AI_Accelerator_Power'!$C$2:$C$653,B49,'02d_AI_Accelerator_Power'!$D$2:$D$653,C49,'02d_AI_Accelerator_Power'!$F$2:$F$653,"TPU")/I49,0)</f>
        <v/>
      </c>
      <c r="L49" s="6">
        <f>IF(I49&gt;0,SUMIFS('02d_AI_Accelerator_Power'!$J$2:$J$653,'02d_AI_Accelerator_Power'!$B$2:$B$653,A49,'02d_AI_Accelerator_Power'!$C$2:$C$653,B49,'02d_AI_Accelerator_Power'!$D$2:$D$653,C49,'02d_AI_Accelerator_Power'!$F$2:$F$653,"Trainium")/I49,0)</f>
        <v/>
      </c>
      <c r="M49" s="6">
        <f>IF(I49&gt;0,SUMIFS('02d_AI_Accelerator_Power'!$J$2:$J$653,'02d_AI_Accelerator_Power'!$B$2:$B$653,A49,'02d_AI_Accelerator_Power'!$C$2:$C$653,B49,'02d_AI_Accelerator_Power'!$D$2:$D$653,C49,'02d_AI_Accelerator_Power'!$F$2:$F$653,"Maia")/I49,0)</f>
        <v/>
      </c>
      <c r="N49" s="6">
        <f>IF(I49&gt;0,SUMIFS('02d_AI_Accelerator_Power'!$J$2:$J$653,'02d_AI_Accelerator_Power'!$B$2:$B$653,A49,'02d_AI_Accelerator_Power'!$C$2:$C$653,B49,'02d_AI_Accelerator_Power'!$D$2:$D$653,C49,'02d_AI_Accelerator_Power'!$F$2:$F$653,"MTIA")/I49,0)</f>
        <v/>
      </c>
      <c r="O49" s="6">
        <f>IF(I49&gt;0,SUMIFS('02d_AI_Accelerator_Power'!$J$2:$J$653,'02d_AI_Accelerator_Power'!$B$2:$B$653,A49,'02d_AI_Accelerator_Power'!$C$2:$C$653,B49,'02d_AI_Accelerator_Power'!$D$2:$D$653,C49,'02d_AI_Accelerator_Power'!$F$2:$F$653,"Other / unknown accelerator")/I49,0)</f>
        <v/>
      </c>
      <c r="P49" s="3" t="inlineStr">
        <is>
          <t>CSP contract normalized: company inference MW * (CSP total MW * AI contract share * inference share) / company contract inference weight, then multiplied by CSP accelerator rows.</t>
        </is>
      </c>
      <c r="Q49" s="3" t="inlineStr">
        <is>
          <t>csp_contract_share_x_csp_accelerator_mix</t>
        </is>
      </c>
      <c r="R49" s="3" t="inlineStr">
        <is>
          <t>Edit 02a CSP contract allocation, 02b CSP accelerator mix, or 02x accelerator catalog; 03_Calculation reads D:G from this sheet.</t>
        </is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6">
        <f>IF(I50&gt;0,SUMIFS('02d_AI_Accelerator_Power'!$J$2:$J$653,'02d_AI_Accelerator_Power'!$B$2:$B$653,A50,'02d_AI_Accelerator_Power'!$C$2:$C$653,B50,'02d_AI_Accelerator_Power'!$D$2:$D$653,C50,'02d_AI_Accelerator_Power'!$G$2:$G$653,"h200_reference")/I50,0.052258)</f>
        <v/>
      </c>
      <c r="E50" s="6">
        <f>IF(I50&gt;0,SUMIFS('02d_AI_Accelerator_Power'!$J$2:$J$653,'02d_AI_Accelerator_Power'!$B$2:$B$653,A50,'02d_AI_Accelerator_Power'!$C$2:$C$653,B50,'02d_AI_Accelerator_Power'!$D$2:$D$653,C50,'02d_AI_Accelerator_Power'!$G$2:$G$653,"b200_reference")/I50,0.947742)</f>
        <v/>
      </c>
      <c r="F50" s="6">
        <f>IF(I50&gt;0,SUMIFS('02d_AI_Accelerator_Power'!$J$2:$J$653,'02d_AI_Accelerator_Power'!$B$2:$B$653,A50,'02d_AI_Accelerator_Power'!$C$2:$C$653,B50,'02d_AI_Accelerator_Power'!$D$2:$D$653,C50,'02d_AI_Accelerator_Power'!$G$2:$G$653,"gb200_reference")/I50,0.0)</f>
        <v/>
      </c>
      <c r="G50" s="6">
        <f>IF(I50&gt;0,SUMIFS('02d_AI_Accelerator_Power'!$J$2:$J$653,'02d_AI_Accelerator_Power'!$B$2:$B$653,A50,'02d_AI_Accelerator_Power'!$C$2:$C$653,B50,'02d_AI_Accelerator_Power'!$D$2:$D$653,C50,'02d_AI_Accelerator_Power'!$G$2:$G$653,"purpose_or_unbenchmarked")/I50,0.0)</f>
        <v/>
      </c>
      <c r="H50" s="6">
        <f>SUM(D50:G50)</f>
        <v/>
      </c>
      <c r="I50" s="28">
        <f>SUMIFS('02d_AI_Accelerator_Power'!$J$2:$J$653,'02d_AI_Accelerator_Power'!$B$2:$B$653,A50,'02d_AI_Accelerator_Power'!$C$2:$C$653,B50,'02d_AI_Accelerator_Power'!$D$2:$D$653,C50)</f>
        <v/>
      </c>
      <c r="J50" s="6">
        <f>IF(I50&gt;0,SUMIFS('02d_AI_Accelerator_Power'!$J$2:$J$653,'02d_AI_Accelerator_Power'!$B$2:$B$653,A50,'02d_AI_Accelerator_Power'!$C$2:$C$653,B50,'02d_AI_Accelerator_Power'!$D$2:$D$653,C50,'02d_AI_Accelerator_Power'!$F$2:$F$653,"R200/R300 future")/I50,0)</f>
        <v/>
      </c>
      <c r="K50" s="6">
        <f>IF(I50&gt;0,SUMIFS('02d_AI_Accelerator_Power'!$J$2:$J$653,'02d_AI_Accelerator_Power'!$B$2:$B$653,A50,'02d_AI_Accelerator_Power'!$C$2:$C$653,B50,'02d_AI_Accelerator_Power'!$D$2:$D$653,C50,'02d_AI_Accelerator_Power'!$F$2:$F$653,"TPU")/I50,0)</f>
        <v/>
      </c>
      <c r="L50" s="6">
        <f>IF(I50&gt;0,SUMIFS('02d_AI_Accelerator_Power'!$J$2:$J$653,'02d_AI_Accelerator_Power'!$B$2:$B$653,A50,'02d_AI_Accelerator_Power'!$C$2:$C$653,B50,'02d_AI_Accelerator_Power'!$D$2:$D$653,C50,'02d_AI_Accelerator_Power'!$F$2:$F$653,"Trainium")/I50,0)</f>
        <v/>
      </c>
      <c r="M50" s="6">
        <f>IF(I50&gt;0,SUMIFS('02d_AI_Accelerator_Power'!$J$2:$J$653,'02d_AI_Accelerator_Power'!$B$2:$B$653,A50,'02d_AI_Accelerator_Power'!$C$2:$C$653,B50,'02d_AI_Accelerator_Power'!$D$2:$D$653,C50,'02d_AI_Accelerator_Power'!$F$2:$F$653,"Maia")/I50,0)</f>
        <v/>
      </c>
      <c r="N50" s="6">
        <f>IF(I50&gt;0,SUMIFS('02d_AI_Accelerator_Power'!$J$2:$J$653,'02d_AI_Accelerator_Power'!$B$2:$B$653,A50,'02d_AI_Accelerator_Power'!$C$2:$C$653,B50,'02d_AI_Accelerator_Power'!$D$2:$D$653,C50,'02d_AI_Accelerator_Power'!$F$2:$F$653,"MTIA")/I50,0)</f>
        <v/>
      </c>
      <c r="O50" s="6">
        <f>IF(I50&gt;0,SUMIFS('02d_AI_Accelerator_Power'!$J$2:$J$653,'02d_AI_Accelerator_Power'!$B$2:$B$653,A50,'02d_AI_Accelerator_Power'!$C$2:$C$653,B50,'02d_AI_Accelerator_Power'!$D$2:$D$653,C50,'02d_AI_Accelerator_Power'!$F$2:$F$653,"Other / unknown accelerator")/I50,0)</f>
        <v/>
      </c>
      <c r="P50" s="3" t="inlineStr">
        <is>
          <t>CSP contract normalized: company inference MW * (CSP total MW * AI contract share * inference share) / company contract inference weight, then multiplied by CSP accelerator rows.</t>
        </is>
      </c>
      <c r="Q50" s="3" t="inlineStr">
        <is>
          <t>csp_contract_share_x_csp_accelerator_mix</t>
        </is>
      </c>
      <c r="R50" s="3" t="inlineStr">
        <is>
          <t>Edit 02a CSP contract allocation, 02b CSP accelerator mix, or 02x accelerator catalog; 03_Calculation reads D:G from this sheet.</t>
        </is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6">
        <f>IF(I51&gt;0,SUMIFS('02d_AI_Accelerator_Power'!$J$2:$J$653,'02d_AI_Accelerator_Power'!$B$2:$B$653,A51,'02d_AI_Accelerator_Power'!$C$2:$C$653,B51,'02d_AI_Accelerator_Power'!$D$2:$D$653,C51,'02d_AI_Accelerator_Power'!$G$2:$G$653,"h200_reference")/I51,0.052258)</f>
        <v/>
      </c>
      <c r="E51" s="6">
        <f>IF(I51&gt;0,SUMIFS('02d_AI_Accelerator_Power'!$J$2:$J$653,'02d_AI_Accelerator_Power'!$B$2:$B$653,A51,'02d_AI_Accelerator_Power'!$C$2:$C$653,B51,'02d_AI_Accelerator_Power'!$D$2:$D$653,C51,'02d_AI_Accelerator_Power'!$G$2:$G$653,"b200_reference")/I51,0.947742)</f>
        <v/>
      </c>
      <c r="F51" s="6">
        <f>IF(I51&gt;0,SUMIFS('02d_AI_Accelerator_Power'!$J$2:$J$653,'02d_AI_Accelerator_Power'!$B$2:$B$653,A51,'02d_AI_Accelerator_Power'!$C$2:$C$653,B51,'02d_AI_Accelerator_Power'!$D$2:$D$653,C51,'02d_AI_Accelerator_Power'!$G$2:$G$653,"gb200_reference")/I51,0.0)</f>
        <v/>
      </c>
      <c r="G51" s="6">
        <f>IF(I51&gt;0,SUMIFS('02d_AI_Accelerator_Power'!$J$2:$J$653,'02d_AI_Accelerator_Power'!$B$2:$B$653,A51,'02d_AI_Accelerator_Power'!$C$2:$C$653,B51,'02d_AI_Accelerator_Power'!$D$2:$D$653,C51,'02d_AI_Accelerator_Power'!$G$2:$G$653,"purpose_or_unbenchmarked")/I51,0.0)</f>
        <v/>
      </c>
      <c r="H51" s="6">
        <f>SUM(D51:G51)</f>
        <v/>
      </c>
      <c r="I51" s="28">
        <f>SUMIFS('02d_AI_Accelerator_Power'!$J$2:$J$653,'02d_AI_Accelerator_Power'!$B$2:$B$653,A51,'02d_AI_Accelerator_Power'!$C$2:$C$653,B51,'02d_AI_Accelerator_Power'!$D$2:$D$653,C51)</f>
        <v/>
      </c>
      <c r="J51" s="6">
        <f>IF(I51&gt;0,SUMIFS('02d_AI_Accelerator_Power'!$J$2:$J$653,'02d_AI_Accelerator_Power'!$B$2:$B$653,A51,'02d_AI_Accelerator_Power'!$C$2:$C$653,B51,'02d_AI_Accelerator_Power'!$D$2:$D$653,C51,'02d_AI_Accelerator_Power'!$F$2:$F$653,"R200/R300 future")/I51,0)</f>
        <v/>
      </c>
      <c r="K51" s="6">
        <f>IF(I51&gt;0,SUMIFS('02d_AI_Accelerator_Power'!$J$2:$J$653,'02d_AI_Accelerator_Power'!$B$2:$B$653,A51,'02d_AI_Accelerator_Power'!$C$2:$C$653,B51,'02d_AI_Accelerator_Power'!$D$2:$D$653,C51,'02d_AI_Accelerator_Power'!$F$2:$F$653,"TPU")/I51,0)</f>
        <v/>
      </c>
      <c r="L51" s="6">
        <f>IF(I51&gt;0,SUMIFS('02d_AI_Accelerator_Power'!$J$2:$J$653,'02d_AI_Accelerator_Power'!$B$2:$B$653,A51,'02d_AI_Accelerator_Power'!$C$2:$C$653,B51,'02d_AI_Accelerator_Power'!$D$2:$D$653,C51,'02d_AI_Accelerator_Power'!$F$2:$F$653,"Trainium")/I51,0)</f>
        <v/>
      </c>
      <c r="M51" s="6">
        <f>IF(I51&gt;0,SUMIFS('02d_AI_Accelerator_Power'!$J$2:$J$653,'02d_AI_Accelerator_Power'!$B$2:$B$653,A51,'02d_AI_Accelerator_Power'!$C$2:$C$653,B51,'02d_AI_Accelerator_Power'!$D$2:$D$653,C51,'02d_AI_Accelerator_Power'!$F$2:$F$653,"Maia")/I51,0)</f>
        <v/>
      </c>
      <c r="N51" s="6">
        <f>IF(I51&gt;0,SUMIFS('02d_AI_Accelerator_Power'!$J$2:$J$653,'02d_AI_Accelerator_Power'!$B$2:$B$653,A51,'02d_AI_Accelerator_Power'!$C$2:$C$653,B51,'02d_AI_Accelerator_Power'!$D$2:$D$653,C51,'02d_AI_Accelerator_Power'!$F$2:$F$653,"MTIA")/I51,0)</f>
        <v/>
      </c>
      <c r="O51" s="6">
        <f>IF(I51&gt;0,SUMIFS('02d_AI_Accelerator_Power'!$J$2:$J$653,'02d_AI_Accelerator_Power'!$B$2:$B$653,A51,'02d_AI_Accelerator_Power'!$C$2:$C$653,B51,'02d_AI_Accelerator_Power'!$D$2:$D$653,C51,'02d_AI_Accelerator_Power'!$F$2:$F$653,"Other / unknown accelerator")/I51,0)</f>
        <v/>
      </c>
      <c r="P51" s="3" t="inlineStr">
        <is>
          <t>CSP contract normalized: company inference MW * (CSP total MW * AI contract share * inference share) / company contract inference weight, then multiplied by CSP accelerator rows.</t>
        </is>
      </c>
      <c r="Q51" s="3" t="inlineStr">
        <is>
          <t>csp_contract_share_x_csp_accelerator_mix</t>
        </is>
      </c>
      <c r="R51" s="3" t="inlineStr">
        <is>
          <t>Edit 02a CSP contract allocation, 02b CSP accelerator mix, or 02x accelerator catalog; 03_Calculation reads D:G from this sheet.</t>
        </is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6">
        <f>IF(I52&gt;0,SUMIFS('02d_AI_Accelerator_Power'!$J$2:$J$653,'02d_AI_Accelerator_Power'!$B$2:$B$653,A52,'02d_AI_Accelerator_Power'!$C$2:$C$653,B52,'02d_AI_Accelerator_Power'!$D$2:$D$653,C52,'02d_AI_Accelerator_Power'!$G$2:$G$653,"h200_reference")/I52,0.0)</f>
        <v/>
      </c>
      <c r="E52" s="6">
        <f>IF(I52&gt;0,SUMIFS('02d_AI_Accelerator_Power'!$J$2:$J$653,'02d_AI_Accelerator_Power'!$B$2:$B$653,A52,'02d_AI_Accelerator_Power'!$C$2:$C$653,B52,'02d_AI_Accelerator_Power'!$D$2:$D$653,C52,'02d_AI_Accelerator_Power'!$G$2:$G$653,"b200_reference")/I52,0.057223)</f>
        <v/>
      </c>
      <c r="F52" s="6">
        <f>IF(I52&gt;0,SUMIFS('02d_AI_Accelerator_Power'!$J$2:$J$653,'02d_AI_Accelerator_Power'!$B$2:$B$653,A52,'02d_AI_Accelerator_Power'!$C$2:$C$653,B52,'02d_AI_Accelerator_Power'!$D$2:$D$653,C52,'02d_AI_Accelerator_Power'!$G$2:$G$653,"gb200_reference")/I52,0.0)</f>
        <v/>
      </c>
      <c r="G52" s="6">
        <f>IF(I52&gt;0,SUMIFS('02d_AI_Accelerator_Power'!$J$2:$J$653,'02d_AI_Accelerator_Power'!$B$2:$B$653,A52,'02d_AI_Accelerator_Power'!$C$2:$C$653,B52,'02d_AI_Accelerator_Power'!$D$2:$D$653,C52,'02d_AI_Accelerator_Power'!$G$2:$G$653,"purpose_or_unbenchmarked")/I52,0.942777)</f>
        <v/>
      </c>
      <c r="H52" s="6">
        <f>SUM(D52:G52)</f>
        <v/>
      </c>
      <c r="I52" s="28">
        <f>SUMIFS('02d_AI_Accelerator_Power'!$J$2:$J$653,'02d_AI_Accelerator_Power'!$B$2:$B$653,A52,'02d_AI_Accelerator_Power'!$C$2:$C$653,B52,'02d_AI_Accelerator_Power'!$D$2:$D$653,C52)</f>
        <v/>
      </c>
      <c r="J52" s="6">
        <f>IF(I52&gt;0,SUMIFS('02d_AI_Accelerator_Power'!$J$2:$J$653,'02d_AI_Accelerator_Power'!$B$2:$B$653,A52,'02d_AI_Accelerator_Power'!$C$2:$C$653,B52,'02d_AI_Accelerator_Power'!$D$2:$D$653,C52,'02d_AI_Accelerator_Power'!$F$2:$F$653,"R200/R300 future")/I52,0)</f>
        <v/>
      </c>
      <c r="K52" s="6">
        <f>IF(I52&gt;0,SUMIFS('02d_AI_Accelerator_Power'!$J$2:$J$653,'02d_AI_Accelerator_Power'!$B$2:$B$653,A52,'02d_AI_Accelerator_Power'!$C$2:$C$653,B52,'02d_AI_Accelerator_Power'!$D$2:$D$653,C52,'02d_AI_Accelerator_Power'!$F$2:$F$653,"TPU")/I52,0)</f>
        <v/>
      </c>
      <c r="L52" s="6">
        <f>IF(I52&gt;0,SUMIFS('02d_AI_Accelerator_Power'!$J$2:$J$653,'02d_AI_Accelerator_Power'!$B$2:$B$653,A52,'02d_AI_Accelerator_Power'!$C$2:$C$653,B52,'02d_AI_Accelerator_Power'!$D$2:$D$653,C52,'02d_AI_Accelerator_Power'!$F$2:$F$653,"Trainium")/I52,0)</f>
        <v/>
      </c>
      <c r="M52" s="6">
        <f>IF(I52&gt;0,SUMIFS('02d_AI_Accelerator_Power'!$J$2:$J$653,'02d_AI_Accelerator_Power'!$B$2:$B$653,A52,'02d_AI_Accelerator_Power'!$C$2:$C$653,B52,'02d_AI_Accelerator_Power'!$D$2:$D$653,C52,'02d_AI_Accelerator_Power'!$F$2:$F$653,"Maia")/I52,0)</f>
        <v/>
      </c>
      <c r="N52" s="6">
        <f>IF(I52&gt;0,SUMIFS('02d_AI_Accelerator_Power'!$J$2:$J$653,'02d_AI_Accelerator_Power'!$B$2:$B$653,A52,'02d_AI_Accelerator_Power'!$C$2:$C$653,B52,'02d_AI_Accelerator_Power'!$D$2:$D$653,C52,'02d_AI_Accelerator_Power'!$F$2:$F$653,"MTIA")/I52,0)</f>
        <v/>
      </c>
      <c r="O52" s="6">
        <f>IF(I52&gt;0,SUMIFS('02d_AI_Accelerator_Power'!$J$2:$J$653,'02d_AI_Accelerator_Power'!$B$2:$B$653,A52,'02d_AI_Accelerator_Power'!$C$2:$C$653,B52,'02d_AI_Accelerator_Power'!$D$2:$D$653,C52,'02d_AI_Accelerator_Power'!$F$2:$F$653,"Other / unknown accelerator")/I52,0)</f>
        <v/>
      </c>
      <c r="P52" s="3" t="inlineStr">
        <is>
          <t>CSP contract normalized: company inference MW * (CSP total MW * AI contract share * inference share) / company contract inference weight, then multiplied by CSP accelerator rows.</t>
        </is>
      </c>
      <c r="Q52" s="3" t="inlineStr">
        <is>
          <t>csp_contract_share_x_csp_accelerator_mix</t>
        </is>
      </c>
      <c r="R52" s="3" t="inlineStr">
        <is>
          <t>Edit 02a CSP contract allocation, 02b CSP accelerator mix, or 02x accelerator catalog; 03_Calculation reads D:G from this sheet.</t>
        </is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6">
        <f>IF(I53&gt;0,SUMIFS('02d_AI_Accelerator_Power'!$J$2:$J$653,'02d_AI_Accelerator_Power'!$B$2:$B$653,A53,'02d_AI_Accelerator_Power'!$C$2:$C$653,B53,'02d_AI_Accelerator_Power'!$D$2:$D$653,C53,'02d_AI_Accelerator_Power'!$G$2:$G$653,"h200_reference")/I53,0.0)</f>
        <v/>
      </c>
      <c r="E53" s="6">
        <f>IF(I53&gt;0,SUMIFS('02d_AI_Accelerator_Power'!$J$2:$J$653,'02d_AI_Accelerator_Power'!$B$2:$B$653,A53,'02d_AI_Accelerator_Power'!$C$2:$C$653,B53,'02d_AI_Accelerator_Power'!$D$2:$D$653,C53,'02d_AI_Accelerator_Power'!$G$2:$G$653,"b200_reference")/I53,0.088811)</f>
        <v/>
      </c>
      <c r="F53" s="6">
        <f>IF(I53&gt;0,SUMIFS('02d_AI_Accelerator_Power'!$J$2:$J$653,'02d_AI_Accelerator_Power'!$B$2:$B$653,A53,'02d_AI_Accelerator_Power'!$C$2:$C$653,B53,'02d_AI_Accelerator_Power'!$D$2:$D$653,C53,'02d_AI_Accelerator_Power'!$G$2:$G$653,"gb200_reference")/I53,0.0)</f>
        <v/>
      </c>
      <c r="G53" s="6">
        <f>IF(I53&gt;0,SUMIFS('02d_AI_Accelerator_Power'!$J$2:$J$653,'02d_AI_Accelerator_Power'!$B$2:$B$653,A53,'02d_AI_Accelerator_Power'!$C$2:$C$653,B53,'02d_AI_Accelerator_Power'!$D$2:$D$653,C53,'02d_AI_Accelerator_Power'!$G$2:$G$653,"purpose_or_unbenchmarked")/I53,0.911189)</f>
        <v/>
      </c>
      <c r="H53" s="6">
        <f>SUM(D53:G53)</f>
        <v/>
      </c>
      <c r="I53" s="28">
        <f>SUMIFS('02d_AI_Accelerator_Power'!$J$2:$J$653,'02d_AI_Accelerator_Power'!$B$2:$B$653,A53,'02d_AI_Accelerator_Power'!$C$2:$C$653,B53,'02d_AI_Accelerator_Power'!$D$2:$D$653,C53)</f>
        <v/>
      </c>
      <c r="J53" s="6">
        <f>IF(I53&gt;0,SUMIFS('02d_AI_Accelerator_Power'!$J$2:$J$653,'02d_AI_Accelerator_Power'!$B$2:$B$653,A53,'02d_AI_Accelerator_Power'!$C$2:$C$653,B53,'02d_AI_Accelerator_Power'!$D$2:$D$653,C53,'02d_AI_Accelerator_Power'!$F$2:$F$653,"R200/R300 future")/I53,0)</f>
        <v/>
      </c>
      <c r="K53" s="6">
        <f>IF(I53&gt;0,SUMIFS('02d_AI_Accelerator_Power'!$J$2:$J$653,'02d_AI_Accelerator_Power'!$B$2:$B$653,A53,'02d_AI_Accelerator_Power'!$C$2:$C$653,B53,'02d_AI_Accelerator_Power'!$D$2:$D$653,C53,'02d_AI_Accelerator_Power'!$F$2:$F$653,"TPU")/I53,0)</f>
        <v/>
      </c>
      <c r="L53" s="6">
        <f>IF(I53&gt;0,SUMIFS('02d_AI_Accelerator_Power'!$J$2:$J$653,'02d_AI_Accelerator_Power'!$B$2:$B$653,A53,'02d_AI_Accelerator_Power'!$C$2:$C$653,B53,'02d_AI_Accelerator_Power'!$D$2:$D$653,C53,'02d_AI_Accelerator_Power'!$F$2:$F$653,"Trainium")/I53,0)</f>
        <v/>
      </c>
      <c r="M53" s="6">
        <f>IF(I53&gt;0,SUMIFS('02d_AI_Accelerator_Power'!$J$2:$J$653,'02d_AI_Accelerator_Power'!$B$2:$B$653,A53,'02d_AI_Accelerator_Power'!$C$2:$C$653,B53,'02d_AI_Accelerator_Power'!$D$2:$D$653,C53,'02d_AI_Accelerator_Power'!$F$2:$F$653,"Maia")/I53,0)</f>
        <v/>
      </c>
      <c r="N53" s="6">
        <f>IF(I53&gt;0,SUMIFS('02d_AI_Accelerator_Power'!$J$2:$J$653,'02d_AI_Accelerator_Power'!$B$2:$B$653,A53,'02d_AI_Accelerator_Power'!$C$2:$C$653,B53,'02d_AI_Accelerator_Power'!$D$2:$D$653,C53,'02d_AI_Accelerator_Power'!$F$2:$F$653,"MTIA")/I53,0)</f>
        <v/>
      </c>
      <c r="O53" s="6">
        <f>IF(I53&gt;0,SUMIFS('02d_AI_Accelerator_Power'!$J$2:$J$653,'02d_AI_Accelerator_Power'!$B$2:$B$653,A53,'02d_AI_Accelerator_Power'!$C$2:$C$653,B53,'02d_AI_Accelerator_Power'!$D$2:$D$653,C53,'02d_AI_Accelerator_Power'!$F$2:$F$653,"Other / unknown accelerator")/I53,0)</f>
        <v/>
      </c>
      <c r="P53" s="3" t="inlineStr">
        <is>
          <t>CSP contract normalized: company inference MW * (CSP total MW * AI contract share * inference share) / company contract inference weight, then multiplied by CSP accelerator rows.</t>
        </is>
      </c>
      <c r="Q53" s="3" t="inlineStr">
        <is>
          <t>csp_contract_share_x_csp_accelerator_mix</t>
        </is>
      </c>
      <c r="R53" s="3" t="inlineStr">
        <is>
          <t>Edit 02a CSP contract allocation, 02b CSP accelerator mix, or 02x accelerator catalog; 03_Calculation reads D:G from this sheet.</t>
        </is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6">
        <f>IF(I54&gt;0,SUMIFS('02d_AI_Accelerator_Power'!$J$2:$J$653,'02d_AI_Accelerator_Power'!$B$2:$B$653,A54,'02d_AI_Accelerator_Power'!$C$2:$C$653,B54,'02d_AI_Accelerator_Power'!$D$2:$D$653,C54,'02d_AI_Accelerator_Power'!$G$2:$G$653,"h200_reference")/I54,0.0)</f>
        <v/>
      </c>
      <c r="E54" s="6">
        <f>IF(I54&gt;0,SUMIFS('02d_AI_Accelerator_Power'!$J$2:$J$653,'02d_AI_Accelerator_Power'!$B$2:$B$653,A54,'02d_AI_Accelerator_Power'!$C$2:$C$653,B54,'02d_AI_Accelerator_Power'!$D$2:$D$653,C54,'02d_AI_Accelerator_Power'!$G$2:$G$653,"b200_reference")/I54,0.088811)</f>
        <v/>
      </c>
      <c r="F54" s="6">
        <f>IF(I54&gt;0,SUMIFS('02d_AI_Accelerator_Power'!$J$2:$J$653,'02d_AI_Accelerator_Power'!$B$2:$B$653,A54,'02d_AI_Accelerator_Power'!$C$2:$C$653,B54,'02d_AI_Accelerator_Power'!$D$2:$D$653,C54,'02d_AI_Accelerator_Power'!$G$2:$G$653,"gb200_reference")/I54,0.0)</f>
        <v/>
      </c>
      <c r="G54" s="6">
        <f>IF(I54&gt;0,SUMIFS('02d_AI_Accelerator_Power'!$J$2:$J$653,'02d_AI_Accelerator_Power'!$B$2:$B$653,A54,'02d_AI_Accelerator_Power'!$C$2:$C$653,B54,'02d_AI_Accelerator_Power'!$D$2:$D$653,C54,'02d_AI_Accelerator_Power'!$G$2:$G$653,"purpose_or_unbenchmarked")/I54,0.911189)</f>
        <v/>
      </c>
      <c r="H54" s="6">
        <f>SUM(D54:G54)</f>
        <v/>
      </c>
      <c r="I54" s="28">
        <f>SUMIFS('02d_AI_Accelerator_Power'!$J$2:$J$653,'02d_AI_Accelerator_Power'!$B$2:$B$653,A54,'02d_AI_Accelerator_Power'!$C$2:$C$653,B54,'02d_AI_Accelerator_Power'!$D$2:$D$653,C54)</f>
        <v/>
      </c>
      <c r="J54" s="6">
        <f>IF(I54&gt;0,SUMIFS('02d_AI_Accelerator_Power'!$J$2:$J$653,'02d_AI_Accelerator_Power'!$B$2:$B$653,A54,'02d_AI_Accelerator_Power'!$C$2:$C$653,B54,'02d_AI_Accelerator_Power'!$D$2:$D$653,C54,'02d_AI_Accelerator_Power'!$F$2:$F$653,"R200/R300 future")/I54,0)</f>
        <v/>
      </c>
      <c r="K54" s="6">
        <f>IF(I54&gt;0,SUMIFS('02d_AI_Accelerator_Power'!$J$2:$J$653,'02d_AI_Accelerator_Power'!$B$2:$B$653,A54,'02d_AI_Accelerator_Power'!$C$2:$C$653,B54,'02d_AI_Accelerator_Power'!$D$2:$D$653,C54,'02d_AI_Accelerator_Power'!$F$2:$F$653,"TPU")/I54,0)</f>
        <v/>
      </c>
      <c r="L54" s="6">
        <f>IF(I54&gt;0,SUMIFS('02d_AI_Accelerator_Power'!$J$2:$J$653,'02d_AI_Accelerator_Power'!$B$2:$B$653,A54,'02d_AI_Accelerator_Power'!$C$2:$C$653,B54,'02d_AI_Accelerator_Power'!$D$2:$D$653,C54,'02d_AI_Accelerator_Power'!$F$2:$F$653,"Trainium")/I54,0)</f>
        <v/>
      </c>
      <c r="M54" s="6">
        <f>IF(I54&gt;0,SUMIFS('02d_AI_Accelerator_Power'!$J$2:$J$653,'02d_AI_Accelerator_Power'!$B$2:$B$653,A54,'02d_AI_Accelerator_Power'!$C$2:$C$653,B54,'02d_AI_Accelerator_Power'!$D$2:$D$653,C54,'02d_AI_Accelerator_Power'!$F$2:$F$653,"Maia")/I54,0)</f>
        <v/>
      </c>
      <c r="N54" s="6">
        <f>IF(I54&gt;0,SUMIFS('02d_AI_Accelerator_Power'!$J$2:$J$653,'02d_AI_Accelerator_Power'!$B$2:$B$653,A54,'02d_AI_Accelerator_Power'!$C$2:$C$653,B54,'02d_AI_Accelerator_Power'!$D$2:$D$653,C54,'02d_AI_Accelerator_Power'!$F$2:$F$653,"MTIA")/I54,0)</f>
        <v/>
      </c>
      <c r="O54" s="6">
        <f>IF(I54&gt;0,SUMIFS('02d_AI_Accelerator_Power'!$J$2:$J$653,'02d_AI_Accelerator_Power'!$B$2:$B$653,A54,'02d_AI_Accelerator_Power'!$C$2:$C$653,B54,'02d_AI_Accelerator_Power'!$D$2:$D$653,C54,'02d_AI_Accelerator_Power'!$F$2:$F$653,"Other / unknown accelerator")/I54,0)</f>
        <v/>
      </c>
      <c r="P54" s="3" t="inlineStr">
        <is>
          <t>CSP contract normalized: company inference MW * (CSP total MW * AI contract share * inference share) / company contract inference weight, then multiplied by CSP accelerator rows.</t>
        </is>
      </c>
      <c r="Q54" s="3" t="inlineStr">
        <is>
          <t>csp_contract_share_x_csp_accelerator_mix</t>
        </is>
      </c>
      <c r="R54" s="3" t="inlineStr">
        <is>
          <t>Edit 02a CSP contract allocation, 02b CSP accelerator mix, or 02x accelerator catalog; 03_Calculation reads D:G from this sheet.</t>
        </is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6">
        <f>IF(I55&gt;0,SUMIFS('02d_AI_Accelerator_Power'!$J$2:$J$653,'02d_AI_Accelerator_Power'!$B$2:$B$653,A55,'02d_AI_Accelerator_Power'!$C$2:$C$653,B55,'02d_AI_Accelerator_Power'!$D$2:$D$653,C55,'02d_AI_Accelerator_Power'!$G$2:$G$653,"h200_reference")/I55,0.0)</f>
        <v/>
      </c>
      <c r="E55" s="6">
        <f>IF(I55&gt;0,SUMIFS('02d_AI_Accelerator_Power'!$J$2:$J$653,'02d_AI_Accelerator_Power'!$B$2:$B$653,A55,'02d_AI_Accelerator_Power'!$C$2:$C$653,B55,'02d_AI_Accelerator_Power'!$D$2:$D$653,C55,'02d_AI_Accelerator_Power'!$G$2:$G$653,"b200_reference")/I55,0.088811)</f>
        <v/>
      </c>
      <c r="F55" s="6">
        <f>IF(I55&gt;0,SUMIFS('02d_AI_Accelerator_Power'!$J$2:$J$653,'02d_AI_Accelerator_Power'!$B$2:$B$653,A55,'02d_AI_Accelerator_Power'!$C$2:$C$653,B55,'02d_AI_Accelerator_Power'!$D$2:$D$653,C55,'02d_AI_Accelerator_Power'!$G$2:$G$653,"gb200_reference")/I55,0.0)</f>
        <v/>
      </c>
      <c r="G55" s="6">
        <f>IF(I55&gt;0,SUMIFS('02d_AI_Accelerator_Power'!$J$2:$J$653,'02d_AI_Accelerator_Power'!$B$2:$B$653,A55,'02d_AI_Accelerator_Power'!$C$2:$C$653,B55,'02d_AI_Accelerator_Power'!$D$2:$D$653,C55,'02d_AI_Accelerator_Power'!$G$2:$G$653,"purpose_or_unbenchmarked")/I55,0.911189)</f>
        <v/>
      </c>
      <c r="H55" s="6">
        <f>SUM(D55:G55)</f>
        <v/>
      </c>
      <c r="I55" s="28">
        <f>SUMIFS('02d_AI_Accelerator_Power'!$J$2:$J$653,'02d_AI_Accelerator_Power'!$B$2:$B$653,A55,'02d_AI_Accelerator_Power'!$C$2:$C$653,B55,'02d_AI_Accelerator_Power'!$D$2:$D$653,C55)</f>
        <v/>
      </c>
      <c r="J55" s="6">
        <f>IF(I55&gt;0,SUMIFS('02d_AI_Accelerator_Power'!$J$2:$J$653,'02d_AI_Accelerator_Power'!$B$2:$B$653,A55,'02d_AI_Accelerator_Power'!$C$2:$C$653,B55,'02d_AI_Accelerator_Power'!$D$2:$D$653,C55,'02d_AI_Accelerator_Power'!$F$2:$F$653,"R200/R300 future")/I55,0)</f>
        <v/>
      </c>
      <c r="K55" s="6">
        <f>IF(I55&gt;0,SUMIFS('02d_AI_Accelerator_Power'!$J$2:$J$653,'02d_AI_Accelerator_Power'!$B$2:$B$653,A55,'02d_AI_Accelerator_Power'!$C$2:$C$653,B55,'02d_AI_Accelerator_Power'!$D$2:$D$653,C55,'02d_AI_Accelerator_Power'!$F$2:$F$653,"TPU")/I55,0)</f>
        <v/>
      </c>
      <c r="L55" s="6">
        <f>IF(I55&gt;0,SUMIFS('02d_AI_Accelerator_Power'!$J$2:$J$653,'02d_AI_Accelerator_Power'!$B$2:$B$653,A55,'02d_AI_Accelerator_Power'!$C$2:$C$653,B55,'02d_AI_Accelerator_Power'!$D$2:$D$653,C55,'02d_AI_Accelerator_Power'!$F$2:$F$653,"Trainium")/I55,0)</f>
        <v/>
      </c>
      <c r="M55" s="6">
        <f>IF(I55&gt;0,SUMIFS('02d_AI_Accelerator_Power'!$J$2:$J$653,'02d_AI_Accelerator_Power'!$B$2:$B$653,A55,'02d_AI_Accelerator_Power'!$C$2:$C$653,B55,'02d_AI_Accelerator_Power'!$D$2:$D$653,C55,'02d_AI_Accelerator_Power'!$F$2:$F$653,"Maia")/I55,0)</f>
        <v/>
      </c>
      <c r="N55" s="6">
        <f>IF(I55&gt;0,SUMIFS('02d_AI_Accelerator_Power'!$J$2:$J$653,'02d_AI_Accelerator_Power'!$B$2:$B$653,A55,'02d_AI_Accelerator_Power'!$C$2:$C$653,B55,'02d_AI_Accelerator_Power'!$D$2:$D$653,C55,'02d_AI_Accelerator_Power'!$F$2:$F$653,"MTIA")/I55,0)</f>
        <v/>
      </c>
      <c r="O55" s="6">
        <f>IF(I55&gt;0,SUMIFS('02d_AI_Accelerator_Power'!$J$2:$J$653,'02d_AI_Accelerator_Power'!$B$2:$B$653,A55,'02d_AI_Accelerator_Power'!$C$2:$C$653,B55,'02d_AI_Accelerator_Power'!$D$2:$D$653,C55,'02d_AI_Accelerator_Power'!$F$2:$F$653,"Other / unknown accelerator")/I55,0)</f>
        <v/>
      </c>
      <c r="P55" s="3" t="inlineStr">
        <is>
          <t>CSP contract normalized: company inference MW * (CSP total MW * AI contract share * inference share) / company contract inference weight, then multiplied by CSP accelerator rows.</t>
        </is>
      </c>
      <c r="Q55" s="3" t="inlineStr">
        <is>
          <t>csp_contract_share_x_csp_accelerator_mix</t>
        </is>
      </c>
      <c r="R55" s="3" t="inlineStr">
        <is>
          <t>Edit 02a CSP contract allocation, 02b CSP accelerator mix, or 02x accelerator catalog; 03_Calculation reads D:G from this sheet.</t>
        </is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6">
        <f>IF(I56&gt;0,SUMIFS('02d_AI_Accelerator_Power'!$J$2:$J$653,'02d_AI_Accelerator_Power'!$B$2:$B$653,A56,'02d_AI_Accelerator_Power'!$C$2:$C$653,B56,'02d_AI_Accelerator_Power'!$D$2:$D$653,C56,'02d_AI_Accelerator_Power'!$G$2:$G$653,"h200_reference")/I56,0.0)</f>
        <v/>
      </c>
      <c r="E56" s="6">
        <f>IF(I56&gt;0,SUMIFS('02d_AI_Accelerator_Power'!$J$2:$J$653,'02d_AI_Accelerator_Power'!$B$2:$B$653,A56,'02d_AI_Accelerator_Power'!$C$2:$C$653,B56,'02d_AI_Accelerator_Power'!$D$2:$D$653,C56,'02d_AI_Accelerator_Power'!$G$2:$G$653,"b200_reference")/I56,0.088811)</f>
        <v/>
      </c>
      <c r="F56" s="6">
        <f>IF(I56&gt;0,SUMIFS('02d_AI_Accelerator_Power'!$J$2:$J$653,'02d_AI_Accelerator_Power'!$B$2:$B$653,A56,'02d_AI_Accelerator_Power'!$C$2:$C$653,B56,'02d_AI_Accelerator_Power'!$D$2:$D$653,C56,'02d_AI_Accelerator_Power'!$G$2:$G$653,"gb200_reference")/I56,0.0)</f>
        <v/>
      </c>
      <c r="G56" s="6">
        <f>IF(I56&gt;0,SUMIFS('02d_AI_Accelerator_Power'!$J$2:$J$653,'02d_AI_Accelerator_Power'!$B$2:$B$653,A56,'02d_AI_Accelerator_Power'!$C$2:$C$653,B56,'02d_AI_Accelerator_Power'!$D$2:$D$653,C56,'02d_AI_Accelerator_Power'!$G$2:$G$653,"purpose_or_unbenchmarked")/I56,0.911189)</f>
        <v/>
      </c>
      <c r="H56" s="6">
        <f>SUM(D56:G56)</f>
        <v/>
      </c>
      <c r="I56" s="28">
        <f>SUMIFS('02d_AI_Accelerator_Power'!$J$2:$J$653,'02d_AI_Accelerator_Power'!$B$2:$B$653,A56,'02d_AI_Accelerator_Power'!$C$2:$C$653,B56,'02d_AI_Accelerator_Power'!$D$2:$D$653,C56)</f>
        <v/>
      </c>
      <c r="J56" s="6">
        <f>IF(I56&gt;0,SUMIFS('02d_AI_Accelerator_Power'!$J$2:$J$653,'02d_AI_Accelerator_Power'!$B$2:$B$653,A56,'02d_AI_Accelerator_Power'!$C$2:$C$653,B56,'02d_AI_Accelerator_Power'!$D$2:$D$653,C56,'02d_AI_Accelerator_Power'!$F$2:$F$653,"R200/R300 future")/I56,0)</f>
        <v/>
      </c>
      <c r="K56" s="6">
        <f>IF(I56&gt;0,SUMIFS('02d_AI_Accelerator_Power'!$J$2:$J$653,'02d_AI_Accelerator_Power'!$B$2:$B$653,A56,'02d_AI_Accelerator_Power'!$C$2:$C$653,B56,'02d_AI_Accelerator_Power'!$D$2:$D$653,C56,'02d_AI_Accelerator_Power'!$F$2:$F$653,"TPU")/I56,0)</f>
        <v/>
      </c>
      <c r="L56" s="6">
        <f>IF(I56&gt;0,SUMIFS('02d_AI_Accelerator_Power'!$J$2:$J$653,'02d_AI_Accelerator_Power'!$B$2:$B$653,A56,'02d_AI_Accelerator_Power'!$C$2:$C$653,B56,'02d_AI_Accelerator_Power'!$D$2:$D$653,C56,'02d_AI_Accelerator_Power'!$F$2:$F$653,"Trainium")/I56,0)</f>
        <v/>
      </c>
      <c r="M56" s="6">
        <f>IF(I56&gt;0,SUMIFS('02d_AI_Accelerator_Power'!$J$2:$J$653,'02d_AI_Accelerator_Power'!$B$2:$B$653,A56,'02d_AI_Accelerator_Power'!$C$2:$C$653,B56,'02d_AI_Accelerator_Power'!$D$2:$D$653,C56,'02d_AI_Accelerator_Power'!$F$2:$F$653,"Maia")/I56,0)</f>
        <v/>
      </c>
      <c r="N56" s="6">
        <f>IF(I56&gt;0,SUMIFS('02d_AI_Accelerator_Power'!$J$2:$J$653,'02d_AI_Accelerator_Power'!$B$2:$B$653,A56,'02d_AI_Accelerator_Power'!$C$2:$C$653,B56,'02d_AI_Accelerator_Power'!$D$2:$D$653,C56,'02d_AI_Accelerator_Power'!$F$2:$F$653,"MTIA")/I56,0)</f>
        <v/>
      </c>
      <c r="O56" s="6">
        <f>IF(I56&gt;0,SUMIFS('02d_AI_Accelerator_Power'!$J$2:$J$653,'02d_AI_Accelerator_Power'!$B$2:$B$653,A56,'02d_AI_Accelerator_Power'!$C$2:$C$653,B56,'02d_AI_Accelerator_Power'!$D$2:$D$653,C56,'02d_AI_Accelerator_Power'!$F$2:$F$653,"Other / unknown accelerator")/I56,0)</f>
        <v/>
      </c>
      <c r="P56" s="3" t="inlineStr">
        <is>
          <t>CSP contract normalized: company inference MW * (CSP total MW * AI contract share * inference share) / company contract inference weight, then multiplied by CSP accelerator rows.</t>
        </is>
      </c>
      <c r="Q56" s="3" t="inlineStr">
        <is>
          <t>csp_contract_share_x_csp_accelerator_mix</t>
        </is>
      </c>
      <c r="R56" s="3" t="inlineStr">
        <is>
          <t>Edit 02a CSP contract allocation, 02b CSP accelerator mix, or 02x accelerator catalog; 03_Calculation reads D:G from this sheet.</t>
        </is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6">
        <f>IF(I57&gt;0,SUMIFS('02d_AI_Accelerator_Power'!$J$2:$J$653,'02d_AI_Accelerator_Power'!$B$2:$B$653,A57,'02d_AI_Accelerator_Power'!$C$2:$C$653,B57,'02d_AI_Accelerator_Power'!$D$2:$D$653,C57,'02d_AI_Accelerator_Power'!$G$2:$G$653,"h200_reference")/I57,0.09603)</f>
        <v/>
      </c>
      <c r="E57" s="6">
        <f>IF(I57&gt;0,SUMIFS('02d_AI_Accelerator_Power'!$J$2:$J$653,'02d_AI_Accelerator_Power'!$B$2:$B$653,A57,'02d_AI_Accelerator_Power'!$C$2:$C$653,B57,'02d_AI_Accelerator_Power'!$D$2:$D$653,C57,'02d_AI_Accelerator_Power'!$G$2:$G$653,"b200_reference")/I57,0.90397)</f>
        <v/>
      </c>
      <c r="F57" s="6">
        <f>IF(I57&gt;0,SUMIFS('02d_AI_Accelerator_Power'!$J$2:$J$653,'02d_AI_Accelerator_Power'!$B$2:$B$653,A57,'02d_AI_Accelerator_Power'!$C$2:$C$653,B57,'02d_AI_Accelerator_Power'!$D$2:$D$653,C57,'02d_AI_Accelerator_Power'!$G$2:$G$653,"gb200_reference")/I57,0.0)</f>
        <v/>
      </c>
      <c r="G57" s="6">
        <f>IF(I57&gt;0,SUMIFS('02d_AI_Accelerator_Power'!$J$2:$J$653,'02d_AI_Accelerator_Power'!$B$2:$B$653,A57,'02d_AI_Accelerator_Power'!$C$2:$C$653,B57,'02d_AI_Accelerator_Power'!$D$2:$D$653,C57,'02d_AI_Accelerator_Power'!$G$2:$G$653,"purpose_or_unbenchmarked")/I57,0.0)</f>
        <v/>
      </c>
      <c r="H57" s="6">
        <f>SUM(D57:G57)</f>
        <v/>
      </c>
      <c r="I57" s="28">
        <f>SUMIFS('02d_AI_Accelerator_Power'!$J$2:$J$653,'02d_AI_Accelerator_Power'!$B$2:$B$653,A57,'02d_AI_Accelerator_Power'!$C$2:$C$653,B57,'02d_AI_Accelerator_Power'!$D$2:$D$653,C57)</f>
        <v/>
      </c>
      <c r="J57" s="6">
        <f>IF(I57&gt;0,SUMIFS('02d_AI_Accelerator_Power'!$J$2:$J$653,'02d_AI_Accelerator_Power'!$B$2:$B$653,A57,'02d_AI_Accelerator_Power'!$C$2:$C$653,B57,'02d_AI_Accelerator_Power'!$D$2:$D$653,C57,'02d_AI_Accelerator_Power'!$F$2:$F$653,"R200/R300 future")/I57,0)</f>
        <v/>
      </c>
      <c r="K57" s="6">
        <f>IF(I57&gt;0,SUMIFS('02d_AI_Accelerator_Power'!$J$2:$J$653,'02d_AI_Accelerator_Power'!$B$2:$B$653,A57,'02d_AI_Accelerator_Power'!$C$2:$C$653,B57,'02d_AI_Accelerator_Power'!$D$2:$D$653,C57,'02d_AI_Accelerator_Power'!$F$2:$F$653,"TPU")/I57,0)</f>
        <v/>
      </c>
      <c r="L57" s="6">
        <f>IF(I57&gt;0,SUMIFS('02d_AI_Accelerator_Power'!$J$2:$J$653,'02d_AI_Accelerator_Power'!$B$2:$B$653,A57,'02d_AI_Accelerator_Power'!$C$2:$C$653,B57,'02d_AI_Accelerator_Power'!$D$2:$D$653,C57,'02d_AI_Accelerator_Power'!$F$2:$F$653,"Trainium")/I57,0)</f>
        <v/>
      </c>
      <c r="M57" s="6">
        <f>IF(I57&gt;0,SUMIFS('02d_AI_Accelerator_Power'!$J$2:$J$653,'02d_AI_Accelerator_Power'!$B$2:$B$653,A57,'02d_AI_Accelerator_Power'!$C$2:$C$653,B57,'02d_AI_Accelerator_Power'!$D$2:$D$653,C57,'02d_AI_Accelerator_Power'!$F$2:$F$653,"Maia")/I57,0)</f>
        <v/>
      </c>
      <c r="N57" s="6">
        <f>IF(I57&gt;0,SUMIFS('02d_AI_Accelerator_Power'!$J$2:$J$653,'02d_AI_Accelerator_Power'!$B$2:$B$653,A57,'02d_AI_Accelerator_Power'!$C$2:$C$653,B57,'02d_AI_Accelerator_Power'!$D$2:$D$653,C57,'02d_AI_Accelerator_Power'!$F$2:$F$653,"MTIA")/I57,0)</f>
        <v/>
      </c>
      <c r="O57" s="6">
        <f>IF(I57&gt;0,SUMIFS('02d_AI_Accelerator_Power'!$J$2:$J$653,'02d_AI_Accelerator_Power'!$B$2:$B$653,A57,'02d_AI_Accelerator_Power'!$C$2:$C$653,B57,'02d_AI_Accelerator_Power'!$D$2:$D$653,C57,'02d_AI_Accelerator_Power'!$F$2:$F$653,"Other / unknown accelerator")/I57,0)</f>
        <v/>
      </c>
      <c r="P57" s="3" t="inlineStr">
        <is>
          <t>CSP contract normalized: company inference MW * (CSP total MW * AI contract share * inference share) / company contract inference weight, then multiplied by CSP accelerator rows.</t>
        </is>
      </c>
      <c r="Q57" s="3" t="inlineStr">
        <is>
          <t>csp_contract_share_x_csp_accelerator_mix</t>
        </is>
      </c>
      <c r="R57" s="3" t="inlineStr">
        <is>
          <t>Edit 02a CSP contract allocation, 02b CSP accelerator mix, or 02x accelerator catalog; 03_Calculation reads D:G from this sheet.</t>
        </is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6">
        <f>IF(I58&gt;0,SUMIFS('02d_AI_Accelerator_Power'!$J$2:$J$653,'02d_AI_Accelerator_Power'!$B$2:$B$653,A58,'02d_AI_Accelerator_Power'!$C$2:$C$653,B58,'02d_AI_Accelerator_Power'!$D$2:$D$653,C58,'02d_AI_Accelerator_Power'!$G$2:$G$653,"h200_reference")/I58,0.09216)</f>
        <v/>
      </c>
      <c r="E58" s="6">
        <f>IF(I58&gt;0,SUMIFS('02d_AI_Accelerator_Power'!$J$2:$J$653,'02d_AI_Accelerator_Power'!$B$2:$B$653,A58,'02d_AI_Accelerator_Power'!$C$2:$C$653,B58,'02d_AI_Accelerator_Power'!$D$2:$D$653,C58,'02d_AI_Accelerator_Power'!$G$2:$G$653,"b200_reference")/I58,0.90784)</f>
        <v/>
      </c>
      <c r="F58" s="6">
        <f>IF(I58&gt;0,SUMIFS('02d_AI_Accelerator_Power'!$J$2:$J$653,'02d_AI_Accelerator_Power'!$B$2:$B$653,A58,'02d_AI_Accelerator_Power'!$C$2:$C$653,B58,'02d_AI_Accelerator_Power'!$D$2:$D$653,C58,'02d_AI_Accelerator_Power'!$G$2:$G$653,"gb200_reference")/I58,0.0)</f>
        <v/>
      </c>
      <c r="G58" s="6">
        <f>IF(I58&gt;0,SUMIFS('02d_AI_Accelerator_Power'!$J$2:$J$653,'02d_AI_Accelerator_Power'!$B$2:$B$653,A58,'02d_AI_Accelerator_Power'!$C$2:$C$653,B58,'02d_AI_Accelerator_Power'!$D$2:$D$653,C58,'02d_AI_Accelerator_Power'!$G$2:$G$653,"purpose_or_unbenchmarked")/I58,0.0)</f>
        <v/>
      </c>
      <c r="H58" s="6">
        <f>SUM(D58:G58)</f>
        <v/>
      </c>
      <c r="I58" s="28">
        <f>SUMIFS('02d_AI_Accelerator_Power'!$J$2:$J$653,'02d_AI_Accelerator_Power'!$B$2:$B$653,A58,'02d_AI_Accelerator_Power'!$C$2:$C$653,B58,'02d_AI_Accelerator_Power'!$D$2:$D$653,C58)</f>
        <v/>
      </c>
      <c r="J58" s="6">
        <f>IF(I58&gt;0,SUMIFS('02d_AI_Accelerator_Power'!$J$2:$J$653,'02d_AI_Accelerator_Power'!$B$2:$B$653,A58,'02d_AI_Accelerator_Power'!$C$2:$C$653,B58,'02d_AI_Accelerator_Power'!$D$2:$D$653,C58,'02d_AI_Accelerator_Power'!$F$2:$F$653,"R200/R300 future")/I58,0)</f>
        <v/>
      </c>
      <c r="K58" s="6">
        <f>IF(I58&gt;0,SUMIFS('02d_AI_Accelerator_Power'!$J$2:$J$653,'02d_AI_Accelerator_Power'!$B$2:$B$653,A58,'02d_AI_Accelerator_Power'!$C$2:$C$653,B58,'02d_AI_Accelerator_Power'!$D$2:$D$653,C58,'02d_AI_Accelerator_Power'!$F$2:$F$653,"TPU")/I58,0)</f>
        <v/>
      </c>
      <c r="L58" s="6">
        <f>IF(I58&gt;0,SUMIFS('02d_AI_Accelerator_Power'!$J$2:$J$653,'02d_AI_Accelerator_Power'!$B$2:$B$653,A58,'02d_AI_Accelerator_Power'!$C$2:$C$653,B58,'02d_AI_Accelerator_Power'!$D$2:$D$653,C58,'02d_AI_Accelerator_Power'!$F$2:$F$653,"Trainium")/I58,0)</f>
        <v/>
      </c>
      <c r="M58" s="6">
        <f>IF(I58&gt;0,SUMIFS('02d_AI_Accelerator_Power'!$J$2:$J$653,'02d_AI_Accelerator_Power'!$B$2:$B$653,A58,'02d_AI_Accelerator_Power'!$C$2:$C$653,B58,'02d_AI_Accelerator_Power'!$D$2:$D$653,C58,'02d_AI_Accelerator_Power'!$F$2:$F$653,"Maia")/I58,0)</f>
        <v/>
      </c>
      <c r="N58" s="6">
        <f>IF(I58&gt;0,SUMIFS('02d_AI_Accelerator_Power'!$J$2:$J$653,'02d_AI_Accelerator_Power'!$B$2:$B$653,A58,'02d_AI_Accelerator_Power'!$C$2:$C$653,B58,'02d_AI_Accelerator_Power'!$D$2:$D$653,C58,'02d_AI_Accelerator_Power'!$F$2:$F$653,"MTIA")/I58,0)</f>
        <v/>
      </c>
      <c r="O58" s="6">
        <f>IF(I58&gt;0,SUMIFS('02d_AI_Accelerator_Power'!$J$2:$J$653,'02d_AI_Accelerator_Power'!$B$2:$B$653,A58,'02d_AI_Accelerator_Power'!$C$2:$C$653,B58,'02d_AI_Accelerator_Power'!$D$2:$D$653,C58,'02d_AI_Accelerator_Power'!$F$2:$F$653,"Other / unknown accelerator")/I58,0)</f>
        <v/>
      </c>
      <c r="P58" s="3" t="inlineStr">
        <is>
          <t>CSP contract normalized: company inference MW * (CSP total MW * AI contract share * inference share) / company contract inference weight, then multiplied by CSP accelerator rows.</t>
        </is>
      </c>
      <c r="Q58" s="3" t="inlineStr">
        <is>
          <t>csp_contract_share_x_csp_accelerator_mix</t>
        </is>
      </c>
      <c r="R58" s="3" t="inlineStr">
        <is>
          <t>Edit 02a CSP contract allocation, 02b CSP accelerator mix, or 02x accelerator catalog; 03_Calculation reads D:G from this sheet.</t>
        </is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6">
        <f>IF(I59&gt;0,SUMIFS('02d_AI_Accelerator_Power'!$J$2:$J$653,'02d_AI_Accelerator_Power'!$B$2:$B$653,A59,'02d_AI_Accelerator_Power'!$C$2:$C$653,B59,'02d_AI_Accelerator_Power'!$D$2:$D$653,C59,'02d_AI_Accelerator_Power'!$G$2:$G$653,"h200_reference")/I59,0.074919)</f>
        <v/>
      </c>
      <c r="E59" s="6">
        <f>IF(I59&gt;0,SUMIFS('02d_AI_Accelerator_Power'!$J$2:$J$653,'02d_AI_Accelerator_Power'!$B$2:$B$653,A59,'02d_AI_Accelerator_Power'!$C$2:$C$653,B59,'02d_AI_Accelerator_Power'!$D$2:$D$653,C59,'02d_AI_Accelerator_Power'!$G$2:$G$653,"b200_reference")/I59,0.738007)</f>
        <v/>
      </c>
      <c r="F59" s="6">
        <f>IF(I59&gt;0,SUMIFS('02d_AI_Accelerator_Power'!$J$2:$J$653,'02d_AI_Accelerator_Power'!$B$2:$B$653,A59,'02d_AI_Accelerator_Power'!$C$2:$C$653,B59,'02d_AI_Accelerator_Power'!$D$2:$D$653,C59,'02d_AI_Accelerator_Power'!$G$2:$G$653,"gb200_reference")/I59,0.0)</f>
        <v/>
      </c>
      <c r="G59" s="6">
        <f>IF(I59&gt;0,SUMIFS('02d_AI_Accelerator_Power'!$J$2:$J$653,'02d_AI_Accelerator_Power'!$B$2:$B$653,A59,'02d_AI_Accelerator_Power'!$C$2:$C$653,B59,'02d_AI_Accelerator_Power'!$D$2:$D$653,C59,'02d_AI_Accelerator_Power'!$G$2:$G$653,"purpose_or_unbenchmarked")/I59,0.187074)</f>
        <v/>
      </c>
      <c r="H59" s="6">
        <f>SUM(D59:G59)</f>
        <v/>
      </c>
      <c r="I59" s="28">
        <f>SUMIFS('02d_AI_Accelerator_Power'!$J$2:$J$653,'02d_AI_Accelerator_Power'!$B$2:$B$653,A59,'02d_AI_Accelerator_Power'!$C$2:$C$653,B59,'02d_AI_Accelerator_Power'!$D$2:$D$653,C59)</f>
        <v/>
      </c>
      <c r="J59" s="6">
        <f>IF(I59&gt;0,SUMIFS('02d_AI_Accelerator_Power'!$J$2:$J$653,'02d_AI_Accelerator_Power'!$B$2:$B$653,A59,'02d_AI_Accelerator_Power'!$C$2:$C$653,B59,'02d_AI_Accelerator_Power'!$D$2:$D$653,C59,'02d_AI_Accelerator_Power'!$F$2:$F$653,"R200/R300 future")/I59,0)</f>
        <v/>
      </c>
      <c r="K59" s="6">
        <f>IF(I59&gt;0,SUMIFS('02d_AI_Accelerator_Power'!$J$2:$J$653,'02d_AI_Accelerator_Power'!$B$2:$B$653,A59,'02d_AI_Accelerator_Power'!$C$2:$C$653,B59,'02d_AI_Accelerator_Power'!$D$2:$D$653,C59,'02d_AI_Accelerator_Power'!$F$2:$F$653,"TPU")/I59,0)</f>
        <v/>
      </c>
      <c r="L59" s="6">
        <f>IF(I59&gt;0,SUMIFS('02d_AI_Accelerator_Power'!$J$2:$J$653,'02d_AI_Accelerator_Power'!$B$2:$B$653,A59,'02d_AI_Accelerator_Power'!$C$2:$C$653,B59,'02d_AI_Accelerator_Power'!$D$2:$D$653,C59,'02d_AI_Accelerator_Power'!$F$2:$F$653,"Trainium")/I59,0)</f>
        <v/>
      </c>
      <c r="M59" s="6">
        <f>IF(I59&gt;0,SUMIFS('02d_AI_Accelerator_Power'!$J$2:$J$653,'02d_AI_Accelerator_Power'!$B$2:$B$653,A59,'02d_AI_Accelerator_Power'!$C$2:$C$653,B59,'02d_AI_Accelerator_Power'!$D$2:$D$653,C59,'02d_AI_Accelerator_Power'!$F$2:$F$653,"Maia")/I59,0)</f>
        <v/>
      </c>
      <c r="N59" s="6">
        <f>IF(I59&gt;0,SUMIFS('02d_AI_Accelerator_Power'!$J$2:$J$653,'02d_AI_Accelerator_Power'!$B$2:$B$653,A59,'02d_AI_Accelerator_Power'!$C$2:$C$653,B59,'02d_AI_Accelerator_Power'!$D$2:$D$653,C59,'02d_AI_Accelerator_Power'!$F$2:$F$653,"MTIA")/I59,0)</f>
        <v/>
      </c>
      <c r="O59" s="6">
        <f>IF(I59&gt;0,SUMIFS('02d_AI_Accelerator_Power'!$J$2:$J$653,'02d_AI_Accelerator_Power'!$B$2:$B$653,A59,'02d_AI_Accelerator_Power'!$C$2:$C$653,B59,'02d_AI_Accelerator_Power'!$D$2:$D$653,C59,'02d_AI_Accelerator_Power'!$F$2:$F$653,"Other / unknown accelerator")/I59,0)</f>
        <v/>
      </c>
      <c r="P59" s="3" t="inlineStr">
        <is>
          <t>CSP contract normalized: company inference MW * (CSP total MW * AI contract share * inference share) / company contract inference weight, then multiplied by CSP accelerator rows.</t>
        </is>
      </c>
      <c r="Q59" s="3" t="inlineStr">
        <is>
          <t>csp_contract_share_x_csp_accelerator_mix</t>
        </is>
      </c>
      <c r="R59" s="3" t="inlineStr">
        <is>
          <t>Edit 02a CSP contract allocation, 02b CSP accelerator mix, or 02x accelerator catalog; 03_Calculation reads D:G from this sheet.</t>
        </is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6">
        <f>IF(I60&gt;0,SUMIFS('02d_AI_Accelerator_Power'!$J$2:$J$653,'02d_AI_Accelerator_Power'!$B$2:$B$653,A60,'02d_AI_Accelerator_Power'!$C$2:$C$653,B60,'02d_AI_Accelerator_Power'!$D$2:$D$653,C60,'02d_AI_Accelerator_Power'!$G$2:$G$653,"h200_reference")/I60,0.074919)</f>
        <v/>
      </c>
      <c r="E60" s="6">
        <f>IF(I60&gt;0,SUMIFS('02d_AI_Accelerator_Power'!$J$2:$J$653,'02d_AI_Accelerator_Power'!$B$2:$B$653,A60,'02d_AI_Accelerator_Power'!$C$2:$C$653,B60,'02d_AI_Accelerator_Power'!$D$2:$D$653,C60,'02d_AI_Accelerator_Power'!$G$2:$G$653,"b200_reference")/I60,0.738007)</f>
        <v/>
      </c>
      <c r="F60" s="6">
        <f>IF(I60&gt;0,SUMIFS('02d_AI_Accelerator_Power'!$J$2:$J$653,'02d_AI_Accelerator_Power'!$B$2:$B$653,A60,'02d_AI_Accelerator_Power'!$C$2:$C$653,B60,'02d_AI_Accelerator_Power'!$D$2:$D$653,C60,'02d_AI_Accelerator_Power'!$G$2:$G$653,"gb200_reference")/I60,0.0)</f>
        <v/>
      </c>
      <c r="G60" s="6">
        <f>IF(I60&gt;0,SUMIFS('02d_AI_Accelerator_Power'!$J$2:$J$653,'02d_AI_Accelerator_Power'!$B$2:$B$653,A60,'02d_AI_Accelerator_Power'!$C$2:$C$653,B60,'02d_AI_Accelerator_Power'!$D$2:$D$653,C60,'02d_AI_Accelerator_Power'!$G$2:$G$653,"purpose_or_unbenchmarked")/I60,0.187074)</f>
        <v/>
      </c>
      <c r="H60" s="6">
        <f>SUM(D60:G60)</f>
        <v/>
      </c>
      <c r="I60" s="28">
        <f>SUMIFS('02d_AI_Accelerator_Power'!$J$2:$J$653,'02d_AI_Accelerator_Power'!$B$2:$B$653,A60,'02d_AI_Accelerator_Power'!$C$2:$C$653,B60,'02d_AI_Accelerator_Power'!$D$2:$D$653,C60)</f>
        <v/>
      </c>
      <c r="J60" s="6">
        <f>IF(I60&gt;0,SUMIFS('02d_AI_Accelerator_Power'!$J$2:$J$653,'02d_AI_Accelerator_Power'!$B$2:$B$653,A60,'02d_AI_Accelerator_Power'!$C$2:$C$653,B60,'02d_AI_Accelerator_Power'!$D$2:$D$653,C60,'02d_AI_Accelerator_Power'!$F$2:$F$653,"R200/R300 future")/I60,0)</f>
        <v/>
      </c>
      <c r="K60" s="6">
        <f>IF(I60&gt;0,SUMIFS('02d_AI_Accelerator_Power'!$J$2:$J$653,'02d_AI_Accelerator_Power'!$B$2:$B$653,A60,'02d_AI_Accelerator_Power'!$C$2:$C$653,B60,'02d_AI_Accelerator_Power'!$D$2:$D$653,C60,'02d_AI_Accelerator_Power'!$F$2:$F$653,"TPU")/I60,0)</f>
        <v/>
      </c>
      <c r="L60" s="6">
        <f>IF(I60&gt;0,SUMIFS('02d_AI_Accelerator_Power'!$J$2:$J$653,'02d_AI_Accelerator_Power'!$B$2:$B$653,A60,'02d_AI_Accelerator_Power'!$C$2:$C$653,B60,'02d_AI_Accelerator_Power'!$D$2:$D$653,C60,'02d_AI_Accelerator_Power'!$F$2:$F$653,"Trainium")/I60,0)</f>
        <v/>
      </c>
      <c r="M60" s="6">
        <f>IF(I60&gt;0,SUMIFS('02d_AI_Accelerator_Power'!$J$2:$J$653,'02d_AI_Accelerator_Power'!$B$2:$B$653,A60,'02d_AI_Accelerator_Power'!$C$2:$C$653,B60,'02d_AI_Accelerator_Power'!$D$2:$D$653,C60,'02d_AI_Accelerator_Power'!$F$2:$F$653,"Maia")/I60,0)</f>
        <v/>
      </c>
      <c r="N60" s="6">
        <f>IF(I60&gt;0,SUMIFS('02d_AI_Accelerator_Power'!$J$2:$J$653,'02d_AI_Accelerator_Power'!$B$2:$B$653,A60,'02d_AI_Accelerator_Power'!$C$2:$C$653,B60,'02d_AI_Accelerator_Power'!$D$2:$D$653,C60,'02d_AI_Accelerator_Power'!$F$2:$F$653,"MTIA")/I60,0)</f>
        <v/>
      </c>
      <c r="O60" s="6">
        <f>IF(I60&gt;0,SUMIFS('02d_AI_Accelerator_Power'!$J$2:$J$653,'02d_AI_Accelerator_Power'!$B$2:$B$653,A60,'02d_AI_Accelerator_Power'!$C$2:$C$653,B60,'02d_AI_Accelerator_Power'!$D$2:$D$653,C60,'02d_AI_Accelerator_Power'!$F$2:$F$653,"Other / unknown accelerator")/I60,0)</f>
        <v/>
      </c>
      <c r="P60" s="3" t="inlineStr">
        <is>
          <t>CSP contract normalized: company inference MW * (CSP total MW * AI contract share * inference share) / company contract inference weight, then multiplied by CSP accelerator rows.</t>
        </is>
      </c>
      <c r="Q60" s="3" t="inlineStr">
        <is>
          <t>csp_contract_share_x_csp_accelerator_mix</t>
        </is>
      </c>
      <c r="R60" s="3" t="inlineStr">
        <is>
          <t>Edit 02a CSP contract allocation, 02b CSP accelerator mix, or 02x accelerator catalog; 03_Calculation reads D:G from this sheet.</t>
        </is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6">
        <f>IF(I61&gt;0,SUMIFS('02d_AI_Accelerator_Power'!$J$2:$J$653,'02d_AI_Accelerator_Power'!$B$2:$B$653,A61,'02d_AI_Accelerator_Power'!$C$2:$C$653,B61,'02d_AI_Accelerator_Power'!$D$2:$D$653,C61,'02d_AI_Accelerator_Power'!$G$2:$G$653,"h200_reference")/I61,0.074919)</f>
        <v/>
      </c>
      <c r="E61" s="6">
        <f>IF(I61&gt;0,SUMIFS('02d_AI_Accelerator_Power'!$J$2:$J$653,'02d_AI_Accelerator_Power'!$B$2:$B$653,A61,'02d_AI_Accelerator_Power'!$C$2:$C$653,B61,'02d_AI_Accelerator_Power'!$D$2:$D$653,C61,'02d_AI_Accelerator_Power'!$G$2:$G$653,"b200_reference")/I61,0.738007)</f>
        <v/>
      </c>
      <c r="F61" s="6">
        <f>IF(I61&gt;0,SUMIFS('02d_AI_Accelerator_Power'!$J$2:$J$653,'02d_AI_Accelerator_Power'!$B$2:$B$653,A61,'02d_AI_Accelerator_Power'!$C$2:$C$653,B61,'02d_AI_Accelerator_Power'!$D$2:$D$653,C61,'02d_AI_Accelerator_Power'!$G$2:$G$653,"gb200_reference")/I61,0.0)</f>
        <v/>
      </c>
      <c r="G61" s="6">
        <f>IF(I61&gt;0,SUMIFS('02d_AI_Accelerator_Power'!$J$2:$J$653,'02d_AI_Accelerator_Power'!$B$2:$B$653,A61,'02d_AI_Accelerator_Power'!$C$2:$C$653,B61,'02d_AI_Accelerator_Power'!$D$2:$D$653,C61,'02d_AI_Accelerator_Power'!$G$2:$G$653,"purpose_or_unbenchmarked")/I61,0.187074)</f>
        <v/>
      </c>
      <c r="H61" s="6">
        <f>SUM(D61:G61)</f>
        <v/>
      </c>
      <c r="I61" s="28">
        <f>SUMIFS('02d_AI_Accelerator_Power'!$J$2:$J$653,'02d_AI_Accelerator_Power'!$B$2:$B$653,A61,'02d_AI_Accelerator_Power'!$C$2:$C$653,B61,'02d_AI_Accelerator_Power'!$D$2:$D$653,C61)</f>
        <v/>
      </c>
      <c r="J61" s="6">
        <f>IF(I61&gt;0,SUMIFS('02d_AI_Accelerator_Power'!$J$2:$J$653,'02d_AI_Accelerator_Power'!$B$2:$B$653,A61,'02d_AI_Accelerator_Power'!$C$2:$C$653,B61,'02d_AI_Accelerator_Power'!$D$2:$D$653,C61,'02d_AI_Accelerator_Power'!$F$2:$F$653,"R200/R300 future")/I61,0)</f>
        <v/>
      </c>
      <c r="K61" s="6">
        <f>IF(I61&gt;0,SUMIFS('02d_AI_Accelerator_Power'!$J$2:$J$653,'02d_AI_Accelerator_Power'!$B$2:$B$653,A61,'02d_AI_Accelerator_Power'!$C$2:$C$653,B61,'02d_AI_Accelerator_Power'!$D$2:$D$653,C61,'02d_AI_Accelerator_Power'!$F$2:$F$653,"TPU")/I61,0)</f>
        <v/>
      </c>
      <c r="L61" s="6">
        <f>IF(I61&gt;0,SUMIFS('02d_AI_Accelerator_Power'!$J$2:$J$653,'02d_AI_Accelerator_Power'!$B$2:$B$653,A61,'02d_AI_Accelerator_Power'!$C$2:$C$653,B61,'02d_AI_Accelerator_Power'!$D$2:$D$653,C61,'02d_AI_Accelerator_Power'!$F$2:$F$653,"Trainium")/I61,0)</f>
        <v/>
      </c>
      <c r="M61" s="6">
        <f>IF(I61&gt;0,SUMIFS('02d_AI_Accelerator_Power'!$J$2:$J$653,'02d_AI_Accelerator_Power'!$B$2:$B$653,A61,'02d_AI_Accelerator_Power'!$C$2:$C$653,B61,'02d_AI_Accelerator_Power'!$D$2:$D$653,C61,'02d_AI_Accelerator_Power'!$F$2:$F$653,"Maia")/I61,0)</f>
        <v/>
      </c>
      <c r="N61" s="6">
        <f>IF(I61&gt;0,SUMIFS('02d_AI_Accelerator_Power'!$J$2:$J$653,'02d_AI_Accelerator_Power'!$B$2:$B$653,A61,'02d_AI_Accelerator_Power'!$C$2:$C$653,B61,'02d_AI_Accelerator_Power'!$D$2:$D$653,C61,'02d_AI_Accelerator_Power'!$F$2:$F$653,"MTIA")/I61,0)</f>
        <v/>
      </c>
      <c r="O61" s="6">
        <f>IF(I61&gt;0,SUMIFS('02d_AI_Accelerator_Power'!$J$2:$J$653,'02d_AI_Accelerator_Power'!$B$2:$B$653,A61,'02d_AI_Accelerator_Power'!$C$2:$C$653,B61,'02d_AI_Accelerator_Power'!$D$2:$D$653,C61,'02d_AI_Accelerator_Power'!$F$2:$F$653,"Other / unknown accelerator")/I61,0)</f>
        <v/>
      </c>
      <c r="P61" s="3" t="inlineStr">
        <is>
          <t>CSP contract normalized: company inference MW * (CSP total MW * AI contract share * inference share) / company contract inference weight, then multiplied by CSP accelerator rows.</t>
        </is>
      </c>
      <c r="Q61" s="3" t="inlineStr">
        <is>
          <t>csp_contract_share_x_csp_accelerator_mix</t>
        </is>
      </c>
      <c r="R61" s="3" t="inlineStr">
        <is>
          <t>Edit 02a CSP contract allocation, 02b CSP accelerator mix, or 02x accelerator catalog; 03_Calculation reads D:G from this sheet.</t>
        </is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6">
        <f>IF(I62&gt;0,SUMIFS('02d_AI_Accelerator_Power'!$J$2:$J$653,'02d_AI_Accelerator_Power'!$B$2:$B$653,A62,'02d_AI_Accelerator_Power'!$C$2:$C$653,B62,'02d_AI_Accelerator_Power'!$D$2:$D$653,C62,'02d_AI_Accelerator_Power'!$G$2:$G$653,"h200_reference")/I62,0.294118)</f>
        <v/>
      </c>
      <c r="E62" s="6">
        <f>IF(I62&gt;0,SUMIFS('02d_AI_Accelerator_Power'!$J$2:$J$653,'02d_AI_Accelerator_Power'!$B$2:$B$653,A62,'02d_AI_Accelerator_Power'!$C$2:$C$653,B62,'02d_AI_Accelerator_Power'!$D$2:$D$653,C62,'02d_AI_Accelerator_Power'!$G$2:$G$653,"b200_reference")/I62,0.705882)</f>
        <v/>
      </c>
      <c r="F62" s="6">
        <f>IF(I62&gt;0,SUMIFS('02d_AI_Accelerator_Power'!$J$2:$J$653,'02d_AI_Accelerator_Power'!$B$2:$B$653,A62,'02d_AI_Accelerator_Power'!$C$2:$C$653,B62,'02d_AI_Accelerator_Power'!$D$2:$D$653,C62,'02d_AI_Accelerator_Power'!$G$2:$G$653,"gb200_reference")/I62,0.0)</f>
        <v/>
      </c>
      <c r="G62" s="6">
        <f>IF(I62&gt;0,SUMIFS('02d_AI_Accelerator_Power'!$J$2:$J$653,'02d_AI_Accelerator_Power'!$B$2:$B$653,A62,'02d_AI_Accelerator_Power'!$C$2:$C$653,B62,'02d_AI_Accelerator_Power'!$D$2:$D$653,C62,'02d_AI_Accelerator_Power'!$G$2:$G$653,"purpose_or_unbenchmarked")/I62,0.0)</f>
        <v/>
      </c>
      <c r="H62" s="6">
        <f>SUM(D62:G62)</f>
        <v/>
      </c>
      <c r="I62" s="28">
        <f>SUMIFS('02d_AI_Accelerator_Power'!$J$2:$J$653,'02d_AI_Accelerator_Power'!$B$2:$B$653,A62,'02d_AI_Accelerator_Power'!$C$2:$C$653,B62,'02d_AI_Accelerator_Power'!$D$2:$D$653,C62)</f>
        <v/>
      </c>
      <c r="J62" s="6">
        <f>IF(I62&gt;0,SUMIFS('02d_AI_Accelerator_Power'!$J$2:$J$653,'02d_AI_Accelerator_Power'!$B$2:$B$653,A62,'02d_AI_Accelerator_Power'!$C$2:$C$653,B62,'02d_AI_Accelerator_Power'!$D$2:$D$653,C62,'02d_AI_Accelerator_Power'!$F$2:$F$653,"R200/R300 future")/I62,0)</f>
        <v/>
      </c>
      <c r="K62" s="6">
        <f>IF(I62&gt;0,SUMIFS('02d_AI_Accelerator_Power'!$J$2:$J$653,'02d_AI_Accelerator_Power'!$B$2:$B$653,A62,'02d_AI_Accelerator_Power'!$C$2:$C$653,B62,'02d_AI_Accelerator_Power'!$D$2:$D$653,C62,'02d_AI_Accelerator_Power'!$F$2:$F$653,"TPU")/I62,0)</f>
        <v/>
      </c>
      <c r="L62" s="6">
        <f>IF(I62&gt;0,SUMIFS('02d_AI_Accelerator_Power'!$J$2:$J$653,'02d_AI_Accelerator_Power'!$B$2:$B$653,A62,'02d_AI_Accelerator_Power'!$C$2:$C$653,B62,'02d_AI_Accelerator_Power'!$D$2:$D$653,C62,'02d_AI_Accelerator_Power'!$F$2:$F$653,"Trainium")/I62,0)</f>
        <v/>
      </c>
      <c r="M62" s="6">
        <f>IF(I62&gt;0,SUMIFS('02d_AI_Accelerator_Power'!$J$2:$J$653,'02d_AI_Accelerator_Power'!$B$2:$B$653,A62,'02d_AI_Accelerator_Power'!$C$2:$C$653,B62,'02d_AI_Accelerator_Power'!$D$2:$D$653,C62,'02d_AI_Accelerator_Power'!$F$2:$F$653,"Maia")/I62,0)</f>
        <v/>
      </c>
      <c r="N62" s="6">
        <f>IF(I62&gt;0,SUMIFS('02d_AI_Accelerator_Power'!$J$2:$J$653,'02d_AI_Accelerator_Power'!$B$2:$B$653,A62,'02d_AI_Accelerator_Power'!$C$2:$C$653,B62,'02d_AI_Accelerator_Power'!$D$2:$D$653,C62,'02d_AI_Accelerator_Power'!$F$2:$F$653,"MTIA")/I62,0)</f>
        <v/>
      </c>
      <c r="O62" s="6">
        <f>IF(I62&gt;0,SUMIFS('02d_AI_Accelerator_Power'!$J$2:$J$653,'02d_AI_Accelerator_Power'!$B$2:$B$653,A62,'02d_AI_Accelerator_Power'!$C$2:$C$653,B62,'02d_AI_Accelerator_Power'!$D$2:$D$653,C62,'02d_AI_Accelerator_Power'!$F$2:$F$653,"Other / unknown accelerator")/I62,0)</f>
        <v/>
      </c>
      <c r="P62" s="3" t="inlineStr">
        <is>
          <t>CSP contract normalized: company inference MW * (CSP total MW * AI contract share * inference share) / company contract inference weight, then multiplied by CSP accelerator rows.</t>
        </is>
      </c>
      <c r="Q62" s="3" t="inlineStr">
        <is>
          <t>csp_contract_share_x_csp_accelerator_mix</t>
        </is>
      </c>
      <c r="R62" s="3" t="inlineStr">
        <is>
          <t>Edit 02a CSP contract allocation, 02b CSP accelerator mix, or 02x accelerator catalog; 03_Calculation reads D:G from this sheet.</t>
        </is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6">
        <f>IF(I63&gt;0,SUMIFS('02d_AI_Accelerator_Power'!$J$2:$J$653,'02d_AI_Accelerator_Power'!$B$2:$B$653,A63,'02d_AI_Accelerator_Power'!$C$2:$C$653,B63,'02d_AI_Accelerator_Power'!$D$2:$D$653,C63,'02d_AI_Accelerator_Power'!$G$2:$G$653,"h200_reference")/I63,0.294118)</f>
        <v/>
      </c>
      <c r="E63" s="6">
        <f>IF(I63&gt;0,SUMIFS('02d_AI_Accelerator_Power'!$J$2:$J$653,'02d_AI_Accelerator_Power'!$B$2:$B$653,A63,'02d_AI_Accelerator_Power'!$C$2:$C$653,B63,'02d_AI_Accelerator_Power'!$D$2:$D$653,C63,'02d_AI_Accelerator_Power'!$G$2:$G$653,"b200_reference")/I63,0.705882)</f>
        <v/>
      </c>
      <c r="F63" s="6">
        <f>IF(I63&gt;0,SUMIFS('02d_AI_Accelerator_Power'!$J$2:$J$653,'02d_AI_Accelerator_Power'!$B$2:$B$653,A63,'02d_AI_Accelerator_Power'!$C$2:$C$653,B63,'02d_AI_Accelerator_Power'!$D$2:$D$653,C63,'02d_AI_Accelerator_Power'!$G$2:$G$653,"gb200_reference")/I63,0.0)</f>
        <v/>
      </c>
      <c r="G63" s="6">
        <f>IF(I63&gt;0,SUMIFS('02d_AI_Accelerator_Power'!$J$2:$J$653,'02d_AI_Accelerator_Power'!$B$2:$B$653,A63,'02d_AI_Accelerator_Power'!$C$2:$C$653,B63,'02d_AI_Accelerator_Power'!$D$2:$D$653,C63,'02d_AI_Accelerator_Power'!$G$2:$G$653,"purpose_or_unbenchmarked")/I63,0.0)</f>
        <v/>
      </c>
      <c r="H63" s="6">
        <f>SUM(D63:G63)</f>
        <v/>
      </c>
      <c r="I63" s="28">
        <f>SUMIFS('02d_AI_Accelerator_Power'!$J$2:$J$653,'02d_AI_Accelerator_Power'!$B$2:$B$653,A63,'02d_AI_Accelerator_Power'!$C$2:$C$653,B63,'02d_AI_Accelerator_Power'!$D$2:$D$653,C63)</f>
        <v/>
      </c>
      <c r="J63" s="6">
        <f>IF(I63&gt;0,SUMIFS('02d_AI_Accelerator_Power'!$J$2:$J$653,'02d_AI_Accelerator_Power'!$B$2:$B$653,A63,'02d_AI_Accelerator_Power'!$C$2:$C$653,B63,'02d_AI_Accelerator_Power'!$D$2:$D$653,C63,'02d_AI_Accelerator_Power'!$F$2:$F$653,"R200/R300 future")/I63,0)</f>
        <v/>
      </c>
      <c r="K63" s="6">
        <f>IF(I63&gt;0,SUMIFS('02d_AI_Accelerator_Power'!$J$2:$J$653,'02d_AI_Accelerator_Power'!$B$2:$B$653,A63,'02d_AI_Accelerator_Power'!$C$2:$C$653,B63,'02d_AI_Accelerator_Power'!$D$2:$D$653,C63,'02d_AI_Accelerator_Power'!$F$2:$F$653,"TPU")/I63,0)</f>
        <v/>
      </c>
      <c r="L63" s="6">
        <f>IF(I63&gt;0,SUMIFS('02d_AI_Accelerator_Power'!$J$2:$J$653,'02d_AI_Accelerator_Power'!$B$2:$B$653,A63,'02d_AI_Accelerator_Power'!$C$2:$C$653,B63,'02d_AI_Accelerator_Power'!$D$2:$D$653,C63,'02d_AI_Accelerator_Power'!$F$2:$F$653,"Trainium")/I63,0)</f>
        <v/>
      </c>
      <c r="M63" s="6">
        <f>IF(I63&gt;0,SUMIFS('02d_AI_Accelerator_Power'!$J$2:$J$653,'02d_AI_Accelerator_Power'!$B$2:$B$653,A63,'02d_AI_Accelerator_Power'!$C$2:$C$653,B63,'02d_AI_Accelerator_Power'!$D$2:$D$653,C63,'02d_AI_Accelerator_Power'!$F$2:$F$653,"Maia")/I63,0)</f>
        <v/>
      </c>
      <c r="N63" s="6">
        <f>IF(I63&gt;0,SUMIFS('02d_AI_Accelerator_Power'!$J$2:$J$653,'02d_AI_Accelerator_Power'!$B$2:$B$653,A63,'02d_AI_Accelerator_Power'!$C$2:$C$653,B63,'02d_AI_Accelerator_Power'!$D$2:$D$653,C63,'02d_AI_Accelerator_Power'!$F$2:$F$653,"MTIA")/I63,0)</f>
        <v/>
      </c>
      <c r="O63" s="6">
        <f>IF(I63&gt;0,SUMIFS('02d_AI_Accelerator_Power'!$J$2:$J$653,'02d_AI_Accelerator_Power'!$B$2:$B$653,A63,'02d_AI_Accelerator_Power'!$C$2:$C$653,B63,'02d_AI_Accelerator_Power'!$D$2:$D$653,C63,'02d_AI_Accelerator_Power'!$F$2:$F$653,"Other / unknown accelerator")/I63,0)</f>
        <v/>
      </c>
      <c r="P63" s="3" t="inlineStr">
        <is>
          <t>CSP contract normalized: company inference MW * (CSP total MW * AI contract share * inference share) / company contract inference weight, then multiplied by CSP accelerator rows.</t>
        </is>
      </c>
      <c r="Q63" s="3" t="inlineStr">
        <is>
          <t>csp_contract_share_x_csp_accelerator_mix</t>
        </is>
      </c>
      <c r="R63" s="3" t="inlineStr">
        <is>
          <t>Edit 02a CSP contract allocation, 02b CSP accelerator mix, or 02x accelerator catalog; 03_Calculation reads D:G from this sheet.</t>
        </is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6">
        <f>IF(I64&gt;0,SUMIFS('02d_AI_Accelerator_Power'!$J$2:$J$653,'02d_AI_Accelerator_Power'!$B$2:$B$653,A64,'02d_AI_Accelerator_Power'!$C$2:$C$653,B64,'02d_AI_Accelerator_Power'!$D$2:$D$653,C64,'02d_AI_Accelerator_Power'!$G$2:$G$653,"h200_reference")/I64,0.294118)</f>
        <v/>
      </c>
      <c r="E64" s="6">
        <f>IF(I64&gt;0,SUMIFS('02d_AI_Accelerator_Power'!$J$2:$J$653,'02d_AI_Accelerator_Power'!$B$2:$B$653,A64,'02d_AI_Accelerator_Power'!$C$2:$C$653,B64,'02d_AI_Accelerator_Power'!$D$2:$D$653,C64,'02d_AI_Accelerator_Power'!$G$2:$G$653,"b200_reference")/I64,0.705882)</f>
        <v/>
      </c>
      <c r="F64" s="6">
        <f>IF(I64&gt;0,SUMIFS('02d_AI_Accelerator_Power'!$J$2:$J$653,'02d_AI_Accelerator_Power'!$B$2:$B$653,A64,'02d_AI_Accelerator_Power'!$C$2:$C$653,B64,'02d_AI_Accelerator_Power'!$D$2:$D$653,C64,'02d_AI_Accelerator_Power'!$G$2:$G$653,"gb200_reference")/I64,0.0)</f>
        <v/>
      </c>
      <c r="G64" s="6">
        <f>IF(I64&gt;0,SUMIFS('02d_AI_Accelerator_Power'!$J$2:$J$653,'02d_AI_Accelerator_Power'!$B$2:$B$653,A64,'02d_AI_Accelerator_Power'!$C$2:$C$653,B64,'02d_AI_Accelerator_Power'!$D$2:$D$653,C64,'02d_AI_Accelerator_Power'!$G$2:$G$653,"purpose_or_unbenchmarked")/I64,0.0)</f>
        <v/>
      </c>
      <c r="H64" s="6">
        <f>SUM(D64:G64)</f>
        <v/>
      </c>
      <c r="I64" s="28">
        <f>SUMIFS('02d_AI_Accelerator_Power'!$J$2:$J$653,'02d_AI_Accelerator_Power'!$B$2:$B$653,A64,'02d_AI_Accelerator_Power'!$C$2:$C$653,B64,'02d_AI_Accelerator_Power'!$D$2:$D$653,C64)</f>
        <v/>
      </c>
      <c r="J64" s="6">
        <f>IF(I64&gt;0,SUMIFS('02d_AI_Accelerator_Power'!$J$2:$J$653,'02d_AI_Accelerator_Power'!$B$2:$B$653,A64,'02d_AI_Accelerator_Power'!$C$2:$C$653,B64,'02d_AI_Accelerator_Power'!$D$2:$D$653,C64,'02d_AI_Accelerator_Power'!$F$2:$F$653,"R200/R300 future")/I64,0)</f>
        <v/>
      </c>
      <c r="K64" s="6">
        <f>IF(I64&gt;0,SUMIFS('02d_AI_Accelerator_Power'!$J$2:$J$653,'02d_AI_Accelerator_Power'!$B$2:$B$653,A64,'02d_AI_Accelerator_Power'!$C$2:$C$653,B64,'02d_AI_Accelerator_Power'!$D$2:$D$653,C64,'02d_AI_Accelerator_Power'!$F$2:$F$653,"TPU")/I64,0)</f>
        <v/>
      </c>
      <c r="L64" s="6">
        <f>IF(I64&gt;0,SUMIFS('02d_AI_Accelerator_Power'!$J$2:$J$653,'02d_AI_Accelerator_Power'!$B$2:$B$653,A64,'02d_AI_Accelerator_Power'!$C$2:$C$653,B64,'02d_AI_Accelerator_Power'!$D$2:$D$653,C64,'02d_AI_Accelerator_Power'!$F$2:$F$653,"Trainium")/I64,0)</f>
        <v/>
      </c>
      <c r="M64" s="6">
        <f>IF(I64&gt;0,SUMIFS('02d_AI_Accelerator_Power'!$J$2:$J$653,'02d_AI_Accelerator_Power'!$B$2:$B$653,A64,'02d_AI_Accelerator_Power'!$C$2:$C$653,B64,'02d_AI_Accelerator_Power'!$D$2:$D$653,C64,'02d_AI_Accelerator_Power'!$F$2:$F$653,"Maia")/I64,0)</f>
        <v/>
      </c>
      <c r="N64" s="6">
        <f>IF(I64&gt;0,SUMIFS('02d_AI_Accelerator_Power'!$J$2:$J$653,'02d_AI_Accelerator_Power'!$B$2:$B$653,A64,'02d_AI_Accelerator_Power'!$C$2:$C$653,B64,'02d_AI_Accelerator_Power'!$D$2:$D$653,C64,'02d_AI_Accelerator_Power'!$F$2:$F$653,"MTIA")/I64,0)</f>
        <v/>
      </c>
      <c r="O64" s="6">
        <f>IF(I64&gt;0,SUMIFS('02d_AI_Accelerator_Power'!$J$2:$J$653,'02d_AI_Accelerator_Power'!$B$2:$B$653,A64,'02d_AI_Accelerator_Power'!$C$2:$C$653,B64,'02d_AI_Accelerator_Power'!$D$2:$D$653,C64,'02d_AI_Accelerator_Power'!$F$2:$F$653,"Other / unknown accelerator")/I64,0)</f>
        <v/>
      </c>
      <c r="P64" s="3" t="inlineStr">
        <is>
          <t>CSP contract normalized: company inference MW * (CSP total MW * AI contract share * inference share) / company contract inference weight, then multiplied by CSP accelerator rows.</t>
        </is>
      </c>
      <c r="Q64" s="3" t="inlineStr">
        <is>
          <t>csp_contract_share_x_csp_accelerator_mix</t>
        </is>
      </c>
      <c r="R64" s="3" t="inlineStr">
        <is>
          <t>Edit 02a CSP contract allocation, 02b CSP accelerator mix, or 02x accelerator catalog; 03_Calculation reads D:G from this sheet.</t>
        </is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6">
        <f>IF(I65&gt;0,SUMIFS('02d_AI_Accelerator_Power'!$J$2:$J$653,'02d_AI_Accelerator_Power'!$B$2:$B$653,A65,'02d_AI_Accelerator_Power'!$C$2:$C$653,B65,'02d_AI_Accelerator_Power'!$D$2:$D$653,C65,'02d_AI_Accelerator_Power'!$G$2:$G$653,"h200_reference")/I65,0.294118)</f>
        <v/>
      </c>
      <c r="E65" s="6">
        <f>IF(I65&gt;0,SUMIFS('02d_AI_Accelerator_Power'!$J$2:$J$653,'02d_AI_Accelerator_Power'!$B$2:$B$653,A65,'02d_AI_Accelerator_Power'!$C$2:$C$653,B65,'02d_AI_Accelerator_Power'!$D$2:$D$653,C65,'02d_AI_Accelerator_Power'!$G$2:$G$653,"b200_reference")/I65,0.705882)</f>
        <v/>
      </c>
      <c r="F65" s="6">
        <f>IF(I65&gt;0,SUMIFS('02d_AI_Accelerator_Power'!$J$2:$J$653,'02d_AI_Accelerator_Power'!$B$2:$B$653,A65,'02d_AI_Accelerator_Power'!$C$2:$C$653,B65,'02d_AI_Accelerator_Power'!$D$2:$D$653,C65,'02d_AI_Accelerator_Power'!$G$2:$G$653,"gb200_reference")/I65,0.0)</f>
        <v/>
      </c>
      <c r="G65" s="6">
        <f>IF(I65&gt;0,SUMIFS('02d_AI_Accelerator_Power'!$J$2:$J$653,'02d_AI_Accelerator_Power'!$B$2:$B$653,A65,'02d_AI_Accelerator_Power'!$C$2:$C$653,B65,'02d_AI_Accelerator_Power'!$D$2:$D$653,C65,'02d_AI_Accelerator_Power'!$G$2:$G$653,"purpose_or_unbenchmarked")/I65,0.0)</f>
        <v/>
      </c>
      <c r="H65" s="6">
        <f>SUM(D65:G65)</f>
        <v/>
      </c>
      <c r="I65" s="28">
        <f>SUMIFS('02d_AI_Accelerator_Power'!$J$2:$J$653,'02d_AI_Accelerator_Power'!$B$2:$B$653,A65,'02d_AI_Accelerator_Power'!$C$2:$C$653,B65,'02d_AI_Accelerator_Power'!$D$2:$D$653,C65)</f>
        <v/>
      </c>
      <c r="J65" s="6">
        <f>IF(I65&gt;0,SUMIFS('02d_AI_Accelerator_Power'!$J$2:$J$653,'02d_AI_Accelerator_Power'!$B$2:$B$653,A65,'02d_AI_Accelerator_Power'!$C$2:$C$653,B65,'02d_AI_Accelerator_Power'!$D$2:$D$653,C65,'02d_AI_Accelerator_Power'!$F$2:$F$653,"R200/R300 future")/I65,0)</f>
        <v/>
      </c>
      <c r="K65" s="6">
        <f>IF(I65&gt;0,SUMIFS('02d_AI_Accelerator_Power'!$J$2:$J$653,'02d_AI_Accelerator_Power'!$B$2:$B$653,A65,'02d_AI_Accelerator_Power'!$C$2:$C$653,B65,'02d_AI_Accelerator_Power'!$D$2:$D$653,C65,'02d_AI_Accelerator_Power'!$F$2:$F$653,"TPU")/I65,0)</f>
        <v/>
      </c>
      <c r="L65" s="6">
        <f>IF(I65&gt;0,SUMIFS('02d_AI_Accelerator_Power'!$J$2:$J$653,'02d_AI_Accelerator_Power'!$B$2:$B$653,A65,'02d_AI_Accelerator_Power'!$C$2:$C$653,B65,'02d_AI_Accelerator_Power'!$D$2:$D$653,C65,'02d_AI_Accelerator_Power'!$F$2:$F$653,"Trainium")/I65,0)</f>
        <v/>
      </c>
      <c r="M65" s="6">
        <f>IF(I65&gt;0,SUMIFS('02d_AI_Accelerator_Power'!$J$2:$J$653,'02d_AI_Accelerator_Power'!$B$2:$B$653,A65,'02d_AI_Accelerator_Power'!$C$2:$C$653,B65,'02d_AI_Accelerator_Power'!$D$2:$D$653,C65,'02d_AI_Accelerator_Power'!$F$2:$F$653,"Maia")/I65,0)</f>
        <v/>
      </c>
      <c r="N65" s="6">
        <f>IF(I65&gt;0,SUMIFS('02d_AI_Accelerator_Power'!$J$2:$J$653,'02d_AI_Accelerator_Power'!$B$2:$B$653,A65,'02d_AI_Accelerator_Power'!$C$2:$C$653,B65,'02d_AI_Accelerator_Power'!$D$2:$D$653,C65,'02d_AI_Accelerator_Power'!$F$2:$F$653,"MTIA")/I65,0)</f>
        <v/>
      </c>
      <c r="O65" s="6">
        <f>IF(I65&gt;0,SUMIFS('02d_AI_Accelerator_Power'!$J$2:$J$653,'02d_AI_Accelerator_Power'!$B$2:$B$653,A65,'02d_AI_Accelerator_Power'!$C$2:$C$653,B65,'02d_AI_Accelerator_Power'!$D$2:$D$653,C65,'02d_AI_Accelerator_Power'!$F$2:$F$653,"Other / unknown accelerator")/I65,0)</f>
        <v/>
      </c>
      <c r="P65" s="3" t="inlineStr">
        <is>
          <t>CSP contract normalized: company inference MW * (CSP total MW * AI contract share * inference share) / company contract inference weight, then multiplied by CSP accelerator rows.</t>
        </is>
      </c>
      <c r="Q65" s="3" t="inlineStr">
        <is>
          <t>csp_contract_share_x_csp_accelerator_mix</t>
        </is>
      </c>
      <c r="R65" s="3" t="inlineStr">
        <is>
          <t>Edit 02a CSP contract allocation, 02b CSP accelerator mix, or 02x accelerator catalog; 03_Calculation reads D:G from this sheet.</t>
        </is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6">
        <f>IF(I66&gt;0,SUMIFS('02d_AI_Accelerator_Power'!$J$2:$J$653,'02d_AI_Accelerator_Power'!$B$2:$B$653,A66,'02d_AI_Accelerator_Power'!$C$2:$C$653,B66,'02d_AI_Accelerator_Power'!$D$2:$D$653,C66,'02d_AI_Accelerator_Power'!$G$2:$G$653,"h200_reference")/I66,0.294118)</f>
        <v/>
      </c>
      <c r="E66" s="6">
        <f>IF(I66&gt;0,SUMIFS('02d_AI_Accelerator_Power'!$J$2:$J$653,'02d_AI_Accelerator_Power'!$B$2:$B$653,A66,'02d_AI_Accelerator_Power'!$C$2:$C$653,B66,'02d_AI_Accelerator_Power'!$D$2:$D$653,C66,'02d_AI_Accelerator_Power'!$G$2:$G$653,"b200_reference")/I66,0.705882)</f>
        <v/>
      </c>
      <c r="F66" s="6">
        <f>IF(I66&gt;0,SUMIFS('02d_AI_Accelerator_Power'!$J$2:$J$653,'02d_AI_Accelerator_Power'!$B$2:$B$653,A66,'02d_AI_Accelerator_Power'!$C$2:$C$653,B66,'02d_AI_Accelerator_Power'!$D$2:$D$653,C66,'02d_AI_Accelerator_Power'!$G$2:$G$653,"gb200_reference")/I66,0.0)</f>
        <v/>
      </c>
      <c r="G66" s="6">
        <f>IF(I66&gt;0,SUMIFS('02d_AI_Accelerator_Power'!$J$2:$J$653,'02d_AI_Accelerator_Power'!$B$2:$B$653,A66,'02d_AI_Accelerator_Power'!$C$2:$C$653,B66,'02d_AI_Accelerator_Power'!$D$2:$D$653,C66,'02d_AI_Accelerator_Power'!$G$2:$G$653,"purpose_or_unbenchmarked")/I66,0.0)</f>
        <v/>
      </c>
      <c r="H66" s="6">
        <f>SUM(D66:G66)</f>
        <v/>
      </c>
      <c r="I66" s="28">
        <f>SUMIFS('02d_AI_Accelerator_Power'!$J$2:$J$653,'02d_AI_Accelerator_Power'!$B$2:$B$653,A66,'02d_AI_Accelerator_Power'!$C$2:$C$653,B66,'02d_AI_Accelerator_Power'!$D$2:$D$653,C66)</f>
        <v/>
      </c>
      <c r="J66" s="6">
        <f>IF(I66&gt;0,SUMIFS('02d_AI_Accelerator_Power'!$J$2:$J$653,'02d_AI_Accelerator_Power'!$B$2:$B$653,A66,'02d_AI_Accelerator_Power'!$C$2:$C$653,B66,'02d_AI_Accelerator_Power'!$D$2:$D$653,C66,'02d_AI_Accelerator_Power'!$F$2:$F$653,"R200/R300 future")/I66,0)</f>
        <v/>
      </c>
      <c r="K66" s="6">
        <f>IF(I66&gt;0,SUMIFS('02d_AI_Accelerator_Power'!$J$2:$J$653,'02d_AI_Accelerator_Power'!$B$2:$B$653,A66,'02d_AI_Accelerator_Power'!$C$2:$C$653,B66,'02d_AI_Accelerator_Power'!$D$2:$D$653,C66,'02d_AI_Accelerator_Power'!$F$2:$F$653,"TPU")/I66,0)</f>
        <v/>
      </c>
      <c r="L66" s="6">
        <f>IF(I66&gt;0,SUMIFS('02d_AI_Accelerator_Power'!$J$2:$J$653,'02d_AI_Accelerator_Power'!$B$2:$B$653,A66,'02d_AI_Accelerator_Power'!$C$2:$C$653,B66,'02d_AI_Accelerator_Power'!$D$2:$D$653,C66,'02d_AI_Accelerator_Power'!$F$2:$F$653,"Trainium")/I66,0)</f>
        <v/>
      </c>
      <c r="M66" s="6">
        <f>IF(I66&gt;0,SUMIFS('02d_AI_Accelerator_Power'!$J$2:$J$653,'02d_AI_Accelerator_Power'!$B$2:$B$653,A66,'02d_AI_Accelerator_Power'!$C$2:$C$653,B66,'02d_AI_Accelerator_Power'!$D$2:$D$653,C66,'02d_AI_Accelerator_Power'!$F$2:$F$653,"Maia")/I66,0)</f>
        <v/>
      </c>
      <c r="N66" s="6">
        <f>IF(I66&gt;0,SUMIFS('02d_AI_Accelerator_Power'!$J$2:$J$653,'02d_AI_Accelerator_Power'!$B$2:$B$653,A66,'02d_AI_Accelerator_Power'!$C$2:$C$653,B66,'02d_AI_Accelerator_Power'!$D$2:$D$653,C66,'02d_AI_Accelerator_Power'!$F$2:$F$653,"MTIA")/I66,0)</f>
        <v/>
      </c>
      <c r="O66" s="6">
        <f>IF(I66&gt;0,SUMIFS('02d_AI_Accelerator_Power'!$J$2:$J$653,'02d_AI_Accelerator_Power'!$B$2:$B$653,A66,'02d_AI_Accelerator_Power'!$C$2:$C$653,B66,'02d_AI_Accelerator_Power'!$D$2:$D$653,C66,'02d_AI_Accelerator_Power'!$F$2:$F$653,"Other / unknown accelerator")/I66,0)</f>
        <v/>
      </c>
      <c r="P66" s="3" t="inlineStr">
        <is>
          <t>CSP contract normalized: company inference MW * (CSP total MW * AI contract share * inference share) / company contract inference weight, then multiplied by CSP accelerator rows.</t>
        </is>
      </c>
      <c r="Q66" s="3" t="inlineStr">
        <is>
          <t>csp_contract_share_x_csp_accelerator_mix</t>
        </is>
      </c>
      <c r="R66" s="3" t="inlineStr">
        <is>
          <t>Edit 02a CSP contract allocation, 02b CSP accelerator mix, or 02x accelerator catalog; 03_Calculation reads D:G from this sheet.</t>
        </is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6">
        <f>IF(I67&gt;0,SUMIFS('02d_AI_Accelerator_Power'!$J$2:$J$653,'02d_AI_Accelerator_Power'!$B$2:$B$653,A67,'02d_AI_Accelerator_Power'!$C$2:$C$653,B67,'02d_AI_Accelerator_Power'!$D$2:$D$653,C67,'02d_AI_Accelerator_Power'!$G$2:$G$653,"h200_reference")/I67,0.09216)</f>
        <v/>
      </c>
      <c r="E67" s="6">
        <f>IF(I67&gt;0,SUMIFS('02d_AI_Accelerator_Power'!$J$2:$J$653,'02d_AI_Accelerator_Power'!$B$2:$B$653,A67,'02d_AI_Accelerator_Power'!$C$2:$C$653,B67,'02d_AI_Accelerator_Power'!$D$2:$D$653,C67,'02d_AI_Accelerator_Power'!$G$2:$G$653,"b200_reference")/I67,0.90784)</f>
        <v/>
      </c>
      <c r="F67" s="6">
        <f>IF(I67&gt;0,SUMIFS('02d_AI_Accelerator_Power'!$J$2:$J$653,'02d_AI_Accelerator_Power'!$B$2:$B$653,A67,'02d_AI_Accelerator_Power'!$C$2:$C$653,B67,'02d_AI_Accelerator_Power'!$D$2:$D$653,C67,'02d_AI_Accelerator_Power'!$G$2:$G$653,"gb200_reference")/I67,0.0)</f>
        <v/>
      </c>
      <c r="G67" s="6">
        <f>IF(I67&gt;0,SUMIFS('02d_AI_Accelerator_Power'!$J$2:$J$653,'02d_AI_Accelerator_Power'!$B$2:$B$653,A67,'02d_AI_Accelerator_Power'!$C$2:$C$653,B67,'02d_AI_Accelerator_Power'!$D$2:$D$653,C67,'02d_AI_Accelerator_Power'!$G$2:$G$653,"purpose_or_unbenchmarked")/I67,0.0)</f>
        <v/>
      </c>
      <c r="H67" s="6">
        <f>SUM(D67:G67)</f>
        <v/>
      </c>
      <c r="I67" s="28">
        <f>SUMIFS('02d_AI_Accelerator_Power'!$J$2:$J$653,'02d_AI_Accelerator_Power'!$B$2:$B$653,A67,'02d_AI_Accelerator_Power'!$C$2:$C$653,B67,'02d_AI_Accelerator_Power'!$D$2:$D$653,C67)</f>
        <v/>
      </c>
      <c r="J67" s="6">
        <f>IF(I67&gt;0,SUMIFS('02d_AI_Accelerator_Power'!$J$2:$J$653,'02d_AI_Accelerator_Power'!$B$2:$B$653,A67,'02d_AI_Accelerator_Power'!$C$2:$C$653,B67,'02d_AI_Accelerator_Power'!$D$2:$D$653,C67,'02d_AI_Accelerator_Power'!$F$2:$F$653,"R200/R300 future")/I67,0)</f>
        <v/>
      </c>
      <c r="K67" s="6">
        <f>IF(I67&gt;0,SUMIFS('02d_AI_Accelerator_Power'!$J$2:$J$653,'02d_AI_Accelerator_Power'!$B$2:$B$653,A67,'02d_AI_Accelerator_Power'!$C$2:$C$653,B67,'02d_AI_Accelerator_Power'!$D$2:$D$653,C67,'02d_AI_Accelerator_Power'!$F$2:$F$653,"TPU")/I67,0)</f>
        <v/>
      </c>
      <c r="L67" s="6">
        <f>IF(I67&gt;0,SUMIFS('02d_AI_Accelerator_Power'!$J$2:$J$653,'02d_AI_Accelerator_Power'!$B$2:$B$653,A67,'02d_AI_Accelerator_Power'!$C$2:$C$653,B67,'02d_AI_Accelerator_Power'!$D$2:$D$653,C67,'02d_AI_Accelerator_Power'!$F$2:$F$653,"Trainium")/I67,0)</f>
        <v/>
      </c>
      <c r="M67" s="6">
        <f>IF(I67&gt;0,SUMIFS('02d_AI_Accelerator_Power'!$J$2:$J$653,'02d_AI_Accelerator_Power'!$B$2:$B$653,A67,'02d_AI_Accelerator_Power'!$C$2:$C$653,B67,'02d_AI_Accelerator_Power'!$D$2:$D$653,C67,'02d_AI_Accelerator_Power'!$F$2:$F$653,"Maia")/I67,0)</f>
        <v/>
      </c>
      <c r="N67" s="6">
        <f>IF(I67&gt;0,SUMIFS('02d_AI_Accelerator_Power'!$J$2:$J$653,'02d_AI_Accelerator_Power'!$B$2:$B$653,A67,'02d_AI_Accelerator_Power'!$C$2:$C$653,B67,'02d_AI_Accelerator_Power'!$D$2:$D$653,C67,'02d_AI_Accelerator_Power'!$F$2:$F$653,"MTIA")/I67,0)</f>
        <v/>
      </c>
      <c r="O67" s="6">
        <f>IF(I67&gt;0,SUMIFS('02d_AI_Accelerator_Power'!$J$2:$J$653,'02d_AI_Accelerator_Power'!$B$2:$B$653,A67,'02d_AI_Accelerator_Power'!$C$2:$C$653,B67,'02d_AI_Accelerator_Power'!$D$2:$D$653,C67,'02d_AI_Accelerator_Power'!$F$2:$F$653,"Other / unknown accelerator")/I67,0)</f>
        <v/>
      </c>
      <c r="P67" s="3" t="inlineStr">
        <is>
          <t>CSP contract normalized: company inference MW * (CSP total MW * AI contract share * inference share) / company contract inference weight, then multiplied by CSP accelerator rows.</t>
        </is>
      </c>
      <c r="Q67" s="3" t="inlineStr">
        <is>
          <t>csp_contract_share_x_csp_accelerator_mix</t>
        </is>
      </c>
      <c r="R67" s="3" t="inlineStr">
        <is>
          <t>Edit 02a CSP contract allocation, 02b CSP accelerator mix, or 02x accelerator catalog; 03_Calculation reads D:G from this sheet.</t>
        </is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6">
        <f>IF(I68&gt;0,SUMIFS('02d_AI_Accelerator_Power'!$J$2:$J$653,'02d_AI_Accelerator_Power'!$B$2:$B$653,A68,'02d_AI_Accelerator_Power'!$C$2:$C$653,B68,'02d_AI_Accelerator_Power'!$D$2:$D$653,C68,'02d_AI_Accelerator_Power'!$G$2:$G$653,"h200_reference")/I68,0.069876)</f>
        <v/>
      </c>
      <c r="E68" s="6">
        <f>IF(I68&gt;0,SUMIFS('02d_AI_Accelerator_Power'!$J$2:$J$653,'02d_AI_Accelerator_Power'!$B$2:$B$653,A68,'02d_AI_Accelerator_Power'!$C$2:$C$653,B68,'02d_AI_Accelerator_Power'!$D$2:$D$653,C68,'02d_AI_Accelerator_Power'!$G$2:$G$653,"b200_reference")/I68,0.908192)</f>
        <v/>
      </c>
      <c r="F68" s="6">
        <f>IF(I68&gt;0,SUMIFS('02d_AI_Accelerator_Power'!$J$2:$J$653,'02d_AI_Accelerator_Power'!$B$2:$B$653,A68,'02d_AI_Accelerator_Power'!$C$2:$C$653,B68,'02d_AI_Accelerator_Power'!$D$2:$D$653,C68,'02d_AI_Accelerator_Power'!$G$2:$G$653,"gb200_reference")/I68,0.0)</f>
        <v/>
      </c>
      <c r="G68" s="6">
        <f>IF(I68&gt;0,SUMIFS('02d_AI_Accelerator_Power'!$J$2:$J$653,'02d_AI_Accelerator_Power'!$B$2:$B$653,A68,'02d_AI_Accelerator_Power'!$C$2:$C$653,B68,'02d_AI_Accelerator_Power'!$D$2:$D$653,C68,'02d_AI_Accelerator_Power'!$G$2:$G$653,"purpose_or_unbenchmarked")/I68,0.021932)</f>
        <v/>
      </c>
      <c r="H68" s="6">
        <f>SUM(D68:G68)</f>
        <v/>
      </c>
      <c r="I68" s="28">
        <f>SUMIFS('02d_AI_Accelerator_Power'!$J$2:$J$653,'02d_AI_Accelerator_Power'!$B$2:$B$653,A68,'02d_AI_Accelerator_Power'!$C$2:$C$653,B68,'02d_AI_Accelerator_Power'!$D$2:$D$653,C68)</f>
        <v/>
      </c>
      <c r="J68" s="6">
        <f>IF(I68&gt;0,SUMIFS('02d_AI_Accelerator_Power'!$J$2:$J$653,'02d_AI_Accelerator_Power'!$B$2:$B$653,A68,'02d_AI_Accelerator_Power'!$C$2:$C$653,B68,'02d_AI_Accelerator_Power'!$D$2:$D$653,C68,'02d_AI_Accelerator_Power'!$F$2:$F$653,"R200/R300 future")/I68,0)</f>
        <v/>
      </c>
      <c r="K68" s="6">
        <f>IF(I68&gt;0,SUMIFS('02d_AI_Accelerator_Power'!$J$2:$J$653,'02d_AI_Accelerator_Power'!$B$2:$B$653,A68,'02d_AI_Accelerator_Power'!$C$2:$C$653,B68,'02d_AI_Accelerator_Power'!$D$2:$D$653,C68,'02d_AI_Accelerator_Power'!$F$2:$F$653,"TPU")/I68,0)</f>
        <v/>
      </c>
      <c r="L68" s="6">
        <f>IF(I68&gt;0,SUMIFS('02d_AI_Accelerator_Power'!$J$2:$J$653,'02d_AI_Accelerator_Power'!$B$2:$B$653,A68,'02d_AI_Accelerator_Power'!$C$2:$C$653,B68,'02d_AI_Accelerator_Power'!$D$2:$D$653,C68,'02d_AI_Accelerator_Power'!$F$2:$F$653,"Trainium")/I68,0)</f>
        <v/>
      </c>
      <c r="M68" s="6">
        <f>IF(I68&gt;0,SUMIFS('02d_AI_Accelerator_Power'!$J$2:$J$653,'02d_AI_Accelerator_Power'!$B$2:$B$653,A68,'02d_AI_Accelerator_Power'!$C$2:$C$653,B68,'02d_AI_Accelerator_Power'!$D$2:$D$653,C68,'02d_AI_Accelerator_Power'!$F$2:$F$653,"Maia")/I68,0)</f>
        <v/>
      </c>
      <c r="N68" s="6">
        <f>IF(I68&gt;0,SUMIFS('02d_AI_Accelerator_Power'!$J$2:$J$653,'02d_AI_Accelerator_Power'!$B$2:$B$653,A68,'02d_AI_Accelerator_Power'!$C$2:$C$653,B68,'02d_AI_Accelerator_Power'!$D$2:$D$653,C68,'02d_AI_Accelerator_Power'!$F$2:$F$653,"MTIA")/I68,0)</f>
        <v/>
      </c>
      <c r="O68" s="6">
        <f>IF(I68&gt;0,SUMIFS('02d_AI_Accelerator_Power'!$J$2:$J$653,'02d_AI_Accelerator_Power'!$B$2:$B$653,A68,'02d_AI_Accelerator_Power'!$C$2:$C$653,B68,'02d_AI_Accelerator_Power'!$D$2:$D$653,C68,'02d_AI_Accelerator_Power'!$F$2:$F$653,"Other / unknown accelerator")/I68,0)</f>
        <v/>
      </c>
      <c r="P68" s="3" t="inlineStr">
        <is>
          <t>CSP contract normalized: company inference MW * (CSP total MW * AI contract share * inference share) / company contract inference weight, then multiplied by CSP accelerator rows.</t>
        </is>
      </c>
      <c r="Q68" s="3" t="inlineStr">
        <is>
          <t>csp_contract_share_x_csp_accelerator_mix</t>
        </is>
      </c>
      <c r="R68" s="3" t="inlineStr">
        <is>
          <t>Edit 02a CSP contract allocation, 02b CSP accelerator mix, or 02x accelerator catalog; 03_Calculation reads D:G from this sheet.</t>
        </is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6">
        <f>IF(I69&gt;0,SUMIFS('02d_AI_Accelerator_Power'!$J$2:$J$653,'02d_AI_Accelerator_Power'!$B$2:$B$653,A69,'02d_AI_Accelerator_Power'!$C$2:$C$653,B69,'02d_AI_Accelerator_Power'!$D$2:$D$653,C69,'02d_AI_Accelerator_Power'!$G$2:$G$653,"h200_reference")/I69,0.055734)</f>
        <v/>
      </c>
      <c r="E69" s="6">
        <f>IF(I69&gt;0,SUMIFS('02d_AI_Accelerator_Power'!$J$2:$J$653,'02d_AI_Accelerator_Power'!$B$2:$B$653,A69,'02d_AI_Accelerator_Power'!$C$2:$C$653,B69,'02d_AI_Accelerator_Power'!$D$2:$D$653,C69,'02d_AI_Accelerator_Power'!$G$2:$G$653,"b200_reference")/I69,0.784048)</f>
        <v/>
      </c>
      <c r="F69" s="6">
        <f>IF(I69&gt;0,SUMIFS('02d_AI_Accelerator_Power'!$J$2:$J$653,'02d_AI_Accelerator_Power'!$B$2:$B$653,A69,'02d_AI_Accelerator_Power'!$C$2:$C$653,B69,'02d_AI_Accelerator_Power'!$D$2:$D$653,C69,'02d_AI_Accelerator_Power'!$G$2:$G$653,"gb200_reference")/I69,0.024576)</f>
        <v/>
      </c>
      <c r="G69" s="6">
        <f>IF(I69&gt;0,SUMIFS('02d_AI_Accelerator_Power'!$J$2:$J$653,'02d_AI_Accelerator_Power'!$B$2:$B$653,A69,'02d_AI_Accelerator_Power'!$C$2:$C$653,B69,'02d_AI_Accelerator_Power'!$D$2:$D$653,C69,'02d_AI_Accelerator_Power'!$G$2:$G$653,"purpose_or_unbenchmarked")/I69,0.135642)</f>
        <v/>
      </c>
      <c r="H69" s="6">
        <f>SUM(D69:G69)</f>
        <v/>
      </c>
      <c r="I69" s="28">
        <f>SUMIFS('02d_AI_Accelerator_Power'!$J$2:$J$653,'02d_AI_Accelerator_Power'!$B$2:$B$653,A69,'02d_AI_Accelerator_Power'!$C$2:$C$653,B69,'02d_AI_Accelerator_Power'!$D$2:$D$653,C69)</f>
        <v/>
      </c>
      <c r="J69" s="6">
        <f>IF(I69&gt;0,SUMIFS('02d_AI_Accelerator_Power'!$J$2:$J$653,'02d_AI_Accelerator_Power'!$B$2:$B$653,A69,'02d_AI_Accelerator_Power'!$C$2:$C$653,B69,'02d_AI_Accelerator_Power'!$D$2:$D$653,C69,'02d_AI_Accelerator_Power'!$F$2:$F$653,"R200/R300 future")/I69,0)</f>
        <v/>
      </c>
      <c r="K69" s="6">
        <f>IF(I69&gt;0,SUMIFS('02d_AI_Accelerator_Power'!$J$2:$J$653,'02d_AI_Accelerator_Power'!$B$2:$B$653,A69,'02d_AI_Accelerator_Power'!$C$2:$C$653,B69,'02d_AI_Accelerator_Power'!$D$2:$D$653,C69,'02d_AI_Accelerator_Power'!$F$2:$F$653,"TPU")/I69,0)</f>
        <v/>
      </c>
      <c r="L69" s="6">
        <f>IF(I69&gt;0,SUMIFS('02d_AI_Accelerator_Power'!$J$2:$J$653,'02d_AI_Accelerator_Power'!$B$2:$B$653,A69,'02d_AI_Accelerator_Power'!$C$2:$C$653,B69,'02d_AI_Accelerator_Power'!$D$2:$D$653,C69,'02d_AI_Accelerator_Power'!$F$2:$F$653,"Trainium")/I69,0)</f>
        <v/>
      </c>
      <c r="M69" s="6">
        <f>IF(I69&gt;0,SUMIFS('02d_AI_Accelerator_Power'!$J$2:$J$653,'02d_AI_Accelerator_Power'!$B$2:$B$653,A69,'02d_AI_Accelerator_Power'!$C$2:$C$653,B69,'02d_AI_Accelerator_Power'!$D$2:$D$653,C69,'02d_AI_Accelerator_Power'!$F$2:$F$653,"Maia")/I69,0)</f>
        <v/>
      </c>
      <c r="N69" s="6">
        <f>IF(I69&gt;0,SUMIFS('02d_AI_Accelerator_Power'!$J$2:$J$653,'02d_AI_Accelerator_Power'!$B$2:$B$653,A69,'02d_AI_Accelerator_Power'!$C$2:$C$653,B69,'02d_AI_Accelerator_Power'!$D$2:$D$653,C69,'02d_AI_Accelerator_Power'!$F$2:$F$653,"MTIA")/I69,0)</f>
        <v/>
      </c>
      <c r="O69" s="6">
        <f>IF(I69&gt;0,SUMIFS('02d_AI_Accelerator_Power'!$J$2:$J$653,'02d_AI_Accelerator_Power'!$B$2:$B$653,A69,'02d_AI_Accelerator_Power'!$C$2:$C$653,B69,'02d_AI_Accelerator_Power'!$D$2:$D$653,C69,'02d_AI_Accelerator_Power'!$F$2:$F$653,"Other / unknown accelerator")/I69,0)</f>
        <v/>
      </c>
      <c r="P69" s="3" t="inlineStr">
        <is>
          <t>CSP contract normalized: company inference MW * (CSP total MW * AI contract share * inference share) / company contract inference weight, then multiplied by CSP accelerator rows.</t>
        </is>
      </c>
      <c r="Q69" s="3" t="inlineStr">
        <is>
          <t>csp_contract_share_x_csp_accelerator_mix</t>
        </is>
      </c>
      <c r="R69" s="3" t="inlineStr">
        <is>
          <t>Edit 02a CSP contract allocation, 02b CSP accelerator mix, or 02x accelerator catalog; 03_Calculation reads D:G from this sheet.</t>
        </is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6">
        <f>IF(I70&gt;0,SUMIFS('02d_AI_Accelerator_Power'!$J$2:$J$653,'02d_AI_Accelerator_Power'!$B$2:$B$653,A70,'02d_AI_Accelerator_Power'!$C$2:$C$653,B70,'02d_AI_Accelerator_Power'!$D$2:$D$653,C70,'02d_AI_Accelerator_Power'!$G$2:$G$653,"h200_reference")/I70,0.045663)</f>
        <v/>
      </c>
      <c r="E70" s="6">
        <f>IF(I70&gt;0,SUMIFS('02d_AI_Accelerator_Power'!$J$2:$J$653,'02d_AI_Accelerator_Power'!$B$2:$B$653,A70,'02d_AI_Accelerator_Power'!$C$2:$C$653,B70,'02d_AI_Accelerator_Power'!$D$2:$D$653,C70,'02d_AI_Accelerator_Power'!$G$2:$G$653,"b200_reference")/I70,0.790096)</f>
        <v/>
      </c>
      <c r="F70" s="6">
        <f>IF(I70&gt;0,SUMIFS('02d_AI_Accelerator_Power'!$J$2:$J$653,'02d_AI_Accelerator_Power'!$B$2:$B$653,A70,'02d_AI_Accelerator_Power'!$C$2:$C$653,B70,'02d_AI_Accelerator_Power'!$D$2:$D$653,C70,'02d_AI_Accelerator_Power'!$G$2:$G$653,"gb200_reference")/I70,0.033546)</f>
        <v/>
      </c>
      <c r="G70" s="6">
        <f>IF(I70&gt;0,SUMIFS('02d_AI_Accelerator_Power'!$J$2:$J$653,'02d_AI_Accelerator_Power'!$B$2:$B$653,A70,'02d_AI_Accelerator_Power'!$C$2:$C$653,B70,'02d_AI_Accelerator_Power'!$D$2:$D$653,C70,'02d_AI_Accelerator_Power'!$G$2:$G$653,"purpose_or_unbenchmarked")/I70,0.130695)</f>
        <v/>
      </c>
      <c r="H70" s="6">
        <f>SUM(D70:G70)</f>
        <v/>
      </c>
      <c r="I70" s="28">
        <f>SUMIFS('02d_AI_Accelerator_Power'!$J$2:$J$653,'02d_AI_Accelerator_Power'!$B$2:$B$653,A70,'02d_AI_Accelerator_Power'!$C$2:$C$653,B70,'02d_AI_Accelerator_Power'!$D$2:$D$653,C70)</f>
        <v/>
      </c>
      <c r="J70" s="6">
        <f>IF(I70&gt;0,SUMIFS('02d_AI_Accelerator_Power'!$J$2:$J$653,'02d_AI_Accelerator_Power'!$B$2:$B$653,A70,'02d_AI_Accelerator_Power'!$C$2:$C$653,B70,'02d_AI_Accelerator_Power'!$D$2:$D$653,C70,'02d_AI_Accelerator_Power'!$F$2:$F$653,"R200/R300 future")/I70,0)</f>
        <v/>
      </c>
      <c r="K70" s="6">
        <f>IF(I70&gt;0,SUMIFS('02d_AI_Accelerator_Power'!$J$2:$J$653,'02d_AI_Accelerator_Power'!$B$2:$B$653,A70,'02d_AI_Accelerator_Power'!$C$2:$C$653,B70,'02d_AI_Accelerator_Power'!$D$2:$D$653,C70,'02d_AI_Accelerator_Power'!$F$2:$F$653,"TPU")/I70,0)</f>
        <v/>
      </c>
      <c r="L70" s="6">
        <f>IF(I70&gt;0,SUMIFS('02d_AI_Accelerator_Power'!$J$2:$J$653,'02d_AI_Accelerator_Power'!$B$2:$B$653,A70,'02d_AI_Accelerator_Power'!$C$2:$C$653,B70,'02d_AI_Accelerator_Power'!$D$2:$D$653,C70,'02d_AI_Accelerator_Power'!$F$2:$F$653,"Trainium")/I70,0)</f>
        <v/>
      </c>
      <c r="M70" s="6">
        <f>IF(I70&gt;0,SUMIFS('02d_AI_Accelerator_Power'!$J$2:$J$653,'02d_AI_Accelerator_Power'!$B$2:$B$653,A70,'02d_AI_Accelerator_Power'!$C$2:$C$653,B70,'02d_AI_Accelerator_Power'!$D$2:$D$653,C70,'02d_AI_Accelerator_Power'!$F$2:$F$653,"Maia")/I70,0)</f>
        <v/>
      </c>
      <c r="N70" s="6">
        <f>IF(I70&gt;0,SUMIFS('02d_AI_Accelerator_Power'!$J$2:$J$653,'02d_AI_Accelerator_Power'!$B$2:$B$653,A70,'02d_AI_Accelerator_Power'!$C$2:$C$653,B70,'02d_AI_Accelerator_Power'!$D$2:$D$653,C70,'02d_AI_Accelerator_Power'!$F$2:$F$653,"MTIA")/I70,0)</f>
        <v/>
      </c>
      <c r="O70" s="6">
        <f>IF(I70&gt;0,SUMIFS('02d_AI_Accelerator_Power'!$J$2:$J$653,'02d_AI_Accelerator_Power'!$B$2:$B$653,A70,'02d_AI_Accelerator_Power'!$C$2:$C$653,B70,'02d_AI_Accelerator_Power'!$D$2:$D$653,C70,'02d_AI_Accelerator_Power'!$F$2:$F$653,"Other / unknown accelerator")/I70,0)</f>
        <v/>
      </c>
      <c r="P70" s="3" t="inlineStr">
        <is>
          <t>CSP contract normalized: company inference MW * (CSP total MW * AI contract share * inference share) / company contract inference weight, then multiplied by CSP accelerator rows.</t>
        </is>
      </c>
      <c r="Q70" s="3" t="inlineStr">
        <is>
          <t>csp_contract_share_x_csp_accelerator_mix</t>
        </is>
      </c>
      <c r="R70" s="3" t="inlineStr">
        <is>
          <t>Edit 02a CSP contract allocation, 02b CSP accelerator mix, or 02x accelerator catalog; 03_Calculation reads D:G from this sheet.</t>
        </is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6">
        <f>IF(I71&gt;0,SUMIFS('02d_AI_Accelerator_Power'!$J$2:$J$653,'02d_AI_Accelerator_Power'!$B$2:$B$653,A71,'02d_AI_Accelerator_Power'!$C$2:$C$653,B71,'02d_AI_Accelerator_Power'!$D$2:$D$653,C71,'02d_AI_Accelerator_Power'!$G$2:$G$653,"h200_reference")/I71,0.036744)</f>
        <v/>
      </c>
      <c r="E71" s="6">
        <f>IF(I71&gt;0,SUMIFS('02d_AI_Accelerator_Power'!$J$2:$J$653,'02d_AI_Accelerator_Power'!$B$2:$B$653,A71,'02d_AI_Accelerator_Power'!$C$2:$C$653,B71,'02d_AI_Accelerator_Power'!$D$2:$D$653,C71,'02d_AI_Accelerator_Power'!$G$2:$G$653,"b200_reference")/I71,0.789149)</f>
        <v/>
      </c>
      <c r="F71" s="6">
        <f>IF(I71&gt;0,SUMIFS('02d_AI_Accelerator_Power'!$J$2:$J$653,'02d_AI_Accelerator_Power'!$B$2:$B$653,A71,'02d_AI_Accelerator_Power'!$C$2:$C$653,B71,'02d_AI_Accelerator_Power'!$D$2:$D$653,C71,'02d_AI_Accelerator_Power'!$G$2:$G$653,"gb200_reference")/I71,0.043412)</f>
        <v/>
      </c>
      <c r="G71" s="6">
        <f>IF(I71&gt;0,SUMIFS('02d_AI_Accelerator_Power'!$J$2:$J$653,'02d_AI_Accelerator_Power'!$B$2:$B$653,A71,'02d_AI_Accelerator_Power'!$C$2:$C$653,B71,'02d_AI_Accelerator_Power'!$D$2:$D$653,C71,'02d_AI_Accelerator_Power'!$G$2:$G$653,"purpose_or_unbenchmarked")/I71,0.130695)</f>
        <v/>
      </c>
      <c r="H71" s="6">
        <f>SUM(D71:G71)</f>
        <v/>
      </c>
      <c r="I71" s="28">
        <f>SUMIFS('02d_AI_Accelerator_Power'!$J$2:$J$653,'02d_AI_Accelerator_Power'!$B$2:$B$653,A71,'02d_AI_Accelerator_Power'!$C$2:$C$653,B71,'02d_AI_Accelerator_Power'!$D$2:$D$653,C71)</f>
        <v/>
      </c>
      <c r="J71" s="6">
        <f>IF(I71&gt;0,SUMIFS('02d_AI_Accelerator_Power'!$J$2:$J$653,'02d_AI_Accelerator_Power'!$B$2:$B$653,A71,'02d_AI_Accelerator_Power'!$C$2:$C$653,B71,'02d_AI_Accelerator_Power'!$D$2:$D$653,C71,'02d_AI_Accelerator_Power'!$F$2:$F$653,"R200/R300 future")/I71,0)</f>
        <v/>
      </c>
      <c r="K71" s="6">
        <f>IF(I71&gt;0,SUMIFS('02d_AI_Accelerator_Power'!$J$2:$J$653,'02d_AI_Accelerator_Power'!$B$2:$B$653,A71,'02d_AI_Accelerator_Power'!$C$2:$C$653,B71,'02d_AI_Accelerator_Power'!$D$2:$D$653,C71,'02d_AI_Accelerator_Power'!$F$2:$F$653,"TPU")/I71,0)</f>
        <v/>
      </c>
      <c r="L71" s="6">
        <f>IF(I71&gt;0,SUMIFS('02d_AI_Accelerator_Power'!$J$2:$J$653,'02d_AI_Accelerator_Power'!$B$2:$B$653,A71,'02d_AI_Accelerator_Power'!$C$2:$C$653,B71,'02d_AI_Accelerator_Power'!$D$2:$D$653,C71,'02d_AI_Accelerator_Power'!$F$2:$F$653,"Trainium")/I71,0)</f>
        <v/>
      </c>
      <c r="M71" s="6">
        <f>IF(I71&gt;0,SUMIFS('02d_AI_Accelerator_Power'!$J$2:$J$653,'02d_AI_Accelerator_Power'!$B$2:$B$653,A71,'02d_AI_Accelerator_Power'!$C$2:$C$653,B71,'02d_AI_Accelerator_Power'!$D$2:$D$653,C71,'02d_AI_Accelerator_Power'!$F$2:$F$653,"Maia")/I71,0)</f>
        <v/>
      </c>
      <c r="N71" s="6">
        <f>IF(I71&gt;0,SUMIFS('02d_AI_Accelerator_Power'!$J$2:$J$653,'02d_AI_Accelerator_Power'!$B$2:$B$653,A71,'02d_AI_Accelerator_Power'!$C$2:$C$653,B71,'02d_AI_Accelerator_Power'!$D$2:$D$653,C71,'02d_AI_Accelerator_Power'!$F$2:$F$653,"MTIA")/I71,0)</f>
        <v/>
      </c>
      <c r="O71" s="6">
        <f>IF(I71&gt;0,SUMIFS('02d_AI_Accelerator_Power'!$J$2:$J$653,'02d_AI_Accelerator_Power'!$B$2:$B$653,A71,'02d_AI_Accelerator_Power'!$C$2:$C$653,B71,'02d_AI_Accelerator_Power'!$D$2:$D$653,C71,'02d_AI_Accelerator_Power'!$F$2:$F$653,"Other / unknown accelerator")/I71,0)</f>
        <v/>
      </c>
      <c r="P71" s="3" t="inlineStr">
        <is>
          <t>CSP contract normalized: company inference MW * (CSP total MW * AI contract share * inference share) / company contract inference weight, then multiplied by CSP accelerator rows.</t>
        </is>
      </c>
      <c r="Q71" s="3" t="inlineStr">
        <is>
          <t>csp_contract_share_x_csp_accelerator_mix</t>
        </is>
      </c>
      <c r="R71" s="3" t="inlineStr">
        <is>
          <t>Edit 02a CSP contract allocation, 02b CSP accelerator mix, or 02x accelerator catalog; 03_Calculation reads D:G from this sheet.</t>
        </is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6">
        <f>IF(I72&gt;0,SUMIFS('02d_AI_Accelerator_Power'!$J$2:$J$653,'02d_AI_Accelerator_Power'!$B$2:$B$653,A72,'02d_AI_Accelerator_Power'!$C$2:$C$653,B72,'02d_AI_Accelerator_Power'!$D$2:$D$653,C72,'02d_AI_Accelerator_Power'!$G$2:$G$653,"h200_reference")/I72,0.114987)</f>
        <v/>
      </c>
      <c r="E72" s="6">
        <f>IF(I72&gt;0,SUMIFS('02d_AI_Accelerator_Power'!$J$2:$J$653,'02d_AI_Accelerator_Power'!$B$2:$B$653,A72,'02d_AI_Accelerator_Power'!$C$2:$C$653,B72,'02d_AI_Accelerator_Power'!$D$2:$D$653,C72,'02d_AI_Accelerator_Power'!$G$2:$G$653,"b200_reference")/I72,0.227101)</f>
        <v/>
      </c>
      <c r="F72" s="6">
        <f>IF(I72&gt;0,SUMIFS('02d_AI_Accelerator_Power'!$J$2:$J$653,'02d_AI_Accelerator_Power'!$B$2:$B$653,A72,'02d_AI_Accelerator_Power'!$C$2:$C$653,B72,'02d_AI_Accelerator_Power'!$D$2:$D$653,C72,'02d_AI_Accelerator_Power'!$G$2:$G$653,"gb200_reference")/I72,0.0)</f>
        <v/>
      </c>
      <c r="G72" s="6">
        <f>IF(I72&gt;0,SUMIFS('02d_AI_Accelerator_Power'!$J$2:$J$653,'02d_AI_Accelerator_Power'!$B$2:$B$653,A72,'02d_AI_Accelerator_Power'!$C$2:$C$653,B72,'02d_AI_Accelerator_Power'!$D$2:$D$653,C72,'02d_AI_Accelerator_Power'!$G$2:$G$653,"purpose_or_unbenchmarked")/I72,0.657912)</f>
        <v/>
      </c>
      <c r="H72" s="6">
        <f>SUM(D72:G72)</f>
        <v/>
      </c>
      <c r="I72" s="28">
        <f>SUMIFS('02d_AI_Accelerator_Power'!$J$2:$J$653,'02d_AI_Accelerator_Power'!$B$2:$B$653,A72,'02d_AI_Accelerator_Power'!$C$2:$C$653,B72,'02d_AI_Accelerator_Power'!$D$2:$D$653,C72)</f>
        <v/>
      </c>
      <c r="J72" s="6">
        <f>IF(I72&gt;0,SUMIFS('02d_AI_Accelerator_Power'!$J$2:$J$653,'02d_AI_Accelerator_Power'!$B$2:$B$653,A72,'02d_AI_Accelerator_Power'!$C$2:$C$653,B72,'02d_AI_Accelerator_Power'!$D$2:$D$653,C72,'02d_AI_Accelerator_Power'!$F$2:$F$653,"R200/R300 future")/I72,0)</f>
        <v/>
      </c>
      <c r="K72" s="6">
        <f>IF(I72&gt;0,SUMIFS('02d_AI_Accelerator_Power'!$J$2:$J$653,'02d_AI_Accelerator_Power'!$B$2:$B$653,A72,'02d_AI_Accelerator_Power'!$C$2:$C$653,B72,'02d_AI_Accelerator_Power'!$D$2:$D$653,C72,'02d_AI_Accelerator_Power'!$F$2:$F$653,"TPU")/I72,0)</f>
        <v/>
      </c>
      <c r="L72" s="6">
        <f>IF(I72&gt;0,SUMIFS('02d_AI_Accelerator_Power'!$J$2:$J$653,'02d_AI_Accelerator_Power'!$B$2:$B$653,A72,'02d_AI_Accelerator_Power'!$C$2:$C$653,B72,'02d_AI_Accelerator_Power'!$D$2:$D$653,C72,'02d_AI_Accelerator_Power'!$F$2:$F$653,"Trainium")/I72,0)</f>
        <v/>
      </c>
      <c r="M72" s="6">
        <f>IF(I72&gt;0,SUMIFS('02d_AI_Accelerator_Power'!$J$2:$J$653,'02d_AI_Accelerator_Power'!$B$2:$B$653,A72,'02d_AI_Accelerator_Power'!$C$2:$C$653,B72,'02d_AI_Accelerator_Power'!$D$2:$D$653,C72,'02d_AI_Accelerator_Power'!$F$2:$F$653,"Maia")/I72,0)</f>
        <v/>
      </c>
      <c r="N72" s="6">
        <f>IF(I72&gt;0,SUMIFS('02d_AI_Accelerator_Power'!$J$2:$J$653,'02d_AI_Accelerator_Power'!$B$2:$B$653,A72,'02d_AI_Accelerator_Power'!$C$2:$C$653,B72,'02d_AI_Accelerator_Power'!$D$2:$D$653,C72,'02d_AI_Accelerator_Power'!$F$2:$F$653,"MTIA")/I72,0)</f>
        <v/>
      </c>
      <c r="O72" s="6">
        <f>IF(I72&gt;0,SUMIFS('02d_AI_Accelerator_Power'!$J$2:$J$653,'02d_AI_Accelerator_Power'!$B$2:$B$653,A72,'02d_AI_Accelerator_Power'!$C$2:$C$653,B72,'02d_AI_Accelerator_Power'!$D$2:$D$653,C72,'02d_AI_Accelerator_Power'!$F$2:$F$653,"Other / unknown accelerator")/I72,0)</f>
        <v/>
      </c>
      <c r="P72" s="3" t="inlineStr">
        <is>
          <t>CSP contract normalized: company inference MW * (CSP total MW * AI contract share * inference share) / company contract inference weight, then multiplied by CSP accelerator rows.</t>
        </is>
      </c>
      <c r="Q72" s="3" t="inlineStr">
        <is>
          <t>csp_contract_share_x_csp_accelerator_mix</t>
        </is>
      </c>
      <c r="R72" s="3" t="inlineStr">
        <is>
          <t>Edit 02a CSP contract allocation, 02b CSP accelerator mix, or 02x accelerator catalog; 03_Calculation reads D:G from this sheet.</t>
        </is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6">
        <f>IF(I73&gt;0,SUMIFS('02d_AI_Accelerator_Power'!$J$2:$J$653,'02d_AI_Accelerator_Power'!$B$2:$B$653,A73,'02d_AI_Accelerator_Power'!$C$2:$C$653,B73,'02d_AI_Accelerator_Power'!$D$2:$D$653,C73,'02d_AI_Accelerator_Power'!$G$2:$G$653,"h200_reference")/I73,0.120505)</f>
        <v/>
      </c>
      <c r="E73" s="6">
        <f>IF(I73&gt;0,SUMIFS('02d_AI_Accelerator_Power'!$J$2:$J$653,'02d_AI_Accelerator_Power'!$B$2:$B$653,A73,'02d_AI_Accelerator_Power'!$C$2:$C$653,B73,'02d_AI_Accelerator_Power'!$D$2:$D$653,C73,'02d_AI_Accelerator_Power'!$G$2:$G$653,"b200_reference")/I73,0.215994)</f>
        <v/>
      </c>
      <c r="F73" s="6">
        <f>IF(I73&gt;0,SUMIFS('02d_AI_Accelerator_Power'!$J$2:$J$653,'02d_AI_Accelerator_Power'!$B$2:$B$653,A73,'02d_AI_Accelerator_Power'!$C$2:$C$653,B73,'02d_AI_Accelerator_Power'!$D$2:$D$653,C73,'02d_AI_Accelerator_Power'!$G$2:$G$653,"gb200_reference")/I73,0.0)</f>
        <v/>
      </c>
      <c r="G73" s="6">
        <f>IF(I73&gt;0,SUMIFS('02d_AI_Accelerator_Power'!$J$2:$J$653,'02d_AI_Accelerator_Power'!$B$2:$B$653,A73,'02d_AI_Accelerator_Power'!$C$2:$C$653,B73,'02d_AI_Accelerator_Power'!$D$2:$D$653,C73,'02d_AI_Accelerator_Power'!$G$2:$G$653,"purpose_or_unbenchmarked")/I73,0.663501)</f>
        <v/>
      </c>
      <c r="H73" s="6">
        <f>SUM(D73:G73)</f>
        <v/>
      </c>
      <c r="I73" s="28">
        <f>SUMIFS('02d_AI_Accelerator_Power'!$J$2:$J$653,'02d_AI_Accelerator_Power'!$B$2:$B$653,A73,'02d_AI_Accelerator_Power'!$C$2:$C$653,B73,'02d_AI_Accelerator_Power'!$D$2:$D$653,C73)</f>
        <v/>
      </c>
      <c r="J73" s="6">
        <f>IF(I73&gt;0,SUMIFS('02d_AI_Accelerator_Power'!$J$2:$J$653,'02d_AI_Accelerator_Power'!$B$2:$B$653,A73,'02d_AI_Accelerator_Power'!$C$2:$C$653,B73,'02d_AI_Accelerator_Power'!$D$2:$D$653,C73,'02d_AI_Accelerator_Power'!$F$2:$F$653,"R200/R300 future")/I73,0)</f>
        <v/>
      </c>
      <c r="K73" s="6">
        <f>IF(I73&gt;0,SUMIFS('02d_AI_Accelerator_Power'!$J$2:$J$653,'02d_AI_Accelerator_Power'!$B$2:$B$653,A73,'02d_AI_Accelerator_Power'!$C$2:$C$653,B73,'02d_AI_Accelerator_Power'!$D$2:$D$653,C73,'02d_AI_Accelerator_Power'!$F$2:$F$653,"TPU")/I73,0)</f>
        <v/>
      </c>
      <c r="L73" s="6">
        <f>IF(I73&gt;0,SUMIFS('02d_AI_Accelerator_Power'!$J$2:$J$653,'02d_AI_Accelerator_Power'!$B$2:$B$653,A73,'02d_AI_Accelerator_Power'!$C$2:$C$653,B73,'02d_AI_Accelerator_Power'!$D$2:$D$653,C73,'02d_AI_Accelerator_Power'!$F$2:$F$653,"Trainium")/I73,0)</f>
        <v/>
      </c>
      <c r="M73" s="6">
        <f>IF(I73&gt;0,SUMIFS('02d_AI_Accelerator_Power'!$J$2:$J$653,'02d_AI_Accelerator_Power'!$B$2:$B$653,A73,'02d_AI_Accelerator_Power'!$C$2:$C$653,B73,'02d_AI_Accelerator_Power'!$D$2:$D$653,C73,'02d_AI_Accelerator_Power'!$F$2:$F$653,"Maia")/I73,0)</f>
        <v/>
      </c>
      <c r="N73" s="6">
        <f>IF(I73&gt;0,SUMIFS('02d_AI_Accelerator_Power'!$J$2:$J$653,'02d_AI_Accelerator_Power'!$B$2:$B$653,A73,'02d_AI_Accelerator_Power'!$C$2:$C$653,B73,'02d_AI_Accelerator_Power'!$D$2:$D$653,C73,'02d_AI_Accelerator_Power'!$F$2:$F$653,"MTIA")/I73,0)</f>
        <v/>
      </c>
      <c r="O73" s="6">
        <f>IF(I73&gt;0,SUMIFS('02d_AI_Accelerator_Power'!$J$2:$J$653,'02d_AI_Accelerator_Power'!$B$2:$B$653,A73,'02d_AI_Accelerator_Power'!$C$2:$C$653,B73,'02d_AI_Accelerator_Power'!$D$2:$D$653,C73,'02d_AI_Accelerator_Power'!$F$2:$F$653,"Other / unknown accelerator")/I73,0)</f>
        <v/>
      </c>
      <c r="P73" s="3" t="inlineStr">
        <is>
          <t>CSP contract normalized: company inference MW * (CSP total MW * AI contract share * inference share) / company contract inference weight, then multiplied by CSP accelerator rows.</t>
        </is>
      </c>
      <c r="Q73" s="3" t="inlineStr">
        <is>
          <t>csp_contract_share_x_csp_accelerator_mix</t>
        </is>
      </c>
      <c r="R73" s="3" t="inlineStr">
        <is>
          <t>Edit 02a CSP contract allocation, 02b CSP accelerator mix, or 02x accelerator catalog; 03_Calculation reads D:G from this sheet.</t>
        </is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6">
        <f>IF(I74&gt;0,SUMIFS('02d_AI_Accelerator_Power'!$J$2:$J$653,'02d_AI_Accelerator_Power'!$B$2:$B$653,A74,'02d_AI_Accelerator_Power'!$C$2:$C$653,B74,'02d_AI_Accelerator_Power'!$D$2:$D$653,C74,'02d_AI_Accelerator_Power'!$G$2:$G$653,"h200_reference")/I74,0.078841)</f>
        <v/>
      </c>
      <c r="E74" s="6">
        <f>IF(I74&gt;0,SUMIFS('02d_AI_Accelerator_Power'!$J$2:$J$653,'02d_AI_Accelerator_Power'!$B$2:$B$653,A74,'02d_AI_Accelerator_Power'!$C$2:$C$653,B74,'02d_AI_Accelerator_Power'!$D$2:$D$653,C74,'02d_AI_Accelerator_Power'!$G$2:$G$653,"b200_reference")/I74,0.120599)</f>
        <v/>
      </c>
      <c r="F74" s="6">
        <f>IF(I74&gt;0,SUMIFS('02d_AI_Accelerator_Power'!$J$2:$J$653,'02d_AI_Accelerator_Power'!$B$2:$B$653,A74,'02d_AI_Accelerator_Power'!$C$2:$C$653,B74,'02d_AI_Accelerator_Power'!$D$2:$D$653,C74,'02d_AI_Accelerator_Power'!$G$2:$G$653,"gb200_reference")/I74,0.0)</f>
        <v/>
      </c>
      <c r="G74" s="6">
        <f>IF(I74&gt;0,SUMIFS('02d_AI_Accelerator_Power'!$J$2:$J$653,'02d_AI_Accelerator_Power'!$B$2:$B$653,A74,'02d_AI_Accelerator_Power'!$C$2:$C$653,B74,'02d_AI_Accelerator_Power'!$D$2:$D$653,C74,'02d_AI_Accelerator_Power'!$G$2:$G$653,"purpose_or_unbenchmarked")/I74,0.80056)</f>
        <v/>
      </c>
      <c r="H74" s="6">
        <f>SUM(D74:G74)</f>
        <v/>
      </c>
      <c r="I74" s="28">
        <f>SUMIFS('02d_AI_Accelerator_Power'!$J$2:$J$653,'02d_AI_Accelerator_Power'!$B$2:$B$653,A74,'02d_AI_Accelerator_Power'!$C$2:$C$653,B74,'02d_AI_Accelerator_Power'!$D$2:$D$653,C74)</f>
        <v/>
      </c>
      <c r="J74" s="6">
        <f>IF(I74&gt;0,SUMIFS('02d_AI_Accelerator_Power'!$J$2:$J$653,'02d_AI_Accelerator_Power'!$B$2:$B$653,A74,'02d_AI_Accelerator_Power'!$C$2:$C$653,B74,'02d_AI_Accelerator_Power'!$D$2:$D$653,C74,'02d_AI_Accelerator_Power'!$F$2:$F$653,"R200/R300 future")/I74,0)</f>
        <v/>
      </c>
      <c r="K74" s="6">
        <f>IF(I74&gt;0,SUMIFS('02d_AI_Accelerator_Power'!$J$2:$J$653,'02d_AI_Accelerator_Power'!$B$2:$B$653,A74,'02d_AI_Accelerator_Power'!$C$2:$C$653,B74,'02d_AI_Accelerator_Power'!$D$2:$D$653,C74,'02d_AI_Accelerator_Power'!$F$2:$F$653,"TPU")/I74,0)</f>
        <v/>
      </c>
      <c r="L74" s="6">
        <f>IF(I74&gt;0,SUMIFS('02d_AI_Accelerator_Power'!$J$2:$J$653,'02d_AI_Accelerator_Power'!$B$2:$B$653,A74,'02d_AI_Accelerator_Power'!$C$2:$C$653,B74,'02d_AI_Accelerator_Power'!$D$2:$D$653,C74,'02d_AI_Accelerator_Power'!$F$2:$F$653,"Trainium")/I74,0)</f>
        <v/>
      </c>
      <c r="M74" s="6">
        <f>IF(I74&gt;0,SUMIFS('02d_AI_Accelerator_Power'!$J$2:$J$653,'02d_AI_Accelerator_Power'!$B$2:$B$653,A74,'02d_AI_Accelerator_Power'!$C$2:$C$653,B74,'02d_AI_Accelerator_Power'!$D$2:$D$653,C74,'02d_AI_Accelerator_Power'!$F$2:$F$653,"Maia")/I74,0)</f>
        <v/>
      </c>
      <c r="N74" s="6">
        <f>IF(I74&gt;0,SUMIFS('02d_AI_Accelerator_Power'!$J$2:$J$653,'02d_AI_Accelerator_Power'!$B$2:$B$653,A74,'02d_AI_Accelerator_Power'!$C$2:$C$653,B74,'02d_AI_Accelerator_Power'!$D$2:$D$653,C74,'02d_AI_Accelerator_Power'!$F$2:$F$653,"MTIA")/I74,0)</f>
        <v/>
      </c>
      <c r="O74" s="6">
        <f>IF(I74&gt;0,SUMIFS('02d_AI_Accelerator_Power'!$J$2:$J$653,'02d_AI_Accelerator_Power'!$B$2:$B$653,A74,'02d_AI_Accelerator_Power'!$C$2:$C$653,B74,'02d_AI_Accelerator_Power'!$D$2:$D$653,C74,'02d_AI_Accelerator_Power'!$F$2:$F$653,"Other / unknown accelerator")/I74,0)</f>
        <v/>
      </c>
      <c r="P74" s="3" t="inlineStr">
        <is>
          <t>CSP contract normalized: company inference MW * (CSP total MW * AI contract share * inference share) / company contract inference weight, then multiplied by CSP accelerator rows.</t>
        </is>
      </c>
      <c r="Q74" s="3" t="inlineStr">
        <is>
          <t>csp_contract_share_x_csp_accelerator_mix</t>
        </is>
      </c>
      <c r="R74" s="3" t="inlineStr">
        <is>
          <t>Edit 02a CSP contract allocation, 02b CSP accelerator mix, or 02x accelerator catalog; 03_Calculation reads D:G from this sheet.</t>
        </is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6">
        <f>IF(I75&gt;0,SUMIFS('02d_AI_Accelerator_Power'!$J$2:$J$653,'02d_AI_Accelerator_Power'!$B$2:$B$653,A75,'02d_AI_Accelerator_Power'!$C$2:$C$653,B75,'02d_AI_Accelerator_Power'!$D$2:$D$653,C75,'02d_AI_Accelerator_Power'!$G$2:$G$653,"h200_reference")/I75,0.078841)</f>
        <v/>
      </c>
      <c r="E75" s="6">
        <f>IF(I75&gt;0,SUMIFS('02d_AI_Accelerator_Power'!$J$2:$J$653,'02d_AI_Accelerator_Power'!$B$2:$B$653,A75,'02d_AI_Accelerator_Power'!$C$2:$C$653,B75,'02d_AI_Accelerator_Power'!$D$2:$D$653,C75,'02d_AI_Accelerator_Power'!$G$2:$G$653,"b200_reference")/I75,0.120599)</f>
        <v/>
      </c>
      <c r="F75" s="6">
        <f>IF(I75&gt;0,SUMIFS('02d_AI_Accelerator_Power'!$J$2:$J$653,'02d_AI_Accelerator_Power'!$B$2:$B$653,A75,'02d_AI_Accelerator_Power'!$C$2:$C$653,B75,'02d_AI_Accelerator_Power'!$D$2:$D$653,C75,'02d_AI_Accelerator_Power'!$G$2:$G$653,"gb200_reference")/I75,0.0)</f>
        <v/>
      </c>
      <c r="G75" s="6">
        <f>IF(I75&gt;0,SUMIFS('02d_AI_Accelerator_Power'!$J$2:$J$653,'02d_AI_Accelerator_Power'!$B$2:$B$653,A75,'02d_AI_Accelerator_Power'!$C$2:$C$653,B75,'02d_AI_Accelerator_Power'!$D$2:$D$653,C75,'02d_AI_Accelerator_Power'!$G$2:$G$653,"purpose_or_unbenchmarked")/I75,0.80056)</f>
        <v/>
      </c>
      <c r="H75" s="6">
        <f>SUM(D75:G75)</f>
        <v/>
      </c>
      <c r="I75" s="28">
        <f>SUMIFS('02d_AI_Accelerator_Power'!$J$2:$J$653,'02d_AI_Accelerator_Power'!$B$2:$B$653,A75,'02d_AI_Accelerator_Power'!$C$2:$C$653,B75,'02d_AI_Accelerator_Power'!$D$2:$D$653,C75)</f>
        <v/>
      </c>
      <c r="J75" s="6">
        <f>IF(I75&gt;0,SUMIFS('02d_AI_Accelerator_Power'!$J$2:$J$653,'02d_AI_Accelerator_Power'!$B$2:$B$653,A75,'02d_AI_Accelerator_Power'!$C$2:$C$653,B75,'02d_AI_Accelerator_Power'!$D$2:$D$653,C75,'02d_AI_Accelerator_Power'!$F$2:$F$653,"R200/R300 future")/I75,0)</f>
        <v/>
      </c>
      <c r="K75" s="6">
        <f>IF(I75&gt;0,SUMIFS('02d_AI_Accelerator_Power'!$J$2:$J$653,'02d_AI_Accelerator_Power'!$B$2:$B$653,A75,'02d_AI_Accelerator_Power'!$C$2:$C$653,B75,'02d_AI_Accelerator_Power'!$D$2:$D$653,C75,'02d_AI_Accelerator_Power'!$F$2:$F$653,"TPU")/I75,0)</f>
        <v/>
      </c>
      <c r="L75" s="6">
        <f>IF(I75&gt;0,SUMIFS('02d_AI_Accelerator_Power'!$J$2:$J$653,'02d_AI_Accelerator_Power'!$B$2:$B$653,A75,'02d_AI_Accelerator_Power'!$C$2:$C$653,B75,'02d_AI_Accelerator_Power'!$D$2:$D$653,C75,'02d_AI_Accelerator_Power'!$F$2:$F$653,"Trainium")/I75,0)</f>
        <v/>
      </c>
      <c r="M75" s="6">
        <f>IF(I75&gt;0,SUMIFS('02d_AI_Accelerator_Power'!$J$2:$J$653,'02d_AI_Accelerator_Power'!$B$2:$B$653,A75,'02d_AI_Accelerator_Power'!$C$2:$C$653,B75,'02d_AI_Accelerator_Power'!$D$2:$D$653,C75,'02d_AI_Accelerator_Power'!$F$2:$F$653,"Maia")/I75,0)</f>
        <v/>
      </c>
      <c r="N75" s="6">
        <f>IF(I75&gt;0,SUMIFS('02d_AI_Accelerator_Power'!$J$2:$J$653,'02d_AI_Accelerator_Power'!$B$2:$B$653,A75,'02d_AI_Accelerator_Power'!$C$2:$C$653,B75,'02d_AI_Accelerator_Power'!$D$2:$D$653,C75,'02d_AI_Accelerator_Power'!$F$2:$F$653,"MTIA")/I75,0)</f>
        <v/>
      </c>
      <c r="O75" s="6">
        <f>IF(I75&gt;0,SUMIFS('02d_AI_Accelerator_Power'!$J$2:$J$653,'02d_AI_Accelerator_Power'!$B$2:$B$653,A75,'02d_AI_Accelerator_Power'!$C$2:$C$653,B75,'02d_AI_Accelerator_Power'!$D$2:$D$653,C75,'02d_AI_Accelerator_Power'!$F$2:$F$653,"Other / unknown accelerator")/I75,0)</f>
        <v/>
      </c>
      <c r="P75" s="3" t="inlineStr">
        <is>
          <t>CSP contract normalized: company inference MW * (CSP total MW * AI contract share * inference share) / company contract inference weight, then multiplied by CSP accelerator rows.</t>
        </is>
      </c>
      <c r="Q75" s="3" t="inlineStr">
        <is>
          <t>csp_contract_share_x_csp_accelerator_mix</t>
        </is>
      </c>
      <c r="R75" s="3" t="inlineStr">
        <is>
          <t>Edit 02a CSP contract allocation, 02b CSP accelerator mix, or 02x accelerator catalog; 03_Calculation reads D:G from this sheet.</t>
        </is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6">
        <f>IF(I76&gt;0,SUMIFS('02d_AI_Accelerator_Power'!$J$2:$J$653,'02d_AI_Accelerator_Power'!$B$2:$B$653,A76,'02d_AI_Accelerator_Power'!$C$2:$C$653,B76,'02d_AI_Accelerator_Power'!$D$2:$D$653,C76,'02d_AI_Accelerator_Power'!$G$2:$G$653,"h200_reference")/I76,0.078841)</f>
        <v/>
      </c>
      <c r="E76" s="6">
        <f>IF(I76&gt;0,SUMIFS('02d_AI_Accelerator_Power'!$J$2:$J$653,'02d_AI_Accelerator_Power'!$B$2:$B$653,A76,'02d_AI_Accelerator_Power'!$C$2:$C$653,B76,'02d_AI_Accelerator_Power'!$D$2:$D$653,C76,'02d_AI_Accelerator_Power'!$G$2:$G$653,"b200_reference")/I76,0.120599)</f>
        <v/>
      </c>
      <c r="F76" s="6">
        <f>IF(I76&gt;0,SUMIFS('02d_AI_Accelerator_Power'!$J$2:$J$653,'02d_AI_Accelerator_Power'!$B$2:$B$653,A76,'02d_AI_Accelerator_Power'!$C$2:$C$653,B76,'02d_AI_Accelerator_Power'!$D$2:$D$653,C76,'02d_AI_Accelerator_Power'!$G$2:$G$653,"gb200_reference")/I76,0.0)</f>
        <v/>
      </c>
      <c r="G76" s="6">
        <f>IF(I76&gt;0,SUMIFS('02d_AI_Accelerator_Power'!$J$2:$J$653,'02d_AI_Accelerator_Power'!$B$2:$B$653,A76,'02d_AI_Accelerator_Power'!$C$2:$C$653,B76,'02d_AI_Accelerator_Power'!$D$2:$D$653,C76,'02d_AI_Accelerator_Power'!$G$2:$G$653,"purpose_or_unbenchmarked")/I76,0.80056)</f>
        <v/>
      </c>
      <c r="H76" s="6">
        <f>SUM(D76:G76)</f>
        <v/>
      </c>
      <c r="I76" s="28">
        <f>SUMIFS('02d_AI_Accelerator_Power'!$J$2:$J$653,'02d_AI_Accelerator_Power'!$B$2:$B$653,A76,'02d_AI_Accelerator_Power'!$C$2:$C$653,B76,'02d_AI_Accelerator_Power'!$D$2:$D$653,C76)</f>
        <v/>
      </c>
      <c r="J76" s="6">
        <f>IF(I76&gt;0,SUMIFS('02d_AI_Accelerator_Power'!$J$2:$J$653,'02d_AI_Accelerator_Power'!$B$2:$B$653,A76,'02d_AI_Accelerator_Power'!$C$2:$C$653,B76,'02d_AI_Accelerator_Power'!$D$2:$D$653,C76,'02d_AI_Accelerator_Power'!$F$2:$F$653,"R200/R300 future")/I76,0)</f>
        <v/>
      </c>
      <c r="K76" s="6">
        <f>IF(I76&gt;0,SUMIFS('02d_AI_Accelerator_Power'!$J$2:$J$653,'02d_AI_Accelerator_Power'!$B$2:$B$653,A76,'02d_AI_Accelerator_Power'!$C$2:$C$653,B76,'02d_AI_Accelerator_Power'!$D$2:$D$653,C76,'02d_AI_Accelerator_Power'!$F$2:$F$653,"TPU")/I76,0)</f>
        <v/>
      </c>
      <c r="L76" s="6">
        <f>IF(I76&gt;0,SUMIFS('02d_AI_Accelerator_Power'!$J$2:$J$653,'02d_AI_Accelerator_Power'!$B$2:$B$653,A76,'02d_AI_Accelerator_Power'!$C$2:$C$653,B76,'02d_AI_Accelerator_Power'!$D$2:$D$653,C76,'02d_AI_Accelerator_Power'!$F$2:$F$653,"Trainium")/I76,0)</f>
        <v/>
      </c>
      <c r="M76" s="6">
        <f>IF(I76&gt;0,SUMIFS('02d_AI_Accelerator_Power'!$J$2:$J$653,'02d_AI_Accelerator_Power'!$B$2:$B$653,A76,'02d_AI_Accelerator_Power'!$C$2:$C$653,B76,'02d_AI_Accelerator_Power'!$D$2:$D$653,C76,'02d_AI_Accelerator_Power'!$F$2:$F$653,"Maia")/I76,0)</f>
        <v/>
      </c>
      <c r="N76" s="6">
        <f>IF(I76&gt;0,SUMIFS('02d_AI_Accelerator_Power'!$J$2:$J$653,'02d_AI_Accelerator_Power'!$B$2:$B$653,A76,'02d_AI_Accelerator_Power'!$C$2:$C$653,B76,'02d_AI_Accelerator_Power'!$D$2:$D$653,C76,'02d_AI_Accelerator_Power'!$F$2:$F$653,"MTIA")/I76,0)</f>
        <v/>
      </c>
      <c r="O76" s="6">
        <f>IF(I76&gt;0,SUMIFS('02d_AI_Accelerator_Power'!$J$2:$J$653,'02d_AI_Accelerator_Power'!$B$2:$B$653,A76,'02d_AI_Accelerator_Power'!$C$2:$C$653,B76,'02d_AI_Accelerator_Power'!$D$2:$D$653,C76,'02d_AI_Accelerator_Power'!$F$2:$F$653,"Other / unknown accelerator")/I76,0)</f>
        <v/>
      </c>
      <c r="P76" s="3" t="inlineStr">
        <is>
          <t>CSP contract normalized: company inference MW * (CSP total MW * AI contract share * inference share) / company contract inference weight, then multiplied by CSP accelerator rows.</t>
        </is>
      </c>
      <c r="Q76" s="3" t="inlineStr">
        <is>
          <t>csp_contract_share_x_csp_accelerator_mix</t>
        </is>
      </c>
      <c r="R76" s="3" t="inlineStr">
        <is>
          <t>Edit 02a CSP contract allocation, 02b CSP accelerator mix, or 02x accelerator catalog; 03_Calculation reads D:G from this sheet.</t>
        </is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6">
        <f>IF(I77&gt;0,SUMIFS('02d_AI_Accelerator_Power'!$J$2:$J$653,'02d_AI_Accelerator_Power'!$B$2:$B$653,A77,'02d_AI_Accelerator_Power'!$C$2:$C$653,B77,'02d_AI_Accelerator_Power'!$D$2:$D$653,C77,'02d_AI_Accelerator_Power'!$G$2:$G$653,"h200_reference")/I77,0.55)</f>
        <v/>
      </c>
      <c r="E77" s="6">
        <f>IF(I77&gt;0,SUMIFS('02d_AI_Accelerator_Power'!$J$2:$J$653,'02d_AI_Accelerator_Power'!$B$2:$B$653,A77,'02d_AI_Accelerator_Power'!$C$2:$C$653,B77,'02d_AI_Accelerator_Power'!$D$2:$D$653,C77,'02d_AI_Accelerator_Power'!$G$2:$G$653,"b200_reference")/I77,0.4)</f>
        <v/>
      </c>
      <c r="F77" s="6">
        <f>IF(I77&gt;0,SUMIFS('02d_AI_Accelerator_Power'!$J$2:$J$653,'02d_AI_Accelerator_Power'!$B$2:$B$653,A77,'02d_AI_Accelerator_Power'!$C$2:$C$653,B77,'02d_AI_Accelerator_Power'!$D$2:$D$653,C77,'02d_AI_Accelerator_Power'!$G$2:$G$653,"gb200_reference")/I77,0.05)</f>
        <v/>
      </c>
      <c r="G77" s="6">
        <f>IF(I77&gt;0,SUMIFS('02d_AI_Accelerator_Power'!$J$2:$J$653,'02d_AI_Accelerator_Power'!$B$2:$B$653,A77,'02d_AI_Accelerator_Power'!$C$2:$C$653,B77,'02d_AI_Accelerator_Power'!$D$2:$D$653,C77,'02d_AI_Accelerator_Power'!$G$2:$G$653,"purpose_or_unbenchmarked")/I77,0.0)</f>
        <v/>
      </c>
      <c r="H77" s="6">
        <f>SUM(D77:G77)</f>
        <v/>
      </c>
      <c r="I77" s="28">
        <f>SUMIFS('02d_AI_Accelerator_Power'!$J$2:$J$653,'02d_AI_Accelerator_Power'!$B$2:$B$653,A77,'02d_AI_Accelerator_Power'!$C$2:$C$653,B77,'02d_AI_Accelerator_Power'!$D$2:$D$653,C77)</f>
        <v/>
      </c>
      <c r="J77" s="6">
        <f>IF(I77&gt;0,SUMIFS('02d_AI_Accelerator_Power'!$J$2:$J$653,'02d_AI_Accelerator_Power'!$B$2:$B$653,A77,'02d_AI_Accelerator_Power'!$C$2:$C$653,B77,'02d_AI_Accelerator_Power'!$D$2:$D$653,C77,'02d_AI_Accelerator_Power'!$F$2:$F$653,"R200/R300 future")/I77,0)</f>
        <v/>
      </c>
      <c r="K77" s="6">
        <f>IF(I77&gt;0,SUMIFS('02d_AI_Accelerator_Power'!$J$2:$J$653,'02d_AI_Accelerator_Power'!$B$2:$B$653,A77,'02d_AI_Accelerator_Power'!$C$2:$C$653,B77,'02d_AI_Accelerator_Power'!$D$2:$D$653,C77,'02d_AI_Accelerator_Power'!$F$2:$F$653,"TPU")/I77,0)</f>
        <v/>
      </c>
      <c r="L77" s="6">
        <f>IF(I77&gt;0,SUMIFS('02d_AI_Accelerator_Power'!$J$2:$J$653,'02d_AI_Accelerator_Power'!$B$2:$B$653,A77,'02d_AI_Accelerator_Power'!$C$2:$C$653,B77,'02d_AI_Accelerator_Power'!$D$2:$D$653,C77,'02d_AI_Accelerator_Power'!$F$2:$F$653,"Trainium")/I77,0)</f>
        <v/>
      </c>
      <c r="M77" s="6">
        <f>IF(I77&gt;0,SUMIFS('02d_AI_Accelerator_Power'!$J$2:$J$653,'02d_AI_Accelerator_Power'!$B$2:$B$653,A77,'02d_AI_Accelerator_Power'!$C$2:$C$653,B77,'02d_AI_Accelerator_Power'!$D$2:$D$653,C77,'02d_AI_Accelerator_Power'!$F$2:$F$653,"Maia")/I77,0)</f>
        <v/>
      </c>
      <c r="N77" s="6">
        <f>IF(I77&gt;0,SUMIFS('02d_AI_Accelerator_Power'!$J$2:$J$653,'02d_AI_Accelerator_Power'!$B$2:$B$653,A77,'02d_AI_Accelerator_Power'!$C$2:$C$653,B77,'02d_AI_Accelerator_Power'!$D$2:$D$653,C77,'02d_AI_Accelerator_Power'!$F$2:$F$653,"MTIA")/I77,0)</f>
        <v/>
      </c>
      <c r="O77" s="6">
        <f>IF(I77&gt;0,SUMIFS('02d_AI_Accelerator_Power'!$J$2:$J$653,'02d_AI_Accelerator_Power'!$B$2:$B$653,A77,'02d_AI_Accelerator_Power'!$C$2:$C$653,B77,'02d_AI_Accelerator_Power'!$D$2:$D$653,C77,'02d_AI_Accelerator_Power'!$F$2:$F$653,"Other / unknown accelerator")/I77,0)</f>
        <v/>
      </c>
      <c r="P77" s="3" t="inlineStr">
        <is>
          <t>CSP contract normalized: company inference MW * (CSP total MW * AI contract share * inference share) / company contract inference weight, then multiplied by CSP accelerator rows.</t>
        </is>
      </c>
      <c r="Q77" s="3" t="inlineStr">
        <is>
          <t>csp_contract_share_x_csp_accelerator_mix</t>
        </is>
      </c>
      <c r="R77" s="3" t="inlineStr">
        <is>
          <t>Edit 02a CSP contract allocation, 02b CSP accelerator mix, or 02x accelerator catalog; 03_Calculation reads D:G from this sheet.</t>
        </is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6">
        <f>IF(I78&gt;0,SUMIFS('02d_AI_Accelerator_Power'!$J$2:$J$653,'02d_AI_Accelerator_Power'!$B$2:$B$653,A78,'02d_AI_Accelerator_Power'!$C$2:$C$653,B78,'02d_AI_Accelerator_Power'!$D$2:$D$653,C78,'02d_AI_Accelerator_Power'!$G$2:$G$653,"h200_reference")/I78,0.438)</f>
        <v/>
      </c>
      <c r="E78" s="6">
        <f>IF(I78&gt;0,SUMIFS('02d_AI_Accelerator_Power'!$J$2:$J$653,'02d_AI_Accelerator_Power'!$B$2:$B$653,A78,'02d_AI_Accelerator_Power'!$C$2:$C$653,B78,'02d_AI_Accelerator_Power'!$D$2:$D$653,C78,'02d_AI_Accelerator_Power'!$G$2:$G$653,"b200_reference")/I78,0.388)</f>
        <v/>
      </c>
      <c r="F78" s="6">
        <f>IF(I78&gt;0,SUMIFS('02d_AI_Accelerator_Power'!$J$2:$J$653,'02d_AI_Accelerator_Power'!$B$2:$B$653,A78,'02d_AI_Accelerator_Power'!$C$2:$C$653,B78,'02d_AI_Accelerator_Power'!$D$2:$D$653,C78,'02d_AI_Accelerator_Power'!$G$2:$G$653,"gb200_reference")/I78,0.174)</f>
        <v/>
      </c>
      <c r="G78" s="6">
        <f>IF(I78&gt;0,SUMIFS('02d_AI_Accelerator_Power'!$J$2:$J$653,'02d_AI_Accelerator_Power'!$B$2:$B$653,A78,'02d_AI_Accelerator_Power'!$C$2:$C$653,B78,'02d_AI_Accelerator_Power'!$D$2:$D$653,C78,'02d_AI_Accelerator_Power'!$G$2:$G$653,"purpose_or_unbenchmarked")/I78,0.0)</f>
        <v/>
      </c>
      <c r="H78" s="6">
        <f>SUM(D78:G78)</f>
        <v/>
      </c>
      <c r="I78" s="28">
        <f>SUMIFS('02d_AI_Accelerator_Power'!$J$2:$J$653,'02d_AI_Accelerator_Power'!$B$2:$B$653,A78,'02d_AI_Accelerator_Power'!$C$2:$C$653,B78,'02d_AI_Accelerator_Power'!$D$2:$D$653,C78)</f>
        <v/>
      </c>
      <c r="J78" s="6">
        <f>IF(I78&gt;0,SUMIFS('02d_AI_Accelerator_Power'!$J$2:$J$653,'02d_AI_Accelerator_Power'!$B$2:$B$653,A78,'02d_AI_Accelerator_Power'!$C$2:$C$653,B78,'02d_AI_Accelerator_Power'!$D$2:$D$653,C78,'02d_AI_Accelerator_Power'!$F$2:$F$653,"R200/R300 future")/I78,0)</f>
        <v/>
      </c>
      <c r="K78" s="6">
        <f>IF(I78&gt;0,SUMIFS('02d_AI_Accelerator_Power'!$J$2:$J$653,'02d_AI_Accelerator_Power'!$B$2:$B$653,A78,'02d_AI_Accelerator_Power'!$C$2:$C$653,B78,'02d_AI_Accelerator_Power'!$D$2:$D$653,C78,'02d_AI_Accelerator_Power'!$F$2:$F$653,"TPU")/I78,0)</f>
        <v/>
      </c>
      <c r="L78" s="6">
        <f>IF(I78&gt;0,SUMIFS('02d_AI_Accelerator_Power'!$J$2:$J$653,'02d_AI_Accelerator_Power'!$B$2:$B$653,A78,'02d_AI_Accelerator_Power'!$C$2:$C$653,B78,'02d_AI_Accelerator_Power'!$D$2:$D$653,C78,'02d_AI_Accelerator_Power'!$F$2:$F$653,"Trainium")/I78,0)</f>
        <v/>
      </c>
      <c r="M78" s="6">
        <f>IF(I78&gt;0,SUMIFS('02d_AI_Accelerator_Power'!$J$2:$J$653,'02d_AI_Accelerator_Power'!$B$2:$B$653,A78,'02d_AI_Accelerator_Power'!$C$2:$C$653,B78,'02d_AI_Accelerator_Power'!$D$2:$D$653,C78,'02d_AI_Accelerator_Power'!$F$2:$F$653,"Maia")/I78,0)</f>
        <v/>
      </c>
      <c r="N78" s="6">
        <f>IF(I78&gt;0,SUMIFS('02d_AI_Accelerator_Power'!$J$2:$J$653,'02d_AI_Accelerator_Power'!$B$2:$B$653,A78,'02d_AI_Accelerator_Power'!$C$2:$C$653,B78,'02d_AI_Accelerator_Power'!$D$2:$D$653,C78,'02d_AI_Accelerator_Power'!$F$2:$F$653,"MTIA")/I78,0)</f>
        <v/>
      </c>
      <c r="O78" s="6">
        <f>IF(I78&gt;0,SUMIFS('02d_AI_Accelerator_Power'!$J$2:$J$653,'02d_AI_Accelerator_Power'!$B$2:$B$653,A78,'02d_AI_Accelerator_Power'!$C$2:$C$653,B78,'02d_AI_Accelerator_Power'!$D$2:$D$653,C78,'02d_AI_Accelerator_Power'!$F$2:$F$653,"Other / unknown accelerator")/I78,0)</f>
        <v/>
      </c>
      <c r="P78" s="3" t="inlineStr">
        <is>
          <t>CSP contract normalized: company inference MW * (CSP total MW * AI contract share * inference share) / company contract inference weight, then multiplied by CSP accelerator rows.</t>
        </is>
      </c>
      <c r="Q78" s="3" t="inlineStr">
        <is>
          <t>csp_contract_share_x_csp_accelerator_mix</t>
        </is>
      </c>
      <c r="R78" s="3" t="inlineStr">
        <is>
          <t>Edit 02a CSP contract allocation, 02b CSP accelerator mix, or 02x accelerator catalog; 03_Calculation reads D:G from this sheet.</t>
        </is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6">
        <f>IF(I79&gt;0,SUMIFS('02d_AI_Accelerator_Power'!$J$2:$J$653,'02d_AI_Accelerator_Power'!$B$2:$B$653,A79,'02d_AI_Accelerator_Power'!$C$2:$C$653,B79,'02d_AI_Accelerator_Power'!$D$2:$D$653,C79,'02d_AI_Accelerator_Power'!$G$2:$G$653,"h200_reference")/I79,0.325)</f>
        <v/>
      </c>
      <c r="E79" s="6">
        <f>IF(I79&gt;0,SUMIFS('02d_AI_Accelerator_Power'!$J$2:$J$653,'02d_AI_Accelerator_Power'!$B$2:$B$653,A79,'02d_AI_Accelerator_Power'!$C$2:$C$653,B79,'02d_AI_Accelerator_Power'!$D$2:$D$653,C79,'02d_AI_Accelerator_Power'!$G$2:$G$653,"b200_reference")/I79,0.375)</f>
        <v/>
      </c>
      <c r="F79" s="6">
        <f>IF(I79&gt;0,SUMIFS('02d_AI_Accelerator_Power'!$J$2:$J$653,'02d_AI_Accelerator_Power'!$B$2:$B$653,A79,'02d_AI_Accelerator_Power'!$C$2:$C$653,B79,'02d_AI_Accelerator_Power'!$D$2:$D$653,C79,'02d_AI_Accelerator_Power'!$G$2:$G$653,"gb200_reference")/I79,0.3)</f>
        <v/>
      </c>
      <c r="G79" s="6">
        <f>IF(I79&gt;0,SUMIFS('02d_AI_Accelerator_Power'!$J$2:$J$653,'02d_AI_Accelerator_Power'!$B$2:$B$653,A79,'02d_AI_Accelerator_Power'!$C$2:$C$653,B79,'02d_AI_Accelerator_Power'!$D$2:$D$653,C79,'02d_AI_Accelerator_Power'!$G$2:$G$653,"purpose_or_unbenchmarked")/I79,0.0)</f>
        <v/>
      </c>
      <c r="H79" s="6">
        <f>SUM(D79:G79)</f>
        <v/>
      </c>
      <c r="I79" s="28">
        <f>SUMIFS('02d_AI_Accelerator_Power'!$J$2:$J$653,'02d_AI_Accelerator_Power'!$B$2:$B$653,A79,'02d_AI_Accelerator_Power'!$C$2:$C$653,B79,'02d_AI_Accelerator_Power'!$D$2:$D$653,C79)</f>
        <v/>
      </c>
      <c r="J79" s="6">
        <f>IF(I79&gt;0,SUMIFS('02d_AI_Accelerator_Power'!$J$2:$J$653,'02d_AI_Accelerator_Power'!$B$2:$B$653,A79,'02d_AI_Accelerator_Power'!$C$2:$C$653,B79,'02d_AI_Accelerator_Power'!$D$2:$D$653,C79,'02d_AI_Accelerator_Power'!$F$2:$F$653,"R200/R300 future")/I79,0)</f>
        <v/>
      </c>
      <c r="K79" s="6">
        <f>IF(I79&gt;0,SUMIFS('02d_AI_Accelerator_Power'!$J$2:$J$653,'02d_AI_Accelerator_Power'!$B$2:$B$653,A79,'02d_AI_Accelerator_Power'!$C$2:$C$653,B79,'02d_AI_Accelerator_Power'!$D$2:$D$653,C79,'02d_AI_Accelerator_Power'!$F$2:$F$653,"TPU")/I79,0)</f>
        <v/>
      </c>
      <c r="L79" s="6">
        <f>IF(I79&gt;0,SUMIFS('02d_AI_Accelerator_Power'!$J$2:$J$653,'02d_AI_Accelerator_Power'!$B$2:$B$653,A79,'02d_AI_Accelerator_Power'!$C$2:$C$653,B79,'02d_AI_Accelerator_Power'!$D$2:$D$653,C79,'02d_AI_Accelerator_Power'!$F$2:$F$653,"Trainium")/I79,0)</f>
        <v/>
      </c>
      <c r="M79" s="6">
        <f>IF(I79&gt;0,SUMIFS('02d_AI_Accelerator_Power'!$J$2:$J$653,'02d_AI_Accelerator_Power'!$B$2:$B$653,A79,'02d_AI_Accelerator_Power'!$C$2:$C$653,B79,'02d_AI_Accelerator_Power'!$D$2:$D$653,C79,'02d_AI_Accelerator_Power'!$F$2:$F$653,"Maia")/I79,0)</f>
        <v/>
      </c>
      <c r="N79" s="6">
        <f>IF(I79&gt;0,SUMIFS('02d_AI_Accelerator_Power'!$J$2:$J$653,'02d_AI_Accelerator_Power'!$B$2:$B$653,A79,'02d_AI_Accelerator_Power'!$C$2:$C$653,B79,'02d_AI_Accelerator_Power'!$D$2:$D$653,C79,'02d_AI_Accelerator_Power'!$F$2:$F$653,"MTIA")/I79,0)</f>
        <v/>
      </c>
      <c r="O79" s="6">
        <f>IF(I79&gt;0,SUMIFS('02d_AI_Accelerator_Power'!$J$2:$J$653,'02d_AI_Accelerator_Power'!$B$2:$B$653,A79,'02d_AI_Accelerator_Power'!$C$2:$C$653,B79,'02d_AI_Accelerator_Power'!$D$2:$D$653,C79,'02d_AI_Accelerator_Power'!$F$2:$F$653,"Other / unknown accelerator")/I79,0)</f>
        <v/>
      </c>
      <c r="P79" s="3" t="inlineStr">
        <is>
          <t>CSP contract normalized: company inference MW * (CSP total MW * AI contract share * inference share) / company contract inference weight, then multiplied by CSP accelerator rows.</t>
        </is>
      </c>
      <c r="Q79" s="3" t="inlineStr">
        <is>
          <t>csp_contract_share_x_csp_accelerator_mix</t>
        </is>
      </c>
      <c r="R79" s="3" t="inlineStr">
        <is>
          <t>Edit 02a CSP contract allocation, 02b CSP accelerator mix, or 02x accelerator catalog; 03_Calculation reads D:G from this sheet.</t>
        </is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6">
        <f>IF(I80&gt;0,SUMIFS('02d_AI_Accelerator_Power'!$J$2:$J$653,'02d_AI_Accelerator_Power'!$B$2:$B$653,A80,'02d_AI_Accelerator_Power'!$C$2:$C$653,B80,'02d_AI_Accelerator_Power'!$D$2:$D$653,C80,'02d_AI_Accelerator_Power'!$G$2:$G$653,"h200_reference")/I80,0.213)</f>
        <v/>
      </c>
      <c r="E80" s="6">
        <f>IF(I80&gt;0,SUMIFS('02d_AI_Accelerator_Power'!$J$2:$J$653,'02d_AI_Accelerator_Power'!$B$2:$B$653,A80,'02d_AI_Accelerator_Power'!$C$2:$C$653,B80,'02d_AI_Accelerator_Power'!$D$2:$D$653,C80,'02d_AI_Accelerator_Power'!$G$2:$G$653,"b200_reference")/I80,0.362)</f>
        <v/>
      </c>
      <c r="F80" s="6">
        <f>IF(I80&gt;0,SUMIFS('02d_AI_Accelerator_Power'!$J$2:$J$653,'02d_AI_Accelerator_Power'!$B$2:$B$653,A80,'02d_AI_Accelerator_Power'!$C$2:$C$653,B80,'02d_AI_Accelerator_Power'!$D$2:$D$653,C80,'02d_AI_Accelerator_Power'!$G$2:$G$653,"gb200_reference")/I80,0.425)</f>
        <v/>
      </c>
      <c r="G80" s="6">
        <f>IF(I80&gt;0,SUMIFS('02d_AI_Accelerator_Power'!$J$2:$J$653,'02d_AI_Accelerator_Power'!$B$2:$B$653,A80,'02d_AI_Accelerator_Power'!$C$2:$C$653,B80,'02d_AI_Accelerator_Power'!$D$2:$D$653,C80,'02d_AI_Accelerator_Power'!$G$2:$G$653,"purpose_or_unbenchmarked")/I80,0.0)</f>
        <v/>
      </c>
      <c r="H80" s="6">
        <f>SUM(D80:G80)</f>
        <v/>
      </c>
      <c r="I80" s="28">
        <f>SUMIFS('02d_AI_Accelerator_Power'!$J$2:$J$653,'02d_AI_Accelerator_Power'!$B$2:$B$653,A80,'02d_AI_Accelerator_Power'!$C$2:$C$653,B80,'02d_AI_Accelerator_Power'!$D$2:$D$653,C80)</f>
        <v/>
      </c>
      <c r="J80" s="6">
        <f>IF(I80&gt;0,SUMIFS('02d_AI_Accelerator_Power'!$J$2:$J$653,'02d_AI_Accelerator_Power'!$B$2:$B$653,A80,'02d_AI_Accelerator_Power'!$C$2:$C$653,B80,'02d_AI_Accelerator_Power'!$D$2:$D$653,C80,'02d_AI_Accelerator_Power'!$F$2:$F$653,"R200/R300 future")/I80,0)</f>
        <v/>
      </c>
      <c r="K80" s="6">
        <f>IF(I80&gt;0,SUMIFS('02d_AI_Accelerator_Power'!$J$2:$J$653,'02d_AI_Accelerator_Power'!$B$2:$B$653,A80,'02d_AI_Accelerator_Power'!$C$2:$C$653,B80,'02d_AI_Accelerator_Power'!$D$2:$D$653,C80,'02d_AI_Accelerator_Power'!$F$2:$F$653,"TPU")/I80,0)</f>
        <v/>
      </c>
      <c r="L80" s="6">
        <f>IF(I80&gt;0,SUMIFS('02d_AI_Accelerator_Power'!$J$2:$J$653,'02d_AI_Accelerator_Power'!$B$2:$B$653,A80,'02d_AI_Accelerator_Power'!$C$2:$C$653,B80,'02d_AI_Accelerator_Power'!$D$2:$D$653,C80,'02d_AI_Accelerator_Power'!$F$2:$F$653,"Trainium")/I80,0)</f>
        <v/>
      </c>
      <c r="M80" s="6">
        <f>IF(I80&gt;0,SUMIFS('02d_AI_Accelerator_Power'!$J$2:$J$653,'02d_AI_Accelerator_Power'!$B$2:$B$653,A80,'02d_AI_Accelerator_Power'!$C$2:$C$653,B80,'02d_AI_Accelerator_Power'!$D$2:$D$653,C80,'02d_AI_Accelerator_Power'!$F$2:$F$653,"Maia")/I80,0)</f>
        <v/>
      </c>
      <c r="N80" s="6">
        <f>IF(I80&gt;0,SUMIFS('02d_AI_Accelerator_Power'!$J$2:$J$653,'02d_AI_Accelerator_Power'!$B$2:$B$653,A80,'02d_AI_Accelerator_Power'!$C$2:$C$653,B80,'02d_AI_Accelerator_Power'!$D$2:$D$653,C80,'02d_AI_Accelerator_Power'!$F$2:$F$653,"MTIA")/I80,0)</f>
        <v/>
      </c>
      <c r="O80" s="6">
        <f>IF(I80&gt;0,SUMIFS('02d_AI_Accelerator_Power'!$J$2:$J$653,'02d_AI_Accelerator_Power'!$B$2:$B$653,A80,'02d_AI_Accelerator_Power'!$C$2:$C$653,B80,'02d_AI_Accelerator_Power'!$D$2:$D$653,C80,'02d_AI_Accelerator_Power'!$F$2:$F$653,"Other / unknown accelerator")/I80,0)</f>
        <v/>
      </c>
      <c r="P80" s="3" t="inlineStr">
        <is>
          <t>CSP contract normalized: company inference MW * (CSP total MW * AI contract share * inference share) / company contract inference weight, then multiplied by CSP accelerator rows.</t>
        </is>
      </c>
      <c r="Q80" s="3" t="inlineStr">
        <is>
          <t>csp_contract_share_x_csp_accelerator_mix</t>
        </is>
      </c>
      <c r="R80" s="3" t="inlineStr">
        <is>
          <t>Edit 02a CSP contract allocation, 02b CSP accelerator mix, or 02x accelerator catalog; 03_Calculation reads D:G from this sheet.</t>
        </is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6">
        <f>IF(I81&gt;0,SUMIFS('02d_AI_Accelerator_Power'!$J$2:$J$653,'02d_AI_Accelerator_Power'!$B$2:$B$653,A81,'02d_AI_Accelerator_Power'!$C$2:$C$653,B81,'02d_AI_Accelerator_Power'!$D$2:$D$653,C81,'02d_AI_Accelerator_Power'!$G$2:$G$653,"h200_reference")/I81,0.1)</f>
        <v/>
      </c>
      <c r="E81" s="6">
        <f>IF(I81&gt;0,SUMIFS('02d_AI_Accelerator_Power'!$J$2:$J$653,'02d_AI_Accelerator_Power'!$B$2:$B$653,A81,'02d_AI_Accelerator_Power'!$C$2:$C$653,B81,'02d_AI_Accelerator_Power'!$D$2:$D$653,C81,'02d_AI_Accelerator_Power'!$G$2:$G$653,"b200_reference")/I81,0.35)</f>
        <v/>
      </c>
      <c r="F81" s="6">
        <f>IF(I81&gt;0,SUMIFS('02d_AI_Accelerator_Power'!$J$2:$J$653,'02d_AI_Accelerator_Power'!$B$2:$B$653,A81,'02d_AI_Accelerator_Power'!$C$2:$C$653,B81,'02d_AI_Accelerator_Power'!$D$2:$D$653,C81,'02d_AI_Accelerator_Power'!$G$2:$G$653,"gb200_reference")/I81,0.55)</f>
        <v/>
      </c>
      <c r="G81" s="6">
        <f>IF(I81&gt;0,SUMIFS('02d_AI_Accelerator_Power'!$J$2:$J$653,'02d_AI_Accelerator_Power'!$B$2:$B$653,A81,'02d_AI_Accelerator_Power'!$C$2:$C$653,B81,'02d_AI_Accelerator_Power'!$D$2:$D$653,C81,'02d_AI_Accelerator_Power'!$G$2:$G$653,"purpose_or_unbenchmarked")/I81,0.0)</f>
        <v/>
      </c>
      <c r="H81" s="6">
        <f>SUM(D81:G81)</f>
        <v/>
      </c>
      <c r="I81" s="28">
        <f>SUMIFS('02d_AI_Accelerator_Power'!$J$2:$J$653,'02d_AI_Accelerator_Power'!$B$2:$B$653,A81,'02d_AI_Accelerator_Power'!$C$2:$C$653,B81,'02d_AI_Accelerator_Power'!$D$2:$D$653,C81)</f>
        <v/>
      </c>
      <c r="J81" s="6">
        <f>IF(I81&gt;0,SUMIFS('02d_AI_Accelerator_Power'!$J$2:$J$653,'02d_AI_Accelerator_Power'!$B$2:$B$653,A81,'02d_AI_Accelerator_Power'!$C$2:$C$653,B81,'02d_AI_Accelerator_Power'!$D$2:$D$653,C81,'02d_AI_Accelerator_Power'!$F$2:$F$653,"R200/R300 future")/I81,0)</f>
        <v/>
      </c>
      <c r="K81" s="6">
        <f>IF(I81&gt;0,SUMIFS('02d_AI_Accelerator_Power'!$J$2:$J$653,'02d_AI_Accelerator_Power'!$B$2:$B$653,A81,'02d_AI_Accelerator_Power'!$C$2:$C$653,B81,'02d_AI_Accelerator_Power'!$D$2:$D$653,C81,'02d_AI_Accelerator_Power'!$F$2:$F$653,"TPU")/I81,0)</f>
        <v/>
      </c>
      <c r="L81" s="6">
        <f>IF(I81&gt;0,SUMIFS('02d_AI_Accelerator_Power'!$J$2:$J$653,'02d_AI_Accelerator_Power'!$B$2:$B$653,A81,'02d_AI_Accelerator_Power'!$C$2:$C$653,B81,'02d_AI_Accelerator_Power'!$D$2:$D$653,C81,'02d_AI_Accelerator_Power'!$F$2:$F$653,"Trainium")/I81,0)</f>
        <v/>
      </c>
      <c r="M81" s="6">
        <f>IF(I81&gt;0,SUMIFS('02d_AI_Accelerator_Power'!$J$2:$J$653,'02d_AI_Accelerator_Power'!$B$2:$B$653,A81,'02d_AI_Accelerator_Power'!$C$2:$C$653,B81,'02d_AI_Accelerator_Power'!$D$2:$D$653,C81,'02d_AI_Accelerator_Power'!$F$2:$F$653,"Maia")/I81,0)</f>
        <v/>
      </c>
      <c r="N81" s="6">
        <f>IF(I81&gt;0,SUMIFS('02d_AI_Accelerator_Power'!$J$2:$J$653,'02d_AI_Accelerator_Power'!$B$2:$B$653,A81,'02d_AI_Accelerator_Power'!$C$2:$C$653,B81,'02d_AI_Accelerator_Power'!$D$2:$D$653,C81,'02d_AI_Accelerator_Power'!$F$2:$F$653,"MTIA")/I81,0)</f>
        <v/>
      </c>
      <c r="O81" s="6">
        <f>IF(I81&gt;0,SUMIFS('02d_AI_Accelerator_Power'!$J$2:$J$653,'02d_AI_Accelerator_Power'!$B$2:$B$653,A81,'02d_AI_Accelerator_Power'!$C$2:$C$653,B81,'02d_AI_Accelerator_Power'!$D$2:$D$653,C81,'02d_AI_Accelerator_Power'!$F$2:$F$653,"Other / unknown accelerator")/I81,0)</f>
        <v/>
      </c>
      <c r="P81" s="3" t="inlineStr">
        <is>
          <t>CSP contract normalized: company inference MW * (CSP total MW * AI contract share * inference share) / company contract inference weight, then multiplied by CSP accelerator rows.</t>
        </is>
      </c>
      <c r="Q81" s="3" t="inlineStr">
        <is>
          <t>csp_contract_share_x_csp_accelerator_mix</t>
        </is>
      </c>
      <c r="R81" s="3" t="inlineStr">
        <is>
          <t>Edit 02a CSP contract allocation, 02b CSP accelerator mix, or 02x accelerator catalog; 03_Calculation reads D:G from this sheet.</t>
        </is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6">
        <f>IF(I82&gt;0,SUMIFS('02d_AI_Accelerator_Power'!$J$2:$J$653,'02d_AI_Accelerator_Power'!$B$2:$B$653,A82,'02d_AI_Accelerator_Power'!$C$2:$C$653,B82,'02d_AI_Accelerator_Power'!$D$2:$D$653,C82,'02d_AI_Accelerator_Power'!$G$2:$G$653,"h200_reference")/I82,1.0)</f>
        <v/>
      </c>
      <c r="E82" s="6">
        <f>IF(I82&gt;0,SUMIFS('02d_AI_Accelerator_Power'!$J$2:$J$653,'02d_AI_Accelerator_Power'!$B$2:$B$653,A82,'02d_AI_Accelerator_Power'!$C$2:$C$653,B82,'02d_AI_Accelerator_Power'!$D$2:$D$653,C82,'02d_AI_Accelerator_Power'!$G$2:$G$653,"b200_reference")/I82,0.0)</f>
        <v/>
      </c>
      <c r="F82" s="6">
        <f>IF(I82&gt;0,SUMIFS('02d_AI_Accelerator_Power'!$J$2:$J$653,'02d_AI_Accelerator_Power'!$B$2:$B$653,A82,'02d_AI_Accelerator_Power'!$C$2:$C$653,B82,'02d_AI_Accelerator_Power'!$D$2:$D$653,C82,'02d_AI_Accelerator_Power'!$G$2:$G$653,"gb200_reference")/I82,0.0)</f>
        <v/>
      </c>
      <c r="G82" s="6">
        <f>IF(I82&gt;0,SUMIFS('02d_AI_Accelerator_Power'!$J$2:$J$653,'02d_AI_Accelerator_Power'!$B$2:$B$653,A82,'02d_AI_Accelerator_Power'!$C$2:$C$653,B82,'02d_AI_Accelerator_Power'!$D$2:$D$653,C82,'02d_AI_Accelerator_Power'!$G$2:$G$653,"purpose_or_unbenchmarked")/I82,0.0)</f>
        <v/>
      </c>
      <c r="H82" s="6">
        <f>SUM(D82:G82)</f>
        <v/>
      </c>
      <c r="I82" s="28">
        <f>SUMIFS('02d_AI_Accelerator_Power'!$J$2:$J$653,'02d_AI_Accelerator_Power'!$B$2:$B$653,A82,'02d_AI_Accelerator_Power'!$C$2:$C$653,B82,'02d_AI_Accelerator_Power'!$D$2:$D$653,C82)</f>
        <v/>
      </c>
      <c r="J82" s="6">
        <f>IF(I82&gt;0,SUMIFS('02d_AI_Accelerator_Power'!$J$2:$J$653,'02d_AI_Accelerator_Power'!$B$2:$B$653,A82,'02d_AI_Accelerator_Power'!$C$2:$C$653,B82,'02d_AI_Accelerator_Power'!$D$2:$D$653,C82,'02d_AI_Accelerator_Power'!$F$2:$F$653,"R200/R300 future")/I82,0)</f>
        <v/>
      </c>
      <c r="K82" s="6">
        <f>IF(I82&gt;0,SUMIFS('02d_AI_Accelerator_Power'!$J$2:$J$653,'02d_AI_Accelerator_Power'!$B$2:$B$653,A82,'02d_AI_Accelerator_Power'!$C$2:$C$653,B82,'02d_AI_Accelerator_Power'!$D$2:$D$653,C82,'02d_AI_Accelerator_Power'!$F$2:$F$653,"TPU")/I82,0)</f>
        <v/>
      </c>
      <c r="L82" s="6">
        <f>IF(I82&gt;0,SUMIFS('02d_AI_Accelerator_Power'!$J$2:$J$653,'02d_AI_Accelerator_Power'!$B$2:$B$653,A82,'02d_AI_Accelerator_Power'!$C$2:$C$653,B82,'02d_AI_Accelerator_Power'!$D$2:$D$653,C82,'02d_AI_Accelerator_Power'!$F$2:$F$653,"Trainium")/I82,0)</f>
        <v/>
      </c>
      <c r="M82" s="6">
        <f>IF(I82&gt;0,SUMIFS('02d_AI_Accelerator_Power'!$J$2:$J$653,'02d_AI_Accelerator_Power'!$B$2:$B$653,A82,'02d_AI_Accelerator_Power'!$C$2:$C$653,B82,'02d_AI_Accelerator_Power'!$D$2:$D$653,C82,'02d_AI_Accelerator_Power'!$F$2:$F$653,"Maia")/I82,0)</f>
        <v/>
      </c>
      <c r="N82" s="6">
        <f>IF(I82&gt;0,SUMIFS('02d_AI_Accelerator_Power'!$J$2:$J$653,'02d_AI_Accelerator_Power'!$B$2:$B$653,A82,'02d_AI_Accelerator_Power'!$C$2:$C$653,B82,'02d_AI_Accelerator_Power'!$D$2:$D$653,C82,'02d_AI_Accelerator_Power'!$F$2:$F$653,"MTIA")/I82,0)</f>
        <v/>
      </c>
      <c r="O82" s="6">
        <f>IF(I82&gt;0,SUMIFS('02d_AI_Accelerator_Power'!$J$2:$J$653,'02d_AI_Accelerator_Power'!$B$2:$B$653,A82,'02d_AI_Accelerator_Power'!$C$2:$C$653,B82,'02d_AI_Accelerator_Power'!$D$2:$D$653,C82,'02d_AI_Accelerator_Power'!$F$2:$F$653,"Other / unknown accelerator")/I82,0)</f>
        <v/>
      </c>
      <c r="P82" s="3" t="inlineStr">
        <is>
          <t>CSP contract normalized: company inference MW * (CSP total MW * AI contract share * inference share) / company contract inference weight, then multiplied by CSP accelerator rows.</t>
        </is>
      </c>
      <c r="Q82" s="3" t="inlineStr">
        <is>
          <t>csp_contract_share_x_csp_accelerator_mix</t>
        </is>
      </c>
      <c r="R82" s="3" t="inlineStr">
        <is>
          <t>Edit 02a CSP contract allocation, 02b CSP accelerator mix, or 02x accelerator catalog; 03_Calculation reads D:G from this sheet.</t>
        </is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6">
        <f>IF(I83&gt;0,SUMIFS('02d_AI_Accelerator_Power'!$J$2:$J$653,'02d_AI_Accelerator_Power'!$B$2:$B$653,A83,'02d_AI_Accelerator_Power'!$C$2:$C$653,B83,'02d_AI_Accelerator_Power'!$D$2:$D$653,C83,'02d_AI_Accelerator_Power'!$G$2:$G$653,"h200_reference")/I83,1.0)</f>
        <v/>
      </c>
      <c r="E83" s="6">
        <f>IF(I83&gt;0,SUMIFS('02d_AI_Accelerator_Power'!$J$2:$J$653,'02d_AI_Accelerator_Power'!$B$2:$B$653,A83,'02d_AI_Accelerator_Power'!$C$2:$C$653,B83,'02d_AI_Accelerator_Power'!$D$2:$D$653,C83,'02d_AI_Accelerator_Power'!$G$2:$G$653,"b200_reference")/I83,0.0)</f>
        <v/>
      </c>
      <c r="F83" s="6">
        <f>IF(I83&gt;0,SUMIFS('02d_AI_Accelerator_Power'!$J$2:$J$653,'02d_AI_Accelerator_Power'!$B$2:$B$653,A83,'02d_AI_Accelerator_Power'!$C$2:$C$653,B83,'02d_AI_Accelerator_Power'!$D$2:$D$653,C83,'02d_AI_Accelerator_Power'!$G$2:$G$653,"gb200_reference")/I83,0.0)</f>
        <v/>
      </c>
      <c r="G83" s="6">
        <f>IF(I83&gt;0,SUMIFS('02d_AI_Accelerator_Power'!$J$2:$J$653,'02d_AI_Accelerator_Power'!$B$2:$B$653,A83,'02d_AI_Accelerator_Power'!$C$2:$C$653,B83,'02d_AI_Accelerator_Power'!$D$2:$D$653,C83,'02d_AI_Accelerator_Power'!$G$2:$G$653,"purpose_or_unbenchmarked")/I83,0.0)</f>
        <v/>
      </c>
      <c r="H83" s="6">
        <f>SUM(D83:G83)</f>
        <v/>
      </c>
      <c r="I83" s="28">
        <f>SUMIFS('02d_AI_Accelerator_Power'!$J$2:$J$653,'02d_AI_Accelerator_Power'!$B$2:$B$653,A83,'02d_AI_Accelerator_Power'!$C$2:$C$653,B83,'02d_AI_Accelerator_Power'!$D$2:$D$653,C83)</f>
        <v/>
      </c>
      <c r="J83" s="6">
        <f>IF(I83&gt;0,SUMIFS('02d_AI_Accelerator_Power'!$J$2:$J$653,'02d_AI_Accelerator_Power'!$B$2:$B$653,A83,'02d_AI_Accelerator_Power'!$C$2:$C$653,B83,'02d_AI_Accelerator_Power'!$D$2:$D$653,C83,'02d_AI_Accelerator_Power'!$F$2:$F$653,"R200/R300 future")/I83,0)</f>
        <v/>
      </c>
      <c r="K83" s="6">
        <f>IF(I83&gt;0,SUMIFS('02d_AI_Accelerator_Power'!$J$2:$J$653,'02d_AI_Accelerator_Power'!$B$2:$B$653,A83,'02d_AI_Accelerator_Power'!$C$2:$C$653,B83,'02d_AI_Accelerator_Power'!$D$2:$D$653,C83,'02d_AI_Accelerator_Power'!$F$2:$F$653,"TPU")/I83,0)</f>
        <v/>
      </c>
      <c r="L83" s="6">
        <f>IF(I83&gt;0,SUMIFS('02d_AI_Accelerator_Power'!$J$2:$J$653,'02d_AI_Accelerator_Power'!$B$2:$B$653,A83,'02d_AI_Accelerator_Power'!$C$2:$C$653,B83,'02d_AI_Accelerator_Power'!$D$2:$D$653,C83,'02d_AI_Accelerator_Power'!$F$2:$F$653,"Trainium")/I83,0)</f>
        <v/>
      </c>
      <c r="M83" s="6">
        <f>IF(I83&gt;0,SUMIFS('02d_AI_Accelerator_Power'!$J$2:$J$653,'02d_AI_Accelerator_Power'!$B$2:$B$653,A83,'02d_AI_Accelerator_Power'!$C$2:$C$653,B83,'02d_AI_Accelerator_Power'!$D$2:$D$653,C83,'02d_AI_Accelerator_Power'!$F$2:$F$653,"Maia")/I83,0)</f>
        <v/>
      </c>
      <c r="N83" s="6">
        <f>IF(I83&gt;0,SUMIFS('02d_AI_Accelerator_Power'!$J$2:$J$653,'02d_AI_Accelerator_Power'!$B$2:$B$653,A83,'02d_AI_Accelerator_Power'!$C$2:$C$653,B83,'02d_AI_Accelerator_Power'!$D$2:$D$653,C83,'02d_AI_Accelerator_Power'!$F$2:$F$653,"MTIA")/I83,0)</f>
        <v/>
      </c>
      <c r="O83" s="6">
        <f>IF(I83&gt;0,SUMIFS('02d_AI_Accelerator_Power'!$J$2:$J$653,'02d_AI_Accelerator_Power'!$B$2:$B$653,A83,'02d_AI_Accelerator_Power'!$C$2:$C$653,B83,'02d_AI_Accelerator_Power'!$D$2:$D$653,C83,'02d_AI_Accelerator_Power'!$F$2:$F$653,"Other / unknown accelerator")/I83,0)</f>
        <v/>
      </c>
      <c r="P83" s="3" t="inlineStr">
        <is>
          <t>CSP contract normalized: company inference MW * (CSP total MW * AI contract share * inference share) / company contract inference weight, then multiplied by CSP accelerator rows.</t>
        </is>
      </c>
      <c r="Q83" s="3" t="inlineStr">
        <is>
          <t>csp_contract_share_x_csp_accelerator_mix</t>
        </is>
      </c>
      <c r="R83" s="3" t="inlineStr">
        <is>
          <t>Edit 02a CSP contract allocation, 02b CSP accelerator mix, or 02x accelerator catalog; 03_Calculation reads D:G from this sheet.</t>
        </is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6">
        <f>IF(I84&gt;0,SUMIFS('02d_AI_Accelerator_Power'!$J$2:$J$653,'02d_AI_Accelerator_Power'!$B$2:$B$653,A84,'02d_AI_Accelerator_Power'!$C$2:$C$653,B84,'02d_AI_Accelerator_Power'!$D$2:$D$653,C84,'02d_AI_Accelerator_Power'!$G$2:$G$653,"h200_reference")/I84,1.0)</f>
        <v/>
      </c>
      <c r="E84" s="6">
        <f>IF(I84&gt;0,SUMIFS('02d_AI_Accelerator_Power'!$J$2:$J$653,'02d_AI_Accelerator_Power'!$B$2:$B$653,A84,'02d_AI_Accelerator_Power'!$C$2:$C$653,B84,'02d_AI_Accelerator_Power'!$D$2:$D$653,C84,'02d_AI_Accelerator_Power'!$G$2:$G$653,"b200_reference")/I84,0.0)</f>
        <v/>
      </c>
      <c r="F84" s="6">
        <f>IF(I84&gt;0,SUMIFS('02d_AI_Accelerator_Power'!$J$2:$J$653,'02d_AI_Accelerator_Power'!$B$2:$B$653,A84,'02d_AI_Accelerator_Power'!$C$2:$C$653,B84,'02d_AI_Accelerator_Power'!$D$2:$D$653,C84,'02d_AI_Accelerator_Power'!$G$2:$G$653,"gb200_reference")/I84,0.0)</f>
        <v/>
      </c>
      <c r="G84" s="6">
        <f>IF(I84&gt;0,SUMIFS('02d_AI_Accelerator_Power'!$J$2:$J$653,'02d_AI_Accelerator_Power'!$B$2:$B$653,A84,'02d_AI_Accelerator_Power'!$C$2:$C$653,B84,'02d_AI_Accelerator_Power'!$D$2:$D$653,C84,'02d_AI_Accelerator_Power'!$G$2:$G$653,"purpose_or_unbenchmarked")/I84,0.0)</f>
        <v/>
      </c>
      <c r="H84" s="6">
        <f>SUM(D84:G84)</f>
        <v/>
      </c>
      <c r="I84" s="28">
        <f>SUMIFS('02d_AI_Accelerator_Power'!$J$2:$J$653,'02d_AI_Accelerator_Power'!$B$2:$B$653,A84,'02d_AI_Accelerator_Power'!$C$2:$C$653,B84,'02d_AI_Accelerator_Power'!$D$2:$D$653,C84)</f>
        <v/>
      </c>
      <c r="J84" s="6">
        <f>IF(I84&gt;0,SUMIFS('02d_AI_Accelerator_Power'!$J$2:$J$653,'02d_AI_Accelerator_Power'!$B$2:$B$653,A84,'02d_AI_Accelerator_Power'!$C$2:$C$653,B84,'02d_AI_Accelerator_Power'!$D$2:$D$653,C84,'02d_AI_Accelerator_Power'!$F$2:$F$653,"R200/R300 future")/I84,0)</f>
        <v/>
      </c>
      <c r="K84" s="6">
        <f>IF(I84&gt;0,SUMIFS('02d_AI_Accelerator_Power'!$J$2:$J$653,'02d_AI_Accelerator_Power'!$B$2:$B$653,A84,'02d_AI_Accelerator_Power'!$C$2:$C$653,B84,'02d_AI_Accelerator_Power'!$D$2:$D$653,C84,'02d_AI_Accelerator_Power'!$F$2:$F$653,"TPU")/I84,0)</f>
        <v/>
      </c>
      <c r="L84" s="6">
        <f>IF(I84&gt;0,SUMIFS('02d_AI_Accelerator_Power'!$J$2:$J$653,'02d_AI_Accelerator_Power'!$B$2:$B$653,A84,'02d_AI_Accelerator_Power'!$C$2:$C$653,B84,'02d_AI_Accelerator_Power'!$D$2:$D$653,C84,'02d_AI_Accelerator_Power'!$F$2:$F$653,"Trainium")/I84,0)</f>
        <v/>
      </c>
      <c r="M84" s="6">
        <f>IF(I84&gt;0,SUMIFS('02d_AI_Accelerator_Power'!$J$2:$J$653,'02d_AI_Accelerator_Power'!$B$2:$B$653,A84,'02d_AI_Accelerator_Power'!$C$2:$C$653,B84,'02d_AI_Accelerator_Power'!$D$2:$D$653,C84,'02d_AI_Accelerator_Power'!$F$2:$F$653,"Maia")/I84,0)</f>
        <v/>
      </c>
      <c r="N84" s="6">
        <f>IF(I84&gt;0,SUMIFS('02d_AI_Accelerator_Power'!$J$2:$J$653,'02d_AI_Accelerator_Power'!$B$2:$B$653,A84,'02d_AI_Accelerator_Power'!$C$2:$C$653,B84,'02d_AI_Accelerator_Power'!$D$2:$D$653,C84,'02d_AI_Accelerator_Power'!$F$2:$F$653,"MTIA")/I84,0)</f>
        <v/>
      </c>
      <c r="O84" s="6">
        <f>IF(I84&gt;0,SUMIFS('02d_AI_Accelerator_Power'!$J$2:$J$653,'02d_AI_Accelerator_Power'!$B$2:$B$653,A84,'02d_AI_Accelerator_Power'!$C$2:$C$653,B84,'02d_AI_Accelerator_Power'!$D$2:$D$653,C84,'02d_AI_Accelerator_Power'!$F$2:$F$653,"Other / unknown accelerator")/I84,0)</f>
        <v/>
      </c>
      <c r="P84" s="3" t="inlineStr">
        <is>
          <t>CSP contract normalized: company inference MW * (CSP total MW * AI contract share * inference share) / company contract inference weight, then multiplied by CSP accelerator rows.</t>
        </is>
      </c>
      <c r="Q84" s="3" t="inlineStr">
        <is>
          <t>csp_contract_share_x_csp_accelerator_mix</t>
        </is>
      </c>
      <c r="R84" s="3" t="inlineStr">
        <is>
          <t>Edit 02a CSP contract allocation, 02b CSP accelerator mix, or 02x accelerator catalog; 03_Calculation reads D:G from this sheet.</t>
        </is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6">
        <f>IF(I85&gt;0,SUMIFS('02d_AI_Accelerator_Power'!$J$2:$J$653,'02d_AI_Accelerator_Power'!$B$2:$B$653,A85,'02d_AI_Accelerator_Power'!$C$2:$C$653,B85,'02d_AI_Accelerator_Power'!$D$2:$D$653,C85,'02d_AI_Accelerator_Power'!$G$2:$G$653,"h200_reference")/I85,1.0)</f>
        <v/>
      </c>
      <c r="E85" s="6">
        <f>IF(I85&gt;0,SUMIFS('02d_AI_Accelerator_Power'!$J$2:$J$653,'02d_AI_Accelerator_Power'!$B$2:$B$653,A85,'02d_AI_Accelerator_Power'!$C$2:$C$653,B85,'02d_AI_Accelerator_Power'!$D$2:$D$653,C85,'02d_AI_Accelerator_Power'!$G$2:$G$653,"b200_reference")/I85,0.0)</f>
        <v/>
      </c>
      <c r="F85" s="6">
        <f>IF(I85&gt;0,SUMIFS('02d_AI_Accelerator_Power'!$J$2:$J$653,'02d_AI_Accelerator_Power'!$B$2:$B$653,A85,'02d_AI_Accelerator_Power'!$C$2:$C$653,B85,'02d_AI_Accelerator_Power'!$D$2:$D$653,C85,'02d_AI_Accelerator_Power'!$G$2:$G$653,"gb200_reference")/I85,0.0)</f>
        <v/>
      </c>
      <c r="G85" s="6">
        <f>IF(I85&gt;0,SUMIFS('02d_AI_Accelerator_Power'!$J$2:$J$653,'02d_AI_Accelerator_Power'!$B$2:$B$653,A85,'02d_AI_Accelerator_Power'!$C$2:$C$653,B85,'02d_AI_Accelerator_Power'!$D$2:$D$653,C85,'02d_AI_Accelerator_Power'!$G$2:$G$653,"purpose_or_unbenchmarked")/I85,0.0)</f>
        <v/>
      </c>
      <c r="H85" s="6">
        <f>SUM(D85:G85)</f>
        <v/>
      </c>
      <c r="I85" s="28">
        <f>SUMIFS('02d_AI_Accelerator_Power'!$J$2:$J$653,'02d_AI_Accelerator_Power'!$B$2:$B$653,A85,'02d_AI_Accelerator_Power'!$C$2:$C$653,B85,'02d_AI_Accelerator_Power'!$D$2:$D$653,C85)</f>
        <v/>
      </c>
      <c r="J85" s="6">
        <f>IF(I85&gt;0,SUMIFS('02d_AI_Accelerator_Power'!$J$2:$J$653,'02d_AI_Accelerator_Power'!$B$2:$B$653,A85,'02d_AI_Accelerator_Power'!$C$2:$C$653,B85,'02d_AI_Accelerator_Power'!$D$2:$D$653,C85,'02d_AI_Accelerator_Power'!$F$2:$F$653,"R200/R300 future")/I85,0)</f>
        <v/>
      </c>
      <c r="K85" s="6">
        <f>IF(I85&gt;0,SUMIFS('02d_AI_Accelerator_Power'!$J$2:$J$653,'02d_AI_Accelerator_Power'!$B$2:$B$653,A85,'02d_AI_Accelerator_Power'!$C$2:$C$653,B85,'02d_AI_Accelerator_Power'!$D$2:$D$653,C85,'02d_AI_Accelerator_Power'!$F$2:$F$653,"TPU")/I85,0)</f>
        <v/>
      </c>
      <c r="L85" s="6">
        <f>IF(I85&gt;0,SUMIFS('02d_AI_Accelerator_Power'!$J$2:$J$653,'02d_AI_Accelerator_Power'!$B$2:$B$653,A85,'02d_AI_Accelerator_Power'!$C$2:$C$653,B85,'02d_AI_Accelerator_Power'!$D$2:$D$653,C85,'02d_AI_Accelerator_Power'!$F$2:$F$653,"Trainium")/I85,0)</f>
        <v/>
      </c>
      <c r="M85" s="6">
        <f>IF(I85&gt;0,SUMIFS('02d_AI_Accelerator_Power'!$J$2:$J$653,'02d_AI_Accelerator_Power'!$B$2:$B$653,A85,'02d_AI_Accelerator_Power'!$C$2:$C$653,B85,'02d_AI_Accelerator_Power'!$D$2:$D$653,C85,'02d_AI_Accelerator_Power'!$F$2:$F$653,"Maia")/I85,0)</f>
        <v/>
      </c>
      <c r="N85" s="6">
        <f>IF(I85&gt;0,SUMIFS('02d_AI_Accelerator_Power'!$J$2:$J$653,'02d_AI_Accelerator_Power'!$B$2:$B$653,A85,'02d_AI_Accelerator_Power'!$C$2:$C$653,B85,'02d_AI_Accelerator_Power'!$D$2:$D$653,C85,'02d_AI_Accelerator_Power'!$F$2:$F$653,"MTIA")/I85,0)</f>
        <v/>
      </c>
      <c r="O85" s="6">
        <f>IF(I85&gt;0,SUMIFS('02d_AI_Accelerator_Power'!$J$2:$J$653,'02d_AI_Accelerator_Power'!$B$2:$B$653,A85,'02d_AI_Accelerator_Power'!$C$2:$C$653,B85,'02d_AI_Accelerator_Power'!$D$2:$D$653,C85,'02d_AI_Accelerator_Power'!$F$2:$F$653,"Other / unknown accelerator")/I85,0)</f>
        <v/>
      </c>
      <c r="P85" s="3" t="inlineStr">
        <is>
          <t>CSP contract normalized: company inference MW * (CSP total MW * AI contract share * inference share) / company contract inference weight, then multiplied by CSP accelerator rows.</t>
        </is>
      </c>
      <c r="Q85" s="3" t="inlineStr">
        <is>
          <t>csp_contract_share_x_csp_accelerator_mix</t>
        </is>
      </c>
      <c r="R85" s="3" t="inlineStr">
        <is>
          <t>Edit 02a CSP contract allocation, 02b CSP accelerator mix, or 02x accelerator catalog; 03_Calculation reads D:G from this sheet.</t>
        </is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6">
        <f>IF(I86&gt;0,SUMIFS('02d_AI_Accelerator_Power'!$J$2:$J$653,'02d_AI_Accelerator_Power'!$B$2:$B$653,A86,'02d_AI_Accelerator_Power'!$C$2:$C$653,B86,'02d_AI_Accelerator_Power'!$D$2:$D$653,C86,'02d_AI_Accelerator_Power'!$G$2:$G$653,"h200_reference")/I86,1.0)</f>
        <v/>
      </c>
      <c r="E86" s="6">
        <f>IF(I86&gt;0,SUMIFS('02d_AI_Accelerator_Power'!$J$2:$J$653,'02d_AI_Accelerator_Power'!$B$2:$B$653,A86,'02d_AI_Accelerator_Power'!$C$2:$C$653,B86,'02d_AI_Accelerator_Power'!$D$2:$D$653,C86,'02d_AI_Accelerator_Power'!$G$2:$G$653,"b200_reference")/I86,0.0)</f>
        <v/>
      </c>
      <c r="F86" s="6">
        <f>IF(I86&gt;0,SUMIFS('02d_AI_Accelerator_Power'!$J$2:$J$653,'02d_AI_Accelerator_Power'!$B$2:$B$653,A86,'02d_AI_Accelerator_Power'!$C$2:$C$653,B86,'02d_AI_Accelerator_Power'!$D$2:$D$653,C86,'02d_AI_Accelerator_Power'!$G$2:$G$653,"gb200_reference")/I86,0.0)</f>
        <v/>
      </c>
      <c r="G86" s="6">
        <f>IF(I86&gt;0,SUMIFS('02d_AI_Accelerator_Power'!$J$2:$J$653,'02d_AI_Accelerator_Power'!$B$2:$B$653,A86,'02d_AI_Accelerator_Power'!$C$2:$C$653,B86,'02d_AI_Accelerator_Power'!$D$2:$D$653,C86,'02d_AI_Accelerator_Power'!$G$2:$G$653,"purpose_or_unbenchmarked")/I86,0.0)</f>
        <v/>
      </c>
      <c r="H86" s="6">
        <f>SUM(D86:G86)</f>
        <v/>
      </c>
      <c r="I86" s="28">
        <f>SUMIFS('02d_AI_Accelerator_Power'!$J$2:$J$653,'02d_AI_Accelerator_Power'!$B$2:$B$653,A86,'02d_AI_Accelerator_Power'!$C$2:$C$653,B86,'02d_AI_Accelerator_Power'!$D$2:$D$653,C86)</f>
        <v/>
      </c>
      <c r="J86" s="6">
        <f>IF(I86&gt;0,SUMIFS('02d_AI_Accelerator_Power'!$J$2:$J$653,'02d_AI_Accelerator_Power'!$B$2:$B$653,A86,'02d_AI_Accelerator_Power'!$C$2:$C$653,B86,'02d_AI_Accelerator_Power'!$D$2:$D$653,C86,'02d_AI_Accelerator_Power'!$F$2:$F$653,"R200/R300 future")/I86,0)</f>
        <v/>
      </c>
      <c r="K86" s="6">
        <f>IF(I86&gt;0,SUMIFS('02d_AI_Accelerator_Power'!$J$2:$J$653,'02d_AI_Accelerator_Power'!$B$2:$B$653,A86,'02d_AI_Accelerator_Power'!$C$2:$C$653,B86,'02d_AI_Accelerator_Power'!$D$2:$D$653,C86,'02d_AI_Accelerator_Power'!$F$2:$F$653,"TPU")/I86,0)</f>
        <v/>
      </c>
      <c r="L86" s="6">
        <f>IF(I86&gt;0,SUMIFS('02d_AI_Accelerator_Power'!$J$2:$J$653,'02d_AI_Accelerator_Power'!$B$2:$B$653,A86,'02d_AI_Accelerator_Power'!$C$2:$C$653,B86,'02d_AI_Accelerator_Power'!$D$2:$D$653,C86,'02d_AI_Accelerator_Power'!$F$2:$F$653,"Trainium")/I86,0)</f>
        <v/>
      </c>
      <c r="M86" s="6">
        <f>IF(I86&gt;0,SUMIFS('02d_AI_Accelerator_Power'!$J$2:$J$653,'02d_AI_Accelerator_Power'!$B$2:$B$653,A86,'02d_AI_Accelerator_Power'!$C$2:$C$653,B86,'02d_AI_Accelerator_Power'!$D$2:$D$653,C86,'02d_AI_Accelerator_Power'!$F$2:$F$653,"Maia")/I86,0)</f>
        <v/>
      </c>
      <c r="N86" s="6">
        <f>IF(I86&gt;0,SUMIFS('02d_AI_Accelerator_Power'!$J$2:$J$653,'02d_AI_Accelerator_Power'!$B$2:$B$653,A86,'02d_AI_Accelerator_Power'!$C$2:$C$653,B86,'02d_AI_Accelerator_Power'!$D$2:$D$653,C86,'02d_AI_Accelerator_Power'!$F$2:$F$653,"MTIA")/I86,0)</f>
        <v/>
      </c>
      <c r="O86" s="6">
        <f>IF(I86&gt;0,SUMIFS('02d_AI_Accelerator_Power'!$J$2:$J$653,'02d_AI_Accelerator_Power'!$B$2:$B$653,A86,'02d_AI_Accelerator_Power'!$C$2:$C$653,B86,'02d_AI_Accelerator_Power'!$D$2:$D$653,C86,'02d_AI_Accelerator_Power'!$F$2:$F$653,"Other / unknown accelerator")/I86,0)</f>
        <v/>
      </c>
      <c r="P86" s="3" t="inlineStr">
        <is>
          <t>CSP contract normalized: company inference MW * (CSP total MW * AI contract share * inference share) / company contract inference weight, then multiplied by CSP accelerator rows.</t>
        </is>
      </c>
      <c r="Q86" s="3" t="inlineStr">
        <is>
          <t>csp_contract_share_x_csp_accelerator_mix</t>
        </is>
      </c>
      <c r="R86" s="3" t="inlineStr">
        <is>
          <t>Edit 02a CSP contract allocation, 02b CSP accelerator mix, or 02x accelerator catalog; 03_Calculation reads D:G from this sheet.</t>
        </is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6">
        <f>IF(I87&gt;0,SUMIFS('02d_AI_Accelerator_Power'!$J$2:$J$653,'02d_AI_Accelerator_Power'!$B$2:$B$653,A87,'02d_AI_Accelerator_Power'!$C$2:$C$653,B87,'02d_AI_Accelerator_Power'!$D$2:$D$653,C87,'02d_AI_Accelerator_Power'!$G$2:$G$653,"h200_reference")/I87,0.55)</f>
        <v/>
      </c>
      <c r="E87" s="6">
        <f>IF(I87&gt;0,SUMIFS('02d_AI_Accelerator_Power'!$J$2:$J$653,'02d_AI_Accelerator_Power'!$B$2:$B$653,A87,'02d_AI_Accelerator_Power'!$C$2:$C$653,B87,'02d_AI_Accelerator_Power'!$D$2:$D$653,C87,'02d_AI_Accelerator_Power'!$G$2:$G$653,"b200_reference")/I87,0.4)</f>
        <v/>
      </c>
      <c r="F87" s="6">
        <f>IF(I87&gt;0,SUMIFS('02d_AI_Accelerator_Power'!$J$2:$J$653,'02d_AI_Accelerator_Power'!$B$2:$B$653,A87,'02d_AI_Accelerator_Power'!$C$2:$C$653,B87,'02d_AI_Accelerator_Power'!$D$2:$D$653,C87,'02d_AI_Accelerator_Power'!$G$2:$G$653,"gb200_reference")/I87,0.05)</f>
        <v/>
      </c>
      <c r="G87" s="6">
        <f>IF(I87&gt;0,SUMIFS('02d_AI_Accelerator_Power'!$J$2:$J$653,'02d_AI_Accelerator_Power'!$B$2:$B$653,A87,'02d_AI_Accelerator_Power'!$C$2:$C$653,B87,'02d_AI_Accelerator_Power'!$D$2:$D$653,C87,'02d_AI_Accelerator_Power'!$G$2:$G$653,"purpose_or_unbenchmarked")/I87,0.0)</f>
        <v/>
      </c>
      <c r="H87" s="6">
        <f>SUM(D87:G87)</f>
        <v/>
      </c>
      <c r="I87" s="28">
        <f>SUMIFS('02d_AI_Accelerator_Power'!$J$2:$J$653,'02d_AI_Accelerator_Power'!$B$2:$B$653,A87,'02d_AI_Accelerator_Power'!$C$2:$C$653,B87,'02d_AI_Accelerator_Power'!$D$2:$D$653,C87)</f>
        <v/>
      </c>
      <c r="J87" s="6">
        <f>IF(I87&gt;0,SUMIFS('02d_AI_Accelerator_Power'!$J$2:$J$653,'02d_AI_Accelerator_Power'!$B$2:$B$653,A87,'02d_AI_Accelerator_Power'!$C$2:$C$653,B87,'02d_AI_Accelerator_Power'!$D$2:$D$653,C87,'02d_AI_Accelerator_Power'!$F$2:$F$653,"R200/R300 future")/I87,0)</f>
        <v/>
      </c>
      <c r="K87" s="6">
        <f>IF(I87&gt;0,SUMIFS('02d_AI_Accelerator_Power'!$J$2:$J$653,'02d_AI_Accelerator_Power'!$B$2:$B$653,A87,'02d_AI_Accelerator_Power'!$C$2:$C$653,B87,'02d_AI_Accelerator_Power'!$D$2:$D$653,C87,'02d_AI_Accelerator_Power'!$F$2:$F$653,"TPU")/I87,0)</f>
        <v/>
      </c>
      <c r="L87" s="6">
        <f>IF(I87&gt;0,SUMIFS('02d_AI_Accelerator_Power'!$J$2:$J$653,'02d_AI_Accelerator_Power'!$B$2:$B$653,A87,'02d_AI_Accelerator_Power'!$C$2:$C$653,B87,'02d_AI_Accelerator_Power'!$D$2:$D$653,C87,'02d_AI_Accelerator_Power'!$F$2:$F$653,"Trainium")/I87,0)</f>
        <v/>
      </c>
      <c r="M87" s="6">
        <f>IF(I87&gt;0,SUMIFS('02d_AI_Accelerator_Power'!$J$2:$J$653,'02d_AI_Accelerator_Power'!$B$2:$B$653,A87,'02d_AI_Accelerator_Power'!$C$2:$C$653,B87,'02d_AI_Accelerator_Power'!$D$2:$D$653,C87,'02d_AI_Accelerator_Power'!$F$2:$F$653,"Maia")/I87,0)</f>
        <v/>
      </c>
      <c r="N87" s="6">
        <f>IF(I87&gt;0,SUMIFS('02d_AI_Accelerator_Power'!$J$2:$J$653,'02d_AI_Accelerator_Power'!$B$2:$B$653,A87,'02d_AI_Accelerator_Power'!$C$2:$C$653,B87,'02d_AI_Accelerator_Power'!$D$2:$D$653,C87,'02d_AI_Accelerator_Power'!$F$2:$F$653,"MTIA")/I87,0)</f>
        <v/>
      </c>
      <c r="O87" s="6">
        <f>IF(I87&gt;0,SUMIFS('02d_AI_Accelerator_Power'!$J$2:$J$653,'02d_AI_Accelerator_Power'!$B$2:$B$653,A87,'02d_AI_Accelerator_Power'!$C$2:$C$653,B87,'02d_AI_Accelerator_Power'!$D$2:$D$653,C87,'02d_AI_Accelerator_Power'!$F$2:$F$653,"Other / unknown accelerator")/I87,0)</f>
        <v/>
      </c>
      <c r="P87" s="3" t="inlineStr">
        <is>
          <t>CSP contract normalized: company inference MW * (CSP total MW * AI contract share * inference share) / company contract inference weight, then multiplied by CSP accelerator rows.</t>
        </is>
      </c>
      <c r="Q87" s="3" t="inlineStr">
        <is>
          <t>csp_contract_share_x_csp_accelerator_mix</t>
        </is>
      </c>
      <c r="R87" s="3" t="inlineStr">
        <is>
          <t>Edit 02a CSP contract allocation, 02b CSP accelerator mix, or 02x accelerator catalog; 03_Calculation reads D:G from this sheet.</t>
        </is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6">
        <f>IF(I88&gt;0,SUMIFS('02d_AI_Accelerator_Power'!$J$2:$J$653,'02d_AI_Accelerator_Power'!$B$2:$B$653,A88,'02d_AI_Accelerator_Power'!$C$2:$C$653,B88,'02d_AI_Accelerator_Power'!$D$2:$D$653,C88,'02d_AI_Accelerator_Power'!$G$2:$G$653,"h200_reference")/I88,0.438)</f>
        <v/>
      </c>
      <c r="E88" s="6">
        <f>IF(I88&gt;0,SUMIFS('02d_AI_Accelerator_Power'!$J$2:$J$653,'02d_AI_Accelerator_Power'!$B$2:$B$653,A88,'02d_AI_Accelerator_Power'!$C$2:$C$653,B88,'02d_AI_Accelerator_Power'!$D$2:$D$653,C88,'02d_AI_Accelerator_Power'!$G$2:$G$653,"b200_reference")/I88,0.388)</f>
        <v/>
      </c>
      <c r="F88" s="6">
        <f>IF(I88&gt;0,SUMIFS('02d_AI_Accelerator_Power'!$J$2:$J$653,'02d_AI_Accelerator_Power'!$B$2:$B$653,A88,'02d_AI_Accelerator_Power'!$C$2:$C$653,B88,'02d_AI_Accelerator_Power'!$D$2:$D$653,C88,'02d_AI_Accelerator_Power'!$G$2:$G$653,"gb200_reference")/I88,0.174)</f>
        <v/>
      </c>
      <c r="G88" s="6">
        <f>IF(I88&gt;0,SUMIFS('02d_AI_Accelerator_Power'!$J$2:$J$653,'02d_AI_Accelerator_Power'!$B$2:$B$653,A88,'02d_AI_Accelerator_Power'!$C$2:$C$653,B88,'02d_AI_Accelerator_Power'!$D$2:$D$653,C88,'02d_AI_Accelerator_Power'!$G$2:$G$653,"purpose_or_unbenchmarked")/I88,0.0)</f>
        <v/>
      </c>
      <c r="H88" s="6">
        <f>SUM(D88:G88)</f>
        <v/>
      </c>
      <c r="I88" s="28">
        <f>SUMIFS('02d_AI_Accelerator_Power'!$J$2:$J$653,'02d_AI_Accelerator_Power'!$B$2:$B$653,A88,'02d_AI_Accelerator_Power'!$C$2:$C$653,B88,'02d_AI_Accelerator_Power'!$D$2:$D$653,C88)</f>
        <v/>
      </c>
      <c r="J88" s="6">
        <f>IF(I88&gt;0,SUMIFS('02d_AI_Accelerator_Power'!$J$2:$J$653,'02d_AI_Accelerator_Power'!$B$2:$B$653,A88,'02d_AI_Accelerator_Power'!$C$2:$C$653,B88,'02d_AI_Accelerator_Power'!$D$2:$D$653,C88,'02d_AI_Accelerator_Power'!$F$2:$F$653,"R200/R300 future")/I88,0)</f>
        <v/>
      </c>
      <c r="K88" s="6">
        <f>IF(I88&gt;0,SUMIFS('02d_AI_Accelerator_Power'!$J$2:$J$653,'02d_AI_Accelerator_Power'!$B$2:$B$653,A88,'02d_AI_Accelerator_Power'!$C$2:$C$653,B88,'02d_AI_Accelerator_Power'!$D$2:$D$653,C88,'02d_AI_Accelerator_Power'!$F$2:$F$653,"TPU")/I88,0)</f>
        <v/>
      </c>
      <c r="L88" s="6">
        <f>IF(I88&gt;0,SUMIFS('02d_AI_Accelerator_Power'!$J$2:$J$653,'02d_AI_Accelerator_Power'!$B$2:$B$653,A88,'02d_AI_Accelerator_Power'!$C$2:$C$653,B88,'02d_AI_Accelerator_Power'!$D$2:$D$653,C88,'02d_AI_Accelerator_Power'!$F$2:$F$653,"Trainium")/I88,0)</f>
        <v/>
      </c>
      <c r="M88" s="6">
        <f>IF(I88&gt;0,SUMIFS('02d_AI_Accelerator_Power'!$J$2:$J$653,'02d_AI_Accelerator_Power'!$B$2:$B$653,A88,'02d_AI_Accelerator_Power'!$C$2:$C$653,B88,'02d_AI_Accelerator_Power'!$D$2:$D$653,C88,'02d_AI_Accelerator_Power'!$F$2:$F$653,"Maia")/I88,0)</f>
        <v/>
      </c>
      <c r="N88" s="6">
        <f>IF(I88&gt;0,SUMIFS('02d_AI_Accelerator_Power'!$J$2:$J$653,'02d_AI_Accelerator_Power'!$B$2:$B$653,A88,'02d_AI_Accelerator_Power'!$C$2:$C$653,B88,'02d_AI_Accelerator_Power'!$D$2:$D$653,C88,'02d_AI_Accelerator_Power'!$F$2:$F$653,"MTIA")/I88,0)</f>
        <v/>
      </c>
      <c r="O88" s="6">
        <f>IF(I88&gt;0,SUMIFS('02d_AI_Accelerator_Power'!$J$2:$J$653,'02d_AI_Accelerator_Power'!$B$2:$B$653,A88,'02d_AI_Accelerator_Power'!$C$2:$C$653,B88,'02d_AI_Accelerator_Power'!$D$2:$D$653,C88,'02d_AI_Accelerator_Power'!$F$2:$F$653,"Other / unknown accelerator")/I88,0)</f>
        <v/>
      </c>
      <c r="P88" s="3" t="inlineStr">
        <is>
          <t>CSP contract normalized: company inference MW * (CSP total MW * AI contract share * inference share) / company contract inference weight, then multiplied by CSP accelerator rows.</t>
        </is>
      </c>
      <c r="Q88" s="3" t="inlineStr">
        <is>
          <t>csp_contract_share_x_csp_accelerator_mix</t>
        </is>
      </c>
      <c r="R88" s="3" t="inlineStr">
        <is>
          <t>Edit 02a CSP contract allocation, 02b CSP accelerator mix, or 02x accelerator catalog; 03_Calculation reads D:G from this sheet.</t>
        </is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6">
        <f>IF(I89&gt;0,SUMIFS('02d_AI_Accelerator_Power'!$J$2:$J$653,'02d_AI_Accelerator_Power'!$B$2:$B$653,A89,'02d_AI_Accelerator_Power'!$C$2:$C$653,B89,'02d_AI_Accelerator_Power'!$D$2:$D$653,C89,'02d_AI_Accelerator_Power'!$G$2:$G$653,"h200_reference")/I89,0.325)</f>
        <v/>
      </c>
      <c r="E89" s="6">
        <f>IF(I89&gt;0,SUMIFS('02d_AI_Accelerator_Power'!$J$2:$J$653,'02d_AI_Accelerator_Power'!$B$2:$B$653,A89,'02d_AI_Accelerator_Power'!$C$2:$C$653,B89,'02d_AI_Accelerator_Power'!$D$2:$D$653,C89,'02d_AI_Accelerator_Power'!$G$2:$G$653,"b200_reference")/I89,0.375)</f>
        <v/>
      </c>
      <c r="F89" s="6">
        <f>IF(I89&gt;0,SUMIFS('02d_AI_Accelerator_Power'!$J$2:$J$653,'02d_AI_Accelerator_Power'!$B$2:$B$653,A89,'02d_AI_Accelerator_Power'!$C$2:$C$653,B89,'02d_AI_Accelerator_Power'!$D$2:$D$653,C89,'02d_AI_Accelerator_Power'!$G$2:$G$653,"gb200_reference")/I89,0.3)</f>
        <v/>
      </c>
      <c r="G89" s="6">
        <f>IF(I89&gt;0,SUMIFS('02d_AI_Accelerator_Power'!$J$2:$J$653,'02d_AI_Accelerator_Power'!$B$2:$B$653,A89,'02d_AI_Accelerator_Power'!$C$2:$C$653,B89,'02d_AI_Accelerator_Power'!$D$2:$D$653,C89,'02d_AI_Accelerator_Power'!$G$2:$G$653,"purpose_or_unbenchmarked")/I89,0.0)</f>
        <v/>
      </c>
      <c r="H89" s="6">
        <f>SUM(D89:G89)</f>
        <v/>
      </c>
      <c r="I89" s="28">
        <f>SUMIFS('02d_AI_Accelerator_Power'!$J$2:$J$653,'02d_AI_Accelerator_Power'!$B$2:$B$653,A89,'02d_AI_Accelerator_Power'!$C$2:$C$653,B89,'02d_AI_Accelerator_Power'!$D$2:$D$653,C89)</f>
        <v/>
      </c>
      <c r="J89" s="6">
        <f>IF(I89&gt;0,SUMIFS('02d_AI_Accelerator_Power'!$J$2:$J$653,'02d_AI_Accelerator_Power'!$B$2:$B$653,A89,'02d_AI_Accelerator_Power'!$C$2:$C$653,B89,'02d_AI_Accelerator_Power'!$D$2:$D$653,C89,'02d_AI_Accelerator_Power'!$F$2:$F$653,"R200/R300 future")/I89,0)</f>
        <v/>
      </c>
      <c r="K89" s="6">
        <f>IF(I89&gt;0,SUMIFS('02d_AI_Accelerator_Power'!$J$2:$J$653,'02d_AI_Accelerator_Power'!$B$2:$B$653,A89,'02d_AI_Accelerator_Power'!$C$2:$C$653,B89,'02d_AI_Accelerator_Power'!$D$2:$D$653,C89,'02d_AI_Accelerator_Power'!$F$2:$F$653,"TPU")/I89,0)</f>
        <v/>
      </c>
      <c r="L89" s="6">
        <f>IF(I89&gt;0,SUMIFS('02d_AI_Accelerator_Power'!$J$2:$J$653,'02d_AI_Accelerator_Power'!$B$2:$B$653,A89,'02d_AI_Accelerator_Power'!$C$2:$C$653,B89,'02d_AI_Accelerator_Power'!$D$2:$D$653,C89,'02d_AI_Accelerator_Power'!$F$2:$F$653,"Trainium")/I89,0)</f>
        <v/>
      </c>
      <c r="M89" s="6">
        <f>IF(I89&gt;0,SUMIFS('02d_AI_Accelerator_Power'!$J$2:$J$653,'02d_AI_Accelerator_Power'!$B$2:$B$653,A89,'02d_AI_Accelerator_Power'!$C$2:$C$653,B89,'02d_AI_Accelerator_Power'!$D$2:$D$653,C89,'02d_AI_Accelerator_Power'!$F$2:$F$653,"Maia")/I89,0)</f>
        <v/>
      </c>
      <c r="N89" s="6">
        <f>IF(I89&gt;0,SUMIFS('02d_AI_Accelerator_Power'!$J$2:$J$653,'02d_AI_Accelerator_Power'!$B$2:$B$653,A89,'02d_AI_Accelerator_Power'!$C$2:$C$653,B89,'02d_AI_Accelerator_Power'!$D$2:$D$653,C89,'02d_AI_Accelerator_Power'!$F$2:$F$653,"MTIA")/I89,0)</f>
        <v/>
      </c>
      <c r="O89" s="6">
        <f>IF(I89&gt;0,SUMIFS('02d_AI_Accelerator_Power'!$J$2:$J$653,'02d_AI_Accelerator_Power'!$B$2:$B$653,A89,'02d_AI_Accelerator_Power'!$C$2:$C$653,B89,'02d_AI_Accelerator_Power'!$D$2:$D$653,C89,'02d_AI_Accelerator_Power'!$F$2:$F$653,"Other / unknown accelerator")/I89,0)</f>
        <v/>
      </c>
      <c r="P89" s="3" t="inlineStr">
        <is>
          <t>CSP contract normalized: company inference MW * (CSP total MW * AI contract share * inference share) / company contract inference weight, then multiplied by CSP accelerator rows.</t>
        </is>
      </c>
      <c r="Q89" s="3" t="inlineStr">
        <is>
          <t>csp_contract_share_x_csp_accelerator_mix</t>
        </is>
      </c>
      <c r="R89" s="3" t="inlineStr">
        <is>
          <t>Edit 02a CSP contract allocation, 02b CSP accelerator mix, or 02x accelerator catalog; 03_Calculation reads D:G from this sheet.</t>
        </is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6">
        <f>IF(I90&gt;0,SUMIFS('02d_AI_Accelerator_Power'!$J$2:$J$653,'02d_AI_Accelerator_Power'!$B$2:$B$653,A90,'02d_AI_Accelerator_Power'!$C$2:$C$653,B90,'02d_AI_Accelerator_Power'!$D$2:$D$653,C90,'02d_AI_Accelerator_Power'!$G$2:$G$653,"h200_reference")/I90,0.213)</f>
        <v/>
      </c>
      <c r="E90" s="6">
        <f>IF(I90&gt;0,SUMIFS('02d_AI_Accelerator_Power'!$J$2:$J$653,'02d_AI_Accelerator_Power'!$B$2:$B$653,A90,'02d_AI_Accelerator_Power'!$C$2:$C$653,B90,'02d_AI_Accelerator_Power'!$D$2:$D$653,C90,'02d_AI_Accelerator_Power'!$G$2:$G$653,"b200_reference")/I90,0.362)</f>
        <v/>
      </c>
      <c r="F90" s="6">
        <f>IF(I90&gt;0,SUMIFS('02d_AI_Accelerator_Power'!$J$2:$J$653,'02d_AI_Accelerator_Power'!$B$2:$B$653,A90,'02d_AI_Accelerator_Power'!$C$2:$C$653,B90,'02d_AI_Accelerator_Power'!$D$2:$D$653,C90,'02d_AI_Accelerator_Power'!$G$2:$G$653,"gb200_reference")/I90,0.425)</f>
        <v/>
      </c>
      <c r="G90" s="6">
        <f>IF(I90&gt;0,SUMIFS('02d_AI_Accelerator_Power'!$J$2:$J$653,'02d_AI_Accelerator_Power'!$B$2:$B$653,A90,'02d_AI_Accelerator_Power'!$C$2:$C$653,B90,'02d_AI_Accelerator_Power'!$D$2:$D$653,C90,'02d_AI_Accelerator_Power'!$G$2:$G$653,"purpose_or_unbenchmarked")/I90,0.0)</f>
        <v/>
      </c>
      <c r="H90" s="6">
        <f>SUM(D90:G90)</f>
        <v/>
      </c>
      <c r="I90" s="28">
        <f>SUMIFS('02d_AI_Accelerator_Power'!$J$2:$J$653,'02d_AI_Accelerator_Power'!$B$2:$B$653,A90,'02d_AI_Accelerator_Power'!$C$2:$C$653,B90,'02d_AI_Accelerator_Power'!$D$2:$D$653,C90)</f>
        <v/>
      </c>
      <c r="J90" s="6">
        <f>IF(I90&gt;0,SUMIFS('02d_AI_Accelerator_Power'!$J$2:$J$653,'02d_AI_Accelerator_Power'!$B$2:$B$653,A90,'02d_AI_Accelerator_Power'!$C$2:$C$653,B90,'02d_AI_Accelerator_Power'!$D$2:$D$653,C90,'02d_AI_Accelerator_Power'!$F$2:$F$653,"R200/R300 future")/I90,0)</f>
        <v/>
      </c>
      <c r="K90" s="6">
        <f>IF(I90&gt;0,SUMIFS('02d_AI_Accelerator_Power'!$J$2:$J$653,'02d_AI_Accelerator_Power'!$B$2:$B$653,A90,'02d_AI_Accelerator_Power'!$C$2:$C$653,B90,'02d_AI_Accelerator_Power'!$D$2:$D$653,C90,'02d_AI_Accelerator_Power'!$F$2:$F$653,"TPU")/I90,0)</f>
        <v/>
      </c>
      <c r="L90" s="6">
        <f>IF(I90&gt;0,SUMIFS('02d_AI_Accelerator_Power'!$J$2:$J$653,'02d_AI_Accelerator_Power'!$B$2:$B$653,A90,'02d_AI_Accelerator_Power'!$C$2:$C$653,B90,'02d_AI_Accelerator_Power'!$D$2:$D$653,C90,'02d_AI_Accelerator_Power'!$F$2:$F$653,"Trainium")/I90,0)</f>
        <v/>
      </c>
      <c r="M90" s="6">
        <f>IF(I90&gt;0,SUMIFS('02d_AI_Accelerator_Power'!$J$2:$J$653,'02d_AI_Accelerator_Power'!$B$2:$B$653,A90,'02d_AI_Accelerator_Power'!$C$2:$C$653,B90,'02d_AI_Accelerator_Power'!$D$2:$D$653,C90,'02d_AI_Accelerator_Power'!$F$2:$F$653,"Maia")/I90,0)</f>
        <v/>
      </c>
      <c r="N90" s="6">
        <f>IF(I90&gt;0,SUMIFS('02d_AI_Accelerator_Power'!$J$2:$J$653,'02d_AI_Accelerator_Power'!$B$2:$B$653,A90,'02d_AI_Accelerator_Power'!$C$2:$C$653,B90,'02d_AI_Accelerator_Power'!$D$2:$D$653,C90,'02d_AI_Accelerator_Power'!$F$2:$F$653,"MTIA")/I90,0)</f>
        <v/>
      </c>
      <c r="O90" s="6">
        <f>IF(I90&gt;0,SUMIFS('02d_AI_Accelerator_Power'!$J$2:$J$653,'02d_AI_Accelerator_Power'!$B$2:$B$653,A90,'02d_AI_Accelerator_Power'!$C$2:$C$653,B90,'02d_AI_Accelerator_Power'!$D$2:$D$653,C90,'02d_AI_Accelerator_Power'!$F$2:$F$653,"Other / unknown accelerator")/I90,0)</f>
        <v/>
      </c>
      <c r="P90" s="3" t="inlineStr">
        <is>
          <t>CSP contract normalized: company inference MW * (CSP total MW * AI contract share * inference share) / company contract inference weight, then multiplied by CSP accelerator rows.</t>
        </is>
      </c>
      <c r="Q90" s="3" t="inlineStr">
        <is>
          <t>csp_contract_share_x_csp_accelerator_mix</t>
        </is>
      </c>
      <c r="R90" s="3" t="inlineStr">
        <is>
          <t>Edit 02a CSP contract allocation, 02b CSP accelerator mix, or 02x accelerator catalog; 03_Calculation reads D:G from this sheet.</t>
        </is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6">
        <f>IF(I91&gt;0,SUMIFS('02d_AI_Accelerator_Power'!$J$2:$J$653,'02d_AI_Accelerator_Power'!$B$2:$B$653,A91,'02d_AI_Accelerator_Power'!$C$2:$C$653,B91,'02d_AI_Accelerator_Power'!$D$2:$D$653,C91,'02d_AI_Accelerator_Power'!$G$2:$G$653,"h200_reference")/I91,0.1)</f>
        <v/>
      </c>
      <c r="E91" s="6">
        <f>IF(I91&gt;0,SUMIFS('02d_AI_Accelerator_Power'!$J$2:$J$653,'02d_AI_Accelerator_Power'!$B$2:$B$653,A91,'02d_AI_Accelerator_Power'!$C$2:$C$653,B91,'02d_AI_Accelerator_Power'!$D$2:$D$653,C91,'02d_AI_Accelerator_Power'!$G$2:$G$653,"b200_reference")/I91,0.35)</f>
        <v/>
      </c>
      <c r="F91" s="6">
        <f>IF(I91&gt;0,SUMIFS('02d_AI_Accelerator_Power'!$J$2:$J$653,'02d_AI_Accelerator_Power'!$B$2:$B$653,A91,'02d_AI_Accelerator_Power'!$C$2:$C$653,B91,'02d_AI_Accelerator_Power'!$D$2:$D$653,C91,'02d_AI_Accelerator_Power'!$G$2:$G$653,"gb200_reference")/I91,0.55)</f>
        <v/>
      </c>
      <c r="G91" s="6">
        <f>IF(I91&gt;0,SUMIFS('02d_AI_Accelerator_Power'!$J$2:$J$653,'02d_AI_Accelerator_Power'!$B$2:$B$653,A91,'02d_AI_Accelerator_Power'!$C$2:$C$653,B91,'02d_AI_Accelerator_Power'!$D$2:$D$653,C91,'02d_AI_Accelerator_Power'!$G$2:$G$653,"purpose_or_unbenchmarked")/I91,0.0)</f>
        <v/>
      </c>
      <c r="H91" s="6">
        <f>SUM(D91:G91)</f>
        <v/>
      </c>
      <c r="I91" s="28">
        <f>SUMIFS('02d_AI_Accelerator_Power'!$J$2:$J$653,'02d_AI_Accelerator_Power'!$B$2:$B$653,A91,'02d_AI_Accelerator_Power'!$C$2:$C$653,B91,'02d_AI_Accelerator_Power'!$D$2:$D$653,C91)</f>
        <v/>
      </c>
      <c r="J91" s="6">
        <f>IF(I91&gt;0,SUMIFS('02d_AI_Accelerator_Power'!$J$2:$J$653,'02d_AI_Accelerator_Power'!$B$2:$B$653,A91,'02d_AI_Accelerator_Power'!$C$2:$C$653,B91,'02d_AI_Accelerator_Power'!$D$2:$D$653,C91,'02d_AI_Accelerator_Power'!$F$2:$F$653,"R200/R300 future")/I91,0)</f>
        <v/>
      </c>
      <c r="K91" s="6">
        <f>IF(I91&gt;0,SUMIFS('02d_AI_Accelerator_Power'!$J$2:$J$653,'02d_AI_Accelerator_Power'!$B$2:$B$653,A91,'02d_AI_Accelerator_Power'!$C$2:$C$653,B91,'02d_AI_Accelerator_Power'!$D$2:$D$653,C91,'02d_AI_Accelerator_Power'!$F$2:$F$653,"TPU")/I91,0)</f>
        <v/>
      </c>
      <c r="L91" s="6">
        <f>IF(I91&gt;0,SUMIFS('02d_AI_Accelerator_Power'!$J$2:$J$653,'02d_AI_Accelerator_Power'!$B$2:$B$653,A91,'02d_AI_Accelerator_Power'!$C$2:$C$653,B91,'02d_AI_Accelerator_Power'!$D$2:$D$653,C91,'02d_AI_Accelerator_Power'!$F$2:$F$653,"Trainium")/I91,0)</f>
        <v/>
      </c>
      <c r="M91" s="6">
        <f>IF(I91&gt;0,SUMIFS('02d_AI_Accelerator_Power'!$J$2:$J$653,'02d_AI_Accelerator_Power'!$B$2:$B$653,A91,'02d_AI_Accelerator_Power'!$C$2:$C$653,B91,'02d_AI_Accelerator_Power'!$D$2:$D$653,C91,'02d_AI_Accelerator_Power'!$F$2:$F$653,"Maia")/I91,0)</f>
        <v/>
      </c>
      <c r="N91" s="6">
        <f>IF(I91&gt;0,SUMIFS('02d_AI_Accelerator_Power'!$J$2:$J$653,'02d_AI_Accelerator_Power'!$B$2:$B$653,A91,'02d_AI_Accelerator_Power'!$C$2:$C$653,B91,'02d_AI_Accelerator_Power'!$D$2:$D$653,C91,'02d_AI_Accelerator_Power'!$F$2:$F$653,"MTIA")/I91,0)</f>
        <v/>
      </c>
      <c r="O91" s="6">
        <f>IF(I91&gt;0,SUMIFS('02d_AI_Accelerator_Power'!$J$2:$J$653,'02d_AI_Accelerator_Power'!$B$2:$B$653,A91,'02d_AI_Accelerator_Power'!$C$2:$C$653,B91,'02d_AI_Accelerator_Power'!$D$2:$D$653,C91,'02d_AI_Accelerator_Power'!$F$2:$F$653,"Other / unknown accelerator")/I91,0)</f>
        <v/>
      </c>
      <c r="P91" s="3" t="inlineStr">
        <is>
          <t>CSP contract normalized: company inference MW * (CSP total MW * AI contract share * inference share) / company contract inference weight, then multiplied by CSP accelerator rows.</t>
        </is>
      </c>
      <c r="Q91" s="3" t="inlineStr">
        <is>
          <t>csp_contract_share_x_csp_accelerator_mix</t>
        </is>
      </c>
      <c r="R91" s="3" t="inlineStr">
        <is>
          <t>Edit 02a CSP contract allocation, 02b CSP accelerator mix, or 02x accelerator catalog; 03_Calculation reads D:G from this sheet.</t>
        </is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6">
        <f>IF(I92&gt;0,SUMIFS('02d_AI_Accelerator_Power'!$J$2:$J$653,'02d_AI_Accelerator_Power'!$B$2:$B$653,A92,'02d_AI_Accelerator_Power'!$C$2:$C$653,B92,'02d_AI_Accelerator_Power'!$D$2:$D$653,C92,'02d_AI_Accelerator_Power'!$G$2:$G$653,"h200_reference")/I92,0.173278)</f>
        <v/>
      </c>
      <c r="E92" s="6">
        <f>IF(I92&gt;0,SUMIFS('02d_AI_Accelerator_Power'!$J$2:$J$653,'02d_AI_Accelerator_Power'!$B$2:$B$653,A92,'02d_AI_Accelerator_Power'!$C$2:$C$653,B92,'02d_AI_Accelerator_Power'!$D$2:$D$653,C92,'02d_AI_Accelerator_Power'!$G$2:$G$653,"b200_reference")/I92,0.826722)</f>
        <v/>
      </c>
      <c r="F92" s="6">
        <f>IF(I92&gt;0,SUMIFS('02d_AI_Accelerator_Power'!$J$2:$J$653,'02d_AI_Accelerator_Power'!$B$2:$B$653,A92,'02d_AI_Accelerator_Power'!$C$2:$C$653,B92,'02d_AI_Accelerator_Power'!$D$2:$D$653,C92,'02d_AI_Accelerator_Power'!$G$2:$G$653,"gb200_reference")/I92,0.0)</f>
        <v/>
      </c>
      <c r="G92" s="6">
        <f>IF(I92&gt;0,SUMIFS('02d_AI_Accelerator_Power'!$J$2:$J$653,'02d_AI_Accelerator_Power'!$B$2:$B$653,A92,'02d_AI_Accelerator_Power'!$C$2:$C$653,B92,'02d_AI_Accelerator_Power'!$D$2:$D$653,C92,'02d_AI_Accelerator_Power'!$G$2:$G$653,"purpose_or_unbenchmarked")/I92,0.0)</f>
        <v/>
      </c>
      <c r="H92" s="6">
        <f>SUM(D92:G92)</f>
        <v/>
      </c>
      <c r="I92" s="28">
        <f>SUMIFS('02d_AI_Accelerator_Power'!$J$2:$J$653,'02d_AI_Accelerator_Power'!$B$2:$B$653,A92,'02d_AI_Accelerator_Power'!$C$2:$C$653,B92,'02d_AI_Accelerator_Power'!$D$2:$D$653,C92)</f>
        <v/>
      </c>
      <c r="J92" s="6">
        <f>IF(I92&gt;0,SUMIFS('02d_AI_Accelerator_Power'!$J$2:$J$653,'02d_AI_Accelerator_Power'!$B$2:$B$653,A92,'02d_AI_Accelerator_Power'!$C$2:$C$653,B92,'02d_AI_Accelerator_Power'!$D$2:$D$653,C92,'02d_AI_Accelerator_Power'!$F$2:$F$653,"R200/R300 future")/I92,0)</f>
        <v/>
      </c>
      <c r="K92" s="6">
        <f>IF(I92&gt;0,SUMIFS('02d_AI_Accelerator_Power'!$J$2:$J$653,'02d_AI_Accelerator_Power'!$B$2:$B$653,A92,'02d_AI_Accelerator_Power'!$C$2:$C$653,B92,'02d_AI_Accelerator_Power'!$D$2:$D$653,C92,'02d_AI_Accelerator_Power'!$F$2:$F$653,"TPU")/I92,0)</f>
        <v/>
      </c>
      <c r="L92" s="6">
        <f>IF(I92&gt;0,SUMIFS('02d_AI_Accelerator_Power'!$J$2:$J$653,'02d_AI_Accelerator_Power'!$B$2:$B$653,A92,'02d_AI_Accelerator_Power'!$C$2:$C$653,B92,'02d_AI_Accelerator_Power'!$D$2:$D$653,C92,'02d_AI_Accelerator_Power'!$F$2:$F$653,"Trainium")/I92,0)</f>
        <v/>
      </c>
      <c r="M92" s="6">
        <f>IF(I92&gt;0,SUMIFS('02d_AI_Accelerator_Power'!$J$2:$J$653,'02d_AI_Accelerator_Power'!$B$2:$B$653,A92,'02d_AI_Accelerator_Power'!$C$2:$C$653,B92,'02d_AI_Accelerator_Power'!$D$2:$D$653,C92,'02d_AI_Accelerator_Power'!$F$2:$F$653,"Maia")/I92,0)</f>
        <v/>
      </c>
      <c r="N92" s="6">
        <f>IF(I92&gt;0,SUMIFS('02d_AI_Accelerator_Power'!$J$2:$J$653,'02d_AI_Accelerator_Power'!$B$2:$B$653,A92,'02d_AI_Accelerator_Power'!$C$2:$C$653,B92,'02d_AI_Accelerator_Power'!$D$2:$D$653,C92,'02d_AI_Accelerator_Power'!$F$2:$F$653,"MTIA")/I92,0)</f>
        <v/>
      </c>
      <c r="O92" s="6">
        <f>IF(I92&gt;0,SUMIFS('02d_AI_Accelerator_Power'!$J$2:$J$653,'02d_AI_Accelerator_Power'!$B$2:$B$653,A92,'02d_AI_Accelerator_Power'!$C$2:$C$653,B92,'02d_AI_Accelerator_Power'!$D$2:$D$653,C92,'02d_AI_Accelerator_Power'!$F$2:$F$653,"Other / unknown accelerator")/I92,0)</f>
        <v/>
      </c>
      <c r="P92" s="3" t="inlineStr">
        <is>
          <t>CSP contract normalized: company inference MW * (CSP total MW * AI contract share * inference share) / company contract inference weight, then multiplied by CSP accelerator rows.</t>
        </is>
      </c>
      <c r="Q92" s="3" t="inlineStr">
        <is>
          <t>csp_contract_share_x_csp_accelerator_mix</t>
        </is>
      </c>
      <c r="R92" s="3" t="inlineStr">
        <is>
          <t>Edit 02a CSP contract allocation, 02b CSP accelerator mix, or 02x accelerator catalog; 03_Calculation reads D:G from this sheet.</t>
        </is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6">
        <f>IF(I93&gt;0,SUMIFS('02d_AI_Accelerator_Power'!$J$2:$J$653,'02d_AI_Accelerator_Power'!$B$2:$B$653,A93,'02d_AI_Accelerator_Power'!$C$2:$C$653,B93,'02d_AI_Accelerator_Power'!$D$2:$D$653,C93,'02d_AI_Accelerator_Power'!$G$2:$G$653,"h200_reference")/I93,0.124979)</f>
        <v/>
      </c>
      <c r="E93" s="6">
        <f>IF(I93&gt;0,SUMIFS('02d_AI_Accelerator_Power'!$J$2:$J$653,'02d_AI_Accelerator_Power'!$B$2:$B$653,A93,'02d_AI_Accelerator_Power'!$C$2:$C$653,B93,'02d_AI_Accelerator_Power'!$D$2:$D$653,C93,'02d_AI_Accelerator_Power'!$G$2:$G$653,"b200_reference")/I93,0.875021)</f>
        <v/>
      </c>
      <c r="F93" s="6">
        <f>IF(I93&gt;0,SUMIFS('02d_AI_Accelerator_Power'!$J$2:$J$653,'02d_AI_Accelerator_Power'!$B$2:$B$653,A93,'02d_AI_Accelerator_Power'!$C$2:$C$653,B93,'02d_AI_Accelerator_Power'!$D$2:$D$653,C93,'02d_AI_Accelerator_Power'!$G$2:$G$653,"gb200_reference")/I93,0.0)</f>
        <v/>
      </c>
      <c r="G93" s="6">
        <f>IF(I93&gt;0,SUMIFS('02d_AI_Accelerator_Power'!$J$2:$J$653,'02d_AI_Accelerator_Power'!$B$2:$B$653,A93,'02d_AI_Accelerator_Power'!$C$2:$C$653,B93,'02d_AI_Accelerator_Power'!$D$2:$D$653,C93,'02d_AI_Accelerator_Power'!$G$2:$G$653,"purpose_or_unbenchmarked")/I93,0.0)</f>
        <v/>
      </c>
      <c r="H93" s="6">
        <f>SUM(D93:G93)</f>
        <v/>
      </c>
      <c r="I93" s="28">
        <f>SUMIFS('02d_AI_Accelerator_Power'!$J$2:$J$653,'02d_AI_Accelerator_Power'!$B$2:$B$653,A93,'02d_AI_Accelerator_Power'!$C$2:$C$653,B93,'02d_AI_Accelerator_Power'!$D$2:$D$653,C93)</f>
        <v/>
      </c>
      <c r="J93" s="6">
        <f>IF(I93&gt;0,SUMIFS('02d_AI_Accelerator_Power'!$J$2:$J$653,'02d_AI_Accelerator_Power'!$B$2:$B$653,A93,'02d_AI_Accelerator_Power'!$C$2:$C$653,B93,'02d_AI_Accelerator_Power'!$D$2:$D$653,C93,'02d_AI_Accelerator_Power'!$F$2:$F$653,"R200/R300 future")/I93,0)</f>
        <v/>
      </c>
      <c r="K93" s="6">
        <f>IF(I93&gt;0,SUMIFS('02d_AI_Accelerator_Power'!$J$2:$J$653,'02d_AI_Accelerator_Power'!$B$2:$B$653,A93,'02d_AI_Accelerator_Power'!$C$2:$C$653,B93,'02d_AI_Accelerator_Power'!$D$2:$D$653,C93,'02d_AI_Accelerator_Power'!$F$2:$F$653,"TPU")/I93,0)</f>
        <v/>
      </c>
      <c r="L93" s="6">
        <f>IF(I93&gt;0,SUMIFS('02d_AI_Accelerator_Power'!$J$2:$J$653,'02d_AI_Accelerator_Power'!$B$2:$B$653,A93,'02d_AI_Accelerator_Power'!$C$2:$C$653,B93,'02d_AI_Accelerator_Power'!$D$2:$D$653,C93,'02d_AI_Accelerator_Power'!$F$2:$F$653,"Trainium")/I93,0)</f>
        <v/>
      </c>
      <c r="M93" s="6">
        <f>IF(I93&gt;0,SUMIFS('02d_AI_Accelerator_Power'!$J$2:$J$653,'02d_AI_Accelerator_Power'!$B$2:$B$653,A93,'02d_AI_Accelerator_Power'!$C$2:$C$653,B93,'02d_AI_Accelerator_Power'!$D$2:$D$653,C93,'02d_AI_Accelerator_Power'!$F$2:$F$653,"Maia")/I93,0)</f>
        <v/>
      </c>
      <c r="N93" s="6">
        <f>IF(I93&gt;0,SUMIFS('02d_AI_Accelerator_Power'!$J$2:$J$653,'02d_AI_Accelerator_Power'!$B$2:$B$653,A93,'02d_AI_Accelerator_Power'!$C$2:$C$653,B93,'02d_AI_Accelerator_Power'!$D$2:$D$653,C93,'02d_AI_Accelerator_Power'!$F$2:$F$653,"MTIA")/I93,0)</f>
        <v/>
      </c>
      <c r="O93" s="6">
        <f>IF(I93&gt;0,SUMIFS('02d_AI_Accelerator_Power'!$J$2:$J$653,'02d_AI_Accelerator_Power'!$B$2:$B$653,A93,'02d_AI_Accelerator_Power'!$C$2:$C$653,B93,'02d_AI_Accelerator_Power'!$D$2:$D$653,C93,'02d_AI_Accelerator_Power'!$F$2:$F$653,"Other / unknown accelerator")/I93,0)</f>
        <v/>
      </c>
      <c r="P93" s="3" t="inlineStr">
        <is>
          <t>CSP contract normalized: company inference MW * (CSP total MW * AI contract share * inference share) / company contract inference weight, then multiplied by CSP accelerator rows.</t>
        </is>
      </c>
      <c r="Q93" s="3" t="inlineStr">
        <is>
          <t>csp_contract_share_x_csp_accelerator_mix</t>
        </is>
      </c>
      <c r="R93" s="3" t="inlineStr">
        <is>
          <t>Edit 02a CSP contract allocation, 02b CSP accelerator mix, or 02x accelerator catalog; 03_Calculation reads D:G from this sheet.</t>
        </is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6">
        <f>IF(I94&gt;0,SUMIFS('02d_AI_Accelerator_Power'!$J$2:$J$653,'02d_AI_Accelerator_Power'!$B$2:$B$653,A94,'02d_AI_Accelerator_Power'!$C$2:$C$653,B94,'02d_AI_Accelerator_Power'!$D$2:$D$653,C94,'02d_AI_Accelerator_Power'!$G$2:$G$653,"h200_reference")/I94,0.052258)</f>
        <v/>
      </c>
      <c r="E94" s="6">
        <f>IF(I94&gt;0,SUMIFS('02d_AI_Accelerator_Power'!$J$2:$J$653,'02d_AI_Accelerator_Power'!$B$2:$B$653,A94,'02d_AI_Accelerator_Power'!$C$2:$C$653,B94,'02d_AI_Accelerator_Power'!$D$2:$D$653,C94,'02d_AI_Accelerator_Power'!$G$2:$G$653,"b200_reference")/I94,0.947742)</f>
        <v/>
      </c>
      <c r="F94" s="6">
        <f>IF(I94&gt;0,SUMIFS('02d_AI_Accelerator_Power'!$J$2:$J$653,'02d_AI_Accelerator_Power'!$B$2:$B$653,A94,'02d_AI_Accelerator_Power'!$C$2:$C$653,B94,'02d_AI_Accelerator_Power'!$D$2:$D$653,C94,'02d_AI_Accelerator_Power'!$G$2:$G$653,"gb200_reference")/I94,0.0)</f>
        <v/>
      </c>
      <c r="G94" s="6">
        <f>IF(I94&gt;0,SUMIFS('02d_AI_Accelerator_Power'!$J$2:$J$653,'02d_AI_Accelerator_Power'!$B$2:$B$653,A94,'02d_AI_Accelerator_Power'!$C$2:$C$653,B94,'02d_AI_Accelerator_Power'!$D$2:$D$653,C94,'02d_AI_Accelerator_Power'!$G$2:$G$653,"purpose_or_unbenchmarked")/I94,0.0)</f>
        <v/>
      </c>
      <c r="H94" s="6">
        <f>SUM(D94:G94)</f>
        <v/>
      </c>
      <c r="I94" s="28">
        <f>SUMIFS('02d_AI_Accelerator_Power'!$J$2:$J$653,'02d_AI_Accelerator_Power'!$B$2:$B$653,A94,'02d_AI_Accelerator_Power'!$C$2:$C$653,B94,'02d_AI_Accelerator_Power'!$D$2:$D$653,C94)</f>
        <v/>
      </c>
      <c r="J94" s="6">
        <f>IF(I94&gt;0,SUMIFS('02d_AI_Accelerator_Power'!$J$2:$J$653,'02d_AI_Accelerator_Power'!$B$2:$B$653,A94,'02d_AI_Accelerator_Power'!$C$2:$C$653,B94,'02d_AI_Accelerator_Power'!$D$2:$D$653,C94,'02d_AI_Accelerator_Power'!$F$2:$F$653,"R200/R300 future")/I94,0)</f>
        <v/>
      </c>
      <c r="K94" s="6">
        <f>IF(I94&gt;0,SUMIFS('02d_AI_Accelerator_Power'!$J$2:$J$653,'02d_AI_Accelerator_Power'!$B$2:$B$653,A94,'02d_AI_Accelerator_Power'!$C$2:$C$653,B94,'02d_AI_Accelerator_Power'!$D$2:$D$653,C94,'02d_AI_Accelerator_Power'!$F$2:$F$653,"TPU")/I94,0)</f>
        <v/>
      </c>
      <c r="L94" s="6">
        <f>IF(I94&gt;0,SUMIFS('02d_AI_Accelerator_Power'!$J$2:$J$653,'02d_AI_Accelerator_Power'!$B$2:$B$653,A94,'02d_AI_Accelerator_Power'!$C$2:$C$653,B94,'02d_AI_Accelerator_Power'!$D$2:$D$653,C94,'02d_AI_Accelerator_Power'!$F$2:$F$653,"Trainium")/I94,0)</f>
        <v/>
      </c>
      <c r="M94" s="6">
        <f>IF(I94&gt;0,SUMIFS('02d_AI_Accelerator_Power'!$J$2:$J$653,'02d_AI_Accelerator_Power'!$B$2:$B$653,A94,'02d_AI_Accelerator_Power'!$C$2:$C$653,B94,'02d_AI_Accelerator_Power'!$D$2:$D$653,C94,'02d_AI_Accelerator_Power'!$F$2:$F$653,"Maia")/I94,0)</f>
        <v/>
      </c>
      <c r="N94" s="6">
        <f>IF(I94&gt;0,SUMIFS('02d_AI_Accelerator_Power'!$J$2:$J$653,'02d_AI_Accelerator_Power'!$B$2:$B$653,A94,'02d_AI_Accelerator_Power'!$C$2:$C$653,B94,'02d_AI_Accelerator_Power'!$D$2:$D$653,C94,'02d_AI_Accelerator_Power'!$F$2:$F$653,"MTIA")/I94,0)</f>
        <v/>
      </c>
      <c r="O94" s="6">
        <f>IF(I94&gt;0,SUMIFS('02d_AI_Accelerator_Power'!$J$2:$J$653,'02d_AI_Accelerator_Power'!$B$2:$B$653,A94,'02d_AI_Accelerator_Power'!$C$2:$C$653,B94,'02d_AI_Accelerator_Power'!$D$2:$D$653,C94,'02d_AI_Accelerator_Power'!$F$2:$F$653,"Other / unknown accelerator")/I94,0)</f>
        <v/>
      </c>
      <c r="P94" s="3" t="inlineStr">
        <is>
          <t>CSP contract normalized: company inference MW * (CSP total MW * AI contract share * inference share) / company contract inference weight, then multiplied by CSP accelerator rows.</t>
        </is>
      </c>
      <c r="Q94" s="3" t="inlineStr">
        <is>
          <t>csp_contract_share_x_csp_accelerator_mix</t>
        </is>
      </c>
      <c r="R94" s="3" t="inlineStr">
        <is>
          <t>Edit 02a CSP contract allocation, 02b CSP accelerator mix, or 02x accelerator catalog; 03_Calculation reads D:G from this sheet.</t>
        </is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6">
        <f>IF(I95&gt;0,SUMIFS('02d_AI_Accelerator_Power'!$J$2:$J$653,'02d_AI_Accelerator_Power'!$B$2:$B$653,A95,'02d_AI_Accelerator_Power'!$C$2:$C$653,B95,'02d_AI_Accelerator_Power'!$D$2:$D$653,C95,'02d_AI_Accelerator_Power'!$G$2:$G$653,"h200_reference")/I95,0.052258)</f>
        <v/>
      </c>
      <c r="E95" s="6">
        <f>IF(I95&gt;0,SUMIFS('02d_AI_Accelerator_Power'!$J$2:$J$653,'02d_AI_Accelerator_Power'!$B$2:$B$653,A95,'02d_AI_Accelerator_Power'!$C$2:$C$653,B95,'02d_AI_Accelerator_Power'!$D$2:$D$653,C95,'02d_AI_Accelerator_Power'!$G$2:$G$653,"b200_reference")/I95,0.947742)</f>
        <v/>
      </c>
      <c r="F95" s="6">
        <f>IF(I95&gt;0,SUMIFS('02d_AI_Accelerator_Power'!$J$2:$J$653,'02d_AI_Accelerator_Power'!$B$2:$B$653,A95,'02d_AI_Accelerator_Power'!$C$2:$C$653,B95,'02d_AI_Accelerator_Power'!$D$2:$D$653,C95,'02d_AI_Accelerator_Power'!$G$2:$G$653,"gb200_reference")/I95,0.0)</f>
        <v/>
      </c>
      <c r="G95" s="6">
        <f>IF(I95&gt;0,SUMIFS('02d_AI_Accelerator_Power'!$J$2:$J$653,'02d_AI_Accelerator_Power'!$B$2:$B$653,A95,'02d_AI_Accelerator_Power'!$C$2:$C$653,B95,'02d_AI_Accelerator_Power'!$D$2:$D$653,C95,'02d_AI_Accelerator_Power'!$G$2:$G$653,"purpose_or_unbenchmarked")/I95,0.0)</f>
        <v/>
      </c>
      <c r="H95" s="6">
        <f>SUM(D95:G95)</f>
        <v/>
      </c>
      <c r="I95" s="28">
        <f>SUMIFS('02d_AI_Accelerator_Power'!$J$2:$J$653,'02d_AI_Accelerator_Power'!$B$2:$B$653,A95,'02d_AI_Accelerator_Power'!$C$2:$C$653,B95,'02d_AI_Accelerator_Power'!$D$2:$D$653,C95)</f>
        <v/>
      </c>
      <c r="J95" s="6">
        <f>IF(I95&gt;0,SUMIFS('02d_AI_Accelerator_Power'!$J$2:$J$653,'02d_AI_Accelerator_Power'!$B$2:$B$653,A95,'02d_AI_Accelerator_Power'!$C$2:$C$653,B95,'02d_AI_Accelerator_Power'!$D$2:$D$653,C95,'02d_AI_Accelerator_Power'!$F$2:$F$653,"R200/R300 future")/I95,0)</f>
        <v/>
      </c>
      <c r="K95" s="6">
        <f>IF(I95&gt;0,SUMIFS('02d_AI_Accelerator_Power'!$J$2:$J$653,'02d_AI_Accelerator_Power'!$B$2:$B$653,A95,'02d_AI_Accelerator_Power'!$C$2:$C$653,B95,'02d_AI_Accelerator_Power'!$D$2:$D$653,C95,'02d_AI_Accelerator_Power'!$F$2:$F$653,"TPU")/I95,0)</f>
        <v/>
      </c>
      <c r="L95" s="6">
        <f>IF(I95&gt;0,SUMIFS('02d_AI_Accelerator_Power'!$J$2:$J$653,'02d_AI_Accelerator_Power'!$B$2:$B$653,A95,'02d_AI_Accelerator_Power'!$C$2:$C$653,B95,'02d_AI_Accelerator_Power'!$D$2:$D$653,C95,'02d_AI_Accelerator_Power'!$F$2:$F$653,"Trainium")/I95,0)</f>
        <v/>
      </c>
      <c r="M95" s="6">
        <f>IF(I95&gt;0,SUMIFS('02d_AI_Accelerator_Power'!$J$2:$J$653,'02d_AI_Accelerator_Power'!$B$2:$B$653,A95,'02d_AI_Accelerator_Power'!$C$2:$C$653,B95,'02d_AI_Accelerator_Power'!$D$2:$D$653,C95,'02d_AI_Accelerator_Power'!$F$2:$F$653,"Maia")/I95,0)</f>
        <v/>
      </c>
      <c r="N95" s="6">
        <f>IF(I95&gt;0,SUMIFS('02d_AI_Accelerator_Power'!$J$2:$J$653,'02d_AI_Accelerator_Power'!$B$2:$B$653,A95,'02d_AI_Accelerator_Power'!$C$2:$C$653,B95,'02d_AI_Accelerator_Power'!$D$2:$D$653,C95,'02d_AI_Accelerator_Power'!$F$2:$F$653,"MTIA")/I95,0)</f>
        <v/>
      </c>
      <c r="O95" s="6">
        <f>IF(I95&gt;0,SUMIFS('02d_AI_Accelerator_Power'!$J$2:$J$653,'02d_AI_Accelerator_Power'!$B$2:$B$653,A95,'02d_AI_Accelerator_Power'!$C$2:$C$653,B95,'02d_AI_Accelerator_Power'!$D$2:$D$653,C95,'02d_AI_Accelerator_Power'!$F$2:$F$653,"Other / unknown accelerator")/I95,0)</f>
        <v/>
      </c>
      <c r="P95" s="3" t="inlineStr">
        <is>
          <t>CSP contract normalized: company inference MW * (CSP total MW * AI contract share * inference share) / company contract inference weight, then multiplied by CSP accelerator rows.</t>
        </is>
      </c>
      <c r="Q95" s="3" t="inlineStr">
        <is>
          <t>csp_contract_share_x_csp_accelerator_mix</t>
        </is>
      </c>
      <c r="R95" s="3" t="inlineStr">
        <is>
          <t>Edit 02a CSP contract allocation, 02b CSP accelerator mix, or 02x accelerator catalog; 03_Calculation reads D:G from this sheet.</t>
        </is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6">
        <f>IF(I96&gt;0,SUMIFS('02d_AI_Accelerator_Power'!$J$2:$J$653,'02d_AI_Accelerator_Power'!$B$2:$B$653,A96,'02d_AI_Accelerator_Power'!$C$2:$C$653,B96,'02d_AI_Accelerator_Power'!$D$2:$D$653,C96,'02d_AI_Accelerator_Power'!$G$2:$G$653,"h200_reference")/I96,0.052258)</f>
        <v/>
      </c>
      <c r="E96" s="6">
        <f>IF(I96&gt;0,SUMIFS('02d_AI_Accelerator_Power'!$J$2:$J$653,'02d_AI_Accelerator_Power'!$B$2:$B$653,A96,'02d_AI_Accelerator_Power'!$C$2:$C$653,B96,'02d_AI_Accelerator_Power'!$D$2:$D$653,C96,'02d_AI_Accelerator_Power'!$G$2:$G$653,"b200_reference")/I96,0.947742)</f>
        <v/>
      </c>
      <c r="F96" s="6">
        <f>IF(I96&gt;0,SUMIFS('02d_AI_Accelerator_Power'!$J$2:$J$653,'02d_AI_Accelerator_Power'!$B$2:$B$653,A96,'02d_AI_Accelerator_Power'!$C$2:$C$653,B96,'02d_AI_Accelerator_Power'!$D$2:$D$653,C96,'02d_AI_Accelerator_Power'!$G$2:$G$653,"gb200_reference")/I96,0.0)</f>
        <v/>
      </c>
      <c r="G96" s="6">
        <f>IF(I96&gt;0,SUMIFS('02d_AI_Accelerator_Power'!$J$2:$J$653,'02d_AI_Accelerator_Power'!$B$2:$B$653,A96,'02d_AI_Accelerator_Power'!$C$2:$C$653,B96,'02d_AI_Accelerator_Power'!$D$2:$D$653,C96,'02d_AI_Accelerator_Power'!$G$2:$G$653,"purpose_or_unbenchmarked")/I96,0.0)</f>
        <v/>
      </c>
      <c r="H96" s="6">
        <f>SUM(D96:G96)</f>
        <v/>
      </c>
      <c r="I96" s="28">
        <f>SUMIFS('02d_AI_Accelerator_Power'!$J$2:$J$653,'02d_AI_Accelerator_Power'!$B$2:$B$653,A96,'02d_AI_Accelerator_Power'!$C$2:$C$653,B96,'02d_AI_Accelerator_Power'!$D$2:$D$653,C96)</f>
        <v/>
      </c>
      <c r="J96" s="6">
        <f>IF(I96&gt;0,SUMIFS('02d_AI_Accelerator_Power'!$J$2:$J$653,'02d_AI_Accelerator_Power'!$B$2:$B$653,A96,'02d_AI_Accelerator_Power'!$C$2:$C$653,B96,'02d_AI_Accelerator_Power'!$D$2:$D$653,C96,'02d_AI_Accelerator_Power'!$F$2:$F$653,"R200/R300 future")/I96,0)</f>
        <v/>
      </c>
      <c r="K96" s="6">
        <f>IF(I96&gt;0,SUMIFS('02d_AI_Accelerator_Power'!$J$2:$J$653,'02d_AI_Accelerator_Power'!$B$2:$B$653,A96,'02d_AI_Accelerator_Power'!$C$2:$C$653,B96,'02d_AI_Accelerator_Power'!$D$2:$D$653,C96,'02d_AI_Accelerator_Power'!$F$2:$F$653,"TPU")/I96,0)</f>
        <v/>
      </c>
      <c r="L96" s="6">
        <f>IF(I96&gt;0,SUMIFS('02d_AI_Accelerator_Power'!$J$2:$J$653,'02d_AI_Accelerator_Power'!$B$2:$B$653,A96,'02d_AI_Accelerator_Power'!$C$2:$C$653,B96,'02d_AI_Accelerator_Power'!$D$2:$D$653,C96,'02d_AI_Accelerator_Power'!$F$2:$F$653,"Trainium")/I96,0)</f>
        <v/>
      </c>
      <c r="M96" s="6">
        <f>IF(I96&gt;0,SUMIFS('02d_AI_Accelerator_Power'!$J$2:$J$653,'02d_AI_Accelerator_Power'!$B$2:$B$653,A96,'02d_AI_Accelerator_Power'!$C$2:$C$653,B96,'02d_AI_Accelerator_Power'!$D$2:$D$653,C96,'02d_AI_Accelerator_Power'!$F$2:$F$653,"Maia")/I96,0)</f>
        <v/>
      </c>
      <c r="N96" s="6">
        <f>IF(I96&gt;0,SUMIFS('02d_AI_Accelerator_Power'!$J$2:$J$653,'02d_AI_Accelerator_Power'!$B$2:$B$653,A96,'02d_AI_Accelerator_Power'!$C$2:$C$653,B96,'02d_AI_Accelerator_Power'!$D$2:$D$653,C96,'02d_AI_Accelerator_Power'!$F$2:$F$653,"MTIA")/I96,0)</f>
        <v/>
      </c>
      <c r="O96" s="6">
        <f>IF(I96&gt;0,SUMIFS('02d_AI_Accelerator_Power'!$J$2:$J$653,'02d_AI_Accelerator_Power'!$B$2:$B$653,A96,'02d_AI_Accelerator_Power'!$C$2:$C$653,B96,'02d_AI_Accelerator_Power'!$D$2:$D$653,C96,'02d_AI_Accelerator_Power'!$F$2:$F$653,"Other / unknown accelerator")/I96,0)</f>
        <v/>
      </c>
      <c r="P96" s="3" t="inlineStr">
        <is>
          <t>CSP contract normalized: company inference MW * (CSP total MW * AI contract share * inference share) / company contract inference weight, then multiplied by CSP accelerator rows.</t>
        </is>
      </c>
      <c r="Q96" s="3" t="inlineStr">
        <is>
          <t>csp_contract_share_x_csp_accelerator_mix</t>
        </is>
      </c>
      <c r="R96" s="3" t="inlineStr">
        <is>
          <t>Edit 02a CSP contract allocation, 02b CSP accelerator mix, or 02x accelerator catalog; 03_Calculation reads D:G from this sheet.</t>
        </is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6">
        <f>IF(I97&gt;0,SUMIFS('02d_AI_Accelerator_Power'!$J$2:$J$653,'02d_AI_Accelerator_Power'!$B$2:$B$653,A97,'02d_AI_Accelerator_Power'!$C$2:$C$653,B97,'02d_AI_Accelerator_Power'!$D$2:$D$653,C97,'02d_AI_Accelerator_Power'!$G$2:$G$653,"h200_reference")/I97,0.0)</f>
        <v/>
      </c>
      <c r="E97" s="6">
        <f>IF(I97&gt;0,SUMIFS('02d_AI_Accelerator_Power'!$J$2:$J$653,'02d_AI_Accelerator_Power'!$B$2:$B$653,A97,'02d_AI_Accelerator_Power'!$C$2:$C$653,B97,'02d_AI_Accelerator_Power'!$D$2:$D$653,C97,'02d_AI_Accelerator_Power'!$G$2:$G$653,"b200_reference")/I97,0.057223)</f>
        <v/>
      </c>
      <c r="F97" s="6">
        <f>IF(I97&gt;0,SUMIFS('02d_AI_Accelerator_Power'!$J$2:$J$653,'02d_AI_Accelerator_Power'!$B$2:$B$653,A97,'02d_AI_Accelerator_Power'!$C$2:$C$653,B97,'02d_AI_Accelerator_Power'!$D$2:$D$653,C97,'02d_AI_Accelerator_Power'!$G$2:$G$653,"gb200_reference")/I97,0.0)</f>
        <v/>
      </c>
      <c r="G97" s="6">
        <f>IF(I97&gt;0,SUMIFS('02d_AI_Accelerator_Power'!$J$2:$J$653,'02d_AI_Accelerator_Power'!$B$2:$B$653,A97,'02d_AI_Accelerator_Power'!$C$2:$C$653,B97,'02d_AI_Accelerator_Power'!$D$2:$D$653,C97,'02d_AI_Accelerator_Power'!$G$2:$G$653,"purpose_or_unbenchmarked")/I97,0.942777)</f>
        <v/>
      </c>
      <c r="H97" s="6">
        <f>SUM(D97:G97)</f>
        <v/>
      </c>
      <c r="I97" s="28">
        <f>SUMIFS('02d_AI_Accelerator_Power'!$J$2:$J$653,'02d_AI_Accelerator_Power'!$B$2:$B$653,A97,'02d_AI_Accelerator_Power'!$C$2:$C$653,B97,'02d_AI_Accelerator_Power'!$D$2:$D$653,C97)</f>
        <v/>
      </c>
      <c r="J97" s="6">
        <f>IF(I97&gt;0,SUMIFS('02d_AI_Accelerator_Power'!$J$2:$J$653,'02d_AI_Accelerator_Power'!$B$2:$B$653,A97,'02d_AI_Accelerator_Power'!$C$2:$C$653,B97,'02d_AI_Accelerator_Power'!$D$2:$D$653,C97,'02d_AI_Accelerator_Power'!$F$2:$F$653,"R200/R300 future")/I97,0)</f>
        <v/>
      </c>
      <c r="K97" s="6">
        <f>IF(I97&gt;0,SUMIFS('02d_AI_Accelerator_Power'!$J$2:$J$653,'02d_AI_Accelerator_Power'!$B$2:$B$653,A97,'02d_AI_Accelerator_Power'!$C$2:$C$653,B97,'02d_AI_Accelerator_Power'!$D$2:$D$653,C97,'02d_AI_Accelerator_Power'!$F$2:$F$653,"TPU")/I97,0)</f>
        <v/>
      </c>
      <c r="L97" s="6">
        <f>IF(I97&gt;0,SUMIFS('02d_AI_Accelerator_Power'!$J$2:$J$653,'02d_AI_Accelerator_Power'!$B$2:$B$653,A97,'02d_AI_Accelerator_Power'!$C$2:$C$653,B97,'02d_AI_Accelerator_Power'!$D$2:$D$653,C97,'02d_AI_Accelerator_Power'!$F$2:$F$653,"Trainium")/I97,0)</f>
        <v/>
      </c>
      <c r="M97" s="6">
        <f>IF(I97&gt;0,SUMIFS('02d_AI_Accelerator_Power'!$J$2:$J$653,'02d_AI_Accelerator_Power'!$B$2:$B$653,A97,'02d_AI_Accelerator_Power'!$C$2:$C$653,B97,'02d_AI_Accelerator_Power'!$D$2:$D$653,C97,'02d_AI_Accelerator_Power'!$F$2:$F$653,"Maia")/I97,0)</f>
        <v/>
      </c>
      <c r="N97" s="6">
        <f>IF(I97&gt;0,SUMIFS('02d_AI_Accelerator_Power'!$J$2:$J$653,'02d_AI_Accelerator_Power'!$B$2:$B$653,A97,'02d_AI_Accelerator_Power'!$C$2:$C$653,B97,'02d_AI_Accelerator_Power'!$D$2:$D$653,C97,'02d_AI_Accelerator_Power'!$F$2:$F$653,"MTIA")/I97,0)</f>
        <v/>
      </c>
      <c r="O97" s="6">
        <f>IF(I97&gt;0,SUMIFS('02d_AI_Accelerator_Power'!$J$2:$J$653,'02d_AI_Accelerator_Power'!$B$2:$B$653,A97,'02d_AI_Accelerator_Power'!$C$2:$C$653,B97,'02d_AI_Accelerator_Power'!$D$2:$D$653,C97,'02d_AI_Accelerator_Power'!$F$2:$F$653,"Other / unknown accelerator")/I97,0)</f>
        <v/>
      </c>
      <c r="P97" s="3" t="inlineStr">
        <is>
          <t>CSP contract normalized: company inference MW * (CSP total MW * AI contract share * inference share) / company contract inference weight, then multiplied by CSP accelerator rows.</t>
        </is>
      </c>
      <c r="Q97" s="3" t="inlineStr">
        <is>
          <t>csp_contract_share_x_csp_accelerator_mix</t>
        </is>
      </c>
      <c r="R97" s="3" t="inlineStr">
        <is>
          <t>Edit 02a CSP contract allocation, 02b CSP accelerator mix, or 02x accelerator catalog; 03_Calculation reads D:G from this sheet.</t>
        </is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6">
        <f>IF(I98&gt;0,SUMIFS('02d_AI_Accelerator_Power'!$J$2:$J$653,'02d_AI_Accelerator_Power'!$B$2:$B$653,A98,'02d_AI_Accelerator_Power'!$C$2:$C$653,B98,'02d_AI_Accelerator_Power'!$D$2:$D$653,C98,'02d_AI_Accelerator_Power'!$G$2:$G$653,"h200_reference")/I98,0.0)</f>
        <v/>
      </c>
      <c r="E98" s="6">
        <f>IF(I98&gt;0,SUMIFS('02d_AI_Accelerator_Power'!$J$2:$J$653,'02d_AI_Accelerator_Power'!$B$2:$B$653,A98,'02d_AI_Accelerator_Power'!$C$2:$C$653,B98,'02d_AI_Accelerator_Power'!$D$2:$D$653,C98,'02d_AI_Accelerator_Power'!$G$2:$G$653,"b200_reference")/I98,0.088811)</f>
        <v/>
      </c>
      <c r="F98" s="6">
        <f>IF(I98&gt;0,SUMIFS('02d_AI_Accelerator_Power'!$J$2:$J$653,'02d_AI_Accelerator_Power'!$B$2:$B$653,A98,'02d_AI_Accelerator_Power'!$C$2:$C$653,B98,'02d_AI_Accelerator_Power'!$D$2:$D$653,C98,'02d_AI_Accelerator_Power'!$G$2:$G$653,"gb200_reference")/I98,0.0)</f>
        <v/>
      </c>
      <c r="G98" s="6">
        <f>IF(I98&gt;0,SUMIFS('02d_AI_Accelerator_Power'!$J$2:$J$653,'02d_AI_Accelerator_Power'!$B$2:$B$653,A98,'02d_AI_Accelerator_Power'!$C$2:$C$653,B98,'02d_AI_Accelerator_Power'!$D$2:$D$653,C98,'02d_AI_Accelerator_Power'!$G$2:$G$653,"purpose_or_unbenchmarked")/I98,0.911189)</f>
        <v/>
      </c>
      <c r="H98" s="6">
        <f>SUM(D98:G98)</f>
        <v/>
      </c>
      <c r="I98" s="28">
        <f>SUMIFS('02d_AI_Accelerator_Power'!$J$2:$J$653,'02d_AI_Accelerator_Power'!$B$2:$B$653,A98,'02d_AI_Accelerator_Power'!$C$2:$C$653,B98,'02d_AI_Accelerator_Power'!$D$2:$D$653,C98)</f>
        <v/>
      </c>
      <c r="J98" s="6">
        <f>IF(I98&gt;0,SUMIFS('02d_AI_Accelerator_Power'!$J$2:$J$653,'02d_AI_Accelerator_Power'!$B$2:$B$653,A98,'02d_AI_Accelerator_Power'!$C$2:$C$653,B98,'02d_AI_Accelerator_Power'!$D$2:$D$653,C98,'02d_AI_Accelerator_Power'!$F$2:$F$653,"R200/R300 future")/I98,0)</f>
        <v/>
      </c>
      <c r="K98" s="6">
        <f>IF(I98&gt;0,SUMIFS('02d_AI_Accelerator_Power'!$J$2:$J$653,'02d_AI_Accelerator_Power'!$B$2:$B$653,A98,'02d_AI_Accelerator_Power'!$C$2:$C$653,B98,'02d_AI_Accelerator_Power'!$D$2:$D$653,C98,'02d_AI_Accelerator_Power'!$F$2:$F$653,"TPU")/I98,0)</f>
        <v/>
      </c>
      <c r="L98" s="6">
        <f>IF(I98&gt;0,SUMIFS('02d_AI_Accelerator_Power'!$J$2:$J$653,'02d_AI_Accelerator_Power'!$B$2:$B$653,A98,'02d_AI_Accelerator_Power'!$C$2:$C$653,B98,'02d_AI_Accelerator_Power'!$D$2:$D$653,C98,'02d_AI_Accelerator_Power'!$F$2:$F$653,"Trainium")/I98,0)</f>
        <v/>
      </c>
      <c r="M98" s="6">
        <f>IF(I98&gt;0,SUMIFS('02d_AI_Accelerator_Power'!$J$2:$J$653,'02d_AI_Accelerator_Power'!$B$2:$B$653,A98,'02d_AI_Accelerator_Power'!$C$2:$C$653,B98,'02d_AI_Accelerator_Power'!$D$2:$D$653,C98,'02d_AI_Accelerator_Power'!$F$2:$F$653,"Maia")/I98,0)</f>
        <v/>
      </c>
      <c r="N98" s="6">
        <f>IF(I98&gt;0,SUMIFS('02d_AI_Accelerator_Power'!$J$2:$J$653,'02d_AI_Accelerator_Power'!$B$2:$B$653,A98,'02d_AI_Accelerator_Power'!$C$2:$C$653,B98,'02d_AI_Accelerator_Power'!$D$2:$D$653,C98,'02d_AI_Accelerator_Power'!$F$2:$F$653,"MTIA")/I98,0)</f>
        <v/>
      </c>
      <c r="O98" s="6">
        <f>IF(I98&gt;0,SUMIFS('02d_AI_Accelerator_Power'!$J$2:$J$653,'02d_AI_Accelerator_Power'!$B$2:$B$653,A98,'02d_AI_Accelerator_Power'!$C$2:$C$653,B98,'02d_AI_Accelerator_Power'!$D$2:$D$653,C98,'02d_AI_Accelerator_Power'!$F$2:$F$653,"Other / unknown accelerator")/I98,0)</f>
        <v/>
      </c>
      <c r="P98" s="3" t="inlineStr">
        <is>
          <t>CSP contract normalized: company inference MW * (CSP total MW * AI contract share * inference share) / company contract inference weight, then multiplied by CSP accelerator rows.</t>
        </is>
      </c>
      <c r="Q98" s="3" t="inlineStr">
        <is>
          <t>csp_contract_share_x_csp_accelerator_mix</t>
        </is>
      </c>
      <c r="R98" s="3" t="inlineStr">
        <is>
          <t>Edit 02a CSP contract allocation, 02b CSP accelerator mix, or 02x accelerator catalog; 03_Calculation reads D:G from this sheet.</t>
        </is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6">
        <f>IF(I99&gt;0,SUMIFS('02d_AI_Accelerator_Power'!$J$2:$J$653,'02d_AI_Accelerator_Power'!$B$2:$B$653,A99,'02d_AI_Accelerator_Power'!$C$2:$C$653,B99,'02d_AI_Accelerator_Power'!$D$2:$D$653,C99,'02d_AI_Accelerator_Power'!$G$2:$G$653,"h200_reference")/I99,0.0)</f>
        <v/>
      </c>
      <c r="E99" s="6">
        <f>IF(I99&gt;0,SUMIFS('02d_AI_Accelerator_Power'!$J$2:$J$653,'02d_AI_Accelerator_Power'!$B$2:$B$653,A99,'02d_AI_Accelerator_Power'!$C$2:$C$653,B99,'02d_AI_Accelerator_Power'!$D$2:$D$653,C99,'02d_AI_Accelerator_Power'!$G$2:$G$653,"b200_reference")/I99,0.088811)</f>
        <v/>
      </c>
      <c r="F99" s="6">
        <f>IF(I99&gt;0,SUMIFS('02d_AI_Accelerator_Power'!$J$2:$J$653,'02d_AI_Accelerator_Power'!$B$2:$B$653,A99,'02d_AI_Accelerator_Power'!$C$2:$C$653,B99,'02d_AI_Accelerator_Power'!$D$2:$D$653,C99,'02d_AI_Accelerator_Power'!$G$2:$G$653,"gb200_reference")/I99,0.0)</f>
        <v/>
      </c>
      <c r="G99" s="6">
        <f>IF(I99&gt;0,SUMIFS('02d_AI_Accelerator_Power'!$J$2:$J$653,'02d_AI_Accelerator_Power'!$B$2:$B$653,A99,'02d_AI_Accelerator_Power'!$C$2:$C$653,B99,'02d_AI_Accelerator_Power'!$D$2:$D$653,C99,'02d_AI_Accelerator_Power'!$G$2:$G$653,"purpose_or_unbenchmarked")/I99,0.911189)</f>
        <v/>
      </c>
      <c r="H99" s="6">
        <f>SUM(D99:G99)</f>
        <v/>
      </c>
      <c r="I99" s="28">
        <f>SUMIFS('02d_AI_Accelerator_Power'!$J$2:$J$653,'02d_AI_Accelerator_Power'!$B$2:$B$653,A99,'02d_AI_Accelerator_Power'!$C$2:$C$653,B99,'02d_AI_Accelerator_Power'!$D$2:$D$653,C99)</f>
        <v/>
      </c>
      <c r="J99" s="6">
        <f>IF(I99&gt;0,SUMIFS('02d_AI_Accelerator_Power'!$J$2:$J$653,'02d_AI_Accelerator_Power'!$B$2:$B$653,A99,'02d_AI_Accelerator_Power'!$C$2:$C$653,B99,'02d_AI_Accelerator_Power'!$D$2:$D$653,C99,'02d_AI_Accelerator_Power'!$F$2:$F$653,"R200/R300 future")/I99,0)</f>
        <v/>
      </c>
      <c r="K99" s="6">
        <f>IF(I99&gt;0,SUMIFS('02d_AI_Accelerator_Power'!$J$2:$J$653,'02d_AI_Accelerator_Power'!$B$2:$B$653,A99,'02d_AI_Accelerator_Power'!$C$2:$C$653,B99,'02d_AI_Accelerator_Power'!$D$2:$D$653,C99,'02d_AI_Accelerator_Power'!$F$2:$F$653,"TPU")/I99,0)</f>
        <v/>
      </c>
      <c r="L99" s="6">
        <f>IF(I99&gt;0,SUMIFS('02d_AI_Accelerator_Power'!$J$2:$J$653,'02d_AI_Accelerator_Power'!$B$2:$B$653,A99,'02d_AI_Accelerator_Power'!$C$2:$C$653,B99,'02d_AI_Accelerator_Power'!$D$2:$D$653,C99,'02d_AI_Accelerator_Power'!$F$2:$F$653,"Trainium")/I99,0)</f>
        <v/>
      </c>
      <c r="M99" s="6">
        <f>IF(I99&gt;0,SUMIFS('02d_AI_Accelerator_Power'!$J$2:$J$653,'02d_AI_Accelerator_Power'!$B$2:$B$653,A99,'02d_AI_Accelerator_Power'!$C$2:$C$653,B99,'02d_AI_Accelerator_Power'!$D$2:$D$653,C99,'02d_AI_Accelerator_Power'!$F$2:$F$653,"Maia")/I99,0)</f>
        <v/>
      </c>
      <c r="N99" s="6">
        <f>IF(I99&gt;0,SUMIFS('02d_AI_Accelerator_Power'!$J$2:$J$653,'02d_AI_Accelerator_Power'!$B$2:$B$653,A99,'02d_AI_Accelerator_Power'!$C$2:$C$653,B99,'02d_AI_Accelerator_Power'!$D$2:$D$653,C99,'02d_AI_Accelerator_Power'!$F$2:$F$653,"MTIA")/I99,0)</f>
        <v/>
      </c>
      <c r="O99" s="6">
        <f>IF(I99&gt;0,SUMIFS('02d_AI_Accelerator_Power'!$J$2:$J$653,'02d_AI_Accelerator_Power'!$B$2:$B$653,A99,'02d_AI_Accelerator_Power'!$C$2:$C$653,B99,'02d_AI_Accelerator_Power'!$D$2:$D$653,C99,'02d_AI_Accelerator_Power'!$F$2:$F$653,"Other / unknown accelerator")/I99,0)</f>
        <v/>
      </c>
      <c r="P99" s="3" t="inlineStr">
        <is>
          <t>CSP contract normalized: company inference MW * (CSP total MW * AI contract share * inference share) / company contract inference weight, then multiplied by CSP accelerator rows.</t>
        </is>
      </c>
      <c r="Q99" s="3" t="inlineStr">
        <is>
          <t>csp_contract_share_x_csp_accelerator_mix</t>
        </is>
      </c>
      <c r="R99" s="3" t="inlineStr">
        <is>
          <t>Edit 02a CSP contract allocation, 02b CSP accelerator mix, or 02x accelerator catalog; 03_Calculation reads D:G from this sheet.</t>
        </is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6">
        <f>IF(I100&gt;0,SUMIFS('02d_AI_Accelerator_Power'!$J$2:$J$653,'02d_AI_Accelerator_Power'!$B$2:$B$653,A100,'02d_AI_Accelerator_Power'!$C$2:$C$653,B100,'02d_AI_Accelerator_Power'!$D$2:$D$653,C100,'02d_AI_Accelerator_Power'!$G$2:$G$653,"h200_reference")/I100,0.0)</f>
        <v/>
      </c>
      <c r="E100" s="6">
        <f>IF(I100&gt;0,SUMIFS('02d_AI_Accelerator_Power'!$J$2:$J$653,'02d_AI_Accelerator_Power'!$B$2:$B$653,A100,'02d_AI_Accelerator_Power'!$C$2:$C$653,B100,'02d_AI_Accelerator_Power'!$D$2:$D$653,C100,'02d_AI_Accelerator_Power'!$G$2:$G$653,"b200_reference")/I100,0.088811)</f>
        <v/>
      </c>
      <c r="F100" s="6">
        <f>IF(I100&gt;0,SUMIFS('02d_AI_Accelerator_Power'!$J$2:$J$653,'02d_AI_Accelerator_Power'!$B$2:$B$653,A100,'02d_AI_Accelerator_Power'!$C$2:$C$653,B100,'02d_AI_Accelerator_Power'!$D$2:$D$653,C100,'02d_AI_Accelerator_Power'!$G$2:$G$653,"gb200_reference")/I100,0.0)</f>
        <v/>
      </c>
      <c r="G100" s="6">
        <f>IF(I100&gt;0,SUMIFS('02d_AI_Accelerator_Power'!$J$2:$J$653,'02d_AI_Accelerator_Power'!$B$2:$B$653,A100,'02d_AI_Accelerator_Power'!$C$2:$C$653,B100,'02d_AI_Accelerator_Power'!$D$2:$D$653,C100,'02d_AI_Accelerator_Power'!$G$2:$G$653,"purpose_or_unbenchmarked")/I100,0.911189)</f>
        <v/>
      </c>
      <c r="H100" s="6">
        <f>SUM(D100:G100)</f>
        <v/>
      </c>
      <c r="I100" s="28">
        <f>SUMIFS('02d_AI_Accelerator_Power'!$J$2:$J$653,'02d_AI_Accelerator_Power'!$B$2:$B$653,A100,'02d_AI_Accelerator_Power'!$C$2:$C$653,B100,'02d_AI_Accelerator_Power'!$D$2:$D$653,C100)</f>
        <v/>
      </c>
      <c r="J100" s="6">
        <f>IF(I100&gt;0,SUMIFS('02d_AI_Accelerator_Power'!$J$2:$J$653,'02d_AI_Accelerator_Power'!$B$2:$B$653,A100,'02d_AI_Accelerator_Power'!$C$2:$C$653,B100,'02d_AI_Accelerator_Power'!$D$2:$D$653,C100,'02d_AI_Accelerator_Power'!$F$2:$F$653,"R200/R300 future")/I100,0)</f>
        <v/>
      </c>
      <c r="K100" s="6">
        <f>IF(I100&gt;0,SUMIFS('02d_AI_Accelerator_Power'!$J$2:$J$653,'02d_AI_Accelerator_Power'!$B$2:$B$653,A100,'02d_AI_Accelerator_Power'!$C$2:$C$653,B100,'02d_AI_Accelerator_Power'!$D$2:$D$653,C100,'02d_AI_Accelerator_Power'!$F$2:$F$653,"TPU")/I100,0)</f>
        <v/>
      </c>
      <c r="L100" s="6">
        <f>IF(I100&gt;0,SUMIFS('02d_AI_Accelerator_Power'!$J$2:$J$653,'02d_AI_Accelerator_Power'!$B$2:$B$653,A100,'02d_AI_Accelerator_Power'!$C$2:$C$653,B100,'02d_AI_Accelerator_Power'!$D$2:$D$653,C100,'02d_AI_Accelerator_Power'!$F$2:$F$653,"Trainium")/I100,0)</f>
        <v/>
      </c>
      <c r="M100" s="6">
        <f>IF(I100&gt;0,SUMIFS('02d_AI_Accelerator_Power'!$J$2:$J$653,'02d_AI_Accelerator_Power'!$B$2:$B$653,A100,'02d_AI_Accelerator_Power'!$C$2:$C$653,B100,'02d_AI_Accelerator_Power'!$D$2:$D$653,C100,'02d_AI_Accelerator_Power'!$F$2:$F$653,"Maia")/I100,0)</f>
        <v/>
      </c>
      <c r="N100" s="6">
        <f>IF(I100&gt;0,SUMIFS('02d_AI_Accelerator_Power'!$J$2:$J$653,'02d_AI_Accelerator_Power'!$B$2:$B$653,A100,'02d_AI_Accelerator_Power'!$C$2:$C$653,B100,'02d_AI_Accelerator_Power'!$D$2:$D$653,C100,'02d_AI_Accelerator_Power'!$F$2:$F$653,"MTIA")/I100,0)</f>
        <v/>
      </c>
      <c r="O100" s="6">
        <f>IF(I100&gt;0,SUMIFS('02d_AI_Accelerator_Power'!$J$2:$J$653,'02d_AI_Accelerator_Power'!$B$2:$B$653,A100,'02d_AI_Accelerator_Power'!$C$2:$C$653,B100,'02d_AI_Accelerator_Power'!$D$2:$D$653,C100,'02d_AI_Accelerator_Power'!$F$2:$F$653,"Other / unknown accelerator")/I100,0)</f>
        <v/>
      </c>
      <c r="P100" s="3" t="inlineStr">
        <is>
          <t>CSP contract normalized: company inference MW * (CSP total MW * AI contract share * inference share) / company contract inference weight, then multiplied by CSP accelerator rows.</t>
        </is>
      </c>
      <c r="Q100" s="3" t="inlineStr">
        <is>
          <t>csp_contract_share_x_csp_accelerator_mix</t>
        </is>
      </c>
      <c r="R100" s="3" t="inlineStr">
        <is>
          <t>Edit 02a CSP contract allocation, 02b CSP accelerator mix, or 02x accelerator catalog; 03_Calculation reads D:G from this sheet.</t>
        </is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6">
        <f>IF(I101&gt;0,SUMIFS('02d_AI_Accelerator_Power'!$J$2:$J$653,'02d_AI_Accelerator_Power'!$B$2:$B$653,A101,'02d_AI_Accelerator_Power'!$C$2:$C$653,B101,'02d_AI_Accelerator_Power'!$D$2:$D$653,C101,'02d_AI_Accelerator_Power'!$G$2:$G$653,"h200_reference")/I101,0.0)</f>
        <v/>
      </c>
      <c r="E101" s="6">
        <f>IF(I101&gt;0,SUMIFS('02d_AI_Accelerator_Power'!$J$2:$J$653,'02d_AI_Accelerator_Power'!$B$2:$B$653,A101,'02d_AI_Accelerator_Power'!$C$2:$C$653,B101,'02d_AI_Accelerator_Power'!$D$2:$D$653,C101,'02d_AI_Accelerator_Power'!$G$2:$G$653,"b200_reference")/I101,0.088811)</f>
        <v/>
      </c>
      <c r="F101" s="6">
        <f>IF(I101&gt;0,SUMIFS('02d_AI_Accelerator_Power'!$J$2:$J$653,'02d_AI_Accelerator_Power'!$B$2:$B$653,A101,'02d_AI_Accelerator_Power'!$C$2:$C$653,B101,'02d_AI_Accelerator_Power'!$D$2:$D$653,C101,'02d_AI_Accelerator_Power'!$G$2:$G$653,"gb200_reference")/I101,0.0)</f>
        <v/>
      </c>
      <c r="G101" s="6">
        <f>IF(I101&gt;0,SUMIFS('02d_AI_Accelerator_Power'!$J$2:$J$653,'02d_AI_Accelerator_Power'!$B$2:$B$653,A101,'02d_AI_Accelerator_Power'!$C$2:$C$653,B101,'02d_AI_Accelerator_Power'!$D$2:$D$653,C101,'02d_AI_Accelerator_Power'!$G$2:$G$653,"purpose_or_unbenchmarked")/I101,0.911189)</f>
        <v/>
      </c>
      <c r="H101" s="6">
        <f>SUM(D101:G101)</f>
        <v/>
      </c>
      <c r="I101" s="28">
        <f>SUMIFS('02d_AI_Accelerator_Power'!$J$2:$J$653,'02d_AI_Accelerator_Power'!$B$2:$B$653,A101,'02d_AI_Accelerator_Power'!$C$2:$C$653,B101,'02d_AI_Accelerator_Power'!$D$2:$D$653,C101)</f>
        <v/>
      </c>
      <c r="J101" s="6">
        <f>IF(I101&gt;0,SUMIFS('02d_AI_Accelerator_Power'!$J$2:$J$653,'02d_AI_Accelerator_Power'!$B$2:$B$653,A101,'02d_AI_Accelerator_Power'!$C$2:$C$653,B101,'02d_AI_Accelerator_Power'!$D$2:$D$653,C101,'02d_AI_Accelerator_Power'!$F$2:$F$653,"R200/R300 future")/I101,0)</f>
        <v/>
      </c>
      <c r="K101" s="6">
        <f>IF(I101&gt;0,SUMIFS('02d_AI_Accelerator_Power'!$J$2:$J$653,'02d_AI_Accelerator_Power'!$B$2:$B$653,A101,'02d_AI_Accelerator_Power'!$C$2:$C$653,B101,'02d_AI_Accelerator_Power'!$D$2:$D$653,C101,'02d_AI_Accelerator_Power'!$F$2:$F$653,"TPU")/I101,0)</f>
        <v/>
      </c>
      <c r="L101" s="6">
        <f>IF(I101&gt;0,SUMIFS('02d_AI_Accelerator_Power'!$J$2:$J$653,'02d_AI_Accelerator_Power'!$B$2:$B$653,A101,'02d_AI_Accelerator_Power'!$C$2:$C$653,B101,'02d_AI_Accelerator_Power'!$D$2:$D$653,C101,'02d_AI_Accelerator_Power'!$F$2:$F$653,"Trainium")/I101,0)</f>
        <v/>
      </c>
      <c r="M101" s="6">
        <f>IF(I101&gt;0,SUMIFS('02d_AI_Accelerator_Power'!$J$2:$J$653,'02d_AI_Accelerator_Power'!$B$2:$B$653,A101,'02d_AI_Accelerator_Power'!$C$2:$C$653,B101,'02d_AI_Accelerator_Power'!$D$2:$D$653,C101,'02d_AI_Accelerator_Power'!$F$2:$F$653,"Maia")/I101,0)</f>
        <v/>
      </c>
      <c r="N101" s="6">
        <f>IF(I101&gt;0,SUMIFS('02d_AI_Accelerator_Power'!$J$2:$J$653,'02d_AI_Accelerator_Power'!$B$2:$B$653,A101,'02d_AI_Accelerator_Power'!$C$2:$C$653,B101,'02d_AI_Accelerator_Power'!$D$2:$D$653,C101,'02d_AI_Accelerator_Power'!$F$2:$F$653,"MTIA")/I101,0)</f>
        <v/>
      </c>
      <c r="O101" s="6">
        <f>IF(I101&gt;0,SUMIFS('02d_AI_Accelerator_Power'!$J$2:$J$653,'02d_AI_Accelerator_Power'!$B$2:$B$653,A101,'02d_AI_Accelerator_Power'!$C$2:$C$653,B101,'02d_AI_Accelerator_Power'!$D$2:$D$653,C101,'02d_AI_Accelerator_Power'!$F$2:$F$653,"Other / unknown accelerator")/I101,0)</f>
        <v/>
      </c>
      <c r="P101" s="3" t="inlineStr">
        <is>
          <t>CSP contract normalized: company inference MW * (CSP total MW * AI contract share * inference share) / company contract inference weight, then multiplied by CSP accelerator rows.</t>
        </is>
      </c>
      <c r="Q101" s="3" t="inlineStr">
        <is>
          <t>csp_contract_share_x_csp_accelerator_mix</t>
        </is>
      </c>
      <c r="R101" s="3" t="inlineStr">
        <is>
          <t>Edit 02a CSP contract allocation, 02b CSP accelerator mix, or 02x accelerator catalog; 03_Calculation reads D:G from this sheet.</t>
        </is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6">
        <f>IF(I102&gt;0,SUMIFS('02d_AI_Accelerator_Power'!$J$2:$J$653,'02d_AI_Accelerator_Power'!$B$2:$B$653,A102,'02d_AI_Accelerator_Power'!$C$2:$C$653,B102,'02d_AI_Accelerator_Power'!$D$2:$D$653,C102,'02d_AI_Accelerator_Power'!$G$2:$G$653,"h200_reference")/I102,0.09603)</f>
        <v/>
      </c>
      <c r="E102" s="6">
        <f>IF(I102&gt;0,SUMIFS('02d_AI_Accelerator_Power'!$J$2:$J$653,'02d_AI_Accelerator_Power'!$B$2:$B$653,A102,'02d_AI_Accelerator_Power'!$C$2:$C$653,B102,'02d_AI_Accelerator_Power'!$D$2:$D$653,C102,'02d_AI_Accelerator_Power'!$G$2:$G$653,"b200_reference")/I102,0.90397)</f>
        <v/>
      </c>
      <c r="F102" s="6">
        <f>IF(I102&gt;0,SUMIFS('02d_AI_Accelerator_Power'!$J$2:$J$653,'02d_AI_Accelerator_Power'!$B$2:$B$653,A102,'02d_AI_Accelerator_Power'!$C$2:$C$653,B102,'02d_AI_Accelerator_Power'!$D$2:$D$653,C102,'02d_AI_Accelerator_Power'!$G$2:$G$653,"gb200_reference")/I102,0.0)</f>
        <v/>
      </c>
      <c r="G102" s="6">
        <f>IF(I102&gt;0,SUMIFS('02d_AI_Accelerator_Power'!$J$2:$J$653,'02d_AI_Accelerator_Power'!$B$2:$B$653,A102,'02d_AI_Accelerator_Power'!$C$2:$C$653,B102,'02d_AI_Accelerator_Power'!$D$2:$D$653,C102,'02d_AI_Accelerator_Power'!$G$2:$G$653,"purpose_or_unbenchmarked")/I102,0.0)</f>
        <v/>
      </c>
      <c r="H102" s="6">
        <f>SUM(D102:G102)</f>
        <v/>
      </c>
      <c r="I102" s="28">
        <f>SUMIFS('02d_AI_Accelerator_Power'!$J$2:$J$653,'02d_AI_Accelerator_Power'!$B$2:$B$653,A102,'02d_AI_Accelerator_Power'!$C$2:$C$653,B102,'02d_AI_Accelerator_Power'!$D$2:$D$653,C102)</f>
        <v/>
      </c>
      <c r="J102" s="6">
        <f>IF(I102&gt;0,SUMIFS('02d_AI_Accelerator_Power'!$J$2:$J$653,'02d_AI_Accelerator_Power'!$B$2:$B$653,A102,'02d_AI_Accelerator_Power'!$C$2:$C$653,B102,'02d_AI_Accelerator_Power'!$D$2:$D$653,C102,'02d_AI_Accelerator_Power'!$F$2:$F$653,"R200/R300 future")/I102,0)</f>
        <v/>
      </c>
      <c r="K102" s="6">
        <f>IF(I102&gt;0,SUMIFS('02d_AI_Accelerator_Power'!$J$2:$J$653,'02d_AI_Accelerator_Power'!$B$2:$B$653,A102,'02d_AI_Accelerator_Power'!$C$2:$C$653,B102,'02d_AI_Accelerator_Power'!$D$2:$D$653,C102,'02d_AI_Accelerator_Power'!$F$2:$F$653,"TPU")/I102,0)</f>
        <v/>
      </c>
      <c r="L102" s="6">
        <f>IF(I102&gt;0,SUMIFS('02d_AI_Accelerator_Power'!$J$2:$J$653,'02d_AI_Accelerator_Power'!$B$2:$B$653,A102,'02d_AI_Accelerator_Power'!$C$2:$C$653,B102,'02d_AI_Accelerator_Power'!$D$2:$D$653,C102,'02d_AI_Accelerator_Power'!$F$2:$F$653,"Trainium")/I102,0)</f>
        <v/>
      </c>
      <c r="M102" s="6">
        <f>IF(I102&gt;0,SUMIFS('02d_AI_Accelerator_Power'!$J$2:$J$653,'02d_AI_Accelerator_Power'!$B$2:$B$653,A102,'02d_AI_Accelerator_Power'!$C$2:$C$653,B102,'02d_AI_Accelerator_Power'!$D$2:$D$653,C102,'02d_AI_Accelerator_Power'!$F$2:$F$653,"Maia")/I102,0)</f>
        <v/>
      </c>
      <c r="N102" s="6">
        <f>IF(I102&gt;0,SUMIFS('02d_AI_Accelerator_Power'!$J$2:$J$653,'02d_AI_Accelerator_Power'!$B$2:$B$653,A102,'02d_AI_Accelerator_Power'!$C$2:$C$653,B102,'02d_AI_Accelerator_Power'!$D$2:$D$653,C102,'02d_AI_Accelerator_Power'!$F$2:$F$653,"MTIA")/I102,0)</f>
        <v/>
      </c>
      <c r="O102" s="6">
        <f>IF(I102&gt;0,SUMIFS('02d_AI_Accelerator_Power'!$J$2:$J$653,'02d_AI_Accelerator_Power'!$B$2:$B$653,A102,'02d_AI_Accelerator_Power'!$C$2:$C$653,B102,'02d_AI_Accelerator_Power'!$D$2:$D$653,C102,'02d_AI_Accelerator_Power'!$F$2:$F$653,"Other / unknown accelerator")/I102,0)</f>
        <v/>
      </c>
      <c r="P102" s="3" t="inlineStr">
        <is>
          <t>CSP contract normalized: company inference MW * (CSP total MW * AI contract share * inference share) / company contract inference weight, then multiplied by CSP accelerator rows.</t>
        </is>
      </c>
      <c r="Q102" s="3" t="inlineStr">
        <is>
          <t>csp_contract_share_x_csp_accelerator_mix</t>
        </is>
      </c>
      <c r="R102" s="3" t="inlineStr">
        <is>
          <t>Edit 02a CSP contract allocation, 02b CSP accelerator mix, or 02x accelerator catalog; 03_Calculation reads D:G from this sheet.</t>
        </is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6">
        <f>IF(I103&gt;0,SUMIFS('02d_AI_Accelerator_Power'!$J$2:$J$653,'02d_AI_Accelerator_Power'!$B$2:$B$653,A103,'02d_AI_Accelerator_Power'!$C$2:$C$653,B103,'02d_AI_Accelerator_Power'!$D$2:$D$653,C103,'02d_AI_Accelerator_Power'!$G$2:$G$653,"h200_reference")/I103,0.09216)</f>
        <v/>
      </c>
      <c r="E103" s="6">
        <f>IF(I103&gt;0,SUMIFS('02d_AI_Accelerator_Power'!$J$2:$J$653,'02d_AI_Accelerator_Power'!$B$2:$B$653,A103,'02d_AI_Accelerator_Power'!$C$2:$C$653,B103,'02d_AI_Accelerator_Power'!$D$2:$D$653,C103,'02d_AI_Accelerator_Power'!$G$2:$G$653,"b200_reference")/I103,0.90784)</f>
        <v/>
      </c>
      <c r="F103" s="6">
        <f>IF(I103&gt;0,SUMIFS('02d_AI_Accelerator_Power'!$J$2:$J$653,'02d_AI_Accelerator_Power'!$B$2:$B$653,A103,'02d_AI_Accelerator_Power'!$C$2:$C$653,B103,'02d_AI_Accelerator_Power'!$D$2:$D$653,C103,'02d_AI_Accelerator_Power'!$G$2:$G$653,"gb200_reference")/I103,0.0)</f>
        <v/>
      </c>
      <c r="G103" s="6">
        <f>IF(I103&gt;0,SUMIFS('02d_AI_Accelerator_Power'!$J$2:$J$653,'02d_AI_Accelerator_Power'!$B$2:$B$653,A103,'02d_AI_Accelerator_Power'!$C$2:$C$653,B103,'02d_AI_Accelerator_Power'!$D$2:$D$653,C103,'02d_AI_Accelerator_Power'!$G$2:$G$653,"purpose_or_unbenchmarked")/I103,0.0)</f>
        <v/>
      </c>
      <c r="H103" s="6">
        <f>SUM(D103:G103)</f>
        <v/>
      </c>
      <c r="I103" s="28">
        <f>SUMIFS('02d_AI_Accelerator_Power'!$J$2:$J$653,'02d_AI_Accelerator_Power'!$B$2:$B$653,A103,'02d_AI_Accelerator_Power'!$C$2:$C$653,B103,'02d_AI_Accelerator_Power'!$D$2:$D$653,C103)</f>
        <v/>
      </c>
      <c r="J103" s="6">
        <f>IF(I103&gt;0,SUMIFS('02d_AI_Accelerator_Power'!$J$2:$J$653,'02d_AI_Accelerator_Power'!$B$2:$B$653,A103,'02d_AI_Accelerator_Power'!$C$2:$C$653,B103,'02d_AI_Accelerator_Power'!$D$2:$D$653,C103,'02d_AI_Accelerator_Power'!$F$2:$F$653,"R200/R300 future")/I103,0)</f>
        <v/>
      </c>
      <c r="K103" s="6">
        <f>IF(I103&gt;0,SUMIFS('02d_AI_Accelerator_Power'!$J$2:$J$653,'02d_AI_Accelerator_Power'!$B$2:$B$653,A103,'02d_AI_Accelerator_Power'!$C$2:$C$653,B103,'02d_AI_Accelerator_Power'!$D$2:$D$653,C103,'02d_AI_Accelerator_Power'!$F$2:$F$653,"TPU")/I103,0)</f>
        <v/>
      </c>
      <c r="L103" s="6">
        <f>IF(I103&gt;0,SUMIFS('02d_AI_Accelerator_Power'!$J$2:$J$653,'02d_AI_Accelerator_Power'!$B$2:$B$653,A103,'02d_AI_Accelerator_Power'!$C$2:$C$653,B103,'02d_AI_Accelerator_Power'!$D$2:$D$653,C103,'02d_AI_Accelerator_Power'!$F$2:$F$653,"Trainium")/I103,0)</f>
        <v/>
      </c>
      <c r="M103" s="6">
        <f>IF(I103&gt;0,SUMIFS('02d_AI_Accelerator_Power'!$J$2:$J$653,'02d_AI_Accelerator_Power'!$B$2:$B$653,A103,'02d_AI_Accelerator_Power'!$C$2:$C$653,B103,'02d_AI_Accelerator_Power'!$D$2:$D$653,C103,'02d_AI_Accelerator_Power'!$F$2:$F$653,"Maia")/I103,0)</f>
        <v/>
      </c>
      <c r="N103" s="6">
        <f>IF(I103&gt;0,SUMIFS('02d_AI_Accelerator_Power'!$J$2:$J$653,'02d_AI_Accelerator_Power'!$B$2:$B$653,A103,'02d_AI_Accelerator_Power'!$C$2:$C$653,B103,'02d_AI_Accelerator_Power'!$D$2:$D$653,C103,'02d_AI_Accelerator_Power'!$F$2:$F$653,"MTIA")/I103,0)</f>
        <v/>
      </c>
      <c r="O103" s="6">
        <f>IF(I103&gt;0,SUMIFS('02d_AI_Accelerator_Power'!$J$2:$J$653,'02d_AI_Accelerator_Power'!$B$2:$B$653,A103,'02d_AI_Accelerator_Power'!$C$2:$C$653,B103,'02d_AI_Accelerator_Power'!$D$2:$D$653,C103,'02d_AI_Accelerator_Power'!$F$2:$F$653,"Other / unknown accelerator")/I103,0)</f>
        <v/>
      </c>
      <c r="P103" s="3" t="inlineStr">
        <is>
          <t>CSP contract normalized: company inference MW * (CSP total MW * AI contract share * inference share) / company contract inference weight, then multiplied by CSP accelerator rows.</t>
        </is>
      </c>
      <c r="Q103" s="3" t="inlineStr">
        <is>
          <t>csp_contract_share_x_csp_accelerator_mix</t>
        </is>
      </c>
      <c r="R103" s="3" t="inlineStr">
        <is>
          <t>Edit 02a CSP contract allocation, 02b CSP accelerator mix, or 02x accelerator catalog; 03_Calculation reads D:G from this sheet.</t>
        </is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6">
        <f>IF(I104&gt;0,SUMIFS('02d_AI_Accelerator_Power'!$J$2:$J$653,'02d_AI_Accelerator_Power'!$B$2:$B$653,A104,'02d_AI_Accelerator_Power'!$C$2:$C$653,B104,'02d_AI_Accelerator_Power'!$D$2:$D$653,C104,'02d_AI_Accelerator_Power'!$G$2:$G$653,"h200_reference")/I104,0.074919)</f>
        <v/>
      </c>
      <c r="E104" s="6">
        <f>IF(I104&gt;0,SUMIFS('02d_AI_Accelerator_Power'!$J$2:$J$653,'02d_AI_Accelerator_Power'!$B$2:$B$653,A104,'02d_AI_Accelerator_Power'!$C$2:$C$653,B104,'02d_AI_Accelerator_Power'!$D$2:$D$653,C104,'02d_AI_Accelerator_Power'!$G$2:$G$653,"b200_reference")/I104,0.738007)</f>
        <v/>
      </c>
      <c r="F104" s="6">
        <f>IF(I104&gt;0,SUMIFS('02d_AI_Accelerator_Power'!$J$2:$J$653,'02d_AI_Accelerator_Power'!$B$2:$B$653,A104,'02d_AI_Accelerator_Power'!$C$2:$C$653,B104,'02d_AI_Accelerator_Power'!$D$2:$D$653,C104,'02d_AI_Accelerator_Power'!$G$2:$G$653,"gb200_reference")/I104,0.0)</f>
        <v/>
      </c>
      <c r="G104" s="6">
        <f>IF(I104&gt;0,SUMIFS('02d_AI_Accelerator_Power'!$J$2:$J$653,'02d_AI_Accelerator_Power'!$B$2:$B$653,A104,'02d_AI_Accelerator_Power'!$C$2:$C$653,B104,'02d_AI_Accelerator_Power'!$D$2:$D$653,C104,'02d_AI_Accelerator_Power'!$G$2:$G$653,"purpose_or_unbenchmarked")/I104,0.187074)</f>
        <v/>
      </c>
      <c r="H104" s="6">
        <f>SUM(D104:G104)</f>
        <v/>
      </c>
      <c r="I104" s="28">
        <f>SUMIFS('02d_AI_Accelerator_Power'!$J$2:$J$653,'02d_AI_Accelerator_Power'!$B$2:$B$653,A104,'02d_AI_Accelerator_Power'!$C$2:$C$653,B104,'02d_AI_Accelerator_Power'!$D$2:$D$653,C104)</f>
        <v/>
      </c>
      <c r="J104" s="6">
        <f>IF(I104&gt;0,SUMIFS('02d_AI_Accelerator_Power'!$J$2:$J$653,'02d_AI_Accelerator_Power'!$B$2:$B$653,A104,'02d_AI_Accelerator_Power'!$C$2:$C$653,B104,'02d_AI_Accelerator_Power'!$D$2:$D$653,C104,'02d_AI_Accelerator_Power'!$F$2:$F$653,"R200/R300 future")/I104,0)</f>
        <v/>
      </c>
      <c r="K104" s="6">
        <f>IF(I104&gt;0,SUMIFS('02d_AI_Accelerator_Power'!$J$2:$J$653,'02d_AI_Accelerator_Power'!$B$2:$B$653,A104,'02d_AI_Accelerator_Power'!$C$2:$C$653,B104,'02d_AI_Accelerator_Power'!$D$2:$D$653,C104,'02d_AI_Accelerator_Power'!$F$2:$F$653,"TPU")/I104,0)</f>
        <v/>
      </c>
      <c r="L104" s="6">
        <f>IF(I104&gt;0,SUMIFS('02d_AI_Accelerator_Power'!$J$2:$J$653,'02d_AI_Accelerator_Power'!$B$2:$B$653,A104,'02d_AI_Accelerator_Power'!$C$2:$C$653,B104,'02d_AI_Accelerator_Power'!$D$2:$D$653,C104,'02d_AI_Accelerator_Power'!$F$2:$F$653,"Trainium")/I104,0)</f>
        <v/>
      </c>
      <c r="M104" s="6">
        <f>IF(I104&gt;0,SUMIFS('02d_AI_Accelerator_Power'!$J$2:$J$653,'02d_AI_Accelerator_Power'!$B$2:$B$653,A104,'02d_AI_Accelerator_Power'!$C$2:$C$653,B104,'02d_AI_Accelerator_Power'!$D$2:$D$653,C104,'02d_AI_Accelerator_Power'!$F$2:$F$653,"Maia")/I104,0)</f>
        <v/>
      </c>
      <c r="N104" s="6">
        <f>IF(I104&gt;0,SUMIFS('02d_AI_Accelerator_Power'!$J$2:$J$653,'02d_AI_Accelerator_Power'!$B$2:$B$653,A104,'02d_AI_Accelerator_Power'!$C$2:$C$653,B104,'02d_AI_Accelerator_Power'!$D$2:$D$653,C104,'02d_AI_Accelerator_Power'!$F$2:$F$653,"MTIA")/I104,0)</f>
        <v/>
      </c>
      <c r="O104" s="6">
        <f>IF(I104&gt;0,SUMIFS('02d_AI_Accelerator_Power'!$J$2:$J$653,'02d_AI_Accelerator_Power'!$B$2:$B$653,A104,'02d_AI_Accelerator_Power'!$C$2:$C$653,B104,'02d_AI_Accelerator_Power'!$D$2:$D$653,C104,'02d_AI_Accelerator_Power'!$F$2:$F$653,"Other / unknown accelerator")/I104,0)</f>
        <v/>
      </c>
      <c r="P104" s="3" t="inlineStr">
        <is>
          <t>CSP contract normalized: company inference MW * (CSP total MW * AI contract share * inference share) / company contract inference weight, then multiplied by CSP accelerator rows.</t>
        </is>
      </c>
      <c r="Q104" s="3" t="inlineStr">
        <is>
          <t>csp_contract_share_x_csp_accelerator_mix</t>
        </is>
      </c>
      <c r="R104" s="3" t="inlineStr">
        <is>
          <t>Edit 02a CSP contract allocation, 02b CSP accelerator mix, or 02x accelerator catalog; 03_Calculation reads D:G from this sheet.</t>
        </is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6">
        <f>IF(I105&gt;0,SUMIFS('02d_AI_Accelerator_Power'!$J$2:$J$653,'02d_AI_Accelerator_Power'!$B$2:$B$653,A105,'02d_AI_Accelerator_Power'!$C$2:$C$653,B105,'02d_AI_Accelerator_Power'!$D$2:$D$653,C105,'02d_AI_Accelerator_Power'!$G$2:$G$653,"h200_reference")/I105,0.074919)</f>
        <v/>
      </c>
      <c r="E105" s="6">
        <f>IF(I105&gt;0,SUMIFS('02d_AI_Accelerator_Power'!$J$2:$J$653,'02d_AI_Accelerator_Power'!$B$2:$B$653,A105,'02d_AI_Accelerator_Power'!$C$2:$C$653,B105,'02d_AI_Accelerator_Power'!$D$2:$D$653,C105,'02d_AI_Accelerator_Power'!$G$2:$G$653,"b200_reference")/I105,0.738007)</f>
        <v/>
      </c>
      <c r="F105" s="6">
        <f>IF(I105&gt;0,SUMIFS('02d_AI_Accelerator_Power'!$J$2:$J$653,'02d_AI_Accelerator_Power'!$B$2:$B$653,A105,'02d_AI_Accelerator_Power'!$C$2:$C$653,B105,'02d_AI_Accelerator_Power'!$D$2:$D$653,C105,'02d_AI_Accelerator_Power'!$G$2:$G$653,"gb200_reference")/I105,0.0)</f>
        <v/>
      </c>
      <c r="G105" s="6">
        <f>IF(I105&gt;0,SUMIFS('02d_AI_Accelerator_Power'!$J$2:$J$653,'02d_AI_Accelerator_Power'!$B$2:$B$653,A105,'02d_AI_Accelerator_Power'!$C$2:$C$653,B105,'02d_AI_Accelerator_Power'!$D$2:$D$653,C105,'02d_AI_Accelerator_Power'!$G$2:$G$653,"purpose_or_unbenchmarked")/I105,0.187074)</f>
        <v/>
      </c>
      <c r="H105" s="6">
        <f>SUM(D105:G105)</f>
        <v/>
      </c>
      <c r="I105" s="28">
        <f>SUMIFS('02d_AI_Accelerator_Power'!$J$2:$J$653,'02d_AI_Accelerator_Power'!$B$2:$B$653,A105,'02d_AI_Accelerator_Power'!$C$2:$C$653,B105,'02d_AI_Accelerator_Power'!$D$2:$D$653,C105)</f>
        <v/>
      </c>
      <c r="J105" s="6">
        <f>IF(I105&gt;0,SUMIFS('02d_AI_Accelerator_Power'!$J$2:$J$653,'02d_AI_Accelerator_Power'!$B$2:$B$653,A105,'02d_AI_Accelerator_Power'!$C$2:$C$653,B105,'02d_AI_Accelerator_Power'!$D$2:$D$653,C105,'02d_AI_Accelerator_Power'!$F$2:$F$653,"R200/R300 future")/I105,0)</f>
        <v/>
      </c>
      <c r="K105" s="6">
        <f>IF(I105&gt;0,SUMIFS('02d_AI_Accelerator_Power'!$J$2:$J$653,'02d_AI_Accelerator_Power'!$B$2:$B$653,A105,'02d_AI_Accelerator_Power'!$C$2:$C$653,B105,'02d_AI_Accelerator_Power'!$D$2:$D$653,C105,'02d_AI_Accelerator_Power'!$F$2:$F$653,"TPU")/I105,0)</f>
        <v/>
      </c>
      <c r="L105" s="6">
        <f>IF(I105&gt;0,SUMIFS('02d_AI_Accelerator_Power'!$J$2:$J$653,'02d_AI_Accelerator_Power'!$B$2:$B$653,A105,'02d_AI_Accelerator_Power'!$C$2:$C$653,B105,'02d_AI_Accelerator_Power'!$D$2:$D$653,C105,'02d_AI_Accelerator_Power'!$F$2:$F$653,"Trainium")/I105,0)</f>
        <v/>
      </c>
      <c r="M105" s="6">
        <f>IF(I105&gt;0,SUMIFS('02d_AI_Accelerator_Power'!$J$2:$J$653,'02d_AI_Accelerator_Power'!$B$2:$B$653,A105,'02d_AI_Accelerator_Power'!$C$2:$C$653,B105,'02d_AI_Accelerator_Power'!$D$2:$D$653,C105,'02d_AI_Accelerator_Power'!$F$2:$F$653,"Maia")/I105,0)</f>
        <v/>
      </c>
      <c r="N105" s="6">
        <f>IF(I105&gt;0,SUMIFS('02d_AI_Accelerator_Power'!$J$2:$J$653,'02d_AI_Accelerator_Power'!$B$2:$B$653,A105,'02d_AI_Accelerator_Power'!$C$2:$C$653,B105,'02d_AI_Accelerator_Power'!$D$2:$D$653,C105,'02d_AI_Accelerator_Power'!$F$2:$F$653,"MTIA")/I105,0)</f>
        <v/>
      </c>
      <c r="O105" s="6">
        <f>IF(I105&gt;0,SUMIFS('02d_AI_Accelerator_Power'!$J$2:$J$653,'02d_AI_Accelerator_Power'!$B$2:$B$653,A105,'02d_AI_Accelerator_Power'!$C$2:$C$653,B105,'02d_AI_Accelerator_Power'!$D$2:$D$653,C105,'02d_AI_Accelerator_Power'!$F$2:$F$653,"Other / unknown accelerator")/I105,0)</f>
        <v/>
      </c>
      <c r="P105" s="3" t="inlineStr">
        <is>
          <t>CSP contract normalized: company inference MW * (CSP total MW * AI contract share * inference share) / company contract inference weight, then multiplied by CSP accelerator rows.</t>
        </is>
      </c>
      <c r="Q105" s="3" t="inlineStr">
        <is>
          <t>csp_contract_share_x_csp_accelerator_mix</t>
        </is>
      </c>
      <c r="R105" s="3" t="inlineStr">
        <is>
          <t>Edit 02a CSP contract allocation, 02b CSP accelerator mix, or 02x accelerator catalog; 03_Calculation reads D:G from this sheet.</t>
        </is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6">
        <f>IF(I106&gt;0,SUMIFS('02d_AI_Accelerator_Power'!$J$2:$J$653,'02d_AI_Accelerator_Power'!$B$2:$B$653,A106,'02d_AI_Accelerator_Power'!$C$2:$C$653,B106,'02d_AI_Accelerator_Power'!$D$2:$D$653,C106,'02d_AI_Accelerator_Power'!$G$2:$G$653,"h200_reference")/I106,0.074919)</f>
        <v/>
      </c>
      <c r="E106" s="6">
        <f>IF(I106&gt;0,SUMIFS('02d_AI_Accelerator_Power'!$J$2:$J$653,'02d_AI_Accelerator_Power'!$B$2:$B$653,A106,'02d_AI_Accelerator_Power'!$C$2:$C$653,B106,'02d_AI_Accelerator_Power'!$D$2:$D$653,C106,'02d_AI_Accelerator_Power'!$G$2:$G$653,"b200_reference")/I106,0.738007)</f>
        <v/>
      </c>
      <c r="F106" s="6">
        <f>IF(I106&gt;0,SUMIFS('02d_AI_Accelerator_Power'!$J$2:$J$653,'02d_AI_Accelerator_Power'!$B$2:$B$653,A106,'02d_AI_Accelerator_Power'!$C$2:$C$653,B106,'02d_AI_Accelerator_Power'!$D$2:$D$653,C106,'02d_AI_Accelerator_Power'!$G$2:$G$653,"gb200_reference")/I106,0.0)</f>
        <v/>
      </c>
      <c r="G106" s="6">
        <f>IF(I106&gt;0,SUMIFS('02d_AI_Accelerator_Power'!$J$2:$J$653,'02d_AI_Accelerator_Power'!$B$2:$B$653,A106,'02d_AI_Accelerator_Power'!$C$2:$C$653,B106,'02d_AI_Accelerator_Power'!$D$2:$D$653,C106,'02d_AI_Accelerator_Power'!$G$2:$G$653,"purpose_or_unbenchmarked")/I106,0.187074)</f>
        <v/>
      </c>
      <c r="H106" s="6">
        <f>SUM(D106:G106)</f>
        <v/>
      </c>
      <c r="I106" s="28">
        <f>SUMIFS('02d_AI_Accelerator_Power'!$J$2:$J$653,'02d_AI_Accelerator_Power'!$B$2:$B$653,A106,'02d_AI_Accelerator_Power'!$C$2:$C$653,B106,'02d_AI_Accelerator_Power'!$D$2:$D$653,C106)</f>
        <v/>
      </c>
      <c r="J106" s="6">
        <f>IF(I106&gt;0,SUMIFS('02d_AI_Accelerator_Power'!$J$2:$J$653,'02d_AI_Accelerator_Power'!$B$2:$B$653,A106,'02d_AI_Accelerator_Power'!$C$2:$C$653,B106,'02d_AI_Accelerator_Power'!$D$2:$D$653,C106,'02d_AI_Accelerator_Power'!$F$2:$F$653,"R200/R300 future")/I106,0)</f>
        <v/>
      </c>
      <c r="K106" s="6">
        <f>IF(I106&gt;0,SUMIFS('02d_AI_Accelerator_Power'!$J$2:$J$653,'02d_AI_Accelerator_Power'!$B$2:$B$653,A106,'02d_AI_Accelerator_Power'!$C$2:$C$653,B106,'02d_AI_Accelerator_Power'!$D$2:$D$653,C106,'02d_AI_Accelerator_Power'!$F$2:$F$653,"TPU")/I106,0)</f>
        <v/>
      </c>
      <c r="L106" s="6">
        <f>IF(I106&gt;0,SUMIFS('02d_AI_Accelerator_Power'!$J$2:$J$653,'02d_AI_Accelerator_Power'!$B$2:$B$653,A106,'02d_AI_Accelerator_Power'!$C$2:$C$653,B106,'02d_AI_Accelerator_Power'!$D$2:$D$653,C106,'02d_AI_Accelerator_Power'!$F$2:$F$653,"Trainium")/I106,0)</f>
        <v/>
      </c>
      <c r="M106" s="6">
        <f>IF(I106&gt;0,SUMIFS('02d_AI_Accelerator_Power'!$J$2:$J$653,'02d_AI_Accelerator_Power'!$B$2:$B$653,A106,'02d_AI_Accelerator_Power'!$C$2:$C$653,B106,'02d_AI_Accelerator_Power'!$D$2:$D$653,C106,'02d_AI_Accelerator_Power'!$F$2:$F$653,"Maia")/I106,0)</f>
        <v/>
      </c>
      <c r="N106" s="6">
        <f>IF(I106&gt;0,SUMIFS('02d_AI_Accelerator_Power'!$J$2:$J$653,'02d_AI_Accelerator_Power'!$B$2:$B$653,A106,'02d_AI_Accelerator_Power'!$C$2:$C$653,B106,'02d_AI_Accelerator_Power'!$D$2:$D$653,C106,'02d_AI_Accelerator_Power'!$F$2:$F$653,"MTIA")/I106,0)</f>
        <v/>
      </c>
      <c r="O106" s="6">
        <f>IF(I106&gt;0,SUMIFS('02d_AI_Accelerator_Power'!$J$2:$J$653,'02d_AI_Accelerator_Power'!$B$2:$B$653,A106,'02d_AI_Accelerator_Power'!$C$2:$C$653,B106,'02d_AI_Accelerator_Power'!$D$2:$D$653,C106,'02d_AI_Accelerator_Power'!$F$2:$F$653,"Other / unknown accelerator")/I106,0)</f>
        <v/>
      </c>
      <c r="P106" s="3" t="inlineStr">
        <is>
          <t>CSP contract normalized: company inference MW * (CSP total MW * AI contract share * inference share) / company contract inference weight, then multiplied by CSP accelerator rows.</t>
        </is>
      </c>
      <c r="Q106" s="3" t="inlineStr">
        <is>
          <t>csp_contract_share_x_csp_accelerator_mix</t>
        </is>
      </c>
      <c r="R106" s="3" t="inlineStr">
        <is>
          <t>Edit 02a CSP contract allocation, 02b CSP accelerator mix, or 02x accelerator catalog; 03_Calculation reads D:G from this sheet.</t>
        </is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6">
        <f>IF(I107&gt;0,SUMIFS('02d_AI_Accelerator_Power'!$J$2:$J$653,'02d_AI_Accelerator_Power'!$B$2:$B$653,A107,'02d_AI_Accelerator_Power'!$C$2:$C$653,B107,'02d_AI_Accelerator_Power'!$D$2:$D$653,C107,'02d_AI_Accelerator_Power'!$G$2:$G$653,"h200_reference")/I107,0.294118)</f>
        <v/>
      </c>
      <c r="E107" s="6">
        <f>IF(I107&gt;0,SUMIFS('02d_AI_Accelerator_Power'!$J$2:$J$653,'02d_AI_Accelerator_Power'!$B$2:$B$653,A107,'02d_AI_Accelerator_Power'!$C$2:$C$653,B107,'02d_AI_Accelerator_Power'!$D$2:$D$653,C107,'02d_AI_Accelerator_Power'!$G$2:$G$653,"b200_reference")/I107,0.705882)</f>
        <v/>
      </c>
      <c r="F107" s="6">
        <f>IF(I107&gt;0,SUMIFS('02d_AI_Accelerator_Power'!$J$2:$J$653,'02d_AI_Accelerator_Power'!$B$2:$B$653,A107,'02d_AI_Accelerator_Power'!$C$2:$C$653,B107,'02d_AI_Accelerator_Power'!$D$2:$D$653,C107,'02d_AI_Accelerator_Power'!$G$2:$G$653,"gb200_reference")/I107,0.0)</f>
        <v/>
      </c>
      <c r="G107" s="6">
        <f>IF(I107&gt;0,SUMIFS('02d_AI_Accelerator_Power'!$J$2:$J$653,'02d_AI_Accelerator_Power'!$B$2:$B$653,A107,'02d_AI_Accelerator_Power'!$C$2:$C$653,B107,'02d_AI_Accelerator_Power'!$D$2:$D$653,C107,'02d_AI_Accelerator_Power'!$G$2:$G$653,"purpose_or_unbenchmarked")/I107,0.0)</f>
        <v/>
      </c>
      <c r="H107" s="6">
        <f>SUM(D107:G107)</f>
        <v/>
      </c>
      <c r="I107" s="28">
        <f>SUMIFS('02d_AI_Accelerator_Power'!$J$2:$J$653,'02d_AI_Accelerator_Power'!$B$2:$B$653,A107,'02d_AI_Accelerator_Power'!$C$2:$C$653,B107,'02d_AI_Accelerator_Power'!$D$2:$D$653,C107)</f>
        <v/>
      </c>
      <c r="J107" s="6">
        <f>IF(I107&gt;0,SUMIFS('02d_AI_Accelerator_Power'!$J$2:$J$653,'02d_AI_Accelerator_Power'!$B$2:$B$653,A107,'02d_AI_Accelerator_Power'!$C$2:$C$653,B107,'02d_AI_Accelerator_Power'!$D$2:$D$653,C107,'02d_AI_Accelerator_Power'!$F$2:$F$653,"R200/R300 future")/I107,0)</f>
        <v/>
      </c>
      <c r="K107" s="6">
        <f>IF(I107&gt;0,SUMIFS('02d_AI_Accelerator_Power'!$J$2:$J$653,'02d_AI_Accelerator_Power'!$B$2:$B$653,A107,'02d_AI_Accelerator_Power'!$C$2:$C$653,B107,'02d_AI_Accelerator_Power'!$D$2:$D$653,C107,'02d_AI_Accelerator_Power'!$F$2:$F$653,"TPU")/I107,0)</f>
        <v/>
      </c>
      <c r="L107" s="6">
        <f>IF(I107&gt;0,SUMIFS('02d_AI_Accelerator_Power'!$J$2:$J$653,'02d_AI_Accelerator_Power'!$B$2:$B$653,A107,'02d_AI_Accelerator_Power'!$C$2:$C$653,B107,'02d_AI_Accelerator_Power'!$D$2:$D$653,C107,'02d_AI_Accelerator_Power'!$F$2:$F$653,"Trainium")/I107,0)</f>
        <v/>
      </c>
      <c r="M107" s="6">
        <f>IF(I107&gt;0,SUMIFS('02d_AI_Accelerator_Power'!$J$2:$J$653,'02d_AI_Accelerator_Power'!$B$2:$B$653,A107,'02d_AI_Accelerator_Power'!$C$2:$C$653,B107,'02d_AI_Accelerator_Power'!$D$2:$D$653,C107,'02d_AI_Accelerator_Power'!$F$2:$F$653,"Maia")/I107,0)</f>
        <v/>
      </c>
      <c r="N107" s="6">
        <f>IF(I107&gt;0,SUMIFS('02d_AI_Accelerator_Power'!$J$2:$J$653,'02d_AI_Accelerator_Power'!$B$2:$B$653,A107,'02d_AI_Accelerator_Power'!$C$2:$C$653,B107,'02d_AI_Accelerator_Power'!$D$2:$D$653,C107,'02d_AI_Accelerator_Power'!$F$2:$F$653,"MTIA")/I107,0)</f>
        <v/>
      </c>
      <c r="O107" s="6">
        <f>IF(I107&gt;0,SUMIFS('02d_AI_Accelerator_Power'!$J$2:$J$653,'02d_AI_Accelerator_Power'!$B$2:$B$653,A107,'02d_AI_Accelerator_Power'!$C$2:$C$653,B107,'02d_AI_Accelerator_Power'!$D$2:$D$653,C107,'02d_AI_Accelerator_Power'!$F$2:$F$653,"Other / unknown accelerator")/I107,0)</f>
        <v/>
      </c>
      <c r="P107" s="3" t="inlineStr">
        <is>
          <t>CSP contract normalized: company inference MW * (CSP total MW * AI contract share * inference share) / company contract inference weight, then multiplied by CSP accelerator rows.</t>
        </is>
      </c>
      <c r="Q107" s="3" t="inlineStr">
        <is>
          <t>csp_contract_share_x_csp_accelerator_mix</t>
        </is>
      </c>
      <c r="R107" s="3" t="inlineStr">
        <is>
          <t>Edit 02a CSP contract allocation, 02b CSP accelerator mix, or 02x accelerator catalog; 03_Calculation reads D:G from this sheet.</t>
        </is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6">
        <f>IF(I108&gt;0,SUMIFS('02d_AI_Accelerator_Power'!$J$2:$J$653,'02d_AI_Accelerator_Power'!$B$2:$B$653,A108,'02d_AI_Accelerator_Power'!$C$2:$C$653,B108,'02d_AI_Accelerator_Power'!$D$2:$D$653,C108,'02d_AI_Accelerator_Power'!$G$2:$G$653,"h200_reference")/I108,0.294118)</f>
        <v/>
      </c>
      <c r="E108" s="6">
        <f>IF(I108&gt;0,SUMIFS('02d_AI_Accelerator_Power'!$J$2:$J$653,'02d_AI_Accelerator_Power'!$B$2:$B$653,A108,'02d_AI_Accelerator_Power'!$C$2:$C$653,B108,'02d_AI_Accelerator_Power'!$D$2:$D$653,C108,'02d_AI_Accelerator_Power'!$G$2:$G$653,"b200_reference")/I108,0.705882)</f>
        <v/>
      </c>
      <c r="F108" s="6">
        <f>IF(I108&gt;0,SUMIFS('02d_AI_Accelerator_Power'!$J$2:$J$653,'02d_AI_Accelerator_Power'!$B$2:$B$653,A108,'02d_AI_Accelerator_Power'!$C$2:$C$653,B108,'02d_AI_Accelerator_Power'!$D$2:$D$653,C108,'02d_AI_Accelerator_Power'!$G$2:$G$653,"gb200_reference")/I108,0.0)</f>
        <v/>
      </c>
      <c r="G108" s="6">
        <f>IF(I108&gt;0,SUMIFS('02d_AI_Accelerator_Power'!$J$2:$J$653,'02d_AI_Accelerator_Power'!$B$2:$B$653,A108,'02d_AI_Accelerator_Power'!$C$2:$C$653,B108,'02d_AI_Accelerator_Power'!$D$2:$D$653,C108,'02d_AI_Accelerator_Power'!$G$2:$G$653,"purpose_or_unbenchmarked")/I108,0.0)</f>
        <v/>
      </c>
      <c r="H108" s="6">
        <f>SUM(D108:G108)</f>
        <v/>
      </c>
      <c r="I108" s="28">
        <f>SUMIFS('02d_AI_Accelerator_Power'!$J$2:$J$653,'02d_AI_Accelerator_Power'!$B$2:$B$653,A108,'02d_AI_Accelerator_Power'!$C$2:$C$653,B108,'02d_AI_Accelerator_Power'!$D$2:$D$653,C108)</f>
        <v/>
      </c>
      <c r="J108" s="6">
        <f>IF(I108&gt;0,SUMIFS('02d_AI_Accelerator_Power'!$J$2:$J$653,'02d_AI_Accelerator_Power'!$B$2:$B$653,A108,'02d_AI_Accelerator_Power'!$C$2:$C$653,B108,'02d_AI_Accelerator_Power'!$D$2:$D$653,C108,'02d_AI_Accelerator_Power'!$F$2:$F$653,"R200/R300 future")/I108,0)</f>
        <v/>
      </c>
      <c r="K108" s="6">
        <f>IF(I108&gt;0,SUMIFS('02d_AI_Accelerator_Power'!$J$2:$J$653,'02d_AI_Accelerator_Power'!$B$2:$B$653,A108,'02d_AI_Accelerator_Power'!$C$2:$C$653,B108,'02d_AI_Accelerator_Power'!$D$2:$D$653,C108,'02d_AI_Accelerator_Power'!$F$2:$F$653,"TPU")/I108,0)</f>
        <v/>
      </c>
      <c r="L108" s="6">
        <f>IF(I108&gt;0,SUMIFS('02d_AI_Accelerator_Power'!$J$2:$J$653,'02d_AI_Accelerator_Power'!$B$2:$B$653,A108,'02d_AI_Accelerator_Power'!$C$2:$C$653,B108,'02d_AI_Accelerator_Power'!$D$2:$D$653,C108,'02d_AI_Accelerator_Power'!$F$2:$F$653,"Trainium")/I108,0)</f>
        <v/>
      </c>
      <c r="M108" s="6">
        <f>IF(I108&gt;0,SUMIFS('02d_AI_Accelerator_Power'!$J$2:$J$653,'02d_AI_Accelerator_Power'!$B$2:$B$653,A108,'02d_AI_Accelerator_Power'!$C$2:$C$653,B108,'02d_AI_Accelerator_Power'!$D$2:$D$653,C108,'02d_AI_Accelerator_Power'!$F$2:$F$653,"Maia")/I108,0)</f>
        <v/>
      </c>
      <c r="N108" s="6">
        <f>IF(I108&gt;0,SUMIFS('02d_AI_Accelerator_Power'!$J$2:$J$653,'02d_AI_Accelerator_Power'!$B$2:$B$653,A108,'02d_AI_Accelerator_Power'!$C$2:$C$653,B108,'02d_AI_Accelerator_Power'!$D$2:$D$653,C108,'02d_AI_Accelerator_Power'!$F$2:$F$653,"MTIA")/I108,0)</f>
        <v/>
      </c>
      <c r="O108" s="6">
        <f>IF(I108&gt;0,SUMIFS('02d_AI_Accelerator_Power'!$J$2:$J$653,'02d_AI_Accelerator_Power'!$B$2:$B$653,A108,'02d_AI_Accelerator_Power'!$C$2:$C$653,B108,'02d_AI_Accelerator_Power'!$D$2:$D$653,C108,'02d_AI_Accelerator_Power'!$F$2:$F$653,"Other / unknown accelerator")/I108,0)</f>
        <v/>
      </c>
      <c r="P108" s="3" t="inlineStr">
        <is>
          <t>CSP contract normalized: company inference MW * (CSP total MW * AI contract share * inference share) / company contract inference weight, then multiplied by CSP accelerator rows.</t>
        </is>
      </c>
      <c r="Q108" s="3" t="inlineStr">
        <is>
          <t>csp_contract_share_x_csp_accelerator_mix</t>
        </is>
      </c>
      <c r="R108" s="3" t="inlineStr">
        <is>
          <t>Edit 02a CSP contract allocation, 02b CSP accelerator mix, or 02x accelerator catalog; 03_Calculation reads D:G from this sheet.</t>
        </is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6">
        <f>IF(I109&gt;0,SUMIFS('02d_AI_Accelerator_Power'!$J$2:$J$653,'02d_AI_Accelerator_Power'!$B$2:$B$653,A109,'02d_AI_Accelerator_Power'!$C$2:$C$653,B109,'02d_AI_Accelerator_Power'!$D$2:$D$653,C109,'02d_AI_Accelerator_Power'!$G$2:$G$653,"h200_reference")/I109,0.294118)</f>
        <v/>
      </c>
      <c r="E109" s="6">
        <f>IF(I109&gt;0,SUMIFS('02d_AI_Accelerator_Power'!$J$2:$J$653,'02d_AI_Accelerator_Power'!$B$2:$B$653,A109,'02d_AI_Accelerator_Power'!$C$2:$C$653,B109,'02d_AI_Accelerator_Power'!$D$2:$D$653,C109,'02d_AI_Accelerator_Power'!$G$2:$G$653,"b200_reference")/I109,0.705882)</f>
        <v/>
      </c>
      <c r="F109" s="6">
        <f>IF(I109&gt;0,SUMIFS('02d_AI_Accelerator_Power'!$J$2:$J$653,'02d_AI_Accelerator_Power'!$B$2:$B$653,A109,'02d_AI_Accelerator_Power'!$C$2:$C$653,B109,'02d_AI_Accelerator_Power'!$D$2:$D$653,C109,'02d_AI_Accelerator_Power'!$G$2:$G$653,"gb200_reference")/I109,0.0)</f>
        <v/>
      </c>
      <c r="G109" s="6">
        <f>IF(I109&gt;0,SUMIFS('02d_AI_Accelerator_Power'!$J$2:$J$653,'02d_AI_Accelerator_Power'!$B$2:$B$653,A109,'02d_AI_Accelerator_Power'!$C$2:$C$653,B109,'02d_AI_Accelerator_Power'!$D$2:$D$653,C109,'02d_AI_Accelerator_Power'!$G$2:$G$653,"purpose_or_unbenchmarked")/I109,0.0)</f>
        <v/>
      </c>
      <c r="H109" s="6">
        <f>SUM(D109:G109)</f>
        <v/>
      </c>
      <c r="I109" s="28">
        <f>SUMIFS('02d_AI_Accelerator_Power'!$J$2:$J$653,'02d_AI_Accelerator_Power'!$B$2:$B$653,A109,'02d_AI_Accelerator_Power'!$C$2:$C$653,B109,'02d_AI_Accelerator_Power'!$D$2:$D$653,C109)</f>
        <v/>
      </c>
      <c r="J109" s="6">
        <f>IF(I109&gt;0,SUMIFS('02d_AI_Accelerator_Power'!$J$2:$J$653,'02d_AI_Accelerator_Power'!$B$2:$B$653,A109,'02d_AI_Accelerator_Power'!$C$2:$C$653,B109,'02d_AI_Accelerator_Power'!$D$2:$D$653,C109,'02d_AI_Accelerator_Power'!$F$2:$F$653,"R200/R300 future")/I109,0)</f>
        <v/>
      </c>
      <c r="K109" s="6">
        <f>IF(I109&gt;0,SUMIFS('02d_AI_Accelerator_Power'!$J$2:$J$653,'02d_AI_Accelerator_Power'!$B$2:$B$653,A109,'02d_AI_Accelerator_Power'!$C$2:$C$653,B109,'02d_AI_Accelerator_Power'!$D$2:$D$653,C109,'02d_AI_Accelerator_Power'!$F$2:$F$653,"TPU")/I109,0)</f>
        <v/>
      </c>
      <c r="L109" s="6">
        <f>IF(I109&gt;0,SUMIFS('02d_AI_Accelerator_Power'!$J$2:$J$653,'02d_AI_Accelerator_Power'!$B$2:$B$653,A109,'02d_AI_Accelerator_Power'!$C$2:$C$653,B109,'02d_AI_Accelerator_Power'!$D$2:$D$653,C109,'02d_AI_Accelerator_Power'!$F$2:$F$653,"Trainium")/I109,0)</f>
        <v/>
      </c>
      <c r="M109" s="6">
        <f>IF(I109&gt;0,SUMIFS('02d_AI_Accelerator_Power'!$J$2:$J$653,'02d_AI_Accelerator_Power'!$B$2:$B$653,A109,'02d_AI_Accelerator_Power'!$C$2:$C$653,B109,'02d_AI_Accelerator_Power'!$D$2:$D$653,C109,'02d_AI_Accelerator_Power'!$F$2:$F$653,"Maia")/I109,0)</f>
        <v/>
      </c>
      <c r="N109" s="6">
        <f>IF(I109&gt;0,SUMIFS('02d_AI_Accelerator_Power'!$J$2:$J$653,'02d_AI_Accelerator_Power'!$B$2:$B$653,A109,'02d_AI_Accelerator_Power'!$C$2:$C$653,B109,'02d_AI_Accelerator_Power'!$D$2:$D$653,C109,'02d_AI_Accelerator_Power'!$F$2:$F$653,"MTIA")/I109,0)</f>
        <v/>
      </c>
      <c r="O109" s="6">
        <f>IF(I109&gt;0,SUMIFS('02d_AI_Accelerator_Power'!$J$2:$J$653,'02d_AI_Accelerator_Power'!$B$2:$B$653,A109,'02d_AI_Accelerator_Power'!$C$2:$C$653,B109,'02d_AI_Accelerator_Power'!$D$2:$D$653,C109,'02d_AI_Accelerator_Power'!$F$2:$F$653,"Other / unknown accelerator")/I109,0)</f>
        <v/>
      </c>
      <c r="P109" s="3" t="inlineStr">
        <is>
          <t>CSP contract normalized: company inference MW * (CSP total MW * AI contract share * inference share) / company contract inference weight, then multiplied by CSP accelerator rows.</t>
        </is>
      </c>
      <c r="Q109" s="3" t="inlineStr">
        <is>
          <t>csp_contract_share_x_csp_accelerator_mix</t>
        </is>
      </c>
      <c r="R109" s="3" t="inlineStr">
        <is>
          <t>Edit 02a CSP contract allocation, 02b CSP accelerator mix, or 02x accelerator catalog; 03_Calculation reads D:G from this sheet.</t>
        </is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6">
        <f>IF(I110&gt;0,SUMIFS('02d_AI_Accelerator_Power'!$J$2:$J$653,'02d_AI_Accelerator_Power'!$B$2:$B$653,A110,'02d_AI_Accelerator_Power'!$C$2:$C$653,B110,'02d_AI_Accelerator_Power'!$D$2:$D$653,C110,'02d_AI_Accelerator_Power'!$G$2:$G$653,"h200_reference")/I110,0.294118)</f>
        <v/>
      </c>
      <c r="E110" s="6">
        <f>IF(I110&gt;0,SUMIFS('02d_AI_Accelerator_Power'!$J$2:$J$653,'02d_AI_Accelerator_Power'!$B$2:$B$653,A110,'02d_AI_Accelerator_Power'!$C$2:$C$653,B110,'02d_AI_Accelerator_Power'!$D$2:$D$653,C110,'02d_AI_Accelerator_Power'!$G$2:$G$653,"b200_reference")/I110,0.705882)</f>
        <v/>
      </c>
      <c r="F110" s="6">
        <f>IF(I110&gt;0,SUMIFS('02d_AI_Accelerator_Power'!$J$2:$J$653,'02d_AI_Accelerator_Power'!$B$2:$B$653,A110,'02d_AI_Accelerator_Power'!$C$2:$C$653,B110,'02d_AI_Accelerator_Power'!$D$2:$D$653,C110,'02d_AI_Accelerator_Power'!$G$2:$G$653,"gb200_reference")/I110,0.0)</f>
        <v/>
      </c>
      <c r="G110" s="6">
        <f>IF(I110&gt;0,SUMIFS('02d_AI_Accelerator_Power'!$J$2:$J$653,'02d_AI_Accelerator_Power'!$B$2:$B$653,A110,'02d_AI_Accelerator_Power'!$C$2:$C$653,B110,'02d_AI_Accelerator_Power'!$D$2:$D$653,C110,'02d_AI_Accelerator_Power'!$G$2:$G$653,"purpose_or_unbenchmarked")/I110,0.0)</f>
        <v/>
      </c>
      <c r="H110" s="6">
        <f>SUM(D110:G110)</f>
        <v/>
      </c>
      <c r="I110" s="28">
        <f>SUMIFS('02d_AI_Accelerator_Power'!$J$2:$J$653,'02d_AI_Accelerator_Power'!$B$2:$B$653,A110,'02d_AI_Accelerator_Power'!$C$2:$C$653,B110,'02d_AI_Accelerator_Power'!$D$2:$D$653,C110)</f>
        <v/>
      </c>
      <c r="J110" s="6">
        <f>IF(I110&gt;0,SUMIFS('02d_AI_Accelerator_Power'!$J$2:$J$653,'02d_AI_Accelerator_Power'!$B$2:$B$653,A110,'02d_AI_Accelerator_Power'!$C$2:$C$653,B110,'02d_AI_Accelerator_Power'!$D$2:$D$653,C110,'02d_AI_Accelerator_Power'!$F$2:$F$653,"R200/R300 future")/I110,0)</f>
        <v/>
      </c>
      <c r="K110" s="6">
        <f>IF(I110&gt;0,SUMIFS('02d_AI_Accelerator_Power'!$J$2:$J$653,'02d_AI_Accelerator_Power'!$B$2:$B$653,A110,'02d_AI_Accelerator_Power'!$C$2:$C$653,B110,'02d_AI_Accelerator_Power'!$D$2:$D$653,C110,'02d_AI_Accelerator_Power'!$F$2:$F$653,"TPU")/I110,0)</f>
        <v/>
      </c>
      <c r="L110" s="6">
        <f>IF(I110&gt;0,SUMIFS('02d_AI_Accelerator_Power'!$J$2:$J$653,'02d_AI_Accelerator_Power'!$B$2:$B$653,A110,'02d_AI_Accelerator_Power'!$C$2:$C$653,B110,'02d_AI_Accelerator_Power'!$D$2:$D$653,C110,'02d_AI_Accelerator_Power'!$F$2:$F$653,"Trainium")/I110,0)</f>
        <v/>
      </c>
      <c r="M110" s="6">
        <f>IF(I110&gt;0,SUMIFS('02d_AI_Accelerator_Power'!$J$2:$J$653,'02d_AI_Accelerator_Power'!$B$2:$B$653,A110,'02d_AI_Accelerator_Power'!$C$2:$C$653,B110,'02d_AI_Accelerator_Power'!$D$2:$D$653,C110,'02d_AI_Accelerator_Power'!$F$2:$F$653,"Maia")/I110,0)</f>
        <v/>
      </c>
      <c r="N110" s="6">
        <f>IF(I110&gt;0,SUMIFS('02d_AI_Accelerator_Power'!$J$2:$J$653,'02d_AI_Accelerator_Power'!$B$2:$B$653,A110,'02d_AI_Accelerator_Power'!$C$2:$C$653,B110,'02d_AI_Accelerator_Power'!$D$2:$D$653,C110,'02d_AI_Accelerator_Power'!$F$2:$F$653,"MTIA")/I110,0)</f>
        <v/>
      </c>
      <c r="O110" s="6">
        <f>IF(I110&gt;0,SUMIFS('02d_AI_Accelerator_Power'!$J$2:$J$653,'02d_AI_Accelerator_Power'!$B$2:$B$653,A110,'02d_AI_Accelerator_Power'!$C$2:$C$653,B110,'02d_AI_Accelerator_Power'!$D$2:$D$653,C110,'02d_AI_Accelerator_Power'!$F$2:$F$653,"Other / unknown accelerator")/I110,0)</f>
        <v/>
      </c>
      <c r="P110" s="3" t="inlineStr">
        <is>
          <t>CSP contract normalized: company inference MW * (CSP total MW * AI contract share * inference share) / company contract inference weight, then multiplied by CSP accelerator rows.</t>
        </is>
      </c>
      <c r="Q110" s="3" t="inlineStr">
        <is>
          <t>csp_contract_share_x_csp_accelerator_mix</t>
        </is>
      </c>
      <c r="R110" s="3" t="inlineStr">
        <is>
          <t>Edit 02a CSP contract allocation, 02b CSP accelerator mix, or 02x accelerator catalog; 03_Calculation reads D:G from this sheet.</t>
        </is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6">
        <f>IF(I111&gt;0,SUMIFS('02d_AI_Accelerator_Power'!$J$2:$J$653,'02d_AI_Accelerator_Power'!$B$2:$B$653,A111,'02d_AI_Accelerator_Power'!$C$2:$C$653,B111,'02d_AI_Accelerator_Power'!$D$2:$D$653,C111,'02d_AI_Accelerator_Power'!$G$2:$G$653,"h200_reference")/I111,0.294118)</f>
        <v/>
      </c>
      <c r="E111" s="6">
        <f>IF(I111&gt;0,SUMIFS('02d_AI_Accelerator_Power'!$J$2:$J$653,'02d_AI_Accelerator_Power'!$B$2:$B$653,A111,'02d_AI_Accelerator_Power'!$C$2:$C$653,B111,'02d_AI_Accelerator_Power'!$D$2:$D$653,C111,'02d_AI_Accelerator_Power'!$G$2:$G$653,"b200_reference")/I111,0.705882)</f>
        <v/>
      </c>
      <c r="F111" s="6">
        <f>IF(I111&gt;0,SUMIFS('02d_AI_Accelerator_Power'!$J$2:$J$653,'02d_AI_Accelerator_Power'!$B$2:$B$653,A111,'02d_AI_Accelerator_Power'!$C$2:$C$653,B111,'02d_AI_Accelerator_Power'!$D$2:$D$653,C111,'02d_AI_Accelerator_Power'!$G$2:$G$653,"gb200_reference")/I111,0.0)</f>
        <v/>
      </c>
      <c r="G111" s="6">
        <f>IF(I111&gt;0,SUMIFS('02d_AI_Accelerator_Power'!$J$2:$J$653,'02d_AI_Accelerator_Power'!$B$2:$B$653,A111,'02d_AI_Accelerator_Power'!$C$2:$C$653,B111,'02d_AI_Accelerator_Power'!$D$2:$D$653,C111,'02d_AI_Accelerator_Power'!$G$2:$G$653,"purpose_or_unbenchmarked")/I111,0.0)</f>
        <v/>
      </c>
      <c r="H111" s="6">
        <f>SUM(D111:G111)</f>
        <v/>
      </c>
      <c r="I111" s="28">
        <f>SUMIFS('02d_AI_Accelerator_Power'!$J$2:$J$653,'02d_AI_Accelerator_Power'!$B$2:$B$653,A111,'02d_AI_Accelerator_Power'!$C$2:$C$653,B111,'02d_AI_Accelerator_Power'!$D$2:$D$653,C111)</f>
        <v/>
      </c>
      <c r="J111" s="6">
        <f>IF(I111&gt;0,SUMIFS('02d_AI_Accelerator_Power'!$J$2:$J$653,'02d_AI_Accelerator_Power'!$B$2:$B$653,A111,'02d_AI_Accelerator_Power'!$C$2:$C$653,B111,'02d_AI_Accelerator_Power'!$D$2:$D$653,C111,'02d_AI_Accelerator_Power'!$F$2:$F$653,"R200/R300 future")/I111,0)</f>
        <v/>
      </c>
      <c r="K111" s="6">
        <f>IF(I111&gt;0,SUMIFS('02d_AI_Accelerator_Power'!$J$2:$J$653,'02d_AI_Accelerator_Power'!$B$2:$B$653,A111,'02d_AI_Accelerator_Power'!$C$2:$C$653,B111,'02d_AI_Accelerator_Power'!$D$2:$D$653,C111,'02d_AI_Accelerator_Power'!$F$2:$F$653,"TPU")/I111,0)</f>
        <v/>
      </c>
      <c r="L111" s="6">
        <f>IF(I111&gt;0,SUMIFS('02d_AI_Accelerator_Power'!$J$2:$J$653,'02d_AI_Accelerator_Power'!$B$2:$B$653,A111,'02d_AI_Accelerator_Power'!$C$2:$C$653,B111,'02d_AI_Accelerator_Power'!$D$2:$D$653,C111,'02d_AI_Accelerator_Power'!$F$2:$F$653,"Trainium")/I111,0)</f>
        <v/>
      </c>
      <c r="M111" s="6">
        <f>IF(I111&gt;0,SUMIFS('02d_AI_Accelerator_Power'!$J$2:$J$653,'02d_AI_Accelerator_Power'!$B$2:$B$653,A111,'02d_AI_Accelerator_Power'!$C$2:$C$653,B111,'02d_AI_Accelerator_Power'!$D$2:$D$653,C111,'02d_AI_Accelerator_Power'!$F$2:$F$653,"Maia")/I111,0)</f>
        <v/>
      </c>
      <c r="N111" s="6">
        <f>IF(I111&gt;0,SUMIFS('02d_AI_Accelerator_Power'!$J$2:$J$653,'02d_AI_Accelerator_Power'!$B$2:$B$653,A111,'02d_AI_Accelerator_Power'!$C$2:$C$653,B111,'02d_AI_Accelerator_Power'!$D$2:$D$653,C111,'02d_AI_Accelerator_Power'!$F$2:$F$653,"MTIA")/I111,0)</f>
        <v/>
      </c>
      <c r="O111" s="6">
        <f>IF(I111&gt;0,SUMIFS('02d_AI_Accelerator_Power'!$J$2:$J$653,'02d_AI_Accelerator_Power'!$B$2:$B$653,A111,'02d_AI_Accelerator_Power'!$C$2:$C$653,B111,'02d_AI_Accelerator_Power'!$D$2:$D$653,C111,'02d_AI_Accelerator_Power'!$F$2:$F$653,"Other / unknown accelerator")/I111,0)</f>
        <v/>
      </c>
      <c r="P111" s="3" t="inlineStr">
        <is>
          <t>CSP contract normalized: company inference MW * (CSP total MW * AI contract share * inference share) / company contract inference weight, then multiplied by CSP accelerator rows.</t>
        </is>
      </c>
      <c r="Q111" s="3" t="inlineStr">
        <is>
          <t>csp_contract_share_x_csp_accelerator_mix</t>
        </is>
      </c>
      <c r="R111" s="3" t="inlineStr">
        <is>
          <t>Edit 02a CSP contract allocation, 02b CSP accelerator mix, or 02x accelerator catalog; 03_Calculation reads D:G from this sheet.</t>
        </is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6">
        <f>IF(I112&gt;0,SUMIFS('02d_AI_Accelerator_Power'!$J$2:$J$653,'02d_AI_Accelerator_Power'!$B$2:$B$653,A112,'02d_AI_Accelerator_Power'!$C$2:$C$653,B112,'02d_AI_Accelerator_Power'!$D$2:$D$653,C112,'02d_AI_Accelerator_Power'!$G$2:$G$653,"h200_reference")/I112,0.09216)</f>
        <v/>
      </c>
      <c r="E112" s="6">
        <f>IF(I112&gt;0,SUMIFS('02d_AI_Accelerator_Power'!$J$2:$J$653,'02d_AI_Accelerator_Power'!$B$2:$B$653,A112,'02d_AI_Accelerator_Power'!$C$2:$C$653,B112,'02d_AI_Accelerator_Power'!$D$2:$D$653,C112,'02d_AI_Accelerator_Power'!$G$2:$G$653,"b200_reference")/I112,0.90784)</f>
        <v/>
      </c>
      <c r="F112" s="6">
        <f>IF(I112&gt;0,SUMIFS('02d_AI_Accelerator_Power'!$J$2:$J$653,'02d_AI_Accelerator_Power'!$B$2:$B$653,A112,'02d_AI_Accelerator_Power'!$C$2:$C$653,B112,'02d_AI_Accelerator_Power'!$D$2:$D$653,C112,'02d_AI_Accelerator_Power'!$G$2:$G$653,"gb200_reference")/I112,0.0)</f>
        <v/>
      </c>
      <c r="G112" s="6">
        <f>IF(I112&gt;0,SUMIFS('02d_AI_Accelerator_Power'!$J$2:$J$653,'02d_AI_Accelerator_Power'!$B$2:$B$653,A112,'02d_AI_Accelerator_Power'!$C$2:$C$653,B112,'02d_AI_Accelerator_Power'!$D$2:$D$653,C112,'02d_AI_Accelerator_Power'!$G$2:$G$653,"purpose_or_unbenchmarked")/I112,0.0)</f>
        <v/>
      </c>
      <c r="H112" s="6">
        <f>SUM(D112:G112)</f>
        <v/>
      </c>
      <c r="I112" s="28">
        <f>SUMIFS('02d_AI_Accelerator_Power'!$J$2:$J$653,'02d_AI_Accelerator_Power'!$B$2:$B$653,A112,'02d_AI_Accelerator_Power'!$C$2:$C$653,B112,'02d_AI_Accelerator_Power'!$D$2:$D$653,C112)</f>
        <v/>
      </c>
      <c r="J112" s="6">
        <f>IF(I112&gt;0,SUMIFS('02d_AI_Accelerator_Power'!$J$2:$J$653,'02d_AI_Accelerator_Power'!$B$2:$B$653,A112,'02d_AI_Accelerator_Power'!$C$2:$C$653,B112,'02d_AI_Accelerator_Power'!$D$2:$D$653,C112,'02d_AI_Accelerator_Power'!$F$2:$F$653,"R200/R300 future")/I112,0)</f>
        <v/>
      </c>
      <c r="K112" s="6">
        <f>IF(I112&gt;0,SUMIFS('02d_AI_Accelerator_Power'!$J$2:$J$653,'02d_AI_Accelerator_Power'!$B$2:$B$653,A112,'02d_AI_Accelerator_Power'!$C$2:$C$653,B112,'02d_AI_Accelerator_Power'!$D$2:$D$653,C112,'02d_AI_Accelerator_Power'!$F$2:$F$653,"TPU")/I112,0)</f>
        <v/>
      </c>
      <c r="L112" s="6">
        <f>IF(I112&gt;0,SUMIFS('02d_AI_Accelerator_Power'!$J$2:$J$653,'02d_AI_Accelerator_Power'!$B$2:$B$653,A112,'02d_AI_Accelerator_Power'!$C$2:$C$653,B112,'02d_AI_Accelerator_Power'!$D$2:$D$653,C112,'02d_AI_Accelerator_Power'!$F$2:$F$653,"Trainium")/I112,0)</f>
        <v/>
      </c>
      <c r="M112" s="6">
        <f>IF(I112&gt;0,SUMIFS('02d_AI_Accelerator_Power'!$J$2:$J$653,'02d_AI_Accelerator_Power'!$B$2:$B$653,A112,'02d_AI_Accelerator_Power'!$C$2:$C$653,B112,'02d_AI_Accelerator_Power'!$D$2:$D$653,C112,'02d_AI_Accelerator_Power'!$F$2:$F$653,"Maia")/I112,0)</f>
        <v/>
      </c>
      <c r="N112" s="6">
        <f>IF(I112&gt;0,SUMIFS('02d_AI_Accelerator_Power'!$J$2:$J$653,'02d_AI_Accelerator_Power'!$B$2:$B$653,A112,'02d_AI_Accelerator_Power'!$C$2:$C$653,B112,'02d_AI_Accelerator_Power'!$D$2:$D$653,C112,'02d_AI_Accelerator_Power'!$F$2:$F$653,"MTIA")/I112,0)</f>
        <v/>
      </c>
      <c r="O112" s="6">
        <f>IF(I112&gt;0,SUMIFS('02d_AI_Accelerator_Power'!$J$2:$J$653,'02d_AI_Accelerator_Power'!$B$2:$B$653,A112,'02d_AI_Accelerator_Power'!$C$2:$C$653,B112,'02d_AI_Accelerator_Power'!$D$2:$D$653,C112,'02d_AI_Accelerator_Power'!$F$2:$F$653,"Other / unknown accelerator")/I112,0)</f>
        <v/>
      </c>
      <c r="P112" s="3" t="inlineStr">
        <is>
          <t>CSP contract normalized: company inference MW * (CSP total MW * AI contract share * inference share) / company contract inference weight, then multiplied by CSP accelerator rows.</t>
        </is>
      </c>
      <c r="Q112" s="3" t="inlineStr">
        <is>
          <t>csp_contract_share_x_csp_accelerator_mix</t>
        </is>
      </c>
      <c r="R112" s="3" t="inlineStr">
        <is>
          <t>Edit 02a CSP contract allocation, 02b CSP accelerator mix, or 02x accelerator catalog; 03_Calculation reads D:G from this sheet.</t>
        </is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6">
        <f>IF(I113&gt;0,SUMIFS('02d_AI_Accelerator_Power'!$J$2:$J$653,'02d_AI_Accelerator_Power'!$B$2:$B$653,A113,'02d_AI_Accelerator_Power'!$C$2:$C$653,B113,'02d_AI_Accelerator_Power'!$D$2:$D$653,C113,'02d_AI_Accelerator_Power'!$G$2:$G$653,"h200_reference")/I113,0.069876)</f>
        <v/>
      </c>
      <c r="E113" s="6">
        <f>IF(I113&gt;0,SUMIFS('02d_AI_Accelerator_Power'!$J$2:$J$653,'02d_AI_Accelerator_Power'!$B$2:$B$653,A113,'02d_AI_Accelerator_Power'!$C$2:$C$653,B113,'02d_AI_Accelerator_Power'!$D$2:$D$653,C113,'02d_AI_Accelerator_Power'!$G$2:$G$653,"b200_reference")/I113,0.908192)</f>
        <v/>
      </c>
      <c r="F113" s="6">
        <f>IF(I113&gt;0,SUMIFS('02d_AI_Accelerator_Power'!$J$2:$J$653,'02d_AI_Accelerator_Power'!$B$2:$B$653,A113,'02d_AI_Accelerator_Power'!$C$2:$C$653,B113,'02d_AI_Accelerator_Power'!$D$2:$D$653,C113,'02d_AI_Accelerator_Power'!$G$2:$G$653,"gb200_reference")/I113,0.0)</f>
        <v/>
      </c>
      <c r="G113" s="6">
        <f>IF(I113&gt;0,SUMIFS('02d_AI_Accelerator_Power'!$J$2:$J$653,'02d_AI_Accelerator_Power'!$B$2:$B$653,A113,'02d_AI_Accelerator_Power'!$C$2:$C$653,B113,'02d_AI_Accelerator_Power'!$D$2:$D$653,C113,'02d_AI_Accelerator_Power'!$G$2:$G$653,"purpose_or_unbenchmarked")/I113,0.021932)</f>
        <v/>
      </c>
      <c r="H113" s="6">
        <f>SUM(D113:G113)</f>
        <v/>
      </c>
      <c r="I113" s="28">
        <f>SUMIFS('02d_AI_Accelerator_Power'!$J$2:$J$653,'02d_AI_Accelerator_Power'!$B$2:$B$653,A113,'02d_AI_Accelerator_Power'!$C$2:$C$653,B113,'02d_AI_Accelerator_Power'!$D$2:$D$653,C113)</f>
        <v/>
      </c>
      <c r="J113" s="6">
        <f>IF(I113&gt;0,SUMIFS('02d_AI_Accelerator_Power'!$J$2:$J$653,'02d_AI_Accelerator_Power'!$B$2:$B$653,A113,'02d_AI_Accelerator_Power'!$C$2:$C$653,B113,'02d_AI_Accelerator_Power'!$D$2:$D$653,C113,'02d_AI_Accelerator_Power'!$F$2:$F$653,"R200/R300 future")/I113,0)</f>
        <v/>
      </c>
      <c r="K113" s="6">
        <f>IF(I113&gt;0,SUMIFS('02d_AI_Accelerator_Power'!$J$2:$J$653,'02d_AI_Accelerator_Power'!$B$2:$B$653,A113,'02d_AI_Accelerator_Power'!$C$2:$C$653,B113,'02d_AI_Accelerator_Power'!$D$2:$D$653,C113,'02d_AI_Accelerator_Power'!$F$2:$F$653,"TPU")/I113,0)</f>
        <v/>
      </c>
      <c r="L113" s="6">
        <f>IF(I113&gt;0,SUMIFS('02d_AI_Accelerator_Power'!$J$2:$J$653,'02d_AI_Accelerator_Power'!$B$2:$B$653,A113,'02d_AI_Accelerator_Power'!$C$2:$C$653,B113,'02d_AI_Accelerator_Power'!$D$2:$D$653,C113,'02d_AI_Accelerator_Power'!$F$2:$F$653,"Trainium")/I113,0)</f>
        <v/>
      </c>
      <c r="M113" s="6">
        <f>IF(I113&gt;0,SUMIFS('02d_AI_Accelerator_Power'!$J$2:$J$653,'02d_AI_Accelerator_Power'!$B$2:$B$653,A113,'02d_AI_Accelerator_Power'!$C$2:$C$653,B113,'02d_AI_Accelerator_Power'!$D$2:$D$653,C113,'02d_AI_Accelerator_Power'!$F$2:$F$653,"Maia")/I113,0)</f>
        <v/>
      </c>
      <c r="N113" s="6">
        <f>IF(I113&gt;0,SUMIFS('02d_AI_Accelerator_Power'!$J$2:$J$653,'02d_AI_Accelerator_Power'!$B$2:$B$653,A113,'02d_AI_Accelerator_Power'!$C$2:$C$653,B113,'02d_AI_Accelerator_Power'!$D$2:$D$653,C113,'02d_AI_Accelerator_Power'!$F$2:$F$653,"MTIA")/I113,0)</f>
        <v/>
      </c>
      <c r="O113" s="6">
        <f>IF(I113&gt;0,SUMIFS('02d_AI_Accelerator_Power'!$J$2:$J$653,'02d_AI_Accelerator_Power'!$B$2:$B$653,A113,'02d_AI_Accelerator_Power'!$C$2:$C$653,B113,'02d_AI_Accelerator_Power'!$D$2:$D$653,C113,'02d_AI_Accelerator_Power'!$F$2:$F$653,"Other / unknown accelerator")/I113,0)</f>
        <v/>
      </c>
      <c r="P113" s="3" t="inlineStr">
        <is>
          <t>CSP contract normalized: company inference MW * (CSP total MW * AI contract share * inference share) / company contract inference weight, then multiplied by CSP accelerator rows.</t>
        </is>
      </c>
      <c r="Q113" s="3" t="inlineStr">
        <is>
          <t>csp_contract_share_x_csp_accelerator_mix</t>
        </is>
      </c>
      <c r="R113" s="3" t="inlineStr">
        <is>
          <t>Edit 02a CSP contract allocation, 02b CSP accelerator mix, or 02x accelerator catalog; 03_Calculation reads D:G from this sheet.</t>
        </is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6">
        <f>IF(I114&gt;0,SUMIFS('02d_AI_Accelerator_Power'!$J$2:$J$653,'02d_AI_Accelerator_Power'!$B$2:$B$653,A114,'02d_AI_Accelerator_Power'!$C$2:$C$653,B114,'02d_AI_Accelerator_Power'!$D$2:$D$653,C114,'02d_AI_Accelerator_Power'!$G$2:$G$653,"h200_reference")/I114,0.055734)</f>
        <v/>
      </c>
      <c r="E114" s="6">
        <f>IF(I114&gt;0,SUMIFS('02d_AI_Accelerator_Power'!$J$2:$J$653,'02d_AI_Accelerator_Power'!$B$2:$B$653,A114,'02d_AI_Accelerator_Power'!$C$2:$C$653,B114,'02d_AI_Accelerator_Power'!$D$2:$D$653,C114,'02d_AI_Accelerator_Power'!$G$2:$G$653,"b200_reference")/I114,0.784048)</f>
        <v/>
      </c>
      <c r="F114" s="6">
        <f>IF(I114&gt;0,SUMIFS('02d_AI_Accelerator_Power'!$J$2:$J$653,'02d_AI_Accelerator_Power'!$B$2:$B$653,A114,'02d_AI_Accelerator_Power'!$C$2:$C$653,B114,'02d_AI_Accelerator_Power'!$D$2:$D$653,C114,'02d_AI_Accelerator_Power'!$G$2:$G$653,"gb200_reference")/I114,0.024576)</f>
        <v/>
      </c>
      <c r="G114" s="6">
        <f>IF(I114&gt;0,SUMIFS('02d_AI_Accelerator_Power'!$J$2:$J$653,'02d_AI_Accelerator_Power'!$B$2:$B$653,A114,'02d_AI_Accelerator_Power'!$C$2:$C$653,B114,'02d_AI_Accelerator_Power'!$D$2:$D$653,C114,'02d_AI_Accelerator_Power'!$G$2:$G$653,"purpose_or_unbenchmarked")/I114,0.135642)</f>
        <v/>
      </c>
      <c r="H114" s="6">
        <f>SUM(D114:G114)</f>
        <v/>
      </c>
      <c r="I114" s="28">
        <f>SUMIFS('02d_AI_Accelerator_Power'!$J$2:$J$653,'02d_AI_Accelerator_Power'!$B$2:$B$653,A114,'02d_AI_Accelerator_Power'!$C$2:$C$653,B114,'02d_AI_Accelerator_Power'!$D$2:$D$653,C114)</f>
        <v/>
      </c>
      <c r="J114" s="6">
        <f>IF(I114&gt;0,SUMIFS('02d_AI_Accelerator_Power'!$J$2:$J$653,'02d_AI_Accelerator_Power'!$B$2:$B$653,A114,'02d_AI_Accelerator_Power'!$C$2:$C$653,B114,'02d_AI_Accelerator_Power'!$D$2:$D$653,C114,'02d_AI_Accelerator_Power'!$F$2:$F$653,"R200/R300 future")/I114,0)</f>
        <v/>
      </c>
      <c r="K114" s="6">
        <f>IF(I114&gt;0,SUMIFS('02d_AI_Accelerator_Power'!$J$2:$J$653,'02d_AI_Accelerator_Power'!$B$2:$B$653,A114,'02d_AI_Accelerator_Power'!$C$2:$C$653,B114,'02d_AI_Accelerator_Power'!$D$2:$D$653,C114,'02d_AI_Accelerator_Power'!$F$2:$F$653,"TPU")/I114,0)</f>
        <v/>
      </c>
      <c r="L114" s="6">
        <f>IF(I114&gt;0,SUMIFS('02d_AI_Accelerator_Power'!$J$2:$J$653,'02d_AI_Accelerator_Power'!$B$2:$B$653,A114,'02d_AI_Accelerator_Power'!$C$2:$C$653,B114,'02d_AI_Accelerator_Power'!$D$2:$D$653,C114,'02d_AI_Accelerator_Power'!$F$2:$F$653,"Trainium")/I114,0)</f>
        <v/>
      </c>
      <c r="M114" s="6">
        <f>IF(I114&gt;0,SUMIFS('02d_AI_Accelerator_Power'!$J$2:$J$653,'02d_AI_Accelerator_Power'!$B$2:$B$653,A114,'02d_AI_Accelerator_Power'!$C$2:$C$653,B114,'02d_AI_Accelerator_Power'!$D$2:$D$653,C114,'02d_AI_Accelerator_Power'!$F$2:$F$653,"Maia")/I114,0)</f>
        <v/>
      </c>
      <c r="N114" s="6">
        <f>IF(I114&gt;0,SUMIFS('02d_AI_Accelerator_Power'!$J$2:$J$653,'02d_AI_Accelerator_Power'!$B$2:$B$653,A114,'02d_AI_Accelerator_Power'!$C$2:$C$653,B114,'02d_AI_Accelerator_Power'!$D$2:$D$653,C114,'02d_AI_Accelerator_Power'!$F$2:$F$653,"MTIA")/I114,0)</f>
        <v/>
      </c>
      <c r="O114" s="6">
        <f>IF(I114&gt;0,SUMIFS('02d_AI_Accelerator_Power'!$J$2:$J$653,'02d_AI_Accelerator_Power'!$B$2:$B$653,A114,'02d_AI_Accelerator_Power'!$C$2:$C$653,B114,'02d_AI_Accelerator_Power'!$D$2:$D$653,C114,'02d_AI_Accelerator_Power'!$F$2:$F$653,"Other / unknown accelerator")/I114,0)</f>
        <v/>
      </c>
      <c r="P114" s="3" t="inlineStr">
        <is>
          <t>CSP contract normalized: company inference MW * (CSP total MW * AI contract share * inference share) / company contract inference weight, then multiplied by CSP accelerator rows.</t>
        </is>
      </c>
      <c r="Q114" s="3" t="inlineStr">
        <is>
          <t>csp_contract_share_x_csp_accelerator_mix</t>
        </is>
      </c>
      <c r="R114" s="3" t="inlineStr">
        <is>
          <t>Edit 02a CSP contract allocation, 02b CSP accelerator mix, or 02x accelerator catalog; 03_Calculation reads D:G from this sheet.</t>
        </is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6">
        <f>IF(I115&gt;0,SUMIFS('02d_AI_Accelerator_Power'!$J$2:$J$653,'02d_AI_Accelerator_Power'!$B$2:$B$653,A115,'02d_AI_Accelerator_Power'!$C$2:$C$653,B115,'02d_AI_Accelerator_Power'!$D$2:$D$653,C115,'02d_AI_Accelerator_Power'!$G$2:$G$653,"h200_reference")/I115,0.045663)</f>
        <v/>
      </c>
      <c r="E115" s="6">
        <f>IF(I115&gt;0,SUMIFS('02d_AI_Accelerator_Power'!$J$2:$J$653,'02d_AI_Accelerator_Power'!$B$2:$B$653,A115,'02d_AI_Accelerator_Power'!$C$2:$C$653,B115,'02d_AI_Accelerator_Power'!$D$2:$D$653,C115,'02d_AI_Accelerator_Power'!$G$2:$G$653,"b200_reference")/I115,0.790096)</f>
        <v/>
      </c>
      <c r="F115" s="6">
        <f>IF(I115&gt;0,SUMIFS('02d_AI_Accelerator_Power'!$J$2:$J$653,'02d_AI_Accelerator_Power'!$B$2:$B$653,A115,'02d_AI_Accelerator_Power'!$C$2:$C$653,B115,'02d_AI_Accelerator_Power'!$D$2:$D$653,C115,'02d_AI_Accelerator_Power'!$G$2:$G$653,"gb200_reference")/I115,0.033546)</f>
        <v/>
      </c>
      <c r="G115" s="6">
        <f>IF(I115&gt;0,SUMIFS('02d_AI_Accelerator_Power'!$J$2:$J$653,'02d_AI_Accelerator_Power'!$B$2:$B$653,A115,'02d_AI_Accelerator_Power'!$C$2:$C$653,B115,'02d_AI_Accelerator_Power'!$D$2:$D$653,C115,'02d_AI_Accelerator_Power'!$G$2:$G$653,"purpose_or_unbenchmarked")/I115,0.130695)</f>
        <v/>
      </c>
      <c r="H115" s="6">
        <f>SUM(D115:G115)</f>
        <v/>
      </c>
      <c r="I115" s="28">
        <f>SUMIFS('02d_AI_Accelerator_Power'!$J$2:$J$653,'02d_AI_Accelerator_Power'!$B$2:$B$653,A115,'02d_AI_Accelerator_Power'!$C$2:$C$653,B115,'02d_AI_Accelerator_Power'!$D$2:$D$653,C115)</f>
        <v/>
      </c>
      <c r="J115" s="6">
        <f>IF(I115&gt;0,SUMIFS('02d_AI_Accelerator_Power'!$J$2:$J$653,'02d_AI_Accelerator_Power'!$B$2:$B$653,A115,'02d_AI_Accelerator_Power'!$C$2:$C$653,B115,'02d_AI_Accelerator_Power'!$D$2:$D$653,C115,'02d_AI_Accelerator_Power'!$F$2:$F$653,"R200/R300 future")/I115,0)</f>
        <v/>
      </c>
      <c r="K115" s="6">
        <f>IF(I115&gt;0,SUMIFS('02d_AI_Accelerator_Power'!$J$2:$J$653,'02d_AI_Accelerator_Power'!$B$2:$B$653,A115,'02d_AI_Accelerator_Power'!$C$2:$C$653,B115,'02d_AI_Accelerator_Power'!$D$2:$D$653,C115,'02d_AI_Accelerator_Power'!$F$2:$F$653,"TPU")/I115,0)</f>
        <v/>
      </c>
      <c r="L115" s="6">
        <f>IF(I115&gt;0,SUMIFS('02d_AI_Accelerator_Power'!$J$2:$J$653,'02d_AI_Accelerator_Power'!$B$2:$B$653,A115,'02d_AI_Accelerator_Power'!$C$2:$C$653,B115,'02d_AI_Accelerator_Power'!$D$2:$D$653,C115,'02d_AI_Accelerator_Power'!$F$2:$F$653,"Trainium")/I115,0)</f>
        <v/>
      </c>
      <c r="M115" s="6">
        <f>IF(I115&gt;0,SUMIFS('02d_AI_Accelerator_Power'!$J$2:$J$653,'02d_AI_Accelerator_Power'!$B$2:$B$653,A115,'02d_AI_Accelerator_Power'!$C$2:$C$653,B115,'02d_AI_Accelerator_Power'!$D$2:$D$653,C115,'02d_AI_Accelerator_Power'!$F$2:$F$653,"Maia")/I115,0)</f>
        <v/>
      </c>
      <c r="N115" s="6">
        <f>IF(I115&gt;0,SUMIFS('02d_AI_Accelerator_Power'!$J$2:$J$653,'02d_AI_Accelerator_Power'!$B$2:$B$653,A115,'02d_AI_Accelerator_Power'!$C$2:$C$653,B115,'02d_AI_Accelerator_Power'!$D$2:$D$653,C115,'02d_AI_Accelerator_Power'!$F$2:$F$653,"MTIA")/I115,0)</f>
        <v/>
      </c>
      <c r="O115" s="6">
        <f>IF(I115&gt;0,SUMIFS('02d_AI_Accelerator_Power'!$J$2:$J$653,'02d_AI_Accelerator_Power'!$B$2:$B$653,A115,'02d_AI_Accelerator_Power'!$C$2:$C$653,B115,'02d_AI_Accelerator_Power'!$D$2:$D$653,C115,'02d_AI_Accelerator_Power'!$F$2:$F$653,"Other / unknown accelerator")/I115,0)</f>
        <v/>
      </c>
      <c r="P115" s="3" t="inlineStr">
        <is>
          <t>CSP contract normalized: company inference MW * (CSP total MW * AI contract share * inference share) / company contract inference weight, then multiplied by CSP accelerator rows.</t>
        </is>
      </c>
      <c r="Q115" s="3" t="inlineStr">
        <is>
          <t>csp_contract_share_x_csp_accelerator_mix</t>
        </is>
      </c>
      <c r="R115" s="3" t="inlineStr">
        <is>
          <t>Edit 02a CSP contract allocation, 02b CSP accelerator mix, or 02x accelerator catalog; 03_Calculation reads D:G from this sheet.</t>
        </is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6">
        <f>IF(I116&gt;0,SUMIFS('02d_AI_Accelerator_Power'!$J$2:$J$653,'02d_AI_Accelerator_Power'!$B$2:$B$653,A116,'02d_AI_Accelerator_Power'!$C$2:$C$653,B116,'02d_AI_Accelerator_Power'!$D$2:$D$653,C116,'02d_AI_Accelerator_Power'!$G$2:$G$653,"h200_reference")/I116,0.036744)</f>
        <v/>
      </c>
      <c r="E116" s="6">
        <f>IF(I116&gt;0,SUMIFS('02d_AI_Accelerator_Power'!$J$2:$J$653,'02d_AI_Accelerator_Power'!$B$2:$B$653,A116,'02d_AI_Accelerator_Power'!$C$2:$C$653,B116,'02d_AI_Accelerator_Power'!$D$2:$D$653,C116,'02d_AI_Accelerator_Power'!$G$2:$G$653,"b200_reference")/I116,0.789149)</f>
        <v/>
      </c>
      <c r="F116" s="6">
        <f>IF(I116&gt;0,SUMIFS('02d_AI_Accelerator_Power'!$J$2:$J$653,'02d_AI_Accelerator_Power'!$B$2:$B$653,A116,'02d_AI_Accelerator_Power'!$C$2:$C$653,B116,'02d_AI_Accelerator_Power'!$D$2:$D$653,C116,'02d_AI_Accelerator_Power'!$G$2:$G$653,"gb200_reference")/I116,0.043412)</f>
        <v/>
      </c>
      <c r="G116" s="6">
        <f>IF(I116&gt;0,SUMIFS('02d_AI_Accelerator_Power'!$J$2:$J$653,'02d_AI_Accelerator_Power'!$B$2:$B$653,A116,'02d_AI_Accelerator_Power'!$C$2:$C$653,B116,'02d_AI_Accelerator_Power'!$D$2:$D$653,C116,'02d_AI_Accelerator_Power'!$G$2:$G$653,"purpose_or_unbenchmarked")/I116,0.130695)</f>
        <v/>
      </c>
      <c r="H116" s="6">
        <f>SUM(D116:G116)</f>
        <v/>
      </c>
      <c r="I116" s="28">
        <f>SUMIFS('02d_AI_Accelerator_Power'!$J$2:$J$653,'02d_AI_Accelerator_Power'!$B$2:$B$653,A116,'02d_AI_Accelerator_Power'!$C$2:$C$653,B116,'02d_AI_Accelerator_Power'!$D$2:$D$653,C116)</f>
        <v/>
      </c>
      <c r="J116" s="6">
        <f>IF(I116&gt;0,SUMIFS('02d_AI_Accelerator_Power'!$J$2:$J$653,'02d_AI_Accelerator_Power'!$B$2:$B$653,A116,'02d_AI_Accelerator_Power'!$C$2:$C$653,B116,'02d_AI_Accelerator_Power'!$D$2:$D$653,C116,'02d_AI_Accelerator_Power'!$F$2:$F$653,"R200/R300 future")/I116,0)</f>
        <v/>
      </c>
      <c r="K116" s="6">
        <f>IF(I116&gt;0,SUMIFS('02d_AI_Accelerator_Power'!$J$2:$J$653,'02d_AI_Accelerator_Power'!$B$2:$B$653,A116,'02d_AI_Accelerator_Power'!$C$2:$C$653,B116,'02d_AI_Accelerator_Power'!$D$2:$D$653,C116,'02d_AI_Accelerator_Power'!$F$2:$F$653,"TPU")/I116,0)</f>
        <v/>
      </c>
      <c r="L116" s="6">
        <f>IF(I116&gt;0,SUMIFS('02d_AI_Accelerator_Power'!$J$2:$J$653,'02d_AI_Accelerator_Power'!$B$2:$B$653,A116,'02d_AI_Accelerator_Power'!$C$2:$C$653,B116,'02d_AI_Accelerator_Power'!$D$2:$D$653,C116,'02d_AI_Accelerator_Power'!$F$2:$F$653,"Trainium")/I116,0)</f>
        <v/>
      </c>
      <c r="M116" s="6">
        <f>IF(I116&gt;0,SUMIFS('02d_AI_Accelerator_Power'!$J$2:$J$653,'02d_AI_Accelerator_Power'!$B$2:$B$653,A116,'02d_AI_Accelerator_Power'!$C$2:$C$653,B116,'02d_AI_Accelerator_Power'!$D$2:$D$653,C116,'02d_AI_Accelerator_Power'!$F$2:$F$653,"Maia")/I116,0)</f>
        <v/>
      </c>
      <c r="N116" s="6">
        <f>IF(I116&gt;0,SUMIFS('02d_AI_Accelerator_Power'!$J$2:$J$653,'02d_AI_Accelerator_Power'!$B$2:$B$653,A116,'02d_AI_Accelerator_Power'!$C$2:$C$653,B116,'02d_AI_Accelerator_Power'!$D$2:$D$653,C116,'02d_AI_Accelerator_Power'!$F$2:$F$653,"MTIA")/I116,0)</f>
        <v/>
      </c>
      <c r="O116" s="6">
        <f>IF(I116&gt;0,SUMIFS('02d_AI_Accelerator_Power'!$J$2:$J$653,'02d_AI_Accelerator_Power'!$B$2:$B$653,A116,'02d_AI_Accelerator_Power'!$C$2:$C$653,B116,'02d_AI_Accelerator_Power'!$D$2:$D$653,C116,'02d_AI_Accelerator_Power'!$F$2:$F$653,"Other / unknown accelerator")/I116,0)</f>
        <v/>
      </c>
      <c r="P116" s="3" t="inlineStr">
        <is>
          <t>CSP contract normalized: company inference MW * (CSP total MW * AI contract share * inference share) / company contract inference weight, then multiplied by CSP accelerator rows.</t>
        </is>
      </c>
      <c r="Q116" s="3" t="inlineStr">
        <is>
          <t>csp_contract_share_x_csp_accelerator_mix</t>
        </is>
      </c>
      <c r="R116" s="3" t="inlineStr">
        <is>
          <t>Edit 02a CSP contract allocation, 02b CSP accelerator mix, or 02x accelerator catalog; 03_Calculation reads D:G from this sheet.</t>
        </is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6">
        <f>IF(I117&gt;0,SUMIFS('02d_AI_Accelerator_Power'!$J$2:$J$653,'02d_AI_Accelerator_Power'!$B$2:$B$653,A117,'02d_AI_Accelerator_Power'!$C$2:$C$653,B117,'02d_AI_Accelerator_Power'!$D$2:$D$653,C117,'02d_AI_Accelerator_Power'!$G$2:$G$653,"h200_reference")/I117,0.114987)</f>
        <v/>
      </c>
      <c r="E117" s="6">
        <f>IF(I117&gt;0,SUMIFS('02d_AI_Accelerator_Power'!$J$2:$J$653,'02d_AI_Accelerator_Power'!$B$2:$B$653,A117,'02d_AI_Accelerator_Power'!$C$2:$C$653,B117,'02d_AI_Accelerator_Power'!$D$2:$D$653,C117,'02d_AI_Accelerator_Power'!$G$2:$G$653,"b200_reference")/I117,0.227101)</f>
        <v/>
      </c>
      <c r="F117" s="6">
        <f>IF(I117&gt;0,SUMIFS('02d_AI_Accelerator_Power'!$J$2:$J$653,'02d_AI_Accelerator_Power'!$B$2:$B$653,A117,'02d_AI_Accelerator_Power'!$C$2:$C$653,B117,'02d_AI_Accelerator_Power'!$D$2:$D$653,C117,'02d_AI_Accelerator_Power'!$G$2:$G$653,"gb200_reference")/I117,0.0)</f>
        <v/>
      </c>
      <c r="G117" s="6">
        <f>IF(I117&gt;0,SUMIFS('02d_AI_Accelerator_Power'!$J$2:$J$653,'02d_AI_Accelerator_Power'!$B$2:$B$653,A117,'02d_AI_Accelerator_Power'!$C$2:$C$653,B117,'02d_AI_Accelerator_Power'!$D$2:$D$653,C117,'02d_AI_Accelerator_Power'!$G$2:$G$653,"purpose_or_unbenchmarked")/I117,0.657912)</f>
        <v/>
      </c>
      <c r="H117" s="6">
        <f>SUM(D117:G117)</f>
        <v/>
      </c>
      <c r="I117" s="28">
        <f>SUMIFS('02d_AI_Accelerator_Power'!$J$2:$J$653,'02d_AI_Accelerator_Power'!$B$2:$B$653,A117,'02d_AI_Accelerator_Power'!$C$2:$C$653,B117,'02d_AI_Accelerator_Power'!$D$2:$D$653,C117)</f>
        <v/>
      </c>
      <c r="J117" s="6">
        <f>IF(I117&gt;0,SUMIFS('02d_AI_Accelerator_Power'!$J$2:$J$653,'02d_AI_Accelerator_Power'!$B$2:$B$653,A117,'02d_AI_Accelerator_Power'!$C$2:$C$653,B117,'02d_AI_Accelerator_Power'!$D$2:$D$653,C117,'02d_AI_Accelerator_Power'!$F$2:$F$653,"R200/R300 future")/I117,0)</f>
        <v/>
      </c>
      <c r="K117" s="6">
        <f>IF(I117&gt;0,SUMIFS('02d_AI_Accelerator_Power'!$J$2:$J$653,'02d_AI_Accelerator_Power'!$B$2:$B$653,A117,'02d_AI_Accelerator_Power'!$C$2:$C$653,B117,'02d_AI_Accelerator_Power'!$D$2:$D$653,C117,'02d_AI_Accelerator_Power'!$F$2:$F$653,"TPU")/I117,0)</f>
        <v/>
      </c>
      <c r="L117" s="6">
        <f>IF(I117&gt;0,SUMIFS('02d_AI_Accelerator_Power'!$J$2:$J$653,'02d_AI_Accelerator_Power'!$B$2:$B$653,A117,'02d_AI_Accelerator_Power'!$C$2:$C$653,B117,'02d_AI_Accelerator_Power'!$D$2:$D$653,C117,'02d_AI_Accelerator_Power'!$F$2:$F$653,"Trainium")/I117,0)</f>
        <v/>
      </c>
      <c r="M117" s="6">
        <f>IF(I117&gt;0,SUMIFS('02d_AI_Accelerator_Power'!$J$2:$J$653,'02d_AI_Accelerator_Power'!$B$2:$B$653,A117,'02d_AI_Accelerator_Power'!$C$2:$C$653,B117,'02d_AI_Accelerator_Power'!$D$2:$D$653,C117,'02d_AI_Accelerator_Power'!$F$2:$F$653,"Maia")/I117,0)</f>
        <v/>
      </c>
      <c r="N117" s="6">
        <f>IF(I117&gt;0,SUMIFS('02d_AI_Accelerator_Power'!$J$2:$J$653,'02d_AI_Accelerator_Power'!$B$2:$B$653,A117,'02d_AI_Accelerator_Power'!$C$2:$C$653,B117,'02d_AI_Accelerator_Power'!$D$2:$D$653,C117,'02d_AI_Accelerator_Power'!$F$2:$F$653,"MTIA")/I117,0)</f>
        <v/>
      </c>
      <c r="O117" s="6">
        <f>IF(I117&gt;0,SUMIFS('02d_AI_Accelerator_Power'!$J$2:$J$653,'02d_AI_Accelerator_Power'!$B$2:$B$653,A117,'02d_AI_Accelerator_Power'!$C$2:$C$653,B117,'02d_AI_Accelerator_Power'!$D$2:$D$653,C117,'02d_AI_Accelerator_Power'!$F$2:$F$653,"Other / unknown accelerator")/I117,0)</f>
        <v/>
      </c>
      <c r="P117" s="3" t="inlineStr">
        <is>
          <t>CSP contract normalized: company inference MW * (CSP total MW * AI contract share * inference share) / company contract inference weight, then multiplied by CSP accelerator rows.</t>
        </is>
      </c>
      <c r="Q117" s="3" t="inlineStr">
        <is>
          <t>csp_contract_share_x_csp_accelerator_mix</t>
        </is>
      </c>
      <c r="R117" s="3" t="inlineStr">
        <is>
          <t>Edit 02a CSP contract allocation, 02b CSP accelerator mix, or 02x accelerator catalog; 03_Calculation reads D:G from this sheet.</t>
        </is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6">
        <f>IF(I118&gt;0,SUMIFS('02d_AI_Accelerator_Power'!$J$2:$J$653,'02d_AI_Accelerator_Power'!$B$2:$B$653,A118,'02d_AI_Accelerator_Power'!$C$2:$C$653,B118,'02d_AI_Accelerator_Power'!$D$2:$D$653,C118,'02d_AI_Accelerator_Power'!$G$2:$G$653,"h200_reference")/I118,0.120505)</f>
        <v/>
      </c>
      <c r="E118" s="6">
        <f>IF(I118&gt;0,SUMIFS('02d_AI_Accelerator_Power'!$J$2:$J$653,'02d_AI_Accelerator_Power'!$B$2:$B$653,A118,'02d_AI_Accelerator_Power'!$C$2:$C$653,B118,'02d_AI_Accelerator_Power'!$D$2:$D$653,C118,'02d_AI_Accelerator_Power'!$G$2:$G$653,"b200_reference")/I118,0.215994)</f>
        <v/>
      </c>
      <c r="F118" s="6">
        <f>IF(I118&gt;0,SUMIFS('02d_AI_Accelerator_Power'!$J$2:$J$653,'02d_AI_Accelerator_Power'!$B$2:$B$653,A118,'02d_AI_Accelerator_Power'!$C$2:$C$653,B118,'02d_AI_Accelerator_Power'!$D$2:$D$653,C118,'02d_AI_Accelerator_Power'!$G$2:$G$653,"gb200_reference")/I118,0.0)</f>
        <v/>
      </c>
      <c r="G118" s="6">
        <f>IF(I118&gt;0,SUMIFS('02d_AI_Accelerator_Power'!$J$2:$J$653,'02d_AI_Accelerator_Power'!$B$2:$B$653,A118,'02d_AI_Accelerator_Power'!$C$2:$C$653,B118,'02d_AI_Accelerator_Power'!$D$2:$D$653,C118,'02d_AI_Accelerator_Power'!$G$2:$G$653,"purpose_or_unbenchmarked")/I118,0.663501)</f>
        <v/>
      </c>
      <c r="H118" s="6">
        <f>SUM(D118:G118)</f>
        <v/>
      </c>
      <c r="I118" s="28">
        <f>SUMIFS('02d_AI_Accelerator_Power'!$J$2:$J$653,'02d_AI_Accelerator_Power'!$B$2:$B$653,A118,'02d_AI_Accelerator_Power'!$C$2:$C$653,B118,'02d_AI_Accelerator_Power'!$D$2:$D$653,C118)</f>
        <v/>
      </c>
      <c r="J118" s="6">
        <f>IF(I118&gt;0,SUMIFS('02d_AI_Accelerator_Power'!$J$2:$J$653,'02d_AI_Accelerator_Power'!$B$2:$B$653,A118,'02d_AI_Accelerator_Power'!$C$2:$C$653,B118,'02d_AI_Accelerator_Power'!$D$2:$D$653,C118,'02d_AI_Accelerator_Power'!$F$2:$F$653,"R200/R300 future")/I118,0)</f>
        <v/>
      </c>
      <c r="K118" s="6">
        <f>IF(I118&gt;0,SUMIFS('02d_AI_Accelerator_Power'!$J$2:$J$653,'02d_AI_Accelerator_Power'!$B$2:$B$653,A118,'02d_AI_Accelerator_Power'!$C$2:$C$653,B118,'02d_AI_Accelerator_Power'!$D$2:$D$653,C118,'02d_AI_Accelerator_Power'!$F$2:$F$653,"TPU")/I118,0)</f>
        <v/>
      </c>
      <c r="L118" s="6">
        <f>IF(I118&gt;0,SUMIFS('02d_AI_Accelerator_Power'!$J$2:$J$653,'02d_AI_Accelerator_Power'!$B$2:$B$653,A118,'02d_AI_Accelerator_Power'!$C$2:$C$653,B118,'02d_AI_Accelerator_Power'!$D$2:$D$653,C118,'02d_AI_Accelerator_Power'!$F$2:$F$653,"Trainium")/I118,0)</f>
        <v/>
      </c>
      <c r="M118" s="6">
        <f>IF(I118&gt;0,SUMIFS('02d_AI_Accelerator_Power'!$J$2:$J$653,'02d_AI_Accelerator_Power'!$B$2:$B$653,A118,'02d_AI_Accelerator_Power'!$C$2:$C$653,B118,'02d_AI_Accelerator_Power'!$D$2:$D$653,C118,'02d_AI_Accelerator_Power'!$F$2:$F$653,"Maia")/I118,0)</f>
        <v/>
      </c>
      <c r="N118" s="6">
        <f>IF(I118&gt;0,SUMIFS('02d_AI_Accelerator_Power'!$J$2:$J$653,'02d_AI_Accelerator_Power'!$B$2:$B$653,A118,'02d_AI_Accelerator_Power'!$C$2:$C$653,B118,'02d_AI_Accelerator_Power'!$D$2:$D$653,C118,'02d_AI_Accelerator_Power'!$F$2:$F$653,"MTIA")/I118,0)</f>
        <v/>
      </c>
      <c r="O118" s="6">
        <f>IF(I118&gt;0,SUMIFS('02d_AI_Accelerator_Power'!$J$2:$J$653,'02d_AI_Accelerator_Power'!$B$2:$B$653,A118,'02d_AI_Accelerator_Power'!$C$2:$C$653,B118,'02d_AI_Accelerator_Power'!$D$2:$D$653,C118,'02d_AI_Accelerator_Power'!$F$2:$F$653,"Other / unknown accelerator")/I118,0)</f>
        <v/>
      </c>
      <c r="P118" s="3" t="inlineStr">
        <is>
          <t>CSP contract normalized: company inference MW * (CSP total MW * AI contract share * inference share) / company contract inference weight, then multiplied by CSP accelerator rows.</t>
        </is>
      </c>
      <c r="Q118" s="3" t="inlineStr">
        <is>
          <t>csp_contract_share_x_csp_accelerator_mix</t>
        </is>
      </c>
      <c r="R118" s="3" t="inlineStr">
        <is>
          <t>Edit 02a CSP contract allocation, 02b CSP accelerator mix, or 02x accelerator catalog; 03_Calculation reads D:G from this sheet.</t>
        </is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6">
        <f>IF(I119&gt;0,SUMIFS('02d_AI_Accelerator_Power'!$J$2:$J$653,'02d_AI_Accelerator_Power'!$B$2:$B$653,A119,'02d_AI_Accelerator_Power'!$C$2:$C$653,B119,'02d_AI_Accelerator_Power'!$D$2:$D$653,C119,'02d_AI_Accelerator_Power'!$G$2:$G$653,"h200_reference")/I119,0.078841)</f>
        <v/>
      </c>
      <c r="E119" s="6">
        <f>IF(I119&gt;0,SUMIFS('02d_AI_Accelerator_Power'!$J$2:$J$653,'02d_AI_Accelerator_Power'!$B$2:$B$653,A119,'02d_AI_Accelerator_Power'!$C$2:$C$653,B119,'02d_AI_Accelerator_Power'!$D$2:$D$653,C119,'02d_AI_Accelerator_Power'!$G$2:$G$653,"b200_reference")/I119,0.120599)</f>
        <v/>
      </c>
      <c r="F119" s="6">
        <f>IF(I119&gt;0,SUMIFS('02d_AI_Accelerator_Power'!$J$2:$J$653,'02d_AI_Accelerator_Power'!$B$2:$B$653,A119,'02d_AI_Accelerator_Power'!$C$2:$C$653,B119,'02d_AI_Accelerator_Power'!$D$2:$D$653,C119,'02d_AI_Accelerator_Power'!$G$2:$G$653,"gb200_reference")/I119,0.0)</f>
        <v/>
      </c>
      <c r="G119" s="6">
        <f>IF(I119&gt;0,SUMIFS('02d_AI_Accelerator_Power'!$J$2:$J$653,'02d_AI_Accelerator_Power'!$B$2:$B$653,A119,'02d_AI_Accelerator_Power'!$C$2:$C$653,B119,'02d_AI_Accelerator_Power'!$D$2:$D$653,C119,'02d_AI_Accelerator_Power'!$G$2:$G$653,"purpose_or_unbenchmarked")/I119,0.80056)</f>
        <v/>
      </c>
      <c r="H119" s="6">
        <f>SUM(D119:G119)</f>
        <v/>
      </c>
      <c r="I119" s="28">
        <f>SUMIFS('02d_AI_Accelerator_Power'!$J$2:$J$653,'02d_AI_Accelerator_Power'!$B$2:$B$653,A119,'02d_AI_Accelerator_Power'!$C$2:$C$653,B119,'02d_AI_Accelerator_Power'!$D$2:$D$653,C119)</f>
        <v/>
      </c>
      <c r="J119" s="6">
        <f>IF(I119&gt;0,SUMIFS('02d_AI_Accelerator_Power'!$J$2:$J$653,'02d_AI_Accelerator_Power'!$B$2:$B$653,A119,'02d_AI_Accelerator_Power'!$C$2:$C$653,B119,'02d_AI_Accelerator_Power'!$D$2:$D$653,C119,'02d_AI_Accelerator_Power'!$F$2:$F$653,"R200/R300 future")/I119,0)</f>
        <v/>
      </c>
      <c r="K119" s="6">
        <f>IF(I119&gt;0,SUMIFS('02d_AI_Accelerator_Power'!$J$2:$J$653,'02d_AI_Accelerator_Power'!$B$2:$B$653,A119,'02d_AI_Accelerator_Power'!$C$2:$C$653,B119,'02d_AI_Accelerator_Power'!$D$2:$D$653,C119,'02d_AI_Accelerator_Power'!$F$2:$F$653,"TPU")/I119,0)</f>
        <v/>
      </c>
      <c r="L119" s="6">
        <f>IF(I119&gt;0,SUMIFS('02d_AI_Accelerator_Power'!$J$2:$J$653,'02d_AI_Accelerator_Power'!$B$2:$B$653,A119,'02d_AI_Accelerator_Power'!$C$2:$C$653,B119,'02d_AI_Accelerator_Power'!$D$2:$D$653,C119,'02d_AI_Accelerator_Power'!$F$2:$F$653,"Trainium")/I119,0)</f>
        <v/>
      </c>
      <c r="M119" s="6">
        <f>IF(I119&gt;0,SUMIFS('02d_AI_Accelerator_Power'!$J$2:$J$653,'02d_AI_Accelerator_Power'!$B$2:$B$653,A119,'02d_AI_Accelerator_Power'!$C$2:$C$653,B119,'02d_AI_Accelerator_Power'!$D$2:$D$653,C119,'02d_AI_Accelerator_Power'!$F$2:$F$653,"Maia")/I119,0)</f>
        <v/>
      </c>
      <c r="N119" s="6">
        <f>IF(I119&gt;0,SUMIFS('02d_AI_Accelerator_Power'!$J$2:$J$653,'02d_AI_Accelerator_Power'!$B$2:$B$653,A119,'02d_AI_Accelerator_Power'!$C$2:$C$653,B119,'02d_AI_Accelerator_Power'!$D$2:$D$653,C119,'02d_AI_Accelerator_Power'!$F$2:$F$653,"MTIA")/I119,0)</f>
        <v/>
      </c>
      <c r="O119" s="6">
        <f>IF(I119&gt;0,SUMIFS('02d_AI_Accelerator_Power'!$J$2:$J$653,'02d_AI_Accelerator_Power'!$B$2:$B$653,A119,'02d_AI_Accelerator_Power'!$C$2:$C$653,B119,'02d_AI_Accelerator_Power'!$D$2:$D$653,C119,'02d_AI_Accelerator_Power'!$F$2:$F$653,"Other / unknown accelerator")/I119,0)</f>
        <v/>
      </c>
      <c r="P119" s="3" t="inlineStr">
        <is>
          <t>CSP contract normalized: company inference MW * (CSP total MW * AI contract share * inference share) / company contract inference weight, then multiplied by CSP accelerator rows.</t>
        </is>
      </c>
      <c r="Q119" s="3" t="inlineStr">
        <is>
          <t>csp_contract_share_x_csp_accelerator_mix</t>
        </is>
      </c>
      <c r="R119" s="3" t="inlineStr">
        <is>
          <t>Edit 02a CSP contract allocation, 02b CSP accelerator mix, or 02x accelerator catalog; 03_Calculation reads D:G from this sheet.</t>
        </is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6">
        <f>IF(I120&gt;0,SUMIFS('02d_AI_Accelerator_Power'!$J$2:$J$653,'02d_AI_Accelerator_Power'!$B$2:$B$653,A120,'02d_AI_Accelerator_Power'!$C$2:$C$653,B120,'02d_AI_Accelerator_Power'!$D$2:$D$653,C120,'02d_AI_Accelerator_Power'!$G$2:$G$653,"h200_reference")/I120,0.078841)</f>
        <v/>
      </c>
      <c r="E120" s="6">
        <f>IF(I120&gt;0,SUMIFS('02d_AI_Accelerator_Power'!$J$2:$J$653,'02d_AI_Accelerator_Power'!$B$2:$B$653,A120,'02d_AI_Accelerator_Power'!$C$2:$C$653,B120,'02d_AI_Accelerator_Power'!$D$2:$D$653,C120,'02d_AI_Accelerator_Power'!$G$2:$G$653,"b200_reference")/I120,0.120599)</f>
        <v/>
      </c>
      <c r="F120" s="6">
        <f>IF(I120&gt;0,SUMIFS('02d_AI_Accelerator_Power'!$J$2:$J$653,'02d_AI_Accelerator_Power'!$B$2:$B$653,A120,'02d_AI_Accelerator_Power'!$C$2:$C$653,B120,'02d_AI_Accelerator_Power'!$D$2:$D$653,C120,'02d_AI_Accelerator_Power'!$G$2:$G$653,"gb200_reference")/I120,0.0)</f>
        <v/>
      </c>
      <c r="G120" s="6">
        <f>IF(I120&gt;0,SUMIFS('02d_AI_Accelerator_Power'!$J$2:$J$653,'02d_AI_Accelerator_Power'!$B$2:$B$653,A120,'02d_AI_Accelerator_Power'!$C$2:$C$653,B120,'02d_AI_Accelerator_Power'!$D$2:$D$653,C120,'02d_AI_Accelerator_Power'!$G$2:$G$653,"purpose_or_unbenchmarked")/I120,0.80056)</f>
        <v/>
      </c>
      <c r="H120" s="6">
        <f>SUM(D120:G120)</f>
        <v/>
      </c>
      <c r="I120" s="28">
        <f>SUMIFS('02d_AI_Accelerator_Power'!$J$2:$J$653,'02d_AI_Accelerator_Power'!$B$2:$B$653,A120,'02d_AI_Accelerator_Power'!$C$2:$C$653,B120,'02d_AI_Accelerator_Power'!$D$2:$D$653,C120)</f>
        <v/>
      </c>
      <c r="J120" s="6">
        <f>IF(I120&gt;0,SUMIFS('02d_AI_Accelerator_Power'!$J$2:$J$653,'02d_AI_Accelerator_Power'!$B$2:$B$653,A120,'02d_AI_Accelerator_Power'!$C$2:$C$653,B120,'02d_AI_Accelerator_Power'!$D$2:$D$653,C120,'02d_AI_Accelerator_Power'!$F$2:$F$653,"R200/R300 future")/I120,0)</f>
        <v/>
      </c>
      <c r="K120" s="6">
        <f>IF(I120&gt;0,SUMIFS('02d_AI_Accelerator_Power'!$J$2:$J$653,'02d_AI_Accelerator_Power'!$B$2:$B$653,A120,'02d_AI_Accelerator_Power'!$C$2:$C$653,B120,'02d_AI_Accelerator_Power'!$D$2:$D$653,C120,'02d_AI_Accelerator_Power'!$F$2:$F$653,"TPU")/I120,0)</f>
        <v/>
      </c>
      <c r="L120" s="6">
        <f>IF(I120&gt;0,SUMIFS('02d_AI_Accelerator_Power'!$J$2:$J$653,'02d_AI_Accelerator_Power'!$B$2:$B$653,A120,'02d_AI_Accelerator_Power'!$C$2:$C$653,B120,'02d_AI_Accelerator_Power'!$D$2:$D$653,C120,'02d_AI_Accelerator_Power'!$F$2:$F$653,"Trainium")/I120,0)</f>
        <v/>
      </c>
      <c r="M120" s="6">
        <f>IF(I120&gt;0,SUMIFS('02d_AI_Accelerator_Power'!$J$2:$J$653,'02d_AI_Accelerator_Power'!$B$2:$B$653,A120,'02d_AI_Accelerator_Power'!$C$2:$C$653,B120,'02d_AI_Accelerator_Power'!$D$2:$D$653,C120,'02d_AI_Accelerator_Power'!$F$2:$F$653,"Maia")/I120,0)</f>
        <v/>
      </c>
      <c r="N120" s="6">
        <f>IF(I120&gt;0,SUMIFS('02d_AI_Accelerator_Power'!$J$2:$J$653,'02d_AI_Accelerator_Power'!$B$2:$B$653,A120,'02d_AI_Accelerator_Power'!$C$2:$C$653,B120,'02d_AI_Accelerator_Power'!$D$2:$D$653,C120,'02d_AI_Accelerator_Power'!$F$2:$F$653,"MTIA")/I120,0)</f>
        <v/>
      </c>
      <c r="O120" s="6">
        <f>IF(I120&gt;0,SUMIFS('02d_AI_Accelerator_Power'!$J$2:$J$653,'02d_AI_Accelerator_Power'!$B$2:$B$653,A120,'02d_AI_Accelerator_Power'!$C$2:$C$653,B120,'02d_AI_Accelerator_Power'!$D$2:$D$653,C120,'02d_AI_Accelerator_Power'!$F$2:$F$653,"Other / unknown accelerator")/I120,0)</f>
        <v/>
      </c>
      <c r="P120" s="3" t="inlineStr">
        <is>
          <t>CSP contract normalized: company inference MW * (CSP total MW * AI contract share * inference share) / company contract inference weight, then multiplied by CSP accelerator rows.</t>
        </is>
      </c>
      <c r="Q120" s="3" t="inlineStr">
        <is>
          <t>csp_contract_share_x_csp_accelerator_mix</t>
        </is>
      </c>
      <c r="R120" s="3" t="inlineStr">
        <is>
          <t>Edit 02a CSP contract allocation, 02b CSP accelerator mix, or 02x accelerator catalog; 03_Calculation reads D:G from this sheet.</t>
        </is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6">
        <f>IF(I121&gt;0,SUMIFS('02d_AI_Accelerator_Power'!$J$2:$J$653,'02d_AI_Accelerator_Power'!$B$2:$B$653,A121,'02d_AI_Accelerator_Power'!$C$2:$C$653,B121,'02d_AI_Accelerator_Power'!$D$2:$D$653,C121,'02d_AI_Accelerator_Power'!$G$2:$G$653,"h200_reference")/I121,0.078841)</f>
        <v/>
      </c>
      <c r="E121" s="6">
        <f>IF(I121&gt;0,SUMIFS('02d_AI_Accelerator_Power'!$J$2:$J$653,'02d_AI_Accelerator_Power'!$B$2:$B$653,A121,'02d_AI_Accelerator_Power'!$C$2:$C$653,B121,'02d_AI_Accelerator_Power'!$D$2:$D$653,C121,'02d_AI_Accelerator_Power'!$G$2:$G$653,"b200_reference")/I121,0.120599)</f>
        <v/>
      </c>
      <c r="F121" s="6">
        <f>IF(I121&gt;0,SUMIFS('02d_AI_Accelerator_Power'!$J$2:$J$653,'02d_AI_Accelerator_Power'!$B$2:$B$653,A121,'02d_AI_Accelerator_Power'!$C$2:$C$653,B121,'02d_AI_Accelerator_Power'!$D$2:$D$653,C121,'02d_AI_Accelerator_Power'!$G$2:$G$653,"gb200_reference")/I121,0.0)</f>
        <v/>
      </c>
      <c r="G121" s="6">
        <f>IF(I121&gt;0,SUMIFS('02d_AI_Accelerator_Power'!$J$2:$J$653,'02d_AI_Accelerator_Power'!$B$2:$B$653,A121,'02d_AI_Accelerator_Power'!$C$2:$C$653,B121,'02d_AI_Accelerator_Power'!$D$2:$D$653,C121,'02d_AI_Accelerator_Power'!$G$2:$G$653,"purpose_or_unbenchmarked")/I121,0.80056)</f>
        <v/>
      </c>
      <c r="H121" s="6">
        <f>SUM(D121:G121)</f>
        <v/>
      </c>
      <c r="I121" s="28">
        <f>SUMIFS('02d_AI_Accelerator_Power'!$J$2:$J$653,'02d_AI_Accelerator_Power'!$B$2:$B$653,A121,'02d_AI_Accelerator_Power'!$C$2:$C$653,B121,'02d_AI_Accelerator_Power'!$D$2:$D$653,C121)</f>
        <v/>
      </c>
      <c r="J121" s="6">
        <f>IF(I121&gt;0,SUMIFS('02d_AI_Accelerator_Power'!$J$2:$J$653,'02d_AI_Accelerator_Power'!$B$2:$B$653,A121,'02d_AI_Accelerator_Power'!$C$2:$C$653,B121,'02d_AI_Accelerator_Power'!$D$2:$D$653,C121,'02d_AI_Accelerator_Power'!$F$2:$F$653,"R200/R300 future")/I121,0)</f>
        <v/>
      </c>
      <c r="K121" s="6">
        <f>IF(I121&gt;0,SUMIFS('02d_AI_Accelerator_Power'!$J$2:$J$653,'02d_AI_Accelerator_Power'!$B$2:$B$653,A121,'02d_AI_Accelerator_Power'!$C$2:$C$653,B121,'02d_AI_Accelerator_Power'!$D$2:$D$653,C121,'02d_AI_Accelerator_Power'!$F$2:$F$653,"TPU")/I121,0)</f>
        <v/>
      </c>
      <c r="L121" s="6">
        <f>IF(I121&gt;0,SUMIFS('02d_AI_Accelerator_Power'!$J$2:$J$653,'02d_AI_Accelerator_Power'!$B$2:$B$653,A121,'02d_AI_Accelerator_Power'!$C$2:$C$653,B121,'02d_AI_Accelerator_Power'!$D$2:$D$653,C121,'02d_AI_Accelerator_Power'!$F$2:$F$653,"Trainium")/I121,0)</f>
        <v/>
      </c>
      <c r="M121" s="6">
        <f>IF(I121&gt;0,SUMIFS('02d_AI_Accelerator_Power'!$J$2:$J$653,'02d_AI_Accelerator_Power'!$B$2:$B$653,A121,'02d_AI_Accelerator_Power'!$C$2:$C$653,B121,'02d_AI_Accelerator_Power'!$D$2:$D$653,C121,'02d_AI_Accelerator_Power'!$F$2:$F$653,"Maia")/I121,0)</f>
        <v/>
      </c>
      <c r="N121" s="6">
        <f>IF(I121&gt;0,SUMIFS('02d_AI_Accelerator_Power'!$J$2:$J$653,'02d_AI_Accelerator_Power'!$B$2:$B$653,A121,'02d_AI_Accelerator_Power'!$C$2:$C$653,B121,'02d_AI_Accelerator_Power'!$D$2:$D$653,C121,'02d_AI_Accelerator_Power'!$F$2:$F$653,"MTIA")/I121,0)</f>
        <v/>
      </c>
      <c r="O121" s="6">
        <f>IF(I121&gt;0,SUMIFS('02d_AI_Accelerator_Power'!$J$2:$J$653,'02d_AI_Accelerator_Power'!$B$2:$B$653,A121,'02d_AI_Accelerator_Power'!$C$2:$C$653,B121,'02d_AI_Accelerator_Power'!$D$2:$D$653,C121,'02d_AI_Accelerator_Power'!$F$2:$F$653,"Other / unknown accelerator")/I121,0)</f>
        <v/>
      </c>
      <c r="P121" s="3" t="inlineStr">
        <is>
          <t>CSP contract normalized: company inference MW * (CSP total MW * AI contract share * inference share) / company contract inference weight, then multiplied by CSP accelerator rows.</t>
        </is>
      </c>
      <c r="Q121" s="3" t="inlineStr">
        <is>
          <t>csp_contract_share_x_csp_accelerator_mix</t>
        </is>
      </c>
      <c r="R121" s="3" t="inlineStr">
        <is>
          <t>Edit 02a CSP contract allocation, 02b CSP accelerator mix, or 02x accelerator catalog; 03_Calculation reads D:G from this sheet.</t>
        </is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6">
        <f>IF(I122&gt;0,SUMIFS('02d_AI_Accelerator_Power'!$J$2:$J$653,'02d_AI_Accelerator_Power'!$B$2:$B$653,A122,'02d_AI_Accelerator_Power'!$C$2:$C$653,B122,'02d_AI_Accelerator_Power'!$D$2:$D$653,C122,'02d_AI_Accelerator_Power'!$G$2:$G$653,"h200_reference")/I122,0.55)</f>
        <v/>
      </c>
      <c r="E122" s="6">
        <f>IF(I122&gt;0,SUMIFS('02d_AI_Accelerator_Power'!$J$2:$J$653,'02d_AI_Accelerator_Power'!$B$2:$B$653,A122,'02d_AI_Accelerator_Power'!$C$2:$C$653,B122,'02d_AI_Accelerator_Power'!$D$2:$D$653,C122,'02d_AI_Accelerator_Power'!$G$2:$G$653,"b200_reference")/I122,0.4)</f>
        <v/>
      </c>
      <c r="F122" s="6">
        <f>IF(I122&gt;0,SUMIFS('02d_AI_Accelerator_Power'!$J$2:$J$653,'02d_AI_Accelerator_Power'!$B$2:$B$653,A122,'02d_AI_Accelerator_Power'!$C$2:$C$653,B122,'02d_AI_Accelerator_Power'!$D$2:$D$653,C122,'02d_AI_Accelerator_Power'!$G$2:$G$653,"gb200_reference")/I122,0.05)</f>
        <v/>
      </c>
      <c r="G122" s="6">
        <f>IF(I122&gt;0,SUMIFS('02d_AI_Accelerator_Power'!$J$2:$J$653,'02d_AI_Accelerator_Power'!$B$2:$B$653,A122,'02d_AI_Accelerator_Power'!$C$2:$C$653,B122,'02d_AI_Accelerator_Power'!$D$2:$D$653,C122,'02d_AI_Accelerator_Power'!$G$2:$G$653,"purpose_or_unbenchmarked")/I122,0.0)</f>
        <v/>
      </c>
      <c r="H122" s="6">
        <f>SUM(D122:G122)</f>
        <v/>
      </c>
      <c r="I122" s="28">
        <f>SUMIFS('02d_AI_Accelerator_Power'!$J$2:$J$653,'02d_AI_Accelerator_Power'!$B$2:$B$653,A122,'02d_AI_Accelerator_Power'!$C$2:$C$653,B122,'02d_AI_Accelerator_Power'!$D$2:$D$653,C122)</f>
        <v/>
      </c>
      <c r="J122" s="6">
        <f>IF(I122&gt;0,SUMIFS('02d_AI_Accelerator_Power'!$J$2:$J$653,'02d_AI_Accelerator_Power'!$B$2:$B$653,A122,'02d_AI_Accelerator_Power'!$C$2:$C$653,B122,'02d_AI_Accelerator_Power'!$D$2:$D$653,C122,'02d_AI_Accelerator_Power'!$F$2:$F$653,"R200/R300 future")/I122,0)</f>
        <v/>
      </c>
      <c r="K122" s="6">
        <f>IF(I122&gt;0,SUMIFS('02d_AI_Accelerator_Power'!$J$2:$J$653,'02d_AI_Accelerator_Power'!$B$2:$B$653,A122,'02d_AI_Accelerator_Power'!$C$2:$C$653,B122,'02d_AI_Accelerator_Power'!$D$2:$D$653,C122,'02d_AI_Accelerator_Power'!$F$2:$F$653,"TPU")/I122,0)</f>
        <v/>
      </c>
      <c r="L122" s="6">
        <f>IF(I122&gt;0,SUMIFS('02d_AI_Accelerator_Power'!$J$2:$J$653,'02d_AI_Accelerator_Power'!$B$2:$B$653,A122,'02d_AI_Accelerator_Power'!$C$2:$C$653,B122,'02d_AI_Accelerator_Power'!$D$2:$D$653,C122,'02d_AI_Accelerator_Power'!$F$2:$F$653,"Trainium")/I122,0)</f>
        <v/>
      </c>
      <c r="M122" s="6">
        <f>IF(I122&gt;0,SUMIFS('02d_AI_Accelerator_Power'!$J$2:$J$653,'02d_AI_Accelerator_Power'!$B$2:$B$653,A122,'02d_AI_Accelerator_Power'!$C$2:$C$653,B122,'02d_AI_Accelerator_Power'!$D$2:$D$653,C122,'02d_AI_Accelerator_Power'!$F$2:$F$653,"Maia")/I122,0)</f>
        <v/>
      </c>
      <c r="N122" s="6">
        <f>IF(I122&gt;0,SUMIFS('02d_AI_Accelerator_Power'!$J$2:$J$653,'02d_AI_Accelerator_Power'!$B$2:$B$653,A122,'02d_AI_Accelerator_Power'!$C$2:$C$653,B122,'02d_AI_Accelerator_Power'!$D$2:$D$653,C122,'02d_AI_Accelerator_Power'!$F$2:$F$653,"MTIA")/I122,0)</f>
        <v/>
      </c>
      <c r="O122" s="6">
        <f>IF(I122&gt;0,SUMIFS('02d_AI_Accelerator_Power'!$J$2:$J$653,'02d_AI_Accelerator_Power'!$B$2:$B$653,A122,'02d_AI_Accelerator_Power'!$C$2:$C$653,B122,'02d_AI_Accelerator_Power'!$D$2:$D$653,C122,'02d_AI_Accelerator_Power'!$F$2:$F$653,"Other / unknown accelerator")/I122,0)</f>
        <v/>
      </c>
      <c r="P122" s="3" t="inlineStr">
        <is>
          <t>CSP contract normalized: company inference MW * (CSP total MW * AI contract share * inference share) / company contract inference weight, then multiplied by CSP accelerator rows.</t>
        </is>
      </c>
      <c r="Q122" s="3" t="inlineStr">
        <is>
          <t>csp_contract_share_x_csp_accelerator_mix</t>
        </is>
      </c>
      <c r="R122" s="3" t="inlineStr">
        <is>
          <t>Edit 02a CSP contract allocation, 02b CSP accelerator mix, or 02x accelerator catalog; 03_Calculation reads D:G from this sheet.</t>
        </is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6">
        <f>IF(I123&gt;0,SUMIFS('02d_AI_Accelerator_Power'!$J$2:$J$653,'02d_AI_Accelerator_Power'!$B$2:$B$653,A123,'02d_AI_Accelerator_Power'!$C$2:$C$653,B123,'02d_AI_Accelerator_Power'!$D$2:$D$653,C123,'02d_AI_Accelerator_Power'!$G$2:$G$653,"h200_reference")/I123,0.438)</f>
        <v/>
      </c>
      <c r="E123" s="6">
        <f>IF(I123&gt;0,SUMIFS('02d_AI_Accelerator_Power'!$J$2:$J$653,'02d_AI_Accelerator_Power'!$B$2:$B$653,A123,'02d_AI_Accelerator_Power'!$C$2:$C$653,B123,'02d_AI_Accelerator_Power'!$D$2:$D$653,C123,'02d_AI_Accelerator_Power'!$G$2:$G$653,"b200_reference")/I123,0.388)</f>
        <v/>
      </c>
      <c r="F123" s="6">
        <f>IF(I123&gt;0,SUMIFS('02d_AI_Accelerator_Power'!$J$2:$J$653,'02d_AI_Accelerator_Power'!$B$2:$B$653,A123,'02d_AI_Accelerator_Power'!$C$2:$C$653,B123,'02d_AI_Accelerator_Power'!$D$2:$D$653,C123,'02d_AI_Accelerator_Power'!$G$2:$G$653,"gb200_reference")/I123,0.174)</f>
        <v/>
      </c>
      <c r="G123" s="6">
        <f>IF(I123&gt;0,SUMIFS('02d_AI_Accelerator_Power'!$J$2:$J$653,'02d_AI_Accelerator_Power'!$B$2:$B$653,A123,'02d_AI_Accelerator_Power'!$C$2:$C$653,B123,'02d_AI_Accelerator_Power'!$D$2:$D$653,C123,'02d_AI_Accelerator_Power'!$G$2:$G$653,"purpose_or_unbenchmarked")/I123,0.0)</f>
        <v/>
      </c>
      <c r="H123" s="6">
        <f>SUM(D123:G123)</f>
        <v/>
      </c>
      <c r="I123" s="28">
        <f>SUMIFS('02d_AI_Accelerator_Power'!$J$2:$J$653,'02d_AI_Accelerator_Power'!$B$2:$B$653,A123,'02d_AI_Accelerator_Power'!$C$2:$C$653,B123,'02d_AI_Accelerator_Power'!$D$2:$D$653,C123)</f>
        <v/>
      </c>
      <c r="J123" s="6">
        <f>IF(I123&gt;0,SUMIFS('02d_AI_Accelerator_Power'!$J$2:$J$653,'02d_AI_Accelerator_Power'!$B$2:$B$653,A123,'02d_AI_Accelerator_Power'!$C$2:$C$653,B123,'02d_AI_Accelerator_Power'!$D$2:$D$653,C123,'02d_AI_Accelerator_Power'!$F$2:$F$653,"R200/R300 future")/I123,0)</f>
        <v/>
      </c>
      <c r="K123" s="6">
        <f>IF(I123&gt;0,SUMIFS('02d_AI_Accelerator_Power'!$J$2:$J$653,'02d_AI_Accelerator_Power'!$B$2:$B$653,A123,'02d_AI_Accelerator_Power'!$C$2:$C$653,B123,'02d_AI_Accelerator_Power'!$D$2:$D$653,C123,'02d_AI_Accelerator_Power'!$F$2:$F$653,"TPU")/I123,0)</f>
        <v/>
      </c>
      <c r="L123" s="6">
        <f>IF(I123&gt;0,SUMIFS('02d_AI_Accelerator_Power'!$J$2:$J$653,'02d_AI_Accelerator_Power'!$B$2:$B$653,A123,'02d_AI_Accelerator_Power'!$C$2:$C$653,B123,'02d_AI_Accelerator_Power'!$D$2:$D$653,C123,'02d_AI_Accelerator_Power'!$F$2:$F$653,"Trainium")/I123,0)</f>
        <v/>
      </c>
      <c r="M123" s="6">
        <f>IF(I123&gt;0,SUMIFS('02d_AI_Accelerator_Power'!$J$2:$J$653,'02d_AI_Accelerator_Power'!$B$2:$B$653,A123,'02d_AI_Accelerator_Power'!$C$2:$C$653,B123,'02d_AI_Accelerator_Power'!$D$2:$D$653,C123,'02d_AI_Accelerator_Power'!$F$2:$F$653,"Maia")/I123,0)</f>
        <v/>
      </c>
      <c r="N123" s="6">
        <f>IF(I123&gt;0,SUMIFS('02d_AI_Accelerator_Power'!$J$2:$J$653,'02d_AI_Accelerator_Power'!$B$2:$B$653,A123,'02d_AI_Accelerator_Power'!$C$2:$C$653,B123,'02d_AI_Accelerator_Power'!$D$2:$D$653,C123,'02d_AI_Accelerator_Power'!$F$2:$F$653,"MTIA")/I123,0)</f>
        <v/>
      </c>
      <c r="O123" s="6">
        <f>IF(I123&gt;0,SUMIFS('02d_AI_Accelerator_Power'!$J$2:$J$653,'02d_AI_Accelerator_Power'!$B$2:$B$653,A123,'02d_AI_Accelerator_Power'!$C$2:$C$653,B123,'02d_AI_Accelerator_Power'!$D$2:$D$653,C123,'02d_AI_Accelerator_Power'!$F$2:$F$653,"Other / unknown accelerator")/I123,0)</f>
        <v/>
      </c>
      <c r="P123" s="3" t="inlineStr">
        <is>
          <t>CSP contract normalized: company inference MW * (CSP total MW * AI contract share * inference share) / company contract inference weight, then multiplied by CSP accelerator rows.</t>
        </is>
      </c>
      <c r="Q123" s="3" t="inlineStr">
        <is>
          <t>csp_contract_share_x_csp_accelerator_mix</t>
        </is>
      </c>
      <c r="R123" s="3" t="inlineStr">
        <is>
          <t>Edit 02a CSP contract allocation, 02b CSP accelerator mix, or 02x accelerator catalog; 03_Calculation reads D:G from this sheet.</t>
        </is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6">
        <f>IF(I124&gt;0,SUMIFS('02d_AI_Accelerator_Power'!$J$2:$J$653,'02d_AI_Accelerator_Power'!$B$2:$B$653,A124,'02d_AI_Accelerator_Power'!$C$2:$C$653,B124,'02d_AI_Accelerator_Power'!$D$2:$D$653,C124,'02d_AI_Accelerator_Power'!$G$2:$G$653,"h200_reference")/I124,0.325)</f>
        <v/>
      </c>
      <c r="E124" s="6">
        <f>IF(I124&gt;0,SUMIFS('02d_AI_Accelerator_Power'!$J$2:$J$653,'02d_AI_Accelerator_Power'!$B$2:$B$653,A124,'02d_AI_Accelerator_Power'!$C$2:$C$653,B124,'02d_AI_Accelerator_Power'!$D$2:$D$653,C124,'02d_AI_Accelerator_Power'!$G$2:$G$653,"b200_reference")/I124,0.375)</f>
        <v/>
      </c>
      <c r="F124" s="6">
        <f>IF(I124&gt;0,SUMIFS('02d_AI_Accelerator_Power'!$J$2:$J$653,'02d_AI_Accelerator_Power'!$B$2:$B$653,A124,'02d_AI_Accelerator_Power'!$C$2:$C$653,B124,'02d_AI_Accelerator_Power'!$D$2:$D$653,C124,'02d_AI_Accelerator_Power'!$G$2:$G$653,"gb200_reference")/I124,0.3)</f>
        <v/>
      </c>
      <c r="G124" s="6">
        <f>IF(I124&gt;0,SUMIFS('02d_AI_Accelerator_Power'!$J$2:$J$653,'02d_AI_Accelerator_Power'!$B$2:$B$653,A124,'02d_AI_Accelerator_Power'!$C$2:$C$653,B124,'02d_AI_Accelerator_Power'!$D$2:$D$653,C124,'02d_AI_Accelerator_Power'!$G$2:$G$653,"purpose_or_unbenchmarked")/I124,0.0)</f>
        <v/>
      </c>
      <c r="H124" s="6">
        <f>SUM(D124:G124)</f>
        <v/>
      </c>
      <c r="I124" s="28">
        <f>SUMIFS('02d_AI_Accelerator_Power'!$J$2:$J$653,'02d_AI_Accelerator_Power'!$B$2:$B$653,A124,'02d_AI_Accelerator_Power'!$C$2:$C$653,B124,'02d_AI_Accelerator_Power'!$D$2:$D$653,C124)</f>
        <v/>
      </c>
      <c r="J124" s="6">
        <f>IF(I124&gt;0,SUMIFS('02d_AI_Accelerator_Power'!$J$2:$J$653,'02d_AI_Accelerator_Power'!$B$2:$B$653,A124,'02d_AI_Accelerator_Power'!$C$2:$C$653,B124,'02d_AI_Accelerator_Power'!$D$2:$D$653,C124,'02d_AI_Accelerator_Power'!$F$2:$F$653,"R200/R300 future")/I124,0)</f>
        <v/>
      </c>
      <c r="K124" s="6">
        <f>IF(I124&gt;0,SUMIFS('02d_AI_Accelerator_Power'!$J$2:$J$653,'02d_AI_Accelerator_Power'!$B$2:$B$653,A124,'02d_AI_Accelerator_Power'!$C$2:$C$653,B124,'02d_AI_Accelerator_Power'!$D$2:$D$653,C124,'02d_AI_Accelerator_Power'!$F$2:$F$653,"TPU")/I124,0)</f>
        <v/>
      </c>
      <c r="L124" s="6">
        <f>IF(I124&gt;0,SUMIFS('02d_AI_Accelerator_Power'!$J$2:$J$653,'02d_AI_Accelerator_Power'!$B$2:$B$653,A124,'02d_AI_Accelerator_Power'!$C$2:$C$653,B124,'02d_AI_Accelerator_Power'!$D$2:$D$653,C124,'02d_AI_Accelerator_Power'!$F$2:$F$653,"Trainium")/I124,0)</f>
        <v/>
      </c>
      <c r="M124" s="6">
        <f>IF(I124&gt;0,SUMIFS('02d_AI_Accelerator_Power'!$J$2:$J$653,'02d_AI_Accelerator_Power'!$B$2:$B$653,A124,'02d_AI_Accelerator_Power'!$C$2:$C$653,B124,'02d_AI_Accelerator_Power'!$D$2:$D$653,C124,'02d_AI_Accelerator_Power'!$F$2:$F$653,"Maia")/I124,0)</f>
        <v/>
      </c>
      <c r="N124" s="6">
        <f>IF(I124&gt;0,SUMIFS('02d_AI_Accelerator_Power'!$J$2:$J$653,'02d_AI_Accelerator_Power'!$B$2:$B$653,A124,'02d_AI_Accelerator_Power'!$C$2:$C$653,B124,'02d_AI_Accelerator_Power'!$D$2:$D$653,C124,'02d_AI_Accelerator_Power'!$F$2:$F$653,"MTIA")/I124,0)</f>
        <v/>
      </c>
      <c r="O124" s="6">
        <f>IF(I124&gt;0,SUMIFS('02d_AI_Accelerator_Power'!$J$2:$J$653,'02d_AI_Accelerator_Power'!$B$2:$B$653,A124,'02d_AI_Accelerator_Power'!$C$2:$C$653,B124,'02d_AI_Accelerator_Power'!$D$2:$D$653,C124,'02d_AI_Accelerator_Power'!$F$2:$F$653,"Other / unknown accelerator")/I124,0)</f>
        <v/>
      </c>
      <c r="P124" s="3" t="inlineStr">
        <is>
          <t>CSP contract normalized: company inference MW * (CSP total MW * AI contract share * inference share) / company contract inference weight, then multiplied by CSP accelerator rows.</t>
        </is>
      </c>
      <c r="Q124" s="3" t="inlineStr">
        <is>
          <t>csp_contract_share_x_csp_accelerator_mix</t>
        </is>
      </c>
      <c r="R124" s="3" t="inlineStr">
        <is>
          <t>Edit 02a CSP contract allocation, 02b CSP accelerator mix, or 02x accelerator catalog; 03_Calculation reads D:G from this sheet.</t>
        </is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6">
        <f>IF(I125&gt;0,SUMIFS('02d_AI_Accelerator_Power'!$J$2:$J$653,'02d_AI_Accelerator_Power'!$B$2:$B$653,A125,'02d_AI_Accelerator_Power'!$C$2:$C$653,B125,'02d_AI_Accelerator_Power'!$D$2:$D$653,C125,'02d_AI_Accelerator_Power'!$G$2:$G$653,"h200_reference")/I125,0.213)</f>
        <v/>
      </c>
      <c r="E125" s="6">
        <f>IF(I125&gt;0,SUMIFS('02d_AI_Accelerator_Power'!$J$2:$J$653,'02d_AI_Accelerator_Power'!$B$2:$B$653,A125,'02d_AI_Accelerator_Power'!$C$2:$C$653,B125,'02d_AI_Accelerator_Power'!$D$2:$D$653,C125,'02d_AI_Accelerator_Power'!$G$2:$G$653,"b200_reference")/I125,0.362)</f>
        <v/>
      </c>
      <c r="F125" s="6">
        <f>IF(I125&gt;0,SUMIFS('02d_AI_Accelerator_Power'!$J$2:$J$653,'02d_AI_Accelerator_Power'!$B$2:$B$653,A125,'02d_AI_Accelerator_Power'!$C$2:$C$653,B125,'02d_AI_Accelerator_Power'!$D$2:$D$653,C125,'02d_AI_Accelerator_Power'!$G$2:$G$653,"gb200_reference")/I125,0.425)</f>
        <v/>
      </c>
      <c r="G125" s="6">
        <f>IF(I125&gt;0,SUMIFS('02d_AI_Accelerator_Power'!$J$2:$J$653,'02d_AI_Accelerator_Power'!$B$2:$B$653,A125,'02d_AI_Accelerator_Power'!$C$2:$C$653,B125,'02d_AI_Accelerator_Power'!$D$2:$D$653,C125,'02d_AI_Accelerator_Power'!$G$2:$G$653,"purpose_or_unbenchmarked")/I125,0.0)</f>
        <v/>
      </c>
      <c r="H125" s="6">
        <f>SUM(D125:G125)</f>
        <v/>
      </c>
      <c r="I125" s="28">
        <f>SUMIFS('02d_AI_Accelerator_Power'!$J$2:$J$653,'02d_AI_Accelerator_Power'!$B$2:$B$653,A125,'02d_AI_Accelerator_Power'!$C$2:$C$653,B125,'02d_AI_Accelerator_Power'!$D$2:$D$653,C125)</f>
        <v/>
      </c>
      <c r="J125" s="6">
        <f>IF(I125&gt;0,SUMIFS('02d_AI_Accelerator_Power'!$J$2:$J$653,'02d_AI_Accelerator_Power'!$B$2:$B$653,A125,'02d_AI_Accelerator_Power'!$C$2:$C$653,B125,'02d_AI_Accelerator_Power'!$D$2:$D$653,C125,'02d_AI_Accelerator_Power'!$F$2:$F$653,"R200/R300 future")/I125,0)</f>
        <v/>
      </c>
      <c r="K125" s="6">
        <f>IF(I125&gt;0,SUMIFS('02d_AI_Accelerator_Power'!$J$2:$J$653,'02d_AI_Accelerator_Power'!$B$2:$B$653,A125,'02d_AI_Accelerator_Power'!$C$2:$C$653,B125,'02d_AI_Accelerator_Power'!$D$2:$D$653,C125,'02d_AI_Accelerator_Power'!$F$2:$F$653,"TPU")/I125,0)</f>
        <v/>
      </c>
      <c r="L125" s="6">
        <f>IF(I125&gt;0,SUMIFS('02d_AI_Accelerator_Power'!$J$2:$J$653,'02d_AI_Accelerator_Power'!$B$2:$B$653,A125,'02d_AI_Accelerator_Power'!$C$2:$C$653,B125,'02d_AI_Accelerator_Power'!$D$2:$D$653,C125,'02d_AI_Accelerator_Power'!$F$2:$F$653,"Trainium")/I125,0)</f>
        <v/>
      </c>
      <c r="M125" s="6">
        <f>IF(I125&gt;0,SUMIFS('02d_AI_Accelerator_Power'!$J$2:$J$653,'02d_AI_Accelerator_Power'!$B$2:$B$653,A125,'02d_AI_Accelerator_Power'!$C$2:$C$653,B125,'02d_AI_Accelerator_Power'!$D$2:$D$653,C125,'02d_AI_Accelerator_Power'!$F$2:$F$653,"Maia")/I125,0)</f>
        <v/>
      </c>
      <c r="N125" s="6">
        <f>IF(I125&gt;0,SUMIFS('02d_AI_Accelerator_Power'!$J$2:$J$653,'02d_AI_Accelerator_Power'!$B$2:$B$653,A125,'02d_AI_Accelerator_Power'!$C$2:$C$653,B125,'02d_AI_Accelerator_Power'!$D$2:$D$653,C125,'02d_AI_Accelerator_Power'!$F$2:$F$653,"MTIA")/I125,0)</f>
        <v/>
      </c>
      <c r="O125" s="6">
        <f>IF(I125&gt;0,SUMIFS('02d_AI_Accelerator_Power'!$J$2:$J$653,'02d_AI_Accelerator_Power'!$B$2:$B$653,A125,'02d_AI_Accelerator_Power'!$C$2:$C$653,B125,'02d_AI_Accelerator_Power'!$D$2:$D$653,C125,'02d_AI_Accelerator_Power'!$F$2:$F$653,"Other / unknown accelerator")/I125,0)</f>
        <v/>
      </c>
      <c r="P125" s="3" t="inlineStr">
        <is>
          <t>CSP contract normalized: company inference MW * (CSP total MW * AI contract share * inference share) / company contract inference weight, then multiplied by CSP accelerator rows.</t>
        </is>
      </c>
      <c r="Q125" s="3" t="inlineStr">
        <is>
          <t>csp_contract_share_x_csp_accelerator_mix</t>
        </is>
      </c>
      <c r="R125" s="3" t="inlineStr">
        <is>
          <t>Edit 02a CSP contract allocation, 02b CSP accelerator mix, or 02x accelerator catalog; 03_Calculation reads D:G from this sheet.</t>
        </is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6">
        <f>IF(I126&gt;0,SUMIFS('02d_AI_Accelerator_Power'!$J$2:$J$653,'02d_AI_Accelerator_Power'!$B$2:$B$653,A126,'02d_AI_Accelerator_Power'!$C$2:$C$653,B126,'02d_AI_Accelerator_Power'!$D$2:$D$653,C126,'02d_AI_Accelerator_Power'!$G$2:$G$653,"h200_reference")/I126,0.1)</f>
        <v/>
      </c>
      <c r="E126" s="6">
        <f>IF(I126&gt;0,SUMIFS('02d_AI_Accelerator_Power'!$J$2:$J$653,'02d_AI_Accelerator_Power'!$B$2:$B$653,A126,'02d_AI_Accelerator_Power'!$C$2:$C$653,B126,'02d_AI_Accelerator_Power'!$D$2:$D$653,C126,'02d_AI_Accelerator_Power'!$G$2:$G$653,"b200_reference")/I126,0.35)</f>
        <v/>
      </c>
      <c r="F126" s="6">
        <f>IF(I126&gt;0,SUMIFS('02d_AI_Accelerator_Power'!$J$2:$J$653,'02d_AI_Accelerator_Power'!$B$2:$B$653,A126,'02d_AI_Accelerator_Power'!$C$2:$C$653,B126,'02d_AI_Accelerator_Power'!$D$2:$D$653,C126,'02d_AI_Accelerator_Power'!$G$2:$G$653,"gb200_reference")/I126,0.55)</f>
        <v/>
      </c>
      <c r="G126" s="6">
        <f>IF(I126&gt;0,SUMIFS('02d_AI_Accelerator_Power'!$J$2:$J$653,'02d_AI_Accelerator_Power'!$B$2:$B$653,A126,'02d_AI_Accelerator_Power'!$C$2:$C$653,B126,'02d_AI_Accelerator_Power'!$D$2:$D$653,C126,'02d_AI_Accelerator_Power'!$G$2:$G$653,"purpose_or_unbenchmarked")/I126,0.0)</f>
        <v/>
      </c>
      <c r="H126" s="6">
        <f>SUM(D126:G126)</f>
        <v/>
      </c>
      <c r="I126" s="28">
        <f>SUMIFS('02d_AI_Accelerator_Power'!$J$2:$J$653,'02d_AI_Accelerator_Power'!$B$2:$B$653,A126,'02d_AI_Accelerator_Power'!$C$2:$C$653,B126,'02d_AI_Accelerator_Power'!$D$2:$D$653,C126)</f>
        <v/>
      </c>
      <c r="J126" s="6">
        <f>IF(I126&gt;0,SUMIFS('02d_AI_Accelerator_Power'!$J$2:$J$653,'02d_AI_Accelerator_Power'!$B$2:$B$653,A126,'02d_AI_Accelerator_Power'!$C$2:$C$653,B126,'02d_AI_Accelerator_Power'!$D$2:$D$653,C126,'02d_AI_Accelerator_Power'!$F$2:$F$653,"R200/R300 future")/I126,0)</f>
        <v/>
      </c>
      <c r="K126" s="6">
        <f>IF(I126&gt;0,SUMIFS('02d_AI_Accelerator_Power'!$J$2:$J$653,'02d_AI_Accelerator_Power'!$B$2:$B$653,A126,'02d_AI_Accelerator_Power'!$C$2:$C$653,B126,'02d_AI_Accelerator_Power'!$D$2:$D$653,C126,'02d_AI_Accelerator_Power'!$F$2:$F$653,"TPU")/I126,0)</f>
        <v/>
      </c>
      <c r="L126" s="6">
        <f>IF(I126&gt;0,SUMIFS('02d_AI_Accelerator_Power'!$J$2:$J$653,'02d_AI_Accelerator_Power'!$B$2:$B$653,A126,'02d_AI_Accelerator_Power'!$C$2:$C$653,B126,'02d_AI_Accelerator_Power'!$D$2:$D$653,C126,'02d_AI_Accelerator_Power'!$F$2:$F$653,"Trainium")/I126,0)</f>
        <v/>
      </c>
      <c r="M126" s="6">
        <f>IF(I126&gt;0,SUMIFS('02d_AI_Accelerator_Power'!$J$2:$J$653,'02d_AI_Accelerator_Power'!$B$2:$B$653,A126,'02d_AI_Accelerator_Power'!$C$2:$C$653,B126,'02d_AI_Accelerator_Power'!$D$2:$D$653,C126,'02d_AI_Accelerator_Power'!$F$2:$F$653,"Maia")/I126,0)</f>
        <v/>
      </c>
      <c r="N126" s="6">
        <f>IF(I126&gt;0,SUMIFS('02d_AI_Accelerator_Power'!$J$2:$J$653,'02d_AI_Accelerator_Power'!$B$2:$B$653,A126,'02d_AI_Accelerator_Power'!$C$2:$C$653,B126,'02d_AI_Accelerator_Power'!$D$2:$D$653,C126,'02d_AI_Accelerator_Power'!$F$2:$F$653,"MTIA")/I126,0)</f>
        <v/>
      </c>
      <c r="O126" s="6">
        <f>IF(I126&gt;0,SUMIFS('02d_AI_Accelerator_Power'!$J$2:$J$653,'02d_AI_Accelerator_Power'!$B$2:$B$653,A126,'02d_AI_Accelerator_Power'!$C$2:$C$653,B126,'02d_AI_Accelerator_Power'!$D$2:$D$653,C126,'02d_AI_Accelerator_Power'!$F$2:$F$653,"Other / unknown accelerator")/I126,0)</f>
        <v/>
      </c>
      <c r="P126" s="3" t="inlineStr">
        <is>
          <t>CSP contract normalized: company inference MW * (CSP total MW * AI contract share * inference share) / company contract inference weight, then multiplied by CSP accelerator rows.</t>
        </is>
      </c>
      <c r="Q126" s="3" t="inlineStr">
        <is>
          <t>csp_contract_share_x_csp_accelerator_mix</t>
        </is>
      </c>
      <c r="R126" s="3" t="inlineStr">
        <is>
          <t>Edit 02a CSP contract allocation, 02b CSP accelerator mix, or 02x accelerator catalog; 03_Calculation reads D:G from this sheet.</t>
        </is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6">
        <f>IF(I127&gt;0,SUMIFS('02d_AI_Accelerator_Power'!$J$2:$J$653,'02d_AI_Accelerator_Power'!$B$2:$B$653,A127,'02d_AI_Accelerator_Power'!$C$2:$C$653,B127,'02d_AI_Accelerator_Power'!$D$2:$D$653,C127,'02d_AI_Accelerator_Power'!$G$2:$G$653,"h200_reference")/I127,1.0)</f>
        <v/>
      </c>
      <c r="E127" s="6">
        <f>IF(I127&gt;0,SUMIFS('02d_AI_Accelerator_Power'!$J$2:$J$653,'02d_AI_Accelerator_Power'!$B$2:$B$653,A127,'02d_AI_Accelerator_Power'!$C$2:$C$653,B127,'02d_AI_Accelerator_Power'!$D$2:$D$653,C127,'02d_AI_Accelerator_Power'!$G$2:$G$653,"b200_reference")/I127,0.0)</f>
        <v/>
      </c>
      <c r="F127" s="6">
        <f>IF(I127&gt;0,SUMIFS('02d_AI_Accelerator_Power'!$J$2:$J$653,'02d_AI_Accelerator_Power'!$B$2:$B$653,A127,'02d_AI_Accelerator_Power'!$C$2:$C$653,B127,'02d_AI_Accelerator_Power'!$D$2:$D$653,C127,'02d_AI_Accelerator_Power'!$G$2:$G$653,"gb200_reference")/I127,0.0)</f>
        <v/>
      </c>
      <c r="G127" s="6">
        <f>IF(I127&gt;0,SUMIFS('02d_AI_Accelerator_Power'!$J$2:$J$653,'02d_AI_Accelerator_Power'!$B$2:$B$653,A127,'02d_AI_Accelerator_Power'!$C$2:$C$653,B127,'02d_AI_Accelerator_Power'!$D$2:$D$653,C127,'02d_AI_Accelerator_Power'!$G$2:$G$653,"purpose_or_unbenchmarked")/I127,0.0)</f>
        <v/>
      </c>
      <c r="H127" s="6">
        <f>SUM(D127:G127)</f>
        <v/>
      </c>
      <c r="I127" s="28">
        <f>SUMIFS('02d_AI_Accelerator_Power'!$J$2:$J$653,'02d_AI_Accelerator_Power'!$B$2:$B$653,A127,'02d_AI_Accelerator_Power'!$C$2:$C$653,B127,'02d_AI_Accelerator_Power'!$D$2:$D$653,C127)</f>
        <v/>
      </c>
      <c r="J127" s="6">
        <f>IF(I127&gt;0,SUMIFS('02d_AI_Accelerator_Power'!$J$2:$J$653,'02d_AI_Accelerator_Power'!$B$2:$B$653,A127,'02d_AI_Accelerator_Power'!$C$2:$C$653,B127,'02d_AI_Accelerator_Power'!$D$2:$D$653,C127,'02d_AI_Accelerator_Power'!$F$2:$F$653,"R200/R300 future")/I127,0)</f>
        <v/>
      </c>
      <c r="K127" s="6">
        <f>IF(I127&gt;0,SUMIFS('02d_AI_Accelerator_Power'!$J$2:$J$653,'02d_AI_Accelerator_Power'!$B$2:$B$653,A127,'02d_AI_Accelerator_Power'!$C$2:$C$653,B127,'02d_AI_Accelerator_Power'!$D$2:$D$653,C127,'02d_AI_Accelerator_Power'!$F$2:$F$653,"TPU")/I127,0)</f>
        <v/>
      </c>
      <c r="L127" s="6">
        <f>IF(I127&gt;0,SUMIFS('02d_AI_Accelerator_Power'!$J$2:$J$653,'02d_AI_Accelerator_Power'!$B$2:$B$653,A127,'02d_AI_Accelerator_Power'!$C$2:$C$653,B127,'02d_AI_Accelerator_Power'!$D$2:$D$653,C127,'02d_AI_Accelerator_Power'!$F$2:$F$653,"Trainium")/I127,0)</f>
        <v/>
      </c>
      <c r="M127" s="6">
        <f>IF(I127&gt;0,SUMIFS('02d_AI_Accelerator_Power'!$J$2:$J$653,'02d_AI_Accelerator_Power'!$B$2:$B$653,A127,'02d_AI_Accelerator_Power'!$C$2:$C$653,B127,'02d_AI_Accelerator_Power'!$D$2:$D$653,C127,'02d_AI_Accelerator_Power'!$F$2:$F$653,"Maia")/I127,0)</f>
        <v/>
      </c>
      <c r="N127" s="6">
        <f>IF(I127&gt;0,SUMIFS('02d_AI_Accelerator_Power'!$J$2:$J$653,'02d_AI_Accelerator_Power'!$B$2:$B$653,A127,'02d_AI_Accelerator_Power'!$C$2:$C$653,B127,'02d_AI_Accelerator_Power'!$D$2:$D$653,C127,'02d_AI_Accelerator_Power'!$F$2:$F$653,"MTIA")/I127,0)</f>
        <v/>
      </c>
      <c r="O127" s="6">
        <f>IF(I127&gt;0,SUMIFS('02d_AI_Accelerator_Power'!$J$2:$J$653,'02d_AI_Accelerator_Power'!$B$2:$B$653,A127,'02d_AI_Accelerator_Power'!$C$2:$C$653,B127,'02d_AI_Accelerator_Power'!$D$2:$D$653,C127,'02d_AI_Accelerator_Power'!$F$2:$F$653,"Other / unknown accelerator")/I127,0)</f>
        <v/>
      </c>
      <c r="P127" s="3" t="inlineStr">
        <is>
          <t>CSP contract normalized: company inference MW * (CSP total MW * AI contract share * inference share) / company contract inference weight, then multiplied by CSP accelerator rows.</t>
        </is>
      </c>
      <c r="Q127" s="3" t="inlineStr">
        <is>
          <t>csp_contract_share_x_csp_accelerator_mix</t>
        </is>
      </c>
      <c r="R127" s="3" t="inlineStr">
        <is>
          <t>Edit 02a CSP contract allocation, 02b CSP accelerator mix, or 02x accelerator catalog; 03_Calculation reads D:G from this sheet.</t>
        </is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6">
        <f>IF(I128&gt;0,SUMIFS('02d_AI_Accelerator_Power'!$J$2:$J$653,'02d_AI_Accelerator_Power'!$B$2:$B$653,A128,'02d_AI_Accelerator_Power'!$C$2:$C$653,B128,'02d_AI_Accelerator_Power'!$D$2:$D$653,C128,'02d_AI_Accelerator_Power'!$G$2:$G$653,"h200_reference")/I128,1.0)</f>
        <v/>
      </c>
      <c r="E128" s="6">
        <f>IF(I128&gt;0,SUMIFS('02d_AI_Accelerator_Power'!$J$2:$J$653,'02d_AI_Accelerator_Power'!$B$2:$B$653,A128,'02d_AI_Accelerator_Power'!$C$2:$C$653,B128,'02d_AI_Accelerator_Power'!$D$2:$D$653,C128,'02d_AI_Accelerator_Power'!$G$2:$G$653,"b200_reference")/I128,0.0)</f>
        <v/>
      </c>
      <c r="F128" s="6">
        <f>IF(I128&gt;0,SUMIFS('02d_AI_Accelerator_Power'!$J$2:$J$653,'02d_AI_Accelerator_Power'!$B$2:$B$653,A128,'02d_AI_Accelerator_Power'!$C$2:$C$653,B128,'02d_AI_Accelerator_Power'!$D$2:$D$653,C128,'02d_AI_Accelerator_Power'!$G$2:$G$653,"gb200_reference")/I128,0.0)</f>
        <v/>
      </c>
      <c r="G128" s="6">
        <f>IF(I128&gt;0,SUMIFS('02d_AI_Accelerator_Power'!$J$2:$J$653,'02d_AI_Accelerator_Power'!$B$2:$B$653,A128,'02d_AI_Accelerator_Power'!$C$2:$C$653,B128,'02d_AI_Accelerator_Power'!$D$2:$D$653,C128,'02d_AI_Accelerator_Power'!$G$2:$G$653,"purpose_or_unbenchmarked")/I128,0.0)</f>
        <v/>
      </c>
      <c r="H128" s="6">
        <f>SUM(D128:G128)</f>
        <v/>
      </c>
      <c r="I128" s="28">
        <f>SUMIFS('02d_AI_Accelerator_Power'!$J$2:$J$653,'02d_AI_Accelerator_Power'!$B$2:$B$653,A128,'02d_AI_Accelerator_Power'!$C$2:$C$653,B128,'02d_AI_Accelerator_Power'!$D$2:$D$653,C128)</f>
        <v/>
      </c>
      <c r="J128" s="6">
        <f>IF(I128&gt;0,SUMIFS('02d_AI_Accelerator_Power'!$J$2:$J$653,'02d_AI_Accelerator_Power'!$B$2:$B$653,A128,'02d_AI_Accelerator_Power'!$C$2:$C$653,B128,'02d_AI_Accelerator_Power'!$D$2:$D$653,C128,'02d_AI_Accelerator_Power'!$F$2:$F$653,"R200/R300 future")/I128,0)</f>
        <v/>
      </c>
      <c r="K128" s="6">
        <f>IF(I128&gt;0,SUMIFS('02d_AI_Accelerator_Power'!$J$2:$J$653,'02d_AI_Accelerator_Power'!$B$2:$B$653,A128,'02d_AI_Accelerator_Power'!$C$2:$C$653,B128,'02d_AI_Accelerator_Power'!$D$2:$D$653,C128,'02d_AI_Accelerator_Power'!$F$2:$F$653,"TPU")/I128,0)</f>
        <v/>
      </c>
      <c r="L128" s="6">
        <f>IF(I128&gt;0,SUMIFS('02d_AI_Accelerator_Power'!$J$2:$J$653,'02d_AI_Accelerator_Power'!$B$2:$B$653,A128,'02d_AI_Accelerator_Power'!$C$2:$C$653,B128,'02d_AI_Accelerator_Power'!$D$2:$D$653,C128,'02d_AI_Accelerator_Power'!$F$2:$F$653,"Trainium")/I128,0)</f>
        <v/>
      </c>
      <c r="M128" s="6">
        <f>IF(I128&gt;0,SUMIFS('02d_AI_Accelerator_Power'!$J$2:$J$653,'02d_AI_Accelerator_Power'!$B$2:$B$653,A128,'02d_AI_Accelerator_Power'!$C$2:$C$653,B128,'02d_AI_Accelerator_Power'!$D$2:$D$653,C128,'02d_AI_Accelerator_Power'!$F$2:$F$653,"Maia")/I128,0)</f>
        <v/>
      </c>
      <c r="N128" s="6">
        <f>IF(I128&gt;0,SUMIFS('02d_AI_Accelerator_Power'!$J$2:$J$653,'02d_AI_Accelerator_Power'!$B$2:$B$653,A128,'02d_AI_Accelerator_Power'!$C$2:$C$653,B128,'02d_AI_Accelerator_Power'!$D$2:$D$653,C128,'02d_AI_Accelerator_Power'!$F$2:$F$653,"MTIA")/I128,0)</f>
        <v/>
      </c>
      <c r="O128" s="6">
        <f>IF(I128&gt;0,SUMIFS('02d_AI_Accelerator_Power'!$J$2:$J$653,'02d_AI_Accelerator_Power'!$B$2:$B$653,A128,'02d_AI_Accelerator_Power'!$C$2:$C$653,B128,'02d_AI_Accelerator_Power'!$D$2:$D$653,C128,'02d_AI_Accelerator_Power'!$F$2:$F$653,"Other / unknown accelerator")/I128,0)</f>
        <v/>
      </c>
      <c r="P128" s="3" t="inlineStr">
        <is>
          <t>CSP contract normalized: company inference MW * (CSP total MW * AI contract share * inference share) / company contract inference weight, then multiplied by CSP accelerator rows.</t>
        </is>
      </c>
      <c r="Q128" s="3" t="inlineStr">
        <is>
          <t>csp_contract_share_x_csp_accelerator_mix</t>
        </is>
      </c>
      <c r="R128" s="3" t="inlineStr">
        <is>
          <t>Edit 02a CSP contract allocation, 02b CSP accelerator mix, or 02x accelerator catalog; 03_Calculation reads D:G from this sheet.</t>
        </is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6">
        <f>IF(I129&gt;0,SUMIFS('02d_AI_Accelerator_Power'!$J$2:$J$653,'02d_AI_Accelerator_Power'!$B$2:$B$653,A129,'02d_AI_Accelerator_Power'!$C$2:$C$653,B129,'02d_AI_Accelerator_Power'!$D$2:$D$653,C129,'02d_AI_Accelerator_Power'!$G$2:$G$653,"h200_reference")/I129,1.0)</f>
        <v/>
      </c>
      <c r="E129" s="6">
        <f>IF(I129&gt;0,SUMIFS('02d_AI_Accelerator_Power'!$J$2:$J$653,'02d_AI_Accelerator_Power'!$B$2:$B$653,A129,'02d_AI_Accelerator_Power'!$C$2:$C$653,B129,'02d_AI_Accelerator_Power'!$D$2:$D$653,C129,'02d_AI_Accelerator_Power'!$G$2:$G$653,"b200_reference")/I129,0.0)</f>
        <v/>
      </c>
      <c r="F129" s="6">
        <f>IF(I129&gt;0,SUMIFS('02d_AI_Accelerator_Power'!$J$2:$J$653,'02d_AI_Accelerator_Power'!$B$2:$B$653,A129,'02d_AI_Accelerator_Power'!$C$2:$C$653,B129,'02d_AI_Accelerator_Power'!$D$2:$D$653,C129,'02d_AI_Accelerator_Power'!$G$2:$G$653,"gb200_reference")/I129,0.0)</f>
        <v/>
      </c>
      <c r="G129" s="6">
        <f>IF(I129&gt;0,SUMIFS('02d_AI_Accelerator_Power'!$J$2:$J$653,'02d_AI_Accelerator_Power'!$B$2:$B$653,A129,'02d_AI_Accelerator_Power'!$C$2:$C$653,B129,'02d_AI_Accelerator_Power'!$D$2:$D$653,C129,'02d_AI_Accelerator_Power'!$G$2:$G$653,"purpose_or_unbenchmarked")/I129,0.0)</f>
        <v/>
      </c>
      <c r="H129" s="6">
        <f>SUM(D129:G129)</f>
        <v/>
      </c>
      <c r="I129" s="28">
        <f>SUMIFS('02d_AI_Accelerator_Power'!$J$2:$J$653,'02d_AI_Accelerator_Power'!$B$2:$B$653,A129,'02d_AI_Accelerator_Power'!$C$2:$C$653,B129,'02d_AI_Accelerator_Power'!$D$2:$D$653,C129)</f>
        <v/>
      </c>
      <c r="J129" s="6">
        <f>IF(I129&gt;0,SUMIFS('02d_AI_Accelerator_Power'!$J$2:$J$653,'02d_AI_Accelerator_Power'!$B$2:$B$653,A129,'02d_AI_Accelerator_Power'!$C$2:$C$653,B129,'02d_AI_Accelerator_Power'!$D$2:$D$653,C129,'02d_AI_Accelerator_Power'!$F$2:$F$653,"R200/R300 future")/I129,0)</f>
        <v/>
      </c>
      <c r="K129" s="6">
        <f>IF(I129&gt;0,SUMIFS('02d_AI_Accelerator_Power'!$J$2:$J$653,'02d_AI_Accelerator_Power'!$B$2:$B$653,A129,'02d_AI_Accelerator_Power'!$C$2:$C$653,B129,'02d_AI_Accelerator_Power'!$D$2:$D$653,C129,'02d_AI_Accelerator_Power'!$F$2:$F$653,"TPU")/I129,0)</f>
        <v/>
      </c>
      <c r="L129" s="6">
        <f>IF(I129&gt;0,SUMIFS('02d_AI_Accelerator_Power'!$J$2:$J$653,'02d_AI_Accelerator_Power'!$B$2:$B$653,A129,'02d_AI_Accelerator_Power'!$C$2:$C$653,B129,'02d_AI_Accelerator_Power'!$D$2:$D$653,C129,'02d_AI_Accelerator_Power'!$F$2:$F$653,"Trainium")/I129,0)</f>
        <v/>
      </c>
      <c r="M129" s="6">
        <f>IF(I129&gt;0,SUMIFS('02d_AI_Accelerator_Power'!$J$2:$J$653,'02d_AI_Accelerator_Power'!$B$2:$B$653,A129,'02d_AI_Accelerator_Power'!$C$2:$C$653,B129,'02d_AI_Accelerator_Power'!$D$2:$D$653,C129,'02d_AI_Accelerator_Power'!$F$2:$F$653,"Maia")/I129,0)</f>
        <v/>
      </c>
      <c r="N129" s="6">
        <f>IF(I129&gt;0,SUMIFS('02d_AI_Accelerator_Power'!$J$2:$J$653,'02d_AI_Accelerator_Power'!$B$2:$B$653,A129,'02d_AI_Accelerator_Power'!$C$2:$C$653,B129,'02d_AI_Accelerator_Power'!$D$2:$D$653,C129,'02d_AI_Accelerator_Power'!$F$2:$F$653,"MTIA")/I129,0)</f>
        <v/>
      </c>
      <c r="O129" s="6">
        <f>IF(I129&gt;0,SUMIFS('02d_AI_Accelerator_Power'!$J$2:$J$653,'02d_AI_Accelerator_Power'!$B$2:$B$653,A129,'02d_AI_Accelerator_Power'!$C$2:$C$653,B129,'02d_AI_Accelerator_Power'!$D$2:$D$653,C129,'02d_AI_Accelerator_Power'!$F$2:$F$653,"Other / unknown accelerator")/I129,0)</f>
        <v/>
      </c>
      <c r="P129" s="3" t="inlineStr">
        <is>
          <t>CSP contract normalized: company inference MW * (CSP total MW * AI contract share * inference share) / company contract inference weight, then multiplied by CSP accelerator rows.</t>
        </is>
      </c>
      <c r="Q129" s="3" t="inlineStr">
        <is>
          <t>csp_contract_share_x_csp_accelerator_mix</t>
        </is>
      </c>
      <c r="R129" s="3" t="inlineStr">
        <is>
          <t>Edit 02a CSP contract allocation, 02b CSP accelerator mix, or 02x accelerator catalog; 03_Calculation reads D:G from this sheet.</t>
        </is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6">
        <f>IF(I130&gt;0,SUMIFS('02d_AI_Accelerator_Power'!$J$2:$J$653,'02d_AI_Accelerator_Power'!$B$2:$B$653,A130,'02d_AI_Accelerator_Power'!$C$2:$C$653,B130,'02d_AI_Accelerator_Power'!$D$2:$D$653,C130,'02d_AI_Accelerator_Power'!$G$2:$G$653,"h200_reference")/I130,1.0)</f>
        <v/>
      </c>
      <c r="E130" s="6">
        <f>IF(I130&gt;0,SUMIFS('02d_AI_Accelerator_Power'!$J$2:$J$653,'02d_AI_Accelerator_Power'!$B$2:$B$653,A130,'02d_AI_Accelerator_Power'!$C$2:$C$653,B130,'02d_AI_Accelerator_Power'!$D$2:$D$653,C130,'02d_AI_Accelerator_Power'!$G$2:$G$653,"b200_reference")/I130,0.0)</f>
        <v/>
      </c>
      <c r="F130" s="6">
        <f>IF(I130&gt;0,SUMIFS('02d_AI_Accelerator_Power'!$J$2:$J$653,'02d_AI_Accelerator_Power'!$B$2:$B$653,A130,'02d_AI_Accelerator_Power'!$C$2:$C$653,B130,'02d_AI_Accelerator_Power'!$D$2:$D$653,C130,'02d_AI_Accelerator_Power'!$G$2:$G$653,"gb200_reference")/I130,0.0)</f>
        <v/>
      </c>
      <c r="G130" s="6">
        <f>IF(I130&gt;0,SUMIFS('02d_AI_Accelerator_Power'!$J$2:$J$653,'02d_AI_Accelerator_Power'!$B$2:$B$653,A130,'02d_AI_Accelerator_Power'!$C$2:$C$653,B130,'02d_AI_Accelerator_Power'!$D$2:$D$653,C130,'02d_AI_Accelerator_Power'!$G$2:$G$653,"purpose_or_unbenchmarked")/I130,0.0)</f>
        <v/>
      </c>
      <c r="H130" s="6">
        <f>SUM(D130:G130)</f>
        <v/>
      </c>
      <c r="I130" s="28">
        <f>SUMIFS('02d_AI_Accelerator_Power'!$J$2:$J$653,'02d_AI_Accelerator_Power'!$B$2:$B$653,A130,'02d_AI_Accelerator_Power'!$C$2:$C$653,B130,'02d_AI_Accelerator_Power'!$D$2:$D$653,C130)</f>
        <v/>
      </c>
      <c r="J130" s="6">
        <f>IF(I130&gt;0,SUMIFS('02d_AI_Accelerator_Power'!$J$2:$J$653,'02d_AI_Accelerator_Power'!$B$2:$B$653,A130,'02d_AI_Accelerator_Power'!$C$2:$C$653,B130,'02d_AI_Accelerator_Power'!$D$2:$D$653,C130,'02d_AI_Accelerator_Power'!$F$2:$F$653,"R200/R300 future")/I130,0)</f>
        <v/>
      </c>
      <c r="K130" s="6">
        <f>IF(I130&gt;0,SUMIFS('02d_AI_Accelerator_Power'!$J$2:$J$653,'02d_AI_Accelerator_Power'!$B$2:$B$653,A130,'02d_AI_Accelerator_Power'!$C$2:$C$653,B130,'02d_AI_Accelerator_Power'!$D$2:$D$653,C130,'02d_AI_Accelerator_Power'!$F$2:$F$653,"TPU")/I130,0)</f>
        <v/>
      </c>
      <c r="L130" s="6">
        <f>IF(I130&gt;0,SUMIFS('02d_AI_Accelerator_Power'!$J$2:$J$653,'02d_AI_Accelerator_Power'!$B$2:$B$653,A130,'02d_AI_Accelerator_Power'!$C$2:$C$653,B130,'02d_AI_Accelerator_Power'!$D$2:$D$653,C130,'02d_AI_Accelerator_Power'!$F$2:$F$653,"Trainium")/I130,0)</f>
        <v/>
      </c>
      <c r="M130" s="6">
        <f>IF(I130&gt;0,SUMIFS('02d_AI_Accelerator_Power'!$J$2:$J$653,'02d_AI_Accelerator_Power'!$B$2:$B$653,A130,'02d_AI_Accelerator_Power'!$C$2:$C$653,B130,'02d_AI_Accelerator_Power'!$D$2:$D$653,C130,'02d_AI_Accelerator_Power'!$F$2:$F$653,"Maia")/I130,0)</f>
        <v/>
      </c>
      <c r="N130" s="6">
        <f>IF(I130&gt;0,SUMIFS('02d_AI_Accelerator_Power'!$J$2:$J$653,'02d_AI_Accelerator_Power'!$B$2:$B$653,A130,'02d_AI_Accelerator_Power'!$C$2:$C$653,B130,'02d_AI_Accelerator_Power'!$D$2:$D$653,C130,'02d_AI_Accelerator_Power'!$F$2:$F$653,"MTIA")/I130,0)</f>
        <v/>
      </c>
      <c r="O130" s="6">
        <f>IF(I130&gt;0,SUMIFS('02d_AI_Accelerator_Power'!$J$2:$J$653,'02d_AI_Accelerator_Power'!$B$2:$B$653,A130,'02d_AI_Accelerator_Power'!$C$2:$C$653,B130,'02d_AI_Accelerator_Power'!$D$2:$D$653,C130,'02d_AI_Accelerator_Power'!$F$2:$F$653,"Other / unknown accelerator")/I130,0)</f>
        <v/>
      </c>
      <c r="P130" s="3" t="inlineStr">
        <is>
          <t>CSP contract normalized: company inference MW * (CSP total MW * AI contract share * inference share) / company contract inference weight, then multiplied by CSP accelerator rows.</t>
        </is>
      </c>
      <c r="Q130" s="3" t="inlineStr">
        <is>
          <t>csp_contract_share_x_csp_accelerator_mix</t>
        </is>
      </c>
      <c r="R130" s="3" t="inlineStr">
        <is>
          <t>Edit 02a CSP contract allocation, 02b CSP accelerator mix, or 02x accelerator catalog; 03_Calculation reads D:G from this sheet.</t>
        </is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6">
        <f>IF(I131&gt;0,SUMIFS('02d_AI_Accelerator_Power'!$J$2:$J$653,'02d_AI_Accelerator_Power'!$B$2:$B$653,A131,'02d_AI_Accelerator_Power'!$C$2:$C$653,B131,'02d_AI_Accelerator_Power'!$D$2:$D$653,C131,'02d_AI_Accelerator_Power'!$G$2:$G$653,"h200_reference")/I131,1.0)</f>
        <v/>
      </c>
      <c r="E131" s="6">
        <f>IF(I131&gt;0,SUMIFS('02d_AI_Accelerator_Power'!$J$2:$J$653,'02d_AI_Accelerator_Power'!$B$2:$B$653,A131,'02d_AI_Accelerator_Power'!$C$2:$C$653,B131,'02d_AI_Accelerator_Power'!$D$2:$D$653,C131,'02d_AI_Accelerator_Power'!$G$2:$G$653,"b200_reference")/I131,0.0)</f>
        <v/>
      </c>
      <c r="F131" s="6">
        <f>IF(I131&gt;0,SUMIFS('02d_AI_Accelerator_Power'!$J$2:$J$653,'02d_AI_Accelerator_Power'!$B$2:$B$653,A131,'02d_AI_Accelerator_Power'!$C$2:$C$653,B131,'02d_AI_Accelerator_Power'!$D$2:$D$653,C131,'02d_AI_Accelerator_Power'!$G$2:$G$653,"gb200_reference")/I131,0.0)</f>
        <v/>
      </c>
      <c r="G131" s="6">
        <f>IF(I131&gt;0,SUMIFS('02d_AI_Accelerator_Power'!$J$2:$J$653,'02d_AI_Accelerator_Power'!$B$2:$B$653,A131,'02d_AI_Accelerator_Power'!$C$2:$C$653,B131,'02d_AI_Accelerator_Power'!$D$2:$D$653,C131,'02d_AI_Accelerator_Power'!$G$2:$G$653,"purpose_or_unbenchmarked")/I131,0.0)</f>
        <v/>
      </c>
      <c r="H131" s="6">
        <f>SUM(D131:G131)</f>
        <v/>
      </c>
      <c r="I131" s="28">
        <f>SUMIFS('02d_AI_Accelerator_Power'!$J$2:$J$653,'02d_AI_Accelerator_Power'!$B$2:$B$653,A131,'02d_AI_Accelerator_Power'!$C$2:$C$653,B131,'02d_AI_Accelerator_Power'!$D$2:$D$653,C131)</f>
        <v/>
      </c>
      <c r="J131" s="6">
        <f>IF(I131&gt;0,SUMIFS('02d_AI_Accelerator_Power'!$J$2:$J$653,'02d_AI_Accelerator_Power'!$B$2:$B$653,A131,'02d_AI_Accelerator_Power'!$C$2:$C$653,B131,'02d_AI_Accelerator_Power'!$D$2:$D$653,C131,'02d_AI_Accelerator_Power'!$F$2:$F$653,"R200/R300 future")/I131,0)</f>
        <v/>
      </c>
      <c r="K131" s="6">
        <f>IF(I131&gt;0,SUMIFS('02d_AI_Accelerator_Power'!$J$2:$J$653,'02d_AI_Accelerator_Power'!$B$2:$B$653,A131,'02d_AI_Accelerator_Power'!$C$2:$C$653,B131,'02d_AI_Accelerator_Power'!$D$2:$D$653,C131,'02d_AI_Accelerator_Power'!$F$2:$F$653,"TPU")/I131,0)</f>
        <v/>
      </c>
      <c r="L131" s="6">
        <f>IF(I131&gt;0,SUMIFS('02d_AI_Accelerator_Power'!$J$2:$J$653,'02d_AI_Accelerator_Power'!$B$2:$B$653,A131,'02d_AI_Accelerator_Power'!$C$2:$C$653,B131,'02d_AI_Accelerator_Power'!$D$2:$D$653,C131,'02d_AI_Accelerator_Power'!$F$2:$F$653,"Trainium")/I131,0)</f>
        <v/>
      </c>
      <c r="M131" s="6">
        <f>IF(I131&gt;0,SUMIFS('02d_AI_Accelerator_Power'!$J$2:$J$653,'02d_AI_Accelerator_Power'!$B$2:$B$653,A131,'02d_AI_Accelerator_Power'!$C$2:$C$653,B131,'02d_AI_Accelerator_Power'!$D$2:$D$653,C131,'02d_AI_Accelerator_Power'!$F$2:$F$653,"Maia")/I131,0)</f>
        <v/>
      </c>
      <c r="N131" s="6">
        <f>IF(I131&gt;0,SUMIFS('02d_AI_Accelerator_Power'!$J$2:$J$653,'02d_AI_Accelerator_Power'!$B$2:$B$653,A131,'02d_AI_Accelerator_Power'!$C$2:$C$653,B131,'02d_AI_Accelerator_Power'!$D$2:$D$653,C131,'02d_AI_Accelerator_Power'!$F$2:$F$653,"MTIA")/I131,0)</f>
        <v/>
      </c>
      <c r="O131" s="6">
        <f>IF(I131&gt;0,SUMIFS('02d_AI_Accelerator_Power'!$J$2:$J$653,'02d_AI_Accelerator_Power'!$B$2:$B$653,A131,'02d_AI_Accelerator_Power'!$C$2:$C$653,B131,'02d_AI_Accelerator_Power'!$D$2:$D$653,C131,'02d_AI_Accelerator_Power'!$F$2:$F$653,"Other / unknown accelerator")/I131,0)</f>
        <v/>
      </c>
      <c r="P131" s="3" t="inlineStr">
        <is>
          <t>CSP contract normalized: company inference MW * (CSP total MW * AI contract share * inference share) / company contract inference weight, then multiplied by CSP accelerator rows.</t>
        </is>
      </c>
      <c r="Q131" s="3" t="inlineStr">
        <is>
          <t>csp_contract_share_x_csp_accelerator_mix</t>
        </is>
      </c>
      <c r="R131" s="3" t="inlineStr">
        <is>
          <t>Edit 02a CSP contract allocation, 02b CSP accelerator mix, or 02x accelerator catalog; 03_Calculation reads D:G from this sheet.</t>
        </is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6">
        <f>IF(I132&gt;0,SUMIFS('02d_AI_Accelerator_Power'!$J$2:$J$653,'02d_AI_Accelerator_Power'!$B$2:$B$653,A132,'02d_AI_Accelerator_Power'!$C$2:$C$653,B132,'02d_AI_Accelerator_Power'!$D$2:$D$653,C132,'02d_AI_Accelerator_Power'!$G$2:$G$653,"h200_reference")/I132,0.55)</f>
        <v/>
      </c>
      <c r="E132" s="6">
        <f>IF(I132&gt;0,SUMIFS('02d_AI_Accelerator_Power'!$J$2:$J$653,'02d_AI_Accelerator_Power'!$B$2:$B$653,A132,'02d_AI_Accelerator_Power'!$C$2:$C$653,B132,'02d_AI_Accelerator_Power'!$D$2:$D$653,C132,'02d_AI_Accelerator_Power'!$G$2:$G$653,"b200_reference")/I132,0.4)</f>
        <v/>
      </c>
      <c r="F132" s="6">
        <f>IF(I132&gt;0,SUMIFS('02d_AI_Accelerator_Power'!$J$2:$J$653,'02d_AI_Accelerator_Power'!$B$2:$B$653,A132,'02d_AI_Accelerator_Power'!$C$2:$C$653,B132,'02d_AI_Accelerator_Power'!$D$2:$D$653,C132,'02d_AI_Accelerator_Power'!$G$2:$G$653,"gb200_reference")/I132,0.05)</f>
        <v/>
      </c>
      <c r="G132" s="6">
        <f>IF(I132&gt;0,SUMIFS('02d_AI_Accelerator_Power'!$J$2:$J$653,'02d_AI_Accelerator_Power'!$B$2:$B$653,A132,'02d_AI_Accelerator_Power'!$C$2:$C$653,B132,'02d_AI_Accelerator_Power'!$D$2:$D$653,C132,'02d_AI_Accelerator_Power'!$G$2:$G$653,"purpose_or_unbenchmarked")/I132,0.0)</f>
        <v/>
      </c>
      <c r="H132" s="6">
        <f>SUM(D132:G132)</f>
        <v/>
      </c>
      <c r="I132" s="28">
        <f>SUMIFS('02d_AI_Accelerator_Power'!$J$2:$J$653,'02d_AI_Accelerator_Power'!$B$2:$B$653,A132,'02d_AI_Accelerator_Power'!$C$2:$C$653,B132,'02d_AI_Accelerator_Power'!$D$2:$D$653,C132)</f>
        <v/>
      </c>
      <c r="J132" s="6">
        <f>IF(I132&gt;0,SUMIFS('02d_AI_Accelerator_Power'!$J$2:$J$653,'02d_AI_Accelerator_Power'!$B$2:$B$653,A132,'02d_AI_Accelerator_Power'!$C$2:$C$653,B132,'02d_AI_Accelerator_Power'!$D$2:$D$653,C132,'02d_AI_Accelerator_Power'!$F$2:$F$653,"R200/R300 future")/I132,0)</f>
        <v/>
      </c>
      <c r="K132" s="6">
        <f>IF(I132&gt;0,SUMIFS('02d_AI_Accelerator_Power'!$J$2:$J$653,'02d_AI_Accelerator_Power'!$B$2:$B$653,A132,'02d_AI_Accelerator_Power'!$C$2:$C$653,B132,'02d_AI_Accelerator_Power'!$D$2:$D$653,C132,'02d_AI_Accelerator_Power'!$F$2:$F$653,"TPU")/I132,0)</f>
        <v/>
      </c>
      <c r="L132" s="6">
        <f>IF(I132&gt;0,SUMIFS('02d_AI_Accelerator_Power'!$J$2:$J$653,'02d_AI_Accelerator_Power'!$B$2:$B$653,A132,'02d_AI_Accelerator_Power'!$C$2:$C$653,B132,'02d_AI_Accelerator_Power'!$D$2:$D$653,C132,'02d_AI_Accelerator_Power'!$F$2:$F$653,"Trainium")/I132,0)</f>
        <v/>
      </c>
      <c r="M132" s="6">
        <f>IF(I132&gt;0,SUMIFS('02d_AI_Accelerator_Power'!$J$2:$J$653,'02d_AI_Accelerator_Power'!$B$2:$B$653,A132,'02d_AI_Accelerator_Power'!$C$2:$C$653,B132,'02d_AI_Accelerator_Power'!$D$2:$D$653,C132,'02d_AI_Accelerator_Power'!$F$2:$F$653,"Maia")/I132,0)</f>
        <v/>
      </c>
      <c r="N132" s="6">
        <f>IF(I132&gt;0,SUMIFS('02d_AI_Accelerator_Power'!$J$2:$J$653,'02d_AI_Accelerator_Power'!$B$2:$B$653,A132,'02d_AI_Accelerator_Power'!$C$2:$C$653,B132,'02d_AI_Accelerator_Power'!$D$2:$D$653,C132,'02d_AI_Accelerator_Power'!$F$2:$F$653,"MTIA")/I132,0)</f>
        <v/>
      </c>
      <c r="O132" s="6">
        <f>IF(I132&gt;0,SUMIFS('02d_AI_Accelerator_Power'!$J$2:$J$653,'02d_AI_Accelerator_Power'!$B$2:$B$653,A132,'02d_AI_Accelerator_Power'!$C$2:$C$653,B132,'02d_AI_Accelerator_Power'!$D$2:$D$653,C132,'02d_AI_Accelerator_Power'!$F$2:$F$653,"Other / unknown accelerator")/I132,0)</f>
        <v/>
      </c>
      <c r="P132" s="3" t="inlineStr">
        <is>
          <t>CSP contract normalized: company inference MW * (CSP total MW * AI contract share * inference share) / company contract inference weight, then multiplied by CSP accelerator rows.</t>
        </is>
      </c>
      <c r="Q132" s="3" t="inlineStr">
        <is>
          <t>csp_contract_share_x_csp_accelerator_mix</t>
        </is>
      </c>
      <c r="R132" s="3" t="inlineStr">
        <is>
          <t>Edit 02a CSP contract allocation, 02b CSP accelerator mix, or 02x accelerator catalog; 03_Calculation reads D:G from this sheet.</t>
        </is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6">
        <f>IF(I133&gt;0,SUMIFS('02d_AI_Accelerator_Power'!$J$2:$J$653,'02d_AI_Accelerator_Power'!$B$2:$B$653,A133,'02d_AI_Accelerator_Power'!$C$2:$C$653,B133,'02d_AI_Accelerator_Power'!$D$2:$D$653,C133,'02d_AI_Accelerator_Power'!$G$2:$G$653,"h200_reference")/I133,0.438)</f>
        <v/>
      </c>
      <c r="E133" s="6">
        <f>IF(I133&gt;0,SUMIFS('02d_AI_Accelerator_Power'!$J$2:$J$653,'02d_AI_Accelerator_Power'!$B$2:$B$653,A133,'02d_AI_Accelerator_Power'!$C$2:$C$653,B133,'02d_AI_Accelerator_Power'!$D$2:$D$653,C133,'02d_AI_Accelerator_Power'!$G$2:$G$653,"b200_reference")/I133,0.388)</f>
        <v/>
      </c>
      <c r="F133" s="6">
        <f>IF(I133&gt;0,SUMIFS('02d_AI_Accelerator_Power'!$J$2:$J$653,'02d_AI_Accelerator_Power'!$B$2:$B$653,A133,'02d_AI_Accelerator_Power'!$C$2:$C$653,B133,'02d_AI_Accelerator_Power'!$D$2:$D$653,C133,'02d_AI_Accelerator_Power'!$G$2:$G$653,"gb200_reference")/I133,0.174)</f>
        <v/>
      </c>
      <c r="G133" s="6">
        <f>IF(I133&gt;0,SUMIFS('02d_AI_Accelerator_Power'!$J$2:$J$653,'02d_AI_Accelerator_Power'!$B$2:$B$653,A133,'02d_AI_Accelerator_Power'!$C$2:$C$653,B133,'02d_AI_Accelerator_Power'!$D$2:$D$653,C133,'02d_AI_Accelerator_Power'!$G$2:$G$653,"purpose_or_unbenchmarked")/I133,0.0)</f>
        <v/>
      </c>
      <c r="H133" s="6">
        <f>SUM(D133:G133)</f>
        <v/>
      </c>
      <c r="I133" s="28">
        <f>SUMIFS('02d_AI_Accelerator_Power'!$J$2:$J$653,'02d_AI_Accelerator_Power'!$B$2:$B$653,A133,'02d_AI_Accelerator_Power'!$C$2:$C$653,B133,'02d_AI_Accelerator_Power'!$D$2:$D$653,C133)</f>
        <v/>
      </c>
      <c r="J133" s="6">
        <f>IF(I133&gt;0,SUMIFS('02d_AI_Accelerator_Power'!$J$2:$J$653,'02d_AI_Accelerator_Power'!$B$2:$B$653,A133,'02d_AI_Accelerator_Power'!$C$2:$C$653,B133,'02d_AI_Accelerator_Power'!$D$2:$D$653,C133,'02d_AI_Accelerator_Power'!$F$2:$F$653,"R200/R300 future")/I133,0)</f>
        <v/>
      </c>
      <c r="K133" s="6">
        <f>IF(I133&gt;0,SUMIFS('02d_AI_Accelerator_Power'!$J$2:$J$653,'02d_AI_Accelerator_Power'!$B$2:$B$653,A133,'02d_AI_Accelerator_Power'!$C$2:$C$653,B133,'02d_AI_Accelerator_Power'!$D$2:$D$653,C133,'02d_AI_Accelerator_Power'!$F$2:$F$653,"TPU")/I133,0)</f>
        <v/>
      </c>
      <c r="L133" s="6">
        <f>IF(I133&gt;0,SUMIFS('02d_AI_Accelerator_Power'!$J$2:$J$653,'02d_AI_Accelerator_Power'!$B$2:$B$653,A133,'02d_AI_Accelerator_Power'!$C$2:$C$653,B133,'02d_AI_Accelerator_Power'!$D$2:$D$653,C133,'02d_AI_Accelerator_Power'!$F$2:$F$653,"Trainium")/I133,0)</f>
        <v/>
      </c>
      <c r="M133" s="6">
        <f>IF(I133&gt;0,SUMIFS('02d_AI_Accelerator_Power'!$J$2:$J$653,'02d_AI_Accelerator_Power'!$B$2:$B$653,A133,'02d_AI_Accelerator_Power'!$C$2:$C$653,B133,'02d_AI_Accelerator_Power'!$D$2:$D$653,C133,'02d_AI_Accelerator_Power'!$F$2:$F$653,"Maia")/I133,0)</f>
        <v/>
      </c>
      <c r="N133" s="6">
        <f>IF(I133&gt;0,SUMIFS('02d_AI_Accelerator_Power'!$J$2:$J$653,'02d_AI_Accelerator_Power'!$B$2:$B$653,A133,'02d_AI_Accelerator_Power'!$C$2:$C$653,B133,'02d_AI_Accelerator_Power'!$D$2:$D$653,C133,'02d_AI_Accelerator_Power'!$F$2:$F$653,"MTIA")/I133,0)</f>
        <v/>
      </c>
      <c r="O133" s="6">
        <f>IF(I133&gt;0,SUMIFS('02d_AI_Accelerator_Power'!$J$2:$J$653,'02d_AI_Accelerator_Power'!$B$2:$B$653,A133,'02d_AI_Accelerator_Power'!$C$2:$C$653,B133,'02d_AI_Accelerator_Power'!$D$2:$D$653,C133,'02d_AI_Accelerator_Power'!$F$2:$F$653,"Other / unknown accelerator")/I133,0)</f>
        <v/>
      </c>
      <c r="P133" s="3" t="inlineStr">
        <is>
          <t>CSP contract normalized: company inference MW * (CSP total MW * AI contract share * inference share) / company contract inference weight, then multiplied by CSP accelerator rows.</t>
        </is>
      </c>
      <c r="Q133" s="3" t="inlineStr">
        <is>
          <t>csp_contract_share_x_csp_accelerator_mix</t>
        </is>
      </c>
      <c r="R133" s="3" t="inlineStr">
        <is>
          <t>Edit 02a CSP contract allocation, 02b CSP accelerator mix, or 02x accelerator catalog; 03_Calculation reads D:G from this sheet.</t>
        </is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6">
        <f>IF(I134&gt;0,SUMIFS('02d_AI_Accelerator_Power'!$J$2:$J$653,'02d_AI_Accelerator_Power'!$B$2:$B$653,A134,'02d_AI_Accelerator_Power'!$C$2:$C$653,B134,'02d_AI_Accelerator_Power'!$D$2:$D$653,C134,'02d_AI_Accelerator_Power'!$G$2:$G$653,"h200_reference")/I134,0.325)</f>
        <v/>
      </c>
      <c r="E134" s="6">
        <f>IF(I134&gt;0,SUMIFS('02d_AI_Accelerator_Power'!$J$2:$J$653,'02d_AI_Accelerator_Power'!$B$2:$B$653,A134,'02d_AI_Accelerator_Power'!$C$2:$C$653,B134,'02d_AI_Accelerator_Power'!$D$2:$D$653,C134,'02d_AI_Accelerator_Power'!$G$2:$G$653,"b200_reference")/I134,0.375)</f>
        <v/>
      </c>
      <c r="F134" s="6">
        <f>IF(I134&gt;0,SUMIFS('02d_AI_Accelerator_Power'!$J$2:$J$653,'02d_AI_Accelerator_Power'!$B$2:$B$653,A134,'02d_AI_Accelerator_Power'!$C$2:$C$653,B134,'02d_AI_Accelerator_Power'!$D$2:$D$653,C134,'02d_AI_Accelerator_Power'!$G$2:$G$653,"gb200_reference")/I134,0.3)</f>
        <v/>
      </c>
      <c r="G134" s="6">
        <f>IF(I134&gt;0,SUMIFS('02d_AI_Accelerator_Power'!$J$2:$J$653,'02d_AI_Accelerator_Power'!$B$2:$B$653,A134,'02d_AI_Accelerator_Power'!$C$2:$C$653,B134,'02d_AI_Accelerator_Power'!$D$2:$D$653,C134,'02d_AI_Accelerator_Power'!$G$2:$G$653,"purpose_or_unbenchmarked")/I134,0.0)</f>
        <v/>
      </c>
      <c r="H134" s="6">
        <f>SUM(D134:G134)</f>
        <v/>
      </c>
      <c r="I134" s="28">
        <f>SUMIFS('02d_AI_Accelerator_Power'!$J$2:$J$653,'02d_AI_Accelerator_Power'!$B$2:$B$653,A134,'02d_AI_Accelerator_Power'!$C$2:$C$653,B134,'02d_AI_Accelerator_Power'!$D$2:$D$653,C134)</f>
        <v/>
      </c>
      <c r="J134" s="6">
        <f>IF(I134&gt;0,SUMIFS('02d_AI_Accelerator_Power'!$J$2:$J$653,'02d_AI_Accelerator_Power'!$B$2:$B$653,A134,'02d_AI_Accelerator_Power'!$C$2:$C$653,B134,'02d_AI_Accelerator_Power'!$D$2:$D$653,C134,'02d_AI_Accelerator_Power'!$F$2:$F$653,"R200/R300 future")/I134,0)</f>
        <v/>
      </c>
      <c r="K134" s="6">
        <f>IF(I134&gt;0,SUMIFS('02d_AI_Accelerator_Power'!$J$2:$J$653,'02d_AI_Accelerator_Power'!$B$2:$B$653,A134,'02d_AI_Accelerator_Power'!$C$2:$C$653,B134,'02d_AI_Accelerator_Power'!$D$2:$D$653,C134,'02d_AI_Accelerator_Power'!$F$2:$F$653,"TPU")/I134,0)</f>
        <v/>
      </c>
      <c r="L134" s="6">
        <f>IF(I134&gt;0,SUMIFS('02d_AI_Accelerator_Power'!$J$2:$J$653,'02d_AI_Accelerator_Power'!$B$2:$B$653,A134,'02d_AI_Accelerator_Power'!$C$2:$C$653,B134,'02d_AI_Accelerator_Power'!$D$2:$D$653,C134,'02d_AI_Accelerator_Power'!$F$2:$F$653,"Trainium")/I134,0)</f>
        <v/>
      </c>
      <c r="M134" s="6">
        <f>IF(I134&gt;0,SUMIFS('02d_AI_Accelerator_Power'!$J$2:$J$653,'02d_AI_Accelerator_Power'!$B$2:$B$653,A134,'02d_AI_Accelerator_Power'!$C$2:$C$653,B134,'02d_AI_Accelerator_Power'!$D$2:$D$653,C134,'02d_AI_Accelerator_Power'!$F$2:$F$653,"Maia")/I134,0)</f>
        <v/>
      </c>
      <c r="N134" s="6">
        <f>IF(I134&gt;0,SUMIFS('02d_AI_Accelerator_Power'!$J$2:$J$653,'02d_AI_Accelerator_Power'!$B$2:$B$653,A134,'02d_AI_Accelerator_Power'!$C$2:$C$653,B134,'02d_AI_Accelerator_Power'!$D$2:$D$653,C134,'02d_AI_Accelerator_Power'!$F$2:$F$653,"MTIA")/I134,0)</f>
        <v/>
      </c>
      <c r="O134" s="6">
        <f>IF(I134&gt;0,SUMIFS('02d_AI_Accelerator_Power'!$J$2:$J$653,'02d_AI_Accelerator_Power'!$B$2:$B$653,A134,'02d_AI_Accelerator_Power'!$C$2:$C$653,B134,'02d_AI_Accelerator_Power'!$D$2:$D$653,C134,'02d_AI_Accelerator_Power'!$F$2:$F$653,"Other / unknown accelerator")/I134,0)</f>
        <v/>
      </c>
      <c r="P134" s="3" t="inlineStr">
        <is>
          <t>CSP contract normalized: company inference MW * (CSP total MW * AI contract share * inference share) / company contract inference weight, then multiplied by CSP accelerator rows.</t>
        </is>
      </c>
      <c r="Q134" s="3" t="inlineStr">
        <is>
          <t>csp_contract_share_x_csp_accelerator_mix</t>
        </is>
      </c>
      <c r="R134" s="3" t="inlineStr">
        <is>
          <t>Edit 02a CSP contract allocation, 02b CSP accelerator mix, or 02x accelerator catalog; 03_Calculation reads D:G from this sheet.</t>
        </is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6">
        <f>IF(I135&gt;0,SUMIFS('02d_AI_Accelerator_Power'!$J$2:$J$653,'02d_AI_Accelerator_Power'!$B$2:$B$653,A135,'02d_AI_Accelerator_Power'!$C$2:$C$653,B135,'02d_AI_Accelerator_Power'!$D$2:$D$653,C135,'02d_AI_Accelerator_Power'!$G$2:$G$653,"h200_reference")/I135,0.213)</f>
        <v/>
      </c>
      <c r="E135" s="6">
        <f>IF(I135&gt;0,SUMIFS('02d_AI_Accelerator_Power'!$J$2:$J$653,'02d_AI_Accelerator_Power'!$B$2:$B$653,A135,'02d_AI_Accelerator_Power'!$C$2:$C$653,B135,'02d_AI_Accelerator_Power'!$D$2:$D$653,C135,'02d_AI_Accelerator_Power'!$G$2:$G$653,"b200_reference")/I135,0.362)</f>
        <v/>
      </c>
      <c r="F135" s="6">
        <f>IF(I135&gt;0,SUMIFS('02d_AI_Accelerator_Power'!$J$2:$J$653,'02d_AI_Accelerator_Power'!$B$2:$B$653,A135,'02d_AI_Accelerator_Power'!$C$2:$C$653,B135,'02d_AI_Accelerator_Power'!$D$2:$D$653,C135,'02d_AI_Accelerator_Power'!$G$2:$G$653,"gb200_reference")/I135,0.425)</f>
        <v/>
      </c>
      <c r="G135" s="6">
        <f>IF(I135&gt;0,SUMIFS('02d_AI_Accelerator_Power'!$J$2:$J$653,'02d_AI_Accelerator_Power'!$B$2:$B$653,A135,'02d_AI_Accelerator_Power'!$C$2:$C$653,B135,'02d_AI_Accelerator_Power'!$D$2:$D$653,C135,'02d_AI_Accelerator_Power'!$G$2:$G$653,"purpose_or_unbenchmarked")/I135,0.0)</f>
        <v/>
      </c>
      <c r="H135" s="6">
        <f>SUM(D135:G135)</f>
        <v/>
      </c>
      <c r="I135" s="28">
        <f>SUMIFS('02d_AI_Accelerator_Power'!$J$2:$J$653,'02d_AI_Accelerator_Power'!$B$2:$B$653,A135,'02d_AI_Accelerator_Power'!$C$2:$C$653,B135,'02d_AI_Accelerator_Power'!$D$2:$D$653,C135)</f>
        <v/>
      </c>
      <c r="J135" s="6">
        <f>IF(I135&gt;0,SUMIFS('02d_AI_Accelerator_Power'!$J$2:$J$653,'02d_AI_Accelerator_Power'!$B$2:$B$653,A135,'02d_AI_Accelerator_Power'!$C$2:$C$653,B135,'02d_AI_Accelerator_Power'!$D$2:$D$653,C135,'02d_AI_Accelerator_Power'!$F$2:$F$653,"R200/R300 future")/I135,0)</f>
        <v/>
      </c>
      <c r="K135" s="6">
        <f>IF(I135&gt;0,SUMIFS('02d_AI_Accelerator_Power'!$J$2:$J$653,'02d_AI_Accelerator_Power'!$B$2:$B$653,A135,'02d_AI_Accelerator_Power'!$C$2:$C$653,B135,'02d_AI_Accelerator_Power'!$D$2:$D$653,C135,'02d_AI_Accelerator_Power'!$F$2:$F$653,"TPU")/I135,0)</f>
        <v/>
      </c>
      <c r="L135" s="6">
        <f>IF(I135&gt;0,SUMIFS('02d_AI_Accelerator_Power'!$J$2:$J$653,'02d_AI_Accelerator_Power'!$B$2:$B$653,A135,'02d_AI_Accelerator_Power'!$C$2:$C$653,B135,'02d_AI_Accelerator_Power'!$D$2:$D$653,C135,'02d_AI_Accelerator_Power'!$F$2:$F$653,"Trainium")/I135,0)</f>
        <v/>
      </c>
      <c r="M135" s="6">
        <f>IF(I135&gt;0,SUMIFS('02d_AI_Accelerator_Power'!$J$2:$J$653,'02d_AI_Accelerator_Power'!$B$2:$B$653,A135,'02d_AI_Accelerator_Power'!$C$2:$C$653,B135,'02d_AI_Accelerator_Power'!$D$2:$D$653,C135,'02d_AI_Accelerator_Power'!$F$2:$F$653,"Maia")/I135,0)</f>
        <v/>
      </c>
      <c r="N135" s="6">
        <f>IF(I135&gt;0,SUMIFS('02d_AI_Accelerator_Power'!$J$2:$J$653,'02d_AI_Accelerator_Power'!$B$2:$B$653,A135,'02d_AI_Accelerator_Power'!$C$2:$C$653,B135,'02d_AI_Accelerator_Power'!$D$2:$D$653,C135,'02d_AI_Accelerator_Power'!$F$2:$F$653,"MTIA")/I135,0)</f>
        <v/>
      </c>
      <c r="O135" s="6">
        <f>IF(I135&gt;0,SUMIFS('02d_AI_Accelerator_Power'!$J$2:$J$653,'02d_AI_Accelerator_Power'!$B$2:$B$653,A135,'02d_AI_Accelerator_Power'!$C$2:$C$653,B135,'02d_AI_Accelerator_Power'!$D$2:$D$653,C135,'02d_AI_Accelerator_Power'!$F$2:$F$653,"Other / unknown accelerator")/I135,0)</f>
        <v/>
      </c>
      <c r="P135" s="3" t="inlineStr">
        <is>
          <t>CSP contract normalized: company inference MW * (CSP total MW * AI contract share * inference share) / company contract inference weight, then multiplied by CSP accelerator rows.</t>
        </is>
      </c>
      <c r="Q135" s="3" t="inlineStr">
        <is>
          <t>csp_contract_share_x_csp_accelerator_mix</t>
        </is>
      </c>
      <c r="R135" s="3" t="inlineStr">
        <is>
          <t>Edit 02a CSP contract allocation, 02b CSP accelerator mix, or 02x accelerator catalog; 03_Calculation reads D:G from this sheet.</t>
        </is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6">
        <f>IF(I136&gt;0,SUMIFS('02d_AI_Accelerator_Power'!$J$2:$J$653,'02d_AI_Accelerator_Power'!$B$2:$B$653,A136,'02d_AI_Accelerator_Power'!$C$2:$C$653,B136,'02d_AI_Accelerator_Power'!$D$2:$D$653,C136,'02d_AI_Accelerator_Power'!$G$2:$G$653,"h200_reference")/I136,0.1)</f>
        <v/>
      </c>
      <c r="E136" s="6">
        <f>IF(I136&gt;0,SUMIFS('02d_AI_Accelerator_Power'!$J$2:$J$653,'02d_AI_Accelerator_Power'!$B$2:$B$653,A136,'02d_AI_Accelerator_Power'!$C$2:$C$653,B136,'02d_AI_Accelerator_Power'!$D$2:$D$653,C136,'02d_AI_Accelerator_Power'!$G$2:$G$653,"b200_reference")/I136,0.35)</f>
        <v/>
      </c>
      <c r="F136" s="6">
        <f>IF(I136&gt;0,SUMIFS('02d_AI_Accelerator_Power'!$J$2:$J$653,'02d_AI_Accelerator_Power'!$B$2:$B$653,A136,'02d_AI_Accelerator_Power'!$C$2:$C$653,B136,'02d_AI_Accelerator_Power'!$D$2:$D$653,C136,'02d_AI_Accelerator_Power'!$G$2:$G$653,"gb200_reference")/I136,0.55)</f>
        <v/>
      </c>
      <c r="G136" s="6">
        <f>IF(I136&gt;0,SUMIFS('02d_AI_Accelerator_Power'!$J$2:$J$653,'02d_AI_Accelerator_Power'!$B$2:$B$653,A136,'02d_AI_Accelerator_Power'!$C$2:$C$653,B136,'02d_AI_Accelerator_Power'!$D$2:$D$653,C136,'02d_AI_Accelerator_Power'!$G$2:$G$653,"purpose_or_unbenchmarked")/I136,0.0)</f>
        <v/>
      </c>
      <c r="H136" s="6">
        <f>SUM(D136:G136)</f>
        <v/>
      </c>
      <c r="I136" s="28">
        <f>SUMIFS('02d_AI_Accelerator_Power'!$J$2:$J$653,'02d_AI_Accelerator_Power'!$B$2:$B$653,A136,'02d_AI_Accelerator_Power'!$C$2:$C$653,B136,'02d_AI_Accelerator_Power'!$D$2:$D$653,C136)</f>
        <v/>
      </c>
      <c r="J136" s="6">
        <f>IF(I136&gt;0,SUMIFS('02d_AI_Accelerator_Power'!$J$2:$J$653,'02d_AI_Accelerator_Power'!$B$2:$B$653,A136,'02d_AI_Accelerator_Power'!$C$2:$C$653,B136,'02d_AI_Accelerator_Power'!$D$2:$D$653,C136,'02d_AI_Accelerator_Power'!$F$2:$F$653,"R200/R300 future")/I136,0)</f>
        <v/>
      </c>
      <c r="K136" s="6">
        <f>IF(I136&gt;0,SUMIFS('02d_AI_Accelerator_Power'!$J$2:$J$653,'02d_AI_Accelerator_Power'!$B$2:$B$653,A136,'02d_AI_Accelerator_Power'!$C$2:$C$653,B136,'02d_AI_Accelerator_Power'!$D$2:$D$653,C136,'02d_AI_Accelerator_Power'!$F$2:$F$653,"TPU")/I136,0)</f>
        <v/>
      </c>
      <c r="L136" s="6">
        <f>IF(I136&gt;0,SUMIFS('02d_AI_Accelerator_Power'!$J$2:$J$653,'02d_AI_Accelerator_Power'!$B$2:$B$653,A136,'02d_AI_Accelerator_Power'!$C$2:$C$653,B136,'02d_AI_Accelerator_Power'!$D$2:$D$653,C136,'02d_AI_Accelerator_Power'!$F$2:$F$653,"Trainium")/I136,0)</f>
        <v/>
      </c>
      <c r="M136" s="6">
        <f>IF(I136&gt;0,SUMIFS('02d_AI_Accelerator_Power'!$J$2:$J$653,'02d_AI_Accelerator_Power'!$B$2:$B$653,A136,'02d_AI_Accelerator_Power'!$C$2:$C$653,B136,'02d_AI_Accelerator_Power'!$D$2:$D$653,C136,'02d_AI_Accelerator_Power'!$F$2:$F$653,"Maia")/I136,0)</f>
        <v/>
      </c>
      <c r="N136" s="6">
        <f>IF(I136&gt;0,SUMIFS('02d_AI_Accelerator_Power'!$J$2:$J$653,'02d_AI_Accelerator_Power'!$B$2:$B$653,A136,'02d_AI_Accelerator_Power'!$C$2:$C$653,B136,'02d_AI_Accelerator_Power'!$D$2:$D$653,C136,'02d_AI_Accelerator_Power'!$F$2:$F$653,"MTIA")/I136,0)</f>
        <v/>
      </c>
      <c r="O136" s="6">
        <f>IF(I136&gt;0,SUMIFS('02d_AI_Accelerator_Power'!$J$2:$J$653,'02d_AI_Accelerator_Power'!$B$2:$B$653,A136,'02d_AI_Accelerator_Power'!$C$2:$C$653,B136,'02d_AI_Accelerator_Power'!$D$2:$D$653,C136,'02d_AI_Accelerator_Power'!$F$2:$F$653,"Other / unknown accelerator")/I136,0)</f>
        <v/>
      </c>
      <c r="P136" s="3" t="inlineStr">
        <is>
          <t>CSP contract normalized: company inference MW * (CSP total MW * AI contract share * inference share) / company contract inference weight, then multiplied by CSP accelerator rows.</t>
        </is>
      </c>
      <c r="Q136" s="3" t="inlineStr">
        <is>
          <t>csp_contract_share_x_csp_accelerator_mix</t>
        </is>
      </c>
      <c r="R136" s="3" t="inlineStr">
        <is>
          <t>Edit 02a CSP contract allocation, 02b CSP accelerator mix, or 02x accelerator catalog; 03_Calculation reads D:G from this sheet.</t>
        </is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6">
        <f>IF(I137&gt;0,SUMIFS('02d_AI_Accelerator_Power'!$J$2:$J$653,'02d_AI_Accelerator_Power'!$B$2:$B$653,A137,'02d_AI_Accelerator_Power'!$C$2:$C$653,B137,'02d_AI_Accelerator_Power'!$D$2:$D$653,C137,'02d_AI_Accelerator_Power'!$G$2:$G$653,"h200_reference")/I137,0.173278)</f>
        <v/>
      </c>
      <c r="E137" s="6">
        <f>IF(I137&gt;0,SUMIFS('02d_AI_Accelerator_Power'!$J$2:$J$653,'02d_AI_Accelerator_Power'!$B$2:$B$653,A137,'02d_AI_Accelerator_Power'!$C$2:$C$653,B137,'02d_AI_Accelerator_Power'!$D$2:$D$653,C137,'02d_AI_Accelerator_Power'!$G$2:$G$653,"b200_reference")/I137,0.826722)</f>
        <v/>
      </c>
      <c r="F137" s="6">
        <f>IF(I137&gt;0,SUMIFS('02d_AI_Accelerator_Power'!$J$2:$J$653,'02d_AI_Accelerator_Power'!$B$2:$B$653,A137,'02d_AI_Accelerator_Power'!$C$2:$C$653,B137,'02d_AI_Accelerator_Power'!$D$2:$D$653,C137,'02d_AI_Accelerator_Power'!$G$2:$G$653,"gb200_reference")/I137,0.0)</f>
        <v/>
      </c>
      <c r="G137" s="6">
        <f>IF(I137&gt;0,SUMIFS('02d_AI_Accelerator_Power'!$J$2:$J$653,'02d_AI_Accelerator_Power'!$B$2:$B$653,A137,'02d_AI_Accelerator_Power'!$C$2:$C$653,B137,'02d_AI_Accelerator_Power'!$D$2:$D$653,C137,'02d_AI_Accelerator_Power'!$G$2:$G$653,"purpose_or_unbenchmarked")/I137,0.0)</f>
        <v/>
      </c>
      <c r="H137" s="6">
        <f>SUM(D137:G137)</f>
        <v/>
      </c>
      <c r="I137" s="28">
        <f>SUMIFS('02d_AI_Accelerator_Power'!$J$2:$J$653,'02d_AI_Accelerator_Power'!$B$2:$B$653,A137,'02d_AI_Accelerator_Power'!$C$2:$C$653,B137,'02d_AI_Accelerator_Power'!$D$2:$D$653,C137)</f>
        <v/>
      </c>
      <c r="J137" s="6">
        <f>IF(I137&gt;0,SUMIFS('02d_AI_Accelerator_Power'!$J$2:$J$653,'02d_AI_Accelerator_Power'!$B$2:$B$653,A137,'02d_AI_Accelerator_Power'!$C$2:$C$653,B137,'02d_AI_Accelerator_Power'!$D$2:$D$653,C137,'02d_AI_Accelerator_Power'!$F$2:$F$653,"R200/R300 future")/I137,0)</f>
        <v/>
      </c>
      <c r="K137" s="6">
        <f>IF(I137&gt;0,SUMIFS('02d_AI_Accelerator_Power'!$J$2:$J$653,'02d_AI_Accelerator_Power'!$B$2:$B$653,A137,'02d_AI_Accelerator_Power'!$C$2:$C$653,B137,'02d_AI_Accelerator_Power'!$D$2:$D$653,C137,'02d_AI_Accelerator_Power'!$F$2:$F$653,"TPU")/I137,0)</f>
        <v/>
      </c>
      <c r="L137" s="6">
        <f>IF(I137&gt;0,SUMIFS('02d_AI_Accelerator_Power'!$J$2:$J$653,'02d_AI_Accelerator_Power'!$B$2:$B$653,A137,'02d_AI_Accelerator_Power'!$C$2:$C$653,B137,'02d_AI_Accelerator_Power'!$D$2:$D$653,C137,'02d_AI_Accelerator_Power'!$F$2:$F$653,"Trainium")/I137,0)</f>
        <v/>
      </c>
      <c r="M137" s="6">
        <f>IF(I137&gt;0,SUMIFS('02d_AI_Accelerator_Power'!$J$2:$J$653,'02d_AI_Accelerator_Power'!$B$2:$B$653,A137,'02d_AI_Accelerator_Power'!$C$2:$C$653,B137,'02d_AI_Accelerator_Power'!$D$2:$D$653,C137,'02d_AI_Accelerator_Power'!$F$2:$F$653,"Maia")/I137,0)</f>
        <v/>
      </c>
      <c r="N137" s="6">
        <f>IF(I137&gt;0,SUMIFS('02d_AI_Accelerator_Power'!$J$2:$J$653,'02d_AI_Accelerator_Power'!$B$2:$B$653,A137,'02d_AI_Accelerator_Power'!$C$2:$C$653,B137,'02d_AI_Accelerator_Power'!$D$2:$D$653,C137,'02d_AI_Accelerator_Power'!$F$2:$F$653,"MTIA")/I137,0)</f>
        <v/>
      </c>
      <c r="O137" s="6">
        <f>IF(I137&gt;0,SUMIFS('02d_AI_Accelerator_Power'!$J$2:$J$653,'02d_AI_Accelerator_Power'!$B$2:$B$653,A137,'02d_AI_Accelerator_Power'!$C$2:$C$653,B137,'02d_AI_Accelerator_Power'!$D$2:$D$653,C137,'02d_AI_Accelerator_Power'!$F$2:$F$653,"Other / unknown accelerator")/I137,0)</f>
        <v/>
      </c>
      <c r="P137" s="3" t="inlineStr">
        <is>
          <t>CSP contract normalized: company inference MW * (CSP total MW * AI contract share * inference share) / company contract inference weight, then multiplied by CSP accelerator rows.</t>
        </is>
      </c>
      <c r="Q137" s="3" t="inlineStr">
        <is>
          <t>csp_contract_share_x_csp_accelerator_mix</t>
        </is>
      </c>
      <c r="R137" s="3" t="inlineStr">
        <is>
          <t>Edit 02a CSP contract allocation, 02b CSP accelerator mix, or 02x accelerator catalog; 03_Calculation reads D:G from this sheet.</t>
        </is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6">
        <f>IF(I138&gt;0,SUMIFS('02d_AI_Accelerator_Power'!$J$2:$J$653,'02d_AI_Accelerator_Power'!$B$2:$B$653,A138,'02d_AI_Accelerator_Power'!$C$2:$C$653,B138,'02d_AI_Accelerator_Power'!$D$2:$D$653,C138,'02d_AI_Accelerator_Power'!$G$2:$G$653,"h200_reference")/I138,0.124979)</f>
        <v/>
      </c>
      <c r="E138" s="6">
        <f>IF(I138&gt;0,SUMIFS('02d_AI_Accelerator_Power'!$J$2:$J$653,'02d_AI_Accelerator_Power'!$B$2:$B$653,A138,'02d_AI_Accelerator_Power'!$C$2:$C$653,B138,'02d_AI_Accelerator_Power'!$D$2:$D$653,C138,'02d_AI_Accelerator_Power'!$G$2:$G$653,"b200_reference")/I138,0.875021)</f>
        <v/>
      </c>
      <c r="F138" s="6">
        <f>IF(I138&gt;0,SUMIFS('02d_AI_Accelerator_Power'!$J$2:$J$653,'02d_AI_Accelerator_Power'!$B$2:$B$653,A138,'02d_AI_Accelerator_Power'!$C$2:$C$653,B138,'02d_AI_Accelerator_Power'!$D$2:$D$653,C138,'02d_AI_Accelerator_Power'!$G$2:$G$653,"gb200_reference")/I138,0.0)</f>
        <v/>
      </c>
      <c r="G138" s="6">
        <f>IF(I138&gt;0,SUMIFS('02d_AI_Accelerator_Power'!$J$2:$J$653,'02d_AI_Accelerator_Power'!$B$2:$B$653,A138,'02d_AI_Accelerator_Power'!$C$2:$C$653,B138,'02d_AI_Accelerator_Power'!$D$2:$D$653,C138,'02d_AI_Accelerator_Power'!$G$2:$G$653,"purpose_or_unbenchmarked")/I138,0.0)</f>
        <v/>
      </c>
      <c r="H138" s="6">
        <f>SUM(D138:G138)</f>
        <v/>
      </c>
      <c r="I138" s="28">
        <f>SUMIFS('02d_AI_Accelerator_Power'!$J$2:$J$653,'02d_AI_Accelerator_Power'!$B$2:$B$653,A138,'02d_AI_Accelerator_Power'!$C$2:$C$653,B138,'02d_AI_Accelerator_Power'!$D$2:$D$653,C138)</f>
        <v/>
      </c>
      <c r="J138" s="6">
        <f>IF(I138&gt;0,SUMIFS('02d_AI_Accelerator_Power'!$J$2:$J$653,'02d_AI_Accelerator_Power'!$B$2:$B$653,A138,'02d_AI_Accelerator_Power'!$C$2:$C$653,B138,'02d_AI_Accelerator_Power'!$D$2:$D$653,C138,'02d_AI_Accelerator_Power'!$F$2:$F$653,"R200/R300 future")/I138,0)</f>
        <v/>
      </c>
      <c r="K138" s="6">
        <f>IF(I138&gt;0,SUMIFS('02d_AI_Accelerator_Power'!$J$2:$J$653,'02d_AI_Accelerator_Power'!$B$2:$B$653,A138,'02d_AI_Accelerator_Power'!$C$2:$C$653,B138,'02d_AI_Accelerator_Power'!$D$2:$D$653,C138,'02d_AI_Accelerator_Power'!$F$2:$F$653,"TPU")/I138,0)</f>
        <v/>
      </c>
      <c r="L138" s="6">
        <f>IF(I138&gt;0,SUMIFS('02d_AI_Accelerator_Power'!$J$2:$J$653,'02d_AI_Accelerator_Power'!$B$2:$B$653,A138,'02d_AI_Accelerator_Power'!$C$2:$C$653,B138,'02d_AI_Accelerator_Power'!$D$2:$D$653,C138,'02d_AI_Accelerator_Power'!$F$2:$F$653,"Trainium")/I138,0)</f>
        <v/>
      </c>
      <c r="M138" s="6">
        <f>IF(I138&gt;0,SUMIFS('02d_AI_Accelerator_Power'!$J$2:$J$653,'02d_AI_Accelerator_Power'!$B$2:$B$653,A138,'02d_AI_Accelerator_Power'!$C$2:$C$653,B138,'02d_AI_Accelerator_Power'!$D$2:$D$653,C138,'02d_AI_Accelerator_Power'!$F$2:$F$653,"Maia")/I138,0)</f>
        <v/>
      </c>
      <c r="N138" s="6">
        <f>IF(I138&gt;0,SUMIFS('02d_AI_Accelerator_Power'!$J$2:$J$653,'02d_AI_Accelerator_Power'!$B$2:$B$653,A138,'02d_AI_Accelerator_Power'!$C$2:$C$653,B138,'02d_AI_Accelerator_Power'!$D$2:$D$653,C138,'02d_AI_Accelerator_Power'!$F$2:$F$653,"MTIA")/I138,0)</f>
        <v/>
      </c>
      <c r="O138" s="6">
        <f>IF(I138&gt;0,SUMIFS('02d_AI_Accelerator_Power'!$J$2:$J$653,'02d_AI_Accelerator_Power'!$B$2:$B$653,A138,'02d_AI_Accelerator_Power'!$C$2:$C$653,B138,'02d_AI_Accelerator_Power'!$D$2:$D$653,C138,'02d_AI_Accelerator_Power'!$F$2:$F$653,"Other / unknown accelerator")/I138,0)</f>
        <v/>
      </c>
      <c r="P138" s="3" t="inlineStr">
        <is>
          <t>CSP contract normalized: company inference MW * (CSP total MW * AI contract share * inference share) / company contract inference weight, then multiplied by CSP accelerator rows.</t>
        </is>
      </c>
      <c r="Q138" s="3" t="inlineStr">
        <is>
          <t>csp_contract_share_x_csp_accelerator_mix</t>
        </is>
      </c>
      <c r="R138" s="3" t="inlineStr">
        <is>
          <t>Edit 02a CSP contract allocation, 02b CSP accelerator mix, or 02x accelerator catalog; 03_Calculation reads D:G from this sheet.</t>
        </is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6">
        <f>IF(I139&gt;0,SUMIFS('02d_AI_Accelerator_Power'!$J$2:$J$653,'02d_AI_Accelerator_Power'!$B$2:$B$653,A139,'02d_AI_Accelerator_Power'!$C$2:$C$653,B139,'02d_AI_Accelerator_Power'!$D$2:$D$653,C139,'02d_AI_Accelerator_Power'!$G$2:$G$653,"h200_reference")/I139,0.052258)</f>
        <v/>
      </c>
      <c r="E139" s="6">
        <f>IF(I139&gt;0,SUMIFS('02d_AI_Accelerator_Power'!$J$2:$J$653,'02d_AI_Accelerator_Power'!$B$2:$B$653,A139,'02d_AI_Accelerator_Power'!$C$2:$C$653,B139,'02d_AI_Accelerator_Power'!$D$2:$D$653,C139,'02d_AI_Accelerator_Power'!$G$2:$G$653,"b200_reference")/I139,0.947742)</f>
        <v/>
      </c>
      <c r="F139" s="6">
        <f>IF(I139&gt;0,SUMIFS('02d_AI_Accelerator_Power'!$J$2:$J$653,'02d_AI_Accelerator_Power'!$B$2:$B$653,A139,'02d_AI_Accelerator_Power'!$C$2:$C$653,B139,'02d_AI_Accelerator_Power'!$D$2:$D$653,C139,'02d_AI_Accelerator_Power'!$G$2:$G$653,"gb200_reference")/I139,0.0)</f>
        <v/>
      </c>
      <c r="G139" s="6">
        <f>IF(I139&gt;0,SUMIFS('02d_AI_Accelerator_Power'!$J$2:$J$653,'02d_AI_Accelerator_Power'!$B$2:$B$653,A139,'02d_AI_Accelerator_Power'!$C$2:$C$653,B139,'02d_AI_Accelerator_Power'!$D$2:$D$653,C139,'02d_AI_Accelerator_Power'!$G$2:$G$653,"purpose_or_unbenchmarked")/I139,0.0)</f>
        <v/>
      </c>
      <c r="H139" s="6">
        <f>SUM(D139:G139)</f>
        <v/>
      </c>
      <c r="I139" s="28">
        <f>SUMIFS('02d_AI_Accelerator_Power'!$J$2:$J$653,'02d_AI_Accelerator_Power'!$B$2:$B$653,A139,'02d_AI_Accelerator_Power'!$C$2:$C$653,B139,'02d_AI_Accelerator_Power'!$D$2:$D$653,C139)</f>
        <v/>
      </c>
      <c r="J139" s="6">
        <f>IF(I139&gt;0,SUMIFS('02d_AI_Accelerator_Power'!$J$2:$J$653,'02d_AI_Accelerator_Power'!$B$2:$B$653,A139,'02d_AI_Accelerator_Power'!$C$2:$C$653,B139,'02d_AI_Accelerator_Power'!$D$2:$D$653,C139,'02d_AI_Accelerator_Power'!$F$2:$F$653,"R200/R300 future")/I139,0)</f>
        <v/>
      </c>
      <c r="K139" s="6">
        <f>IF(I139&gt;0,SUMIFS('02d_AI_Accelerator_Power'!$J$2:$J$653,'02d_AI_Accelerator_Power'!$B$2:$B$653,A139,'02d_AI_Accelerator_Power'!$C$2:$C$653,B139,'02d_AI_Accelerator_Power'!$D$2:$D$653,C139,'02d_AI_Accelerator_Power'!$F$2:$F$653,"TPU")/I139,0)</f>
        <v/>
      </c>
      <c r="L139" s="6">
        <f>IF(I139&gt;0,SUMIFS('02d_AI_Accelerator_Power'!$J$2:$J$653,'02d_AI_Accelerator_Power'!$B$2:$B$653,A139,'02d_AI_Accelerator_Power'!$C$2:$C$653,B139,'02d_AI_Accelerator_Power'!$D$2:$D$653,C139,'02d_AI_Accelerator_Power'!$F$2:$F$653,"Trainium")/I139,0)</f>
        <v/>
      </c>
      <c r="M139" s="6">
        <f>IF(I139&gt;0,SUMIFS('02d_AI_Accelerator_Power'!$J$2:$J$653,'02d_AI_Accelerator_Power'!$B$2:$B$653,A139,'02d_AI_Accelerator_Power'!$C$2:$C$653,B139,'02d_AI_Accelerator_Power'!$D$2:$D$653,C139,'02d_AI_Accelerator_Power'!$F$2:$F$653,"Maia")/I139,0)</f>
        <v/>
      </c>
      <c r="N139" s="6">
        <f>IF(I139&gt;0,SUMIFS('02d_AI_Accelerator_Power'!$J$2:$J$653,'02d_AI_Accelerator_Power'!$B$2:$B$653,A139,'02d_AI_Accelerator_Power'!$C$2:$C$653,B139,'02d_AI_Accelerator_Power'!$D$2:$D$653,C139,'02d_AI_Accelerator_Power'!$F$2:$F$653,"MTIA")/I139,0)</f>
        <v/>
      </c>
      <c r="O139" s="6">
        <f>IF(I139&gt;0,SUMIFS('02d_AI_Accelerator_Power'!$J$2:$J$653,'02d_AI_Accelerator_Power'!$B$2:$B$653,A139,'02d_AI_Accelerator_Power'!$C$2:$C$653,B139,'02d_AI_Accelerator_Power'!$D$2:$D$653,C139,'02d_AI_Accelerator_Power'!$F$2:$F$653,"Other / unknown accelerator")/I139,0)</f>
        <v/>
      </c>
      <c r="P139" s="3" t="inlineStr">
        <is>
          <t>CSP contract normalized: company inference MW * (CSP total MW * AI contract share * inference share) / company contract inference weight, then multiplied by CSP accelerator rows.</t>
        </is>
      </c>
      <c r="Q139" s="3" t="inlineStr">
        <is>
          <t>csp_contract_share_x_csp_accelerator_mix</t>
        </is>
      </c>
      <c r="R139" s="3" t="inlineStr">
        <is>
          <t>Edit 02a CSP contract allocation, 02b CSP accelerator mix, or 02x accelerator catalog; 03_Calculation reads D:G from this sheet.</t>
        </is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6">
        <f>IF(I140&gt;0,SUMIFS('02d_AI_Accelerator_Power'!$J$2:$J$653,'02d_AI_Accelerator_Power'!$B$2:$B$653,A140,'02d_AI_Accelerator_Power'!$C$2:$C$653,B140,'02d_AI_Accelerator_Power'!$D$2:$D$653,C140,'02d_AI_Accelerator_Power'!$G$2:$G$653,"h200_reference")/I140,0.052258)</f>
        <v/>
      </c>
      <c r="E140" s="6">
        <f>IF(I140&gt;0,SUMIFS('02d_AI_Accelerator_Power'!$J$2:$J$653,'02d_AI_Accelerator_Power'!$B$2:$B$653,A140,'02d_AI_Accelerator_Power'!$C$2:$C$653,B140,'02d_AI_Accelerator_Power'!$D$2:$D$653,C140,'02d_AI_Accelerator_Power'!$G$2:$G$653,"b200_reference")/I140,0.947742)</f>
        <v/>
      </c>
      <c r="F140" s="6">
        <f>IF(I140&gt;0,SUMIFS('02d_AI_Accelerator_Power'!$J$2:$J$653,'02d_AI_Accelerator_Power'!$B$2:$B$653,A140,'02d_AI_Accelerator_Power'!$C$2:$C$653,B140,'02d_AI_Accelerator_Power'!$D$2:$D$653,C140,'02d_AI_Accelerator_Power'!$G$2:$G$653,"gb200_reference")/I140,0.0)</f>
        <v/>
      </c>
      <c r="G140" s="6">
        <f>IF(I140&gt;0,SUMIFS('02d_AI_Accelerator_Power'!$J$2:$J$653,'02d_AI_Accelerator_Power'!$B$2:$B$653,A140,'02d_AI_Accelerator_Power'!$C$2:$C$653,B140,'02d_AI_Accelerator_Power'!$D$2:$D$653,C140,'02d_AI_Accelerator_Power'!$G$2:$G$653,"purpose_or_unbenchmarked")/I140,0.0)</f>
        <v/>
      </c>
      <c r="H140" s="6">
        <f>SUM(D140:G140)</f>
        <v/>
      </c>
      <c r="I140" s="28">
        <f>SUMIFS('02d_AI_Accelerator_Power'!$J$2:$J$653,'02d_AI_Accelerator_Power'!$B$2:$B$653,A140,'02d_AI_Accelerator_Power'!$C$2:$C$653,B140,'02d_AI_Accelerator_Power'!$D$2:$D$653,C140)</f>
        <v/>
      </c>
      <c r="J140" s="6">
        <f>IF(I140&gt;0,SUMIFS('02d_AI_Accelerator_Power'!$J$2:$J$653,'02d_AI_Accelerator_Power'!$B$2:$B$653,A140,'02d_AI_Accelerator_Power'!$C$2:$C$653,B140,'02d_AI_Accelerator_Power'!$D$2:$D$653,C140,'02d_AI_Accelerator_Power'!$F$2:$F$653,"R200/R300 future")/I140,0)</f>
        <v/>
      </c>
      <c r="K140" s="6">
        <f>IF(I140&gt;0,SUMIFS('02d_AI_Accelerator_Power'!$J$2:$J$653,'02d_AI_Accelerator_Power'!$B$2:$B$653,A140,'02d_AI_Accelerator_Power'!$C$2:$C$653,B140,'02d_AI_Accelerator_Power'!$D$2:$D$653,C140,'02d_AI_Accelerator_Power'!$F$2:$F$653,"TPU")/I140,0)</f>
        <v/>
      </c>
      <c r="L140" s="6">
        <f>IF(I140&gt;0,SUMIFS('02d_AI_Accelerator_Power'!$J$2:$J$653,'02d_AI_Accelerator_Power'!$B$2:$B$653,A140,'02d_AI_Accelerator_Power'!$C$2:$C$653,B140,'02d_AI_Accelerator_Power'!$D$2:$D$653,C140,'02d_AI_Accelerator_Power'!$F$2:$F$653,"Trainium")/I140,0)</f>
        <v/>
      </c>
      <c r="M140" s="6">
        <f>IF(I140&gt;0,SUMIFS('02d_AI_Accelerator_Power'!$J$2:$J$653,'02d_AI_Accelerator_Power'!$B$2:$B$653,A140,'02d_AI_Accelerator_Power'!$C$2:$C$653,B140,'02d_AI_Accelerator_Power'!$D$2:$D$653,C140,'02d_AI_Accelerator_Power'!$F$2:$F$653,"Maia")/I140,0)</f>
        <v/>
      </c>
      <c r="N140" s="6">
        <f>IF(I140&gt;0,SUMIFS('02d_AI_Accelerator_Power'!$J$2:$J$653,'02d_AI_Accelerator_Power'!$B$2:$B$653,A140,'02d_AI_Accelerator_Power'!$C$2:$C$653,B140,'02d_AI_Accelerator_Power'!$D$2:$D$653,C140,'02d_AI_Accelerator_Power'!$F$2:$F$653,"MTIA")/I140,0)</f>
        <v/>
      </c>
      <c r="O140" s="6">
        <f>IF(I140&gt;0,SUMIFS('02d_AI_Accelerator_Power'!$J$2:$J$653,'02d_AI_Accelerator_Power'!$B$2:$B$653,A140,'02d_AI_Accelerator_Power'!$C$2:$C$653,B140,'02d_AI_Accelerator_Power'!$D$2:$D$653,C140,'02d_AI_Accelerator_Power'!$F$2:$F$653,"Other / unknown accelerator")/I140,0)</f>
        <v/>
      </c>
      <c r="P140" s="3" t="inlineStr">
        <is>
          <t>CSP contract normalized: company inference MW * (CSP total MW * AI contract share * inference share) / company contract inference weight, then multiplied by CSP accelerator rows.</t>
        </is>
      </c>
      <c r="Q140" s="3" t="inlineStr">
        <is>
          <t>csp_contract_share_x_csp_accelerator_mix</t>
        </is>
      </c>
      <c r="R140" s="3" t="inlineStr">
        <is>
          <t>Edit 02a CSP contract allocation, 02b CSP accelerator mix, or 02x accelerator catalog; 03_Calculation reads D:G from this sheet.</t>
        </is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6">
        <f>IF(I141&gt;0,SUMIFS('02d_AI_Accelerator_Power'!$J$2:$J$653,'02d_AI_Accelerator_Power'!$B$2:$B$653,A141,'02d_AI_Accelerator_Power'!$C$2:$C$653,B141,'02d_AI_Accelerator_Power'!$D$2:$D$653,C141,'02d_AI_Accelerator_Power'!$G$2:$G$653,"h200_reference")/I141,0.052258)</f>
        <v/>
      </c>
      <c r="E141" s="6">
        <f>IF(I141&gt;0,SUMIFS('02d_AI_Accelerator_Power'!$J$2:$J$653,'02d_AI_Accelerator_Power'!$B$2:$B$653,A141,'02d_AI_Accelerator_Power'!$C$2:$C$653,B141,'02d_AI_Accelerator_Power'!$D$2:$D$653,C141,'02d_AI_Accelerator_Power'!$G$2:$G$653,"b200_reference")/I141,0.947742)</f>
        <v/>
      </c>
      <c r="F141" s="6">
        <f>IF(I141&gt;0,SUMIFS('02d_AI_Accelerator_Power'!$J$2:$J$653,'02d_AI_Accelerator_Power'!$B$2:$B$653,A141,'02d_AI_Accelerator_Power'!$C$2:$C$653,B141,'02d_AI_Accelerator_Power'!$D$2:$D$653,C141,'02d_AI_Accelerator_Power'!$G$2:$G$653,"gb200_reference")/I141,0.0)</f>
        <v/>
      </c>
      <c r="G141" s="6">
        <f>IF(I141&gt;0,SUMIFS('02d_AI_Accelerator_Power'!$J$2:$J$653,'02d_AI_Accelerator_Power'!$B$2:$B$653,A141,'02d_AI_Accelerator_Power'!$C$2:$C$653,B141,'02d_AI_Accelerator_Power'!$D$2:$D$653,C141,'02d_AI_Accelerator_Power'!$G$2:$G$653,"purpose_or_unbenchmarked")/I141,0.0)</f>
        <v/>
      </c>
      <c r="H141" s="6">
        <f>SUM(D141:G141)</f>
        <v/>
      </c>
      <c r="I141" s="28">
        <f>SUMIFS('02d_AI_Accelerator_Power'!$J$2:$J$653,'02d_AI_Accelerator_Power'!$B$2:$B$653,A141,'02d_AI_Accelerator_Power'!$C$2:$C$653,B141,'02d_AI_Accelerator_Power'!$D$2:$D$653,C141)</f>
        <v/>
      </c>
      <c r="J141" s="6">
        <f>IF(I141&gt;0,SUMIFS('02d_AI_Accelerator_Power'!$J$2:$J$653,'02d_AI_Accelerator_Power'!$B$2:$B$653,A141,'02d_AI_Accelerator_Power'!$C$2:$C$653,B141,'02d_AI_Accelerator_Power'!$D$2:$D$653,C141,'02d_AI_Accelerator_Power'!$F$2:$F$653,"R200/R300 future")/I141,0)</f>
        <v/>
      </c>
      <c r="K141" s="6">
        <f>IF(I141&gt;0,SUMIFS('02d_AI_Accelerator_Power'!$J$2:$J$653,'02d_AI_Accelerator_Power'!$B$2:$B$653,A141,'02d_AI_Accelerator_Power'!$C$2:$C$653,B141,'02d_AI_Accelerator_Power'!$D$2:$D$653,C141,'02d_AI_Accelerator_Power'!$F$2:$F$653,"TPU")/I141,0)</f>
        <v/>
      </c>
      <c r="L141" s="6">
        <f>IF(I141&gt;0,SUMIFS('02d_AI_Accelerator_Power'!$J$2:$J$653,'02d_AI_Accelerator_Power'!$B$2:$B$653,A141,'02d_AI_Accelerator_Power'!$C$2:$C$653,B141,'02d_AI_Accelerator_Power'!$D$2:$D$653,C141,'02d_AI_Accelerator_Power'!$F$2:$F$653,"Trainium")/I141,0)</f>
        <v/>
      </c>
      <c r="M141" s="6">
        <f>IF(I141&gt;0,SUMIFS('02d_AI_Accelerator_Power'!$J$2:$J$653,'02d_AI_Accelerator_Power'!$B$2:$B$653,A141,'02d_AI_Accelerator_Power'!$C$2:$C$653,B141,'02d_AI_Accelerator_Power'!$D$2:$D$653,C141,'02d_AI_Accelerator_Power'!$F$2:$F$653,"Maia")/I141,0)</f>
        <v/>
      </c>
      <c r="N141" s="6">
        <f>IF(I141&gt;0,SUMIFS('02d_AI_Accelerator_Power'!$J$2:$J$653,'02d_AI_Accelerator_Power'!$B$2:$B$653,A141,'02d_AI_Accelerator_Power'!$C$2:$C$653,B141,'02d_AI_Accelerator_Power'!$D$2:$D$653,C141,'02d_AI_Accelerator_Power'!$F$2:$F$653,"MTIA")/I141,0)</f>
        <v/>
      </c>
      <c r="O141" s="6">
        <f>IF(I141&gt;0,SUMIFS('02d_AI_Accelerator_Power'!$J$2:$J$653,'02d_AI_Accelerator_Power'!$B$2:$B$653,A141,'02d_AI_Accelerator_Power'!$C$2:$C$653,B141,'02d_AI_Accelerator_Power'!$D$2:$D$653,C141,'02d_AI_Accelerator_Power'!$F$2:$F$653,"Other / unknown accelerator")/I141,0)</f>
        <v/>
      </c>
      <c r="P141" s="3" t="inlineStr">
        <is>
          <t>CSP contract normalized: company inference MW * (CSP total MW * AI contract share * inference share) / company contract inference weight, then multiplied by CSP accelerator rows.</t>
        </is>
      </c>
      <c r="Q141" s="3" t="inlineStr">
        <is>
          <t>csp_contract_share_x_csp_accelerator_mix</t>
        </is>
      </c>
      <c r="R141" s="3" t="inlineStr">
        <is>
          <t>Edit 02a CSP contract allocation, 02b CSP accelerator mix, or 02x accelerator catalog; 03_Calculation reads D:G from this sheet.</t>
        </is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6">
        <f>IF(I142&gt;0,SUMIFS('02d_AI_Accelerator_Power'!$J$2:$J$653,'02d_AI_Accelerator_Power'!$B$2:$B$653,A142,'02d_AI_Accelerator_Power'!$C$2:$C$653,B142,'02d_AI_Accelerator_Power'!$D$2:$D$653,C142,'02d_AI_Accelerator_Power'!$G$2:$G$653,"h200_reference")/I142,0.0)</f>
        <v/>
      </c>
      <c r="E142" s="6">
        <f>IF(I142&gt;0,SUMIFS('02d_AI_Accelerator_Power'!$J$2:$J$653,'02d_AI_Accelerator_Power'!$B$2:$B$653,A142,'02d_AI_Accelerator_Power'!$C$2:$C$653,B142,'02d_AI_Accelerator_Power'!$D$2:$D$653,C142,'02d_AI_Accelerator_Power'!$G$2:$G$653,"b200_reference")/I142,0.057223)</f>
        <v/>
      </c>
      <c r="F142" s="6">
        <f>IF(I142&gt;0,SUMIFS('02d_AI_Accelerator_Power'!$J$2:$J$653,'02d_AI_Accelerator_Power'!$B$2:$B$653,A142,'02d_AI_Accelerator_Power'!$C$2:$C$653,B142,'02d_AI_Accelerator_Power'!$D$2:$D$653,C142,'02d_AI_Accelerator_Power'!$G$2:$G$653,"gb200_reference")/I142,0.0)</f>
        <v/>
      </c>
      <c r="G142" s="6">
        <f>IF(I142&gt;0,SUMIFS('02d_AI_Accelerator_Power'!$J$2:$J$653,'02d_AI_Accelerator_Power'!$B$2:$B$653,A142,'02d_AI_Accelerator_Power'!$C$2:$C$653,B142,'02d_AI_Accelerator_Power'!$D$2:$D$653,C142,'02d_AI_Accelerator_Power'!$G$2:$G$653,"purpose_or_unbenchmarked")/I142,0.942777)</f>
        <v/>
      </c>
      <c r="H142" s="6">
        <f>SUM(D142:G142)</f>
        <v/>
      </c>
      <c r="I142" s="28">
        <f>SUMIFS('02d_AI_Accelerator_Power'!$J$2:$J$653,'02d_AI_Accelerator_Power'!$B$2:$B$653,A142,'02d_AI_Accelerator_Power'!$C$2:$C$653,B142,'02d_AI_Accelerator_Power'!$D$2:$D$653,C142)</f>
        <v/>
      </c>
      <c r="J142" s="6">
        <f>IF(I142&gt;0,SUMIFS('02d_AI_Accelerator_Power'!$J$2:$J$653,'02d_AI_Accelerator_Power'!$B$2:$B$653,A142,'02d_AI_Accelerator_Power'!$C$2:$C$653,B142,'02d_AI_Accelerator_Power'!$D$2:$D$653,C142,'02d_AI_Accelerator_Power'!$F$2:$F$653,"R200/R300 future")/I142,0)</f>
        <v/>
      </c>
      <c r="K142" s="6">
        <f>IF(I142&gt;0,SUMIFS('02d_AI_Accelerator_Power'!$J$2:$J$653,'02d_AI_Accelerator_Power'!$B$2:$B$653,A142,'02d_AI_Accelerator_Power'!$C$2:$C$653,B142,'02d_AI_Accelerator_Power'!$D$2:$D$653,C142,'02d_AI_Accelerator_Power'!$F$2:$F$653,"TPU")/I142,0)</f>
        <v/>
      </c>
      <c r="L142" s="6">
        <f>IF(I142&gt;0,SUMIFS('02d_AI_Accelerator_Power'!$J$2:$J$653,'02d_AI_Accelerator_Power'!$B$2:$B$653,A142,'02d_AI_Accelerator_Power'!$C$2:$C$653,B142,'02d_AI_Accelerator_Power'!$D$2:$D$653,C142,'02d_AI_Accelerator_Power'!$F$2:$F$653,"Trainium")/I142,0)</f>
        <v/>
      </c>
      <c r="M142" s="6">
        <f>IF(I142&gt;0,SUMIFS('02d_AI_Accelerator_Power'!$J$2:$J$653,'02d_AI_Accelerator_Power'!$B$2:$B$653,A142,'02d_AI_Accelerator_Power'!$C$2:$C$653,B142,'02d_AI_Accelerator_Power'!$D$2:$D$653,C142,'02d_AI_Accelerator_Power'!$F$2:$F$653,"Maia")/I142,0)</f>
        <v/>
      </c>
      <c r="N142" s="6">
        <f>IF(I142&gt;0,SUMIFS('02d_AI_Accelerator_Power'!$J$2:$J$653,'02d_AI_Accelerator_Power'!$B$2:$B$653,A142,'02d_AI_Accelerator_Power'!$C$2:$C$653,B142,'02d_AI_Accelerator_Power'!$D$2:$D$653,C142,'02d_AI_Accelerator_Power'!$F$2:$F$653,"MTIA")/I142,0)</f>
        <v/>
      </c>
      <c r="O142" s="6">
        <f>IF(I142&gt;0,SUMIFS('02d_AI_Accelerator_Power'!$J$2:$J$653,'02d_AI_Accelerator_Power'!$B$2:$B$653,A142,'02d_AI_Accelerator_Power'!$C$2:$C$653,B142,'02d_AI_Accelerator_Power'!$D$2:$D$653,C142,'02d_AI_Accelerator_Power'!$F$2:$F$653,"Other / unknown accelerator")/I142,0)</f>
        <v/>
      </c>
      <c r="P142" s="3" t="inlineStr">
        <is>
          <t>CSP contract normalized: company inference MW * (CSP total MW * AI contract share * inference share) / company contract inference weight, then multiplied by CSP accelerator rows.</t>
        </is>
      </c>
      <c r="Q142" s="3" t="inlineStr">
        <is>
          <t>csp_contract_share_x_csp_accelerator_mix</t>
        </is>
      </c>
      <c r="R142" s="3" t="inlineStr">
        <is>
          <t>Edit 02a CSP contract allocation, 02b CSP accelerator mix, or 02x accelerator catalog; 03_Calculation reads D:G from this sheet.</t>
        </is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6">
        <f>IF(I143&gt;0,SUMIFS('02d_AI_Accelerator_Power'!$J$2:$J$653,'02d_AI_Accelerator_Power'!$B$2:$B$653,A143,'02d_AI_Accelerator_Power'!$C$2:$C$653,B143,'02d_AI_Accelerator_Power'!$D$2:$D$653,C143,'02d_AI_Accelerator_Power'!$G$2:$G$653,"h200_reference")/I143,0.0)</f>
        <v/>
      </c>
      <c r="E143" s="6">
        <f>IF(I143&gt;0,SUMIFS('02d_AI_Accelerator_Power'!$J$2:$J$653,'02d_AI_Accelerator_Power'!$B$2:$B$653,A143,'02d_AI_Accelerator_Power'!$C$2:$C$653,B143,'02d_AI_Accelerator_Power'!$D$2:$D$653,C143,'02d_AI_Accelerator_Power'!$G$2:$G$653,"b200_reference")/I143,0.088811)</f>
        <v/>
      </c>
      <c r="F143" s="6">
        <f>IF(I143&gt;0,SUMIFS('02d_AI_Accelerator_Power'!$J$2:$J$653,'02d_AI_Accelerator_Power'!$B$2:$B$653,A143,'02d_AI_Accelerator_Power'!$C$2:$C$653,B143,'02d_AI_Accelerator_Power'!$D$2:$D$653,C143,'02d_AI_Accelerator_Power'!$G$2:$G$653,"gb200_reference")/I143,0.0)</f>
        <v/>
      </c>
      <c r="G143" s="6">
        <f>IF(I143&gt;0,SUMIFS('02d_AI_Accelerator_Power'!$J$2:$J$653,'02d_AI_Accelerator_Power'!$B$2:$B$653,A143,'02d_AI_Accelerator_Power'!$C$2:$C$653,B143,'02d_AI_Accelerator_Power'!$D$2:$D$653,C143,'02d_AI_Accelerator_Power'!$G$2:$G$653,"purpose_or_unbenchmarked")/I143,0.911189)</f>
        <v/>
      </c>
      <c r="H143" s="6">
        <f>SUM(D143:G143)</f>
        <v/>
      </c>
      <c r="I143" s="28">
        <f>SUMIFS('02d_AI_Accelerator_Power'!$J$2:$J$653,'02d_AI_Accelerator_Power'!$B$2:$B$653,A143,'02d_AI_Accelerator_Power'!$C$2:$C$653,B143,'02d_AI_Accelerator_Power'!$D$2:$D$653,C143)</f>
        <v/>
      </c>
      <c r="J143" s="6">
        <f>IF(I143&gt;0,SUMIFS('02d_AI_Accelerator_Power'!$J$2:$J$653,'02d_AI_Accelerator_Power'!$B$2:$B$653,A143,'02d_AI_Accelerator_Power'!$C$2:$C$653,B143,'02d_AI_Accelerator_Power'!$D$2:$D$653,C143,'02d_AI_Accelerator_Power'!$F$2:$F$653,"R200/R300 future")/I143,0)</f>
        <v/>
      </c>
      <c r="K143" s="6">
        <f>IF(I143&gt;0,SUMIFS('02d_AI_Accelerator_Power'!$J$2:$J$653,'02d_AI_Accelerator_Power'!$B$2:$B$653,A143,'02d_AI_Accelerator_Power'!$C$2:$C$653,B143,'02d_AI_Accelerator_Power'!$D$2:$D$653,C143,'02d_AI_Accelerator_Power'!$F$2:$F$653,"TPU")/I143,0)</f>
        <v/>
      </c>
      <c r="L143" s="6">
        <f>IF(I143&gt;0,SUMIFS('02d_AI_Accelerator_Power'!$J$2:$J$653,'02d_AI_Accelerator_Power'!$B$2:$B$653,A143,'02d_AI_Accelerator_Power'!$C$2:$C$653,B143,'02d_AI_Accelerator_Power'!$D$2:$D$653,C143,'02d_AI_Accelerator_Power'!$F$2:$F$653,"Trainium")/I143,0)</f>
        <v/>
      </c>
      <c r="M143" s="6">
        <f>IF(I143&gt;0,SUMIFS('02d_AI_Accelerator_Power'!$J$2:$J$653,'02d_AI_Accelerator_Power'!$B$2:$B$653,A143,'02d_AI_Accelerator_Power'!$C$2:$C$653,B143,'02d_AI_Accelerator_Power'!$D$2:$D$653,C143,'02d_AI_Accelerator_Power'!$F$2:$F$653,"Maia")/I143,0)</f>
        <v/>
      </c>
      <c r="N143" s="6">
        <f>IF(I143&gt;0,SUMIFS('02d_AI_Accelerator_Power'!$J$2:$J$653,'02d_AI_Accelerator_Power'!$B$2:$B$653,A143,'02d_AI_Accelerator_Power'!$C$2:$C$653,B143,'02d_AI_Accelerator_Power'!$D$2:$D$653,C143,'02d_AI_Accelerator_Power'!$F$2:$F$653,"MTIA")/I143,0)</f>
        <v/>
      </c>
      <c r="O143" s="6">
        <f>IF(I143&gt;0,SUMIFS('02d_AI_Accelerator_Power'!$J$2:$J$653,'02d_AI_Accelerator_Power'!$B$2:$B$653,A143,'02d_AI_Accelerator_Power'!$C$2:$C$653,B143,'02d_AI_Accelerator_Power'!$D$2:$D$653,C143,'02d_AI_Accelerator_Power'!$F$2:$F$653,"Other / unknown accelerator")/I143,0)</f>
        <v/>
      </c>
      <c r="P143" s="3" t="inlineStr">
        <is>
          <t>CSP contract normalized: company inference MW * (CSP total MW * AI contract share * inference share) / company contract inference weight, then multiplied by CSP accelerator rows.</t>
        </is>
      </c>
      <c r="Q143" s="3" t="inlineStr">
        <is>
          <t>csp_contract_share_x_csp_accelerator_mix</t>
        </is>
      </c>
      <c r="R143" s="3" t="inlineStr">
        <is>
          <t>Edit 02a CSP contract allocation, 02b CSP accelerator mix, or 02x accelerator catalog; 03_Calculation reads D:G from this sheet.</t>
        </is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6">
        <f>IF(I144&gt;0,SUMIFS('02d_AI_Accelerator_Power'!$J$2:$J$653,'02d_AI_Accelerator_Power'!$B$2:$B$653,A144,'02d_AI_Accelerator_Power'!$C$2:$C$653,B144,'02d_AI_Accelerator_Power'!$D$2:$D$653,C144,'02d_AI_Accelerator_Power'!$G$2:$G$653,"h200_reference")/I144,0.0)</f>
        <v/>
      </c>
      <c r="E144" s="6">
        <f>IF(I144&gt;0,SUMIFS('02d_AI_Accelerator_Power'!$J$2:$J$653,'02d_AI_Accelerator_Power'!$B$2:$B$653,A144,'02d_AI_Accelerator_Power'!$C$2:$C$653,B144,'02d_AI_Accelerator_Power'!$D$2:$D$653,C144,'02d_AI_Accelerator_Power'!$G$2:$G$653,"b200_reference")/I144,0.088811)</f>
        <v/>
      </c>
      <c r="F144" s="6">
        <f>IF(I144&gt;0,SUMIFS('02d_AI_Accelerator_Power'!$J$2:$J$653,'02d_AI_Accelerator_Power'!$B$2:$B$653,A144,'02d_AI_Accelerator_Power'!$C$2:$C$653,B144,'02d_AI_Accelerator_Power'!$D$2:$D$653,C144,'02d_AI_Accelerator_Power'!$G$2:$G$653,"gb200_reference")/I144,0.0)</f>
        <v/>
      </c>
      <c r="G144" s="6">
        <f>IF(I144&gt;0,SUMIFS('02d_AI_Accelerator_Power'!$J$2:$J$653,'02d_AI_Accelerator_Power'!$B$2:$B$653,A144,'02d_AI_Accelerator_Power'!$C$2:$C$653,B144,'02d_AI_Accelerator_Power'!$D$2:$D$653,C144,'02d_AI_Accelerator_Power'!$G$2:$G$653,"purpose_or_unbenchmarked")/I144,0.911189)</f>
        <v/>
      </c>
      <c r="H144" s="6">
        <f>SUM(D144:G144)</f>
        <v/>
      </c>
      <c r="I144" s="28">
        <f>SUMIFS('02d_AI_Accelerator_Power'!$J$2:$J$653,'02d_AI_Accelerator_Power'!$B$2:$B$653,A144,'02d_AI_Accelerator_Power'!$C$2:$C$653,B144,'02d_AI_Accelerator_Power'!$D$2:$D$653,C144)</f>
        <v/>
      </c>
      <c r="J144" s="6">
        <f>IF(I144&gt;0,SUMIFS('02d_AI_Accelerator_Power'!$J$2:$J$653,'02d_AI_Accelerator_Power'!$B$2:$B$653,A144,'02d_AI_Accelerator_Power'!$C$2:$C$653,B144,'02d_AI_Accelerator_Power'!$D$2:$D$653,C144,'02d_AI_Accelerator_Power'!$F$2:$F$653,"R200/R300 future")/I144,0)</f>
        <v/>
      </c>
      <c r="K144" s="6">
        <f>IF(I144&gt;0,SUMIFS('02d_AI_Accelerator_Power'!$J$2:$J$653,'02d_AI_Accelerator_Power'!$B$2:$B$653,A144,'02d_AI_Accelerator_Power'!$C$2:$C$653,B144,'02d_AI_Accelerator_Power'!$D$2:$D$653,C144,'02d_AI_Accelerator_Power'!$F$2:$F$653,"TPU")/I144,0)</f>
        <v/>
      </c>
      <c r="L144" s="6">
        <f>IF(I144&gt;0,SUMIFS('02d_AI_Accelerator_Power'!$J$2:$J$653,'02d_AI_Accelerator_Power'!$B$2:$B$653,A144,'02d_AI_Accelerator_Power'!$C$2:$C$653,B144,'02d_AI_Accelerator_Power'!$D$2:$D$653,C144,'02d_AI_Accelerator_Power'!$F$2:$F$653,"Trainium")/I144,0)</f>
        <v/>
      </c>
      <c r="M144" s="6">
        <f>IF(I144&gt;0,SUMIFS('02d_AI_Accelerator_Power'!$J$2:$J$653,'02d_AI_Accelerator_Power'!$B$2:$B$653,A144,'02d_AI_Accelerator_Power'!$C$2:$C$653,B144,'02d_AI_Accelerator_Power'!$D$2:$D$653,C144,'02d_AI_Accelerator_Power'!$F$2:$F$653,"Maia")/I144,0)</f>
        <v/>
      </c>
      <c r="N144" s="6">
        <f>IF(I144&gt;0,SUMIFS('02d_AI_Accelerator_Power'!$J$2:$J$653,'02d_AI_Accelerator_Power'!$B$2:$B$653,A144,'02d_AI_Accelerator_Power'!$C$2:$C$653,B144,'02d_AI_Accelerator_Power'!$D$2:$D$653,C144,'02d_AI_Accelerator_Power'!$F$2:$F$653,"MTIA")/I144,0)</f>
        <v/>
      </c>
      <c r="O144" s="6">
        <f>IF(I144&gt;0,SUMIFS('02d_AI_Accelerator_Power'!$J$2:$J$653,'02d_AI_Accelerator_Power'!$B$2:$B$653,A144,'02d_AI_Accelerator_Power'!$C$2:$C$653,B144,'02d_AI_Accelerator_Power'!$D$2:$D$653,C144,'02d_AI_Accelerator_Power'!$F$2:$F$653,"Other / unknown accelerator")/I144,0)</f>
        <v/>
      </c>
      <c r="P144" s="3" t="inlineStr">
        <is>
          <t>CSP contract normalized: company inference MW * (CSP total MW * AI contract share * inference share) / company contract inference weight, then multiplied by CSP accelerator rows.</t>
        </is>
      </c>
      <c r="Q144" s="3" t="inlineStr">
        <is>
          <t>csp_contract_share_x_csp_accelerator_mix</t>
        </is>
      </c>
      <c r="R144" s="3" t="inlineStr">
        <is>
          <t>Edit 02a CSP contract allocation, 02b CSP accelerator mix, or 02x accelerator catalog; 03_Calculation reads D:G from this sheet.</t>
        </is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6">
        <f>IF(I145&gt;0,SUMIFS('02d_AI_Accelerator_Power'!$J$2:$J$653,'02d_AI_Accelerator_Power'!$B$2:$B$653,A145,'02d_AI_Accelerator_Power'!$C$2:$C$653,B145,'02d_AI_Accelerator_Power'!$D$2:$D$653,C145,'02d_AI_Accelerator_Power'!$G$2:$G$653,"h200_reference")/I145,0.0)</f>
        <v/>
      </c>
      <c r="E145" s="6">
        <f>IF(I145&gt;0,SUMIFS('02d_AI_Accelerator_Power'!$J$2:$J$653,'02d_AI_Accelerator_Power'!$B$2:$B$653,A145,'02d_AI_Accelerator_Power'!$C$2:$C$653,B145,'02d_AI_Accelerator_Power'!$D$2:$D$653,C145,'02d_AI_Accelerator_Power'!$G$2:$G$653,"b200_reference")/I145,0.088811)</f>
        <v/>
      </c>
      <c r="F145" s="6">
        <f>IF(I145&gt;0,SUMIFS('02d_AI_Accelerator_Power'!$J$2:$J$653,'02d_AI_Accelerator_Power'!$B$2:$B$653,A145,'02d_AI_Accelerator_Power'!$C$2:$C$653,B145,'02d_AI_Accelerator_Power'!$D$2:$D$653,C145,'02d_AI_Accelerator_Power'!$G$2:$G$653,"gb200_reference")/I145,0.0)</f>
        <v/>
      </c>
      <c r="G145" s="6">
        <f>IF(I145&gt;0,SUMIFS('02d_AI_Accelerator_Power'!$J$2:$J$653,'02d_AI_Accelerator_Power'!$B$2:$B$653,A145,'02d_AI_Accelerator_Power'!$C$2:$C$653,B145,'02d_AI_Accelerator_Power'!$D$2:$D$653,C145,'02d_AI_Accelerator_Power'!$G$2:$G$653,"purpose_or_unbenchmarked")/I145,0.911189)</f>
        <v/>
      </c>
      <c r="H145" s="6">
        <f>SUM(D145:G145)</f>
        <v/>
      </c>
      <c r="I145" s="28">
        <f>SUMIFS('02d_AI_Accelerator_Power'!$J$2:$J$653,'02d_AI_Accelerator_Power'!$B$2:$B$653,A145,'02d_AI_Accelerator_Power'!$C$2:$C$653,B145,'02d_AI_Accelerator_Power'!$D$2:$D$653,C145)</f>
        <v/>
      </c>
      <c r="J145" s="6">
        <f>IF(I145&gt;0,SUMIFS('02d_AI_Accelerator_Power'!$J$2:$J$653,'02d_AI_Accelerator_Power'!$B$2:$B$653,A145,'02d_AI_Accelerator_Power'!$C$2:$C$653,B145,'02d_AI_Accelerator_Power'!$D$2:$D$653,C145,'02d_AI_Accelerator_Power'!$F$2:$F$653,"R200/R300 future")/I145,0)</f>
        <v/>
      </c>
      <c r="K145" s="6">
        <f>IF(I145&gt;0,SUMIFS('02d_AI_Accelerator_Power'!$J$2:$J$653,'02d_AI_Accelerator_Power'!$B$2:$B$653,A145,'02d_AI_Accelerator_Power'!$C$2:$C$653,B145,'02d_AI_Accelerator_Power'!$D$2:$D$653,C145,'02d_AI_Accelerator_Power'!$F$2:$F$653,"TPU")/I145,0)</f>
        <v/>
      </c>
      <c r="L145" s="6">
        <f>IF(I145&gt;0,SUMIFS('02d_AI_Accelerator_Power'!$J$2:$J$653,'02d_AI_Accelerator_Power'!$B$2:$B$653,A145,'02d_AI_Accelerator_Power'!$C$2:$C$653,B145,'02d_AI_Accelerator_Power'!$D$2:$D$653,C145,'02d_AI_Accelerator_Power'!$F$2:$F$653,"Trainium")/I145,0)</f>
        <v/>
      </c>
      <c r="M145" s="6">
        <f>IF(I145&gt;0,SUMIFS('02d_AI_Accelerator_Power'!$J$2:$J$653,'02d_AI_Accelerator_Power'!$B$2:$B$653,A145,'02d_AI_Accelerator_Power'!$C$2:$C$653,B145,'02d_AI_Accelerator_Power'!$D$2:$D$653,C145,'02d_AI_Accelerator_Power'!$F$2:$F$653,"Maia")/I145,0)</f>
        <v/>
      </c>
      <c r="N145" s="6">
        <f>IF(I145&gt;0,SUMIFS('02d_AI_Accelerator_Power'!$J$2:$J$653,'02d_AI_Accelerator_Power'!$B$2:$B$653,A145,'02d_AI_Accelerator_Power'!$C$2:$C$653,B145,'02d_AI_Accelerator_Power'!$D$2:$D$653,C145,'02d_AI_Accelerator_Power'!$F$2:$F$653,"MTIA")/I145,0)</f>
        <v/>
      </c>
      <c r="O145" s="6">
        <f>IF(I145&gt;0,SUMIFS('02d_AI_Accelerator_Power'!$J$2:$J$653,'02d_AI_Accelerator_Power'!$B$2:$B$653,A145,'02d_AI_Accelerator_Power'!$C$2:$C$653,B145,'02d_AI_Accelerator_Power'!$D$2:$D$653,C145,'02d_AI_Accelerator_Power'!$F$2:$F$653,"Other / unknown accelerator")/I145,0)</f>
        <v/>
      </c>
      <c r="P145" s="3" t="inlineStr">
        <is>
          <t>CSP contract normalized: company inference MW * (CSP total MW * AI contract share * inference share) / company contract inference weight, then multiplied by CSP accelerator rows.</t>
        </is>
      </c>
      <c r="Q145" s="3" t="inlineStr">
        <is>
          <t>csp_contract_share_x_csp_accelerator_mix</t>
        </is>
      </c>
      <c r="R145" s="3" t="inlineStr">
        <is>
          <t>Edit 02a CSP contract allocation, 02b CSP accelerator mix, or 02x accelerator catalog; 03_Calculation reads D:G from this sheet.</t>
        </is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6">
        <f>IF(I146&gt;0,SUMIFS('02d_AI_Accelerator_Power'!$J$2:$J$653,'02d_AI_Accelerator_Power'!$B$2:$B$653,A146,'02d_AI_Accelerator_Power'!$C$2:$C$653,B146,'02d_AI_Accelerator_Power'!$D$2:$D$653,C146,'02d_AI_Accelerator_Power'!$G$2:$G$653,"h200_reference")/I146,0.0)</f>
        <v/>
      </c>
      <c r="E146" s="6">
        <f>IF(I146&gt;0,SUMIFS('02d_AI_Accelerator_Power'!$J$2:$J$653,'02d_AI_Accelerator_Power'!$B$2:$B$653,A146,'02d_AI_Accelerator_Power'!$C$2:$C$653,B146,'02d_AI_Accelerator_Power'!$D$2:$D$653,C146,'02d_AI_Accelerator_Power'!$G$2:$G$653,"b200_reference")/I146,0.088811)</f>
        <v/>
      </c>
      <c r="F146" s="6">
        <f>IF(I146&gt;0,SUMIFS('02d_AI_Accelerator_Power'!$J$2:$J$653,'02d_AI_Accelerator_Power'!$B$2:$B$653,A146,'02d_AI_Accelerator_Power'!$C$2:$C$653,B146,'02d_AI_Accelerator_Power'!$D$2:$D$653,C146,'02d_AI_Accelerator_Power'!$G$2:$G$653,"gb200_reference")/I146,0.0)</f>
        <v/>
      </c>
      <c r="G146" s="6">
        <f>IF(I146&gt;0,SUMIFS('02d_AI_Accelerator_Power'!$J$2:$J$653,'02d_AI_Accelerator_Power'!$B$2:$B$653,A146,'02d_AI_Accelerator_Power'!$C$2:$C$653,B146,'02d_AI_Accelerator_Power'!$D$2:$D$653,C146,'02d_AI_Accelerator_Power'!$G$2:$G$653,"purpose_or_unbenchmarked")/I146,0.911189)</f>
        <v/>
      </c>
      <c r="H146" s="6">
        <f>SUM(D146:G146)</f>
        <v/>
      </c>
      <c r="I146" s="28">
        <f>SUMIFS('02d_AI_Accelerator_Power'!$J$2:$J$653,'02d_AI_Accelerator_Power'!$B$2:$B$653,A146,'02d_AI_Accelerator_Power'!$C$2:$C$653,B146,'02d_AI_Accelerator_Power'!$D$2:$D$653,C146)</f>
        <v/>
      </c>
      <c r="J146" s="6">
        <f>IF(I146&gt;0,SUMIFS('02d_AI_Accelerator_Power'!$J$2:$J$653,'02d_AI_Accelerator_Power'!$B$2:$B$653,A146,'02d_AI_Accelerator_Power'!$C$2:$C$653,B146,'02d_AI_Accelerator_Power'!$D$2:$D$653,C146,'02d_AI_Accelerator_Power'!$F$2:$F$653,"R200/R300 future")/I146,0)</f>
        <v/>
      </c>
      <c r="K146" s="6">
        <f>IF(I146&gt;0,SUMIFS('02d_AI_Accelerator_Power'!$J$2:$J$653,'02d_AI_Accelerator_Power'!$B$2:$B$653,A146,'02d_AI_Accelerator_Power'!$C$2:$C$653,B146,'02d_AI_Accelerator_Power'!$D$2:$D$653,C146,'02d_AI_Accelerator_Power'!$F$2:$F$653,"TPU")/I146,0)</f>
        <v/>
      </c>
      <c r="L146" s="6">
        <f>IF(I146&gt;0,SUMIFS('02d_AI_Accelerator_Power'!$J$2:$J$653,'02d_AI_Accelerator_Power'!$B$2:$B$653,A146,'02d_AI_Accelerator_Power'!$C$2:$C$653,B146,'02d_AI_Accelerator_Power'!$D$2:$D$653,C146,'02d_AI_Accelerator_Power'!$F$2:$F$653,"Trainium")/I146,0)</f>
        <v/>
      </c>
      <c r="M146" s="6">
        <f>IF(I146&gt;0,SUMIFS('02d_AI_Accelerator_Power'!$J$2:$J$653,'02d_AI_Accelerator_Power'!$B$2:$B$653,A146,'02d_AI_Accelerator_Power'!$C$2:$C$653,B146,'02d_AI_Accelerator_Power'!$D$2:$D$653,C146,'02d_AI_Accelerator_Power'!$F$2:$F$653,"Maia")/I146,0)</f>
        <v/>
      </c>
      <c r="N146" s="6">
        <f>IF(I146&gt;0,SUMIFS('02d_AI_Accelerator_Power'!$J$2:$J$653,'02d_AI_Accelerator_Power'!$B$2:$B$653,A146,'02d_AI_Accelerator_Power'!$C$2:$C$653,B146,'02d_AI_Accelerator_Power'!$D$2:$D$653,C146,'02d_AI_Accelerator_Power'!$F$2:$F$653,"MTIA")/I146,0)</f>
        <v/>
      </c>
      <c r="O146" s="6">
        <f>IF(I146&gt;0,SUMIFS('02d_AI_Accelerator_Power'!$J$2:$J$653,'02d_AI_Accelerator_Power'!$B$2:$B$653,A146,'02d_AI_Accelerator_Power'!$C$2:$C$653,B146,'02d_AI_Accelerator_Power'!$D$2:$D$653,C146,'02d_AI_Accelerator_Power'!$F$2:$F$653,"Other / unknown accelerator")/I146,0)</f>
        <v/>
      </c>
      <c r="P146" s="3" t="inlineStr">
        <is>
          <t>CSP contract normalized: company inference MW * (CSP total MW * AI contract share * inference share) / company contract inference weight, then multiplied by CSP accelerator rows.</t>
        </is>
      </c>
      <c r="Q146" s="3" t="inlineStr">
        <is>
          <t>csp_contract_share_x_csp_accelerator_mix</t>
        </is>
      </c>
      <c r="R146" s="3" t="inlineStr">
        <is>
          <t>Edit 02a CSP contract allocation, 02b CSP accelerator mix, or 02x accelerator catalog; 03_Calculation reads D:G from this sheet.</t>
        </is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6">
        <f>IF(I147&gt;0,SUMIFS('02d_AI_Accelerator_Power'!$J$2:$J$653,'02d_AI_Accelerator_Power'!$B$2:$B$653,A147,'02d_AI_Accelerator_Power'!$C$2:$C$653,B147,'02d_AI_Accelerator_Power'!$D$2:$D$653,C147,'02d_AI_Accelerator_Power'!$G$2:$G$653,"h200_reference")/I147,0.09603)</f>
        <v/>
      </c>
      <c r="E147" s="6">
        <f>IF(I147&gt;0,SUMIFS('02d_AI_Accelerator_Power'!$J$2:$J$653,'02d_AI_Accelerator_Power'!$B$2:$B$653,A147,'02d_AI_Accelerator_Power'!$C$2:$C$653,B147,'02d_AI_Accelerator_Power'!$D$2:$D$653,C147,'02d_AI_Accelerator_Power'!$G$2:$G$653,"b200_reference")/I147,0.90397)</f>
        <v/>
      </c>
      <c r="F147" s="6">
        <f>IF(I147&gt;0,SUMIFS('02d_AI_Accelerator_Power'!$J$2:$J$653,'02d_AI_Accelerator_Power'!$B$2:$B$653,A147,'02d_AI_Accelerator_Power'!$C$2:$C$653,B147,'02d_AI_Accelerator_Power'!$D$2:$D$653,C147,'02d_AI_Accelerator_Power'!$G$2:$G$653,"gb200_reference")/I147,0.0)</f>
        <v/>
      </c>
      <c r="G147" s="6">
        <f>IF(I147&gt;0,SUMIFS('02d_AI_Accelerator_Power'!$J$2:$J$653,'02d_AI_Accelerator_Power'!$B$2:$B$653,A147,'02d_AI_Accelerator_Power'!$C$2:$C$653,B147,'02d_AI_Accelerator_Power'!$D$2:$D$653,C147,'02d_AI_Accelerator_Power'!$G$2:$G$653,"purpose_or_unbenchmarked")/I147,0.0)</f>
        <v/>
      </c>
      <c r="H147" s="6">
        <f>SUM(D147:G147)</f>
        <v/>
      </c>
      <c r="I147" s="28">
        <f>SUMIFS('02d_AI_Accelerator_Power'!$J$2:$J$653,'02d_AI_Accelerator_Power'!$B$2:$B$653,A147,'02d_AI_Accelerator_Power'!$C$2:$C$653,B147,'02d_AI_Accelerator_Power'!$D$2:$D$653,C147)</f>
        <v/>
      </c>
      <c r="J147" s="6">
        <f>IF(I147&gt;0,SUMIFS('02d_AI_Accelerator_Power'!$J$2:$J$653,'02d_AI_Accelerator_Power'!$B$2:$B$653,A147,'02d_AI_Accelerator_Power'!$C$2:$C$653,B147,'02d_AI_Accelerator_Power'!$D$2:$D$653,C147,'02d_AI_Accelerator_Power'!$F$2:$F$653,"R200/R300 future")/I147,0)</f>
        <v/>
      </c>
      <c r="K147" s="6">
        <f>IF(I147&gt;0,SUMIFS('02d_AI_Accelerator_Power'!$J$2:$J$653,'02d_AI_Accelerator_Power'!$B$2:$B$653,A147,'02d_AI_Accelerator_Power'!$C$2:$C$653,B147,'02d_AI_Accelerator_Power'!$D$2:$D$653,C147,'02d_AI_Accelerator_Power'!$F$2:$F$653,"TPU")/I147,0)</f>
        <v/>
      </c>
      <c r="L147" s="6">
        <f>IF(I147&gt;0,SUMIFS('02d_AI_Accelerator_Power'!$J$2:$J$653,'02d_AI_Accelerator_Power'!$B$2:$B$653,A147,'02d_AI_Accelerator_Power'!$C$2:$C$653,B147,'02d_AI_Accelerator_Power'!$D$2:$D$653,C147,'02d_AI_Accelerator_Power'!$F$2:$F$653,"Trainium")/I147,0)</f>
        <v/>
      </c>
      <c r="M147" s="6">
        <f>IF(I147&gt;0,SUMIFS('02d_AI_Accelerator_Power'!$J$2:$J$653,'02d_AI_Accelerator_Power'!$B$2:$B$653,A147,'02d_AI_Accelerator_Power'!$C$2:$C$653,B147,'02d_AI_Accelerator_Power'!$D$2:$D$653,C147,'02d_AI_Accelerator_Power'!$F$2:$F$653,"Maia")/I147,0)</f>
        <v/>
      </c>
      <c r="N147" s="6">
        <f>IF(I147&gt;0,SUMIFS('02d_AI_Accelerator_Power'!$J$2:$J$653,'02d_AI_Accelerator_Power'!$B$2:$B$653,A147,'02d_AI_Accelerator_Power'!$C$2:$C$653,B147,'02d_AI_Accelerator_Power'!$D$2:$D$653,C147,'02d_AI_Accelerator_Power'!$F$2:$F$653,"MTIA")/I147,0)</f>
        <v/>
      </c>
      <c r="O147" s="6">
        <f>IF(I147&gt;0,SUMIFS('02d_AI_Accelerator_Power'!$J$2:$J$653,'02d_AI_Accelerator_Power'!$B$2:$B$653,A147,'02d_AI_Accelerator_Power'!$C$2:$C$653,B147,'02d_AI_Accelerator_Power'!$D$2:$D$653,C147,'02d_AI_Accelerator_Power'!$F$2:$F$653,"Other / unknown accelerator")/I147,0)</f>
        <v/>
      </c>
      <c r="P147" s="3" t="inlineStr">
        <is>
          <t>CSP contract normalized: company inference MW * (CSP total MW * AI contract share * inference share) / company contract inference weight, then multiplied by CSP accelerator rows.</t>
        </is>
      </c>
      <c r="Q147" s="3" t="inlineStr">
        <is>
          <t>csp_contract_share_x_csp_accelerator_mix</t>
        </is>
      </c>
      <c r="R147" s="3" t="inlineStr">
        <is>
          <t>Edit 02a CSP contract allocation, 02b CSP accelerator mix, or 02x accelerator catalog; 03_Calculation reads D:G from this sheet.</t>
        </is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6">
        <f>IF(I148&gt;0,SUMIFS('02d_AI_Accelerator_Power'!$J$2:$J$653,'02d_AI_Accelerator_Power'!$B$2:$B$653,A148,'02d_AI_Accelerator_Power'!$C$2:$C$653,B148,'02d_AI_Accelerator_Power'!$D$2:$D$653,C148,'02d_AI_Accelerator_Power'!$G$2:$G$653,"h200_reference")/I148,0.09216)</f>
        <v/>
      </c>
      <c r="E148" s="6">
        <f>IF(I148&gt;0,SUMIFS('02d_AI_Accelerator_Power'!$J$2:$J$653,'02d_AI_Accelerator_Power'!$B$2:$B$653,A148,'02d_AI_Accelerator_Power'!$C$2:$C$653,B148,'02d_AI_Accelerator_Power'!$D$2:$D$653,C148,'02d_AI_Accelerator_Power'!$G$2:$G$653,"b200_reference")/I148,0.90784)</f>
        <v/>
      </c>
      <c r="F148" s="6">
        <f>IF(I148&gt;0,SUMIFS('02d_AI_Accelerator_Power'!$J$2:$J$653,'02d_AI_Accelerator_Power'!$B$2:$B$653,A148,'02d_AI_Accelerator_Power'!$C$2:$C$653,B148,'02d_AI_Accelerator_Power'!$D$2:$D$653,C148,'02d_AI_Accelerator_Power'!$G$2:$G$653,"gb200_reference")/I148,0.0)</f>
        <v/>
      </c>
      <c r="G148" s="6">
        <f>IF(I148&gt;0,SUMIFS('02d_AI_Accelerator_Power'!$J$2:$J$653,'02d_AI_Accelerator_Power'!$B$2:$B$653,A148,'02d_AI_Accelerator_Power'!$C$2:$C$653,B148,'02d_AI_Accelerator_Power'!$D$2:$D$653,C148,'02d_AI_Accelerator_Power'!$G$2:$G$653,"purpose_or_unbenchmarked")/I148,0.0)</f>
        <v/>
      </c>
      <c r="H148" s="6">
        <f>SUM(D148:G148)</f>
        <v/>
      </c>
      <c r="I148" s="28">
        <f>SUMIFS('02d_AI_Accelerator_Power'!$J$2:$J$653,'02d_AI_Accelerator_Power'!$B$2:$B$653,A148,'02d_AI_Accelerator_Power'!$C$2:$C$653,B148,'02d_AI_Accelerator_Power'!$D$2:$D$653,C148)</f>
        <v/>
      </c>
      <c r="J148" s="6">
        <f>IF(I148&gt;0,SUMIFS('02d_AI_Accelerator_Power'!$J$2:$J$653,'02d_AI_Accelerator_Power'!$B$2:$B$653,A148,'02d_AI_Accelerator_Power'!$C$2:$C$653,B148,'02d_AI_Accelerator_Power'!$D$2:$D$653,C148,'02d_AI_Accelerator_Power'!$F$2:$F$653,"R200/R300 future")/I148,0)</f>
        <v/>
      </c>
      <c r="K148" s="6">
        <f>IF(I148&gt;0,SUMIFS('02d_AI_Accelerator_Power'!$J$2:$J$653,'02d_AI_Accelerator_Power'!$B$2:$B$653,A148,'02d_AI_Accelerator_Power'!$C$2:$C$653,B148,'02d_AI_Accelerator_Power'!$D$2:$D$653,C148,'02d_AI_Accelerator_Power'!$F$2:$F$653,"TPU")/I148,0)</f>
        <v/>
      </c>
      <c r="L148" s="6">
        <f>IF(I148&gt;0,SUMIFS('02d_AI_Accelerator_Power'!$J$2:$J$653,'02d_AI_Accelerator_Power'!$B$2:$B$653,A148,'02d_AI_Accelerator_Power'!$C$2:$C$653,B148,'02d_AI_Accelerator_Power'!$D$2:$D$653,C148,'02d_AI_Accelerator_Power'!$F$2:$F$653,"Trainium")/I148,0)</f>
        <v/>
      </c>
      <c r="M148" s="6">
        <f>IF(I148&gt;0,SUMIFS('02d_AI_Accelerator_Power'!$J$2:$J$653,'02d_AI_Accelerator_Power'!$B$2:$B$653,A148,'02d_AI_Accelerator_Power'!$C$2:$C$653,B148,'02d_AI_Accelerator_Power'!$D$2:$D$653,C148,'02d_AI_Accelerator_Power'!$F$2:$F$653,"Maia")/I148,0)</f>
        <v/>
      </c>
      <c r="N148" s="6">
        <f>IF(I148&gt;0,SUMIFS('02d_AI_Accelerator_Power'!$J$2:$J$653,'02d_AI_Accelerator_Power'!$B$2:$B$653,A148,'02d_AI_Accelerator_Power'!$C$2:$C$653,B148,'02d_AI_Accelerator_Power'!$D$2:$D$653,C148,'02d_AI_Accelerator_Power'!$F$2:$F$653,"MTIA")/I148,0)</f>
        <v/>
      </c>
      <c r="O148" s="6">
        <f>IF(I148&gt;0,SUMIFS('02d_AI_Accelerator_Power'!$J$2:$J$653,'02d_AI_Accelerator_Power'!$B$2:$B$653,A148,'02d_AI_Accelerator_Power'!$C$2:$C$653,B148,'02d_AI_Accelerator_Power'!$D$2:$D$653,C148,'02d_AI_Accelerator_Power'!$F$2:$F$653,"Other / unknown accelerator")/I148,0)</f>
        <v/>
      </c>
      <c r="P148" s="3" t="inlineStr">
        <is>
          <t>CSP contract normalized: company inference MW * (CSP total MW * AI contract share * inference share) / company contract inference weight, then multiplied by CSP accelerator rows.</t>
        </is>
      </c>
      <c r="Q148" s="3" t="inlineStr">
        <is>
          <t>csp_contract_share_x_csp_accelerator_mix</t>
        </is>
      </c>
      <c r="R148" s="3" t="inlineStr">
        <is>
          <t>Edit 02a CSP contract allocation, 02b CSP accelerator mix, or 02x accelerator catalog; 03_Calculation reads D:G from this sheet.</t>
        </is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6">
        <f>IF(I149&gt;0,SUMIFS('02d_AI_Accelerator_Power'!$J$2:$J$653,'02d_AI_Accelerator_Power'!$B$2:$B$653,A149,'02d_AI_Accelerator_Power'!$C$2:$C$653,B149,'02d_AI_Accelerator_Power'!$D$2:$D$653,C149,'02d_AI_Accelerator_Power'!$G$2:$G$653,"h200_reference")/I149,0.074919)</f>
        <v/>
      </c>
      <c r="E149" s="6">
        <f>IF(I149&gt;0,SUMIFS('02d_AI_Accelerator_Power'!$J$2:$J$653,'02d_AI_Accelerator_Power'!$B$2:$B$653,A149,'02d_AI_Accelerator_Power'!$C$2:$C$653,B149,'02d_AI_Accelerator_Power'!$D$2:$D$653,C149,'02d_AI_Accelerator_Power'!$G$2:$G$653,"b200_reference")/I149,0.738007)</f>
        <v/>
      </c>
      <c r="F149" s="6">
        <f>IF(I149&gt;0,SUMIFS('02d_AI_Accelerator_Power'!$J$2:$J$653,'02d_AI_Accelerator_Power'!$B$2:$B$653,A149,'02d_AI_Accelerator_Power'!$C$2:$C$653,B149,'02d_AI_Accelerator_Power'!$D$2:$D$653,C149,'02d_AI_Accelerator_Power'!$G$2:$G$653,"gb200_reference")/I149,0.0)</f>
        <v/>
      </c>
      <c r="G149" s="6">
        <f>IF(I149&gt;0,SUMIFS('02d_AI_Accelerator_Power'!$J$2:$J$653,'02d_AI_Accelerator_Power'!$B$2:$B$653,A149,'02d_AI_Accelerator_Power'!$C$2:$C$653,B149,'02d_AI_Accelerator_Power'!$D$2:$D$653,C149,'02d_AI_Accelerator_Power'!$G$2:$G$653,"purpose_or_unbenchmarked")/I149,0.187074)</f>
        <v/>
      </c>
      <c r="H149" s="6">
        <f>SUM(D149:G149)</f>
        <v/>
      </c>
      <c r="I149" s="28">
        <f>SUMIFS('02d_AI_Accelerator_Power'!$J$2:$J$653,'02d_AI_Accelerator_Power'!$B$2:$B$653,A149,'02d_AI_Accelerator_Power'!$C$2:$C$653,B149,'02d_AI_Accelerator_Power'!$D$2:$D$653,C149)</f>
        <v/>
      </c>
      <c r="J149" s="6">
        <f>IF(I149&gt;0,SUMIFS('02d_AI_Accelerator_Power'!$J$2:$J$653,'02d_AI_Accelerator_Power'!$B$2:$B$653,A149,'02d_AI_Accelerator_Power'!$C$2:$C$653,B149,'02d_AI_Accelerator_Power'!$D$2:$D$653,C149,'02d_AI_Accelerator_Power'!$F$2:$F$653,"R200/R300 future")/I149,0)</f>
        <v/>
      </c>
      <c r="K149" s="6">
        <f>IF(I149&gt;0,SUMIFS('02d_AI_Accelerator_Power'!$J$2:$J$653,'02d_AI_Accelerator_Power'!$B$2:$B$653,A149,'02d_AI_Accelerator_Power'!$C$2:$C$653,B149,'02d_AI_Accelerator_Power'!$D$2:$D$653,C149,'02d_AI_Accelerator_Power'!$F$2:$F$653,"TPU")/I149,0)</f>
        <v/>
      </c>
      <c r="L149" s="6">
        <f>IF(I149&gt;0,SUMIFS('02d_AI_Accelerator_Power'!$J$2:$J$653,'02d_AI_Accelerator_Power'!$B$2:$B$653,A149,'02d_AI_Accelerator_Power'!$C$2:$C$653,B149,'02d_AI_Accelerator_Power'!$D$2:$D$653,C149,'02d_AI_Accelerator_Power'!$F$2:$F$653,"Trainium")/I149,0)</f>
        <v/>
      </c>
      <c r="M149" s="6">
        <f>IF(I149&gt;0,SUMIFS('02d_AI_Accelerator_Power'!$J$2:$J$653,'02d_AI_Accelerator_Power'!$B$2:$B$653,A149,'02d_AI_Accelerator_Power'!$C$2:$C$653,B149,'02d_AI_Accelerator_Power'!$D$2:$D$653,C149,'02d_AI_Accelerator_Power'!$F$2:$F$653,"Maia")/I149,0)</f>
        <v/>
      </c>
      <c r="N149" s="6">
        <f>IF(I149&gt;0,SUMIFS('02d_AI_Accelerator_Power'!$J$2:$J$653,'02d_AI_Accelerator_Power'!$B$2:$B$653,A149,'02d_AI_Accelerator_Power'!$C$2:$C$653,B149,'02d_AI_Accelerator_Power'!$D$2:$D$653,C149,'02d_AI_Accelerator_Power'!$F$2:$F$653,"MTIA")/I149,0)</f>
        <v/>
      </c>
      <c r="O149" s="6">
        <f>IF(I149&gt;0,SUMIFS('02d_AI_Accelerator_Power'!$J$2:$J$653,'02d_AI_Accelerator_Power'!$B$2:$B$653,A149,'02d_AI_Accelerator_Power'!$C$2:$C$653,B149,'02d_AI_Accelerator_Power'!$D$2:$D$653,C149,'02d_AI_Accelerator_Power'!$F$2:$F$653,"Other / unknown accelerator")/I149,0)</f>
        <v/>
      </c>
      <c r="P149" s="3" t="inlineStr">
        <is>
          <t>CSP contract normalized: company inference MW * (CSP total MW * AI contract share * inference share) / company contract inference weight, then multiplied by CSP accelerator rows.</t>
        </is>
      </c>
      <c r="Q149" s="3" t="inlineStr">
        <is>
          <t>csp_contract_share_x_csp_accelerator_mix</t>
        </is>
      </c>
      <c r="R149" s="3" t="inlineStr">
        <is>
          <t>Edit 02a CSP contract allocation, 02b CSP accelerator mix, or 02x accelerator catalog; 03_Calculation reads D:G from this sheet.</t>
        </is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6">
        <f>IF(I150&gt;0,SUMIFS('02d_AI_Accelerator_Power'!$J$2:$J$653,'02d_AI_Accelerator_Power'!$B$2:$B$653,A150,'02d_AI_Accelerator_Power'!$C$2:$C$653,B150,'02d_AI_Accelerator_Power'!$D$2:$D$653,C150,'02d_AI_Accelerator_Power'!$G$2:$G$653,"h200_reference")/I150,0.074919)</f>
        <v/>
      </c>
      <c r="E150" s="6">
        <f>IF(I150&gt;0,SUMIFS('02d_AI_Accelerator_Power'!$J$2:$J$653,'02d_AI_Accelerator_Power'!$B$2:$B$653,A150,'02d_AI_Accelerator_Power'!$C$2:$C$653,B150,'02d_AI_Accelerator_Power'!$D$2:$D$653,C150,'02d_AI_Accelerator_Power'!$G$2:$G$653,"b200_reference")/I150,0.738007)</f>
        <v/>
      </c>
      <c r="F150" s="6">
        <f>IF(I150&gt;0,SUMIFS('02d_AI_Accelerator_Power'!$J$2:$J$653,'02d_AI_Accelerator_Power'!$B$2:$B$653,A150,'02d_AI_Accelerator_Power'!$C$2:$C$653,B150,'02d_AI_Accelerator_Power'!$D$2:$D$653,C150,'02d_AI_Accelerator_Power'!$G$2:$G$653,"gb200_reference")/I150,0.0)</f>
        <v/>
      </c>
      <c r="G150" s="6">
        <f>IF(I150&gt;0,SUMIFS('02d_AI_Accelerator_Power'!$J$2:$J$653,'02d_AI_Accelerator_Power'!$B$2:$B$653,A150,'02d_AI_Accelerator_Power'!$C$2:$C$653,B150,'02d_AI_Accelerator_Power'!$D$2:$D$653,C150,'02d_AI_Accelerator_Power'!$G$2:$G$653,"purpose_or_unbenchmarked")/I150,0.187074)</f>
        <v/>
      </c>
      <c r="H150" s="6">
        <f>SUM(D150:G150)</f>
        <v/>
      </c>
      <c r="I150" s="28">
        <f>SUMIFS('02d_AI_Accelerator_Power'!$J$2:$J$653,'02d_AI_Accelerator_Power'!$B$2:$B$653,A150,'02d_AI_Accelerator_Power'!$C$2:$C$653,B150,'02d_AI_Accelerator_Power'!$D$2:$D$653,C150)</f>
        <v/>
      </c>
      <c r="J150" s="6">
        <f>IF(I150&gt;0,SUMIFS('02d_AI_Accelerator_Power'!$J$2:$J$653,'02d_AI_Accelerator_Power'!$B$2:$B$653,A150,'02d_AI_Accelerator_Power'!$C$2:$C$653,B150,'02d_AI_Accelerator_Power'!$D$2:$D$653,C150,'02d_AI_Accelerator_Power'!$F$2:$F$653,"R200/R300 future")/I150,0)</f>
        <v/>
      </c>
      <c r="K150" s="6">
        <f>IF(I150&gt;0,SUMIFS('02d_AI_Accelerator_Power'!$J$2:$J$653,'02d_AI_Accelerator_Power'!$B$2:$B$653,A150,'02d_AI_Accelerator_Power'!$C$2:$C$653,B150,'02d_AI_Accelerator_Power'!$D$2:$D$653,C150,'02d_AI_Accelerator_Power'!$F$2:$F$653,"TPU")/I150,0)</f>
        <v/>
      </c>
      <c r="L150" s="6">
        <f>IF(I150&gt;0,SUMIFS('02d_AI_Accelerator_Power'!$J$2:$J$653,'02d_AI_Accelerator_Power'!$B$2:$B$653,A150,'02d_AI_Accelerator_Power'!$C$2:$C$653,B150,'02d_AI_Accelerator_Power'!$D$2:$D$653,C150,'02d_AI_Accelerator_Power'!$F$2:$F$653,"Trainium")/I150,0)</f>
        <v/>
      </c>
      <c r="M150" s="6">
        <f>IF(I150&gt;0,SUMIFS('02d_AI_Accelerator_Power'!$J$2:$J$653,'02d_AI_Accelerator_Power'!$B$2:$B$653,A150,'02d_AI_Accelerator_Power'!$C$2:$C$653,B150,'02d_AI_Accelerator_Power'!$D$2:$D$653,C150,'02d_AI_Accelerator_Power'!$F$2:$F$653,"Maia")/I150,0)</f>
        <v/>
      </c>
      <c r="N150" s="6">
        <f>IF(I150&gt;0,SUMIFS('02d_AI_Accelerator_Power'!$J$2:$J$653,'02d_AI_Accelerator_Power'!$B$2:$B$653,A150,'02d_AI_Accelerator_Power'!$C$2:$C$653,B150,'02d_AI_Accelerator_Power'!$D$2:$D$653,C150,'02d_AI_Accelerator_Power'!$F$2:$F$653,"MTIA")/I150,0)</f>
        <v/>
      </c>
      <c r="O150" s="6">
        <f>IF(I150&gt;0,SUMIFS('02d_AI_Accelerator_Power'!$J$2:$J$653,'02d_AI_Accelerator_Power'!$B$2:$B$653,A150,'02d_AI_Accelerator_Power'!$C$2:$C$653,B150,'02d_AI_Accelerator_Power'!$D$2:$D$653,C150,'02d_AI_Accelerator_Power'!$F$2:$F$653,"Other / unknown accelerator")/I150,0)</f>
        <v/>
      </c>
      <c r="P150" s="3" t="inlineStr">
        <is>
          <t>CSP contract normalized: company inference MW * (CSP total MW * AI contract share * inference share) / company contract inference weight, then multiplied by CSP accelerator rows.</t>
        </is>
      </c>
      <c r="Q150" s="3" t="inlineStr">
        <is>
          <t>csp_contract_share_x_csp_accelerator_mix</t>
        </is>
      </c>
      <c r="R150" s="3" t="inlineStr">
        <is>
          <t>Edit 02a CSP contract allocation, 02b CSP accelerator mix, or 02x accelerator catalog; 03_Calculation reads D:G from this sheet.</t>
        </is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6">
        <f>IF(I151&gt;0,SUMIFS('02d_AI_Accelerator_Power'!$J$2:$J$653,'02d_AI_Accelerator_Power'!$B$2:$B$653,A151,'02d_AI_Accelerator_Power'!$C$2:$C$653,B151,'02d_AI_Accelerator_Power'!$D$2:$D$653,C151,'02d_AI_Accelerator_Power'!$G$2:$G$653,"h200_reference")/I151,0.074919)</f>
        <v/>
      </c>
      <c r="E151" s="6">
        <f>IF(I151&gt;0,SUMIFS('02d_AI_Accelerator_Power'!$J$2:$J$653,'02d_AI_Accelerator_Power'!$B$2:$B$653,A151,'02d_AI_Accelerator_Power'!$C$2:$C$653,B151,'02d_AI_Accelerator_Power'!$D$2:$D$653,C151,'02d_AI_Accelerator_Power'!$G$2:$G$653,"b200_reference")/I151,0.738007)</f>
        <v/>
      </c>
      <c r="F151" s="6">
        <f>IF(I151&gt;0,SUMIFS('02d_AI_Accelerator_Power'!$J$2:$J$653,'02d_AI_Accelerator_Power'!$B$2:$B$653,A151,'02d_AI_Accelerator_Power'!$C$2:$C$653,B151,'02d_AI_Accelerator_Power'!$D$2:$D$653,C151,'02d_AI_Accelerator_Power'!$G$2:$G$653,"gb200_reference")/I151,0.0)</f>
        <v/>
      </c>
      <c r="G151" s="6">
        <f>IF(I151&gt;0,SUMIFS('02d_AI_Accelerator_Power'!$J$2:$J$653,'02d_AI_Accelerator_Power'!$B$2:$B$653,A151,'02d_AI_Accelerator_Power'!$C$2:$C$653,B151,'02d_AI_Accelerator_Power'!$D$2:$D$653,C151,'02d_AI_Accelerator_Power'!$G$2:$G$653,"purpose_or_unbenchmarked")/I151,0.187074)</f>
        <v/>
      </c>
      <c r="H151" s="6">
        <f>SUM(D151:G151)</f>
        <v/>
      </c>
      <c r="I151" s="28">
        <f>SUMIFS('02d_AI_Accelerator_Power'!$J$2:$J$653,'02d_AI_Accelerator_Power'!$B$2:$B$653,A151,'02d_AI_Accelerator_Power'!$C$2:$C$653,B151,'02d_AI_Accelerator_Power'!$D$2:$D$653,C151)</f>
        <v/>
      </c>
      <c r="J151" s="6">
        <f>IF(I151&gt;0,SUMIFS('02d_AI_Accelerator_Power'!$J$2:$J$653,'02d_AI_Accelerator_Power'!$B$2:$B$653,A151,'02d_AI_Accelerator_Power'!$C$2:$C$653,B151,'02d_AI_Accelerator_Power'!$D$2:$D$653,C151,'02d_AI_Accelerator_Power'!$F$2:$F$653,"R200/R300 future")/I151,0)</f>
        <v/>
      </c>
      <c r="K151" s="6">
        <f>IF(I151&gt;0,SUMIFS('02d_AI_Accelerator_Power'!$J$2:$J$653,'02d_AI_Accelerator_Power'!$B$2:$B$653,A151,'02d_AI_Accelerator_Power'!$C$2:$C$653,B151,'02d_AI_Accelerator_Power'!$D$2:$D$653,C151,'02d_AI_Accelerator_Power'!$F$2:$F$653,"TPU")/I151,0)</f>
        <v/>
      </c>
      <c r="L151" s="6">
        <f>IF(I151&gt;0,SUMIFS('02d_AI_Accelerator_Power'!$J$2:$J$653,'02d_AI_Accelerator_Power'!$B$2:$B$653,A151,'02d_AI_Accelerator_Power'!$C$2:$C$653,B151,'02d_AI_Accelerator_Power'!$D$2:$D$653,C151,'02d_AI_Accelerator_Power'!$F$2:$F$653,"Trainium")/I151,0)</f>
        <v/>
      </c>
      <c r="M151" s="6">
        <f>IF(I151&gt;0,SUMIFS('02d_AI_Accelerator_Power'!$J$2:$J$653,'02d_AI_Accelerator_Power'!$B$2:$B$653,A151,'02d_AI_Accelerator_Power'!$C$2:$C$653,B151,'02d_AI_Accelerator_Power'!$D$2:$D$653,C151,'02d_AI_Accelerator_Power'!$F$2:$F$653,"Maia")/I151,0)</f>
        <v/>
      </c>
      <c r="N151" s="6">
        <f>IF(I151&gt;0,SUMIFS('02d_AI_Accelerator_Power'!$J$2:$J$653,'02d_AI_Accelerator_Power'!$B$2:$B$653,A151,'02d_AI_Accelerator_Power'!$C$2:$C$653,B151,'02d_AI_Accelerator_Power'!$D$2:$D$653,C151,'02d_AI_Accelerator_Power'!$F$2:$F$653,"MTIA")/I151,0)</f>
        <v/>
      </c>
      <c r="O151" s="6">
        <f>IF(I151&gt;0,SUMIFS('02d_AI_Accelerator_Power'!$J$2:$J$653,'02d_AI_Accelerator_Power'!$B$2:$B$653,A151,'02d_AI_Accelerator_Power'!$C$2:$C$653,B151,'02d_AI_Accelerator_Power'!$D$2:$D$653,C151,'02d_AI_Accelerator_Power'!$F$2:$F$653,"Other / unknown accelerator")/I151,0)</f>
        <v/>
      </c>
      <c r="P151" s="3" t="inlineStr">
        <is>
          <t>CSP contract normalized: company inference MW * (CSP total MW * AI contract share * inference share) / company contract inference weight, then multiplied by CSP accelerator rows.</t>
        </is>
      </c>
      <c r="Q151" s="3" t="inlineStr">
        <is>
          <t>csp_contract_share_x_csp_accelerator_mix</t>
        </is>
      </c>
      <c r="R151" s="3" t="inlineStr">
        <is>
          <t>Edit 02a CSP contract allocation, 02b CSP accelerator mix, or 02x accelerator catalog; 03_Calculation reads D:G from this sheet.</t>
        </is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6">
        <f>IF(I152&gt;0,SUMIFS('02d_AI_Accelerator_Power'!$J$2:$J$653,'02d_AI_Accelerator_Power'!$B$2:$B$653,A152,'02d_AI_Accelerator_Power'!$C$2:$C$653,B152,'02d_AI_Accelerator_Power'!$D$2:$D$653,C152,'02d_AI_Accelerator_Power'!$G$2:$G$653,"h200_reference")/I152,0.294118)</f>
        <v/>
      </c>
      <c r="E152" s="6">
        <f>IF(I152&gt;0,SUMIFS('02d_AI_Accelerator_Power'!$J$2:$J$653,'02d_AI_Accelerator_Power'!$B$2:$B$653,A152,'02d_AI_Accelerator_Power'!$C$2:$C$653,B152,'02d_AI_Accelerator_Power'!$D$2:$D$653,C152,'02d_AI_Accelerator_Power'!$G$2:$G$653,"b200_reference")/I152,0.705882)</f>
        <v/>
      </c>
      <c r="F152" s="6">
        <f>IF(I152&gt;0,SUMIFS('02d_AI_Accelerator_Power'!$J$2:$J$653,'02d_AI_Accelerator_Power'!$B$2:$B$653,A152,'02d_AI_Accelerator_Power'!$C$2:$C$653,B152,'02d_AI_Accelerator_Power'!$D$2:$D$653,C152,'02d_AI_Accelerator_Power'!$G$2:$G$653,"gb200_reference")/I152,0.0)</f>
        <v/>
      </c>
      <c r="G152" s="6">
        <f>IF(I152&gt;0,SUMIFS('02d_AI_Accelerator_Power'!$J$2:$J$653,'02d_AI_Accelerator_Power'!$B$2:$B$653,A152,'02d_AI_Accelerator_Power'!$C$2:$C$653,B152,'02d_AI_Accelerator_Power'!$D$2:$D$653,C152,'02d_AI_Accelerator_Power'!$G$2:$G$653,"purpose_or_unbenchmarked")/I152,0.0)</f>
        <v/>
      </c>
      <c r="H152" s="6">
        <f>SUM(D152:G152)</f>
        <v/>
      </c>
      <c r="I152" s="28">
        <f>SUMIFS('02d_AI_Accelerator_Power'!$J$2:$J$653,'02d_AI_Accelerator_Power'!$B$2:$B$653,A152,'02d_AI_Accelerator_Power'!$C$2:$C$653,B152,'02d_AI_Accelerator_Power'!$D$2:$D$653,C152)</f>
        <v/>
      </c>
      <c r="J152" s="6">
        <f>IF(I152&gt;0,SUMIFS('02d_AI_Accelerator_Power'!$J$2:$J$653,'02d_AI_Accelerator_Power'!$B$2:$B$653,A152,'02d_AI_Accelerator_Power'!$C$2:$C$653,B152,'02d_AI_Accelerator_Power'!$D$2:$D$653,C152,'02d_AI_Accelerator_Power'!$F$2:$F$653,"R200/R300 future")/I152,0)</f>
        <v/>
      </c>
      <c r="K152" s="6">
        <f>IF(I152&gt;0,SUMIFS('02d_AI_Accelerator_Power'!$J$2:$J$653,'02d_AI_Accelerator_Power'!$B$2:$B$653,A152,'02d_AI_Accelerator_Power'!$C$2:$C$653,B152,'02d_AI_Accelerator_Power'!$D$2:$D$653,C152,'02d_AI_Accelerator_Power'!$F$2:$F$653,"TPU")/I152,0)</f>
        <v/>
      </c>
      <c r="L152" s="6">
        <f>IF(I152&gt;0,SUMIFS('02d_AI_Accelerator_Power'!$J$2:$J$653,'02d_AI_Accelerator_Power'!$B$2:$B$653,A152,'02d_AI_Accelerator_Power'!$C$2:$C$653,B152,'02d_AI_Accelerator_Power'!$D$2:$D$653,C152,'02d_AI_Accelerator_Power'!$F$2:$F$653,"Trainium")/I152,0)</f>
        <v/>
      </c>
      <c r="M152" s="6">
        <f>IF(I152&gt;0,SUMIFS('02d_AI_Accelerator_Power'!$J$2:$J$653,'02d_AI_Accelerator_Power'!$B$2:$B$653,A152,'02d_AI_Accelerator_Power'!$C$2:$C$653,B152,'02d_AI_Accelerator_Power'!$D$2:$D$653,C152,'02d_AI_Accelerator_Power'!$F$2:$F$653,"Maia")/I152,0)</f>
        <v/>
      </c>
      <c r="N152" s="6">
        <f>IF(I152&gt;0,SUMIFS('02d_AI_Accelerator_Power'!$J$2:$J$653,'02d_AI_Accelerator_Power'!$B$2:$B$653,A152,'02d_AI_Accelerator_Power'!$C$2:$C$653,B152,'02d_AI_Accelerator_Power'!$D$2:$D$653,C152,'02d_AI_Accelerator_Power'!$F$2:$F$653,"MTIA")/I152,0)</f>
        <v/>
      </c>
      <c r="O152" s="6">
        <f>IF(I152&gt;0,SUMIFS('02d_AI_Accelerator_Power'!$J$2:$J$653,'02d_AI_Accelerator_Power'!$B$2:$B$653,A152,'02d_AI_Accelerator_Power'!$C$2:$C$653,B152,'02d_AI_Accelerator_Power'!$D$2:$D$653,C152,'02d_AI_Accelerator_Power'!$F$2:$F$653,"Other / unknown accelerator")/I152,0)</f>
        <v/>
      </c>
      <c r="P152" s="3" t="inlineStr">
        <is>
          <t>CSP contract normalized: company inference MW * (CSP total MW * AI contract share * inference share) / company contract inference weight, then multiplied by CSP accelerator rows.</t>
        </is>
      </c>
      <c r="Q152" s="3" t="inlineStr">
        <is>
          <t>csp_contract_share_x_csp_accelerator_mix</t>
        </is>
      </c>
      <c r="R152" s="3" t="inlineStr">
        <is>
          <t>Edit 02a CSP contract allocation, 02b CSP accelerator mix, or 02x accelerator catalog; 03_Calculation reads D:G from this sheet.</t>
        </is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6">
        <f>IF(I153&gt;0,SUMIFS('02d_AI_Accelerator_Power'!$J$2:$J$653,'02d_AI_Accelerator_Power'!$B$2:$B$653,A153,'02d_AI_Accelerator_Power'!$C$2:$C$653,B153,'02d_AI_Accelerator_Power'!$D$2:$D$653,C153,'02d_AI_Accelerator_Power'!$G$2:$G$653,"h200_reference")/I153,0.294118)</f>
        <v/>
      </c>
      <c r="E153" s="6">
        <f>IF(I153&gt;0,SUMIFS('02d_AI_Accelerator_Power'!$J$2:$J$653,'02d_AI_Accelerator_Power'!$B$2:$B$653,A153,'02d_AI_Accelerator_Power'!$C$2:$C$653,B153,'02d_AI_Accelerator_Power'!$D$2:$D$653,C153,'02d_AI_Accelerator_Power'!$G$2:$G$653,"b200_reference")/I153,0.705882)</f>
        <v/>
      </c>
      <c r="F153" s="6">
        <f>IF(I153&gt;0,SUMIFS('02d_AI_Accelerator_Power'!$J$2:$J$653,'02d_AI_Accelerator_Power'!$B$2:$B$653,A153,'02d_AI_Accelerator_Power'!$C$2:$C$653,B153,'02d_AI_Accelerator_Power'!$D$2:$D$653,C153,'02d_AI_Accelerator_Power'!$G$2:$G$653,"gb200_reference")/I153,0.0)</f>
        <v/>
      </c>
      <c r="G153" s="6">
        <f>IF(I153&gt;0,SUMIFS('02d_AI_Accelerator_Power'!$J$2:$J$653,'02d_AI_Accelerator_Power'!$B$2:$B$653,A153,'02d_AI_Accelerator_Power'!$C$2:$C$653,B153,'02d_AI_Accelerator_Power'!$D$2:$D$653,C153,'02d_AI_Accelerator_Power'!$G$2:$G$653,"purpose_or_unbenchmarked")/I153,0.0)</f>
        <v/>
      </c>
      <c r="H153" s="6">
        <f>SUM(D153:G153)</f>
        <v/>
      </c>
      <c r="I153" s="28">
        <f>SUMIFS('02d_AI_Accelerator_Power'!$J$2:$J$653,'02d_AI_Accelerator_Power'!$B$2:$B$653,A153,'02d_AI_Accelerator_Power'!$C$2:$C$653,B153,'02d_AI_Accelerator_Power'!$D$2:$D$653,C153)</f>
        <v/>
      </c>
      <c r="J153" s="6">
        <f>IF(I153&gt;0,SUMIFS('02d_AI_Accelerator_Power'!$J$2:$J$653,'02d_AI_Accelerator_Power'!$B$2:$B$653,A153,'02d_AI_Accelerator_Power'!$C$2:$C$653,B153,'02d_AI_Accelerator_Power'!$D$2:$D$653,C153,'02d_AI_Accelerator_Power'!$F$2:$F$653,"R200/R300 future")/I153,0)</f>
        <v/>
      </c>
      <c r="K153" s="6">
        <f>IF(I153&gt;0,SUMIFS('02d_AI_Accelerator_Power'!$J$2:$J$653,'02d_AI_Accelerator_Power'!$B$2:$B$653,A153,'02d_AI_Accelerator_Power'!$C$2:$C$653,B153,'02d_AI_Accelerator_Power'!$D$2:$D$653,C153,'02d_AI_Accelerator_Power'!$F$2:$F$653,"TPU")/I153,0)</f>
        <v/>
      </c>
      <c r="L153" s="6">
        <f>IF(I153&gt;0,SUMIFS('02d_AI_Accelerator_Power'!$J$2:$J$653,'02d_AI_Accelerator_Power'!$B$2:$B$653,A153,'02d_AI_Accelerator_Power'!$C$2:$C$653,B153,'02d_AI_Accelerator_Power'!$D$2:$D$653,C153,'02d_AI_Accelerator_Power'!$F$2:$F$653,"Trainium")/I153,0)</f>
        <v/>
      </c>
      <c r="M153" s="6">
        <f>IF(I153&gt;0,SUMIFS('02d_AI_Accelerator_Power'!$J$2:$J$653,'02d_AI_Accelerator_Power'!$B$2:$B$653,A153,'02d_AI_Accelerator_Power'!$C$2:$C$653,B153,'02d_AI_Accelerator_Power'!$D$2:$D$653,C153,'02d_AI_Accelerator_Power'!$F$2:$F$653,"Maia")/I153,0)</f>
        <v/>
      </c>
      <c r="N153" s="6">
        <f>IF(I153&gt;0,SUMIFS('02d_AI_Accelerator_Power'!$J$2:$J$653,'02d_AI_Accelerator_Power'!$B$2:$B$653,A153,'02d_AI_Accelerator_Power'!$C$2:$C$653,B153,'02d_AI_Accelerator_Power'!$D$2:$D$653,C153,'02d_AI_Accelerator_Power'!$F$2:$F$653,"MTIA")/I153,0)</f>
        <v/>
      </c>
      <c r="O153" s="6">
        <f>IF(I153&gt;0,SUMIFS('02d_AI_Accelerator_Power'!$J$2:$J$653,'02d_AI_Accelerator_Power'!$B$2:$B$653,A153,'02d_AI_Accelerator_Power'!$C$2:$C$653,B153,'02d_AI_Accelerator_Power'!$D$2:$D$653,C153,'02d_AI_Accelerator_Power'!$F$2:$F$653,"Other / unknown accelerator")/I153,0)</f>
        <v/>
      </c>
      <c r="P153" s="3" t="inlineStr">
        <is>
          <t>CSP contract normalized: company inference MW * (CSP total MW * AI contract share * inference share) / company contract inference weight, then multiplied by CSP accelerator rows.</t>
        </is>
      </c>
      <c r="Q153" s="3" t="inlineStr">
        <is>
          <t>csp_contract_share_x_csp_accelerator_mix</t>
        </is>
      </c>
      <c r="R153" s="3" t="inlineStr">
        <is>
          <t>Edit 02a CSP contract allocation, 02b CSP accelerator mix, or 02x accelerator catalog; 03_Calculation reads D:G from this sheet.</t>
        </is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6">
        <f>IF(I154&gt;0,SUMIFS('02d_AI_Accelerator_Power'!$J$2:$J$653,'02d_AI_Accelerator_Power'!$B$2:$B$653,A154,'02d_AI_Accelerator_Power'!$C$2:$C$653,B154,'02d_AI_Accelerator_Power'!$D$2:$D$653,C154,'02d_AI_Accelerator_Power'!$G$2:$G$653,"h200_reference")/I154,0.294118)</f>
        <v/>
      </c>
      <c r="E154" s="6">
        <f>IF(I154&gt;0,SUMIFS('02d_AI_Accelerator_Power'!$J$2:$J$653,'02d_AI_Accelerator_Power'!$B$2:$B$653,A154,'02d_AI_Accelerator_Power'!$C$2:$C$653,B154,'02d_AI_Accelerator_Power'!$D$2:$D$653,C154,'02d_AI_Accelerator_Power'!$G$2:$G$653,"b200_reference")/I154,0.705882)</f>
        <v/>
      </c>
      <c r="F154" s="6">
        <f>IF(I154&gt;0,SUMIFS('02d_AI_Accelerator_Power'!$J$2:$J$653,'02d_AI_Accelerator_Power'!$B$2:$B$653,A154,'02d_AI_Accelerator_Power'!$C$2:$C$653,B154,'02d_AI_Accelerator_Power'!$D$2:$D$653,C154,'02d_AI_Accelerator_Power'!$G$2:$G$653,"gb200_reference")/I154,0.0)</f>
        <v/>
      </c>
      <c r="G154" s="6">
        <f>IF(I154&gt;0,SUMIFS('02d_AI_Accelerator_Power'!$J$2:$J$653,'02d_AI_Accelerator_Power'!$B$2:$B$653,A154,'02d_AI_Accelerator_Power'!$C$2:$C$653,B154,'02d_AI_Accelerator_Power'!$D$2:$D$653,C154,'02d_AI_Accelerator_Power'!$G$2:$G$653,"purpose_or_unbenchmarked")/I154,0.0)</f>
        <v/>
      </c>
      <c r="H154" s="6">
        <f>SUM(D154:G154)</f>
        <v/>
      </c>
      <c r="I154" s="28">
        <f>SUMIFS('02d_AI_Accelerator_Power'!$J$2:$J$653,'02d_AI_Accelerator_Power'!$B$2:$B$653,A154,'02d_AI_Accelerator_Power'!$C$2:$C$653,B154,'02d_AI_Accelerator_Power'!$D$2:$D$653,C154)</f>
        <v/>
      </c>
      <c r="J154" s="6">
        <f>IF(I154&gt;0,SUMIFS('02d_AI_Accelerator_Power'!$J$2:$J$653,'02d_AI_Accelerator_Power'!$B$2:$B$653,A154,'02d_AI_Accelerator_Power'!$C$2:$C$653,B154,'02d_AI_Accelerator_Power'!$D$2:$D$653,C154,'02d_AI_Accelerator_Power'!$F$2:$F$653,"R200/R300 future")/I154,0)</f>
        <v/>
      </c>
      <c r="K154" s="6">
        <f>IF(I154&gt;0,SUMIFS('02d_AI_Accelerator_Power'!$J$2:$J$653,'02d_AI_Accelerator_Power'!$B$2:$B$653,A154,'02d_AI_Accelerator_Power'!$C$2:$C$653,B154,'02d_AI_Accelerator_Power'!$D$2:$D$653,C154,'02d_AI_Accelerator_Power'!$F$2:$F$653,"TPU")/I154,0)</f>
        <v/>
      </c>
      <c r="L154" s="6">
        <f>IF(I154&gt;0,SUMIFS('02d_AI_Accelerator_Power'!$J$2:$J$653,'02d_AI_Accelerator_Power'!$B$2:$B$653,A154,'02d_AI_Accelerator_Power'!$C$2:$C$653,B154,'02d_AI_Accelerator_Power'!$D$2:$D$653,C154,'02d_AI_Accelerator_Power'!$F$2:$F$653,"Trainium")/I154,0)</f>
        <v/>
      </c>
      <c r="M154" s="6">
        <f>IF(I154&gt;0,SUMIFS('02d_AI_Accelerator_Power'!$J$2:$J$653,'02d_AI_Accelerator_Power'!$B$2:$B$653,A154,'02d_AI_Accelerator_Power'!$C$2:$C$653,B154,'02d_AI_Accelerator_Power'!$D$2:$D$653,C154,'02d_AI_Accelerator_Power'!$F$2:$F$653,"Maia")/I154,0)</f>
        <v/>
      </c>
      <c r="N154" s="6">
        <f>IF(I154&gt;0,SUMIFS('02d_AI_Accelerator_Power'!$J$2:$J$653,'02d_AI_Accelerator_Power'!$B$2:$B$653,A154,'02d_AI_Accelerator_Power'!$C$2:$C$653,B154,'02d_AI_Accelerator_Power'!$D$2:$D$653,C154,'02d_AI_Accelerator_Power'!$F$2:$F$653,"MTIA")/I154,0)</f>
        <v/>
      </c>
      <c r="O154" s="6">
        <f>IF(I154&gt;0,SUMIFS('02d_AI_Accelerator_Power'!$J$2:$J$653,'02d_AI_Accelerator_Power'!$B$2:$B$653,A154,'02d_AI_Accelerator_Power'!$C$2:$C$653,B154,'02d_AI_Accelerator_Power'!$D$2:$D$653,C154,'02d_AI_Accelerator_Power'!$F$2:$F$653,"Other / unknown accelerator")/I154,0)</f>
        <v/>
      </c>
      <c r="P154" s="3" t="inlineStr">
        <is>
          <t>CSP contract normalized: company inference MW * (CSP total MW * AI contract share * inference share) / company contract inference weight, then multiplied by CSP accelerator rows.</t>
        </is>
      </c>
      <c r="Q154" s="3" t="inlineStr">
        <is>
          <t>csp_contract_share_x_csp_accelerator_mix</t>
        </is>
      </c>
      <c r="R154" s="3" t="inlineStr">
        <is>
          <t>Edit 02a CSP contract allocation, 02b CSP accelerator mix, or 02x accelerator catalog; 03_Calculation reads D:G from this sheet.</t>
        </is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6">
        <f>IF(I155&gt;0,SUMIFS('02d_AI_Accelerator_Power'!$J$2:$J$653,'02d_AI_Accelerator_Power'!$B$2:$B$653,A155,'02d_AI_Accelerator_Power'!$C$2:$C$653,B155,'02d_AI_Accelerator_Power'!$D$2:$D$653,C155,'02d_AI_Accelerator_Power'!$G$2:$G$653,"h200_reference")/I155,0.294118)</f>
        <v/>
      </c>
      <c r="E155" s="6">
        <f>IF(I155&gt;0,SUMIFS('02d_AI_Accelerator_Power'!$J$2:$J$653,'02d_AI_Accelerator_Power'!$B$2:$B$653,A155,'02d_AI_Accelerator_Power'!$C$2:$C$653,B155,'02d_AI_Accelerator_Power'!$D$2:$D$653,C155,'02d_AI_Accelerator_Power'!$G$2:$G$653,"b200_reference")/I155,0.705882)</f>
        <v/>
      </c>
      <c r="F155" s="6">
        <f>IF(I155&gt;0,SUMIFS('02d_AI_Accelerator_Power'!$J$2:$J$653,'02d_AI_Accelerator_Power'!$B$2:$B$653,A155,'02d_AI_Accelerator_Power'!$C$2:$C$653,B155,'02d_AI_Accelerator_Power'!$D$2:$D$653,C155,'02d_AI_Accelerator_Power'!$G$2:$G$653,"gb200_reference")/I155,0.0)</f>
        <v/>
      </c>
      <c r="G155" s="6">
        <f>IF(I155&gt;0,SUMIFS('02d_AI_Accelerator_Power'!$J$2:$J$653,'02d_AI_Accelerator_Power'!$B$2:$B$653,A155,'02d_AI_Accelerator_Power'!$C$2:$C$653,B155,'02d_AI_Accelerator_Power'!$D$2:$D$653,C155,'02d_AI_Accelerator_Power'!$G$2:$G$653,"purpose_or_unbenchmarked")/I155,0.0)</f>
        <v/>
      </c>
      <c r="H155" s="6">
        <f>SUM(D155:G155)</f>
        <v/>
      </c>
      <c r="I155" s="28">
        <f>SUMIFS('02d_AI_Accelerator_Power'!$J$2:$J$653,'02d_AI_Accelerator_Power'!$B$2:$B$653,A155,'02d_AI_Accelerator_Power'!$C$2:$C$653,B155,'02d_AI_Accelerator_Power'!$D$2:$D$653,C155)</f>
        <v/>
      </c>
      <c r="J155" s="6">
        <f>IF(I155&gt;0,SUMIFS('02d_AI_Accelerator_Power'!$J$2:$J$653,'02d_AI_Accelerator_Power'!$B$2:$B$653,A155,'02d_AI_Accelerator_Power'!$C$2:$C$653,B155,'02d_AI_Accelerator_Power'!$D$2:$D$653,C155,'02d_AI_Accelerator_Power'!$F$2:$F$653,"R200/R300 future")/I155,0)</f>
        <v/>
      </c>
      <c r="K155" s="6">
        <f>IF(I155&gt;0,SUMIFS('02d_AI_Accelerator_Power'!$J$2:$J$653,'02d_AI_Accelerator_Power'!$B$2:$B$653,A155,'02d_AI_Accelerator_Power'!$C$2:$C$653,B155,'02d_AI_Accelerator_Power'!$D$2:$D$653,C155,'02d_AI_Accelerator_Power'!$F$2:$F$653,"TPU")/I155,0)</f>
        <v/>
      </c>
      <c r="L155" s="6">
        <f>IF(I155&gt;0,SUMIFS('02d_AI_Accelerator_Power'!$J$2:$J$653,'02d_AI_Accelerator_Power'!$B$2:$B$653,A155,'02d_AI_Accelerator_Power'!$C$2:$C$653,B155,'02d_AI_Accelerator_Power'!$D$2:$D$653,C155,'02d_AI_Accelerator_Power'!$F$2:$F$653,"Trainium")/I155,0)</f>
        <v/>
      </c>
      <c r="M155" s="6">
        <f>IF(I155&gt;0,SUMIFS('02d_AI_Accelerator_Power'!$J$2:$J$653,'02d_AI_Accelerator_Power'!$B$2:$B$653,A155,'02d_AI_Accelerator_Power'!$C$2:$C$653,B155,'02d_AI_Accelerator_Power'!$D$2:$D$653,C155,'02d_AI_Accelerator_Power'!$F$2:$F$653,"Maia")/I155,0)</f>
        <v/>
      </c>
      <c r="N155" s="6">
        <f>IF(I155&gt;0,SUMIFS('02d_AI_Accelerator_Power'!$J$2:$J$653,'02d_AI_Accelerator_Power'!$B$2:$B$653,A155,'02d_AI_Accelerator_Power'!$C$2:$C$653,B155,'02d_AI_Accelerator_Power'!$D$2:$D$653,C155,'02d_AI_Accelerator_Power'!$F$2:$F$653,"MTIA")/I155,0)</f>
        <v/>
      </c>
      <c r="O155" s="6">
        <f>IF(I155&gt;0,SUMIFS('02d_AI_Accelerator_Power'!$J$2:$J$653,'02d_AI_Accelerator_Power'!$B$2:$B$653,A155,'02d_AI_Accelerator_Power'!$C$2:$C$653,B155,'02d_AI_Accelerator_Power'!$D$2:$D$653,C155,'02d_AI_Accelerator_Power'!$F$2:$F$653,"Other / unknown accelerator")/I155,0)</f>
        <v/>
      </c>
      <c r="P155" s="3" t="inlineStr">
        <is>
          <t>CSP contract normalized: company inference MW * (CSP total MW * AI contract share * inference share) / company contract inference weight, then multiplied by CSP accelerator rows.</t>
        </is>
      </c>
      <c r="Q155" s="3" t="inlineStr">
        <is>
          <t>csp_contract_share_x_csp_accelerator_mix</t>
        </is>
      </c>
      <c r="R155" s="3" t="inlineStr">
        <is>
          <t>Edit 02a CSP contract allocation, 02b CSP accelerator mix, or 02x accelerator catalog; 03_Calculation reads D:G from this sheet.</t>
        </is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6">
        <f>IF(I156&gt;0,SUMIFS('02d_AI_Accelerator_Power'!$J$2:$J$653,'02d_AI_Accelerator_Power'!$B$2:$B$653,A156,'02d_AI_Accelerator_Power'!$C$2:$C$653,B156,'02d_AI_Accelerator_Power'!$D$2:$D$653,C156,'02d_AI_Accelerator_Power'!$G$2:$G$653,"h200_reference")/I156,0.294118)</f>
        <v/>
      </c>
      <c r="E156" s="6">
        <f>IF(I156&gt;0,SUMIFS('02d_AI_Accelerator_Power'!$J$2:$J$653,'02d_AI_Accelerator_Power'!$B$2:$B$653,A156,'02d_AI_Accelerator_Power'!$C$2:$C$653,B156,'02d_AI_Accelerator_Power'!$D$2:$D$653,C156,'02d_AI_Accelerator_Power'!$G$2:$G$653,"b200_reference")/I156,0.705882)</f>
        <v/>
      </c>
      <c r="F156" s="6">
        <f>IF(I156&gt;0,SUMIFS('02d_AI_Accelerator_Power'!$J$2:$J$653,'02d_AI_Accelerator_Power'!$B$2:$B$653,A156,'02d_AI_Accelerator_Power'!$C$2:$C$653,B156,'02d_AI_Accelerator_Power'!$D$2:$D$653,C156,'02d_AI_Accelerator_Power'!$G$2:$G$653,"gb200_reference")/I156,0.0)</f>
        <v/>
      </c>
      <c r="G156" s="6">
        <f>IF(I156&gt;0,SUMIFS('02d_AI_Accelerator_Power'!$J$2:$J$653,'02d_AI_Accelerator_Power'!$B$2:$B$653,A156,'02d_AI_Accelerator_Power'!$C$2:$C$653,B156,'02d_AI_Accelerator_Power'!$D$2:$D$653,C156,'02d_AI_Accelerator_Power'!$G$2:$G$653,"purpose_or_unbenchmarked")/I156,0.0)</f>
        <v/>
      </c>
      <c r="H156" s="6">
        <f>SUM(D156:G156)</f>
        <v/>
      </c>
      <c r="I156" s="28">
        <f>SUMIFS('02d_AI_Accelerator_Power'!$J$2:$J$653,'02d_AI_Accelerator_Power'!$B$2:$B$653,A156,'02d_AI_Accelerator_Power'!$C$2:$C$653,B156,'02d_AI_Accelerator_Power'!$D$2:$D$653,C156)</f>
        <v/>
      </c>
      <c r="J156" s="6">
        <f>IF(I156&gt;0,SUMIFS('02d_AI_Accelerator_Power'!$J$2:$J$653,'02d_AI_Accelerator_Power'!$B$2:$B$653,A156,'02d_AI_Accelerator_Power'!$C$2:$C$653,B156,'02d_AI_Accelerator_Power'!$D$2:$D$653,C156,'02d_AI_Accelerator_Power'!$F$2:$F$653,"R200/R300 future")/I156,0)</f>
        <v/>
      </c>
      <c r="K156" s="6">
        <f>IF(I156&gt;0,SUMIFS('02d_AI_Accelerator_Power'!$J$2:$J$653,'02d_AI_Accelerator_Power'!$B$2:$B$653,A156,'02d_AI_Accelerator_Power'!$C$2:$C$653,B156,'02d_AI_Accelerator_Power'!$D$2:$D$653,C156,'02d_AI_Accelerator_Power'!$F$2:$F$653,"TPU")/I156,0)</f>
        <v/>
      </c>
      <c r="L156" s="6">
        <f>IF(I156&gt;0,SUMIFS('02d_AI_Accelerator_Power'!$J$2:$J$653,'02d_AI_Accelerator_Power'!$B$2:$B$653,A156,'02d_AI_Accelerator_Power'!$C$2:$C$653,B156,'02d_AI_Accelerator_Power'!$D$2:$D$653,C156,'02d_AI_Accelerator_Power'!$F$2:$F$653,"Trainium")/I156,0)</f>
        <v/>
      </c>
      <c r="M156" s="6">
        <f>IF(I156&gt;0,SUMIFS('02d_AI_Accelerator_Power'!$J$2:$J$653,'02d_AI_Accelerator_Power'!$B$2:$B$653,A156,'02d_AI_Accelerator_Power'!$C$2:$C$653,B156,'02d_AI_Accelerator_Power'!$D$2:$D$653,C156,'02d_AI_Accelerator_Power'!$F$2:$F$653,"Maia")/I156,0)</f>
        <v/>
      </c>
      <c r="N156" s="6">
        <f>IF(I156&gt;0,SUMIFS('02d_AI_Accelerator_Power'!$J$2:$J$653,'02d_AI_Accelerator_Power'!$B$2:$B$653,A156,'02d_AI_Accelerator_Power'!$C$2:$C$653,B156,'02d_AI_Accelerator_Power'!$D$2:$D$653,C156,'02d_AI_Accelerator_Power'!$F$2:$F$653,"MTIA")/I156,0)</f>
        <v/>
      </c>
      <c r="O156" s="6">
        <f>IF(I156&gt;0,SUMIFS('02d_AI_Accelerator_Power'!$J$2:$J$653,'02d_AI_Accelerator_Power'!$B$2:$B$653,A156,'02d_AI_Accelerator_Power'!$C$2:$C$653,B156,'02d_AI_Accelerator_Power'!$D$2:$D$653,C156,'02d_AI_Accelerator_Power'!$F$2:$F$653,"Other / unknown accelerator")/I156,0)</f>
        <v/>
      </c>
      <c r="P156" s="3" t="inlineStr">
        <is>
          <t>CSP contract normalized: company inference MW * (CSP total MW * AI contract share * inference share) / company contract inference weight, then multiplied by CSP accelerator rows.</t>
        </is>
      </c>
      <c r="Q156" s="3" t="inlineStr">
        <is>
          <t>csp_contract_share_x_csp_accelerator_mix</t>
        </is>
      </c>
      <c r="R156" s="3" t="inlineStr">
        <is>
          <t>Edit 02a CSP contract allocation, 02b CSP accelerator mix, or 02x accelerator catalog; 03_Calculation reads D:G from this sheet.</t>
        </is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6">
        <f>IF(I157&gt;0,SUMIFS('02d_AI_Accelerator_Power'!$J$2:$J$653,'02d_AI_Accelerator_Power'!$B$2:$B$653,A157,'02d_AI_Accelerator_Power'!$C$2:$C$653,B157,'02d_AI_Accelerator_Power'!$D$2:$D$653,C157,'02d_AI_Accelerator_Power'!$G$2:$G$653,"h200_reference")/I157,0.09216)</f>
        <v/>
      </c>
      <c r="E157" s="6">
        <f>IF(I157&gt;0,SUMIFS('02d_AI_Accelerator_Power'!$J$2:$J$653,'02d_AI_Accelerator_Power'!$B$2:$B$653,A157,'02d_AI_Accelerator_Power'!$C$2:$C$653,B157,'02d_AI_Accelerator_Power'!$D$2:$D$653,C157,'02d_AI_Accelerator_Power'!$G$2:$G$653,"b200_reference")/I157,0.90784)</f>
        <v/>
      </c>
      <c r="F157" s="6">
        <f>IF(I157&gt;0,SUMIFS('02d_AI_Accelerator_Power'!$J$2:$J$653,'02d_AI_Accelerator_Power'!$B$2:$B$653,A157,'02d_AI_Accelerator_Power'!$C$2:$C$653,B157,'02d_AI_Accelerator_Power'!$D$2:$D$653,C157,'02d_AI_Accelerator_Power'!$G$2:$G$653,"gb200_reference")/I157,0.0)</f>
        <v/>
      </c>
      <c r="G157" s="6">
        <f>IF(I157&gt;0,SUMIFS('02d_AI_Accelerator_Power'!$J$2:$J$653,'02d_AI_Accelerator_Power'!$B$2:$B$653,A157,'02d_AI_Accelerator_Power'!$C$2:$C$653,B157,'02d_AI_Accelerator_Power'!$D$2:$D$653,C157,'02d_AI_Accelerator_Power'!$G$2:$G$653,"purpose_or_unbenchmarked")/I157,0.0)</f>
        <v/>
      </c>
      <c r="H157" s="6">
        <f>SUM(D157:G157)</f>
        <v/>
      </c>
      <c r="I157" s="28">
        <f>SUMIFS('02d_AI_Accelerator_Power'!$J$2:$J$653,'02d_AI_Accelerator_Power'!$B$2:$B$653,A157,'02d_AI_Accelerator_Power'!$C$2:$C$653,B157,'02d_AI_Accelerator_Power'!$D$2:$D$653,C157)</f>
        <v/>
      </c>
      <c r="J157" s="6">
        <f>IF(I157&gt;0,SUMIFS('02d_AI_Accelerator_Power'!$J$2:$J$653,'02d_AI_Accelerator_Power'!$B$2:$B$653,A157,'02d_AI_Accelerator_Power'!$C$2:$C$653,B157,'02d_AI_Accelerator_Power'!$D$2:$D$653,C157,'02d_AI_Accelerator_Power'!$F$2:$F$653,"R200/R300 future")/I157,0)</f>
        <v/>
      </c>
      <c r="K157" s="6">
        <f>IF(I157&gt;0,SUMIFS('02d_AI_Accelerator_Power'!$J$2:$J$653,'02d_AI_Accelerator_Power'!$B$2:$B$653,A157,'02d_AI_Accelerator_Power'!$C$2:$C$653,B157,'02d_AI_Accelerator_Power'!$D$2:$D$653,C157,'02d_AI_Accelerator_Power'!$F$2:$F$653,"TPU")/I157,0)</f>
        <v/>
      </c>
      <c r="L157" s="6">
        <f>IF(I157&gt;0,SUMIFS('02d_AI_Accelerator_Power'!$J$2:$J$653,'02d_AI_Accelerator_Power'!$B$2:$B$653,A157,'02d_AI_Accelerator_Power'!$C$2:$C$653,B157,'02d_AI_Accelerator_Power'!$D$2:$D$653,C157,'02d_AI_Accelerator_Power'!$F$2:$F$653,"Trainium")/I157,0)</f>
        <v/>
      </c>
      <c r="M157" s="6">
        <f>IF(I157&gt;0,SUMIFS('02d_AI_Accelerator_Power'!$J$2:$J$653,'02d_AI_Accelerator_Power'!$B$2:$B$653,A157,'02d_AI_Accelerator_Power'!$C$2:$C$653,B157,'02d_AI_Accelerator_Power'!$D$2:$D$653,C157,'02d_AI_Accelerator_Power'!$F$2:$F$653,"Maia")/I157,0)</f>
        <v/>
      </c>
      <c r="N157" s="6">
        <f>IF(I157&gt;0,SUMIFS('02d_AI_Accelerator_Power'!$J$2:$J$653,'02d_AI_Accelerator_Power'!$B$2:$B$653,A157,'02d_AI_Accelerator_Power'!$C$2:$C$653,B157,'02d_AI_Accelerator_Power'!$D$2:$D$653,C157,'02d_AI_Accelerator_Power'!$F$2:$F$653,"MTIA")/I157,0)</f>
        <v/>
      </c>
      <c r="O157" s="6">
        <f>IF(I157&gt;0,SUMIFS('02d_AI_Accelerator_Power'!$J$2:$J$653,'02d_AI_Accelerator_Power'!$B$2:$B$653,A157,'02d_AI_Accelerator_Power'!$C$2:$C$653,B157,'02d_AI_Accelerator_Power'!$D$2:$D$653,C157,'02d_AI_Accelerator_Power'!$F$2:$F$653,"Other / unknown accelerator")/I157,0)</f>
        <v/>
      </c>
      <c r="P157" s="3" t="inlineStr">
        <is>
          <t>CSP contract normalized: company inference MW * (CSP total MW * AI contract share * inference share) / company contract inference weight, then multiplied by CSP accelerator rows.</t>
        </is>
      </c>
      <c r="Q157" s="3" t="inlineStr">
        <is>
          <t>csp_contract_share_x_csp_accelerator_mix</t>
        </is>
      </c>
      <c r="R157" s="3" t="inlineStr">
        <is>
          <t>Edit 02a CSP contract allocation, 02b CSP accelerator mix, or 02x accelerator catalog; 03_Calculation reads D:G from this sheet.</t>
        </is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6">
        <f>IF(I158&gt;0,SUMIFS('02d_AI_Accelerator_Power'!$J$2:$J$653,'02d_AI_Accelerator_Power'!$B$2:$B$653,A158,'02d_AI_Accelerator_Power'!$C$2:$C$653,B158,'02d_AI_Accelerator_Power'!$D$2:$D$653,C158,'02d_AI_Accelerator_Power'!$G$2:$G$653,"h200_reference")/I158,0.069876)</f>
        <v/>
      </c>
      <c r="E158" s="6">
        <f>IF(I158&gt;0,SUMIFS('02d_AI_Accelerator_Power'!$J$2:$J$653,'02d_AI_Accelerator_Power'!$B$2:$B$653,A158,'02d_AI_Accelerator_Power'!$C$2:$C$653,B158,'02d_AI_Accelerator_Power'!$D$2:$D$653,C158,'02d_AI_Accelerator_Power'!$G$2:$G$653,"b200_reference")/I158,0.908191)</f>
        <v/>
      </c>
      <c r="F158" s="6">
        <f>IF(I158&gt;0,SUMIFS('02d_AI_Accelerator_Power'!$J$2:$J$653,'02d_AI_Accelerator_Power'!$B$2:$B$653,A158,'02d_AI_Accelerator_Power'!$C$2:$C$653,B158,'02d_AI_Accelerator_Power'!$D$2:$D$653,C158,'02d_AI_Accelerator_Power'!$G$2:$G$653,"gb200_reference")/I158,0.0)</f>
        <v/>
      </c>
      <c r="G158" s="6">
        <f>IF(I158&gt;0,SUMIFS('02d_AI_Accelerator_Power'!$J$2:$J$653,'02d_AI_Accelerator_Power'!$B$2:$B$653,A158,'02d_AI_Accelerator_Power'!$C$2:$C$653,B158,'02d_AI_Accelerator_Power'!$D$2:$D$653,C158,'02d_AI_Accelerator_Power'!$G$2:$G$653,"purpose_or_unbenchmarked")/I158,0.021932)</f>
        <v/>
      </c>
      <c r="H158" s="6">
        <f>SUM(D158:G158)</f>
        <v/>
      </c>
      <c r="I158" s="28">
        <f>SUMIFS('02d_AI_Accelerator_Power'!$J$2:$J$653,'02d_AI_Accelerator_Power'!$B$2:$B$653,A158,'02d_AI_Accelerator_Power'!$C$2:$C$653,B158,'02d_AI_Accelerator_Power'!$D$2:$D$653,C158)</f>
        <v/>
      </c>
      <c r="J158" s="6">
        <f>IF(I158&gt;0,SUMIFS('02d_AI_Accelerator_Power'!$J$2:$J$653,'02d_AI_Accelerator_Power'!$B$2:$B$653,A158,'02d_AI_Accelerator_Power'!$C$2:$C$653,B158,'02d_AI_Accelerator_Power'!$D$2:$D$653,C158,'02d_AI_Accelerator_Power'!$F$2:$F$653,"R200/R300 future")/I158,0)</f>
        <v/>
      </c>
      <c r="K158" s="6">
        <f>IF(I158&gt;0,SUMIFS('02d_AI_Accelerator_Power'!$J$2:$J$653,'02d_AI_Accelerator_Power'!$B$2:$B$653,A158,'02d_AI_Accelerator_Power'!$C$2:$C$653,B158,'02d_AI_Accelerator_Power'!$D$2:$D$653,C158,'02d_AI_Accelerator_Power'!$F$2:$F$653,"TPU")/I158,0)</f>
        <v/>
      </c>
      <c r="L158" s="6">
        <f>IF(I158&gt;0,SUMIFS('02d_AI_Accelerator_Power'!$J$2:$J$653,'02d_AI_Accelerator_Power'!$B$2:$B$653,A158,'02d_AI_Accelerator_Power'!$C$2:$C$653,B158,'02d_AI_Accelerator_Power'!$D$2:$D$653,C158,'02d_AI_Accelerator_Power'!$F$2:$F$653,"Trainium")/I158,0)</f>
        <v/>
      </c>
      <c r="M158" s="6">
        <f>IF(I158&gt;0,SUMIFS('02d_AI_Accelerator_Power'!$J$2:$J$653,'02d_AI_Accelerator_Power'!$B$2:$B$653,A158,'02d_AI_Accelerator_Power'!$C$2:$C$653,B158,'02d_AI_Accelerator_Power'!$D$2:$D$653,C158,'02d_AI_Accelerator_Power'!$F$2:$F$653,"Maia")/I158,0)</f>
        <v/>
      </c>
      <c r="N158" s="6">
        <f>IF(I158&gt;0,SUMIFS('02d_AI_Accelerator_Power'!$J$2:$J$653,'02d_AI_Accelerator_Power'!$B$2:$B$653,A158,'02d_AI_Accelerator_Power'!$C$2:$C$653,B158,'02d_AI_Accelerator_Power'!$D$2:$D$653,C158,'02d_AI_Accelerator_Power'!$F$2:$F$653,"MTIA")/I158,0)</f>
        <v/>
      </c>
      <c r="O158" s="6">
        <f>IF(I158&gt;0,SUMIFS('02d_AI_Accelerator_Power'!$J$2:$J$653,'02d_AI_Accelerator_Power'!$B$2:$B$653,A158,'02d_AI_Accelerator_Power'!$C$2:$C$653,B158,'02d_AI_Accelerator_Power'!$D$2:$D$653,C158,'02d_AI_Accelerator_Power'!$F$2:$F$653,"Other / unknown accelerator")/I158,0)</f>
        <v/>
      </c>
      <c r="P158" s="3" t="inlineStr">
        <is>
          <t>CSP contract normalized: company inference MW * (CSP total MW * AI contract share * inference share) / company contract inference weight, then multiplied by CSP accelerator rows.</t>
        </is>
      </c>
      <c r="Q158" s="3" t="inlineStr">
        <is>
          <t>csp_contract_share_x_csp_accelerator_mix</t>
        </is>
      </c>
      <c r="R158" s="3" t="inlineStr">
        <is>
          <t>Edit 02a CSP contract allocation, 02b CSP accelerator mix, or 02x accelerator catalog; 03_Calculation reads D:G from this sheet.</t>
        </is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6">
        <f>IF(I159&gt;0,SUMIFS('02d_AI_Accelerator_Power'!$J$2:$J$653,'02d_AI_Accelerator_Power'!$B$2:$B$653,A159,'02d_AI_Accelerator_Power'!$C$2:$C$653,B159,'02d_AI_Accelerator_Power'!$D$2:$D$653,C159,'02d_AI_Accelerator_Power'!$G$2:$G$653,"h200_reference")/I159,0.055734)</f>
        <v/>
      </c>
      <c r="E159" s="6">
        <f>IF(I159&gt;0,SUMIFS('02d_AI_Accelerator_Power'!$J$2:$J$653,'02d_AI_Accelerator_Power'!$B$2:$B$653,A159,'02d_AI_Accelerator_Power'!$C$2:$C$653,B159,'02d_AI_Accelerator_Power'!$D$2:$D$653,C159,'02d_AI_Accelerator_Power'!$G$2:$G$653,"b200_reference")/I159,0.784048)</f>
        <v/>
      </c>
      <c r="F159" s="6">
        <f>IF(I159&gt;0,SUMIFS('02d_AI_Accelerator_Power'!$J$2:$J$653,'02d_AI_Accelerator_Power'!$B$2:$B$653,A159,'02d_AI_Accelerator_Power'!$C$2:$C$653,B159,'02d_AI_Accelerator_Power'!$D$2:$D$653,C159,'02d_AI_Accelerator_Power'!$G$2:$G$653,"gb200_reference")/I159,0.024576)</f>
        <v/>
      </c>
      <c r="G159" s="6">
        <f>IF(I159&gt;0,SUMIFS('02d_AI_Accelerator_Power'!$J$2:$J$653,'02d_AI_Accelerator_Power'!$B$2:$B$653,A159,'02d_AI_Accelerator_Power'!$C$2:$C$653,B159,'02d_AI_Accelerator_Power'!$D$2:$D$653,C159,'02d_AI_Accelerator_Power'!$G$2:$G$653,"purpose_or_unbenchmarked")/I159,0.135642)</f>
        <v/>
      </c>
      <c r="H159" s="6">
        <f>SUM(D159:G159)</f>
        <v/>
      </c>
      <c r="I159" s="28">
        <f>SUMIFS('02d_AI_Accelerator_Power'!$J$2:$J$653,'02d_AI_Accelerator_Power'!$B$2:$B$653,A159,'02d_AI_Accelerator_Power'!$C$2:$C$653,B159,'02d_AI_Accelerator_Power'!$D$2:$D$653,C159)</f>
        <v/>
      </c>
      <c r="J159" s="6">
        <f>IF(I159&gt;0,SUMIFS('02d_AI_Accelerator_Power'!$J$2:$J$653,'02d_AI_Accelerator_Power'!$B$2:$B$653,A159,'02d_AI_Accelerator_Power'!$C$2:$C$653,B159,'02d_AI_Accelerator_Power'!$D$2:$D$653,C159,'02d_AI_Accelerator_Power'!$F$2:$F$653,"R200/R300 future")/I159,0)</f>
        <v/>
      </c>
      <c r="K159" s="6">
        <f>IF(I159&gt;0,SUMIFS('02d_AI_Accelerator_Power'!$J$2:$J$653,'02d_AI_Accelerator_Power'!$B$2:$B$653,A159,'02d_AI_Accelerator_Power'!$C$2:$C$653,B159,'02d_AI_Accelerator_Power'!$D$2:$D$653,C159,'02d_AI_Accelerator_Power'!$F$2:$F$653,"TPU")/I159,0)</f>
        <v/>
      </c>
      <c r="L159" s="6">
        <f>IF(I159&gt;0,SUMIFS('02d_AI_Accelerator_Power'!$J$2:$J$653,'02d_AI_Accelerator_Power'!$B$2:$B$653,A159,'02d_AI_Accelerator_Power'!$C$2:$C$653,B159,'02d_AI_Accelerator_Power'!$D$2:$D$653,C159,'02d_AI_Accelerator_Power'!$F$2:$F$653,"Trainium")/I159,0)</f>
        <v/>
      </c>
      <c r="M159" s="6">
        <f>IF(I159&gt;0,SUMIFS('02d_AI_Accelerator_Power'!$J$2:$J$653,'02d_AI_Accelerator_Power'!$B$2:$B$653,A159,'02d_AI_Accelerator_Power'!$C$2:$C$653,B159,'02d_AI_Accelerator_Power'!$D$2:$D$653,C159,'02d_AI_Accelerator_Power'!$F$2:$F$653,"Maia")/I159,0)</f>
        <v/>
      </c>
      <c r="N159" s="6">
        <f>IF(I159&gt;0,SUMIFS('02d_AI_Accelerator_Power'!$J$2:$J$653,'02d_AI_Accelerator_Power'!$B$2:$B$653,A159,'02d_AI_Accelerator_Power'!$C$2:$C$653,B159,'02d_AI_Accelerator_Power'!$D$2:$D$653,C159,'02d_AI_Accelerator_Power'!$F$2:$F$653,"MTIA")/I159,0)</f>
        <v/>
      </c>
      <c r="O159" s="6">
        <f>IF(I159&gt;0,SUMIFS('02d_AI_Accelerator_Power'!$J$2:$J$653,'02d_AI_Accelerator_Power'!$B$2:$B$653,A159,'02d_AI_Accelerator_Power'!$C$2:$C$653,B159,'02d_AI_Accelerator_Power'!$D$2:$D$653,C159,'02d_AI_Accelerator_Power'!$F$2:$F$653,"Other / unknown accelerator")/I159,0)</f>
        <v/>
      </c>
      <c r="P159" s="3" t="inlineStr">
        <is>
          <t>CSP contract normalized: company inference MW * (CSP total MW * AI contract share * inference share) / company contract inference weight, then multiplied by CSP accelerator rows.</t>
        </is>
      </c>
      <c r="Q159" s="3" t="inlineStr">
        <is>
          <t>csp_contract_share_x_csp_accelerator_mix</t>
        </is>
      </c>
      <c r="R159" s="3" t="inlineStr">
        <is>
          <t>Edit 02a CSP contract allocation, 02b CSP accelerator mix, or 02x accelerator catalog; 03_Calculation reads D:G from this sheet.</t>
        </is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6">
        <f>IF(I160&gt;0,SUMIFS('02d_AI_Accelerator_Power'!$J$2:$J$653,'02d_AI_Accelerator_Power'!$B$2:$B$653,A160,'02d_AI_Accelerator_Power'!$C$2:$C$653,B160,'02d_AI_Accelerator_Power'!$D$2:$D$653,C160,'02d_AI_Accelerator_Power'!$G$2:$G$653,"h200_reference")/I160,0.045663)</f>
        <v/>
      </c>
      <c r="E160" s="6">
        <f>IF(I160&gt;0,SUMIFS('02d_AI_Accelerator_Power'!$J$2:$J$653,'02d_AI_Accelerator_Power'!$B$2:$B$653,A160,'02d_AI_Accelerator_Power'!$C$2:$C$653,B160,'02d_AI_Accelerator_Power'!$D$2:$D$653,C160,'02d_AI_Accelerator_Power'!$G$2:$G$653,"b200_reference")/I160,0.790096)</f>
        <v/>
      </c>
      <c r="F160" s="6">
        <f>IF(I160&gt;0,SUMIFS('02d_AI_Accelerator_Power'!$J$2:$J$653,'02d_AI_Accelerator_Power'!$B$2:$B$653,A160,'02d_AI_Accelerator_Power'!$C$2:$C$653,B160,'02d_AI_Accelerator_Power'!$D$2:$D$653,C160,'02d_AI_Accelerator_Power'!$G$2:$G$653,"gb200_reference")/I160,0.033546)</f>
        <v/>
      </c>
      <c r="G160" s="6">
        <f>IF(I160&gt;0,SUMIFS('02d_AI_Accelerator_Power'!$J$2:$J$653,'02d_AI_Accelerator_Power'!$B$2:$B$653,A160,'02d_AI_Accelerator_Power'!$C$2:$C$653,B160,'02d_AI_Accelerator_Power'!$D$2:$D$653,C160,'02d_AI_Accelerator_Power'!$G$2:$G$653,"purpose_or_unbenchmarked")/I160,0.130695)</f>
        <v/>
      </c>
      <c r="H160" s="6">
        <f>SUM(D160:G160)</f>
        <v/>
      </c>
      <c r="I160" s="28">
        <f>SUMIFS('02d_AI_Accelerator_Power'!$J$2:$J$653,'02d_AI_Accelerator_Power'!$B$2:$B$653,A160,'02d_AI_Accelerator_Power'!$C$2:$C$653,B160,'02d_AI_Accelerator_Power'!$D$2:$D$653,C160)</f>
        <v/>
      </c>
      <c r="J160" s="6">
        <f>IF(I160&gt;0,SUMIFS('02d_AI_Accelerator_Power'!$J$2:$J$653,'02d_AI_Accelerator_Power'!$B$2:$B$653,A160,'02d_AI_Accelerator_Power'!$C$2:$C$653,B160,'02d_AI_Accelerator_Power'!$D$2:$D$653,C160,'02d_AI_Accelerator_Power'!$F$2:$F$653,"R200/R300 future")/I160,0)</f>
        <v/>
      </c>
      <c r="K160" s="6">
        <f>IF(I160&gt;0,SUMIFS('02d_AI_Accelerator_Power'!$J$2:$J$653,'02d_AI_Accelerator_Power'!$B$2:$B$653,A160,'02d_AI_Accelerator_Power'!$C$2:$C$653,B160,'02d_AI_Accelerator_Power'!$D$2:$D$653,C160,'02d_AI_Accelerator_Power'!$F$2:$F$653,"TPU")/I160,0)</f>
        <v/>
      </c>
      <c r="L160" s="6">
        <f>IF(I160&gt;0,SUMIFS('02d_AI_Accelerator_Power'!$J$2:$J$653,'02d_AI_Accelerator_Power'!$B$2:$B$653,A160,'02d_AI_Accelerator_Power'!$C$2:$C$653,B160,'02d_AI_Accelerator_Power'!$D$2:$D$653,C160,'02d_AI_Accelerator_Power'!$F$2:$F$653,"Trainium")/I160,0)</f>
        <v/>
      </c>
      <c r="M160" s="6">
        <f>IF(I160&gt;0,SUMIFS('02d_AI_Accelerator_Power'!$J$2:$J$653,'02d_AI_Accelerator_Power'!$B$2:$B$653,A160,'02d_AI_Accelerator_Power'!$C$2:$C$653,B160,'02d_AI_Accelerator_Power'!$D$2:$D$653,C160,'02d_AI_Accelerator_Power'!$F$2:$F$653,"Maia")/I160,0)</f>
        <v/>
      </c>
      <c r="N160" s="6">
        <f>IF(I160&gt;0,SUMIFS('02d_AI_Accelerator_Power'!$J$2:$J$653,'02d_AI_Accelerator_Power'!$B$2:$B$653,A160,'02d_AI_Accelerator_Power'!$C$2:$C$653,B160,'02d_AI_Accelerator_Power'!$D$2:$D$653,C160,'02d_AI_Accelerator_Power'!$F$2:$F$653,"MTIA")/I160,0)</f>
        <v/>
      </c>
      <c r="O160" s="6">
        <f>IF(I160&gt;0,SUMIFS('02d_AI_Accelerator_Power'!$J$2:$J$653,'02d_AI_Accelerator_Power'!$B$2:$B$653,A160,'02d_AI_Accelerator_Power'!$C$2:$C$653,B160,'02d_AI_Accelerator_Power'!$D$2:$D$653,C160,'02d_AI_Accelerator_Power'!$F$2:$F$653,"Other / unknown accelerator")/I160,0)</f>
        <v/>
      </c>
      <c r="P160" s="3" t="inlineStr">
        <is>
          <t>CSP contract normalized: company inference MW * (CSP total MW * AI contract share * inference share) / company contract inference weight, then multiplied by CSP accelerator rows.</t>
        </is>
      </c>
      <c r="Q160" s="3" t="inlineStr">
        <is>
          <t>csp_contract_share_x_csp_accelerator_mix</t>
        </is>
      </c>
      <c r="R160" s="3" t="inlineStr">
        <is>
          <t>Edit 02a CSP contract allocation, 02b CSP accelerator mix, or 02x accelerator catalog; 03_Calculation reads D:G from this sheet.</t>
        </is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6">
        <f>IF(I161&gt;0,SUMIFS('02d_AI_Accelerator_Power'!$J$2:$J$653,'02d_AI_Accelerator_Power'!$B$2:$B$653,A161,'02d_AI_Accelerator_Power'!$C$2:$C$653,B161,'02d_AI_Accelerator_Power'!$D$2:$D$653,C161,'02d_AI_Accelerator_Power'!$G$2:$G$653,"h200_reference")/I161,0.036744)</f>
        <v/>
      </c>
      <c r="E161" s="6">
        <f>IF(I161&gt;0,SUMIFS('02d_AI_Accelerator_Power'!$J$2:$J$653,'02d_AI_Accelerator_Power'!$B$2:$B$653,A161,'02d_AI_Accelerator_Power'!$C$2:$C$653,B161,'02d_AI_Accelerator_Power'!$D$2:$D$653,C161,'02d_AI_Accelerator_Power'!$G$2:$G$653,"b200_reference")/I161,0.789149)</f>
        <v/>
      </c>
      <c r="F161" s="6">
        <f>IF(I161&gt;0,SUMIFS('02d_AI_Accelerator_Power'!$J$2:$J$653,'02d_AI_Accelerator_Power'!$B$2:$B$653,A161,'02d_AI_Accelerator_Power'!$C$2:$C$653,B161,'02d_AI_Accelerator_Power'!$D$2:$D$653,C161,'02d_AI_Accelerator_Power'!$G$2:$G$653,"gb200_reference")/I161,0.043412)</f>
        <v/>
      </c>
      <c r="G161" s="6">
        <f>IF(I161&gt;0,SUMIFS('02d_AI_Accelerator_Power'!$J$2:$J$653,'02d_AI_Accelerator_Power'!$B$2:$B$653,A161,'02d_AI_Accelerator_Power'!$C$2:$C$653,B161,'02d_AI_Accelerator_Power'!$D$2:$D$653,C161,'02d_AI_Accelerator_Power'!$G$2:$G$653,"purpose_or_unbenchmarked")/I161,0.130695)</f>
        <v/>
      </c>
      <c r="H161" s="6">
        <f>SUM(D161:G161)</f>
        <v/>
      </c>
      <c r="I161" s="28">
        <f>SUMIFS('02d_AI_Accelerator_Power'!$J$2:$J$653,'02d_AI_Accelerator_Power'!$B$2:$B$653,A161,'02d_AI_Accelerator_Power'!$C$2:$C$653,B161,'02d_AI_Accelerator_Power'!$D$2:$D$653,C161)</f>
        <v/>
      </c>
      <c r="J161" s="6">
        <f>IF(I161&gt;0,SUMIFS('02d_AI_Accelerator_Power'!$J$2:$J$653,'02d_AI_Accelerator_Power'!$B$2:$B$653,A161,'02d_AI_Accelerator_Power'!$C$2:$C$653,B161,'02d_AI_Accelerator_Power'!$D$2:$D$653,C161,'02d_AI_Accelerator_Power'!$F$2:$F$653,"R200/R300 future")/I161,0)</f>
        <v/>
      </c>
      <c r="K161" s="6">
        <f>IF(I161&gt;0,SUMIFS('02d_AI_Accelerator_Power'!$J$2:$J$653,'02d_AI_Accelerator_Power'!$B$2:$B$653,A161,'02d_AI_Accelerator_Power'!$C$2:$C$653,B161,'02d_AI_Accelerator_Power'!$D$2:$D$653,C161,'02d_AI_Accelerator_Power'!$F$2:$F$653,"TPU")/I161,0)</f>
        <v/>
      </c>
      <c r="L161" s="6">
        <f>IF(I161&gt;0,SUMIFS('02d_AI_Accelerator_Power'!$J$2:$J$653,'02d_AI_Accelerator_Power'!$B$2:$B$653,A161,'02d_AI_Accelerator_Power'!$C$2:$C$653,B161,'02d_AI_Accelerator_Power'!$D$2:$D$653,C161,'02d_AI_Accelerator_Power'!$F$2:$F$653,"Trainium")/I161,0)</f>
        <v/>
      </c>
      <c r="M161" s="6">
        <f>IF(I161&gt;0,SUMIFS('02d_AI_Accelerator_Power'!$J$2:$J$653,'02d_AI_Accelerator_Power'!$B$2:$B$653,A161,'02d_AI_Accelerator_Power'!$C$2:$C$653,B161,'02d_AI_Accelerator_Power'!$D$2:$D$653,C161,'02d_AI_Accelerator_Power'!$F$2:$F$653,"Maia")/I161,0)</f>
        <v/>
      </c>
      <c r="N161" s="6">
        <f>IF(I161&gt;0,SUMIFS('02d_AI_Accelerator_Power'!$J$2:$J$653,'02d_AI_Accelerator_Power'!$B$2:$B$653,A161,'02d_AI_Accelerator_Power'!$C$2:$C$653,B161,'02d_AI_Accelerator_Power'!$D$2:$D$653,C161,'02d_AI_Accelerator_Power'!$F$2:$F$653,"MTIA")/I161,0)</f>
        <v/>
      </c>
      <c r="O161" s="6">
        <f>IF(I161&gt;0,SUMIFS('02d_AI_Accelerator_Power'!$J$2:$J$653,'02d_AI_Accelerator_Power'!$B$2:$B$653,A161,'02d_AI_Accelerator_Power'!$C$2:$C$653,B161,'02d_AI_Accelerator_Power'!$D$2:$D$653,C161,'02d_AI_Accelerator_Power'!$F$2:$F$653,"Other / unknown accelerator")/I161,0)</f>
        <v/>
      </c>
      <c r="P161" s="3" t="inlineStr">
        <is>
          <t>CSP contract normalized: company inference MW * (CSP total MW * AI contract share * inference share) / company contract inference weight, then multiplied by CSP accelerator rows.</t>
        </is>
      </c>
      <c r="Q161" s="3" t="inlineStr">
        <is>
          <t>csp_contract_share_x_csp_accelerator_mix</t>
        </is>
      </c>
      <c r="R161" s="3" t="inlineStr">
        <is>
          <t>Edit 02a CSP contract allocation, 02b CSP accelerator mix, or 02x accelerator catalog; 03_Calculation reads D:G from this sheet.</t>
        </is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6">
        <f>IF(I162&gt;0,SUMIFS('02d_AI_Accelerator_Power'!$J$2:$J$653,'02d_AI_Accelerator_Power'!$B$2:$B$653,A162,'02d_AI_Accelerator_Power'!$C$2:$C$653,B162,'02d_AI_Accelerator_Power'!$D$2:$D$653,C162,'02d_AI_Accelerator_Power'!$G$2:$G$653,"h200_reference")/I162,0.114987)</f>
        <v/>
      </c>
      <c r="E162" s="6">
        <f>IF(I162&gt;0,SUMIFS('02d_AI_Accelerator_Power'!$J$2:$J$653,'02d_AI_Accelerator_Power'!$B$2:$B$653,A162,'02d_AI_Accelerator_Power'!$C$2:$C$653,B162,'02d_AI_Accelerator_Power'!$D$2:$D$653,C162,'02d_AI_Accelerator_Power'!$G$2:$G$653,"b200_reference")/I162,0.227101)</f>
        <v/>
      </c>
      <c r="F162" s="6">
        <f>IF(I162&gt;0,SUMIFS('02d_AI_Accelerator_Power'!$J$2:$J$653,'02d_AI_Accelerator_Power'!$B$2:$B$653,A162,'02d_AI_Accelerator_Power'!$C$2:$C$653,B162,'02d_AI_Accelerator_Power'!$D$2:$D$653,C162,'02d_AI_Accelerator_Power'!$G$2:$G$653,"gb200_reference")/I162,0.0)</f>
        <v/>
      </c>
      <c r="G162" s="6">
        <f>IF(I162&gt;0,SUMIFS('02d_AI_Accelerator_Power'!$J$2:$J$653,'02d_AI_Accelerator_Power'!$B$2:$B$653,A162,'02d_AI_Accelerator_Power'!$C$2:$C$653,B162,'02d_AI_Accelerator_Power'!$D$2:$D$653,C162,'02d_AI_Accelerator_Power'!$G$2:$G$653,"purpose_or_unbenchmarked")/I162,0.657912)</f>
        <v/>
      </c>
      <c r="H162" s="6">
        <f>SUM(D162:G162)</f>
        <v/>
      </c>
      <c r="I162" s="28">
        <f>SUMIFS('02d_AI_Accelerator_Power'!$J$2:$J$653,'02d_AI_Accelerator_Power'!$B$2:$B$653,A162,'02d_AI_Accelerator_Power'!$C$2:$C$653,B162,'02d_AI_Accelerator_Power'!$D$2:$D$653,C162)</f>
        <v/>
      </c>
      <c r="J162" s="6">
        <f>IF(I162&gt;0,SUMIFS('02d_AI_Accelerator_Power'!$J$2:$J$653,'02d_AI_Accelerator_Power'!$B$2:$B$653,A162,'02d_AI_Accelerator_Power'!$C$2:$C$653,B162,'02d_AI_Accelerator_Power'!$D$2:$D$653,C162,'02d_AI_Accelerator_Power'!$F$2:$F$653,"R200/R300 future")/I162,0)</f>
        <v/>
      </c>
      <c r="K162" s="6">
        <f>IF(I162&gt;0,SUMIFS('02d_AI_Accelerator_Power'!$J$2:$J$653,'02d_AI_Accelerator_Power'!$B$2:$B$653,A162,'02d_AI_Accelerator_Power'!$C$2:$C$653,B162,'02d_AI_Accelerator_Power'!$D$2:$D$653,C162,'02d_AI_Accelerator_Power'!$F$2:$F$653,"TPU")/I162,0)</f>
        <v/>
      </c>
      <c r="L162" s="6">
        <f>IF(I162&gt;0,SUMIFS('02d_AI_Accelerator_Power'!$J$2:$J$653,'02d_AI_Accelerator_Power'!$B$2:$B$653,A162,'02d_AI_Accelerator_Power'!$C$2:$C$653,B162,'02d_AI_Accelerator_Power'!$D$2:$D$653,C162,'02d_AI_Accelerator_Power'!$F$2:$F$653,"Trainium")/I162,0)</f>
        <v/>
      </c>
      <c r="M162" s="6">
        <f>IF(I162&gt;0,SUMIFS('02d_AI_Accelerator_Power'!$J$2:$J$653,'02d_AI_Accelerator_Power'!$B$2:$B$653,A162,'02d_AI_Accelerator_Power'!$C$2:$C$653,B162,'02d_AI_Accelerator_Power'!$D$2:$D$653,C162,'02d_AI_Accelerator_Power'!$F$2:$F$653,"Maia")/I162,0)</f>
        <v/>
      </c>
      <c r="N162" s="6">
        <f>IF(I162&gt;0,SUMIFS('02d_AI_Accelerator_Power'!$J$2:$J$653,'02d_AI_Accelerator_Power'!$B$2:$B$653,A162,'02d_AI_Accelerator_Power'!$C$2:$C$653,B162,'02d_AI_Accelerator_Power'!$D$2:$D$653,C162,'02d_AI_Accelerator_Power'!$F$2:$F$653,"MTIA")/I162,0)</f>
        <v/>
      </c>
      <c r="O162" s="6">
        <f>IF(I162&gt;0,SUMIFS('02d_AI_Accelerator_Power'!$J$2:$J$653,'02d_AI_Accelerator_Power'!$B$2:$B$653,A162,'02d_AI_Accelerator_Power'!$C$2:$C$653,B162,'02d_AI_Accelerator_Power'!$D$2:$D$653,C162,'02d_AI_Accelerator_Power'!$F$2:$F$653,"Other / unknown accelerator")/I162,0)</f>
        <v/>
      </c>
      <c r="P162" s="3" t="inlineStr">
        <is>
          <t>CSP contract normalized: company inference MW * (CSP total MW * AI contract share * inference share) / company contract inference weight, then multiplied by CSP accelerator rows.</t>
        </is>
      </c>
      <c r="Q162" s="3" t="inlineStr">
        <is>
          <t>csp_contract_share_x_csp_accelerator_mix</t>
        </is>
      </c>
      <c r="R162" s="3" t="inlineStr">
        <is>
          <t>Edit 02a CSP contract allocation, 02b CSP accelerator mix, or 02x accelerator catalog; 03_Calculation reads D:G from this sheet.</t>
        </is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6">
        <f>IF(I163&gt;0,SUMIFS('02d_AI_Accelerator_Power'!$J$2:$J$653,'02d_AI_Accelerator_Power'!$B$2:$B$653,A163,'02d_AI_Accelerator_Power'!$C$2:$C$653,B163,'02d_AI_Accelerator_Power'!$D$2:$D$653,C163,'02d_AI_Accelerator_Power'!$G$2:$G$653,"h200_reference")/I163,0.120505)</f>
        <v/>
      </c>
      <c r="E163" s="6">
        <f>IF(I163&gt;0,SUMIFS('02d_AI_Accelerator_Power'!$J$2:$J$653,'02d_AI_Accelerator_Power'!$B$2:$B$653,A163,'02d_AI_Accelerator_Power'!$C$2:$C$653,B163,'02d_AI_Accelerator_Power'!$D$2:$D$653,C163,'02d_AI_Accelerator_Power'!$G$2:$G$653,"b200_reference")/I163,0.215994)</f>
        <v/>
      </c>
      <c r="F163" s="6">
        <f>IF(I163&gt;0,SUMIFS('02d_AI_Accelerator_Power'!$J$2:$J$653,'02d_AI_Accelerator_Power'!$B$2:$B$653,A163,'02d_AI_Accelerator_Power'!$C$2:$C$653,B163,'02d_AI_Accelerator_Power'!$D$2:$D$653,C163,'02d_AI_Accelerator_Power'!$G$2:$G$653,"gb200_reference")/I163,0.0)</f>
        <v/>
      </c>
      <c r="G163" s="6">
        <f>IF(I163&gt;0,SUMIFS('02d_AI_Accelerator_Power'!$J$2:$J$653,'02d_AI_Accelerator_Power'!$B$2:$B$653,A163,'02d_AI_Accelerator_Power'!$C$2:$C$653,B163,'02d_AI_Accelerator_Power'!$D$2:$D$653,C163,'02d_AI_Accelerator_Power'!$G$2:$G$653,"purpose_or_unbenchmarked")/I163,0.663501)</f>
        <v/>
      </c>
      <c r="H163" s="6">
        <f>SUM(D163:G163)</f>
        <v/>
      </c>
      <c r="I163" s="28">
        <f>SUMIFS('02d_AI_Accelerator_Power'!$J$2:$J$653,'02d_AI_Accelerator_Power'!$B$2:$B$653,A163,'02d_AI_Accelerator_Power'!$C$2:$C$653,B163,'02d_AI_Accelerator_Power'!$D$2:$D$653,C163)</f>
        <v/>
      </c>
      <c r="J163" s="6">
        <f>IF(I163&gt;0,SUMIFS('02d_AI_Accelerator_Power'!$J$2:$J$653,'02d_AI_Accelerator_Power'!$B$2:$B$653,A163,'02d_AI_Accelerator_Power'!$C$2:$C$653,B163,'02d_AI_Accelerator_Power'!$D$2:$D$653,C163,'02d_AI_Accelerator_Power'!$F$2:$F$653,"R200/R300 future")/I163,0)</f>
        <v/>
      </c>
      <c r="K163" s="6">
        <f>IF(I163&gt;0,SUMIFS('02d_AI_Accelerator_Power'!$J$2:$J$653,'02d_AI_Accelerator_Power'!$B$2:$B$653,A163,'02d_AI_Accelerator_Power'!$C$2:$C$653,B163,'02d_AI_Accelerator_Power'!$D$2:$D$653,C163,'02d_AI_Accelerator_Power'!$F$2:$F$653,"TPU")/I163,0)</f>
        <v/>
      </c>
      <c r="L163" s="6">
        <f>IF(I163&gt;0,SUMIFS('02d_AI_Accelerator_Power'!$J$2:$J$653,'02d_AI_Accelerator_Power'!$B$2:$B$653,A163,'02d_AI_Accelerator_Power'!$C$2:$C$653,B163,'02d_AI_Accelerator_Power'!$D$2:$D$653,C163,'02d_AI_Accelerator_Power'!$F$2:$F$653,"Trainium")/I163,0)</f>
        <v/>
      </c>
      <c r="M163" s="6">
        <f>IF(I163&gt;0,SUMIFS('02d_AI_Accelerator_Power'!$J$2:$J$653,'02d_AI_Accelerator_Power'!$B$2:$B$653,A163,'02d_AI_Accelerator_Power'!$C$2:$C$653,B163,'02d_AI_Accelerator_Power'!$D$2:$D$653,C163,'02d_AI_Accelerator_Power'!$F$2:$F$653,"Maia")/I163,0)</f>
        <v/>
      </c>
      <c r="N163" s="6">
        <f>IF(I163&gt;0,SUMIFS('02d_AI_Accelerator_Power'!$J$2:$J$653,'02d_AI_Accelerator_Power'!$B$2:$B$653,A163,'02d_AI_Accelerator_Power'!$C$2:$C$653,B163,'02d_AI_Accelerator_Power'!$D$2:$D$653,C163,'02d_AI_Accelerator_Power'!$F$2:$F$653,"MTIA")/I163,0)</f>
        <v/>
      </c>
      <c r="O163" s="6">
        <f>IF(I163&gt;0,SUMIFS('02d_AI_Accelerator_Power'!$J$2:$J$653,'02d_AI_Accelerator_Power'!$B$2:$B$653,A163,'02d_AI_Accelerator_Power'!$C$2:$C$653,B163,'02d_AI_Accelerator_Power'!$D$2:$D$653,C163,'02d_AI_Accelerator_Power'!$F$2:$F$653,"Other / unknown accelerator")/I163,0)</f>
        <v/>
      </c>
      <c r="P163" s="3" t="inlineStr">
        <is>
          <t>CSP contract normalized: company inference MW * (CSP total MW * AI contract share * inference share) / company contract inference weight, then multiplied by CSP accelerator rows.</t>
        </is>
      </c>
      <c r="Q163" s="3" t="inlineStr">
        <is>
          <t>csp_contract_share_x_csp_accelerator_mix</t>
        </is>
      </c>
      <c r="R163" s="3" t="inlineStr">
        <is>
          <t>Edit 02a CSP contract allocation, 02b CSP accelerator mix, or 02x accelerator catalog; 03_Calculation reads D:G from this sheet.</t>
        </is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6">
        <f>IF(I164&gt;0,SUMIFS('02d_AI_Accelerator_Power'!$J$2:$J$653,'02d_AI_Accelerator_Power'!$B$2:$B$653,A164,'02d_AI_Accelerator_Power'!$C$2:$C$653,B164,'02d_AI_Accelerator_Power'!$D$2:$D$653,C164,'02d_AI_Accelerator_Power'!$G$2:$G$653,"h200_reference")/I164,0.078841)</f>
        <v/>
      </c>
      <c r="E164" s="6">
        <f>IF(I164&gt;0,SUMIFS('02d_AI_Accelerator_Power'!$J$2:$J$653,'02d_AI_Accelerator_Power'!$B$2:$B$653,A164,'02d_AI_Accelerator_Power'!$C$2:$C$653,B164,'02d_AI_Accelerator_Power'!$D$2:$D$653,C164,'02d_AI_Accelerator_Power'!$G$2:$G$653,"b200_reference")/I164,0.120599)</f>
        <v/>
      </c>
      <c r="F164" s="6">
        <f>IF(I164&gt;0,SUMIFS('02d_AI_Accelerator_Power'!$J$2:$J$653,'02d_AI_Accelerator_Power'!$B$2:$B$653,A164,'02d_AI_Accelerator_Power'!$C$2:$C$653,B164,'02d_AI_Accelerator_Power'!$D$2:$D$653,C164,'02d_AI_Accelerator_Power'!$G$2:$G$653,"gb200_reference")/I164,0.0)</f>
        <v/>
      </c>
      <c r="G164" s="6">
        <f>IF(I164&gt;0,SUMIFS('02d_AI_Accelerator_Power'!$J$2:$J$653,'02d_AI_Accelerator_Power'!$B$2:$B$653,A164,'02d_AI_Accelerator_Power'!$C$2:$C$653,B164,'02d_AI_Accelerator_Power'!$D$2:$D$653,C164,'02d_AI_Accelerator_Power'!$G$2:$G$653,"purpose_or_unbenchmarked")/I164,0.80056)</f>
        <v/>
      </c>
      <c r="H164" s="6">
        <f>SUM(D164:G164)</f>
        <v/>
      </c>
      <c r="I164" s="28">
        <f>SUMIFS('02d_AI_Accelerator_Power'!$J$2:$J$653,'02d_AI_Accelerator_Power'!$B$2:$B$653,A164,'02d_AI_Accelerator_Power'!$C$2:$C$653,B164,'02d_AI_Accelerator_Power'!$D$2:$D$653,C164)</f>
        <v/>
      </c>
      <c r="J164" s="6">
        <f>IF(I164&gt;0,SUMIFS('02d_AI_Accelerator_Power'!$J$2:$J$653,'02d_AI_Accelerator_Power'!$B$2:$B$653,A164,'02d_AI_Accelerator_Power'!$C$2:$C$653,B164,'02d_AI_Accelerator_Power'!$D$2:$D$653,C164,'02d_AI_Accelerator_Power'!$F$2:$F$653,"R200/R300 future")/I164,0)</f>
        <v/>
      </c>
      <c r="K164" s="6">
        <f>IF(I164&gt;0,SUMIFS('02d_AI_Accelerator_Power'!$J$2:$J$653,'02d_AI_Accelerator_Power'!$B$2:$B$653,A164,'02d_AI_Accelerator_Power'!$C$2:$C$653,B164,'02d_AI_Accelerator_Power'!$D$2:$D$653,C164,'02d_AI_Accelerator_Power'!$F$2:$F$653,"TPU")/I164,0)</f>
        <v/>
      </c>
      <c r="L164" s="6">
        <f>IF(I164&gt;0,SUMIFS('02d_AI_Accelerator_Power'!$J$2:$J$653,'02d_AI_Accelerator_Power'!$B$2:$B$653,A164,'02d_AI_Accelerator_Power'!$C$2:$C$653,B164,'02d_AI_Accelerator_Power'!$D$2:$D$653,C164,'02d_AI_Accelerator_Power'!$F$2:$F$653,"Trainium")/I164,0)</f>
        <v/>
      </c>
      <c r="M164" s="6">
        <f>IF(I164&gt;0,SUMIFS('02d_AI_Accelerator_Power'!$J$2:$J$653,'02d_AI_Accelerator_Power'!$B$2:$B$653,A164,'02d_AI_Accelerator_Power'!$C$2:$C$653,B164,'02d_AI_Accelerator_Power'!$D$2:$D$653,C164,'02d_AI_Accelerator_Power'!$F$2:$F$653,"Maia")/I164,0)</f>
        <v/>
      </c>
      <c r="N164" s="6">
        <f>IF(I164&gt;0,SUMIFS('02d_AI_Accelerator_Power'!$J$2:$J$653,'02d_AI_Accelerator_Power'!$B$2:$B$653,A164,'02d_AI_Accelerator_Power'!$C$2:$C$653,B164,'02d_AI_Accelerator_Power'!$D$2:$D$653,C164,'02d_AI_Accelerator_Power'!$F$2:$F$653,"MTIA")/I164,0)</f>
        <v/>
      </c>
      <c r="O164" s="6">
        <f>IF(I164&gt;0,SUMIFS('02d_AI_Accelerator_Power'!$J$2:$J$653,'02d_AI_Accelerator_Power'!$B$2:$B$653,A164,'02d_AI_Accelerator_Power'!$C$2:$C$653,B164,'02d_AI_Accelerator_Power'!$D$2:$D$653,C164,'02d_AI_Accelerator_Power'!$F$2:$F$653,"Other / unknown accelerator")/I164,0)</f>
        <v/>
      </c>
      <c r="P164" s="3" t="inlineStr">
        <is>
          <t>CSP contract normalized: company inference MW * (CSP total MW * AI contract share * inference share) / company contract inference weight, then multiplied by CSP accelerator rows.</t>
        </is>
      </c>
      <c r="Q164" s="3" t="inlineStr">
        <is>
          <t>csp_contract_share_x_csp_accelerator_mix</t>
        </is>
      </c>
      <c r="R164" s="3" t="inlineStr">
        <is>
          <t>Edit 02a CSP contract allocation, 02b CSP accelerator mix, or 02x accelerator catalog; 03_Calculation reads D:G from this sheet.</t>
        </is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6">
        <f>IF(I165&gt;0,SUMIFS('02d_AI_Accelerator_Power'!$J$2:$J$653,'02d_AI_Accelerator_Power'!$B$2:$B$653,A165,'02d_AI_Accelerator_Power'!$C$2:$C$653,B165,'02d_AI_Accelerator_Power'!$D$2:$D$653,C165,'02d_AI_Accelerator_Power'!$G$2:$G$653,"h200_reference")/I165,0.078841)</f>
        <v/>
      </c>
      <c r="E165" s="6">
        <f>IF(I165&gt;0,SUMIFS('02d_AI_Accelerator_Power'!$J$2:$J$653,'02d_AI_Accelerator_Power'!$B$2:$B$653,A165,'02d_AI_Accelerator_Power'!$C$2:$C$653,B165,'02d_AI_Accelerator_Power'!$D$2:$D$653,C165,'02d_AI_Accelerator_Power'!$G$2:$G$653,"b200_reference")/I165,0.120599)</f>
        <v/>
      </c>
      <c r="F165" s="6">
        <f>IF(I165&gt;0,SUMIFS('02d_AI_Accelerator_Power'!$J$2:$J$653,'02d_AI_Accelerator_Power'!$B$2:$B$653,A165,'02d_AI_Accelerator_Power'!$C$2:$C$653,B165,'02d_AI_Accelerator_Power'!$D$2:$D$653,C165,'02d_AI_Accelerator_Power'!$G$2:$G$653,"gb200_reference")/I165,0.0)</f>
        <v/>
      </c>
      <c r="G165" s="6">
        <f>IF(I165&gt;0,SUMIFS('02d_AI_Accelerator_Power'!$J$2:$J$653,'02d_AI_Accelerator_Power'!$B$2:$B$653,A165,'02d_AI_Accelerator_Power'!$C$2:$C$653,B165,'02d_AI_Accelerator_Power'!$D$2:$D$653,C165,'02d_AI_Accelerator_Power'!$G$2:$G$653,"purpose_or_unbenchmarked")/I165,0.80056)</f>
        <v/>
      </c>
      <c r="H165" s="6">
        <f>SUM(D165:G165)</f>
        <v/>
      </c>
      <c r="I165" s="28">
        <f>SUMIFS('02d_AI_Accelerator_Power'!$J$2:$J$653,'02d_AI_Accelerator_Power'!$B$2:$B$653,A165,'02d_AI_Accelerator_Power'!$C$2:$C$653,B165,'02d_AI_Accelerator_Power'!$D$2:$D$653,C165)</f>
        <v/>
      </c>
      <c r="J165" s="6">
        <f>IF(I165&gt;0,SUMIFS('02d_AI_Accelerator_Power'!$J$2:$J$653,'02d_AI_Accelerator_Power'!$B$2:$B$653,A165,'02d_AI_Accelerator_Power'!$C$2:$C$653,B165,'02d_AI_Accelerator_Power'!$D$2:$D$653,C165,'02d_AI_Accelerator_Power'!$F$2:$F$653,"R200/R300 future")/I165,0)</f>
        <v/>
      </c>
      <c r="K165" s="6">
        <f>IF(I165&gt;0,SUMIFS('02d_AI_Accelerator_Power'!$J$2:$J$653,'02d_AI_Accelerator_Power'!$B$2:$B$653,A165,'02d_AI_Accelerator_Power'!$C$2:$C$653,B165,'02d_AI_Accelerator_Power'!$D$2:$D$653,C165,'02d_AI_Accelerator_Power'!$F$2:$F$653,"TPU")/I165,0)</f>
        <v/>
      </c>
      <c r="L165" s="6">
        <f>IF(I165&gt;0,SUMIFS('02d_AI_Accelerator_Power'!$J$2:$J$653,'02d_AI_Accelerator_Power'!$B$2:$B$653,A165,'02d_AI_Accelerator_Power'!$C$2:$C$653,B165,'02d_AI_Accelerator_Power'!$D$2:$D$653,C165,'02d_AI_Accelerator_Power'!$F$2:$F$653,"Trainium")/I165,0)</f>
        <v/>
      </c>
      <c r="M165" s="6">
        <f>IF(I165&gt;0,SUMIFS('02d_AI_Accelerator_Power'!$J$2:$J$653,'02d_AI_Accelerator_Power'!$B$2:$B$653,A165,'02d_AI_Accelerator_Power'!$C$2:$C$653,B165,'02d_AI_Accelerator_Power'!$D$2:$D$653,C165,'02d_AI_Accelerator_Power'!$F$2:$F$653,"Maia")/I165,0)</f>
        <v/>
      </c>
      <c r="N165" s="6">
        <f>IF(I165&gt;0,SUMIFS('02d_AI_Accelerator_Power'!$J$2:$J$653,'02d_AI_Accelerator_Power'!$B$2:$B$653,A165,'02d_AI_Accelerator_Power'!$C$2:$C$653,B165,'02d_AI_Accelerator_Power'!$D$2:$D$653,C165,'02d_AI_Accelerator_Power'!$F$2:$F$653,"MTIA")/I165,0)</f>
        <v/>
      </c>
      <c r="O165" s="6">
        <f>IF(I165&gt;0,SUMIFS('02d_AI_Accelerator_Power'!$J$2:$J$653,'02d_AI_Accelerator_Power'!$B$2:$B$653,A165,'02d_AI_Accelerator_Power'!$C$2:$C$653,B165,'02d_AI_Accelerator_Power'!$D$2:$D$653,C165,'02d_AI_Accelerator_Power'!$F$2:$F$653,"Other / unknown accelerator")/I165,0)</f>
        <v/>
      </c>
      <c r="P165" s="3" t="inlineStr">
        <is>
          <t>CSP contract normalized: company inference MW * (CSP total MW * AI contract share * inference share) / company contract inference weight, then multiplied by CSP accelerator rows.</t>
        </is>
      </c>
      <c r="Q165" s="3" t="inlineStr">
        <is>
          <t>csp_contract_share_x_csp_accelerator_mix</t>
        </is>
      </c>
      <c r="R165" s="3" t="inlineStr">
        <is>
          <t>Edit 02a CSP contract allocation, 02b CSP accelerator mix, or 02x accelerator catalog; 03_Calculation reads D:G from this sheet.</t>
        </is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6">
        <f>IF(I166&gt;0,SUMIFS('02d_AI_Accelerator_Power'!$J$2:$J$653,'02d_AI_Accelerator_Power'!$B$2:$B$653,A166,'02d_AI_Accelerator_Power'!$C$2:$C$653,B166,'02d_AI_Accelerator_Power'!$D$2:$D$653,C166,'02d_AI_Accelerator_Power'!$G$2:$G$653,"h200_reference")/I166,0.078841)</f>
        <v/>
      </c>
      <c r="E166" s="6">
        <f>IF(I166&gt;0,SUMIFS('02d_AI_Accelerator_Power'!$J$2:$J$653,'02d_AI_Accelerator_Power'!$B$2:$B$653,A166,'02d_AI_Accelerator_Power'!$C$2:$C$653,B166,'02d_AI_Accelerator_Power'!$D$2:$D$653,C166,'02d_AI_Accelerator_Power'!$G$2:$G$653,"b200_reference")/I166,0.120599)</f>
        <v/>
      </c>
      <c r="F166" s="6">
        <f>IF(I166&gt;0,SUMIFS('02d_AI_Accelerator_Power'!$J$2:$J$653,'02d_AI_Accelerator_Power'!$B$2:$B$653,A166,'02d_AI_Accelerator_Power'!$C$2:$C$653,B166,'02d_AI_Accelerator_Power'!$D$2:$D$653,C166,'02d_AI_Accelerator_Power'!$G$2:$G$653,"gb200_reference")/I166,0.0)</f>
        <v/>
      </c>
      <c r="G166" s="6">
        <f>IF(I166&gt;0,SUMIFS('02d_AI_Accelerator_Power'!$J$2:$J$653,'02d_AI_Accelerator_Power'!$B$2:$B$653,A166,'02d_AI_Accelerator_Power'!$C$2:$C$653,B166,'02d_AI_Accelerator_Power'!$D$2:$D$653,C166,'02d_AI_Accelerator_Power'!$G$2:$G$653,"purpose_or_unbenchmarked")/I166,0.80056)</f>
        <v/>
      </c>
      <c r="H166" s="6">
        <f>SUM(D166:G166)</f>
        <v/>
      </c>
      <c r="I166" s="28">
        <f>SUMIFS('02d_AI_Accelerator_Power'!$J$2:$J$653,'02d_AI_Accelerator_Power'!$B$2:$B$653,A166,'02d_AI_Accelerator_Power'!$C$2:$C$653,B166,'02d_AI_Accelerator_Power'!$D$2:$D$653,C166)</f>
        <v/>
      </c>
      <c r="J166" s="6">
        <f>IF(I166&gt;0,SUMIFS('02d_AI_Accelerator_Power'!$J$2:$J$653,'02d_AI_Accelerator_Power'!$B$2:$B$653,A166,'02d_AI_Accelerator_Power'!$C$2:$C$653,B166,'02d_AI_Accelerator_Power'!$D$2:$D$653,C166,'02d_AI_Accelerator_Power'!$F$2:$F$653,"R200/R300 future")/I166,0)</f>
        <v/>
      </c>
      <c r="K166" s="6">
        <f>IF(I166&gt;0,SUMIFS('02d_AI_Accelerator_Power'!$J$2:$J$653,'02d_AI_Accelerator_Power'!$B$2:$B$653,A166,'02d_AI_Accelerator_Power'!$C$2:$C$653,B166,'02d_AI_Accelerator_Power'!$D$2:$D$653,C166,'02d_AI_Accelerator_Power'!$F$2:$F$653,"TPU")/I166,0)</f>
        <v/>
      </c>
      <c r="L166" s="6">
        <f>IF(I166&gt;0,SUMIFS('02d_AI_Accelerator_Power'!$J$2:$J$653,'02d_AI_Accelerator_Power'!$B$2:$B$653,A166,'02d_AI_Accelerator_Power'!$C$2:$C$653,B166,'02d_AI_Accelerator_Power'!$D$2:$D$653,C166,'02d_AI_Accelerator_Power'!$F$2:$F$653,"Trainium")/I166,0)</f>
        <v/>
      </c>
      <c r="M166" s="6">
        <f>IF(I166&gt;0,SUMIFS('02d_AI_Accelerator_Power'!$J$2:$J$653,'02d_AI_Accelerator_Power'!$B$2:$B$653,A166,'02d_AI_Accelerator_Power'!$C$2:$C$653,B166,'02d_AI_Accelerator_Power'!$D$2:$D$653,C166,'02d_AI_Accelerator_Power'!$F$2:$F$653,"Maia")/I166,0)</f>
        <v/>
      </c>
      <c r="N166" s="6">
        <f>IF(I166&gt;0,SUMIFS('02d_AI_Accelerator_Power'!$J$2:$J$653,'02d_AI_Accelerator_Power'!$B$2:$B$653,A166,'02d_AI_Accelerator_Power'!$C$2:$C$653,B166,'02d_AI_Accelerator_Power'!$D$2:$D$653,C166,'02d_AI_Accelerator_Power'!$F$2:$F$653,"MTIA")/I166,0)</f>
        <v/>
      </c>
      <c r="O166" s="6">
        <f>IF(I166&gt;0,SUMIFS('02d_AI_Accelerator_Power'!$J$2:$J$653,'02d_AI_Accelerator_Power'!$B$2:$B$653,A166,'02d_AI_Accelerator_Power'!$C$2:$C$653,B166,'02d_AI_Accelerator_Power'!$D$2:$D$653,C166,'02d_AI_Accelerator_Power'!$F$2:$F$653,"Other / unknown accelerator")/I166,0)</f>
        <v/>
      </c>
      <c r="P166" s="3" t="inlineStr">
        <is>
          <t>CSP contract normalized: company inference MW * (CSP total MW * AI contract share * inference share) / company contract inference weight, then multiplied by CSP accelerator rows.</t>
        </is>
      </c>
      <c r="Q166" s="3" t="inlineStr">
        <is>
          <t>csp_contract_share_x_csp_accelerator_mix</t>
        </is>
      </c>
      <c r="R166" s="3" t="inlineStr">
        <is>
          <t>Edit 02a CSP contract allocation, 02b CSP accelerator mix, or 02x accelerator catalog; 03_Calculation reads D:G from this sheet.</t>
        </is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6">
        <f>IF(I167&gt;0,SUMIFS('02d_AI_Accelerator_Power'!$J$2:$J$653,'02d_AI_Accelerator_Power'!$B$2:$B$653,A167,'02d_AI_Accelerator_Power'!$C$2:$C$653,B167,'02d_AI_Accelerator_Power'!$D$2:$D$653,C167,'02d_AI_Accelerator_Power'!$G$2:$G$653,"h200_reference")/I167,0.55)</f>
        <v/>
      </c>
      <c r="E167" s="6">
        <f>IF(I167&gt;0,SUMIFS('02d_AI_Accelerator_Power'!$J$2:$J$653,'02d_AI_Accelerator_Power'!$B$2:$B$653,A167,'02d_AI_Accelerator_Power'!$C$2:$C$653,B167,'02d_AI_Accelerator_Power'!$D$2:$D$653,C167,'02d_AI_Accelerator_Power'!$G$2:$G$653,"b200_reference")/I167,0.4)</f>
        <v/>
      </c>
      <c r="F167" s="6">
        <f>IF(I167&gt;0,SUMIFS('02d_AI_Accelerator_Power'!$J$2:$J$653,'02d_AI_Accelerator_Power'!$B$2:$B$653,A167,'02d_AI_Accelerator_Power'!$C$2:$C$653,B167,'02d_AI_Accelerator_Power'!$D$2:$D$653,C167,'02d_AI_Accelerator_Power'!$G$2:$G$653,"gb200_reference")/I167,0.05)</f>
        <v/>
      </c>
      <c r="G167" s="6">
        <f>IF(I167&gt;0,SUMIFS('02d_AI_Accelerator_Power'!$J$2:$J$653,'02d_AI_Accelerator_Power'!$B$2:$B$653,A167,'02d_AI_Accelerator_Power'!$C$2:$C$653,B167,'02d_AI_Accelerator_Power'!$D$2:$D$653,C167,'02d_AI_Accelerator_Power'!$G$2:$G$653,"purpose_or_unbenchmarked")/I167,0.0)</f>
        <v/>
      </c>
      <c r="H167" s="6">
        <f>SUM(D167:G167)</f>
        <v/>
      </c>
      <c r="I167" s="28">
        <f>SUMIFS('02d_AI_Accelerator_Power'!$J$2:$J$653,'02d_AI_Accelerator_Power'!$B$2:$B$653,A167,'02d_AI_Accelerator_Power'!$C$2:$C$653,B167,'02d_AI_Accelerator_Power'!$D$2:$D$653,C167)</f>
        <v/>
      </c>
      <c r="J167" s="6">
        <f>IF(I167&gt;0,SUMIFS('02d_AI_Accelerator_Power'!$J$2:$J$653,'02d_AI_Accelerator_Power'!$B$2:$B$653,A167,'02d_AI_Accelerator_Power'!$C$2:$C$653,B167,'02d_AI_Accelerator_Power'!$D$2:$D$653,C167,'02d_AI_Accelerator_Power'!$F$2:$F$653,"R200/R300 future")/I167,0)</f>
        <v/>
      </c>
      <c r="K167" s="6">
        <f>IF(I167&gt;0,SUMIFS('02d_AI_Accelerator_Power'!$J$2:$J$653,'02d_AI_Accelerator_Power'!$B$2:$B$653,A167,'02d_AI_Accelerator_Power'!$C$2:$C$653,B167,'02d_AI_Accelerator_Power'!$D$2:$D$653,C167,'02d_AI_Accelerator_Power'!$F$2:$F$653,"TPU")/I167,0)</f>
        <v/>
      </c>
      <c r="L167" s="6">
        <f>IF(I167&gt;0,SUMIFS('02d_AI_Accelerator_Power'!$J$2:$J$653,'02d_AI_Accelerator_Power'!$B$2:$B$653,A167,'02d_AI_Accelerator_Power'!$C$2:$C$653,B167,'02d_AI_Accelerator_Power'!$D$2:$D$653,C167,'02d_AI_Accelerator_Power'!$F$2:$F$653,"Trainium")/I167,0)</f>
        <v/>
      </c>
      <c r="M167" s="6">
        <f>IF(I167&gt;0,SUMIFS('02d_AI_Accelerator_Power'!$J$2:$J$653,'02d_AI_Accelerator_Power'!$B$2:$B$653,A167,'02d_AI_Accelerator_Power'!$C$2:$C$653,B167,'02d_AI_Accelerator_Power'!$D$2:$D$653,C167,'02d_AI_Accelerator_Power'!$F$2:$F$653,"Maia")/I167,0)</f>
        <v/>
      </c>
      <c r="N167" s="6">
        <f>IF(I167&gt;0,SUMIFS('02d_AI_Accelerator_Power'!$J$2:$J$653,'02d_AI_Accelerator_Power'!$B$2:$B$653,A167,'02d_AI_Accelerator_Power'!$C$2:$C$653,B167,'02d_AI_Accelerator_Power'!$D$2:$D$653,C167,'02d_AI_Accelerator_Power'!$F$2:$F$653,"MTIA")/I167,0)</f>
        <v/>
      </c>
      <c r="O167" s="6">
        <f>IF(I167&gt;0,SUMIFS('02d_AI_Accelerator_Power'!$J$2:$J$653,'02d_AI_Accelerator_Power'!$B$2:$B$653,A167,'02d_AI_Accelerator_Power'!$C$2:$C$653,B167,'02d_AI_Accelerator_Power'!$D$2:$D$653,C167,'02d_AI_Accelerator_Power'!$F$2:$F$653,"Other / unknown accelerator")/I167,0)</f>
        <v/>
      </c>
      <c r="P167" s="3" t="inlineStr">
        <is>
          <t>CSP contract normalized: company inference MW * (CSP total MW * AI contract share * inference share) / company contract inference weight, then multiplied by CSP accelerator rows.</t>
        </is>
      </c>
      <c r="Q167" s="3" t="inlineStr">
        <is>
          <t>csp_contract_share_x_csp_accelerator_mix</t>
        </is>
      </c>
      <c r="R167" s="3" t="inlineStr">
        <is>
          <t>Edit 02a CSP contract allocation, 02b CSP accelerator mix, or 02x accelerator catalog; 03_Calculation reads D:G from this sheet.</t>
        </is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6">
        <f>IF(I168&gt;0,SUMIFS('02d_AI_Accelerator_Power'!$J$2:$J$653,'02d_AI_Accelerator_Power'!$B$2:$B$653,A168,'02d_AI_Accelerator_Power'!$C$2:$C$653,B168,'02d_AI_Accelerator_Power'!$D$2:$D$653,C168,'02d_AI_Accelerator_Power'!$G$2:$G$653,"h200_reference")/I168,0.438)</f>
        <v/>
      </c>
      <c r="E168" s="6">
        <f>IF(I168&gt;0,SUMIFS('02d_AI_Accelerator_Power'!$J$2:$J$653,'02d_AI_Accelerator_Power'!$B$2:$B$653,A168,'02d_AI_Accelerator_Power'!$C$2:$C$653,B168,'02d_AI_Accelerator_Power'!$D$2:$D$653,C168,'02d_AI_Accelerator_Power'!$G$2:$G$653,"b200_reference")/I168,0.388)</f>
        <v/>
      </c>
      <c r="F168" s="6">
        <f>IF(I168&gt;0,SUMIFS('02d_AI_Accelerator_Power'!$J$2:$J$653,'02d_AI_Accelerator_Power'!$B$2:$B$653,A168,'02d_AI_Accelerator_Power'!$C$2:$C$653,B168,'02d_AI_Accelerator_Power'!$D$2:$D$653,C168,'02d_AI_Accelerator_Power'!$G$2:$G$653,"gb200_reference")/I168,0.174)</f>
        <v/>
      </c>
      <c r="G168" s="6">
        <f>IF(I168&gt;0,SUMIFS('02d_AI_Accelerator_Power'!$J$2:$J$653,'02d_AI_Accelerator_Power'!$B$2:$B$653,A168,'02d_AI_Accelerator_Power'!$C$2:$C$653,B168,'02d_AI_Accelerator_Power'!$D$2:$D$653,C168,'02d_AI_Accelerator_Power'!$G$2:$G$653,"purpose_or_unbenchmarked")/I168,0.0)</f>
        <v/>
      </c>
      <c r="H168" s="6">
        <f>SUM(D168:G168)</f>
        <v/>
      </c>
      <c r="I168" s="28">
        <f>SUMIFS('02d_AI_Accelerator_Power'!$J$2:$J$653,'02d_AI_Accelerator_Power'!$B$2:$B$653,A168,'02d_AI_Accelerator_Power'!$C$2:$C$653,B168,'02d_AI_Accelerator_Power'!$D$2:$D$653,C168)</f>
        <v/>
      </c>
      <c r="J168" s="6">
        <f>IF(I168&gt;0,SUMIFS('02d_AI_Accelerator_Power'!$J$2:$J$653,'02d_AI_Accelerator_Power'!$B$2:$B$653,A168,'02d_AI_Accelerator_Power'!$C$2:$C$653,B168,'02d_AI_Accelerator_Power'!$D$2:$D$653,C168,'02d_AI_Accelerator_Power'!$F$2:$F$653,"R200/R300 future")/I168,0)</f>
        <v/>
      </c>
      <c r="K168" s="6">
        <f>IF(I168&gt;0,SUMIFS('02d_AI_Accelerator_Power'!$J$2:$J$653,'02d_AI_Accelerator_Power'!$B$2:$B$653,A168,'02d_AI_Accelerator_Power'!$C$2:$C$653,B168,'02d_AI_Accelerator_Power'!$D$2:$D$653,C168,'02d_AI_Accelerator_Power'!$F$2:$F$653,"TPU")/I168,0)</f>
        <v/>
      </c>
      <c r="L168" s="6">
        <f>IF(I168&gt;0,SUMIFS('02d_AI_Accelerator_Power'!$J$2:$J$653,'02d_AI_Accelerator_Power'!$B$2:$B$653,A168,'02d_AI_Accelerator_Power'!$C$2:$C$653,B168,'02d_AI_Accelerator_Power'!$D$2:$D$653,C168,'02d_AI_Accelerator_Power'!$F$2:$F$653,"Trainium")/I168,0)</f>
        <v/>
      </c>
      <c r="M168" s="6">
        <f>IF(I168&gt;0,SUMIFS('02d_AI_Accelerator_Power'!$J$2:$J$653,'02d_AI_Accelerator_Power'!$B$2:$B$653,A168,'02d_AI_Accelerator_Power'!$C$2:$C$653,B168,'02d_AI_Accelerator_Power'!$D$2:$D$653,C168,'02d_AI_Accelerator_Power'!$F$2:$F$653,"Maia")/I168,0)</f>
        <v/>
      </c>
      <c r="N168" s="6">
        <f>IF(I168&gt;0,SUMIFS('02d_AI_Accelerator_Power'!$J$2:$J$653,'02d_AI_Accelerator_Power'!$B$2:$B$653,A168,'02d_AI_Accelerator_Power'!$C$2:$C$653,B168,'02d_AI_Accelerator_Power'!$D$2:$D$653,C168,'02d_AI_Accelerator_Power'!$F$2:$F$653,"MTIA")/I168,0)</f>
        <v/>
      </c>
      <c r="O168" s="6">
        <f>IF(I168&gt;0,SUMIFS('02d_AI_Accelerator_Power'!$J$2:$J$653,'02d_AI_Accelerator_Power'!$B$2:$B$653,A168,'02d_AI_Accelerator_Power'!$C$2:$C$653,B168,'02d_AI_Accelerator_Power'!$D$2:$D$653,C168,'02d_AI_Accelerator_Power'!$F$2:$F$653,"Other / unknown accelerator")/I168,0)</f>
        <v/>
      </c>
      <c r="P168" s="3" t="inlineStr">
        <is>
          <t>CSP contract normalized: company inference MW * (CSP total MW * AI contract share * inference share) / company contract inference weight, then multiplied by CSP accelerator rows.</t>
        </is>
      </c>
      <c r="Q168" s="3" t="inlineStr">
        <is>
          <t>csp_contract_share_x_csp_accelerator_mix</t>
        </is>
      </c>
      <c r="R168" s="3" t="inlineStr">
        <is>
          <t>Edit 02a CSP contract allocation, 02b CSP accelerator mix, or 02x accelerator catalog; 03_Calculation reads D:G from this sheet.</t>
        </is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6">
        <f>IF(I169&gt;0,SUMIFS('02d_AI_Accelerator_Power'!$J$2:$J$653,'02d_AI_Accelerator_Power'!$B$2:$B$653,A169,'02d_AI_Accelerator_Power'!$C$2:$C$653,B169,'02d_AI_Accelerator_Power'!$D$2:$D$653,C169,'02d_AI_Accelerator_Power'!$G$2:$G$653,"h200_reference")/I169,0.325)</f>
        <v/>
      </c>
      <c r="E169" s="6">
        <f>IF(I169&gt;0,SUMIFS('02d_AI_Accelerator_Power'!$J$2:$J$653,'02d_AI_Accelerator_Power'!$B$2:$B$653,A169,'02d_AI_Accelerator_Power'!$C$2:$C$653,B169,'02d_AI_Accelerator_Power'!$D$2:$D$653,C169,'02d_AI_Accelerator_Power'!$G$2:$G$653,"b200_reference")/I169,0.375)</f>
        <v/>
      </c>
      <c r="F169" s="6">
        <f>IF(I169&gt;0,SUMIFS('02d_AI_Accelerator_Power'!$J$2:$J$653,'02d_AI_Accelerator_Power'!$B$2:$B$653,A169,'02d_AI_Accelerator_Power'!$C$2:$C$653,B169,'02d_AI_Accelerator_Power'!$D$2:$D$653,C169,'02d_AI_Accelerator_Power'!$G$2:$G$653,"gb200_reference")/I169,0.3)</f>
        <v/>
      </c>
      <c r="G169" s="6">
        <f>IF(I169&gt;0,SUMIFS('02d_AI_Accelerator_Power'!$J$2:$J$653,'02d_AI_Accelerator_Power'!$B$2:$B$653,A169,'02d_AI_Accelerator_Power'!$C$2:$C$653,B169,'02d_AI_Accelerator_Power'!$D$2:$D$653,C169,'02d_AI_Accelerator_Power'!$G$2:$G$653,"purpose_or_unbenchmarked")/I169,0.0)</f>
        <v/>
      </c>
      <c r="H169" s="6">
        <f>SUM(D169:G169)</f>
        <v/>
      </c>
      <c r="I169" s="28">
        <f>SUMIFS('02d_AI_Accelerator_Power'!$J$2:$J$653,'02d_AI_Accelerator_Power'!$B$2:$B$653,A169,'02d_AI_Accelerator_Power'!$C$2:$C$653,B169,'02d_AI_Accelerator_Power'!$D$2:$D$653,C169)</f>
        <v/>
      </c>
      <c r="J169" s="6">
        <f>IF(I169&gt;0,SUMIFS('02d_AI_Accelerator_Power'!$J$2:$J$653,'02d_AI_Accelerator_Power'!$B$2:$B$653,A169,'02d_AI_Accelerator_Power'!$C$2:$C$653,B169,'02d_AI_Accelerator_Power'!$D$2:$D$653,C169,'02d_AI_Accelerator_Power'!$F$2:$F$653,"R200/R300 future")/I169,0)</f>
        <v/>
      </c>
      <c r="K169" s="6">
        <f>IF(I169&gt;0,SUMIFS('02d_AI_Accelerator_Power'!$J$2:$J$653,'02d_AI_Accelerator_Power'!$B$2:$B$653,A169,'02d_AI_Accelerator_Power'!$C$2:$C$653,B169,'02d_AI_Accelerator_Power'!$D$2:$D$653,C169,'02d_AI_Accelerator_Power'!$F$2:$F$653,"TPU")/I169,0)</f>
        <v/>
      </c>
      <c r="L169" s="6">
        <f>IF(I169&gt;0,SUMIFS('02d_AI_Accelerator_Power'!$J$2:$J$653,'02d_AI_Accelerator_Power'!$B$2:$B$653,A169,'02d_AI_Accelerator_Power'!$C$2:$C$653,B169,'02d_AI_Accelerator_Power'!$D$2:$D$653,C169,'02d_AI_Accelerator_Power'!$F$2:$F$653,"Trainium")/I169,0)</f>
        <v/>
      </c>
      <c r="M169" s="6">
        <f>IF(I169&gt;0,SUMIFS('02d_AI_Accelerator_Power'!$J$2:$J$653,'02d_AI_Accelerator_Power'!$B$2:$B$653,A169,'02d_AI_Accelerator_Power'!$C$2:$C$653,B169,'02d_AI_Accelerator_Power'!$D$2:$D$653,C169,'02d_AI_Accelerator_Power'!$F$2:$F$653,"Maia")/I169,0)</f>
        <v/>
      </c>
      <c r="N169" s="6">
        <f>IF(I169&gt;0,SUMIFS('02d_AI_Accelerator_Power'!$J$2:$J$653,'02d_AI_Accelerator_Power'!$B$2:$B$653,A169,'02d_AI_Accelerator_Power'!$C$2:$C$653,B169,'02d_AI_Accelerator_Power'!$D$2:$D$653,C169,'02d_AI_Accelerator_Power'!$F$2:$F$653,"MTIA")/I169,0)</f>
        <v/>
      </c>
      <c r="O169" s="6">
        <f>IF(I169&gt;0,SUMIFS('02d_AI_Accelerator_Power'!$J$2:$J$653,'02d_AI_Accelerator_Power'!$B$2:$B$653,A169,'02d_AI_Accelerator_Power'!$C$2:$C$653,B169,'02d_AI_Accelerator_Power'!$D$2:$D$653,C169,'02d_AI_Accelerator_Power'!$F$2:$F$653,"Other / unknown accelerator")/I169,0)</f>
        <v/>
      </c>
      <c r="P169" s="3" t="inlineStr">
        <is>
          <t>CSP contract normalized: company inference MW * (CSP total MW * AI contract share * inference share) / company contract inference weight, then multiplied by CSP accelerator rows.</t>
        </is>
      </c>
      <c r="Q169" s="3" t="inlineStr">
        <is>
          <t>csp_contract_share_x_csp_accelerator_mix</t>
        </is>
      </c>
      <c r="R169" s="3" t="inlineStr">
        <is>
          <t>Edit 02a CSP contract allocation, 02b CSP accelerator mix, or 02x accelerator catalog; 03_Calculation reads D:G from this sheet.</t>
        </is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6">
        <f>IF(I170&gt;0,SUMIFS('02d_AI_Accelerator_Power'!$J$2:$J$653,'02d_AI_Accelerator_Power'!$B$2:$B$653,A170,'02d_AI_Accelerator_Power'!$C$2:$C$653,B170,'02d_AI_Accelerator_Power'!$D$2:$D$653,C170,'02d_AI_Accelerator_Power'!$G$2:$G$653,"h200_reference")/I170,0.213)</f>
        <v/>
      </c>
      <c r="E170" s="6">
        <f>IF(I170&gt;0,SUMIFS('02d_AI_Accelerator_Power'!$J$2:$J$653,'02d_AI_Accelerator_Power'!$B$2:$B$653,A170,'02d_AI_Accelerator_Power'!$C$2:$C$653,B170,'02d_AI_Accelerator_Power'!$D$2:$D$653,C170,'02d_AI_Accelerator_Power'!$G$2:$G$653,"b200_reference")/I170,0.362)</f>
        <v/>
      </c>
      <c r="F170" s="6">
        <f>IF(I170&gt;0,SUMIFS('02d_AI_Accelerator_Power'!$J$2:$J$653,'02d_AI_Accelerator_Power'!$B$2:$B$653,A170,'02d_AI_Accelerator_Power'!$C$2:$C$653,B170,'02d_AI_Accelerator_Power'!$D$2:$D$653,C170,'02d_AI_Accelerator_Power'!$G$2:$G$653,"gb200_reference")/I170,0.425)</f>
        <v/>
      </c>
      <c r="G170" s="6">
        <f>IF(I170&gt;0,SUMIFS('02d_AI_Accelerator_Power'!$J$2:$J$653,'02d_AI_Accelerator_Power'!$B$2:$B$653,A170,'02d_AI_Accelerator_Power'!$C$2:$C$653,B170,'02d_AI_Accelerator_Power'!$D$2:$D$653,C170,'02d_AI_Accelerator_Power'!$G$2:$G$653,"purpose_or_unbenchmarked")/I170,0.0)</f>
        <v/>
      </c>
      <c r="H170" s="6">
        <f>SUM(D170:G170)</f>
        <v/>
      </c>
      <c r="I170" s="28">
        <f>SUMIFS('02d_AI_Accelerator_Power'!$J$2:$J$653,'02d_AI_Accelerator_Power'!$B$2:$B$653,A170,'02d_AI_Accelerator_Power'!$C$2:$C$653,B170,'02d_AI_Accelerator_Power'!$D$2:$D$653,C170)</f>
        <v/>
      </c>
      <c r="J170" s="6">
        <f>IF(I170&gt;0,SUMIFS('02d_AI_Accelerator_Power'!$J$2:$J$653,'02d_AI_Accelerator_Power'!$B$2:$B$653,A170,'02d_AI_Accelerator_Power'!$C$2:$C$653,B170,'02d_AI_Accelerator_Power'!$D$2:$D$653,C170,'02d_AI_Accelerator_Power'!$F$2:$F$653,"R200/R300 future")/I170,0)</f>
        <v/>
      </c>
      <c r="K170" s="6">
        <f>IF(I170&gt;0,SUMIFS('02d_AI_Accelerator_Power'!$J$2:$J$653,'02d_AI_Accelerator_Power'!$B$2:$B$653,A170,'02d_AI_Accelerator_Power'!$C$2:$C$653,B170,'02d_AI_Accelerator_Power'!$D$2:$D$653,C170,'02d_AI_Accelerator_Power'!$F$2:$F$653,"TPU")/I170,0)</f>
        <v/>
      </c>
      <c r="L170" s="6">
        <f>IF(I170&gt;0,SUMIFS('02d_AI_Accelerator_Power'!$J$2:$J$653,'02d_AI_Accelerator_Power'!$B$2:$B$653,A170,'02d_AI_Accelerator_Power'!$C$2:$C$653,B170,'02d_AI_Accelerator_Power'!$D$2:$D$653,C170,'02d_AI_Accelerator_Power'!$F$2:$F$653,"Trainium")/I170,0)</f>
        <v/>
      </c>
      <c r="M170" s="6">
        <f>IF(I170&gt;0,SUMIFS('02d_AI_Accelerator_Power'!$J$2:$J$653,'02d_AI_Accelerator_Power'!$B$2:$B$653,A170,'02d_AI_Accelerator_Power'!$C$2:$C$653,B170,'02d_AI_Accelerator_Power'!$D$2:$D$653,C170,'02d_AI_Accelerator_Power'!$F$2:$F$653,"Maia")/I170,0)</f>
        <v/>
      </c>
      <c r="N170" s="6">
        <f>IF(I170&gt;0,SUMIFS('02d_AI_Accelerator_Power'!$J$2:$J$653,'02d_AI_Accelerator_Power'!$B$2:$B$653,A170,'02d_AI_Accelerator_Power'!$C$2:$C$653,B170,'02d_AI_Accelerator_Power'!$D$2:$D$653,C170,'02d_AI_Accelerator_Power'!$F$2:$F$653,"MTIA")/I170,0)</f>
        <v/>
      </c>
      <c r="O170" s="6">
        <f>IF(I170&gt;0,SUMIFS('02d_AI_Accelerator_Power'!$J$2:$J$653,'02d_AI_Accelerator_Power'!$B$2:$B$653,A170,'02d_AI_Accelerator_Power'!$C$2:$C$653,B170,'02d_AI_Accelerator_Power'!$D$2:$D$653,C170,'02d_AI_Accelerator_Power'!$F$2:$F$653,"Other / unknown accelerator")/I170,0)</f>
        <v/>
      </c>
      <c r="P170" s="3" t="inlineStr">
        <is>
          <t>CSP contract normalized: company inference MW * (CSP total MW * AI contract share * inference share) / company contract inference weight, then multiplied by CSP accelerator rows.</t>
        </is>
      </c>
      <c r="Q170" s="3" t="inlineStr">
        <is>
          <t>csp_contract_share_x_csp_accelerator_mix</t>
        </is>
      </c>
      <c r="R170" s="3" t="inlineStr">
        <is>
          <t>Edit 02a CSP contract allocation, 02b CSP accelerator mix, or 02x accelerator catalog; 03_Calculation reads D:G from this sheet.</t>
        </is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6">
        <f>IF(I171&gt;0,SUMIFS('02d_AI_Accelerator_Power'!$J$2:$J$653,'02d_AI_Accelerator_Power'!$B$2:$B$653,A171,'02d_AI_Accelerator_Power'!$C$2:$C$653,B171,'02d_AI_Accelerator_Power'!$D$2:$D$653,C171,'02d_AI_Accelerator_Power'!$G$2:$G$653,"h200_reference")/I171,0.1)</f>
        <v/>
      </c>
      <c r="E171" s="6">
        <f>IF(I171&gt;0,SUMIFS('02d_AI_Accelerator_Power'!$J$2:$J$653,'02d_AI_Accelerator_Power'!$B$2:$B$653,A171,'02d_AI_Accelerator_Power'!$C$2:$C$653,B171,'02d_AI_Accelerator_Power'!$D$2:$D$653,C171,'02d_AI_Accelerator_Power'!$G$2:$G$653,"b200_reference")/I171,0.35)</f>
        <v/>
      </c>
      <c r="F171" s="6">
        <f>IF(I171&gt;0,SUMIFS('02d_AI_Accelerator_Power'!$J$2:$J$653,'02d_AI_Accelerator_Power'!$B$2:$B$653,A171,'02d_AI_Accelerator_Power'!$C$2:$C$653,B171,'02d_AI_Accelerator_Power'!$D$2:$D$653,C171,'02d_AI_Accelerator_Power'!$G$2:$G$653,"gb200_reference")/I171,0.55)</f>
        <v/>
      </c>
      <c r="G171" s="6">
        <f>IF(I171&gt;0,SUMIFS('02d_AI_Accelerator_Power'!$J$2:$J$653,'02d_AI_Accelerator_Power'!$B$2:$B$653,A171,'02d_AI_Accelerator_Power'!$C$2:$C$653,B171,'02d_AI_Accelerator_Power'!$D$2:$D$653,C171,'02d_AI_Accelerator_Power'!$G$2:$G$653,"purpose_or_unbenchmarked")/I171,0.0)</f>
        <v/>
      </c>
      <c r="H171" s="6">
        <f>SUM(D171:G171)</f>
        <v/>
      </c>
      <c r="I171" s="28">
        <f>SUMIFS('02d_AI_Accelerator_Power'!$J$2:$J$653,'02d_AI_Accelerator_Power'!$B$2:$B$653,A171,'02d_AI_Accelerator_Power'!$C$2:$C$653,B171,'02d_AI_Accelerator_Power'!$D$2:$D$653,C171)</f>
        <v/>
      </c>
      <c r="J171" s="6">
        <f>IF(I171&gt;0,SUMIFS('02d_AI_Accelerator_Power'!$J$2:$J$653,'02d_AI_Accelerator_Power'!$B$2:$B$653,A171,'02d_AI_Accelerator_Power'!$C$2:$C$653,B171,'02d_AI_Accelerator_Power'!$D$2:$D$653,C171,'02d_AI_Accelerator_Power'!$F$2:$F$653,"R200/R300 future")/I171,0)</f>
        <v/>
      </c>
      <c r="K171" s="6">
        <f>IF(I171&gt;0,SUMIFS('02d_AI_Accelerator_Power'!$J$2:$J$653,'02d_AI_Accelerator_Power'!$B$2:$B$653,A171,'02d_AI_Accelerator_Power'!$C$2:$C$653,B171,'02d_AI_Accelerator_Power'!$D$2:$D$653,C171,'02d_AI_Accelerator_Power'!$F$2:$F$653,"TPU")/I171,0)</f>
        <v/>
      </c>
      <c r="L171" s="6">
        <f>IF(I171&gt;0,SUMIFS('02d_AI_Accelerator_Power'!$J$2:$J$653,'02d_AI_Accelerator_Power'!$B$2:$B$653,A171,'02d_AI_Accelerator_Power'!$C$2:$C$653,B171,'02d_AI_Accelerator_Power'!$D$2:$D$653,C171,'02d_AI_Accelerator_Power'!$F$2:$F$653,"Trainium")/I171,0)</f>
        <v/>
      </c>
      <c r="M171" s="6">
        <f>IF(I171&gt;0,SUMIFS('02d_AI_Accelerator_Power'!$J$2:$J$653,'02d_AI_Accelerator_Power'!$B$2:$B$653,A171,'02d_AI_Accelerator_Power'!$C$2:$C$653,B171,'02d_AI_Accelerator_Power'!$D$2:$D$653,C171,'02d_AI_Accelerator_Power'!$F$2:$F$653,"Maia")/I171,0)</f>
        <v/>
      </c>
      <c r="N171" s="6">
        <f>IF(I171&gt;0,SUMIFS('02d_AI_Accelerator_Power'!$J$2:$J$653,'02d_AI_Accelerator_Power'!$B$2:$B$653,A171,'02d_AI_Accelerator_Power'!$C$2:$C$653,B171,'02d_AI_Accelerator_Power'!$D$2:$D$653,C171,'02d_AI_Accelerator_Power'!$F$2:$F$653,"MTIA")/I171,0)</f>
        <v/>
      </c>
      <c r="O171" s="6">
        <f>IF(I171&gt;0,SUMIFS('02d_AI_Accelerator_Power'!$J$2:$J$653,'02d_AI_Accelerator_Power'!$B$2:$B$653,A171,'02d_AI_Accelerator_Power'!$C$2:$C$653,B171,'02d_AI_Accelerator_Power'!$D$2:$D$653,C171,'02d_AI_Accelerator_Power'!$F$2:$F$653,"Other / unknown accelerator")/I171,0)</f>
        <v/>
      </c>
      <c r="P171" s="3" t="inlineStr">
        <is>
          <t>CSP contract normalized: company inference MW * (CSP total MW * AI contract share * inference share) / company contract inference weight, then multiplied by CSP accelerator rows.</t>
        </is>
      </c>
      <c r="Q171" s="3" t="inlineStr">
        <is>
          <t>csp_contract_share_x_csp_accelerator_mix</t>
        </is>
      </c>
      <c r="R171" s="3" t="inlineStr">
        <is>
          <t>Edit 02a CSP contract allocation, 02b CSP accelerator mix, or 02x accelerator catalog; 03_Calculation reads D:G from this sheet.</t>
        </is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6">
        <f>IF(I172&gt;0,SUMIFS('02d_AI_Accelerator_Power'!$J$2:$J$653,'02d_AI_Accelerator_Power'!$B$2:$B$653,A172,'02d_AI_Accelerator_Power'!$C$2:$C$653,B172,'02d_AI_Accelerator_Power'!$D$2:$D$653,C172,'02d_AI_Accelerator_Power'!$G$2:$G$653,"h200_reference")/I172,1.0)</f>
        <v/>
      </c>
      <c r="E172" s="6">
        <f>IF(I172&gt;0,SUMIFS('02d_AI_Accelerator_Power'!$J$2:$J$653,'02d_AI_Accelerator_Power'!$B$2:$B$653,A172,'02d_AI_Accelerator_Power'!$C$2:$C$653,B172,'02d_AI_Accelerator_Power'!$D$2:$D$653,C172,'02d_AI_Accelerator_Power'!$G$2:$G$653,"b200_reference")/I172,0.0)</f>
        <v/>
      </c>
      <c r="F172" s="6">
        <f>IF(I172&gt;0,SUMIFS('02d_AI_Accelerator_Power'!$J$2:$J$653,'02d_AI_Accelerator_Power'!$B$2:$B$653,A172,'02d_AI_Accelerator_Power'!$C$2:$C$653,B172,'02d_AI_Accelerator_Power'!$D$2:$D$653,C172,'02d_AI_Accelerator_Power'!$G$2:$G$653,"gb200_reference")/I172,0.0)</f>
        <v/>
      </c>
      <c r="G172" s="6">
        <f>IF(I172&gt;0,SUMIFS('02d_AI_Accelerator_Power'!$J$2:$J$653,'02d_AI_Accelerator_Power'!$B$2:$B$653,A172,'02d_AI_Accelerator_Power'!$C$2:$C$653,B172,'02d_AI_Accelerator_Power'!$D$2:$D$653,C172,'02d_AI_Accelerator_Power'!$G$2:$G$653,"purpose_or_unbenchmarked")/I172,0.0)</f>
        <v/>
      </c>
      <c r="H172" s="6">
        <f>SUM(D172:G172)</f>
        <v/>
      </c>
      <c r="I172" s="28">
        <f>SUMIFS('02d_AI_Accelerator_Power'!$J$2:$J$653,'02d_AI_Accelerator_Power'!$B$2:$B$653,A172,'02d_AI_Accelerator_Power'!$C$2:$C$653,B172,'02d_AI_Accelerator_Power'!$D$2:$D$653,C172)</f>
        <v/>
      </c>
      <c r="J172" s="6">
        <f>IF(I172&gt;0,SUMIFS('02d_AI_Accelerator_Power'!$J$2:$J$653,'02d_AI_Accelerator_Power'!$B$2:$B$653,A172,'02d_AI_Accelerator_Power'!$C$2:$C$653,B172,'02d_AI_Accelerator_Power'!$D$2:$D$653,C172,'02d_AI_Accelerator_Power'!$F$2:$F$653,"R200/R300 future")/I172,0)</f>
        <v/>
      </c>
      <c r="K172" s="6">
        <f>IF(I172&gt;0,SUMIFS('02d_AI_Accelerator_Power'!$J$2:$J$653,'02d_AI_Accelerator_Power'!$B$2:$B$653,A172,'02d_AI_Accelerator_Power'!$C$2:$C$653,B172,'02d_AI_Accelerator_Power'!$D$2:$D$653,C172,'02d_AI_Accelerator_Power'!$F$2:$F$653,"TPU")/I172,0)</f>
        <v/>
      </c>
      <c r="L172" s="6">
        <f>IF(I172&gt;0,SUMIFS('02d_AI_Accelerator_Power'!$J$2:$J$653,'02d_AI_Accelerator_Power'!$B$2:$B$653,A172,'02d_AI_Accelerator_Power'!$C$2:$C$653,B172,'02d_AI_Accelerator_Power'!$D$2:$D$653,C172,'02d_AI_Accelerator_Power'!$F$2:$F$653,"Trainium")/I172,0)</f>
        <v/>
      </c>
      <c r="M172" s="6">
        <f>IF(I172&gt;0,SUMIFS('02d_AI_Accelerator_Power'!$J$2:$J$653,'02d_AI_Accelerator_Power'!$B$2:$B$653,A172,'02d_AI_Accelerator_Power'!$C$2:$C$653,B172,'02d_AI_Accelerator_Power'!$D$2:$D$653,C172,'02d_AI_Accelerator_Power'!$F$2:$F$653,"Maia")/I172,0)</f>
        <v/>
      </c>
      <c r="N172" s="6">
        <f>IF(I172&gt;0,SUMIFS('02d_AI_Accelerator_Power'!$J$2:$J$653,'02d_AI_Accelerator_Power'!$B$2:$B$653,A172,'02d_AI_Accelerator_Power'!$C$2:$C$653,B172,'02d_AI_Accelerator_Power'!$D$2:$D$653,C172,'02d_AI_Accelerator_Power'!$F$2:$F$653,"MTIA")/I172,0)</f>
        <v/>
      </c>
      <c r="O172" s="6">
        <f>IF(I172&gt;0,SUMIFS('02d_AI_Accelerator_Power'!$J$2:$J$653,'02d_AI_Accelerator_Power'!$B$2:$B$653,A172,'02d_AI_Accelerator_Power'!$C$2:$C$653,B172,'02d_AI_Accelerator_Power'!$D$2:$D$653,C172,'02d_AI_Accelerator_Power'!$F$2:$F$653,"Other / unknown accelerator")/I172,0)</f>
        <v/>
      </c>
      <c r="P172" s="3" t="inlineStr">
        <is>
          <t>CSP contract normalized: company inference MW * (CSP total MW * AI contract share * inference share) / company contract inference weight, then multiplied by CSP accelerator rows.</t>
        </is>
      </c>
      <c r="Q172" s="3" t="inlineStr">
        <is>
          <t>csp_contract_share_x_csp_accelerator_mix</t>
        </is>
      </c>
      <c r="R172" s="3" t="inlineStr">
        <is>
          <t>Edit 02a CSP contract allocation, 02b CSP accelerator mix, or 02x accelerator catalog; 03_Calculation reads D:G from this sheet.</t>
        </is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6">
        <f>IF(I173&gt;0,SUMIFS('02d_AI_Accelerator_Power'!$J$2:$J$653,'02d_AI_Accelerator_Power'!$B$2:$B$653,A173,'02d_AI_Accelerator_Power'!$C$2:$C$653,B173,'02d_AI_Accelerator_Power'!$D$2:$D$653,C173,'02d_AI_Accelerator_Power'!$G$2:$G$653,"h200_reference")/I173,1.0)</f>
        <v/>
      </c>
      <c r="E173" s="6">
        <f>IF(I173&gt;0,SUMIFS('02d_AI_Accelerator_Power'!$J$2:$J$653,'02d_AI_Accelerator_Power'!$B$2:$B$653,A173,'02d_AI_Accelerator_Power'!$C$2:$C$653,B173,'02d_AI_Accelerator_Power'!$D$2:$D$653,C173,'02d_AI_Accelerator_Power'!$G$2:$G$653,"b200_reference")/I173,0.0)</f>
        <v/>
      </c>
      <c r="F173" s="6">
        <f>IF(I173&gt;0,SUMIFS('02d_AI_Accelerator_Power'!$J$2:$J$653,'02d_AI_Accelerator_Power'!$B$2:$B$653,A173,'02d_AI_Accelerator_Power'!$C$2:$C$653,B173,'02d_AI_Accelerator_Power'!$D$2:$D$653,C173,'02d_AI_Accelerator_Power'!$G$2:$G$653,"gb200_reference")/I173,0.0)</f>
        <v/>
      </c>
      <c r="G173" s="6">
        <f>IF(I173&gt;0,SUMIFS('02d_AI_Accelerator_Power'!$J$2:$J$653,'02d_AI_Accelerator_Power'!$B$2:$B$653,A173,'02d_AI_Accelerator_Power'!$C$2:$C$653,B173,'02d_AI_Accelerator_Power'!$D$2:$D$653,C173,'02d_AI_Accelerator_Power'!$G$2:$G$653,"purpose_or_unbenchmarked")/I173,0.0)</f>
        <v/>
      </c>
      <c r="H173" s="6">
        <f>SUM(D173:G173)</f>
        <v/>
      </c>
      <c r="I173" s="28">
        <f>SUMIFS('02d_AI_Accelerator_Power'!$J$2:$J$653,'02d_AI_Accelerator_Power'!$B$2:$B$653,A173,'02d_AI_Accelerator_Power'!$C$2:$C$653,B173,'02d_AI_Accelerator_Power'!$D$2:$D$653,C173)</f>
        <v/>
      </c>
      <c r="J173" s="6">
        <f>IF(I173&gt;0,SUMIFS('02d_AI_Accelerator_Power'!$J$2:$J$653,'02d_AI_Accelerator_Power'!$B$2:$B$653,A173,'02d_AI_Accelerator_Power'!$C$2:$C$653,B173,'02d_AI_Accelerator_Power'!$D$2:$D$653,C173,'02d_AI_Accelerator_Power'!$F$2:$F$653,"R200/R300 future")/I173,0)</f>
        <v/>
      </c>
      <c r="K173" s="6">
        <f>IF(I173&gt;0,SUMIFS('02d_AI_Accelerator_Power'!$J$2:$J$653,'02d_AI_Accelerator_Power'!$B$2:$B$653,A173,'02d_AI_Accelerator_Power'!$C$2:$C$653,B173,'02d_AI_Accelerator_Power'!$D$2:$D$653,C173,'02d_AI_Accelerator_Power'!$F$2:$F$653,"TPU")/I173,0)</f>
        <v/>
      </c>
      <c r="L173" s="6">
        <f>IF(I173&gt;0,SUMIFS('02d_AI_Accelerator_Power'!$J$2:$J$653,'02d_AI_Accelerator_Power'!$B$2:$B$653,A173,'02d_AI_Accelerator_Power'!$C$2:$C$653,B173,'02d_AI_Accelerator_Power'!$D$2:$D$653,C173,'02d_AI_Accelerator_Power'!$F$2:$F$653,"Trainium")/I173,0)</f>
        <v/>
      </c>
      <c r="M173" s="6">
        <f>IF(I173&gt;0,SUMIFS('02d_AI_Accelerator_Power'!$J$2:$J$653,'02d_AI_Accelerator_Power'!$B$2:$B$653,A173,'02d_AI_Accelerator_Power'!$C$2:$C$653,B173,'02d_AI_Accelerator_Power'!$D$2:$D$653,C173,'02d_AI_Accelerator_Power'!$F$2:$F$653,"Maia")/I173,0)</f>
        <v/>
      </c>
      <c r="N173" s="6">
        <f>IF(I173&gt;0,SUMIFS('02d_AI_Accelerator_Power'!$J$2:$J$653,'02d_AI_Accelerator_Power'!$B$2:$B$653,A173,'02d_AI_Accelerator_Power'!$C$2:$C$653,B173,'02d_AI_Accelerator_Power'!$D$2:$D$653,C173,'02d_AI_Accelerator_Power'!$F$2:$F$653,"MTIA")/I173,0)</f>
        <v/>
      </c>
      <c r="O173" s="6">
        <f>IF(I173&gt;0,SUMIFS('02d_AI_Accelerator_Power'!$J$2:$J$653,'02d_AI_Accelerator_Power'!$B$2:$B$653,A173,'02d_AI_Accelerator_Power'!$C$2:$C$653,B173,'02d_AI_Accelerator_Power'!$D$2:$D$653,C173,'02d_AI_Accelerator_Power'!$F$2:$F$653,"Other / unknown accelerator")/I173,0)</f>
        <v/>
      </c>
      <c r="P173" s="3" t="inlineStr">
        <is>
          <t>CSP contract normalized: company inference MW * (CSP total MW * AI contract share * inference share) / company contract inference weight, then multiplied by CSP accelerator rows.</t>
        </is>
      </c>
      <c r="Q173" s="3" t="inlineStr">
        <is>
          <t>csp_contract_share_x_csp_accelerator_mix</t>
        </is>
      </c>
      <c r="R173" s="3" t="inlineStr">
        <is>
          <t>Edit 02a CSP contract allocation, 02b CSP accelerator mix, or 02x accelerator catalog; 03_Calculation reads D:G from this sheet.</t>
        </is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6">
        <f>IF(I174&gt;0,SUMIFS('02d_AI_Accelerator_Power'!$J$2:$J$653,'02d_AI_Accelerator_Power'!$B$2:$B$653,A174,'02d_AI_Accelerator_Power'!$C$2:$C$653,B174,'02d_AI_Accelerator_Power'!$D$2:$D$653,C174,'02d_AI_Accelerator_Power'!$G$2:$G$653,"h200_reference")/I174,1.0)</f>
        <v/>
      </c>
      <c r="E174" s="6">
        <f>IF(I174&gt;0,SUMIFS('02d_AI_Accelerator_Power'!$J$2:$J$653,'02d_AI_Accelerator_Power'!$B$2:$B$653,A174,'02d_AI_Accelerator_Power'!$C$2:$C$653,B174,'02d_AI_Accelerator_Power'!$D$2:$D$653,C174,'02d_AI_Accelerator_Power'!$G$2:$G$653,"b200_reference")/I174,0.0)</f>
        <v/>
      </c>
      <c r="F174" s="6">
        <f>IF(I174&gt;0,SUMIFS('02d_AI_Accelerator_Power'!$J$2:$J$653,'02d_AI_Accelerator_Power'!$B$2:$B$653,A174,'02d_AI_Accelerator_Power'!$C$2:$C$653,B174,'02d_AI_Accelerator_Power'!$D$2:$D$653,C174,'02d_AI_Accelerator_Power'!$G$2:$G$653,"gb200_reference")/I174,0.0)</f>
        <v/>
      </c>
      <c r="G174" s="6">
        <f>IF(I174&gt;0,SUMIFS('02d_AI_Accelerator_Power'!$J$2:$J$653,'02d_AI_Accelerator_Power'!$B$2:$B$653,A174,'02d_AI_Accelerator_Power'!$C$2:$C$653,B174,'02d_AI_Accelerator_Power'!$D$2:$D$653,C174,'02d_AI_Accelerator_Power'!$G$2:$G$653,"purpose_or_unbenchmarked")/I174,0.0)</f>
        <v/>
      </c>
      <c r="H174" s="6">
        <f>SUM(D174:G174)</f>
        <v/>
      </c>
      <c r="I174" s="28">
        <f>SUMIFS('02d_AI_Accelerator_Power'!$J$2:$J$653,'02d_AI_Accelerator_Power'!$B$2:$B$653,A174,'02d_AI_Accelerator_Power'!$C$2:$C$653,B174,'02d_AI_Accelerator_Power'!$D$2:$D$653,C174)</f>
        <v/>
      </c>
      <c r="J174" s="6">
        <f>IF(I174&gt;0,SUMIFS('02d_AI_Accelerator_Power'!$J$2:$J$653,'02d_AI_Accelerator_Power'!$B$2:$B$653,A174,'02d_AI_Accelerator_Power'!$C$2:$C$653,B174,'02d_AI_Accelerator_Power'!$D$2:$D$653,C174,'02d_AI_Accelerator_Power'!$F$2:$F$653,"R200/R300 future")/I174,0)</f>
        <v/>
      </c>
      <c r="K174" s="6">
        <f>IF(I174&gt;0,SUMIFS('02d_AI_Accelerator_Power'!$J$2:$J$653,'02d_AI_Accelerator_Power'!$B$2:$B$653,A174,'02d_AI_Accelerator_Power'!$C$2:$C$653,B174,'02d_AI_Accelerator_Power'!$D$2:$D$653,C174,'02d_AI_Accelerator_Power'!$F$2:$F$653,"TPU")/I174,0)</f>
        <v/>
      </c>
      <c r="L174" s="6">
        <f>IF(I174&gt;0,SUMIFS('02d_AI_Accelerator_Power'!$J$2:$J$653,'02d_AI_Accelerator_Power'!$B$2:$B$653,A174,'02d_AI_Accelerator_Power'!$C$2:$C$653,B174,'02d_AI_Accelerator_Power'!$D$2:$D$653,C174,'02d_AI_Accelerator_Power'!$F$2:$F$653,"Trainium")/I174,0)</f>
        <v/>
      </c>
      <c r="M174" s="6">
        <f>IF(I174&gt;0,SUMIFS('02d_AI_Accelerator_Power'!$J$2:$J$653,'02d_AI_Accelerator_Power'!$B$2:$B$653,A174,'02d_AI_Accelerator_Power'!$C$2:$C$653,B174,'02d_AI_Accelerator_Power'!$D$2:$D$653,C174,'02d_AI_Accelerator_Power'!$F$2:$F$653,"Maia")/I174,0)</f>
        <v/>
      </c>
      <c r="N174" s="6">
        <f>IF(I174&gt;0,SUMIFS('02d_AI_Accelerator_Power'!$J$2:$J$653,'02d_AI_Accelerator_Power'!$B$2:$B$653,A174,'02d_AI_Accelerator_Power'!$C$2:$C$653,B174,'02d_AI_Accelerator_Power'!$D$2:$D$653,C174,'02d_AI_Accelerator_Power'!$F$2:$F$653,"MTIA")/I174,0)</f>
        <v/>
      </c>
      <c r="O174" s="6">
        <f>IF(I174&gt;0,SUMIFS('02d_AI_Accelerator_Power'!$J$2:$J$653,'02d_AI_Accelerator_Power'!$B$2:$B$653,A174,'02d_AI_Accelerator_Power'!$C$2:$C$653,B174,'02d_AI_Accelerator_Power'!$D$2:$D$653,C174,'02d_AI_Accelerator_Power'!$F$2:$F$653,"Other / unknown accelerator")/I174,0)</f>
        <v/>
      </c>
      <c r="P174" s="3" t="inlineStr">
        <is>
          <t>CSP contract normalized: company inference MW * (CSP total MW * AI contract share * inference share) / company contract inference weight, then multiplied by CSP accelerator rows.</t>
        </is>
      </c>
      <c r="Q174" s="3" t="inlineStr">
        <is>
          <t>csp_contract_share_x_csp_accelerator_mix</t>
        </is>
      </c>
      <c r="R174" s="3" t="inlineStr">
        <is>
          <t>Edit 02a CSP contract allocation, 02b CSP accelerator mix, or 02x accelerator catalog; 03_Calculation reads D:G from this sheet.</t>
        </is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6">
        <f>IF(I175&gt;0,SUMIFS('02d_AI_Accelerator_Power'!$J$2:$J$653,'02d_AI_Accelerator_Power'!$B$2:$B$653,A175,'02d_AI_Accelerator_Power'!$C$2:$C$653,B175,'02d_AI_Accelerator_Power'!$D$2:$D$653,C175,'02d_AI_Accelerator_Power'!$G$2:$G$653,"h200_reference")/I175,1.0)</f>
        <v/>
      </c>
      <c r="E175" s="6">
        <f>IF(I175&gt;0,SUMIFS('02d_AI_Accelerator_Power'!$J$2:$J$653,'02d_AI_Accelerator_Power'!$B$2:$B$653,A175,'02d_AI_Accelerator_Power'!$C$2:$C$653,B175,'02d_AI_Accelerator_Power'!$D$2:$D$653,C175,'02d_AI_Accelerator_Power'!$G$2:$G$653,"b200_reference")/I175,0.0)</f>
        <v/>
      </c>
      <c r="F175" s="6">
        <f>IF(I175&gt;0,SUMIFS('02d_AI_Accelerator_Power'!$J$2:$J$653,'02d_AI_Accelerator_Power'!$B$2:$B$653,A175,'02d_AI_Accelerator_Power'!$C$2:$C$653,B175,'02d_AI_Accelerator_Power'!$D$2:$D$653,C175,'02d_AI_Accelerator_Power'!$G$2:$G$653,"gb200_reference")/I175,0.0)</f>
        <v/>
      </c>
      <c r="G175" s="6">
        <f>IF(I175&gt;0,SUMIFS('02d_AI_Accelerator_Power'!$J$2:$J$653,'02d_AI_Accelerator_Power'!$B$2:$B$653,A175,'02d_AI_Accelerator_Power'!$C$2:$C$653,B175,'02d_AI_Accelerator_Power'!$D$2:$D$653,C175,'02d_AI_Accelerator_Power'!$G$2:$G$653,"purpose_or_unbenchmarked")/I175,0.0)</f>
        <v/>
      </c>
      <c r="H175" s="6">
        <f>SUM(D175:G175)</f>
        <v/>
      </c>
      <c r="I175" s="28">
        <f>SUMIFS('02d_AI_Accelerator_Power'!$J$2:$J$653,'02d_AI_Accelerator_Power'!$B$2:$B$653,A175,'02d_AI_Accelerator_Power'!$C$2:$C$653,B175,'02d_AI_Accelerator_Power'!$D$2:$D$653,C175)</f>
        <v/>
      </c>
      <c r="J175" s="6">
        <f>IF(I175&gt;0,SUMIFS('02d_AI_Accelerator_Power'!$J$2:$J$653,'02d_AI_Accelerator_Power'!$B$2:$B$653,A175,'02d_AI_Accelerator_Power'!$C$2:$C$653,B175,'02d_AI_Accelerator_Power'!$D$2:$D$653,C175,'02d_AI_Accelerator_Power'!$F$2:$F$653,"R200/R300 future")/I175,0)</f>
        <v/>
      </c>
      <c r="K175" s="6">
        <f>IF(I175&gt;0,SUMIFS('02d_AI_Accelerator_Power'!$J$2:$J$653,'02d_AI_Accelerator_Power'!$B$2:$B$653,A175,'02d_AI_Accelerator_Power'!$C$2:$C$653,B175,'02d_AI_Accelerator_Power'!$D$2:$D$653,C175,'02d_AI_Accelerator_Power'!$F$2:$F$653,"TPU")/I175,0)</f>
        <v/>
      </c>
      <c r="L175" s="6">
        <f>IF(I175&gt;0,SUMIFS('02d_AI_Accelerator_Power'!$J$2:$J$653,'02d_AI_Accelerator_Power'!$B$2:$B$653,A175,'02d_AI_Accelerator_Power'!$C$2:$C$653,B175,'02d_AI_Accelerator_Power'!$D$2:$D$653,C175,'02d_AI_Accelerator_Power'!$F$2:$F$653,"Trainium")/I175,0)</f>
        <v/>
      </c>
      <c r="M175" s="6">
        <f>IF(I175&gt;0,SUMIFS('02d_AI_Accelerator_Power'!$J$2:$J$653,'02d_AI_Accelerator_Power'!$B$2:$B$653,A175,'02d_AI_Accelerator_Power'!$C$2:$C$653,B175,'02d_AI_Accelerator_Power'!$D$2:$D$653,C175,'02d_AI_Accelerator_Power'!$F$2:$F$653,"Maia")/I175,0)</f>
        <v/>
      </c>
      <c r="N175" s="6">
        <f>IF(I175&gt;0,SUMIFS('02d_AI_Accelerator_Power'!$J$2:$J$653,'02d_AI_Accelerator_Power'!$B$2:$B$653,A175,'02d_AI_Accelerator_Power'!$C$2:$C$653,B175,'02d_AI_Accelerator_Power'!$D$2:$D$653,C175,'02d_AI_Accelerator_Power'!$F$2:$F$653,"MTIA")/I175,0)</f>
        <v/>
      </c>
      <c r="O175" s="6">
        <f>IF(I175&gt;0,SUMIFS('02d_AI_Accelerator_Power'!$J$2:$J$653,'02d_AI_Accelerator_Power'!$B$2:$B$653,A175,'02d_AI_Accelerator_Power'!$C$2:$C$653,B175,'02d_AI_Accelerator_Power'!$D$2:$D$653,C175,'02d_AI_Accelerator_Power'!$F$2:$F$653,"Other / unknown accelerator")/I175,0)</f>
        <v/>
      </c>
      <c r="P175" s="3" t="inlineStr">
        <is>
          <t>CSP contract normalized: company inference MW * (CSP total MW * AI contract share * inference share) / company contract inference weight, then multiplied by CSP accelerator rows.</t>
        </is>
      </c>
      <c r="Q175" s="3" t="inlineStr">
        <is>
          <t>csp_contract_share_x_csp_accelerator_mix</t>
        </is>
      </c>
      <c r="R175" s="3" t="inlineStr">
        <is>
          <t>Edit 02a CSP contract allocation, 02b CSP accelerator mix, or 02x accelerator catalog; 03_Calculation reads D:G from this sheet.</t>
        </is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6">
        <f>IF(I176&gt;0,SUMIFS('02d_AI_Accelerator_Power'!$J$2:$J$653,'02d_AI_Accelerator_Power'!$B$2:$B$653,A176,'02d_AI_Accelerator_Power'!$C$2:$C$653,B176,'02d_AI_Accelerator_Power'!$D$2:$D$653,C176,'02d_AI_Accelerator_Power'!$G$2:$G$653,"h200_reference")/I176,1.0)</f>
        <v/>
      </c>
      <c r="E176" s="6">
        <f>IF(I176&gt;0,SUMIFS('02d_AI_Accelerator_Power'!$J$2:$J$653,'02d_AI_Accelerator_Power'!$B$2:$B$653,A176,'02d_AI_Accelerator_Power'!$C$2:$C$653,B176,'02d_AI_Accelerator_Power'!$D$2:$D$653,C176,'02d_AI_Accelerator_Power'!$G$2:$G$653,"b200_reference")/I176,0.0)</f>
        <v/>
      </c>
      <c r="F176" s="6">
        <f>IF(I176&gt;0,SUMIFS('02d_AI_Accelerator_Power'!$J$2:$J$653,'02d_AI_Accelerator_Power'!$B$2:$B$653,A176,'02d_AI_Accelerator_Power'!$C$2:$C$653,B176,'02d_AI_Accelerator_Power'!$D$2:$D$653,C176,'02d_AI_Accelerator_Power'!$G$2:$G$653,"gb200_reference")/I176,0.0)</f>
        <v/>
      </c>
      <c r="G176" s="6">
        <f>IF(I176&gt;0,SUMIFS('02d_AI_Accelerator_Power'!$J$2:$J$653,'02d_AI_Accelerator_Power'!$B$2:$B$653,A176,'02d_AI_Accelerator_Power'!$C$2:$C$653,B176,'02d_AI_Accelerator_Power'!$D$2:$D$653,C176,'02d_AI_Accelerator_Power'!$G$2:$G$653,"purpose_or_unbenchmarked")/I176,0.0)</f>
        <v/>
      </c>
      <c r="H176" s="6">
        <f>SUM(D176:G176)</f>
        <v/>
      </c>
      <c r="I176" s="28">
        <f>SUMIFS('02d_AI_Accelerator_Power'!$J$2:$J$653,'02d_AI_Accelerator_Power'!$B$2:$B$653,A176,'02d_AI_Accelerator_Power'!$C$2:$C$653,B176,'02d_AI_Accelerator_Power'!$D$2:$D$653,C176)</f>
        <v/>
      </c>
      <c r="J176" s="6">
        <f>IF(I176&gt;0,SUMIFS('02d_AI_Accelerator_Power'!$J$2:$J$653,'02d_AI_Accelerator_Power'!$B$2:$B$653,A176,'02d_AI_Accelerator_Power'!$C$2:$C$653,B176,'02d_AI_Accelerator_Power'!$D$2:$D$653,C176,'02d_AI_Accelerator_Power'!$F$2:$F$653,"R200/R300 future")/I176,0)</f>
        <v/>
      </c>
      <c r="K176" s="6">
        <f>IF(I176&gt;0,SUMIFS('02d_AI_Accelerator_Power'!$J$2:$J$653,'02d_AI_Accelerator_Power'!$B$2:$B$653,A176,'02d_AI_Accelerator_Power'!$C$2:$C$653,B176,'02d_AI_Accelerator_Power'!$D$2:$D$653,C176,'02d_AI_Accelerator_Power'!$F$2:$F$653,"TPU")/I176,0)</f>
        <v/>
      </c>
      <c r="L176" s="6">
        <f>IF(I176&gt;0,SUMIFS('02d_AI_Accelerator_Power'!$J$2:$J$653,'02d_AI_Accelerator_Power'!$B$2:$B$653,A176,'02d_AI_Accelerator_Power'!$C$2:$C$653,B176,'02d_AI_Accelerator_Power'!$D$2:$D$653,C176,'02d_AI_Accelerator_Power'!$F$2:$F$653,"Trainium")/I176,0)</f>
        <v/>
      </c>
      <c r="M176" s="6">
        <f>IF(I176&gt;0,SUMIFS('02d_AI_Accelerator_Power'!$J$2:$J$653,'02d_AI_Accelerator_Power'!$B$2:$B$653,A176,'02d_AI_Accelerator_Power'!$C$2:$C$653,B176,'02d_AI_Accelerator_Power'!$D$2:$D$653,C176,'02d_AI_Accelerator_Power'!$F$2:$F$653,"Maia")/I176,0)</f>
        <v/>
      </c>
      <c r="N176" s="6">
        <f>IF(I176&gt;0,SUMIFS('02d_AI_Accelerator_Power'!$J$2:$J$653,'02d_AI_Accelerator_Power'!$B$2:$B$653,A176,'02d_AI_Accelerator_Power'!$C$2:$C$653,B176,'02d_AI_Accelerator_Power'!$D$2:$D$653,C176,'02d_AI_Accelerator_Power'!$F$2:$F$653,"MTIA")/I176,0)</f>
        <v/>
      </c>
      <c r="O176" s="6">
        <f>IF(I176&gt;0,SUMIFS('02d_AI_Accelerator_Power'!$J$2:$J$653,'02d_AI_Accelerator_Power'!$B$2:$B$653,A176,'02d_AI_Accelerator_Power'!$C$2:$C$653,B176,'02d_AI_Accelerator_Power'!$D$2:$D$653,C176,'02d_AI_Accelerator_Power'!$F$2:$F$653,"Other / unknown accelerator")/I176,0)</f>
        <v/>
      </c>
      <c r="P176" s="3" t="inlineStr">
        <is>
          <t>CSP contract normalized: company inference MW * (CSP total MW * AI contract share * inference share) / company contract inference weight, then multiplied by CSP accelerator rows.</t>
        </is>
      </c>
      <c r="Q176" s="3" t="inlineStr">
        <is>
          <t>csp_contract_share_x_csp_accelerator_mix</t>
        </is>
      </c>
      <c r="R176" s="3" t="inlineStr">
        <is>
          <t>Edit 02a CSP contract allocation, 02b CSP accelerator mix, or 02x accelerator catalog; 03_Calculation reads D:G from this sheet.</t>
        </is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6">
        <f>IF(I177&gt;0,SUMIFS('02d_AI_Accelerator_Power'!$J$2:$J$653,'02d_AI_Accelerator_Power'!$B$2:$B$653,A177,'02d_AI_Accelerator_Power'!$C$2:$C$653,B177,'02d_AI_Accelerator_Power'!$D$2:$D$653,C177,'02d_AI_Accelerator_Power'!$G$2:$G$653,"h200_reference")/I177,0.55)</f>
        <v/>
      </c>
      <c r="E177" s="6">
        <f>IF(I177&gt;0,SUMIFS('02d_AI_Accelerator_Power'!$J$2:$J$653,'02d_AI_Accelerator_Power'!$B$2:$B$653,A177,'02d_AI_Accelerator_Power'!$C$2:$C$653,B177,'02d_AI_Accelerator_Power'!$D$2:$D$653,C177,'02d_AI_Accelerator_Power'!$G$2:$G$653,"b200_reference")/I177,0.4)</f>
        <v/>
      </c>
      <c r="F177" s="6">
        <f>IF(I177&gt;0,SUMIFS('02d_AI_Accelerator_Power'!$J$2:$J$653,'02d_AI_Accelerator_Power'!$B$2:$B$653,A177,'02d_AI_Accelerator_Power'!$C$2:$C$653,B177,'02d_AI_Accelerator_Power'!$D$2:$D$653,C177,'02d_AI_Accelerator_Power'!$G$2:$G$653,"gb200_reference")/I177,0.05)</f>
        <v/>
      </c>
      <c r="G177" s="6">
        <f>IF(I177&gt;0,SUMIFS('02d_AI_Accelerator_Power'!$J$2:$J$653,'02d_AI_Accelerator_Power'!$B$2:$B$653,A177,'02d_AI_Accelerator_Power'!$C$2:$C$653,B177,'02d_AI_Accelerator_Power'!$D$2:$D$653,C177,'02d_AI_Accelerator_Power'!$G$2:$G$653,"purpose_or_unbenchmarked")/I177,0.0)</f>
        <v/>
      </c>
      <c r="H177" s="6">
        <f>SUM(D177:G177)</f>
        <v/>
      </c>
      <c r="I177" s="28">
        <f>SUMIFS('02d_AI_Accelerator_Power'!$J$2:$J$653,'02d_AI_Accelerator_Power'!$B$2:$B$653,A177,'02d_AI_Accelerator_Power'!$C$2:$C$653,B177,'02d_AI_Accelerator_Power'!$D$2:$D$653,C177)</f>
        <v/>
      </c>
      <c r="J177" s="6">
        <f>IF(I177&gt;0,SUMIFS('02d_AI_Accelerator_Power'!$J$2:$J$653,'02d_AI_Accelerator_Power'!$B$2:$B$653,A177,'02d_AI_Accelerator_Power'!$C$2:$C$653,B177,'02d_AI_Accelerator_Power'!$D$2:$D$653,C177,'02d_AI_Accelerator_Power'!$F$2:$F$653,"R200/R300 future")/I177,0)</f>
        <v/>
      </c>
      <c r="K177" s="6">
        <f>IF(I177&gt;0,SUMIFS('02d_AI_Accelerator_Power'!$J$2:$J$653,'02d_AI_Accelerator_Power'!$B$2:$B$653,A177,'02d_AI_Accelerator_Power'!$C$2:$C$653,B177,'02d_AI_Accelerator_Power'!$D$2:$D$653,C177,'02d_AI_Accelerator_Power'!$F$2:$F$653,"TPU")/I177,0)</f>
        <v/>
      </c>
      <c r="L177" s="6">
        <f>IF(I177&gt;0,SUMIFS('02d_AI_Accelerator_Power'!$J$2:$J$653,'02d_AI_Accelerator_Power'!$B$2:$B$653,A177,'02d_AI_Accelerator_Power'!$C$2:$C$653,B177,'02d_AI_Accelerator_Power'!$D$2:$D$653,C177,'02d_AI_Accelerator_Power'!$F$2:$F$653,"Trainium")/I177,0)</f>
        <v/>
      </c>
      <c r="M177" s="6">
        <f>IF(I177&gt;0,SUMIFS('02d_AI_Accelerator_Power'!$J$2:$J$653,'02d_AI_Accelerator_Power'!$B$2:$B$653,A177,'02d_AI_Accelerator_Power'!$C$2:$C$653,B177,'02d_AI_Accelerator_Power'!$D$2:$D$653,C177,'02d_AI_Accelerator_Power'!$F$2:$F$653,"Maia")/I177,0)</f>
        <v/>
      </c>
      <c r="N177" s="6">
        <f>IF(I177&gt;0,SUMIFS('02d_AI_Accelerator_Power'!$J$2:$J$653,'02d_AI_Accelerator_Power'!$B$2:$B$653,A177,'02d_AI_Accelerator_Power'!$C$2:$C$653,B177,'02d_AI_Accelerator_Power'!$D$2:$D$653,C177,'02d_AI_Accelerator_Power'!$F$2:$F$653,"MTIA")/I177,0)</f>
        <v/>
      </c>
      <c r="O177" s="6">
        <f>IF(I177&gt;0,SUMIFS('02d_AI_Accelerator_Power'!$J$2:$J$653,'02d_AI_Accelerator_Power'!$B$2:$B$653,A177,'02d_AI_Accelerator_Power'!$C$2:$C$653,B177,'02d_AI_Accelerator_Power'!$D$2:$D$653,C177,'02d_AI_Accelerator_Power'!$F$2:$F$653,"Other / unknown accelerator")/I177,0)</f>
        <v/>
      </c>
      <c r="P177" s="3" t="inlineStr">
        <is>
          <t>CSP contract normalized: company inference MW * (CSP total MW * AI contract share * inference share) / company contract inference weight, then multiplied by CSP accelerator rows.</t>
        </is>
      </c>
      <c r="Q177" s="3" t="inlineStr">
        <is>
          <t>csp_contract_share_x_csp_accelerator_mix</t>
        </is>
      </c>
      <c r="R177" s="3" t="inlineStr">
        <is>
          <t>Edit 02a CSP contract allocation, 02b CSP accelerator mix, or 02x accelerator catalog; 03_Calculation reads D:G from this sheet.</t>
        </is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6">
        <f>IF(I178&gt;0,SUMIFS('02d_AI_Accelerator_Power'!$J$2:$J$653,'02d_AI_Accelerator_Power'!$B$2:$B$653,A178,'02d_AI_Accelerator_Power'!$C$2:$C$653,B178,'02d_AI_Accelerator_Power'!$D$2:$D$653,C178,'02d_AI_Accelerator_Power'!$G$2:$G$653,"h200_reference")/I178,0.438)</f>
        <v/>
      </c>
      <c r="E178" s="6">
        <f>IF(I178&gt;0,SUMIFS('02d_AI_Accelerator_Power'!$J$2:$J$653,'02d_AI_Accelerator_Power'!$B$2:$B$653,A178,'02d_AI_Accelerator_Power'!$C$2:$C$653,B178,'02d_AI_Accelerator_Power'!$D$2:$D$653,C178,'02d_AI_Accelerator_Power'!$G$2:$G$653,"b200_reference")/I178,0.388)</f>
        <v/>
      </c>
      <c r="F178" s="6">
        <f>IF(I178&gt;0,SUMIFS('02d_AI_Accelerator_Power'!$J$2:$J$653,'02d_AI_Accelerator_Power'!$B$2:$B$653,A178,'02d_AI_Accelerator_Power'!$C$2:$C$653,B178,'02d_AI_Accelerator_Power'!$D$2:$D$653,C178,'02d_AI_Accelerator_Power'!$G$2:$G$653,"gb200_reference")/I178,0.174)</f>
        <v/>
      </c>
      <c r="G178" s="6">
        <f>IF(I178&gt;0,SUMIFS('02d_AI_Accelerator_Power'!$J$2:$J$653,'02d_AI_Accelerator_Power'!$B$2:$B$653,A178,'02d_AI_Accelerator_Power'!$C$2:$C$653,B178,'02d_AI_Accelerator_Power'!$D$2:$D$653,C178,'02d_AI_Accelerator_Power'!$G$2:$G$653,"purpose_or_unbenchmarked")/I178,0.0)</f>
        <v/>
      </c>
      <c r="H178" s="6">
        <f>SUM(D178:G178)</f>
        <v/>
      </c>
      <c r="I178" s="28">
        <f>SUMIFS('02d_AI_Accelerator_Power'!$J$2:$J$653,'02d_AI_Accelerator_Power'!$B$2:$B$653,A178,'02d_AI_Accelerator_Power'!$C$2:$C$653,B178,'02d_AI_Accelerator_Power'!$D$2:$D$653,C178)</f>
        <v/>
      </c>
      <c r="J178" s="6">
        <f>IF(I178&gt;0,SUMIFS('02d_AI_Accelerator_Power'!$J$2:$J$653,'02d_AI_Accelerator_Power'!$B$2:$B$653,A178,'02d_AI_Accelerator_Power'!$C$2:$C$653,B178,'02d_AI_Accelerator_Power'!$D$2:$D$653,C178,'02d_AI_Accelerator_Power'!$F$2:$F$653,"R200/R300 future")/I178,0)</f>
        <v/>
      </c>
      <c r="K178" s="6">
        <f>IF(I178&gt;0,SUMIFS('02d_AI_Accelerator_Power'!$J$2:$J$653,'02d_AI_Accelerator_Power'!$B$2:$B$653,A178,'02d_AI_Accelerator_Power'!$C$2:$C$653,B178,'02d_AI_Accelerator_Power'!$D$2:$D$653,C178,'02d_AI_Accelerator_Power'!$F$2:$F$653,"TPU")/I178,0)</f>
        <v/>
      </c>
      <c r="L178" s="6">
        <f>IF(I178&gt;0,SUMIFS('02d_AI_Accelerator_Power'!$J$2:$J$653,'02d_AI_Accelerator_Power'!$B$2:$B$653,A178,'02d_AI_Accelerator_Power'!$C$2:$C$653,B178,'02d_AI_Accelerator_Power'!$D$2:$D$653,C178,'02d_AI_Accelerator_Power'!$F$2:$F$653,"Trainium")/I178,0)</f>
        <v/>
      </c>
      <c r="M178" s="6">
        <f>IF(I178&gt;0,SUMIFS('02d_AI_Accelerator_Power'!$J$2:$J$653,'02d_AI_Accelerator_Power'!$B$2:$B$653,A178,'02d_AI_Accelerator_Power'!$C$2:$C$653,B178,'02d_AI_Accelerator_Power'!$D$2:$D$653,C178,'02d_AI_Accelerator_Power'!$F$2:$F$653,"Maia")/I178,0)</f>
        <v/>
      </c>
      <c r="N178" s="6">
        <f>IF(I178&gt;0,SUMIFS('02d_AI_Accelerator_Power'!$J$2:$J$653,'02d_AI_Accelerator_Power'!$B$2:$B$653,A178,'02d_AI_Accelerator_Power'!$C$2:$C$653,B178,'02d_AI_Accelerator_Power'!$D$2:$D$653,C178,'02d_AI_Accelerator_Power'!$F$2:$F$653,"MTIA")/I178,0)</f>
        <v/>
      </c>
      <c r="O178" s="6">
        <f>IF(I178&gt;0,SUMIFS('02d_AI_Accelerator_Power'!$J$2:$J$653,'02d_AI_Accelerator_Power'!$B$2:$B$653,A178,'02d_AI_Accelerator_Power'!$C$2:$C$653,B178,'02d_AI_Accelerator_Power'!$D$2:$D$653,C178,'02d_AI_Accelerator_Power'!$F$2:$F$653,"Other / unknown accelerator")/I178,0)</f>
        <v/>
      </c>
      <c r="P178" s="3" t="inlineStr">
        <is>
          <t>CSP contract normalized: company inference MW * (CSP total MW * AI contract share * inference share) / company contract inference weight, then multiplied by CSP accelerator rows.</t>
        </is>
      </c>
      <c r="Q178" s="3" t="inlineStr">
        <is>
          <t>csp_contract_share_x_csp_accelerator_mix</t>
        </is>
      </c>
      <c r="R178" s="3" t="inlineStr">
        <is>
          <t>Edit 02a CSP contract allocation, 02b CSP accelerator mix, or 02x accelerator catalog; 03_Calculation reads D:G from this sheet.</t>
        </is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6">
        <f>IF(I179&gt;0,SUMIFS('02d_AI_Accelerator_Power'!$J$2:$J$653,'02d_AI_Accelerator_Power'!$B$2:$B$653,A179,'02d_AI_Accelerator_Power'!$C$2:$C$653,B179,'02d_AI_Accelerator_Power'!$D$2:$D$653,C179,'02d_AI_Accelerator_Power'!$G$2:$G$653,"h200_reference")/I179,0.325)</f>
        <v/>
      </c>
      <c r="E179" s="6">
        <f>IF(I179&gt;0,SUMIFS('02d_AI_Accelerator_Power'!$J$2:$J$653,'02d_AI_Accelerator_Power'!$B$2:$B$653,A179,'02d_AI_Accelerator_Power'!$C$2:$C$653,B179,'02d_AI_Accelerator_Power'!$D$2:$D$653,C179,'02d_AI_Accelerator_Power'!$G$2:$G$653,"b200_reference")/I179,0.375)</f>
        <v/>
      </c>
      <c r="F179" s="6">
        <f>IF(I179&gt;0,SUMIFS('02d_AI_Accelerator_Power'!$J$2:$J$653,'02d_AI_Accelerator_Power'!$B$2:$B$653,A179,'02d_AI_Accelerator_Power'!$C$2:$C$653,B179,'02d_AI_Accelerator_Power'!$D$2:$D$653,C179,'02d_AI_Accelerator_Power'!$G$2:$G$653,"gb200_reference")/I179,0.3)</f>
        <v/>
      </c>
      <c r="G179" s="6">
        <f>IF(I179&gt;0,SUMIFS('02d_AI_Accelerator_Power'!$J$2:$J$653,'02d_AI_Accelerator_Power'!$B$2:$B$653,A179,'02d_AI_Accelerator_Power'!$C$2:$C$653,B179,'02d_AI_Accelerator_Power'!$D$2:$D$653,C179,'02d_AI_Accelerator_Power'!$G$2:$G$653,"purpose_or_unbenchmarked")/I179,0.0)</f>
        <v/>
      </c>
      <c r="H179" s="6">
        <f>SUM(D179:G179)</f>
        <v/>
      </c>
      <c r="I179" s="28">
        <f>SUMIFS('02d_AI_Accelerator_Power'!$J$2:$J$653,'02d_AI_Accelerator_Power'!$B$2:$B$653,A179,'02d_AI_Accelerator_Power'!$C$2:$C$653,B179,'02d_AI_Accelerator_Power'!$D$2:$D$653,C179)</f>
        <v/>
      </c>
      <c r="J179" s="6">
        <f>IF(I179&gt;0,SUMIFS('02d_AI_Accelerator_Power'!$J$2:$J$653,'02d_AI_Accelerator_Power'!$B$2:$B$653,A179,'02d_AI_Accelerator_Power'!$C$2:$C$653,B179,'02d_AI_Accelerator_Power'!$D$2:$D$653,C179,'02d_AI_Accelerator_Power'!$F$2:$F$653,"R200/R300 future")/I179,0)</f>
        <v/>
      </c>
      <c r="K179" s="6">
        <f>IF(I179&gt;0,SUMIFS('02d_AI_Accelerator_Power'!$J$2:$J$653,'02d_AI_Accelerator_Power'!$B$2:$B$653,A179,'02d_AI_Accelerator_Power'!$C$2:$C$653,B179,'02d_AI_Accelerator_Power'!$D$2:$D$653,C179,'02d_AI_Accelerator_Power'!$F$2:$F$653,"TPU")/I179,0)</f>
        <v/>
      </c>
      <c r="L179" s="6">
        <f>IF(I179&gt;0,SUMIFS('02d_AI_Accelerator_Power'!$J$2:$J$653,'02d_AI_Accelerator_Power'!$B$2:$B$653,A179,'02d_AI_Accelerator_Power'!$C$2:$C$653,B179,'02d_AI_Accelerator_Power'!$D$2:$D$653,C179,'02d_AI_Accelerator_Power'!$F$2:$F$653,"Trainium")/I179,0)</f>
        <v/>
      </c>
      <c r="M179" s="6">
        <f>IF(I179&gt;0,SUMIFS('02d_AI_Accelerator_Power'!$J$2:$J$653,'02d_AI_Accelerator_Power'!$B$2:$B$653,A179,'02d_AI_Accelerator_Power'!$C$2:$C$653,B179,'02d_AI_Accelerator_Power'!$D$2:$D$653,C179,'02d_AI_Accelerator_Power'!$F$2:$F$653,"Maia")/I179,0)</f>
        <v/>
      </c>
      <c r="N179" s="6">
        <f>IF(I179&gt;0,SUMIFS('02d_AI_Accelerator_Power'!$J$2:$J$653,'02d_AI_Accelerator_Power'!$B$2:$B$653,A179,'02d_AI_Accelerator_Power'!$C$2:$C$653,B179,'02d_AI_Accelerator_Power'!$D$2:$D$653,C179,'02d_AI_Accelerator_Power'!$F$2:$F$653,"MTIA")/I179,0)</f>
        <v/>
      </c>
      <c r="O179" s="6">
        <f>IF(I179&gt;0,SUMIFS('02d_AI_Accelerator_Power'!$J$2:$J$653,'02d_AI_Accelerator_Power'!$B$2:$B$653,A179,'02d_AI_Accelerator_Power'!$C$2:$C$653,B179,'02d_AI_Accelerator_Power'!$D$2:$D$653,C179,'02d_AI_Accelerator_Power'!$F$2:$F$653,"Other / unknown accelerator")/I179,0)</f>
        <v/>
      </c>
      <c r="P179" s="3" t="inlineStr">
        <is>
          <t>CSP contract normalized: company inference MW * (CSP total MW * AI contract share * inference share) / company contract inference weight, then multiplied by CSP accelerator rows.</t>
        </is>
      </c>
      <c r="Q179" s="3" t="inlineStr">
        <is>
          <t>csp_contract_share_x_csp_accelerator_mix</t>
        </is>
      </c>
      <c r="R179" s="3" t="inlineStr">
        <is>
          <t>Edit 02a CSP contract allocation, 02b CSP accelerator mix, or 02x accelerator catalog; 03_Calculation reads D:G from this sheet.</t>
        </is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6">
        <f>IF(I180&gt;0,SUMIFS('02d_AI_Accelerator_Power'!$J$2:$J$653,'02d_AI_Accelerator_Power'!$B$2:$B$653,A180,'02d_AI_Accelerator_Power'!$C$2:$C$653,B180,'02d_AI_Accelerator_Power'!$D$2:$D$653,C180,'02d_AI_Accelerator_Power'!$G$2:$G$653,"h200_reference")/I180,0.213)</f>
        <v/>
      </c>
      <c r="E180" s="6">
        <f>IF(I180&gt;0,SUMIFS('02d_AI_Accelerator_Power'!$J$2:$J$653,'02d_AI_Accelerator_Power'!$B$2:$B$653,A180,'02d_AI_Accelerator_Power'!$C$2:$C$653,B180,'02d_AI_Accelerator_Power'!$D$2:$D$653,C180,'02d_AI_Accelerator_Power'!$G$2:$G$653,"b200_reference")/I180,0.362)</f>
        <v/>
      </c>
      <c r="F180" s="6">
        <f>IF(I180&gt;0,SUMIFS('02d_AI_Accelerator_Power'!$J$2:$J$653,'02d_AI_Accelerator_Power'!$B$2:$B$653,A180,'02d_AI_Accelerator_Power'!$C$2:$C$653,B180,'02d_AI_Accelerator_Power'!$D$2:$D$653,C180,'02d_AI_Accelerator_Power'!$G$2:$G$653,"gb200_reference")/I180,0.425)</f>
        <v/>
      </c>
      <c r="G180" s="6">
        <f>IF(I180&gt;0,SUMIFS('02d_AI_Accelerator_Power'!$J$2:$J$653,'02d_AI_Accelerator_Power'!$B$2:$B$653,A180,'02d_AI_Accelerator_Power'!$C$2:$C$653,B180,'02d_AI_Accelerator_Power'!$D$2:$D$653,C180,'02d_AI_Accelerator_Power'!$G$2:$G$653,"purpose_or_unbenchmarked")/I180,0.0)</f>
        <v/>
      </c>
      <c r="H180" s="6">
        <f>SUM(D180:G180)</f>
        <v/>
      </c>
      <c r="I180" s="28">
        <f>SUMIFS('02d_AI_Accelerator_Power'!$J$2:$J$653,'02d_AI_Accelerator_Power'!$B$2:$B$653,A180,'02d_AI_Accelerator_Power'!$C$2:$C$653,B180,'02d_AI_Accelerator_Power'!$D$2:$D$653,C180)</f>
        <v/>
      </c>
      <c r="J180" s="6">
        <f>IF(I180&gt;0,SUMIFS('02d_AI_Accelerator_Power'!$J$2:$J$653,'02d_AI_Accelerator_Power'!$B$2:$B$653,A180,'02d_AI_Accelerator_Power'!$C$2:$C$653,B180,'02d_AI_Accelerator_Power'!$D$2:$D$653,C180,'02d_AI_Accelerator_Power'!$F$2:$F$653,"R200/R300 future")/I180,0)</f>
        <v/>
      </c>
      <c r="K180" s="6">
        <f>IF(I180&gt;0,SUMIFS('02d_AI_Accelerator_Power'!$J$2:$J$653,'02d_AI_Accelerator_Power'!$B$2:$B$653,A180,'02d_AI_Accelerator_Power'!$C$2:$C$653,B180,'02d_AI_Accelerator_Power'!$D$2:$D$653,C180,'02d_AI_Accelerator_Power'!$F$2:$F$653,"TPU")/I180,0)</f>
        <v/>
      </c>
      <c r="L180" s="6">
        <f>IF(I180&gt;0,SUMIFS('02d_AI_Accelerator_Power'!$J$2:$J$653,'02d_AI_Accelerator_Power'!$B$2:$B$653,A180,'02d_AI_Accelerator_Power'!$C$2:$C$653,B180,'02d_AI_Accelerator_Power'!$D$2:$D$653,C180,'02d_AI_Accelerator_Power'!$F$2:$F$653,"Trainium")/I180,0)</f>
        <v/>
      </c>
      <c r="M180" s="6">
        <f>IF(I180&gt;0,SUMIFS('02d_AI_Accelerator_Power'!$J$2:$J$653,'02d_AI_Accelerator_Power'!$B$2:$B$653,A180,'02d_AI_Accelerator_Power'!$C$2:$C$653,B180,'02d_AI_Accelerator_Power'!$D$2:$D$653,C180,'02d_AI_Accelerator_Power'!$F$2:$F$653,"Maia")/I180,0)</f>
        <v/>
      </c>
      <c r="N180" s="6">
        <f>IF(I180&gt;0,SUMIFS('02d_AI_Accelerator_Power'!$J$2:$J$653,'02d_AI_Accelerator_Power'!$B$2:$B$653,A180,'02d_AI_Accelerator_Power'!$C$2:$C$653,B180,'02d_AI_Accelerator_Power'!$D$2:$D$653,C180,'02d_AI_Accelerator_Power'!$F$2:$F$653,"MTIA")/I180,0)</f>
        <v/>
      </c>
      <c r="O180" s="6">
        <f>IF(I180&gt;0,SUMIFS('02d_AI_Accelerator_Power'!$J$2:$J$653,'02d_AI_Accelerator_Power'!$B$2:$B$653,A180,'02d_AI_Accelerator_Power'!$C$2:$C$653,B180,'02d_AI_Accelerator_Power'!$D$2:$D$653,C180,'02d_AI_Accelerator_Power'!$F$2:$F$653,"Other / unknown accelerator")/I180,0)</f>
        <v/>
      </c>
      <c r="P180" s="3" t="inlineStr">
        <is>
          <t>CSP contract normalized: company inference MW * (CSP total MW * AI contract share * inference share) / company contract inference weight, then multiplied by CSP accelerator rows.</t>
        </is>
      </c>
      <c r="Q180" s="3" t="inlineStr">
        <is>
          <t>csp_contract_share_x_csp_accelerator_mix</t>
        </is>
      </c>
      <c r="R180" s="3" t="inlineStr">
        <is>
          <t>Edit 02a CSP contract allocation, 02b CSP accelerator mix, or 02x accelerator catalog; 03_Calculation reads D:G from this sheet.</t>
        </is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6">
        <f>IF(I181&gt;0,SUMIFS('02d_AI_Accelerator_Power'!$J$2:$J$653,'02d_AI_Accelerator_Power'!$B$2:$B$653,A181,'02d_AI_Accelerator_Power'!$C$2:$C$653,B181,'02d_AI_Accelerator_Power'!$D$2:$D$653,C181,'02d_AI_Accelerator_Power'!$G$2:$G$653,"h200_reference")/I181,0.1)</f>
        <v/>
      </c>
      <c r="E181" s="6">
        <f>IF(I181&gt;0,SUMIFS('02d_AI_Accelerator_Power'!$J$2:$J$653,'02d_AI_Accelerator_Power'!$B$2:$B$653,A181,'02d_AI_Accelerator_Power'!$C$2:$C$653,B181,'02d_AI_Accelerator_Power'!$D$2:$D$653,C181,'02d_AI_Accelerator_Power'!$G$2:$G$653,"b200_reference")/I181,0.35)</f>
        <v/>
      </c>
      <c r="F181" s="6">
        <f>IF(I181&gt;0,SUMIFS('02d_AI_Accelerator_Power'!$J$2:$J$653,'02d_AI_Accelerator_Power'!$B$2:$B$653,A181,'02d_AI_Accelerator_Power'!$C$2:$C$653,B181,'02d_AI_Accelerator_Power'!$D$2:$D$653,C181,'02d_AI_Accelerator_Power'!$G$2:$G$653,"gb200_reference")/I181,0.55)</f>
        <v/>
      </c>
      <c r="G181" s="6">
        <f>IF(I181&gt;0,SUMIFS('02d_AI_Accelerator_Power'!$J$2:$J$653,'02d_AI_Accelerator_Power'!$B$2:$B$653,A181,'02d_AI_Accelerator_Power'!$C$2:$C$653,B181,'02d_AI_Accelerator_Power'!$D$2:$D$653,C181,'02d_AI_Accelerator_Power'!$G$2:$G$653,"purpose_or_unbenchmarked")/I181,0.0)</f>
        <v/>
      </c>
      <c r="H181" s="6">
        <f>SUM(D181:G181)</f>
        <v/>
      </c>
      <c r="I181" s="28">
        <f>SUMIFS('02d_AI_Accelerator_Power'!$J$2:$J$653,'02d_AI_Accelerator_Power'!$B$2:$B$653,A181,'02d_AI_Accelerator_Power'!$C$2:$C$653,B181,'02d_AI_Accelerator_Power'!$D$2:$D$653,C181)</f>
        <v/>
      </c>
      <c r="J181" s="6">
        <f>IF(I181&gt;0,SUMIFS('02d_AI_Accelerator_Power'!$J$2:$J$653,'02d_AI_Accelerator_Power'!$B$2:$B$653,A181,'02d_AI_Accelerator_Power'!$C$2:$C$653,B181,'02d_AI_Accelerator_Power'!$D$2:$D$653,C181,'02d_AI_Accelerator_Power'!$F$2:$F$653,"R200/R300 future")/I181,0)</f>
        <v/>
      </c>
      <c r="K181" s="6">
        <f>IF(I181&gt;0,SUMIFS('02d_AI_Accelerator_Power'!$J$2:$J$653,'02d_AI_Accelerator_Power'!$B$2:$B$653,A181,'02d_AI_Accelerator_Power'!$C$2:$C$653,B181,'02d_AI_Accelerator_Power'!$D$2:$D$653,C181,'02d_AI_Accelerator_Power'!$F$2:$F$653,"TPU")/I181,0)</f>
        <v/>
      </c>
      <c r="L181" s="6">
        <f>IF(I181&gt;0,SUMIFS('02d_AI_Accelerator_Power'!$J$2:$J$653,'02d_AI_Accelerator_Power'!$B$2:$B$653,A181,'02d_AI_Accelerator_Power'!$C$2:$C$653,B181,'02d_AI_Accelerator_Power'!$D$2:$D$653,C181,'02d_AI_Accelerator_Power'!$F$2:$F$653,"Trainium")/I181,0)</f>
        <v/>
      </c>
      <c r="M181" s="6">
        <f>IF(I181&gt;0,SUMIFS('02d_AI_Accelerator_Power'!$J$2:$J$653,'02d_AI_Accelerator_Power'!$B$2:$B$653,A181,'02d_AI_Accelerator_Power'!$C$2:$C$653,B181,'02d_AI_Accelerator_Power'!$D$2:$D$653,C181,'02d_AI_Accelerator_Power'!$F$2:$F$653,"Maia")/I181,0)</f>
        <v/>
      </c>
      <c r="N181" s="6">
        <f>IF(I181&gt;0,SUMIFS('02d_AI_Accelerator_Power'!$J$2:$J$653,'02d_AI_Accelerator_Power'!$B$2:$B$653,A181,'02d_AI_Accelerator_Power'!$C$2:$C$653,B181,'02d_AI_Accelerator_Power'!$D$2:$D$653,C181,'02d_AI_Accelerator_Power'!$F$2:$F$653,"MTIA")/I181,0)</f>
        <v/>
      </c>
      <c r="O181" s="6">
        <f>IF(I181&gt;0,SUMIFS('02d_AI_Accelerator_Power'!$J$2:$J$653,'02d_AI_Accelerator_Power'!$B$2:$B$653,A181,'02d_AI_Accelerator_Power'!$C$2:$C$653,B181,'02d_AI_Accelerator_Power'!$D$2:$D$653,C181,'02d_AI_Accelerator_Power'!$F$2:$F$653,"Other / unknown accelerator")/I181,0)</f>
        <v/>
      </c>
      <c r="P181" s="3" t="inlineStr">
        <is>
          <t>CSP contract normalized: company inference MW * (CSP total MW * AI contract share * inference share) / company contract inference weight, then multiplied by CSP accelerator rows.</t>
        </is>
      </c>
      <c r="Q181" s="3" t="inlineStr">
        <is>
          <t>csp_contract_share_x_csp_accelerator_mix</t>
        </is>
      </c>
      <c r="R181" s="3" t="inlineStr">
        <is>
          <t>Edit 02a CSP contract allocation, 02b CSP accelerator mix, or 02x accelerator catalog; 03_Calculation reads D:G from this sheet.</t>
        </is>
      </c>
    </row>
  </sheetData>
  <autoFilter ref="A1:R18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8" customWidth="1" min="25" max="25"/>
    <col width="32" customWidth="1" min="26" max="26"/>
    <col width="20" customWidth="1" min="27" max="27"/>
    <col width="26" customWidth="1" min="28" max="28"/>
    <col width="27" customWidth="1" min="29" max="29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h200_workload_avg_tps_per_mw</t>
        </is>
      </c>
      <c r="S1" s="4" t="inlineStr">
        <is>
          <t>b200_workload_avg_tps_per_mw</t>
        </is>
      </c>
      <c r="T1" s="4" t="inlineStr">
        <is>
          <t>gb200_workload_avg_tps_per_mw</t>
        </is>
      </c>
      <c r="U1" s="4" t="inlineStr">
        <is>
          <t>purpose_workload_avg_tps_per_mw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fleet_reference_tps_per_mw</t>
        </is>
      </c>
      <c r="Z1" s="4" t="inlineStr">
        <is>
          <t>commercial_workload_fit_factor</t>
        </is>
      </c>
      <c r="AA1" s="4" t="inlineStr">
        <is>
          <t>serving_tps_per_mw</t>
        </is>
      </c>
      <c r="AB1" s="4" t="inlineStr">
        <is>
          <t>inference_tokens_per_day</t>
        </is>
      </c>
      <c r="AC1" s="4" t="inlineStr">
        <is>
          <t>inference_tokens_per_year</t>
        </is>
      </c>
    </row>
    <row r="2">
      <c r="A2" s="5">
        <f>'02_Inputs'!A2</f>
        <v/>
      </c>
      <c r="B2" s="5">
        <f>'02_Inputs'!B2</f>
        <v/>
      </c>
      <c r="C2" s="5">
        <f>'02_Inputs'!C2</f>
        <v/>
      </c>
      <c r="D2" s="29">
        <f>'02_Inputs'!D2</f>
        <v/>
      </c>
      <c r="E2" s="6">
        <f>'02_Inputs'!E2</f>
        <v/>
      </c>
      <c r="F2" s="29">
        <f>D2*E2</f>
        <v/>
      </c>
      <c r="G2" s="5">
        <f>'02_Inputs'!F2</f>
        <v/>
      </c>
      <c r="H2" s="29">
        <f>F2/G2</f>
        <v/>
      </c>
      <c r="I2" s="6">
        <f>'02_Inputs'!G2</f>
        <v/>
      </c>
      <c r="J2" s="29">
        <f>H2*I2</f>
        <v/>
      </c>
      <c r="K2" s="6">
        <f>'02_Inputs'!H2</f>
        <v/>
      </c>
      <c r="L2" s="29">
        <f>J2*K2</f>
        <v/>
      </c>
      <c r="M2" s="29">
        <f>J2*(1-K2)</f>
        <v/>
      </c>
      <c r="N2" s="6">
        <f>'02_GPU_Mix_Input'!D2</f>
        <v/>
      </c>
      <c r="O2" s="6">
        <f>'02_GPU_Mix_Input'!E2</f>
        <v/>
      </c>
      <c r="P2" s="6">
        <f>'02_GPU_Mix_Input'!F2</f>
        <v/>
      </c>
      <c r="Q2" s="6">
        <f>'02_GPU_Mix_Input'!G2</f>
        <v/>
      </c>
      <c r="R2" s="7">
        <f>INDEX('01_Benchmark_Input'!$K$2:$K$10,MATCH(B2,'01_Benchmark_Input'!$A$2:$A$10,0))</f>
        <v/>
      </c>
      <c r="S2" s="7">
        <f>INDEX('01_Benchmark_Input'!$P$2:$P$10,MATCH(B2,'01_Benchmark_Input'!$A$2:$A$10,0))</f>
        <v/>
      </c>
      <c r="T2" s="7">
        <f>INDEX('01_Benchmark_Input'!$U$2:$U$10,MATCH(B2,'01_Benchmark_Input'!$A$2:$A$10,0))</f>
        <v/>
      </c>
      <c r="U2" s="7">
        <f>INDEX('01_Benchmark_Input'!$Z$2:$Z$10,MATCH(B2,'01_Benchmark_Input'!$A$2:$A$10,0))</f>
        <v/>
      </c>
      <c r="V2" s="6">
        <f>INDEX('01_Benchmark_Input'!$D$2:$D$10,MATCH(B2,'01_Benchmark_Input'!$A$2:$A$10,0))</f>
        <v/>
      </c>
      <c r="W2" s="6">
        <f>INDEX('01_Benchmark_Input'!$E$2:$E$10,MATCH(B2,'01_Benchmark_Input'!$A$2:$A$10,0))</f>
        <v/>
      </c>
      <c r="X2" s="6">
        <f>INDEX('01_Benchmark_Input'!$F$2:$F$10,MATCH(B2,'01_Benchmark_Input'!$A$2:$A$10,0))</f>
        <v/>
      </c>
      <c r="Y2" s="7">
        <f>N2*R2+O2*S2+P2*T2+Q2*U2</f>
        <v/>
      </c>
      <c r="Z2" s="6">
        <f>'02_Inputs'!K2</f>
        <v/>
      </c>
      <c r="AA2" s="7">
        <f>Y2*Z2</f>
        <v/>
      </c>
      <c r="AB2" s="5">
        <f>L2*1000*AA2*86400</f>
        <v/>
      </c>
      <c r="AC2" s="5">
        <f>AB2*365</f>
        <v/>
      </c>
    </row>
    <row r="3">
      <c r="A3" s="5">
        <f>'02_Inputs'!A3</f>
        <v/>
      </c>
      <c r="B3" s="5">
        <f>'02_Inputs'!B3</f>
        <v/>
      </c>
      <c r="C3" s="5">
        <f>'02_Inputs'!C3</f>
        <v/>
      </c>
      <c r="D3" s="29">
        <f>'02_Inputs'!D3</f>
        <v/>
      </c>
      <c r="E3" s="6">
        <f>'02_Inputs'!E3</f>
        <v/>
      </c>
      <c r="F3" s="29">
        <f>D3*E3</f>
        <v/>
      </c>
      <c r="G3" s="5">
        <f>'02_Inputs'!F3</f>
        <v/>
      </c>
      <c r="H3" s="29">
        <f>F3/G3</f>
        <v/>
      </c>
      <c r="I3" s="6">
        <f>'02_Inputs'!G3</f>
        <v/>
      </c>
      <c r="J3" s="29">
        <f>H3*I3</f>
        <v/>
      </c>
      <c r="K3" s="6">
        <f>'02_Inputs'!H3</f>
        <v/>
      </c>
      <c r="L3" s="29">
        <f>J3*K3</f>
        <v/>
      </c>
      <c r="M3" s="29">
        <f>J3*(1-K3)</f>
        <v/>
      </c>
      <c r="N3" s="6">
        <f>'02_GPU_Mix_Input'!D3</f>
        <v/>
      </c>
      <c r="O3" s="6">
        <f>'02_GPU_Mix_Input'!E3</f>
        <v/>
      </c>
      <c r="P3" s="6">
        <f>'02_GPU_Mix_Input'!F3</f>
        <v/>
      </c>
      <c r="Q3" s="6">
        <f>'02_GPU_Mix_Input'!G3</f>
        <v/>
      </c>
      <c r="R3" s="7">
        <f>INDEX('01_Benchmark_Input'!$K$2:$K$10,MATCH(B3,'01_Benchmark_Input'!$A$2:$A$10,0))</f>
        <v/>
      </c>
      <c r="S3" s="7">
        <f>INDEX('01_Benchmark_Input'!$P$2:$P$10,MATCH(B3,'01_Benchmark_Input'!$A$2:$A$10,0))</f>
        <v/>
      </c>
      <c r="T3" s="7">
        <f>INDEX('01_Benchmark_Input'!$U$2:$U$10,MATCH(B3,'01_Benchmark_Input'!$A$2:$A$10,0))</f>
        <v/>
      </c>
      <c r="U3" s="7">
        <f>INDEX('01_Benchmark_Input'!$Z$2:$Z$10,MATCH(B3,'01_Benchmark_Input'!$A$2:$A$10,0))</f>
        <v/>
      </c>
      <c r="V3" s="6">
        <f>INDEX('01_Benchmark_Input'!$D$2:$D$10,MATCH(B3,'01_Benchmark_Input'!$A$2:$A$10,0))</f>
        <v/>
      </c>
      <c r="W3" s="6">
        <f>INDEX('01_Benchmark_Input'!$E$2:$E$10,MATCH(B3,'01_Benchmark_Input'!$A$2:$A$10,0))</f>
        <v/>
      </c>
      <c r="X3" s="6">
        <f>INDEX('01_Benchmark_Input'!$F$2:$F$10,MATCH(B3,'01_Benchmark_Input'!$A$2:$A$10,0))</f>
        <v/>
      </c>
      <c r="Y3" s="7">
        <f>N3*R3+O3*S3+P3*T3+Q3*U3</f>
        <v/>
      </c>
      <c r="Z3" s="6">
        <f>'02_Inputs'!K3</f>
        <v/>
      </c>
      <c r="AA3" s="7">
        <f>Y3*Z3</f>
        <v/>
      </c>
      <c r="AB3" s="5">
        <f>L3*1000*AA3*86400</f>
        <v/>
      </c>
      <c r="AC3" s="5">
        <f>AB3*365</f>
        <v/>
      </c>
    </row>
    <row r="4">
      <c r="A4" s="5">
        <f>'02_Inputs'!A4</f>
        <v/>
      </c>
      <c r="B4" s="5">
        <f>'02_Inputs'!B4</f>
        <v/>
      </c>
      <c r="C4" s="5">
        <f>'02_Inputs'!C4</f>
        <v/>
      </c>
      <c r="D4" s="29">
        <f>'02_Inputs'!D4</f>
        <v/>
      </c>
      <c r="E4" s="6">
        <f>'02_Inputs'!E4</f>
        <v/>
      </c>
      <c r="F4" s="29">
        <f>D4*E4</f>
        <v/>
      </c>
      <c r="G4" s="5">
        <f>'02_Inputs'!F4</f>
        <v/>
      </c>
      <c r="H4" s="29">
        <f>F4/G4</f>
        <v/>
      </c>
      <c r="I4" s="6">
        <f>'02_Inputs'!G4</f>
        <v/>
      </c>
      <c r="J4" s="29">
        <f>H4*I4</f>
        <v/>
      </c>
      <c r="K4" s="6">
        <f>'02_Inputs'!H4</f>
        <v/>
      </c>
      <c r="L4" s="29">
        <f>J4*K4</f>
        <v/>
      </c>
      <c r="M4" s="29">
        <f>J4*(1-K4)</f>
        <v/>
      </c>
      <c r="N4" s="6">
        <f>'02_GPU_Mix_Input'!D4</f>
        <v/>
      </c>
      <c r="O4" s="6">
        <f>'02_GPU_Mix_Input'!E4</f>
        <v/>
      </c>
      <c r="P4" s="6">
        <f>'02_GPU_Mix_Input'!F4</f>
        <v/>
      </c>
      <c r="Q4" s="6">
        <f>'02_GPU_Mix_Input'!G4</f>
        <v/>
      </c>
      <c r="R4" s="7">
        <f>INDEX('01_Benchmark_Input'!$K$2:$K$10,MATCH(B4,'01_Benchmark_Input'!$A$2:$A$10,0))</f>
        <v/>
      </c>
      <c r="S4" s="7">
        <f>INDEX('01_Benchmark_Input'!$P$2:$P$10,MATCH(B4,'01_Benchmark_Input'!$A$2:$A$10,0))</f>
        <v/>
      </c>
      <c r="T4" s="7">
        <f>INDEX('01_Benchmark_Input'!$U$2:$U$10,MATCH(B4,'01_Benchmark_Input'!$A$2:$A$10,0))</f>
        <v/>
      </c>
      <c r="U4" s="7">
        <f>INDEX('01_Benchmark_Input'!$Z$2:$Z$10,MATCH(B4,'01_Benchmark_Input'!$A$2:$A$10,0))</f>
        <v/>
      </c>
      <c r="V4" s="6">
        <f>INDEX('01_Benchmark_Input'!$D$2:$D$10,MATCH(B4,'01_Benchmark_Input'!$A$2:$A$10,0))</f>
        <v/>
      </c>
      <c r="W4" s="6">
        <f>INDEX('01_Benchmark_Input'!$E$2:$E$10,MATCH(B4,'01_Benchmark_Input'!$A$2:$A$10,0))</f>
        <v/>
      </c>
      <c r="X4" s="6">
        <f>INDEX('01_Benchmark_Input'!$F$2:$F$10,MATCH(B4,'01_Benchmark_Input'!$A$2:$A$10,0))</f>
        <v/>
      </c>
      <c r="Y4" s="7">
        <f>N4*R4+O4*S4+P4*T4+Q4*U4</f>
        <v/>
      </c>
      <c r="Z4" s="6">
        <f>'02_Inputs'!K4</f>
        <v/>
      </c>
      <c r="AA4" s="7">
        <f>Y4*Z4</f>
        <v/>
      </c>
      <c r="AB4" s="5">
        <f>L4*1000*AA4*86400</f>
        <v/>
      </c>
      <c r="AC4" s="5">
        <f>AB4*365</f>
        <v/>
      </c>
    </row>
    <row r="5">
      <c r="A5" s="5">
        <f>'02_Inputs'!A5</f>
        <v/>
      </c>
      <c r="B5" s="5">
        <f>'02_Inputs'!B5</f>
        <v/>
      </c>
      <c r="C5" s="5">
        <f>'02_Inputs'!C5</f>
        <v/>
      </c>
      <c r="D5" s="29">
        <f>'02_Inputs'!D5</f>
        <v/>
      </c>
      <c r="E5" s="6">
        <f>'02_Inputs'!E5</f>
        <v/>
      </c>
      <c r="F5" s="29">
        <f>D5*E5</f>
        <v/>
      </c>
      <c r="G5" s="5">
        <f>'02_Inputs'!F5</f>
        <v/>
      </c>
      <c r="H5" s="29">
        <f>F5/G5</f>
        <v/>
      </c>
      <c r="I5" s="6">
        <f>'02_Inputs'!G5</f>
        <v/>
      </c>
      <c r="J5" s="29">
        <f>H5*I5</f>
        <v/>
      </c>
      <c r="K5" s="6">
        <f>'02_Inputs'!H5</f>
        <v/>
      </c>
      <c r="L5" s="29">
        <f>J5*K5</f>
        <v/>
      </c>
      <c r="M5" s="29">
        <f>J5*(1-K5)</f>
        <v/>
      </c>
      <c r="N5" s="6">
        <f>'02_GPU_Mix_Input'!D5</f>
        <v/>
      </c>
      <c r="O5" s="6">
        <f>'02_GPU_Mix_Input'!E5</f>
        <v/>
      </c>
      <c r="P5" s="6">
        <f>'02_GPU_Mix_Input'!F5</f>
        <v/>
      </c>
      <c r="Q5" s="6">
        <f>'02_GPU_Mix_Input'!G5</f>
        <v/>
      </c>
      <c r="R5" s="7">
        <f>INDEX('01_Benchmark_Input'!$K$2:$K$10,MATCH(B5,'01_Benchmark_Input'!$A$2:$A$10,0))</f>
        <v/>
      </c>
      <c r="S5" s="7">
        <f>INDEX('01_Benchmark_Input'!$P$2:$P$10,MATCH(B5,'01_Benchmark_Input'!$A$2:$A$10,0))</f>
        <v/>
      </c>
      <c r="T5" s="7">
        <f>INDEX('01_Benchmark_Input'!$U$2:$U$10,MATCH(B5,'01_Benchmark_Input'!$A$2:$A$10,0))</f>
        <v/>
      </c>
      <c r="U5" s="7">
        <f>INDEX('01_Benchmark_Input'!$Z$2:$Z$10,MATCH(B5,'01_Benchmark_Input'!$A$2:$A$10,0))</f>
        <v/>
      </c>
      <c r="V5" s="6">
        <f>INDEX('01_Benchmark_Input'!$D$2:$D$10,MATCH(B5,'01_Benchmark_Input'!$A$2:$A$10,0))</f>
        <v/>
      </c>
      <c r="W5" s="6">
        <f>INDEX('01_Benchmark_Input'!$E$2:$E$10,MATCH(B5,'01_Benchmark_Input'!$A$2:$A$10,0))</f>
        <v/>
      </c>
      <c r="X5" s="6">
        <f>INDEX('01_Benchmark_Input'!$F$2:$F$10,MATCH(B5,'01_Benchmark_Input'!$A$2:$A$10,0))</f>
        <v/>
      </c>
      <c r="Y5" s="7">
        <f>N5*R5+O5*S5+P5*T5+Q5*U5</f>
        <v/>
      </c>
      <c r="Z5" s="6">
        <f>'02_Inputs'!K5</f>
        <v/>
      </c>
      <c r="AA5" s="7">
        <f>Y5*Z5</f>
        <v/>
      </c>
      <c r="AB5" s="5">
        <f>L5*1000*AA5*86400</f>
        <v/>
      </c>
      <c r="AC5" s="5">
        <f>AB5*365</f>
        <v/>
      </c>
    </row>
    <row r="6">
      <c r="A6" s="5">
        <f>'02_Inputs'!A6</f>
        <v/>
      </c>
      <c r="B6" s="5">
        <f>'02_Inputs'!B6</f>
        <v/>
      </c>
      <c r="C6" s="5">
        <f>'02_Inputs'!C6</f>
        <v/>
      </c>
      <c r="D6" s="29">
        <f>'02_Inputs'!D6</f>
        <v/>
      </c>
      <c r="E6" s="6">
        <f>'02_Inputs'!E6</f>
        <v/>
      </c>
      <c r="F6" s="29">
        <f>D6*E6</f>
        <v/>
      </c>
      <c r="G6" s="5">
        <f>'02_Inputs'!F6</f>
        <v/>
      </c>
      <c r="H6" s="29">
        <f>F6/G6</f>
        <v/>
      </c>
      <c r="I6" s="6">
        <f>'02_Inputs'!G6</f>
        <v/>
      </c>
      <c r="J6" s="29">
        <f>H6*I6</f>
        <v/>
      </c>
      <c r="K6" s="6">
        <f>'02_Inputs'!H6</f>
        <v/>
      </c>
      <c r="L6" s="29">
        <f>J6*K6</f>
        <v/>
      </c>
      <c r="M6" s="29">
        <f>J6*(1-K6)</f>
        <v/>
      </c>
      <c r="N6" s="6">
        <f>'02_GPU_Mix_Input'!D6</f>
        <v/>
      </c>
      <c r="O6" s="6">
        <f>'02_GPU_Mix_Input'!E6</f>
        <v/>
      </c>
      <c r="P6" s="6">
        <f>'02_GPU_Mix_Input'!F6</f>
        <v/>
      </c>
      <c r="Q6" s="6">
        <f>'02_GPU_Mix_Input'!G6</f>
        <v/>
      </c>
      <c r="R6" s="7">
        <f>INDEX('01_Benchmark_Input'!$K$2:$K$10,MATCH(B6,'01_Benchmark_Input'!$A$2:$A$10,0))</f>
        <v/>
      </c>
      <c r="S6" s="7">
        <f>INDEX('01_Benchmark_Input'!$P$2:$P$10,MATCH(B6,'01_Benchmark_Input'!$A$2:$A$10,0))</f>
        <v/>
      </c>
      <c r="T6" s="7">
        <f>INDEX('01_Benchmark_Input'!$U$2:$U$10,MATCH(B6,'01_Benchmark_Input'!$A$2:$A$10,0))</f>
        <v/>
      </c>
      <c r="U6" s="7">
        <f>INDEX('01_Benchmark_Input'!$Z$2:$Z$10,MATCH(B6,'01_Benchmark_Input'!$A$2:$A$10,0))</f>
        <v/>
      </c>
      <c r="V6" s="6">
        <f>INDEX('01_Benchmark_Input'!$D$2:$D$10,MATCH(B6,'01_Benchmark_Input'!$A$2:$A$10,0))</f>
        <v/>
      </c>
      <c r="W6" s="6">
        <f>INDEX('01_Benchmark_Input'!$E$2:$E$10,MATCH(B6,'01_Benchmark_Input'!$A$2:$A$10,0))</f>
        <v/>
      </c>
      <c r="X6" s="6">
        <f>INDEX('01_Benchmark_Input'!$F$2:$F$10,MATCH(B6,'01_Benchmark_Input'!$A$2:$A$10,0))</f>
        <v/>
      </c>
      <c r="Y6" s="7">
        <f>N6*R6+O6*S6+P6*T6+Q6*U6</f>
        <v/>
      </c>
      <c r="Z6" s="6">
        <f>'02_Inputs'!K6</f>
        <v/>
      </c>
      <c r="AA6" s="7">
        <f>Y6*Z6</f>
        <v/>
      </c>
      <c r="AB6" s="5">
        <f>L6*1000*AA6*86400</f>
        <v/>
      </c>
      <c r="AC6" s="5">
        <f>AB6*365</f>
        <v/>
      </c>
    </row>
    <row r="7">
      <c r="A7" s="5">
        <f>'02_Inputs'!A7</f>
        <v/>
      </c>
      <c r="B7" s="5">
        <f>'02_Inputs'!B7</f>
        <v/>
      </c>
      <c r="C7" s="5">
        <f>'02_Inputs'!C7</f>
        <v/>
      </c>
      <c r="D7" s="29">
        <f>'02_Inputs'!D7</f>
        <v/>
      </c>
      <c r="E7" s="6">
        <f>'02_Inputs'!E7</f>
        <v/>
      </c>
      <c r="F7" s="29">
        <f>D7*E7</f>
        <v/>
      </c>
      <c r="G7" s="5">
        <f>'02_Inputs'!F7</f>
        <v/>
      </c>
      <c r="H7" s="29">
        <f>F7/G7</f>
        <v/>
      </c>
      <c r="I7" s="6">
        <f>'02_Inputs'!G7</f>
        <v/>
      </c>
      <c r="J7" s="29">
        <f>H7*I7</f>
        <v/>
      </c>
      <c r="K7" s="6">
        <f>'02_Inputs'!H7</f>
        <v/>
      </c>
      <c r="L7" s="29">
        <f>J7*K7</f>
        <v/>
      </c>
      <c r="M7" s="29">
        <f>J7*(1-K7)</f>
        <v/>
      </c>
      <c r="N7" s="6">
        <f>'02_GPU_Mix_Input'!D7</f>
        <v/>
      </c>
      <c r="O7" s="6">
        <f>'02_GPU_Mix_Input'!E7</f>
        <v/>
      </c>
      <c r="P7" s="6">
        <f>'02_GPU_Mix_Input'!F7</f>
        <v/>
      </c>
      <c r="Q7" s="6">
        <f>'02_GPU_Mix_Input'!G7</f>
        <v/>
      </c>
      <c r="R7" s="7">
        <f>INDEX('01_Benchmark_Input'!$K$2:$K$10,MATCH(B7,'01_Benchmark_Input'!$A$2:$A$10,0))</f>
        <v/>
      </c>
      <c r="S7" s="7">
        <f>INDEX('01_Benchmark_Input'!$P$2:$P$10,MATCH(B7,'01_Benchmark_Input'!$A$2:$A$10,0))</f>
        <v/>
      </c>
      <c r="T7" s="7">
        <f>INDEX('01_Benchmark_Input'!$U$2:$U$10,MATCH(B7,'01_Benchmark_Input'!$A$2:$A$10,0))</f>
        <v/>
      </c>
      <c r="U7" s="7">
        <f>INDEX('01_Benchmark_Input'!$Z$2:$Z$10,MATCH(B7,'01_Benchmark_Input'!$A$2:$A$10,0))</f>
        <v/>
      </c>
      <c r="V7" s="6">
        <f>INDEX('01_Benchmark_Input'!$D$2:$D$10,MATCH(B7,'01_Benchmark_Input'!$A$2:$A$10,0))</f>
        <v/>
      </c>
      <c r="W7" s="6">
        <f>INDEX('01_Benchmark_Input'!$E$2:$E$10,MATCH(B7,'01_Benchmark_Input'!$A$2:$A$10,0))</f>
        <v/>
      </c>
      <c r="X7" s="6">
        <f>INDEX('01_Benchmark_Input'!$F$2:$F$10,MATCH(B7,'01_Benchmark_Input'!$A$2:$A$10,0))</f>
        <v/>
      </c>
      <c r="Y7" s="7">
        <f>N7*R7+O7*S7+P7*T7+Q7*U7</f>
        <v/>
      </c>
      <c r="Z7" s="6">
        <f>'02_Inputs'!K7</f>
        <v/>
      </c>
      <c r="AA7" s="7">
        <f>Y7*Z7</f>
        <v/>
      </c>
      <c r="AB7" s="5">
        <f>L7*1000*AA7*86400</f>
        <v/>
      </c>
      <c r="AC7" s="5">
        <f>AB7*365</f>
        <v/>
      </c>
    </row>
    <row r="8">
      <c r="A8" s="5">
        <f>'02_Inputs'!A8</f>
        <v/>
      </c>
      <c r="B8" s="5">
        <f>'02_Inputs'!B8</f>
        <v/>
      </c>
      <c r="C8" s="5">
        <f>'02_Inputs'!C8</f>
        <v/>
      </c>
      <c r="D8" s="29">
        <f>'02_Inputs'!D8</f>
        <v/>
      </c>
      <c r="E8" s="6">
        <f>'02_Inputs'!E8</f>
        <v/>
      </c>
      <c r="F8" s="29">
        <f>D8*E8</f>
        <v/>
      </c>
      <c r="G8" s="5">
        <f>'02_Inputs'!F8</f>
        <v/>
      </c>
      <c r="H8" s="29">
        <f>F8/G8</f>
        <v/>
      </c>
      <c r="I8" s="6">
        <f>'02_Inputs'!G8</f>
        <v/>
      </c>
      <c r="J8" s="29">
        <f>H8*I8</f>
        <v/>
      </c>
      <c r="K8" s="6">
        <f>'02_Inputs'!H8</f>
        <v/>
      </c>
      <c r="L8" s="29">
        <f>J8*K8</f>
        <v/>
      </c>
      <c r="M8" s="29">
        <f>J8*(1-K8)</f>
        <v/>
      </c>
      <c r="N8" s="6">
        <f>'02_GPU_Mix_Input'!D8</f>
        <v/>
      </c>
      <c r="O8" s="6">
        <f>'02_GPU_Mix_Input'!E8</f>
        <v/>
      </c>
      <c r="P8" s="6">
        <f>'02_GPU_Mix_Input'!F8</f>
        <v/>
      </c>
      <c r="Q8" s="6">
        <f>'02_GPU_Mix_Input'!G8</f>
        <v/>
      </c>
      <c r="R8" s="7">
        <f>INDEX('01_Benchmark_Input'!$K$2:$K$10,MATCH(B8,'01_Benchmark_Input'!$A$2:$A$10,0))</f>
        <v/>
      </c>
      <c r="S8" s="7">
        <f>INDEX('01_Benchmark_Input'!$P$2:$P$10,MATCH(B8,'01_Benchmark_Input'!$A$2:$A$10,0))</f>
        <v/>
      </c>
      <c r="T8" s="7">
        <f>INDEX('01_Benchmark_Input'!$U$2:$U$10,MATCH(B8,'01_Benchmark_Input'!$A$2:$A$10,0))</f>
        <v/>
      </c>
      <c r="U8" s="7">
        <f>INDEX('01_Benchmark_Input'!$Z$2:$Z$10,MATCH(B8,'01_Benchmark_Input'!$A$2:$A$10,0))</f>
        <v/>
      </c>
      <c r="V8" s="6">
        <f>INDEX('01_Benchmark_Input'!$D$2:$D$10,MATCH(B8,'01_Benchmark_Input'!$A$2:$A$10,0))</f>
        <v/>
      </c>
      <c r="W8" s="6">
        <f>INDEX('01_Benchmark_Input'!$E$2:$E$10,MATCH(B8,'01_Benchmark_Input'!$A$2:$A$10,0))</f>
        <v/>
      </c>
      <c r="X8" s="6">
        <f>INDEX('01_Benchmark_Input'!$F$2:$F$10,MATCH(B8,'01_Benchmark_Input'!$A$2:$A$10,0))</f>
        <v/>
      </c>
      <c r="Y8" s="7">
        <f>N8*R8+O8*S8+P8*T8+Q8*U8</f>
        <v/>
      </c>
      <c r="Z8" s="6">
        <f>'02_Inputs'!K8</f>
        <v/>
      </c>
      <c r="AA8" s="7">
        <f>Y8*Z8</f>
        <v/>
      </c>
      <c r="AB8" s="5">
        <f>L8*1000*AA8*86400</f>
        <v/>
      </c>
      <c r="AC8" s="5">
        <f>AB8*365</f>
        <v/>
      </c>
    </row>
    <row r="9">
      <c r="A9" s="5">
        <f>'02_Inputs'!A9</f>
        <v/>
      </c>
      <c r="B9" s="5">
        <f>'02_Inputs'!B9</f>
        <v/>
      </c>
      <c r="C9" s="5">
        <f>'02_Inputs'!C9</f>
        <v/>
      </c>
      <c r="D9" s="29">
        <f>'02_Inputs'!D9</f>
        <v/>
      </c>
      <c r="E9" s="6">
        <f>'02_Inputs'!E9</f>
        <v/>
      </c>
      <c r="F9" s="29">
        <f>D9*E9</f>
        <v/>
      </c>
      <c r="G9" s="5">
        <f>'02_Inputs'!F9</f>
        <v/>
      </c>
      <c r="H9" s="29">
        <f>F9/G9</f>
        <v/>
      </c>
      <c r="I9" s="6">
        <f>'02_Inputs'!G9</f>
        <v/>
      </c>
      <c r="J9" s="29">
        <f>H9*I9</f>
        <v/>
      </c>
      <c r="K9" s="6">
        <f>'02_Inputs'!H9</f>
        <v/>
      </c>
      <c r="L9" s="29">
        <f>J9*K9</f>
        <v/>
      </c>
      <c r="M9" s="29">
        <f>J9*(1-K9)</f>
        <v/>
      </c>
      <c r="N9" s="6">
        <f>'02_GPU_Mix_Input'!D9</f>
        <v/>
      </c>
      <c r="O9" s="6">
        <f>'02_GPU_Mix_Input'!E9</f>
        <v/>
      </c>
      <c r="P9" s="6">
        <f>'02_GPU_Mix_Input'!F9</f>
        <v/>
      </c>
      <c r="Q9" s="6">
        <f>'02_GPU_Mix_Input'!G9</f>
        <v/>
      </c>
      <c r="R9" s="7">
        <f>INDEX('01_Benchmark_Input'!$K$2:$K$10,MATCH(B9,'01_Benchmark_Input'!$A$2:$A$10,0))</f>
        <v/>
      </c>
      <c r="S9" s="7">
        <f>INDEX('01_Benchmark_Input'!$P$2:$P$10,MATCH(B9,'01_Benchmark_Input'!$A$2:$A$10,0))</f>
        <v/>
      </c>
      <c r="T9" s="7">
        <f>INDEX('01_Benchmark_Input'!$U$2:$U$10,MATCH(B9,'01_Benchmark_Input'!$A$2:$A$10,0))</f>
        <v/>
      </c>
      <c r="U9" s="7">
        <f>INDEX('01_Benchmark_Input'!$Z$2:$Z$10,MATCH(B9,'01_Benchmark_Input'!$A$2:$A$10,0))</f>
        <v/>
      </c>
      <c r="V9" s="6">
        <f>INDEX('01_Benchmark_Input'!$D$2:$D$10,MATCH(B9,'01_Benchmark_Input'!$A$2:$A$10,0))</f>
        <v/>
      </c>
      <c r="W9" s="6">
        <f>INDEX('01_Benchmark_Input'!$E$2:$E$10,MATCH(B9,'01_Benchmark_Input'!$A$2:$A$10,0))</f>
        <v/>
      </c>
      <c r="X9" s="6">
        <f>INDEX('01_Benchmark_Input'!$F$2:$F$10,MATCH(B9,'01_Benchmark_Input'!$A$2:$A$10,0))</f>
        <v/>
      </c>
      <c r="Y9" s="7">
        <f>N9*R9+O9*S9+P9*T9+Q9*U9</f>
        <v/>
      </c>
      <c r="Z9" s="6">
        <f>'02_Inputs'!K9</f>
        <v/>
      </c>
      <c r="AA9" s="7">
        <f>Y9*Z9</f>
        <v/>
      </c>
      <c r="AB9" s="5">
        <f>L9*1000*AA9*86400</f>
        <v/>
      </c>
      <c r="AC9" s="5">
        <f>AB9*365</f>
        <v/>
      </c>
    </row>
    <row r="10">
      <c r="A10" s="5">
        <f>'02_Inputs'!A10</f>
        <v/>
      </c>
      <c r="B10" s="5">
        <f>'02_Inputs'!B10</f>
        <v/>
      </c>
      <c r="C10" s="5">
        <f>'02_Inputs'!C10</f>
        <v/>
      </c>
      <c r="D10" s="29">
        <f>'02_Inputs'!D10</f>
        <v/>
      </c>
      <c r="E10" s="6">
        <f>'02_Inputs'!E10</f>
        <v/>
      </c>
      <c r="F10" s="29">
        <f>D10*E10</f>
        <v/>
      </c>
      <c r="G10" s="5">
        <f>'02_Inputs'!F10</f>
        <v/>
      </c>
      <c r="H10" s="29">
        <f>F10/G10</f>
        <v/>
      </c>
      <c r="I10" s="6">
        <f>'02_Inputs'!G10</f>
        <v/>
      </c>
      <c r="J10" s="29">
        <f>H10*I10</f>
        <v/>
      </c>
      <c r="K10" s="6">
        <f>'02_Inputs'!H10</f>
        <v/>
      </c>
      <c r="L10" s="29">
        <f>J10*K10</f>
        <v/>
      </c>
      <c r="M10" s="29">
        <f>J10*(1-K10)</f>
        <v/>
      </c>
      <c r="N10" s="6">
        <f>'02_GPU_Mix_Input'!D10</f>
        <v/>
      </c>
      <c r="O10" s="6">
        <f>'02_GPU_Mix_Input'!E10</f>
        <v/>
      </c>
      <c r="P10" s="6">
        <f>'02_GPU_Mix_Input'!F10</f>
        <v/>
      </c>
      <c r="Q10" s="6">
        <f>'02_GPU_Mix_Input'!G10</f>
        <v/>
      </c>
      <c r="R10" s="7">
        <f>INDEX('01_Benchmark_Input'!$K$2:$K$10,MATCH(B10,'01_Benchmark_Input'!$A$2:$A$10,0))</f>
        <v/>
      </c>
      <c r="S10" s="7">
        <f>INDEX('01_Benchmark_Input'!$P$2:$P$10,MATCH(B10,'01_Benchmark_Input'!$A$2:$A$10,0))</f>
        <v/>
      </c>
      <c r="T10" s="7">
        <f>INDEX('01_Benchmark_Input'!$U$2:$U$10,MATCH(B10,'01_Benchmark_Input'!$A$2:$A$10,0))</f>
        <v/>
      </c>
      <c r="U10" s="7">
        <f>INDEX('01_Benchmark_Input'!$Z$2:$Z$10,MATCH(B10,'01_Benchmark_Input'!$A$2:$A$10,0))</f>
        <v/>
      </c>
      <c r="V10" s="6">
        <f>INDEX('01_Benchmark_Input'!$D$2:$D$10,MATCH(B10,'01_Benchmark_Input'!$A$2:$A$10,0))</f>
        <v/>
      </c>
      <c r="W10" s="6">
        <f>INDEX('01_Benchmark_Input'!$E$2:$E$10,MATCH(B10,'01_Benchmark_Input'!$A$2:$A$10,0))</f>
        <v/>
      </c>
      <c r="X10" s="6">
        <f>INDEX('01_Benchmark_Input'!$F$2:$F$10,MATCH(B10,'01_Benchmark_Input'!$A$2:$A$10,0))</f>
        <v/>
      </c>
      <c r="Y10" s="7">
        <f>N10*R10+O10*S10+P10*T10+Q10*U10</f>
        <v/>
      </c>
      <c r="Z10" s="6">
        <f>'02_Inputs'!K10</f>
        <v/>
      </c>
      <c r="AA10" s="7">
        <f>Y10*Z10</f>
        <v/>
      </c>
      <c r="AB10" s="5">
        <f>L10*1000*AA10*86400</f>
        <v/>
      </c>
      <c r="AC10" s="5">
        <f>AB10*365</f>
        <v/>
      </c>
    </row>
    <row r="11">
      <c r="A11" s="5">
        <f>'02_Inputs'!A11</f>
        <v/>
      </c>
      <c r="B11" s="5">
        <f>'02_Inputs'!B11</f>
        <v/>
      </c>
      <c r="C11" s="5">
        <f>'02_Inputs'!C11</f>
        <v/>
      </c>
      <c r="D11" s="29">
        <f>'02_Inputs'!D11</f>
        <v/>
      </c>
      <c r="E11" s="6">
        <f>'02_Inputs'!E11</f>
        <v/>
      </c>
      <c r="F11" s="29">
        <f>D11*E11</f>
        <v/>
      </c>
      <c r="G11" s="5">
        <f>'02_Inputs'!F11</f>
        <v/>
      </c>
      <c r="H11" s="29">
        <f>F11/G11</f>
        <v/>
      </c>
      <c r="I11" s="6">
        <f>'02_Inputs'!G11</f>
        <v/>
      </c>
      <c r="J11" s="29">
        <f>H11*I11</f>
        <v/>
      </c>
      <c r="K11" s="6">
        <f>'02_Inputs'!H11</f>
        <v/>
      </c>
      <c r="L11" s="29">
        <f>J11*K11</f>
        <v/>
      </c>
      <c r="M11" s="29">
        <f>J11*(1-K11)</f>
        <v/>
      </c>
      <c r="N11" s="6">
        <f>'02_GPU_Mix_Input'!D11</f>
        <v/>
      </c>
      <c r="O11" s="6">
        <f>'02_GPU_Mix_Input'!E11</f>
        <v/>
      </c>
      <c r="P11" s="6">
        <f>'02_GPU_Mix_Input'!F11</f>
        <v/>
      </c>
      <c r="Q11" s="6">
        <f>'02_GPU_Mix_Input'!G11</f>
        <v/>
      </c>
      <c r="R11" s="7">
        <f>INDEX('01_Benchmark_Input'!$K$2:$K$10,MATCH(B11,'01_Benchmark_Input'!$A$2:$A$10,0))</f>
        <v/>
      </c>
      <c r="S11" s="7">
        <f>INDEX('01_Benchmark_Input'!$P$2:$P$10,MATCH(B11,'01_Benchmark_Input'!$A$2:$A$10,0))</f>
        <v/>
      </c>
      <c r="T11" s="7">
        <f>INDEX('01_Benchmark_Input'!$U$2:$U$10,MATCH(B11,'01_Benchmark_Input'!$A$2:$A$10,0))</f>
        <v/>
      </c>
      <c r="U11" s="7">
        <f>INDEX('01_Benchmark_Input'!$Z$2:$Z$10,MATCH(B11,'01_Benchmark_Input'!$A$2:$A$10,0))</f>
        <v/>
      </c>
      <c r="V11" s="6">
        <f>INDEX('01_Benchmark_Input'!$D$2:$D$10,MATCH(B11,'01_Benchmark_Input'!$A$2:$A$10,0))</f>
        <v/>
      </c>
      <c r="W11" s="6">
        <f>INDEX('01_Benchmark_Input'!$E$2:$E$10,MATCH(B11,'01_Benchmark_Input'!$A$2:$A$10,0))</f>
        <v/>
      </c>
      <c r="X11" s="6">
        <f>INDEX('01_Benchmark_Input'!$F$2:$F$10,MATCH(B11,'01_Benchmark_Input'!$A$2:$A$10,0))</f>
        <v/>
      </c>
      <c r="Y11" s="7">
        <f>N11*R11+O11*S11+P11*T11+Q11*U11</f>
        <v/>
      </c>
      <c r="Z11" s="6">
        <f>'02_Inputs'!K11</f>
        <v/>
      </c>
      <c r="AA11" s="7">
        <f>Y11*Z11</f>
        <v/>
      </c>
      <c r="AB11" s="5">
        <f>L11*1000*AA11*86400</f>
        <v/>
      </c>
      <c r="AC11" s="5">
        <f>AB11*365</f>
        <v/>
      </c>
    </row>
    <row r="12">
      <c r="A12" s="5">
        <f>'02_Inputs'!A12</f>
        <v/>
      </c>
      <c r="B12" s="5">
        <f>'02_Inputs'!B12</f>
        <v/>
      </c>
      <c r="C12" s="5">
        <f>'02_Inputs'!C12</f>
        <v/>
      </c>
      <c r="D12" s="29">
        <f>'02_Inputs'!D12</f>
        <v/>
      </c>
      <c r="E12" s="6">
        <f>'02_Inputs'!E12</f>
        <v/>
      </c>
      <c r="F12" s="29">
        <f>D12*E12</f>
        <v/>
      </c>
      <c r="G12" s="5">
        <f>'02_Inputs'!F12</f>
        <v/>
      </c>
      <c r="H12" s="29">
        <f>F12/G12</f>
        <v/>
      </c>
      <c r="I12" s="6">
        <f>'02_Inputs'!G12</f>
        <v/>
      </c>
      <c r="J12" s="29">
        <f>H12*I12</f>
        <v/>
      </c>
      <c r="K12" s="6">
        <f>'02_Inputs'!H12</f>
        <v/>
      </c>
      <c r="L12" s="29">
        <f>J12*K12</f>
        <v/>
      </c>
      <c r="M12" s="29">
        <f>J12*(1-K12)</f>
        <v/>
      </c>
      <c r="N12" s="6">
        <f>'02_GPU_Mix_Input'!D12</f>
        <v/>
      </c>
      <c r="O12" s="6">
        <f>'02_GPU_Mix_Input'!E12</f>
        <v/>
      </c>
      <c r="P12" s="6">
        <f>'02_GPU_Mix_Input'!F12</f>
        <v/>
      </c>
      <c r="Q12" s="6">
        <f>'02_GPU_Mix_Input'!G12</f>
        <v/>
      </c>
      <c r="R12" s="7">
        <f>INDEX('01_Benchmark_Input'!$K$2:$K$10,MATCH(B12,'01_Benchmark_Input'!$A$2:$A$10,0))</f>
        <v/>
      </c>
      <c r="S12" s="7">
        <f>INDEX('01_Benchmark_Input'!$P$2:$P$10,MATCH(B12,'01_Benchmark_Input'!$A$2:$A$10,0))</f>
        <v/>
      </c>
      <c r="T12" s="7">
        <f>INDEX('01_Benchmark_Input'!$U$2:$U$10,MATCH(B12,'01_Benchmark_Input'!$A$2:$A$10,0))</f>
        <v/>
      </c>
      <c r="U12" s="7">
        <f>INDEX('01_Benchmark_Input'!$Z$2:$Z$10,MATCH(B12,'01_Benchmark_Input'!$A$2:$A$10,0))</f>
        <v/>
      </c>
      <c r="V12" s="6">
        <f>INDEX('01_Benchmark_Input'!$D$2:$D$10,MATCH(B12,'01_Benchmark_Input'!$A$2:$A$10,0))</f>
        <v/>
      </c>
      <c r="W12" s="6">
        <f>INDEX('01_Benchmark_Input'!$E$2:$E$10,MATCH(B12,'01_Benchmark_Input'!$A$2:$A$10,0))</f>
        <v/>
      </c>
      <c r="X12" s="6">
        <f>INDEX('01_Benchmark_Input'!$F$2:$F$10,MATCH(B12,'01_Benchmark_Input'!$A$2:$A$10,0))</f>
        <v/>
      </c>
      <c r="Y12" s="7">
        <f>N12*R12+O12*S12+P12*T12+Q12*U12</f>
        <v/>
      </c>
      <c r="Z12" s="6">
        <f>'02_Inputs'!K12</f>
        <v/>
      </c>
      <c r="AA12" s="7">
        <f>Y12*Z12</f>
        <v/>
      </c>
      <c r="AB12" s="5">
        <f>L12*1000*AA12*86400</f>
        <v/>
      </c>
      <c r="AC12" s="5">
        <f>AB12*365</f>
        <v/>
      </c>
    </row>
    <row r="13">
      <c r="A13" s="5">
        <f>'02_Inputs'!A13</f>
        <v/>
      </c>
      <c r="B13" s="5">
        <f>'02_Inputs'!B13</f>
        <v/>
      </c>
      <c r="C13" s="5">
        <f>'02_Inputs'!C13</f>
        <v/>
      </c>
      <c r="D13" s="29">
        <f>'02_Inputs'!D13</f>
        <v/>
      </c>
      <c r="E13" s="6">
        <f>'02_Inputs'!E13</f>
        <v/>
      </c>
      <c r="F13" s="29">
        <f>D13*E13</f>
        <v/>
      </c>
      <c r="G13" s="5">
        <f>'02_Inputs'!F13</f>
        <v/>
      </c>
      <c r="H13" s="29">
        <f>F13/G13</f>
        <v/>
      </c>
      <c r="I13" s="6">
        <f>'02_Inputs'!G13</f>
        <v/>
      </c>
      <c r="J13" s="29">
        <f>H13*I13</f>
        <v/>
      </c>
      <c r="K13" s="6">
        <f>'02_Inputs'!H13</f>
        <v/>
      </c>
      <c r="L13" s="29">
        <f>J13*K13</f>
        <v/>
      </c>
      <c r="M13" s="29">
        <f>J13*(1-K13)</f>
        <v/>
      </c>
      <c r="N13" s="6">
        <f>'02_GPU_Mix_Input'!D13</f>
        <v/>
      </c>
      <c r="O13" s="6">
        <f>'02_GPU_Mix_Input'!E13</f>
        <v/>
      </c>
      <c r="P13" s="6">
        <f>'02_GPU_Mix_Input'!F13</f>
        <v/>
      </c>
      <c r="Q13" s="6">
        <f>'02_GPU_Mix_Input'!G13</f>
        <v/>
      </c>
      <c r="R13" s="7">
        <f>INDEX('01_Benchmark_Input'!$K$2:$K$10,MATCH(B13,'01_Benchmark_Input'!$A$2:$A$10,0))</f>
        <v/>
      </c>
      <c r="S13" s="7">
        <f>INDEX('01_Benchmark_Input'!$P$2:$P$10,MATCH(B13,'01_Benchmark_Input'!$A$2:$A$10,0))</f>
        <v/>
      </c>
      <c r="T13" s="7">
        <f>INDEX('01_Benchmark_Input'!$U$2:$U$10,MATCH(B13,'01_Benchmark_Input'!$A$2:$A$10,0))</f>
        <v/>
      </c>
      <c r="U13" s="7">
        <f>INDEX('01_Benchmark_Input'!$Z$2:$Z$10,MATCH(B13,'01_Benchmark_Input'!$A$2:$A$10,0))</f>
        <v/>
      </c>
      <c r="V13" s="6">
        <f>INDEX('01_Benchmark_Input'!$D$2:$D$10,MATCH(B13,'01_Benchmark_Input'!$A$2:$A$10,0))</f>
        <v/>
      </c>
      <c r="W13" s="6">
        <f>INDEX('01_Benchmark_Input'!$E$2:$E$10,MATCH(B13,'01_Benchmark_Input'!$A$2:$A$10,0))</f>
        <v/>
      </c>
      <c r="X13" s="6">
        <f>INDEX('01_Benchmark_Input'!$F$2:$F$10,MATCH(B13,'01_Benchmark_Input'!$A$2:$A$10,0))</f>
        <v/>
      </c>
      <c r="Y13" s="7">
        <f>N13*R13+O13*S13+P13*T13+Q13*U13</f>
        <v/>
      </c>
      <c r="Z13" s="6">
        <f>'02_Inputs'!K13</f>
        <v/>
      </c>
      <c r="AA13" s="7">
        <f>Y13*Z13</f>
        <v/>
      </c>
      <c r="AB13" s="5">
        <f>L13*1000*AA13*86400</f>
        <v/>
      </c>
      <c r="AC13" s="5">
        <f>AB13*365</f>
        <v/>
      </c>
    </row>
    <row r="14">
      <c r="A14" s="5">
        <f>'02_Inputs'!A14</f>
        <v/>
      </c>
      <c r="B14" s="5">
        <f>'02_Inputs'!B14</f>
        <v/>
      </c>
      <c r="C14" s="5">
        <f>'02_Inputs'!C14</f>
        <v/>
      </c>
      <c r="D14" s="29">
        <f>'02_Inputs'!D14</f>
        <v/>
      </c>
      <c r="E14" s="6">
        <f>'02_Inputs'!E14</f>
        <v/>
      </c>
      <c r="F14" s="29">
        <f>D14*E14</f>
        <v/>
      </c>
      <c r="G14" s="5">
        <f>'02_Inputs'!F14</f>
        <v/>
      </c>
      <c r="H14" s="29">
        <f>F14/G14</f>
        <v/>
      </c>
      <c r="I14" s="6">
        <f>'02_Inputs'!G14</f>
        <v/>
      </c>
      <c r="J14" s="29">
        <f>H14*I14</f>
        <v/>
      </c>
      <c r="K14" s="6">
        <f>'02_Inputs'!H14</f>
        <v/>
      </c>
      <c r="L14" s="29">
        <f>J14*K14</f>
        <v/>
      </c>
      <c r="M14" s="29">
        <f>J14*(1-K14)</f>
        <v/>
      </c>
      <c r="N14" s="6">
        <f>'02_GPU_Mix_Input'!D14</f>
        <v/>
      </c>
      <c r="O14" s="6">
        <f>'02_GPU_Mix_Input'!E14</f>
        <v/>
      </c>
      <c r="P14" s="6">
        <f>'02_GPU_Mix_Input'!F14</f>
        <v/>
      </c>
      <c r="Q14" s="6">
        <f>'02_GPU_Mix_Input'!G14</f>
        <v/>
      </c>
      <c r="R14" s="7">
        <f>INDEX('01_Benchmark_Input'!$K$2:$K$10,MATCH(B14,'01_Benchmark_Input'!$A$2:$A$10,0))</f>
        <v/>
      </c>
      <c r="S14" s="7">
        <f>INDEX('01_Benchmark_Input'!$P$2:$P$10,MATCH(B14,'01_Benchmark_Input'!$A$2:$A$10,0))</f>
        <v/>
      </c>
      <c r="T14" s="7">
        <f>INDEX('01_Benchmark_Input'!$U$2:$U$10,MATCH(B14,'01_Benchmark_Input'!$A$2:$A$10,0))</f>
        <v/>
      </c>
      <c r="U14" s="7">
        <f>INDEX('01_Benchmark_Input'!$Z$2:$Z$10,MATCH(B14,'01_Benchmark_Input'!$A$2:$A$10,0))</f>
        <v/>
      </c>
      <c r="V14" s="6">
        <f>INDEX('01_Benchmark_Input'!$D$2:$D$10,MATCH(B14,'01_Benchmark_Input'!$A$2:$A$10,0))</f>
        <v/>
      </c>
      <c r="W14" s="6">
        <f>INDEX('01_Benchmark_Input'!$E$2:$E$10,MATCH(B14,'01_Benchmark_Input'!$A$2:$A$10,0))</f>
        <v/>
      </c>
      <c r="X14" s="6">
        <f>INDEX('01_Benchmark_Input'!$F$2:$F$10,MATCH(B14,'01_Benchmark_Input'!$A$2:$A$10,0))</f>
        <v/>
      </c>
      <c r="Y14" s="7">
        <f>N14*R14+O14*S14+P14*T14+Q14*U14</f>
        <v/>
      </c>
      <c r="Z14" s="6">
        <f>'02_Inputs'!K14</f>
        <v/>
      </c>
      <c r="AA14" s="7">
        <f>Y14*Z14</f>
        <v/>
      </c>
      <c r="AB14" s="5">
        <f>L14*1000*AA14*86400</f>
        <v/>
      </c>
      <c r="AC14" s="5">
        <f>AB14*365</f>
        <v/>
      </c>
    </row>
    <row r="15">
      <c r="A15" s="5">
        <f>'02_Inputs'!A15</f>
        <v/>
      </c>
      <c r="B15" s="5">
        <f>'02_Inputs'!B15</f>
        <v/>
      </c>
      <c r="C15" s="5">
        <f>'02_Inputs'!C15</f>
        <v/>
      </c>
      <c r="D15" s="29">
        <f>'02_Inputs'!D15</f>
        <v/>
      </c>
      <c r="E15" s="6">
        <f>'02_Inputs'!E15</f>
        <v/>
      </c>
      <c r="F15" s="29">
        <f>D15*E15</f>
        <v/>
      </c>
      <c r="G15" s="5">
        <f>'02_Inputs'!F15</f>
        <v/>
      </c>
      <c r="H15" s="29">
        <f>F15/G15</f>
        <v/>
      </c>
      <c r="I15" s="6">
        <f>'02_Inputs'!G15</f>
        <v/>
      </c>
      <c r="J15" s="29">
        <f>H15*I15</f>
        <v/>
      </c>
      <c r="K15" s="6">
        <f>'02_Inputs'!H15</f>
        <v/>
      </c>
      <c r="L15" s="29">
        <f>J15*K15</f>
        <v/>
      </c>
      <c r="M15" s="29">
        <f>J15*(1-K15)</f>
        <v/>
      </c>
      <c r="N15" s="6">
        <f>'02_GPU_Mix_Input'!D15</f>
        <v/>
      </c>
      <c r="O15" s="6">
        <f>'02_GPU_Mix_Input'!E15</f>
        <v/>
      </c>
      <c r="P15" s="6">
        <f>'02_GPU_Mix_Input'!F15</f>
        <v/>
      </c>
      <c r="Q15" s="6">
        <f>'02_GPU_Mix_Input'!G15</f>
        <v/>
      </c>
      <c r="R15" s="7">
        <f>INDEX('01_Benchmark_Input'!$K$2:$K$10,MATCH(B15,'01_Benchmark_Input'!$A$2:$A$10,0))</f>
        <v/>
      </c>
      <c r="S15" s="7">
        <f>INDEX('01_Benchmark_Input'!$P$2:$P$10,MATCH(B15,'01_Benchmark_Input'!$A$2:$A$10,0))</f>
        <v/>
      </c>
      <c r="T15" s="7">
        <f>INDEX('01_Benchmark_Input'!$U$2:$U$10,MATCH(B15,'01_Benchmark_Input'!$A$2:$A$10,0))</f>
        <v/>
      </c>
      <c r="U15" s="7">
        <f>INDEX('01_Benchmark_Input'!$Z$2:$Z$10,MATCH(B15,'01_Benchmark_Input'!$A$2:$A$10,0))</f>
        <v/>
      </c>
      <c r="V15" s="6">
        <f>INDEX('01_Benchmark_Input'!$D$2:$D$10,MATCH(B15,'01_Benchmark_Input'!$A$2:$A$10,0))</f>
        <v/>
      </c>
      <c r="W15" s="6">
        <f>INDEX('01_Benchmark_Input'!$E$2:$E$10,MATCH(B15,'01_Benchmark_Input'!$A$2:$A$10,0))</f>
        <v/>
      </c>
      <c r="X15" s="6">
        <f>INDEX('01_Benchmark_Input'!$F$2:$F$10,MATCH(B15,'01_Benchmark_Input'!$A$2:$A$10,0))</f>
        <v/>
      </c>
      <c r="Y15" s="7">
        <f>N15*R15+O15*S15+P15*T15+Q15*U15</f>
        <v/>
      </c>
      <c r="Z15" s="6">
        <f>'02_Inputs'!K15</f>
        <v/>
      </c>
      <c r="AA15" s="7">
        <f>Y15*Z15</f>
        <v/>
      </c>
      <c r="AB15" s="5">
        <f>L15*1000*AA15*86400</f>
        <v/>
      </c>
      <c r="AC15" s="5">
        <f>AB15*365</f>
        <v/>
      </c>
    </row>
    <row r="16">
      <c r="A16" s="5">
        <f>'02_Inputs'!A16</f>
        <v/>
      </c>
      <c r="B16" s="5">
        <f>'02_Inputs'!B16</f>
        <v/>
      </c>
      <c r="C16" s="5">
        <f>'02_Inputs'!C16</f>
        <v/>
      </c>
      <c r="D16" s="29">
        <f>'02_Inputs'!D16</f>
        <v/>
      </c>
      <c r="E16" s="6">
        <f>'02_Inputs'!E16</f>
        <v/>
      </c>
      <c r="F16" s="29">
        <f>D16*E16</f>
        <v/>
      </c>
      <c r="G16" s="5">
        <f>'02_Inputs'!F16</f>
        <v/>
      </c>
      <c r="H16" s="29">
        <f>F16/G16</f>
        <v/>
      </c>
      <c r="I16" s="6">
        <f>'02_Inputs'!G16</f>
        <v/>
      </c>
      <c r="J16" s="29">
        <f>H16*I16</f>
        <v/>
      </c>
      <c r="K16" s="6">
        <f>'02_Inputs'!H16</f>
        <v/>
      </c>
      <c r="L16" s="29">
        <f>J16*K16</f>
        <v/>
      </c>
      <c r="M16" s="29">
        <f>J16*(1-K16)</f>
        <v/>
      </c>
      <c r="N16" s="6">
        <f>'02_GPU_Mix_Input'!D16</f>
        <v/>
      </c>
      <c r="O16" s="6">
        <f>'02_GPU_Mix_Input'!E16</f>
        <v/>
      </c>
      <c r="P16" s="6">
        <f>'02_GPU_Mix_Input'!F16</f>
        <v/>
      </c>
      <c r="Q16" s="6">
        <f>'02_GPU_Mix_Input'!G16</f>
        <v/>
      </c>
      <c r="R16" s="7">
        <f>INDEX('01_Benchmark_Input'!$K$2:$K$10,MATCH(B16,'01_Benchmark_Input'!$A$2:$A$10,0))</f>
        <v/>
      </c>
      <c r="S16" s="7">
        <f>INDEX('01_Benchmark_Input'!$P$2:$P$10,MATCH(B16,'01_Benchmark_Input'!$A$2:$A$10,0))</f>
        <v/>
      </c>
      <c r="T16" s="7">
        <f>INDEX('01_Benchmark_Input'!$U$2:$U$10,MATCH(B16,'01_Benchmark_Input'!$A$2:$A$10,0))</f>
        <v/>
      </c>
      <c r="U16" s="7">
        <f>INDEX('01_Benchmark_Input'!$Z$2:$Z$10,MATCH(B16,'01_Benchmark_Input'!$A$2:$A$10,0))</f>
        <v/>
      </c>
      <c r="V16" s="6">
        <f>INDEX('01_Benchmark_Input'!$D$2:$D$10,MATCH(B16,'01_Benchmark_Input'!$A$2:$A$10,0))</f>
        <v/>
      </c>
      <c r="W16" s="6">
        <f>INDEX('01_Benchmark_Input'!$E$2:$E$10,MATCH(B16,'01_Benchmark_Input'!$A$2:$A$10,0))</f>
        <v/>
      </c>
      <c r="X16" s="6">
        <f>INDEX('01_Benchmark_Input'!$F$2:$F$10,MATCH(B16,'01_Benchmark_Input'!$A$2:$A$10,0))</f>
        <v/>
      </c>
      <c r="Y16" s="7">
        <f>N16*R16+O16*S16+P16*T16+Q16*U16</f>
        <v/>
      </c>
      <c r="Z16" s="6">
        <f>'02_Inputs'!K16</f>
        <v/>
      </c>
      <c r="AA16" s="7">
        <f>Y16*Z16</f>
        <v/>
      </c>
      <c r="AB16" s="5">
        <f>L16*1000*AA16*86400</f>
        <v/>
      </c>
      <c r="AC16" s="5">
        <f>AB16*365</f>
        <v/>
      </c>
    </row>
    <row r="17">
      <c r="A17" s="5">
        <f>'02_Inputs'!A17</f>
        <v/>
      </c>
      <c r="B17" s="5">
        <f>'02_Inputs'!B17</f>
        <v/>
      </c>
      <c r="C17" s="5">
        <f>'02_Inputs'!C17</f>
        <v/>
      </c>
      <c r="D17" s="29">
        <f>'02_Inputs'!D17</f>
        <v/>
      </c>
      <c r="E17" s="6">
        <f>'02_Inputs'!E17</f>
        <v/>
      </c>
      <c r="F17" s="29">
        <f>D17*E17</f>
        <v/>
      </c>
      <c r="G17" s="5">
        <f>'02_Inputs'!F17</f>
        <v/>
      </c>
      <c r="H17" s="29">
        <f>F17/G17</f>
        <v/>
      </c>
      <c r="I17" s="6">
        <f>'02_Inputs'!G17</f>
        <v/>
      </c>
      <c r="J17" s="29">
        <f>H17*I17</f>
        <v/>
      </c>
      <c r="K17" s="6">
        <f>'02_Inputs'!H17</f>
        <v/>
      </c>
      <c r="L17" s="29">
        <f>J17*K17</f>
        <v/>
      </c>
      <c r="M17" s="29">
        <f>J17*(1-K17)</f>
        <v/>
      </c>
      <c r="N17" s="6">
        <f>'02_GPU_Mix_Input'!D17</f>
        <v/>
      </c>
      <c r="O17" s="6">
        <f>'02_GPU_Mix_Input'!E17</f>
        <v/>
      </c>
      <c r="P17" s="6">
        <f>'02_GPU_Mix_Input'!F17</f>
        <v/>
      </c>
      <c r="Q17" s="6">
        <f>'02_GPU_Mix_Input'!G17</f>
        <v/>
      </c>
      <c r="R17" s="7">
        <f>INDEX('01_Benchmark_Input'!$K$2:$K$10,MATCH(B17,'01_Benchmark_Input'!$A$2:$A$10,0))</f>
        <v/>
      </c>
      <c r="S17" s="7">
        <f>INDEX('01_Benchmark_Input'!$P$2:$P$10,MATCH(B17,'01_Benchmark_Input'!$A$2:$A$10,0))</f>
        <v/>
      </c>
      <c r="T17" s="7">
        <f>INDEX('01_Benchmark_Input'!$U$2:$U$10,MATCH(B17,'01_Benchmark_Input'!$A$2:$A$10,0))</f>
        <v/>
      </c>
      <c r="U17" s="7">
        <f>INDEX('01_Benchmark_Input'!$Z$2:$Z$10,MATCH(B17,'01_Benchmark_Input'!$A$2:$A$10,0))</f>
        <v/>
      </c>
      <c r="V17" s="6">
        <f>INDEX('01_Benchmark_Input'!$D$2:$D$10,MATCH(B17,'01_Benchmark_Input'!$A$2:$A$10,0))</f>
        <v/>
      </c>
      <c r="W17" s="6">
        <f>INDEX('01_Benchmark_Input'!$E$2:$E$10,MATCH(B17,'01_Benchmark_Input'!$A$2:$A$10,0))</f>
        <v/>
      </c>
      <c r="X17" s="6">
        <f>INDEX('01_Benchmark_Input'!$F$2:$F$10,MATCH(B17,'01_Benchmark_Input'!$A$2:$A$10,0))</f>
        <v/>
      </c>
      <c r="Y17" s="7">
        <f>N17*R17+O17*S17+P17*T17+Q17*U17</f>
        <v/>
      </c>
      <c r="Z17" s="6">
        <f>'02_Inputs'!K17</f>
        <v/>
      </c>
      <c r="AA17" s="7">
        <f>Y17*Z17</f>
        <v/>
      </c>
      <c r="AB17" s="5">
        <f>L17*1000*AA17*86400</f>
        <v/>
      </c>
      <c r="AC17" s="5">
        <f>AB17*365</f>
        <v/>
      </c>
    </row>
    <row r="18">
      <c r="A18" s="5">
        <f>'02_Inputs'!A18</f>
        <v/>
      </c>
      <c r="B18" s="5">
        <f>'02_Inputs'!B18</f>
        <v/>
      </c>
      <c r="C18" s="5">
        <f>'02_Inputs'!C18</f>
        <v/>
      </c>
      <c r="D18" s="29">
        <f>'02_Inputs'!D18</f>
        <v/>
      </c>
      <c r="E18" s="6">
        <f>'02_Inputs'!E18</f>
        <v/>
      </c>
      <c r="F18" s="29">
        <f>D18*E18</f>
        <v/>
      </c>
      <c r="G18" s="5">
        <f>'02_Inputs'!F18</f>
        <v/>
      </c>
      <c r="H18" s="29">
        <f>F18/G18</f>
        <v/>
      </c>
      <c r="I18" s="6">
        <f>'02_Inputs'!G18</f>
        <v/>
      </c>
      <c r="J18" s="29">
        <f>H18*I18</f>
        <v/>
      </c>
      <c r="K18" s="6">
        <f>'02_Inputs'!H18</f>
        <v/>
      </c>
      <c r="L18" s="29">
        <f>J18*K18</f>
        <v/>
      </c>
      <c r="M18" s="29">
        <f>J18*(1-K18)</f>
        <v/>
      </c>
      <c r="N18" s="6">
        <f>'02_GPU_Mix_Input'!D18</f>
        <v/>
      </c>
      <c r="O18" s="6">
        <f>'02_GPU_Mix_Input'!E18</f>
        <v/>
      </c>
      <c r="P18" s="6">
        <f>'02_GPU_Mix_Input'!F18</f>
        <v/>
      </c>
      <c r="Q18" s="6">
        <f>'02_GPU_Mix_Input'!G18</f>
        <v/>
      </c>
      <c r="R18" s="7">
        <f>INDEX('01_Benchmark_Input'!$K$2:$K$10,MATCH(B18,'01_Benchmark_Input'!$A$2:$A$10,0))</f>
        <v/>
      </c>
      <c r="S18" s="7">
        <f>INDEX('01_Benchmark_Input'!$P$2:$P$10,MATCH(B18,'01_Benchmark_Input'!$A$2:$A$10,0))</f>
        <v/>
      </c>
      <c r="T18" s="7">
        <f>INDEX('01_Benchmark_Input'!$U$2:$U$10,MATCH(B18,'01_Benchmark_Input'!$A$2:$A$10,0))</f>
        <v/>
      </c>
      <c r="U18" s="7">
        <f>INDEX('01_Benchmark_Input'!$Z$2:$Z$10,MATCH(B18,'01_Benchmark_Input'!$A$2:$A$10,0))</f>
        <v/>
      </c>
      <c r="V18" s="6">
        <f>INDEX('01_Benchmark_Input'!$D$2:$D$10,MATCH(B18,'01_Benchmark_Input'!$A$2:$A$10,0))</f>
        <v/>
      </c>
      <c r="W18" s="6">
        <f>INDEX('01_Benchmark_Input'!$E$2:$E$10,MATCH(B18,'01_Benchmark_Input'!$A$2:$A$10,0))</f>
        <v/>
      </c>
      <c r="X18" s="6">
        <f>INDEX('01_Benchmark_Input'!$F$2:$F$10,MATCH(B18,'01_Benchmark_Input'!$A$2:$A$10,0))</f>
        <v/>
      </c>
      <c r="Y18" s="7">
        <f>N18*R18+O18*S18+P18*T18+Q18*U18</f>
        <v/>
      </c>
      <c r="Z18" s="6">
        <f>'02_Inputs'!K18</f>
        <v/>
      </c>
      <c r="AA18" s="7">
        <f>Y18*Z18</f>
        <v/>
      </c>
      <c r="AB18" s="5">
        <f>L18*1000*AA18*86400</f>
        <v/>
      </c>
      <c r="AC18" s="5">
        <f>AB18*365</f>
        <v/>
      </c>
    </row>
    <row r="19">
      <c r="A19" s="5">
        <f>'02_Inputs'!A19</f>
        <v/>
      </c>
      <c r="B19" s="5">
        <f>'02_Inputs'!B19</f>
        <v/>
      </c>
      <c r="C19" s="5">
        <f>'02_Inputs'!C19</f>
        <v/>
      </c>
      <c r="D19" s="29">
        <f>'02_Inputs'!D19</f>
        <v/>
      </c>
      <c r="E19" s="6">
        <f>'02_Inputs'!E19</f>
        <v/>
      </c>
      <c r="F19" s="29">
        <f>D19*E19</f>
        <v/>
      </c>
      <c r="G19" s="5">
        <f>'02_Inputs'!F19</f>
        <v/>
      </c>
      <c r="H19" s="29">
        <f>F19/G19</f>
        <v/>
      </c>
      <c r="I19" s="6">
        <f>'02_Inputs'!G19</f>
        <v/>
      </c>
      <c r="J19" s="29">
        <f>H19*I19</f>
        <v/>
      </c>
      <c r="K19" s="6">
        <f>'02_Inputs'!H19</f>
        <v/>
      </c>
      <c r="L19" s="29">
        <f>J19*K19</f>
        <v/>
      </c>
      <c r="M19" s="29">
        <f>J19*(1-K19)</f>
        <v/>
      </c>
      <c r="N19" s="6">
        <f>'02_GPU_Mix_Input'!D19</f>
        <v/>
      </c>
      <c r="O19" s="6">
        <f>'02_GPU_Mix_Input'!E19</f>
        <v/>
      </c>
      <c r="P19" s="6">
        <f>'02_GPU_Mix_Input'!F19</f>
        <v/>
      </c>
      <c r="Q19" s="6">
        <f>'02_GPU_Mix_Input'!G19</f>
        <v/>
      </c>
      <c r="R19" s="7">
        <f>INDEX('01_Benchmark_Input'!$K$2:$K$10,MATCH(B19,'01_Benchmark_Input'!$A$2:$A$10,0))</f>
        <v/>
      </c>
      <c r="S19" s="7">
        <f>INDEX('01_Benchmark_Input'!$P$2:$P$10,MATCH(B19,'01_Benchmark_Input'!$A$2:$A$10,0))</f>
        <v/>
      </c>
      <c r="T19" s="7">
        <f>INDEX('01_Benchmark_Input'!$U$2:$U$10,MATCH(B19,'01_Benchmark_Input'!$A$2:$A$10,0))</f>
        <v/>
      </c>
      <c r="U19" s="7">
        <f>INDEX('01_Benchmark_Input'!$Z$2:$Z$10,MATCH(B19,'01_Benchmark_Input'!$A$2:$A$10,0))</f>
        <v/>
      </c>
      <c r="V19" s="6">
        <f>INDEX('01_Benchmark_Input'!$D$2:$D$10,MATCH(B19,'01_Benchmark_Input'!$A$2:$A$10,0))</f>
        <v/>
      </c>
      <c r="W19" s="6">
        <f>INDEX('01_Benchmark_Input'!$E$2:$E$10,MATCH(B19,'01_Benchmark_Input'!$A$2:$A$10,0))</f>
        <v/>
      </c>
      <c r="X19" s="6">
        <f>INDEX('01_Benchmark_Input'!$F$2:$F$10,MATCH(B19,'01_Benchmark_Input'!$A$2:$A$10,0))</f>
        <v/>
      </c>
      <c r="Y19" s="7">
        <f>N19*R19+O19*S19+P19*T19+Q19*U19</f>
        <v/>
      </c>
      <c r="Z19" s="6">
        <f>'02_Inputs'!K19</f>
        <v/>
      </c>
      <c r="AA19" s="7">
        <f>Y19*Z19</f>
        <v/>
      </c>
      <c r="AB19" s="5">
        <f>L19*1000*AA19*86400</f>
        <v/>
      </c>
      <c r="AC19" s="5">
        <f>AB19*365</f>
        <v/>
      </c>
    </row>
    <row r="20">
      <c r="A20" s="5">
        <f>'02_Inputs'!A20</f>
        <v/>
      </c>
      <c r="B20" s="5">
        <f>'02_Inputs'!B20</f>
        <v/>
      </c>
      <c r="C20" s="5">
        <f>'02_Inputs'!C20</f>
        <v/>
      </c>
      <c r="D20" s="29">
        <f>'02_Inputs'!D20</f>
        <v/>
      </c>
      <c r="E20" s="6">
        <f>'02_Inputs'!E20</f>
        <v/>
      </c>
      <c r="F20" s="29">
        <f>D20*E20</f>
        <v/>
      </c>
      <c r="G20" s="5">
        <f>'02_Inputs'!F20</f>
        <v/>
      </c>
      <c r="H20" s="29">
        <f>F20/G20</f>
        <v/>
      </c>
      <c r="I20" s="6">
        <f>'02_Inputs'!G20</f>
        <v/>
      </c>
      <c r="J20" s="29">
        <f>H20*I20</f>
        <v/>
      </c>
      <c r="K20" s="6">
        <f>'02_Inputs'!H20</f>
        <v/>
      </c>
      <c r="L20" s="29">
        <f>J20*K20</f>
        <v/>
      </c>
      <c r="M20" s="29">
        <f>J20*(1-K20)</f>
        <v/>
      </c>
      <c r="N20" s="6">
        <f>'02_GPU_Mix_Input'!D20</f>
        <v/>
      </c>
      <c r="O20" s="6">
        <f>'02_GPU_Mix_Input'!E20</f>
        <v/>
      </c>
      <c r="P20" s="6">
        <f>'02_GPU_Mix_Input'!F20</f>
        <v/>
      </c>
      <c r="Q20" s="6">
        <f>'02_GPU_Mix_Input'!G20</f>
        <v/>
      </c>
      <c r="R20" s="7">
        <f>INDEX('01_Benchmark_Input'!$K$2:$K$10,MATCH(B20,'01_Benchmark_Input'!$A$2:$A$10,0))</f>
        <v/>
      </c>
      <c r="S20" s="7">
        <f>INDEX('01_Benchmark_Input'!$P$2:$P$10,MATCH(B20,'01_Benchmark_Input'!$A$2:$A$10,0))</f>
        <v/>
      </c>
      <c r="T20" s="7">
        <f>INDEX('01_Benchmark_Input'!$U$2:$U$10,MATCH(B20,'01_Benchmark_Input'!$A$2:$A$10,0))</f>
        <v/>
      </c>
      <c r="U20" s="7">
        <f>INDEX('01_Benchmark_Input'!$Z$2:$Z$10,MATCH(B20,'01_Benchmark_Input'!$A$2:$A$10,0))</f>
        <v/>
      </c>
      <c r="V20" s="6">
        <f>INDEX('01_Benchmark_Input'!$D$2:$D$10,MATCH(B20,'01_Benchmark_Input'!$A$2:$A$10,0))</f>
        <v/>
      </c>
      <c r="W20" s="6">
        <f>INDEX('01_Benchmark_Input'!$E$2:$E$10,MATCH(B20,'01_Benchmark_Input'!$A$2:$A$10,0))</f>
        <v/>
      </c>
      <c r="X20" s="6">
        <f>INDEX('01_Benchmark_Input'!$F$2:$F$10,MATCH(B20,'01_Benchmark_Input'!$A$2:$A$10,0))</f>
        <v/>
      </c>
      <c r="Y20" s="7">
        <f>N20*R20+O20*S20+P20*T20+Q20*U20</f>
        <v/>
      </c>
      <c r="Z20" s="6">
        <f>'02_Inputs'!K20</f>
        <v/>
      </c>
      <c r="AA20" s="7">
        <f>Y20*Z20</f>
        <v/>
      </c>
      <c r="AB20" s="5">
        <f>L20*1000*AA20*86400</f>
        <v/>
      </c>
      <c r="AC20" s="5">
        <f>AB20*365</f>
        <v/>
      </c>
    </row>
    <row r="21">
      <c r="A21" s="5">
        <f>'02_Inputs'!A21</f>
        <v/>
      </c>
      <c r="B21" s="5">
        <f>'02_Inputs'!B21</f>
        <v/>
      </c>
      <c r="C21" s="5">
        <f>'02_Inputs'!C21</f>
        <v/>
      </c>
      <c r="D21" s="29">
        <f>'02_Inputs'!D21</f>
        <v/>
      </c>
      <c r="E21" s="6">
        <f>'02_Inputs'!E21</f>
        <v/>
      </c>
      <c r="F21" s="29">
        <f>D21*E21</f>
        <v/>
      </c>
      <c r="G21" s="5">
        <f>'02_Inputs'!F21</f>
        <v/>
      </c>
      <c r="H21" s="29">
        <f>F21/G21</f>
        <v/>
      </c>
      <c r="I21" s="6">
        <f>'02_Inputs'!G21</f>
        <v/>
      </c>
      <c r="J21" s="29">
        <f>H21*I21</f>
        <v/>
      </c>
      <c r="K21" s="6">
        <f>'02_Inputs'!H21</f>
        <v/>
      </c>
      <c r="L21" s="29">
        <f>J21*K21</f>
        <v/>
      </c>
      <c r="M21" s="29">
        <f>J21*(1-K21)</f>
        <v/>
      </c>
      <c r="N21" s="6">
        <f>'02_GPU_Mix_Input'!D21</f>
        <v/>
      </c>
      <c r="O21" s="6">
        <f>'02_GPU_Mix_Input'!E21</f>
        <v/>
      </c>
      <c r="P21" s="6">
        <f>'02_GPU_Mix_Input'!F21</f>
        <v/>
      </c>
      <c r="Q21" s="6">
        <f>'02_GPU_Mix_Input'!G21</f>
        <v/>
      </c>
      <c r="R21" s="7">
        <f>INDEX('01_Benchmark_Input'!$K$2:$K$10,MATCH(B21,'01_Benchmark_Input'!$A$2:$A$10,0))</f>
        <v/>
      </c>
      <c r="S21" s="7">
        <f>INDEX('01_Benchmark_Input'!$P$2:$P$10,MATCH(B21,'01_Benchmark_Input'!$A$2:$A$10,0))</f>
        <v/>
      </c>
      <c r="T21" s="7">
        <f>INDEX('01_Benchmark_Input'!$U$2:$U$10,MATCH(B21,'01_Benchmark_Input'!$A$2:$A$10,0))</f>
        <v/>
      </c>
      <c r="U21" s="7">
        <f>INDEX('01_Benchmark_Input'!$Z$2:$Z$10,MATCH(B21,'01_Benchmark_Input'!$A$2:$A$10,0))</f>
        <v/>
      </c>
      <c r="V21" s="6">
        <f>INDEX('01_Benchmark_Input'!$D$2:$D$10,MATCH(B21,'01_Benchmark_Input'!$A$2:$A$10,0))</f>
        <v/>
      </c>
      <c r="W21" s="6">
        <f>INDEX('01_Benchmark_Input'!$E$2:$E$10,MATCH(B21,'01_Benchmark_Input'!$A$2:$A$10,0))</f>
        <v/>
      </c>
      <c r="X21" s="6">
        <f>INDEX('01_Benchmark_Input'!$F$2:$F$10,MATCH(B21,'01_Benchmark_Input'!$A$2:$A$10,0))</f>
        <v/>
      </c>
      <c r="Y21" s="7">
        <f>N21*R21+O21*S21+P21*T21+Q21*U21</f>
        <v/>
      </c>
      <c r="Z21" s="6">
        <f>'02_Inputs'!K21</f>
        <v/>
      </c>
      <c r="AA21" s="7">
        <f>Y21*Z21</f>
        <v/>
      </c>
      <c r="AB21" s="5">
        <f>L21*1000*AA21*86400</f>
        <v/>
      </c>
      <c r="AC21" s="5">
        <f>AB21*365</f>
        <v/>
      </c>
    </row>
    <row r="22">
      <c r="A22" s="5">
        <f>'02_Inputs'!A22</f>
        <v/>
      </c>
      <c r="B22" s="5">
        <f>'02_Inputs'!B22</f>
        <v/>
      </c>
      <c r="C22" s="5">
        <f>'02_Inputs'!C22</f>
        <v/>
      </c>
      <c r="D22" s="29">
        <f>'02_Inputs'!D22</f>
        <v/>
      </c>
      <c r="E22" s="6">
        <f>'02_Inputs'!E22</f>
        <v/>
      </c>
      <c r="F22" s="29">
        <f>D22*E22</f>
        <v/>
      </c>
      <c r="G22" s="5">
        <f>'02_Inputs'!F22</f>
        <v/>
      </c>
      <c r="H22" s="29">
        <f>F22/G22</f>
        <v/>
      </c>
      <c r="I22" s="6">
        <f>'02_Inputs'!G22</f>
        <v/>
      </c>
      <c r="J22" s="29">
        <f>H22*I22</f>
        <v/>
      </c>
      <c r="K22" s="6">
        <f>'02_Inputs'!H22</f>
        <v/>
      </c>
      <c r="L22" s="29">
        <f>J22*K22</f>
        <v/>
      </c>
      <c r="M22" s="29">
        <f>J22*(1-K22)</f>
        <v/>
      </c>
      <c r="N22" s="6">
        <f>'02_GPU_Mix_Input'!D22</f>
        <v/>
      </c>
      <c r="O22" s="6">
        <f>'02_GPU_Mix_Input'!E22</f>
        <v/>
      </c>
      <c r="P22" s="6">
        <f>'02_GPU_Mix_Input'!F22</f>
        <v/>
      </c>
      <c r="Q22" s="6">
        <f>'02_GPU_Mix_Input'!G22</f>
        <v/>
      </c>
      <c r="R22" s="7">
        <f>INDEX('01_Benchmark_Input'!$K$2:$K$10,MATCH(B22,'01_Benchmark_Input'!$A$2:$A$10,0))</f>
        <v/>
      </c>
      <c r="S22" s="7">
        <f>INDEX('01_Benchmark_Input'!$P$2:$P$10,MATCH(B22,'01_Benchmark_Input'!$A$2:$A$10,0))</f>
        <v/>
      </c>
      <c r="T22" s="7">
        <f>INDEX('01_Benchmark_Input'!$U$2:$U$10,MATCH(B22,'01_Benchmark_Input'!$A$2:$A$10,0))</f>
        <v/>
      </c>
      <c r="U22" s="7">
        <f>INDEX('01_Benchmark_Input'!$Z$2:$Z$10,MATCH(B22,'01_Benchmark_Input'!$A$2:$A$10,0))</f>
        <v/>
      </c>
      <c r="V22" s="6">
        <f>INDEX('01_Benchmark_Input'!$D$2:$D$10,MATCH(B22,'01_Benchmark_Input'!$A$2:$A$10,0))</f>
        <v/>
      </c>
      <c r="W22" s="6">
        <f>INDEX('01_Benchmark_Input'!$E$2:$E$10,MATCH(B22,'01_Benchmark_Input'!$A$2:$A$10,0))</f>
        <v/>
      </c>
      <c r="X22" s="6">
        <f>INDEX('01_Benchmark_Input'!$F$2:$F$10,MATCH(B22,'01_Benchmark_Input'!$A$2:$A$10,0))</f>
        <v/>
      </c>
      <c r="Y22" s="7">
        <f>N22*R22+O22*S22+P22*T22+Q22*U22</f>
        <v/>
      </c>
      <c r="Z22" s="6">
        <f>'02_Inputs'!K22</f>
        <v/>
      </c>
      <c r="AA22" s="7">
        <f>Y22*Z22</f>
        <v/>
      </c>
      <c r="AB22" s="5">
        <f>L22*1000*AA22*86400</f>
        <v/>
      </c>
      <c r="AC22" s="5">
        <f>AB22*365</f>
        <v/>
      </c>
    </row>
    <row r="23">
      <c r="A23" s="5">
        <f>'02_Inputs'!A23</f>
        <v/>
      </c>
      <c r="B23" s="5">
        <f>'02_Inputs'!B23</f>
        <v/>
      </c>
      <c r="C23" s="5">
        <f>'02_Inputs'!C23</f>
        <v/>
      </c>
      <c r="D23" s="29">
        <f>'02_Inputs'!D23</f>
        <v/>
      </c>
      <c r="E23" s="6">
        <f>'02_Inputs'!E23</f>
        <v/>
      </c>
      <c r="F23" s="29">
        <f>D23*E23</f>
        <v/>
      </c>
      <c r="G23" s="5">
        <f>'02_Inputs'!F23</f>
        <v/>
      </c>
      <c r="H23" s="29">
        <f>F23/G23</f>
        <v/>
      </c>
      <c r="I23" s="6">
        <f>'02_Inputs'!G23</f>
        <v/>
      </c>
      <c r="J23" s="29">
        <f>H23*I23</f>
        <v/>
      </c>
      <c r="K23" s="6">
        <f>'02_Inputs'!H23</f>
        <v/>
      </c>
      <c r="L23" s="29">
        <f>J23*K23</f>
        <v/>
      </c>
      <c r="M23" s="29">
        <f>J23*(1-K23)</f>
        <v/>
      </c>
      <c r="N23" s="6">
        <f>'02_GPU_Mix_Input'!D23</f>
        <v/>
      </c>
      <c r="O23" s="6">
        <f>'02_GPU_Mix_Input'!E23</f>
        <v/>
      </c>
      <c r="P23" s="6">
        <f>'02_GPU_Mix_Input'!F23</f>
        <v/>
      </c>
      <c r="Q23" s="6">
        <f>'02_GPU_Mix_Input'!G23</f>
        <v/>
      </c>
      <c r="R23" s="7">
        <f>INDEX('01_Benchmark_Input'!$K$2:$K$10,MATCH(B23,'01_Benchmark_Input'!$A$2:$A$10,0))</f>
        <v/>
      </c>
      <c r="S23" s="7">
        <f>INDEX('01_Benchmark_Input'!$P$2:$P$10,MATCH(B23,'01_Benchmark_Input'!$A$2:$A$10,0))</f>
        <v/>
      </c>
      <c r="T23" s="7">
        <f>INDEX('01_Benchmark_Input'!$U$2:$U$10,MATCH(B23,'01_Benchmark_Input'!$A$2:$A$10,0))</f>
        <v/>
      </c>
      <c r="U23" s="7">
        <f>INDEX('01_Benchmark_Input'!$Z$2:$Z$10,MATCH(B23,'01_Benchmark_Input'!$A$2:$A$10,0))</f>
        <v/>
      </c>
      <c r="V23" s="6">
        <f>INDEX('01_Benchmark_Input'!$D$2:$D$10,MATCH(B23,'01_Benchmark_Input'!$A$2:$A$10,0))</f>
        <v/>
      </c>
      <c r="W23" s="6">
        <f>INDEX('01_Benchmark_Input'!$E$2:$E$10,MATCH(B23,'01_Benchmark_Input'!$A$2:$A$10,0))</f>
        <v/>
      </c>
      <c r="X23" s="6">
        <f>INDEX('01_Benchmark_Input'!$F$2:$F$10,MATCH(B23,'01_Benchmark_Input'!$A$2:$A$10,0))</f>
        <v/>
      </c>
      <c r="Y23" s="7">
        <f>N23*R23+O23*S23+P23*T23+Q23*U23</f>
        <v/>
      </c>
      <c r="Z23" s="6">
        <f>'02_Inputs'!K23</f>
        <v/>
      </c>
      <c r="AA23" s="7">
        <f>Y23*Z23</f>
        <v/>
      </c>
      <c r="AB23" s="5">
        <f>L23*1000*AA23*86400</f>
        <v/>
      </c>
      <c r="AC23" s="5">
        <f>AB23*365</f>
        <v/>
      </c>
    </row>
    <row r="24">
      <c r="A24" s="5">
        <f>'02_Inputs'!A24</f>
        <v/>
      </c>
      <c r="B24" s="5">
        <f>'02_Inputs'!B24</f>
        <v/>
      </c>
      <c r="C24" s="5">
        <f>'02_Inputs'!C24</f>
        <v/>
      </c>
      <c r="D24" s="29">
        <f>'02_Inputs'!D24</f>
        <v/>
      </c>
      <c r="E24" s="6">
        <f>'02_Inputs'!E24</f>
        <v/>
      </c>
      <c r="F24" s="29">
        <f>D24*E24</f>
        <v/>
      </c>
      <c r="G24" s="5">
        <f>'02_Inputs'!F24</f>
        <v/>
      </c>
      <c r="H24" s="29">
        <f>F24/G24</f>
        <v/>
      </c>
      <c r="I24" s="6">
        <f>'02_Inputs'!G24</f>
        <v/>
      </c>
      <c r="J24" s="29">
        <f>H24*I24</f>
        <v/>
      </c>
      <c r="K24" s="6">
        <f>'02_Inputs'!H24</f>
        <v/>
      </c>
      <c r="L24" s="29">
        <f>J24*K24</f>
        <v/>
      </c>
      <c r="M24" s="29">
        <f>J24*(1-K24)</f>
        <v/>
      </c>
      <c r="N24" s="6">
        <f>'02_GPU_Mix_Input'!D24</f>
        <v/>
      </c>
      <c r="O24" s="6">
        <f>'02_GPU_Mix_Input'!E24</f>
        <v/>
      </c>
      <c r="P24" s="6">
        <f>'02_GPU_Mix_Input'!F24</f>
        <v/>
      </c>
      <c r="Q24" s="6">
        <f>'02_GPU_Mix_Input'!G24</f>
        <v/>
      </c>
      <c r="R24" s="7">
        <f>INDEX('01_Benchmark_Input'!$K$2:$K$10,MATCH(B24,'01_Benchmark_Input'!$A$2:$A$10,0))</f>
        <v/>
      </c>
      <c r="S24" s="7">
        <f>INDEX('01_Benchmark_Input'!$P$2:$P$10,MATCH(B24,'01_Benchmark_Input'!$A$2:$A$10,0))</f>
        <v/>
      </c>
      <c r="T24" s="7">
        <f>INDEX('01_Benchmark_Input'!$U$2:$U$10,MATCH(B24,'01_Benchmark_Input'!$A$2:$A$10,0))</f>
        <v/>
      </c>
      <c r="U24" s="7">
        <f>INDEX('01_Benchmark_Input'!$Z$2:$Z$10,MATCH(B24,'01_Benchmark_Input'!$A$2:$A$10,0))</f>
        <v/>
      </c>
      <c r="V24" s="6">
        <f>INDEX('01_Benchmark_Input'!$D$2:$D$10,MATCH(B24,'01_Benchmark_Input'!$A$2:$A$10,0))</f>
        <v/>
      </c>
      <c r="W24" s="6">
        <f>INDEX('01_Benchmark_Input'!$E$2:$E$10,MATCH(B24,'01_Benchmark_Input'!$A$2:$A$10,0))</f>
        <v/>
      </c>
      <c r="X24" s="6">
        <f>INDEX('01_Benchmark_Input'!$F$2:$F$10,MATCH(B24,'01_Benchmark_Input'!$A$2:$A$10,0))</f>
        <v/>
      </c>
      <c r="Y24" s="7">
        <f>N24*R24+O24*S24+P24*T24+Q24*U24</f>
        <v/>
      </c>
      <c r="Z24" s="6">
        <f>'02_Inputs'!K24</f>
        <v/>
      </c>
      <c r="AA24" s="7">
        <f>Y24*Z24</f>
        <v/>
      </c>
      <c r="AB24" s="5">
        <f>L24*1000*AA24*86400</f>
        <v/>
      </c>
      <c r="AC24" s="5">
        <f>AB24*365</f>
        <v/>
      </c>
    </row>
    <row r="25">
      <c r="A25" s="5">
        <f>'02_Inputs'!A25</f>
        <v/>
      </c>
      <c r="B25" s="5">
        <f>'02_Inputs'!B25</f>
        <v/>
      </c>
      <c r="C25" s="5">
        <f>'02_Inputs'!C25</f>
        <v/>
      </c>
      <c r="D25" s="29">
        <f>'02_Inputs'!D25</f>
        <v/>
      </c>
      <c r="E25" s="6">
        <f>'02_Inputs'!E25</f>
        <v/>
      </c>
      <c r="F25" s="29">
        <f>D25*E25</f>
        <v/>
      </c>
      <c r="G25" s="5">
        <f>'02_Inputs'!F25</f>
        <v/>
      </c>
      <c r="H25" s="29">
        <f>F25/G25</f>
        <v/>
      </c>
      <c r="I25" s="6">
        <f>'02_Inputs'!G25</f>
        <v/>
      </c>
      <c r="J25" s="29">
        <f>H25*I25</f>
        <v/>
      </c>
      <c r="K25" s="6">
        <f>'02_Inputs'!H25</f>
        <v/>
      </c>
      <c r="L25" s="29">
        <f>J25*K25</f>
        <v/>
      </c>
      <c r="M25" s="29">
        <f>J25*(1-K25)</f>
        <v/>
      </c>
      <c r="N25" s="6">
        <f>'02_GPU_Mix_Input'!D25</f>
        <v/>
      </c>
      <c r="O25" s="6">
        <f>'02_GPU_Mix_Input'!E25</f>
        <v/>
      </c>
      <c r="P25" s="6">
        <f>'02_GPU_Mix_Input'!F25</f>
        <v/>
      </c>
      <c r="Q25" s="6">
        <f>'02_GPU_Mix_Input'!G25</f>
        <v/>
      </c>
      <c r="R25" s="7">
        <f>INDEX('01_Benchmark_Input'!$K$2:$K$10,MATCH(B25,'01_Benchmark_Input'!$A$2:$A$10,0))</f>
        <v/>
      </c>
      <c r="S25" s="7">
        <f>INDEX('01_Benchmark_Input'!$P$2:$P$10,MATCH(B25,'01_Benchmark_Input'!$A$2:$A$10,0))</f>
        <v/>
      </c>
      <c r="T25" s="7">
        <f>INDEX('01_Benchmark_Input'!$U$2:$U$10,MATCH(B25,'01_Benchmark_Input'!$A$2:$A$10,0))</f>
        <v/>
      </c>
      <c r="U25" s="7">
        <f>INDEX('01_Benchmark_Input'!$Z$2:$Z$10,MATCH(B25,'01_Benchmark_Input'!$A$2:$A$10,0))</f>
        <v/>
      </c>
      <c r="V25" s="6">
        <f>INDEX('01_Benchmark_Input'!$D$2:$D$10,MATCH(B25,'01_Benchmark_Input'!$A$2:$A$10,0))</f>
        <v/>
      </c>
      <c r="W25" s="6">
        <f>INDEX('01_Benchmark_Input'!$E$2:$E$10,MATCH(B25,'01_Benchmark_Input'!$A$2:$A$10,0))</f>
        <v/>
      </c>
      <c r="X25" s="6">
        <f>INDEX('01_Benchmark_Input'!$F$2:$F$10,MATCH(B25,'01_Benchmark_Input'!$A$2:$A$10,0))</f>
        <v/>
      </c>
      <c r="Y25" s="7">
        <f>N25*R25+O25*S25+P25*T25+Q25*U25</f>
        <v/>
      </c>
      <c r="Z25" s="6">
        <f>'02_Inputs'!K25</f>
        <v/>
      </c>
      <c r="AA25" s="7">
        <f>Y25*Z25</f>
        <v/>
      </c>
      <c r="AB25" s="5">
        <f>L25*1000*AA25*86400</f>
        <v/>
      </c>
      <c r="AC25" s="5">
        <f>AB25*365</f>
        <v/>
      </c>
    </row>
    <row r="26">
      <c r="A26" s="5">
        <f>'02_Inputs'!A26</f>
        <v/>
      </c>
      <c r="B26" s="5">
        <f>'02_Inputs'!B26</f>
        <v/>
      </c>
      <c r="C26" s="5">
        <f>'02_Inputs'!C26</f>
        <v/>
      </c>
      <c r="D26" s="29">
        <f>'02_Inputs'!D26</f>
        <v/>
      </c>
      <c r="E26" s="6">
        <f>'02_Inputs'!E26</f>
        <v/>
      </c>
      <c r="F26" s="29">
        <f>D26*E26</f>
        <v/>
      </c>
      <c r="G26" s="5">
        <f>'02_Inputs'!F26</f>
        <v/>
      </c>
      <c r="H26" s="29">
        <f>F26/G26</f>
        <v/>
      </c>
      <c r="I26" s="6">
        <f>'02_Inputs'!G26</f>
        <v/>
      </c>
      <c r="J26" s="29">
        <f>H26*I26</f>
        <v/>
      </c>
      <c r="K26" s="6">
        <f>'02_Inputs'!H26</f>
        <v/>
      </c>
      <c r="L26" s="29">
        <f>J26*K26</f>
        <v/>
      </c>
      <c r="M26" s="29">
        <f>J26*(1-K26)</f>
        <v/>
      </c>
      <c r="N26" s="6">
        <f>'02_GPU_Mix_Input'!D26</f>
        <v/>
      </c>
      <c r="O26" s="6">
        <f>'02_GPU_Mix_Input'!E26</f>
        <v/>
      </c>
      <c r="P26" s="6">
        <f>'02_GPU_Mix_Input'!F26</f>
        <v/>
      </c>
      <c r="Q26" s="6">
        <f>'02_GPU_Mix_Input'!G26</f>
        <v/>
      </c>
      <c r="R26" s="7">
        <f>INDEX('01_Benchmark_Input'!$K$2:$K$10,MATCH(B26,'01_Benchmark_Input'!$A$2:$A$10,0))</f>
        <v/>
      </c>
      <c r="S26" s="7">
        <f>INDEX('01_Benchmark_Input'!$P$2:$P$10,MATCH(B26,'01_Benchmark_Input'!$A$2:$A$10,0))</f>
        <v/>
      </c>
      <c r="T26" s="7">
        <f>INDEX('01_Benchmark_Input'!$U$2:$U$10,MATCH(B26,'01_Benchmark_Input'!$A$2:$A$10,0))</f>
        <v/>
      </c>
      <c r="U26" s="7">
        <f>INDEX('01_Benchmark_Input'!$Z$2:$Z$10,MATCH(B26,'01_Benchmark_Input'!$A$2:$A$10,0))</f>
        <v/>
      </c>
      <c r="V26" s="6">
        <f>INDEX('01_Benchmark_Input'!$D$2:$D$10,MATCH(B26,'01_Benchmark_Input'!$A$2:$A$10,0))</f>
        <v/>
      </c>
      <c r="W26" s="6">
        <f>INDEX('01_Benchmark_Input'!$E$2:$E$10,MATCH(B26,'01_Benchmark_Input'!$A$2:$A$10,0))</f>
        <v/>
      </c>
      <c r="X26" s="6">
        <f>INDEX('01_Benchmark_Input'!$F$2:$F$10,MATCH(B26,'01_Benchmark_Input'!$A$2:$A$10,0))</f>
        <v/>
      </c>
      <c r="Y26" s="7">
        <f>N26*R26+O26*S26+P26*T26+Q26*U26</f>
        <v/>
      </c>
      <c r="Z26" s="6">
        <f>'02_Inputs'!K26</f>
        <v/>
      </c>
      <c r="AA26" s="7">
        <f>Y26*Z26</f>
        <v/>
      </c>
      <c r="AB26" s="5">
        <f>L26*1000*AA26*86400</f>
        <v/>
      </c>
      <c r="AC26" s="5">
        <f>AB26*365</f>
        <v/>
      </c>
    </row>
    <row r="27">
      <c r="A27" s="5">
        <f>'02_Inputs'!A27</f>
        <v/>
      </c>
      <c r="B27" s="5">
        <f>'02_Inputs'!B27</f>
        <v/>
      </c>
      <c r="C27" s="5">
        <f>'02_Inputs'!C27</f>
        <v/>
      </c>
      <c r="D27" s="29">
        <f>'02_Inputs'!D27</f>
        <v/>
      </c>
      <c r="E27" s="6">
        <f>'02_Inputs'!E27</f>
        <v/>
      </c>
      <c r="F27" s="29">
        <f>D27*E27</f>
        <v/>
      </c>
      <c r="G27" s="5">
        <f>'02_Inputs'!F27</f>
        <v/>
      </c>
      <c r="H27" s="29">
        <f>F27/G27</f>
        <v/>
      </c>
      <c r="I27" s="6">
        <f>'02_Inputs'!G27</f>
        <v/>
      </c>
      <c r="J27" s="29">
        <f>H27*I27</f>
        <v/>
      </c>
      <c r="K27" s="6">
        <f>'02_Inputs'!H27</f>
        <v/>
      </c>
      <c r="L27" s="29">
        <f>J27*K27</f>
        <v/>
      </c>
      <c r="M27" s="29">
        <f>J27*(1-K27)</f>
        <v/>
      </c>
      <c r="N27" s="6">
        <f>'02_GPU_Mix_Input'!D27</f>
        <v/>
      </c>
      <c r="O27" s="6">
        <f>'02_GPU_Mix_Input'!E27</f>
        <v/>
      </c>
      <c r="P27" s="6">
        <f>'02_GPU_Mix_Input'!F27</f>
        <v/>
      </c>
      <c r="Q27" s="6">
        <f>'02_GPU_Mix_Input'!G27</f>
        <v/>
      </c>
      <c r="R27" s="7">
        <f>INDEX('01_Benchmark_Input'!$K$2:$K$10,MATCH(B27,'01_Benchmark_Input'!$A$2:$A$10,0))</f>
        <v/>
      </c>
      <c r="S27" s="7">
        <f>INDEX('01_Benchmark_Input'!$P$2:$P$10,MATCH(B27,'01_Benchmark_Input'!$A$2:$A$10,0))</f>
        <v/>
      </c>
      <c r="T27" s="7">
        <f>INDEX('01_Benchmark_Input'!$U$2:$U$10,MATCH(B27,'01_Benchmark_Input'!$A$2:$A$10,0))</f>
        <v/>
      </c>
      <c r="U27" s="7">
        <f>INDEX('01_Benchmark_Input'!$Z$2:$Z$10,MATCH(B27,'01_Benchmark_Input'!$A$2:$A$10,0))</f>
        <v/>
      </c>
      <c r="V27" s="6">
        <f>INDEX('01_Benchmark_Input'!$D$2:$D$10,MATCH(B27,'01_Benchmark_Input'!$A$2:$A$10,0))</f>
        <v/>
      </c>
      <c r="W27" s="6">
        <f>INDEX('01_Benchmark_Input'!$E$2:$E$10,MATCH(B27,'01_Benchmark_Input'!$A$2:$A$10,0))</f>
        <v/>
      </c>
      <c r="X27" s="6">
        <f>INDEX('01_Benchmark_Input'!$F$2:$F$10,MATCH(B27,'01_Benchmark_Input'!$A$2:$A$10,0))</f>
        <v/>
      </c>
      <c r="Y27" s="7">
        <f>N27*R27+O27*S27+P27*T27+Q27*U27</f>
        <v/>
      </c>
      <c r="Z27" s="6">
        <f>'02_Inputs'!K27</f>
        <v/>
      </c>
      <c r="AA27" s="7">
        <f>Y27*Z27</f>
        <v/>
      </c>
      <c r="AB27" s="5">
        <f>L27*1000*AA27*86400</f>
        <v/>
      </c>
      <c r="AC27" s="5">
        <f>AB27*365</f>
        <v/>
      </c>
    </row>
    <row r="28">
      <c r="A28" s="5">
        <f>'02_Inputs'!A28</f>
        <v/>
      </c>
      <c r="B28" s="5">
        <f>'02_Inputs'!B28</f>
        <v/>
      </c>
      <c r="C28" s="5">
        <f>'02_Inputs'!C28</f>
        <v/>
      </c>
      <c r="D28" s="29">
        <f>'02_Inputs'!D28</f>
        <v/>
      </c>
      <c r="E28" s="6">
        <f>'02_Inputs'!E28</f>
        <v/>
      </c>
      <c r="F28" s="29">
        <f>D28*E28</f>
        <v/>
      </c>
      <c r="G28" s="5">
        <f>'02_Inputs'!F28</f>
        <v/>
      </c>
      <c r="H28" s="29">
        <f>F28/G28</f>
        <v/>
      </c>
      <c r="I28" s="6">
        <f>'02_Inputs'!G28</f>
        <v/>
      </c>
      <c r="J28" s="29">
        <f>H28*I28</f>
        <v/>
      </c>
      <c r="K28" s="6">
        <f>'02_Inputs'!H28</f>
        <v/>
      </c>
      <c r="L28" s="29">
        <f>J28*K28</f>
        <v/>
      </c>
      <c r="M28" s="29">
        <f>J28*(1-K28)</f>
        <v/>
      </c>
      <c r="N28" s="6">
        <f>'02_GPU_Mix_Input'!D28</f>
        <v/>
      </c>
      <c r="O28" s="6">
        <f>'02_GPU_Mix_Input'!E28</f>
        <v/>
      </c>
      <c r="P28" s="6">
        <f>'02_GPU_Mix_Input'!F28</f>
        <v/>
      </c>
      <c r="Q28" s="6">
        <f>'02_GPU_Mix_Input'!G28</f>
        <v/>
      </c>
      <c r="R28" s="7">
        <f>INDEX('01_Benchmark_Input'!$K$2:$K$10,MATCH(B28,'01_Benchmark_Input'!$A$2:$A$10,0))</f>
        <v/>
      </c>
      <c r="S28" s="7">
        <f>INDEX('01_Benchmark_Input'!$P$2:$P$10,MATCH(B28,'01_Benchmark_Input'!$A$2:$A$10,0))</f>
        <v/>
      </c>
      <c r="T28" s="7">
        <f>INDEX('01_Benchmark_Input'!$U$2:$U$10,MATCH(B28,'01_Benchmark_Input'!$A$2:$A$10,0))</f>
        <v/>
      </c>
      <c r="U28" s="7">
        <f>INDEX('01_Benchmark_Input'!$Z$2:$Z$10,MATCH(B28,'01_Benchmark_Input'!$A$2:$A$10,0))</f>
        <v/>
      </c>
      <c r="V28" s="6">
        <f>INDEX('01_Benchmark_Input'!$D$2:$D$10,MATCH(B28,'01_Benchmark_Input'!$A$2:$A$10,0))</f>
        <v/>
      </c>
      <c r="W28" s="6">
        <f>INDEX('01_Benchmark_Input'!$E$2:$E$10,MATCH(B28,'01_Benchmark_Input'!$A$2:$A$10,0))</f>
        <v/>
      </c>
      <c r="X28" s="6">
        <f>INDEX('01_Benchmark_Input'!$F$2:$F$10,MATCH(B28,'01_Benchmark_Input'!$A$2:$A$10,0))</f>
        <v/>
      </c>
      <c r="Y28" s="7">
        <f>N28*R28+O28*S28+P28*T28+Q28*U28</f>
        <v/>
      </c>
      <c r="Z28" s="6">
        <f>'02_Inputs'!K28</f>
        <v/>
      </c>
      <c r="AA28" s="7">
        <f>Y28*Z28</f>
        <v/>
      </c>
      <c r="AB28" s="5">
        <f>L28*1000*AA28*86400</f>
        <v/>
      </c>
      <c r="AC28" s="5">
        <f>AB28*365</f>
        <v/>
      </c>
    </row>
    <row r="29">
      <c r="A29" s="5">
        <f>'02_Inputs'!A29</f>
        <v/>
      </c>
      <c r="B29" s="5">
        <f>'02_Inputs'!B29</f>
        <v/>
      </c>
      <c r="C29" s="5">
        <f>'02_Inputs'!C29</f>
        <v/>
      </c>
      <c r="D29" s="29">
        <f>'02_Inputs'!D29</f>
        <v/>
      </c>
      <c r="E29" s="6">
        <f>'02_Inputs'!E29</f>
        <v/>
      </c>
      <c r="F29" s="29">
        <f>D29*E29</f>
        <v/>
      </c>
      <c r="G29" s="5">
        <f>'02_Inputs'!F29</f>
        <v/>
      </c>
      <c r="H29" s="29">
        <f>F29/G29</f>
        <v/>
      </c>
      <c r="I29" s="6">
        <f>'02_Inputs'!G29</f>
        <v/>
      </c>
      <c r="J29" s="29">
        <f>H29*I29</f>
        <v/>
      </c>
      <c r="K29" s="6">
        <f>'02_Inputs'!H29</f>
        <v/>
      </c>
      <c r="L29" s="29">
        <f>J29*K29</f>
        <v/>
      </c>
      <c r="M29" s="29">
        <f>J29*(1-K29)</f>
        <v/>
      </c>
      <c r="N29" s="6">
        <f>'02_GPU_Mix_Input'!D29</f>
        <v/>
      </c>
      <c r="O29" s="6">
        <f>'02_GPU_Mix_Input'!E29</f>
        <v/>
      </c>
      <c r="P29" s="6">
        <f>'02_GPU_Mix_Input'!F29</f>
        <v/>
      </c>
      <c r="Q29" s="6">
        <f>'02_GPU_Mix_Input'!G29</f>
        <v/>
      </c>
      <c r="R29" s="7">
        <f>INDEX('01_Benchmark_Input'!$K$2:$K$10,MATCH(B29,'01_Benchmark_Input'!$A$2:$A$10,0))</f>
        <v/>
      </c>
      <c r="S29" s="7">
        <f>INDEX('01_Benchmark_Input'!$P$2:$P$10,MATCH(B29,'01_Benchmark_Input'!$A$2:$A$10,0))</f>
        <v/>
      </c>
      <c r="T29" s="7">
        <f>INDEX('01_Benchmark_Input'!$U$2:$U$10,MATCH(B29,'01_Benchmark_Input'!$A$2:$A$10,0))</f>
        <v/>
      </c>
      <c r="U29" s="7">
        <f>INDEX('01_Benchmark_Input'!$Z$2:$Z$10,MATCH(B29,'01_Benchmark_Input'!$A$2:$A$10,0))</f>
        <v/>
      </c>
      <c r="V29" s="6">
        <f>INDEX('01_Benchmark_Input'!$D$2:$D$10,MATCH(B29,'01_Benchmark_Input'!$A$2:$A$10,0))</f>
        <v/>
      </c>
      <c r="W29" s="6">
        <f>INDEX('01_Benchmark_Input'!$E$2:$E$10,MATCH(B29,'01_Benchmark_Input'!$A$2:$A$10,0))</f>
        <v/>
      </c>
      <c r="X29" s="6">
        <f>INDEX('01_Benchmark_Input'!$F$2:$F$10,MATCH(B29,'01_Benchmark_Input'!$A$2:$A$10,0))</f>
        <v/>
      </c>
      <c r="Y29" s="7">
        <f>N29*R29+O29*S29+P29*T29+Q29*U29</f>
        <v/>
      </c>
      <c r="Z29" s="6">
        <f>'02_Inputs'!K29</f>
        <v/>
      </c>
      <c r="AA29" s="7">
        <f>Y29*Z29</f>
        <v/>
      </c>
      <c r="AB29" s="5">
        <f>L29*1000*AA29*86400</f>
        <v/>
      </c>
      <c r="AC29" s="5">
        <f>AB29*365</f>
        <v/>
      </c>
    </row>
    <row r="30">
      <c r="A30" s="5">
        <f>'02_Inputs'!A30</f>
        <v/>
      </c>
      <c r="B30" s="5">
        <f>'02_Inputs'!B30</f>
        <v/>
      </c>
      <c r="C30" s="5">
        <f>'02_Inputs'!C30</f>
        <v/>
      </c>
      <c r="D30" s="29">
        <f>'02_Inputs'!D30</f>
        <v/>
      </c>
      <c r="E30" s="6">
        <f>'02_Inputs'!E30</f>
        <v/>
      </c>
      <c r="F30" s="29">
        <f>D30*E30</f>
        <v/>
      </c>
      <c r="G30" s="5">
        <f>'02_Inputs'!F30</f>
        <v/>
      </c>
      <c r="H30" s="29">
        <f>F30/G30</f>
        <v/>
      </c>
      <c r="I30" s="6">
        <f>'02_Inputs'!G30</f>
        <v/>
      </c>
      <c r="J30" s="29">
        <f>H30*I30</f>
        <v/>
      </c>
      <c r="K30" s="6">
        <f>'02_Inputs'!H30</f>
        <v/>
      </c>
      <c r="L30" s="29">
        <f>J30*K30</f>
        <v/>
      </c>
      <c r="M30" s="29">
        <f>J30*(1-K30)</f>
        <v/>
      </c>
      <c r="N30" s="6">
        <f>'02_GPU_Mix_Input'!D30</f>
        <v/>
      </c>
      <c r="O30" s="6">
        <f>'02_GPU_Mix_Input'!E30</f>
        <v/>
      </c>
      <c r="P30" s="6">
        <f>'02_GPU_Mix_Input'!F30</f>
        <v/>
      </c>
      <c r="Q30" s="6">
        <f>'02_GPU_Mix_Input'!G30</f>
        <v/>
      </c>
      <c r="R30" s="7">
        <f>INDEX('01_Benchmark_Input'!$K$2:$K$10,MATCH(B30,'01_Benchmark_Input'!$A$2:$A$10,0))</f>
        <v/>
      </c>
      <c r="S30" s="7">
        <f>INDEX('01_Benchmark_Input'!$P$2:$P$10,MATCH(B30,'01_Benchmark_Input'!$A$2:$A$10,0))</f>
        <v/>
      </c>
      <c r="T30" s="7">
        <f>INDEX('01_Benchmark_Input'!$U$2:$U$10,MATCH(B30,'01_Benchmark_Input'!$A$2:$A$10,0))</f>
        <v/>
      </c>
      <c r="U30" s="7">
        <f>INDEX('01_Benchmark_Input'!$Z$2:$Z$10,MATCH(B30,'01_Benchmark_Input'!$A$2:$A$10,0))</f>
        <v/>
      </c>
      <c r="V30" s="6">
        <f>INDEX('01_Benchmark_Input'!$D$2:$D$10,MATCH(B30,'01_Benchmark_Input'!$A$2:$A$10,0))</f>
        <v/>
      </c>
      <c r="W30" s="6">
        <f>INDEX('01_Benchmark_Input'!$E$2:$E$10,MATCH(B30,'01_Benchmark_Input'!$A$2:$A$10,0))</f>
        <v/>
      </c>
      <c r="X30" s="6">
        <f>INDEX('01_Benchmark_Input'!$F$2:$F$10,MATCH(B30,'01_Benchmark_Input'!$A$2:$A$10,0))</f>
        <v/>
      </c>
      <c r="Y30" s="7">
        <f>N30*R30+O30*S30+P30*T30+Q30*U30</f>
        <v/>
      </c>
      <c r="Z30" s="6">
        <f>'02_Inputs'!K30</f>
        <v/>
      </c>
      <c r="AA30" s="7">
        <f>Y30*Z30</f>
        <v/>
      </c>
      <c r="AB30" s="5">
        <f>L30*1000*AA30*86400</f>
        <v/>
      </c>
      <c r="AC30" s="5">
        <f>AB30*365</f>
        <v/>
      </c>
    </row>
    <row r="31">
      <c r="A31" s="5">
        <f>'02_Inputs'!A31</f>
        <v/>
      </c>
      <c r="B31" s="5">
        <f>'02_Inputs'!B31</f>
        <v/>
      </c>
      <c r="C31" s="5">
        <f>'02_Inputs'!C31</f>
        <v/>
      </c>
      <c r="D31" s="29">
        <f>'02_Inputs'!D31</f>
        <v/>
      </c>
      <c r="E31" s="6">
        <f>'02_Inputs'!E31</f>
        <v/>
      </c>
      <c r="F31" s="29">
        <f>D31*E31</f>
        <v/>
      </c>
      <c r="G31" s="5">
        <f>'02_Inputs'!F31</f>
        <v/>
      </c>
      <c r="H31" s="29">
        <f>F31/G31</f>
        <v/>
      </c>
      <c r="I31" s="6">
        <f>'02_Inputs'!G31</f>
        <v/>
      </c>
      <c r="J31" s="29">
        <f>H31*I31</f>
        <v/>
      </c>
      <c r="K31" s="6">
        <f>'02_Inputs'!H31</f>
        <v/>
      </c>
      <c r="L31" s="29">
        <f>J31*K31</f>
        <v/>
      </c>
      <c r="M31" s="29">
        <f>J31*(1-K31)</f>
        <v/>
      </c>
      <c r="N31" s="6">
        <f>'02_GPU_Mix_Input'!D31</f>
        <v/>
      </c>
      <c r="O31" s="6">
        <f>'02_GPU_Mix_Input'!E31</f>
        <v/>
      </c>
      <c r="P31" s="6">
        <f>'02_GPU_Mix_Input'!F31</f>
        <v/>
      </c>
      <c r="Q31" s="6">
        <f>'02_GPU_Mix_Input'!G31</f>
        <v/>
      </c>
      <c r="R31" s="7">
        <f>INDEX('01_Benchmark_Input'!$K$2:$K$10,MATCH(B31,'01_Benchmark_Input'!$A$2:$A$10,0))</f>
        <v/>
      </c>
      <c r="S31" s="7">
        <f>INDEX('01_Benchmark_Input'!$P$2:$P$10,MATCH(B31,'01_Benchmark_Input'!$A$2:$A$10,0))</f>
        <v/>
      </c>
      <c r="T31" s="7">
        <f>INDEX('01_Benchmark_Input'!$U$2:$U$10,MATCH(B31,'01_Benchmark_Input'!$A$2:$A$10,0))</f>
        <v/>
      </c>
      <c r="U31" s="7">
        <f>INDEX('01_Benchmark_Input'!$Z$2:$Z$10,MATCH(B31,'01_Benchmark_Input'!$A$2:$A$10,0))</f>
        <v/>
      </c>
      <c r="V31" s="6">
        <f>INDEX('01_Benchmark_Input'!$D$2:$D$10,MATCH(B31,'01_Benchmark_Input'!$A$2:$A$10,0))</f>
        <v/>
      </c>
      <c r="W31" s="6">
        <f>INDEX('01_Benchmark_Input'!$E$2:$E$10,MATCH(B31,'01_Benchmark_Input'!$A$2:$A$10,0))</f>
        <v/>
      </c>
      <c r="X31" s="6">
        <f>INDEX('01_Benchmark_Input'!$F$2:$F$10,MATCH(B31,'01_Benchmark_Input'!$A$2:$A$10,0))</f>
        <v/>
      </c>
      <c r="Y31" s="7">
        <f>N31*R31+O31*S31+P31*T31+Q31*U31</f>
        <v/>
      </c>
      <c r="Z31" s="6">
        <f>'02_Inputs'!K31</f>
        <v/>
      </c>
      <c r="AA31" s="7">
        <f>Y31*Z31</f>
        <v/>
      </c>
      <c r="AB31" s="5">
        <f>L31*1000*AA31*86400</f>
        <v/>
      </c>
      <c r="AC31" s="5">
        <f>AB31*365</f>
        <v/>
      </c>
    </row>
    <row r="32">
      <c r="A32" s="5">
        <f>'02_Inputs'!A32</f>
        <v/>
      </c>
      <c r="B32" s="5">
        <f>'02_Inputs'!B32</f>
        <v/>
      </c>
      <c r="C32" s="5">
        <f>'02_Inputs'!C32</f>
        <v/>
      </c>
      <c r="D32" s="29">
        <f>'02_Inputs'!D32</f>
        <v/>
      </c>
      <c r="E32" s="6">
        <f>'02_Inputs'!E32</f>
        <v/>
      </c>
      <c r="F32" s="29">
        <f>D32*E32</f>
        <v/>
      </c>
      <c r="G32" s="5">
        <f>'02_Inputs'!F32</f>
        <v/>
      </c>
      <c r="H32" s="29">
        <f>F32/G32</f>
        <v/>
      </c>
      <c r="I32" s="6">
        <f>'02_Inputs'!G32</f>
        <v/>
      </c>
      <c r="J32" s="29">
        <f>H32*I32</f>
        <v/>
      </c>
      <c r="K32" s="6">
        <f>'02_Inputs'!H32</f>
        <v/>
      </c>
      <c r="L32" s="29">
        <f>J32*K32</f>
        <v/>
      </c>
      <c r="M32" s="29">
        <f>J32*(1-K32)</f>
        <v/>
      </c>
      <c r="N32" s="6">
        <f>'02_GPU_Mix_Input'!D32</f>
        <v/>
      </c>
      <c r="O32" s="6">
        <f>'02_GPU_Mix_Input'!E32</f>
        <v/>
      </c>
      <c r="P32" s="6">
        <f>'02_GPU_Mix_Input'!F32</f>
        <v/>
      </c>
      <c r="Q32" s="6">
        <f>'02_GPU_Mix_Input'!G32</f>
        <v/>
      </c>
      <c r="R32" s="7">
        <f>INDEX('01_Benchmark_Input'!$K$2:$K$10,MATCH(B32,'01_Benchmark_Input'!$A$2:$A$10,0))</f>
        <v/>
      </c>
      <c r="S32" s="7">
        <f>INDEX('01_Benchmark_Input'!$P$2:$P$10,MATCH(B32,'01_Benchmark_Input'!$A$2:$A$10,0))</f>
        <v/>
      </c>
      <c r="T32" s="7">
        <f>INDEX('01_Benchmark_Input'!$U$2:$U$10,MATCH(B32,'01_Benchmark_Input'!$A$2:$A$10,0))</f>
        <v/>
      </c>
      <c r="U32" s="7">
        <f>INDEX('01_Benchmark_Input'!$Z$2:$Z$10,MATCH(B32,'01_Benchmark_Input'!$A$2:$A$10,0))</f>
        <v/>
      </c>
      <c r="V32" s="6">
        <f>INDEX('01_Benchmark_Input'!$D$2:$D$10,MATCH(B32,'01_Benchmark_Input'!$A$2:$A$10,0))</f>
        <v/>
      </c>
      <c r="W32" s="6">
        <f>INDEX('01_Benchmark_Input'!$E$2:$E$10,MATCH(B32,'01_Benchmark_Input'!$A$2:$A$10,0))</f>
        <v/>
      </c>
      <c r="X32" s="6">
        <f>INDEX('01_Benchmark_Input'!$F$2:$F$10,MATCH(B32,'01_Benchmark_Input'!$A$2:$A$10,0))</f>
        <v/>
      </c>
      <c r="Y32" s="7">
        <f>N32*R32+O32*S32+P32*T32+Q32*U32</f>
        <v/>
      </c>
      <c r="Z32" s="6">
        <f>'02_Inputs'!K32</f>
        <v/>
      </c>
      <c r="AA32" s="7">
        <f>Y32*Z32</f>
        <v/>
      </c>
      <c r="AB32" s="5">
        <f>L32*1000*AA32*86400</f>
        <v/>
      </c>
      <c r="AC32" s="5">
        <f>AB32*365</f>
        <v/>
      </c>
    </row>
    <row r="33">
      <c r="A33" s="5">
        <f>'02_Inputs'!A33</f>
        <v/>
      </c>
      <c r="B33" s="5">
        <f>'02_Inputs'!B33</f>
        <v/>
      </c>
      <c r="C33" s="5">
        <f>'02_Inputs'!C33</f>
        <v/>
      </c>
      <c r="D33" s="29">
        <f>'02_Inputs'!D33</f>
        <v/>
      </c>
      <c r="E33" s="6">
        <f>'02_Inputs'!E33</f>
        <v/>
      </c>
      <c r="F33" s="29">
        <f>D33*E33</f>
        <v/>
      </c>
      <c r="G33" s="5">
        <f>'02_Inputs'!F33</f>
        <v/>
      </c>
      <c r="H33" s="29">
        <f>F33/G33</f>
        <v/>
      </c>
      <c r="I33" s="6">
        <f>'02_Inputs'!G33</f>
        <v/>
      </c>
      <c r="J33" s="29">
        <f>H33*I33</f>
        <v/>
      </c>
      <c r="K33" s="6">
        <f>'02_Inputs'!H33</f>
        <v/>
      </c>
      <c r="L33" s="29">
        <f>J33*K33</f>
        <v/>
      </c>
      <c r="M33" s="29">
        <f>J33*(1-K33)</f>
        <v/>
      </c>
      <c r="N33" s="6">
        <f>'02_GPU_Mix_Input'!D33</f>
        <v/>
      </c>
      <c r="O33" s="6">
        <f>'02_GPU_Mix_Input'!E33</f>
        <v/>
      </c>
      <c r="P33" s="6">
        <f>'02_GPU_Mix_Input'!F33</f>
        <v/>
      </c>
      <c r="Q33" s="6">
        <f>'02_GPU_Mix_Input'!G33</f>
        <v/>
      </c>
      <c r="R33" s="7">
        <f>INDEX('01_Benchmark_Input'!$K$2:$K$10,MATCH(B33,'01_Benchmark_Input'!$A$2:$A$10,0))</f>
        <v/>
      </c>
      <c r="S33" s="7">
        <f>INDEX('01_Benchmark_Input'!$P$2:$P$10,MATCH(B33,'01_Benchmark_Input'!$A$2:$A$10,0))</f>
        <v/>
      </c>
      <c r="T33" s="7">
        <f>INDEX('01_Benchmark_Input'!$U$2:$U$10,MATCH(B33,'01_Benchmark_Input'!$A$2:$A$10,0))</f>
        <v/>
      </c>
      <c r="U33" s="7">
        <f>INDEX('01_Benchmark_Input'!$Z$2:$Z$10,MATCH(B33,'01_Benchmark_Input'!$A$2:$A$10,0))</f>
        <v/>
      </c>
      <c r="V33" s="6">
        <f>INDEX('01_Benchmark_Input'!$D$2:$D$10,MATCH(B33,'01_Benchmark_Input'!$A$2:$A$10,0))</f>
        <v/>
      </c>
      <c r="W33" s="6">
        <f>INDEX('01_Benchmark_Input'!$E$2:$E$10,MATCH(B33,'01_Benchmark_Input'!$A$2:$A$10,0))</f>
        <v/>
      </c>
      <c r="X33" s="6">
        <f>INDEX('01_Benchmark_Input'!$F$2:$F$10,MATCH(B33,'01_Benchmark_Input'!$A$2:$A$10,0))</f>
        <v/>
      </c>
      <c r="Y33" s="7">
        <f>N33*R33+O33*S33+P33*T33+Q33*U33</f>
        <v/>
      </c>
      <c r="Z33" s="6">
        <f>'02_Inputs'!K33</f>
        <v/>
      </c>
      <c r="AA33" s="7">
        <f>Y33*Z33</f>
        <v/>
      </c>
      <c r="AB33" s="5">
        <f>L33*1000*AA33*86400</f>
        <v/>
      </c>
      <c r="AC33" s="5">
        <f>AB33*365</f>
        <v/>
      </c>
    </row>
    <row r="34">
      <c r="A34" s="5">
        <f>'02_Inputs'!A34</f>
        <v/>
      </c>
      <c r="B34" s="5">
        <f>'02_Inputs'!B34</f>
        <v/>
      </c>
      <c r="C34" s="5">
        <f>'02_Inputs'!C34</f>
        <v/>
      </c>
      <c r="D34" s="29">
        <f>'02_Inputs'!D34</f>
        <v/>
      </c>
      <c r="E34" s="6">
        <f>'02_Inputs'!E34</f>
        <v/>
      </c>
      <c r="F34" s="29">
        <f>D34*E34</f>
        <v/>
      </c>
      <c r="G34" s="5">
        <f>'02_Inputs'!F34</f>
        <v/>
      </c>
      <c r="H34" s="29">
        <f>F34/G34</f>
        <v/>
      </c>
      <c r="I34" s="6">
        <f>'02_Inputs'!G34</f>
        <v/>
      </c>
      <c r="J34" s="29">
        <f>H34*I34</f>
        <v/>
      </c>
      <c r="K34" s="6">
        <f>'02_Inputs'!H34</f>
        <v/>
      </c>
      <c r="L34" s="29">
        <f>J34*K34</f>
        <v/>
      </c>
      <c r="M34" s="29">
        <f>J34*(1-K34)</f>
        <v/>
      </c>
      <c r="N34" s="6">
        <f>'02_GPU_Mix_Input'!D34</f>
        <v/>
      </c>
      <c r="O34" s="6">
        <f>'02_GPU_Mix_Input'!E34</f>
        <v/>
      </c>
      <c r="P34" s="6">
        <f>'02_GPU_Mix_Input'!F34</f>
        <v/>
      </c>
      <c r="Q34" s="6">
        <f>'02_GPU_Mix_Input'!G34</f>
        <v/>
      </c>
      <c r="R34" s="7">
        <f>INDEX('01_Benchmark_Input'!$K$2:$K$10,MATCH(B34,'01_Benchmark_Input'!$A$2:$A$10,0))</f>
        <v/>
      </c>
      <c r="S34" s="7">
        <f>INDEX('01_Benchmark_Input'!$P$2:$P$10,MATCH(B34,'01_Benchmark_Input'!$A$2:$A$10,0))</f>
        <v/>
      </c>
      <c r="T34" s="7">
        <f>INDEX('01_Benchmark_Input'!$U$2:$U$10,MATCH(B34,'01_Benchmark_Input'!$A$2:$A$10,0))</f>
        <v/>
      </c>
      <c r="U34" s="7">
        <f>INDEX('01_Benchmark_Input'!$Z$2:$Z$10,MATCH(B34,'01_Benchmark_Input'!$A$2:$A$10,0))</f>
        <v/>
      </c>
      <c r="V34" s="6">
        <f>INDEX('01_Benchmark_Input'!$D$2:$D$10,MATCH(B34,'01_Benchmark_Input'!$A$2:$A$10,0))</f>
        <v/>
      </c>
      <c r="W34" s="6">
        <f>INDEX('01_Benchmark_Input'!$E$2:$E$10,MATCH(B34,'01_Benchmark_Input'!$A$2:$A$10,0))</f>
        <v/>
      </c>
      <c r="X34" s="6">
        <f>INDEX('01_Benchmark_Input'!$F$2:$F$10,MATCH(B34,'01_Benchmark_Input'!$A$2:$A$10,0))</f>
        <v/>
      </c>
      <c r="Y34" s="7">
        <f>N34*R34+O34*S34+P34*T34+Q34*U34</f>
        <v/>
      </c>
      <c r="Z34" s="6">
        <f>'02_Inputs'!K34</f>
        <v/>
      </c>
      <c r="AA34" s="7">
        <f>Y34*Z34</f>
        <v/>
      </c>
      <c r="AB34" s="5">
        <f>L34*1000*AA34*86400</f>
        <v/>
      </c>
      <c r="AC34" s="5">
        <f>AB34*365</f>
        <v/>
      </c>
    </row>
    <row r="35">
      <c r="A35" s="5">
        <f>'02_Inputs'!A35</f>
        <v/>
      </c>
      <c r="B35" s="5">
        <f>'02_Inputs'!B35</f>
        <v/>
      </c>
      <c r="C35" s="5">
        <f>'02_Inputs'!C35</f>
        <v/>
      </c>
      <c r="D35" s="29">
        <f>'02_Inputs'!D35</f>
        <v/>
      </c>
      <c r="E35" s="6">
        <f>'02_Inputs'!E35</f>
        <v/>
      </c>
      <c r="F35" s="29">
        <f>D35*E35</f>
        <v/>
      </c>
      <c r="G35" s="5">
        <f>'02_Inputs'!F35</f>
        <v/>
      </c>
      <c r="H35" s="29">
        <f>F35/G35</f>
        <v/>
      </c>
      <c r="I35" s="6">
        <f>'02_Inputs'!G35</f>
        <v/>
      </c>
      <c r="J35" s="29">
        <f>H35*I35</f>
        <v/>
      </c>
      <c r="K35" s="6">
        <f>'02_Inputs'!H35</f>
        <v/>
      </c>
      <c r="L35" s="29">
        <f>J35*K35</f>
        <v/>
      </c>
      <c r="M35" s="29">
        <f>J35*(1-K35)</f>
        <v/>
      </c>
      <c r="N35" s="6">
        <f>'02_GPU_Mix_Input'!D35</f>
        <v/>
      </c>
      <c r="O35" s="6">
        <f>'02_GPU_Mix_Input'!E35</f>
        <v/>
      </c>
      <c r="P35" s="6">
        <f>'02_GPU_Mix_Input'!F35</f>
        <v/>
      </c>
      <c r="Q35" s="6">
        <f>'02_GPU_Mix_Input'!G35</f>
        <v/>
      </c>
      <c r="R35" s="7">
        <f>INDEX('01_Benchmark_Input'!$K$2:$K$10,MATCH(B35,'01_Benchmark_Input'!$A$2:$A$10,0))</f>
        <v/>
      </c>
      <c r="S35" s="7">
        <f>INDEX('01_Benchmark_Input'!$P$2:$P$10,MATCH(B35,'01_Benchmark_Input'!$A$2:$A$10,0))</f>
        <v/>
      </c>
      <c r="T35" s="7">
        <f>INDEX('01_Benchmark_Input'!$U$2:$U$10,MATCH(B35,'01_Benchmark_Input'!$A$2:$A$10,0))</f>
        <v/>
      </c>
      <c r="U35" s="7">
        <f>INDEX('01_Benchmark_Input'!$Z$2:$Z$10,MATCH(B35,'01_Benchmark_Input'!$A$2:$A$10,0))</f>
        <v/>
      </c>
      <c r="V35" s="6">
        <f>INDEX('01_Benchmark_Input'!$D$2:$D$10,MATCH(B35,'01_Benchmark_Input'!$A$2:$A$10,0))</f>
        <v/>
      </c>
      <c r="W35" s="6">
        <f>INDEX('01_Benchmark_Input'!$E$2:$E$10,MATCH(B35,'01_Benchmark_Input'!$A$2:$A$10,0))</f>
        <v/>
      </c>
      <c r="X35" s="6">
        <f>INDEX('01_Benchmark_Input'!$F$2:$F$10,MATCH(B35,'01_Benchmark_Input'!$A$2:$A$10,0))</f>
        <v/>
      </c>
      <c r="Y35" s="7">
        <f>N35*R35+O35*S35+P35*T35+Q35*U35</f>
        <v/>
      </c>
      <c r="Z35" s="6">
        <f>'02_Inputs'!K35</f>
        <v/>
      </c>
      <c r="AA35" s="7">
        <f>Y35*Z35</f>
        <v/>
      </c>
      <c r="AB35" s="5">
        <f>L35*1000*AA35*86400</f>
        <v/>
      </c>
      <c r="AC35" s="5">
        <f>AB35*365</f>
        <v/>
      </c>
    </row>
    <row r="36">
      <c r="A36" s="5">
        <f>'02_Inputs'!A36</f>
        <v/>
      </c>
      <c r="B36" s="5">
        <f>'02_Inputs'!B36</f>
        <v/>
      </c>
      <c r="C36" s="5">
        <f>'02_Inputs'!C36</f>
        <v/>
      </c>
      <c r="D36" s="29">
        <f>'02_Inputs'!D36</f>
        <v/>
      </c>
      <c r="E36" s="6">
        <f>'02_Inputs'!E36</f>
        <v/>
      </c>
      <c r="F36" s="29">
        <f>D36*E36</f>
        <v/>
      </c>
      <c r="G36" s="5">
        <f>'02_Inputs'!F36</f>
        <v/>
      </c>
      <c r="H36" s="29">
        <f>F36/G36</f>
        <v/>
      </c>
      <c r="I36" s="6">
        <f>'02_Inputs'!G36</f>
        <v/>
      </c>
      <c r="J36" s="29">
        <f>H36*I36</f>
        <v/>
      </c>
      <c r="K36" s="6">
        <f>'02_Inputs'!H36</f>
        <v/>
      </c>
      <c r="L36" s="29">
        <f>J36*K36</f>
        <v/>
      </c>
      <c r="M36" s="29">
        <f>J36*(1-K36)</f>
        <v/>
      </c>
      <c r="N36" s="6">
        <f>'02_GPU_Mix_Input'!D36</f>
        <v/>
      </c>
      <c r="O36" s="6">
        <f>'02_GPU_Mix_Input'!E36</f>
        <v/>
      </c>
      <c r="P36" s="6">
        <f>'02_GPU_Mix_Input'!F36</f>
        <v/>
      </c>
      <c r="Q36" s="6">
        <f>'02_GPU_Mix_Input'!G36</f>
        <v/>
      </c>
      <c r="R36" s="7">
        <f>INDEX('01_Benchmark_Input'!$K$2:$K$10,MATCH(B36,'01_Benchmark_Input'!$A$2:$A$10,0))</f>
        <v/>
      </c>
      <c r="S36" s="7">
        <f>INDEX('01_Benchmark_Input'!$P$2:$P$10,MATCH(B36,'01_Benchmark_Input'!$A$2:$A$10,0))</f>
        <v/>
      </c>
      <c r="T36" s="7">
        <f>INDEX('01_Benchmark_Input'!$U$2:$U$10,MATCH(B36,'01_Benchmark_Input'!$A$2:$A$10,0))</f>
        <v/>
      </c>
      <c r="U36" s="7">
        <f>INDEX('01_Benchmark_Input'!$Z$2:$Z$10,MATCH(B36,'01_Benchmark_Input'!$A$2:$A$10,0))</f>
        <v/>
      </c>
      <c r="V36" s="6">
        <f>INDEX('01_Benchmark_Input'!$D$2:$D$10,MATCH(B36,'01_Benchmark_Input'!$A$2:$A$10,0))</f>
        <v/>
      </c>
      <c r="W36" s="6">
        <f>INDEX('01_Benchmark_Input'!$E$2:$E$10,MATCH(B36,'01_Benchmark_Input'!$A$2:$A$10,0))</f>
        <v/>
      </c>
      <c r="X36" s="6">
        <f>INDEX('01_Benchmark_Input'!$F$2:$F$10,MATCH(B36,'01_Benchmark_Input'!$A$2:$A$10,0))</f>
        <v/>
      </c>
      <c r="Y36" s="7">
        <f>N36*R36+O36*S36+P36*T36+Q36*U36</f>
        <v/>
      </c>
      <c r="Z36" s="6">
        <f>'02_Inputs'!K36</f>
        <v/>
      </c>
      <c r="AA36" s="7">
        <f>Y36*Z36</f>
        <v/>
      </c>
      <c r="AB36" s="5">
        <f>L36*1000*AA36*86400</f>
        <v/>
      </c>
      <c r="AC36" s="5">
        <f>AB36*365</f>
        <v/>
      </c>
    </row>
    <row r="37">
      <c r="A37" s="5">
        <f>'02_Inputs'!A37</f>
        <v/>
      </c>
      <c r="B37" s="5">
        <f>'02_Inputs'!B37</f>
        <v/>
      </c>
      <c r="C37" s="5">
        <f>'02_Inputs'!C37</f>
        <v/>
      </c>
      <c r="D37" s="29">
        <f>'02_Inputs'!D37</f>
        <v/>
      </c>
      <c r="E37" s="6">
        <f>'02_Inputs'!E37</f>
        <v/>
      </c>
      <c r="F37" s="29">
        <f>D37*E37</f>
        <v/>
      </c>
      <c r="G37" s="5">
        <f>'02_Inputs'!F37</f>
        <v/>
      </c>
      <c r="H37" s="29">
        <f>F37/G37</f>
        <v/>
      </c>
      <c r="I37" s="6">
        <f>'02_Inputs'!G37</f>
        <v/>
      </c>
      <c r="J37" s="29">
        <f>H37*I37</f>
        <v/>
      </c>
      <c r="K37" s="6">
        <f>'02_Inputs'!H37</f>
        <v/>
      </c>
      <c r="L37" s="29">
        <f>J37*K37</f>
        <v/>
      </c>
      <c r="M37" s="29">
        <f>J37*(1-K37)</f>
        <v/>
      </c>
      <c r="N37" s="6">
        <f>'02_GPU_Mix_Input'!D37</f>
        <v/>
      </c>
      <c r="O37" s="6">
        <f>'02_GPU_Mix_Input'!E37</f>
        <v/>
      </c>
      <c r="P37" s="6">
        <f>'02_GPU_Mix_Input'!F37</f>
        <v/>
      </c>
      <c r="Q37" s="6">
        <f>'02_GPU_Mix_Input'!G37</f>
        <v/>
      </c>
      <c r="R37" s="7">
        <f>INDEX('01_Benchmark_Input'!$K$2:$K$10,MATCH(B37,'01_Benchmark_Input'!$A$2:$A$10,0))</f>
        <v/>
      </c>
      <c r="S37" s="7">
        <f>INDEX('01_Benchmark_Input'!$P$2:$P$10,MATCH(B37,'01_Benchmark_Input'!$A$2:$A$10,0))</f>
        <v/>
      </c>
      <c r="T37" s="7">
        <f>INDEX('01_Benchmark_Input'!$U$2:$U$10,MATCH(B37,'01_Benchmark_Input'!$A$2:$A$10,0))</f>
        <v/>
      </c>
      <c r="U37" s="7">
        <f>INDEX('01_Benchmark_Input'!$Z$2:$Z$10,MATCH(B37,'01_Benchmark_Input'!$A$2:$A$10,0))</f>
        <v/>
      </c>
      <c r="V37" s="6">
        <f>INDEX('01_Benchmark_Input'!$D$2:$D$10,MATCH(B37,'01_Benchmark_Input'!$A$2:$A$10,0))</f>
        <v/>
      </c>
      <c r="W37" s="6">
        <f>INDEX('01_Benchmark_Input'!$E$2:$E$10,MATCH(B37,'01_Benchmark_Input'!$A$2:$A$10,0))</f>
        <v/>
      </c>
      <c r="X37" s="6">
        <f>INDEX('01_Benchmark_Input'!$F$2:$F$10,MATCH(B37,'01_Benchmark_Input'!$A$2:$A$10,0))</f>
        <v/>
      </c>
      <c r="Y37" s="7">
        <f>N37*R37+O37*S37+P37*T37+Q37*U37</f>
        <v/>
      </c>
      <c r="Z37" s="6">
        <f>'02_Inputs'!K37</f>
        <v/>
      </c>
      <c r="AA37" s="7">
        <f>Y37*Z37</f>
        <v/>
      </c>
      <c r="AB37" s="5">
        <f>L37*1000*AA37*86400</f>
        <v/>
      </c>
      <c r="AC37" s="5">
        <f>AB37*365</f>
        <v/>
      </c>
    </row>
    <row r="38">
      <c r="A38" s="5">
        <f>'02_Inputs'!A38</f>
        <v/>
      </c>
      <c r="B38" s="5">
        <f>'02_Inputs'!B38</f>
        <v/>
      </c>
      <c r="C38" s="5">
        <f>'02_Inputs'!C38</f>
        <v/>
      </c>
      <c r="D38" s="29">
        <f>'02_Inputs'!D38</f>
        <v/>
      </c>
      <c r="E38" s="6">
        <f>'02_Inputs'!E38</f>
        <v/>
      </c>
      <c r="F38" s="29">
        <f>D38*E38</f>
        <v/>
      </c>
      <c r="G38" s="5">
        <f>'02_Inputs'!F38</f>
        <v/>
      </c>
      <c r="H38" s="29">
        <f>F38/G38</f>
        <v/>
      </c>
      <c r="I38" s="6">
        <f>'02_Inputs'!G38</f>
        <v/>
      </c>
      <c r="J38" s="29">
        <f>H38*I38</f>
        <v/>
      </c>
      <c r="K38" s="6">
        <f>'02_Inputs'!H38</f>
        <v/>
      </c>
      <c r="L38" s="29">
        <f>J38*K38</f>
        <v/>
      </c>
      <c r="M38" s="29">
        <f>J38*(1-K38)</f>
        <v/>
      </c>
      <c r="N38" s="6">
        <f>'02_GPU_Mix_Input'!D38</f>
        <v/>
      </c>
      <c r="O38" s="6">
        <f>'02_GPU_Mix_Input'!E38</f>
        <v/>
      </c>
      <c r="P38" s="6">
        <f>'02_GPU_Mix_Input'!F38</f>
        <v/>
      </c>
      <c r="Q38" s="6">
        <f>'02_GPU_Mix_Input'!G38</f>
        <v/>
      </c>
      <c r="R38" s="7">
        <f>INDEX('01_Benchmark_Input'!$K$2:$K$10,MATCH(B38,'01_Benchmark_Input'!$A$2:$A$10,0))</f>
        <v/>
      </c>
      <c r="S38" s="7">
        <f>INDEX('01_Benchmark_Input'!$P$2:$P$10,MATCH(B38,'01_Benchmark_Input'!$A$2:$A$10,0))</f>
        <v/>
      </c>
      <c r="T38" s="7">
        <f>INDEX('01_Benchmark_Input'!$U$2:$U$10,MATCH(B38,'01_Benchmark_Input'!$A$2:$A$10,0))</f>
        <v/>
      </c>
      <c r="U38" s="7">
        <f>INDEX('01_Benchmark_Input'!$Z$2:$Z$10,MATCH(B38,'01_Benchmark_Input'!$A$2:$A$10,0))</f>
        <v/>
      </c>
      <c r="V38" s="6">
        <f>INDEX('01_Benchmark_Input'!$D$2:$D$10,MATCH(B38,'01_Benchmark_Input'!$A$2:$A$10,0))</f>
        <v/>
      </c>
      <c r="W38" s="6">
        <f>INDEX('01_Benchmark_Input'!$E$2:$E$10,MATCH(B38,'01_Benchmark_Input'!$A$2:$A$10,0))</f>
        <v/>
      </c>
      <c r="X38" s="6">
        <f>INDEX('01_Benchmark_Input'!$F$2:$F$10,MATCH(B38,'01_Benchmark_Input'!$A$2:$A$10,0))</f>
        <v/>
      </c>
      <c r="Y38" s="7">
        <f>N38*R38+O38*S38+P38*T38+Q38*U38</f>
        <v/>
      </c>
      <c r="Z38" s="6">
        <f>'02_Inputs'!K38</f>
        <v/>
      </c>
      <c r="AA38" s="7">
        <f>Y38*Z38</f>
        <v/>
      </c>
      <c r="AB38" s="5">
        <f>L38*1000*AA38*86400</f>
        <v/>
      </c>
      <c r="AC38" s="5">
        <f>AB38*365</f>
        <v/>
      </c>
    </row>
    <row r="39">
      <c r="A39" s="5">
        <f>'02_Inputs'!A39</f>
        <v/>
      </c>
      <c r="B39" s="5">
        <f>'02_Inputs'!B39</f>
        <v/>
      </c>
      <c r="C39" s="5">
        <f>'02_Inputs'!C39</f>
        <v/>
      </c>
      <c r="D39" s="29">
        <f>'02_Inputs'!D39</f>
        <v/>
      </c>
      <c r="E39" s="6">
        <f>'02_Inputs'!E39</f>
        <v/>
      </c>
      <c r="F39" s="29">
        <f>D39*E39</f>
        <v/>
      </c>
      <c r="G39" s="5">
        <f>'02_Inputs'!F39</f>
        <v/>
      </c>
      <c r="H39" s="29">
        <f>F39/G39</f>
        <v/>
      </c>
      <c r="I39" s="6">
        <f>'02_Inputs'!G39</f>
        <v/>
      </c>
      <c r="J39" s="29">
        <f>H39*I39</f>
        <v/>
      </c>
      <c r="K39" s="6">
        <f>'02_Inputs'!H39</f>
        <v/>
      </c>
      <c r="L39" s="29">
        <f>J39*K39</f>
        <v/>
      </c>
      <c r="M39" s="29">
        <f>J39*(1-K39)</f>
        <v/>
      </c>
      <c r="N39" s="6">
        <f>'02_GPU_Mix_Input'!D39</f>
        <v/>
      </c>
      <c r="O39" s="6">
        <f>'02_GPU_Mix_Input'!E39</f>
        <v/>
      </c>
      <c r="P39" s="6">
        <f>'02_GPU_Mix_Input'!F39</f>
        <v/>
      </c>
      <c r="Q39" s="6">
        <f>'02_GPU_Mix_Input'!G39</f>
        <v/>
      </c>
      <c r="R39" s="7">
        <f>INDEX('01_Benchmark_Input'!$K$2:$K$10,MATCH(B39,'01_Benchmark_Input'!$A$2:$A$10,0))</f>
        <v/>
      </c>
      <c r="S39" s="7">
        <f>INDEX('01_Benchmark_Input'!$P$2:$P$10,MATCH(B39,'01_Benchmark_Input'!$A$2:$A$10,0))</f>
        <v/>
      </c>
      <c r="T39" s="7">
        <f>INDEX('01_Benchmark_Input'!$U$2:$U$10,MATCH(B39,'01_Benchmark_Input'!$A$2:$A$10,0))</f>
        <v/>
      </c>
      <c r="U39" s="7">
        <f>INDEX('01_Benchmark_Input'!$Z$2:$Z$10,MATCH(B39,'01_Benchmark_Input'!$A$2:$A$10,0))</f>
        <v/>
      </c>
      <c r="V39" s="6">
        <f>INDEX('01_Benchmark_Input'!$D$2:$D$10,MATCH(B39,'01_Benchmark_Input'!$A$2:$A$10,0))</f>
        <v/>
      </c>
      <c r="W39" s="6">
        <f>INDEX('01_Benchmark_Input'!$E$2:$E$10,MATCH(B39,'01_Benchmark_Input'!$A$2:$A$10,0))</f>
        <v/>
      </c>
      <c r="X39" s="6">
        <f>INDEX('01_Benchmark_Input'!$F$2:$F$10,MATCH(B39,'01_Benchmark_Input'!$A$2:$A$10,0))</f>
        <v/>
      </c>
      <c r="Y39" s="7">
        <f>N39*R39+O39*S39+P39*T39+Q39*U39</f>
        <v/>
      </c>
      <c r="Z39" s="6">
        <f>'02_Inputs'!K39</f>
        <v/>
      </c>
      <c r="AA39" s="7">
        <f>Y39*Z39</f>
        <v/>
      </c>
      <c r="AB39" s="5">
        <f>L39*1000*AA39*86400</f>
        <v/>
      </c>
      <c r="AC39" s="5">
        <f>AB39*365</f>
        <v/>
      </c>
    </row>
    <row r="40">
      <c r="A40" s="5">
        <f>'02_Inputs'!A40</f>
        <v/>
      </c>
      <c r="B40" s="5">
        <f>'02_Inputs'!B40</f>
        <v/>
      </c>
      <c r="C40" s="5">
        <f>'02_Inputs'!C40</f>
        <v/>
      </c>
      <c r="D40" s="29">
        <f>'02_Inputs'!D40</f>
        <v/>
      </c>
      <c r="E40" s="6">
        <f>'02_Inputs'!E40</f>
        <v/>
      </c>
      <c r="F40" s="29">
        <f>D40*E40</f>
        <v/>
      </c>
      <c r="G40" s="5">
        <f>'02_Inputs'!F40</f>
        <v/>
      </c>
      <c r="H40" s="29">
        <f>F40/G40</f>
        <v/>
      </c>
      <c r="I40" s="6">
        <f>'02_Inputs'!G40</f>
        <v/>
      </c>
      <c r="J40" s="29">
        <f>H40*I40</f>
        <v/>
      </c>
      <c r="K40" s="6">
        <f>'02_Inputs'!H40</f>
        <v/>
      </c>
      <c r="L40" s="29">
        <f>J40*K40</f>
        <v/>
      </c>
      <c r="M40" s="29">
        <f>J40*(1-K40)</f>
        <v/>
      </c>
      <c r="N40" s="6">
        <f>'02_GPU_Mix_Input'!D40</f>
        <v/>
      </c>
      <c r="O40" s="6">
        <f>'02_GPU_Mix_Input'!E40</f>
        <v/>
      </c>
      <c r="P40" s="6">
        <f>'02_GPU_Mix_Input'!F40</f>
        <v/>
      </c>
      <c r="Q40" s="6">
        <f>'02_GPU_Mix_Input'!G40</f>
        <v/>
      </c>
      <c r="R40" s="7">
        <f>INDEX('01_Benchmark_Input'!$K$2:$K$10,MATCH(B40,'01_Benchmark_Input'!$A$2:$A$10,0))</f>
        <v/>
      </c>
      <c r="S40" s="7">
        <f>INDEX('01_Benchmark_Input'!$P$2:$P$10,MATCH(B40,'01_Benchmark_Input'!$A$2:$A$10,0))</f>
        <v/>
      </c>
      <c r="T40" s="7">
        <f>INDEX('01_Benchmark_Input'!$U$2:$U$10,MATCH(B40,'01_Benchmark_Input'!$A$2:$A$10,0))</f>
        <v/>
      </c>
      <c r="U40" s="7">
        <f>INDEX('01_Benchmark_Input'!$Z$2:$Z$10,MATCH(B40,'01_Benchmark_Input'!$A$2:$A$10,0))</f>
        <v/>
      </c>
      <c r="V40" s="6">
        <f>INDEX('01_Benchmark_Input'!$D$2:$D$10,MATCH(B40,'01_Benchmark_Input'!$A$2:$A$10,0))</f>
        <v/>
      </c>
      <c r="W40" s="6">
        <f>INDEX('01_Benchmark_Input'!$E$2:$E$10,MATCH(B40,'01_Benchmark_Input'!$A$2:$A$10,0))</f>
        <v/>
      </c>
      <c r="X40" s="6">
        <f>INDEX('01_Benchmark_Input'!$F$2:$F$10,MATCH(B40,'01_Benchmark_Input'!$A$2:$A$10,0))</f>
        <v/>
      </c>
      <c r="Y40" s="7">
        <f>N40*R40+O40*S40+P40*T40+Q40*U40</f>
        <v/>
      </c>
      <c r="Z40" s="6">
        <f>'02_Inputs'!K40</f>
        <v/>
      </c>
      <c r="AA40" s="7">
        <f>Y40*Z40</f>
        <v/>
      </c>
      <c r="AB40" s="5">
        <f>L40*1000*AA40*86400</f>
        <v/>
      </c>
      <c r="AC40" s="5">
        <f>AB40*365</f>
        <v/>
      </c>
    </row>
    <row r="41">
      <c r="A41" s="5">
        <f>'02_Inputs'!A41</f>
        <v/>
      </c>
      <c r="B41" s="5">
        <f>'02_Inputs'!B41</f>
        <v/>
      </c>
      <c r="C41" s="5">
        <f>'02_Inputs'!C41</f>
        <v/>
      </c>
      <c r="D41" s="29">
        <f>'02_Inputs'!D41</f>
        <v/>
      </c>
      <c r="E41" s="6">
        <f>'02_Inputs'!E41</f>
        <v/>
      </c>
      <c r="F41" s="29">
        <f>D41*E41</f>
        <v/>
      </c>
      <c r="G41" s="5">
        <f>'02_Inputs'!F41</f>
        <v/>
      </c>
      <c r="H41" s="29">
        <f>F41/G41</f>
        <v/>
      </c>
      <c r="I41" s="6">
        <f>'02_Inputs'!G41</f>
        <v/>
      </c>
      <c r="J41" s="29">
        <f>H41*I41</f>
        <v/>
      </c>
      <c r="K41" s="6">
        <f>'02_Inputs'!H41</f>
        <v/>
      </c>
      <c r="L41" s="29">
        <f>J41*K41</f>
        <v/>
      </c>
      <c r="M41" s="29">
        <f>J41*(1-K41)</f>
        <v/>
      </c>
      <c r="N41" s="6">
        <f>'02_GPU_Mix_Input'!D41</f>
        <v/>
      </c>
      <c r="O41" s="6">
        <f>'02_GPU_Mix_Input'!E41</f>
        <v/>
      </c>
      <c r="P41" s="6">
        <f>'02_GPU_Mix_Input'!F41</f>
        <v/>
      </c>
      <c r="Q41" s="6">
        <f>'02_GPU_Mix_Input'!G41</f>
        <v/>
      </c>
      <c r="R41" s="7">
        <f>INDEX('01_Benchmark_Input'!$K$2:$K$10,MATCH(B41,'01_Benchmark_Input'!$A$2:$A$10,0))</f>
        <v/>
      </c>
      <c r="S41" s="7">
        <f>INDEX('01_Benchmark_Input'!$P$2:$P$10,MATCH(B41,'01_Benchmark_Input'!$A$2:$A$10,0))</f>
        <v/>
      </c>
      <c r="T41" s="7">
        <f>INDEX('01_Benchmark_Input'!$U$2:$U$10,MATCH(B41,'01_Benchmark_Input'!$A$2:$A$10,0))</f>
        <v/>
      </c>
      <c r="U41" s="7">
        <f>INDEX('01_Benchmark_Input'!$Z$2:$Z$10,MATCH(B41,'01_Benchmark_Input'!$A$2:$A$10,0))</f>
        <v/>
      </c>
      <c r="V41" s="6">
        <f>INDEX('01_Benchmark_Input'!$D$2:$D$10,MATCH(B41,'01_Benchmark_Input'!$A$2:$A$10,0))</f>
        <v/>
      </c>
      <c r="W41" s="6">
        <f>INDEX('01_Benchmark_Input'!$E$2:$E$10,MATCH(B41,'01_Benchmark_Input'!$A$2:$A$10,0))</f>
        <v/>
      </c>
      <c r="X41" s="6">
        <f>INDEX('01_Benchmark_Input'!$F$2:$F$10,MATCH(B41,'01_Benchmark_Input'!$A$2:$A$10,0))</f>
        <v/>
      </c>
      <c r="Y41" s="7">
        <f>N41*R41+O41*S41+P41*T41+Q41*U41</f>
        <v/>
      </c>
      <c r="Z41" s="6">
        <f>'02_Inputs'!K41</f>
        <v/>
      </c>
      <c r="AA41" s="7">
        <f>Y41*Z41</f>
        <v/>
      </c>
      <c r="AB41" s="5">
        <f>L41*1000*AA41*86400</f>
        <v/>
      </c>
      <c r="AC41" s="5">
        <f>AB41*365</f>
        <v/>
      </c>
    </row>
    <row r="42">
      <c r="A42" s="5">
        <f>'02_Inputs'!A42</f>
        <v/>
      </c>
      <c r="B42" s="5">
        <f>'02_Inputs'!B42</f>
        <v/>
      </c>
      <c r="C42" s="5">
        <f>'02_Inputs'!C42</f>
        <v/>
      </c>
      <c r="D42" s="29">
        <f>'02_Inputs'!D42</f>
        <v/>
      </c>
      <c r="E42" s="6">
        <f>'02_Inputs'!E42</f>
        <v/>
      </c>
      <c r="F42" s="29">
        <f>D42*E42</f>
        <v/>
      </c>
      <c r="G42" s="5">
        <f>'02_Inputs'!F42</f>
        <v/>
      </c>
      <c r="H42" s="29">
        <f>F42/G42</f>
        <v/>
      </c>
      <c r="I42" s="6">
        <f>'02_Inputs'!G42</f>
        <v/>
      </c>
      <c r="J42" s="29">
        <f>H42*I42</f>
        <v/>
      </c>
      <c r="K42" s="6">
        <f>'02_Inputs'!H42</f>
        <v/>
      </c>
      <c r="L42" s="29">
        <f>J42*K42</f>
        <v/>
      </c>
      <c r="M42" s="29">
        <f>J42*(1-K42)</f>
        <v/>
      </c>
      <c r="N42" s="6">
        <f>'02_GPU_Mix_Input'!D42</f>
        <v/>
      </c>
      <c r="O42" s="6">
        <f>'02_GPU_Mix_Input'!E42</f>
        <v/>
      </c>
      <c r="P42" s="6">
        <f>'02_GPU_Mix_Input'!F42</f>
        <v/>
      </c>
      <c r="Q42" s="6">
        <f>'02_GPU_Mix_Input'!G42</f>
        <v/>
      </c>
      <c r="R42" s="7">
        <f>INDEX('01_Benchmark_Input'!$K$2:$K$10,MATCH(B42,'01_Benchmark_Input'!$A$2:$A$10,0))</f>
        <v/>
      </c>
      <c r="S42" s="7">
        <f>INDEX('01_Benchmark_Input'!$P$2:$P$10,MATCH(B42,'01_Benchmark_Input'!$A$2:$A$10,0))</f>
        <v/>
      </c>
      <c r="T42" s="7">
        <f>INDEX('01_Benchmark_Input'!$U$2:$U$10,MATCH(B42,'01_Benchmark_Input'!$A$2:$A$10,0))</f>
        <v/>
      </c>
      <c r="U42" s="7">
        <f>INDEX('01_Benchmark_Input'!$Z$2:$Z$10,MATCH(B42,'01_Benchmark_Input'!$A$2:$A$10,0))</f>
        <v/>
      </c>
      <c r="V42" s="6">
        <f>INDEX('01_Benchmark_Input'!$D$2:$D$10,MATCH(B42,'01_Benchmark_Input'!$A$2:$A$10,0))</f>
        <v/>
      </c>
      <c r="W42" s="6">
        <f>INDEX('01_Benchmark_Input'!$E$2:$E$10,MATCH(B42,'01_Benchmark_Input'!$A$2:$A$10,0))</f>
        <v/>
      </c>
      <c r="X42" s="6">
        <f>INDEX('01_Benchmark_Input'!$F$2:$F$10,MATCH(B42,'01_Benchmark_Input'!$A$2:$A$10,0))</f>
        <v/>
      </c>
      <c r="Y42" s="7">
        <f>N42*R42+O42*S42+P42*T42+Q42*U42</f>
        <v/>
      </c>
      <c r="Z42" s="6">
        <f>'02_Inputs'!K42</f>
        <v/>
      </c>
      <c r="AA42" s="7">
        <f>Y42*Z42</f>
        <v/>
      </c>
      <c r="AB42" s="5">
        <f>L42*1000*AA42*86400</f>
        <v/>
      </c>
      <c r="AC42" s="5">
        <f>AB42*365</f>
        <v/>
      </c>
    </row>
    <row r="43">
      <c r="A43" s="5">
        <f>'02_Inputs'!A43</f>
        <v/>
      </c>
      <c r="B43" s="5">
        <f>'02_Inputs'!B43</f>
        <v/>
      </c>
      <c r="C43" s="5">
        <f>'02_Inputs'!C43</f>
        <v/>
      </c>
      <c r="D43" s="29">
        <f>'02_Inputs'!D43</f>
        <v/>
      </c>
      <c r="E43" s="6">
        <f>'02_Inputs'!E43</f>
        <v/>
      </c>
      <c r="F43" s="29">
        <f>D43*E43</f>
        <v/>
      </c>
      <c r="G43" s="5">
        <f>'02_Inputs'!F43</f>
        <v/>
      </c>
      <c r="H43" s="29">
        <f>F43/G43</f>
        <v/>
      </c>
      <c r="I43" s="6">
        <f>'02_Inputs'!G43</f>
        <v/>
      </c>
      <c r="J43" s="29">
        <f>H43*I43</f>
        <v/>
      </c>
      <c r="K43" s="6">
        <f>'02_Inputs'!H43</f>
        <v/>
      </c>
      <c r="L43" s="29">
        <f>J43*K43</f>
        <v/>
      </c>
      <c r="M43" s="29">
        <f>J43*(1-K43)</f>
        <v/>
      </c>
      <c r="N43" s="6">
        <f>'02_GPU_Mix_Input'!D43</f>
        <v/>
      </c>
      <c r="O43" s="6">
        <f>'02_GPU_Mix_Input'!E43</f>
        <v/>
      </c>
      <c r="P43" s="6">
        <f>'02_GPU_Mix_Input'!F43</f>
        <v/>
      </c>
      <c r="Q43" s="6">
        <f>'02_GPU_Mix_Input'!G43</f>
        <v/>
      </c>
      <c r="R43" s="7">
        <f>INDEX('01_Benchmark_Input'!$K$2:$K$10,MATCH(B43,'01_Benchmark_Input'!$A$2:$A$10,0))</f>
        <v/>
      </c>
      <c r="S43" s="7">
        <f>INDEX('01_Benchmark_Input'!$P$2:$P$10,MATCH(B43,'01_Benchmark_Input'!$A$2:$A$10,0))</f>
        <v/>
      </c>
      <c r="T43" s="7">
        <f>INDEX('01_Benchmark_Input'!$U$2:$U$10,MATCH(B43,'01_Benchmark_Input'!$A$2:$A$10,0))</f>
        <v/>
      </c>
      <c r="U43" s="7">
        <f>INDEX('01_Benchmark_Input'!$Z$2:$Z$10,MATCH(B43,'01_Benchmark_Input'!$A$2:$A$10,0))</f>
        <v/>
      </c>
      <c r="V43" s="6">
        <f>INDEX('01_Benchmark_Input'!$D$2:$D$10,MATCH(B43,'01_Benchmark_Input'!$A$2:$A$10,0))</f>
        <v/>
      </c>
      <c r="W43" s="6">
        <f>INDEX('01_Benchmark_Input'!$E$2:$E$10,MATCH(B43,'01_Benchmark_Input'!$A$2:$A$10,0))</f>
        <v/>
      </c>
      <c r="X43" s="6">
        <f>INDEX('01_Benchmark_Input'!$F$2:$F$10,MATCH(B43,'01_Benchmark_Input'!$A$2:$A$10,0))</f>
        <v/>
      </c>
      <c r="Y43" s="7">
        <f>N43*R43+O43*S43+P43*T43+Q43*U43</f>
        <v/>
      </c>
      <c r="Z43" s="6">
        <f>'02_Inputs'!K43</f>
        <v/>
      </c>
      <c r="AA43" s="7">
        <f>Y43*Z43</f>
        <v/>
      </c>
      <c r="AB43" s="5">
        <f>L43*1000*AA43*86400</f>
        <v/>
      </c>
      <c r="AC43" s="5">
        <f>AB43*365</f>
        <v/>
      </c>
    </row>
    <row r="44">
      <c r="A44" s="5">
        <f>'02_Inputs'!A44</f>
        <v/>
      </c>
      <c r="B44" s="5">
        <f>'02_Inputs'!B44</f>
        <v/>
      </c>
      <c r="C44" s="5">
        <f>'02_Inputs'!C44</f>
        <v/>
      </c>
      <c r="D44" s="29">
        <f>'02_Inputs'!D44</f>
        <v/>
      </c>
      <c r="E44" s="6">
        <f>'02_Inputs'!E44</f>
        <v/>
      </c>
      <c r="F44" s="29">
        <f>D44*E44</f>
        <v/>
      </c>
      <c r="G44" s="5">
        <f>'02_Inputs'!F44</f>
        <v/>
      </c>
      <c r="H44" s="29">
        <f>F44/G44</f>
        <v/>
      </c>
      <c r="I44" s="6">
        <f>'02_Inputs'!G44</f>
        <v/>
      </c>
      <c r="J44" s="29">
        <f>H44*I44</f>
        <v/>
      </c>
      <c r="K44" s="6">
        <f>'02_Inputs'!H44</f>
        <v/>
      </c>
      <c r="L44" s="29">
        <f>J44*K44</f>
        <v/>
      </c>
      <c r="M44" s="29">
        <f>J44*(1-K44)</f>
        <v/>
      </c>
      <c r="N44" s="6">
        <f>'02_GPU_Mix_Input'!D44</f>
        <v/>
      </c>
      <c r="O44" s="6">
        <f>'02_GPU_Mix_Input'!E44</f>
        <v/>
      </c>
      <c r="P44" s="6">
        <f>'02_GPU_Mix_Input'!F44</f>
        <v/>
      </c>
      <c r="Q44" s="6">
        <f>'02_GPU_Mix_Input'!G44</f>
        <v/>
      </c>
      <c r="R44" s="7">
        <f>INDEX('01_Benchmark_Input'!$K$2:$K$10,MATCH(B44,'01_Benchmark_Input'!$A$2:$A$10,0))</f>
        <v/>
      </c>
      <c r="S44" s="7">
        <f>INDEX('01_Benchmark_Input'!$P$2:$P$10,MATCH(B44,'01_Benchmark_Input'!$A$2:$A$10,0))</f>
        <v/>
      </c>
      <c r="T44" s="7">
        <f>INDEX('01_Benchmark_Input'!$U$2:$U$10,MATCH(B44,'01_Benchmark_Input'!$A$2:$A$10,0))</f>
        <v/>
      </c>
      <c r="U44" s="7">
        <f>INDEX('01_Benchmark_Input'!$Z$2:$Z$10,MATCH(B44,'01_Benchmark_Input'!$A$2:$A$10,0))</f>
        <v/>
      </c>
      <c r="V44" s="6">
        <f>INDEX('01_Benchmark_Input'!$D$2:$D$10,MATCH(B44,'01_Benchmark_Input'!$A$2:$A$10,0))</f>
        <v/>
      </c>
      <c r="W44" s="6">
        <f>INDEX('01_Benchmark_Input'!$E$2:$E$10,MATCH(B44,'01_Benchmark_Input'!$A$2:$A$10,0))</f>
        <v/>
      </c>
      <c r="X44" s="6">
        <f>INDEX('01_Benchmark_Input'!$F$2:$F$10,MATCH(B44,'01_Benchmark_Input'!$A$2:$A$10,0))</f>
        <v/>
      </c>
      <c r="Y44" s="7">
        <f>N44*R44+O44*S44+P44*T44+Q44*U44</f>
        <v/>
      </c>
      <c r="Z44" s="6">
        <f>'02_Inputs'!K44</f>
        <v/>
      </c>
      <c r="AA44" s="7">
        <f>Y44*Z44</f>
        <v/>
      </c>
      <c r="AB44" s="5">
        <f>L44*1000*AA44*86400</f>
        <v/>
      </c>
      <c r="AC44" s="5">
        <f>AB44*365</f>
        <v/>
      </c>
    </row>
    <row r="45">
      <c r="A45" s="5">
        <f>'02_Inputs'!A45</f>
        <v/>
      </c>
      <c r="B45" s="5">
        <f>'02_Inputs'!B45</f>
        <v/>
      </c>
      <c r="C45" s="5">
        <f>'02_Inputs'!C45</f>
        <v/>
      </c>
      <c r="D45" s="29">
        <f>'02_Inputs'!D45</f>
        <v/>
      </c>
      <c r="E45" s="6">
        <f>'02_Inputs'!E45</f>
        <v/>
      </c>
      <c r="F45" s="29">
        <f>D45*E45</f>
        <v/>
      </c>
      <c r="G45" s="5">
        <f>'02_Inputs'!F45</f>
        <v/>
      </c>
      <c r="H45" s="29">
        <f>F45/G45</f>
        <v/>
      </c>
      <c r="I45" s="6">
        <f>'02_Inputs'!G45</f>
        <v/>
      </c>
      <c r="J45" s="29">
        <f>H45*I45</f>
        <v/>
      </c>
      <c r="K45" s="6">
        <f>'02_Inputs'!H45</f>
        <v/>
      </c>
      <c r="L45" s="29">
        <f>J45*K45</f>
        <v/>
      </c>
      <c r="M45" s="29">
        <f>J45*(1-K45)</f>
        <v/>
      </c>
      <c r="N45" s="6">
        <f>'02_GPU_Mix_Input'!D45</f>
        <v/>
      </c>
      <c r="O45" s="6">
        <f>'02_GPU_Mix_Input'!E45</f>
        <v/>
      </c>
      <c r="P45" s="6">
        <f>'02_GPU_Mix_Input'!F45</f>
        <v/>
      </c>
      <c r="Q45" s="6">
        <f>'02_GPU_Mix_Input'!G45</f>
        <v/>
      </c>
      <c r="R45" s="7">
        <f>INDEX('01_Benchmark_Input'!$K$2:$K$10,MATCH(B45,'01_Benchmark_Input'!$A$2:$A$10,0))</f>
        <v/>
      </c>
      <c r="S45" s="7">
        <f>INDEX('01_Benchmark_Input'!$P$2:$P$10,MATCH(B45,'01_Benchmark_Input'!$A$2:$A$10,0))</f>
        <v/>
      </c>
      <c r="T45" s="7">
        <f>INDEX('01_Benchmark_Input'!$U$2:$U$10,MATCH(B45,'01_Benchmark_Input'!$A$2:$A$10,0))</f>
        <v/>
      </c>
      <c r="U45" s="7">
        <f>INDEX('01_Benchmark_Input'!$Z$2:$Z$10,MATCH(B45,'01_Benchmark_Input'!$A$2:$A$10,0))</f>
        <v/>
      </c>
      <c r="V45" s="6">
        <f>INDEX('01_Benchmark_Input'!$D$2:$D$10,MATCH(B45,'01_Benchmark_Input'!$A$2:$A$10,0))</f>
        <v/>
      </c>
      <c r="W45" s="6">
        <f>INDEX('01_Benchmark_Input'!$E$2:$E$10,MATCH(B45,'01_Benchmark_Input'!$A$2:$A$10,0))</f>
        <v/>
      </c>
      <c r="X45" s="6">
        <f>INDEX('01_Benchmark_Input'!$F$2:$F$10,MATCH(B45,'01_Benchmark_Input'!$A$2:$A$10,0))</f>
        <v/>
      </c>
      <c r="Y45" s="7">
        <f>N45*R45+O45*S45+P45*T45+Q45*U45</f>
        <v/>
      </c>
      <c r="Z45" s="6">
        <f>'02_Inputs'!K45</f>
        <v/>
      </c>
      <c r="AA45" s="7">
        <f>Y45*Z45</f>
        <v/>
      </c>
      <c r="AB45" s="5">
        <f>L45*1000*AA45*86400</f>
        <v/>
      </c>
      <c r="AC45" s="5">
        <f>AB45*365</f>
        <v/>
      </c>
    </row>
    <row r="46">
      <c r="A46" s="5">
        <f>'02_Inputs'!A46</f>
        <v/>
      </c>
      <c r="B46" s="5">
        <f>'02_Inputs'!B46</f>
        <v/>
      </c>
      <c r="C46" s="5">
        <f>'02_Inputs'!C46</f>
        <v/>
      </c>
      <c r="D46" s="29">
        <f>'02_Inputs'!D46</f>
        <v/>
      </c>
      <c r="E46" s="6">
        <f>'02_Inputs'!E46</f>
        <v/>
      </c>
      <c r="F46" s="29">
        <f>D46*E46</f>
        <v/>
      </c>
      <c r="G46" s="5">
        <f>'02_Inputs'!F46</f>
        <v/>
      </c>
      <c r="H46" s="29">
        <f>F46/G46</f>
        <v/>
      </c>
      <c r="I46" s="6">
        <f>'02_Inputs'!G46</f>
        <v/>
      </c>
      <c r="J46" s="29">
        <f>H46*I46</f>
        <v/>
      </c>
      <c r="K46" s="6">
        <f>'02_Inputs'!H46</f>
        <v/>
      </c>
      <c r="L46" s="29">
        <f>J46*K46</f>
        <v/>
      </c>
      <c r="M46" s="29">
        <f>J46*(1-K46)</f>
        <v/>
      </c>
      <c r="N46" s="6">
        <f>'02_GPU_Mix_Input'!D46</f>
        <v/>
      </c>
      <c r="O46" s="6">
        <f>'02_GPU_Mix_Input'!E46</f>
        <v/>
      </c>
      <c r="P46" s="6">
        <f>'02_GPU_Mix_Input'!F46</f>
        <v/>
      </c>
      <c r="Q46" s="6">
        <f>'02_GPU_Mix_Input'!G46</f>
        <v/>
      </c>
      <c r="R46" s="7">
        <f>INDEX('01_Benchmark_Input'!$K$2:$K$10,MATCH(B46,'01_Benchmark_Input'!$A$2:$A$10,0))</f>
        <v/>
      </c>
      <c r="S46" s="7">
        <f>INDEX('01_Benchmark_Input'!$P$2:$P$10,MATCH(B46,'01_Benchmark_Input'!$A$2:$A$10,0))</f>
        <v/>
      </c>
      <c r="T46" s="7">
        <f>INDEX('01_Benchmark_Input'!$U$2:$U$10,MATCH(B46,'01_Benchmark_Input'!$A$2:$A$10,0))</f>
        <v/>
      </c>
      <c r="U46" s="7">
        <f>INDEX('01_Benchmark_Input'!$Z$2:$Z$10,MATCH(B46,'01_Benchmark_Input'!$A$2:$A$10,0))</f>
        <v/>
      </c>
      <c r="V46" s="6">
        <f>INDEX('01_Benchmark_Input'!$D$2:$D$10,MATCH(B46,'01_Benchmark_Input'!$A$2:$A$10,0))</f>
        <v/>
      </c>
      <c r="W46" s="6">
        <f>INDEX('01_Benchmark_Input'!$E$2:$E$10,MATCH(B46,'01_Benchmark_Input'!$A$2:$A$10,0))</f>
        <v/>
      </c>
      <c r="X46" s="6">
        <f>INDEX('01_Benchmark_Input'!$F$2:$F$10,MATCH(B46,'01_Benchmark_Input'!$A$2:$A$10,0))</f>
        <v/>
      </c>
      <c r="Y46" s="7">
        <f>N46*R46+O46*S46+P46*T46+Q46*U46</f>
        <v/>
      </c>
      <c r="Z46" s="6">
        <f>'02_Inputs'!K46</f>
        <v/>
      </c>
      <c r="AA46" s="7">
        <f>Y46*Z46</f>
        <v/>
      </c>
      <c r="AB46" s="5">
        <f>L46*1000*AA46*86400</f>
        <v/>
      </c>
      <c r="AC46" s="5">
        <f>AB46*365</f>
        <v/>
      </c>
    </row>
    <row r="47">
      <c r="A47" s="5">
        <f>'02_Inputs'!A47</f>
        <v/>
      </c>
      <c r="B47" s="5">
        <f>'02_Inputs'!B47</f>
        <v/>
      </c>
      <c r="C47" s="5">
        <f>'02_Inputs'!C47</f>
        <v/>
      </c>
      <c r="D47" s="29">
        <f>'02_Inputs'!D47</f>
        <v/>
      </c>
      <c r="E47" s="6">
        <f>'02_Inputs'!E47</f>
        <v/>
      </c>
      <c r="F47" s="29">
        <f>D47*E47</f>
        <v/>
      </c>
      <c r="G47" s="5">
        <f>'02_Inputs'!F47</f>
        <v/>
      </c>
      <c r="H47" s="29">
        <f>F47/G47</f>
        <v/>
      </c>
      <c r="I47" s="6">
        <f>'02_Inputs'!G47</f>
        <v/>
      </c>
      <c r="J47" s="29">
        <f>H47*I47</f>
        <v/>
      </c>
      <c r="K47" s="6">
        <f>'02_Inputs'!H47</f>
        <v/>
      </c>
      <c r="L47" s="29">
        <f>J47*K47</f>
        <v/>
      </c>
      <c r="M47" s="29">
        <f>J47*(1-K47)</f>
        <v/>
      </c>
      <c r="N47" s="6">
        <f>'02_GPU_Mix_Input'!D47</f>
        <v/>
      </c>
      <c r="O47" s="6">
        <f>'02_GPU_Mix_Input'!E47</f>
        <v/>
      </c>
      <c r="P47" s="6">
        <f>'02_GPU_Mix_Input'!F47</f>
        <v/>
      </c>
      <c r="Q47" s="6">
        <f>'02_GPU_Mix_Input'!G47</f>
        <v/>
      </c>
      <c r="R47" s="7">
        <f>INDEX('01_Benchmark_Input'!$K$2:$K$10,MATCH(B47,'01_Benchmark_Input'!$A$2:$A$10,0))</f>
        <v/>
      </c>
      <c r="S47" s="7">
        <f>INDEX('01_Benchmark_Input'!$P$2:$P$10,MATCH(B47,'01_Benchmark_Input'!$A$2:$A$10,0))</f>
        <v/>
      </c>
      <c r="T47" s="7">
        <f>INDEX('01_Benchmark_Input'!$U$2:$U$10,MATCH(B47,'01_Benchmark_Input'!$A$2:$A$10,0))</f>
        <v/>
      </c>
      <c r="U47" s="7">
        <f>INDEX('01_Benchmark_Input'!$Z$2:$Z$10,MATCH(B47,'01_Benchmark_Input'!$A$2:$A$10,0))</f>
        <v/>
      </c>
      <c r="V47" s="6">
        <f>INDEX('01_Benchmark_Input'!$D$2:$D$10,MATCH(B47,'01_Benchmark_Input'!$A$2:$A$10,0))</f>
        <v/>
      </c>
      <c r="W47" s="6">
        <f>INDEX('01_Benchmark_Input'!$E$2:$E$10,MATCH(B47,'01_Benchmark_Input'!$A$2:$A$10,0))</f>
        <v/>
      </c>
      <c r="X47" s="6">
        <f>INDEX('01_Benchmark_Input'!$F$2:$F$10,MATCH(B47,'01_Benchmark_Input'!$A$2:$A$10,0))</f>
        <v/>
      </c>
      <c r="Y47" s="7">
        <f>N47*R47+O47*S47+P47*T47+Q47*U47</f>
        <v/>
      </c>
      <c r="Z47" s="6">
        <f>'02_Inputs'!K47</f>
        <v/>
      </c>
      <c r="AA47" s="7">
        <f>Y47*Z47</f>
        <v/>
      </c>
      <c r="AB47" s="5">
        <f>L47*1000*AA47*86400</f>
        <v/>
      </c>
      <c r="AC47" s="5">
        <f>AB47*365</f>
        <v/>
      </c>
    </row>
    <row r="48">
      <c r="A48" s="5">
        <f>'02_Inputs'!A48</f>
        <v/>
      </c>
      <c r="B48" s="5">
        <f>'02_Inputs'!B48</f>
        <v/>
      </c>
      <c r="C48" s="5">
        <f>'02_Inputs'!C48</f>
        <v/>
      </c>
      <c r="D48" s="29">
        <f>'02_Inputs'!D48</f>
        <v/>
      </c>
      <c r="E48" s="6">
        <f>'02_Inputs'!E48</f>
        <v/>
      </c>
      <c r="F48" s="29">
        <f>D48*E48</f>
        <v/>
      </c>
      <c r="G48" s="5">
        <f>'02_Inputs'!F48</f>
        <v/>
      </c>
      <c r="H48" s="29">
        <f>F48/G48</f>
        <v/>
      </c>
      <c r="I48" s="6">
        <f>'02_Inputs'!G48</f>
        <v/>
      </c>
      <c r="J48" s="29">
        <f>H48*I48</f>
        <v/>
      </c>
      <c r="K48" s="6">
        <f>'02_Inputs'!H48</f>
        <v/>
      </c>
      <c r="L48" s="29">
        <f>J48*K48</f>
        <v/>
      </c>
      <c r="M48" s="29">
        <f>J48*(1-K48)</f>
        <v/>
      </c>
      <c r="N48" s="6">
        <f>'02_GPU_Mix_Input'!D48</f>
        <v/>
      </c>
      <c r="O48" s="6">
        <f>'02_GPU_Mix_Input'!E48</f>
        <v/>
      </c>
      <c r="P48" s="6">
        <f>'02_GPU_Mix_Input'!F48</f>
        <v/>
      </c>
      <c r="Q48" s="6">
        <f>'02_GPU_Mix_Input'!G48</f>
        <v/>
      </c>
      <c r="R48" s="7">
        <f>INDEX('01_Benchmark_Input'!$K$2:$K$10,MATCH(B48,'01_Benchmark_Input'!$A$2:$A$10,0))</f>
        <v/>
      </c>
      <c r="S48" s="7">
        <f>INDEX('01_Benchmark_Input'!$P$2:$P$10,MATCH(B48,'01_Benchmark_Input'!$A$2:$A$10,0))</f>
        <v/>
      </c>
      <c r="T48" s="7">
        <f>INDEX('01_Benchmark_Input'!$U$2:$U$10,MATCH(B48,'01_Benchmark_Input'!$A$2:$A$10,0))</f>
        <v/>
      </c>
      <c r="U48" s="7">
        <f>INDEX('01_Benchmark_Input'!$Z$2:$Z$10,MATCH(B48,'01_Benchmark_Input'!$A$2:$A$10,0))</f>
        <v/>
      </c>
      <c r="V48" s="6">
        <f>INDEX('01_Benchmark_Input'!$D$2:$D$10,MATCH(B48,'01_Benchmark_Input'!$A$2:$A$10,0))</f>
        <v/>
      </c>
      <c r="W48" s="6">
        <f>INDEX('01_Benchmark_Input'!$E$2:$E$10,MATCH(B48,'01_Benchmark_Input'!$A$2:$A$10,0))</f>
        <v/>
      </c>
      <c r="X48" s="6">
        <f>INDEX('01_Benchmark_Input'!$F$2:$F$10,MATCH(B48,'01_Benchmark_Input'!$A$2:$A$10,0))</f>
        <v/>
      </c>
      <c r="Y48" s="7">
        <f>N48*R48+O48*S48+P48*T48+Q48*U48</f>
        <v/>
      </c>
      <c r="Z48" s="6">
        <f>'02_Inputs'!K48</f>
        <v/>
      </c>
      <c r="AA48" s="7">
        <f>Y48*Z48</f>
        <v/>
      </c>
      <c r="AB48" s="5">
        <f>L48*1000*AA48*86400</f>
        <v/>
      </c>
      <c r="AC48" s="5">
        <f>AB48*365</f>
        <v/>
      </c>
    </row>
    <row r="49">
      <c r="A49" s="5">
        <f>'02_Inputs'!A49</f>
        <v/>
      </c>
      <c r="B49" s="5">
        <f>'02_Inputs'!B49</f>
        <v/>
      </c>
      <c r="C49" s="5">
        <f>'02_Inputs'!C49</f>
        <v/>
      </c>
      <c r="D49" s="29">
        <f>'02_Inputs'!D49</f>
        <v/>
      </c>
      <c r="E49" s="6">
        <f>'02_Inputs'!E49</f>
        <v/>
      </c>
      <c r="F49" s="29">
        <f>D49*E49</f>
        <v/>
      </c>
      <c r="G49" s="5">
        <f>'02_Inputs'!F49</f>
        <v/>
      </c>
      <c r="H49" s="29">
        <f>F49/G49</f>
        <v/>
      </c>
      <c r="I49" s="6">
        <f>'02_Inputs'!G49</f>
        <v/>
      </c>
      <c r="J49" s="29">
        <f>H49*I49</f>
        <v/>
      </c>
      <c r="K49" s="6">
        <f>'02_Inputs'!H49</f>
        <v/>
      </c>
      <c r="L49" s="29">
        <f>J49*K49</f>
        <v/>
      </c>
      <c r="M49" s="29">
        <f>J49*(1-K49)</f>
        <v/>
      </c>
      <c r="N49" s="6">
        <f>'02_GPU_Mix_Input'!D49</f>
        <v/>
      </c>
      <c r="O49" s="6">
        <f>'02_GPU_Mix_Input'!E49</f>
        <v/>
      </c>
      <c r="P49" s="6">
        <f>'02_GPU_Mix_Input'!F49</f>
        <v/>
      </c>
      <c r="Q49" s="6">
        <f>'02_GPU_Mix_Input'!G49</f>
        <v/>
      </c>
      <c r="R49" s="7">
        <f>INDEX('01_Benchmark_Input'!$K$2:$K$10,MATCH(B49,'01_Benchmark_Input'!$A$2:$A$10,0))</f>
        <v/>
      </c>
      <c r="S49" s="7">
        <f>INDEX('01_Benchmark_Input'!$P$2:$P$10,MATCH(B49,'01_Benchmark_Input'!$A$2:$A$10,0))</f>
        <v/>
      </c>
      <c r="T49" s="7">
        <f>INDEX('01_Benchmark_Input'!$U$2:$U$10,MATCH(B49,'01_Benchmark_Input'!$A$2:$A$10,0))</f>
        <v/>
      </c>
      <c r="U49" s="7">
        <f>INDEX('01_Benchmark_Input'!$Z$2:$Z$10,MATCH(B49,'01_Benchmark_Input'!$A$2:$A$10,0))</f>
        <v/>
      </c>
      <c r="V49" s="6">
        <f>INDEX('01_Benchmark_Input'!$D$2:$D$10,MATCH(B49,'01_Benchmark_Input'!$A$2:$A$10,0))</f>
        <v/>
      </c>
      <c r="W49" s="6">
        <f>INDEX('01_Benchmark_Input'!$E$2:$E$10,MATCH(B49,'01_Benchmark_Input'!$A$2:$A$10,0))</f>
        <v/>
      </c>
      <c r="X49" s="6">
        <f>INDEX('01_Benchmark_Input'!$F$2:$F$10,MATCH(B49,'01_Benchmark_Input'!$A$2:$A$10,0))</f>
        <v/>
      </c>
      <c r="Y49" s="7">
        <f>N49*R49+O49*S49+P49*T49+Q49*U49</f>
        <v/>
      </c>
      <c r="Z49" s="6">
        <f>'02_Inputs'!K49</f>
        <v/>
      </c>
      <c r="AA49" s="7">
        <f>Y49*Z49</f>
        <v/>
      </c>
      <c r="AB49" s="5">
        <f>L49*1000*AA49*86400</f>
        <v/>
      </c>
      <c r="AC49" s="5">
        <f>AB49*365</f>
        <v/>
      </c>
    </row>
    <row r="50">
      <c r="A50" s="5">
        <f>'02_Inputs'!A50</f>
        <v/>
      </c>
      <c r="B50" s="5">
        <f>'02_Inputs'!B50</f>
        <v/>
      </c>
      <c r="C50" s="5">
        <f>'02_Inputs'!C50</f>
        <v/>
      </c>
      <c r="D50" s="29">
        <f>'02_Inputs'!D50</f>
        <v/>
      </c>
      <c r="E50" s="6">
        <f>'02_Inputs'!E50</f>
        <v/>
      </c>
      <c r="F50" s="29">
        <f>D50*E50</f>
        <v/>
      </c>
      <c r="G50" s="5">
        <f>'02_Inputs'!F50</f>
        <v/>
      </c>
      <c r="H50" s="29">
        <f>F50/G50</f>
        <v/>
      </c>
      <c r="I50" s="6">
        <f>'02_Inputs'!G50</f>
        <v/>
      </c>
      <c r="J50" s="29">
        <f>H50*I50</f>
        <v/>
      </c>
      <c r="K50" s="6">
        <f>'02_Inputs'!H50</f>
        <v/>
      </c>
      <c r="L50" s="29">
        <f>J50*K50</f>
        <v/>
      </c>
      <c r="M50" s="29">
        <f>J50*(1-K50)</f>
        <v/>
      </c>
      <c r="N50" s="6">
        <f>'02_GPU_Mix_Input'!D50</f>
        <v/>
      </c>
      <c r="O50" s="6">
        <f>'02_GPU_Mix_Input'!E50</f>
        <v/>
      </c>
      <c r="P50" s="6">
        <f>'02_GPU_Mix_Input'!F50</f>
        <v/>
      </c>
      <c r="Q50" s="6">
        <f>'02_GPU_Mix_Input'!G50</f>
        <v/>
      </c>
      <c r="R50" s="7">
        <f>INDEX('01_Benchmark_Input'!$K$2:$K$10,MATCH(B50,'01_Benchmark_Input'!$A$2:$A$10,0))</f>
        <v/>
      </c>
      <c r="S50" s="7">
        <f>INDEX('01_Benchmark_Input'!$P$2:$P$10,MATCH(B50,'01_Benchmark_Input'!$A$2:$A$10,0))</f>
        <v/>
      </c>
      <c r="T50" s="7">
        <f>INDEX('01_Benchmark_Input'!$U$2:$U$10,MATCH(B50,'01_Benchmark_Input'!$A$2:$A$10,0))</f>
        <v/>
      </c>
      <c r="U50" s="7">
        <f>INDEX('01_Benchmark_Input'!$Z$2:$Z$10,MATCH(B50,'01_Benchmark_Input'!$A$2:$A$10,0))</f>
        <v/>
      </c>
      <c r="V50" s="6">
        <f>INDEX('01_Benchmark_Input'!$D$2:$D$10,MATCH(B50,'01_Benchmark_Input'!$A$2:$A$10,0))</f>
        <v/>
      </c>
      <c r="W50" s="6">
        <f>INDEX('01_Benchmark_Input'!$E$2:$E$10,MATCH(B50,'01_Benchmark_Input'!$A$2:$A$10,0))</f>
        <v/>
      </c>
      <c r="X50" s="6">
        <f>INDEX('01_Benchmark_Input'!$F$2:$F$10,MATCH(B50,'01_Benchmark_Input'!$A$2:$A$10,0))</f>
        <v/>
      </c>
      <c r="Y50" s="7">
        <f>N50*R50+O50*S50+P50*T50+Q50*U50</f>
        <v/>
      </c>
      <c r="Z50" s="6">
        <f>'02_Inputs'!K50</f>
        <v/>
      </c>
      <c r="AA50" s="7">
        <f>Y50*Z50</f>
        <v/>
      </c>
      <c r="AB50" s="5">
        <f>L50*1000*AA50*86400</f>
        <v/>
      </c>
      <c r="AC50" s="5">
        <f>AB50*365</f>
        <v/>
      </c>
    </row>
    <row r="51">
      <c r="A51" s="5">
        <f>'02_Inputs'!A51</f>
        <v/>
      </c>
      <c r="B51" s="5">
        <f>'02_Inputs'!B51</f>
        <v/>
      </c>
      <c r="C51" s="5">
        <f>'02_Inputs'!C51</f>
        <v/>
      </c>
      <c r="D51" s="29">
        <f>'02_Inputs'!D51</f>
        <v/>
      </c>
      <c r="E51" s="6">
        <f>'02_Inputs'!E51</f>
        <v/>
      </c>
      <c r="F51" s="29">
        <f>D51*E51</f>
        <v/>
      </c>
      <c r="G51" s="5">
        <f>'02_Inputs'!F51</f>
        <v/>
      </c>
      <c r="H51" s="29">
        <f>F51/G51</f>
        <v/>
      </c>
      <c r="I51" s="6">
        <f>'02_Inputs'!G51</f>
        <v/>
      </c>
      <c r="J51" s="29">
        <f>H51*I51</f>
        <v/>
      </c>
      <c r="K51" s="6">
        <f>'02_Inputs'!H51</f>
        <v/>
      </c>
      <c r="L51" s="29">
        <f>J51*K51</f>
        <v/>
      </c>
      <c r="M51" s="29">
        <f>J51*(1-K51)</f>
        <v/>
      </c>
      <c r="N51" s="6">
        <f>'02_GPU_Mix_Input'!D51</f>
        <v/>
      </c>
      <c r="O51" s="6">
        <f>'02_GPU_Mix_Input'!E51</f>
        <v/>
      </c>
      <c r="P51" s="6">
        <f>'02_GPU_Mix_Input'!F51</f>
        <v/>
      </c>
      <c r="Q51" s="6">
        <f>'02_GPU_Mix_Input'!G51</f>
        <v/>
      </c>
      <c r="R51" s="7">
        <f>INDEX('01_Benchmark_Input'!$K$2:$K$10,MATCH(B51,'01_Benchmark_Input'!$A$2:$A$10,0))</f>
        <v/>
      </c>
      <c r="S51" s="7">
        <f>INDEX('01_Benchmark_Input'!$P$2:$P$10,MATCH(B51,'01_Benchmark_Input'!$A$2:$A$10,0))</f>
        <v/>
      </c>
      <c r="T51" s="7">
        <f>INDEX('01_Benchmark_Input'!$U$2:$U$10,MATCH(B51,'01_Benchmark_Input'!$A$2:$A$10,0))</f>
        <v/>
      </c>
      <c r="U51" s="7">
        <f>INDEX('01_Benchmark_Input'!$Z$2:$Z$10,MATCH(B51,'01_Benchmark_Input'!$A$2:$A$10,0))</f>
        <v/>
      </c>
      <c r="V51" s="6">
        <f>INDEX('01_Benchmark_Input'!$D$2:$D$10,MATCH(B51,'01_Benchmark_Input'!$A$2:$A$10,0))</f>
        <v/>
      </c>
      <c r="W51" s="6">
        <f>INDEX('01_Benchmark_Input'!$E$2:$E$10,MATCH(B51,'01_Benchmark_Input'!$A$2:$A$10,0))</f>
        <v/>
      </c>
      <c r="X51" s="6">
        <f>INDEX('01_Benchmark_Input'!$F$2:$F$10,MATCH(B51,'01_Benchmark_Input'!$A$2:$A$10,0))</f>
        <v/>
      </c>
      <c r="Y51" s="7">
        <f>N51*R51+O51*S51+P51*T51+Q51*U51</f>
        <v/>
      </c>
      <c r="Z51" s="6">
        <f>'02_Inputs'!K51</f>
        <v/>
      </c>
      <c r="AA51" s="7">
        <f>Y51*Z51</f>
        <v/>
      </c>
      <c r="AB51" s="5">
        <f>L51*1000*AA51*86400</f>
        <v/>
      </c>
      <c r="AC51" s="5">
        <f>AB51*365</f>
        <v/>
      </c>
    </row>
    <row r="52">
      <c r="A52" s="5">
        <f>'02_Inputs'!A52</f>
        <v/>
      </c>
      <c r="B52" s="5">
        <f>'02_Inputs'!B52</f>
        <v/>
      </c>
      <c r="C52" s="5">
        <f>'02_Inputs'!C52</f>
        <v/>
      </c>
      <c r="D52" s="29">
        <f>'02_Inputs'!D52</f>
        <v/>
      </c>
      <c r="E52" s="6">
        <f>'02_Inputs'!E52</f>
        <v/>
      </c>
      <c r="F52" s="29">
        <f>D52*E52</f>
        <v/>
      </c>
      <c r="G52" s="5">
        <f>'02_Inputs'!F52</f>
        <v/>
      </c>
      <c r="H52" s="29">
        <f>F52/G52</f>
        <v/>
      </c>
      <c r="I52" s="6">
        <f>'02_Inputs'!G52</f>
        <v/>
      </c>
      <c r="J52" s="29">
        <f>H52*I52</f>
        <v/>
      </c>
      <c r="K52" s="6">
        <f>'02_Inputs'!H52</f>
        <v/>
      </c>
      <c r="L52" s="29">
        <f>J52*K52</f>
        <v/>
      </c>
      <c r="M52" s="29">
        <f>J52*(1-K52)</f>
        <v/>
      </c>
      <c r="N52" s="6">
        <f>'02_GPU_Mix_Input'!D52</f>
        <v/>
      </c>
      <c r="O52" s="6">
        <f>'02_GPU_Mix_Input'!E52</f>
        <v/>
      </c>
      <c r="P52" s="6">
        <f>'02_GPU_Mix_Input'!F52</f>
        <v/>
      </c>
      <c r="Q52" s="6">
        <f>'02_GPU_Mix_Input'!G52</f>
        <v/>
      </c>
      <c r="R52" s="7">
        <f>INDEX('01_Benchmark_Input'!$K$2:$K$10,MATCH(B52,'01_Benchmark_Input'!$A$2:$A$10,0))</f>
        <v/>
      </c>
      <c r="S52" s="7">
        <f>INDEX('01_Benchmark_Input'!$P$2:$P$10,MATCH(B52,'01_Benchmark_Input'!$A$2:$A$10,0))</f>
        <v/>
      </c>
      <c r="T52" s="7">
        <f>INDEX('01_Benchmark_Input'!$U$2:$U$10,MATCH(B52,'01_Benchmark_Input'!$A$2:$A$10,0))</f>
        <v/>
      </c>
      <c r="U52" s="7">
        <f>INDEX('01_Benchmark_Input'!$Z$2:$Z$10,MATCH(B52,'01_Benchmark_Input'!$A$2:$A$10,0))</f>
        <v/>
      </c>
      <c r="V52" s="6">
        <f>INDEX('01_Benchmark_Input'!$D$2:$D$10,MATCH(B52,'01_Benchmark_Input'!$A$2:$A$10,0))</f>
        <v/>
      </c>
      <c r="W52" s="6">
        <f>INDEX('01_Benchmark_Input'!$E$2:$E$10,MATCH(B52,'01_Benchmark_Input'!$A$2:$A$10,0))</f>
        <v/>
      </c>
      <c r="X52" s="6">
        <f>INDEX('01_Benchmark_Input'!$F$2:$F$10,MATCH(B52,'01_Benchmark_Input'!$A$2:$A$10,0))</f>
        <v/>
      </c>
      <c r="Y52" s="7">
        <f>N52*R52+O52*S52+P52*T52+Q52*U52</f>
        <v/>
      </c>
      <c r="Z52" s="6">
        <f>'02_Inputs'!K52</f>
        <v/>
      </c>
      <c r="AA52" s="7">
        <f>Y52*Z52</f>
        <v/>
      </c>
      <c r="AB52" s="5">
        <f>L52*1000*AA52*86400</f>
        <v/>
      </c>
      <c r="AC52" s="5">
        <f>AB52*365</f>
        <v/>
      </c>
    </row>
    <row r="53">
      <c r="A53" s="5">
        <f>'02_Inputs'!A53</f>
        <v/>
      </c>
      <c r="B53" s="5">
        <f>'02_Inputs'!B53</f>
        <v/>
      </c>
      <c r="C53" s="5">
        <f>'02_Inputs'!C53</f>
        <v/>
      </c>
      <c r="D53" s="29">
        <f>'02_Inputs'!D53</f>
        <v/>
      </c>
      <c r="E53" s="6">
        <f>'02_Inputs'!E53</f>
        <v/>
      </c>
      <c r="F53" s="29">
        <f>D53*E53</f>
        <v/>
      </c>
      <c r="G53" s="5">
        <f>'02_Inputs'!F53</f>
        <v/>
      </c>
      <c r="H53" s="29">
        <f>F53/G53</f>
        <v/>
      </c>
      <c r="I53" s="6">
        <f>'02_Inputs'!G53</f>
        <v/>
      </c>
      <c r="J53" s="29">
        <f>H53*I53</f>
        <v/>
      </c>
      <c r="K53" s="6">
        <f>'02_Inputs'!H53</f>
        <v/>
      </c>
      <c r="L53" s="29">
        <f>J53*K53</f>
        <v/>
      </c>
      <c r="M53" s="29">
        <f>J53*(1-K53)</f>
        <v/>
      </c>
      <c r="N53" s="6">
        <f>'02_GPU_Mix_Input'!D53</f>
        <v/>
      </c>
      <c r="O53" s="6">
        <f>'02_GPU_Mix_Input'!E53</f>
        <v/>
      </c>
      <c r="P53" s="6">
        <f>'02_GPU_Mix_Input'!F53</f>
        <v/>
      </c>
      <c r="Q53" s="6">
        <f>'02_GPU_Mix_Input'!G53</f>
        <v/>
      </c>
      <c r="R53" s="7">
        <f>INDEX('01_Benchmark_Input'!$K$2:$K$10,MATCH(B53,'01_Benchmark_Input'!$A$2:$A$10,0))</f>
        <v/>
      </c>
      <c r="S53" s="7">
        <f>INDEX('01_Benchmark_Input'!$P$2:$P$10,MATCH(B53,'01_Benchmark_Input'!$A$2:$A$10,0))</f>
        <v/>
      </c>
      <c r="T53" s="7">
        <f>INDEX('01_Benchmark_Input'!$U$2:$U$10,MATCH(B53,'01_Benchmark_Input'!$A$2:$A$10,0))</f>
        <v/>
      </c>
      <c r="U53" s="7">
        <f>INDEX('01_Benchmark_Input'!$Z$2:$Z$10,MATCH(B53,'01_Benchmark_Input'!$A$2:$A$10,0))</f>
        <v/>
      </c>
      <c r="V53" s="6">
        <f>INDEX('01_Benchmark_Input'!$D$2:$D$10,MATCH(B53,'01_Benchmark_Input'!$A$2:$A$10,0))</f>
        <v/>
      </c>
      <c r="W53" s="6">
        <f>INDEX('01_Benchmark_Input'!$E$2:$E$10,MATCH(B53,'01_Benchmark_Input'!$A$2:$A$10,0))</f>
        <v/>
      </c>
      <c r="X53" s="6">
        <f>INDEX('01_Benchmark_Input'!$F$2:$F$10,MATCH(B53,'01_Benchmark_Input'!$A$2:$A$10,0))</f>
        <v/>
      </c>
      <c r="Y53" s="7">
        <f>N53*R53+O53*S53+P53*T53+Q53*U53</f>
        <v/>
      </c>
      <c r="Z53" s="6">
        <f>'02_Inputs'!K53</f>
        <v/>
      </c>
      <c r="AA53" s="7">
        <f>Y53*Z53</f>
        <v/>
      </c>
      <c r="AB53" s="5">
        <f>L53*1000*AA53*86400</f>
        <v/>
      </c>
      <c r="AC53" s="5">
        <f>AB53*365</f>
        <v/>
      </c>
    </row>
    <row r="54">
      <c r="A54" s="5">
        <f>'02_Inputs'!A54</f>
        <v/>
      </c>
      <c r="B54" s="5">
        <f>'02_Inputs'!B54</f>
        <v/>
      </c>
      <c r="C54" s="5">
        <f>'02_Inputs'!C54</f>
        <v/>
      </c>
      <c r="D54" s="29">
        <f>'02_Inputs'!D54</f>
        <v/>
      </c>
      <c r="E54" s="6">
        <f>'02_Inputs'!E54</f>
        <v/>
      </c>
      <c r="F54" s="29">
        <f>D54*E54</f>
        <v/>
      </c>
      <c r="G54" s="5">
        <f>'02_Inputs'!F54</f>
        <v/>
      </c>
      <c r="H54" s="29">
        <f>F54/G54</f>
        <v/>
      </c>
      <c r="I54" s="6">
        <f>'02_Inputs'!G54</f>
        <v/>
      </c>
      <c r="J54" s="29">
        <f>H54*I54</f>
        <v/>
      </c>
      <c r="K54" s="6">
        <f>'02_Inputs'!H54</f>
        <v/>
      </c>
      <c r="L54" s="29">
        <f>J54*K54</f>
        <v/>
      </c>
      <c r="M54" s="29">
        <f>J54*(1-K54)</f>
        <v/>
      </c>
      <c r="N54" s="6">
        <f>'02_GPU_Mix_Input'!D54</f>
        <v/>
      </c>
      <c r="O54" s="6">
        <f>'02_GPU_Mix_Input'!E54</f>
        <v/>
      </c>
      <c r="P54" s="6">
        <f>'02_GPU_Mix_Input'!F54</f>
        <v/>
      </c>
      <c r="Q54" s="6">
        <f>'02_GPU_Mix_Input'!G54</f>
        <v/>
      </c>
      <c r="R54" s="7">
        <f>INDEX('01_Benchmark_Input'!$K$2:$K$10,MATCH(B54,'01_Benchmark_Input'!$A$2:$A$10,0))</f>
        <v/>
      </c>
      <c r="S54" s="7">
        <f>INDEX('01_Benchmark_Input'!$P$2:$P$10,MATCH(B54,'01_Benchmark_Input'!$A$2:$A$10,0))</f>
        <v/>
      </c>
      <c r="T54" s="7">
        <f>INDEX('01_Benchmark_Input'!$U$2:$U$10,MATCH(B54,'01_Benchmark_Input'!$A$2:$A$10,0))</f>
        <v/>
      </c>
      <c r="U54" s="7">
        <f>INDEX('01_Benchmark_Input'!$Z$2:$Z$10,MATCH(B54,'01_Benchmark_Input'!$A$2:$A$10,0))</f>
        <v/>
      </c>
      <c r="V54" s="6">
        <f>INDEX('01_Benchmark_Input'!$D$2:$D$10,MATCH(B54,'01_Benchmark_Input'!$A$2:$A$10,0))</f>
        <v/>
      </c>
      <c r="W54" s="6">
        <f>INDEX('01_Benchmark_Input'!$E$2:$E$10,MATCH(B54,'01_Benchmark_Input'!$A$2:$A$10,0))</f>
        <v/>
      </c>
      <c r="X54" s="6">
        <f>INDEX('01_Benchmark_Input'!$F$2:$F$10,MATCH(B54,'01_Benchmark_Input'!$A$2:$A$10,0))</f>
        <v/>
      </c>
      <c r="Y54" s="7">
        <f>N54*R54+O54*S54+P54*T54+Q54*U54</f>
        <v/>
      </c>
      <c r="Z54" s="6">
        <f>'02_Inputs'!K54</f>
        <v/>
      </c>
      <c r="AA54" s="7">
        <f>Y54*Z54</f>
        <v/>
      </c>
      <c r="AB54" s="5">
        <f>L54*1000*AA54*86400</f>
        <v/>
      </c>
      <c r="AC54" s="5">
        <f>AB54*365</f>
        <v/>
      </c>
    </row>
    <row r="55">
      <c r="A55" s="5">
        <f>'02_Inputs'!A55</f>
        <v/>
      </c>
      <c r="B55" s="5">
        <f>'02_Inputs'!B55</f>
        <v/>
      </c>
      <c r="C55" s="5">
        <f>'02_Inputs'!C55</f>
        <v/>
      </c>
      <c r="D55" s="29">
        <f>'02_Inputs'!D55</f>
        <v/>
      </c>
      <c r="E55" s="6">
        <f>'02_Inputs'!E55</f>
        <v/>
      </c>
      <c r="F55" s="29">
        <f>D55*E55</f>
        <v/>
      </c>
      <c r="G55" s="5">
        <f>'02_Inputs'!F55</f>
        <v/>
      </c>
      <c r="H55" s="29">
        <f>F55/G55</f>
        <v/>
      </c>
      <c r="I55" s="6">
        <f>'02_Inputs'!G55</f>
        <v/>
      </c>
      <c r="J55" s="29">
        <f>H55*I55</f>
        <v/>
      </c>
      <c r="K55" s="6">
        <f>'02_Inputs'!H55</f>
        <v/>
      </c>
      <c r="L55" s="29">
        <f>J55*K55</f>
        <v/>
      </c>
      <c r="M55" s="29">
        <f>J55*(1-K55)</f>
        <v/>
      </c>
      <c r="N55" s="6">
        <f>'02_GPU_Mix_Input'!D55</f>
        <v/>
      </c>
      <c r="O55" s="6">
        <f>'02_GPU_Mix_Input'!E55</f>
        <v/>
      </c>
      <c r="P55" s="6">
        <f>'02_GPU_Mix_Input'!F55</f>
        <v/>
      </c>
      <c r="Q55" s="6">
        <f>'02_GPU_Mix_Input'!G55</f>
        <v/>
      </c>
      <c r="R55" s="7">
        <f>INDEX('01_Benchmark_Input'!$K$2:$K$10,MATCH(B55,'01_Benchmark_Input'!$A$2:$A$10,0))</f>
        <v/>
      </c>
      <c r="S55" s="7">
        <f>INDEX('01_Benchmark_Input'!$P$2:$P$10,MATCH(B55,'01_Benchmark_Input'!$A$2:$A$10,0))</f>
        <v/>
      </c>
      <c r="T55" s="7">
        <f>INDEX('01_Benchmark_Input'!$U$2:$U$10,MATCH(B55,'01_Benchmark_Input'!$A$2:$A$10,0))</f>
        <v/>
      </c>
      <c r="U55" s="7">
        <f>INDEX('01_Benchmark_Input'!$Z$2:$Z$10,MATCH(B55,'01_Benchmark_Input'!$A$2:$A$10,0))</f>
        <v/>
      </c>
      <c r="V55" s="6">
        <f>INDEX('01_Benchmark_Input'!$D$2:$D$10,MATCH(B55,'01_Benchmark_Input'!$A$2:$A$10,0))</f>
        <v/>
      </c>
      <c r="W55" s="6">
        <f>INDEX('01_Benchmark_Input'!$E$2:$E$10,MATCH(B55,'01_Benchmark_Input'!$A$2:$A$10,0))</f>
        <v/>
      </c>
      <c r="X55" s="6">
        <f>INDEX('01_Benchmark_Input'!$F$2:$F$10,MATCH(B55,'01_Benchmark_Input'!$A$2:$A$10,0))</f>
        <v/>
      </c>
      <c r="Y55" s="7">
        <f>N55*R55+O55*S55+P55*T55+Q55*U55</f>
        <v/>
      </c>
      <c r="Z55" s="6">
        <f>'02_Inputs'!K55</f>
        <v/>
      </c>
      <c r="AA55" s="7">
        <f>Y55*Z55</f>
        <v/>
      </c>
      <c r="AB55" s="5">
        <f>L55*1000*AA55*86400</f>
        <v/>
      </c>
      <c r="AC55" s="5">
        <f>AB55*365</f>
        <v/>
      </c>
    </row>
    <row r="56">
      <c r="A56" s="5">
        <f>'02_Inputs'!A56</f>
        <v/>
      </c>
      <c r="B56" s="5">
        <f>'02_Inputs'!B56</f>
        <v/>
      </c>
      <c r="C56" s="5">
        <f>'02_Inputs'!C56</f>
        <v/>
      </c>
      <c r="D56" s="29">
        <f>'02_Inputs'!D56</f>
        <v/>
      </c>
      <c r="E56" s="6">
        <f>'02_Inputs'!E56</f>
        <v/>
      </c>
      <c r="F56" s="29">
        <f>D56*E56</f>
        <v/>
      </c>
      <c r="G56" s="5">
        <f>'02_Inputs'!F56</f>
        <v/>
      </c>
      <c r="H56" s="29">
        <f>F56/G56</f>
        <v/>
      </c>
      <c r="I56" s="6">
        <f>'02_Inputs'!G56</f>
        <v/>
      </c>
      <c r="J56" s="29">
        <f>H56*I56</f>
        <v/>
      </c>
      <c r="K56" s="6">
        <f>'02_Inputs'!H56</f>
        <v/>
      </c>
      <c r="L56" s="29">
        <f>J56*K56</f>
        <v/>
      </c>
      <c r="M56" s="29">
        <f>J56*(1-K56)</f>
        <v/>
      </c>
      <c r="N56" s="6">
        <f>'02_GPU_Mix_Input'!D56</f>
        <v/>
      </c>
      <c r="O56" s="6">
        <f>'02_GPU_Mix_Input'!E56</f>
        <v/>
      </c>
      <c r="P56" s="6">
        <f>'02_GPU_Mix_Input'!F56</f>
        <v/>
      </c>
      <c r="Q56" s="6">
        <f>'02_GPU_Mix_Input'!G56</f>
        <v/>
      </c>
      <c r="R56" s="7">
        <f>INDEX('01_Benchmark_Input'!$K$2:$K$10,MATCH(B56,'01_Benchmark_Input'!$A$2:$A$10,0))</f>
        <v/>
      </c>
      <c r="S56" s="7">
        <f>INDEX('01_Benchmark_Input'!$P$2:$P$10,MATCH(B56,'01_Benchmark_Input'!$A$2:$A$10,0))</f>
        <v/>
      </c>
      <c r="T56" s="7">
        <f>INDEX('01_Benchmark_Input'!$U$2:$U$10,MATCH(B56,'01_Benchmark_Input'!$A$2:$A$10,0))</f>
        <v/>
      </c>
      <c r="U56" s="7">
        <f>INDEX('01_Benchmark_Input'!$Z$2:$Z$10,MATCH(B56,'01_Benchmark_Input'!$A$2:$A$10,0))</f>
        <v/>
      </c>
      <c r="V56" s="6">
        <f>INDEX('01_Benchmark_Input'!$D$2:$D$10,MATCH(B56,'01_Benchmark_Input'!$A$2:$A$10,0))</f>
        <v/>
      </c>
      <c r="W56" s="6">
        <f>INDEX('01_Benchmark_Input'!$E$2:$E$10,MATCH(B56,'01_Benchmark_Input'!$A$2:$A$10,0))</f>
        <v/>
      </c>
      <c r="X56" s="6">
        <f>INDEX('01_Benchmark_Input'!$F$2:$F$10,MATCH(B56,'01_Benchmark_Input'!$A$2:$A$10,0))</f>
        <v/>
      </c>
      <c r="Y56" s="7">
        <f>N56*R56+O56*S56+P56*T56+Q56*U56</f>
        <v/>
      </c>
      <c r="Z56" s="6">
        <f>'02_Inputs'!K56</f>
        <v/>
      </c>
      <c r="AA56" s="7">
        <f>Y56*Z56</f>
        <v/>
      </c>
      <c r="AB56" s="5">
        <f>L56*1000*AA56*86400</f>
        <v/>
      </c>
      <c r="AC56" s="5">
        <f>AB56*365</f>
        <v/>
      </c>
    </row>
    <row r="57">
      <c r="A57" s="5">
        <f>'02_Inputs'!A57</f>
        <v/>
      </c>
      <c r="B57" s="5">
        <f>'02_Inputs'!B57</f>
        <v/>
      </c>
      <c r="C57" s="5">
        <f>'02_Inputs'!C57</f>
        <v/>
      </c>
      <c r="D57" s="29">
        <f>'02_Inputs'!D57</f>
        <v/>
      </c>
      <c r="E57" s="6">
        <f>'02_Inputs'!E57</f>
        <v/>
      </c>
      <c r="F57" s="29">
        <f>D57*E57</f>
        <v/>
      </c>
      <c r="G57" s="5">
        <f>'02_Inputs'!F57</f>
        <v/>
      </c>
      <c r="H57" s="29">
        <f>F57/G57</f>
        <v/>
      </c>
      <c r="I57" s="6">
        <f>'02_Inputs'!G57</f>
        <v/>
      </c>
      <c r="J57" s="29">
        <f>H57*I57</f>
        <v/>
      </c>
      <c r="K57" s="6">
        <f>'02_Inputs'!H57</f>
        <v/>
      </c>
      <c r="L57" s="29">
        <f>J57*K57</f>
        <v/>
      </c>
      <c r="M57" s="29">
        <f>J57*(1-K57)</f>
        <v/>
      </c>
      <c r="N57" s="6">
        <f>'02_GPU_Mix_Input'!D57</f>
        <v/>
      </c>
      <c r="O57" s="6">
        <f>'02_GPU_Mix_Input'!E57</f>
        <v/>
      </c>
      <c r="P57" s="6">
        <f>'02_GPU_Mix_Input'!F57</f>
        <v/>
      </c>
      <c r="Q57" s="6">
        <f>'02_GPU_Mix_Input'!G57</f>
        <v/>
      </c>
      <c r="R57" s="7">
        <f>INDEX('01_Benchmark_Input'!$K$2:$K$10,MATCH(B57,'01_Benchmark_Input'!$A$2:$A$10,0))</f>
        <v/>
      </c>
      <c r="S57" s="7">
        <f>INDEX('01_Benchmark_Input'!$P$2:$P$10,MATCH(B57,'01_Benchmark_Input'!$A$2:$A$10,0))</f>
        <v/>
      </c>
      <c r="T57" s="7">
        <f>INDEX('01_Benchmark_Input'!$U$2:$U$10,MATCH(B57,'01_Benchmark_Input'!$A$2:$A$10,0))</f>
        <v/>
      </c>
      <c r="U57" s="7">
        <f>INDEX('01_Benchmark_Input'!$Z$2:$Z$10,MATCH(B57,'01_Benchmark_Input'!$A$2:$A$10,0))</f>
        <v/>
      </c>
      <c r="V57" s="6">
        <f>INDEX('01_Benchmark_Input'!$D$2:$D$10,MATCH(B57,'01_Benchmark_Input'!$A$2:$A$10,0))</f>
        <v/>
      </c>
      <c r="W57" s="6">
        <f>INDEX('01_Benchmark_Input'!$E$2:$E$10,MATCH(B57,'01_Benchmark_Input'!$A$2:$A$10,0))</f>
        <v/>
      </c>
      <c r="X57" s="6">
        <f>INDEX('01_Benchmark_Input'!$F$2:$F$10,MATCH(B57,'01_Benchmark_Input'!$A$2:$A$10,0))</f>
        <v/>
      </c>
      <c r="Y57" s="7">
        <f>N57*R57+O57*S57+P57*T57+Q57*U57</f>
        <v/>
      </c>
      <c r="Z57" s="6">
        <f>'02_Inputs'!K57</f>
        <v/>
      </c>
      <c r="AA57" s="7">
        <f>Y57*Z57</f>
        <v/>
      </c>
      <c r="AB57" s="5">
        <f>L57*1000*AA57*86400</f>
        <v/>
      </c>
      <c r="AC57" s="5">
        <f>AB57*365</f>
        <v/>
      </c>
    </row>
    <row r="58">
      <c r="A58" s="5">
        <f>'02_Inputs'!A58</f>
        <v/>
      </c>
      <c r="B58" s="5">
        <f>'02_Inputs'!B58</f>
        <v/>
      </c>
      <c r="C58" s="5">
        <f>'02_Inputs'!C58</f>
        <v/>
      </c>
      <c r="D58" s="29">
        <f>'02_Inputs'!D58</f>
        <v/>
      </c>
      <c r="E58" s="6">
        <f>'02_Inputs'!E58</f>
        <v/>
      </c>
      <c r="F58" s="29">
        <f>D58*E58</f>
        <v/>
      </c>
      <c r="G58" s="5">
        <f>'02_Inputs'!F58</f>
        <v/>
      </c>
      <c r="H58" s="29">
        <f>F58/G58</f>
        <v/>
      </c>
      <c r="I58" s="6">
        <f>'02_Inputs'!G58</f>
        <v/>
      </c>
      <c r="J58" s="29">
        <f>H58*I58</f>
        <v/>
      </c>
      <c r="K58" s="6">
        <f>'02_Inputs'!H58</f>
        <v/>
      </c>
      <c r="L58" s="29">
        <f>J58*K58</f>
        <v/>
      </c>
      <c r="M58" s="29">
        <f>J58*(1-K58)</f>
        <v/>
      </c>
      <c r="N58" s="6">
        <f>'02_GPU_Mix_Input'!D58</f>
        <v/>
      </c>
      <c r="O58" s="6">
        <f>'02_GPU_Mix_Input'!E58</f>
        <v/>
      </c>
      <c r="P58" s="6">
        <f>'02_GPU_Mix_Input'!F58</f>
        <v/>
      </c>
      <c r="Q58" s="6">
        <f>'02_GPU_Mix_Input'!G58</f>
        <v/>
      </c>
      <c r="R58" s="7">
        <f>INDEX('01_Benchmark_Input'!$K$2:$K$10,MATCH(B58,'01_Benchmark_Input'!$A$2:$A$10,0))</f>
        <v/>
      </c>
      <c r="S58" s="7">
        <f>INDEX('01_Benchmark_Input'!$P$2:$P$10,MATCH(B58,'01_Benchmark_Input'!$A$2:$A$10,0))</f>
        <v/>
      </c>
      <c r="T58" s="7">
        <f>INDEX('01_Benchmark_Input'!$U$2:$U$10,MATCH(B58,'01_Benchmark_Input'!$A$2:$A$10,0))</f>
        <v/>
      </c>
      <c r="U58" s="7">
        <f>INDEX('01_Benchmark_Input'!$Z$2:$Z$10,MATCH(B58,'01_Benchmark_Input'!$A$2:$A$10,0))</f>
        <v/>
      </c>
      <c r="V58" s="6">
        <f>INDEX('01_Benchmark_Input'!$D$2:$D$10,MATCH(B58,'01_Benchmark_Input'!$A$2:$A$10,0))</f>
        <v/>
      </c>
      <c r="W58" s="6">
        <f>INDEX('01_Benchmark_Input'!$E$2:$E$10,MATCH(B58,'01_Benchmark_Input'!$A$2:$A$10,0))</f>
        <v/>
      </c>
      <c r="X58" s="6">
        <f>INDEX('01_Benchmark_Input'!$F$2:$F$10,MATCH(B58,'01_Benchmark_Input'!$A$2:$A$10,0))</f>
        <v/>
      </c>
      <c r="Y58" s="7">
        <f>N58*R58+O58*S58+P58*T58+Q58*U58</f>
        <v/>
      </c>
      <c r="Z58" s="6">
        <f>'02_Inputs'!K58</f>
        <v/>
      </c>
      <c r="AA58" s="7">
        <f>Y58*Z58</f>
        <v/>
      </c>
      <c r="AB58" s="5">
        <f>L58*1000*AA58*86400</f>
        <v/>
      </c>
      <c r="AC58" s="5">
        <f>AB58*365</f>
        <v/>
      </c>
    </row>
    <row r="59">
      <c r="A59" s="5">
        <f>'02_Inputs'!A59</f>
        <v/>
      </c>
      <c r="B59" s="5">
        <f>'02_Inputs'!B59</f>
        <v/>
      </c>
      <c r="C59" s="5">
        <f>'02_Inputs'!C59</f>
        <v/>
      </c>
      <c r="D59" s="29">
        <f>'02_Inputs'!D59</f>
        <v/>
      </c>
      <c r="E59" s="6">
        <f>'02_Inputs'!E59</f>
        <v/>
      </c>
      <c r="F59" s="29">
        <f>D59*E59</f>
        <v/>
      </c>
      <c r="G59" s="5">
        <f>'02_Inputs'!F59</f>
        <v/>
      </c>
      <c r="H59" s="29">
        <f>F59/G59</f>
        <v/>
      </c>
      <c r="I59" s="6">
        <f>'02_Inputs'!G59</f>
        <v/>
      </c>
      <c r="J59" s="29">
        <f>H59*I59</f>
        <v/>
      </c>
      <c r="K59" s="6">
        <f>'02_Inputs'!H59</f>
        <v/>
      </c>
      <c r="L59" s="29">
        <f>J59*K59</f>
        <v/>
      </c>
      <c r="M59" s="29">
        <f>J59*(1-K59)</f>
        <v/>
      </c>
      <c r="N59" s="6">
        <f>'02_GPU_Mix_Input'!D59</f>
        <v/>
      </c>
      <c r="O59" s="6">
        <f>'02_GPU_Mix_Input'!E59</f>
        <v/>
      </c>
      <c r="P59" s="6">
        <f>'02_GPU_Mix_Input'!F59</f>
        <v/>
      </c>
      <c r="Q59" s="6">
        <f>'02_GPU_Mix_Input'!G59</f>
        <v/>
      </c>
      <c r="R59" s="7">
        <f>INDEX('01_Benchmark_Input'!$K$2:$K$10,MATCH(B59,'01_Benchmark_Input'!$A$2:$A$10,0))</f>
        <v/>
      </c>
      <c r="S59" s="7">
        <f>INDEX('01_Benchmark_Input'!$P$2:$P$10,MATCH(B59,'01_Benchmark_Input'!$A$2:$A$10,0))</f>
        <v/>
      </c>
      <c r="T59" s="7">
        <f>INDEX('01_Benchmark_Input'!$U$2:$U$10,MATCH(B59,'01_Benchmark_Input'!$A$2:$A$10,0))</f>
        <v/>
      </c>
      <c r="U59" s="7">
        <f>INDEX('01_Benchmark_Input'!$Z$2:$Z$10,MATCH(B59,'01_Benchmark_Input'!$A$2:$A$10,0))</f>
        <v/>
      </c>
      <c r="V59" s="6">
        <f>INDEX('01_Benchmark_Input'!$D$2:$D$10,MATCH(B59,'01_Benchmark_Input'!$A$2:$A$10,0))</f>
        <v/>
      </c>
      <c r="W59" s="6">
        <f>INDEX('01_Benchmark_Input'!$E$2:$E$10,MATCH(B59,'01_Benchmark_Input'!$A$2:$A$10,0))</f>
        <v/>
      </c>
      <c r="X59" s="6">
        <f>INDEX('01_Benchmark_Input'!$F$2:$F$10,MATCH(B59,'01_Benchmark_Input'!$A$2:$A$10,0))</f>
        <v/>
      </c>
      <c r="Y59" s="7">
        <f>N59*R59+O59*S59+P59*T59+Q59*U59</f>
        <v/>
      </c>
      <c r="Z59" s="6">
        <f>'02_Inputs'!K59</f>
        <v/>
      </c>
      <c r="AA59" s="7">
        <f>Y59*Z59</f>
        <v/>
      </c>
      <c r="AB59" s="5">
        <f>L59*1000*AA59*86400</f>
        <v/>
      </c>
      <c r="AC59" s="5">
        <f>AB59*365</f>
        <v/>
      </c>
    </row>
    <row r="60">
      <c r="A60" s="5">
        <f>'02_Inputs'!A60</f>
        <v/>
      </c>
      <c r="B60" s="5">
        <f>'02_Inputs'!B60</f>
        <v/>
      </c>
      <c r="C60" s="5">
        <f>'02_Inputs'!C60</f>
        <v/>
      </c>
      <c r="D60" s="29">
        <f>'02_Inputs'!D60</f>
        <v/>
      </c>
      <c r="E60" s="6">
        <f>'02_Inputs'!E60</f>
        <v/>
      </c>
      <c r="F60" s="29">
        <f>D60*E60</f>
        <v/>
      </c>
      <c r="G60" s="5">
        <f>'02_Inputs'!F60</f>
        <v/>
      </c>
      <c r="H60" s="29">
        <f>F60/G60</f>
        <v/>
      </c>
      <c r="I60" s="6">
        <f>'02_Inputs'!G60</f>
        <v/>
      </c>
      <c r="J60" s="29">
        <f>H60*I60</f>
        <v/>
      </c>
      <c r="K60" s="6">
        <f>'02_Inputs'!H60</f>
        <v/>
      </c>
      <c r="L60" s="29">
        <f>J60*K60</f>
        <v/>
      </c>
      <c r="M60" s="29">
        <f>J60*(1-K60)</f>
        <v/>
      </c>
      <c r="N60" s="6">
        <f>'02_GPU_Mix_Input'!D60</f>
        <v/>
      </c>
      <c r="O60" s="6">
        <f>'02_GPU_Mix_Input'!E60</f>
        <v/>
      </c>
      <c r="P60" s="6">
        <f>'02_GPU_Mix_Input'!F60</f>
        <v/>
      </c>
      <c r="Q60" s="6">
        <f>'02_GPU_Mix_Input'!G60</f>
        <v/>
      </c>
      <c r="R60" s="7">
        <f>INDEX('01_Benchmark_Input'!$K$2:$K$10,MATCH(B60,'01_Benchmark_Input'!$A$2:$A$10,0))</f>
        <v/>
      </c>
      <c r="S60" s="7">
        <f>INDEX('01_Benchmark_Input'!$P$2:$P$10,MATCH(B60,'01_Benchmark_Input'!$A$2:$A$10,0))</f>
        <v/>
      </c>
      <c r="T60" s="7">
        <f>INDEX('01_Benchmark_Input'!$U$2:$U$10,MATCH(B60,'01_Benchmark_Input'!$A$2:$A$10,0))</f>
        <v/>
      </c>
      <c r="U60" s="7">
        <f>INDEX('01_Benchmark_Input'!$Z$2:$Z$10,MATCH(B60,'01_Benchmark_Input'!$A$2:$A$10,0))</f>
        <v/>
      </c>
      <c r="V60" s="6">
        <f>INDEX('01_Benchmark_Input'!$D$2:$D$10,MATCH(B60,'01_Benchmark_Input'!$A$2:$A$10,0))</f>
        <v/>
      </c>
      <c r="W60" s="6">
        <f>INDEX('01_Benchmark_Input'!$E$2:$E$10,MATCH(B60,'01_Benchmark_Input'!$A$2:$A$10,0))</f>
        <v/>
      </c>
      <c r="X60" s="6">
        <f>INDEX('01_Benchmark_Input'!$F$2:$F$10,MATCH(B60,'01_Benchmark_Input'!$A$2:$A$10,0))</f>
        <v/>
      </c>
      <c r="Y60" s="7">
        <f>N60*R60+O60*S60+P60*T60+Q60*U60</f>
        <v/>
      </c>
      <c r="Z60" s="6">
        <f>'02_Inputs'!K60</f>
        <v/>
      </c>
      <c r="AA60" s="7">
        <f>Y60*Z60</f>
        <v/>
      </c>
      <c r="AB60" s="5">
        <f>L60*1000*AA60*86400</f>
        <v/>
      </c>
      <c r="AC60" s="5">
        <f>AB60*365</f>
        <v/>
      </c>
    </row>
    <row r="61">
      <c r="A61" s="5">
        <f>'02_Inputs'!A61</f>
        <v/>
      </c>
      <c r="B61" s="5">
        <f>'02_Inputs'!B61</f>
        <v/>
      </c>
      <c r="C61" s="5">
        <f>'02_Inputs'!C61</f>
        <v/>
      </c>
      <c r="D61" s="29">
        <f>'02_Inputs'!D61</f>
        <v/>
      </c>
      <c r="E61" s="6">
        <f>'02_Inputs'!E61</f>
        <v/>
      </c>
      <c r="F61" s="29">
        <f>D61*E61</f>
        <v/>
      </c>
      <c r="G61" s="5">
        <f>'02_Inputs'!F61</f>
        <v/>
      </c>
      <c r="H61" s="29">
        <f>F61/G61</f>
        <v/>
      </c>
      <c r="I61" s="6">
        <f>'02_Inputs'!G61</f>
        <v/>
      </c>
      <c r="J61" s="29">
        <f>H61*I61</f>
        <v/>
      </c>
      <c r="K61" s="6">
        <f>'02_Inputs'!H61</f>
        <v/>
      </c>
      <c r="L61" s="29">
        <f>J61*K61</f>
        <v/>
      </c>
      <c r="M61" s="29">
        <f>J61*(1-K61)</f>
        <v/>
      </c>
      <c r="N61" s="6">
        <f>'02_GPU_Mix_Input'!D61</f>
        <v/>
      </c>
      <c r="O61" s="6">
        <f>'02_GPU_Mix_Input'!E61</f>
        <v/>
      </c>
      <c r="P61" s="6">
        <f>'02_GPU_Mix_Input'!F61</f>
        <v/>
      </c>
      <c r="Q61" s="6">
        <f>'02_GPU_Mix_Input'!G61</f>
        <v/>
      </c>
      <c r="R61" s="7">
        <f>INDEX('01_Benchmark_Input'!$K$2:$K$10,MATCH(B61,'01_Benchmark_Input'!$A$2:$A$10,0))</f>
        <v/>
      </c>
      <c r="S61" s="7">
        <f>INDEX('01_Benchmark_Input'!$P$2:$P$10,MATCH(B61,'01_Benchmark_Input'!$A$2:$A$10,0))</f>
        <v/>
      </c>
      <c r="T61" s="7">
        <f>INDEX('01_Benchmark_Input'!$U$2:$U$10,MATCH(B61,'01_Benchmark_Input'!$A$2:$A$10,0))</f>
        <v/>
      </c>
      <c r="U61" s="7">
        <f>INDEX('01_Benchmark_Input'!$Z$2:$Z$10,MATCH(B61,'01_Benchmark_Input'!$A$2:$A$10,0))</f>
        <v/>
      </c>
      <c r="V61" s="6">
        <f>INDEX('01_Benchmark_Input'!$D$2:$D$10,MATCH(B61,'01_Benchmark_Input'!$A$2:$A$10,0))</f>
        <v/>
      </c>
      <c r="W61" s="6">
        <f>INDEX('01_Benchmark_Input'!$E$2:$E$10,MATCH(B61,'01_Benchmark_Input'!$A$2:$A$10,0))</f>
        <v/>
      </c>
      <c r="X61" s="6">
        <f>INDEX('01_Benchmark_Input'!$F$2:$F$10,MATCH(B61,'01_Benchmark_Input'!$A$2:$A$10,0))</f>
        <v/>
      </c>
      <c r="Y61" s="7">
        <f>N61*R61+O61*S61+P61*T61+Q61*U61</f>
        <v/>
      </c>
      <c r="Z61" s="6">
        <f>'02_Inputs'!K61</f>
        <v/>
      </c>
      <c r="AA61" s="7">
        <f>Y61*Z61</f>
        <v/>
      </c>
      <c r="AB61" s="5">
        <f>L61*1000*AA61*86400</f>
        <v/>
      </c>
      <c r="AC61" s="5">
        <f>AB61*365</f>
        <v/>
      </c>
    </row>
    <row r="62">
      <c r="A62" s="5">
        <f>'02_Inputs'!A62</f>
        <v/>
      </c>
      <c r="B62" s="5">
        <f>'02_Inputs'!B62</f>
        <v/>
      </c>
      <c r="C62" s="5">
        <f>'02_Inputs'!C62</f>
        <v/>
      </c>
      <c r="D62" s="29">
        <f>'02_Inputs'!D62</f>
        <v/>
      </c>
      <c r="E62" s="6">
        <f>'02_Inputs'!E62</f>
        <v/>
      </c>
      <c r="F62" s="29">
        <f>D62*E62</f>
        <v/>
      </c>
      <c r="G62" s="5">
        <f>'02_Inputs'!F62</f>
        <v/>
      </c>
      <c r="H62" s="29">
        <f>F62/G62</f>
        <v/>
      </c>
      <c r="I62" s="6">
        <f>'02_Inputs'!G62</f>
        <v/>
      </c>
      <c r="J62" s="29">
        <f>H62*I62</f>
        <v/>
      </c>
      <c r="K62" s="6">
        <f>'02_Inputs'!H62</f>
        <v/>
      </c>
      <c r="L62" s="29">
        <f>J62*K62</f>
        <v/>
      </c>
      <c r="M62" s="29">
        <f>J62*(1-K62)</f>
        <v/>
      </c>
      <c r="N62" s="6">
        <f>'02_GPU_Mix_Input'!D62</f>
        <v/>
      </c>
      <c r="O62" s="6">
        <f>'02_GPU_Mix_Input'!E62</f>
        <v/>
      </c>
      <c r="P62" s="6">
        <f>'02_GPU_Mix_Input'!F62</f>
        <v/>
      </c>
      <c r="Q62" s="6">
        <f>'02_GPU_Mix_Input'!G62</f>
        <v/>
      </c>
      <c r="R62" s="7">
        <f>INDEX('01_Benchmark_Input'!$K$2:$K$10,MATCH(B62,'01_Benchmark_Input'!$A$2:$A$10,0))</f>
        <v/>
      </c>
      <c r="S62" s="7">
        <f>INDEX('01_Benchmark_Input'!$P$2:$P$10,MATCH(B62,'01_Benchmark_Input'!$A$2:$A$10,0))</f>
        <v/>
      </c>
      <c r="T62" s="7">
        <f>INDEX('01_Benchmark_Input'!$U$2:$U$10,MATCH(B62,'01_Benchmark_Input'!$A$2:$A$10,0))</f>
        <v/>
      </c>
      <c r="U62" s="7">
        <f>INDEX('01_Benchmark_Input'!$Z$2:$Z$10,MATCH(B62,'01_Benchmark_Input'!$A$2:$A$10,0))</f>
        <v/>
      </c>
      <c r="V62" s="6">
        <f>INDEX('01_Benchmark_Input'!$D$2:$D$10,MATCH(B62,'01_Benchmark_Input'!$A$2:$A$10,0))</f>
        <v/>
      </c>
      <c r="W62" s="6">
        <f>INDEX('01_Benchmark_Input'!$E$2:$E$10,MATCH(B62,'01_Benchmark_Input'!$A$2:$A$10,0))</f>
        <v/>
      </c>
      <c r="X62" s="6">
        <f>INDEX('01_Benchmark_Input'!$F$2:$F$10,MATCH(B62,'01_Benchmark_Input'!$A$2:$A$10,0))</f>
        <v/>
      </c>
      <c r="Y62" s="7">
        <f>N62*R62+O62*S62+P62*T62+Q62*U62</f>
        <v/>
      </c>
      <c r="Z62" s="6">
        <f>'02_Inputs'!K62</f>
        <v/>
      </c>
      <c r="AA62" s="7">
        <f>Y62*Z62</f>
        <v/>
      </c>
      <c r="AB62" s="5">
        <f>L62*1000*AA62*86400</f>
        <v/>
      </c>
      <c r="AC62" s="5">
        <f>AB62*365</f>
        <v/>
      </c>
    </row>
    <row r="63">
      <c r="A63" s="5">
        <f>'02_Inputs'!A63</f>
        <v/>
      </c>
      <c r="B63" s="5">
        <f>'02_Inputs'!B63</f>
        <v/>
      </c>
      <c r="C63" s="5">
        <f>'02_Inputs'!C63</f>
        <v/>
      </c>
      <c r="D63" s="29">
        <f>'02_Inputs'!D63</f>
        <v/>
      </c>
      <c r="E63" s="6">
        <f>'02_Inputs'!E63</f>
        <v/>
      </c>
      <c r="F63" s="29">
        <f>D63*E63</f>
        <v/>
      </c>
      <c r="G63" s="5">
        <f>'02_Inputs'!F63</f>
        <v/>
      </c>
      <c r="H63" s="29">
        <f>F63/G63</f>
        <v/>
      </c>
      <c r="I63" s="6">
        <f>'02_Inputs'!G63</f>
        <v/>
      </c>
      <c r="J63" s="29">
        <f>H63*I63</f>
        <v/>
      </c>
      <c r="K63" s="6">
        <f>'02_Inputs'!H63</f>
        <v/>
      </c>
      <c r="L63" s="29">
        <f>J63*K63</f>
        <v/>
      </c>
      <c r="M63" s="29">
        <f>J63*(1-K63)</f>
        <v/>
      </c>
      <c r="N63" s="6">
        <f>'02_GPU_Mix_Input'!D63</f>
        <v/>
      </c>
      <c r="O63" s="6">
        <f>'02_GPU_Mix_Input'!E63</f>
        <v/>
      </c>
      <c r="P63" s="6">
        <f>'02_GPU_Mix_Input'!F63</f>
        <v/>
      </c>
      <c r="Q63" s="6">
        <f>'02_GPU_Mix_Input'!G63</f>
        <v/>
      </c>
      <c r="R63" s="7">
        <f>INDEX('01_Benchmark_Input'!$K$2:$K$10,MATCH(B63,'01_Benchmark_Input'!$A$2:$A$10,0))</f>
        <v/>
      </c>
      <c r="S63" s="7">
        <f>INDEX('01_Benchmark_Input'!$P$2:$P$10,MATCH(B63,'01_Benchmark_Input'!$A$2:$A$10,0))</f>
        <v/>
      </c>
      <c r="T63" s="7">
        <f>INDEX('01_Benchmark_Input'!$U$2:$U$10,MATCH(B63,'01_Benchmark_Input'!$A$2:$A$10,0))</f>
        <v/>
      </c>
      <c r="U63" s="7">
        <f>INDEX('01_Benchmark_Input'!$Z$2:$Z$10,MATCH(B63,'01_Benchmark_Input'!$A$2:$A$10,0))</f>
        <v/>
      </c>
      <c r="V63" s="6">
        <f>INDEX('01_Benchmark_Input'!$D$2:$D$10,MATCH(B63,'01_Benchmark_Input'!$A$2:$A$10,0))</f>
        <v/>
      </c>
      <c r="W63" s="6">
        <f>INDEX('01_Benchmark_Input'!$E$2:$E$10,MATCH(B63,'01_Benchmark_Input'!$A$2:$A$10,0))</f>
        <v/>
      </c>
      <c r="X63" s="6">
        <f>INDEX('01_Benchmark_Input'!$F$2:$F$10,MATCH(B63,'01_Benchmark_Input'!$A$2:$A$10,0))</f>
        <v/>
      </c>
      <c r="Y63" s="7">
        <f>N63*R63+O63*S63+P63*T63+Q63*U63</f>
        <v/>
      </c>
      <c r="Z63" s="6">
        <f>'02_Inputs'!K63</f>
        <v/>
      </c>
      <c r="AA63" s="7">
        <f>Y63*Z63</f>
        <v/>
      </c>
      <c r="AB63" s="5">
        <f>L63*1000*AA63*86400</f>
        <v/>
      </c>
      <c r="AC63" s="5">
        <f>AB63*365</f>
        <v/>
      </c>
    </row>
    <row r="64">
      <c r="A64" s="5">
        <f>'02_Inputs'!A64</f>
        <v/>
      </c>
      <c r="B64" s="5">
        <f>'02_Inputs'!B64</f>
        <v/>
      </c>
      <c r="C64" s="5">
        <f>'02_Inputs'!C64</f>
        <v/>
      </c>
      <c r="D64" s="29">
        <f>'02_Inputs'!D64</f>
        <v/>
      </c>
      <c r="E64" s="6">
        <f>'02_Inputs'!E64</f>
        <v/>
      </c>
      <c r="F64" s="29">
        <f>D64*E64</f>
        <v/>
      </c>
      <c r="G64" s="5">
        <f>'02_Inputs'!F64</f>
        <v/>
      </c>
      <c r="H64" s="29">
        <f>F64/G64</f>
        <v/>
      </c>
      <c r="I64" s="6">
        <f>'02_Inputs'!G64</f>
        <v/>
      </c>
      <c r="J64" s="29">
        <f>H64*I64</f>
        <v/>
      </c>
      <c r="K64" s="6">
        <f>'02_Inputs'!H64</f>
        <v/>
      </c>
      <c r="L64" s="29">
        <f>J64*K64</f>
        <v/>
      </c>
      <c r="M64" s="29">
        <f>J64*(1-K64)</f>
        <v/>
      </c>
      <c r="N64" s="6">
        <f>'02_GPU_Mix_Input'!D64</f>
        <v/>
      </c>
      <c r="O64" s="6">
        <f>'02_GPU_Mix_Input'!E64</f>
        <v/>
      </c>
      <c r="P64" s="6">
        <f>'02_GPU_Mix_Input'!F64</f>
        <v/>
      </c>
      <c r="Q64" s="6">
        <f>'02_GPU_Mix_Input'!G64</f>
        <v/>
      </c>
      <c r="R64" s="7">
        <f>INDEX('01_Benchmark_Input'!$K$2:$K$10,MATCH(B64,'01_Benchmark_Input'!$A$2:$A$10,0))</f>
        <v/>
      </c>
      <c r="S64" s="7">
        <f>INDEX('01_Benchmark_Input'!$P$2:$P$10,MATCH(B64,'01_Benchmark_Input'!$A$2:$A$10,0))</f>
        <v/>
      </c>
      <c r="T64" s="7">
        <f>INDEX('01_Benchmark_Input'!$U$2:$U$10,MATCH(B64,'01_Benchmark_Input'!$A$2:$A$10,0))</f>
        <v/>
      </c>
      <c r="U64" s="7">
        <f>INDEX('01_Benchmark_Input'!$Z$2:$Z$10,MATCH(B64,'01_Benchmark_Input'!$A$2:$A$10,0))</f>
        <v/>
      </c>
      <c r="V64" s="6">
        <f>INDEX('01_Benchmark_Input'!$D$2:$D$10,MATCH(B64,'01_Benchmark_Input'!$A$2:$A$10,0))</f>
        <v/>
      </c>
      <c r="W64" s="6">
        <f>INDEX('01_Benchmark_Input'!$E$2:$E$10,MATCH(B64,'01_Benchmark_Input'!$A$2:$A$10,0))</f>
        <v/>
      </c>
      <c r="X64" s="6">
        <f>INDEX('01_Benchmark_Input'!$F$2:$F$10,MATCH(B64,'01_Benchmark_Input'!$A$2:$A$10,0))</f>
        <v/>
      </c>
      <c r="Y64" s="7">
        <f>N64*R64+O64*S64+P64*T64+Q64*U64</f>
        <v/>
      </c>
      <c r="Z64" s="6">
        <f>'02_Inputs'!K64</f>
        <v/>
      </c>
      <c r="AA64" s="7">
        <f>Y64*Z64</f>
        <v/>
      </c>
      <c r="AB64" s="5">
        <f>L64*1000*AA64*86400</f>
        <v/>
      </c>
      <c r="AC64" s="5">
        <f>AB64*365</f>
        <v/>
      </c>
    </row>
    <row r="65">
      <c r="A65" s="5">
        <f>'02_Inputs'!A65</f>
        <v/>
      </c>
      <c r="B65" s="5">
        <f>'02_Inputs'!B65</f>
        <v/>
      </c>
      <c r="C65" s="5">
        <f>'02_Inputs'!C65</f>
        <v/>
      </c>
      <c r="D65" s="29">
        <f>'02_Inputs'!D65</f>
        <v/>
      </c>
      <c r="E65" s="6">
        <f>'02_Inputs'!E65</f>
        <v/>
      </c>
      <c r="F65" s="29">
        <f>D65*E65</f>
        <v/>
      </c>
      <c r="G65" s="5">
        <f>'02_Inputs'!F65</f>
        <v/>
      </c>
      <c r="H65" s="29">
        <f>F65/G65</f>
        <v/>
      </c>
      <c r="I65" s="6">
        <f>'02_Inputs'!G65</f>
        <v/>
      </c>
      <c r="J65" s="29">
        <f>H65*I65</f>
        <v/>
      </c>
      <c r="K65" s="6">
        <f>'02_Inputs'!H65</f>
        <v/>
      </c>
      <c r="L65" s="29">
        <f>J65*K65</f>
        <v/>
      </c>
      <c r="M65" s="29">
        <f>J65*(1-K65)</f>
        <v/>
      </c>
      <c r="N65" s="6">
        <f>'02_GPU_Mix_Input'!D65</f>
        <v/>
      </c>
      <c r="O65" s="6">
        <f>'02_GPU_Mix_Input'!E65</f>
        <v/>
      </c>
      <c r="P65" s="6">
        <f>'02_GPU_Mix_Input'!F65</f>
        <v/>
      </c>
      <c r="Q65" s="6">
        <f>'02_GPU_Mix_Input'!G65</f>
        <v/>
      </c>
      <c r="R65" s="7">
        <f>INDEX('01_Benchmark_Input'!$K$2:$K$10,MATCH(B65,'01_Benchmark_Input'!$A$2:$A$10,0))</f>
        <v/>
      </c>
      <c r="S65" s="7">
        <f>INDEX('01_Benchmark_Input'!$P$2:$P$10,MATCH(B65,'01_Benchmark_Input'!$A$2:$A$10,0))</f>
        <v/>
      </c>
      <c r="T65" s="7">
        <f>INDEX('01_Benchmark_Input'!$U$2:$U$10,MATCH(B65,'01_Benchmark_Input'!$A$2:$A$10,0))</f>
        <v/>
      </c>
      <c r="U65" s="7">
        <f>INDEX('01_Benchmark_Input'!$Z$2:$Z$10,MATCH(B65,'01_Benchmark_Input'!$A$2:$A$10,0))</f>
        <v/>
      </c>
      <c r="V65" s="6">
        <f>INDEX('01_Benchmark_Input'!$D$2:$D$10,MATCH(B65,'01_Benchmark_Input'!$A$2:$A$10,0))</f>
        <v/>
      </c>
      <c r="W65" s="6">
        <f>INDEX('01_Benchmark_Input'!$E$2:$E$10,MATCH(B65,'01_Benchmark_Input'!$A$2:$A$10,0))</f>
        <v/>
      </c>
      <c r="X65" s="6">
        <f>INDEX('01_Benchmark_Input'!$F$2:$F$10,MATCH(B65,'01_Benchmark_Input'!$A$2:$A$10,0))</f>
        <v/>
      </c>
      <c r="Y65" s="7">
        <f>N65*R65+O65*S65+P65*T65+Q65*U65</f>
        <v/>
      </c>
      <c r="Z65" s="6">
        <f>'02_Inputs'!K65</f>
        <v/>
      </c>
      <c r="AA65" s="7">
        <f>Y65*Z65</f>
        <v/>
      </c>
      <c r="AB65" s="5">
        <f>L65*1000*AA65*86400</f>
        <v/>
      </c>
      <c r="AC65" s="5">
        <f>AB65*365</f>
        <v/>
      </c>
    </row>
    <row r="66">
      <c r="A66" s="5">
        <f>'02_Inputs'!A66</f>
        <v/>
      </c>
      <c r="B66" s="5">
        <f>'02_Inputs'!B66</f>
        <v/>
      </c>
      <c r="C66" s="5">
        <f>'02_Inputs'!C66</f>
        <v/>
      </c>
      <c r="D66" s="29">
        <f>'02_Inputs'!D66</f>
        <v/>
      </c>
      <c r="E66" s="6">
        <f>'02_Inputs'!E66</f>
        <v/>
      </c>
      <c r="F66" s="29">
        <f>D66*E66</f>
        <v/>
      </c>
      <c r="G66" s="5">
        <f>'02_Inputs'!F66</f>
        <v/>
      </c>
      <c r="H66" s="29">
        <f>F66/G66</f>
        <v/>
      </c>
      <c r="I66" s="6">
        <f>'02_Inputs'!G66</f>
        <v/>
      </c>
      <c r="J66" s="29">
        <f>H66*I66</f>
        <v/>
      </c>
      <c r="K66" s="6">
        <f>'02_Inputs'!H66</f>
        <v/>
      </c>
      <c r="L66" s="29">
        <f>J66*K66</f>
        <v/>
      </c>
      <c r="M66" s="29">
        <f>J66*(1-K66)</f>
        <v/>
      </c>
      <c r="N66" s="6">
        <f>'02_GPU_Mix_Input'!D66</f>
        <v/>
      </c>
      <c r="O66" s="6">
        <f>'02_GPU_Mix_Input'!E66</f>
        <v/>
      </c>
      <c r="P66" s="6">
        <f>'02_GPU_Mix_Input'!F66</f>
        <v/>
      </c>
      <c r="Q66" s="6">
        <f>'02_GPU_Mix_Input'!G66</f>
        <v/>
      </c>
      <c r="R66" s="7">
        <f>INDEX('01_Benchmark_Input'!$K$2:$K$10,MATCH(B66,'01_Benchmark_Input'!$A$2:$A$10,0))</f>
        <v/>
      </c>
      <c r="S66" s="7">
        <f>INDEX('01_Benchmark_Input'!$P$2:$P$10,MATCH(B66,'01_Benchmark_Input'!$A$2:$A$10,0))</f>
        <v/>
      </c>
      <c r="T66" s="7">
        <f>INDEX('01_Benchmark_Input'!$U$2:$U$10,MATCH(B66,'01_Benchmark_Input'!$A$2:$A$10,0))</f>
        <v/>
      </c>
      <c r="U66" s="7">
        <f>INDEX('01_Benchmark_Input'!$Z$2:$Z$10,MATCH(B66,'01_Benchmark_Input'!$A$2:$A$10,0))</f>
        <v/>
      </c>
      <c r="V66" s="6">
        <f>INDEX('01_Benchmark_Input'!$D$2:$D$10,MATCH(B66,'01_Benchmark_Input'!$A$2:$A$10,0))</f>
        <v/>
      </c>
      <c r="W66" s="6">
        <f>INDEX('01_Benchmark_Input'!$E$2:$E$10,MATCH(B66,'01_Benchmark_Input'!$A$2:$A$10,0))</f>
        <v/>
      </c>
      <c r="X66" s="6">
        <f>INDEX('01_Benchmark_Input'!$F$2:$F$10,MATCH(B66,'01_Benchmark_Input'!$A$2:$A$10,0))</f>
        <v/>
      </c>
      <c r="Y66" s="7">
        <f>N66*R66+O66*S66+P66*T66+Q66*U66</f>
        <v/>
      </c>
      <c r="Z66" s="6">
        <f>'02_Inputs'!K66</f>
        <v/>
      </c>
      <c r="AA66" s="7">
        <f>Y66*Z66</f>
        <v/>
      </c>
      <c r="AB66" s="5">
        <f>L66*1000*AA66*86400</f>
        <v/>
      </c>
      <c r="AC66" s="5">
        <f>AB66*365</f>
        <v/>
      </c>
    </row>
    <row r="67">
      <c r="A67" s="5">
        <f>'02_Inputs'!A67</f>
        <v/>
      </c>
      <c r="B67" s="5">
        <f>'02_Inputs'!B67</f>
        <v/>
      </c>
      <c r="C67" s="5">
        <f>'02_Inputs'!C67</f>
        <v/>
      </c>
      <c r="D67" s="29">
        <f>'02_Inputs'!D67</f>
        <v/>
      </c>
      <c r="E67" s="6">
        <f>'02_Inputs'!E67</f>
        <v/>
      </c>
      <c r="F67" s="29">
        <f>D67*E67</f>
        <v/>
      </c>
      <c r="G67" s="5">
        <f>'02_Inputs'!F67</f>
        <v/>
      </c>
      <c r="H67" s="29">
        <f>F67/G67</f>
        <v/>
      </c>
      <c r="I67" s="6">
        <f>'02_Inputs'!G67</f>
        <v/>
      </c>
      <c r="J67" s="29">
        <f>H67*I67</f>
        <v/>
      </c>
      <c r="K67" s="6">
        <f>'02_Inputs'!H67</f>
        <v/>
      </c>
      <c r="L67" s="29">
        <f>J67*K67</f>
        <v/>
      </c>
      <c r="M67" s="29">
        <f>J67*(1-K67)</f>
        <v/>
      </c>
      <c r="N67" s="6">
        <f>'02_GPU_Mix_Input'!D67</f>
        <v/>
      </c>
      <c r="O67" s="6">
        <f>'02_GPU_Mix_Input'!E67</f>
        <v/>
      </c>
      <c r="P67" s="6">
        <f>'02_GPU_Mix_Input'!F67</f>
        <v/>
      </c>
      <c r="Q67" s="6">
        <f>'02_GPU_Mix_Input'!G67</f>
        <v/>
      </c>
      <c r="R67" s="7">
        <f>INDEX('01_Benchmark_Input'!$K$2:$K$10,MATCH(B67,'01_Benchmark_Input'!$A$2:$A$10,0))</f>
        <v/>
      </c>
      <c r="S67" s="7">
        <f>INDEX('01_Benchmark_Input'!$P$2:$P$10,MATCH(B67,'01_Benchmark_Input'!$A$2:$A$10,0))</f>
        <v/>
      </c>
      <c r="T67" s="7">
        <f>INDEX('01_Benchmark_Input'!$U$2:$U$10,MATCH(B67,'01_Benchmark_Input'!$A$2:$A$10,0))</f>
        <v/>
      </c>
      <c r="U67" s="7">
        <f>INDEX('01_Benchmark_Input'!$Z$2:$Z$10,MATCH(B67,'01_Benchmark_Input'!$A$2:$A$10,0))</f>
        <v/>
      </c>
      <c r="V67" s="6">
        <f>INDEX('01_Benchmark_Input'!$D$2:$D$10,MATCH(B67,'01_Benchmark_Input'!$A$2:$A$10,0))</f>
        <v/>
      </c>
      <c r="W67" s="6">
        <f>INDEX('01_Benchmark_Input'!$E$2:$E$10,MATCH(B67,'01_Benchmark_Input'!$A$2:$A$10,0))</f>
        <v/>
      </c>
      <c r="X67" s="6">
        <f>INDEX('01_Benchmark_Input'!$F$2:$F$10,MATCH(B67,'01_Benchmark_Input'!$A$2:$A$10,0))</f>
        <v/>
      </c>
      <c r="Y67" s="7">
        <f>N67*R67+O67*S67+P67*T67+Q67*U67</f>
        <v/>
      </c>
      <c r="Z67" s="6">
        <f>'02_Inputs'!K67</f>
        <v/>
      </c>
      <c r="AA67" s="7">
        <f>Y67*Z67</f>
        <v/>
      </c>
      <c r="AB67" s="5">
        <f>L67*1000*AA67*86400</f>
        <v/>
      </c>
      <c r="AC67" s="5">
        <f>AB67*365</f>
        <v/>
      </c>
    </row>
    <row r="68">
      <c r="A68" s="5">
        <f>'02_Inputs'!A68</f>
        <v/>
      </c>
      <c r="B68" s="5">
        <f>'02_Inputs'!B68</f>
        <v/>
      </c>
      <c r="C68" s="5">
        <f>'02_Inputs'!C68</f>
        <v/>
      </c>
      <c r="D68" s="29">
        <f>'02_Inputs'!D68</f>
        <v/>
      </c>
      <c r="E68" s="6">
        <f>'02_Inputs'!E68</f>
        <v/>
      </c>
      <c r="F68" s="29">
        <f>D68*E68</f>
        <v/>
      </c>
      <c r="G68" s="5">
        <f>'02_Inputs'!F68</f>
        <v/>
      </c>
      <c r="H68" s="29">
        <f>F68/G68</f>
        <v/>
      </c>
      <c r="I68" s="6">
        <f>'02_Inputs'!G68</f>
        <v/>
      </c>
      <c r="J68" s="29">
        <f>H68*I68</f>
        <v/>
      </c>
      <c r="K68" s="6">
        <f>'02_Inputs'!H68</f>
        <v/>
      </c>
      <c r="L68" s="29">
        <f>J68*K68</f>
        <v/>
      </c>
      <c r="M68" s="29">
        <f>J68*(1-K68)</f>
        <v/>
      </c>
      <c r="N68" s="6">
        <f>'02_GPU_Mix_Input'!D68</f>
        <v/>
      </c>
      <c r="O68" s="6">
        <f>'02_GPU_Mix_Input'!E68</f>
        <v/>
      </c>
      <c r="P68" s="6">
        <f>'02_GPU_Mix_Input'!F68</f>
        <v/>
      </c>
      <c r="Q68" s="6">
        <f>'02_GPU_Mix_Input'!G68</f>
        <v/>
      </c>
      <c r="R68" s="7">
        <f>INDEX('01_Benchmark_Input'!$K$2:$K$10,MATCH(B68,'01_Benchmark_Input'!$A$2:$A$10,0))</f>
        <v/>
      </c>
      <c r="S68" s="7">
        <f>INDEX('01_Benchmark_Input'!$P$2:$P$10,MATCH(B68,'01_Benchmark_Input'!$A$2:$A$10,0))</f>
        <v/>
      </c>
      <c r="T68" s="7">
        <f>INDEX('01_Benchmark_Input'!$U$2:$U$10,MATCH(B68,'01_Benchmark_Input'!$A$2:$A$10,0))</f>
        <v/>
      </c>
      <c r="U68" s="7">
        <f>INDEX('01_Benchmark_Input'!$Z$2:$Z$10,MATCH(B68,'01_Benchmark_Input'!$A$2:$A$10,0))</f>
        <v/>
      </c>
      <c r="V68" s="6">
        <f>INDEX('01_Benchmark_Input'!$D$2:$D$10,MATCH(B68,'01_Benchmark_Input'!$A$2:$A$10,0))</f>
        <v/>
      </c>
      <c r="W68" s="6">
        <f>INDEX('01_Benchmark_Input'!$E$2:$E$10,MATCH(B68,'01_Benchmark_Input'!$A$2:$A$10,0))</f>
        <v/>
      </c>
      <c r="X68" s="6">
        <f>INDEX('01_Benchmark_Input'!$F$2:$F$10,MATCH(B68,'01_Benchmark_Input'!$A$2:$A$10,0))</f>
        <v/>
      </c>
      <c r="Y68" s="7">
        <f>N68*R68+O68*S68+P68*T68+Q68*U68</f>
        <v/>
      </c>
      <c r="Z68" s="6">
        <f>'02_Inputs'!K68</f>
        <v/>
      </c>
      <c r="AA68" s="7">
        <f>Y68*Z68</f>
        <v/>
      </c>
      <c r="AB68" s="5">
        <f>L68*1000*AA68*86400</f>
        <v/>
      </c>
      <c r="AC68" s="5">
        <f>AB68*365</f>
        <v/>
      </c>
    </row>
    <row r="69">
      <c r="A69" s="5">
        <f>'02_Inputs'!A69</f>
        <v/>
      </c>
      <c r="B69" s="5">
        <f>'02_Inputs'!B69</f>
        <v/>
      </c>
      <c r="C69" s="5">
        <f>'02_Inputs'!C69</f>
        <v/>
      </c>
      <c r="D69" s="29">
        <f>'02_Inputs'!D69</f>
        <v/>
      </c>
      <c r="E69" s="6">
        <f>'02_Inputs'!E69</f>
        <v/>
      </c>
      <c r="F69" s="29">
        <f>D69*E69</f>
        <v/>
      </c>
      <c r="G69" s="5">
        <f>'02_Inputs'!F69</f>
        <v/>
      </c>
      <c r="H69" s="29">
        <f>F69/G69</f>
        <v/>
      </c>
      <c r="I69" s="6">
        <f>'02_Inputs'!G69</f>
        <v/>
      </c>
      <c r="J69" s="29">
        <f>H69*I69</f>
        <v/>
      </c>
      <c r="K69" s="6">
        <f>'02_Inputs'!H69</f>
        <v/>
      </c>
      <c r="L69" s="29">
        <f>J69*K69</f>
        <v/>
      </c>
      <c r="M69" s="29">
        <f>J69*(1-K69)</f>
        <v/>
      </c>
      <c r="N69" s="6">
        <f>'02_GPU_Mix_Input'!D69</f>
        <v/>
      </c>
      <c r="O69" s="6">
        <f>'02_GPU_Mix_Input'!E69</f>
        <v/>
      </c>
      <c r="P69" s="6">
        <f>'02_GPU_Mix_Input'!F69</f>
        <v/>
      </c>
      <c r="Q69" s="6">
        <f>'02_GPU_Mix_Input'!G69</f>
        <v/>
      </c>
      <c r="R69" s="7">
        <f>INDEX('01_Benchmark_Input'!$K$2:$K$10,MATCH(B69,'01_Benchmark_Input'!$A$2:$A$10,0))</f>
        <v/>
      </c>
      <c r="S69" s="7">
        <f>INDEX('01_Benchmark_Input'!$P$2:$P$10,MATCH(B69,'01_Benchmark_Input'!$A$2:$A$10,0))</f>
        <v/>
      </c>
      <c r="T69" s="7">
        <f>INDEX('01_Benchmark_Input'!$U$2:$U$10,MATCH(B69,'01_Benchmark_Input'!$A$2:$A$10,0))</f>
        <v/>
      </c>
      <c r="U69" s="7">
        <f>INDEX('01_Benchmark_Input'!$Z$2:$Z$10,MATCH(B69,'01_Benchmark_Input'!$A$2:$A$10,0))</f>
        <v/>
      </c>
      <c r="V69" s="6">
        <f>INDEX('01_Benchmark_Input'!$D$2:$D$10,MATCH(B69,'01_Benchmark_Input'!$A$2:$A$10,0))</f>
        <v/>
      </c>
      <c r="W69" s="6">
        <f>INDEX('01_Benchmark_Input'!$E$2:$E$10,MATCH(B69,'01_Benchmark_Input'!$A$2:$A$10,0))</f>
        <v/>
      </c>
      <c r="X69" s="6">
        <f>INDEX('01_Benchmark_Input'!$F$2:$F$10,MATCH(B69,'01_Benchmark_Input'!$A$2:$A$10,0))</f>
        <v/>
      </c>
      <c r="Y69" s="7">
        <f>N69*R69+O69*S69+P69*T69+Q69*U69</f>
        <v/>
      </c>
      <c r="Z69" s="6">
        <f>'02_Inputs'!K69</f>
        <v/>
      </c>
      <c r="AA69" s="7">
        <f>Y69*Z69</f>
        <v/>
      </c>
      <c r="AB69" s="5">
        <f>L69*1000*AA69*86400</f>
        <v/>
      </c>
      <c r="AC69" s="5">
        <f>AB69*365</f>
        <v/>
      </c>
    </row>
    <row r="70">
      <c r="A70" s="5">
        <f>'02_Inputs'!A70</f>
        <v/>
      </c>
      <c r="B70" s="5">
        <f>'02_Inputs'!B70</f>
        <v/>
      </c>
      <c r="C70" s="5">
        <f>'02_Inputs'!C70</f>
        <v/>
      </c>
      <c r="D70" s="29">
        <f>'02_Inputs'!D70</f>
        <v/>
      </c>
      <c r="E70" s="6">
        <f>'02_Inputs'!E70</f>
        <v/>
      </c>
      <c r="F70" s="29">
        <f>D70*E70</f>
        <v/>
      </c>
      <c r="G70" s="5">
        <f>'02_Inputs'!F70</f>
        <v/>
      </c>
      <c r="H70" s="29">
        <f>F70/G70</f>
        <v/>
      </c>
      <c r="I70" s="6">
        <f>'02_Inputs'!G70</f>
        <v/>
      </c>
      <c r="J70" s="29">
        <f>H70*I70</f>
        <v/>
      </c>
      <c r="K70" s="6">
        <f>'02_Inputs'!H70</f>
        <v/>
      </c>
      <c r="L70" s="29">
        <f>J70*K70</f>
        <v/>
      </c>
      <c r="M70" s="29">
        <f>J70*(1-K70)</f>
        <v/>
      </c>
      <c r="N70" s="6">
        <f>'02_GPU_Mix_Input'!D70</f>
        <v/>
      </c>
      <c r="O70" s="6">
        <f>'02_GPU_Mix_Input'!E70</f>
        <v/>
      </c>
      <c r="P70" s="6">
        <f>'02_GPU_Mix_Input'!F70</f>
        <v/>
      </c>
      <c r="Q70" s="6">
        <f>'02_GPU_Mix_Input'!G70</f>
        <v/>
      </c>
      <c r="R70" s="7">
        <f>INDEX('01_Benchmark_Input'!$K$2:$K$10,MATCH(B70,'01_Benchmark_Input'!$A$2:$A$10,0))</f>
        <v/>
      </c>
      <c r="S70" s="7">
        <f>INDEX('01_Benchmark_Input'!$P$2:$P$10,MATCH(B70,'01_Benchmark_Input'!$A$2:$A$10,0))</f>
        <v/>
      </c>
      <c r="T70" s="7">
        <f>INDEX('01_Benchmark_Input'!$U$2:$U$10,MATCH(B70,'01_Benchmark_Input'!$A$2:$A$10,0))</f>
        <v/>
      </c>
      <c r="U70" s="7">
        <f>INDEX('01_Benchmark_Input'!$Z$2:$Z$10,MATCH(B70,'01_Benchmark_Input'!$A$2:$A$10,0))</f>
        <v/>
      </c>
      <c r="V70" s="6">
        <f>INDEX('01_Benchmark_Input'!$D$2:$D$10,MATCH(B70,'01_Benchmark_Input'!$A$2:$A$10,0))</f>
        <v/>
      </c>
      <c r="W70" s="6">
        <f>INDEX('01_Benchmark_Input'!$E$2:$E$10,MATCH(B70,'01_Benchmark_Input'!$A$2:$A$10,0))</f>
        <v/>
      </c>
      <c r="X70" s="6">
        <f>INDEX('01_Benchmark_Input'!$F$2:$F$10,MATCH(B70,'01_Benchmark_Input'!$A$2:$A$10,0))</f>
        <v/>
      </c>
      <c r="Y70" s="7">
        <f>N70*R70+O70*S70+P70*T70+Q70*U70</f>
        <v/>
      </c>
      <c r="Z70" s="6">
        <f>'02_Inputs'!K70</f>
        <v/>
      </c>
      <c r="AA70" s="7">
        <f>Y70*Z70</f>
        <v/>
      </c>
      <c r="AB70" s="5">
        <f>L70*1000*AA70*86400</f>
        <v/>
      </c>
      <c r="AC70" s="5">
        <f>AB70*365</f>
        <v/>
      </c>
    </row>
    <row r="71">
      <c r="A71" s="5">
        <f>'02_Inputs'!A71</f>
        <v/>
      </c>
      <c r="B71" s="5">
        <f>'02_Inputs'!B71</f>
        <v/>
      </c>
      <c r="C71" s="5">
        <f>'02_Inputs'!C71</f>
        <v/>
      </c>
      <c r="D71" s="29">
        <f>'02_Inputs'!D71</f>
        <v/>
      </c>
      <c r="E71" s="6">
        <f>'02_Inputs'!E71</f>
        <v/>
      </c>
      <c r="F71" s="29">
        <f>D71*E71</f>
        <v/>
      </c>
      <c r="G71" s="5">
        <f>'02_Inputs'!F71</f>
        <v/>
      </c>
      <c r="H71" s="29">
        <f>F71/G71</f>
        <v/>
      </c>
      <c r="I71" s="6">
        <f>'02_Inputs'!G71</f>
        <v/>
      </c>
      <c r="J71" s="29">
        <f>H71*I71</f>
        <v/>
      </c>
      <c r="K71" s="6">
        <f>'02_Inputs'!H71</f>
        <v/>
      </c>
      <c r="L71" s="29">
        <f>J71*K71</f>
        <v/>
      </c>
      <c r="M71" s="29">
        <f>J71*(1-K71)</f>
        <v/>
      </c>
      <c r="N71" s="6">
        <f>'02_GPU_Mix_Input'!D71</f>
        <v/>
      </c>
      <c r="O71" s="6">
        <f>'02_GPU_Mix_Input'!E71</f>
        <v/>
      </c>
      <c r="P71" s="6">
        <f>'02_GPU_Mix_Input'!F71</f>
        <v/>
      </c>
      <c r="Q71" s="6">
        <f>'02_GPU_Mix_Input'!G71</f>
        <v/>
      </c>
      <c r="R71" s="7">
        <f>INDEX('01_Benchmark_Input'!$K$2:$K$10,MATCH(B71,'01_Benchmark_Input'!$A$2:$A$10,0))</f>
        <v/>
      </c>
      <c r="S71" s="7">
        <f>INDEX('01_Benchmark_Input'!$P$2:$P$10,MATCH(B71,'01_Benchmark_Input'!$A$2:$A$10,0))</f>
        <v/>
      </c>
      <c r="T71" s="7">
        <f>INDEX('01_Benchmark_Input'!$U$2:$U$10,MATCH(B71,'01_Benchmark_Input'!$A$2:$A$10,0))</f>
        <v/>
      </c>
      <c r="U71" s="7">
        <f>INDEX('01_Benchmark_Input'!$Z$2:$Z$10,MATCH(B71,'01_Benchmark_Input'!$A$2:$A$10,0))</f>
        <v/>
      </c>
      <c r="V71" s="6">
        <f>INDEX('01_Benchmark_Input'!$D$2:$D$10,MATCH(B71,'01_Benchmark_Input'!$A$2:$A$10,0))</f>
        <v/>
      </c>
      <c r="W71" s="6">
        <f>INDEX('01_Benchmark_Input'!$E$2:$E$10,MATCH(B71,'01_Benchmark_Input'!$A$2:$A$10,0))</f>
        <v/>
      </c>
      <c r="X71" s="6">
        <f>INDEX('01_Benchmark_Input'!$F$2:$F$10,MATCH(B71,'01_Benchmark_Input'!$A$2:$A$10,0))</f>
        <v/>
      </c>
      <c r="Y71" s="7">
        <f>N71*R71+O71*S71+P71*T71+Q71*U71</f>
        <v/>
      </c>
      <c r="Z71" s="6">
        <f>'02_Inputs'!K71</f>
        <v/>
      </c>
      <c r="AA71" s="7">
        <f>Y71*Z71</f>
        <v/>
      </c>
      <c r="AB71" s="5">
        <f>L71*1000*AA71*86400</f>
        <v/>
      </c>
      <c r="AC71" s="5">
        <f>AB71*365</f>
        <v/>
      </c>
    </row>
    <row r="72">
      <c r="A72" s="5">
        <f>'02_Inputs'!A72</f>
        <v/>
      </c>
      <c r="B72" s="5">
        <f>'02_Inputs'!B72</f>
        <v/>
      </c>
      <c r="C72" s="5">
        <f>'02_Inputs'!C72</f>
        <v/>
      </c>
      <c r="D72" s="29">
        <f>'02_Inputs'!D72</f>
        <v/>
      </c>
      <c r="E72" s="6">
        <f>'02_Inputs'!E72</f>
        <v/>
      </c>
      <c r="F72" s="29">
        <f>D72*E72</f>
        <v/>
      </c>
      <c r="G72" s="5">
        <f>'02_Inputs'!F72</f>
        <v/>
      </c>
      <c r="H72" s="29">
        <f>F72/G72</f>
        <v/>
      </c>
      <c r="I72" s="6">
        <f>'02_Inputs'!G72</f>
        <v/>
      </c>
      <c r="J72" s="29">
        <f>H72*I72</f>
        <v/>
      </c>
      <c r="K72" s="6">
        <f>'02_Inputs'!H72</f>
        <v/>
      </c>
      <c r="L72" s="29">
        <f>J72*K72</f>
        <v/>
      </c>
      <c r="M72" s="29">
        <f>J72*(1-K72)</f>
        <v/>
      </c>
      <c r="N72" s="6">
        <f>'02_GPU_Mix_Input'!D72</f>
        <v/>
      </c>
      <c r="O72" s="6">
        <f>'02_GPU_Mix_Input'!E72</f>
        <v/>
      </c>
      <c r="P72" s="6">
        <f>'02_GPU_Mix_Input'!F72</f>
        <v/>
      </c>
      <c r="Q72" s="6">
        <f>'02_GPU_Mix_Input'!G72</f>
        <v/>
      </c>
      <c r="R72" s="7">
        <f>INDEX('01_Benchmark_Input'!$K$2:$K$10,MATCH(B72,'01_Benchmark_Input'!$A$2:$A$10,0))</f>
        <v/>
      </c>
      <c r="S72" s="7">
        <f>INDEX('01_Benchmark_Input'!$P$2:$P$10,MATCH(B72,'01_Benchmark_Input'!$A$2:$A$10,0))</f>
        <v/>
      </c>
      <c r="T72" s="7">
        <f>INDEX('01_Benchmark_Input'!$U$2:$U$10,MATCH(B72,'01_Benchmark_Input'!$A$2:$A$10,0))</f>
        <v/>
      </c>
      <c r="U72" s="7">
        <f>INDEX('01_Benchmark_Input'!$Z$2:$Z$10,MATCH(B72,'01_Benchmark_Input'!$A$2:$A$10,0))</f>
        <v/>
      </c>
      <c r="V72" s="6">
        <f>INDEX('01_Benchmark_Input'!$D$2:$D$10,MATCH(B72,'01_Benchmark_Input'!$A$2:$A$10,0))</f>
        <v/>
      </c>
      <c r="W72" s="6">
        <f>INDEX('01_Benchmark_Input'!$E$2:$E$10,MATCH(B72,'01_Benchmark_Input'!$A$2:$A$10,0))</f>
        <v/>
      </c>
      <c r="X72" s="6">
        <f>INDEX('01_Benchmark_Input'!$F$2:$F$10,MATCH(B72,'01_Benchmark_Input'!$A$2:$A$10,0))</f>
        <v/>
      </c>
      <c r="Y72" s="7">
        <f>N72*R72+O72*S72+P72*T72+Q72*U72</f>
        <v/>
      </c>
      <c r="Z72" s="6">
        <f>'02_Inputs'!K72</f>
        <v/>
      </c>
      <c r="AA72" s="7">
        <f>Y72*Z72</f>
        <v/>
      </c>
      <c r="AB72" s="5">
        <f>L72*1000*AA72*86400</f>
        <v/>
      </c>
      <c r="AC72" s="5">
        <f>AB72*365</f>
        <v/>
      </c>
    </row>
    <row r="73">
      <c r="A73" s="5">
        <f>'02_Inputs'!A73</f>
        <v/>
      </c>
      <c r="B73" s="5">
        <f>'02_Inputs'!B73</f>
        <v/>
      </c>
      <c r="C73" s="5">
        <f>'02_Inputs'!C73</f>
        <v/>
      </c>
      <c r="D73" s="29">
        <f>'02_Inputs'!D73</f>
        <v/>
      </c>
      <c r="E73" s="6">
        <f>'02_Inputs'!E73</f>
        <v/>
      </c>
      <c r="F73" s="29">
        <f>D73*E73</f>
        <v/>
      </c>
      <c r="G73" s="5">
        <f>'02_Inputs'!F73</f>
        <v/>
      </c>
      <c r="H73" s="29">
        <f>F73/G73</f>
        <v/>
      </c>
      <c r="I73" s="6">
        <f>'02_Inputs'!G73</f>
        <v/>
      </c>
      <c r="J73" s="29">
        <f>H73*I73</f>
        <v/>
      </c>
      <c r="K73" s="6">
        <f>'02_Inputs'!H73</f>
        <v/>
      </c>
      <c r="L73" s="29">
        <f>J73*K73</f>
        <v/>
      </c>
      <c r="M73" s="29">
        <f>J73*(1-K73)</f>
        <v/>
      </c>
      <c r="N73" s="6">
        <f>'02_GPU_Mix_Input'!D73</f>
        <v/>
      </c>
      <c r="O73" s="6">
        <f>'02_GPU_Mix_Input'!E73</f>
        <v/>
      </c>
      <c r="P73" s="6">
        <f>'02_GPU_Mix_Input'!F73</f>
        <v/>
      </c>
      <c r="Q73" s="6">
        <f>'02_GPU_Mix_Input'!G73</f>
        <v/>
      </c>
      <c r="R73" s="7">
        <f>INDEX('01_Benchmark_Input'!$K$2:$K$10,MATCH(B73,'01_Benchmark_Input'!$A$2:$A$10,0))</f>
        <v/>
      </c>
      <c r="S73" s="7">
        <f>INDEX('01_Benchmark_Input'!$P$2:$P$10,MATCH(B73,'01_Benchmark_Input'!$A$2:$A$10,0))</f>
        <v/>
      </c>
      <c r="T73" s="7">
        <f>INDEX('01_Benchmark_Input'!$U$2:$U$10,MATCH(B73,'01_Benchmark_Input'!$A$2:$A$10,0))</f>
        <v/>
      </c>
      <c r="U73" s="7">
        <f>INDEX('01_Benchmark_Input'!$Z$2:$Z$10,MATCH(B73,'01_Benchmark_Input'!$A$2:$A$10,0))</f>
        <v/>
      </c>
      <c r="V73" s="6">
        <f>INDEX('01_Benchmark_Input'!$D$2:$D$10,MATCH(B73,'01_Benchmark_Input'!$A$2:$A$10,0))</f>
        <v/>
      </c>
      <c r="W73" s="6">
        <f>INDEX('01_Benchmark_Input'!$E$2:$E$10,MATCH(B73,'01_Benchmark_Input'!$A$2:$A$10,0))</f>
        <v/>
      </c>
      <c r="X73" s="6">
        <f>INDEX('01_Benchmark_Input'!$F$2:$F$10,MATCH(B73,'01_Benchmark_Input'!$A$2:$A$10,0))</f>
        <v/>
      </c>
      <c r="Y73" s="7">
        <f>N73*R73+O73*S73+P73*T73+Q73*U73</f>
        <v/>
      </c>
      <c r="Z73" s="6">
        <f>'02_Inputs'!K73</f>
        <v/>
      </c>
      <c r="AA73" s="7">
        <f>Y73*Z73</f>
        <v/>
      </c>
      <c r="AB73" s="5">
        <f>L73*1000*AA73*86400</f>
        <v/>
      </c>
      <c r="AC73" s="5">
        <f>AB73*365</f>
        <v/>
      </c>
    </row>
    <row r="74">
      <c r="A74" s="5">
        <f>'02_Inputs'!A74</f>
        <v/>
      </c>
      <c r="B74" s="5">
        <f>'02_Inputs'!B74</f>
        <v/>
      </c>
      <c r="C74" s="5">
        <f>'02_Inputs'!C74</f>
        <v/>
      </c>
      <c r="D74" s="29">
        <f>'02_Inputs'!D74</f>
        <v/>
      </c>
      <c r="E74" s="6">
        <f>'02_Inputs'!E74</f>
        <v/>
      </c>
      <c r="F74" s="29">
        <f>D74*E74</f>
        <v/>
      </c>
      <c r="G74" s="5">
        <f>'02_Inputs'!F74</f>
        <v/>
      </c>
      <c r="H74" s="29">
        <f>F74/G74</f>
        <v/>
      </c>
      <c r="I74" s="6">
        <f>'02_Inputs'!G74</f>
        <v/>
      </c>
      <c r="J74" s="29">
        <f>H74*I74</f>
        <v/>
      </c>
      <c r="K74" s="6">
        <f>'02_Inputs'!H74</f>
        <v/>
      </c>
      <c r="L74" s="29">
        <f>J74*K74</f>
        <v/>
      </c>
      <c r="M74" s="29">
        <f>J74*(1-K74)</f>
        <v/>
      </c>
      <c r="N74" s="6">
        <f>'02_GPU_Mix_Input'!D74</f>
        <v/>
      </c>
      <c r="O74" s="6">
        <f>'02_GPU_Mix_Input'!E74</f>
        <v/>
      </c>
      <c r="P74" s="6">
        <f>'02_GPU_Mix_Input'!F74</f>
        <v/>
      </c>
      <c r="Q74" s="6">
        <f>'02_GPU_Mix_Input'!G74</f>
        <v/>
      </c>
      <c r="R74" s="7">
        <f>INDEX('01_Benchmark_Input'!$K$2:$K$10,MATCH(B74,'01_Benchmark_Input'!$A$2:$A$10,0))</f>
        <v/>
      </c>
      <c r="S74" s="7">
        <f>INDEX('01_Benchmark_Input'!$P$2:$P$10,MATCH(B74,'01_Benchmark_Input'!$A$2:$A$10,0))</f>
        <v/>
      </c>
      <c r="T74" s="7">
        <f>INDEX('01_Benchmark_Input'!$U$2:$U$10,MATCH(B74,'01_Benchmark_Input'!$A$2:$A$10,0))</f>
        <v/>
      </c>
      <c r="U74" s="7">
        <f>INDEX('01_Benchmark_Input'!$Z$2:$Z$10,MATCH(B74,'01_Benchmark_Input'!$A$2:$A$10,0))</f>
        <v/>
      </c>
      <c r="V74" s="6">
        <f>INDEX('01_Benchmark_Input'!$D$2:$D$10,MATCH(B74,'01_Benchmark_Input'!$A$2:$A$10,0))</f>
        <v/>
      </c>
      <c r="W74" s="6">
        <f>INDEX('01_Benchmark_Input'!$E$2:$E$10,MATCH(B74,'01_Benchmark_Input'!$A$2:$A$10,0))</f>
        <v/>
      </c>
      <c r="X74" s="6">
        <f>INDEX('01_Benchmark_Input'!$F$2:$F$10,MATCH(B74,'01_Benchmark_Input'!$A$2:$A$10,0))</f>
        <v/>
      </c>
      <c r="Y74" s="7">
        <f>N74*R74+O74*S74+P74*T74+Q74*U74</f>
        <v/>
      </c>
      <c r="Z74" s="6">
        <f>'02_Inputs'!K74</f>
        <v/>
      </c>
      <c r="AA74" s="7">
        <f>Y74*Z74</f>
        <v/>
      </c>
      <c r="AB74" s="5">
        <f>L74*1000*AA74*86400</f>
        <v/>
      </c>
      <c r="AC74" s="5">
        <f>AB74*365</f>
        <v/>
      </c>
    </row>
    <row r="75">
      <c r="A75" s="5">
        <f>'02_Inputs'!A75</f>
        <v/>
      </c>
      <c r="B75" s="5">
        <f>'02_Inputs'!B75</f>
        <v/>
      </c>
      <c r="C75" s="5">
        <f>'02_Inputs'!C75</f>
        <v/>
      </c>
      <c r="D75" s="29">
        <f>'02_Inputs'!D75</f>
        <v/>
      </c>
      <c r="E75" s="6">
        <f>'02_Inputs'!E75</f>
        <v/>
      </c>
      <c r="F75" s="29">
        <f>D75*E75</f>
        <v/>
      </c>
      <c r="G75" s="5">
        <f>'02_Inputs'!F75</f>
        <v/>
      </c>
      <c r="H75" s="29">
        <f>F75/G75</f>
        <v/>
      </c>
      <c r="I75" s="6">
        <f>'02_Inputs'!G75</f>
        <v/>
      </c>
      <c r="J75" s="29">
        <f>H75*I75</f>
        <v/>
      </c>
      <c r="K75" s="6">
        <f>'02_Inputs'!H75</f>
        <v/>
      </c>
      <c r="L75" s="29">
        <f>J75*K75</f>
        <v/>
      </c>
      <c r="M75" s="29">
        <f>J75*(1-K75)</f>
        <v/>
      </c>
      <c r="N75" s="6">
        <f>'02_GPU_Mix_Input'!D75</f>
        <v/>
      </c>
      <c r="O75" s="6">
        <f>'02_GPU_Mix_Input'!E75</f>
        <v/>
      </c>
      <c r="P75" s="6">
        <f>'02_GPU_Mix_Input'!F75</f>
        <v/>
      </c>
      <c r="Q75" s="6">
        <f>'02_GPU_Mix_Input'!G75</f>
        <v/>
      </c>
      <c r="R75" s="7">
        <f>INDEX('01_Benchmark_Input'!$K$2:$K$10,MATCH(B75,'01_Benchmark_Input'!$A$2:$A$10,0))</f>
        <v/>
      </c>
      <c r="S75" s="7">
        <f>INDEX('01_Benchmark_Input'!$P$2:$P$10,MATCH(B75,'01_Benchmark_Input'!$A$2:$A$10,0))</f>
        <v/>
      </c>
      <c r="T75" s="7">
        <f>INDEX('01_Benchmark_Input'!$U$2:$U$10,MATCH(B75,'01_Benchmark_Input'!$A$2:$A$10,0))</f>
        <v/>
      </c>
      <c r="U75" s="7">
        <f>INDEX('01_Benchmark_Input'!$Z$2:$Z$10,MATCH(B75,'01_Benchmark_Input'!$A$2:$A$10,0))</f>
        <v/>
      </c>
      <c r="V75" s="6">
        <f>INDEX('01_Benchmark_Input'!$D$2:$D$10,MATCH(B75,'01_Benchmark_Input'!$A$2:$A$10,0))</f>
        <v/>
      </c>
      <c r="W75" s="6">
        <f>INDEX('01_Benchmark_Input'!$E$2:$E$10,MATCH(B75,'01_Benchmark_Input'!$A$2:$A$10,0))</f>
        <v/>
      </c>
      <c r="X75" s="6">
        <f>INDEX('01_Benchmark_Input'!$F$2:$F$10,MATCH(B75,'01_Benchmark_Input'!$A$2:$A$10,0))</f>
        <v/>
      </c>
      <c r="Y75" s="7">
        <f>N75*R75+O75*S75+P75*T75+Q75*U75</f>
        <v/>
      </c>
      <c r="Z75" s="6">
        <f>'02_Inputs'!K75</f>
        <v/>
      </c>
      <c r="AA75" s="7">
        <f>Y75*Z75</f>
        <v/>
      </c>
      <c r="AB75" s="5">
        <f>L75*1000*AA75*86400</f>
        <v/>
      </c>
      <c r="AC75" s="5">
        <f>AB75*365</f>
        <v/>
      </c>
    </row>
    <row r="76">
      <c r="A76" s="5">
        <f>'02_Inputs'!A76</f>
        <v/>
      </c>
      <c r="B76" s="5">
        <f>'02_Inputs'!B76</f>
        <v/>
      </c>
      <c r="C76" s="5">
        <f>'02_Inputs'!C76</f>
        <v/>
      </c>
      <c r="D76" s="29">
        <f>'02_Inputs'!D76</f>
        <v/>
      </c>
      <c r="E76" s="6">
        <f>'02_Inputs'!E76</f>
        <v/>
      </c>
      <c r="F76" s="29">
        <f>D76*E76</f>
        <v/>
      </c>
      <c r="G76" s="5">
        <f>'02_Inputs'!F76</f>
        <v/>
      </c>
      <c r="H76" s="29">
        <f>F76/G76</f>
        <v/>
      </c>
      <c r="I76" s="6">
        <f>'02_Inputs'!G76</f>
        <v/>
      </c>
      <c r="J76" s="29">
        <f>H76*I76</f>
        <v/>
      </c>
      <c r="K76" s="6">
        <f>'02_Inputs'!H76</f>
        <v/>
      </c>
      <c r="L76" s="29">
        <f>J76*K76</f>
        <v/>
      </c>
      <c r="M76" s="29">
        <f>J76*(1-K76)</f>
        <v/>
      </c>
      <c r="N76" s="6">
        <f>'02_GPU_Mix_Input'!D76</f>
        <v/>
      </c>
      <c r="O76" s="6">
        <f>'02_GPU_Mix_Input'!E76</f>
        <v/>
      </c>
      <c r="P76" s="6">
        <f>'02_GPU_Mix_Input'!F76</f>
        <v/>
      </c>
      <c r="Q76" s="6">
        <f>'02_GPU_Mix_Input'!G76</f>
        <v/>
      </c>
      <c r="R76" s="7">
        <f>INDEX('01_Benchmark_Input'!$K$2:$K$10,MATCH(B76,'01_Benchmark_Input'!$A$2:$A$10,0))</f>
        <v/>
      </c>
      <c r="S76" s="7">
        <f>INDEX('01_Benchmark_Input'!$P$2:$P$10,MATCH(B76,'01_Benchmark_Input'!$A$2:$A$10,0))</f>
        <v/>
      </c>
      <c r="T76" s="7">
        <f>INDEX('01_Benchmark_Input'!$U$2:$U$10,MATCH(B76,'01_Benchmark_Input'!$A$2:$A$10,0))</f>
        <v/>
      </c>
      <c r="U76" s="7">
        <f>INDEX('01_Benchmark_Input'!$Z$2:$Z$10,MATCH(B76,'01_Benchmark_Input'!$A$2:$A$10,0))</f>
        <v/>
      </c>
      <c r="V76" s="6">
        <f>INDEX('01_Benchmark_Input'!$D$2:$D$10,MATCH(B76,'01_Benchmark_Input'!$A$2:$A$10,0))</f>
        <v/>
      </c>
      <c r="W76" s="6">
        <f>INDEX('01_Benchmark_Input'!$E$2:$E$10,MATCH(B76,'01_Benchmark_Input'!$A$2:$A$10,0))</f>
        <v/>
      </c>
      <c r="X76" s="6">
        <f>INDEX('01_Benchmark_Input'!$F$2:$F$10,MATCH(B76,'01_Benchmark_Input'!$A$2:$A$10,0))</f>
        <v/>
      </c>
      <c r="Y76" s="7">
        <f>N76*R76+O76*S76+P76*T76+Q76*U76</f>
        <v/>
      </c>
      <c r="Z76" s="6">
        <f>'02_Inputs'!K76</f>
        <v/>
      </c>
      <c r="AA76" s="7">
        <f>Y76*Z76</f>
        <v/>
      </c>
      <c r="AB76" s="5">
        <f>L76*1000*AA76*86400</f>
        <v/>
      </c>
      <c r="AC76" s="5">
        <f>AB76*365</f>
        <v/>
      </c>
    </row>
    <row r="77">
      <c r="A77" s="5">
        <f>'02_Inputs'!A77</f>
        <v/>
      </c>
      <c r="B77" s="5">
        <f>'02_Inputs'!B77</f>
        <v/>
      </c>
      <c r="C77" s="5">
        <f>'02_Inputs'!C77</f>
        <v/>
      </c>
      <c r="D77" s="29">
        <f>'02_Inputs'!D77</f>
        <v/>
      </c>
      <c r="E77" s="6">
        <f>'02_Inputs'!E77</f>
        <v/>
      </c>
      <c r="F77" s="29">
        <f>D77*E77</f>
        <v/>
      </c>
      <c r="G77" s="5">
        <f>'02_Inputs'!F77</f>
        <v/>
      </c>
      <c r="H77" s="29">
        <f>F77/G77</f>
        <v/>
      </c>
      <c r="I77" s="6">
        <f>'02_Inputs'!G77</f>
        <v/>
      </c>
      <c r="J77" s="29">
        <f>H77*I77</f>
        <v/>
      </c>
      <c r="K77" s="6">
        <f>'02_Inputs'!H77</f>
        <v/>
      </c>
      <c r="L77" s="29">
        <f>J77*K77</f>
        <v/>
      </c>
      <c r="M77" s="29">
        <f>J77*(1-K77)</f>
        <v/>
      </c>
      <c r="N77" s="6">
        <f>'02_GPU_Mix_Input'!D77</f>
        <v/>
      </c>
      <c r="O77" s="6">
        <f>'02_GPU_Mix_Input'!E77</f>
        <v/>
      </c>
      <c r="P77" s="6">
        <f>'02_GPU_Mix_Input'!F77</f>
        <v/>
      </c>
      <c r="Q77" s="6">
        <f>'02_GPU_Mix_Input'!G77</f>
        <v/>
      </c>
      <c r="R77" s="7">
        <f>INDEX('01_Benchmark_Input'!$K$2:$K$10,MATCH(B77,'01_Benchmark_Input'!$A$2:$A$10,0))</f>
        <v/>
      </c>
      <c r="S77" s="7">
        <f>INDEX('01_Benchmark_Input'!$P$2:$P$10,MATCH(B77,'01_Benchmark_Input'!$A$2:$A$10,0))</f>
        <v/>
      </c>
      <c r="T77" s="7">
        <f>INDEX('01_Benchmark_Input'!$U$2:$U$10,MATCH(B77,'01_Benchmark_Input'!$A$2:$A$10,0))</f>
        <v/>
      </c>
      <c r="U77" s="7">
        <f>INDEX('01_Benchmark_Input'!$Z$2:$Z$10,MATCH(B77,'01_Benchmark_Input'!$A$2:$A$10,0))</f>
        <v/>
      </c>
      <c r="V77" s="6">
        <f>INDEX('01_Benchmark_Input'!$D$2:$D$10,MATCH(B77,'01_Benchmark_Input'!$A$2:$A$10,0))</f>
        <v/>
      </c>
      <c r="W77" s="6">
        <f>INDEX('01_Benchmark_Input'!$E$2:$E$10,MATCH(B77,'01_Benchmark_Input'!$A$2:$A$10,0))</f>
        <v/>
      </c>
      <c r="X77" s="6">
        <f>INDEX('01_Benchmark_Input'!$F$2:$F$10,MATCH(B77,'01_Benchmark_Input'!$A$2:$A$10,0))</f>
        <v/>
      </c>
      <c r="Y77" s="7">
        <f>N77*R77+O77*S77+P77*T77+Q77*U77</f>
        <v/>
      </c>
      <c r="Z77" s="6">
        <f>'02_Inputs'!K77</f>
        <v/>
      </c>
      <c r="AA77" s="7">
        <f>Y77*Z77</f>
        <v/>
      </c>
      <c r="AB77" s="5">
        <f>L77*1000*AA77*86400</f>
        <v/>
      </c>
      <c r="AC77" s="5">
        <f>AB77*365</f>
        <v/>
      </c>
    </row>
    <row r="78">
      <c r="A78" s="5">
        <f>'02_Inputs'!A78</f>
        <v/>
      </c>
      <c r="B78" s="5">
        <f>'02_Inputs'!B78</f>
        <v/>
      </c>
      <c r="C78" s="5">
        <f>'02_Inputs'!C78</f>
        <v/>
      </c>
      <c r="D78" s="29">
        <f>'02_Inputs'!D78</f>
        <v/>
      </c>
      <c r="E78" s="6">
        <f>'02_Inputs'!E78</f>
        <v/>
      </c>
      <c r="F78" s="29">
        <f>D78*E78</f>
        <v/>
      </c>
      <c r="G78" s="5">
        <f>'02_Inputs'!F78</f>
        <v/>
      </c>
      <c r="H78" s="29">
        <f>F78/G78</f>
        <v/>
      </c>
      <c r="I78" s="6">
        <f>'02_Inputs'!G78</f>
        <v/>
      </c>
      <c r="J78" s="29">
        <f>H78*I78</f>
        <v/>
      </c>
      <c r="K78" s="6">
        <f>'02_Inputs'!H78</f>
        <v/>
      </c>
      <c r="L78" s="29">
        <f>J78*K78</f>
        <v/>
      </c>
      <c r="M78" s="29">
        <f>J78*(1-K78)</f>
        <v/>
      </c>
      <c r="N78" s="6">
        <f>'02_GPU_Mix_Input'!D78</f>
        <v/>
      </c>
      <c r="O78" s="6">
        <f>'02_GPU_Mix_Input'!E78</f>
        <v/>
      </c>
      <c r="P78" s="6">
        <f>'02_GPU_Mix_Input'!F78</f>
        <v/>
      </c>
      <c r="Q78" s="6">
        <f>'02_GPU_Mix_Input'!G78</f>
        <v/>
      </c>
      <c r="R78" s="7">
        <f>INDEX('01_Benchmark_Input'!$K$2:$K$10,MATCH(B78,'01_Benchmark_Input'!$A$2:$A$10,0))</f>
        <v/>
      </c>
      <c r="S78" s="7">
        <f>INDEX('01_Benchmark_Input'!$P$2:$P$10,MATCH(B78,'01_Benchmark_Input'!$A$2:$A$10,0))</f>
        <v/>
      </c>
      <c r="T78" s="7">
        <f>INDEX('01_Benchmark_Input'!$U$2:$U$10,MATCH(B78,'01_Benchmark_Input'!$A$2:$A$10,0))</f>
        <v/>
      </c>
      <c r="U78" s="7">
        <f>INDEX('01_Benchmark_Input'!$Z$2:$Z$10,MATCH(B78,'01_Benchmark_Input'!$A$2:$A$10,0))</f>
        <v/>
      </c>
      <c r="V78" s="6">
        <f>INDEX('01_Benchmark_Input'!$D$2:$D$10,MATCH(B78,'01_Benchmark_Input'!$A$2:$A$10,0))</f>
        <v/>
      </c>
      <c r="W78" s="6">
        <f>INDEX('01_Benchmark_Input'!$E$2:$E$10,MATCH(B78,'01_Benchmark_Input'!$A$2:$A$10,0))</f>
        <v/>
      </c>
      <c r="X78" s="6">
        <f>INDEX('01_Benchmark_Input'!$F$2:$F$10,MATCH(B78,'01_Benchmark_Input'!$A$2:$A$10,0))</f>
        <v/>
      </c>
      <c r="Y78" s="7">
        <f>N78*R78+O78*S78+P78*T78+Q78*U78</f>
        <v/>
      </c>
      <c r="Z78" s="6">
        <f>'02_Inputs'!K78</f>
        <v/>
      </c>
      <c r="AA78" s="7">
        <f>Y78*Z78</f>
        <v/>
      </c>
      <c r="AB78" s="5">
        <f>L78*1000*AA78*86400</f>
        <v/>
      </c>
      <c r="AC78" s="5">
        <f>AB78*365</f>
        <v/>
      </c>
    </row>
    <row r="79">
      <c r="A79" s="5">
        <f>'02_Inputs'!A79</f>
        <v/>
      </c>
      <c r="B79" s="5">
        <f>'02_Inputs'!B79</f>
        <v/>
      </c>
      <c r="C79" s="5">
        <f>'02_Inputs'!C79</f>
        <v/>
      </c>
      <c r="D79" s="29">
        <f>'02_Inputs'!D79</f>
        <v/>
      </c>
      <c r="E79" s="6">
        <f>'02_Inputs'!E79</f>
        <v/>
      </c>
      <c r="F79" s="29">
        <f>D79*E79</f>
        <v/>
      </c>
      <c r="G79" s="5">
        <f>'02_Inputs'!F79</f>
        <v/>
      </c>
      <c r="H79" s="29">
        <f>F79/G79</f>
        <v/>
      </c>
      <c r="I79" s="6">
        <f>'02_Inputs'!G79</f>
        <v/>
      </c>
      <c r="J79" s="29">
        <f>H79*I79</f>
        <v/>
      </c>
      <c r="K79" s="6">
        <f>'02_Inputs'!H79</f>
        <v/>
      </c>
      <c r="L79" s="29">
        <f>J79*K79</f>
        <v/>
      </c>
      <c r="M79" s="29">
        <f>J79*(1-K79)</f>
        <v/>
      </c>
      <c r="N79" s="6">
        <f>'02_GPU_Mix_Input'!D79</f>
        <v/>
      </c>
      <c r="O79" s="6">
        <f>'02_GPU_Mix_Input'!E79</f>
        <v/>
      </c>
      <c r="P79" s="6">
        <f>'02_GPU_Mix_Input'!F79</f>
        <v/>
      </c>
      <c r="Q79" s="6">
        <f>'02_GPU_Mix_Input'!G79</f>
        <v/>
      </c>
      <c r="R79" s="7">
        <f>INDEX('01_Benchmark_Input'!$K$2:$K$10,MATCH(B79,'01_Benchmark_Input'!$A$2:$A$10,0))</f>
        <v/>
      </c>
      <c r="S79" s="7">
        <f>INDEX('01_Benchmark_Input'!$P$2:$P$10,MATCH(B79,'01_Benchmark_Input'!$A$2:$A$10,0))</f>
        <v/>
      </c>
      <c r="T79" s="7">
        <f>INDEX('01_Benchmark_Input'!$U$2:$U$10,MATCH(B79,'01_Benchmark_Input'!$A$2:$A$10,0))</f>
        <v/>
      </c>
      <c r="U79" s="7">
        <f>INDEX('01_Benchmark_Input'!$Z$2:$Z$10,MATCH(B79,'01_Benchmark_Input'!$A$2:$A$10,0))</f>
        <v/>
      </c>
      <c r="V79" s="6">
        <f>INDEX('01_Benchmark_Input'!$D$2:$D$10,MATCH(B79,'01_Benchmark_Input'!$A$2:$A$10,0))</f>
        <v/>
      </c>
      <c r="W79" s="6">
        <f>INDEX('01_Benchmark_Input'!$E$2:$E$10,MATCH(B79,'01_Benchmark_Input'!$A$2:$A$10,0))</f>
        <v/>
      </c>
      <c r="X79" s="6">
        <f>INDEX('01_Benchmark_Input'!$F$2:$F$10,MATCH(B79,'01_Benchmark_Input'!$A$2:$A$10,0))</f>
        <v/>
      </c>
      <c r="Y79" s="7">
        <f>N79*R79+O79*S79+P79*T79+Q79*U79</f>
        <v/>
      </c>
      <c r="Z79" s="6">
        <f>'02_Inputs'!K79</f>
        <v/>
      </c>
      <c r="AA79" s="7">
        <f>Y79*Z79</f>
        <v/>
      </c>
      <c r="AB79" s="5">
        <f>L79*1000*AA79*86400</f>
        <v/>
      </c>
      <c r="AC79" s="5">
        <f>AB79*365</f>
        <v/>
      </c>
    </row>
    <row r="80">
      <c r="A80" s="5">
        <f>'02_Inputs'!A80</f>
        <v/>
      </c>
      <c r="B80" s="5">
        <f>'02_Inputs'!B80</f>
        <v/>
      </c>
      <c r="C80" s="5">
        <f>'02_Inputs'!C80</f>
        <v/>
      </c>
      <c r="D80" s="29">
        <f>'02_Inputs'!D80</f>
        <v/>
      </c>
      <c r="E80" s="6">
        <f>'02_Inputs'!E80</f>
        <v/>
      </c>
      <c r="F80" s="29">
        <f>D80*E80</f>
        <v/>
      </c>
      <c r="G80" s="5">
        <f>'02_Inputs'!F80</f>
        <v/>
      </c>
      <c r="H80" s="29">
        <f>F80/G80</f>
        <v/>
      </c>
      <c r="I80" s="6">
        <f>'02_Inputs'!G80</f>
        <v/>
      </c>
      <c r="J80" s="29">
        <f>H80*I80</f>
        <v/>
      </c>
      <c r="K80" s="6">
        <f>'02_Inputs'!H80</f>
        <v/>
      </c>
      <c r="L80" s="29">
        <f>J80*K80</f>
        <v/>
      </c>
      <c r="M80" s="29">
        <f>J80*(1-K80)</f>
        <v/>
      </c>
      <c r="N80" s="6">
        <f>'02_GPU_Mix_Input'!D80</f>
        <v/>
      </c>
      <c r="O80" s="6">
        <f>'02_GPU_Mix_Input'!E80</f>
        <v/>
      </c>
      <c r="P80" s="6">
        <f>'02_GPU_Mix_Input'!F80</f>
        <v/>
      </c>
      <c r="Q80" s="6">
        <f>'02_GPU_Mix_Input'!G80</f>
        <v/>
      </c>
      <c r="R80" s="7">
        <f>INDEX('01_Benchmark_Input'!$K$2:$K$10,MATCH(B80,'01_Benchmark_Input'!$A$2:$A$10,0))</f>
        <v/>
      </c>
      <c r="S80" s="7">
        <f>INDEX('01_Benchmark_Input'!$P$2:$P$10,MATCH(B80,'01_Benchmark_Input'!$A$2:$A$10,0))</f>
        <v/>
      </c>
      <c r="T80" s="7">
        <f>INDEX('01_Benchmark_Input'!$U$2:$U$10,MATCH(B80,'01_Benchmark_Input'!$A$2:$A$10,0))</f>
        <v/>
      </c>
      <c r="U80" s="7">
        <f>INDEX('01_Benchmark_Input'!$Z$2:$Z$10,MATCH(B80,'01_Benchmark_Input'!$A$2:$A$10,0))</f>
        <v/>
      </c>
      <c r="V80" s="6">
        <f>INDEX('01_Benchmark_Input'!$D$2:$D$10,MATCH(B80,'01_Benchmark_Input'!$A$2:$A$10,0))</f>
        <v/>
      </c>
      <c r="W80" s="6">
        <f>INDEX('01_Benchmark_Input'!$E$2:$E$10,MATCH(B80,'01_Benchmark_Input'!$A$2:$A$10,0))</f>
        <v/>
      </c>
      <c r="X80" s="6">
        <f>INDEX('01_Benchmark_Input'!$F$2:$F$10,MATCH(B80,'01_Benchmark_Input'!$A$2:$A$10,0))</f>
        <v/>
      </c>
      <c r="Y80" s="7">
        <f>N80*R80+O80*S80+P80*T80+Q80*U80</f>
        <v/>
      </c>
      <c r="Z80" s="6">
        <f>'02_Inputs'!K80</f>
        <v/>
      </c>
      <c r="AA80" s="7">
        <f>Y80*Z80</f>
        <v/>
      </c>
      <c r="AB80" s="5">
        <f>L80*1000*AA80*86400</f>
        <v/>
      </c>
      <c r="AC80" s="5">
        <f>AB80*365</f>
        <v/>
      </c>
    </row>
    <row r="81">
      <c r="A81" s="5">
        <f>'02_Inputs'!A81</f>
        <v/>
      </c>
      <c r="B81" s="5">
        <f>'02_Inputs'!B81</f>
        <v/>
      </c>
      <c r="C81" s="5">
        <f>'02_Inputs'!C81</f>
        <v/>
      </c>
      <c r="D81" s="29">
        <f>'02_Inputs'!D81</f>
        <v/>
      </c>
      <c r="E81" s="6">
        <f>'02_Inputs'!E81</f>
        <v/>
      </c>
      <c r="F81" s="29">
        <f>D81*E81</f>
        <v/>
      </c>
      <c r="G81" s="5">
        <f>'02_Inputs'!F81</f>
        <v/>
      </c>
      <c r="H81" s="29">
        <f>F81/G81</f>
        <v/>
      </c>
      <c r="I81" s="6">
        <f>'02_Inputs'!G81</f>
        <v/>
      </c>
      <c r="J81" s="29">
        <f>H81*I81</f>
        <v/>
      </c>
      <c r="K81" s="6">
        <f>'02_Inputs'!H81</f>
        <v/>
      </c>
      <c r="L81" s="29">
        <f>J81*K81</f>
        <v/>
      </c>
      <c r="M81" s="29">
        <f>J81*(1-K81)</f>
        <v/>
      </c>
      <c r="N81" s="6">
        <f>'02_GPU_Mix_Input'!D81</f>
        <v/>
      </c>
      <c r="O81" s="6">
        <f>'02_GPU_Mix_Input'!E81</f>
        <v/>
      </c>
      <c r="P81" s="6">
        <f>'02_GPU_Mix_Input'!F81</f>
        <v/>
      </c>
      <c r="Q81" s="6">
        <f>'02_GPU_Mix_Input'!G81</f>
        <v/>
      </c>
      <c r="R81" s="7">
        <f>INDEX('01_Benchmark_Input'!$K$2:$K$10,MATCH(B81,'01_Benchmark_Input'!$A$2:$A$10,0))</f>
        <v/>
      </c>
      <c r="S81" s="7">
        <f>INDEX('01_Benchmark_Input'!$P$2:$P$10,MATCH(B81,'01_Benchmark_Input'!$A$2:$A$10,0))</f>
        <v/>
      </c>
      <c r="T81" s="7">
        <f>INDEX('01_Benchmark_Input'!$U$2:$U$10,MATCH(B81,'01_Benchmark_Input'!$A$2:$A$10,0))</f>
        <v/>
      </c>
      <c r="U81" s="7">
        <f>INDEX('01_Benchmark_Input'!$Z$2:$Z$10,MATCH(B81,'01_Benchmark_Input'!$A$2:$A$10,0))</f>
        <v/>
      </c>
      <c r="V81" s="6">
        <f>INDEX('01_Benchmark_Input'!$D$2:$D$10,MATCH(B81,'01_Benchmark_Input'!$A$2:$A$10,0))</f>
        <v/>
      </c>
      <c r="W81" s="6">
        <f>INDEX('01_Benchmark_Input'!$E$2:$E$10,MATCH(B81,'01_Benchmark_Input'!$A$2:$A$10,0))</f>
        <v/>
      </c>
      <c r="X81" s="6">
        <f>INDEX('01_Benchmark_Input'!$F$2:$F$10,MATCH(B81,'01_Benchmark_Input'!$A$2:$A$10,0))</f>
        <v/>
      </c>
      <c r="Y81" s="7">
        <f>N81*R81+O81*S81+P81*T81+Q81*U81</f>
        <v/>
      </c>
      <c r="Z81" s="6">
        <f>'02_Inputs'!K81</f>
        <v/>
      </c>
      <c r="AA81" s="7">
        <f>Y81*Z81</f>
        <v/>
      </c>
      <c r="AB81" s="5">
        <f>L81*1000*AA81*86400</f>
        <v/>
      </c>
      <c r="AC81" s="5">
        <f>AB81*365</f>
        <v/>
      </c>
    </row>
    <row r="82">
      <c r="A82" s="5">
        <f>'02_Inputs'!A82</f>
        <v/>
      </c>
      <c r="B82" s="5">
        <f>'02_Inputs'!B82</f>
        <v/>
      </c>
      <c r="C82" s="5">
        <f>'02_Inputs'!C82</f>
        <v/>
      </c>
      <c r="D82" s="29">
        <f>'02_Inputs'!D82</f>
        <v/>
      </c>
      <c r="E82" s="6">
        <f>'02_Inputs'!E82</f>
        <v/>
      </c>
      <c r="F82" s="29">
        <f>D82*E82</f>
        <v/>
      </c>
      <c r="G82" s="5">
        <f>'02_Inputs'!F82</f>
        <v/>
      </c>
      <c r="H82" s="29">
        <f>F82/G82</f>
        <v/>
      </c>
      <c r="I82" s="6">
        <f>'02_Inputs'!G82</f>
        <v/>
      </c>
      <c r="J82" s="29">
        <f>H82*I82</f>
        <v/>
      </c>
      <c r="K82" s="6">
        <f>'02_Inputs'!H82</f>
        <v/>
      </c>
      <c r="L82" s="29">
        <f>J82*K82</f>
        <v/>
      </c>
      <c r="M82" s="29">
        <f>J82*(1-K82)</f>
        <v/>
      </c>
      <c r="N82" s="6">
        <f>'02_GPU_Mix_Input'!D82</f>
        <v/>
      </c>
      <c r="O82" s="6">
        <f>'02_GPU_Mix_Input'!E82</f>
        <v/>
      </c>
      <c r="P82" s="6">
        <f>'02_GPU_Mix_Input'!F82</f>
        <v/>
      </c>
      <c r="Q82" s="6">
        <f>'02_GPU_Mix_Input'!G82</f>
        <v/>
      </c>
      <c r="R82" s="7">
        <f>INDEX('01_Benchmark_Input'!$K$2:$K$10,MATCH(B82,'01_Benchmark_Input'!$A$2:$A$10,0))</f>
        <v/>
      </c>
      <c r="S82" s="7">
        <f>INDEX('01_Benchmark_Input'!$P$2:$P$10,MATCH(B82,'01_Benchmark_Input'!$A$2:$A$10,0))</f>
        <v/>
      </c>
      <c r="T82" s="7">
        <f>INDEX('01_Benchmark_Input'!$U$2:$U$10,MATCH(B82,'01_Benchmark_Input'!$A$2:$A$10,0))</f>
        <v/>
      </c>
      <c r="U82" s="7">
        <f>INDEX('01_Benchmark_Input'!$Z$2:$Z$10,MATCH(B82,'01_Benchmark_Input'!$A$2:$A$10,0))</f>
        <v/>
      </c>
      <c r="V82" s="6">
        <f>INDEX('01_Benchmark_Input'!$D$2:$D$10,MATCH(B82,'01_Benchmark_Input'!$A$2:$A$10,0))</f>
        <v/>
      </c>
      <c r="W82" s="6">
        <f>INDEX('01_Benchmark_Input'!$E$2:$E$10,MATCH(B82,'01_Benchmark_Input'!$A$2:$A$10,0))</f>
        <v/>
      </c>
      <c r="X82" s="6">
        <f>INDEX('01_Benchmark_Input'!$F$2:$F$10,MATCH(B82,'01_Benchmark_Input'!$A$2:$A$10,0))</f>
        <v/>
      </c>
      <c r="Y82" s="7">
        <f>N82*R82+O82*S82+P82*T82+Q82*U82</f>
        <v/>
      </c>
      <c r="Z82" s="6">
        <f>'02_Inputs'!K82</f>
        <v/>
      </c>
      <c r="AA82" s="7">
        <f>Y82*Z82</f>
        <v/>
      </c>
      <c r="AB82" s="5">
        <f>L82*1000*AA82*86400</f>
        <v/>
      </c>
      <c r="AC82" s="5">
        <f>AB82*365</f>
        <v/>
      </c>
    </row>
    <row r="83">
      <c r="A83" s="5">
        <f>'02_Inputs'!A83</f>
        <v/>
      </c>
      <c r="B83" s="5">
        <f>'02_Inputs'!B83</f>
        <v/>
      </c>
      <c r="C83" s="5">
        <f>'02_Inputs'!C83</f>
        <v/>
      </c>
      <c r="D83" s="29">
        <f>'02_Inputs'!D83</f>
        <v/>
      </c>
      <c r="E83" s="6">
        <f>'02_Inputs'!E83</f>
        <v/>
      </c>
      <c r="F83" s="29">
        <f>D83*E83</f>
        <v/>
      </c>
      <c r="G83" s="5">
        <f>'02_Inputs'!F83</f>
        <v/>
      </c>
      <c r="H83" s="29">
        <f>F83/G83</f>
        <v/>
      </c>
      <c r="I83" s="6">
        <f>'02_Inputs'!G83</f>
        <v/>
      </c>
      <c r="J83" s="29">
        <f>H83*I83</f>
        <v/>
      </c>
      <c r="K83" s="6">
        <f>'02_Inputs'!H83</f>
        <v/>
      </c>
      <c r="L83" s="29">
        <f>J83*K83</f>
        <v/>
      </c>
      <c r="M83" s="29">
        <f>J83*(1-K83)</f>
        <v/>
      </c>
      <c r="N83" s="6">
        <f>'02_GPU_Mix_Input'!D83</f>
        <v/>
      </c>
      <c r="O83" s="6">
        <f>'02_GPU_Mix_Input'!E83</f>
        <v/>
      </c>
      <c r="P83" s="6">
        <f>'02_GPU_Mix_Input'!F83</f>
        <v/>
      </c>
      <c r="Q83" s="6">
        <f>'02_GPU_Mix_Input'!G83</f>
        <v/>
      </c>
      <c r="R83" s="7">
        <f>INDEX('01_Benchmark_Input'!$K$2:$K$10,MATCH(B83,'01_Benchmark_Input'!$A$2:$A$10,0))</f>
        <v/>
      </c>
      <c r="S83" s="7">
        <f>INDEX('01_Benchmark_Input'!$P$2:$P$10,MATCH(B83,'01_Benchmark_Input'!$A$2:$A$10,0))</f>
        <v/>
      </c>
      <c r="T83" s="7">
        <f>INDEX('01_Benchmark_Input'!$U$2:$U$10,MATCH(B83,'01_Benchmark_Input'!$A$2:$A$10,0))</f>
        <v/>
      </c>
      <c r="U83" s="7">
        <f>INDEX('01_Benchmark_Input'!$Z$2:$Z$10,MATCH(B83,'01_Benchmark_Input'!$A$2:$A$10,0))</f>
        <v/>
      </c>
      <c r="V83" s="6">
        <f>INDEX('01_Benchmark_Input'!$D$2:$D$10,MATCH(B83,'01_Benchmark_Input'!$A$2:$A$10,0))</f>
        <v/>
      </c>
      <c r="W83" s="6">
        <f>INDEX('01_Benchmark_Input'!$E$2:$E$10,MATCH(B83,'01_Benchmark_Input'!$A$2:$A$10,0))</f>
        <v/>
      </c>
      <c r="X83" s="6">
        <f>INDEX('01_Benchmark_Input'!$F$2:$F$10,MATCH(B83,'01_Benchmark_Input'!$A$2:$A$10,0))</f>
        <v/>
      </c>
      <c r="Y83" s="7">
        <f>N83*R83+O83*S83+P83*T83+Q83*U83</f>
        <v/>
      </c>
      <c r="Z83" s="6">
        <f>'02_Inputs'!K83</f>
        <v/>
      </c>
      <c r="AA83" s="7">
        <f>Y83*Z83</f>
        <v/>
      </c>
      <c r="AB83" s="5">
        <f>L83*1000*AA83*86400</f>
        <v/>
      </c>
      <c r="AC83" s="5">
        <f>AB83*365</f>
        <v/>
      </c>
    </row>
    <row r="84">
      <c r="A84" s="5">
        <f>'02_Inputs'!A84</f>
        <v/>
      </c>
      <c r="B84" s="5">
        <f>'02_Inputs'!B84</f>
        <v/>
      </c>
      <c r="C84" s="5">
        <f>'02_Inputs'!C84</f>
        <v/>
      </c>
      <c r="D84" s="29">
        <f>'02_Inputs'!D84</f>
        <v/>
      </c>
      <c r="E84" s="6">
        <f>'02_Inputs'!E84</f>
        <v/>
      </c>
      <c r="F84" s="29">
        <f>D84*E84</f>
        <v/>
      </c>
      <c r="G84" s="5">
        <f>'02_Inputs'!F84</f>
        <v/>
      </c>
      <c r="H84" s="29">
        <f>F84/G84</f>
        <v/>
      </c>
      <c r="I84" s="6">
        <f>'02_Inputs'!G84</f>
        <v/>
      </c>
      <c r="J84" s="29">
        <f>H84*I84</f>
        <v/>
      </c>
      <c r="K84" s="6">
        <f>'02_Inputs'!H84</f>
        <v/>
      </c>
      <c r="L84" s="29">
        <f>J84*K84</f>
        <v/>
      </c>
      <c r="M84" s="29">
        <f>J84*(1-K84)</f>
        <v/>
      </c>
      <c r="N84" s="6">
        <f>'02_GPU_Mix_Input'!D84</f>
        <v/>
      </c>
      <c r="O84" s="6">
        <f>'02_GPU_Mix_Input'!E84</f>
        <v/>
      </c>
      <c r="P84" s="6">
        <f>'02_GPU_Mix_Input'!F84</f>
        <v/>
      </c>
      <c r="Q84" s="6">
        <f>'02_GPU_Mix_Input'!G84</f>
        <v/>
      </c>
      <c r="R84" s="7">
        <f>INDEX('01_Benchmark_Input'!$K$2:$K$10,MATCH(B84,'01_Benchmark_Input'!$A$2:$A$10,0))</f>
        <v/>
      </c>
      <c r="S84" s="7">
        <f>INDEX('01_Benchmark_Input'!$P$2:$P$10,MATCH(B84,'01_Benchmark_Input'!$A$2:$A$10,0))</f>
        <v/>
      </c>
      <c r="T84" s="7">
        <f>INDEX('01_Benchmark_Input'!$U$2:$U$10,MATCH(B84,'01_Benchmark_Input'!$A$2:$A$10,0))</f>
        <v/>
      </c>
      <c r="U84" s="7">
        <f>INDEX('01_Benchmark_Input'!$Z$2:$Z$10,MATCH(B84,'01_Benchmark_Input'!$A$2:$A$10,0))</f>
        <v/>
      </c>
      <c r="V84" s="6">
        <f>INDEX('01_Benchmark_Input'!$D$2:$D$10,MATCH(B84,'01_Benchmark_Input'!$A$2:$A$10,0))</f>
        <v/>
      </c>
      <c r="W84" s="6">
        <f>INDEX('01_Benchmark_Input'!$E$2:$E$10,MATCH(B84,'01_Benchmark_Input'!$A$2:$A$10,0))</f>
        <v/>
      </c>
      <c r="X84" s="6">
        <f>INDEX('01_Benchmark_Input'!$F$2:$F$10,MATCH(B84,'01_Benchmark_Input'!$A$2:$A$10,0))</f>
        <v/>
      </c>
      <c r="Y84" s="7">
        <f>N84*R84+O84*S84+P84*T84+Q84*U84</f>
        <v/>
      </c>
      <c r="Z84" s="6">
        <f>'02_Inputs'!K84</f>
        <v/>
      </c>
      <c r="AA84" s="7">
        <f>Y84*Z84</f>
        <v/>
      </c>
      <c r="AB84" s="5">
        <f>L84*1000*AA84*86400</f>
        <v/>
      </c>
      <c r="AC84" s="5">
        <f>AB84*365</f>
        <v/>
      </c>
    </row>
    <row r="85">
      <c r="A85" s="5">
        <f>'02_Inputs'!A85</f>
        <v/>
      </c>
      <c r="B85" s="5">
        <f>'02_Inputs'!B85</f>
        <v/>
      </c>
      <c r="C85" s="5">
        <f>'02_Inputs'!C85</f>
        <v/>
      </c>
      <c r="D85" s="29">
        <f>'02_Inputs'!D85</f>
        <v/>
      </c>
      <c r="E85" s="6">
        <f>'02_Inputs'!E85</f>
        <v/>
      </c>
      <c r="F85" s="29">
        <f>D85*E85</f>
        <v/>
      </c>
      <c r="G85" s="5">
        <f>'02_Inputs'!F85</f>
        <v/>
      </c>
      <c r="H85" s="29">
        <f>F85/G85</f>
        <v/>
      </c>
      <c r="I85" s="6">
        <f>'02_Inputs'!G85</f>
        <v/>
      </c>
      <c r="J85" s="29">
        <f>H85*I85</f>
        <v/>
      </c>
      <c r="K85" s="6">
        <f>'02_Inputs'!H85</f>
        <v/>
      </c>
      <c r="L85" s="29">
        <f>J85*K85</f>
        <v/>
      </c>
      <c r="M85" s="29">
        <f>J85*(1-K85)</f>
        <v/>
      </c>
      <c r="N85" s="6">
        <f>'02_GPU_Mix_Input'!D85</f>
        <v/>
      </c>
      <c r="O85" s="6">
        <f>'02_GPU_Mix_Input'!E85</f>
        <v/>
      </c>
      <c r="P85" s="6">
        <f>'02_GPU_Mix_Input'!F85</f>
        <v/>
      </c>
      <c r="Q85" s="6">
        <f>'02_GPU_Mix_Input'!G85</f>
        <v/>
      </c>
      <c r="R85" s="7">
        <f>INDEX('01_Benchmark_Input'!$K$2:$K$10,MATCH(B85,'01_Benchmark_Input'!$A$2:$A$10,0))</f>
        <v/>
      </c>
      <c r="S85" s="7">
        <f>INDEX('01_Benchmark_Input'!$P$2:$P$10,MATCH(B85,'01_Benchmark_Input'!$A$2:$A$10,0))</f>
        <v/>
      </c>
      <c r="T85" s="7">
        <f>INDEX('01_Benchmark_Input'!$U$2:$U$10,MATCH(B85,'01_Benchmark_Input'!$A$2:$A$10,0))</f>
        <v/>
      </c>
      <c r="U85" s="7">
        <f>INDEX('01_Benchmark_Input'!$Z$2:$Z$10,MATCH(B85,'01_Benchmark_Input'!$A$2:$A$10,0))</f>
        <v/>
      </c>
      <c r="V85" s="6">
        <f>INDEX('01_Benchmark_Input'!$D$2:$D$10,MATCH(B85,'01_Benchmark_Input'!$A$2:$A$10,0))</f>
        <v/>
      </c>
      <c r="W85" s="6">
        <f>INDEX('01_Benchmark_Input'!$E$2:$E$10,MATCH(B85,'01_Benchmark_Input'!$A$2:$A$10,0))</f>
        <v/>
      </c>
      <c r="X85" s="6">
        <f>INDEX('01_Benchmark_Input'!$F$2:$F$10,MATCH(B85,'01_Benchmark_Input'!$A$2:$A$10,0))</f>
        <v/>
      </c>
      <c r="Y85" s="7">
        <f>N85*R85+O85*S85+P85*T85+Q85*U85</f>
        <v/>
      </c>
      <c r="Z85" s="6">
        <f>'02_Inputs'!K85</f>
        <v/>
      </c>
      <c r="AA85" s="7">
        <f>Y85*Z85</f>
        <v/>
      </c>
      <c r="AB85" s="5">
        <f>L85*1000*AA85*86400</f>
        <v/>
      </c>
      <c r="AC85" s="5">
        <f>AB85*365</f>
        <v/>
      </c>
    </row>
    <row r="86">
      <c r="A86" s="5">
        <f>'02_Inputs'!A86</f>
        <v/>
      </c>
      <c r="B86" s="5">
        <f>'02_Inputs'!B86</f>
        <v/>
      </c>
      <c r="C86" s="5">
        <f>'02_Inputs'!C86</f>
        <v/>
      </c>
      <c r="D86" s="29">
        <f>'02_Inputs'!D86</f>
        <v/>
      </c>
      <c r="E86" s="6">
        <f>'02_Inputs'!E86</f>
        <v/>
      </c>
      <c r="F86" s="29">
        <f>D86*E86</f>
        <v/>
      </c>
      <c r="G86" s="5">
        <f>'02_Inputs'!F86</f>
        <v/>
      </c>
      <c r="H86" s="29">
        <f>F86/G86</f>
        <v/>
      </c>
      <c r="I86" s="6">
        <f>'02_Inputs'!G86</f>
        <v/>
      </c>
      <c r="J86" s="29">
        <f>H86*I86</f>
        <v/>
      </c>
      <c r="K86" s="6">
        <f>'02_Inputs'!H86</f>
        <v/>
      </c>
      <c r="L86" s="29">
        <f>J86*K86</f>
        <v/>
      </c>
      <c r="M86" s="29">
        <f>J86*(1-K86)</f>
        <v/>
      </c>
      <c r="N86" s="6">
        <f>'02_GPU_Mix_Input'!D86</f>
        <v/>
      </c>
      <c r="O86" s="6">
        <f>'02_GPU_Mix_Input'!E86</f>
        <v/>
      </c>
      <c r="P86" s="6">
        <f>'02_GPU_Mix_Input'!F86</f>
        <v/>
      </c>
      <c r="Q86" s="6">
        <f>'02_GPU_Mix_Input'!G86</f>
        <v/>
      </c>
      <c r="R86" s="7">
        <f>INDEX('01_Benchmark_Input'!$K$2:$K$10,MATCH(B86,'01_Benchmark_Input'!$A$2:$A$10,0))</f>
        <v/>
      </c>
      <c r="S86" s="7">
        <f>INDEX('01_Benchmark_Input'!$P$2:$P$10,MATCH(B86,'01_Benchmark_Input'!$A$2:$A$10,0))</f>
        <v/>
      </c>
      <c r="T86" s="7">
        <f>INDEX('01_Benchmark_Input'!$U$2:$U$10,MATCH(B86,'01_Benchmark_Input'!$A$2:$A$10,0))</f>
        <v/>
      </c>
      <c r="U86" s="7">
        <f>INDEX('01_Benchmark_Input'!$Z$2:$Z$10,MATCH(B86,'01_Benchmark_Input'!$A$2:$A$10,0))</f>
        <v/>
      </c>
      <c r="V86" s="6">
        <f>INDEX('01_Benchmark_Input'!$D$2:$D$10,MATCH(B86,'01_Benchmark_Input'!$A$2:$A$10,0))</f>
        <v/>
      </c>
      <c r="W86" s="6">
        <f>INDEX('01_Benchmark_Input'!$E$2:$E$10,MATCH(B86,'01_Benchmark_Input'!$A$2:$A$10,0))</f>
        <v/>
      </c>
      <c r="X86" s="6">
        <f>INDEX('01_Benchmark_Input'!$F$2:$F$10,MATCH(B86,'01_Benchmark_Input'!$A$2:$A$10,0))</f>
        <v/>
      </c>
      <c r="Y86" s="7">
        <f>N86*R86+O86*S86+P86*T86+Q86*U86</f>
        <v/>
      </c>
      <c r="Z86" s="6">
        <f>'02_Inputs'!K86</f>
        <v/>
      </c>
      <c r="AA86" s="7">
        <f>Y86*Z86</f>
        <v/>
      </c>
      <c r="AB86" s="5">
        <f>L86*1000*AA86*86400</f>
        <v/>
      </c>
      <c r="AC86" s="5">
        <f>AB86*365</f>
        <v/>
      </c>
    </row>
    <row r="87">
      <c r="A87" s="5">
        <f>'02_Inputs'!A87</f>
        <v/>
      </c>
      <c r="B87" s="5">
        <f>'02_Inputs'!B87</f>
        <v/>
      </c>
      <c r="C87" s="5">
        <f>'02_Inputs'!C87</f>
        <v/>
      </c>
      <c r="D87" s="29">
        <f>'02_Inputs'!D87</f>
        <v/>
      </c>
      <c r="E87" s="6">
        <f>'02_Inputs'!E87</f>
        <v/>
      </c>
      <c r="F87" s="29">
        <f>D87*E87</f>
        <v/>
      </c>
      <c r="G87" s="5">
        <f>'02_Inputs'!F87</f>
        <v/>
      </c>
      <c r="H87" s="29">
        <f>F87/G87</f>
        <v/>
      </c>
      <c r="I87" s="6">
        <f>'02_Inputs'!G87</f>
        <v/>
      </c>
      <c r="J87" s="29">
        <f>H87*I87</f>
        <v/>
      </c>
      <c r="K87" s="6">
        <f>'02_Inputs'!H87</f>
        <v/>
      </c>
      <c r="L87" s="29">
        <f>J87*K87</f>
        <v/>
      </c>
      <c r="M87" s="29">
        <f>J87*(1-K87)</f>
        <v/>
      </c>
      <c r="N87" s="6">
        <f>'02_GPU_Mix_Input'!D87</f>
        <v/>
      </c>
      <c r="O87" s="6">
        <f>'02_GPU_Mix_Input'!E87</f>
        <v/>
      </c>
      <c r="P87" s="6">
        <f>'02_GPU_Mix_Input'!F87</f>
        <v/>
      </c>
      <c r="Q87" s="6">
        <f>'02_GPU_Mix_Input'!G87</f>
        <v/>
      </c>
      <c r="R87" s="7">
        <f>INDEX('01_Benchmark_Input'!$K$2:$K$10,MATCH(B87,'01_Benchmark_Input'!$A$2:$A$10,0))</f>
        <v/>
      </c>
      <c r="S87" s="7">
        <f>INDEX('01_Benchmark_Input'!$P$2:$P$10,MATCH(B87,'01_Benchmark_Input'!$A$2:$A$10,0))</f>
        <v/>
      </c>
      <c r="T87" s="7">
        <f>INDEX('01_Benchmark_Input'!$U$2:$U$10,MATCH(B87,'01_Benchmark_Input'!$A$2:$A$10,0))</f>
        <v/>
      </c>
      <c r="U87" s="7">
        <f>INDEX('01_Benchmark_Input'!$Z$2:$Z$10,MATCH(B87,'01_Benchmark_Input'!$A$2:$A$10,0))</f>
        <v/>
      </c>
      <c r="V87" s="6">
        <f>INDEX('01_Benchmark_Input'!$D$2:$D$10,MATCH(B87,'01_Benchmark_Input'!$A$2:$A$10,0))</f>
        <v/>
      </c>
      <c r="W87" s="6">
        <f>INDEX('01_Benchmark_Input'!$E$2:$E$10,MATCH(B87,'01_Benchmark_Input'!$A$2:$A$10,0))</f>
        <v/>
      </c>
      <c r="X87" s="6">
        <f>INDEX('01_Benchmark_Input'!$F$2:$F$10,MATCH(B87,'01_Benchmark_Input'!$A$2:$A$10,0))</f>
        <v/>
      </c>
      <c r="Y87" s="7">
        <f>N87*R87+O87*S87+P87*T87+Q87*U87</f>
        <v/>
      </c>
      <c r="Z87" s="6">
        <f>'02_Inputs'!K87</f>
        <v/>
      </c>
      <c r="AA87" s="7">
        <f>Y87*Z87</f>
        <v/>
      </c>
      <c r="AB87" s="5">
        <f>L87*1000*AA87*86400</f>
        <v/>
      </c>
      <c r="AC87" s="5">
        <f>AB87*365</f>
        <v/>
      </c>
    </row>
    <row r="88">
      <c r="A88" s="5">
        <f>'02_Inputs'!A88</f>
        <v/>
      </c>
      <c r="B88" s="5">
        <f>'02_Inputs'!B88</f>
        <v/>
      </c>
      <c r="C88" s="5">
        <f>'02_Inputs'!C88</f>
        <v/>
      </c>
      <c r="D88" s="29">
        <f>'02_Inputs'!D88</f>
        <v/>
      </c>
      <c r="E88" s="6">
        <f>'02_Inputs'!E88</f>
        <v/>
      </c>
      <c r="F88" s="29">
        <f>D88*E88</f>
        <v/>
      </c>
      <c r="G88" s="5">
        <f>'02_Inputs'!F88</f>
        <v/>
      </c>
      <c r="H88" s="29">
        <f>F88/G88</f>
        <v/>
      </c>
      <c r="I88" s="6">
        <f>'02_Inputs'!G88</f>
        <v/>
      </c>
      <c r="J88" s="29">
        <f>H88*I88</f>
        <v/>
      </c>
      <c r="K88" s="6">
        <f>'02_Inputs'!H88</f>
        <v/>
      </c>
      <c r="L88" s="29">
        <f>J88*K88</f>
        <v/>
      </c>
      <c r="M88" s="29">
        <f>J88*(1-K88)</f>
        <v/>
      </c>
      <c r="N88" s="6">
        <f>'02_GPU_Mix_Input'!D88</f>
        <v/>
      </c>
      <c r="O88" s="6">
        <f>'02_GPU_Mix_Input'!E88</f>
        <v/>
      </c>
      <c r="P88" s="6">
        <f>'02_GPU_Mix_Input'!F88</f>
        <v/>
      </c>
      <c r="Q88" s="6">
        <f>'02_GPU_Mix_Input'!G88</f>
        <v/>
      </c>
      <c r="R88" s="7">
        <f>INDEX('01_Benchmark_Input'!$K$2:$K$10,MATCH(B88,'01_Benchmark_Input'!$A$2:$A$10,0))</f>
        <v/>
      </c>
      <c r="S88" s="7">
        <f>INDEX('01_Benchmark_Input'!$P$2:$P$10,MATCH(B88,'01_Benchmark_Input'!$A$2:$A$10,0))</f>
        <v/>
      </c>
      <c r="T88" s="7">
        <f>INDEX('01_Benchmark_Input'!$U$2:$U$10,MATCH(B88,'01_Benchmark_Input'!$A$2:$A$10,0))</f>
        <v/>
      </c>
      <c r="U88" s="7">
        <f>INDEX('01_Benchmark_Input'!$Z$2:$Z$10,MATCH(B88,'01_Benchmark_Input'!$A$2:$A$10,0))</f>
        <v/>
      </c>
      <c r="V88" s="6">
        <f>INDEX('01_Benchmark_Input'!$D$2:$D$10,MATCH(B88,'01_Benchmark_Input'!$A$2:$A$10,0))</f>
        <v/>
      </c>
      <c r="W88" s="6">
        <f>INDEX('01_Benchmark_Input'!$E$2:$E$10,MATCH(B88,'01_Benchmark_Input'!$A$2:$A$10,0))</f>
        <v/>
      </c>
      <c r="X88" s="6">
        <f>INDEX('01_Benchmark_Input'!$F$2:$F$10,MATCH(B88,'01_Benchmark_Input'!$A$2:$A$10,0))</f>
        <v/>
      </c>
      <c r="Y88" s="7">
        <f>N88*R88+O88*S88+P88*T88+Q88*U88</f>
        <v/>
      </c>
      <c r="Z88" s="6">
        <f>'02_Inputs'!K88</f>
        <v/>
      </c>
      <c r="AA88" s="7">
        <f>Y88*Z88</f>
        <v/>
      </c>
      <c r="AB88" s="5">
        <f>L88*1000*AA88*86400</f>
        <v/>
      </c>
      <c r="AC88" s="5">
        <f>AB88*365</f>
        <v/>
      </c>
    </row>
    <row r="89">
      <c r="A89" s="5">
        <f>'02_Inputs'!A89</f>
        <v/>
      </c>
      <c r="B89" s="5">
        <f>'02_Inputs'!B89</f>
        <v/>
      </c>
      <c r="C89" s="5">
        <f>'02_Inputs'!C89</f>
        <v/>
      </c>
      <c r="D89" s="29">
        <f>'02_Inputs'!D89</f>
        <v/>
      </c>
      <c r="E89" s="6">
        <f>'02_Inputs'!E89</f>
        <v/>
      </c>
      <c r="F89" s="29">
        <f>D89*E89</f>
        <v/>
      </c>
      <c r="G89" s="5">
        <f>'02_Inputs'!F89</f>
        <v/>
      </c>
      <c r="H89" s="29">
        <f>F89/G89</f>
        <v/>
      </c>
      <c r="I89" s="6">
        <f>'02_Inputs'!G89</f>
        <v/>
      </c>
      <c r="J89" s="29">
        <f>H89*I89</f>
        <v/>
      </c>
      <c r="K89" s="6">
        <f>'02_Inputs'!H89</f>
        <v/>
      </c>
      <c r="L89" s="29">
        <f>J89*K89</f>
        <v/>
      </c>
      <c r="M89" s="29">
        <f>J89*(1-K89)</f>
        <v/>
      </c>
      <c r="N89" s="6">
        <f>'02_GPU_Mix_Input'!D89</f>
        <v/>
      </c>
      <c r="O89" s="6">
        <f>'02_GPU_Mix_Input'!E89</f>
        <v/>
      </c>
      <c r="P89" s="6">
        <f>'02_GPU_Mix_Input'!F89</f>
        <v/>
      </c>
      <c r="Q89" s="6">
        <f>'02_GPU_Mix_Input'!G89</f>
        <v/>
      </c>
      <c r="R89" s="7">
        <f>INDEX('01_Benchmark_Input'!$K$2:$K$10,MATCH(B89,'01_Benchmark_Input'!$A$2:$A$10,0))</f>
        <v/>
      </c>
      <c r="S89" s="7">
        <f>INDEX('01_Benchmark_Input'!$P$2:$P$10,MATCH(B89,'01_Benchmark_Input'!$A$2:$A$10,0))</f>
        <v/>
      </c>
      <c r="T89" s="7">
        <f>INDEX('01_Benchmark_Input'!$U$2:$U$10,MATCH(B89,'01_Benchmark_Input'!$A$2:$A$10,0))</f>
        <v/>
      </c>
      <c r="U89" s="7">
        <f>INDEX('01_Benchmark_Input'!$Z$2:$Z$10,MATCH(B89,'01_Benchmark_Input'!$A$2:$A$10,0))</f>
        <v/>
      </c>
      <c r="V89" s="6">
        <f>INDEX('01_Benchmark_Input'!$D$2:$D$10,MATCH(B89,'01_Benchmark_Input'!$A$2:$A$10,0))</f>
        <v/>
      </c>
      <c r="W89" s="6">
        <f>INDEX('01_Benchmark_Input'!$E$2:$E$10,MATCH(B89,'01_Benchmark_Input'!$A$2:$A$10,0))</f>
        <v/>
      </c>
      <c r="X89" s="6">
        <f>INDEX('01_Benchmark_Input'!$F$2:$F$10,MATCH(B89,'01_Benchmark_Input'!$A$2:$A$10,0))</f>
        <v/>
      </c>
      <c r="Y89" s="7">
        <f>N89*R89+O89*S89+P89*T89+Q89*U89</f>
        <v/>
      </c>
      <c r="Z89" s="6">
        <f>'02_Inputs'!K89</f>
        <v/>
      </c>
      <c r="AA89" s="7">
        <f>Y89*Z89</f>
        <v/>
      </c>
      <c r="AB89" s="5">
        <f>L89*1000*AA89*86400</f>
        <v/>
      </c>
      <c r="AC89" s="5">
        <f>AB89*365</f>
        <v/>
      </c>
    </row>
    <row r="90">
      <c r="A90" s="5">
        <f>'02_Inputs'!A90</f>
        <v/>
      </c>
      <c r="B90" s="5">
        <f>'02_Inputs'!B90</f>
        <v/>
      </c>
      <c r="C90" s="5">
        <f>'02_Inputs'!C90</f>
        <v/>
      </c>
      <c r="D90" s="29">
        <f>'02_Inputs'!D90</f>
        <v/>
      </c>
      <c r="E90" s="6">
        <f>'02_Inputs'!E90</f>
        <v/>
      </c>
      <c r="F90" s="29">
        <f>D90*E90</f>
        <v/>
      </c>
      <c r="G90" s="5">
        <f>'02_Inputs'!F90</f>
        <v/>
      </c>
      <c r="H90" s="29">
        <f>F90/G90</f>
        <v/>
      </c>
      <c r="I90" s="6">
        <f>'02_Inputs'!G90</f>
        <v/>
      </c>
      <c r="J90" s="29">
        <f>H90*I90</f>
        <v/>
      </c>
      <c r="K90" s="6">
        <f>'02_Inputs'!H90</f>
        <v/>
      </c>
      <c r="L90" s="29">
        <f>J90*K90</f>
        <v/>
      </c>
      <c r="M90" s="29">
        <f>J90*(1-K90)</f>
        <v/>
      </c>
      <c r="N90" s="6">
        <f>'02_GPU_Mix_Input'!D90</f>
        <v/>
      </c>
      <c r="O90" s="6">
        <f>'02_GPU_Mix_Input'!E90</f>
        <v/>
      </c>
      <c r="P90" s="6">
        <f>'02_GPU_Mix_Input'!F90</f>
        <v/>
      </c>
      <c r="Q90" s="6">
        <f>'02_GPU_Mix_Input'!G90</f>
        <v/>
      </c>
      <c r="R90" s="7">
        <f>INDEX('01_Benchmark_Input'!$K$2:$K$10,MATCH(B90,'01_Benchmark_Input'!$A$2:$A$10,0))</f>
        <v/>
      </c>
      <c r="S90" s="7">
        <f>INDEX('01_Benchmark_Input'!$P$2:$P$10,MATCH(B90,'01_Benchmark_Input'!$A$2:$A$10,0))</f>
        <v/>
      </c>
      <c r="T90" s="7">
        <f>INDEX('01_Benchmark_Input'!$U$2:$U$10,MATCH(B90,'01_Benchmark_Input'!$A$2:$A$10,0))</f>
        <v/>
      </c>
      <c r="U90" s="7">
        <f>INDEX('01_Benchmark_Input'!$Z$2:$Z$10,MATCH(B90,'01_Benchmark_Input'!$A$2:$A$10,0))</f>
        <v/>
      </c>
      <c r="V90" s="6">
        <f>INDEX('01_Benchmark_Input'!$D$2:$D$10,MATCH(B90,'01_Benchmark_Input'!$A$2:$A$10,0))</f>
        <v/>
      </c>
      <c r="W90" s="6">
        <f>INDEX('01_Benchmark_Input'!$E$2:$E$10,MATCH(B90,'01_Benchmark_Input'!$A$2:$A$10,0))</f>
        <v/>
      </c>
      <c r="X90" s="6">
        <f>INDEX('01_Benchmark_Input'!$F$2:$F$10,MATCH(B90,'01_Benchmark_Input'!$A$2:$A$10,0))</f>
        <v/>
      </c>
      <c r="Y90" s="7">
        <f>N90*R90+O90*S90+P90*T90+Q90*U90</f>
        <v/>
      </c>
      <c r="Z90" s="6">
        <f>'02_Inputs'!K90</f>
        <v/>
      </c>
      <c r="AA90" s="7">
        <f>Y90*Z90</f>
        <v/>
      </c>
      <c r="AB90" s="5">
        <f>L90*1000*AA90*86400</f>
        <v/>
      </c>
      <c r="AC90" s="5">
        <f>AB90*365</f>
        <v/>
      </c>
    </row>
    <row r="91">
      <c r="A91" s="5">
        <f>'02_Inputs'!A91</f>
        <v/>
      </c>
      <c r="B91" s="5">
        <f>'02_Inputs'!B91</f>
        <v/>
      </c>
      <c r="C91" s="5">
        <f>'02_Inputs'!C91</f>
        <v/>
      </c>
      <c r="D91" s="29">
        <f>'02_Inputs'!D91</f>
        <v/>
      </c>
      <c r="E91" s="6">
        <f>'02_Inputs'!E91</f>
        <v/>
      </c>
      <c r="F91" s="29">
        <f>D91*E91</f>
        <v/>
      </c>
      <c r="G91" s="5">
        <f>'02_Inputs'!F91</f>
        <v/>
      </c>
      <c r="H91" s="29">
        <f>F91/G91</f>
        <v/>
      </c>
      <c r="I91" s="6">
        <f>'02_Inputs'!G91</f>
        <v/>
      </c>
      <c r="J91" s="29">
        <f>H91*I91</f>
        <v/>
      </c>
      <c r="K91" s="6">
        <f>'02_Inputs'!H91</f>
        <v/>
      </c>
      <c r="L91" s="29">
        <f>J91*K91</f>
        <v/>
      </c>
      <c r="M91" s="29">
        <f>J91*(1-K91)</f>
        <v/>
      </c>
      <c r="N91" s="6">
        <f>'02_GPU_Mix_Input'!D91</f>
        <v/>
      </c>
      <c r="O91" s="6">
        <f>'02_GPU_Mix_Input'!E91</f>
        <v/>
      </c>
      <c r="P91" s="6">
        <f>'02_GPU_Mix_Input'!F91</f>
        <v/>
      </c>
      <c r="Q91" s="6">
        <f>'02_GPU_Mix_Input'!G91</f>
        <v/>
      </c>
      <c r="R91" s="7">
        <f>INDEX('01_Benchmark_Input'!$K$2:$K$10,MATCH(B91,'01_Benchmark_Input'!$A$2:$A$10,0))</f>
        <v/>
      </c>
      <c r="S91" s="7">
        <f>INDEX('01_Benchmark_Input'!$P$2:$P$10,MATCH(B91,'01_Benchmark_Input'!$A$2:$A$10,0))</f>
        <v/>
      </c>
      <c r="T91" s="7">
        <f>INDEX('01_Benchmark_Input'!$U$2:$U$10,MATCH(B91,'01_Benchmark_Input'!$A$2:$A$10,0))</f>
        <v/>
      </c>
      <c r="U91" s="7">
        <f>INDEX('01_Benchmark_Input'!$Z$2:$Z$10,MATCH(B91,'01_Benchmark_Input'!$A$2:$A$10,0))</f>
        <v/>
      </c>
      <c r="V91" s="6">
        <f>INDEX('01_Benchmark_Input'!$D$2:$D$10,MATCH(B91,'01_Benchmark_Input'!$A$2:$A$10,0))</f>
        <v/>
      </c>
      <c r="W91" s="6">
        <f>INDEX('01_Benchmark_Input'!$E$2:$E$10,MATCH(B91,'01_Benchmark_Input'!$A$2:$A$10,0))</f>
        <v/>
      </c>
      <c r="X91" s="6">
        <f>INDEX('01_Benchmark_Input'!$F$2:$F$10,MATCH(B91,'01_Benchmark_Input'!$A$2:$A$10,0))</f>
        <v/>
      </c>
      <c r="Y91" s="7">
        <f>N91*R91+O91*S91+P91*T91+Q91*U91</f>
        <v/>
      </c>
      <c r="Z91" s="6">
        <f>'02_Inputs'!K91</f>
        <v/>
      </c>
      <c r="AA91" s="7">
        <f>Y91*Z91</f>
        <v/>
      </c>
      <c r="AB91" s="5">
        <f>L91*1000*AA91*86400</f>
        <v/>
      </c>
      <c r="AC91" s="5">
        <f>AB91*365</f>
        <v/>
      </c>
    </row>
    <row r="92">
      <c r="A92" s="5">
        <f>'02_Inputs'!A92</f>
        <v/>
      </c>
      <c r="B92" s="5">
        <f>'02_Inputs'!B92</f>
        <v/>
      </c>
      <c r="C92" s="5">
        <f>'02_Inputs'!C92</f>
        <v/>
      </c>
      <c r="D92" s="29">
        <f>'02_Inputs'!D92</f>
        <v/>
      </c>
      <c r="E92" s="6">
        <f>'02_Inputs'!E92</f>
        <v/>
      </c>
      <c r="F92" s="29">
        <f>D92*E92</f>
        <v/>
      </c>
      <c r="G92" s="5">
        <f>'02_Inputs'!F92</f>
        <v/>
      </c>
      <c r="H92" s="29">
        <f>F92/G92</f>
        <v/>
      </c>
      <c r="I92" s="6">
        <f>'02_Inputs'!G92</f>
        <v/>
      </c>
      <c r="J92" s="29">
        <f>H92*I92</f>
        <v/>
      </c>
      <c r="K92" s="6">
        <f>'02_Inputs'!H92</f>
        <v/>
      </c>
      <c r="L92" s="29">
        <f>J92*K92</f>
        <v/>
      </c>
      <c r="M92" s="29">
        <f>J92*(1-K92)</f>
        <v/>
      </c>
      <c r="N92" s="6">
        <f>'02_GPU_Mix_Input'!D92</f>
        <v/>
      </c>
      <c r="O92" s="6">
        <f>'02_GPU_Mix_Input'!E92</f>
        <v/>
      </c>
      <c r="P92" s="6">
        <f>'02_GPU_Mix_Input'!F92</f>
        <v/>
      </c>
      <c r="Q92" s="6">
        <f>'02_GPU_Mix_Input'!G92</f>
        <v/>
      </c>
      <c r="R92" s="7">
        <f>INDEX('01_Benchmark_Input'!$K$2:$K$10,MATCH(B92,'01_Benchmark_Input'!$A$2:$A$10,0))</f>
        <v/>
      </c>
      <c r="S92" s="7">
        <f>INDEX('01_Benchmark_Input'!$P$2:$P$10,MATCH(B92,'01_Benchmark_Input'!$A$2:$A$10,0))</f>
        <v/>
      </c>
      <c r="T92" s="7">
        <f>INDEX('01_Benchmark_Input'!$U$2:$U$10,MATCH(B92,'01_Benchmark_Input'!$A$2:$A$10,0))</f>
        <v/>
      </c>
      <c r="U92" s="7">
        <f>INDEX('01_Benchmark_Input'!$Z$2:$Z$10,MATCH(B92,'01_Benchmark_Input'!$A$2:$A$10,0))</f>
        <v/>
      </c>
      <c r="V92" s="6">
        <f>INDEX('01_Benchmark_Input'!$D$2:$D$10,MATCH(B92,'01_Benchmark_Input'!$A$2:$A$10,0))</f>
        <v/>
      </c>
      <c r="W92" s="6">
        <f>INDEX('01_Benchmark_Input'!$E$2:$E$10,MATCH(B92,'01_Benchmark_Input'!$A$2:$A$10,0))</f>
        <v/>
      </c>
      <c r="X92" s="6">
        <f>INDEX('01_Benchmark_Input'!$F$2:$F$10,MATCH(B92,'01_Benchmark_Input'!$A$2:$A$10,0))</f>
        <v/>
      </c>
      <c r="Y92" s="7">
        <f>N92*R92+O92*S92+P92*T92+Q92*U92</f>
        <v/>
      </c>
      <c r="Z92" s="6">
        <f>'02_Inputs'!K92</f>
        <v/>
      </c>
      <c r="AA92" s="7">
        <f>Y92*Z92</f>
        <v/>
      </c>
      <c r="AB92" s="5">
        <f>L92*1000*AA92*86400</f>
        <v/>
      </c>
      <c r="AC92" s="5">
        <f>AB92*365</f>
        <v/>
      </c>
    </row>
    <row r="93">
      <c r="A93" s="5">
        <f>'02_Inputs'!A93</f>
        <v/>
      </c>
      <c r="B93" s="5">
        <f>'02_Inputs'!B93</f>
        <v/>
      </c>
      <c r="C93" s="5">
        <f>'02_Inputs'!C93</f>
        <v/>
      </c>
      <c r="D93" s="29">
        <f>'02_Inputs'!D93</f>
        <v/>
      </c>
      <c r="E93" s="6">
        <f>'02_Inputs'!E93</f>
        <v/>
      </c>
      <c r="F93" s="29">
        <f>D93*E93</f>
        <v/>
      </c>
      <c r="G93" s="5">
        <f>'02_Inputs'!F93</f>
        <v/>
      </c>
      <c r="H93" s="29">
        <f>F93/G93</f>
        <v/>
      </c>
      <c r="I93" s="6">
        <f>'02_Inputs'!G93</f>
        <v/>
      </c>
      <c r="J93" s="29">
        <f>H93*I93</f>
        <v/>
      </c>
      <c r="K93" s="6">
        <f>'02_Inputs'!H93</f>
        <v/>
      </c>
      <c r="L93" s="29">
        <f>J93*K93</f>
        <v/>
      </c>
      <c r="M93" s="29">
        <f>J93*(1-K93)</f>
        <v/>
      </c>
      <c r="N93" s="6">
        <f>'02_GPU_Mix_Input'!D93</f>
        <v/>
      </c>
      <c r="O93" s="6">
        <f>'02_GPU_Mix_Input'!E93</f>
        <v/>
      </c>
      <c r="P93" s="6">
        <f>'02_GPU_Mix_Input'!F93</f>
        <v/>
      </c>
      <c r="Q93" s="6">
        <f>'02_GPU_Mix_Input'!G93</f>
        <v/>
      </c>
      <c r="R93" s="7">
        <f>INDEX('01_Benchmark_Input'!$K$2:$K$10,MATCH(B93,'01_Benchmark_Input'!$A$2:$A$10,0))</f>
        <v/>
      </c>
      <c r="S93" s="7">
        <f>INDEX('01_Benchmark_Input'!$P$2:$P$10,MATCH(B93,'01_Benchmark_Input'!$A$2:$A$10,0))</f>
        <v/>
      </c>
      <c r="T93" s="7">
        <f>INDEX('01_Benchmark_Input'!$U$2:$U$10,MATCH(B93,'01_Benchmark_Input'!$A$2:$A$10,0))</f>
        <v/>
      </c>
      <c r="U93" s="7">
        <f>INDEX('01_Benchmark_Input'!$Z$2:$Z$10,MATCH(B93,'01_Benchmark_Input'!$A$2:$A$10,0))</f>
        <v/>
      </c>
      <c r="V93" s="6">
        <f>INDEX('01_Benchmark_Input'!$D$2:$D$10,MATCH(B93,'01_Benchmark_Input'!$A$2:$A$10,0))</f>
        <v/>
      </c>
      <c r="W93" s="6">
        <f>INDEX('01_Benchmark_Input'!$E$2:$E$10,MATCH(B93,'01_Benchmark_Input'!$A$2:$A$10,0))</f>
        <v/>
      </c>
      <c r="X93" s="6">
        <f>INDEX('01_Benchmark_Input'!$F$2:$F$10,MATCH(B93,'01_Benchmark_Input'!$A$2:$A$10,0))</f>
        <v/>
      </c>
      <c r="Y93" s="7">
        <f>N93*R93+O93*S93+P93*T93+Q93*U93</f>
        <v/>
      </c>
      <c r="Z93" s="6">
        <f>'02_Inputs'!K93</f>
        <v/>
      </c>
      <c r="AA93" s="7">
        <f>Y93*Z93</f>
        <v/>
      </c>
      <c r="AB93" s="5">
        <f>L93*1000*AA93*86400</f>
        <v/>
      </c>
      <c r="AC93" s="5">
        <f>AB93*365</f>
        <v/>
      </c>
    </row>
    <row r="94">
      <c r="A94" s="5">
        <f>'02_Inputs'!A94</f>
        <v/>
      </c>
      <c r="B94" s="5">
        <f>'02_Inputs'!B94</f>
        <v/>
      </c>
      <c r="C94" s="5">
        <f>'02_Inputs'!C94</f>
        <v/>
      </c>
      <c r="D94" s="29">
        <f>'02_Inputs'!D94</f>
        <v/>
      </c>
      <c r="E94" s="6">
        <f>'02_Inputs'!E94</f>
        <v/>
      </c>
      <c r="F94" s="29">
        <f>D94*E94</f>
        <v/>
      </c>
      <c r="G94" s="5">
        <f>'02_Inputs'!F94</f>
        <v/>
      </c>
      <c r="H94" s="29">
        <f>F94/G94</f>
        <v/>
      </c>
      <c r="I94" s="6">
        <f>'02_Inputs'!G94</f>
        <v/>
      </c>
      <c r="J94" s="29">
        <f>H94*I94</f>
        <v/>
      </c>
      <c r="K94" s="6">
        <f>'02_Inputs'!H94</f>
        <v/>
      </c>
      <c r="L94" s="29">
        <f>J94*K94</f>
        <v/>
      </c>
      <c r="M94" s="29">
        <f>J94*(1-K94)</f>
        <v/>
      </c>
      <c r="N94" s="6">
        <f>'02_GPU_Mix_Input'!D94</f>
        <v/>
      </c>
      <c r="O94" s="6">
        <f>'02_GPU_Mix_Input'!E94</f>
        <v/>
      </c>
      <c r="P94" s="6">
        <f>'02_GPU_Mix_Input'!F94</f>
        <v/>
      </c>
      <c r="Q94" s="6">
        <f>'02_GPU_Mix_Input'!G94</f>
        <v/>
      </c>
      <c r="R94" s="7">
        <f>INDEX('01_Benchmark_Input'!$K$2:$K$10,MATCH(B94,'01_Benchmark_Input'!$A$2:$A$10,0))</f>
        <v/>
      </c>
      <c r="S94" s="7">
        <f>INDEX('01_Benchmark_Input'!$P$2:$P$10,MATCH(B94,'01_Benchmark_Input'!$A$2:$A$10,0))</f>
        <v/>
      </c>
      <c r="T94" s="7">
        <f>INDEX('01_Benchmark_Input'!$U$2:$U$10,MATCH(B94,'01_Benchmark_Input'!$A$2:$A$10,0))</f>
        <v/>
      </c>
      <c r="U94" s="7">
        <f>INDEX('01_Benchmark_Input'!$Z$2:$Z$10,MATCH(B94,'01_Benchmark_Input'!$A$2:$A$10,0))</f>
        <v/>
      </c>
      <c r="V94" s="6">
        <f>INDEX('01_Benchmark_Input'!$D$2:$D$10,MATCH(B94,'01_Benchmark_Input'!$A$2:$A$10,0))</f>
        <v/>
      </c>
      <c r="W94" s="6">
        <f>INDEX('01_Benchmark_Input'!$E$2:$E$10,MATCH(B94,'01_Benchmark_Input'!$A$2:$A$10,0))</f>
        <v/>
      </c>
      <c r="X94" s="6">
        <f>INDEX('01_Benchmark_Input'!$F$2:$F$10,MATCH(B94,'01_Benchmark_Input'!$A$2:$A$10,0))</f>
        <v/>
      </c>
      <c r="Y94" s="7">
        <f>N94*R94+O94*S94+P94*T94+Q94*U94</f>
        <v/>
      </c>
      <c r="Z94" s="6">
        <f>'02_Inputs'!K94</f>
        <v/>
      </c>
      <c r="AA94" s="7">
        <f>Y94*Z94</f>
        <v/>
      </c>
      <c r="AB94" s="5">
        <f>L94*1000*AA94*86400</f>
        <v/>
      </c>
      <c r="AC94" s="5">
        <f>AB94*365</f>
        <v/>
      </c>
    </row>
    <row r="95">
      <c r="A95" s="5">
        <f>'02_Inputs'!A95</f>
        <v/>
      </c>
      <c r="B95" s="5">
        <f>'02_Inputs'!B95</f>
        <v/>
      </c>
      <c r="C95" s="5">
        <f>'02_Inputs'!C95</f>
        <v/>
      </c>
      <c r="D95" s="29">
        <f>'02_Inputs'!D95</f>
        <v/>
      </c>
      <c r="E95" s="6">
        <f>'02_Inputs'!E95</f>
        <v/>
      </c>
      <c r="F95" s="29">
        <f>D95*E95</f>
        <v/>
      </c>
      <c r="G95" s="5">
        <f>'02_Inputs'!F95</f>
        <v/>
      </c>
      <c r="H95" s="29">
        <f>F95/G95</f>
        <v/>
      </c>
      <c r="I95" s="6">
        <f>'02_Inputs'!G95</f>
        <v/>
      </c>
      <c r="J95" s="29">
        <f>H95*I95</f>
        <v/>
      </c>
      <c r="K95" s="6">
        <f>'02_Inputs'!H95</f>
        <v/>
      </c>
      <c r="L95" s="29">
        <f>J95*K95</f>
        <v/>
      </c>
      <c r="M95" s="29">
        <f>J95*(1-K95)</f>
        <v/>
      </c>
      <c r="N95" s="6">
        <f>'02_GPU_Mix_Input'!D95</f>
        <v/>
      </c>
      <c r="O95" s="6">
        <f>'02_GPU_Mix_Input'!E95</f>
        <v/>
      </c>
      <c r="P95" s="6">
        <f>'02_GPU_Mix_Input'!F95</f>
        <v/>
      </c>
      <c r="Q95" s="6">
        <f>'02_GPU_Mix_Input'!G95</f>
        <v/>
      </c>
      <c r="R95" s="7">
        <f>INDEX('01_Benchmark_Input'!$K$2:$K$10,MATCH(B95,'01_Benchmark_Input'!$A$2:$A$10,0))</f>
        <v/>
      </c>
      <c r="S95" s="7">
        <f>INDEX('01_Benchmark_Input'!$P$2:$P$10,MATCH(B95,'01_Benchmark_Input'!$A$2:$A$10,0))</f>
        <v/>
      </c>
      <c r="T95" s="7">
        <f>INDEX('01_Benchmark_Input'!$U$2:$U$10,MATCH(B95,'01_Benchmark_Input'!$A$2:$A$10,0))</f>
        <v/>
      </c>
      <c r="U95" s="7">
        <f>INDEX('01_Benchmark_Input'!$Z$2:$Z$10,MATCH(B95,'01_Benchmark_Input'!$A$2:$A$10,0))</f>
        <v/>
      </c>
      <c r="V95" s="6">
        <f>INDEX('01_Benchmark_Input'!$D$2:$D$10,MATCH(B95,'01_Benchmark_Input'!$A$2:$A$10,0))</f>
        <v/>
      </c>
      <c r="W95" s="6">
        <f>INDEX('01_Benchmark_Input'!$E$2:$E$10,MATCH(B95,'01_Benchmark_Input'!$A$2:$A$10,0))</f>
        <v/>
      </c>
      <c r="X95" s="6">
        <f>INDEX('01_Benchmark_Input'!$F$2:$F$10,MATCH(B95,'01_Benchmark_Input'!$A$2:$A$10,0))</f>
        <v/>
      </c>
      <c r="Y95" s="7">
        <f>N95*R95+O95*S95+P95*T95+Q95*U95</f>
        <v/>
      </c>
      <c r="Z95" s="6">
        <f>'02_Inputs'!K95</f>
        <v/>
      </c>
      <c r="AA95" s="7">
        <f>Y95*Z95</f>
        <v/>
      </c>
      <c r="AB95" s="5">
        <f>L95*1000*AA95*86400</f>
        <v/>
      </c>
      <c r="AC95" s="5">
        <f>AB95*365</f>
        <v/>
      </c>
    </row>
    <row r="96">
      <c r="A96" s="5">
        <f>'02_Inputs'!A96</f>
        <v/>
      </c>
      <c r="B96" s="5">
        <f>'02_Inputs'!B96</f>
        <v/>
      </c>
      <c r="C96" s="5">
        <f>'02_Inputs'!C96</f>
        <v/>
      </c>
      <c r="D96" s="29">
        <f>'02_Inputs'!D96</f>
        <v/>
      </c>
      <c r="E96" s="6">
        <f>'02_Inputs'!E96</f>
        <v/>
      </c>
      <c r="F96" s="29">
        <f>D96*E96</f>
        <v/>
      </c>
      <c r="G96" s="5">
        <f>'02_Inputs'!F96</f>
        <v/>
      </c>
      <c r="H96" s="29">
        <f>F96/G96</f>
        <v/>
      </c>
      <c r="I96" s="6">
        <f>'02_Inputs'!G96</f>
        <v/>
      </c>
      <c r="J96" s="29">
        <f>H96*I96</f>
        <v/>
      </c>
      <c r="K96" s="6">
        <f>'02_Inputs'!H96</f>
        <v/>
      </c>
      <c r="L96" s="29">
        <f>J96*K96</f>
        <v/>
      </c>
      <c r="M96" s="29">
        <f>J96*(1-K96)</f>
        <v/>
      </c>
      <c r="N96" s="6">
        <f>'02_GPU_Mix_Input'!D96</f>
        <v/>
      </c>
      <c r="O96" s="6">
        <f>'02_GPU_Mix_Input'!E96</f>
        <v/>
      </c>
      <c r="P96" s="6">
        <f>'02_GPU_Mix_Input'!F96</f>
        <v/>
      </c>
      <c r="Q96" s="6">
        <f>'02_GPU_Mix_Input'!G96</f>
        <v/>
      </c>
      <c r="R96" s="7">
        <f>INDEX('01_Benchmark_Input'!$K$2:$K$10,MATCH(B96,'01_Benchmark_Input'!$A$2:$A$10,0))</f>
        <v/>
      </c>
      <c r="S96" s="7">
        <f>INDEX('01_Benchmark_Input'!$P$2:$P$10,MATCH(B96,'01_Benchmark_Input'!$A$2:$A$10,0))</f>
        <v/>
      </c>
      <c r="T96" s="7">
        <f>INDEX('01_Benchmark_Input'!$U$2:$U$10,MATCH(B96,'01_Benchmark_Input'!$A$2:$A$10,0))</f>
        <v/>
      </c>
      <c r="U96" s="7">
        <f>INDEX('01_Benchmark_Input'!$Z$2:$Z$10,MATCH(B96,'01_Benchmark_Input'!$A$2:$A$10,0))</f>
        <v/>
      </c>
      <c r="V96" s="6">
        <f>INDEX('01_Benchmark_Input'!$D$2:$D$10,MATCH(B96,'01_Benchmark_Input'!$A$2:$A$10,0))</f>
        <v/>
      </c>
      <c r="W96" s="6">
        <f>INDEX('01_Benchmark_Input'!$E$2:$E$10,MATCH(B96,'01_Benchmark_Input'!$A$2:$A$10,0))</f>
        <v/>
      </c>
      <c r="X96" s="6">
        <f>INDEX('01_Benchmark_Input'!$F$2:$F$10,MATCH(B96,'01_Benchmark_Input'!$A$2:$A$10,0))</f>
        <v/>
      </c>
      <c r="Y96" s="7">
        <f>N96*R96+O96*S96+P96*T96+Q96*U96</f>
        <v/>
      </c>
      <c r="Z96" s="6">
        <f>'02_Inputs'!K96</f>
        <v/>
      </c>
      <c r="AA96" s="7">
        <f>Y96*Z96</f>
        <v/>
      </c>
      <c r="AB96" s="5">
        <f>L96*1000*AA96*86400</f>
        <v/>
      </c>
      <c r="AC96" s="5">
        <f>AB96*365</f>
        <v/>
      </c>
    </row>
    <row r="97">
      <c r="A97" s="5">
        <f>'02_Inputs'!A97</f>
        <v/>
      </c>
      <c r="B97" s="5">
        <f>'02_Inputs'!B97</f>
        <v/>
      </c>
      <c r="C97" s="5">
        <f>'02_Inputs'!C97</f>
        <v/>
      </c>
      <c r="D97" s="29">
        <f>'02_Inputs'!D97</f>
        <v/>
      </c>
      <c r="E97" s="6">
        <f>'02_Inputs'!E97</f>
        <v/>
      </c>
      <c r="F97" s="29">
        <f>D97*E97</f>
        <v/>
      </c>
      <c r="G97" s="5">
        <f>'02_Inputs'!F97</f>
        <v/>
      </c>
      <c r="H97" s="29">
        <f>F97/G97</f>
        <v/>
      </c>
      <c r="I97" s="6">
        <f>'02_Inputs'!G97</f>
        <v/>
      </c>
      <c r="J97" s="29">
        <f>H97*I97</f>
        <v/>
      </c>
      <c r="K97" s="6">
        <f>'02_Inputs'!H97</f>
        <v/>
      </c>
      <c r="L97" s="29">
        <f>J97*K97</f>
        <v/>
      </c>
      <c r="M97" s="29">
        <f>J97*(1-K97)</f>
        <v/>
      </c>
      <c r="N97" s="6">
        <f>'02_GPU_Mix_Input'!D97</f>
        <v/>
      </c>
      <c r="O97" s="6">
        <f>'02_GPU_Mix_Input'!E97</f>
        <v/>
      </c>
      <c r="P97" s="6">
        <f>'02_GPU_Mix_Input'!F97</f>
        <v/>
      </c>
      <c r="Q97" s="6">
        <f>'02_GPU_Mix_Input'!G97</f>
        <v/>
      </c>
      <c r="R97" s="7">
        <f>INDEX('01_Benchmark_Input'!$K$2:$K$10,MATCH(B97,'01_Benchmark_Input'!$A$2:$A$10,0))</f>
        <v/>
      </c>
      <c r="S97" s="7">
        <f>INDEX('01_Benchmark_Input'!$P$2:$P$10,MATCH(B97,'01_Benchmark_Input'!$A$2:$A$10,0))</f>
        <v/>
      </c>
      <c r="T97" s="7">
        <f>INDEX('01_Benchmark_Input'!$U$2:$U$10,MATCH(B97,'01_Benchmark_Input'!$A$2:$A$10,0))</f>
        <v/>
      </c>
      <c r="U97" s="7">
        <f>INDEX('01_Benchmark_Input'!$Z$2:$Z$10,MATCH(B97,'01_Benchmark_Input'!$A$2:$A$10,0))</f>
        <v/>
      </c>
      <c r="V97" s="6">
        <f>INDEX('01_Benchmark_Input'!$D$2:$D$10,MATCH(B97,'01_Benchmark_Input'!$A$2:$A$10,0))</f>
        <v/>
      </c>
      <c r="W97" s="6">
        <f>INDEX('01_Benchmark_Input'!$E$2:$E$10,MATCH(B97,'01_Benchmark_Input'!$A$2:$A$10,0))</f>
        <v/>
      </c>
      <c r="X97" s="6">
        <f>INDEX('01_Benchmark_Input'!$F$2:$F$10,MATCH(B97,'01_Benchmark_Input'!$A$2:$A$10,0))</f>
        <v/>
      </c>
      <c r="Y97" s="7">
        <f>N97*R97+O97*S97+P97*T97+Q97*U97</f>
        <v/>
      </c>
      <c r="Z97" s="6">
        <f>'02_Inputs'!K97</f>
        <v/>
      </c>
      <c r="AA97" s="7">
        <f>Y97*Z97</f>
        <v/>
      </c>
      <c r="AB97" s="5">
        <f>L97*1000*AA97*86400</f>
        <v/>
      </c>
      <c r="AC97" s="5">
        <f>AB97*365</f>
        <v/>
      </c>
    </row>
    <row r="98">
      <c r="A98" s="5">
        <f>'02_Inputs'!A98</f>
        <v/>
      </c>
      <c r="B98" s="5">
        <f>'02_Inputs'!B98</f>
        <v/>
      </c>
      <c r="C98" s="5">
        <f>'02_Inputs'!C98</f>
        <v/>
      </c>
      <c r="D98" s="29">
        <f>'02_Inputs'!D98</f>
        <v/>
      </c>
      <c r="E98" s="6">
        <f>'02_Inputs'!E98</f>
        <v/>
      </c>
      <c r="F98" s="29">
        <f>D98*E98</f>
        <v/>
      </c>
      <c r="G98" s="5">
        <f>'02_Inputs'!F98</f>
        <v/>
      </c>
      <c r="H98" s="29">
        <f>F98/G98</f>
        <v/>
      </c>
      <c r="I98" s="6">
        <f>'02_Inputs'!G98</f>
        <v/>
      </c>
      <c r="J98" s="29">
        <f>H98*I98</f>
        <v/>
      </c>
      <c r="K98" s="6">
        <f>'02_Inputs'!H98</f>
        <v/>
      </c>
      <c r="L98" s="29">
        <f>J98*K98</f>
        <v/>
      </c>
      <c r="M98" s="29">
        <f>J98*(1-K98)</f>
        <v/>
      </c>
      <c r="N98" s="6">
        <f>'02_GPU_Mix_Input'!D98</f>
        <v/>
      </c>
      <c r="O98" s="6">
        <f>'02_GPU_Mix_Input'!E98</f>
        <v/>
      </c>
      <c r="P98" s="6">
        <f>'02_GPU_Mix_Input'!F98</f>
        <v/>
      </c>
      <c r="Q98" s="6">
        <f>'02_GPU_Mix_Input'!G98</f>
        <v/>
      </c>
      <c r="R98" s="7">
        <f>INDEX('01_Benchmark_Input'!$K$2:$K$10,MATCH(B98,'01_Benchmark_Input'!$A$2:$A$10,0))</f>
        <v/>
      </c>
      <c r="S98" s="7">
        <f>INDEX('01_Benchmark_Input'!$P$2:$P$10,MATCH(B98,'01_Benchmark_Input'!$A$2:$A$10,0))</f>
        <v/>
      </c>
      <c r="T98" s="7">
        <f>INDEX('01_Benchmark_Input'!$U$2:$U$10,MATCH(B98,'01_Benchmark_Input'!$A$2:$A$10,0))</f>
        <v/>
      </c>
      <c r="U98" s="7">
        <f>INDEX('01_Benchmark_Input'!$Z$2:$Z$10,MATCH(B98,'01_Benchmark_Input'!$A$2:$A$10,0))</f>
        <v/>
      </c>
      <c r="V98" s="6">
        <f>INDEX('01_Benchmark_Input'!$D$2:$D$10,MATCH(B98,'01_Benchmark_Input'!$A$2:$A$10,0))</f>
        <v/>
      </c>
      <c r="W98" s="6">
        <f>INDEX('01_Benchmark_Input'!$E$2:$E$10,MATCH(B98,'01_Benchmark_Input'!$A$2:$A$10,0))</f>
        <v/>
      </c>
      <c r="X98" s="6">
        <f>INDEX('01_Benchmark_Input'!$F$2:$F$10,MATCH(B98,'01_Benchmark_Input'!$A$2:$A$10,0))</f>
        <v/>
      </c>
      <c r="Y98" s="7">
        <f>N98*R98+O98*S98+P98*T98+Q98*U98</f>
        <v/>
      </c>
      <c r="Z98" s="6">
        <f>'02_Inputs'!K98</f>
        <v/>
      </c>
      <c r="AA98" s="7">
        <f>Y98*Z98</f>
        <v/>
      </c>
      <c r="AB98" s="5">
        <f>L98*1000*AA98*86400</f>
        <v/>
      </c>
      <c r="AC98" s="5">
        <f>AB98*365</f>
        <v/>
      </c>
    </row>
    <row r="99">
      <c r="A99" s="5">
        <f>'02_Inputs'!A99</f>
        <v/>
      </c>
      <c r="B99" s="5">
        <f>'02_Inputs'!B99</f>
        <v/>
      </c>
      <c r="C99" s="5">
        <f>'02_Inputs'!C99</f>
        <v/>
      </c>
      <c r="D99" s="29">
        <f>'02_Inputs'!D99</f>
        <v/>
      </c>
      <c r="E99" s="6">
        <f>'02_Inputs'!E99</f>
        <v/>
      </c>
      <c r="F99" s="29">
        <f>D99*E99</f>
        <v/>
      </c>
      <c r="G99" s="5">
        <f>'02_Inputs'!F99</f>
        <v/>
      </c>
      <c r="H99" s="29">
        <f>F99/G99</f>
        <v/>
      </c>
      <c r="I99" s="6">
        <f>'02_Inputs'!G99</f>
        <v/>
      </c>
      <c r="J99" s="29">
        <f>H99*I99</f>
        <v/>
      </c>
      <c r="K99" s="6">
        <f>'02_Inputs'!H99</f>
        <v/>
      </c>
      <c r="L99" s="29">
        <f>J99*K99</f>
        <v/>
      </c>
      <c r="M99" s="29">
        <f>J99*(1-K99)</f>
        <v/>
      </c>
      <c r="N99" s="6">
        <f>'02_GPU_Mix_Input'!D99</f>
        <v/>
      </c>
      <c r="O99" s="6">
        <f>'02_GPU_Mix_Input'!E99</f>
        <v/>
      </c>
      <c r="P99" s="6">
        <f>'02_GPU_Mix_Input'!F99</f>
        <v/>
      </c>
      <c r="Q99" s="6">
        <f>'02_GPU_Mix_Input'!G99</f>
        <v/>
      </c>
      <c r="R99" s="7">
        <f>INDEX('01_Benchmark_Input'!$K$2:$K$10,MATCH(B99,'01_Benchmark_Input'!$A$2:$A$10,0))</f>
        <v/>
      </c>
      <c r="S99" s="7">
        <f>INDEX('01_Benchmark_Input'!$P$2:$P$10,MATCH(B99,'01_Benchmark_Input'!$A$2:$A$10,0))</f>
        <v/>
      </c>
      <c r="T99" s="7">
        <f>INDEX('01_Benchmark_Input'!$U$2:$U$10,MATCH(B99,'01_Benchmark_Input'!$A$2:$A$10,0))</f>
        <v/>
      </c>
      <c r="U99" s="7">
        <f>INDEX('01_Benchmark_Input'!$Z$2:$Z$10,MATCH(B99,'01_Benchmark_Input'!$A$2:$A$10,0))</f>
        <v/>
      </c>
      <c r="V99" s="6">
        <f>INDEX('01_Benchmark_Input'!$D$2:$D$10,MATCH(B99,'01_Benchmark_Input'!$A$2:$A$10,0))</f>
        <v/>
      </c>
      <c r="W99" s="6">
        <f>INDEX('01_Benchmark_Input'!$E$2:$E$10,MATCH(B99,'01_Benchmark_Input'!$A$2:$A$10,0))</f>
        <v/>
      </c>
      <c r="X99" s="6">
        <f>INDEX('01_Benchmark_Input'!$F$2:$F$10,MATCH(B99,'01_Benchmark_Input'!$A$2:$A$10,0))</f>
        <v/>
      </c>
      <c r="Y99" s="7">
        <f>N99*R99+O99*S99+P99*T99+Q99*U99</f>
        <v/>
      </c>
      <c r="Z99" s="6">
        <f>'02_Inputs'!K99</f>
        <v/>
      </c>
      <c r="AA99" s="7">
        <f>Y99*Z99</f>
        <v/>
      </c>
      <c r="AB99" s="5">
        <f>L99*1000*AA99*86400</f>
        <v/>
      </c>
      <c r="AC99" s="5">
        <f>AB99*365</f>
        <v/>
      </c>
    </row>
    <row r="100">
      <c r="A100" s="5">
        <f>'02_Inputs'!A100</f>
        <v/>
      </c>
      <c r="B100" s="5">
        <f>'02_Inputs'!B100</f>
        <v/>
      </c>
      <c r="C100" s="5">
        <f>'02_Inputs'!C100</f>
        <v/>
      </c>
      <c r="D100" s="29">
        <f>'02_Inputs'!D100</f>
        <v/>
      </c>
      <c r="E100" s="6">
        <f>'02_Inputs'!E100</f>
        <v/>
      </c>
      <c r="F100" s="29">
        <f>D100*E100</f>
        <v/>
      </c>
      <c r="G100" s="5">
        <f>'02_Inputs'!F100</f>
        <v/>
      </c>
      <c r="H100" s="29">
        <f>F100/G100</f>
        <v/>
      </c>
      <c r="I100" s="6">
        <f>'02_Inputs'!G100</f>
        <v/>
      </c>
      <c r="J100" s="29">
        <f>H100*I100</f>
        <v/>
      </c>
      <c r="K100" s="6">
        <f>'02_Inputs'!H100</f>
        <v/>
      </c>
      <c r="L100" s="29">
        <f>J100*K100</f>
        <v/>
      </c>
      <c r="M100" s="29">
        <f>J100*(1-K100)</f>
        <v/>
      </c>
      <c r="N100" s="6">
        <f>'02_GPU_Mix_Input'!D100</f>
        <v/>
      </c>
      <c r="O100" s="6">
        <f>'02_GPU_Mix_Input'!E100</f>
        <v/>
      </c>
      <c r="P100" s="6">
        <f>'02_GPU_Mix_Input'!F100</f>
        <v/>
      </c>
      <c r="Q100" s="6">
        <f>'02_GPU_Mix_Input'!G100</f>
        <v/>
      </c>
      <c r="R100" s="7">
        <f>INDEX('01_Benchmark_Input'!$K$2:$K$10,MATCH(B100,'01_Benchmark_Input'!$A$2:$A$10,0))</f>
        <v/>
      </c>
      <c r="S100" s="7">
        <f>INDEX('01_Benchmark_Input'!$P$2:$P$10,MATCH(B100,'01_Benchmark_Input'!$A$2:$A$10,0))</f>
        <v/>
      </c>
      <c r="T100" s="7">
        <f>INDEX('01_Benchmark_Input'!$U$2:$U$10,MATCH(B100,'01_Benchmark_Input'!$A$2:$A$10,0))</f>
        <v/>
      </c>
      <c r="U100" s="7">
        <f>INDEX('01_Benchmark_Input'!$Z$2:$Z$10,MATCH(B100,'01_Benchmark_Input'!$A$2:$A$10,0))</f>
        <v/>
      </c>
      <c r="V100" s="6">
        <f>INDEX('01_Benchmark_Input'!$D$2:$D$10,MATCH(B100,'01_Benchmark_Input'!$A$2:$A$10,0))</f>
        <v/>
      </c>
      <c r="W100" s="6">
        <f>INDEX('01_Benchmark_Input'!$E$2:$E$10,MATCH(B100,'01_Benchmark_Input'!$A$2:$A$10,0))</f>
        <v/>
      </c>
      <c r="X100" s="6">
        <f>INDEX('01_Benchmark_Input'!$F$2:$F$10,MATCH(B100,'01_Benchmark_Input'!$A$2:$A$10,0))</f>
        <v/>
      </c>
      <c r="Y100" s="7">
        <f>N100*R100+O100*S100+P100*T100+Q100*U100</f>
        <v/>
      </c>
      <c r="Z100" s="6">
        <f>'02_Inputs'!K100</f>
        <v/>
      </c>
      <c r="AA100" s="7">
        <f>Y100*Z100</f>
        <v/>
      </c>
      <c r="AB100" s="5">
        <f>L100*1000*AA100*86400</f>
        <v/>
      </c>
      <c r="AC100" s="5">
        <f>AB100*365</f>
        <v/>
      </c>
    </row>
    <row r="101">
      <c r="A101" s="5">
        <f>'02_Inputs'!A101</f>
        <v/>
      </c>
      <c r="B101" s="5">
        <f>'02_Inputs'!B101</f>
        <v/>
      </c>
      <c r="C101" s="5">
        <f>'02_Inputs'!C101</f>
        <v/>
      </c>
      <c r="D101" s="29">
        <f>'02_Inputs'!D101</f>
        <v/>
      </c>
      <c r="E101" s="6">
        <f>'02_Inputs'!E101</f>
        <v/>
      </c>
      <c r="F101" s="29">
        <f>D101*E101</f>
        <v/>
      </c>
      <c r="G101" s="5">
        <f>'02_Inputs'!F101</f>
        <v/>
      </c>
      <c r="H101" s="29">
        <f>F101/G101</f>
        <v/>
      </c>
      <c r="I101" s="6">
        <f>'02_Inputs'!G101</f>
        <v/>
      </c>
      <c r="J101" s="29">
        <f>H101*I101</f>
        <v/>
      </c>
      <c r="K101" s="6">
        <f>'02_Inputs'!H101</f>
        <v/>
      </c>
      <c r="L101" s="29">
        <f>J101*K101</f>
        <v/>
      </c>
      <c r="M101" s="29">
        <f>J101*(1-K101)</f>
        <v/>
      </c>
      <c r="N101" s="6">
        <f>'02_GPU_Mix_Input'!D101</f>
        <v/>
      </c>
      <c r="O101" s="6">
        <f>'02_GPU_Mix_Input'!E101</f>
        <v/>
      </c>
      <c r="P101" s="6">
        <f>'02_GPU_Mix_Input'!F101</f>
        <v/>
      </c>
      <c r="Q101" s="6">
        <f>'02_GPU_Mix_Input'!G101</f>
        <v/>
      </c>
      <c r="R101" s="7">
        <f>INDEX('01_Benchmark_Input'!$K$2:$K$10,MATCH(B101,'01_Benchmark_Input'!$A$2:$A$10,0))</f>
        <v/>
      </c>
      <c r="S101" s="7">
        <f>INDEX('01_Benchmark_Input'!$P$2:$P$10,MATCH(B101,'01_Benchmark_Input'!$A$2:$A$10,0))</f>
        <v/>
      </c>
      <c r="T101" s="7">
        <f>INDEX('01_Benchmark_Input'!$U$2:$U$10,MATCH(B101,'01_Benchmark_Input'!$A$2:$A$10,0))</f>
        <v/>
      </c>
      <c r="U101" s="7">
        <f>INDEX('01_Benchmark_Input'!$Z$2:$Z$10,MATCH(B101,'01_Benchmark_Input'!$A$2:$A$10,0))</f>
        <v/>
      </c>
      <c r="V101" s="6">
        <f>INDEX('01_Benchmark_Input'!$D$2:$D$10,MATCH(B101,'01_Benchmark_Input'!$A$2:$A$10,0))</f>
        <v/>
      </c>
      <c r="W101" s="6">
        <f>INDEX('01_Benchmark_Input'!$E$2:$E$10,MATCH(B101,'01_Benchmark_Input'!$A$2:$A$10,0))</f>
        <v/>
      </c>
      <c r="X101" s="6">
        <f>INDEX('01_Benchmark_Input'!$F$2:$F$10,MATCH(B101,'01_Benchmark_Input'!$A$2:$A$10,0))</f>
        <v/>
      </c>
      <c r="Y101" s="7">
        <f>N101*R101+O101*S101+P101*T101+Q101*U101</f>
        <v/>
      </c>
      <c r="Z101" s="6">
        <f>'02_Inputs'!K101</f>
        <v/>
      </c>
      <c r="AA101" s="7">
        <f>Y101*Z101</f>
        <v/>
      </c>
      <c r="AB101" s="5">
        <f>L101*1000*AA101*86400</f>
        <v/>
      </c>
      <c r="AC101" s="5">
        <f>AB101*365</f>
        <v/>
      </c>
    </row>
    <row r="102">
      <c r="A102" s="5">
        <f>'02_Inputs'!A102</f>
        <v/>
      </c>
      <c r="B102" s="5">
        <f>'02_Inputs'!B102</f>
        <v/>
      </c>
      <c r="C102" s="5">
        <f>'02_Inputs'!C102</f>
        <v/>
      </c>
      <c r="D102" s="29">
        <f>'02_Inputs'!D102</f>
        <v/>
      </c>
      <c r="E102" s="6">
        <f>'02_Inputs'!E102</f>
        <v/>
      </c>
      <c r="F102" s="29">
        <f>D102*E102</f>
        <v/>
      </c>
      <c r="G102" s="5">
        <f>'02_Inputs'!F102</f>
        <v/>
      </c>
      <c r="H102" s="29">
        <f>F102/G102</f>
        <v/>
      </c>
      <c r="I102" s="6">
        <f>'02_Inputs'!G102</f>
        <v/>
      </c>
      <c r="J102" s="29">
        <f>H102*I102</f>
        <v/>
      </c>
      <c r="K102" s="6">
        <f>'02_Inputs'!H102</f>
        <v/>
      </c>
      <c r="L102" s="29">
        <f>J102*K102</f>
        <v/>
      </c>
      <c r="M102" s="29">
        <f>J102*(1-K102)</f>
        <v/>
      </c>
      <c r="N102" s="6">
        <f>'02_GPU_Mix_Input'!D102</f>
        <v/>
      </c>
      <c r="O102" s="6">
        <f>'02_GPU_Mix_Input'!E102</f>
        <v/>
      </c>
      <c r="P102" s="6">
        <f>'02_GPU_Mix_Input'!F102</f>
        <v/>
      </c>
      <c r="Q102" s="6">
        <f>'02_GPU_Mix_Input'!G102</f>
        <v/>
      </c>
      <c r="R102" s="7">
        <f>INDEX('01_Benchmark_Input'!$K$2:$K$10,MATCH(B102,'01_Benchmark_Input'!$A$2:$A$10,0))</f>
        <v/>
      </c>
      <c r="S102" s="7">
        <f>INDEX('01_Benchmark_Input'!$P$2:$P$10,MATCH(B102,'01_Benchmark_Input'!$A$2:$A$10,0))</f>
        <v/>
      </c>
      <c r="T102" s="7">
        <f>INDEX('01_Benchmark_Input'!$U$2:$U$10,MATCH(B102,'01_Benchmark_Input'!$A$2:$A$10,0))</f>
        <v/>
      </c>
      <c r="U102" s="7">
        <f>INDEX('01_Benchmark_Input'!$Z$2:$Z$10,MATCH(B102,'01_Benchmark_Input'!$A$2:$A$10,0))</f>
        <v/>
      </c>
      <c r="V102" s="6">
        <f>INDEX('01_Benchmark_Input'!$D$2:$D$10,MATCH(B102,'01_Benchmark_Input'!$A$2:$A$10,0))</f>
        <v/>
      </c>
      <c r="W102" s="6">
        <f>INDEX('01_Benchmark_Input'!$E$2:$E$10,MATCH(B102,'01_Benchmark_Input'!$A$2:$A$10,0))</f>
        <v/>
      </c>
      <c r="X102" s="6">
        <f>INDEX('01_Benchmark_Input'!$F$2:$F$10,MATCH(B102,'01_Benchmark_Input'!$A$2:$A$10,0))</f>
        <v/>
      </c>
      <c r="Y102" s="7">
        <f>N102*R102+O102*S102+P102*T102+Q102*U102</f>
        <v/>
      </c>
      <c r="Z102" s="6">
        <f>'02_Inputs'!K102</f>
        <v/>
      </c>
      <c r="AA102" s="7">
        <f>Y102*Z102</f>
        <v/>
      </c>
      <c r="AB102" s="5">
        <f>L102*1000*AA102*86400</f>
        <v/>
      </c>
      <c r="AC102" s="5">
        <f>AB102*365</f>
        <v/>
      </c>
    </row>
    <row r="103">
      <c r="A103" s="5">
        <f>'02_Inputs'!A103</f>
        <v/>
      </c>
      <c r="B103" s="5">
        <f>'02_Inputs'!B103</f>
        <v/>
      </c>
      <c r="C103" s="5">
        <f>'02_Inputs'!C103</f>
        <v/>
      </c>
      <c r="D103" s="29">
        <f>'02_Inputs'!D103</f>
        <v/>
      </c>
      <c r="E103" s="6">
        <f>'02_Inputs'!E103</f>
        <v/>
      </c>
      <c r="F103" s="29">
        <f>D103*E103</f>
        <v/>
      </c>
      <c r="G103" s="5">
        <f>'02_Inputs'!F103</f>
        <v/>
      </c>
      <c r="H103" s="29">
        <f>F103/G103</f>
        <v/>
      </c>
      <c r="I103" s="6">
        <f>'02_Inputs'!G103</f>
        <v/>
      </c>
      <c r="J103" s="29">
        <f>H103*I103</f>
        <v/>
      </c>
      <c r="K103" s="6">
        <f>'02_Inputs'!H103</f>
        <v/>
      </c>
      <c r="L103" s="29">
        <f>J103*K103</f>
        <v/>
      </c>
      <c r="M103" s="29">
        <f>J103*(1-K103)</f>
        <v/>
      </c>
      <c r="N103" s="6">
        <f>'02_GPU_Mix_Input'!D103</f>
        <v/>
      </c>
      <c r="O103" s="6">
        <f>'02_GPU_Mix_Input'!E103</f>
        <v/>
      </c>
      <c r="P103" s="6">
        <f>'02_GPU_Mix_Input'!F103</f>
        <v/>
      </c>
      <c r="Q103" s="6">
        <f>'02_GPU_Mix_Input'!G103</f>
        <v/>
      </c>
      <c r="R103" s="7">
        <f>INDEX('01_Benchmark_Input'!$K$2:$K$10,MATCH(B103,'01_Benchmark_Input'!$A$2:$A$10,0))</f>
        <v/>
      </c>
      <c r="S103" s="7">
        <f>INDEX('01_Benchmark_Input'!$P$2:$P$10,MATCH(B103,'01_Benchmark_Input'!$A$2:$A$10,0))</f>
        <v/>
      </c>
      <c r="T103" s="7">
        <f>INDEX('01_Benchmark_Input'!$U$2:$U$10,MATCH(B103,'01_Benchmark_Input'!$A$2:$A$10,0))</f>
        <v/>
      </c>
      <c r="U103" s="7">
        <f>INDEX('01_Benchmark_Input'!$Z$2:$Z$10,MATCH(B103,'01_Benchmark_Input'!$A$2:$A$10,0))</f>
        <v/>
      </c>
      <c r="V103" s="6">
        <f>INDEX('01_Benchmark_Input'!$D$2:$D$10,MATCH(B103,'01_Benchmark_Input'!$A$2:$A$10,0))</f>
        <v/>
      </c>
      <c r="W103" s="6">
        <f>INDEX('01_Benchmark_Input'!$E$2:$E$10,MATCH(B103,'01_Benchmark_Input'!$A$2:$A$10,0))</f>
        <v/>
      </c>
      <c r="X103" s="6">
        <f>INDEX('01_Benchmark_Input'!$F$2:$F$10,MATCH(B103,'01_Benchmark_Input'!$A$2:$A$10,0))</f>
        <v/>
      </c>
      <c r="Y103" s="7">
        <f>N103*R103+O103*S103+P103*T103+Q103*U103</f>
        <v/>
      </c>
      <c r="Z103" s="6">
        <f>'02_Inputs'!K103</f>
        <v/>
      </c>
      <c r="AA103" s="7">
        <f>Y103*Z103</f>
        <v/>
      </c>
      <c r="AB103" s="5">
        <f>L103*1000*AA103*86400</f>
        <v/>
      </c>
      <c r="AC103" s="5">
        <f>AB103*365</f>
        <v/>
      </c>
    </row>
    <row r="104">
      <c r="A104" s="5">
        <f>'02_Inputs'!A104</f>
        <v/>
      </c>
      <c r="B104" s="5">
        <f>'02_Inputs'!B104</f>
        <v/>
      </c>
      <c r="C104" s="5">
        <f>'02_Inputs'!C104</f>
        <v/>
      </c>
      <c r="D104" s="29">
        <f>'02_Inputs'!D104</f>
        <v/>
      </c>
      <c r="E104" s="6">
        <f>'02_Inputs'!E104</f>
        <v/>
      </c>
      <c r="F104" s="29">
        <f>D104*E104</f>
        <v/>
      </c>
      <c r="G104" s="5">
        <f>'02_Inputs'!F104</f>
        <v/>
      </c>
      <c r="H104" s="29">
        <f>F104/G104</f>
        <v/>
      </c>
      <c r="I104" s="6">
        <f>'02_Inputs'!G104</f>
        <v/>
      </c>
      <c r="J104" s="29">
        <f>H104*I104</f>
        <v/>
      </c>
      <c r="K104" s="6">
        <f>'02_Inputs'!H104</f>
        <v/>
      </c>
      <c r="L104" s="29">
        <f>J104*K104</f>
        <v/>
      </c>
      <c r="M104" s="29">
        <f>J104*(1-K104)</f>
        <v/>
      </c>
      <c r="N104" s="6">
        <f>'02_GPU_Mix_Input'!D104</f>
        <v/>
      </c>
      <c r="O104" s="6">
        <f>'02_GPU_Mix_Input'!E104</f>
        <v/>
      </c>
      <c r="P104" s="6">
        <f>'02_GPU_Mix_Input'!F104</f>
        <v/>
      </c>
      <c r="Q104" s="6">
        <f>'02_GPU_Mix_Input'!G104</f>
        <v/>
      </c>
      <c r="R104" s="7">
        <f>INDEX('01_Benchmark_Input'!$K$2:$K$10,MATCH(B104,'01_Benchmark_Input'!$A$2:$A$10,0))</f>
        <v/>
      </c>
      <c r="S104" s="7">
        <f>INDEX('01_Benchmark_Input'!$P$2:$P$10,MATCH(B104,'01_Benchmark_Input'!$A$2:$A$10,0))</f>
        <v/>
      </c>
      <c r="T104" s="7">
        <f>INDEX('01_Benchmark_Input'!$U$2:$U$10,MATCH(B104,'01_Benchmark_Input'!$A$2:$A$10,0))</f>
        <v/>
      </c>
      <c r="U104" s="7">
        <f>INDEX('01_Benchmark_Input'!$Z$2:$Z$10,MATCH(B104,'01_Benchmark_Input'!$A$2:$A$10,0))</f>
        <v/>
      </c>
      <c r="V104" s="6">
        <f>INDEX('01_Benchmark_Input'!$D$2:$D$10,MATCH(B104,'01_Benchmark_Input'!$A$2:$A$10,0))</f>
        <v/>
      </c>
      <c r="W104" s="6">
        <f>INDEX('01_Benchmark_Input'!$E$2:$E$10,MATCH(B104,'01_Benchmark_Input'!$A$2:$A$10,0))</f>
        <v/>
      </c>
      <c r="X104" s="6">
        <f>INDEX('01_Benchmark_Input'!$F$2:$F$10,MATCH(B104,'01_Benchmark_Input'!$A$2:$A$10,0))</f>
        <v/>
      </c>
      <c r="Y104" s="7">
        <f>N104*R104+O104*S104+P104*T104+Q104*U104</f>
        <v/>
      </c>
      <c r="Z104" s="6">
        <f>'02_Inputs'!K104</f>
        <v/>
      </c>
      <c r="AA104" s="7">
        <f>Y104*Z104</f>
        <v/>
      </c>
      <c r="AB104" s="5">
        <f>L104*1000*AA104*86400</f>
        <v/>
      </c>
      <c r="AC104" s="5">
        <f>AB104*365</f>
        <v/>
      </c>
    </row>
    <row r="105">
      <c r="A105" s="5">
        <f>'02_Inputs'!A105</f>
        <v/>
      </c>
      <c r="B105" s="5">
        <f>'02_Inputs'!B105</f>
        <v/>
      </c>
      <c r="C105" s="5">
        <f>'02_Inputs'!C105</f>
        <v/>
      </c>
      <c r="D105" s="29">
        <f>'02_Inputs'!D105</f>
        <v/>
      </c>
      <c r="E105" s="6">
        <f>'02_Inputs'!E105</f>
        <v/>
      </c>
      <c r="F105" s="29">
        <f>D105*E105</f>
        <v/>
      </c>
      <c r="G105" s="5">
        <f>'02_Inputs'!F105</f>
        <v/>
      </c>
      <c r="H105" s="29">
        <f>F105/G105</f>
        <v/>
      </c>
      <c r="I105" s="6">
        <f>'02_Inputs'!G105</f>
        <v/>
      </c>
      <c r="J105" s="29">
        <f>H105*I105</f>
        <v/>
      </c>
      <c r="K105" s="6">
        <f>'02_Inputs'!H105</f>
        <v/>
      </c>
      <c r="L105" s="29">
        <f>J105*K105</f>
        <v/>
      </c>
      <c r="M105" s="29">
        <f>J105*(1-K105)</f>
        <v/>
      </c>
      <c r="N105" s="6">
        <f>'02_GPU_Mix_Input'!D105</f>
        <v/>
      </c>
      <c r="O105" s="6">
        <f>'02_GPU_Mix_Input'!E105</f>
        <v/>
      </c>
      <c r="P105" s="6">
        <f>'02_GPU_Mix_Input'!F105</f>
        <v/>
      </c>
      <c r="Q105" s="6">
        <f>'02_GPU_Mix_Input'!G105</f>
        <v/>
      </c>
      <c r="R105" s="7">
        <f>INDEX('01_Benchmark_Input'!$K$2:$K$10,MATCH(B105,'01_Benchmark_Input'!$A$2:$A$10,0))</f>
        <v/>
      </c>
      <c r="S105" s="7">
        <f>INDEX('01_Benchmark_Input'!$P$2:$P$10,MATCH(B105,'01_Benchmark_Input'!$A$2:$A$10,0))</f>
        <v/>
      </c>
      <c r="T105" s="7">
        <f>INDEX('01_Benchmark_Input'!$U$2:$U$10,MATCH(B105,'01_Benchmark_Input'!$A$2:$A$10,0))</f>
        <v/>
      </c>
      <c r="U105" s="7">
        <f>INDEX('01_Benchmark_Input'!$Z$2:$Z$10,MATCH(B105,'01_Benchmark_Input'!$A$2:$A$10,0))</f>
        <v/>
      </c>
      <c r="V105" s="6">
        <f>INDEX('01_Benchmark_Input'!$D$2:$D$10,MATCH(B105,'01_Benchmark_Input'!$A$2:$A$10,0))</f>
        <v/>
      </c>
      <c r="W105" s="6">
        <f>INDEX('01_Benchmark_Input'!$E$2:$E$10,MATCH(B105,'01_Benchmark_Input'!$A$2:$A$10,0))</f>
        <v/>
      </c>
      <c r="X105" s="6">
        <f>INDEX('01_Benchmark_Input'!$F$2:$F$10,MATCH(B105,'01_Benchmark_Input'!$A$2:$A$10,0))</f>
        <v/>
      </c>
      <c r="Y105" s="7">
        <f>N105*R105+O105*S105+P105*T105+Q105*U105</f>
        <v/>
      </c>
      <c r="Z105" s="6">
        <f>'02_Inputs'!K105</f>
        <v/>
      </c>
      <c r="AA105" s="7">
        <f>Y105*Z105</f>
        <v/>
      </c>
      <c r="AB105" s="5">
        <f>L105*1000*AA105*86400</f>
        <v/>
      </c>
      <c r="AC105" s="5">
        <f>AB105*365</f>
        <v/>
      </c>
    </row>
    <row r="106">
      <c r="A106" s="5">
        <f>'02_Inputs'!A106</f>
        <v/>
      </c>
      <c r="B106" s="5">
        <f>'02_Inputs'!B106</f>
        <v/>
      </c>
      <c r="C106" s="5">
        <f>'02_Inputs'!C106</f>
        <v/>
      </c>
      <c r="D106" s="29">
        <f>'02_Inputs'!D106</f>
        <v/>
      </c>
      <c r="E106" s="6">
        <f>'02_Inputs'!E106</f>
        <v/>
      </c>
      <c r="F106" s="29">
        <f>D106*E106</f>
        <v/>
      </c>
      <c r="G106" s="5">
        <f>'02_Inputs'!F106</f>
        <v/>
      </c>
      <c r="H106" s="29">
        <f>F106/G106</f>
        <v/>
      </c>
      <c r="I106" s="6">
        <f>'02_Inputs'!G106</f>
        <v/>
      </c>
      <c r="J106" s="29">
        <f>H106*I106</f>
        <v/>
      </c>
      <c r="K106" s="6">
        <f>'02_Inputs'!H106</f>
        <v/>
      </c>
      <c r="L106" s="29">
        <f>J106*K106</f>
        <v/>
      </c>
      <c r="M106" s="29">
        <f>J106*(1-K106)</f>
        <v/>
      </c>
      <c r="N106" s="6">
        <f>'02_GPU_Mix_Input'!D106</f>
        <v/>
      </c>
      <c r="O106" s="6">
        <f>'02_GPU_Mix_Input'!E106</f>
        <v/>
      </c>
      <c r="P106" s="6">
        <f>'02_GPU_Mix_Input'!F106</f>
        <v/>
      </c>
      <c r="Q106" s="6">
        <f>'02_GPU_Mix_Input'!G106</f>
        <v/>
      </c>
      <c r="R106" s="7">
        <f>INDEX('01_Benchmark_Input'!$K$2:$K$10,MATCH(B106,'01_Benchmark_Input'!$A$2:$A$10,0))</f>
        <v/>
      </c>
      <c r="S106" s="7">
        <f>INDEX('01_Benchmark_Input'!$P$2:$P$10,MATCH(B106,'01_Benchmark_Input'!$A$2:$A$10,0))</f>
        <v/>
      </c>
      <c r="T106" s="7">
        <f>INDEX('01_Benchmark_Input'!$U$2:$U$10,MATCH(B106,'01_Benchmark_Input'!$A$2:$A$10,0))</f>
        <v/>
      </c>
      <c r="U106" s="7">
        <f>INDEX('01_Benchmark_Input'!$Z$2:$Z$10,MATCH(B106,'01_Benchmark_Input'!$A$2:$A$10,0))</f>
        <v/>
      </c>
      <c r="V106" s="6">
        <f>INDEX('01_Benchmark_Input'!$D$2:$D$10,MATCH(B106,'01_Benchmark_Input'!$A$2:$A$10,0))</f>
        <v/>
      </c>
      <c r="W106" s="6">
        <f>INDEX('01_Benchmark_Input'!$E$2:$E$10,MATCH(B106,'01_Benchmark_Input'!$A$2:$A$10,0))</f>
        <v/>
      </c>
      <c r="X106" s="6">
        <f>INDEX('01_Benchmark_Input'!$F$2:$F$10,MATCH(B106,'01_Benchmark_Input'!$A$2:$A$10,0))</f>
        <v/>
      </c>
      <c r="Y106" s="7">
        <f>N106*R106+O106*S106+P106*T106+Q106*U106</f>
        <v/>
      </c>
      <c r="Z106" s="6">
        <f>'02_Inputs'!K106</f>
        <v/>
      </c>
      <c r="AA106" s="7">
        <f>Y106*Z106</f>
        <v/>
      </c>
      <c r="AB106" s="5">
        <f>L106*1000*AA106*86400</f>
        <v/>
      </c>
      <c r="AC106" s="5">
        <f>AB106*365</f>
        <v/>
      </c>
    </row>
    <row r="107">
      <c r="A107" s="5">
        <f>'02_Inputs'!A107</f>
        <v/>
      </c>
      <c r="B107" s="5">
        <f>'02_Inputs'!B107</f>
        <v/>
      </c>
      <c r="C107" s="5">
        <f>'02_Inputs'!C107</f>
        <v/>
      </c>
      <c r="D107" s="29">
        <f>'02_Inputs'!D107</f>
        <v/>
      </c>
      <c r="E107" s="6">
        <f>'02_Inputs'!E107</f>
        <v/>
      </c>
      <c r="F107" s="29">
        <f>D107*E107</f>
        <v/>
      </c>
      <c r="G107" s="5">
        <f>'02_Inputs'!F107</f>
        <v/>
      </c>
      <c r="H107" s="29">
        <f>F107/G107</f>
        <v/>
      </c>
      <c r="I107" s="6">
        <f>'02_Inputs'!G107</f>
        <v/>
      </c>
      <c r="J107" s="29">
        <f>H107*I107</f>
        <v/>
      </c>
      <c r="K107" s="6">
        <f>'02_Inputs'!H107</f>
        <v/>
      </c>
      <c r="L107" s="29">
        <f>J107*K107</f>
        <v/>
      </c>
      <c r="M107" s="29">
        <f>J107*(1-K107)</f>
        <v/>
      </c>
      <c r="N107" s="6">
        <f>'02_GPU_Mix_Input'!D107</f>
        <v/>
      </c>
      <c r="O107" s="6">
        <f>'02_GPU_Mix_Input'!E107</f>
        <v/>
      </c>
      <c r="P107" s="6">
        <f>'02_GPU_Mix_Input'!F107</f>
        <v/>
      </c>
      <c r="Q107" s="6">
        <f>'02_GPU_Mix_Input'!G107</f>
        <v/>
      </c>
      <c r="R107" s="7">
        <f>INDEX('01_Benchmark_Input'!$K$2:$K$10,MATCH(B107,'01_Benchmark_Input'!$A$2:$A$10,0))</f>
        <v/>
      </c>
      <c r="S107" s="7">
        <f>INDEX('01_Benchmark_Input'!$P$2:$P$10,MATCH(B107,'01_Benchmark_Input'!$A$2:$A$10,0))</f>
        <v/>
      </c>
      <c r="T107" s="7">
        <f>INDEX('01_Benchmark_Input'!$U$2:$U$10,MATCH(B107,'01_Benchmark_Input'!$A$2:$A$10,0))</f>
        <v/>
      </c>
      <c r="U107" s="7">
        <f>INDEX('01_Benchmark_Input'!$Z$2:$Z$10,MATCH(B107,'01_Benchmark_Input'!$A$2:$A$10,0))</f>
        <v/>
      </c>
      <c r="V107" s="6">
        <f>INDEX('01_Benchmark_Input'!$D$2:$D$10,MATCH(B107,'01_Benchmark_Input'!$A$2:$A$10,0))</f>
        <v/>
      </c>
      <c r="W107" s="6">
        <f>INDEX('01_Benchmark_Input'!$E$2:$E$10,MATCH(B107,'01_Benchmark_Input'!$A$2:$A$10,0))</f>
        <v/>
      </c>
      <c r="X107" s="6">
        <f>INDEX('01_Benchmark_Input'!$F$2:$F$10,MATCH(B107,'01_Benchmark_Input'!$A$2:$A$10,0))</f>
        <v/>
      </c>
      <c r="Y107" s="7">
        <f>N107*R107+O107*S107+P107*T107+Q107*U107</f>
        <v/>
      </c>
      <c r="Z107" s="6">
        <f>'02_Inputs'!K107</f>
        <v/>
      </c>
      <c r="AA107" s="7">
        <f>Y107*Z107</f>
        <v/>
      </c>
      <c r="AB107" s="5">
        <f>L107*1000*AA107*86400</f>
        <v/>
      </c>
      <c r="AC107" s="5">
        <f>AB107*365</f>
        <v/>
      </c>
    </row>
    <row r="108">
      <c r="A108" s="5">
        <f>'02_Inputs'!A108</f>
        <v/>
      </c>
      <c r="B108" s="5">
        <f>'02_Inputs'!B108</f>
        <v/>
      </c>
      <c r="C108" s="5">
        <f>'02_Inputs'!C108</f>
        <v/>
      </c>
      <c r="D108" s="29">
        <f>'02_Inputs'!D108</f>
        <v/>
      </c>
      <c r="E108" s="6">
        <f>'02_Inputs'!E108</f>
        <v/>
      </c>
      <c r="F108" s="29">
        <f>D108*E108</f>
        <v/>
      </c>
      <c r="G108" s="5">
        <f>'02_Inputs'!F108</f>
        <v/>
      </c>
      <c r="H108" s="29">
        <f>F108/G108</f>
        <v/>
      </c>
      <c r="I108" s="6">
        <f>'02_Inputs'!G108</f>
        <v/>
      </c>
      <c r="J108" s="29">
        <f>H108*I108</f>
        <v/>
      </c>
      <c r="K108" s="6">
        <f>'02_Inputs'!H108</f>
        <v/>
      </c>
      <c r="L108" s="29">
        <f>J108*K108</f>
        <v/>
      </c>
      <c r="M108" s="29">
        <f>J108*(1-K108)</f>
        <v/>
      </c>
      <c r="N108" s="6">
        <f>'02_GPU_Mix_Input'!D108</f>
        <v/>
      </c>
      <c r="O108" s="6">
        <f>'02_GPU_Mix_Input'!E108</f>
        <v/>
      </c>
      <c r="P108" s="6">
        <f>'02_GPU_Mix_Input'!F108</f>
        <v/>
      </c>
      <c r="Q108" s="6">
        <f>'02_GPU_Mix_Input'!G108</f>
        <v/>
      </c>
      <c r="R108" s="7">
        <f>INDEX('01_Benchmark_Input'!$K$2:$K$10,MATCH(B108,'01_Benchmark_Input'!$A$2:$A$10,0))</f>
        <v/>
      </c>
      <c r="S108" s="7">
        <f>INDEX('01_Benchmark_Input'!$P$2:$P$10,MATCH(B108,'01_Benchmark_Input'!$A$2:$A$10,0))</f>
        <v/>
      </c>
      <c r="T108" s="7">
        <f>INDEX('01_Benchmark_Input'!$U$2:$U$10,MATCH(B108,'01_Benchmark_Input'!$A$2:$A$10,0))</f>
        <v/>
      </c>
      <c r="U108" s="7">
        <f>INDEX('01_Benchmark_Input'!$Z$2:$Z$10,MATCH(B108,'01_Benchmark_Input'!$A$2:$A$10,0))</f>
        <v/>
      </c>
      <c r="V108" s="6">
        <f>INDEX('01_Benchmark_Input'!$D$2:$D$10,MATCH(B108,'01_Benchmark_Input'!$A$2:$A$10,0))</f>
        <v/>
      </c>
      <c r="W108" s="6">
        <f>INDEX('01_Benchmark_Input'!$E$2:$E$10,MATCH(B108,'01_Benchmark_Input'!$A$2:$A$10,0))</f>
        <v/>
      </c>
      <c r="X108" s="6">
        <f>INDEX('01_Benchmark_Input'!$F$2:$F$10,MATCH(B108,'01_Benchmark_Input'!$A$2:$A$10,0))</f>
        <v/>
      </c>
      <c r="Y108" s="7">
        <f>N108*R108+O108*S108+P108*T108+Q108*U108</f>
        <v/>
      </c>
      <c r="Z108" s="6">
        <f>'02_Inputs'!K108</f>
        <v/>
      </c>
      <c r="AA108" s="7">
        <f>Y108*Z108</f>
        <v/>
      </c>
      <c r="AB108" s="5">
        <f>L108*1000*AA108*86400</f>
        <v/>
      </c>
      <c r="AC108" s="5">
        <f>AB108*365</f>
        <v/>
      </c>
    </row>
    <row r="109">
      <c r="A109" s="5">
        <f>'02_Inputs'!A109</f>
        <v/>
      </c>
      <c r="B109" s="5">
        <f>'02_Inputs'!B109</f>
        <v/>
      </c>
      <c r="C109" s="5">
        <f>'02_Inputs'!C109</f>
        <v/>
      </c>
      <c r="D109" s="29">
        <f>'02_Inputs'!D109</f>
        <v/>
      </c>
      <c r="E109" s="6">
        <f>'02_Inputs'!E109</f>
        <v/>
      </c>
      <c r="F109" s="29">
        <f>D109*E109</f>
        <v/>
      </c>
      <c r="G109" s="5">
        <f>'02_Inputs'!F109</f>
        <v/>
      </c>
      <c r="H109" s="29">
        <f>F109/G109</f>
        <v/>
      </c>
      <c r="I109" s="6">
        <f>'02_Inputs'!G109</f>
        <v/>
      </c>
      <c r="J109" s="29">
        <f>H109*I109</f>
        <v/>
      </c>
      <c r="K109" s="6">
        <f>'02_Inputs'!H109</f>
        <v/>
      </c>
      <c r="L109" s="29">
        <f>J109*K109</f>
        <v/>
      </c>
      <c r="M109" s="29">
        <f>J109*(1-K109)</f>
        <v/>
      </c>
      <c r="N109" s="6">
        <f>'02_GPU_Mix_Input'!D109</f>
        <v/>
      </c>
      <c r="O109" s="6">
        <f>'02_GPU_Mix_Input'!E109</f>
        <v/>
      </c>
      <c r="P109" s="6">
        <f>'02_GPU_Mix_Input'!F109</f>
        <v/>
      </c>
      <c r="Q109" s="6">
        <f>'02_GPU_Mix_Input'!G109</f>
        <v/>
      </c>
      <c r="R109" s="7">
        <f>INDEX('01_Benchmark_Input'!$K$2:$K$10,MATCH(B109,'01_Benchmark_Input'!$A$2:$A$10,0))</f>
        <v/>
      </c>
      <c r="S109" s="7">
        <f>INDEX('01_Benchmark_Input'!$P$2:$P$10,MATCH(B109,'01_Benchmark_Input'!$A$2:$A$10,0))</f>
        <v/>
      </c>
      <c r="T109" s="7">
        <f>INDEX('01_Benchmark_Input'!$U$2:$U$10,MATCH(B109,'01_Benchmark_Input'!$A$2:$A$10,0))</f>
        <v/>
      </c>
      <c r="U109" s="7">
        <f>INDEX('01_Benchmark_Input'!$Z$2:$Z$10,MATCH(B109,'01_Benchmark_Input'!$A$2:$A$10,0))</f>
        <v/>
      </c>
      <c r="V109" s="6">
        <f>INDEX('01_Benchmark_Input'!$D$2:$D$10,MATCH(B109,'01_Benchmark_Input'!$A$2:$A$10,0))</f>
        <v/>
      </c>
      <c r="W109" s="6">
        <f>INDEX('01_Benchmark_Input'!$E$2:$E$10,MATCH(B109,'01_Benchmark_Input'!$A$2:$A$10,0))</f>
        <v/>
      </c>
      <c r="X109" s="6">
        <f>INDEX('01_Benchmark_Input'!$F$2:$F$10,MATCH(B109,'01_Benchmark_Input'!$A$2:$A$10,0))</f>
        <v/>
      </c>
      <c r="Y109" s="7">
        <f>N109*R109+O109*S109+P109*T109+Q109*U109</f>
        <v/>
      </c>
      <c r="Z109" s="6">
        <f>'02_Inputs'!K109</f>
        <v/>
      </c>
      <c r="AA109" s="7">
        <f>Y109*Z109</f>
        <v/>
      </c>
      <c r="AB109" s="5">
        <f>L109*1000*AA109*86400</f>
        <v/>
      </c>
      <c r="AC109" s="5">
        <f>AB109*365</f>
        <v/>
      </c>
    </row>
    <row r="110">
      <c r="A110" s="5">
        <f>'02_Inputs'!A110</f>
        <v/>
      </c>
      <c r="B110" s="5">
        <f>'02_Inputs'!B110</f>
        <v/>
      </c>
      <c r="C110" s="5">
        <f>'02_Inputs'!C110</f>
        <v/>
      </c>
      <c r="D110" s="29">
        <f>'02_Inputs'!D110</f>
        <v/>
      </c>
      <c r="E110" s="6">
        <f>'02_Inputs'!E110</f>
        <v/>
      </c>
      <c r="F110" s="29">
        <f>D110*E110</f>
        <v/>
      </c>
      <c r="G110" s="5">
        <f>'02_Inputs'!F110</f>
        <v/>
      </c>
      <c r="H110" s="29">
        <f>F110/G110</f>
        <v/>
      </c>
      <c r="I110" s="6">
        <f>'02_Inputs'!G110</f>
        <v/>
      </c>
      <c r="J110" s="29">
        <f>H110*I110</f>
        <v/>
      </c>
      <c r="K110" s="6">
        <f>'02_Inputs'!H110</f>
        <v/>
      </c>
      <c r="L110" s="29">
        <f>J110*K110</f>
        <v/>
      </c>
      <c r="M110" s="29">
        <f>J110*(1-K110)</f>
        <v/>
      </c>
      <c r="N110" s="6">
        <f>'02_GPU_Mix_Input'!D110</f>
        <v/>
      </c>
      <c r="O110" s="6">
        <f>'02_GPU_Mix_Input'!E110</f>
        <v/>
      </c>
      <c r="P110" s="6">
        <f>'02_GPU_Mix_Input'!F110</f>
        <v/>
      </c>
      <c r="Q110" s="6">
        <f>'02_GPU_Mix_Input'!G110</f>
        <v/>
      </c>
      <c r="R110" s="7">
        <f>INDEX('01_Benchmark_Input'!$K$2:$K$10,MATCH(B110,'01_Benchmark_Input'!$A$2:$A$10,0))</f>
        <v/>
      </c>
      <c r="S110" s="7">
        <f>INDEX('01_Benchmark_Input'!$P$2:$P$10,MATCH(B110,'01_Benchmark_Input'!$A$2:$A$10,0))</f>
        <v/>
      </c>
      <c r="T110" s="7">
        <f>INDEX('01_Benchmark_Input'!$U$2:$U$10,MATCH(B110,'01_Benchmark_Input'!$A$2:$A$10,0))</f>
        <v/>
      </c>
      <c r="U110" s="7">
        <f>INDEX('01_Benchmark_Input'!$Z$2:$Z$10,MATCH(B110,'01_Benchmark_Input'!$A$2:$A$10,0))</f>
        <v/>
      </c>
      <c r="V110" s="6">
        <f>INDEX('01_Benchmark_Input'!$D$2:$D$10,MATCH(B110,'01_Benchmark_Input'!$A$2:$A$10,0))</f>
        <v/>
      </c>
      <c r="W110" s="6">
        <f>INDEX('01_Benchmark_Input'!$E$2:$E$10,MATCH(B110,'01_Benchmark_Input'!$A$2:$A$10,0))</f>
        <v/>
      </c>
      <c r="X110" s="6">
        <f>INDEX('01_Benchmark_Input'!$F$2:$F$10,MATCH(B110,'01_Benchmark_Input'!$A$2:$A$10,0))</f>
        <v/>
      </c>
      <c r="Y110" s="7">
        <f>N110*R110+O110*S110+P110*T110+Q110*U110</f>
        <v/>
      </c>
      <c r="Z110" s="6">
        <f>'02_Inputs'!K110</f>
        <v/>
      </c>
      <c r="AA110" s="7">
        <f>Y110*Z110</f>
        <v/>
      </c>
      <c r="AB110" s="5">
        <f>L110*1000*AA110*86400</f>
        <v/>
      </c>
      <c r="AC110" s="5">
        <f>AB110*365</f>
        <v/>
      </c>
    </row>
    <row r="111">
      <c r="A111" s="5">
        <f>'02_Inputs'!A111</f>
        <v/>
      </c>
      <c r="B111" s="5">
        <f>'02_Inputs'!B111</f>
        <v/>
      </c>
      <c r="C111" s="5">
        <f>'02_Inputs'!C111</f>
        <v/>
      </c>
      <c r="D111" s="29">
        <f>'02_Inputs'!D111</f>
        <v/>
      </c>
      <c r="E111" s="6">
        <f>'02_Inputs'!E111</f>
        <v/>
      </c>
      <c r="F111" s="29">
        <f>D111*E111</f>
        <v/>
      </c>
      <c r="G111" s="5">
        <f>'02_Inputs'!F111</f>
        <v/>
      </c>
      <c r="H111" s="29">
        <f>F111/G111</f>
        <v/>
      </c>
      <c r="I111" s="6">
        <f>'02_Inputs'!G111</f>
        <v/>
      </c>
      <c r="J111" s="29">
        <f>H111*I111</f>
        <v/>
      </c>
      <c r="K111" s="6">
        <f>'02_Inputs'!H111</f>
        <v/>
      </c>
      <c r="L111" s="29">
        <f>J111*K111</f>
        <v/>
      </c>
      <c r="M111" s="29">
        <f>J111*(1-K111)</f>
        <v/>
      </c>
      <c r="N111" s="6">
        <f>'02_GPU_Mix_Input'!D111</f>
        <v/>
      </c>
      <c r="O111" s="6">
        <f>'02_GPU_Mix_Input'!E111</f>
        <v/>
      </c>
      <c r="P111" s="6">
        <f>'02_GPU_Mix_Input'!F111</f>
        <v/>
      </c>
      <c r="Q111" s="6">
        <f>'02_GPU_Mix_Input'!G111</f>
        <v/>
      </c>
      <c r="R111" s="7">
        <f>INDEX('01_Benchmark_Input'!$K$2:$K$10,MATCH(B111,'01_Benchmark_Input'!$A$2:$A$10,0))</f>
        <v/>
      </c>
      <c r="S111" s="7">
        <f>INDEX('01_Benchmark_Input'!$P$2:$P$10,MATCH(B111,'01_Benchmark_Input'!$A$2:$A$10,0))</f>
        <v/>
      </c>
      <c r="T111" s="7">
        <f>INDEX('01_Benchmark_Input'!$U$2:$U$10,MATCH(B111,'01_Benchmark_Input'!$A$2:$A$10,0))</f>
        <v/>
      </c>
      <c r="U111" s="7">
        <f>INDEX('01_Benchmark_Input'!$Z$2:$Z$10,MATCH(B111,'01_Benchmark_Input'!$A$2:$A$10,0))</f>
        <v/>
      </c>
      <c r="V111" s="6">
        <f>INDEX('01_Benchmark_Input'!$D$2:$D$10,MATCH(B111,'01_Benchmark_Input'!$A$2:$A$10,0))</f>
        <v/>
      </c>
      <c r="W111" s="6">
        <f>INDEX('01_Benchmark_Input'!$E$2:$E$10,MATCH(B111,'01_Benchmark_Input'!$A$2:$A$10,0))</f>
        <v/>
      </c>
      <c r="X111" s="6">
        <f>INDEX('01_Benchmark_Input'!$F$2:$F$10,MATCH(B111,'01_Benchmark_Input'!$A$2:$A$10,0))</f>
        <v/>
      </c>
      <c r="Y111" s="7">
        <f>N111*R111+O111*S111+P111*T111+Q111*U111</f>
        <v/>
      </c>
      <c r="Z111" s="6">
        <f>'02_Inputs'!K111</f>
        <v/>
      </c>
      <c r="AA111" s="7">
        <f>Y111*Z111</f>
        <v/>
      </c>
      <c r="AB111" s="5">
        <f>L111*1000*AA111*86400</f>
        <v/>
      </c>
      <c r="AC111" s="5">
        <f>AB111*365</f>
        <v/>
      </c>
    </row>
    <row r="112">
      <c r="A112" s="5">
        <f>'02_Inputs'!A112</f>
        <v/>
      </c>
      <c r="B112" s="5">
        <f>'02_Inputs'!B112</f>
        <v/>
      </c>
      <c r="C112" s="5">
        <f>'02_Inputs'!C112</f>
        <v/>
      </c>
      <c r="D112" s="29">
        <f>'02_Inputs'!D112</f>
        <v/>
      </c>
      <c r="E112" s="6">
        <f>'02_Inputs'!E112</f>
        <v/>
      </c>
      <c r="F112" s="29">
        <f>D112*E112</f>
        <v/>
      </c>
      <c r="G112" s="5">
        <f>'02_Inputs'!F112</f>
        <v/>
      </c>
      <c r="H112" s="29">
        <f>F112/G112</f>
        <v/>
      </c>
      <c r="I112" s="6">
        <f>'02_Inputs'!G112</f>
        <v/>
      </c>
      <c r="J112" s="29">
        <f>H112*I112</f>
        <v/>
      </c>
      <c r="K112" s="6">
        <f>'02_Inputs'!H112</f>
        <v/>
      </c>
      <c r="L112" s="29">
        <f>J112*K112</f>
        <v/>
      </c>
      <c r="M112" s="29">
        <f>J112*(1-K112)</f>
        <v/>
      </c>
      <c r="N112" s="6">
        <f>'02_GPU_Mix_Input'!D112</f>
        <v/>
      </c>
      <c r="O112" s="6">
        <f>'02_GPU_Mix_Input'!E112</f>
        <v/>
      </c>
      <c r="P112" s="6">
        <f>'02_GPU_Mix_Input'!F112</f>
        <v/>
      </c>
      <c r="Q112" s="6">
        <f>'02_GPU_Mix_Input'!G112</f>
        <v/>
      </c>
      <c r="R112" s="7">
        <f>INDEX('01_Benchmark_Input'!$K$2:$K$10,MATCH(B112,'01_Benchmark_Input'!$A$2:$A$10,0))</f>
        <v/>
      </c>
      <c r="S112" s="7">
        <f>INDEX('01_Benchmark_Input'!$P$2:$P$10,MATCH(B112,'01_Benchmark_Input'!$A$2:$A$10,0))</f>
        <v/>
      </c>
      <c r="T112" s="7">
        <f>INDEX('01_Benchmark_Input'!$U$2:$U$10,MATCH(B112,'01_Benchmark_Input'!$A$2:$A$10,0))</f>
        <v/>
      </c>
      <c r="U112" s="7">
        <f>INDEX('01_Benchmark_Input'!$Z$2:$Z$10,MATCH(B112,'01_Benchmark_Input'!$A$2:$A$10,0))</f>
        <v/>
      </c>
      <c r="V112" s="6">
        <f>INDEX('01_Benchmark_Input'!$D$2:$D$10,MATCH(B112,'01_Benchmark_Input'!$A$2:$A$10,0))</f>
        <v/>
      </c>
      <c r="W112" s="6">
        <f>INDEX('01_Benchmark_Input'!$E$2:$E$10,MATCH(B112,'01_Benchmark_Input'!$A$2:$A$10,0))</f>
        <v/>
      </c>
      <c r="X112" s="6">
        <f>INDEX('01_Benchmark_Input'!$F$2:$F$10,MATCH(B112,'01_Benchmark_Input'!$A$2:$A$10,0))</f>
        <v/>
      </c>
      <c r="Y112" s="7">
        <f>N112*R112+O112*S112+P112*T112+Q112*U112</f>
        <v/>
      </c>
      <c r="Z112" s="6">
        <f>'02_Inputs'!K112</f>
        <v/>
      </c>
      <c r="AA112" s="7">
        <f>Y112*Z112</f>
        <v/>
      </c>
      <c r="AB112" s="5">
        <f>L112*1000*AA112*86400</f>
        <v/>
      </c>
      <c r="AC112" s="5">
        <f>AB112*365</f>
        <v/>
      </c>
    </row>
    <row r="113">
      <c r="A113" s="5">
        <f>'02_Inputs'!A113</f>
        <v/>
      </c>
      <c r="B113" s="5">
        <f>'02_Inputs'!B113</f>
        <v/>
      </c>
      <c r="C113" s="5">
        <f>'02_Inputs'!C113</f>
        <v/>
      </c>
      <c r="D113" s="29">
        <f>'02_Inputs'!D113</f>
        <v/>
      </c>
      <c r="E113" s="6">
        <f>'02_Inputs'!E113</f>
        <v/>
      </c>
      <c r="F113" s="29">
        <f>D113*E113</f>
        <v/>
      </c>
      <c r="G113" s="5">
        <f>'02_Inputs'!F113</f>
        <v/>
      </c>
      <c r="H113" s="29">
        <f>F113/G113</f>
        <v/>
      </c>
      <c r="I113" s="6">
        <f>'02_Inputs'!G113</f>
        <v/>
      </c>
      <c r="J113" s="29">
        <f>H113*I113</f>
        <v/>
      </c>
      <c r="K113" s="6">
        <f>'02_Inputs'!H113</f>
        <v/>
      </c>
      <c r="L113" s="29">
        <f>J113*K113</f>
        <v/>
      </c>
      <c r="M113" s="29">
        <f>J113*(1-K113)</f>
        <v/>
      </c>
      <c r="N113" s="6">
        <f>'02_GPU_Mix_Input'!D113</f>
        <v/>
      </c>
      <c r="O113" s="6">
        <f>'02_GPU_Mix_Input'!E113</f>
        <v/>
      </c>
      <c r="P113" s="6">
        <f>'02_GPU_Mix_Input'!F113</f>
        <v/>
      </c>
      <c r="Q113" s="6">
        <f>'02_GPU_Mix_Input'!G113</f>
        <v/>
      </c>
      <c r="R113" s="7">
        <f>INDEX('01_Benchmark_Input'!$K$2:$K$10,MATCH(B113,'01_Benchmark_Input'!$A$2:$A$10,0))</f>
        <v/>
      </c>
      <c r="S113" s="7">
        <f>INDEX('01_Benchmark_Input'!$P$2:$P$10,MATCH(B113,'01_Benchmark_Input'!$A$2:$A$10,0))</f>
        <v/>
      </c>
      <c r="T113" s="7">
        <f>INDEX('01_Benchmark_Input'!$U$2:$U$10,MATCH(B113,'01_Benchmark_Input'!$A$2:$A$10,0))</f>
        <v/>
      </c>
      <c r="U113" s="7">
        <f>INDEX('01_Benchmark_Input'!$Z$2:$Z$10,MATCH(B113,'01_Benchmark_Input'!$A$2:$A$10,0))</f>
        <v/>
      </c>
      <c r="V113" s="6">
        <f>INDEX('01_Benchmark_Input'!$D$2:$D$10,MATCH(B113,'01_Benchmark_Input'!$A$2:$A$10,0))</f>
        <v/>
      </c>
      <c r="W113" s="6">
        <f>INDEX('01_Benchmark_Input'!$E$2:$E$10,MATCH(B113,'01_Benchmark_Input'!$A$2:$A$10,0))</f>
        <v/>
      </c>
      <c r="X113" s="6">
        <f>INDEX('01_Benchmark_Input'!$F$2:$F$10,MATCH(B113,'01_Benchmark_Input'!$A$2:$A$10,0))</f>
        <v/>
      </c>
      <c r="Y113" s="7">
        <f>N113*R113+O113*S113+P113*T113+Q113*U113</f>
        <v/>
      </c>
      <c r="Z113" s="6">
        <f>'02_Inputs'!K113</f>
        <v/>
      </c>
      <c r="AA113" s="7">
        <f>Y113*Z113</f>
        <v/>
      </c>
      <c r="AB113" s="5">
        <f>L113*1000*AA113*86400</f>
        <v/>
      </c>
      <c r="AC113" s="5">
        <f>AB113*365</f>
        <v/>
      </c>
    </row>
    <row r="114">
      <c r="A114" s="5">
        <f>'02_Inputs'!A114</f>
        <v/>
      </c>
      <c r="B114" s="5">
        <f>'02_Inputs'!B114</f>
        <v/>
      </c>
      <c r="C114" s="5">
        <f>'02_Inputs'!C114</f>
        <v/>
      </c>
      <c r="D114" s="29">
        <f>'02_Inputs'!D114</f>
        <v/>
      </c>
      <c r="E114" s="6">
        <f>'02_Inputs'!E114</f>
        <v/>
      </c>
      <c r="F114" s="29">
        <f>D114*E114</f>
        <v/>
      </c>
      <c r="G114" s="5">
        <f>'02_Inputs'!F114</f>
        <v/>
      </c>
      <c r="H114" s="29">
        <f>F114/G114</f>
        <v/>
      </c>
      <c r="I114" s="6">
        <f>'02_Inputs'!G114</f>
        <v/>
      </c>
      <c r="J114" s="29">
        <f>H114*I114</f>
        <v/>
      </c>
      <c r="K114" s="6">
        <f>'02_Inputs'!H114</f>
        <v/>
      </c>
      <c r="L114" s="29">
        <f>J114*K114</f>
        <v/>
      </c>
      <c r="M114" s="29">
        <f>J114*(1-K114)</f>
        <v/>
      </c>
      <c r="N114" s="6">
        <f>'02_GPU_Mix_Input'!D114</f>
        <v/>
      </c>
      <c r="O114" s="6">
        <f>'02_GPU_Mix_Input'!E114</f>
        <v/>
      </c>
      <c r="P114" s="6">
        <f>'02_GPU_Mix_Input'!F114</f>
        <v/>
      </c>
      <c r="Q114" s="6">
        <f>'02_GPU_Mix_Input'!G114</f>
        <v/>
      </c>
      <c r="R114" s="7">
        <f>INDEX('01_Benchmark_Input'!$K$2:$K$10,MATCH(B114,'01_Benchmark_Input'!$A$2:$A$10,0))</f>
        <v/>
      </c>
      <c r="S114" s="7">
        <f>INDEX('01_Benchmark_Input'!$P$2:$P$10,MATCH(B114,'01_Benchmark_Input'!$A$2:$A$10,0))</f>
        <v/>
      </c>
      <c r="T114" s="7">
        <f>INDEX('01_Benchmark_Input'!$U$2:$U$10,MATCH(B114,'01_Benchmark_Input'!$A$2:$A$10,0))</f>
        <v/>
      </c>
      <c r="U114" s="7">
        <f>INDEX('01_Benchmark_Input'!$Z$2:$Z$10,MATCH(B114,'01_Benchmark_Input'!$A$2:$A$10,0))</f>
        <v/>
      </c>
      <c r="V114" s="6">
        <f>INDEX('01_Benchmark_Input'!$D$2:$D$10,MATCH(B114,'01_Benchmark_Input'!$A$2:$A$10,0))</f>
        <v/>
      </c>
      <c r="W114" s="6">
        <f>INDEX('01_Benchmark_Input'!$E$2:$E$10,MATCH(B114,'01_Benchmark_Input'!$A$2:$A$10,0))</f>
        <v/>
      </c>
      <c r="X114" s="6">
        <f>INDEX('01_Benchmark_Input'!$F$2:$F$10,MATCH(B114,'01_Benchmark_Input'!$A$2:$A$10,0))</f>
        <v/>
      </c>
      <c r="Y114" s="7">
        <f>N114*R114+O114*S114+P114*T114+Q114*U114</f>
        <v/>
      </c>
      <c r="Z114" s="6">
        <f>'02_Inputs'!K114</f>
        <v/>
      </c>
      <c r="AA114" s="7">
        <f>Y114*Z114</f>
        <v/>
      </c>
      <c r="AB114" s="5">
        <f>L114*1000*AA114*86400</f>
        <v/>
      </c>
      <c r="AC114" s="5">
        <f>AB114*365</f>
        <v/>
      </c>
    </row>
    <row r="115">
      <c r="A115" s="5">
        <f>'02_Inputs'!A115</f>
        <v/>
      </c>
      <c r="B115" s="5">
        <f>'02_Inputs'!B115</f>
        <v/>
      </c>
      <c r="C115" s="5">
        <f>'02_Inputs'!C115</f>
        <v/>
      </c>
      <c r="D115" s="29">
        <f>'02_Inputs'!D115</f>
        <v/>
      </c>
      <c r="E115" s="6">
        <f>'02_Inputs'!E115</f>
        <v/>
      </c>
      <c r="F115" s="29">
        <f>D115*E115</f>
        <v/>
      </c>
      <c r="G115" s="5">
        <f>'02_Inputs'!F115</f>
        <v/>
      </c>
      <c r="H115" s="29">
        <f>F115/G115</f>
        <v/>
      </c>
      <c r="I115" s="6">
        <f>'02_Inputs'!G115</f>
        <v/>
      </c>
      <c r="J115" s="29">
        <f>H115*I115</f>
        <v/>
      </c>
      <c r="K115" s="6">
        <f>'02_Inputs'!H115</f>
        <v/>
      </c>
      <c r="L115" s="29">
        <f>J115*K115</f>
        <v/>
      </c>
      <c r="M115" s="29">
        <f>J115*(1-K115)</f>
        <v/>
      </c>
      <c r="N115" s="6">
        <f>'02_GPU_Mix_Input'!D115</f>
        <v/>
      </c>
      <c r="O115" s="6">
        <f>'02_GPU_Mix_Input'!E115</f>
        <v/>
      </c>
      <c r="P115" s="6">
        <f>'02_GPU_Mix_Input'!F115</f>
        <v/>
      </c>
      <c r="Q115" s="6">
        <f>'02_GPU_Mix_Input'!G115</f>
        <v/>
      </c>
      <c r="R115" s="7">
        <f>INDEX('01_Benchmark_Input'!$K$2:$K$10,MATCH(B115,'01_Benchmark_Input'!$A$2:$A$10,0))</f>
        <v/>
      </c>
      <c r="S115" s="7">
        <f>INDEX('01_Benchmark_Input'!$P$2:$P$10,MATCH(B115,'01_Benchmark_Input'!$A$2:$A$10,0))</f>
        <v/>
      </c>
      <c r="T115" s="7">
        <f>INDEX('01_Benchmark_Input'!$U$2:$U$10,MATCH(B115,'01_Benchmark_Input'!$A$2:$A$10,0))</f>
        <v/>
      </c>
      <c r="U115" s="7">
        <f>INDEX('01_Benchmark_Input'!$Z$2:$Z$10,MATCH(B115,'01_Benchmark_Input'!$A$2:$A$10,0))</f>
        <v/>
      </c>
      <c r="V115" s="6">
        <f>INDEX('01_Benchmark_Input'!$D$2:$D$10,MATCH(B115,'01_Benchmark_Input'!$A$2:$A$10,0))</f>
        <v/>
      </c>
      <c r="W115" s="6">
        <f>INDEX('01_Benchmark_Input'!$E$2:$E$10,MATCH(B115,'01_Benchmark_Input'!$A$2:$A$10,0))</f>
        <v/>
      </c>
      <c r="X115" s="6">
        <f>INDEX('01_Benchmark_Input'!$F$2:$F$10,MATCH(B115,'01_Benchmark_Input'!$A$2:$A$10,0))</f>
        <v/>
      </c>
      <c r="Y115" s="7">
        <f>N115*R115+O115*S115+P115*T115+Q115*U115</f>
        <v/>
      </c>
      <c r="Z115" s="6">
        <f>'02_Inputs'!K115</f>
        <v/>
      </c>
      <c r="AA115" s="7">
        <f>Y115*Z115</f>
        <v/>
      </c>
      <c r="AB115" s="5">
        <f>L115*1000*AA115*86400</f>
        <v/>
      </c>
      <c r="AC115" s="5">
        <f>AB115*365</f>
        <v/>
      </c>
    </row>
    <row r="116">
      <c r="A116" s="5">
        <f>'02_Inputs'!A116</f>
        <v/>
      </c>
      <c r="B116" s="5">
        <f>'02_Inputs'!B116</f>
        <v/>
      </c>
      <c r="C116" s="5">
        <f>'02_Inputs'!C116</f>
        <v/>
      </c>
      <c r="D116" s="29">
        <f>'02_Inputs'!D116</f>
        <v/>
      </c>
      <c r="E116" s="6">
        <f>'02_Inputs'!E116</f>
        <v/>
      </c>
      <c r="F116" s="29">
        <f>D116*E116</f>
        <v/>
      </c>
      <c r="G116" s="5">
        <f>'02_Inputs'!F116</f>
        <v/>
      </c>
      <c r="H116" s="29">
        <f>F116/G116</f>
        <v/>
      </c>
      <c r="I116" s="6">
        <f>'02_Inputs'!G116</f>
        <v/>
      </c>
      <c r="J116" s="29">
        <f>H116*I116</f>
        <v/>
      </c>
      <c r="K116" s="6">
        <f>'02_Inputs'!H116</f>
        <v/>
      </c>
      <c r="L116" s="29">
        <f>J116*K116</f>
        <v/>
      </c>
      <c r="M116" s="29">
        <f>J116*(1-K116)</f>
        <v/>
      </c>
      <c r="N116" s="6">
        <f>'02_GPU_Mix_Input'!D116</f>
        <v/>
      </c>
      <c r="O116" s="6">
        <f>'02_GPU_Mix_Input'!E116</f>
        <v/>
      </c>
      <c r="P116" s="6">
        <f>'02_GPU_Mix_Input'!F116</f>
        <v/>
      </c>
      <c r="Q116" s="6">
        <f>'02_GPU_Mix_Input'!G116</f>
        <v/>
      </c>
      <c r="R116" s="7">
        <f>INDEX('01_Benchmark_Input'!$K$2:$K$10,MATCH(B116,'01_Benchmark_Input'!$A$2:$A$10,0))</f>
        <v/>
      </c>
      <c r="S116" s="7">
        <f>INDEX('01_Benchmark_Input'!$P$2:$P$10,MATCH(B116,'01_Benchmark_Input'!$A$2:$A$10,0))</f>
        <v/>
      </c>
      <c r="T116" s="7">
        <f>INDEX('01_Benchmark_Input'!$U$2:$U$10,MATCH(B116,'01_Benchmark_Input'!$A$2:$A$10,0))</f>
        <v/>
      </c>
      <c r="U116" s="7">
        <f>INDEX('01_Benchmark_Input'!$Z$2:$Z$10,MATCH(B116,'01_Benchmark_Input'!$A$2:$A$10,0))</f>
        <v/>
      </c>
      <c r="V116" s="6">
        <f>INDEX('01_Benchmark_Input'!$D$2:$D$10,MATCH(B116,'01_Benchmark_Input'!$A$2:$A$10,0))</f>
        <v/>
      </c>
      <c r="W116" s="6">
        <f>INDEX('01_Benchmark_Input'!$E$2:$E$10,MATCH(B116,'01_Benchmark_Input'!$A$2:$A$10,0))</f>
        <v/>
      </c>
      <c r="X116" s="6">
        <f>INDEX('01_Benchmark_Input'!$F$2:$F$10,MATCH(B116,'01_Benchmark_Input'!$A$2:$A$10,0))</f>
        <v/>
      </c>
      <c r="Y116" s="7">
        <f>N116*R116+O116*S116+P116*T116+Q116*U116</f>
        <v/>
      </c>
      <c r="Z116" s="6">
        <f>'02_Inputs'!K116</f>
        <v/>
      </c>
      <c r="AA116" s="7">
        <f>Y116*Z116</f>
        <v/>
      </c>
      <c r="AB116" s="5">
        <f>L116*1000*AA116*86400</f>
        <v/>
      </c>
      <c r="AC116" s="5">
        <f>AB116*365</f>
        <v/>
      </c>
    </row>
    <row r="117">
      <c r="A117" s="5">
        <f>'02_Inputs'!A117</f>
        <v/>
      </c>
      <c r="B117" s="5">
        <f>'02_Inputs'!B117</f>
        <v/>
      </c>
      <c r="C117" s="5">
        <f>'02_Inputs'!C117</f>
        <v/>
      </c>
      <c r="D117" s="29">
        <f>'02_Inputs'!D117</f>
        <v/>
      </c>
      <c r="E117" s="6">
        <f>'02_Inputs'!E117</f>
        <v/>
      </c>
      <c r="F117" s="29">
        <f>D117*E117</f>
        <v/>
      </c>
      <c r="G117" s="5">
        <f>'02_Inputs'!F117</f>
        <v/>
      </c>
      <c r="H117" s="29">
        <f>F117/G117</f>
        <v/>
      </c>
      <c r="I117" s="6">
        <f>'02_Inputs'!G117</f>
        <v/>
      </c>
      <c r="J117" s="29">
        <f>H117*I117</f>
        <v/>
      </c>
      <c r="K117" s="6">
        <f>'02_Inputs'!H117</f>
        <v/>
      </c>
      <c r="L117" s="29">
        <f>J117*K117</f>
        <v/>
      </c>
      <c r="M117" s="29">
        <f>J117*(1-K117)</f>
        <v/>
      </c>
      <c r="N117" s="6">
        <f>'02_GPU_Mix_Input'!D117</f>
        <v/>
      </c>
      <c r="O117" s="6">
        <f>'02_GPU_Mix_Input'!E117</f>
        <v/>
      </c>
      <c r="P117" s="6">
        <f>'02_GPU_Mix_Input'!F117</f>
        <v/>
      </c>
      <c r="Q117" s="6">
        <f>'02_GPU_Mix_Input'!G117</f>
        <v/>
      </c>
      <c r="R117" s="7">
        <f>INDEX('01_Benchmark_Input'!$K$2:$K$10,MATCH(B117,'01_Benchmark_Input'!$A$2:$A$10,0))</f>
        <v/>
      </c>
      <c r="S117" s="7">
        <f>INDEX('01_Benchmark_Input'!$P$2:$P$10,MATCH(B117,'01_Benchmark_Input'!$A$2:$A$10,0))</f>
        <v/>
      </c>
      <c r="T117" s="7">
        <f>INDEX('01_Benchmark_Input'!$U$2:$U$10,MATCH(B117,'01_Benchmark_Input'!$A$2:$A$10,0))</f>
        <v/>
      </c>
      <c r="U117" s="7">
        <f>INDEX('01_Benchmark_Input'!$Z$2:$Z$10,MATCH(B117,'01_Benchmark_Input'!$A$2:$A$10,0))</f>
        <v/>
      </c>
      <c r="V117" s="6">
        <f>INDEX('01_Benchmark_Input'!$D$2:$D$10,MATCH(B117,'01_Benchmark_Input'!$A$2:$A$10,0))</f>
        <v/>
      </c>
      <c r="W117" s="6">
        <f>INDEX('01_Benchmark_Input'!$E$2:$E$10,MATCH(B117,'01_Benchmark_Input'!$A$2:$A$10,0))</f>
        <v/>
      </c>
      <c r="X117" s="6">
        <f>INDEX('01_Benchmark_Input'!$F$2:$F$10,MATCH(B117,'01_Benchmark_Input'!$A$2:$A$10,0))</f>
        <v/>
      </c>
      <c r="Y117" s="7">
        <f>N117*R117+O117*S117+P117*T117+Q117*U117</f>
        <v/>
      </c>
      <c r="Z117" s="6">
        <f>'02_Inputs'!K117</f>
        <v/>
      </c>
      <c r="AA117" s="7">
        <f>Y117*Z117</f>
        <v/>
      </c>
      <c r="AB117" s="5">
        <f>L117*1000*AA117*86400</f>
        <v/>
      </c>
      <c r="AC117" s="5">
        <f>AB117*365</f>
        <v/>
      </c>
    </row>
    <row r="118">
      <c r="A118" s="5">
        <f>'02_Inputs'!A118</f>
        <v/>
      </c>
      <c r="B118" s="5">
        <f>'02_Inputs'!B118</f>
        <v/>
      </c>
      <c r="C118" s="5">
        <f>'02_Inputs'!C118</f>
        <v/>
      </c>
      <c r="D118" s="29">
        <f>'02_Inputs'!D118</f>
        <v/>
      </c>
      <c r="E118" s="6">
        <f>'02_Inputs'!E118</f>
        <v/>
      </c>
      <c r="F118" s="29">
        <f>D118*E118</f>
        <v/>
      </c>
      <c r="G118" s="5">
        <f>'02_Inputs'!F118</f>
        <v/>
      </c>
      <c r="H118" s="29">
        <f>F118/G118</f>
        <v/>
      </c>
      <c r="I118" s="6">
        <f>'02_Inputs'!G118</f>
        <v/>
      </c>
      <c r="J118" s="29">
        <f>H118*I118</f>
        <v/>
      </c>
      <c r="K118" s="6">
        <f>'02_Inputs'!H118</f>
        <v/>
      </c>
      <c r="L118" s="29">
        <f>J118*K118</f>
        <v/>
      </c>
      <c r="M118" s="29">
        <f>J118*(1-K118)</f>
        <v/>
      </c>
      <c r="N118" s="6">
        <f>'02_GPU_Mix_Input'!D118</f>
        <v/>
      </c>
      <c r="O118" s="6">
        <f>'02_GPU_Mix_Input'!E118</f>
        <v/>
      </c>
      <c r="P118" s="6">
        <f>'02_GPU_Mix_Input'!F118</f>
        <v/>
      </c>
      <c r="Q118" s="6">
        <f>'02_GPU_Mix_Input'!G118</f>
        <v/>
      </c>
      <c r="R118" s="7">
        <f>INDEX('01_Benchmark_Input'!$K$2:$K$10,MATCH(B118,'01_Benchmark_Input'!$A$2:$A$10,0))</f>
        <v/>
      </c>
      <c r="S118" s="7">
        <f>INDEX('01_Benchmark_Input'!$P$2:$P$10,MATCH(B118,'01_Benchmark_Input'!$A$2:$A$10,0))</f>
        <v/>
      </c>
      <c r="T118" s="7">
        <f>INDEX('01_Benchmark_Input'!$U$2:$U$10,MATCH(B118,'01_Benchmark_Input'!$A$2:$A$10,0))</f>
        <v/>
      </c>
      <c r="U118" s="7">
        <f>INDEX('01_Benchmark_Input'!$Z$2:$Z$10,MATCH(B118,'01_Benchmark_Input'!$A$2:$A$10,0))</f>
        <v/>
      </c>
      <c r="V118" s="6">
        <f>INDEX('01_Benchmark_Input'!$D$2:$D$10,MATCH(B118,'01_Benchmark_Input'!$A$2:$A$10,0))</f>
        <v/>
      </c>
      <c r="W118" s="6">
        <f>INDEX('01_Benchmark_Input'!$E$2:$E$10,MATCH(B118,'01_Benchmark_Input'!$A$2:$A$10,0))</f>
        <v/>
      </c>
      <c r="X118" s="6">
        <f>INDEX('01_Benchmark_Input'!$F$2:$F$10,MATCH(B118,'01_Benchmark_Input'!$A$2:$A$10,0))</f>
        <v/>
      </c>
      <c r="Y118" s="7">
        <f>N118*R118+O118*S118+P118*T118+Q118*U118</f>
        <v/>
      </c>
      <c r="Z118" s="6">
        <f>'02_Inputs'!K118</f>
        <v/>
      </c>
      <c r="AA118" s="7">
        <f>Y118*Z118</f>
        <v/>
      </c>
      <c r="AB118" s="5">
        <f>L118*1000*AA118*86400</f>
        <v/>
      </c>
      <c r="AC118" s="5">
        <f>AB118*365</f>
        <v/>
      </c>
    </row>
    <row r="119">
      <c r="A119" s="5">
        <f>'02_Inputs'!A119</f>
        <v/>
      </c>
      <c r="B119" s="5">
        <f>'02_Inputs'!B119</f>
        <v/>
      </c>
      <c r="C119" s="5">
        <f>'02_Inputs'!C119</f>
        <v/>
      </c>
      <c r="D119" s="29">
        <f>'02_Inputs'!D119</f>
        <v/>
      </c>
      <c r="E119" s="6">
        <f>'02_Inputs'!E119</f>
        <v/>
      </c>
      <c r="F119" s="29">
        <f>D119*E119</f>
        <v/>
      </c>
      <c r="G119" s="5">
        <f>'02_Inputs'!F119</f>
        <v/>
      </c>
      <c r="H119" s="29">
        <f>F119/G119</f>
        <v/>
      </c>
      <c r="I119" s="6">
        <f>'02_Inputs'!G119</f>
        <v/>
      </c>
      <c r="J119" s="29">
        <f>H119*I119</f>
        <v/>
      </c>
      <c r="K119" s="6">
        <f>'02_Inputs'!H119</f>
        <v/>
      </c>
      <c r="L119" s="29">
        <f>J119*K119</f>
        <v/>
      </c>
      <c r="M119" s="29">
        <f>J119*(1-K119)</f>
        <v/>
      </c>
      <c r="N119" s="6">
        <f>'02_GPU_Mix_Input'!D119</f>
        <v/>
      </c>
      <c r="O119" s="6">
        <f>'02_GPU_Mix_Input'!E119</f>
        <v/>
      </c>
      <c r="P119" s="6">
        <f>'02_GPU_Mix_Input'!F119</f>
        <v/>
      </c>
      <c r="Q119" s="6">
        <f>'02_GPU_Mix_Input'!G119</f>
        <v/>
      </c>
      <c r="R119" s="7">
        <f>INDEX('01_Benchmark_Input'!$K$2:$K$10,MATCH(B119,'01_Benchmark_Input'!$A$2:$A$10,0))</f>
        <v/>
      </c>
      <c r="S119" s="7">
        <f>INDEX('01_Benchmark_Input'!$P$2:$P$10,MATCH(B119,'01_Benchmark_Input'!$A$2:$A$10,0))</f>
        <v/>
      </c>
      <c r="T119" s="7">
        <f>INDEX('01_Benchmark_Input'!$U$2:$U$10,MATCH(B119,'01_Benchmark_Input'!$A$2:$A$10,0))</f>
        <v/>
      </c>
      <c r="U119" s="7">
        <f>INDEX('01_Benchmark_Input'!$Z$2:$Z$10,MATCH(B119,'01_Benchmark_Input'!$A$2:$A$10,0))</f>
        <v/>
      </c>
      <c r="V119" s="6">
        <f>INDEX('01_Benchmark_Input'!$D$2:$D$10,MATCH(B119,'01_Benchmark_Input'!$A$2:$A$10,0))</f>
        <v/>
      </c>
      <c r="W119" s="6">
        <f>INDEX('01_Benchmark_Input'!$E$2:$E$10,MATCH(B119,'01_Benchmark_Input'!$A$2:$A$10,0))</f>
        <v/>
      </c>
      <c r="X119" s="6">
        <f>INDEX('01_Benchmark_Input'!$F$2:$F$10,MATCH(B119,'01_Benchmark_Input'!$A$2:$A$10,0))</f>
        <v/>
      </c>
      <c r="Y119" s="7">
        <f>N119*R119+O119*S119+P119*T119+Q119*U119</f>
        <v/>
      </c>
      <c r="Z119" s="6">
        <f>'02_Inputs'!K119</f>
        <v/>
      </c>
      <c r="AA119" s="7">
        <f>Y119*Z119</f>
        <v/>
      </c>
      <c r="AB119" s="5">
        <f>L119*1000*AA119*86400</f>
        <v/>
      </c>
      <c r="AC119" s="5">
        <f>AB119*365</f>
        <v/>
      </c>
    </row>
    <row r="120">
      <c r="A120" s="5">
        <f>'02_Inputs'!A120</f>
        <v/>
      </c>
      <c r="B120" s="5">
        <f>'02_Inputs'!B120</f>
        <v/>
      </c>
      <c r="C120" s="5">
        <f>'02_Inputs'!C120</f>
        <v/>
      </c>
      <c r="D120" s="29">
        <f>'02_Inputs'!D120</f>
        <v/>
      </c>
      <c r="E120" s="6">
        <f>'02_Inputs'!E120</f>
        <v/>
      </c>
      <c r="F120" s="29">
        <f>D120*E120</f>
        <v/>
      </c>
      <c r="G120" s="5">
        <f>'02_Inputs'!F120</f>
        <v/>
      </c>
      <c r="H120" s="29">
        <f>F120/G120</f>
        <v/>
      </c>
      <c r="I120" s="6">
        <f>'02_Inputs'!G120</f>
        <v/>
      </c>
      <c r="J120" s="29">
        <f>H120*I120</f>
        <v/>
      </c>
      <c r="K120" s="6">
        <f>'02_Inputs'!H120</f>
        <v/>
      </c>
      <c r="L120" s="29">
        <f>J120*K120</f>
        <v/>
      </c>
      <c r="M120" s="29">
        <f>J120*(1-K120)</f>
        <v/>
      </c>
      <c r="N120" s="6">
        <f>'02_GPU_Mix_Input'!D120</f>
        <v/>
      </c>
      <c r="O120" s="6">
        <f>'02_GPU_Mix_Input'!E120</f>
        <v/>
      </c>
      <c r="P120" s="6">
        <f>'02_GPU_Mix_Input'!F120</f>
        <v/>
      </c>
      <c r="Q120" s="6">
        <f>'02_GPU_Mix_Input'!G120</f>
        <v/>
      </c>
      <c r="R120" s="7">
        <f>INDEX('01_Benchmark_Input'!$K$2:$K$10,MATCH(B120,'01_Benchmark_Input'!$A$2:$A$10,0))</f>
        <v/>
      </c>
      <c r="S120" s="7">
        <f>INDEX('01_Benchmark_Input'!$P$2:$P$10,MATCH(B120,'01_Benchmark_Input'!$A$2:$A$10,0))</f>
        <v/>
      </c>
      <c r="T120" s="7">
        <f>INDEX('01_Benchmark_Input'!$U$2:$U$10,MATCH(B120,'01_Benchmark_Input'!$A$2:$A$10,0))</f>
        <v/>
      </c>
      <c r="U120" s="7">
        <f>INDEX('01_Benchmark_Input'!$Z$2:$Z$10,MATCH(B120,'01_Benchmark_Input'!$A$2:$A$10,0))</f>
        <v/>
      </c>
      <c r="V120" s="6">
        <f>INDEX('01_Benchmark_Input'!$D$2:$D$10,MATCH(B120,'01_Benchmark_Input'!$A$2:$A$10,0))</f>
        <v/>
      </c>
      <c r="W120" s="6">
        <f>INDEX('01_Benchmark_Input'!$E$2:$E$10,MATCH(B120,'01_Benchmark_Input'!$A$2:$A$10,0))</f>
        <v/>
      </c>
      <c r="X120" s="6">
        <f>INDEX('01_Benchmark_Input'!$F$2:$F$10,MATCH(B120,'01_Benchmark_Input'!$A$2:$A$10,0))</f>
        <v/>
      </c>
      <c r="Y120" s="7">
        <f>N120*R120+O120*S120+P120*T120+Q120*U120</f>
        <v/>
      </c>
      <c r="Z120" s="6">
        <f>'02_Inputs'!K120</f>
        <v/>
      </c>
      <c r="AA120" s="7">
        <f>Y120*Z120</f>
        <v/>
      </c>
      <c r="AB120" s="5">
        <f>L120*1000*AA120*86400</f>
        <v/>
      </c>
      <c r="AC120" s="5">
        <f>AB120*365</f>
        <v/>
      </c>
    </row>
    <row r="121">
      <c r="A121" s="5">
        <f>'02_Inputs'!A121</f>
        <v/>
      </c>
      <c r="B121" s="5">
        <f>'02_Inputs'!B121</f>
        <v/>
      </c>
      <c r="C121" s="5">
        <f>'02_Inputs'!C121</f>
        <v/>
      </c>
      <c r="D121" s="29">
        <f>'02_Inputs'!D121</f>
        <v/>
      </c>
      <c r="E121" s="6">
        <f>'02_Inputs'!E121</f>
        <v/>
      </c>
      <c r="F121" s="29">
        <f>D121*E121</f>
        <v/>
      </c>
      <c r="G121" s="5">
        <f>'02_Inputs'!F121</f>
        <v/>
      </c>
      <c r="H121" s="29">
        <f>F121/G121</f>
        <v/>
      </c>
      <c r="I121" s="6">
        <f>'02_Inputs'!G121</f>
        <v/>
      </c>
      <c r="J121" s="29">
        <f>H121*I121</f>
        <v/>
      </c>
      <c r="K121" s="6">
        <f>'02_Inputs'!H121</f>
        <v/>
      </c>
      <c r="L121" s="29">
        <f>J121*K121</f>
        <v/>
      </c>
      <c r="M121" s="29">
        <f>J121*(1-K121)</f>
        <v/>
      </c>
      <c r="N121" s="6">
        <f>'02_GPU_Mix_Input'!D121</f>
        <v/>
      </c>
      <c r="O121" s="6">
        <f>'02_GPU_Mix_Input'!E121</f>
        <v/>
      </c>
      <c r="P121" s="6">
        <f>'02_GPU_Mix_Input'!F121</f>
        <v/>
      </c>
      <c r="Q121" s="6">
        <f>'02_GPU_Mix_Input'!G121</f>
        <v/>
      </c>
      <c r="R121" s="7">
        <f>INDEX('01_Benchmark_Input'!$K$2:$K$10,MATCH(B121,'01_Benchmark_Input'!$A$2:$A$10,0))</f>
        <v/>
      </c>
      <c r="S121" s="7">
        <f>INDEX('01_Benchmark_Input'!$P$2:$P$10,MATCH(B121,'01_Benchmark_Input'!$A$2:$A$10,0))</f>
        <v/>
      </c>
      <c r="T121" s="7">
        <f>INDEX('01_Benchmark_Input'!$U$2:$U$10,MATCH(B121,'01_Benchmark_Input'!$A$2:$A$10,0))</f>
        <v/>
      </c>
      <c r="U121" s="7">
        <f>INDEX('01_Benchmark_Input'!$Z$2:$Z$10,MATCH(B121,'01_Benchmark_Input'!$A$2:$A$10,0))</f>
        <v/>
      </c>
      <c r="V121" s="6">
        <f>INDEX('01_Benchmark_Input'!$D$2:$D$10,MATCH(B121,'01_Benchmark_Input'!$A$2:$A$10,0))</f>
        <v/>
      </c>
      <c r="W121" s="6">
        <f>INDEX('01_Benchmark_Input'!$E$2:$E$10,MATCH(B121,'01_Benchmark_Input'!$A$2:$A$10,0))</f>
        <v/>
      </c>
      <c r="X121" s="6">
        <f>INDEX('01_Benchmark_Input'!$F$2:$F$10,MATCH(B121,'01_Benchmark_Input'!$A$2:$A$10,0))</f>
        <v/>
      </c>
      <c r="Y121" s="7">
        <f>N121*R121+O121*S121+P121*T121+Q121*U121</f>
        <v/>
      </c>
      <c r="Z121" s="6">
        <f>'02_Inputs'!K121</f>
        <v/>
      </c>
      <c r="AA121" s="7">
        <f>Y121*Z121</f>
        <v/>
      </c>
      <c r="AB121" s="5">
        <f>L121*1000*AA121*86400</f>
        <v/>
      </c>
      <c r="AC121" s="5">
        <f>AB121*365</f>
        <v/>
      </c>
    </row>
    <row r="122">
      <c r="A122" s="5">
        <f>'02_Inputs'!A122</f>
        <v/>
      </c>
      <c r="B122" s="5">
        <f>'02_Inputs'!B122</f>
        <v/>
      </c>
      <c r="C122" s="5">
        <f>'02_Inputs'!C122</f>
        <v/>
      </c>
      <c r="D122" s="29">
        <f>'02_Inputs'!D122</f>
        <v/>
      </c>
      <c r="E122" s="6">
        <f>'02_Inputs'!E122</f>
        <v/>
      </c>
      <c r="F122" s="29">
        <f>D122*E122</f>
        <v/>
      </c>
      <c r="G122" s="5">
        <f>'02_Inputs'!F122</f>
        <v/>
      </c>
      <c r="H122" s="29">
        <f>F122/G122</f>
        <v/>
      </c>
      <c r="I122" s="6">
        <f>'02_Inputs'!G122</f>
        <v/>
      </c>
      <c r="J122" s="29">
        <f>H122*I122</f>
        <v/>
      </c>
      <c r="K122" s="6">
        <f>'02_Inputs'!H122</f>
        <v/>
      </c>
      <c r="L122" s="29">
        <f>J122*K122</f>
        <v/>
      </c>
      <c r="M122" s="29">
        <f>J122*(1-K122)</f>
        <v/>
      </c>
      <c r="N122" s="6">
        <f>'02_GPU_Mix_Input'!D122</f>
        <v/>
      </c>
      <c r="O122" s="6">
        <f>'02_GPU_Mix_Input'!E122</f>
        <v/>
      </c>
      <c r="P122" s="6">
        <f>'02_GPU_Mix_Input'!F122</f>
        <v/>
      </c>
      <c r="Q122" s="6">
        <f>'02_GPU_Mix_Input'!G122</f>
        <v/>
      </c>
      <c r="R122" s="7">
        <f>INDEX('01_Benchmark_Input'!$K$2:$K$10,MATCH(B122,'01_Benchmark_Input'!$A$2:$A$10,0))</f>
        <v/>
      </c>
      <c r="S122" s="7">
        <f>INDEX('01_Benchmark_Input'!$P$2:$P$10,MATCH(B122,'01_Benchmark_Input'!$A$2:$A$10,0))</f>
        <v/>
      </c>
      <c r="T122" s="7">
        <f>INDEX('01_Benchmark_Input'!$U$2:$U$10,MATCH(B122,'01_Benchmark_Input'!$A$2:$A$10,0))</f>
        <v/>
      </c>
      <c r="U122" s="7">
        <f>INDEX('01_Benchmark_Input'!$Z$2:$Z$10,MATCH(B122,'01_Benchmark_Input'!$A$2:$A$10,0))</f>
        <v/>
      </c>
      <c r="V122" s="6">
        <f>INDEX('01_Benchmark_Input'!$D$2:$D$10,MATCH(B122,'01_Benchmark_Input'!$A$2:$A$10,0))</f>
        <v/>
      </c>
      <c r="W122" s="6">
        <f>INDEX('01_Benchmark_Input'!$E$2:$E$10,MATCH(B122,'01_Benchmark_Input'!$A$2:$A$10,0))</f>
        <v/>
      </c>
      <c r="X122" s="6">
        <f>INDEX('01_Benchmark_Input'!$F$2:$F$10,MATCH(B122,'01_Benchmark_Input'!$A$2:$A$10,0))</f>
        <v/>
      </c>
      <c r="Y122" s="7">
        <f>N122*R122+O122*S122+P122*T122+Q122*U122</f>
        <v/>
      </c>
      <c r="Z122" s="6">
        <f>'02_Inputs'!K122</f>
        <v/>
      </c>
      <c r="AA122" s="7">
        <f>Y122*Z122</f>
        <v/>
      </c>
      <c r="AB122" s="5">
        <f>L122*1000*AA122*86400</f>
        <v/>
      </c>
      <c r="AC122" s="5">
        <f>AB122*365</f>
        <v/>
      </c>
    </row>
    <row r="123">
      <c r="A123" s="5">
        <f>'02_Inputs'!A123</f>
        <v/>
      </c>
      <c r="B123" s="5">
        <f>'02_Inputs'!B123</f>
        <v/>
      </c>
      <c r="C123" s="5">
        <f>'02_Inputs'!C123</f>
        <v/>
      </c>
      <c r="D123" s="29">
        <f>'02_Inputs'!D123</f>
        <v/>
      </c>
      <c r="E123" s="6">
        <f>'02_Inputs'!E123</f>
        <v/>
      </c>
      <c r="F123" s="29">
        <f>D123*E123</f>
        <v/>
      </c>
      <c r="G123" s="5">
        <f>'02_Inputs'!F123</f>
        <v/>
      </c>
      <c r="H123" s="29">
        <f>F123/G123</f>
        <v/>
      </c>
      <c r="I123" s="6">
        <f>'02_Inputs'!G123</f>
        <v/>
      </c>
      <c r="J123" s="29">
        <f>H123*I123</f>
        <v/>
      </c>
      <c r="K123" s="6">
        <f>'02_Inputs'!H123</f>
        <v/>
      </c>
      <c r="L123" s="29">
        <f>J123*K123</f>
        <v/>
      </c>
      <c r="M123" s="29">
        <f>J123*(1-K123)</f>
        <v/>
      </c>
      <c r="N123" s="6">
        <f>'02_GPU_Mix_Input'!D123</f>
        <v/>
      </c>
      <c r="O123" s="6">
        <f>'02_GPU_Mix_Input'!E123</f>
        <v/>
      </c>
      <c r="P123" s="6">
        <f>'02_GPU_Mix_Input'!F123</f>
        <v/>
      </c>
      <c r="Q123" s="6">
        <f>'02_GPU_Mix_Input'!G123</f>
        <v/>
      </c>
      <c r="R123" s="7">
        <f>INDEX('01_Benchmark_Input'!$K$2:$K$10,MATCH(B123,'01_Benchmark_Input'!$A$2:$A$10,0))</f>
        <v/>
      </c>
      <c r="S123" s="7">
        <f>INDEX('01_Benchmark_Input'!$P$2:$P$10,MATCH(B123,'01_Benchmark_Input'!$A$2:$A$10,0))</f>
        <v/>
      </c>
      <c r="T123" s="7">
        <f>INDEX('01_Benchmark_Input'!$U$2:$U$10,MATCH(B123,'01_Benchmark_Input'!$A$2:$A$10,0))</f>
        <v/>
      </c>
      <c r="U123" s="7">
        <f>INDEX('01_Benchmark_Input'!$Z$2:$Z$10,MATCH(B123,'01_Benchmark_Input'!$A$2:$A$10,0))</f>
        <v/>
      </c>
      <c r="V123" s="6">
        <f>INDEX('01_Benchmark_Input'!$D$2:$D$10,MATCH(B123,'01_Benchmark_Input'!$A$2:$A$10,0))</f>
        <v/>
      </c>
      <c r="W123" s="6">
        <f>INDEX('01_Benchmark_Input'!$E$2:$E$10,MATCH(B123,'01_Benchmark_Input'!$A$2:$A$10,0))</f>
        <v/>
      </c>
      <c r="X123" s="6">
        <f>INDEX('01_Benchmark_Input'!$F$2:$F$10,MATCH(B123,'01_Benchmark_Input'!$A$2:$A$10,0))</f>
        <v/>
      </c>
      <c r="Y123" s="7">
        <f>N123*R123+O123*S123+P123*T123+Q123*U123</f>
        <v/>
      </c>
      <c r="Z123" s="6">
        <f>'02_Inputs'!K123</f>
        <v/>
      </c>
      <c r="AA123" s="7">
        <f>Y123*Z123</f>
        <v/>
      </c>
      <c r="AB123" s="5">
        <f>L123*1000*AA123*86400</f>
        <v/>
      </c>
      <c r="AC123" s="5">
        <f>AB123*365</f>
        <v/>
      </c>
    </row>
    <row r="124">
      <c r="A124" s="5">
        <f>'02_Inputs'!A124</f>
        <v/>
      </c>
      <c r="B124" s="5">
        <f>'02_Inputs'!B124</f>
        <v/>
      </c>
      <c r="C124" s="5">
        <f>'02_Inputs'!C124</f>
        <v/>
      </c>
      <c r="D124" s="29">
        <f>'02_Inputs'!D124</f>
        <v/>
      </c>
      <c r="E124" s="6">
        <f>'02_Inputs'!E124</f>
        <v/>
      </c>
      <c r="F124" s="29">
        <f>D124*E124</f>
        <v/>
      </c>
      <c r="G124" s="5">
        <f>'02_Inputs'!F124</f>
        <v/>
      </c>
      <c r="H124" s="29">
        <f>F124/G124</f>
        <v/>
      </c>
      <c r="I124" s="6">
        <f>'02_Inputs'!G124</f>
        <v/>
      </c>
      <c r="J124" s="29">
        <f>H124*I124</f>
        <v/>
      </c>
      <c r="K124" s="6">
        <f>'02_Inputs'!H124</f>
        <v/>
      </c>
      <c r="L124" s="29">
        <f>J124*K124</f>
        <v/>
      </c>
      <c r="M124" s="29">
        <f>J124*(1-K124)</f>
        <v/>
      </c>
      <c r="N124" s="6">
        <f>'02_GPU_Mix_Input'!D124</f>
        <v/>
      </c>
      <c r="O124" s="6">
        <f>'02_GPU_Mix_Input'!E124</f>
        <v/>
      </c>
      <c r="P124" s="6">
        <f>'02_GPU_Mix_Input'!F124</f>
        <v/>
      </c>
      <c r="Q124" s="6">
        <f>'02_GPU_Mix_Input'!G124</f>
        <v/>
      </c>
      <c r="R124" s="7">
        <f>INDEX('01_Benchmark_Input'!$K$2:$K$10,MATCH(B124,'01_Benchmark_Input'!$A$2:$A$10,0))</f>
        <v/>
      </c>
      <c r="S124" s="7">
        <f>INDEX('01_Benchmark_Input'!$P$2:$P$10,MATCH(B124,'01_Benchmark_Input'!$A$2:$A$10,0))</f>
        <v/>
      </c>
      <c r="T124" s="7">
        <f>INDEX('01_Benchmark_Input'!$U$2:$U$10,MATCH(B124,'01_Benchmark_Input'!$A$2:$A$10,0))</f>
        <v/>
      </c>
      <c r="U124" s="7">
        <f>INDEX('01_Benchmark_Input'!$Z$2:$Z$10,MATCH(B124,'01_Benchmark_Input'!$A$2:$A$10,0))</f>
        <v/>
      </c>
      <c r="V124" s="6">
        <f>INDEX('01_Benchmark_Input'!$D$2:$D$10,MATCH(B124,'01_Benchmark_Input'!$A$2:$A$10,0))</f>
        <v/>
      </c>
      <c r="W124" s="6">
        <f>INDEX('01_Benchmark_Input'!$E$2:$E$10,MATCH(B124,'01_Benchmark_Input'!$A$2:$A$10,0))</f>
        <v/>
      </c>
      <c r="X124" s="6">
        <f>INDEX('01_Benchmark_Input'!$F$2:$F$10,MATCH(B124,'01_Benchmark_Input'!$A$2:$A$10,0))</f>
        <v/>
      </c>
      <c r="Y124" s="7">
        <f>N124*R124+O124*S124+P124*T124+Q124*U124</f>
        <v/>
      </c>
      <c r="Z124" s="6">
        <f>'02_Inputs'!K124</f>
        <v/>
      </c>
      <c r="AA124" s="7">
        <f>Y124*Z124</f>
        <v/>
      </c>
      <c r="AB124" s="5">
        <f>L124*1000*AA124*86400</f>
        <v/>
      </c>
      <c r="AC124" s="5">
        <f>AB124*365</f>
        <v/>
      </c>
    </row>
    <row r="125">
      <c r="A125" s="5">
        <f>'02_Inputs'!A125</f>
        <v/>
      </c>
      <c r="B125" s="5">
        <f>'02_Inputs'!B125</f>
        <v/>
      </c>
      <c r="C125" s="5">
        <f>'02_Inputs'!C125</f>
        <v/>
      </c>
      <c r="D125" s="29">
        <f>'02_Inputs'!D125</f>
        <v/>
      </c>
      <c r="E125" s="6">
        <f>'02_Inputs'!E125</f>
        <v/>
      </c>
      <c r="F125" s="29">
        <f>D125*E125</f>
        <v/>
      </c>
      <c r="G125" s="5">
        <f>'02_Inputs'!F125</f>
        <v/>
      </c>
      <c r="H125" s="29">
        <f>F125/G125</f>
        <v/>
      </c>
      <c r="I125" s="6">
        <f>'02_Inputs'!G125</f>
        <v/>
      </c>
      <c r="J125" s="29">
        <f>H125*I125</f>
        <v/>
      </c>
      <c r="K125" s="6">
        <f>'02_Inputs'!H125</f>
        <v/>
      </c>
      <c r="L125" s="29">
        <f>J125*K125</f>
        <v/>
      </c>
      <c r="M125" s="29">
        <f>J125*(1-K125)</f>
        <v/>
      </c>
      <c r="N125" s="6">
        <f>'02_GPU_Mix_Input'!D125</f>
        <v/>
      </c>
      <c r="O125" s="6">
        <f>'02_GPU_Mix_Input'!E125</f>
        <v/>
      </c>
      <c r="P125" s="6">
        <f>'02_GPU_Mix_Input'!F125</f>
        <v/>
      </c>
      <c r="Q125" s="6">
        <f>'02_GPU_Mix_Input'!G125</f>
        <v/>
      </c>
      <c r="R125" s="7">
        <f>INDEX('01_Benchmark_Input'!$K$2:$K$10,MATCH(B125,'01_Benchmark_Input'!$A$2:$A$10,0))</f>
        <v/>
      </c>
      <c r="S125" s="7">
        <f>INDEX('01_Benchmark_Input'!$P$2:$P$10,MATCH(B125,'01_Benchmark_Input'!$A$2:$A$10,0))</f>
        <v/>
      </c>
      <c r="T125" s="7">
        <f>INDEX('01_Benchmark_Input'!$U$2:$U$10,MATCH(B125,'01_Benchmark_Input'!$A$2:$A$10,0))</f>
        <v/>
      </c>
      <c r="U125" s="7">
        <f>INDEX('01_Benchmark_Input'!$Z$2:$Z$10,MATCH(B125,'01_Benchmark_Input'!$A$2:$A$10,0))</f>
        <v/>
      </c>
      <c r="V125" s="6">
        <f>INDEX('01_Benchmark_Input'!$D$2:$D$10,MATCH(B125,'01_Benchmark_Input'!$A$2:$A$10,0))</f>
        <v/>
      </c>
      <c r="W125" s="6">
        <f>INDEX('01_Benchmark_Input'!$E$2:$E$10,MATCH(B125,'01_Benchmark_Input'!$A$2:$A$10,0))</f>
        <v/>
      </c>
      <c r="X125" s="6">
        <f>INDEX('01_Benchmark_Input'!$F$2:$F$10,MATCH(B125,'01_Benchmark_Input'!$A$2:$A$10,0))</f>
        <v/>
      </c>
      <c r="Y125" s="7">
        <f>N125*R125+O125*S125+P125*T125+Q125*U125</f>
        <v/>
      </c>
      <c r="Z125" s="6">
        <f>'02_Inputs'!K125</f>
        <v/>
      </c>
      <c r="AA125" s="7">
        <f>Y125*Z125</f>
        <v/>
      </c>
      <c r="AB125" s="5">
        <f>L125*1000*AA125*86400</f>
        <v/>
      </c>
      <c r="AC125" s="5">
        <f>AB125*365</f>
        <v/>
      </c>
    </row>
    <row r="126">
      <c r="A126" s="5">
        <f>'02_Inputs'!A126</f>
        <v/>
      </c>
      <c r="B126" s="5">
        <f>'02_Inputs'!B126</f>
        <v/>
      </c>
      <c r="C126" s="5">
        <f>'02_Inputs'!C126</f>
        <v/>
      </c>
      <c r="D126" s="29">
        <f>'02_Inputs'!D126</f>
        <v/>
      </c>
      <c r="E126" s="6">
        <f>'02_Inputs'!E126</f>
        <v/>
      </c>
      <c r="F126" s="29">
        <f>D126*E126</f>
        <v/>
      </c>
      <c r="G126" s="5">
        <f>'02_Inputs'!F126</f>
        <v/>
      </c>
      <c r="H126" s="29">
        <f>F126/G126</f>
        <v/>
      </c>
      <c r="I126" s="6">
        <f>'02_Inputs'!G126</f>
        <v/>
      </c>
      <c r="J126" s="29">
        <f>H126*I126</f>
        <v/>
      </c>
      <c r="K126" s="6">
        <f>'02_Inputs'!H126</f>
        <v/>
      </c>
      <c r="L126" s="29">
        <f>J126*K126</f>
        <v/>
      </c>
      <c r="M126" s="29">
        <f>J126*(1-K126)</f>
        <v/>
      </c>
      <c r="N126" s="6">
        <f>'02_GPU_Mix_Input'!D126</f>
        <v/>
      </c>
      <c r="O126" s="6">
        <f>'02_GPU_Mix_Input'!E126</f>
        <v/>
      </c>
      <c r="P126" s="6">
        <f>'02_GPU_Mix_Input'!F126</f>
        <v/>
      </c>
      <c r="Q126" s="6">
        <f>'02_GPU_Mix_Input'!G126</f>
        <v/>
      </c>
      <c r="R126" s="7">
        <f>INDEX('01_Benchmark_Input'!$K$2:$K$10,MATCH(B126,'01_Benchmark_Input'!$A$2:$A$10,0))</f>
        <v/>
      </c>
      <c r="S126" s="7">
        <f>INDEX('01_Benchmark_Input'!$P$2:$P$10,MATCH(B126,'01_Benchmark_Input'!$A$2:$A$10,0))</f>
        <v/>
      </c>
      <c r="T126" s="7">
        <f>INDEX('01_Benchmark_Input'!$U$2:$U$10,MATCH(B126,'01_Benchmark_Input'!$A$2:$A$10,0))</f>
        <v/>
      </c>
      <c r="U126" s="7">
        <f>INDEX('01_Benchmark_Input'!$Z$2:$Z$10,MATCH(B126,'01_Benchmark_Input'!$A$2:$A$10,0))</f>
        <v/>
      </c>
      <c r="V126" s="6">
        <f>INDEX('01_Benchmark_Input'!$D$2:$D$10,MATCH(B126,'01_Benchmark_Input'!$A$2:$A$10,0))</f>
        <v/>
      </c>
      <c r="W126" s="6">
        <f>INDEX('01_Benchmark_Input'!$E$2:$E$10,MATCH(B126,'01_Benchmark_Input'!$A$2:$A$10,0))</f>
        <v/>
      </c>
      <c r="X126" s="6">
        <f>INDEX('01_Benchmark_Input'!$F$2:$F$10,MATCH(B126,'01_Benchmark_Input'!$A$2:$A$10,0))</f>
        <v/>
      </c>
      <c r="Y126" s="7">
        <f>N126*R126+O126*S126+P126*T126+Q126*U126</f>
        <v/>
      </c>
      <c r="Z126" s="6">
        <f>'02_Inputs'!K126</f>
        <v/>
      </c>
      <c r="AA126" s="7">
        <f>Y126*Z126</f>
        <v/>
      </c>
      <c r="AB126" s="5">
        <f>L126*1000*AA126*86400</f>
        <v/>
      </c>
      <c r="AC126" s="5">
        <f>AB126*365</f>
        <v/>
      </c>
    </row>
    <row r="127">
      <c r="A127" s="5">
        <f>'02_Inputs'!A127</f>
        <v/>
      </c>
      <c r="B127" s="5">
        <f>'02_Inputs'!B127</f>
        <v/>
      </c>
      <c r="C127" s="5">
        <f>'02_Inputs'!C127</f>
        <v/>
      </c>
      <c r="D127" s="29">
        <f>'02_Inputs'!D127</f>
        <v/>
      </c>
      <c r="E127" s="6">
        <f>'02_Inputs'!E127</f>
        <v/>
      </c>
      <c r="F127" s="29">
        <f>D127*E127</f>
        <v/>
      </c>
      <c r="G127" s="5">
        <f>'02_Inputs'!F127</f>
        <v/>
      </c>
      <c r="H127" s="29">
        <f>F127/G127</f>
        <v/>
      </c>
      <c r="I127" s="6">
        <f>'02_Inputs'!G127</f>
        <v/>
      </c>
      <c r="J127" s="29">
        <f>H127*I127</f>
        <v/>
      </c>
      <c r="K127" s="6">
        <f>'02_Inputs'!H127</f>
        <v/>
      </c>
      <c r="L127" s="29">
        <f>J127*K127</f>
        <v/>
      </c>
      <c r="M127" s="29">
        <f>J127*(1-K127)</f>
        <v/>
      </c>
      <c r="N127" s="6">
        <f>'02_GPU_Mix_Input'!D127</f>
        <v/>
      </c>
      <c r="O127" s="6">
        <f>'02_GPU_Mix_Input'!E127</f>
        <v/>
      </c>
      <c r="P127" s="6">
        <f>'02_GPU_Mix_Input'!F127</f>
        <v/>
      </c>
      <c r="Q127" s="6">
        <f>'02_GPU_Mix_Input'!G127</f>
        <v/>
      </c>
      <c r="R127" s="7">
        <f>INDEX('01_Benchmark_Input'!$K$2:$K$10,MATCH(B127,'01_Benchmark_Input'!$A$2:$A$10,0))</f>
        <v/>
      </c>
      <c r="S127" s="7">
        <f>INDEX('01_Benchmark_Input'!$P$2:$P$10,MATCH(B127,'01_Benchmark_Input'!$A$2:$A$10,0))</f>
        <v/>
      </c>
      <c r="T127" s="7">
        <f>INDEX('01_Benchmark_Input'!$U$2:$U$10,MATCH(B127,'01_Benchmark_Input'!$A$2:$A$10,0))</f>
        <v/>
      </c>
      <c r="U127" s="7">
        <f>INDEX('01_Benchmark_Input'!$Z$2:$Z$10,MATCH(B127,'01_Benchmark_Input'!$A$2:$A$10,0))</f>
        <v/>
      </c>
      <c r="V127" s="6">
        <f>INDEX('01_Benchmark_Input'!$D$2:$D$10,MATCH(B127,'01_Benchmark_Input'!$A$2:$A$10,0))</f>
        <v/>
      </c>
      <c r="W127" s="6">
        <f>INDEX('01_Benchmark_Input'!$E$2:$E$10,MATCH(B127,'01_Benchmark_Input'!$A$2:$A$10,0))</f>
        <v/>
      </c>
      <c r="X127" s="6">
        <f>INDEX('01_Benchmark_Input'!$F$2:$F$10,MATCH(B127,'01_Benchmark_Input'!$A$2:$A$10,0))</f>
        <v/>
      </c>
      <c r="Y127" s="7">
        <f>N127*R127+O127*S127+P127*T127+Q127*U127</f>
        <v/>
      </c>
      <c r="Z127" s="6">
        <f>'02_Inputs'!K127</f>
        <v/>
      </c>
      <c r="AA127" s="7">
        <f>Y127*Z127</f>
        <v/>
      </c>
      <c r="AB127" s="5">
        <f>L127*1000*AA127*86400</f>
        <v/>
      </c>
      <c r="AC127" s="5">
        <f>AB127*365</f>
        <v/>
      </c>
    </row>
    <row r="128">
      <c r="A128" s="5">
        <f>'02_Inputs'!A128</f>
        <v/>
      </c>
      <c r="B128" s="5">
        <f>'02_Inputs'!B128</f>
        <v/>
      </c>
      <c r="C128" s="5">
        <f>'02_Inputs'!C128</f>
        <v/>
      </c>
      <c r="D128" s="29">
        <f>'02_Inputs'!D128</f>
        <v/>
      </c>
      <c r="E128" s="6">
        <f>'02_Inputs'!E128</f>
        <v/>
      </c>
      <c r="F128" s="29">
        <f>D128*E128</f>
        <v/>
      </c>
      <c r="G128" s="5">
        <f>'02_Inputs'!F128</f>
        <v/>
      </c>
      <c r="H128" s="29">
        <f>F128/G128</f>
        <v/>
      </c>
      <c r="I128" s="6">
        <f>'02_Inputs'!G128</f>
        <v/>
      </c>
      <c r="J128" s="29">
        <f>H128*I128</f>
        <v/>
      </c>
      <c r="K128" s="6">
        <f>'02_Inputs'!H128</f>
        <v/>
      </c>
      <c r="L128" s="29">
        <f>J128*K128</f>
        <v/>
      </c>
      <c r="M128" s="29">
        <f>J128*(1-K128)</f>
        <v/>
      </c>
      <c r="N128" s="6">
        <f>'02_GPU_Mix_Input'!D128</f>
        <v/>
      </c>
      <c r="O128" s="6">
        <f>'02_GPU_Mix_Input'!E128</f>
        <v/>
      </c>
      <c r="P128" s="6">
        <f>'02_GPU_Mix_Input'!F128</f>
        <v/>
      </c>
      <c r="Q128" s="6">
        <f>'02_GPU_Mix_Input'!G128</f>
        <v/>
      </c>
      <c r="R128" s="7">
        <f>INDEX('01_Benchmark_Input'!$K$2:$K$10,MATCH(B128,'01_Benchmark_Input'!$A$2:$A$10,0))</f>
        <v/>
      </c>
      <c r="S128" s="7">
        <f>INDEX('01_Benchmark_Input'!$P$2:$P$10,MATCH(B128,'01_Benchmark_Input'!$A$2:$A$10,0))</f>
        <v/>
      </c>
      <c r="T128" s="7">
        <f>INDEX('01_Benchmark_Input'!$U$2:$U$10,MATCH(B128,'01_Benchmark_Input'!$A$2:$A$10,0))</f>
        <v/>
      </c>
      <c r="U128" s="7">
        <f>INDEX('01_Benchmark_Input'!$Z$2:$Z$10,MATCH(B128,'01_Benchmark_Input'!$A$2:$A$10,0))</f>
        <v/>
      </c>
      <c r="V128" s="6">
        <f>INDEX('01_Benchmark_Input'!$D$2:$D$10,MATCH(B128,'01_Benchmark_Input'!$A$2:$A$10,0))</f>
        <v/>
      </c>
      <c r="W128" s="6">
        <f>INDEX('01_Benchmark_Input'!$E$2:$E$10,MATCH(B128,'01_Benchmark_Input'!$A$2:$A$10,0))</f>
        <v/>
      </c>
      <c r="X128" s="6">
        <f>INDEX('01_Benchmark_Input'!$F$2:$F$10,MATCH(B128,'01_Benchmark_Input'!$A$2:$A$10,0))</f>
        <v/>
      </c>
      <c r="Y128" s="7">
        <f>N128*R128+O128*S128+P128*T128+Q128*U128</f>
        <v/>
      </c>
      <c r="Z128" s="6">
        <f>'02_Inputs'!K128</f>
        <v/>
      </c>
      <c r="AA128" s="7">
        <f>Y128*Z128</f>
        <v/>
      </c>
      <c r="AB128" s="5">
        <f>L128*1000*AA128*86400</f>
        <v/>
      </c>
      <c r="AC128" s="5">
        <f>AB128*365</f>
        <v/>
      </c>
    </row>
    <row r="129">
      <c r="A129" s="5">
        <f>'02_Inputs'!A129</f>
        <v/>
      </c>
      <c r="B129" s="5">
        <f>'02_Inputs'!B129</f>
        <v/>
      </c>
      <c r="C129" s="5">
        <f>'02_Inputs'!C129</f>
        <v/>
      </c>
      <c r="D129" s="29">
        <f>'02_Inputs'!D129</f>
        <v/>
      </c>
      <c r="E129" s="6">
        <f>'02_Inputs'!E129</f>
        <v/>
      </c>
      <c r="F129" s="29">
        <f>D129*E129</f>
        <v/>
      </c>
      <c r="G129" s="5">
        <f>'02_Inputs'!F129</f>
        <v/>
      </c>
      <c r="H129" s="29">
        <f>F129/G129</f>
        <v/>
      </c>
      <c r="I129" s="6">
        <f>'02_Inputs'!G129</f>
        <v/>
      </c>
      <c r="J129" s="29">
        <f>H129*I129</f>
        <v/>
      </c>
      <c r="K129" s="6">
        <f>'02_Inputs'!H129</f>
        <v/>
      </c>
      <c r="L129" s="29">
        <f>J129*K129</f>
        <v/>
      </c>
      <c r="M129" s="29">
        <f>J129*(1-K129)</f>
        <v/>
      </c>
      <c r="N129" s="6">
        <f>'02_GPU_Mix_Input'!D129</f>
        <v/>
      </c>
      <c r="O129" s="6">
        <f>'02_GPU_Mix_Input'!E129</f>
        <v/>
      </c>
      <c r="P129" s="6">
        <f>'02_GPU_Mix_Input'!F129</f>
        <v/>
      </c>
      <c r="Q129" s="6">
        <f>'02_GPU_Mix_Input'!G129</f>
        <v/>
      </c>
      <c r="R129" s="7">
        <f>INDEX('01_Benchmark_Input'!$K$2:$K$10,MATCH(B129,'01_Benchmark_Input'!$A$2:$A$10,0))</f>
        <v/>
      </c>
      <c r="S129" s="7">
        <f>INDEX('01_Benchmark_Input'!$P$2:$P$10,MATCH(B129,'01_Benchmark_Input'!$A$2:$A$10,0))</f>
        <v/>
      </c>
      <c r="T129" s="7">
        <f>INDEX('01_Benchmark_Input'!$U$2:$U$10,MATCH(B129,'01_Benchmark_Input'!$A$2:$A$10,0))</f>
        <v/>
      </c>
      <c r="U129" s="7">
        <f>INDEX('01_Benchmark_Input'!$Z$2:$Z$10,MATCH(B129,'01_Benchmark_Input'!$A$2:$A$10,0))</f>
        <v/>
      </c>
      <c r="V129" s="6">
        <f>INDEX('01_Benchmark_Input'!$D$2:$D$10,MATCH(B129,'01_Benchmark_Input'!$A$2:$A$10,0))</f>
        <v/>
      </c>
      <c r="W129" s="6">
        <f>INDEX('01_Benchmark_Input'!$E$2:$E$10,MATCH(B129,'01_Benchmark_Input'!$A$2:$A$10,0))</f>
        <v/>
      </c>
      <c r="X129" s="6">
        <f>INDEX('01_Benchmark_Input'!$F$2:$F$10,MATCH(B129,'01_Benchmark_Input'!$A$2:$A$10,0))</f>
        <v/>
      </c>
      <c r="Y129" s="7">
        <f>N129*R129+O129*S129+P129*T129+Q129*U129</f>
        <v/>
      </c>
      <c r="Z129" s="6">
        <f>'02_Inputs'!K129</f>
        <v/>
      </c>
      <c r="AA129" s="7">
        <f>Y129*Z129</f>
        <v/>
      </c>
      <c r="AB129" s="5">
        <f>L129*1000*AA129*86400</f>
        <v/>
      </c>
      <c r="AC129" s="5">
        <f>AB129*365</f>
        <v/>
      </c>
    </row>
    <row r="130">
      <c r="A130" s="5">
        <f>'02_Inputs'!A130</f>
        <v/>
      </c>
      <c r="B130" s="5">
        <f>'02_Inputs'!B130</f>
        <v/>
      </c>
      <c r="C130" s="5">
        <f>'02_Inputs'!C130</f>
        <v/>
      </c>
      <c r="D130" s="29">
        <f>'02_Inputs'!D130</f>
        <v/>
      </c>
      <c r="E130" s="6">
        <f>'02_Inputs'!E130</f>
        <v/>
      </c>
      <c r="F130" s="29">
        <f>D130*E130</f>
        <v/>
      </c>
      <c r="G130" s="5">
        <f>'02_Inputs'!F130</f>
        <v/>
      </c>
      <c r="H130" s="29">
        <f>F130/G130</f>
        <v/>
      </c>
      <c r="I130" s="6">
        <f>'02_Inputs'!G130</f>
        <v/>
      </c>
      <c r="J130" s="29">
        <f>H130*I130</f>
        <v/>
      </c>
      <c r="K130" s="6">
        <f>'02_Inputs'!H130</f>
        <v/>
      </c>
      <c r="L130" s="29">
        <f>J130*K130</f>
        <v/>
      </c>
      <c r="M130" s="29">
        <f>J130*(1-K130)</f>
        <v/>
      </c>
      <c r="N130" s="6">
        <f>'02_GPU_Mix_Input'!D130</f>
        <v/>
      </c>
      <c r="O130" s="6">
        <f>'02_GPU_Mix_Input'!E130</f>
        <v/>
      </c>
      <c r="P130" s="6">
        <f>'02_GPU_Mix_Input'!F130</f>
        <v/>
      </c>
      <c r="Q130" s="6">
        <f>'02_GPU_Mix_Input'!G130</f>
        <v/>
      </c>
      <c r="R130" s="7">
        <f>INDEX('01_Benchmark_Input'!$K$2:$K$10,MATCH(B130,'01_Benchmark_Input'!$A$2:$A$10,0))</f>
        <v/>
      </c>
      <c r="S130" s="7">
        <f>INDEX('01_Benchmark_Input'!$P$2:$P$10,MATCH(B130,'01_Benchmark_Input'!$A$2:$A$10,0))</f>
        <v/>
      </c>
      <c r="T130" s="7">
        <f>INDEX('01_Benchmark_Input'!$U$2:$U$10,MATCH(B130,'01_Benchmark_Input'!$A$2:$A$10,0))</f>
        <v/>
      </c>
      <c r="U130" s="7">
        <f>INDEX('01_Benchmark_Input'!$Z$2:$Z$10,MATCH(B130,'01_Benchmark_Input'!$A$2:$A$10,0))</f>
        <v/>
      </c>
      <c r="V130" s="6">
        <f>INDEX('01_Benchmark_Input'!$D$2:$D$10,MATCH(B130,'01_Benchmark_Input'!$A$2:$A$10,0))</f>
        <v/>
      </c>
      <c r="W130" s="6">
        <f>INDEX('01_Benchmark_Input'!$E$2:$E$10,MATCH(B130,'01_Benchmark_Input'!$A$2:$A$10,0))</f>
        <v/>
      </c>
      <c r="X130" s="6">
        <f>INDEX('01_Benchmark_Input'!$F$2:$F$10,MATCH(B130,'01_Benchmark_Input'!$A$2:$A$10,0))</f>
        <v/>
      </c>
      <c r="Y130" s="7">
        <f>N130*R130+O130*S130+P130*T130+Q130*U130</f>
        <v/>
      </c>
      <c r="Z130" s="6">
        <f>'02_Inputs'!K130</f>
        <v/>
      </c>
      <c r="AA130" s="7">
        <f>Y130*Z130</f>
        <v/>
      </c>
      <c r="AB130" s="5">
        <f>L130*1000*AA130*86400</f>
        <v/>
      </c>
      <c r="AC130" s="5">
        <f>AB130*365</f>
        <v/>
      </c>
    </row>
    <row r="131">
      <c r="A131" s="5">
        <f>'02_Inputs'!A131</f>
        <v/>
      </c>
      <c r="B131" s="5">
        <f>'02_Inputs'!B131</f>
        <v/>
      </c>
      <c r="C131" s="5">
        <f>'02_Inputs'!C131</f>
        <v/>
      </c>
      <c r="D131" s="29">
        <f>'02_Inputs'!D131</f>
        <v/>
      </c>
      <c r="E131" s="6">
        <f>'02_Inputs'!E131</f>
        <v/>
      </c>
      <c r="F131" s="29">
        <f>D131*E131</f>
        <v/>
      </c>
      <c r="G131" s="5">
        <f>'02_Inputs'!F131</f>
        <v/>
      </c>
      <c r="H131" s="29">
        <f>F131/G131</f>
        <v/>
      </c>
      <c r="I131" s="6">
        <f>'02_Inputs'!G131</f>
        <v/>
      </c>
      <c r="J131" s="29">
        <f>H131*I131</f>
        <v/>
      </c>
      <c r="K131" s="6">
        <f>'02_Inputs'!H131</f>
        <v/>
      </c>
      <c r="L131" s="29">
        <f>J131*K131</f>
        <v/>
      </c>
      <c r="M131" s="29">
        <f>J131*(1-K131)</f>
        <v/>
      </c>
      <c r="N131" s="6">
        <f>'02_GPU_Mix_Input'!D131</f>
        <v/>
      </c>
      <c r="O131" s="6">
        <f>'02_GPU_Mix_Input'!E131</f>
        <v/>
      </c>
      <c r="P131" s="6">
        <f>'02_GPU_Mix_Input'!F131</f>
        <v/>
      </c>
      <c r="Q131" s="6">
        <f>'02_GPU_Mix_Input'!G131</f>
        <v/>
      </c>
      <c r="R131" s="7">
        <f>INDEX('01_Benchmark_Input'!$K$2:$K$10,MATCH(B131,'01_Benchmark_Input'!$A$2:$A$10,0))</f>
        <v/>
      </c>
      <c r="S131" s="7">
        <f>INDEX('01_Benchmark_Input'!$P$2:$P$10,MATCH(B131,'01_Benchmark_Input'!$A$2:$A$10,0))</f>
        <v/>
      </c>
      <c r="T131" s="7">
        <f>INDEX('01_Benchmark_Input'!$U$2:$U$10,MATCH(B131,'01_Benchmark_Input'!$A$2:$A$10,0))</f>
        <v/>
      </c>
      <c r="U131" s="7">
        <f>INDEX('01_Benchmark_Input'!$Z$2:$Z$10,MATCH(B131,'01_Benchmark_Input'!$A$2:$A$10,0))</f>
        <v/>
      </c>
      <c r="V131" s="6">
        <f>INDEX('01_Benchmark_Input'!$D$2:$D$10,MATCH(B131,'01_Benchmark_Input'!$A$2:$A$10,0))</f>
        <v/>
      </c>
      <c r="W131" s="6">
        <f>INDEX('01_Benchmark_Input'!$E$2:$E$10,MATCH(B131,'01_Benchmark_Input'!$A$2:$A$10,0))</f>
        <v/>
      </c>
      <c r="X131" s="6">
        <f>INDEX('01_Benchmark_Input'!$F$2:$F$10,MATCH(B131,'01_Benchmark_Input'!$A$2:$A$10,0))</f>
        <v/>
      </c>
      <c r="Y131" s="7">
        <f>N131*R131+O131*S131+P131*T131+Q131*U131</f>
        <v/>
      </c>
      <c r="Z131" s="6">
        <f>'02_Inputs'!K131</f>
        <v/>
      </c>
      <c r="AA131" s="7">
        <f>Y131*Z131</f>
        <v/>
      </c>
      <c r="AB131" s="5">
        <f>L131*1000*AA131*86400</f>
        <v/>
      </c>
      <c r="AC131" s="5">
        <f>AB131*365</f>
        <v/>
      </c>
    </row>
    <row r="132">
      <c r="A132" s="5">
        <f>'02_Inputs'!A132</f>
        <v/>
      </c>
      <c r="B132" s="5">
        <f>'02_Inputs'!B132</f>
        <v/>
      </c>
      <c r="C132" s="5">
        <f>'02_Inputs'!C132</f>
        <v/>
      </c>
      <c r="D132" s="29">
        <f>'02_Inputs'!D132</f>
        <v/>
      </c>
      <c r="E132" s="6">
        <f>'02_Inputs'!E132</f>
        <v/>
      </c>
      <c r="F132" s="29">
        <f>D132*E132</f>
        <v/>
      </c>
      <c r="G132" s="5">
        <f>'02_Inputs'!F132</f>
        <v/>
      </c>
      <c r="H132" s="29">
        <f>F132/G132</f>
        <v/>
      </c>
      <c r="I132" s="6">
        <f>'02_Inputs'!G132</f>
        <v/>
      </c>
      <c r="J132" s="29">
        <f>H132*I132</f>
        <v/>
      </c>
      <c r="K132" s="6">
        <f>'02_Inputs'!H132</f>
        <v/>
      </c>
      <c r="L132" s="29">
        <f>J132*K132</f>
        <v/>
      </c>
      <c r="M132" s="29">
        <f>J132*(1-K132)</f>
        <v/>
      </c>
      <c r="N132" s="6">
        <f>'02_GPU_Mix_Input'!D132</f>
        <v/>
      </c>
      <c r="O132" s="6">
        <f>'02_GPU_Mix_Input'!E132</f>
        <v/>
      </c>
      <c r="P132" s="6">
        <f>'02_GPU_Mix_Input'!F132</f>
        <v/>
      </c>
      <c r="Q132" s="6">
        <f>'02_GPU_Mix_Input'!G132</f>
        <v/>
      </c>
      <c r="R132" s="7">
        <f>INDEX('01_Benchmark_Input'!$K$2:$K$10,MATCH(B132,'01_Benchmark_Input'!$A$2:$A$10,0))</f>
        <v/>
      </c>
      <c r="S132" s="7">
        <f>INDEX('01_Benchmark_Input'!$P$2:$P$10,MATCH(B132,'01_Benchmark_Input'!$A$2:$A$10,0))</f>
        <v/>
      </c>
      <c r="T132" s="7">
        <f>INDEX('01_Benchmark_Input'!$U$2:$U$10,MATCH(B132,'01_Benchmark_Input'!$A$2:$A$10,0))</f>
        <v/>
      </c>
      <c r="U132" s="7">
        <f>INDEX('01_Benchmark_Input'!$Z$2:$Z$10,MATCH(B132,'01_Benchmark_Input'!$A$2:$A$10,0))</f>
        <v/>
      </c>
      <c r="V132" s="6">
        <f>INDEX('01_Benchmark_Input'!$D$2:$D$10,MATCH(B132,'01_Benchmark_Input'!$A$2:$A$10,0))</f>
        <v/>
      </c>
      <c r="W132" s="6">
        <f>INDEX('01_Benchmark_Input'!$E$2:$E$10,MATCH(B132,'01_Benchmark_Input'!$A$2:$A$10,0))</f>
        <v/>
      </c>
      <c r="X132" s="6">
        <f>INDEX('01_Benchmark_Input'!$F$2:$F$10,MATCH(B132,'01_Benchmark_Input'!$A$2:$A$10,0))</f>
        <v/>
      </c>
      <c r="Y132" s="7">
        <f>N132*R132+O132*S132+P132*T132+Q132*U132</f>
        <v/>
      </c>
      <c r="Z132" s="6">
        <f>'02_Inputs'!K132</f>
        <v/>
      </c>
      <c r="AA132" s="7">
        <f>Y132*Z132</f>
        <v/>
      </c>
      <c r="AB132" s="5">
        <f>L132*1000*AA132*86400</f>
        <v/>
      </c>
      <c r="AC132" s="5">
        <f>AB132*365</f>
        <v/>
      </c>
    </row>
    <row r="133">
      <c r="A133" s="5">
        <f>'02_Inputs'!A133</f>
        <v/>
      </c>
      <c r="B133" s="5">
        <f>'02_Inputs'!B133</f>
        <v/>
      </c>
      <c r="C133" s="5">
        <f>'02_Inputs'!C133</f>
        <v/>
      </c>
      <c r="D133" s="29">
        <f>'02_Inputs'!D133</f>
        <v/>
      </c>
      <c r="E133" s="6">
        <f>'02_Inputs'!E133</f>
        <v/>
      </c>
      <c r="F133" s="29">
        <f>D133*E133</f>
        <v/>
      </c>
      <c r="G133" s="5">
        <f>'02_Inputs'!F133</f>
        <v/>
      </c>
      <c r="H133" s="29">
        <f>F133/G133</f>
        <v/>
      </c>
      <c r="I133" s="6">
        <f>'02_Inputs'!G133</f>
        <v/>
      </c>
      <c r="J133" s="29">
        <f>H133*I133</f>
        <v/>
      </c>
      <c r="K133" s="6">
        <f>'02_Inputs'!H133</f>
        <v/>
      </c>
      <c r="L133" s="29">
        <f>J133*K133</f>
        <v/>
      </c>
      <c r="M133" s="29">
        <f>J133*(1-K133)</f>
        <v/>
      </c>
      <c r="N133" s="6">
        <f>'02_GPU_Mix_Input'!D133</f>
        <v/>
      </c>
      <c r="O133" s="6">
        <f>'02_GPU_Mix_Input'!E133</f>
        <v/>
      </c>
      <c r="P133" s="6">
        <f>'02_GPU_Mix_Input'!F133</f>
        <v/>
      </c>
      <c r="Q133" s="6">
        <f>'02_GPU_Mix_Input'!G133</f>
        <v/>
      </c>
      <c r="R133" s="7">
        <f>INDEX('01_Benchmark_Input'!$K$2:$K$10,MATCH(B133,'01_Benchmark_Input'!$A$2:$A$10,0))</f>
        <v/>
      </c>
      <c r="S133" s="7">
        <f>INDEX('01_Benchmark_Input'!$P$2:$P$10,MATCH(B133,'01_Benchmark_Input'!$A$2:$A$10,0))</f>
        <v/>
      </c>
      <c r="T133" s="7">
        <f>INDEX('01_Benchmark_Input'!$U$2:$U$10,MATCH(B133,'01_Benchmark_Input'!$A$2:$A$10,0))</f>
        <v/>
      </c>
      <c r="U133" s="7">
        <f>INDEX('01_Benchmark_Input'!$Z$2:$Z$10,MATCH(B133,'01_Benchmark_Input'!$A$2:$A$10,0))</f>
        <v/>
      </c>
      <c r="V133" s="6">
        <f>INDEX('01_Benchmark_Input'!$D$2:$D$10,MATCH(B133,'01_Benchmark_Input'!$A$2:$A$10,0))</f>
        <v/>
      </c>
      <c r="W133" s="6">
        <f>INDEX('01_Benchmark_Input'!$E$2:$E$10,MATCH(B133,'01_Benchmark_Input'!$A$2:$A$10,0))</f>
        <v/>
      </c>
      <c r="X133" s="6">
        <f>INDEX('01_Benchmark_Input'!$F$2:$F$10,MATCH(B133,'01_Benchmark_Input'!$A$2:$A$10,0))</f>
        <v/>
      </c>
      <c r="Y133" s="7">
        <f>N133*R133+O133*S133+P133*T133+Q133*U133</f>
        <v/>
      </c>
      <c r="Z133" s="6">
        <f>'02_Inputs'!K133</f>
        <v/>
      </c>
      <c r="AA133" s="7">
        <f>Y133*Z133</f>
        <v/>
      </c>
      <c r="AB133" s="5">
        <f>L133*1000*AA133*86400</f>
        <v/>
      </c>
      <c r="AC133" s="5">
        <f>AB133*365</f>
        <v/>
      </c>
    </row>
    <row r="134">
      <c r="A134" s="5">
        <f>'02_Inputs'!A134</f>
        <v/>
      </c>
      <c r="B134" s="5">
        <f>'02_Inputs'!B134</f>
        <v/>
      </c>
      <c r="C134" s="5">
        <f>'02_Inputs'!C134</f>
        <v/>
      </c>
      <c r="D134" s="29">
        <f>'02_Inputs'!D134</f>
        <v/>
      </c>
      <c r="E134" s="6">
        <f>'02_Inputs'!E134</f>
        <v/>
      </c>
      <c r="F134" s="29">
        <f>D134*E134</f>
        <v/>
      </c>
      <c r="G134" s="5">
        <f>'02_Inputs'!F134</f>
        <v/>
      </c>
      <c r="H134" s="29">
        <f>F134/G134</f>
        <v/>
      </c>
      <c r="I134" s="6">
        <f>'02_Inputs'!G134</f>
        <v/>
      </c>
      <c r="J134" s="29">
        <f>H134*I134</f>
        <v/>
      </c>
      <c r="K134" s="6">
        <f>'02_Inputs'!H134</f>
        <v/>
      </c>
      <c r="L134" s="29">
        <f>J134*K134</f>
        <v/>
      </c>
      <c r="M134" s="29">
        <f>J134*(1-K134)</f>
        <v/>
      </c>
      <c r="N134" s="6">
        <f>'02_GPU_Mix_Input'!D134</f>
        <v/>
      </c>
      <c r="O134" s="6">
        <f>'02_GPU_Mix_Input'!E134</f>
        <v/>
      </c>
      <c r="P134" s="6">
        <f>'02_GPU_Mix_Input'!F134</f>
        <v/>
      </c>
      <c r="Q134" s="6">
        <f>'02_GPU_Mix_Input'!G134</f>
        <v/>
      </c>
      <c r="R134" s="7">
        <f>INDEX('01_Benchmark_Input'!$K$2:$K$10,MATCH(B134,'01_Benchmark_Input'!$A$2:$A$10,0))</f>
        <v/>
      </c>
      <c r="S134" s="7">
        <f>INDEX('01_Benchmark_Input'!$P$2:$P$10,MATCH(B134,'01_Benchmark_Input'!$A$2:$A$10,0))</f>
        <v/>
      </c>
      <c r="T134" s="7">
        <f>INDEX('01_Benchmark_Input'!$U$2:$U$10,MATCH(B134,'01_Benchmark_Input'!$A$2:$A$10,0))</f>
        <v/>
      </c>
      <c r="U134" s="7">
        <f>INDEX('01_Benchmark_Input'!$Z$2:$Z$10,MATCH(B134,'01_Benchmark_Input'!$A$2:$A$10,0))</f>
        <v/>
      </c>
      <c r="V134" s="6">
        <f>INDEX('01_Benchmark_Input'!$D$2:$D$10,MATCH(B134,'01_Benchmark_Input'!$A$2:$A$10,0))</f>
        <v/>
      </c>
      <c r="W134" s="6">
        <f>INDEX('01_Benchmark_Input'!$E$2:$E$10,MATCH(B134,'01_Benchmark_Input'!$A$2:$A$10,0))</f>
        <v/>
      </c>
      <c r="X134" s="6">
        <f>INDEX('01_Benchmark_Input'!$F$2:$F$10,MATCH(B134,'01_Benchmark_Input'!$A$2:$A$10,0))</f>
        <v/>
      </c>
      <c r="Y134" s="7">
        <f>N134*R134+O134*S134+P134*T134+Q134*U134</f>
        <v/>
      </c>
      <c r="Z134" s="6">
        <f>'02_Inputs'!K134</f>
        <v/>
      </c>
      <c r="AA134" s="7">
        <f>Y134*Z134</f>
        <v/>
      </c>
      <c r="AB134" s="5">
        <f>L134*1000*AA134*86400</f>
        <v/>
      </c>
      <c r="AC134" s="5">
        <f>AB134*365</f>
        <v/>
      </c>
    </row>
    <row r="135">
      <c r="A135" s="5">
        <f>'02_Inputs'!A135</f>
        <v/>
      </c>
      <c r="B135" s="5">
        <f>'02_Inputs'!B135</f>
        <v/>
      </c>
      <c r="C135" s="5">
        <f>'02_Inputs'!C135</f>
        <v/>
      </c>
      <c r="D135" s="29">
        <f>'02_Inputs'!D135</f>
        <v/>
      </c>
      <c r="E135" s="6">
        <f>'02_Inputs'!E135</f>
        <v/>
      </c>
      <c r="F135" s="29">
        <f>D135*E135</f>
        <v/>
      </c>
      <c r="G135" s="5">
        <f>'02_Inputs'!F135</f>
        <v/>
      </c>
      <c r="H135" s="29">
        <f>F135/G135</f>
        <v/>
      </c>
      <c r="I135" s="6">
        <f>'02_Inputs'!G135</f>
        <v/>
      </c>
      <c r="J135" s="29">
        <f>H135*I135</f>
        <v/>
      </c>
      <c r="K135" s="6">
        <f>'02_Inputs'!H135</f>
        <v/>
      </c>
      <c r="L135" s="29">
        <f>J135*K135</f>
        <v/>
      </c>
      <c r="M135" s="29">
        <f>J135*(1-K135)</f>
        <v/>
      </c>
      <c r="N135" s="6">
        <f>'02_GPU_Mix_Input'!D135</f>
        <v/>
      </c>
      <c r="O135" s="6">
        <f>'02_GPU_Mix_Input'!E135</f>
        <v/>
      </c>
      <c r="P135" s="6">
        <f>'02_GPU_Mix_Input'!F135</f>
        <v/>
      </c>
      <c r="Q135" s="6">
        <f>'02_GPU_Mix_Input'!G135</f>
        <v/>
      </c>
      <c r="R135" s="7">
        <f>INDEX('01_Benchmark_Input'!$K$2:$K$10,MATCH(B135,'01_Benchmark_Input'!$A$2:$A$10,0))</f>
        <v/>
      </c>
      <c r="S135" s="7">
        <f>INDEX('01_Benchmark_Input'!$P$2:$P$10,MATCH(B135,'01_Benchmark_Input'!$A$2:$A$10,0))</f>
        <v/>
      </c>
      <c r="T135" s="7">
        <f>INDEX('01_Benchmark_Input'!$U$2:$U$10,MATCH(B135,'01_Benchmark_Input'!$A$2:$A$10,0))</f>
        <v/>
      </c>
      <c r="U135" s="7">
        <f>INDEX('01_Benchmark_Input'!$Z$2:$Z$10,MATCH(B135,'01_Benchmark_Input'!$A$2:$A$10,0))</f>
        <v/>
      </c>
      <c r="V135" s="6">
        <f>INDEX('01_Benchmark_Input'!$D$2:$D$10,MATCH(B135,'01_Benchmark_Input'!$A$2:$A$10,0))</f>
        <v/>
      </c>
      <c r="W135" s="6">
        <f>INDEX('01_Benchmark_Input'!$E$2:$E$10,MATCH(B135,'01_Benchmark_Input'!$A$2:$A$10,0))</f>
        <v/>
      </c>
      <c r="X135" s="6">
        <f>INDEX('01_Benchmark_Input'!$F$2:$F$10,MATCH(B135,'01_Benchmark_Input'!$A$2:$A$10,0))</f>
        <v/>
      </c>
      <c r="Y135" s="7">
        <f>N135*R135+O135*S135+P135*T135+Q135*U135</f>
        <v/>
      </c>
      <c r="Z135" s="6">
        <f>'02_Inputs'!K135</f>
        <v/>
      </c>
      <c r="AA135" s="7">
        <f>Y135*Z135</f>
        <v/>
      </c>
      <c r="AB135" s="5">
        <f>L135*1000*AA135*86400</f>
        <v/>
      </c>
      <c r="AC135" s="5">
        <f>AB135*365</f>
        <v/>
      </c>
    </row>
    <row r="136">
      <c r="A136" s="5">
        <f>'02_Inputs'!A136</f>
        <v/>
      </c>
      <c r="B136" s="5">
        <f>'02_Inputs'!B136</f>
        <v/>
      </c>
      <c r="C136" s="5">
        <f>'02_Inputs'!C136</f>
        <v/>
      </c>
      <c r="D136" s="29">
        <f>'02_Inputs'!D136</f>
        <v/>
      </c>
      <c r="E136" s="6">
        <f>'02_Inputs'!E136</f>
        <v/>
      </c>
      <c r="F136" s="29">
        <f>D136*E136</f>
        <v/>
      </c>
      <c r="G136" s="5">
        <f>'02_Inputs'!F136</f>
        <v/>
      </c>
      <c r="H136" s="29">
        <f>F136/G136</f>
        <v/>
      </c>
      <c r="I136" s="6">
        <f>'02_Inputs'!G136</f>
        <v/>
      </c>
      <c r="J136" s="29">
        <f>H136*I136</f>
        <v/>
      </c>
      <c r="K136" s="6">
        <f>'02_Inputs'!H136</f>
        <v/>
      </c>
      <c r="L136" s="29">
        <f>J136*K136</f>
        <v/>
      </c>
      <c r="M136" s="29">
        <f>J136*(1-K136)</f>
        <v/>
      </c>
      <c r="N136" s="6">
        <f>'02_GPU_Mix_Input'!D136</f>
        <v/>
      </c>
      <c r="O136" s="6">
        <f>'02_GPU_Mix_Input'!E136</f>
        <v/>
      </c>
      <c r="P136" s="6">
        <f>'02_GPU_Mix_Input'!F136</f>
        <v/>
      </c>
      <c r="Q136" s="6">
        <f>'02_GPU_Mix_Input'!G136</f>
        <v/>
      </c>
      <c r="R136" s="7">
        <f>INDEX('01_Benchmark_Input'!$K$2:$K$10,MATCH(B136,'01_Benchmark_Input'!$A$2:$A$10,0))</f>
        <v/>
      </c>
      <c r="S136" s="7">
        <f>INDEX('01_Benchmark_Input'!$P$2:$P$10,MATCH(B136,'01_Benchmark_Input'!$A$2:$A$10,0))</f>
        <v/>
      </c>
      <c r="T136" s="7">
        <f>INDEX('01_Benchmark_Input'!$U$2:$U$10,MATCH(B136,'01_Benchmark_Input'!$A$2:$A$10,0))</f>
        <v/>
      </c>
      <c r="U136" s="7">
        <f>INDEX('01_Benchmark_Input'!$Z$2:$Z$10,MATCH(B136,'01_Benchmark_Input'!$A$2:$A$10,0))</f>
        <v/>
      </c>
      <c r="V136" s="6">
        <f>INDEX('01_Benchmark_Input'!$D$2:$D$10,MATCH(B136,'01_Benchmark_Input'!$A$2:$A$10,0))</f>
        <v/>
      </c>
      <c r="W136" s="6">
        <f>INDEX('01_Benchmark_Input'!$E$2:$E$10,MATCH(B136,'01_Benchmark_Input'!$A$2:$A$10,0))</f>
        <v/>
      </c>
      <c r="X136" s="6">
        <f>INDEX('01_Benchmark_Input'!$F$2:$F$10,MATCH(B136,'01_Benchmark_Input'!$A$2:$A$10,0))</f>
        <v/>
      </c>
      <c r="Y136" s="7">
        <f>N136*R136+O136*S136+P136*T136+Q136*U136</f>
        <v/>
      </c>
      <c r="Z136" s="6">
        <f>'02_Inputs'!K136</f>
        <v/>
      </c>
      <c r="AA136" s="7">
        <f>Y136*Z136</f>
        <v/>
      </c>
      <c r="AB136" s="5">
        <f>L136*1000*AA136*86400</f>
        <v/>
      </c>
      <c r="AC136" s="5">
        <f>AB136*365</f>
        <v/>
      </c>
    </row>
    <row r="137">
      <c r="A137" s="5">
        <f>'02_Inputs'!A137</f>
        <v/>
      </c>
      <c r="B137" s="5">
        <f>'02_Inputs'!B137</f>
        <v/>
      </c>
      <c r="C137" s="5">
        <f>'02_Inputs'!C137</f>
        <v/>
      </c>
      <c r="D137" s="29">
        <f>'02_Inputs'!D137</f>
        <v/>
      </c>
      <c r="E137" s="6">
        <f>'02_Inputs'!E137</f>
        <v/>
      </c>
      <c r="F137" s="29">
        <f>D137*E137</f>
        <v/>
      </c>
      <c r="G137" s="5">
        <f>'02_Inputs'!F137</f>
        <v/>
      </c>
      <c r="H137" s="29">
        <f>F137/G137</f>
        <v/>
      </c>
      <c r="I137" s="6">
        <f>'02_Inputs'!G137</f>
        <v/>
      </c>
      <c r="J137" s="29">
        <f>H137*I137</f>
        <v/>
      </c>
      <c r="K137" s="6">
        <f>'02_Inputs'!H137</f>
        <v/>
      </c>
      <c r="L137" s="29">
        <f>J137*K137</f>
        <v/>
      </c>
      <c r="M137" s="29">
        <f>J137*(1-K137)</f>
        <v/>
      </c>
      <c r="N137" s="6">
        <f>'02_GPU_Mix_Input'!D137</f>
        <v/>
      </c>
      <c r="O137" s="6">
        <f>'02_GPU_Mix_Input'!E137</f>
        <v/>
      </c>
      <c r="P137" s="6">
        <f>'02_GPU_Mix_Input'!F137</f>
        <v/>
      </c>
      <c r="Q137" s="6">
        <f>'02_GPU_Mix_Input'!G137</f>
        <v/>
      </c>
      <c r="R137" s="7">
        <f>INDEX('01_Benchmark_Input'!$K$2:$K$10,MATCH(B137,'01_Benchmark_Input'!$A$2:$A$10,0))</f>
        <v/>
      </c>
      <c r="S137" s="7">
        <f>INDEX('01_Benchmark_Input'!$P$2:$P$10,MATCH(B137,'01_Benchmark_Input'!$A$2:$A$10,0))</f>
        <v/>
      </c>
      <c r="T137" s="7">
        <f>INDEX('01_Benchmark_Input'!$U$2:$U$10,MATCH(B137,'01_Benchmark_Input'!$A$2:$A$10,0))</f>
        <v/>
      </c>
      <c r="U137" s="7">
        <f>INDEX('01_Benchmark_Input'!$Z$2:$Z$10,MATCH(B137,'01_Benchmark_Input'!$A$2:$A$10,0))</f>
        <v/>
      </c>
      <c r="V137" s="6">
        <f>INDEX('01_Benchmark_Input'!$D$2:$D$10,MATCH(B137,'01_Benchmark_Input'!$A$2:$A$10,0))</f>
        <v/>
      </c>
      <c r="W137" s="6">
        <f>INDEX('01_Benchmark_Input'!$E$2:$E$10,MATCH(B137,'01_Benchmark_Input'!$A$2:$A$10,0))</f>
        <v/>
      </c>
      <c r="X137" s="6">
        <f>INDEX('01_Benchmark_Input'!$F$2:$F$10,MATCH(B137,'01_Benchmark_Input'!$A$2:$A$10,0))</f>
        <v/>
      </c>
      <c r="Y137" s="7">
        <f>N137*R137+O137*S137+P137*T137+Q137*U137</f>
        <v/>
      </c>
      <c r="Z137" s="6">
        <f>'02_Inputs'!K137</f>
        <v/>
      </c>
      <c r="AA137" s="7">
        <f>Y137*Z137</f>
        <v/>
      </c>
      <c r="AB137" s="5">
        <f>L137*1000*AA137*86400</f>
        <v/>
      </c>
      <c r="AC137" s="5">
        <f>AB137*365</f>
        <v/>
      </c>
    </row>
    <row r="138">
      <c r="A138" s="5">
        <f>'02_Inputs'!A138</f>
        <v/>
      </c>
      <c r="B138" s="5">
        <f>'02_Inputs'!B138</f>
        <v/>
      </c>
      <c r="C138" s="5">
        <f>'02_Inputs'!C138</f>
        <v/>
      </c>
      <c r="D138" s="29">
        <f>'02_Inputs'!D138</f>
        <v/>
      </c>
      <c r="E138" s="6">
        <f>'02_Inputs'!E138</f>
        <v/>
      </c>
      <c r="F138" s="29">
        <f>D138*E138</f>
        <v/>
      </c>
      <c r="G138" s="5">
        <f>'02_Inputs'!F138</f>
        <v/>
      </c>
      <c r="H138" s="29">
        <f>F138/G138</f>
        <v/>
      </c>
      <c r="I138" s="6">
        <f>'02_Inputs'!G138</f>
        <v/>
      </c>
      <c r="J138" s="29">
        <f>H138*I138</f>
        <v/>
      </c>
      <c r="K138" s="6">
        <f>'02_Inputs'!H138</f>
        <v/>
      </c>
      <c r="L138" s="29">
        <f>J138*K138</f>
        <v/>
      </c>
      <c r="M138" s="29">
        <f>J138*(1-K138)</f>
        <v/>
      </c>
      <c r="N138" s="6">
        <f>'02_GPU_Mix_Input'!D138</f>
        <v/>
      </c>
      <c r="O138" s="6">
        <f>'02_GPU_Mix_Input'!E138</f>
        <v/>
      </c>
      <c r="P138" s="6">
        <f>'02_GPU_Mix_Input'!F138</f>
        <v/>
      </c>
      <c r="Q138" s="6">
        <f>'02_GPU_Mix_Input'!G138</f>
        <v/>
      </c>
      <c r="R138" s="7">
        <f>INDEX('01_Benchmark_Input'!$K$2:$K$10,MATCH(B138,'01_Benchmark_Input'!$A$2:$A$10,0))</f>
        <v/>
      </c>
      <c r="S138" s="7">
        <f>INDEX('01_Benchmark_Input'!$P$2:$P$10,MATCH(B138,'01_Benchmark_Input'!$A$2:$A$10,0))</f>
        <v/>
      </c>
      <c r="T138" s="7">
        <f>INDEX('01_Benchmark_Input'!$U$2:$U$10,MATCH(B138,'01_Benchmark_Input'!$A$2:$A$10,0))</f>
        <v/>
      </c>
      <c r="U138" s="7">
        <f>INDEX('01_Benchmark_Input'!$Z$2:$Z$10,MATCH(B138,'01_Benchmark_Input'!$A$2:$A$10,0))</f>
        <v/>
      </c>
      <c r="V138" s="6">
        <f>INDEX('01_Benchmark_Input'!$D$2:$D$10,MATCH(B138,'01_Benchmark_Input'!$A$2:$A$10,0))</f>
        <v/>
      </c>
      <c r="W138" s="6">
        <f>INDEX('01_Benchmark_Input'!$E$2:$E$10,MATCH(B138,'01_Benchmark_Input'!$A$2:$A$10,0))</f>
        <v/>
      </c>
      <c r="X138" s="6">
        <f>INDEX('01_Benchmark_Input'!$F$2:$F$10,MATCH(B138,'01_Benchmark_Input'!$A$2:$A$10,0))</f>
        <v/>
      </c>
      <c r="Y138" s="7">
        <f>N138*R138+O138*S138+P138*T138+Q138*U138</f>
        <v/>
      </c>
      <c r="Z138" s="6">
        <f>'02_Inputs'!K138</f>
        <v/>
      </c>
      <c r="AA138" s="7">
        <f>Y138*Z138</f>
        <v/>
      </c>
      <c r="AB138" s="5">
        <f>L138*1000*AA138*86400</f>
        <v/>
      </c>
      <c r="AC138" s="5">
        <f>AB138*365</f>
        <v/>
      </c>
    </row>
    <row r="139">
      <c r="A139" s="5">
        <f>'02_Inputs'!A139</f>
        <v/>
      </c>
      <c r="B139" s="5">
        <f>'02_Inputs'!B139</f>
        <v/>
      </c>
      <c r="C139" s="5">
        <f>'02_Inputs'!C139</f>
        <v/>
      </c>
      <c r="D139" s="29">
        <f>'02_Inputs'!D139</f>
        <v/>
      </c>
      <c r="E139" s="6">
        <f>'02_Inputs'!E139</f>
        <v/>
      </c>
      <c r="F139" s="29">
        <f>D139*E139</f>
        <v/>
      </c>
      <c r="G139" s="5">
        <f>'02_Inputs'!F139</f>
        <v/>
      </c>
      <c r="H139" s="29">
        <f>F139/G139</f>
        <v/>
      </c>
      <c r="I139" s="6">
        <f>'02_Inputs'!G139</f>
        <v/>
      </c>
      <c r="J139" s="29">
        <f>H139*I139</f>
        <v/>
      </c>
      <c r="K139" s="6">
        <f>'02_Inputs'!H139</f>
        <v/>
      </c>
      <c r="L139" s="29">
        <f>J139*K139</f>
        <v/>
      </c>
      <c r="M139" s="29">
        <f>J139*(1-K139)</f>
        <v/>
      </c>
      <c r="N139" s="6">
        <f>'02_GPU_Mix_Input'!D139</f>
        <v/>
      </c>
      <c r="O139" s="6">
        <f>'02_GPU_Mix_Input'!E139</f>
        <v/>
      </c>
      <c r="P139" s="6">
        <f>'02_GPU_Mix_Input'!F139</f>
        <v/>
      </c>
      <c r="Q139" s="6">
        <f>'02_GPU_Mix_Input'!G139</f>
        <v/>
      </c>
      <c r="R139" s="7">
        <f>INDEX('01_Benchmark_Input'!$K$2:$K$10,MATCH(B139,'01_Benchmark_Input'!$A$2:$A$10,0))</f>
        <v/>
      </c>
      <c r="S139" s="7">
        <f>INDEX('01_Benchmark_Input'!$P$2:$P$10,MATCH(B139,'01_Benchmark_Input'!$A$2:$A$10,0))</f>
        <v/>
      </c>
      <c r="T139" s="7">
        <f>INDEX('01_Benchmark_Input'!$U$2:$U$10,MATCH(B139,'01_Benchmark_Input'!$A$2:$A$10,0))</f>
        <v/>
      </c>
      <c r="U139" s="7">
        <f>INDEX('01_Benchmark_Input'!$Z$2:$Z$10,MATCH(B139,'01_Benchmark_Input'!$A$2:$A$10,0))</f>
        <v/>
      </c>
      <c r="V139" s="6">
        <f>INDEX('01_Benchmark_Input'!$D$2:$D$10,MATCH(B139,'01_Benchmark_Input'!$A$2:$A$10,0))</f>
        <v/>
      </c>
      <c r="W139" s="6">
        <f>INDEX('01_Benchmark_Input'!$E$2:$E$10,MATCH(B139,'01_Benchmark_Input'!$A$2:$A$10,0))</f>
        <v/>
      </c>
      <c r="X139" s="6">
        <f>INDEX('01_Benchmark_Input'!$F$2:$F$10,MATCH(B139,'01_Benchmark_Input'!$A$2:$A$10,0))</f>
        <v/>
      </c>
      <c r="Y139" s="7">
        <f>N139*R139+O139*S139+P139*T139+Q139*U139</f>
        <v/>
      </c>
      <c r="Z139" s="6">
        <f>'02_Inputs'!K139</f>
        <v/>
      </c>
      <c r="AA139" s="7">
        <f>Y139*Z139</f>
        <v/>
      </c>
      <c r="AB139" s="5">
        <f>L139*1000*AA139*86400</f>
        <v/>
      </c>
      <c r="AC139" s="5">
        <f>AB139*365</f>
        <v/>
      </c>
    </row>
    <row r="140">
      <c r="A140" s="5">
        <f>'02_Inputs'!A140</f>
        <v/>
      </c>
      <c r="B140" s="5">
        <f>'02_Inputs'!B140</f>
        <v/>
      </c>
      <c r="C140" s="5">
        <f>'02_Inputs'!C140</f>
        <v/>
      </c>
      <c r="D140" s="29">
        <f>'02_Inputs'!D140</f>
        <v/>
      </c>
      <c r="E140" s="6">
        <f>'02_Inputs'!E140</f>
        <v/>
      </c>
      <c r="F140" s="29">
        <f>D140*E140</f>
        <v/>
      </c>
      <c r="G140" s="5">
        <f>'02_Inputs'!F140</f>
        <v/>
      </c>
      <c r="H140" s="29">
        <f>F140/G140</f>
        <v/>
      </c>
      <c r="I140" s="6">
        <f>'02_Inputs'!G140</f>
        <v/>
      </c>
      <c r="J140" s="29">
        <f>H140*I140</f>
        <v/>
      </c>
      <c r="K140" s="6">
        <f>'02_Inputs'!H140</f>
        <v/>
      </c>
      <c r="L140" s="29">
        <f>J140*K140</f>
        <v/>
      </c>
      <c r="M140" s="29">
        <f>J140*(1-K140)</f>
        <v/>
      </c>
      <c r="N140" s="6">
        <f>'02_GPU_Mix_Input'!D140</f>
        <v/>
      </c>
      <c r="O140" s="6">
        <f>'02_GPU_Mix_Input'!E140</f>
        <v/>
      </c>
      <c r="P140" s="6">
        <f>'02_GPU_Mix_Input'!F140</f>
        <v/>
      </c>
      <c r="Q140" s="6">
        <f>'02_GPU_Mix_Input'!G140</f>
        <v/>
      </c>
      <c r="R140" s="7">
        <f>INDEX('01_Benchmark_Input'!$K$2:$K$10,MATCH(B140,'01_Benchmark_Input'!$A$2:$A$10,0))</f>
        <v/>
      </c>
      <c r="S140" s="7">
        <f>INDEX('01_Benchmark_Input'!$P$2:$P$10,MATCH(B140,'01_Benchmark_Input'!$A$2:$A$10,0))</f>
        <v/>
      </c>
      <c r="T140" s="7">
        <f>INDEX('01_Benchmark_Input'!$U$2:$U$10,MATCH(B140,'01_Benchmark_Input'!$A$2:$A$10,0))</f>
        <v/>
      </c>
      <c r="U140" s="7">
        <f>INDEX('01_Benchmark_Input'!$Z$2:$Z$10,MATCH(B140,'01_Benchmark_Input'!$A$2:$A$10,0))</f>
        <v/>
      </c>
      <c r="V140" s="6">
        <f>INDEX('01_Benchmark_Input'!$D$2:$D$10,MATCH(B140,'01_Benchmark_Input'!$A$2:$A$10,0))</f>
        <v/>
      </c>
      <c r="W140" s="6">
        <f>INDEX('01_Benchmark_Input'!$E$2:$E$10,MATCH(B140,'01_Benchmark_Input'!$A$2:$A$10,0))</f>
        <v/>
      </c>
      <c r="X140" s="6">
        <f>INDEX('01_Benchmark_Input'!$F$2:$F$10,MATCH(B140,'01_Benchmark_Input'!$A$2:$A$10,0))</f>
        <v/>
      </c>
      <c r="Y140" s="7">
        <f>N140*R140+O140*S140+P140*T140+Q140*U140</f>
        <v/>
      </c>
      <c r="Z140" s="6">
        <f>'02_Inputs'!K140</f>
        <v/>
      </c>
      <c r="AA140" s="7">
        <f>Y140*Z140</f>
        <v/>
      </c>
      <c r="AB140" s="5">
        <f>L140*1000*AA140*86400</f>
        <v/>
      </c>
      <c r="AC140" s="5">
        <f>AB140*365</f>
        <v/>
      </c>
    </row>
    <row r="141">
      <c r="A141" s="5">
        <f>'02_Inputs'!A141</f>
        <v/>
      </c>
      <c r="B141" s="5">
        <f>'02_Inputs'!B141</f>
        <v/>
      </c>
      <c r="C141" s="5">
        <f>'02_Inputs'!C141</f>
        <v/>
      </c>
      <c r="D141" s="29">
        <f>'02_Inputs'!D141</f>
        <v/>
      </c>
      <c r="E141" s="6">
        <f>'02_Inputs'!E141</f>
        <v/>
      </c>
      <c r="F141" s="29">
        <f>D141*E141</f>
        <v/>
      </c>
      <c r="G141" s="5">
        <f>'02_Inputs'!F141</f>
        <v/>
      </c>
      <c r="H141" s="29">
        <f>F141/G141</f>
        <v/>
      </c>
      <c r="I141" s="6">
        <f>'02_Inputs'!G141</f>
        <v/>
      </c>
      <c r="J141" s="29">
        <f>H141*I141</f>
        <v/>
      </c>
      <c r="K141" s="6">
        <f>'02_Inputs'!H141</f>
        <v/>
      </c>
      <c r="L141" s="29">
        <f>J141*K141</f>
        <v/>
      </c>
      <c r="M141" s="29">
        <f>J141*(1-K141)</f>
        <v/>
      </c>
      <c r="N141" s="6">
        <f>'02_GPU_Mix_Input'!D141</f>
        <v/>
      </c>
      <c r="O141" s="6">
        <f>'02_GPU_Mix_Input'!E141</f>
        <v/>
      </c>
      <c r="P141" s="6">
        <f>'02_GPU_Mix_Input'!F141</f>
        <v/>
      </c>
      <c r="Q141" s="6">
        <f>'02_GPU_Mix_Input'!G141</f>
        <v/>
      </c>
      <c r="R141" s="7">
        <f>INDEX('01_Benchmark_Input'!$K$2:$K$10,MATCH(B141,'01_Benchmark_Input'!$A$2:$A$10,0))</f>
        <v/>
      </c>
      <c r="S141" s="7">
        <f>INDEX('01_Benchmark_Input'!$P$2:$P$10,MATCH(B141,'01_Benchmark_Input'!$A$2:$A$10,0))</f>
        <v/>
      </c>
      <c r="T141" s="7">
        <f>INDEX('01_Benchmark_Input'!$U$2:$U$10,MATCH(B141,'01_Benchmark_Input'!$A$2:$A$10,0))</f>
        <v/>
      </c>
      <c r="U141" s="7">
        <f>INDEX('01_Benchmark_Input'!$Z$2:$Z$10,MATCH(B141,'01_Benchmark_Input'!$A$2:$A$10,0))</f>
        <v/>
      </c>
      <c r="V141" s="6">
        <f>INDEX('01_Benchmark_Input'!$D$2:$D$10,MATCH(B141,'01_Benchmark_Input'!$A$2:$A$10,0))</f>
        <v/>
      </c>
      <c r="W141" s="6">
        <f>INDEX('01_Benchmark_Input'!$E$2:$E$10,MATCH(B141,'01_Benchmark_Input'!$A$2:$A$10,0))</f>
        <v/>
      </c>
      <c r="X141" s="6">
        <f>INDEX('01_Benchmark_Input'!$F$2:$F$10,MATCH(B141,'01_Benchmark_Input'!$A$2:$A$10,0))</f>
        <v/>
      </c>
      <c r="Y141" s="7">
        <f>N141*R141+O141*S141+P141*T141+Q141*U141</f>
        <v/>
      </c>
      <c r="Z141" s="6">
        <f>'02_Inputs'!K141</f>
        <v/>
      </c>
      <c r="AA141" s="7">
        <f>Y141*Z141</f>
        <v/>
      </c>
      <c r="AB141" s="5">
        <f>L141*1000*AA141*86400</f>
        <v/>
      </c>
      <c r="AC141" s="5">
        <f>AB141*365</f>
        <v/>
      </c>
    </row>
    <row r="142">
      <c r="A142" s="5">
        <f>'02_Inputs'!A142</f>
        <v/>
      </c>
      <c r="B142" s="5">
        <f>'02_Inputs'!B142</f>
        <v/>
      </c>
      <c r="C142" s="5">
        <f>'02_Inputs'!C142</f>
        <v/>
      </c>
      <c r="D142" s="29">
        <f>'02_Inputs'!D142</f>
        <v/>
      </c>
      <c r="E142" s="6">
        <f>'02_Inputs'!E142</f>
        <v/>
      </c>
      <c r="F142" s="29">
        <f>D142*E142</f>
        <v/>
      </c>
      <c r="G142" s="5">
        <f>'02_Inputs'!F142</f>
        <v/>
      </c>
      <c r="H142" s="29">
        <f>F142/G142</f>
        <v/>
      </c>
      <c r="I142" s="6">
        <f>'02_Inputs'!G142</f>
        <v/>
      </c>
      <c r="J142" s="29">
        <f>H142*I142</f>
        <v/>
      </c>
      <c r="K142" s="6">
        <f>'02_Inputs'!H142</f>
        <v/>
      </c>
      <c r="L142" s="29">
        <f>J142*K142</f>
        <v/>
      </c>
      <c r="M142" s="29">
        <f>J142*(1-K142)</f>
        <v/>
      </c>
      <c r="N142" s="6">
        <f>'02_GPU_Mix_Input'!D142</f>
        <v/>
      </c>
      <c r="O142" s="6">
        <f>'02_GPU_Mix_Input'!E142</f>
        <v/>
      </c>
      <c r="P142" s="6">
        <f>'02_GPU_Mix_Input'!F142</f>
        <v/>
      </c>
      <c r="Q142" s="6">
        <f>'02_GPU_Mix_Input'!G142</f>
        <v/>
      </c>
      <c r="R142" s="7">
        <f>INDEX('01_Benchmark_Input'!$K$2:$K$10,MATCH(B142,'01_Benchmark_Input'!$A$2:$A$10,0))</f>
        <v/>
      </c>
      <c r="S142" s="7">
        <f>INDEX('01_Benchmark_Input'!$P$2:$P$10,MATCH(B142,'01_Benchmark_Input'!$A$2:$A$10,0))</f>
        <v/>
      </c>
      <c r="T142" s="7">
        <f>INDEX('01_Benchmark_Input'!$U$2:$U$10,MATCH(B142,'01_Benchmark_Input'!$A$2:$A$10,0))</f>
        <v/>
      </c>
      <c r="U142" s="7">
        <f>INDEX('01_Benchmark_Input'!$Z$2:$Z$10,MATCH(B142,'01_Benchmark_Input'!$A$2:$A$10,0))</f>
        <v/>
      </c>
      <c r="V142" s="6">
        <f>INDEX('01_Benchmark_Input'!$D$2:$D$10,MATCH(B142,'01_Benchmark_Input'!$A$2:$A$10,0))</f>
        <v/>
      </c>
      <c r="W142" s="6">
        <f>INDEX('01_Benchmark_Input'!$E$2:$E$10,MATCH(B142,'01_Benchmark_Input'!$A$2:$A$10,0))</f>
        <v/>
      </c>
      <c r="X142" s="6">
        <f>INDEX('01_Benchmark_Input'!$F$2:$F$10,MATCH(B142,'01_Benchmark_Input'!$A$2:$A$10,0))</f>
        <v/>
      </c>
      <c r="Y142" s="7">
        <f>N142*R142+O142*S142+P142*T142+Q142*U142</f>
        <v/>
      </c>
      <c r="Z142" s="6">
        <f>'02_Inputs'!K142</f>
        <v/>
      </c>
      <c r="AA142" s="7">
        <f>Y142*Z142</f>
        <v/>
      </c>
      <c r="AB142" s="5">
        <f>L142*1000*AA142*86400</f>
        <v/>
      </c>
      <c r="AC142" s="5">
        <f>AB142*365</f>
        <v/>
      </c>
    </row>
    <row r="143">
      <c r="A143" s="5">
        <f>'02_Inputs'!A143</f>
        <v/>
      </c>
      <c r="B143" s="5">
        <f>'02_Inputs'!B143</f>
        <v/>
      </c>
      <c r="C143" s="5">
        <f>'02_Inputs'!C143</f>
        <v/>
      </c>
      <c r="D143" s="29">
        <f>'02_Inputs'!D143</f>
        <v/>
      </c>
      <c r="E143" s="6">
        <f>'02_Inputs'!E143</f>
        <v/>
      </c>
      <c r="F143" s="29">
        <f>D143*E143</f>
        <v/>
      </c>
      <c r="G143" s="5">
        <f>'02_Inputs'!F143</f>
        <v/>
      </c>
      <c r="H143" s="29">
        <f>F143/G143</f>
        <v/>
      </c>
      <c r="I143" s="6">
        <f>'02_Inputs'!G143</f>
        <v/>
      </c>
      <c r="J143" s="29">
        <f>H143*I143</f>
        <v/>
      </c>
      <c r="K143" s="6">
        <f>'02_Inputs'!H143</f>
        <v/>
      </c>
      <c r="L143" s="29">
        <f>J143*K143</f>
        <v/>
      </c>
      <c r="M143" s="29">
        <f>J143*(1-K143)</f>
        <v/>
      </c>
      <c r="N143" s="6">
        <f>'02_GPU_Mix_Input'!D143</f>
        <v/>
      </c>
      <c r="O143" s="6">
        <f>'02_GPU_Mix_Input'!E143</f>
        <v/>
      </c>
      <c r="P143" s="6">
        <f>'02_GPU_Mix_Input'!F143</f>
        <v/>
      </c>
      <c r="Q143" s="6">
        <f>'02_GPU_Mix_Input'!G143</f>
        <v/>
      </c>
      <c r="R143" s="7">
        <f>INDEX('01_Benchmark_Input'!$K$2:$K$10,MATCH(B143,'01_Benchmark_Input'!$A$2:$A$10,0))</f>
        <v/>
      </c>
      <c r="S143" s="7">
        <f>INDEX('01_Benchmark_Input'!$P$2:$P$10,MATCH(B143,'01_Benchmark_Input'!$A$2:$A$10,0))</f>
        <v/>
      </c>
      <c r="T143" s="7">
        <f>INDEX('01_Benchmark_Input'!$U$2:$U$10,MATCH(B143,'01_Benchmark_Input'!$A$2:$A$10,0))</f>
        <v/>
      </c>
      <c r="U143" s="7">
        <f>INDEX('01_Benchmark_Input'!$Z$2:$Z$10,MATCH(B143,'01_Benchmark_Input'!$A$2:$A$10,0))</f>
        <v/>
      </c>
      <c r="V143" s="6">
        <f>INDEX('01_Benchmark_Input'!$D$2:$D$10,MATCH(B143,'01_Benchmark_Input'!$A$2:$A$10,0))</f>
        <v/>
      </c>
      <c r="W143" s="6">
        <f>INDEX('01_Benchmark_Input'!$E$2:$E$10,MATCH(B143,'01_Benchmark_Input'!$A$2:$A$10,0))</f>
        <v/>
      </c>
      <c r="X143" s="6">
        <f>INDEX('01_Benchmark_Input'!$F$2:$F$10,MATCH(B143,'01_Benchmark_Input'!$A$2:$A$10,0))</f>
        <v/>
      </c>
      <c r="Y143" s="7">
        <f>N143*R143+O143*S143+P143*T143+Q143*U143</f>
        <v/>
      </c>
      <c r="Z143" s="6">
        <f>'02_Inputs'!K143</f>
        <v/>
      </c>
      <c r="AA143" s="7">
        <f>Y143*Z143</f>
        <v/>
      </c>
      <c r="AB143" s="5">
        <f>L143*1000*AA143*86400</f>
        <v/>
      </c>
      <c r="AC143" s="5">
        <f>AB143*365</f>
        <v/>
      </c>
    </row>
    <row r="144">
      <c r="A144" s="5">
        <f>'02_Inputs'!A144</f>
        <v/>
      </c>
      <c r="B144" s="5">
        <f>'02_Inputs'!B144</f>
        <v/>
      </c>
      <c r="C144" s="5">
        <f>'02_Inputs'!C144</f>
        <v/>
      </c>
      <c r="D144" s="29">
        <f>'02_Inputs'!D144</f>
        <v/>
      </c>
      <c r="E144" s="6">
        <f>'02_Inputs'!E144</f>
        <v/>
      </c>
      <c r="F144" s="29">
        <f>D144*E144</f>
        <v/>
      </c>
      <c r="G144" s="5">
        <f>'02_Inputs'!F144</f>
        <v/>
      </c>
      <c r="H144" s="29">
        <f>F144/G144</f>
        <v/>
      </c>
      <c r="I144" s="6">
        <f>'02_Inputs'!G144</f>
        <v/>
      </c>
      <c r="J144" s="29">
        <f>H144*I144</f>
        <v/>
      </c>
      <c r="K144" s="6">
        <f>'02_Inputs'!H144</f>
        <v/>
      </c>
      <c r="L144" s="29">
        <f>J144*K144</f>
        <v/>
      </c>
      <c r="M144" s="29">
        <f>J144*(1-K144)</f>
        <v/>
      </c>
      <c r="N144" s="6">
        <f>'02_GPU_Mix_Input'!D144</f>
        <v/>
      </c>
      <c r="O144" s="6">
        <f>'02_GPU_Mix_Input'!E144</f>
        <v/>
      </c>
      <c r="P144" s="6">
        <f>'02_GPU_Mix_Input'!F144</f>
        <v/>
      </c>
      <c r="Q144" s="6">
        <f>'02_GPU_Mix_Input'!G144</f>
        <v/>
      </c>
      <c r="R144" s="7">
        <f>INDEX('01_Benchmark_Input'!$K$2:$K$10,MATCH(B144,'01_Benchmark_Input'!$A$2:$A$10,0))</f>
        <v/>
      </c>
      <c r="S144" s="7">
        <f>INDEX('01_Benchmark_Input'!$P$2:$P$10,MATCH(B144,'01_Benchmark_Input'!$A$2:$A$10,0))</f>
        <v/>
      </c>
      <c r="T144" s="7">
        <f>INDEX('01_Benchmark_Input'!$U$2:$U$10,MATCH(B144,'01_Benchmark_Input'!$A$2:$A$10,0))</f>
        <v/>
      </c>
      <c r="U144" s="7">
        <f>INDEX('01_Benchmark_Input'!$Z$2:$Z$10,MATCH(B144,'01_Benchmark_Input'!$A$2:$A$10,0))</f>
        <v/>
      </c>
      <c r="V144" s="6">
        <f>INDEX('01_Benchmark_Input'!$D$2:$D$10,MATCH(B144,'01_Benchmark_Input'!$A$2:$A$10,0))</f>
        <v/>
      </c>
      <c r="W144" s="6">
        <f>INDEX('01_Benchmark_Input'!$E$2:$E$10,MATCH(B144,'01_Benchmark_Input'!$A$2:$A$10,0))</f>
        <v/>
      </c>
      <c r="X144" s="6">
        <f>INDEX('01_Benchmark_Input'!$F$2:$F$10,MATCH(B144,'01_Benchmark_Input'!$A$2:$A$10,0))</f>
        <v/>
      </c>
      <c r="Y144" s="7">
        <f>N144*R144+O144*S144+P144*T144+Q144*U144</f>
        <v/>
      </c>
      <c r="Z144" s="6">
        <f>'02_Inputs'!K144</f>
        <v/>
      </c>
      <c r="AA144" s="7">
        <f>Y144*Z144</f>
        <v/>
      </c>
      <c r="AB144" s="5">
        <f>L144*1000*AA144*86400</f>
        <v/>
      </c>
      <c r="AC144" s="5">
        <f>AB144*365</f>
        <v/>
      </c>
    </row>
    <row r="145">
      <c r="A145" s="5">
        <f>'02_Inputs'!A145</f>
        <v/>
      </c>
      <c r="B145" s="5">
        <f>'02_Inputs'!B145</f>
        <v/>
      </c>
      <c r="C145" s="5">
        <f>'02_Inputs'!C145</f>
        <v/>
      </c>
      <c r="D145" s="29">
        <f>'02_Inputs'!D145</f>
        <v/>
      </c>
      <c r="E145" s="6">
        <f>'02_Inputs'!E145</f>
        <v/>
      </c>
      <c r="F145" s="29">
        <f>D145*E145</f>
        <v/>
      </c>
      <c r="G145" s="5">
        <f>'02_Inputs'!F145</f>
        <v/>
      </c>
      <c r="H145" s="29">
        <f>F145/G145</f>
        <v/>
      </c>
      <c r="I145" s="6">
        <f>'02_Inputs'!G145</f>
        <v/>
      </c>
      <c r="J145" s="29">
        <f>H145*I145</f>
        <v/>
      </c>
      <c r="K145" s="6">
        <f>'02_Inputs'!H145</f>
        <v/>
      </c>
      <c r="L145" s="29">
        <f>J145*K145</f>
        <v/>
      </c>
      <c r="M145" s="29">
        <f>J145*(1-K145)</f>
        <v/>
      </c>
      <c r="N145" s="6">
        <f>'02_GPU_Mix_Input'!D145</f>
        <v/>
      </c>
      <c r="O145" s="6">
        <f>'02_GPU_Mix_Input'!E145</f>
        <v/>
      </c>
      <c r="P145" s="6">
        <f>'02_GPU_Mix_Input'!F145</f>
        <v/>
      </c>
      <c r="Q145" s="6">
        <f>'02_GPU_Mix_Input'!G145</f>
        <v/>
      </c>
      <c r="R145" s="7">
        <f>INDEX('01_Benchmark_Input'!$K$2:$K$10,MATCH(B145,'01_Benchmark_Input'!$A$2:$A$10,0))</f>
        <v/>
      </c>
      <c r="S145" s="7">
        <f>INDEX('01_Benchmark_Input'!$P$2:$P$10,MATCH(B145,'01_Benchmark_Input'!$A$2:$A$10,0))</f>
        <v/>
      </c>
      <c r="T145" s="7">
        <f>INDEX('01_Benchmark_Input'!$U$2:$U$10,MATCH(B145,'01_Benchmark_Input'!$A$2:$A$10,0))</f>
        <v/>
      </c>
      <c r="U145" s="7">
        <f>INDEX('01_Benchmark_Input'!$Z$2:$Z$10,MATCH(B145,'01_Benchmark_Input'!$A$2:$A$10,0))</f>
        <v/>
      </c>
      <c r="V145" s="6">
        <f>INDEX('01_Benchmark_Input'!$D$2:$D$10,MATCH(B145,'01_Benchmark_Input'!$A$2:$A$10,0))</f>
        <v/>
      </c>
      <c r="W145" s="6">
        <f>INDEX('01_Benchmark_Input'!$E$2:$E$10,MATCH(B145,'01_Benchmark_Input'!$A$2:$A$10,0))</f>
        <v/>
      </c>
      <c r="X145" s="6">
        <f>INDEX('01_Benchmark_Input'!$F$2:$F$10,MATCH(B145,'01_Benchmark_Input'!$A$2:$A$10,0))</f>
        <v/>
      </c>
      <c r="Y145" s="7">
        <f>N145*R145+O145*S145+P145*T145+Q145*U145</f>
        <v/>
      </c>
      <c r="Z145" s="6">
        <f>'02_Inputs'!K145</f>
        <v/>
      </c>
      <c r="AA145" s="7">
        <f>Y145*Z145</f>
        <v/>
      </c>
      <c r="AB145" s="5">
        <f>L145*1000*AA145*86400</f>
        <v/>
      </c>
      <c r="AC145" s="5">
        <f>AB145*365</f>
        <v/>
      </c>
    </row>
    <row r="146">
      <c r="A146" s="5">
        <f>'02_Inputs'!A146</f>
        <v/>
      </c>
      <c r="B146" s="5">
        <f>'02_Inputs'!B146</f>
        <v/>
      </c>
      <c r="C146" s="5">
        <f>'02_Inputs'!C146</f>
        <v/>
      </c>
      <c r="D146" s="29">
        <f>'02_Inputs'!D146</f>
        <v/>
      </c>
      <c r="E146" s="6">
        <f>'02_Inputs'!E146</f>
        <v/>
      </c>
      <c r="F146" s="29">
        <f>D146*E146</f>
        <v/>
      </c>
      <c r="G146" s="5">
        <f>'02_Inputs'!F146</f>
        <v/>
      </c>
      <c r="H146" s="29">
        <f>F146/G146</f>
        <v/>
      </c>
      <c r="I146" s="6">
        <f>'02_Inputs'!G146</f>
        <v/>
      </c>
      <c r="J146" s="29">
        <f>H146*I146</f>
        <v/>
      </c>
      <c r="K146" s="6">
        <f>'02_Inputs'!H146</f>
        <v/>
      </c>
      <c r="L146" s="29">
        <f>J146*K146</f>
        <v/>
      </c>
      <c r="M146" s="29">
        <f>J146*(1-K146)</f>
        <v/>
      </c>
      <c r="N146" s="6">
        <f>'02_GPU_Mix_Input'!D146</f>
        <v/>
      </c>
      <c r="O146" s="6">
        <f>'02_GPU_Mix_Input'!E146</f>
        <v/>
      </c>
      <c r="P146" s="6">
        <f>'02_GPU_Mix_Input'!F146</f>
        <v/>
      </c>
      <c r="Q146" s="6">
        <f>'02_GPU_Mix_Input'!G146</f>
        <v/>
      </c>
      <c r="R146" s="7">
        <f>INDEX('01_Benchmark_Input'!$K$2:$K$10,MATCH(B146,'01_Benchmark_Input'!$A$2:$A$10,0))</f>
        <v/>
      </c>
      <c r="S146" s="7">
        <f>INDEX('01_Benchmark_Input'!$P$2:$P$10,MATCH(B146,'01_Benchmark_Input'!$A$2:$A$10,0))</f>
        <v/>
      </c>
      <c r="T146" s="7">
        <f>INDEX('01_Benchmark_Input'!$U$2:$U$10,MATCH(B146,'01_Benchmark_Input'!$A$2:$A$10,0))</f>
        <v/>
      </c>
      <c r="U146" s="7">
        <f>INDEX('01_Benchmark_Input'!$Z$2:$Z$10,MATCH(B146,'01_Benchmark_Input'!$A$2:$A$10,0))</f>
        <v/>
      </c>
      <c r="V146" s="6">
        <f>INDEX('01_Benchmark_Input'!$D$2:$D$10,MATCH(B146,'01_Benchmark_Input'!$A$2:$A$10,0))</f>
        <v/>
      </c>
      <c r="W146" s="6">
        <f>INDEX('01_Benchmark_Input'!$E$2:$E$10,MATCH(B146,'01_Benchmark_Input'!$A$2:$A$10,0))</f>
        <v/>
      </c>
      <c r="X146" s="6">
        <f>INDEX('01_Benchmark_Input'!$F$2:$F$10,MATCH(B146,'01_Benchmark_Input'!$A$2:$A$10,0))</f>
        <v/>
      </c>
      <c r="Y146" s="7">
        <f>N146*R146+O146*S146+P146*T146+Q146*U146</f>
        <v/>
      </c>
      <c r="Z146" s="6">
        <f>'02_Inputs'!K146</f>
        <v/>
      </c>
      <c r="AA146" s="7">
        <f>Y146*Z146</f>
        <v/>
      </c>
      <c r="AB146" s="5">
        <f>L146*1000*AA146*86400</f>
        <v/>
      </c>
      <c r="AC146" s="5">
        <f>AB146*365</f>
        <v/>
      </c>
    </row>
    <row r="147">
      <c r="A147" s="5">
        <f>'02_Inputs'!A147</f>
        <v/>
      </c>
      <c r="B147" s="5">
        <f>'02_Inputs'!B147</f>
        <v/>
      </c>
      <c r="C147" s="5">
        <f>'02_Inputs'!C147</f>
        <v/>
      </c>
      <c r="D147" s="29">
        <f>'02_Inputs'!D147</f>
        <v/>
      </c>
      <c r="E147" s="6">
        <f>'02_Inputs'!E147</f>
        <v/>
      </c>
      <c r="F147" s="29">
        <f>D147*E147</f>
        <v/>
      </c>
      <c r="G147" s="5">
        <f>'02_Inputs'!F147</f>
        <v/>
      </c>
      <c r="H147" s="29">
        <f>F147/G147</f>
        <v/>
      </c>
      <c r="I147" s="6">
        <f>'02_Inputs'!G147</f>
        <v/>
      </c>
      <c r="J147" s="29">
        <f>H147*I147</f>
        <v/>
      </c>
      <c r="K147" s="6">
        <f>'02_Inputs'!H147</f>
        <v/>
      </c>
      <c r="L147" s="29">
        <f>J147*K147</f>
        <v/>
      </c>
      <c r="M147" s="29">
        <f>J147*(1-K147)</f>
        <v/>
      </c>
      <c r="N147" s="6">
        <f>'02_GPU_Mix_Input'!D147</f>
        <v/>
      </c>
      <c r="O147" s="6">
        <f>'02_GPU_Mix_Input'!E147</f>
        <v/>
      </c>
      <c r="P147" s="6">
        <f>'02_GPU_Mix_Input'!F147</f>
        <v/>
      </c>
      <c r="Q147" s="6">
        <f>'02_GPU_Mix_Input'!G147</f>
        <v/>
      </c>
      <c r="R147" s="7">
        <f>INDEX('01_Benchmark_Input'!$K$2:$K$10,MATCH(B147,'01_Benchmark_Input'!$A$2:$A$10,0))</f>
        <v/>
      </c>
      <c r="S147" s="7">
        <f>INDEX('01_Benchmark_Input'!$P$2:$P$10,MATCH(B147,'01_Benchmark_Input'!$A$2:$A$10,0))</f>
        <v/>
      </c>
      <c r="T147" s="7">
        <f>INDEX('01_Benchmark_Input'!$U$2:$U$10,MATCH(B147,'01_Benchmark_Input'!$A$2:$A$10,0))</f>
        <v/>
      </c>
      <c r="U147" s="7">
        <f>INDEX('01_Benchmark_Input'!$Z$2:$Z$10,MATCH(B147,'01_Benchmark_Input'!$A$2:$A$10,0))</f>
        <v/>
      </c>
      <c r="V147" s="6">
        <f>INDEX('01_Benchmark_Input'!$D$2:$D$10,MATCH(B147,'01_Benchmark_Input'!$A$2:$A$10,0))</f>
        <v/>
      </c>
      <c r="W147" s="6">
        <f>INDEX('01_Benchmark_Input'!$E$2:$E$10,MATCH(B147,'01_Benchmark_Input'!$A$2:$A$10,0))</f>
        <v/>
      </c>
      <c r="X147" s="6">
        <f>INDEX('01_Benchmark_Input'!$F$2:$F$10,MATCH(B147,'01_Benchmark_Input'!$A$2:$A$10,0))</f>
        <v/>
      </c>
      <c r="Y147" s="7">
        <f>N147*R147+O147*S147+P147*T147+Q147*U147</f>
        <v/>
      </c>
      <c r="Z147" s="6">
        <f>'02_Inputs'!K147</f>
        <v/>
      </c>
      <c r="AA147" s="7">
        <f>Y147*Z147</f>
        <v/>
      </c>
      <c r="AB147" s="5">
        <f>L147*1000*AA147*86400</f>
        <v/>
      </c>
      <c r="AC147" s="5">
        <f>AB147*365</f>
        <v/>
      </c>
    </row>
    <row r="148">
      <c r="A148" s="5">
        <f>'02_Inputs'!A148</f>
        <v/>
      </c>
      <c r="B148" s="5">
        <f>'02_Inputs'!B148</f>
        <v/>
      </c>
      <c r="C148" s="5">
        <f>'02_Inputs'!C148</f>
        <v/>
      </c>
      <c r="D148" s="29">
        <f>'02_Inputs'!D148</f>
        <v/>
      </c>
      <c r="E148" s="6">
        <f>'02_Inputs'!E148</f>
        <v/>
      </c>
      <c r="F148" s="29">
        <f>D148*E148</f>
        <v/>
      </c>
      <c r="G148" s="5">
        <f>'02_Inputs'!F148</f>
        <v/>
      </c>
      <c r="H148" s="29">
        <f>F148/G148</f>
        <v/>
      </c>
      <c r="I148" s="6">
        <f>'02_Inputs'!G148</f>
        <v/>
      </c>
      <c r="J148" s="29">
        <f>H148*I148</f>
        <v/>
      </c>
      <c r="K148" s="6">
        <f>'02_Inputs'!H148</f>
        <v/>
      </c>
      <c r="L148" s="29">
        <f>J148*K148</f>
        <v/>
      </c>
      <c r="M148" s="29">
        <f>J148*(1-K148)</f>
        <v/>
      </c>
      <c r="N148" s="6">
        <f>'02_GPU_Mix_Input'!D148</f>
        <v/>
      </c>
      <c r="O148" s="6">
        <f>'02_GPU_Mix_Input'!E148</f>
        <v/>
      </c>
      <c r="P148" s="6">
        <f>'02_GPU_Mix_Input'!F148</f>
        <v/>
      </c>
      <c r="Q148" s="6">
        <f>'02_GPU_Mix_Input'!G148</f>
        <v/>
      </c>
      <c r="R148" s="7">
        <f>INDEX('01_Benchmark_Input'!$K$2:$K$10,MATCH(B148,'01_Benchmark_Input'!$A$2:$A$10,0))</f>
        <v/>
      </c>
      <c r="S148" s="7">
        <f>INDEX('01_Benchmark_Input'!$P$2:$P$10,MATCH(B148,'01_Benchmark_Input'!$A$2:$A$10,0))</f>
        <v/>
      </c>
      <c r="T148" s="7">
        <f>INDEX('01_Benchmark_Input'!$U$2:$U$10,MATCH(B148,'01_Benchmark_Input'!$A$2:$A$10,0))</f>
        <v/>
      </c>
      <c r="U148" s="7">
        <f>INDEX('01_Benchmark_Input'!$Z$2:$Z$10,MATCH(B148,'01_Benchmark_Input'!$A$2:$A$10,0))</f>
        <v/>
      </c>
      <c r="V148" s="6">
        <f>INDEX('01_Benchmark_Input'!$D$2:$D$10,MATCH(B148,'01_Benchmark_Input'!$A$2:$A$10,0))</f>
        <v/>
      </c>
      <c r="W148" s="6">
        <f>INDEX('01_Benchmark_Input'!$E$2:$E$10,MATCH(B148,'01_Benchmark_Input'!$A$2:$A$10,0))</f>
        <v/>
      </c>
      <c r="X148" s="6">
        <f>INDEX('01_Benchmark_Input'!$F$2:$F$10,MATCH(B148,'01_Benchmark_Input'!$A$2:$A$10,0))</f>
        <v/>
      </c>
      <c r="Y148" s="7">
        <f>N148*R148+O148*S148+P148*T148+Q148*U148</f>
        <v/>
      </c>
      <c r="Z148" s="6">
        <f>'02_Inputs'!K148</f>
        <v/>
      </c>
      <c r="AA148" s="7">
        <f>Y148*Z148</f>
        <v/>
      </c>
      <c r="AB148" s="5">
        <f>L148*1000*AA148*86400</f>
        <v/>
      </c>
      <c r="AC148" s="5">
        <f>AB148*365</f>
        <v/>
      </c>
    </row>
    <row r="149">
      <c r="A149" s="5">
        <f>'02_Inputs'!A149</f>
        <v/>
      </c>
      <c r="B149" s="5">
        <f>'02_Inputs'!B149</f>
        <v/>
      </c>
      <c r="C149" s="5">
        <f>'02_Inputs'!C149</f>
        <v/>
      </c>
      <c r="D149" s="29">
        <f>'02_Inputs'!D149</f>
        <v/>
      </c>
      <c r="E149" s="6">
        <f>'02_Inputs'!E149</f>
        <v/>
      </c>
      <c r="F149" s="29">
        <f>D149*E149</f>
        <v/>
      </c>
      <c r="G149" s="5">
        <f>'02_Inputs'!F149</f>
        <v/>
      </c>
      <c r="H149" s="29">
        <f>F149/G149</f>
        <v/>
      </c>
      <c r="I149" s="6">
        <f>'02_Inputs'!G149</f>
        <v/>
      </c>
      <c r="J149" s="29">
        <f>H149*I149</f>
        <v/>
      </c>
      <c r="K149" s="6">
        <f>'02_Inputs'!H149</f>
        <v/>
      </c>
      <c r="L149" s="29">
        <f>J149*K149</f>
        <v/>
      </c>
      <c r="M149" s="29">
        <f>J149*(1-K149)</f>
        <v/>
      </c>
      <c r="N149" s="6">
        <f>'02_GPU_Mix_Input'!D149</f>
        <v/>
      </c>
      <c r="O149" s="6">
        <f>'02_GPU_Mix_Input'!E149</f>
        <v/>
      </c>
      <c r="P149" s="6">
        <f>'02_GPU_Mix_Input'!F149</f>
        <v/>
      </c>
      <c r="Q149" s="6">
        <f>'02_GPU_Mix_Input'!G149</f>
        <v/>
      </c>
      <c r="R149" s="7">
        <f>INDEX('01_Benchmark_Input'!$K$2:$K$10,MATCH(B149,'01_Benchmark_Input'!$A$2:$A$10,0))</f>
        <v/>
      </c>
      <c r="S149" s="7">
        <f>INDEX('01_Benchmark_Input'!$P$2:$P$10,MATCH(B149,'01_Benchmark_Input'!$A$2:$A$10,0))</f>
        <v/>
      </c>
      <c r="T149" s="7">
        <f>INDEX('01_Benchmark_Input'!$U$2:$U$10,MATCH(B149,'01_Benchmark_Input'!$A$2:$A$10,0))</f>
        <v/>
      </c>
      <c r="U149" s="7">
        <f>INDEX('01_Benchmark_Input'!$Z$2:$Z$10,MATCH(B149,'01_Benchmark_Input'!$A$2:$A$10,0))</f>
        <v/>
      </c>
      <c r="V149" s="6">
        <f>INDEX('01_Benchmark_Input'!$D$2:$D$10,MATCH(B149,'01_Benchmark_Input'!$A$2:$A$10,0))</f>
        <v/>
      </c>
      <c r="W149" s="6">
        <f>INDEX('01_Benchmark_Input'!$E$2:$E$10,MATCH(B149,'01_Benchmark_Input'!$A$2:$A$10,0))</f>
        <v/>
      </c>
      <c r="X149" s="6">
        <f>INDEX('01_Benchmark_Input'!$F$2:$F$10,MATCH(B149,'01_Benchmark_Input'!$A$2:$A$10,0))</f>
        <v/>
      </c>
      <c r="Y149" s="7">
        <f>N149*R149+O149*S149+P149*T149+Q149*U149</f>
        <v/>
      </c>
      <c r="Z149" s="6">
        <f>'02_Inputs'!K149</f>
        <v/>
      </c>
      <c r="AA149" s="7">
        <f>Y149*Z149</f>
        <v/>
      </c>
      <c r="AB149" s="5">
        <f>L149*1000*AA149*86400</f>
        <v/>
      </c>
      <c r="AC149" s="5">
        <f>AB149*365</f>
        <v/>
      </c>
    </row>
    <row r="150">
      <c r="A150" s="5">
        <f>'02_Inputs'!A150</f>
        <v/>
      </c>
      <c r="B150" s="5">
        <f>'02_Inputs'!B150</f>
        <v/>
      </c>
      <c r="C150" s="5">
        <f>'02_Inputs'!C150</f>
        <v/>
      </c>
      <c r="D150" s="29">
        <f>'02_Inputs'!D150</f>
        <v/>
      </c>
      <c r="E150" s="6">
        <f>'02_Inputs'!E150</f>
        <v/>
      </c>
      <c r="F150" s="29">
        <f>D150*E150</f>
        <v/>
      </c>
      <c r="G150" s="5">
        <f>'02_Inputs'!F150</f>
        <v/>
      </c>
      <c r="H150" s="29">
        <f>F150/G150</f>
        <v/>
      </c>
      <c r="I150" s="6">
        <f>'02_Inputs'!G150</f>
        <v/>
      </c>
      <c r="J150" s="29">
        <f>H150*I150</f>
        <v/>
      </c>
      <c r="K150" s="6">
        <f>'02_Inputs'!H150</f>
        <v/>
      </c>
      <c r="L150" s="29">
        <f>J150*K150</f>
        <v/>
      </c>
      <c r="M150" s="29">
        <f>J150*(1-K150)</f>
        <v/>
      </c>
      <c r="N150" s="6">
        <f>'02_GPU_Mix_Input'!D150</f>
        <v/>
      </c>
      <c r="O150" s="6">
        <f>'02_GPU_Mix_Input'!E150</f>
        <v/>
      </c>
      <c r="P150" s="6">
        <f>'02_GPU_Mix_Input'!F150</f>
        <v/>
      </c>
      <c r="Q150" s="6">
        <f>'02_GPU_Mix_Input'!G150</f>
        <v/>
      </c>
      <c r="R150" s="7">
        <f>INDEX('01_Benchmark_Input'!$K$2:$K$10,MATCH(B150,'01_Benchmark_Input'!$A$2:$A$10,0))</f>
        <v/>
      </c>
      <c r="S150" s="7">
        <f>INDEX('01_Benchmark_Input'!$P$2:$P$10,MATCH(B150,'01_Benchmark_Input'!$A$2:$A$10,0))</f>
        <v/>
      </c>
      <c r="T150" s="7">
        <f>INDEX('01_Benchmark_Input'!$U$2:$U$10,MATCH(B150,'01_Benchmark_Input'!$A$2:$A$10,0))</f>
        <v/>
      </c>
      <c r="U150" s="7">
        <f>INDEX('01_Benchmark_Input'!$Z$2:$Z$10,MATCH(B150,'01_Benchmark_Input'!$A$2:$A$10,0))</f>
        <v/>
      </c>
      <c r="V150" s="6">
        <f>INDEX('01_Benchmark_Input'!$D$2:$D$10,MATCH(B150,'01_Benchmark_Input'!$A$2:$A$10,0))</f>
        <v/>
      </c>
      <c r="W150" s="6">
        <f>INDEX('01_Benchmark_Input'!$E$2:$E$10,MATCH(B150,'01_Benchmark_Input'!$A$2:$A$10,0))</f>
        <v/>
      </c>
      <c r="X150" s="6">
        <f>INDEX('01_Benchmark_Input'!$F$2:$F$10,MATCH(B150,'01_Benchmark_Input'!$A$2:$A$10,0))</f>
        <v/>
      </c>
      <c r="Y150" s="7">
        <f>N150*R150+O150*S150+P150*T150+Q150*U150</f>
        <v/>
      </c>
      <c r="Z150" s="6">
        <f>'02_Inputs'!K150</f>
        <v/>
      </c>
      <c r="AA150" s="7">
        <f>Y150*Z150</f>
        <v/>
      </c>
      <c r="AB150" s="5">
        <f>L150*1000*AA150*86400</f>
        <v/>
      </c>
      <c r="AC150" s="5">
        <f>AB150*365</f>
        <v/>
      </c>
    </row>
    <row r="151">
      <c r="A151" s="5">
        <f>'02_Inputs'!A151</f>
        <v/>
      </c>
      <c r="B151" s="5">
        <f>'02_Inputs'!B151</f>
        <v/>
      </c>
      <c r="C151" s="5">
        <f>'02_Inputs'!C151</f>
        <v/>
      </c>
      <c r="D151" s="29">
        <f>'02_Inputs'!D151</f>
        <v/>
      </c>
      <c r="E151" s="6">
        <f>'02_Inputs'!E151</f>
        <v/>
      </c>
      <c r="F151" s="29">
        <f>D151*E151</f>
        <v/>
      </c>
      <c r="G151" s="5">
        <f>'02_Inputs'!F151</f>
        <v/>
      </c>
      <c r="H151" s="29">
        <f>F151/G151</f>
        <v/>
      </c>
      <c r="I151" s="6">
        <f>'02_Inputs'!G151</f>
        <v/>
      </c>
      <c r="J151" s="29">
        <f>H151*I151</f>
        <v/>
      </c>
      <c r="K151" s="6">
        <f>'02_Inputs'!H151</f>
        <v/>
      </c>
      <c r="L151" s="29">
        <f>J151*K151</f>
        <v/>
      </c>
      <c r="M151" s="29">
        <f>J151*(1-K151)</f>
        <v/>
      </c>
      <c r="N151" s="6">
        <f>'02_GPU_Mix_Input'!D151</f>
        <v/>
      </c>
      <c r="O151" s="6">
        <f>'02_GPU_Mix_Input'!E151</f>
        <v/>
      </c>
      <c r="P151" s="6">
        <f>'02_GPU_Mix_Input'!F151</f>
        <v/>
      </c>
      <c r="Q151" s="6">
        <f>'02_GPU_Mix_Input'!G151</f>
        <v/>
      </c>
      <c r="R151" s="7">
        <f>INDEX('01_Benchmark_Input'!$K$2:$K$10,MATCH(B151,'01_Benchmark_Input'!$A$2:$A$10,0))</f>
        <v/>
      </c>
      <c r="S151" s="7">
        <f>INDEX('01_Benchmark_Input'!$P$2:$P$10,MATCH(B151,'01_Benchmark_Input'!$A$2:$A$10,0))</f>
        <v/>
      </c>
      <c r="T151" s="7">
        <f>INDEX('01_Benchmark_Input'!$U$2:$U$10,MATCH(B151,'01_Benchmark_Input'!$A$2:$A$10,0))</f>
        <v/>
      </c>
      <c r="U151" s="7">
        <f>INDEX('01_Benchmark_Input'!$Z$2:$Z$10,MATCH(B151,'01_Benchmark_Input'!$A$2:$A$10,0))</f>
        <v/>
      </c>
      <c r="V151" s="6">
        <f>INDEX('01_Benchmark_Input'!$D$2:$D$10,MATCH(B151,'01_Benchmark_Input'!$A$2:$A$10,0))</f>
        <v/>
      </c>
      <c r="W151" s="6">
        <f>INDEX('01_Benchmark_Input'!$E$2:$E$10,MATCH(B151,'01_Benchmark_Input'!$A$2:$A$10,0))</f>
        <v/>
      </c>
      <c r="X151" s="6">
        <f>INDEX('01_Benchmark_Input'!$F$2:$F$10,MATCH(B151,'01_Benchmark_Input'!$A$2:$A$10,0))</f>
        <v/>
      </c>
      <c r="Y151" s="7">
        <f>N151*R151+O151*S151+P151*T151+Q151*U151</f>
        <v/>
      </c>
      <c r="Z151" s="6">
        <f>'02_Inputs'!K151</f>
        <v/>
      </c>
      <c r="AA151" s="7">
        <f>Y151*Z151</f>
        <v/>
      </c>
      <c r="AB151" s="5">
        <f>L151*1000*AA151*86400</f>
        <v/>
      </c>
      <c r="AC151" s="5">
        <f>AB151*365</f>
        <v/>
      </c>
    </row>
    <row r="152">
      <c r="A152" s="5">
        <f>'02_Inputs'!A152</f>
        <v/>
      </c>
      <c r="B152" s="5">
        <f>'02_Inputs'!B152</f>
        <v/>
      </c>
      <c r="C152" s="5">
        <f>'02_Inputs'!C152</f>
        <v/>
      </c>
      <c r="D152" s="29">
        <f>'02_Inputs'!D152</f>
        <v/>
      </c>
      <c r="E152" s="6">
        <f>'02_Inputs'!E152</f>
        <v/>
      </c>
      <c r="F152" s="29">
        <f>D152*E152</f>
        <v/>
      </c>
      <c r="G152" s="5">
        <f>'02_Inputs'!F152</f>
        <v/>
      </c>
      <c r="H152" s="29">
        <f>F152/G152</f>
        <v/>
      </c>
      <c r="I152" s="6">
        <f>'02_Inputs'!G152</f>
        <v/>
      </c>
      <c r="J152" s="29">
        <f>H152*I152</f>
        <v/>
      </c>
      <c r="K152" s="6">
        <f>'02_Inputs'!H152</f>
        <v/>
      </c>
      <c r="L152" s="29">
        <f>J152*K152</f>
        <v/>
      </c>
      <c r="M152" s="29">
        <f>J152*(1-K152)</f>
        <v/>
      </c>
      <c r="N152" s="6">
        <f>'02_GPU_Mix_Input'!D152</f>
        <v/>
      </c>
      <c r="O152" s="6">
        <f>'02_GPU_Mix_Input'!E152</f>
        <v/>
      </c>
      <c r="P152" s="6">
        <f>'02_GPU_Mix_Input'!F152</f>
        <v/>
      </c>
      <c r="Q152" s="6">
        <f>'02_GPU_Mix_Input'!G152</f>
        <v/>
      </c>
      <c r="R152" s="7">
        <f>INDEX('01_Benchmark_Input'!$K$2:$K$10,MATCH(B152,'01_Benchmark_Input'!$A$2:$A$10,0))</f>
        <v/>
      </c>
      <c r="S152" s="7">
        <f>INDEX('01_Benchmark_Input'!$P$2:$P$10,MATCH(B152,'01_Benchmark_Input'!$A$2:$A$10,0))</f>
        <v/>
      </c>
      <c r="T152" s="7">
        <f>INDEX('01_Benchmark_Input'!$U$2:$U$10,MATCH(B152,'01_Benchmark_Input'!$A$2:$A$10,0))</f>
        <v/>
      </c>
      <c r="U152" s="7">
        <f>INDEX('01_Benchmark_Input'!$Z$2:$Z$10,MATCH(B152,'01_Benchmark_Input'!$A$2:$A$10,0))</f>
        <v/>
      </c>
      <c r="V152" s="6">
        <f>INDEX('01_Benchmark_Input'!$D$2:$D$10,MATCH(B152,'01_Benchmark_Input'!$A$2:$A$10,0))</f>
        <v/>
      </c>
      <c r="W152" s="6">
        <f>INDEX('01_Benchmark_Input'!$E$2:$E$10,MATCH(B152,'01_Benchmark_Input'!$A$2:$A$10,0))</f>
        <v/>
      </c>
      <c r="X152" s="6">
        <f>INDEX('01_Benchmark_Input'!$F$2:$F$10,MATCH(B152,'01_Benchmark_Input'!$A$2:$A$10,0))</f>
        <v/>
      </c>
      <c r="Y152" s="7">
        <f>N152*R152+O152*S152+P152*T152+Q152*U152</f>
        <v/>
      </c>
      <c r="Z152" s="6">
        <f>'02_Inputs'!K152</f>
        <v/>
      </c>
      <c r="AA152" s="7">
        <f>Y152*Z152</f>
        <v/>
      </c>
      <c r="AB152" s="5">
        <f>L152*1000*AA152*86400</f>
        <v/>
      </c>
      <c r="AC152" s="5">
        <f>AB152*365</f>
        <v/>
      </c>
    </row>
    <row r="153">
      <c r="A153" s="5">
        <f>'02_Inputs'!A153</f>
        <v/>
      </c>
      <c r="B153" s="5">
        <f>'02_Inputs'!B153</f>
        <v/>
      </c>
      <c r="C153" s="5">
        <f>'02_Inputs'!C153</f>
        <v/>
      </c>
      <c r="D153" s="29">
        <f>'02_Inputs'!D153</f>
        <v/>
      </c>
      <c r="E153" s="6">
        <f>'02_Inputs'!E153</f>
        <v/>
      </c>
      <c r="F153" s="29">
        <f>D153*E153</f>
        <v/>
      </c>
      <c r="G153" s="5">
        <f>'02_Inputs'!F153</f>
        <v/>
      </c>
      <c r="H153" s="29">
        <f>F153/G153</f>
        <v/>
      </c>
      <c r="I153" s="6">
        <f>'02_Inputs'!G153</f>
        <v/>
      </c>
      <c r="J153" s="29">
        <f>H153*I153</f>
        <v/>
      </c>
      <c r="K153" s="6">
        <f>'02_Inputs'!H153</f>
        <v/>
      </c>
      <c r="L153" s="29">
        <f>J153*K153</f>
        <v/>
      </c>
      <c r="M153" s="29">
        <f>J153*(1-K153)</f>
        <v/>
      </c>
      <c r="N153" s="6">
        <f>'02_GPU_Mix_Input'!D153</f>
        <v/>
      </c>
      <c r="O153" s="6">
        <f>'02_GPU_Mix_Input'!E153</f>
        <v/>
      </c>
      <c r="P153" s="6">
        <f>'02_GPU_Mix_Input'!F153</f>
        <v/>
      </c>
      <c r="Q153" s="6">
        <f>'02_GPU_Mix_Input'!G153</f>
        <v/>
      </c>
      <c r="R153" s="7">
        <f>INDEX('01_Benchmark_Input'!$K$2:$K$10,MATCH(B153,'01_Benchmark_Input'!$A$2:$A$10,0))</f>
        <v/>
      </c>
      <c r="S153" s="7">
        <f>INDEX('01_Benchmark_Input'!$P$2:$P$10,MATCH(B153,'01_Benchmark_Input'!$A$2:$A$10,0))</f>
        <v/>
      </c>
      <c r="T153" s="7">
        <f>INDEX('01_Benchmark_Input'!$U$2:$U$10,MATCH(B153,'01_Benchmark_Input'!$A$2:$A$10,0))</f>
        <v/>
      </c>
      <c r="U153" s="7">
        <f>INDEX('01_Benchmark_Input'!$Z$2:$Z$10,MATCH(B153,'01_Benchmark_Input'!$A$2:$A$10,0))</f>
        <v/>
      </c>
      <c r="V153" s="6">
        <f>INDEX('01_Benchmark_Input'!$D$2:$D$10,MATCH(B153,'01_Benchmark_Input'!$A$2:$A$10,0))</f>
        <v/>
      </c>
      <c r="W153" s="6">
        <f>INDEX('01_Benchmark_Input'!$E$2:$E$10,MATCH(B153,'01_Benchmark_Input'!$A$2:$A$10,0))</f>
        <v/>
      </c>
      <c r="X153" s="6">
        <f>INDEX('01_Benchmark_Input'!$F$2:$F$10,MATCH(B153,'01_Benchmark_Input'!$A$2:$A$10,0))</f>
        <v/>
      </c>
      <c r="Y153" s="7">
        <f>N153*R153+O153*S153+P153*T153+Q153*U153</f>
        <v/>
      </c>
      <c r="Z153" s="6">
        <f>'02_Inputs'!K153</f>
        <v/>
      </c>
      <c r="AA153" s="7">
        <f>Y153*Z153</f>
        <v/>
      </c>
      <c r="AB153" s="5">
        <f>L153*1000*AA153*86400</f>
        <v/>
      </c>
      <c r="AC153" s="5">
        <f>AB153*365</f>
        <v/>
      </c>
    </row>
    <row r="154">
      <c r="A154" s="5">
        <f>'02_Inputs'!A154</f>
        <v/>
      </c>
      <c r="B154" s="5">
        <f>'02_Inputs'!B154</f>
        <v/>
      </c>
      <c r="C154" s="5">
        <f>'02_Inputs'!C154</f>
        <v/>
      </c>
      <c r="D154" s="29">
        <f>'02_Inputs'!D154</f>
        <v/>
      </c>
      <c r="E154" s="6">
        <f>'02_Inputs'!E154</f>
        <v/>
      </c>
      <c r="F154" s="29">
        <f>D154*E154</f>
        <v/>
      </c>
      <c r="G154" s="5">
        <f>'02_Inputs'!F154</f>
        <v/>
      </c>
      <c r="H154" s="29">
        <f>F154/G154</f>
        <v/>
      </c>
      <c r="I154" s="6">
        <f>'02_Inputs'!G154</f>
        <v/>
      </c>
      <c r="J154" s="29">
        <f>H154*I154</f>
        <v/>
      </c>
      <c r="K154" s="6">
        <f>'02_Inputs'!H154</f>
        <v/>
      </c>
      <c r="L154" s="29">
        <f>J154*K154</f>
        <v/>
      </c>
      <c r="M154" s="29">
        <f>J154*(1-K154)</f>
        <v/>
      </c>
      <c r="N154" s="6">
        <f>'02_GPU_Mix_Input'!D154</f>
        <v/>
      </c>
      <c r="O154" s="6">
        <f>'02_GPU_Mix_Input'!E154</f>
        <v/>
      </c>
      <c r="P154" s="6">
        <f>'02_GPU_Mix_Input'!F154</f>
        <v/>
      </c>
      <c r="Q154" s="6">
        <f>'02_GPU_Mix_Input'!G154</f>
        <v/>
      </c>
      <c r="R154" s="7">
        <f>INDEX('01_Benchmark_Input'!$K$2:$K$10,MATCH(B154,'01_Benchmark_Input'!$A$2:$A$10,0))</f>
        <v/>
      </c>
      <c r="S154" s="7">
        <f>INDEX('01_Benchmark_Input'!$P$2:$P$10,MATCH(B154,'01_Benchmark_Input'!$A$2:$A$10,0))</f>
        <v/>
      </c>
      <c r="T154" s="7">
        <f>INDEX('01_Benchmark_Input'!$U$2:$U$10,MATCH(B154,'01_Benchmark_Input'!$A$2:$A$10,0))</f>
        <v/>
      </c>
      <c r="U154" s="7">
        <f>INDEX('01_Benchmark_Input'!$Z$2:$Z$10,MATCH(B154,'01_Benchmark_Input'!$A$2:$A$10,0))</f>
        <v/>
      </c>
      <c r="V154" s="6">
        <f>INDEX('01_Benchmark_Input'!$D$2:$D$10,MATCH(B154,'01_Benchmark_Input'!$A$2:$A$10,0))</f>
        <v/>
      </c>
      <c r="W154" s="6">
        <f>INDEX('01_Benchmark_Input'!$E$2:$E$10,MATCH(B154,'01_Benchmark_Input'!$A$2:$A$10,0))</f>
        <v/>
      </c>
      <c r="X154" s="6">
        <f>INDEX('01_Benchmark_Input'!$F$2:$F$10,MATCH(B154,'01_Benchmark_Input'!$A$2:$A$10,0))</f>
        <v/>
      </c>
      <c r="Y154" s="7">
        <f>N154*R154+O154*S154+P154*T154+Q154*U154</f>
        <v/>
      </c>
      <c r="Z154" s="6">
        <f>'02_Inputs'!K154</f>
        <v/>
      </c>
      <c r="AA154" s="7">
        <f>Y154*Z154</f>
        <v/>
      </c>
      <c r="AB154" s="5">
        <f>L154*1000*AA154*86400</f>
        <v/>
      </c>
      <c r="AC154" s="5">
        <f>AB154*365</f>
        <v/>
      </c>
    </row>
    <row r="155">
      <c r="A155" s="5">
        <f>'02_Inputs'!A155</f>
        <v/>
      </c>
      <c r="B155" s="5">
        <f>'02_Inputs'!B155</f>
        <v/>
      </c>
      <c r="C155" s="5">
        <f>'02_Inputs'!C155</f>
        <v/>
      </c>
      <c r="D155" s="29">
        <f>'02_Inputs'!D155</f>
        <v/>
      </c>
      <c r="E155" s="6">
        <f>'02_Inputs'!E155</f>
        <v/>
      </c>
      <c r="F155" s="29">
        <f>D155*E155</f>
        <v/>
      </c>
      <c r="G155" s="5">
        <f>'02_Inputs'!F155</f>
        <v/>
      </c>
      <c r="H155" s="29">
        <f>F155/G155</f>
        <v/>
      </c>
      <c r="I155" s="6">
        <f>'02_Inputs'!G155</f>
        <v/>
      </c>
      <c r="J155" s="29">
        <f>H155*I155</f>
        <v/>
      </c>
      <c r="K155" s="6">
        <f>'02_Inputs'!H155</f>
        <v/>
      </c>
      <c r="L155" s="29">
        <f>J155*K155</f>
        <v/>
      </c>
      <c r="M155" s="29">
        <f>J155*(1-K155)</f>
        <v/>
      </c>
      <c r="N155" s="6">
        <f>'02_GPU_Mix_Input'!D155</f>
        <v/>
      </c>
      <c r="O155" s="6">
        <f>'02_GPU_Mix_Input'!E155</f>
        <v/>
      </c>
      <c r="P155" s="6">
        <f>'02_GPU_Mix_Input'!F155</f>
        <v/>
      </c>
      <c r="Q155" s="6">
        <f>'02_GPU_Mix_Input'!G155</f>
        <v/>
      </c>
      <c r="R155" s="7">
        <f>INDEX('01_Benchmark_Input'!$K$2:$K$10,MATCH(B155,'01_Benchmark_Input'!$A$2:$A$10,0))</f>
        <v/>
      </c>
      <c r="S155" s="7">
        <f>INDEX('01_Benchmark_Input'!$P$2:$P$10,MATCH(B155,'01_Benchmark_Input'!$A$2:$A$10,0))</f>
        <v/>
      </c>
      <c r="T155" s="7">
        <f>INDEX('01_Benchmark_Input'!$U$2:$U$10,MATCH(B155,'01_Benchmark_Input'!$A$2:$A$10,0))</f>
        <v/>
      </c>
      <c r="U155" s="7">
        <f>INDEX('01_Benchmark_Input'!$Z$2:$Z$10,MATCH(B155,'01_Benchmark_Input'!$A$2:$A$10,0))</f>
        <v/>
      </c>
      <c r="V155" s="6">
        <f>INDEX('01_Benchmark_Input'!$D$2:$D$10,MATCH(B155,'01_Benchmark_Input'!$A$2:$A$10,0))</f>
        <v/>
      </c>
      <c r="W155" s="6">
        <f>INDEX('01_Benchmark_Input'!$E$2:$E$10,MATCH(B155,'01_Benchmark_Input'!$A$2:$A$10,0))</f>
        <v/>
      </c>
      <c r="X155" s="6">
        <f>INDEX('01_Benchmark_Input'!$F$2:$F$10,MATCH(B155,'01_Benchmark_Input'!$A$2:$A$10,0))</f>
        <v/>
      </c>
      <c r="Y155" s="7">
        <f>N155*R155+O155*S155+P155*T155+Q155*U155</f>
        <v/>
      </c>
      <c r="Z155" s="6">
        <f>'02_Inputs'!K155</f>
        <v/>
      </c>
      <c r="AA155" s="7">
        <f>Y155*Z155</f>
        <v/>
      </c>
      <c r="AB155" s="5">
        <f>L155*1000*AA155*86400</f>
        <v/>
      </c>
      <c r="AC155" s="5">
        <f>AB155*365</f>
        <v/>
      </c>
    </row>
    <row r="156">
      <c r="A156" s="5">
        <f>'02_Inputs'!A156</f>
        <v/>
      </c>
      <c r="B156" s="5">
        <f>'02_Inputs'!B156</f>
        <v/>
      </c>
      <c r="C156" s="5">
        <f>'02_Inputs'!C156</f>
        <v/>
      </c>
      <c r="D156" s="29">
        <f>'02_Inputs'!D156</f>
        <v/>
      </c>
      <c r="E156" s="6">
        <f>'02_Inputs'!E156</f>
        <v/>
      </c>
      <c r="F156" s="29">
        <f>D156*E156</f>
        <v/>
      </c>
      <c r="G156" s="5">
        <f>'02_Inputs'!F156</f>
        <v/>
      </c>
      <c r="H156" s="29">
        <f>F156/G156</f>
        <v/>
      </c>
      <c r="I156" s="6">
        <f>'02_Inputs'!G156</f>
        <v/>
      </c>
      <c r="J156" s="29">
        <f>H156*I156</f>
        <v/>
      </c>
      <c r="K156" s="6">
        <f>'02_Inputs'!H156</f>
        <v/>
      </c>
      <c r="L156" s="29">
        <f>J156*K156</f>
        <v/>
      </c>
      <c r="M156" s="29">
        <f>J156*(1-K156)</f>
        <v/>
      </c>
      <c r="N156" s="6">
        <f>'02_GPU_Mix_Input'!D156</f>
        <v/>
      </c>
      <c r="O156" s="6">
        <f>'02_GPU_Mix_Input'!E156</f>
        <v/>
      </c>
      <c r="P156" s="6">
        <f>'02_GPU_Mix_Input'!F156</f>
        <v/>
      </c>
      <c r="Q156" s="6">
        <f>'02_GPU_Mix_Input'!G156</f>
        <v/>
      </c>
      <c r="R156" s="7">
        <f>INDEX('01_Benchmark_Input'!$K$2:$K$10,MATCH(B156,'01_Benchmark_Input'!$A$2:$A$10,0))</f>
        <v/>
      </c>
      <c r="S156" s="7">
        <f>INDEX('01_Benchmark_Input'!$P$2:$P$10,MATCH(B156,'01_Benchmark_Input'!$A$2:$A$10,0))</f>
        <v/>
      </c>
      <c r="T156" s="7">
        <f>INDEX('01_Benchmark_Input'!$U$2:$U$10,MATCH(B156,'01_Benchmark_Input'!$A$2:$A$10,0))</f>
        <v/>
      </c>
      <c r="U156" s="7">
        <f>INDEX('01_Benchmark_Input'!$Z$2:$Z$10,MATCH(B156,'01_Benchmark_Input'!$A$2:$A$10,0))</f>
        <v/>
      </c>
      <c r="V156" s="6">
        <f>INDEX('01_Benchmark_Input'!$D$2:$D$10,MATCH(B156,'01_Benchmark_Input'!$A$2:$A$10,0))</f>
        <v/>
      </c>
      <c r="W156" s="6">
        <f>INDEX('01_Benchmark_Input'!$E$2:$E$10,MATCH(B156,'01_Benchmark_Input'!$A$2:$A$10,0))</f>
        <v/>
      </c>
      <c r="X156" s="6">
        <f>INDEX('01_Benchmark_Input'!$F$2:$F$10,MATCH(B156,'01_Benchmark_Input'!$A$2:$A$10,0))</f>
        <v/>
      </c>
      <c r="Y156" s="7">
        <f>N156*R156+O156*S156+P156*T156+Q156*U156</f>
        <v/>
      </c>
      <c r="Z156" s="6">
        <f>'02_Inputs'!K156</f>
        <v/>
      </c>
      <c r="AA156" s="7">
        <f>Y156*Z156</f>
        <v/>
      </c>
      <c r="AB156" s="5">
        <f>L156*1000*AA156*86400</f>
        <v/>
      </c>
      <c r="AC156" s="5">
        <f>AB156*365</f>
        <v/>
      </c>
    </row>
    <row r="157">
      <c r="A157" s="5">
        <f>'02_Inputs'!A157</f>
        <v/>
      </c>
      <c r="B157" s="5">
        <f>'02_Inputs'!B157</f>
        <v/>
      </c>
      <c r="C157" s="5">
        <f>'02_Inputs'!C157</f>
        <v/>
      </c>
      <c r="D157" s="29">
        <f>'02_Inputs'!D157</f>
        <v/>
      </c>
      <c r="E157" s="6">
        <f>'02_Inputs'!E157</f>
        <v/>
      </c>
      <c r="F157" s="29">
        <f>D157*E157</f>
        <v/>
      </c>
      <c r="G157" s="5">
        <f>'02_Inputs'!F157</f>
        <v/>
      </c>
      <c r="H157" s="29">
        <f>F157/G157</f>
        <v/>
      </c>
      <c r="I157" s="6">
        <f>'02_Inputs'!G157</f>
        <v/>
      </c>
      <c r="J157" s="29">
        <f>H157*I157</f>
        <v/>
      </c>
      <c r="K157" s="6">
        <f>'02_Inputs'!H157</f>
        <v/>
      </c>
      <c r="L157" s="29">
        <f>J157*K157</f>
        <v/>
      </c>
      <c r="M157" s="29">
        <f>J157*(1-K157)</f>
        <v/>
      </c>
      <c r="N157" s="6">
        <f>'02_GPU_Mix_Input'!D157</f>
        <v/>
      </c>
      <c r="O157" s="6">
        <f>'02_GPU_Mix_Input'!E157</f>
        <v/>
      </c>
      <c r="P157" s="6">
        <f>'02_GPU_Mix_Input'!F157</f>
        <v/>
      </c>
      <c r="Q157" s="6">
        <f>'02_GPU_Mix_Input'!G157</f>
        <v/>
      </c>
      <c r="R157" s="7">
        <f>INDEX('01_Benchmark_Input'!$K$2:$K$10,MATCH(B157,'01_Benchmark_Input'!$A$2:$A$10,0))</f>
        <v/>
      </c>
      <c r="S157" s="7">
        <f>INDEX('01_Benchmark_Input'!$P$2:$P$10,MATCH(B157,'01_Benchmark_Input'!$A$2:$A$10,0))</f>
        <v/>
      </c>
      <c r="T157" s="7">
        <f>INDEX('01_Benchmark_Input'!$U$2:$U$10,MATCH(B157,'01_Benchmark_Input'!$A$2:$A$10,0))</f>
        <v/>
      </c>
      <c r="U157" s="7">
        <f>INDEX('01_Benchmark_Input'!$Z$2:$Z$10,MATCH(B157,'01_Benchmark_Input'!$A$2:$A$10,0))</f>
        <v/>
      </c>
      <c r="V157" s="6">
        <f>INDEX('01_Benchmark_Input'!$D$2:$D$10,MATCH(B157,'01_Benchmark_Input'!$A$2:$A$10,0))</f>
        <v/>
      </c>
      <c r="W157" s="6">
        <f>INDEX('01_Benchmark_Input'!$E$2:$E$10,MATCH(B157,'01_Benchmark_Input'!$A$2:$A$10,0))</f>
        <v/>
      </c>
      <c r="X157" s="6">
        <f>INDEX('01_Benchmark_Input'!$F$2:$F$10,MATCH(B157,'01_Benchmark_Input'!$A$2:$A$10,0))</f>
        <v/>
      </c>
      <c r="Y157" s="7">
        <f>N157*R157+O157*S157+P157*T157+Q157*U157</f>
        <v/>
      </c>
      <c r="Z157" s="6">
        <f>'02_Inputs'!K157</f>
        <v/>
      </c>
      <c r="AA157" s="7">
        <f>Y157*Z157</f>
        <v/>
      </c>
      <c r="AB157" s="5">
        <f>L157*1000*AA157*86400</f>
        <v/>
      </c>
      <c r="AC157" s="5">
        <f>AB157*365</f>
        <v/>
      </c>
    </row>
    <row r="158">
      <c r="A158" s="5">
        <f>'02_Inputs'!A158</f>
        <v/>
      </c>
      <c r="B158" s="5">
        <f>'02_Inputs'!B158</f>
        <v/>
      </c>
      <c r="C158" s="5">
        <f>'02_Inputs'!C158</f>
        <v/>
      </c>
      <c r="D158" s="29">
        <f>'02_Inputs'!D158</f>
        <v/>
      </c>
      <c r="E158" s="6">
        <f>'02_Inputs'!E158</f>
        <v/>
      </c>
      <c r="F158" s="29">
        <f>D158*E158</f>
        <v/>
      </c>
      <c r="G158" s="5">
        <f>'02_Inputs'!F158</f>
        <v/>
      </c>
      <c r="H158" s="29">
        <f>F158/G158</f>
        <v/>
      </c>
      <c r="I158" s="6">
        <f>'02_Inputs'!G158</f>
        <v/>
      </c>
      <c r="J158" s="29">
        <f>H158*I158</f>
        <v/>
      </c>
      <c r="K158" s="6">
        <f>'02_Inputs'!H158</f>
        <v/>
      </c>
      <c r="L158" s="29">
        <f>J158*K158</f>
        <v/>
      </c>
      <c r="M158" s="29">
        <f>J158*(1-K158)</f>
        <v/>
      </c>
      <c r="N158" s="6">
        <f>'02_GPU_Mix_Input'!D158</f>
        <v/>
      </c>
      <c r="O158" s="6">
        <f>'02_GPU_Mix_Input'!E158</f>
        <v/>
      </c>
      <c r="P158" s="6">
        <f>'02_GPU_Mix_Input'!F158</f>
        <v/>
      </c>
      <c r="Q158" s="6">
        <f>'02_GPU_Mix_Input'!G158</f>
        <v/>
      </c>
      <c r="R158" s="7">
        <f>INDEX('01_Benchmark_Input'!$K$2:$K$10,MATCH(B158,'01_Benchmark_Input'!$A$2:$A$10,0))</f>
        <v/>
      </c>
      <c r="S158" s="7">
        <f>INDEX('01_Benchmark_Input'!$P$2:$P$10,MATCH(B158,'01_Benchmark_Input'!$A$2:$A$10,0))</f>
        <v/>
      </c>
      <c r="T158" s="7">
        <f>INDEX('01_Benchmark_Input'!$U$2:$U$10,MATCH(B158,'01_Benchmark_Input'!$A$2:$A$10,0))</f>
        <v/>
      </c>
      <c r="U158" s="7">
        <f>INDEX('01_Benchmark_Input'!$Z$2:$Z$10,MATCH(B158,'01_Benchmark_Input'!$A$2:$A$10,0))</f>
        <v/>
      </c>
      <c r="V158" s="6">
        <f>INDEX('01_Benchmark_Input'!$D$2:$D$10,MATCH(B158,'01_Benchmark_Input'!$A$2:$A$10,0))</f>
        <v/>
      </c>
      <c r="W158" s="6">
        <f>INDEX('01_Benchmark_Input'!$E$2:$E$10,MATCH(B158,'01_Benchmark_Input'!$A$2:$A$10,0))</f>
        <v/>
      </c>
      <c r="X158" s="6">
        <f>INDEX('01_Benchmark_Input'!$F$2:$F$10,MATCH(B158,'01_Benchmark_Input'!$A$2:$A$10,0))</f>
        <v/>
      </c>
      <c r="Y158" s="7">
        <f>N158*R158+O158*S158+P158*T158+Q158*U158</f>
        <v/>
      </c>
      <c r="Z158" s="6">
        <f>'02_Inputs'!K158</f>
        <v/>
      </c>
      <c r="AA158" s="7">
        <f>Y158*Z158</f>
        <v/>
      </c>
      <c r="AB158" s="5">
        <f>L158*1000*AA158*86400</f>
        <v/>
      </c>
      <c r="AC158" s="5">
        <f>AB158*365</f>
        <v/>
      </c>
    </row>
    <row r="159">
      <c r="A159" s="5">
        <f>'02_Inputs'!A159</f>
        <v/>
      </c>
      <c r="B159" s="5">
        <f>'02_Inputs'!B159</f>
        <v/>
      </c>
      <c r="C159" s="5">
        <f>'02_Inputs'!C159</f>
        <v/>
      </c>
      <c r="D159" s="29">
        <f>'02_Inputs'!D159</f>
        <v/>
      </c>
      <c r="E159" s="6">
        <f>'02_Inputs'!E159</f>
        <v/>
      </c>
      <c r="F159" s="29">
        <f>D159*E159</f>
        <v/>
      </c>
      <c r="G159" s="5">
        <f>'02_Inputs'!F159</f>
        <v/>
      </c>
      <c r="H159" s="29">
        <f>F159/G159</f>
        <v/>
      </c>
      <c r="I159" s="6">
        <f>'02_Inputs'!G159</f>
        <v/>
      </c>
      <c r="J159" s="29">
        <f>H159*I159</f>
        <v/>
      </c>
      <c r="K159" s="6">
        <f>'02_Inputs'!H159</f>
        <v/>
      </c>
      <c r="L159" s="29">
        <f>J159*K159</f>
        <v/>
      </c>
      <c r="M159" s="29">
        <f>J159*(1-K159)</f>
        <v/>
      </c>
      <c r="N159" s="6">
        <f>'02_GPU_Mix_Input'!D159</f>
        <v/>
      </c>
      <c r="O159" s="6">
        <f>'02_GPU_Mix_Input'!E159</f>
        <v/>
      </c>
      <c r="P159" s="6">
        <f>'02_GPU_Mix_Input'!F159</f>
        <v/>
      </c>
      <c r="Q159" s="6">
        <f>'02_GPU_Mix_Input'!G159</f>
        <v/>
      </c>
      <c r="R159" s="7">
        <f>INDEX('01_Benchmark_Input'!$K$2:$K$10,MATCH(B159,'01_Benchmark_Input'!$A$2:$A$10,0))</f>
        <v/>
      </c>
      <c r="S159" s="7">
        <f>INDEX('01_Benchmark_Input'!$P$2:$P$10,MATCH(B159,'01_Benchmark_Input'!$A$2:$A$10,0))</f>
        <v/>
      </c>
      <c r="T159" s="7">
        <f>INDEX('01_Benchmark_Input'!$U$2:$U$10,MATCH(B159,'01_Benchmark_Input'!$A$2:$A$10,0))</f>
        <v/>
      </c>
      <c r="U159" s="7">
        <f>INDEX('01_Benchmark_Input'!$Z$2:$Z$10,MATCH(B159,'01_Benchmark_Input'!$A$2:$A$10,0))</f>
        <v/>
      </c>
      <c r="V159" s="6">
        <f>INDEX('01_Benchmark_Input'!$D$2:$D$10,MATCH(B159,'01_Benchmark_Input'!$A$2:$A$10,0))</f>
        <v/>
      </c>
      <c r="W159" s="6">
        <f>INDEX('01_Benchmark_Input'!$E$2:$E$10,MATCH(B159,'01_Benchmark_Input'!$A$2:$A$10,0))</f>
        <v/>
      </c>
      <c r="X159" s="6">
        <f>INDEX('01_Benchmark_Input'!$F$2:$F$10,MATCH(B159,'01_Benchmark_Input'!$A$2:$A$10,0))</f>
        <v/>
      </c>
      <c r="Y159" s="7">
        <f>N159*R159+O159*S159+P159*T159+Q159*U159</f>
        <v/>
      </c>
      <c r="Z159" s="6">
        <f>'02_Inputs'!K159</f>
        <v/>
      </c>
      <c r="AA159" s="7">
        <f>Y159*Z159</f>
        <v/>
      </c>
      <c r="AB159" s="5">
        <f>L159*1000*AA159*86400</f>
        <v/>
      </c>
      <c r="AC159" s="5">
        <f>AB159*365</f>
        <v/>
      </c>
    </row>
    <row r="160">
      <c r="A160" s="5">
        <f>'02_Inputs'!A160</f>
        <v/>
      </c>
      <c r="B160" s="5">
        <f>'02_Inputs'!B160</f>
        <v/>
      </c>
      <c r="C160" s="5">
        <f>'02_Inputs'!C160</f>
        <v/>
      </c>
      <c r="D160" s="29">
        <f>'02_Inputs'!D160</f>
        <v/>
      </c>
      <c r="E160" s="6">
        <f>'02_Inputs'!E160</f>
        <v/>
      </c>
      <c r="F160" s="29">
        <f>D160*E160</f>
        <v/>
      </c>
      <c r="G160" s="5">
        <f>'02_Inputs'!F160</f>
        <v/>
      </c>
      <c r="H160" s="29">
        <f>F160/G160</f>
        <v/>
      </c>
      <c r="I160" s="6">
        <f>'02_Inputs'!G160</f>
        <v/>
      </c>
      <c r="J160" s="29">
        <f>H160*I160</f>
        <v/>
      </c>
      <c r="K160" s="6">
        <f>'02_Inputs'!H160</f>
        <v/>
      </c>
      <c r="L160" s="29">
        <f>J160*K160</f>
        <v/>
      </c>
      <c r="M160" s="29">
        <f>J160*(1-K160)</f>
        <v/>
      </c>
      <c r="N160" s="6">
        <f>'02_GPU_Mix_Input'!D160</f>
        <v/>
      </c>
      <c r="O160" s="6">
        <f>'02_GPU_Mix_Input'!E160</f>
        <v/>
      </c>
      <c r="P160" s="6">
        <f>'02_GPU_Mix_Input'!F160</f>
        <v/>
      </c>
      <c r="Q160" s="6">
        <f>'02_GPU_Mix_Input'!G160</f>
        <v/>
      </c>
      <c r="R160" s="7">
        <f>INDEX('01_Benchmark_Input'!$K$2:$K$10,MATCH(B160,'01_Benchmark_Input'!$A$2:$A$10,0))</f>
        <v/>
      </c>
      <c r="S160" s="7">
        <f>INDEX('01_Benchmark_Input'!$P$2:$P$10,MATCH(B160,'01_Benchmark_Input'!$A$2:$A$10,0))</f>
        <v/>
      </c>
      <c r="T160" s="7">
        <f>INDEX('01_Benchmark_Input'!$U$2:$U$10,MATCH(B160,'01_Benchmark_Input'!$A$2:$A$10,0))</f>
        <v/>
      </c>
      <c r="U160" s="7">
        <f>INDEX('01_Benchmark_Input'!$Z$2:$Z$10,MATCH(B160,'01_Benchmark_Input'!$A$2:$A$10,0))</f>
        <v/>
      </c>
      <c r="V160" s="6">
        <f>INDEX('01_Benchmark_Input'!$D$2:$D$10,MATCH(B160,'01_Benchmark_Input'!$A$2:$A$10,0))</f>
        <v/>
      </c>
      <c r="W160" s="6">
        <f>INDEX('01_Benchmark_Input'!$E$2:$E$10,MATCH(B160,'01_Benchmark_Input'!$A$2:$A$10,0))</f>
        <v/>
      </c>
      <c r="X160" s="6">
        <f>INDEX('01_Benchmark_Input'!$F$2:$F$10,MATCH(B160,'01_Benchmark_Input'!$A$2:$A$10,0))</f>
        <v/>
      </c>
      <c r="Y160" s="7">
        <f>N160*R160+O160*S160+P160*T160+Q160*U160</f>
        <v/>
      </c>
      <c r="Z160" s="6">
        <f>'02_Inputs'!K160</f>
        <v/>
      </c>
      <c r="AA160" s="7">
        <f>Y160*Z160</f>
        <v/>
      </c>
      <c r="AB160" s="5">
        <f>L160*1000*AA160*86400</f>
        <v/>
      </c>
      <c r="AC160" s="5">
        <f>AB160*365</f>
        <v/>
      </c>
    </row>
    <row r="161">
      <c r="A161" s="5">
        <f>'02_Inputs'!A161</f>
        <v/>
      </c>
      <c r="B161" s="5">
        <f>'02_Inputs'!B161</f>
        <v/>
      </c>
      <c r="C161" s="5">
        <f>'02_Inputs'!C161</f>
        <v/>
      </c>
      <c r="D161" s="29">
        <f>'02_Inputs'!D161</f>
        <v/>
      </c>
      <c r="E161" s="6">
        <f>'02_Inputs'!E161</f>
        <v/>
      </c>
      <c r="F161" s="29">
        <f>D161*E161</f>
        <v/>
      </c>
      <c r="G161" s="5">
        <f>'02_Inputs'!F161</f>
        <v/>
      </c>
      <c r="H161" s="29">
        <f>F161/G161</f>
        <v/>
      </c>
      <c r="I161" s="6">
        <f>'02_Inputs'!G161</f>
        <v/>
      </c>
      <c r="J161" s="29">
        <f>H161*I161</f>
        <v/>
      </c>
      <c r="K161" s="6">
        <f>'02_Inputs'!H161</f>
        <v/>
      </c>
      <c r="L161" s="29">
        <f>J161*K161</f>
        <v/>
      </c>
      <c r="M161" s="29">
        <f>J161*(1-K161)</f>
        <v/>
      </c>
      <c r="N161" s="6">
        <f>'02_GPU_Mix_Input'!D161</f>
        <v/>
      </c>
      <c r="O161" s="6">
        <f>'02_GPU_Mix_Input'!E161</f>
        <v/>
      </c>
      <c r="P161" s="6">
        <f>'02_GPU_Mix_Input'!F161</f>
        <v/>
      </c>
      <c r="Q161" s="6">
        <f>'02_GPU_Mix_Input'!G161</f>
        <v/>
      </c>
      <c r="R161" s="7">
        <f>INDEX('01_Benchmark_Input'!$K$2:$K$10,MATCH(B161,'01_Benchmark_Input'!$A$2:$A$10,0))</f>
        <v/>
      </c>
      <c r="S161" s="7">
        <f>INDEX('01_Benchmark_Input'!$P$2:$P$10,MATCH(B161,'01_Benchmark_Input'!$A$2:$A$10,0))</f>
        <v/>
      </c>
      <c r="T161" s="7">
        <f>INDEX('01_Benchmark_Input'!$U$2:$U$10,MATCH(B161,'01_Benchmark_Input'!$A$2:$A$10,0))</f>
        <v/>
      </c>
      <c r="U161" s="7">
        <f>INDEX('01_Benchmark_Input'!$Z$2:$Z$10,MATCH(B161,'01_Benchmark_Input'!$A$2:$A$10,0))</f>
        <v/>
      </c>
      <c r="V161" s="6">
        <f>INDEX('01_Benchmark_Input'!$D$2:$D$10,MATCH(B161,'01_Benchmark_Input'!$A$2:$A$10,0))</f>
        <v/>
      </c>
      <c r="W161" s="6">
        <f>INDEX('01_Benchmark_Input'!$E$2:$E$10,MATCH(B161,'01_Benchmark_Input'!$A$2:$A$10,0))</f>
        <v/>
      </c>
      <c r="X161" s="6">
        <f>INDEX('01_Benchmark_Input'!$F$2:$F$10,MATCH(B161,'01_Benchmark_Input'!$A$2:$A$10,0))</f>
        <v/>
      </c>
      <c r="Y161" s="7">
        <f>N161*R161+O161*S161+P161*T161+Q161*U161</f>
        <v/>
      </c>
      <c r="Z161" s="6">
        <f>'02_Inputs'!K161</f>
        <v/>
      </c>
      <c r="AA161" s="7">
        <f>Y161*Z161</f>
        <v/>
      </c>
      <c r="AB161" s="5">
        <f>L161*1000*AA161*86400</f>
        <v/>
      </c>
      <c r="AC161" s="5">
        <f>AB161*365</f>
        <v/>
      </c>
    </row>
    <row r="162">
      <c r="A162" s="5">
        <f>'02_Inputs'!A162</f>
        <v/>
      </c>
      <c r="B162" s="5">
        <f>'02_Inputs'!B162</f>
        <v/>
      </c>
      <c r="C162" s="5">
        <f>'02_Inputs'!C162</f>
        <v/>
      </c>
      <c r="D162" s="29">
        <f>'02_Inputs'!D162</f>
        <v/>
      </c>
      <c r="E162" s="6">
        <f>'02_Inputs'!E162</f>
        <v/>
      </c>
      <c r="F162" s="29">
        <f>D162*E162</f>
        <v/>
      </c>
      <c r="G162" s="5">
        <f>'02_Inputs'!F162</f>
        <v/>
      </c>
      <c r="H162" s="29">
        <f>F162/G162</f>
        <v/>
      </c>
      <c r="I162" s="6">
        <f>'02_Inputs'!G162</f>
        <v/>
      </c>
      <c r="J162" s="29">
        <f>H162*I162</f>
        <v/>
      </c>
      <c r="K162" s="6">
        <f>'02_Inputs'!H162</f>
        <v/>
      </c>
      <c r="L162" s="29">
        <f>J162*K162</f>
        <v/>
      </c>
      <c r="M162" s="29">
        <f>J162*(1-K162)</f>
        <v/>
      </c>
      <c r="N162" s="6">
        <f>'02_GPU_Mix_Input'!D162</f>
        <v/>
      </c>
      <c r="O162" s="6">
        <f>'02_GPU_Mix_Input'!E162</f>
        <v/>
      </c>
      <c r="P162" s="6">
        <f>'02_GPU_Mix_Input'!F162</f>
        <v/>
      </c>
      <c r="Q162" s="6">
        <f>'02_GPU_Mix_Input'!G162</f>
        <v/>
      </c>
      <c r="R162" s="7">
        <f>INDEX('01_Benchmark_Input'!$K$2:$K$10,MATCH(B162,'01_Benchmark_Input'!$A$2:$A$10,0))</f>
        <v/>
      </c>
      <c r="S162" s="7">
        <f>INDEX('01_Benchmark_Input'!$P$2:$P$10,MATCH(B162,'01_Benchmark_Input'!$A$2:$A$10,0))</f>
        <v/>
      </c>
      <c r="T162" s="7">
        <f>INDEX('01_Benchmark_Input'!$U$2:$U$10,MATCH(B162,'01_Benchmark_Input'!$A$2:$A$10,0))</f>
        <v/>
      </c>
      <c r="U162" s="7">
        <f>INDEX('01_Benchmark_Input'!$Z$2:$Z$10,MATCH(B162,'01_Benchmark_Input'!$A$2:$A$10,0))</f>
        <v/>
      </c>
      <c r="V162" s="6">
        <f>INDEX('01_Benchmark_Input'!$D$2:$D$10,MATCH(B162,'01_Benchmark_Input'!$A$2:$A$10,0))</f>
        <v/>
      </c>
      <c r="W162" s="6">
        <f>INDEX('01_Benchmark_Input'!$E$2:$E$10,MATCH(B162,'01_Benchmark_Input'!$A$2:$A$10,0))</f>
        <v/>
      </c>
      <c r="X162" s="6">
        <f>INDEX('01_Benchmark_Input'!$F$2:$F$10,MATCH(B162,'01_Benchmark_Input'!$A$2:$A$10,0))</f>
        <v/>
      </c>
      <c r="Y162" s="7">
        <f>N162*R162+O162*S162+P162*T162+Q162*U162</f>
        <v/>
      </c>
      <c r="Z162" s="6">
        <f>'02_Inputs'!K162</f>
        <v/>
      </c>
      <c r="AA162" s="7">
        <f>Y162*Z162</f>
        <v/>
      </c>
      <c r="AB162" s="5">
        <f>L162*1000*AA162*86400</f>
        <v/>
      </c>
      <c r="AC162" s="5">
        <f>AB162*365</f>
        <v/>
      </c>
    </row>
    <row r="163">
      <c r="A163" s="5">
        <f>'02_Inputs'!A163</f>
        <v/>
      </c>
      <c r="B163" s="5">
        <f>'02_Inputs'!B163</f>
        <v/>
      </c>
      <c r="C163" s="5">
        <f>'02_Inputs'!C163</f>
        <v/>
      </c>
      <c r="D163" s="29">
        <f>'02_Inputs'!D163</f>
        <v/>
      </c>
      <c r="E163" s="6">
        <f>'02_Inputs'!E163</f>
        <v/>
      </c>
      <c r="F163" s="29">
        <f>D163*E163</f>
        <v/>
      </c>
      <c r="G163" s="5">
        <f>'02_Inputs'!F163</f>
        <v/>
      </c>
      <c r="H163" s="29">
        <f>F163/G163</f>
        <v/>
      </c>
      <c r="I163" s="6">
        <f>'02_Inputs'!G163</f>
        <v/>
      </c>
      <c r="J163" s="29">
        <f>H163*I163</f>
        <v/>
      </c>
      <c r="K163" s="6">
        <f>'02_Inputs'!H163</f>
        <v/>
      </c>
      <c r="L163" s="29">
        <f>J163*K163</f>
        <v/>
      </c>
      <c r="M163" s="29">
        <f>J163*(1-K163)</f>
        <v/>
      </c>
      <c r="N163" s="6">
        <f>'02_GPU_Mix_Input'!D163</f>
        <v/>
      </c>
      <c r="O163" s="6">
        <f>'02_GPU_Mix_Input'!E163</f>
        <v/>
      </c>
      <c r="P163" s="6">
        <f>'02_GPU_Mix_Input'!F163</f>
        <v/>
      </c>
      <c r="Q163" s="6">
        <f>'02_GPU_Mix_Input'!G163</f>
        <v/>
      </c>
      <c r="R163" s="7">
        <f>INDEX('01_Benchmark_Input'!$K$2:$K$10,MATCH(B163,'01_Benchmark_Input'!$A$2:$A$10,0))</f>
        <v/>
      </c>
      <c r="S163" s="7">
        <f>INDEX('01_Benchmark_Input'!$P$2:$P$10,MATCH(B163,'01_Benchmark_Input'!$A$2:$A$10,0))</f>
        <v/>
      </c>
      <c r="T163" s="7">
        <f>INDEX('01_Benchmark_Input'!$U$2:$U$10,MATCH(B163,'01_Benchmark_Input'!$A$2:$A$10,0))</f>
        <v/>
      </c>
      <c r="U163" s="7">
        <f>INDEX('01_Benchmark_Input'!$Z$2:$Z$10,MATCH(B163,'01_Benchmark_Input'!$A$2:$A$10,0))</f>
        <v/>
      </c>
      <c r="V163" s="6">
        <f>INDEX('01_Benchmark_Input'!$D$2:$D$10,MATCH(B163,'01_Benchmark_Input'!$A$2:$A$10,0))</f>
        <v/>
      </c>
      <c r="W163" s="6">
        <f>INDEX('01_Benchmark_Input'!$E$2:$E$10,MATCH(B163,'01_Benchmark_Input'!$A$2:$A$10,0))</f>
        <v/>
      </c>
      <c r="X163" s="6">
        <f>INDEX('01_Benchmark_Input'!$F$2:$F$10,MATCH(B163,'01_Benchmark_Input'!$A$2:$A$10,0))</f>
        <v/>
      </c>
      <c r="Y163" s="7">
        <f>N163*R163+O163*S163+P163*T163+Q163*U163</f>
        <v/>
      </c>
      <c r="Z163" s="6">
        <f>'02_Inputs'!K163</f>
        <v/>
      </c>
      <c r="AA163" s="7">
        <f>Y163*Z163</f>
        <v/>
      </c>
      <c r="AB163" s="5">
        <f>L163*1000*AA163*86400</f>
        <v/>
      </c>
      <c r="AC163" s="5">
        <f>AB163*365</f>
        <v/>
      </c>
    </row>
    <row r="164">
      <c r="A164" s="5">
        <f>'02_Inputs'!A164</f>
        <v/>
      </c>
      <c r="B164" s="5">
        <f>'02_Inputs'!B164</f>
        <v/>
      </c>
      <c r="C164" s="5">
        <f>'02_Inputs'!C164</f>
        <v/>
      </c>
      <c r="D164" s="29">
        <f>'02_Inputs'!D164</f>
        <v/>
      </c>
      <c r="E164" s="6">
        <f>'02_Inputs'!E164</f>
        <v/>
      </c>
      <c r="F164" s="29">
        <f>D164*E164</f>
        <v/>
      </c>
      <c r="G164" s="5">
        <f>'02_Inputs'!F164</f>
        <v/>
      </c>
      <c r="H164" s="29">
        <f>F164/G164</f>
        <v/>
      </c>
      <c r="I164" s="6">
        <f>'02_Inputs'!G164</f>
        <v/>
      </c>
      <c r="J164" s="29">
        <f>H164*I164</f>
        <v/>
      </c>
      <c r="K164" s="6">
        <f>'02_Inputs'!H164</f>
        <v/>
      </c>
      <c r="L164" s="29">
        <f>J164*K164</f>
        <v/>
      </c>
      <c r="M164" s="29">
        <f>J164*(1-K164)</f>
        <v/>
      </c>
      <c r="N164" s="6">
        <f>'02_GPU_Mix_Input'!D164</f>
        <v/>
      </c>
      <c r="O164" s="6">
        <f>'02_GPU_Mix_Input'!E164</f>
        <v/>
      </c>
      <c r="P164" s="6">
        <f>'02_GPU_Mix_Input'!F164</f>
        <v/>
      </c>
      <c r="Q164" s="6">
        <f>'02_GPU_Mix_Input'!G164</f>
        <v/>
      </c>
      <c r="R164" s="7">
        <f>INDEX('01_Benchmark_Input'!$K$2:$K$10,MATCH(B164,'01_Benchmark_Input'!$A$2:$A$10,0))</f>
        <v/>
      </c>
      <c r="S164" s="7">
        <f>INDEX('01_Benchmark_Input'!$P$2:$P$10,MATCH(B164,'01_Benchmark_Input'!$A$2:$A$10,0))</f>
        <v/>
      </c>
      <c r="T164" s="7">
        <f>INDEX('01_Benchmark_Input'!$U$2:$U$10,MATCH(B164,'01_Benchmark_Input'!$A$2:$A$10,0))</f>
        <v/>
      </c>
      <c r="U164" s="7">
        <f>INDEX('01_Benchmark_Input'!$Z$2:$Z$10,MATCH(B164,'01_Benchmark_Input'!$A$2:$A$10,0))</f>
        <v/>
      </c>
      <c r="V164" s="6">
        <f>INDEX('01_Benchmark_Input'!$D$2:$D$10,MATCH(B164,'01_Benchmark_Input'!$A$2:$A$10,0))</f>
        <v/>
      </c>
      <c r="W164" s="6">
        <f>INDEX('01_Benchmark_Input'!$E$2:$E$10,MATCH(B164,'01_Benchmark_Input'!$A$2:$A$10,0))</f>
        <v/>
      </c>
      <c r="X164" s="6">
        <f>INDEX('01_Benchmark_Input'!$F$2:$F$10,MATCH(B164,'01_Benchmark_Input'!$A$2:$A$10,0))</f>
        <v/>
      </c>
      <c r="Y164" s="7">
        <f>N164*R164+O164*S164+P164*T164+Q164*U164</f>
        <v/>
      </c>
      <c r="Z164" s="6">
        <f>'02_Inputs'!K164</f>
        <v/>
      </c>
      <c r="AA164" s="7">
        <f>Y164*Z164</f>
        <v/>
      </c>
      <c r="AB164" s="5">
        <f>L164*1000*AA164*86400</f>
        <v/>
      </c>
      <c r="AC164" s="5">
        <f>AB164*365</f>
        <v/>
      </c>
    </row>
    <row r="165">
      <c r="A165" s="5">
        <f>'02_Inputs'!A165</f>
        <v/>
      </c>
      <c r="B165" s="5">
        <f>'02_Inputs'!B165</f>
        <v/>
      </c>
      <c r="C165" s="5">
        <f>'02_Inputs'!C165</f>
        <v/>
      </c>
      <c r="D165" s="29">
        <f>'02_Inputs'!D165</f>
        <v/>
      </c>
      <c r="E165" s="6">
        <f>'02_Inputs'!E165</f>
        <v/>
      </c>
      <c r="F165" s="29">
        <f>D165*E165</f>
        <v/>
      </c>
      <c r="G165" s="5">
        <f>'02_Inputs'!F165</f>
        <v/>
      </c>
      <c r="H165" s="29">
        <f>F165/G165</f>
        <v/>
      </c>
      <c r="I165" s="6">
        <f>'02_Inputs'!G165</f>
        <v/>
      </c>
      <c r="J165" s="29">
        <f>H165*I165</f>
        <v/>
      </c>
      <c r="K165" s="6">
        <f>'02_Inputs'!H165</f>
        <v/>
      </c>
      <c r="L165" s="29">
        <f>J165*K165</f>
        <v/>
      </c>
      <c r="M165" s="29">
        <f>J165*(1-K165)</f>
        <v/>
      </c>
      <c r="N165" s="6">
        <f>'02_GPU_Mix_Input'!D165</f>
        <v/>
      </c>
      <c r="O165" s="6">
        <f>'02_GPU_Mix_Input'!E165</f>
        <v/>
      </c>
      <c r="P165" s="6">
        <f>'02_GPU_Mix_Input'!F165</f>
        <v/>
      </c>
      <c r="Q165" s="6">
        <f>'02_GPU_Mix_Input'!G165</f>
        <v/>
      </c>
      <c r="R165" s="7">
        <f>INDEX('01_Benchmark_Input'!$K$2:$K$10,MATCH(B165,'01_Benchmark_Input'!$A$2:$A$10,0))</f>
        <v/>
      </c>
      <c r="S165" s="7">
        <f>INDEX('01_Benchmark_Input'!$P$2:$P$10,MATCH(B165,'01_Benchmark_Input'!$A$2:$A$10,0))</f>
        <v/>
      </c>
      <c r="T165" s="7">
        <f>INDEX('01_Benchmark_Input'!$U$2:$U$10,MATCH(B165,'01_Benchmark_Input'!$A$2:$A$10,0))</f>
        <v/>
      </c>
      <c r="U165" s="7">
        <f>INDEX('01_Benchmark_Input'!$Z$2:$Z$10,MATCH(B165,'01_Benchmark_Input'!$A$2:$A$10,0))</f>
        <v/>
      </c>
      <c r="V165" s="6">
        <f>INDEX('01_Benchmark_Input'!$D$2:$D$10,MATCH(B165,'01_Benchmark_Input'!$A$2:$A$10,0))</f>
        <v/>
      </c>
      <c r="W165" s="6">
        <f>INDEX('01_Benchmark_Input'!$E$2:$E$10,MATCH(B165,'01_Benchmark_Input'!$A$2:$A$10,0))</f>
        <v/>
      </c>
      <c r="X165" s="6">
        <f>INDEX('01_Benchmark_Input'!$F$2:$F$10,MATCH(B165,'01_Benchmark_Input'!$A$2:$A$10,0))</f>
        <v/>
      </c>
      <c r="Y165" s="7">
        <f>N165*R165+O165*S165+P165*T165+Q165*U165</f>
        <v/>
      </c>
      <c r="Z165" s="6">
        <f>'02_Inputs'!K165</f>
        <v/>
      </c>
      <c r="AA165" s="7">
        <f>Y165*Z165</f>
        <v/>
      </c>
      <c r="AB165" s="5">
        <f>L165*1000*AA165*86400</f>
        <v/>
      </c>
      <c r="AC165" s="5">
        <f>AB165*365</f>
        <v/>
      </c>
    </row>
    <row r="166">
      <c r="A166" s="5">
        <f>'02_Inputs'!A166</f>
        <v/>
      </c>
      <c r="B166" s="5">
        <f>'02_Inputs'!B166</f>
        <v/>
      </c>
      <c r="C166" s="5">
        <f>'02_Inputs'!C166</f>
        <v/>
      </c>
      <c r="D166" s="29">
        <f>'02_Inputs'!D166</f>
        <v/>
      </c>
      <c r="E166" s="6">
        <f>'02_Inputs'!E166</f>
        <v/>
      </c>
      <c r="F166" s="29">
        <f>D166*E166</f>
        <v/>
      </c>
      <c r="G166" s="5">
        <f>'02_Inputs'!F166</f>
        <v/>
      </c>
      <c r="H166" s="29">
        <f>F166/G166</f>
        <v/>
      </c>
      <c r="I166" s="6">
        <f>'02_Inputs'!G166</f>
        <v/>
      </c>
      <c r="J166" s="29">
        <f>H166*I166</f>
        <v/>
      </c>
      <c r="K166" s="6">
        <f>'02_Inputs'!H166</f>
        <v/>
      </c>
      <c r="L166" s="29">
        <f>J166*K166</f>
        <v/>
      </c>
      <c r="M166" s="29">
        <f>J166*(1-K166)</f>
        <v/>
      </c>
      <c r="N166" s="6">
        <f>'02_GPU_Mix_Input'!D166</f>
        <v/>
      </c>
      <c r="O166" s="6">
        <f>'02_GPU_Mix_Input'!E166</f>
        <v/>
      </c>
      <c r="P166" s="6">
        <f>'02_GPU_Mix_Input'!F166</f>
        <v/>
      </c>
      <c r="Q166" s="6">
        <f>'02_GPU_Mix_Input'!G166</f>
        <v/>
      </c>
      <c r="R166" s="7">
        <f>INDEX('01_Benchmark_Input'!$K$2:$K$10,MATCH(B166,'01_Benchmark_Input'!$A$2:$A$10,0))</f>
        <v/>
      </c>
      <c r="S166" s="7">
        <f>INDEX('01_Benchmark_Input'!$P$2:$P$10,MATCH(B166,'01_Benchmark_Input'!$A$2:$A$10,0))</f>
        <v/>
      </c>
      <c r="T166" s="7">
        <f>INDEX('01_Benchmark_Input'!$U$2:$U$10,MATCH(B166,'01_Benchmark_Input'!$A$2:$A$10,0))</f>
        <v/>
      </c>
      <c r="U166" s="7">
        <f>INDEX('01_Benchmark_Input'!$Z$2:$Z$10,MATCH(B166,'01_Benchmark_Input'!$A$2:$A$10,0))</f>
        <v/>
      </c>
      <c r="V166" s="6">
        <f>INDEX('01_Benchmark_Input'!$D$2:$D$10,MATCH(B166,'01_Benchmark_Input'!$A$2:$A$10,0))</f>
        <v/>
      </c>
      <c r="W166" s="6">
        <f>INDEX('01_Benchmark_Input'!$E$2:$E$10,MATCH(B166,'01_Benchmark_Input'!$A$2:$A$10,0))</f>
        <v/>
      </c>
      <c r="X166" s="6">
        <f>INDEX('01_Benchmark_Input'!$F$2:$F$10,MATCH(B166,'01_Benchmark_Input'!$A$2:$A$10,0))</f>
        <v/>
      </c>
      <c r="Y166" s="7">
        <f>N166*R166+O166*S166+P166*T166+Q166*U166</f>
        <v/>
      </c>
      <c r="Z166" s="6">
        <f>'02_Inputs'!K166</f>
        <v/>
      </c>
      <c r="AA166" s="7">
        <f>Y166*Z166</f>
        <v/>
      </c>
      <c r="AB166" s="5">
        <f>L166*1000*AA166*86400</f>
        <v/>
      </c>
      <c r="AC166" s="5">
        <f>AB166*365</f>
        <v/>
      </c>
    </row>
    <row r="167">
      <c r="A167" s="5">
        <f>'02_Inputs'!A167</f>
        <v/>
      </c>
      <c r="B167" s="5">
        <f>'02_Inputs'!B167</f>
        <v/>
      </c>
      <c r="C167" s="5">
        <f>'02_Inputs'!C167</f>
        <v/>
      </c>
      <c r="D167" s="29">
        <f>'02_Inputs'!D167</f>
        <v/>
      </c>
      <c r="E167" s="6">
        <f>'02_Inputs'!E167</f>
        <v/>
      </c>
      <c r="F167" s="29">
        <f>D167*E167</f>
        <v/>
      </c>
      <c r="G167" s="5">
        <f>'02_Inputs'!F167</f>
        <v/>
      </c>
      <c r="H167" s="29">
        <f>F167/G167</f>
        <v/>
      </c>
      <c r="I167" s="6">
        <f>'02_Inputs'!G167</f>
        <v/>
      </c>
      <c r="J167" s="29">
        <f>H167*I167</f>
        <v/>
      </c>
      <c r="K167" s="6">
        <f>'02_Inputs'!H167</f>
        <v/>
      </c>
      <c r="L167" s="29">
        <f>J167*K167</f>
        <v/>
      </c>
      <c r="M167" s="29">
        <f>J167*(1-K167)</f>
        <v/>
      </c>
      <c r="N167" s="6">
        <f>'02_GPU_Mix_Input'!D167</f>
        <v/>
      </c>
      <c r="O167" s="6">
        <f>'02_GPU_Mix_Input'!E167</f>
        <v/>
      </c>
      <c r="P167" s="6">
        <f>'02_GPU_Mix_Input'!F167</f>
        <v/>
      </c>
      <c r="Q167" s="6">
        <f>'02_GPU_Mix_Input'!G167</f>
        <v/>
      </c>
      <c r="R167" s="7">
        <f>INDEX('01_Benchmark_Input'!$K$2:$K$10,MATCH(B167,'01_Benchmark_Input'!$A$2:$A$10,0))</f>
        <v/>
      </c>
      <c r="S167" s="7">
        <f>INDEX('01_Benchmark_Input'!$P$2:$P$10,MATCH(B167,'01_Benchmark_Input'!$A$2:$A$10,0))</f>
        <v/>
      </c>
      <c r="T167" s="7">
        <f>INDEX('01_Benchmark_Input'!$U$2:$U$10,MATCH(B167,'01_Benchmark_Input'!$A$2:$A$10,0))</f>
        <v/>
      </c>
      <c r="U167" s="7">
        <f>INDEX('01_Benchmark_Input'!$Z$2:$Z$10,MATCH(B167,'01_Benchmark_Input'!$A$2:$A$10,0))</f>
        <v/>
      </c>
      <c r="V167" s="6">
        <f>INDEX('01_Benchmark_Input'!$D$2:$D$10,MATCH(B167,'01_Benchmark_Input'!$A$2:$A$10,0))</f>
        <v/>
      </c>
      <c r="W167" s="6">
        <f>INDEX('01_Benchmark_Input'!$E$2:$E$10,MATCH(B167,'01_Benchmark_Input'!$A$2:$A$10,0))</f>
        <v/>
      </c>
      <c r="X167" s="6">
        <f>INDEX('01_Benchmark_Input'!$F$2:$F$10,MATCH(B167,'01_Benchmark_Input'!$A$2:$A$10,0))</f>
        <v/>
      </c>
      <c r="Y167" s="7">
        <f>N167*R167+O167*S167+P167*T167+Q167*U167</f>
        <v/>
      </c>
      <c r="Z167" s="6">
        <f>'02_Inputs'!K167</f>
        <v/>
      </c>
      <c r="AA167" s="7">
        <f>Y167*Z167</f>
        <v/>
      </c>
      <c r="AB167" s="5">
        <f>L167*1000*AA167*86400</f>
        <v/>
      </c>
      <c r="AC167" s="5">
        <f>AB167*365</f>
        <v/>
      </c>
    </row>
    <row r="168">
      <c r="A168" s="5">
        <f>'02_Inputs'!A168</f>
        <v/>
      </c>
      <c r="B168" s="5">
        <f>'02_Inputs'!B168</f>
        <v/>
      </c>
      <c r="C168" s="5">
        <f>'02_Inputs'!C168</f>
        <v/>
      </c>
      <c r="D168" s="29">
        <f>'02_Inputs'!D168</f>
        <v/>
      </c>
      <c r="E168" s="6">
        <f>'02_Inputs'!E168</f>
        <v/>
      </c>
      <c r="F168" s="29">
        <f>D168*E168</f>
        <v/>
      </c>
      <c r="G168" s="5">
        <f>'02_Inputs'!F168</f>
        <v/>
      </c>
      <c r="H168" s="29">
        <f>F168/G168</f>
        <v/>
      </c>
      <c r="I168" s="6">
        <f>'02_Inputs'!G168</f>
        <v/>
      </c>
      <c r="J168" s="29">
        <f>H168*I168</f>
        <v/>
      </c>
      <c r="K168" s="6">
        <f>'02_Inputs'!H168</f>
        <v/>
      </c>
      <c r="L168" s="29">
        <f>J168*K168</f>
        <v/>
      </c>
      <c r="M168" s="29">
        <f>J168*(1-K168)</f>
        <v/>
      </c>
      <c r="N168" s="6">
        <f>'02_GPU_Mix_Input'!D168</f>
        <v/>
      </c>
      <c r="O168" s="6">
        <f>'02_GPU_Mix_Input'!E168</f>
        <v/>
      </c>
      <c r="P168" s="6">
        <f>'02_GPU_Mix_Input'!F168</f>
        <v/>
      </c>
      <c r="Q168" s="6">
        <f>'02_GPU_Mix_Input'!G168</f>
        <v/>
      </c>
      <c r="R168" s="7">
        <f>INDEX('01_Benchmark_Input'!$K$2:$K$10,MATCH(B168,'01_Benchmark_Input'!$A$2:$A$10,0))</f>
        <v/>
      </c>
      <c r="S168" s="7">
        <f>INDEX('01_Benchmark_Input'!$P$2:$P$10,MATCH(B168,'01_Benchmark_Input'!$A$2:$A$10,0))</f>
        <v/>
      </c>
      <c r="T168" s="7">
        <f>INDEX('01_Benchmark_Input'!$U$2:$U$10,MATCH(B168,'01_Benchmark_Input'!$A$2:$A$10,0))</f>
        <v/>
      </c>
      <c r="U168" s="7">
        <f>INDEX('01_Benchmark_Input'!$Z$2:$Z$10,MATCH(B168,'01_Benchmark_Input'!$A$2:$A$10,0))</f>
        <v/>
      </c>
      <c r="V168" s="6">
        <f>INDEX('01_Benchmark_Input'!$D$2:$D$10,MATCH(B168,'01_Benchmark_Input'!$A$2:$A$10,0))</f>
        <v/>
      </c>
      <c r="W168" s="6">
        <f>INDEX('01_Benchmark_Input'!$E$2:$E$10,MATCH(B168,'01_Benchmark_Input'!$A$2:$A$10,0))</f>
        <v/>
      </c>
      <c r="X168" s="6">
        <f>INDEX('01_Benchmark_Input'!$F$2:$F$10,MATCH(B168,'01_Benchmark_Input'!$A$2:$A$10,0))</f>
        <v/>
      </c>
      <c r="Y168" s="7">
        <f>N168*R168+O168*S168+P168*T168+Q168*U168</f>
        <v/>
      </c>
      <c r="Z168" s="6">
        <f>'02_Inputs'!K168</f>
        <v/>
      </c>
      <c r="AA168" s="7">
        <f>Y168*Z168</f>
        <v/>
      </c>
      <c r="AB168" s="5">
        <f>L168*1000*AA168*86400</f>
        <v/>
      </c>
      <c r="AC168" s="5">
        <f>AB168*365</f>
        <v/>
      </c>
    </row>
    <row r="169">
      <c r="A169" s="5">
        <f>'02_Inputs'!A169</f>
        <v/>
      </c>
      <c r="B169" s="5">
        <f>'02_Inputs'!B169</f>
        <v/>
      </c>
      <c r="C169" s="5">
        <f>'02_Inputs'!C169</f>
        <v/>
      </c>
      <c r="D169" s="29">
        <f>'02_Inputs'!D169</f>
        <v/>
      </c>
      <c r="E169" s="6">
        <f>'02_Inputs'!E169</f>
        <v/>
      </c>
      <c r="F169" s="29">
        <f>D169*E169</f>
        <v/>
      </c>
      <c r="G169" s="5">
        <f>'02_Inputs'!F169</f>
        <v/>
      </c>
      <c r="H169" s="29">
        <f>F169/G169</f>
        <v/>
      </c>
      <c r="I169" s="6">
        <f>'02_Inputs'!G169</f>
        <v/>
      </c>
      <c r="J169" s="29">
        <f>H169*I169</f>
        <v/>
      </c>
      <c r="K169" s="6">
        <f>'02_Inputs'!H169</f>
        <v/>
      </c>
      <c r="L169" s="29">
        <f>J169*K169</f>
        <v/>
      </c>
      <c r="M169" s="29">
        <f>J169*(1-K169)</f>
        <v/>
      </c>
      <c r="N169" s="6">
        <f>'02_GPU_Mix_Input'!D169</f>
        <v/>
      </c>
      <c r="O169" s="6">
        <f>'02_GPU_Mix_Input'!E169</f>
        <v/>
      </c>
      <c r="P169" s="6">
        <f>'02_GPU_Mix_Input'!F169</f>
        <v/>
      </c>
      <c r="Q169" s="6">
        <f>'02_GPU_Mix_Input'!G169</f>
        <v/>
      </c>
      <c r="R169" s="7">
        <f>INDEX('01_Benchmark_Input'!$K$2:$K$10,MATCH(B169,'01_Benchmark_Input'!$A$2:$A$10,0))</f>
        <v/>
      </c>
      <c r="S169" s="7">
        <f>INDEX('01_Benchmark_Input'!$P$2:$P$10,MATCH(B169,'01_Benchmark_Input'!$A$2:$A$10,0))</f>
        <v/>
      </c>
      <c r="T169" s="7">
        <f>INDEX('01_Benchmark_Input'!$U$2:$U$10,MATCH(B169,'01_Benchmark_Input'!$A$2:$A$10,0))</f>
        <v/>
      </c>
      <c r="U169" s="7">
        <f>INDEX('01_Benchmark_Input'!$Z$2:$Z$10,MATCH(B169,'01_Benchmark_Input'!$A$2:$A$10,0))</f>
        <v/>
      </c>
      <c r="V169" s="6">
        <f>INDEX('01_Benchmark_Input'!$D$2:$D$10,MATCH(B169,'01_Benchmark_Input'!$A$2:$A$10,0))</f>
        <v/>
      </c>
      <c r="W169" s="6">
        <f>INDEX('01_Benchmark_Input'!$E$2:$E$10,MATCH(B169,'01_Benchmark_Input'!$A$2:$A$10,0))</f>
        <v/>
      </c>
      <c r="X169" s="6">
        <f>INDEX('01_Benchmark_Input'!$F$2:$F$10,MATCH(B169,'01_Benchmark_Input'!$A$2:$A$10,0))</f>
        <v/>
      </c>
      <c r="Y169" s="7">
        <f>N169*R169+O169*S169+P169*T169+Q169*U169</f>
        <v/>
      </c>
      <c r="Z169" s="6">
        <f>'02_Inputs'!K169</f>
        <v/>
      </c>
      <c r="AA169" s="7">
        <f>Y169*Z169</f>
        <v/>
      </c>
      <c r="AB169" s="5">
        <f>L169*1000*AA169*86400</f>
        <v/>
      </c>
      <c r="AC169" s="5">
        <f>AB169*365</f>
        <v/>
      </c>
    </row>
    <row r="170">
      <c r="A170" s="5">
        <f>'02_Inputs'!A170</f>
        <v/>
      </c>
      <c r="B170" s="5">
        <f>'02_Inputs'!B170</f>
        <v/>
      </c>
      <c r="C170" s="5">
        <f>'02_Inputs'!C170</f>
        <v/>
      </c>
      <c r="D170" s="29">
        <f>'02_Inputs'!D170</f>
        <v/>
      </c>
      <c r="E170" s="6">
        <f>'02_Inputs'!E170</f>
        <v/>
      </c>
      <c r="F170" s="29">
        <f>D170*E170</f>
        <v/>
      </c>
      <c r="G170" s="5">
        <f>'02_Inputs'!F170</f>
        <v/>
      </c>
      <c r="H170" s="29">
        <f>F170/G170</f>
        <v/>
      </c>
      <c r="I170" s="6">
        <f>'02_Inputs'!G170</f>
        <v/>
      </c>
      <c r="J170" s="29">
        <f>H170*I170</f>
        <v/>
      </c>
      <c r="K170" s="6">
        <f>'02_Inputs'!H170</f>
        <v/>
      </c>
      <c r="L170" s="29">
        <f>J170*K170</f>
        <v/>
      </c>
      <c r="M170" s="29">
        <f>J170*(1-K170)</f>
        <v/>
      </c>
      <c r="N170" s="6">
        <f>'02_GPU_Mix_Input'!D170</f>
        <v/>
      </c>
      <c r="O170" s="6">
        <f>'02_GPU_Mix_Input'!E170</f>
        <v/>
      </c>
      <c r="P170" s="6">
        <f>'02_GPU_Mix_Input'!F170</f>
        <v/>
      </c>
      <c r="Q170" s="6">
        <f>'02_GPU_Mix_Input'!G170</f>
        <v/>
      </c>
      <c r="R170" s="7">
        <f>INDEX('01_Benchmark_Input'!$K$2:$K$10,MATCH(B170,'01_Benchmark_Input'!$A$2:$A$10,0))</f>
        <v/>
      </c>
      <c r="S170" s="7">
        <f>INDEX('01_Benchmark_Input'!$P$2:$P$10,MATCH(B170,'01_Benchmark_Input'!$A$2:$A$10,0))</f>
        <v/>
      </c>
      <c r="T170" s="7">
        <f>INDEX('01_Benchmark_Input'!$U$2:$U$10,MATCH(B170,'01_Benchmark_Input'!$A$2:$A$10,0))</f>
        <v/>
      </c>
      <c r="U170" s="7">
        <f>INDEX('01_Benchmark_Input'!$Z$2:$Z$10,MATCH(B170,'01_Benchmark_Input'!$A$2:$A$10,0))</f>
        <v/>
      </c>
      <c r="V170" s="6">
        <f>INDEX('01_Benchmark_Input'!$D$2:$D$10,MATCH(B170,'01_Benchmark_Input'!$A$2:$A$10,0))</f>
        <v/>
      </c>
      <c r="W170" s="6">
        <f>INDEX('01_Benchmark_Input'!$E$2:$E$10,MATCH(B170,'01_Benchmark_Input'!$A$2:$A$10,0))</f>
        <v/>
      </c>
      <c r="X170" s="6">
        <f>INDEX('01_Benchmark_Input'!$F$2:$F$10,MATCH(B170,'01_Benchmark_Input'!$A$2:$A$10,0))</f>
        <v/>
      </c>
      <c r="Y170" s="7">
        <f>N170*R170+O170*S170+P170*T170+Q170*U170</f>
        <v/>
      </c>
      <c r="Z170" s="6">
        <f>'02_Inputs'!K170</f>
        <v/>
      </c>
      <c r="AA170" s="7">
        <f>Y170*Z170</f>
        <v/>
      </c>
      <c r="AB170" s="5">
        <f>L170*1000*AA170*86400</f>
        <v/>
      </c>
      <c r="AC170" s="5">
        <f>AB170*365</f>
        <v/>
      </c>
    </row>
    <row r="171">
      <c r="A171" s="5">
        <f>'02_Inputs'!A171</f>
        <v/>
      </c>
      <c r="B171" s="5">
        <f>'02_Inputs'!B171</f>
        <v/>
      </c>
      <c r="C171" s="5">
        <f>'02_Inputs'!C171</f>
        <v/>
      </c>
      <c r="D171" s="29">
        <f>'02_Inputs'!D171</f>
        <v/>
      </c>
      <c r="E171" s="6">
        <f>'02_Inputs'!E171</f>
        <v/>
      </c>
      <c r="F171" s="29">
        <f>D171*E171</f>
        <v/>
      </c>
      <c r="G171" s="5">
        <f>'02_Inputs'!F171</f>
        <v/>
      </c>
      <c r="H171" s="29">
        <f>F171/G171</f>
        <v/>
      </c>
      <c r="I171" s="6">
        <f>'02_Inputs'!G171</f>
        <v/>
      </c>
      <c r="J171" s="29">
        <f>H171*I171</f>
        <v/>
      </c>
      <c r="K171" s="6">
        <f>'02_Inputs'!H171</f>
        <v/>
      </c>
      <c r="L171" s="29">
        <f>J171*K171</f>
        <v/>
      </c>
      <c r="M171" s="29">
        <f>J171*(1-K171)</f>
        <v/>
      </c>
      <c r="N171" s="6">
        <f>'02_GPU_Mix_Input'!D171</f>
        <v/>
      </c>
      <c r="O171" s="6">
        <f>'02_GPU_Mix_Input'!E171</f>
        <v/>
      </c>
      <c r="P171" s="6">
        <f>'02_GPU_Mix_Input'!F171</f>
        <v/>
      </c>
      <c r="Q171" s="6">
        <f>'02_GPU_Mix_Input'!G171</f>
        <v/>
      </c>
      <c r="R171" s="7">
        <f>INDEX('01_Benchmark_Input'!$K$2:$K$10,MATCH(B171,'01_Benchmark_Input'!$A$2:$A$10,0))</f>
        <v/>
      </c>
      <c r="S171" s="7">
        <f>INDEX('01_Benchmark_Input'!$P$2:$P$10,MATCH(B171,'01_Benchmark_Input'!$A$2:$A$10,0))</f>
        <v/>
      </c>
      <c r="T171" s="7">
        <f>INDEX('01_Benchmark_Input'!$U$2:$U$10,MATCH(B171,'01_Benchmark_Input'!$A$2:$A$10,0))</f>
        <v/>
      </c>
      <c r="U171" s="7">
        <f>INDEX('01_Benchmark_Input'!$Z$2:$Z$10,MATCH(B171,'01_Benchmark_Input'!$A$2:$A$10,0))</f>
        <v/>
      </c>
      <c r="V171" s="6">
        <f>INDEX('01_Benchmark_Input'!$D$2:$D$10,MATCH(B171,'01_Benchmark_Input'!$A$2:$A$10,0))</f>
        <v/>
      </c>
      <c r="W171" s="6">
        <f>INDEX('01_Benchmark_Input'!$E$2:$E$10,MATCH(B171,'01_Benchmark_Input'!$A$2:$A$10,0))</f>
        <v/>
      </c>
      <c r="X171" s="6">
        <f>INDEX('01_Benchmark_Input'!$F$2:$F$10,MATCH(B171,'01_Benchmark_Input'!$A$2:$A$10,0))</f>
        <v/>
      </c>
      <c r="Y171" s="7">
        <f>N171*R171+O171*S171+P171*T171+Q171*U171</f>
        <v/>
      </c>
      <c r="Z171" s="6">
        <f>'02_Inputs'!K171</f>
        <v/>
      </c>
      <c r="AA171" s="7">
        <f>Y171*Z171</f>
        <v/>
      </c>
      <c r="AB171" s="5">
        <f>L171*1000*AA171*86400</f>
        <v/>
      </c>
      <c r="AC171" s="5">
        <f>AB171*365</f>
        <v/>
      </c>
    </row>
    <row r="172">
      <c r="A172" s="5">
        <f>'02_Inputs'!A172</f>
        <v/>
      </c>
      <c r="B172" s="5">
        <f>'02_Inputs'!B172</f>
        <v/>
      </c>
      <c r="C172" s="5">
        <f>'02_Inputs'!C172</f>
        <v/>
      </c>
      <c r="D172" s="29">
        <f>'02_Inputs'!D172</f>
        <v/>
      </c>
      <c r="E172" s="6">
        <f>'02_Inputs'!E172</f>
        <v/>
      </c>
      <c r="F172" s="29">
        <f>D172*E172</f>
        <v/>
      </c>
      <c r="G172" s="5">
        <f>'02_Inputs'!F172</f>
        <v/>
      </c>
      <c r="H172" s="29">
        <f>F172/G172</f>
        <v/>
      </c>
      <c r="I172" s="6">
        <f>'02_Inputs'!G172</f>
        <v/>
      </c>
      <c r="J172" s="29">
        <f>H172*I172</f>
        <v/>
      </c>
      <c r="K172" s="6">
        <f>'02_Inputs'!H172</f>
        <v/>
      </c>
      <c r="L172" s="29">
        <f>J172*K172</f>
        <v/>
      </c>
      <c r="M172" s="29">
        <f>J172*(1-K172)</f>
        <v/>
      </c>
      <c r="N172" s="6">
        <f>'02_GPU_Mix_Input'!D172</f>
        <v/>
      </c>
      <c r="O172" s="6">
        <f>'02_GPU_Mix_Input'!E172</f>
        <v/>
      </c>
      <c r="P172" s="6">
        <f>'02_GPU_Mix_Input'!F172</f>
        <v/>
      </c>
      <c r="Q172" s="6">
        <f>'02_GPU_Mix_Input'!G172</f>
        <v/>
      </c>
      <c r="R172" s="7">
        <f>INDEX('01_Benchmark_Input'!$K$2:$K$10,MATCH(B172,'01_Benchmark_Input'!$A$2:$A$10,0))</f>
        <v/>
      </c>
      <c r="S172" s="7">
        <f>INDEX('01_Benchmark_Input'!$P$2:$P$10,MATCH(B172,'01_Benchmark_Input'!$A$2:$A$10,0))</f>
        <v/>
      </c>
      <c r="T172" s="7">
        <f>INDEX('01_Benchmark_Input'!$U$2:$U$10,MATCH(B172,'01_Benchmark_Input'!$A$2:$A$10,0))</f>
        <v/>
      </c>
      <c r="U172" s="7">
        <f>INDEX('01_Benchmark_Input'!$Z$2:$Z$10,MATCH(B172,'01_Benchmark_Input'!$A$2:$A$10,0))</f>
        <v/>
      </c>
      <c r="V172" s="6">
        <f>INDEX('01_Benchmark_Input'!$D$2:$D$10,MATCH(B172,'01_Benchmark_Input'!$A$2:$A$10,0))</f>
        <v/>
      </c>
      <c r="W172" s="6">
        <f>INDEX('01_Benchmark_Input'!$E$2:$E$10,MATCH(B172,'01_Benchmark_Input'!$A$2:$A$10,0))</f>
        <v/>
      </c>
      <c r="X172" s="6">
        <f>INDEX('01_Benchmark_Input'!$F$2:$F$10,MATCH(B172,'01_Benchmark_Input'!$A$2:$A$10,0))</f>
        <v/>
      </c>
      <c r="Y172" s="7">
        <f>N172*R172+O172*S172+P172*T172+Q172*U172</f>
        <v/>
      </c>
      <c r="Z172" s="6">
        <f>'02_Inputs'!K172</f>
        <v/>
      </c>
      <c r="AA172" s="7">
        <f>Y172*Z172</f>
        <v/>
      </c>
      <c r="AB172" s="5">
        <f>L172*1000*AA172*86400</f>
        <v/>
      </c>
      <c r="AC172" s="5">
        <f>AB172*365</f>
        <v/>
      </c>
    </row>
    <row r="173">
      <c r="A173" s="5">
        <f>'02_Inputs'!A173</f>
        <v/>
      </c>
      <c r="B173" s="5">
        <f>'02_Inputs'!B173</f>
        <v/>
      </c>
      <c r="C173" s="5">
        <f>'02_Inputs'!C173</f>
        <v/>
      </c>
      <c r="D173" s="29">
        <f>'02_Inputs'!D173</f>
        <v/>
      </c>
      <c r="E173" s="6">
        <f>'02_Inputs'!E173</f>
        <v/>
      </c>
      <c r="F173" s="29">
        <f>D173*E173</f>
        <v/>
      </c>
      <c r="G173" s="5">
        <f>'02_Inputs'!F173</f>
        <v/>
      </c>
      <c r="H173" s="29">
        <f>F173/G173</f>
        <v/>
      </c>
      <c r="I173" s="6">
        <f>'02_Inputs'!G173</f>
        <v/>
      </c>
      <c r="J173" s="29">
        <f>H173*I173</f>
        <v/>
      </c>
      <c r="K173" s="6">
        <f>'02_Inputs'!H173</f>
        <v/>
      </c>
      <c r="L173" s="29">
        <f>J173*K173</f>
        <v/>
      </c>
      <c r="M173" s="29">
        <f>J173*(1-K173)</f>
        <v/>
      </c>
      <c r="N173" s="6">
        <f>'02_GPU_Mix_Input'!D173</f>
        <v/>
      </c>
      <c r="O173" s="6">
        <f>'02_GPU_Mix_Input'!E173</f>
        <v/>
      </c>
      <c r="P173" s="6">
        <f>'02_GPU_Mix_Input'!F173</f>
        <v/>
      </c>
      <c r="Q173" s="6">
        <f>'02_GPU_Mix_Input'!G173</f>
        <v/>
      </c>
      <c r="R173" s="7">
        <f>INDEX('01_Benchmark_Input'!$K$2:$K$10,MATCH(B173,'01_Benchmark_Input'!$A$2:$A$10,0))</f>
        <v/>
      </c>
      <c r="S173" s="7">
        <f>INDEX('01_Benchmark_Input'!$P$2:$P$10,MATCH(B173,'01_Benchmark_Input'!$A$2:$A$10,0))</f>
        <v/>
      </c>
      <c r="T173" s="7">
        <f>INDEX('01_Benchmark_Input'!$U$2:$U$10,MATCH(B173,'01_Benchmark_Input'!$A$2:$A$10,0))</f>
        <v/>
      </c>
      <c r="U173" s="7">
        <f>INDEX('01_Benchmark_Input'!$Z$2:$Z$10,MATCH(B173,'01_Benchmark_Input'!$A$2:$A$10,0))</f>
        <v/>
      </c>
      <c r="V173" s="6">
        <f>INDEX('01_Benchmark_Input'!$D$2:$D$10,MATCH(B173,'01_Benchmark_Input'!$A$2:$A$10,0))</f>
        <v/>
      </c>
      <c r="W173" s="6">
        <f>INDEX('01_Benchmark_Input'!$E$2:$E$10,MATCH(B173,'01_Benchmark_Input'!$A$2:$A$10,0))</f>
        <v/>
      </c>
      <c r="X173" s="6">
        <f>INDEX('01_Benchmark_Input'!$F$2:$F$10,MATCH(B173,'01_Benchmark_Input'!$A$2:$A$10,0))</f>
        <v/>
      </c>
      <c r="Y173" s="7">
        <f>N173*R173+O173*S173+P173*T173+Q173*U173</f>
        <v/>
      </c>
      <c r="Z173" s="6">
        <f>'02_Inputs'!K173</f>
        <v/>
      </c>
      <c r="AA173" s="7">
        <f>Y173*Z173</f>
        <v/>
      </c>
      <c r="AB173" s="5">
        <f>L173*1000*AA173*86400</f>
        <v/>
      </c>
      <c r="AC173" s="5">
        <f>AB173*365</f>
        <v/>
      </c>
    </row>
    <row r="174">
      <c r="A174" s="5">
        <f>'02_Inputs'!A174</f>
        <v/>
      </c>
      <c r="B174" s="5">
        <f>'02_Inputs'!B174</f>
        <v/>
      </c>
      <c r="C174" s="5">
        <f>'02_Inputs'!C174</f>
        <v/>
      </c>
      <c r="D174" s="29">
        <f>'02_Inputs'!D174</f>
        <v/>
      </c>
      <c r="E174" s="6">
        <f>'02_Inputs'!E174</f>
        <v/>
      </c>
      <c r="F174" s="29">
        <f>D174*E174</f>
        <v/>
      </c>
      <c r="G174" s="5">
        <f>'02_Inputs'!F174</f>
        <v/>
      </c>
      <c r="H174" s="29">
        <f>F174/G174</f>
        <v/>
      </c>
      <c r="I174" s="6">
        <f>'02_Inputs'!G174</f>
        <v/>
      </c>
      <c r="J174" s="29">
        <f>H174*I174</f>
        <v/>
      </c>
      <c r="K174" s="6">
        <f>'02_Inputs'!H174</f>
        <v/>
      </c>
      <c r="L174" s="29">
        <f>J174*K174</f>
        <v/>
      </c>
      <c r="M174" s="29">
        <f>J174*(1-K174)</f>
        <v/>
      </c>
      <c r="N174" s="6">
        <f>'02_GPU_Mix_Input'!D174</f>
        <v/>
      </c>
      <c r="O174" s="6">
        <f>'02_GPU_Mix_Input'!E174</f>
        <v/>
      </c>
      <c r="P174" s="6">
        <f>'02_GPU_Mix_Input'!F174</f>
        <v/>
      </c>
      <c r="Q174" s="6">
        <f>'02_GPU_Mix_Input'!G174</f>
        <v/>
      </c>
      <c r="R174" s="7">
        <f>INDEX('01_Benchmark_Input'!$K$2:$K$10,MATCH(B174,'01_Benchmark_Input'!$A$2:$A$10,0))</f>
        <v/>
      </c>
      <c r="S174" s="7">
        <f>INDEX('01_Benchmark_Input'!$P$2:$P$10,MATCH(B174,'01_Benchmark_Input'!$A$2:$A$10,0))</f>
        <v/>
      </c>
      <c r="T174" s="7">
        <f>INDEX('01_Benchmark_Input'!$U$2:$U$10,MATCH(B174,'01_Benchmark_Input'!$A$2:$A$10,0))</f>
        <v/>
      </c>
      <c r="U174" s="7">
        <f>INDEX('01_Benchmark_Input'!$Z$2:$Z$10,MATCH(B174,'01_Benchmark_Input'!$A$2:$A$10,0))</f>
        <v/>
      </c>
      <c r="V174" s="6">
        <f>INDEX('01_Benchmark_Input'!$D$2:$D$10,MATCH(B174,'01_Benchmark_Input'!$A$2:$A$10,0))</f>
        <v/>
      </c>
      <c r="W174" s="6">
        <f>INDEX('01_Benchmark_Input'!$E$2:$E$10,MATCH(B174,'01_Benchmark_Input'!$A$2:$A$10,0))</f>
        <v/>
      </c>
      <c r="X174" s="6">
        <f>INDEX('01_Benchmark_Input'!$F$2:$F$10,MATCH(B174,'01_Benchmark_Input'!$A$2:$A$10,0))</f>
        <v/>
      </c>
      <c r="Y174" s="7">
        <f>N174*R174+O174*S174+P174*T174+Q174*U174</f>
        <v/>
      </c>
      <c r="Z174" s="6">
        <f>'02_Inputs'!K174</f>
        <v/>
      </c>
      <c r="AA174" s="7">
        <f>Y174*Z174</f>
        <v/>
      </c>
      <c r="AB174" s="5">
        <f>L174*1000*AA174*86400</f>
        <v/>
      </c>
      <c r="AC174" s="5">
        <f>AB174*365</f>
        <v/>
      </c>
    </row>
    <row r="175">
      <c r="A175" s="5">
        <f>'02_Inputs'!A175</f>
        <v/>
      </c>
      <c r="B175" s="5">
        <f>'02_Inputs'!B175</f>
        <v/>
      </c>
      <c r="C175" s="5">
        <f>'02_Inputs'!C175</f>
        <v/>
      </c>
      <c r="D175" s="29">
        <f>'02_Inputs'!D175</f>
        <v/>
      </c>
      <c r="E175" s="6">
        <f>'02_Inputs'!E175</f>
        <v/>
      </c>
      <c r="F175" s="29">
        <f>D175*E175</f>
        <v/>
      </c>
      <c r="G175" s="5">
        <f>'02_Inputs'!F175</f>
        <v/>
      </c>
      <c r="H175" s="29">
        <f>F175/G175</f>
        <v/>
      </c>
      <c r="I175" s="6">
        <f>'02_Inputs'!G175</f>
        <v/>
      </c>
      <c r="J175" s="29">
        <f>H175*I175</f>
        <v/>
      </c>
      <c r="K175" s="6">
        <f>'02_Inputs'!H175</f>
        <v/>
      </c>
      <c r="L175" s="29">
        <f>J175*K175</f>
        <v/>
      </c>
      <c r="M175" s="29">
        <f>J175*(1-K175)</f>
        <v/>
      </c>
      <c r="N175" s="6">
        <f>'02_GPU_Mix_Input'!D175</f>
        <v/>
      </c>
      <c r="O175" s="6">
        <f>'02_GPU_Mix_Input'!E175</f>
        <v/>
      </c>
      <c r="P175" s="6">
        <f>'02_GPU_Mix_Input'!F175</f>
        <v/>
      </c>
      <c r="Q175" s="6">
        <f>'02_GPU_Mix_Input'!G175</f>
        <v/>
      </c>
      <c r="R175" s="7">
        <f>INDEX('01_Benchmark_Input'!$K$2:$K$10,MATCH(B175,'01_Benchmark_Input'!$A$2:$A$10,0))</f>
        <v/>
      </c>
      <c r="S175" s="7">
        <f>INDEX('01_Benchmark_Input'!$P$2:$P$10,MATCH(B175,'01_Benchmark_Input'!$A$2:$A$10,0))</f>
        <v/>
      </c>
      <c r="T175" s="7">
        <f>INDEX('01_Benchmark_Input'!$U$2:$U$10,MATCH(B175,'01_Benchmark_Input'!$A$2:$A$10,0))</f>
        <v/>
      </c>
      <c r="U175" s="7">
        <f>INDEX('01_Benchmark_Input'!$Z$2:$Z$10,MATCH(B175,'01_Benchmark_Input'!$A$2:$A$10,0))</f>
        <v/>
      </c>
      <c r="V175" s="6">
        <f>INDEX('01_Benchmark_Input'!$D$2:$D$10,MATCH(B175,'01_Benchmark_Input'!$A$2:$A$10,0))</f>
        <v/>
      </c>
      <c r="W175" s="6">
        <f>INDEX('01_Benchmark_Input'!$E$2:$E$10,MATCH(B175,'01_Benchmark_Input'!$A$2:$A$10,0))</f>
        <v/>
      </c>
      <c r="X175" s="6">
        <f>INDEX('01_Benchmark_Input'!$F$2:$F$10,MATCH(B175,'01_Benchmark_Input'!$A$2:$A$10,0))</f>
        <v/>
      </c>
      <c r="Y175" s="7">
        <f>N175*R175+O175*S175+P175*T175+Q175*U175</f>
        <v/>
      </c>
      <c r="Z175" s="6">
        <f>'02_Inputs'!K175</f>
        <v/>
      </c>
      <c r="AA175" s="7">
        <f>Y175*Z175</f>
        <v/>
      </c>
      <c r="AB175" s="5">
        <f>L175*1000*AA175*86400</f>
        <v/>
      </c>
      <c r="AC175" s="5">
        <f>AB175*365</f>
        <v/>
      </c>
    </row>
    <row r="176">
      <c r="A176" s="5">
        <f>'02_Inputs'!A176</f>
        <v/>
      </c>
      <c r="B176" s="5">
        <f>'02_Inputs'!B176</f>
        <v/>
      </c>
      <c r="C176" s="5">
        <f>'02_Inputs'!C176</f>
        <v/>
      </c>
      <c r="D176" s="29">
        <f>'02_Inputs'!D176</f>
        <v/>
      </c>
      <c r="E176" s="6">
        <f>'02_Inputs'!E176</f>
        <v/>
      </c>
      <c r="F176" s="29">
        <f>D176*E176</f>
        <v/>
      </c>
      <c r="G176" s="5">
        <f>'02_Inputs'!F176</f>
        <v/>
      </c>
      <c r="H176" s="29">
        <f>F176/G176</f>
        <v/>
      </c>
      <c r="I176" s="6">
        <f>'02_Inputs'!G176</f>
        <v/>
      </c>
      <c r="J176" s="29">
        <f>H176*I176</f>
        <v/>
      </c>
      <c r="K176" s="6">
        <f>'02_Inputs'!H176</f>
        <v/>
      </c>
      <c r="L176" s="29">
        <f>J176*K176</f>
        <v/>
      </c>
      <c r="M176" s="29">
        <f>J176*(1-K176)</f>
        <v/>
      </c>
      <c r="N176" s="6">
        <f>'02_GPU_Mix_Input'!D176</f>
        <v/>
      </c>
      <c r="O176" s="6">
        <f>'02_GPU_Mix_Input'!E176</f>
        <v/>
      </c>
      <c r="P176" s="6">
        <f>'02_GPU_Mix_Input'!F176</f>
        <v/>
      </c>
      <c r="Q176" s="6">
        <f>'02_GPU_Mix_Input'!G176</f>
        <v/>
      </c>
      <c r="R176" s="7">
        <f>INDEX('01_Benchmark_Input'!$K$2:$K$10,MATCH(B176,'01_Benchmark_Input'!$A$2:$A$10,0))</f>
        <v/>
      </c>
      <c r="S176" s="7">
        <f>INDEX('01_Benchmark_Input'!$P$2:$P$10,MATCH(B176,'01_Benchmark_Input'!$A$2:$A$10,0))</f>
        <v/>
      </c>
      <c r="T176" s="7">
        <f>INDEX('01_Benchmark_Input'!$U$2:$U$10,MATCH(B176,'01_Benchmark_Input'!$A$2:$A$10,0))</f>
        <v/>
      </c>
      <c r="U176" s="7">
        <f>INDEX('01_Benchmark_Input'!$Z$2:$Z$10,MATCH(B176,'01_Benchmark_Input'!$A$2:$A$10,0))</f>
        <v/>
      </c>
      <c r="V176" s="6">
        <f>INDEX('01_Benchmark_Input'!$D$2:$D$10,MATCH(B176,'01_Benchmark_Input'!$A$2:$A$10,0))</f>
        <v/>
      </c>
      <c r="W176" s="6">
        <f>INDEX('01_Benchmark_Input'!$E$2:$E$10,MATCH(B176,'01_Benchmark_Input'!$A$2:$A$10,0))</f>
        <v/>
      </c>
      <c r="X176" s="6">
        <f>INDEX('01_Benchmark_Input'!$F$2:$F$10,MATCH(B176,'01_Benchmark_Input'!$A$2:$A$10,0))</f>
        <v/>
      </c>
      <c r="Y176" s="7">
        <f>N176*R176+O176*S176+P176*T176+Q176*U176</f>
        <v/>
      </c>
      <c r="Z176" s="6">
        <f>'02_Inputs'!K176</f>
        <v/>
      </c>
      <c r="AA176" s="7">
        <f>Y176*Z176</f>
        <v/>
      </c>
      <c r="AB176" s="5">
        <f>L176*1000*AA176*86400</f>
        <v/>
      </c>
      <c r="AC176" s="5">
        <f>AB176*365</f>
        <v/>
      </c>
    </row>
    <row r="177">
      <c r="A177" s="5">
        <f>'02_Inputs'!A177</f>
        <v/>
      </c>
      <c r="B177" s="5">
        <f>'02_Inputs'!B177</f>
        <v/>
      </c>
      <c r="C177" s="5">
        <f>'02_Inputs'!C177</f>
        <v/>
      </c>
      <c r="D177" s="29">
        <f>'02_Inputs'!D177</f>
        <v/>
      </c>
      <c r="E177" s="6">
        <f>'02_Inputs'!E177</f>
        <v/>
      </c>
      <c r="F177" s="29">
        <f>D177*E177</f>
        <v/>
      </c>
      <c r="G177" s="5">
        <f>'02_Inputs'!F177</f>
        <v/>
      </c>
      <c r="H177" s="29">
        <f>F177/G177</f>
        <v/>
      </c>
      <c r="I177" s="6">
        <f>'02_Inputs'!G177</f>
        <v/>
      </c>
      <c r="J177" s="29">
        <f>H177*I177</f>
        <v/>
      </c>
      <c r="K177" s="6">
        <f>'02_Inputs'!H177</f>
        <v/>
      </c>
      <c r="L177" s="29">
        <f>J177*K177</f>
        <v/>
      </c>
      <c r="M177" s="29">
        <f>J177*(1-K177)</f>
        <v/>
      </c>
      <c r="N177" s="6">
        <f>'02_GPU_Mix_Input'!D177</f>
        <v/>
      </c>
      <c r="O177" s="6">
        <f>'02_GPU_Mix_Input'!E177</f>
        <v/>
      </c>
      <c r="P177" s="6">
        <f>'02_GPU_Mix_Input'!F177</f>
        <v/>
      </c>
      <c r="Q177" s="6">
        <f>'02_GPU_Mix_Input'!G177</f>
        <v/>
      </c>
      <c r="R177" s="7">
        <f>INDEX('01_Benchmark_Input'!$K$2:$K$10,MATCH(B177,'01_Benchmark_Input'!$A$2:$A$10,0))</f>
        <v/>
      </c>
      <c r="S177" s="7">
        <f>INDEX('01_Benchmark_Input'!$P$2:$P$10,MATCH(B177,'01_Benchmark_Input'!$A$2:$A$10,0))</f>
        <v/>
      </c>
      <c r="T177" s="7">
        <f>INDEX('01_Benchmark_Input'!$U$2:$U$10,MATCH(B177,'01_Benchmark_Input'!$A$2:$A$10,0))</f>
        <v/>
      </c>
      <c r="U177" s="7">
        <f>INDEX('01_Benchmark_Input'!$Z$2:$Z$10,MATCH(B177,'01_Benchmark_Input'!$A$2:$A$10,0))</f>
        <v/>
      </c>
      <c r="V177" s="6">
        <f>INDEX('01_Benchmark_Input'!$D$2:$D$10,MATCH(B177,'01_Benchmark_Input'!$A$2:$A$10,0))</f>
        <v/>
      </c>
      <c r="W177" s="6">
        <f>INDEX('01_Benchmark_Input'!$E$2:$E$10,MATCH(B177,'01_Benchmark_Input'!$A$2:$A$10,0))</f>
        <v/>
      </c>
      <c r="X177" s="6">
        <f>INDEX('01_Benchmark_Input'!$F$2:$F$10,MATCH(B177,'01_Benchmark_Input'!$A$2:$A$10,0))</f>
        <v/>
      </c>
      <c r="Y177" s="7">
        <f>N177*R177+O177*S177+P177*T177+Q177*U177</f>
        <v/>
      </c>
      <c r="Z177" s="6">
        <f>'02_Inputs'!K177</f>
        <v/>
      </c>
      <c r="AA177" s="7">
        <f>Y177*Z177</f>
        <v/>
      </c>
      <c r="AB177" s="5">
        <f>L177*1000*AA177*86400</f>
        <v/>
      </c>
      <c r="AC177" s="5">
        <f>AB177*365</f>
        <v/>
      </c>
    </row>
    <row r="178">
      <c r="A178" s="5">
        <f>'02_Inputs'!A178</f>
        <v/>
      </c>
      <c r="B178" s="5">
        <f>'02_Inputs'!B178</f>
        <v/>
      </c>
      <c r="C178" s="5">
        <f>'02_Inputs'!C178</f>
        <v/>
      </c>
      <c r="D178" s="29">
        <f>'02_Inputs'!D178</f>
        <v/>
      </c>
      <c r="E178" s="6">
        <f>'02_Inputs'!E178</f>
        <v/>
      </c>
      <c r="F178" s="29">
        <f>D178*E178</f>
        <v/>
      </c>
      <c r="G178" s="5">
        <f>'02_Inputs'!F178</f>
        <v/>
      </c>
      <c r="H178" s="29">
        <f>F178/G178</f>
        <v/>
      </c>
      <c r="I178" s="6">
        <f>'02_Inputs'!G178</f>
        <v/>
      </c>
      <c r="J178" s="29">
        <f>H178*I178</f>
        <v/>
      </c>
      <c r="K178" s="6">
        <f>'02_Inputs'!H178</f>
        <v/>
      </c>
      <c r="L178" s="29">
        <f>J178*K178</f>
        <v/>
      </c>
      <c r="M178" s="29">
        <f>J178*(1-K178)</f>
        <v/>
      </c>
      <c r="N178" s="6">
        <f>'02_GPU_Mix_Input'!D178</f>
        <v/>
      </c>
      <c r="O178" s="6">
        <f>'02_GPU_Mix_Input'!E178</f>
        <v/>
      </c>
      <c r="P178" s="6">
        <f>'02_GPU_Mix_Input'!F178</f>
        <v/>
      </c>
      <c r="Q178" s="6">
        <f>'02_GPU_Mix_Input'!G178</f>
        <v/>
      </c>
      <c r="R178" s="7">
        <f>INDEX('01_Benchmark_Input'!$K$2:$K$10,MATCH(B178,'01_Benchmark_Input'!$A$2:$A$10,0))</f>
        <v/>
      </c>
      <c r="S178" s="7">
        <f>INDEX('01_Benchmark_Input'!$P$2:$P$10,MATCH(B178,'01_Benchmark_Input'!$A$2:$A$10,0))</f>
        <v/>
      </c>
      <c r="T178" s="7">
        <f>INDEX('01_Benchmark_Input'!$U$2:$U$10,MATCH(B178,'01_Benchmark_Input'!$A$2:$A$10,0))</f>
        <v/>
      </c>
      <c r="U178" s="7">
        <f>INDEX('01_Benchmark_Input'!$Z$2:$Z$10,MATCH(B178,'01_Benchmark_Input'!$A$2:$A$10,0))</f>
        <v/>
      </c>
      <c r="V178" s="6">
        <f>INDEX('01_Benchmark_Input'!$D$2:$D$10,MATCH(B178,'01_Benchmark_Input'!$A$2:$A$10,0))</f>
        <v/>
      </c>
      <c r="W178" s="6">
        <f>INDEX('01_Benchmark_Input'!$E$2:$E$10,MATCH(B178,'01_Benchmark_Input'!$A$2:$A$10,0))</f>
        <v/>
      </c>
      <c r="X178" s="6">
        <f>INDEX('01_Benchmark_Input'!$F$2:$F$10,MATCH(B178,'01_Benchmark_Input'!$A$2:$A$10,0))</f>
        <v/>
      </c>
      <c r="Y178" s="7">
        <f>N178*R178+O178*S178+P178*T178+Q178*U178</f>
        <v/>
      </c>
      <c r="Z178" s="6">
        <f>'02_Inputs'!K178</f>
        <v/>
      </c>
      <c r="AA178" s="7">
        <f>Y178*Z178</f>
        <v/>
      </c>
      <c r="AB178" s="5">
        <f>L178*1000*AA178*86400</f>
        <v/>
      </c>
      <c r="AC178" s="5">
        <f>AB178*365</f>
        <v/>
      </c>
    </row>
    <row r="179">
      <c r="A179" s="5">
        <f>'02_Inputs'!A179</f>
        <v/>
      </c>
      <c r="B179" s="5">
        <f>'02_Inputs'!B179</f>
        <v/>
      </c>
      <c r="C179" s="5">
        <f>'02_Inputs'!C179</f>
        <v/>
      </c>
      <c r="D179" s="29">
        <f>'02_Inputs'!D179</f>
        <v/>
      </c>
      <c r="E179" s="6">
        <f>'02_Inputs'!E179</f>
        <v/>
      </c>
      <c r="F179" s="29">
        <f>D179*E179</f>
        <v/>
      </c>
      <c r="G179" s="5">
        <f>'02_Inputs'!F179</f>
        <v/>
      </c>
      <c r="H179" s="29">
        <f>F179/G179</f>
        <v/>
      </c>
      <c r="I179" s="6">
        <f>'02_Inputs'!G179</f>
        <v/>
      </c>
      <c r="J179" s="29">
        <f>H179*I179</f>
        <v/>
      </c>
      <c r="K179" s="6">
        <f>'02_Inputs'!H179</f>
        <v/>
      </c>
      <c r="L179" s="29">
        <f>J179*K179</f>
        <v/>
      </c>
      <c r="M179" s="29">
        <f>J179*(1-K179)</f>
        <v/>
      </c>
      <c r="N179" s="6">
        <f>'02_GPU_Mix_Input'!D179</f>
        <v/>
      </c>
      <c r="O179" s="6">
        <f>'02_GPU_Mix_Input'!E179</f>
        <v/>
      </c>
      <c r="P179" s="6">
        <f>'02_GPU_Mix_Input'!F179</f>
        <v/>
      </c>
      <c r="Q179" s="6">
        <f>'02_GPU_Mix_Input'!G179</f>
        <v/>
      </c>
      <c r="R179" s="7">
        <f>INDEX('01_Benchmark_Input'!$K$2:$K$10,MATCH(B179,'01_Benchmark_Input'!$A$2:$A$10,0))</f>
        <v/>
      </c>
      <c r="S179" s="7">
        <f>INDEX('01_Benchmark_Input'!$P$2:$P$10,MATCH(B179,'01_Benchmark_Input'!$A$2:$A$10,0))</f>
        <v/>
      </c>
      <c r="T179" s="7">
        <f>INDEX('01_Benchmark_Input'!$U$2:$U$10,MATCH(B179,'01_Benchmark_Input'!$A$2:$A$10,0))</f>
        <v/>
      </c>
      <c r="U179" s="7">
        <f>INDEX('01_Benchmark_Input'!$Z$2:$Z$10,MATCH(B179,'01_Benchmark_Input'!$A$2:$A$10,0))</f>
        <v/>
      </c>
      <c r="V179" s="6">
        <f>INDEX('01_Benchmark_Input'!$D$2:$D$10,MATCH(B179,'01_Benchmark_Input'!$A$2:$A$10,0))</f>
        <v/>
      </c>
      <c r="W179" s="6">
        <f>INDEX('01_Benchmark_Input'!$E$2:$E$10,MATCH(B179,'01_Benchmark_Input'!$A$2:$A$10,0))</f>
        <v/>
      </c>
      <c r="X179" s="6">
        <f>INDEX('01_Benchmark_Input'!$F$2:$F$10,MATCH(B179,'01_Benchmark_Input'!$A$2:$A$10,0))</f>
        <v/>
      </c>
      <c r="Y179" s="7">
        <f>N179*R179+O179*S179+P179*T179+Q179*U179</f>
        <v/>
      </c>
      <c r="Z179" s="6">
        <f>'02_Inputs'!K179</f>
        <v/>
      </c>
      <c r="AA179" s="7">
        <f>Y179*Z179</f>
        <v/>
      </c>
      <c r="AB179" s="5">
        <f>L179*1000*AA179*86400</f>
        <v/>
      </c>
      <c r="AC179" s="5">
        <f>AB179*365</f>
        <v/>
      </c>
    </row>
    <row r="180">
      <c r="A180" s="5">
        <f>'02_Inputs'!A180</f>
        <v/>
      </c>
      <c r="B180" s="5">
        <f>'02_Inputs'!B180</f>
        <v/>
      </c>
      <c r="C180" s="5">
        <f>'02_Inputs'!C180</f>
        <v/>
      </c>
      <c r="D180" s="29">
        <f>'02_Inputs'!D180</f>
        <v/>
      </c>
      <c r="E180" s="6">
        <f>'02_Inputs'!E180</f>
        <v/>
      </c>
      <c r="F180" s="29">
        <f>D180*E180</f>
        <v/>
      </c>
      <c r="G180" s="5">
        <f>'02_Inputs'!F180</f>
        <v/>
      </c>
      <c r="H180" s="29">
        <f>F180/G180</f>
        <v/>
      </c>
      <c r="I180" s="6">
        <f>'02_Inputs'!G180</f>
        <v/>
      </c>
      <c r="J180" s="29">
        <f>H180*I180</f>
        <v/>
      </c>
      <c r="K180" s="6">
        <f>'02_Inputs'!H180</f>
        <v/>
      </c>
      <c r="L180" s="29">
        <f>J180*K180</f>
        <v/>
      </c>
      <c r="M180" s="29">
        <f>J180*(1-K180)</f>
        <v/>
      </c>
      <c r="N180" s="6">
        <f>'02_GPU_Mix_Input'!D180</f>
        <v/>
      </c>
      <c r="O180" s="6">
        <f>'02_GPU_Mix_Input'!E180</f>
        <v/>
      </c>
      <c r="P180" s="6">
        <f>'02_GPU_Mix_Input'!F180</f>
        <v/>
      </c>
      <c r="Q180" s="6">
        <f>'02_GPU_Mix_Input'!G180</f>
        <v/>
      </c>
      <c r="R180" s="7">
        <f>INDEX('01_Benchmark_Input'!$K$2:$K$10,MATCH(B180,'01_Benchmark_Input'!$A$2:$A$10,0))</f>
        <v/>
      </c>
      <c r="S180" s="7">
        <f>INDEX('01_Benchmark_Input'!$P$2:$P$10,MATCH(B180,'01_Benchmark_Input'!$A$2:$A$10,0))</f>
        <v/>
      </c>
      <c r="T180" s="7">
        <f>INDEX('01_Benchmark_Input'!$U$2:$U$10,MATCH(B180,'01_Benchmark_Input'!$A$2:$A$10,0))</f>
        <v/>
      </c>
      <c r="U180" s="7">
        <f>INDEX('01_Benchmark_Input'!$Z$2:$Z$10,MATCH(B180,'01_Benchmark_Input'!$A$2:$A$10,0))</f>
        <v/>
      </c>
      <c r="V180" s="6">
        <f>INDEX('01_Benchmark_Input'!$D$2:$D$10,MATCH(B180,'01_Benchmark_Input'!$A$2:$A$10,0))</f>
        <v/>
      </c>
      <c r="W180" s="6">
        <f>INDEX('01_Benchmark_Input'!$E$2:$E$10,MATCH(B180,'01_Benchmark_Input'!$A$2:$A$10,0))</f>
        <v/>
      </c>
      <c r="X180" s="6">
        <f>INDEX('01_Benchmark_Input'!$F$2:$F$10,MATCH(B180,'01_Benchmark_Input'!$A$2:$A$10,0))</f>
        <v/>
      </c>
      <c r="Y180" s="7">
        <f>N180*R180+O180*S180+P180*T180+Q180*U180</f>
        <v/>
      </c>
      <c r="Z180" s="6">
        <f>'02_Inputs'!K180</f>
        <v/>
      </c>
      <c r="AA180" s="7">
        <f>Y180*Z180</f>
        <v/>
      </c>
      <c r="AB180" s="5">
        <f>L180*1000*AA180*86400</f>
        <v/>
      </c>
      <c r="AC180" s="5">
        <f>AB180*365</f>
        <v/>
      </c>
    </row>
    <row r="181">
      <c r="A181" s="5">
        <f>'02_Inputs'!A181</f>
        <v/>
      </c>
      <c r="B181" s="5">
        <f>'02_Inputs'!B181</f>
        <v/>
      </c>
      <c r="C181" s="5">
        <f>'02_Inputs'!C181</f>
        <v/>
      </c>
      <c r="D181" s="29">
        <f>'02_Inputs'!D181</f>
        <v/>
      </c>
      <c r="E181" s="6">
        <f>'02_Inputs'!E181</f>
        <v/>
      </c>
      <c r="F181" s="29">
        <f>D181*E181</f>
        <v/>
      </c>
      <c r="G181" s="5">
        <f>'02_Inputs'!F181</f>
        <v/>
      </c>
      <c r="H181" s="29">
        <f>F181/G181</f>
        <v/>
      </c>
      <c r="I181" s="6">
        <f>'02_Inputs'!G181</f>
        <v/>
      </c>
      <c r="J181" s="29">
        <f>H181*I181</f>
        <v/>
      </c>
      <c r="K181" s="6">
        <f>'02_Inputs'!H181</f>
        <v/>
      </c>
      <c r="L181" s="29">
        <f>J181*K181</f>
        <v/>
      </c>
      <c r="M181" s="29">
        <f>J181*(1-K181)</f>
        <v/>
      </c>
      <c r="N181" s="6">
        <f>'02_GPU_Mix_Input'!D181</f>
        <v/>
      </c>
      <c r="O181" s="6">
        <f>'02_GPU_Mix_Input'!E181</f>
        <v/>
      </c>
      <c r="P181" s="6">
        <f>'02_GPU_Mix_Input'!F181</f>
        <v/>
      </c>
      <c r="Q181" s="6">
        <f>'02_GPU_Mix_Input'!G181</f>
        <v/>
      </c>
      <c r="R181" s="7">
        <f>INDEX('01_Benchmark_Input'!$K$2:$K$10,MATCH(B181,'01_Benchmark_Input'!$A$2:$A$10,0))</f>
        <v/>
      </c>
      <c r="S181" s="7">
        <f>INDEX('01_Benchmark_Input'!$P$2:$P$10,MATCH(B181,'01_Benchmark_Input'!$A$2:$A$10,0))</f>
        <v/>
      </c>
      <c r="T181" s="7">
        <f>INDEX('01_Benchmark_Input'!$U$2:$U$10,MATCH(B181,'01_Benchmark_Input'!$A$2:$A$10,0))</f>
        <v/>
      </c>
      <c r="U181" s="7">
        <f>INDEX('01_Benchmark_Input'!$Z$2:$Z$10,MATCH(B181,'01_Benchmark_Input'!$A$2:$A$10,0))</f>
        <v/>
      </c>
      <c r="V181" s="6">
        <f>INDEX('01_Benchmark_Input'!$D$2:$D$10,MATCH(B181,'01_Benchmark_Input'!$A$2:$A$10,0))</f>
        <v/>
      </c>
      <c r="W181" s="6">
        <f>INDEX('01_Benchmark_Input'!$E$2:$E$10,MATCH(B181,'01_Benchmark_Input'!$A$2:$A$10,0))</f>
        <v/>
      </c>
      <c r="X181" s="6">
        <f>INDEX('01_Benchmark_Input'!$F$2:$F$10,MATCH(B181,'01_Benchmark_Input'!$A$2:$A$10,0))</f>
        <v/>
      </c>
      <c r="Y181" s="7">
        <f>N181*R181+O181*S181+P181*T181+Q181*U181</f>
        <v/>
      </c>
      <c r="Z181" s="6">
        <f>'02_Inputs'!K181</f>
        <v/>
      </c>
      <c r="AA181" s="7">
        <f>Y181*Z181</f>
        <v/>
      </c>
      <c r="AB181" s="5">
        <f>L181*1000*AA181*86400</f>
        <v/>
      </c>
      <c r="AC181" s="5">
        <f>AB181*365</f>
        <v/>
      </c>
    </row>
  </sheetData>
  <autoFilter ref="A1:AC18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0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31" t="inlineStr">
        <is>
          <t>Provider</t>
        </is>
      </c>
      <c r="B5" s="31" t="n">
        <v>2026</v>
      </c>
      <c r="C5" s="31" t="n">
        <v>2027</v>
      </c>
      <c r="D5" s="31" t="n">
        <v>2028</v>
      </c>
      <c r="E5" s="31" t="n">
        <v>2029</v>
      </c>
      <c r="F5" s="31" t="n">
        <v>2030</v>
      </c>
    </row>
    <row r="6">
      <c r="A6" s="3" t="inlineStr">
        <is>
          <t>Microsoft</t>
        </is>
      </c>
      <c r="B6" s="29">
        <f>SUMIFS('03_Calculation'!$AB$2:$AB$181,'03_Calculation'!$A$2:$A$181,"Base",'03_Calculation'!$B$2:$B$181,$A6,'03_Calculation'!$C$2:$C$181,B$5)/1000000000000000</f>
        <v/>
      </c>
      <c r="C6" s="29">
        <f>SUMIFS('03_Calculation'!$AB$2:$AB$181,'03_Calculation'!$A$2:$A$181,"Base",'03_Calculation'!$B$2:$B$181,$A6,'03_Calculation'!$C$2:$C$181,C$5)/1000000000000000</f>
        <v/>
      </c>
      <c r="D6" s="29">
        <f>SUMIFS('03_Calculation'!$AB$2:$AB$181,'03_Calculation'!$A$2:$A$181,"Base",'03_Calculation'!$B$2:$B$181,$A6,'03_Calculation'!$C$2:$C$181,D$5)/1000000000000000</f>
        <v/>
      </c>
      <c r="E6" s="29">
        <f>SUMIFS('03_Calculation'!$AB$2:$AB$181,'03_Calculation'!$A$2:$A$181,"Base",'03_Calculation'!$B$2:$B$181,$A6,'03_Calculation'!$C$2:$C$181,E$5)/1000000000000000</f>
        <v/>
      </c>
      <c r="F6" s="29">
        <f>SUMIFS('03_Calculation'!$AB$2:$AB$181,'03_Calculation'!$A$2:$A$181,"Base",'03_Calculation'!$B$2:$B$181,$A6,'03_Calculation'!$C$2:$C$181,F$5)/1000000000000000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29">
        <f>SUMIFS('03_Calculation'!$AB$2:$AB$181,'03_Calculation'!$A$2:$A$181,"Base",'03_Calculation'!$B$2:$B$181,$A7,'03_Calculation'!$C$2:$C$181,B$5)/1000000000000000</f>
        <v/>
      </c>
      <c r="C7" s="29">
        <f>SUMIFS('03_Calculation'!$AB$2:$AB$181,'03_Calculation'!$A$2:$A$181,"Base",'03_Calculation'!$B$2:$B$181,$A7,'03_Calculation'!$C$2:$C$181,C$5)/1000000000000000</f>
        <v/>
      </c>
      <c r="D7" s="29">
        <f>SUMIFS('03_Calculation'!$AB$2:$AB$181,'03_Calculation'!$A$2:$A$181,"Base",'03_Calculation'!$B$2:$B$181,$A7,'03_Calculation'!$C$2:$C$181,D$5)/1000000000000000</f>
        <v/>
      </c>
      <c r="E7" s="29">
        <f>SUMIFS('03_Calculation'!$AB$2:$AB$181,'03_Calculation'!$A$2:$A$181,"Base",'03_Calculation'!$B$2:$B$181,$A7,'03_Calculation'!$C$2:$C$181,E$5)/1000000000000000</f>
        <v/>
      </c>
      <c r="F7" s="29">
        <f>SUMIFS('03_Calculation'!$AB$2:$AB$181,'03_Calculation'!$A$2:$A$181,"Base",'03_Calculation'!$B$2:$B$181,$A7,'03_Calculation'!$C$2:$C$181,F$5)/1000000000000000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29">
        <f>SUMIFS('03_Calculation'!$AB$2:$AB$181,'03_Calculation'!$A$2:$A$181,"Base",'03_Calculation'!$B$2:$B$181,$A8,'03_Calculation'!$C$2:$C$181,B$5)/1000000000000000</f>
        <v/>
      </c>
      <c r="C8" s="29">
        <f>SUMIFS('03_Calculation'!$AB$2:$AB$181,'03_Calculation'!$A$2:$A$181,"Base",'03_Calculation'!$B$2:$B$181,$A8,'03_Calculation'!$C$2:$C$181,C$5)/1000000000000000</f>
        <v/>
      </c>
      <c r="D8" s="29">
        <f>SUMIFS('03_Calculation'!$AB$2:$AB$181,'03_Calculation'!$A$2:$A$181,"Base",'03_Calculation'!$B$2:$B$181,$A8,'03_Calculation'!$C$2:$C$181,D$5)/1000000000000000</f>
        <v/>
      </c>
      <c r="E8" s="29">
        <f>SUMIFS('03_Calculation'!$AB$2:$AB$181,'03_Calculation'!$A$2:$A$181,"Base",'03_Calculation'!$B$2:$B$181,$A8,'03_Calculation'!$C$2:$C$181,E$5)/1000000000000000</f>
        <v/>
      </c>
      <c r="F8" s="29">
        <f>SUMIFS('03_Calculation'!$AB$2:$AB$181,'03_Calculation'!$A$2:$A$181,"Base",'03_Calculation'!$B$2:$B$181,$A8,'03_Calculation'!$C$2:$C$181,F$5)/1000000000000000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29">
        <f>SUMIFS('03_Calculation'!$AB$2:$AB$181,'03_Calculation'!$A$2:$A$181,"Base",'03_Calculation'!$B$2:$B$181,$A9,'03_Calculation'!$C$2:$C$181,B$5)/1000000000000000</f>
        <v/>
      </c>
      <c r="C9" s="29">
        <f>SUMIFS('03_Calculation'!$AB$2:$AB$181,'03_Calculation'!$A$2:$A$181,"Base",'03_Calculation'!$B$2:$B$181,$A9,'03_Calculation'!$C$2:$C$181,C$5)/1000000000000000</f>
        <v/>
      </c>
      <c r="D9" s="29">
        <f>SUMIFS('03_Calculation'!$AB$2:$AB$181,'03_Calculation'!$A$2:$A$181,"Base",'03_Calculation'!$B$2:$B$181,$A9,'03_Calculation'!$C$2:$C$181,D$5)/1000000000000000</f>
        <v/>
      </c>
      <c r="E9" s="29">
        <f>SUMIFS('03_Calculation'!$AB$2:$AB$181,'03_Calculation'!$A$2:$A$181,"Base",'03_Calculation'!$B$2:$B$181,$A9,'03_Calculation'!$C$2:$C$181,E$5)/1000000000000000</f>
        <v/>
      </c>
      <c r="F9" s="29">
        <f>SUMIFS('03_Calculation'!$AB$2:$AB$181,'03_Calculation'!$A$2:$A$181,"Base",'03_Calculation'!$B$2:$B$181,$A9,'03_Calculation'!$C$2:$C$181,F$5)/1000000000000000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29">
        <f>SUMIFS('03_Calculation'!$AB$2:$AB$181,'03_Calculation'!$A$2:$A$181,"Base",'03_Calculation'!$B$2:$B$181,$A10,'03_Calculation'!$C$2:$C$181,B$5)/1000000000000000</f>
        <v/>
      </c>
      <c r="C10" s="29">
        <f>SUMIFS('03_Calculation'!$AB$2:$AB$181,'03_Calculation'!$A$2:$A$181,"Base",'03_Calculation'!$B$2:$B$181,$A10,'03_Calculation'!$C$2:$C$181,C$5)/1000000000000000</f>
        <v/>
      </c>
      <c r="D10" s="29">
        <f>SUMIFS('03_Calculation'!$AB$2:$AB$181,'03_Calculation'!$A$2:$A$181,"Base",'03_Calculation'!$B$2:$B$181,$A10,'03_Calculation'!$C$2:$C$181,D$5)/1000000000000000</f>
        <v/>
      </c>
      <c r="E10" s="29">
        <f>SUMIFS('03_Calculation'!$AB$2:$AB$181,'03_Calculation'!$A$2:$A$181,"Base",'03_Calculation'!$B$2:$B$181,$A10,'03_Calculation'!$C$2:$C$181,E$5)/1000000000000000</f>
        <v/>
      </c>
      <c r="F10" s="29">
        <f>SUMIFS('03_Calculation'!$AB$2:$AB$181,'03_Calculation'!$A$2:$A$181,"Base",'03_Calculation'!$B$2:$B$181,$A10,'03_Calculation'!$C$2:$C$181,F$5)/1000000000000000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29">
        <f>SUMIFS('03_Calculation'!$AB$2:$AB$181,'03_Calculation'!$A$2:$A$181,"Base",'03_Calculation'!$B$2:$B$181,$A11,'03_Calculation'!$C$2:$C$181,B$5)/1000000000000000</f>
        <v/>
      </c>
      <c r="C11" s="29">
        <f>SUMIFS('03_Calculation'!$AB$2:$AB$181,'03_Calculation'!$A$2:$A$181,"Base",'03_Calculation'!$B$2:$B$181,$A11,'03_Calculation'!$C$2:$C$181,C$5)/1000000000000000</f>
        <v/>
      </c>
      <c r="D11" s="29">
        <f>SUMIFS('03_Calculation'!$AB$2:$AB$181,'03_Calculation'!$A$2:$A$181,"Base",'03_Calculation'!$B$2:$B$181,$A11,'03_Calculation'!$C$2:$C$181,D$5)/1000000000000000</f>
        <v/>
      </c>
      <c r="E11" s="29">
        <f>SUMIFS('03_Calculation'!$AB$2:$AB$181,'03_Calculation'!$A$2:$A$181,"Base",'03_Calculation'!$B$2:$B$181,$A11,'03_Calculation'!$C$2:$C$181,E$5)/1000000000000000</f>
        <v/>
      </c>
      <c r="F11" s="29">
        <f>SUMIFS('03_Calculation'!$AB$2:$AB$181,'03_Calculation'!$A$2:$A$181,"Base",'03_Calculation'!$B$2:$B$181,$A11,'03_Calculation'!$C$2:$C$181,F$5)/1000000000000000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29">
        <f>SUMIFS('03_Calculation'!$AB$2:$AB$181,'03_Calculation'!$A$2:$A$181,"Base",'03_Calculation'!$B$2:$B$181,$A12,'03_Calculation'!$C$2:$C$181,B$5)/1000000000000000</f>
        <v/>
      </c>
      <c r="C12" s="29">
        <f>SUMIFS('03_Calculation'!$AB$2:$AB$181,'03_Calculation'!$A$2:$A$181,"Base",'03_Calculation'!$B$2:$B$181,$A12,'03_Calculation'!$C$2:$C$181,C$5)/1000000000000000</f>
        <v/>
      </c>
      <c r="D12" s="29">
        <f>SUMIFS('03_Calculation'!$AB$2:$AB$181,'03_Calculation'!$A$2:$A$181,"Base",'03_Calculation'!$B$2:$B$181,$A12,'03_Calculation'!$C$2:$C$181,D$5)/1000000000000000</f>
        <v/>
      </c>
      <c r="E12" s="29">
        <f>SUMIFS('03_Calculation'!$AB$2:$AB$181,'03_Calculation'!$A$2:$A$181,"Base",'03_Calculation'!$B$2:$B$181,$A12,'03_Calculation'!$C$2:$C$181,E$5)/1000000000000000</f>
        <v/>
      </c>
      <c r="F12" s="29">
        <f>SUMIFS('03_Calculation'!$AB$2:$AB$181,'03_Calculation'!$A$2:$A$181,"Base",'03_Calculation'!$B$2:$B$181,$A12,'03_Calculation'!$C$2:$C$181,F$5)/1000000000000000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29">
        <f>SUMIFS('03_Calculation'!$AB$2:$AB$181,'03_Calculation'!$A$2:$A$181,"Base",'03_Calculation'!$B$2:$B$181,$A13,'03_Calculation'!$C$2:$C$181,B$5)/1000000000000000</f>
        <v/>
      </c>
      <c r="C13" s="29">
        <f>SUMIFS('03_Calculation'!$AB$2:$AB$181,'03_Calculation'!$A$2:$A$181,"Base",'03_Calculation'!$B$2:$B$181,$A13,'03_Calculation'!$C$2:$C$181,C$5)/1000000000000000</f>
        <v/>
      </c>
      <c r="D13" s="29">
        <f>SUMIFS('03_Calculation'!$AB$2:$AB$181,'03_Calculation'!$A$2:$A$181,"Base",'03_Calculation'!$B$2:$B$181,$A13,'03_Calculation'!$C$2:$C$181,D$5)/1000000000000000</f>
        <v/>
      </c>
      <c r="E13" s="29">
        <f>SUMIFS('03_Calculation'!$AB$2:$AB$181,'03_Calculation'!$A$2:$A$181,"Base",'03_Calculation'!$B$2:$B$181,$A13,'03_Calculation'!$C$2:$C$181,E$5)/1000000000000000</f>
        <v/>
      </c>
      <c r="F13" s="29">
        <f>SUMIFS('03_Calculation'!$AB$2:$AB$181,'03_Calculation'!$A$2:$A$181,"Base",'03_Calculation'!$B$2:$B$181,$A13,'03_Calculation'!$C$2:$C$181,F$5)/1000000000000000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29">
        <f>SUMIFS('03_Calculation'!$AB$2:$AB$181,'03_Calculation'!$A$2:$A$181,"Base",'03_Calculation'!$B$2:$B$181,$A14,'03_Calculation'!$C$2:$C$181,B$5)/1000000000000000</f>
        <v/>
      </c>
      <c r="C14" s="29">
        <f>SUMIFS('03_Calculation'!$AB$2:$AB$181,'03_Calculation'!$A$2:$A$181,"Base",'03_Calculation'!$B$2:$B$181,$A14,'03_Calculation'!$C$2:$C$181,C$5)/1000000000000000</f>
        <v/>
      </c>
      <c r="D14" s="29">
        <f>SUMIFS('03_Calculation'!$AB$2:$AB$181,'03_Calculation'!$A$2:$A$181,"Base",'03_Calculation'!$B$2:$B$181,$A14,'03_Calculation'!$C$2:$C$181,D$5)/1000000000000000</f>
        <v/>
      </c>
      <c r="E14" s="29">
        <f>SUMIFS('03_Calculation'!$AB$2:$AB$181,'03_Calculation'!$A$2:$A$181,"Base",'03_Calculation'!$B$2:$B$181,$A14,'03_Calculation'!$C$2:$C$181,E$5)/1000000000000000</f>
        <v/>
      </c>
      <c r="F14" s="29">
        <f>SUMIFS('03_Calculation'!$AB$2:$AB$181,'03_Calculation'!$A$2:$A$181,"Base",'03_Calculation'!$B$2:$B$181,$A14,'03_Calculation'!$C$2:$C$181,F$5)/1000000000000000</f>
        <v/>
      </c>
    </row>
    <row r="15">
      <c r="A15" s="32" t="inlineStr">
        <is>
          <t>Total</t>
        </is>
      </c>
      <c r="B15" s="33">
        <f>SUM(B6:B14)</f>
        <v/>
      </c>
      <c r="C15" s="33">
        <f>SUM(C6:C14)</f>
        <v/>
      </c>
      <c r="D15" s="33">
        <f>SUM(D6:D14)</f>
        <v/>
      </c>
      <c r="E15" s="33">
        <f>SUM(E6:E14)</f>
        <v/>
      </c>
      <c r="F15" s="33">
        <f>SUM(F6:F14)</f>
        <v/>
      </c>
    </row>
    <row r="16">
      <c r="A16" s="30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31" t="inlineStr">
        <is>
          <t>Provider</t>
        </is>
      </c>
      <c r="B18" s="31" t="n">
        <v>2026</v>
      </c>
      <c r="C18" s="31" t="n">
        <v>2027</v>
      </c>
      <c r="D18" s="31" t="n">
        <v>2028</v>
      </c>
      <c r="E18" s="31" t="n">
        <v>2029</v>
      </c>
      <c r="F18" s="31" t="n">
        <v>2030</v>
      </c>
    </row>
    <row r="19">
      <c r="A19" s="3" t="inlineStr">
        <is>
          <t>Microsoft</t>
        </is>
      </c>
      <c r="B19" s="29">
        <f>SUMIFS('03_Calculation'!$AC$2:$AC$181,'03_Calculation'!$A$2:$A$181,"Base",'03_Calculation'!$B$2:$B$181,$A19,'03_Calculation'!$C$2:$C$181,B$18)/1000000000000000</f>
        <v/>
      </c>
      <c r="C19" s="29">
        <f>SUMIFS('03_Calculation'!$AC$2:$AC$181,'03_Calculation'!$A$2:$A$181,"Base",'03_Calculation'!$B$2:$B$181,$A19,'03_Calculation'!$C$2:$C$181,C$18)/1000000000000000</f>
        <v/>
      </c>
      <c r="D19" s="29">
        <f>SUMIFS('03_Calculation'!$AC$2:$AC$181,'03_Calculation'!$A$2:$A$181,"Base",'03_Calculation'!$B$2:$B$181,$A19,'03_Calculation'!$C$2:$C$181,D$18)/1000000000000000</f>
        <v/>
      </c>
      <c r="E19" s="29">
        <f>SUMIFS('03_Calculation'!$AC$2:$AC$181,'03_Calculation'!$A$2:$A$181,"Base",'03_Calculation'!$B$2:$B$181,$A19,'03_Calculation'!$C$2:$C$181,E$18)/1000000000000000</f>
        <v/>
      </c>
      <c r="F19" s="29">
        <f>SUMIFS('03_Calculation'!$AC$2:$AC$181,'03_Calculation'!$A$2:$A$181,"Base",'03_Calculation'!$B$2:$B$181,$A19,'03_Calculation'!$C$2:$C$181,F$18)/1000000000000000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29">
        <f>SUMIFS('03_Calculation'!$AC$2:$AC$181,'03_Calculation'!$A$2:$A$181,"Base",'03_Calculation'!$B$2:$B$181,$A20,'03_Calculation'!$C$2:$C$181,B$18)/1000000000000000</f>
        <v/>
      </c>
      <c r="C20" s="29">
        <f>SUMIFS('03_Calculation'!$AC$2:$AC$181,'03_Calculation'!$A$2:$A$181,"Base",'03_Calculation'!$B$2:$B$181,$A20,'03_Calculation'!$C$2:$C$181,C$18)/1000000000000000</f>
        <v/>
      </c>
      <c r="D20" s="29">
        <f>SUMIFS('03_Calculation'!$AC$2:$AC$181,'03_Calculation'!$A$2:$A$181,"Base",'03_Calculation'!$B$2:$B$181,$A20,'03_Calculation'!$C$2:$C$181,D$18)/1000000000000000</f>
        <v/>
      </c>
      <c r="E20" s="29">
        <f>SUMIFS('03_Calculation'!$AC$2:$AC$181,'03_Calculation'!$A$2:$A$181,"Base",'03_Calculation'!$B$2:$B$181,$A20,'03_Calculation'!$C$2:$C$181,E$18)/1000000000000000</f>
        <v/>
      </c>
      <c r="F20" s="29">
        <f>SUMIFS('03_Calculation'!$AC$2:$AC$181,'03_Calculation'!$A$2:$A$181,"Base",'03_Calculation'!$B$2:$B$181,$A20,'03_Calculation'!$C$2:$C$181,F$18)/1000000000000000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29">
        <f>SUMIFS('03_Calculation'!$AC$2:$AC$181,'03_Calculation'!$A$2:$A$181,"Base",'03_Calculation'!$B$2:$B$181,$A21,'03_Calculation'!$C$2:$C$181,B$18)/1000000000000000</f>
        <v/>
      </c>
      <c r="C21" s="29">
        <f>SUMIFS('03_Calculation'!$AC$2:$AC$181,'03_Calculation'!$A$2:$A$181,"Base",'03_Calculation'!$B$2:$B$181,$A21,'03_Calculation'!$C$2:$C$181,C$18)/1000000000000000</f>
        <v/>
      </c>
      <c r="D21" s="29">
        <f>SUMIFS('03_Calculation'!$AC$2:$AC$181,'03_Calculation'!$A$2:$A$181,"Base",'03_Calculation'!$B$2:$B$181,$A21,'03_Calculation'!$C$2:$C$181,D$18)/1000000000000000</f>
        <v/>
      </c>
      <c r="E21" s="29">
        <f>SUMIFS('03_Calculation'!$AC$2:$AC$181,'03_Calculation'!$A$2:$A$181,"Base",'03_Calculation'!$B$2:$B$181,$A21,'03_Calculation'!$C$2:$C$181,E$18)/1000000000000000</f>
        <v/>
      </c>
      <c r="F21" s="29">
        <f>SUMIFS('03_Calculation'!$AC$2:$AC$181,'03_Calculation'!$A$2:$A$181,"Base",'03_Calculation'!$B$2:$B$181,$A21,'03_Calculation'!$C$2:$C$181,F$18)/1000000000000000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29">
        <f>SUMIFS('03_Calculation'!$AC$2:$AC$181,'03_Calculation'!$A$2:$A$181,"Base",'03_Calculation'!$B$2:$B$181,$A22,'03_Calculation'!$C$2:$C$181,B$18)/1000000000000000</f>
        <v/>
      </c>
      <c r="C22" s="29">
        <f>SUMIFS('03_Calculation'!$AC$2:$AC$181,'03_Calculation'!$A$2:$A$181,"Base",'03_Calculation'!$B$2:$B$181,$A22,'03_Calculation'!$C$2:$C$181,C$18)/1000000000000000</f>
        <v/>
      </c>
      <c r="D22" s="29">
        <f>SUMIFS('03_Calculation'!$AC$2:$AC$181,'03_Calculation'!$A$2:$A$181,"Base",'03_Calculation'!$B$2:$B$181,$A22,'03_Calculation'!$C$2:$C$181,D$18)/1000000000000000</f>
        <v/>
      </c>
      <c r="E22" s="29">
        <f>SUMIFS('03_Calculation'!$AC$2:$AC$181,'03_Calculation'!$A$2:$A$181,"Base",'03_Calculation'!$B$2:$B$181,$A22,'03_Calculation'!$C$2:$C$181,E$18)/1000000000000000</f>
        <v/>
      </c>
      <c r="F22" s="29">
        <f>SUMIFS('03_Calculation'!$AC$2:$AC$181,'03_Calculation'!$A$2:$A$181,"Base",'03_Calculation'!$B$2:$B$181,$A22,'03_Calculation'!$C$2:$C$181,F$18)/1000000000000000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29">
        <f>SUMIFS('03_Calculation'!$AC$2:$AC$181,'03_Calculation'!$A$2:$A$181,"Base",'03_Calculation'!$B$2:$B$181,$A23,'03_Calculation'!$C$2:$C$181,B$18)/1000000000000000</f>
        <v/>
      </c>
      <c r="C23" s="29">
        <f>SUMIFS('03_Calculation'!$AC$2:$AC$181,'03_Calculation'!$A$2:$A$181,"Base",'03_Calculation'!$B$2:$B$181,$A23,'03_Calculation'!$C$2:$C$181,C$18)/1000000000000000</f>
        <v/>
      </c>
      <c r="D23" s="29">
        <f>SUMIFS('03_Calculation'!$AC$2:$AC$181,'03_Calculation'!$A$2:$A$181,"Base",'03_Calculation'!$B$2:$B$181,$A23,'03_Calculation'!$C$2:$C$181,D$18)/1000000000000000</f>
        <v/>
      </c>
      <c r="E23" s="29">
        <f>SUMIFS('03_Calculation'!$AC$2:$AC$181,'03_Calculation'!$A$2:$A$181,"Base",'03_Calculation'!$B$2:$B$181,$A23,'03_Calculation'!$C$2:$C$181,E$18)/1000000000000000</f>
        <v/>
      </c>
      <c r="F23" s="29">
        <f>SUMIFS('03_Calculation'!$AC$2:$AC$181,'03_Calculation'!$A$2:$A$181,"Base",'03_Calculation'!$B$2:$B$181,$A23,'03_Calculation'!$C$2:$C$181,F$18)/1000000000000000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29">
        <f>SUMIFS('03_Calculation'!$AC$2:$AC$181,'03_Calculation'!$A$2:$A$181,"Base",'03_Calculation'!$B$2:$B$181,$A24,'03_Calculation'!$C$2:$C$181,B$18)/1000000000000000</f>
        <v/>
      </c>
      <c r="C24" s="29">
        <f>SUMIFS('03_Calculation'!$AC$2:$AC$181,'03_Calculation'!$A$2:$A$181,"Base",'03_Calculation'!$B$2:$B$181,$A24,'03_Calculation'!$C$2:$C$181,C$18)/1000000000000000</f>
        <v/>
      </c>
      <c r="D24" s="29">
        <f>SUMIFS('03_Calculation'!$AC$2:$AC$181,'03_Calculation'!$A$2:$A$181,"Base",'03_Calculation'!$B$2:$B$181,$A24,'03_Calculation'!$C$2:$C$181,D$18)/1000000000000000</f>
        <v/>
      </c>
      <c r="E24" s="29">
        <f>SUMIFS('03_Calculation'!$AC$2:$AC$181,'03_Calculation'!$A$2:$A$181,"Base",'03_Calculation'!$B$2:$B$181,$A24,'03_Calculation'!$C$2:$C$181,E$18)/1000000000000000</f>
        <v/>
      </c>
      <c r="F24" s="29">
        <f>SUMIFS('03_Calculation'!$AC$2:$AC$181,'03_Calculation'!$A$2:$A$181,"Base",'03_Calculation'!$B$2:$B$181,$A24,'03_Calculation'!$C$2:$C$181,F$18)/1000000000000000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29">
        <f>SUMIFS('03_Calculation'!$AC$2:$AC$181,'03_Calculation'!$A$2:$A$181,"Base",'03_Calculation'!$B$2:$B$181,$A25,'03_Calculation'!$C$2:$C$181,B$18)/1000000000000000</f>
        <v/>
      </c>
      <c r="C25" s="29">
        <f>SUMIFS('03_Calculation'!$AC$2:$AC$181,'03_Calculation'!$A$2:$A$181,"Base",'03_Calculation'!$B$2:$B$181,$A25,'03_Calculation'!$C$2:$C$181,C$18)/1000000000000000</f>
        <v/>
      </c>
      <c r="D25" s="29">
        <f>SUMIFS('03_Calculation'!$AC$2:$AC$181,'03_Calculation'!$A$2:$A$181,"Base",'03_Calculation'!$B$2:$B$181,$A25,'03_Calculation'!$C$2:$C$181,D$18)/1000000000000000</f>
        <v/>
      </c>
      <c r="E25" s="29">
        <f>SUMIFS('03_Calculation'!$AC$2:$AC$181,'03_Calculation'!$A$2:$A$181,"Base",'03_Calculation'!$B$2:$B$181,$A25,'03_Calculation'!$C$2:$C$181,E$18)/1000000000000000</f>
        <v/>
      </c>
      <c r="F25" s="29">
        <f>SUMIFS('03_Calculation'!$AC$2:$AC$181,'03_Calculation'!$A$2:$A$181,"Base",'03_Calculation'!$B$2:$B$181,$A25,'03_Calculation'!$C$2:$C$181,F$18)/1000000000000000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29">
        <f>SUMIFS('03_Calculation'!$AC$2:$AC$181,'03_Calculation'!$A$2:$A$181,"Base",'03_Calculation'!$B$2:$B$181,$A26,'03_Calculation'!$C$2:$C$181,B$18)/1000000000000000</f>
        <v/>
      </c>
      <c r="C26" s="29">
        <f>SUMIFS('03_Calculation'!$AC$2:$AC$181,'03_Calculation'!$A$2:$A$181,"Base",'03_Calculation'!$B$2:$B$181,$A26,'03_Calculation'!$C$2:$C$181,C$18)/1000000000000000</f>
        <v/>
      </c>
      <c r="D26" s="29">
        <f>SUMIFS('03_Calculation'!$AC$2:$AC$181,'03_Calculation'!$A$2:$A$181,"Base",'03_Calculation'!$B$2:$B$181,$A26,'03_Calculation'!$C$2:$C$181,D$18)/1000000000000000</f>
        <v/>
      </c>
      <c r="E26" s="29">
        <f>SUMIFS('03_Calculation'!$AC$2:$AC$181,'03_Calculation'!$A$2:$A$181,"Base",'03_Calculation'!$B$2:$B$181,$A26,'03_Calculation'!$C$2:$C$181,E$18)/1000000000000000</f>
        <v/>
      </c>
      <c r="F26" s="29">
        <f>SUMIFS('03_Calculation'!$AC$2:$AC$181,'03_Calculation'!$A$2:$A$181,"Base",'03_Calculation'!$B$2:$B$181,$A26,'03_Calculation'!$C$2:$C$181,F$18)/1000000000000000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29">
        <f>SUMIFS('03_Calculation'!$AC$2:$AC$181,'03_Calculation'!$A$2:$A$181,"Base",'03_Calculation'!$B$2:$B$181,$A27,'03_Calculation'!$C$2:$C$181,B$18)/1000000000000000</f>
        <v/>
      </c>
      <c r="C27" s="29">
        <f>SUMIFS('03_Calculation'!$AC$2:$AC$181,'03_Calculation'!$A$2:$A$181,"Base",'03_Calculation'!$B$2:$B$181,$A27,'03_Calculation'!$C$2:$C$181,C$18)/1000000000000000</f>
        <v/>
      </c>
      <c r="D27" s="29">
        <f>SUMIFS('03_Calculation'!$AC$2:$AC$181,'03_Calculation'!$A$2:$A$181,"Base",'03_Calculation'!$B$2:$B$181,$A27,'03_Calculation'!$C$2:$C$181,D$18)/1000000000000000</f>
        <v/>
      </c>
      <c r="E27" s="29">
        <f>SUMIFS('03_Calculation'!$AC$2:$AC$181,'03_Calculation'!$A$2:$A$181,"Base",'03_Calculation'!$B$2:$B$181,$A27,'03_Calculation'!$C$2:$C$181,E$18)/1000000000000000</f>
        <v/>
      </c>
      <c r="F27" s="29">
        <f>SUMIFS('03_Calculation'!$AC$2:$AC$181,'03_Calculation'!$A$2:$A$181,"Base",'03_Calculation'!$B$2:$B$181,$A27,'03_Calculation'!$C$2:$C$181,F$18)/1000000000000000</f>
        <v/>
      </c>
    </row>
    <row r="28">
      <c r="A28" s="32" t="inlineStr">
        <is>
          <t>Total</t>
        </is>
      </c>
      <c r="B28" s="33">
        <f>SUM(B19:B27)</f>
        <v/>
      </c>
      <c r="C28" s="33">
        <f>SUM(C19:C27)</f>
        <v/>
      </c>
      <c r="D28" s="33">
        <f>SUM(D19:D27)</f>
        <v/>
      </c>
      <c r="E28" s="33">
        <f>SUM(E19:E27)</f>
        <v/>
      </c>
      <c r="F28" s="33">
        <f>SUM(F19:F27)</f>
        <v/>
      </c>
    </row>
    <row r="29">
      <c r="A29" s="30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31" t="inlineStr">
        <is>
          <t>Scenario</t>
        </is>
      </c>
      <c r="B31" s="31" t="n">
        <v>2026</v>
      </c>
      <c r="C31" s="31" t="n">
        <v>2027</v>
      </c>
      <c r="D31" s="31" t="n">
        <v>2028</v>
      </c>
      <c r="E31" s="31" t="n">
        <v>2029</v>
      </c>
      <c r="F31" s="31" t="n">
        <v>2030</v>
      </c>
    </row>
    <row r="32">
      <c r="A32" s="3" t="inlineStr">
        <is>
          <t>Bear</t>
        </is>
      </c>
      <c r="B32" s="29">
        <f>SUMIFS('03_Calculation'!$AB$2:$AB$181,'03_Calculation'!$A$2:$A$181,$A32,'03_Calculation'!$C$2:$C$181,B$31)/1000000000000000</f>
        <v/>
      </c>
      <c r="C32" s="29">
        <f>SUMIFS('03_Calculation'!$AB$2:$AB$181,'03_Calculation'!$A$2:$A$181,$A32,'03_Calculation'!$C$2:$C$181,C$31)/1000000000000000</f>
        <v/>
      </c>
      <c r="D32" s="29">
        <f>SUMIFS('03_Calculation'!$AB$2:$AB$181,'03_Calculation'!$A$2:$A$181,$A32,'03_Calculation'!$C$2:$C$181,D$31)/1000000000000000</f>
        <v/>
      </c>
      <c r="E32" s="29">
        <f>SUMIFS('03_Calculation'!$AB$2:$AB$181,'03_Calculation'!$A$2:$A$181,$A32,'03_Calculation'!$C$2:$C$181,E$31)/1000000000000000</f>
        <v/>
      </c>
      <c r="F32" s="29">
        <f>SUMIFS('03_Calculation'!$AB$2:$AB$181,'03_Calculation'!$A$2:$A$181,$A32,'03_Calculation'!$C$2:$C$181,F$31)/1000000000000000</f>
        <v/>
      </c>
    </row>
    <row r="33">
      <c r="A33" s="3" t="inlineStr">
        <is>
          <t>Base</t>
        </is>
      </c>
      <c r="B33" s="29">
        <f>SUMIFS('03_Calculation'!$AB$2:$AB$181,'03_Calculation'!$A$2:$A$181,$A33,'03_Calculation'!$C$2:$C$181,B$31)/1000000000000000</f>
        <v/>
      </c>
      <c r="C33" s="29">
        <f>SUMIFS('03_Calculation'!$AB$2:$AB$181,'03_Calculation'!$A$2:$A$181,$A33,'03_Calculation'!$C$2:$C$181,C$31)/1000000000000000</f>
        <v/>
      </c>
      <c r="D33" s="29">
        <f>SUMIFS('03_Calculation'!$AB$2:$AB$181,'03_Calculation'!$A$2:$A$181,$A33,'03_Calculation'!$C$2:$C$181,D$31)/1000000000000000</f>
        <v/>
      </c>
      <c r="E33" s="29">
        <f>SUMIFS('03_Calculation'!$AB$2:$AB$181,'03_Calculation'!$A$2:$A$181,$A33,'03_Calculation'!$C$2:$C$181,E$31)/1000000000000000</f>
        <v/>
      </c>
      <c r="F33" s="29">
        <f>SUMIFS('03_Calculation'!$AB$2:$AB$181,'03_Calculation'!$A$2:$A$181,$A33,'03_Calculation'!$C$2:$C$181,F$31)/1000000000000000</f>
        <v/>
      </c>
    </row>
    <row r="34">
      <c r="A34" s="3" t="inlineStr">
        <is>
          <t>Bull</t>
        </is>
      </c>
      <c r="B34" s="29">
        <f>SUMIFS('03_Calculation'!$AB$2:$AB$181,'03_Calculation'!$A$2:$A$181,$A34,'03_Calculation'!$C$2:$C$181,B$31)/1000000000000000</f>
        <v/>
      </c>
      <c r="C34" s="29">
        <f>SUMIFS('03_Calculation'!$AB$2:$AB$181,'03_Calculation'!$A$2:$A$181,$A34,'03_Calculation'!$C$2:$C$181,C$31)/1000000000000000</f>
        <v/>
      </c>
      <c r="D34" s="29">
        <f>SUMIFS('03_Calculation'!$AB$2:$AB$181,'03_Calculation'!$A$2:$A$181,$A34,'03_Calculation'!$C$2:$C$181,D$31)/1000000000000000</f>
        <v/>
      </c>
      <c r="E34" s="29">
        <f>SUMIFS('03_Calculation'!$AB$2:$AB$181,'03_Calculation'!$A$2:$A$181,$A34,'03_Calculation'!$C$2:$C$181,E$31)/1000000000000000</f>
        <v/>
      </c>
      <c r="F34" s="29">
        <f>SUMIFS('03_Calculation'!$AB$2:$AB$181,'03_Calculation'!$A$2:$A$181,$A34,'03_Calculation'!$C$2:$C$181,F$31)/1000000000000000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29">
        <f>SUMIFS('03_Calculation'!$AB$2:$AB$181,'03_Calculation'!$A$2:$A$181,$A35,'03_Calculation'!$C$2:$C$181,B$31)/1000000000000000</f>
        <v/>
      </c>
      <c r="C35" s="29">
        <f>SUMIFS('03_Calculation'!$AB$2:$AB$181,'03_Calculation'!$A$2:$A$181,$A35,'03_Calculation'!$C$2:$C$181,C$31)/1000000000000000</f>
        <v/>
      </c>
      <c r="D35" s="29">
        <f>SUMIFS('03_Calculation'!$AB$2:$AB$181,'03_Calculation'!$A$2:$A$181,$A35,'03_Calculation'!$C$2:$C$181,D$31)/1000000000000000</f>
        <v/>
      </c>
      <c r="E35" s="29">
        <f>SUMIFS('03_Calculation'!$AB$2:$AB$181,'03_Calculation'!$A$2:$A$181,$A35,'03_Calculation'!$C$2:$C$181,E$31)/1000000000000000</f>
        <v/>
      </c>
      <c r="F35" s="29">
        <f>SUMIFS('03_Calculation'!$AB$2:$AB$181,'03_Calculation'!$A$2:$A$181,$A35,'03_Calculation'!$C$2:$C$181,F$31)/1000000000000000</f>
        <v/>
      </c>
    </row>
    <row r="36">
      <c r="A36" s="30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31" t="inlineStr">
        <is>
          <t>Scenario</t>
        </is>
      </c>
      <c r="B38" s="31" t="n">
        <v>2026</v>
      </c>
      <c r="C38" s="31" t="n">
        <v>2027</v>
      </c>
      <c r="D38" s="31" t="n">
        <v>2028</v>
      </c>
      <c r="E38" s="31" t="n">
        <v>2029</v>
      </c>
      <c r="F38" s="31" t="n">
        <v>2030</v>
      </c>
    </row>
    <row r="39">
      <c r="A39" s="3" t="inlineStr">
        <is>
          <t>Bear</t>
        </is>
      </c>
      <c r="B39" s="29">
        <f>SUMIFS('03_Calculation'!$AC$2:$AC$181,'03_Calculation'!$A$2:$A$181,$A39,'03_Calculation'!$C$2:$C$181,B$38)/1000000000000000</f>
        <v/>
      </c>
      <c r="C39" s="29">
        <f>SUMIFS('03_Calculation'!$AC$2:$AC$181,'03_Calculation'!$A$2:$A$181,$A39,'03_Calculation'!$C$2:$C$181,C$38)/1000000000000000</f>
        <v/>
      </c>
      <c r="D39" s="29">
        <f>SUMIFS('03_Calculation'!$AC$2:$AC$181,'03_Calculation'!$A$2:$A$181,$A39,'03_Calculation'!$C$2:$C$181,D$38)/1000000000000000</f>
        <v/>
      </c>
      <c r="E39" s="29">
        <f>SUMIFS('03_Calculation'!$AC$2:$AC$181,'03_Calculation'!$A$2:$A$181,$A39,'03_Calculation'!$C$2:$C$181,E$38)/1000000000000000</f>
        <v/>
      </c>
      <c r="F39" s="29">
        <f>SUMIFS('03_Calculation'!$AC$2:$AC$181,'03_Calculation'!$A$2:$A$181,$A39,'03_Calculation'!$C$2:$C$181,F$38)/1000000000000000</f>
        <v/>
      </c>
    </row>
    <row r="40">
      <c r="A40" s="3" t="inlineStr">
        <is>
          <t>Base</t>
        </is>
      </c>
      <c r="B40" s="29">
        <f>SUMIFS('03_Calculation'!$AC$2:$AC$181,'03_Calculation'!$A$2:$A$181,$A40,'03_Calculation'!$C$2:$C$181,B$38)/1000000000000000</f>
        <v/>
      </c>
      <c r="C40" s="29">
        <f>SUMIFS('03_Calculation'!$AC$2:$AC$181,'03_Calculation'!$A$2:$A$181,$A40,'03_Calculation'!$C$2:$C$181,C$38)/1000000000000000</f>
        <v/>
      </c>
      <c r="D40" s="29">
        <f>SUMIFS('03_Calculation'!$AC$2:$AC$181,'03_Calculation'!$A$2:$A$181,$A40,'03_Calculation'!$C$2:$C$181,D$38)/1000000000000000</f>
        <v/>
      </c>
      <c r="E40" s="29">
        <f>SUMIFS('03_Calculation'!$AC$2:$AC$181,'03_Calculation'!$A$2:$A$181,$A40,'03_Calculation'!$C$2:$C$181,E$38)/1000000000000000</f>
        <v/>
      </c>
      <c r="F40" s="29">
        <f>SUMIFS('03_Calculation'!$AC$2:$AC$181,'03_Calculation'!$A$2:$A$181,$A40,'03_Calculation'!$C$2:$C$181,F$38)/1000000000000000</f>
        <v/>
      </c>
    </row>
    <row r="41">
      <c r="A41" s="3" t="inlineStr">
        <is>
          <t>Bull</t>
        </is>
      </c>
      <c r="B41" s="29">
        <f>SUMIFS('03_Calculation'!$AC$2:$AC$181,'03_Calculation'!$A$2:$A$181,$A41,'03_Calculation'!$C$2:$C$181,B$38)/1000000000000000</f>
        <v/>
      </c>
      <c r="C41" s="29">
        <f>SUMIFS('03_Calculation'!$AC$2:$AC$181,'03_Calculation'!$A$2:$A$181,$A41,'03_Calculation'!$C$2:$C$181,C$38)/1000000000000000</f>
        <v/>
      </c>
      <c r="D41" s="29">
        <f>SUMIFS('03_Calculation'!$AC$2:$AC$181,'03_Calculation'!$A$2:$A$181,$A41,'03_Calculation'!$C$2:$C$181,D$38)/1000000000000000</f>
        <v/>
      </c>
      <c r="E41" s="29">
        <f>SUMIFS('03_Calculation'!$AC$2:$AC$181,'03_Calculation'!$A$2:$A$181,$A41,'03_Calculation'!$C$2:$C$181,E$38)/1000000000000000</f>
        <v/>
      </c>
      <c r="F41" s="29">
        <f>SUMIFS('03_Calculation'!$AC$2:$AC$181,'03_Calculation'!$A$2:$A$181,$A41,'03_Calculation'!$C$2:$C$181,F$38)/1000000000000000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29">
        <f>SUMIFS('03_Calculation'!$AC$2:$AC$181,'03_Calculation'!$A$2:$A$181,$A42,'03_Calculation'!$C$2:$C$181,B$38)/1000000000000000</f>
        <v/>
      </c>
      <c r="C42" s="29">
        <f>SUMIFS('03_Calculation'!$AC$2:$AC$181,'03_Calculation'!$A$2:$A$181,$A42,'03_Calculation'!$C$2:$C$181,C$38)/1000000000000000</f>
        <v/>
      </c>
      <c r="D42" s="29">
        <f>SUMIFS('03_Calculation'!$AC$2:$AC$181,'03_Calculation'!$A$2:$A$181,$A42,'03_Calculation'!$C$2:$C$181,D$38)/1000000000000000</f>
        <v/>
      </c>
      <c r="E42" s="29">
        <f>SUMIFS('03_Calculation'!$AC$2:$AC$181,'03_Calculation'!$A$2:$A$181,$A42,'03_Calculation'!$C$2:$C$181,E$38)/1000000000000000</f>
        <v/>
      </c>
      <c r="F42" s="29">
        <f>SUMIFS('03_Calculation'!$AC$2:$AC$181,'03_Calculation'!$A$2:$A$181,$A42,'03_Calculation'!$C$2:$C$181,F$38)/1000000000000000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34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34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34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34">
        <f>B5</f>
        <v/>
      </c>
    </row>
    <row r="6">
      <c r="A6" s="3" t="inlineStr">
        <is>
          <t>Chat workload shares sum to 100%</t>
        </is>
      </c>
      <c r="B6" s="3">
        <f>IF(SUMPRODUCT(--(ABS(1-('03_Calculation'!$V$2:$V$181+'03_Calculation'!$W$2:$W$181+'03_Calculation'!$X$2:$X$181))&gt;0.002))=0,"PASS","FAIL")</f>
        <v/>
      </c>
      <c r="C6" s="34">
        <f>B6</f>
        <v/>
      </c>
    </row>
    <row r="7">
      <c r="A7" s="3" t="inlineStr">
        <is>
          <t>Serving reference equals fleet reference x workload fit</t>
        </is>
      </c>
      <c r="B7" s="3">
        <f>IF(SUMPRODUCT(--(ABS('03_Calculation'!$AA$2:$AA$181-('03_Calculation'!$Y$2:$Y$181*'03_Calculation'!$Z$2:$Z$181))&gt;0.01))=0,"PASS","FAIL")</f>
        <v/>
      </c>
      <c r="C7" s="34">
        <f>B7</f>
        <v/>
      </c>
    </row>
    <row r="8">
      <c r="A8" s="3" t="inlineStr">
        <is>
          <t>Purpose-built reference defaults to B200 without unsupported uplift</t>
        </is>
      </c>
      <c r="B8" s="3">
        <f>IF(SUMPRODUCT(--('01_Benchmark_Input'!$W$2:$Y$10&lt;&gt;'01_Benchmark_Input'!$M$2:$O$10))=0,"PASS","FAIL")</f>
        <v/>
      </c>
      <c r="C8" s="34">
        <f>B8</f>
        <v/>
      </c>
    </row>
    <row r="9">
      <c r="A9" s="3" t="inlineStr">
        <is>
          <t>Headline excludes utilization/MoE/software multipliers</t>
        </is>
      </c>
      <c r="B9" s="3">
        <f>"PASS - formula uses inference GW x fleet-weighted serving TPS/MW x seconds/day only"</f>
        <v/>
      </c>
      <c r="C9" s="34">
        <f>B9</f>
        <v/>
      </c>
    </row>
  </sheetData>
  <autoFilter ref="A1:C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35" t="inlineStr">
        <is>
          <t>Provider</t>
        </is>
      </c>
      <c r="B3" s="35" t="inlineStr">
        <is>
          <t>Base 2030 Q/day</t>
        </is>
      </c>
      <c r="C3" s="35" t="inlineStr">
        <is>
          <t>Bull 2030 Q/day</t>
        </is>
      </c>
      <c r="D3" s="35" t="inlineStr">
        <is>
          <t>Bull vs Base</t>
        </is>
      </c>
      <c r="E3" s="35" t="inlineStr">
        <is>
          <t>Bull Fit Factor</t>
        </is>
      </c>
      <c r="F3" s="35" t="inlineStr">
        <is>
          <t>Bull Serving TPS/MW</t>
        </is>
      </c>
      <c r="G3" s="35" t="inlineStr">
        <is>
          <t>Public Reference Ceiling Q/day</t>
        </is>
      </c>
      <c r="H3" s="35" t="inlineStr">
        <is>
          <t>Required condition</t>
        </is>
      </c>
    </row>
    <row r="4">
      <c r="A4" s="36">
        <f>'03_Calculation'!B96</f>
        <v/>
      </c>
      <c r="B4" s="37">
        <f>'03_Calculation'!AB51/1000000000000000</f>
        <v/>
      </c>
      <c r="C4" s="37">
        <f>'03_Calculation'!AB96/1000000000000000</f>
        <v/>
      </c>
      <c r="D4" s="38">
        <f>C4/B4-1</f>
        <v/>
      </c>
      <c r="E4" s="38">
        <f>'03_Calculation'!Z96</f>
        <v/>
      </c>
      <c r="F4" s="36">
        <f>'03_Calculation'!AA96</f>
        <v/>
      </c>
      <c r="G4" s="37">
        <f>C4/E4</f>
        <v/>
      </c>
      <c r="H4" t="inlineStr">
        <is>
          <t>Public-reference conditions become commercially repeatable</t>
        </is>
      </c>
    </row>
    <row r="5">
      <c r="A5" s="36">
        <f>'03_Calculation'!B101</f>
        <v/>
      </c>
      <c r="B5" s="37">
        <f>'03_Calculation'!AB56/1000000000000000</f>
        <v/>
      </c>
      <c r="C5" s="37">
        <f>'03_Calculation'!AB101/1000000000000000</f>
        <v/>
      </c>
      <c r="D5" s="38">
        <f>C5/B5-1</f>
        <v/>
      </c>
      <c r="E5" s="38">
        <f>'03_Calculation'!Z101</f>
        <v/>
      </c>
      <c r="F5" s="36">
        <f>'03_Calculation'!AA101</f>
        <v/>
      </c>
      <c r="G5" s="37">
        <f>C5/E5</f>
        <v/>
      </c>
      <c r="H5" t="inlineStr">
        <is>
          <t>Public-reference conditions become commercially repeatable</t>
        </is>
      </c>
    </row>
    <row r="6">
      <c r="A6" s="36">
        <f>'03_Calculation'!B106</f>
        <v/>
      </c>
      <c r="B6" s="37">
        <f>'03_Calculation'!AB61/1000000000000000</f>
        <v/>
      </c>
      <c r="C6" s="37">
        <f>'03_Calculation'!AB106/1000000000000000</f>
        <v/>
      </c>
      <c r="D6" s="38">
        <f>C6/B6-1</f>
        <v/>
      </c>
      <c r="E6" s="38">
        <f>'03_Calculation'!Z106</f>
        <v/>
      </c>
      <c r="F6" s="36">
        <f>'03_Calculation'!AA106</f>
        <v/>
      </c>
      <c r="G6" s="37">
        <f>C6/E6</f>
        <v/>
      </c>
      <c r="H6" t="inlineStr">
        <is>
          <t>Public-reference conditions become commercially repeatable</t>
        </is>
      </c>
    </row>
    <row r="7">
      <c r="A7" s="36">
        <f>'03_Calculation'!B111</f>
        <v/>
      </c>
      <c r="B7" s="37">
        <f>'03_Calculation'!AB66/1000000000000000</f>
        <v/>
      </c>
      <c r="C7" s="37">
        <f>'03_Calculation'!AB111/1000000000000000</f>
        <v/>
      </c>
      <c r="D7" s="38">
        <f>C7/B7-1</f>
        <v/>
      </c>
      <c r="E7" s="38">
        <f>'03_Calculation'!Z111</f>
        <v/>
      </c>
      <c r="F7" s="36">
        <f>'03_Calculation'!AA111</f>
        <v/>
      </c>
      <c r="G7" s="37">
        <f>C7/E7</f>
        <v/>
      </c>
      <c r="H7" t="inlineStr">
        <is>
          <t>Public-reference conditions become commercially repeatable</t>
        </is>
      </c>
    </row>
    <row r="8">
      <c r="A8" s="36">
        <f>'03_Calculation'!B116</f>
        <v/>
      </c>
      <c r="B8" s="37">
        <f>'03_Calculation'!AB71/1000000000000000</f>
        <v/>
      </c>
      <c r="C8" s="37">
        <f>'03_Calculation'!AB116/1000000000000000</f>
        <v/>
      </c>
      <c r="D8" s="38">
        <f>C8/B8-1</f>
        <v/>
      </c>
      <c r="E8" s="38">
        <f>'03_Calculation'!Z116</f>
        <v/>
      </c>
      <c r="F8" s="36">
        <f>'03_Calculation'!AA116</f>
        <v/>
      </c>
      <c r="G8" s="37">
        <f>C8/E8</f>
        <v/>
      </c>
      <c r="H8" t="inlineStr">
        <is>
          <t>Public-reference conditions become commercially repeatable</t>
        </is>
      </c>
    </row>
    <row r="9">
      <c r="A9" s="36">
        <f>'03_Calculation'!B121</f>
        <v/>
      </c>
      <c r="B9" s="37">
        <f>'03_Calculation'!AB76/1000000000000000</f>
        <v/>
      </c>
      <c r="C9" s="37">
        <f>'03_Calculation'!AB121/1000000000000000</f>
        <v/>
      </c>
      <c r="D9" s="38">
        <f>C9/B9-1</f>
        <v/>
      </c>
      <c r="E9" s="38">
        <f>'03_Calculation'!Z121</f>
        <v/>
      </c>
      <c r="F9" s="36">
        <f>'03_Calculation'!AA121</f>
        <v/>
      </c>
      <c r="G9" s="37">
        <f>C9/E9</f>
        <v/>
      </c>
      <c r="H9" t="inlineStr">
        <is>
          <t>Public-reference conditions become commercially repeatable</t>
        </is>
      </c>
    </row>
    <row r="10">
      <c r="A10" s="36">
        <f>'03_Calculation'!B126</f>
        <v/>
      </c>
      <c r="B10" s="37">
        <f>'03_Calculation'!AB81/1000000000000000</f>
        <v/>
      </c>
      <c r="C10" s="37">
        <f>'03_Calculation'!AB126/1000000000000000</f>
        <v/>
      </c>
      <c r="D10" s="38">
        <f>C10/B10-1</f>
        <v/>
      </c>
      <c r="E10" s="38">
        <f>'03_Calculation'!Z126</f>
        <v/>
      </c>
      <c r="F10" s="36">
        <f>'03_Calculation'!AA126</f>
        <v/>
      </c>
      <c r="G10" s="37">
        <f>C10/E10</f>
        <v/>
      </c>
      <c r="H10" t="inlineStr">
        <is>
          <t>Public-reference conditions become commercially repeatable</t>
        </is>
      </c>
    </row>
    <row r="11">
      <c r="A11" s="36">
        <f>'03_Calculation'!B131</f>
        <v/>
      </c>
      <c r="B11" s="37">
        <f>'03_Calculation'!AB86/1000000000000000</f>
        <v/>
      </c>
      <c r="C11" s="37">
        <f>'03_Calculation'!AB131/1000000000000000</f>
        <v/>
      </c>
      <c r="D11" s="38">
        <f>C11/B11-1</f>
        <v/>
      </c>
      <c r="E11" s="38">
        <f>'03_Calculation'!Z131</f>
        <v/>
      </c>
      <c r="F11" s="36">
        <f>'03_Calculation'!AA131</f>
        <v/>
      </c>
      <c r="G11" s="37">
        <f>C11/E11</f>
        <v/>
      </c>
      <c r="H11" t="inlineStr">
        <is>
          <t>Public-reference conditions become commercially repeatable</t>
        </is>
      </c>
    </row>
    <row r="12">
      <c r="A12" s="36">
        <f>'03_Calculation'!B136</f>
        <v/>
      </c>
      <c r="B12" s="37">
        <f>'03_Calculation'!AB91/1000000000000000</f>
        <v/>
      </c>
      <c r="C12" s="37">
        <f>'03_Calculation'!AB136/1000000000000000</f>
        <v/>
      </c>
      <c r="D12" s="38">
        <f>C12/B12-1</f>
        <v/>
      </c>
      <c r="E12" s="38">
        <f>'03_Calculation'!Z136</f>
        <v/>
      </c>
      <c r="F12" s="36">
        <f>'03_Calculation'!AA136</f>
        <v/>
      </c>
      <c r="G12" s="37">
        <f>C12/E12</f>
        <v/>
      </c>
      <c r="H12" t="inlineStr">
        <is>
          <t>Public-reference conditions become commercially repeatable</t>
        </is>
      </c>
    </row>
    <row r="13">
      <c r="A13" s="35" t="n"/>
      <c r="B13" s="35" t="n"/>
      <c r="C13" s="35" t="n"/>
      <c r="D13" s="35" t="n"/>
      <c r="E13" s="35" t="n"/>
      <c r="F13" s="35" t="n"/>
      <c r="G13" s="35" t="n"/>
      <c r="H13" s="35" t="n"/>
    </row>
    <row r="14">
      <c r="A14" t="inlineStr">
        <is>
          <t>Total Q generated output tokens/day</t>
        </is>
      </c>
      <c r="B14" s="39" t="inlineStr">
        <is>
          <t>Base</t>
        </is>
      </c>
      <c r="C14" s="39" t="inlineStr">
        <is>
          <t>Bull</t>
        </is>
      </c>
      <c r="D14" s="39" t="inlineStr">
        <is>
          <t>Public Reference Ceiling</t>
        </is>
      </c>
    </row>
    <row r="15">
      <c r="A15" t="n">
        <v>2026</v>
      </c>
      <c r="B15" s="37">
        <f>SUMIFS('03_Calculation'!$AB:$AB,'03_Calculation'!$A:$A,"Base",'03_Calculation'!$C:$C,$A15)/1000000000000000</f>
        <v/>
      </c>
      <c r="C15" s="37">
        <f>SUMIFS('03_Calculation'!$AB:$AB,'03_Calculation'!$A:$A,"Bull",'03_Calculation'!$C:$C,$A15)/1000000000000000</f>
        <v/>
      </c>
      <c r="D15" s="37">
        <f>SUMPRODUCT(('03_Calculation'!$A$2:$A$181="Bull")*('03_Calculation'!$C$2:$C$181=$A15)*('03_Calculation'!$AB$2:$AB$181/'03_Calculation'!$Z$2:$Z$181))/1000000000000000</f>
        <v/>
      </c>
      <c r="E15" s="36" t="n"/>
      <c r="F15" s="36" t="n"/>
      <c r="G15" s="36" t="n"/>
      <c r="H15" s="36" t="n"/>
    </row>
    <row r="16">
      <c r="A16" t="n">
        <v>2027</v>
      </c>
      <c r="B16" s="37">
        <f>SUMIFS('03_Calculation'!$AB:$AB,'03_Calculation'!$A:$A,"Base",'03_Calculation'!$C:$C,$A16)/1000000000000000</f>
        <v/>
      </c>
      <c r="C16" s="37">
        <f>SUMIFS('03_Calculation'!$AB:$AB,'03_Calculation'!$A:$A,"Bull",'03_Calculation'!$C:$C,$A16)/1000000000000000</f>
        <v/>
      </c>
      <c r="D16" s="37">
        <f>SUMPRODUCT(('03_Calculation'!$A$2:$A$181="Bull")*('03_Calculation'!$C$2:$C$181=$A16)*('03_Calculation'!$AB$2:$AB$181/'03_Calculation'!$Z$2:$Z$181))/1000000000000000</f>
        <v/>
      </c>
      <c r="E16" s="36" t="n"/>
      <c r="F16" s="36" t="n"/>
      <c r="G16" s="36" t="n"/>
      <c r="H16" s="36" t="n"/>
    </row>
    <row r="17">
      <c r="A17" t="n">
        <v>2028</v>
      </c>
      <c r="B17" s="37">
        <f>SUMIFS('03_Calculation'!$AB:$AB,'03_Calculation'!$A:$A,"Base",'03_Calculation'!$C:$C,$A17)/1000000000000000</f>
        <v/>
      </c>
      <c r="C17" s="37">
        <f>SUMIFS('03_Calculation'!$AB:$AB,'03_Calculation'!$A:$A,"Bull",'03_Calculation'!$C:$C,$A17)/1000000000000000</f>
        <v/>
      </c>
      <c r="D17" s="37">
        <f>SUMPRODUCT(('03_Calculation'!$A$2:$A$181="Bull")*('03_Calculation'!$C$2:$C$181=$A17)*('03_Calculation'!$AB$2:$AB$181/'03_Calculation'!$Z$2:$Z$181))/1000000000000000</f>
        <v/>
      </c>
      <c r="E17" s="36" t="n"/>
      <c r="F17" s="36" t="n"/>
      <c r="G17" s="36" t="n"/>
      <c r="H17" s="36" t="n"/>
    </row>
    <row r="18">
      <c r="A18" t="n">
        <v>2029</v>
      </c>
      <c r="B18" s="37">
        <f>SUMIFS('03_Calculation'!$AB:$AB,'03_Calculation'!$A:$A,"Base",'03_Calculation'!$C:$C,$A18)/1000000000000000</f>
        <v/>
      </c>
      <c r="C18" s="37">
        <f>SUMIFS('03_Calculation'!$AB:$AB,'03_Calculation'!$A:$A,"Bull",'03_Calculation'!$C:$C,$A18)/1000000000000000</f>
        <v/>
      </c>
      <c r="D18" s="37">
        <f>SUMPRODUCT(('03_Calculation'!$A$2:$A$181="Bull")*('03_Calculation'!$C$2:$C$181=$A18)*('03_Calculation'!$AB$2:$AB$181/'03_Calculation'!$Z$2:$Z$181))/1000000000000000</f>
        <v/>
      </c>
      <c r="E18" s="36" t="n"/>
      <c r="F18" s="36" t="n"/>
      <c r="G18" s="36" t="n"/>
      <c r="H18" s="36" t="n"/>
    </row>
    <row r="19">
      <c r="A19" t="n">
        <v>2030</v>
      </c>
      <c r="B19" s="37">
        <f>SUMIFS('03_Calculation'!$AB:$AB,'03_Calculation'!$A:$A,"Base",'03_Calculation'!$C:$C,$A19)/1000000000000000</f>
        <v/>
      </c>
      <c r="C19" s="37">
        <f>SUMIFS('03_Calculation'!$AB:$AB,'03_Calculation'!$A:$A,"Bull",'03_Calculation'!$C:$C,$A19)/1000000000000000</f>
        <v/>
      </c>
      <c r="D19" s="37">
        <f>SUMPRODUCT(('03_Calculation'!$A$2:$A$181="Bull")*('03_Calculation'!$C$2:$C$181=$A19)*('03_Calculation'!$AB$2:$AB$181/'03_Calculation'!$Z$2:$Z$181))/1000000000000000</f>
        <v/>
      </c>
      <c r="E19" s="36" t="n"/>
      <c r="F19" s="36" t="n"/>
      <c r="G19" s="36" t="n"/>
      <c r="H19" s="36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SRC_DEEPSEEK_V4_PRO</t>
        </is>
      </c>
      <c r="B12" s="3" t="inlineStr">
        <is>
          <t>DeepSeek-V4-Pro model card</t>
        </is>
      </c>
      <c r="C12" s="3" t="inlineStr">
        <is>
          <t>DeepSeek / Hugging Face</t>
        </is>
      </c>
      <c r="D12" s="3" t="inlineStr">
        <is>
          <t>2026-06-26</t>
        </is>
      </c>
      <c r="E12" s="3" t="inlineStr">
        <is>
          <t>https://huggingface.co/deepseek-ai/DeepSeek-V4-Pro</t>
        </is>
      </c>
      <c r="F12" s="3" t="inlineStr">
        <is>
          <t>Tier 1</t>
        </is>
      </c>
      <c r="G12" s="3" t="inlineStr">
        <is>
          <t>DeepSeek V4 Pro proxy model identity, MoE total/active parameter anchor and long-context capability</t>
        </is>
      </c>
      <c r="H12" s="3" t="n">
        <v>0.9</v>
      </c>
      <c r="I12" s="3" t="inlineStr">
        <is>
          <t>DeepSeek V4 Pro는 1.6T total / 49B activated MoE 및 1M context를 공개한 frontier-class proxy로 사용.</t>
        </is>
      </c>
    </row>
    <row r="13">
      <c r="A13" s="3" t="inlineStr">
        <is>
          <t>SRC_KIMI_K25</t>
        </is>
      </c>
      <c r="B13" s="3" t="inlineStr">
        <is>
          <t>Kimi K2.5 model page and repository</t>
        </is>
      </c>
      <c r="C13" s="3" t="inlineStr">
        <is>
          <t>Moonshot AI</t>
        </is>
      </c>
      <c r="D13" s="3" t="inlineStr">
        <is>
          <t>2026-02-22</t>
        </is>
      </c>
      <c r="E13" s="3" t="inlineStr">
        <is>
          <t>https://www.kimi.com/ai-models/kimi-k2-5 ; https://github.com/MoonshotAI/Kimi-K2.5</t>
        </is>
      </c>
      <c r="F13" s="3" t="inlineStr">
        <is>
          <t>Tier 1</t>
        </is>
      </c>
      <c r="G13" s="3" t="inlineStr">
        <is>
          <t>Kimi K2.5 proxy model identity, multimodal/agentic capability and deployment support</t>
        </is>
      </c>
      <c r="H13" s="3" t="n">
        <v>0.88</v>
      </c>
      <c r="I13" s="3" t="inlineStr">
        <is>
          <t>Kimi K2.5는 공개 agentic/multimodal frontier proxy로 DeepSeek V4 Pro와 함께 composite TPS/MW 산정에 사용.</t>
        </is>
      </c>
    </row>
    <row r="14">
      <c r="A14" s="3" t="inlineStr">
        <is>
          <t>SRC_QWEN3_GITHUB</t>
        </is>
      </c>
      <c r="B14" s="3" t="inlineStr">
        <is>
          <t>Qwen3 GitHub repository</t>
        </is>
      </c>
      <c r="C14" s="3" t="inlineStr">
        <is>
          <t>Alibaba / Qwen Team</t>
        </is>
      </c>
      <c r="D14" s="3" t="inlineStr">
        <is>
          <t>2025-04-29</t>
        </is>
      </c>
      <c r="E14" s="3" t="inlineStr">
        <is>
          <t>https://github.com/QwenLM/Qwen3</t>
        </is>
      </c>
      <c r="F14" s="3" t="inlineStr">
        <is>
          <t>Tier 1</t>
        </is>
      </c>
      <c r="G14" s="3" t="inlineStr">
        <is>
          <t>Qwen3 dense/MoE family and active parameter anchor</t>
        </is>
      </c>
      <c r="H14" s="3" t="n">
        <v>0.9</v>
      </c>
      <c r="I14" s="3" t="inlineStr">
        <is>
          <t>Qwen3 MoE total/active parameter 구조 anchor.</t>
        </is>
      </c>
    </row>
    <row r="15">
      <c r="A15" s="3" t="inlineStr">
        <is>
          <t>SRC_META_LLAMA4_NVIDIA</t>
        </is>
      </c>
      <c r="B15" s="3" t="inlineStr">
        <is>
          <t>Meta Llama 4 model family optimization notes</t>
        </is>
      </c>
      <c r="C15" s="3" t="inlineStr">
        <is>
          <t>NVIDIA Developer Blog</t>
        </is>
      </c>
      <c r="D15" s="3" t="inlineStr">
        <is>
          <t>2025-04-07</t>
        </is>
      </c>
      <c r="E15" s="3" t="inlineStr">
        <is>
          <t>https://developer.nvidia.com/blog/meta-llama-4-first-nvidia-optimized-mixture-of-experts-models/</t>
        </is>
      </c>
      <c r="F15" s="3" t="inlineStr">
        <is>
          <t>Tier 2</t>
        </is>
      </c>
      <c r="G15" s="3" t="inlineStr">
        <is>
          <t>Llama 4 Scout/Maverick total-active parameter anchor when official Meta page is less accessible</t>
        </is>
      </c>
      <c r="H15" s="3" t="n">
        <v>0.74</v>
      </c>
      <c r="I15" s="3" t="inlineStr">
        <is>
          <t>Meta Llama 4 MoE parameter facts는 model card/official ecosystem cross-check 필요.</t>
        </is>
      </c>
    </row>
    <row r="16">
      <c r="A16" s="3" t="inlineStr">
        <is>
          <t>SRC_TENCENT_HY3</t>
        </is>
      </c>
      <c r="B16" s="3" t="inlineStr">
        <is>
          <t>Tencent launches Hunyuan 3D generation model Hy3</t>
        </is>
      </c>
      <c r="C16" s="3" t="inlineStr">
        <is>
          <t>Tencent</t>
        </is>
      </c>
      <c r="D16" s="3" t="inlineStr">
        <is>
          <t>2025-01-21</t>
        </is>
      </c>
      <c r="E16" s="3" t="inlineStr">
        <is>
          <t>https://www.tencent.com/en-us/articles/2202320.html</t>
        </is>
      </c>
      <c r="F16" s="3" t="inlineStr">
        <is>
          <t>Tier 1</t>
        </is>
      </c>
      <c r="G16" s="3" t="inlineStr">
        <is>
          <t>Tencent Hunyuan commercial surface and model-family anchor</t>
        </is>
      </c>
      <c r="H16" s="3" t="n">
        <v>0.78</v>
      </c>
      <c r="I16" s="3" t="inlineStr">
        <is>
          <t>Hy3는 3D 생성 모델이므로 LLM token forecast에는 Hunyuan surface 확인용으로만 사용.</t>
        </is>
      </c>
    </row>
    <row r="17">
      <c r="A17" s="3" t="inlineStr">
        <is>
          <t>SRC_TENCENT_HUNYUAN</t>
        </is>
      </c>
      <c r="B17" s="3" t="inlineStr">
        <is>
          <t>Tencent unveils Hunyuan foundation model</t>
        </is>
      </c>
      <c r="C17" s="3" t="inlineStr">
        <is>
          <t>Tencent</t>
        </is>
      </c>
      <c r="D17" s="3" t="inlineStr">
        <is>
          <t>2023-09-07</t>
        </is>
      </c>
      <c r="E17" s="3" t="inlineStr">
        <is>
          <t>https://www.tencent.com/en-us/articles/2201460.html</t>
        </is>
      </c>
      <c r="F17" s="3" t="inlineStr">
        <is>
          <t>Tier 1</t>
        </is>
      </c>
      <c r="G17" s="3" t="inlineStr">
        <is>
          <t>Tencent Hunyuan parameter and pretraining token anchor</t>
        </is>
      </c>
      <c r="H17" s="3" t="n">
        <v>0.82</v>
      </c>
      <c r="I17" s="3" t="inlineStr">
        <is>
          <t>Hunyuan 100B+ parameter와 2T+ pretraining token 공개 anchor.</t>
        </is>
      </c>
    </row>
    <row r="18">
      <c r="A18" s="3" t="inlineStr">
        <is>
          <t>SRC_MS_PHI</t>
        </is>
      </c>
      <c r="B18" s="3" t="inlineStr">
        <is>
          <t>Phi model family on Azure AI Foundry / Microsoft documentation</t>
        </is>
      </c>
      <c r="C18" s="3" t="inlineStr">
        <is>
          <t>Microsoft</t>
        </is>
      </c>
      <c r="D18" s="3" t="inlineStr">
        <is>
          <t>2026-05-13 accessed</t>
        </is>
      </c>
      <c r="E18" s="3" t="inlineStr">
        <is>
          <t>https://learn.microsoft.com/en-us/azure/ai-foundry/model-inference/concepts/models</t>
        </is>
      </c>
      <c r="F18" s="3" t="inlineStr">
        <is>
          <t>Tier 1</t>
        </is>
      </c>
      <c r="G18" s="3" t="inlineStr">
        <is>
          <t>Microsoft-owned small language model family anchor</t>
        </is>
      </c>
      <c r="H18" s="3" t="n">
        <v>0.78</v>
      </c>
      <c r="I18" s="3" t="inlineStr">
        <is>
          <t>Microsoft token attribution은 Phi/MAI owned와 OpenAI model dependency를 분리.</t>
        </is>
      </c>
    </row>
    <row r="19">
      <c r="A19" s="3" t="inlineStr">
        <is>
          <t>SRC_MS_PHI4_TECHREPORT</t>
        </is>
      </c>
      <c r="B19" s="3" t="inlineStr">
        <is>
          <t>Phi-4 technical report</t>
        </is>
      </c>
      <c r="C19" s="3" t="inlineStr">
        <is>
          <t>Microsoft</t>
        </is>
      </c>
      <c r="D19" s="3" t="inlineStr">
        <is>
          <t>2024-12-12</t>
        </is>
      </c>
      <c r="E19" s="3" t="inlineStr">
        <is>
          <t>https://arxiv.org/abs/2412.08905</t>
        </is>
      </c>
      <c r="F19" s="3" t="inlineStr">
        <is>
          <t>Tier 1/2</t>
        </is>
      </c>
      <c r="G19" s="3" t="inlineStr">
        <is>
          <t>Microsoft-owned Phi-4 14B parameter anchor</t>
        </is>
      </c>
      <c r="H19" s="3" t="n">
        <v>0.82</v>
      </c>
      <c r="I19" s="3" t="inlineStr">
        <is>
          <t>Phi-4는 Microsoft-owned model size anchor. Copilot frontier routing은 별도 attribution.</t>
        </is>
      </c>
    </row>
    <row r="20">
      <c r="A20" s="3" t="inlineStr">
        <is>
          <t>SRC_MS_MAIA200</t>
        </is>
      </c>
      <c r="B20" s="3" t="inlineStr">
        <is>
          <t>Microsoft introduces Maia 200: New inference accelerator enhances AI performance in Azure</t>
        </is>
      </c>
      <c r="C20" s="3" t="inlineStr">
        <is>
          <t>Microsoft</t>
        </is>
      </c>
      <c r="D20" s="3" t="inlineStr">
        <is>
          <t>2026-01-26</t>
        </is>
      </c>
      <c r="E20" s="3" t="inlineStr">
        <is>
          <t>https://news.microsoft.com/source/emea/2026/01/microsoft-introduces-maia-200-new-inference-accelerator-enhances-ai-performance-in-azure/</t>
        </is>
      </c>
      <c r="F20" s="3" t="inlineStr">
        <is>
          <t>Tier 1</t>
        </is>
      </c>
      <c r="G20" s="3" t="inlineStr">
        <is>
          <t>Confirms Maia 200 is an inference accelerator deployed for Microsoft AI models, Azure AI Foundry and Microsoft 365 Copilot</t>
        </is>
      </c>
      <c r="H20" s="3" t="n">
        <v>0.91</v>
      </c>
      <c r="I20" s="3" t="inlineStr">
        <is>
          <t>Maia 존재와 inference 용도는 fact. Microsoft serving fleet 내 Maia 비중은 scenario.</t>
        </is>
      </c>
    </row>
    <row r="21">
      <c r="A21" s="3" t="inlineStr">
        <is>
          <t>SRC_GOOGLE_TPU_V6E</t>
        </is>
      </c>
      <c r="B21" s="3" t="inlineStr">
        <is>
          <t>Cloud TPU v6e / Trillium documentation</t>
        </is>
      </c>
      <c r="C21" s="3" t="inlineStr">
        <is>
          <t>Google Cloud</t>
        </is>
      </c>
      <c r="D21" s="3" t="inlineStr">
        <is>
          <t>2026-05-14 accessed</t>
        </is>
      </c>
      <c r="E21" s="3" t="inlineStr">
        <is>
          <t>https://cloud.google.com/tpu/docs/v6e</t>
        </is>
      </c>
      <c r="F21" s="3" t="inlineStr">
        <is>
          <t>Tier 1</t>
        </is>
      </c>
      <c r="G21" s="3" t="inlineStr">
        <is>
          <t>Google TPU serving/training platform generation anchor</t>
        </is>
      </c>
      <c r="H21" s="3" t="n">
        <v>0.84</v>
      </c>
      <c r="I21" s="3" t="inlineStr">
        <is>
          <t>Ironwood와 함께 Google TPU-heavy serving platform의 factual hardware lineage.</t>
        </is>
      </c>
    </row>
    <row r="22">
      <c r="A22" s="3" t="inlineStr">
        <is>
          <t>SRC_ANTHROPIC_AMAZON_COMPUTE</t>
        </is>
      </c>
      <c r="B22" s="3" t="inlineStr">
        <is>
          <t>Anthropic and AWS expand partnership with Project Rainier</t>
        </is>
      </c>
      <c r="C22" s="3" t="inlineStr">
        <is>
          <t>Anthropic / Amazon</t>
        </is>
      </c>
      <c r="D22" s="3" t="inlineStr">
        <is>
          <t>2025-2026</t>
        </is>
      </c>
      <c r="E22" s="3" t="inlineStr">
        <is>
          <t>https://www.anthropic.com/news/anthropic-amazon-compute</t>
        </is>
      </c>
      <c r="F22" s="3" t="inlineStr">
        <is>
          <t>Tier 1</t>
        </is>
      </c>
      <c r="G22" s="3" t="inlineStr">
        <is>
          <t>Anthropic contracted/hosted capacity anchor; capacity attributed to Anthropic model owner</t>
        </is>
      </c>
      <c r="H22" s="3" t="n">
        <v>0.84</v>
      </c>
      <c r="I22" s="3" t="inlineStr">
        <is>
          <t>AWS Trainium/Rainier capacity는 Anthropic 모델 serving/training capacity anchor로 사용하되 active GW는 시나리오.</t>
        </is>
      </c>
    </row>
    <row r="23">
      <c r="A23" s="3" t="inlineStr">
        <is>
          <t>SRC_ANTHROPIC_CLAUDE_DOCS</t>
        </is>
      </c>
      <c r="B23" s="3" t="inlineStr">
        <is>
          <t>Claude model documentation</t>
        </is>
      </c>
      <c r="C23" s="3" t="inlineStr">
        <is>
          <t>Anthropic</t>
        </is>
      </c>
      <c r="D23" s="3" t="inlineStr">
        <is>
          <t>2026-05-14 accessed</t>
        </is>
      </c>
      <c r="E23" s="3" t="inlineStr">
        <is>
          <t>https://docs.anthropic.com/en/docs/about-claude/models/overview</t>
        </is>
      </c>
      <c r="F23" s="3" t="inlineStr">
        <is>
          <t>Tier 1</t>
        </is>
      </c>
      <c r="G23" s="3" t="inlineStr">
        <is>
          <t>Claude commercial model family and closed-model disclosure boundary</t>
        </is>
      </c>
      <c r="H23" s="3" t="n">
        <v>0.86</v>
      </c>
      <c r="I23" s="3" t="inlineStr">
        <is>
          <t>Claude 모델 family 확인. 파라미터는 비공개이므로 band/benchmark proxy만 사용.</t>
        </is>
      </c>
    </row>
    <row r="24">
      <c r="A24" s="3" t="inlineStr">
        <is>
          <t>SRC_AWS_RAINIER_ACTIVE</t>
        </is>
      </c>
      <c r="B24" s="3" t="inlineStr">
        <is>
          <t>AWS activates Project Rainier: AI compute cluster for Anthropic</t>
        </is>
      </c>
      <c r="C24" s="3" t="inlineStr">
        <is>
          <t>Amazon Web Services / Amazon</t>
        </is>
      </c>
      <c r="D24" s="3" t="inlineStr">
        <is>
          <t>2025-10-29</t>
        </is>
      </c>
      <c r="E24" s="3" t="inlineStr">
        <is>
          <t>https://www.aboutamazon.com/news/aws/aws-project-rainier-ai-trainium-chips-compute-cluster</t>
        </is>
      </c>
      <c r="F24" s="3" t="inlineStr">
        <is>
          <t>Tier 1</t>
        </is>
      </c>
      <c r="G24" s="3" t="inlineStr">
        <is>
          <t>Confirms Anthropic-dedicated Trainium2 capacity direction and purpose-built accelerator presence</t>
        </is>
      </c>
      <c r="H24" s="3" t="n">
        <v>0.9</v>
      </c>
      <c r="I24" s="3" t="inlineStr">
        <is>
          <t>Trainium hardware direction은 fact. Claude inference/training allocation과 year-by-year mix는 scenario.</t>
        </is>
      </c>
    </row>
    <row r="25">
      <c r="A25" s="3" t="inlineStr">
        <is>
          <t>SRC_META_MTIA_GENAI_2026</t>
        </is>
      </c>
      <c r="B25" s="3" t="inlineStr">
        <is>
          <t>Expanding Meta's Custom Silicon to Power Our AI Workloads</t>
        </is>
      </c>
      <c r="C25" s="3" t="inlineStr">
        <is>
          <t>Meta</t>
        </is>
      </c>
      <c r="D25" s="3" t="inlineStr">
        <is>
          <t>2026-03-11</t>
        </is>
      </c>
      <c r="E25" s="3" t="inlineStr">
        <is>
          <t>https://about.fb.com/news/2026/03/expanding-metas-custom-silicon-to-power-our-ai-workloads/</t>
        </is>
      </c>
      <c r="F25" s="3" t="inlineStr">
        <is>
          <t>Tier 1</t>
        </is>
      </c>
      <c r="G25" s="3" t="inlineStr">
        <is>
          <t>Confirms hundreds of thousands of MTIA deployed for inference and MTIA 400/450/500 focus on GenAI inference production</t>
        </is>
      </c>
      <c r="H25" s="3" t="n">
        <v>0.92</v>
      </c>
      <c r="I25" s="3" t="inlineStr">
        <is>
          <t>MTIA 존재와 inference-first 방향은 fact. Meta AI LLM serving의 MTIA share는 scenario.</t>
        </is>
      </c>
    </row>
    <row r="26">
      <c r="A26" s="3" t="inlineStr">
        <is>
          <t>SRC_DEEPSEEK_H800_INFERENCE</t>
        </is>
      </c>
      <c r="B26" s="3" t="inlineStr">
        <is>
          <t>DeepSeek-V3/R1 inference system overview</t>
        </is>
      </c>
      <c r="C26" s="3" t="inlineStr">
        <is>
          <t>DeepSeek</t>
        </is>
      </c>
      <c r="D26" s="3" t="inlineStr">
        <is>
          <t>2025-02-28</t>
        </is>
      </c>
      <c r="E26" s="3" t="inlineStr">
        <is>
          <t>https://github.com/deepseek-ai/open-infra-index/blob/main/202502OpenSourceWeek/day_6_one_more_thing_deepseekV3R1_inference_system_overview.md</t>
        </is>
      </c>
      <c r="F26" s="3" t="inlineStr">
        <is>
          <t>Tier 1</t>
        </is>
      </c>
      <c r="G26" s="3" t="inlineStr">
        <is>
          <t>Confirms disclosed DeepSeek-operated V3/R1 inference services used H800 GPUs and reports peak/average node occupancy</t>
        </is>
      </c>
      <c r="H26" s="3" t="n">
        <v>0.91</v>
      </c>
      <c r="I26" s="3" t="inlineStr">
        <is>
          <t>공개 시점의 H800 serving은 fact. 2026-2030 증설 규모는 scenario.</t>
        </is>
      </c>
    </row>
    <row r="27">
      <c r="A27" s="3" t="inlineStr">
        <is>
          <t>SRC_ALIBABA_QWEN_GPU_DEPLOY</t>
        </is>
      </c>
      <c r="B27" s="3" t="inlineStr">
        <is>
          <t>Deploy a Qwen3-32B inference service with ACS GPU computing power</t>
        </is>
      </c>
      <c r="C27" s="3" t="inlineStr">
        <is>
          <t>Alibaba Cloud</t>
        </is>
      </c>
      <c r="D27" s="3" t="inlineStr">
        <is>
          <t>2025-09-18</t>
        </is>
      </c>
      <c r="E27" s="3" t="inlineStr">
        <is>
          <t>https://www.alibabacloud.com/help/doc-detail/2921971.html</t>
        </is>
      </c>
      <c r="F27" s="3" t="inlineStr">
        <is>
          <t>Tier 1</t>
        </is>
      </c>
      <c r="G27" s="3" t="inlineStr">
        <is>
          <t>Confirms an official Alibaba Cloud GPU deployment path for Qwen inference; not an operated fleet-share disclosure</t>
        </is>
      </c>
      <c r="H27" s="3" t="n">
        <v>0.78</v>
      </c>
      <c r="I27" s="3" t="inlineStr">
        <is>
          <t>Qwen GPU serving 가능성은 fact. 실제 Alibaba-operated GPU/ASIC 비중은 공개되지 않아 Base는 GPU reference 처리.</t>
        </is>
      </c>
    </row>
    <row r="28">
      <c r="A28" s="3" t="inlineStr">
        <is>
          <t>SRC_TENCENT_AI_INFRA_MOE</t>
        </is>
      </c>
      <c r="B28" s="3" t="inlineStr">
        <is>
          <t>Tencent Unveils New AI Upgrades, Proprietary Innovations, and Global Solutions</t>
        </is>
      </c>
      <c r="C28" s="3" t="inlineStr">
        <is>
          <t>Tencent</t>
        </is>
      </c>
      <c r="D28" s="3" t="inlineStr">
        <is>
          <t>2024-09-05</t>
        </is>
      </c>
      <c r="E28" s="3" t="inlineStr">
        <is>
          <t>https://www.tencent.com/en-us/articles/2201930.html</t>
        </is>
      </c>
      <c r="F28" s="3" t="inlineStr">
        <is>
          <t>Tier 1</t>
        </is>
      </c>
      <c r="G28" s="3" t="inlineStr">
        <is>
          <t>Confirms Tencent AI Infra and Hunyuan Turbo MoE service with stated inference-cost reduction</t>
        </is>
      </c>
      <c r="H28" s="3" t="n">
        <v>0.84</v>
      </c>
      <c r="I28" s="3" t="inlineStr">
        <is>
          <t>MoE/infra 방향은 fact. 운영 GPU/ASIC mix와 tokens/MW는 정량 미공개로 scenario.</t>
        </is>
      </c>
    </row>
    <row r="29">
      <c r="A29" s="3" t="inlineStr">
        <is>
          <t>SRC_SEMIANALYSIS_INFERENCEX</t>
        </is>
      </c>
      <c r="B29" s="3" t="inlineStr">
        <is>
          <t>InferenceX / InferenceMAX benchmark methodology</t>
        </is>
      </c>
      <c r="C29" s="3" t="inlineStr">
        <is>
          <t>SemiAnalysis</t>
        </is>
      </c>
      <c r="D29" s="3" t="inlineStr">
        <is>
          <t>2025-2026</t>
        </is>
      </c>
      <c r="E29" s="3" t="inlineStr">
        <is>
          <t>https://inferencex.semianalysis.com/about</t>
        </is>
      </c>
      <c r="F29" s="3" t="inlineStr">
        <is>
          <t>Tier 2</t>
        </is>
      </c>
      <c r="G29" s="3" t="inlineStr">
        <is>
          <t>Benchmark layer for tokens/sec/MW sensitivity, not company capacity</t>
        </is>
      </c>
      <c r="H29" s="3" t="n">
        <v>0.7</v>
      </c>
      <c r="I29" s="3" t="inlineStr">
        <is>
          <t>tokens/sec/MW benchmark calibration. 업체별 capacity fact로 직접 사용하지 않음.</t>
        </is>
      </c>
    </row>
    <row r="30">
      <c r="A30" s="3" t="inlineStr">
        <is>
          <t>SRC_MLPERF_INFERENCE</t>
        </is>
      </c>
      <c r="B30" s="3" t="inlineStr">
        <is>
          <t>MLPerf Inference datacenter benchmark results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https://mlcommons.org/benchmarks/inference-datacenter/</t>
        </is>
      </c>
      <c r="F30" s="3" t="inlineStr">
        <is>
          <t>Tier 2</t>
        </is>
      </c>
      <c r="G30" s="3" t="inlineStr">
        <is>
          <t>Official inference submission anchor for hardware/software comparisons</t>
        </is>
      </c>
      <c r="H30" s="3" t="n">
        <v>0.74</v>
      </c>
      <c r="I30" s="3" t="inlineStr">
        <is>
          <t>규칙화된 official benchmark anchor. LLM serving 조건은 InferenceX와 별도 비교 필요.</t>
        </is>
      </c>
    </row>
    <row r="31">
      <c r="A31" s="3" t="inlineStr">
        <is>
          <t>SRC_MLPERF_POWER</t>
        </is>
      </c>
      <c r="B31" s="3" t="inlineStr">
        <is>
          <t>MLPerf Power methodology and results</t>
        </is>
      </c>
      <c r="C31" s="3" t="inlineStr">
        <is>
          <t>MLCommons</t>
        </is>
      </c>
      <c r="D31" s="3" t="inlineStr">
        <is>
          <t>2026-06-09 accessed</t>
        </is>
      </c>
      <c r="E31" s="3" t="inlineStr">
        <is>
          <t>https://mlcommons.org/benchmarks/power/</t>
        </is>
      </c>
      <c r="F31" s="3" t="inlineStr">
        <is>
          <t>Tier 2</t>
        </is>
      </c>
      <c r="G31" s="3" t="inlineStr">
        <is>
          <t>Optional measured power/performance benchmark anchor</t>
        </is>
      </c>
      <c r="H31" s="3" t="n">
        <v>0.72</v>
      </c>
      <c r="I31" s="3" t="inlineStr">
        <is>
          <t>power 측정이 포함된 benchmark anchor. company production telemetry는 아님.</t>
        </is>
      </c>
    </row>
    <row r="32">
      <c r="A32" s="3" t="inlineStr">
        <is>
          <t>SRC_MLPERF_INFERENCE_DOCS</t>
        </is>
      </c>
      <c r="B32" s="3" t="inlineStr">
        <is>
          <t>MLPerf Inference documentation</t>
        </is>
      </c>
      <c r="C32" s="3" t="inlineStr">
        <is>
          <t>MLCommons</t>
        </is>
      </c>
      <c r="D32" s="3" t="inlineStr">
        <is>
          <t>2026-06-09 accessed</t>
        </is>
      </c>
      <c r="E32" s="3" t="inlineStr">
        <is>
          <t>https://docs.mlcommons.org/inference/</t>
        </is>
      </c>
      <c r="F32" s="3" t="inlineStr">
        <is>
          <t>Tier 2</t>
        </is>
      </c>
      <c r="G32" s="3" t="inlineStr">
        <is>
          <t>Benchmark rules, scenarios, loadgen and divisions</t>
        </is>
      </c>
      <c r="H32" s="3" t="n">
        <v>0.72</v>
      </c>
      <c r="I32" s="3" t="inlineStr">
        <is>
          <t>Server/Offline/SUT 규칙과 latency scenario를 해석하는 기준 문서.</t>
        </is>
      </c>
    </row>
    <row r="33">
      <c r="A33" s="3" t="inlineStr">
        <is>
          <t>SRC_VLLM_DOCS</t>
        </is>
      </c>
      <c r="B33" s="3" t="inlineStr">
        <is>
          <t>vLLM documentation</t>
        </is>
      </c>
      <c r="C33" s="3" t="inlineStr">
        <is>
          <t>vLLM project</t>
        </is>
      </c>
      <c r="D33" s="3" t="inlineStr">
        <is>
          <t>2026-06-09 accessed</t>
        </is>
      </c>
      <c r="E33" s="3" t="inlineStr">
        <is>
          <t>https://docs.vllm.ai/</t>
        </is>
      </c>
      <c r="F33" s="3" t="inlineStr">
        <is>
          <t>Tier 2</t>
        </is>
      </c>
      <c r="G33" s="3" t="inlineStr">
        <is>
          <t>Production serving mechanism, scheduler and KV cache behavior</t>
        </is>
      </c>
      <c r="H33" s="3" t="n">
        <v>0.66</v>
      </c>
      <c r="I33" s="3" t="inlineStr">
        <is>
          <t>serving stack mechanism source. 특정 업체 tokens/MW fact는 아님.</t>
        </is>
      </c>
    </row>
    <row r="34">
      <c r="A34" s="3" t="inlineStr">
        <is>
          <t>SRC_TENSORRT_LLM</t>
        </is>
      </c>
      <c r="B34" s="3" t="inlineStr">
        <is>
          <t>NVIDIA TensorRT-LLM documentation</t>
        </is>
      </c>
      <c r="C34" s="3" t="inlineStr">
        <is>
          <t>NVIDIA</t>
        </is>
      </c>
      <c r="D34" s="3" t="inlineStr">
        <is>
          <t>2026-06-09 accessed</t>
        </is>
      </c>
      <c r="E34" s="3" t="inlineStr">
        <is>
          <t>https://nvidia.github.io/TensorRT-LLM/</t>
        </is>
      </c>
      <c r="F34" s="3" t="inlineStr">
        <is>
          <t>Tier 2</t>
        </is>
      </c>
      <c r="G34" s="3" t="inlineStr">
        <is>
          <t>Vendor-optimized inference stack and deployment mechanism</t>
        </is>
      </c>
      <c r="H34" s="3" t="n">
        <v>0.68</v>
      </c>
      <c r="I34" s="3" t="inlineStr">
        <is>
          <t>NVIDIA stack 최적화 근거. workload matched benchmark 없이는 uplift로 직접 적용하지 않음.</t>
        </is>
      </c>
    </row>
    <row r="35">
      <c r="A35" s="3" t="inlineStr">
        <is>
          <t>SRC_SGLANG_DOCS</t>
        </is>
      </c>
      <c r="B35" s="3" t="inlineStr">
        <is>
          <t>SGLang documentation</t>
        </is>
      </c>
      <c r="C35" s="3" t="inlineStr">
        <is>
          <t>SGLang project</t>
        </is>
      </c>
      <c r="D35" s="3" t="inlineStr">
        <is>
          <t>2026-06-09 accessed</t>
        </is>
      </c>
      <c r="E35" s="3" t="inlineStr">
        <is>
          <t>https://docs.sglang.ai/</t>
        </is>
      </c>
      <c r="F35" s="3" t="inlineStr">
        <is>
          <t>Tier 2</t>
        </is>
      </c>
      <c r="G35" s="3" t="inlineStr">
        <is>
          <t>Serving runtime, structured generation and batching behavior</t>
        </is>
      </c>
      <c r="H35" s="3" t="n">
        <v>0.64</v>
      </c>
      <c r="I35" s="3" t="inlineStr">
        <is>
          <t>batching/structured generation mechanism source. production telemetry는 아님.</t>
        </is>
      </c>
    </row>
    <row r="36">
      <c r="A36" s="3" t="inlineStr">
        <is>
          <t>SRC_FLASHINFER</t>
        </is>
      </c>
      <c r="B36" s="3" t="inlineStr">
        <is>
          <t>FlashInfer documentation</t>
        </is>
      </c>
      <c r="C36" s="3" t="inlineStr">
        <is>
          <t>FlashInfer project</t>
        </is>
      </c>
      <c r="D36" s="3" t="inlineStr">
        <is>
          <t>2026-06-09 accessed</t>
        </is>
      </c>
      <c r="E36" s="3" t="inlineStr">
        <is>
          <t>https://docs.flashinfer.ai/</t>
        </is>
      </c>
      <c r="F36" s="3" t="inlineStr">
        <is>
          <t>Tier 2</t>
        </is>
      </c>
      <c r="G36" s="3" t="inlineStr">
        <is>
          <t>Attention/decode kernel mechanism for serving efficiency</t>
        </is>
      </c>
      <c r="H36" s="3" t="n">
        <v>0.62</v>
      </c>
      <c r="I36" s="3" t="inlineStr">
        <is>
          <t>kernel-level efficiency mechanism source. company-level throughput fact로 승격하지 않음.</t>
        </is>
      </c>
    </row>
    <row r="37">
      <c r="A37" s="3" t="inlineStr">
        <is>
          <t>SRC_SARATHI_SERVE</t>
        </is>
      </c>
      <c r="B37" s="3" t="inlineStr">
        <is>
          <t>Sarathi-Serve</t>
        </is>
      </c>
      <c r="C37" s="3" t="inlineStr">
        <is>
          <t>arXiv</t>
        </is>
      </c>
      <c r="D37" s="3" t="inlineStr">
        <is>
          <t>2024</t>
        </is>
      </c>
      <c r="E37" s="3" t="inlineStr">
        <is>
          <t>https://arxiv.org/abs/2403.02310</t>
        </is>
      </c>
      <c r="F37" s="3" t="inlineStr">
        <is>
          <t>Tier 2</t>
        </is>
      </c>
      <c r="G37" s="3" t="inlineStr">
        <is>
          <t>Chunked prefill and decode scheduling mechanism</t>
        </is>
      </c>
      <c r="H37" s="3" t="n">
        <v>0.64</v>
      </c>
      <c r="I37" s="3" t="inlineStr">
        <is>
          <t>prefill/decode scheduling sensitivity source.</t>
        </is>
      </c>
    </row>
    <row r="38">
      <c r="A38" s="3" t="inlineStr">
        <is>
          <t>SRC_ORCA_SERVING</t>
        </is>
      </c>
      <c r="B38" s="3" t="inlineStr">
        <is>
          <t>Orca: A Distributed Serving System for Transformer-Based Generative Models</t>
        </is>
      </c>
      <c r="C38" s="3" t="inlineStr">
        <is>
          <t>OSDI</t>
        </is>
      </c>
      <c r="D38" s="3" t="inlineStr">
        <is>
          <t>2022</t>
        </is>
      </c>
      <c r="E38" s="3" t="inlineStr">
        <is>
          <t>https://www.usenix.org/conference/osdi22/presentation/yu</t>
        </is>
      </c>
      <c r="F38" s="3" t="inlineStr">
        <is>
          <t>Tier 2</t>
        </is>
      </c>
      <c r="G38" s="3" t="inlineStr">
        <is>
          <t>Iteration-level scheduling and batching foundation</t>
        </is>
      </c>
      <c r="H38" s="3" t="n">
        <v>0.66</v>
      </c>
      <c r="I38" s="3" t="inlineStr">
        <is>
          <t>LLM serving scheduling foundation. modern hardware TPS/MW fact는 아님.</t>
        </is>
      </c>
    </row>
    <row r="39">
      <c r="A39" s="3" t="inlineStr">
        <is>
          <t>SRC_ARXIV_INFERENCE_ENERGY</t>
        </is>
      </c>
      <c r="B39" s="3" t="inlineStr">
        <is>
          <t>LLM inference energy and serving efficiency literature set</t>
        </is>
      </c>
      <c r="C39" s="3" t="inlineStr">
        <is>
          <t>arXiv</t>
        </is>
      </c>
      <c r="D39" s="3" t="inlineStr">
        <is>
          <t>2024-2026</t>
        </is>
      </c>
      <c r="E39" s="3" t="inlineStr">
        <is>
          <t>https://arxiv.org/search/?query=large+language+model+inference+energy+joules+per+token&amp;searchtype=all</t>
        </is>
      </c>
      <c r="F39" s="3" t="inlineStr">
        <is>
          <t>Tier 2</t>
        </is>
      </c>
      <c r="G39" s="3" t="inlineStr">
        <is>
          <t>Joules/token sanity check, prefill/decode split, batching, quantization sensitivity</t>
        </is>
      </c>
      <c r="H39" s="3" t="n">
        <v>0.65</v>
      </c>
      <c r="I39" s="3" t="inlineStr">
        <is>
          <t>논문별 수치는 workload 차이가 커서 sensitivity layer로만 사용.</t>
        </is>
      </c>
    </row>
    <row r="40">
      <c r="A40" s="3" t="inlineStr">
        <is>
          <t>SRC_JOULE_INFERENCE_ENERGY_2026</t>
        </is>
      </c>
      <c r="B40" s="3" t="inlineStr">
        <is>
          <t>Energy use of AI inference, efficiency pathways, and test-time scaling</t>
        </is>
      </c>
      <c r="C40" s="3" t="inlineStr">
        <is>
          <t>Joule / Cell Press</t>
        </is>
      </c>
      <c r="D40" s="3" t="inlineStr">
        <is>
          <t>2026</t>
        </is>
      </c>
      <c r="E40" s="3" t="inlineStr">
        <is>
          <t>https://www.sciencedirect.com/science/article/pii/S2542435126001145</t>
        </is>
      </c>
      <c r="F40" s="3" t="inlineStr">
        <is>
          <t>Tier 2</t>
        </is>
      </c>
      <c r="G40" s="3" t="inlineStr">
        <is>
          <t>Energy/query and joules/token sanity layer for inference forecasts</t>
        </is>
      </c>
      <c r="H40" s="3" t="n">
        <v>0.7</v>
      </c>
      <c r="I40" s="3" t="inlineStr">
        <is>
          <t>회사별 production telemetry가 아니라 energy sanity check와 test-time compute sensitivity로만 사용.</t>
        </is>
      </c>
    </row>
    <row r="41">
      <c r="A41" s="3" t="inlineStr">
        <is>
          <t>SRC_IBM_PD_DISAGG_2026</t>
        </is>
      </c>
      <c r="B41" s="3" t="inlineStr">
        <is>
          <t>Revisiting Disaggregated Large Language Model Serving for Performance and Energy Implications</t>
        </is>
      </c>
      <c r="C41" s="3" t="inlineStr">
        <is>
          <t>IBM Research / EuroSys</t>
        </is>
      </c>
      <c r="D41" s="3" t="inlineStr">
        <is>
          <t>2026</t>
        </is>
      </c>
      <c r="E41" s="3" t="inlineStr">
        <is>
          <t>https://research.ibm.com/publications/revisiting-disaggregated-large-language-model-serving-for-performance-and-energy-implications</t>
        </is>
      </c>
      <c r="F41" s="3" t="inlineStr">
        <is>
          <t>Tier 2</t>
        </is>
      </c>
      <c r="G41" s="3" t="inlineStr">
        <is>
          <t>Prefill/decode disaggregation performance and energy trade-off mechanism</t>
        </is>
      </c>
      <c r="H41" s="3" t="n">
        <v>0.72</v>
      </c>
      <c r="I41" s="3" t="inlineStr">
        <is>
          <t>P/D disaggregation은 항상 positive가 아니므로 workload/SLO별 sensitivity로 처리.</t>
        </is>
      </c>
    </row>
    <row r="42">
      <c r="A42" s="3" t="inlineStr">
        <is>
          <t>SRC_ARXIV_SLO_PD_2026</t>
        </is>
      </c>
      <c r="B42" s="3" t="inlineStr">
        <is>
          <t>SLO-Aware Compute Resource Allocation for Prefill-Decode Disaggregated LLM Inference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https://arxiv.org/abs/2603.04716</t>
        </is>
      </c>
      <c r="F42" s="3" t="inlineStr">
        <is>
          <t>Tier 2</t>
        </is>
      </c>
      <c r="G42" s="3" t="inlineStr">
        <is>
          <t>Utilization caveat for TTFT/TPOT SLO constrained serving</t>
        </is>
      </c>
      <c r="H42" s="3" t="n">
        <v>0.62</v>
      </c>
      <c r="I42" s="3" t="inlineStr">
        <is>
          <t>utilization은 GPU occupancy가 아니라 latency SLO와 reserve에 의해 제한됨을 반영.</t>
        </is>
      </c>
    </row>
    <row r="43">
      <c r="A43" s="3" t="inlineStr">
        <is>
          <t>SRC_ARXIV_PREFILL_AS_SERVICE_2026</t>
        </is>
      </c>
      <c r="B43" s="3" t="inlineStr">
        <is>
          <t>Prefill-as-a-Service</t>
        </is>
      </c>
      <c r="C43" s="3" t="inlineStr">
        <is>
          <t>arXiv</t>
        </is>
      </c>
      <c r="D43" s="3" t="inlineStr">
        <is>
          <t>2026</t>
        </is>
      </c>
      <c r="E43" s="3" t="inlineStr">
        <is>
          <t>https://arxiv.org/abs/2604.15039</t>
        </is>
      </c>
      <c r="F43" s="3" t="inlineStr">
        <is>
          <t>Tier 2</t>
        </is>
      </c>
      <c r="G43" s="3" t="inlineStr">
        <is>
          <t>Agentic/long-context placement and network sensitivity for utilization</t>
        </is>
      </c>
      <c r="H43" s="3" t="n">
        <v>0.6</v>
      </c>
      <c r="I43" s="3" t="inlineStr">
        <is>
          <t>cross-datacenter prefill/KV movement은 Base fact가 아니라 future sensitivity로만 사용.</t>
        </is>
      </c>
    </row>
    <row r="44">
      <c r="A44" s="3" t="inlineStr">
        <is>
          <t>SRC_ARXIV_SPEC_DECODING_LATENCY_2026</t>
        </is>
      </c>
      <c r="B44" s="3" t="inlineStr">
        <is>
          <t>An Interpretable Latency Model for Speculative Decoding in LLM Serving</t>
        </is>
      </c>
      <c r="C44" s="3" t="inlineStr">
        <is>
          <t>arXiv</t>
        </is>
      </c>
      <c r="D44" s="3" t="inlineStr">
        <is>
          <t>2026</t>
        </is>
      </c>
      <c r="E44" s="3" t="inlineStr">
        <is>
          <t>https://arxiv.org/abs/2605.15051</t>
        </is>
      </c>
      <c r="F44" s="3" t="inlineStr">
        <is>
          <t>Tier 2</t>
        </is>
      </c>
      <c r="G44" s="3" t="inlineStr">
        <is>
          <t>Speculative decoding latency and throughput trade-off mechanism</t>
        </is>
      </c>
      <c r="H44" s="3" t="n">
        <v>0.6</v>
      </c>
      <c r="I44" s="3" t="inlineStr">
        <is>
          <t>speculative decoding은 tokens/MW 개선 가능성이 있으나 model/workload별 검증 필요.</t>
        </is>
      </c>
    </row>
    <row r="45">
      <c r="A45" s="3" t="inlineStr">
        <is>
          <t>SRC_MCKINSEY_AI_WORKLOADS</t>
        </is>
      </c>
      <c r="B45" s="3" t="inlineStr">
        <is>
          <t>The future of AI workloads</t>
        </is>
      </c>
      <c r="C45" s="3" t="inlineStr">
        <is>
          <t>McKinsey &amp; Company</t>
        </is>
      </c>
      <c r="D45" s="3" t="inlineStr">
        <is>
          <t>2026-02-24</t>
        </is>
      </c>
      <c r="E45" s="3" t="inlineStr">
        <is>
          <t>https://www.mckinsey.com/featured-insights/week-in-charts/the-future-of-ai-workloads</t>
        </is>
      </c>
      <c r="F45" s="3" t="inlineStr">
        <is>
          <t>Tier 2</t>
        </is>
      </c>
      <c r="G45" s="3" t="inlineStr">
        <is>
          <t>Inference share fact-check and 2030 workload mix directional anchor</t>
        </is>
      </c>
      <c r="H45" s="3" t="n">
        <v>0.72</v>
      </c>
      <c r="I45" s="3" t="inlineStr">
        <is>
          <t>2030년 inference가 AI compute의 절반 이상이 될 수 있다는 전망. 2026 현재 GW fact로 직접 사용하지 않음.</t>
        </is>
      </c>
    </row>
    <row r="46">
      <c r="A46" s="3" t="inlineStr">
        <is>
          <t>SRC_DELOITTE_AI_POWER</t>
        </is>
      </c>
      <c r="B46" s="3" t="inlineStr">
        <is>
          <t>More compute for AI, not less</t>
        </is>
      </c>
      <c r="C46" s="3" t="inlineStr">
        <is>
          <t>Deloitte</t>
        </is>
      </c>
      <c r="D46" s="3" t="inlineStr">
        <is>
          <t>2025-12</t>
        </is>
      </c>
      <c r="E46" s="3" t="inlineStr">
        <is>
          <t>https://www.deloitte.com/us/en/insights/industry/technology/technology-media-and-telecom-predictions/2026/compute-power-ai.html</t>
        </is>
      </c>
      <c r="F46" s="3" t="inlineStr">
        <is>
          <t>Tier 2</t>
        </is>
      </c>
      <c r="G46" s="3" t="inlineStr">
        <is>
          <t>Inference compute share outlook, used only as scenario cross-check</t>
        </is>
      </c>
      <c r="H46" s="3" t="n">
        <v>0.68</v>
      </c>
      <c r="I46" s="3" t="inlineStr">
        <is>
          <t>2026 compute 기준 inference 비중 전망을 제공하지만 업체별 GW fact는 아님.</t>
        </is>
      </c>
    </row>
    <row r="47">
      <c r="A47" s="3" t="inlineStr">
        <is>
          <t>SRC_EPRI_EPOCH_AI_POWER</t>
        </is>
      </c>
      <c r="B47" s="3" t="inlineStr">
        <is>
          <t>How much power will frontier AI training demand in 2030?</t>
        </is>
      </c>
      <c r="C47" s="3" t="inlineStr">
        <is>
          <t>EPRI / Epoch AI</t>
        </is>
      </c>
      <c r="D47" s="3" t="inlineStr">
        <is>
          <t>2025-08</t>
        </is>
      </c>
      <c r="E47" s="3" t="inlineStr">
        <is>
          <t>https://epoch.ai/blog/power-demands-of-frontier-ai-training</t>
        </is>
      </c>
      <c r="F47" s="3" t="inlineStr">
        <is>
          <t>Tier 2</t>
        </is>
      </c>
      <c r="G47" s="3" t="inlineStr">
        <is>
          <t>Current AI power allocation sanity check across training, experiments, and inference</t>
        </is>
      </c>
      <c r="H47" s="3" t="n">
        <v>0.7</v>
      </c>
      <c r="I47" s="3" t="inlineStr">
        <is>
          <t>현재 power allocation은 training/experiments/inference가 대략 나뉜다는 관점. 60%+ inference fact 주장에 대한 반대 anchor.</t>
        </is>
      </c>
    </row>
    <row r="48">
      <c r="A48" s="3" t="inlineStr">
        <is>
          <t>SRC_EPOCH_TRAIN</t>
        </is>
      </c>
      <c r="B48" s="3" t="inlineStr">
        <is>
          <t>Training compute of frontier AI models grows by 4-5x per year</t>
        </is>
      </c>
      <c r="C48" s="3" t="inlineStr">
        <is>
          <t>Epoch AI</t>
        </is>
      </c>
      <c r="D48" s="3" t="inlineStr">
        <is>
          <t>2024</t>
        </is>
      </c>
      <c r="E48" s="3" t="inlineStr">
        <is>
          <t>https://epoch.ai/blog/training-compute-of-frontier-ai-models-grows-by-4-5x-per-year</t>
        </is>
      </c>
      <c r="F48" s="3" t="inlineStr">
        <is>
          <t>Tier 2</t>
        </is>
      </c>
      <c r="G48" s="3" t="inlineStr">
        <is>
          <t>Frontier training compute growth anchor</t>
        </is>
      </c>
      <c r="H48" s="3" t="n">
        <v>0.7</v>
      </c>
      <c r="I48" s="3" t="inlineStr">
        <is>
          <t>training reserve를 남겨야 하는 장기 compute-growth 근거.</t>
        </is>
      </c>
    </row>
    <row r="49">
      <c r="A49" s="3" t="inlineStr">
        <is>
          <t>SRC_EPOCH_SCALING_2030</t>
        </is>
      </c>
      <c r="B49" s="3" t="inlineStr">
        <is>
          <t>Can AI scaling continue through 2030?</t>
        </is>
      </c>
      <c r="C49" s="3" t="inlineStr">
        <is>
          <t>Epoch AI</t>
        </is>
      </c>
      <c r="D49" s="3" t="inlineStr">
        <is>
          <t>2024/2026 accessed</t>
        </is>
      </c>
      <c r="E49" s="3" t="inlineStr">
        <is>
          <t>https://epoch.ai/publications/can-ai-scaling-continue-through-2030</t>
        </is>
      </c>
      <c r="F49" s="3" t="inlineStr">
        <is>
          <t>Tier 2</t>
        </is>
      </c>
      <c r="G49" s="3" t="inlineStr">
        <is>
          <t>Scaling bottlenecks across power, data, capex and hardware supply</t>
        </is>
      </c>
      <c r="H49" s="3" t="n">
        <v>0.7</v>
      </c>
      <c r="I49" s="3" t="inlineStr">
        <is>
          <t>2030 scaling feasibility와 병목 source. 업체별 active power fact는 아님.</t>
        </is>
      </c>
    </row>
    <row r="50">
      <c r="A50" s="3" t="inlineStr">
        <is>
          <t>SRC_EPOCH_INFERENCE_PRICE</t>
        </is>
      </c>
      <c r="B50" s="3" t="inlineStr">
        <is>
          <t>LLM inference price trends</t>
        </is>
      </c>
      <c r="C50" s="3" t="inlineStr">
        <is>
          <t>Epoch AI</t>
        </is>
      </c>
      <c r="D50" s="3" t="inlineStr">
        <is>
          <t>2026-06-09 accessed</t>
        </is>
      </c>
      <c r="E50" s="3" t="inlineStr">
        <is>
          <t>https://epoch.ai/data-insights/llm-inference-price-trends</t>
        </is>
      </c>
      <c r="F50" s="3" t="inlineStr">
        <is>
          <t>Tier 2</t>
        </is>
      </c>
      <c r="G50" s="3" t="inlineStr">
        <is>
          <t>Inference cost trend proxy and commercial efficiency context</t>
        </is>
      </c>
      <c r="H50" s="3" t="n">
        <v>0.66</v>
      </c>
      <c r="I50" s="3" t="inlineStr">
        <is>
          <t>API price/performance trend proxy. tokens/MW 생산 telemetry로 직접 사용하지 않음.</t>
        </is>
      </c>
    </row>
    <row r="51">
      <c r="A51" s="3" t="inlineStr">
        <is>
          <t>SRC_EPOCH_AI_DATA_CENTERS</t>
        </is>
      </c>
      <c r="B51" s="3" t="inlineStr">
        <is>
          <t>AI data centers dataset</t>
        </is>
      </c>
      <c r="C51" s="3" t="inlineStr">
        <is>
          <t>Epoch AI</t>
        </is>
      </c>
      <c r="D51" s="3" t="inlineStr">
        <is>
          <t>2026-07-30 local snapshot</t>
        </is>
      </c>
      <c r="E51" s="3" t="inlineStr">
        <is>
          <t>https://epoch.ai/data/ai-data-centers</t>
        </is>
      </c>
      <c r="F51" s="3" t="inlineStr">
        <is>
          <t>Tier 2</t>
        </is>
      </c>
      <c r="G51" s="3" t="inlineStr">
        <is>
          <t>Site/user capacity attribution, completion timing and site-level accelerator inventory seed</t>
        </is>
      </c>
      <c r="H51" s="3" t="n">
        <v>0.7</v>
      </c>
      <c r="I51" s="3" t="inlineStr">
        <is>
          <t>데이터센터별 user exposure, current/contracted IT power, completion date, chip type/quantity를 accelerator mix 입력 seed로 사용. 회사 총 전력 규모는 기존 02_Inputs가 유지.</t>
        </is>
      </c>
    </row>
    <row r="52">
      <c r="A52" s="3" t="inlineStr">
        <is>
          <t>SRC_EIA_DC_POWER</t>
        </is>
      </c>
      <c r="B52" s="3" t="inlineStr">
        <is>
          <t>U.S. electricity data and data center power context</t>
        </is>
      </c>
      <c r="C52" s="3" t="inlineStr">
        <is>
          <t>U.S. EIA</t>
        </is>
      </c>
      <c r="D52" s="3" t="inlineStr">
        <is>
          <t>2026-06-09 accessed</t>
        </is>
      </c>
      <c r="E52" s="3" t="inlineStr">
        <is>
          <t>https://www.eia.gov/</t>
        </is>
      </c>
      <c r="F52" s="3" t="inlineStr">
        <is>
          <t>Tier 2</t>
        </is>
      </c>
      <c r="G52" s="3" t="inlineStr">
        <is>
          <t>Electricity demand and regional power baseline</t>
        </is>
      </c>
      <c r="H52" s="3" t="n">
        <v>0.68</v>
      </c>
      <c r="I52" s="3" t="inlineStr">
        <is>
          <t>macro grid plausibility source. company contracted GW를 직접 바꾸지 않음.</t>
        </is>
      </c>
    </row>
    <row r="53">
      <c r="A53" s="3" t="inlineStr">
        <is>
          <t>SRC_FERC_INTERCONNECT</t>
        </is>
      </c>
      <c r="B53" s="3" t="inlineStr">
        <is>
          <t>FERC interconnection and grid reliability proceedings</t>
        </is>
      </c>
      <c r="C53" s="3" t="inlineStr">
        <is>
          <t>FERC</t>
        </is>
      </c>
      <c r="D53" s="3" t="inlineStr">
        <is>
          <t>2026-06-09 accessed</t>
        </is>
      </c>
      <c r="E53" s="3" t="inlineStr">
        <is>
          <t>https://www.ferc.gov/</t>
        </is>
      </c>
      <c r="F53" s="3" t="inlineStr">
        <is>
          <t>Tier 2</t>
        </is>
      </c>
      <c r="G53" s="3" t="inlineStr">
        <is>
          <t>Interconnection, transmission and reliability context</t>
        </is>
      </c>
      <c r="H53" s="3" t="n">
        <v>0.66</v>
      </c>
      <c r="I53" s="3" t="inlineStr">
        <is>
          <t>grid constraint context. model-owner capacity attribution fact는 아님.</t>
        </is>
      </c>
    </row>
    <row r="54">
      <c r="A54" s="3" t="inlineStr">
        <is>
          <t>SRC_UPTIME_GLOBAL_DC</t>
        </is>
      </c>
      <c r="B54" s="3" t="inlineStr">
        <is>
          <t>Uptime Institute Global Data Center Survey</t>
        </is>
      </c>
      <c r="C54" s="3" t="inlineStr">
        <is>
          <t>Uptime Institute</t>
        </is>
      </c>
      <c r="D54" s="3" t="inlineStr">
        <is>
          <t>2026-06-09 accessed</t>
        </is>
      </c>
      <c r="E54" s="3" t="inlineStr">
        <is>
          <t>https://uptimeinstitute.com/resources/research-and-reports</t>
        </is>
      </c>
      <c r="F54" s="3" t="inlineStr">
        <is>
          <t>Tier 2</t>
        </is>
      </c>
      <c r="G54" s="3" t="inlineStr">
        <is>
          <t>PUE, cooling, outage and density operating context</t>
        </is>
      </c>
      <c r="H54" s="3" t="n">
        <v>0.68</v>
      </c>
      <c r="I54" s="3" t="inlineStr">
        <is>
          <t>facility/PUE context. company site-level PUE가 있으면 교체.</t>
        </is>
      </c>
    </row>
    <row r="55">
      <c r="A55" s="3" t="inlineStr">
        <is>
          <t>SRC_ASHRAE_TC99</t>
        </is>
      </c>
      <c r="B55" s="3" t="inlineStr">
        <is>
          <t>ASHRAE TC 9.9 data center thermal guidance</t>
        </is>
      </c>
      <c r="C55" s="3" t="inlineStr">
        <is>
          <t>ASHRAE</t>
        </is>
      </c>
      <c r="D55" s="3" t="inlineStr">
        <is>
          <t>2026-06-09 accessed</t>
        </is>
      </c>
      <c r="E55" s="3" t="inlineStr">
        <is>
          <t>https://www.ashrae.org/technical-resources/bookstore/datacom-series</t>
        </is>
      </c>
      <c r="F55" s="3" t="inlineStr">
        <is>
          <t>Tier 2</t>
        </is>
      </c>
      <c r="G55" s="3" t="inlineStr">
        <is>
          <t>Thermal envelope and cooling design reference</t>
        </is>
      </c>
      <c r="H55" s="3" t="n">
        <v>0.64</v>
      </c>
      <c r="I55" s="3" t="inlineStr">
        <is>
          <t>cooling design reference. PUE 숫자 자체의 direct fact는 아님.</t>
        </is>
      </c>
    </row>
    <row r="56">
      <c r="A56" s="3" t="inlineStr">
        <is>
          <t>SRC_MISTRAL_MODELS</t>
        </is>
      </c>
      <c r="B56" s="3" t="inlineStr">
        <is>
          <t>Mistral AI model documentation</t>
        </is>
      </c>
      <c r="C56" s="3" t="inlineStr">
        <is>
          <t>Mistral AI</t>
        </is>
      </c>
      <c r="D56" s="3" t="inlineStr">
        <is>
          <t>2026-06-09 accessed</t>
        </is>
      </c>
      <c r="E56" s="3" t="inlineStr">
        <is>
          <t>https://docs.mistral.ai/</t>
        </is>
      </c>
      <c r="F56" s="3" t="inlineStr">
        <is>
          <t>Tier 1/2</t>
        </is>
      </c>
      <c r="G56" s="3" t="inlineStr">
        <is>
          <t>Dense/MoE open model family and context anchor</t>
        </is>
      </c>
      <c r="H56" s="3" t="n">
        <v>0.72</v>
      </c>
      <c r="I56" s="3" t="inlineStr">
        <is>
          <t>open/served model family 비교 anchor. 본 모델의 core company row에는 직접 포함하지 않음.</t>
        </is>
      </c>
    </row>
    <row r="57">
      <c r="A57" s="3" t="inlineStr">
        <is>
          <t>SRC_DBRX_MODEL</t>
        </is>
      </c>
      <c r="B57" s="3" t="inlineStr">
        <is>
          <t>Introducing DBRX</t>
        </is>
      </c>
      <c r="C57" s="3" t="inlineStr">
        <is>
          <t>Databricks</t>
        </is>
      </c>
      <c r="D57" s="3" t="inlineStr">
        <is>
          <t>2024</t>
        </is>
      </c>
      <c r="E57" s="3" t="inlineStr">
        <is>
          <t>https://www.databricks.com/blog/introducing-dbrx-new-state-art-open-llm</t>
        </is>
      </c>
      <c r="F57" s="3" t="inlineStr">
        <is>
          <t>Tier 1/2</t>
        </is>
      </c>
      <c r="G57" s="3" t="inlineStr">
        <is>
          <t>Open MoE parameter anchor</t>
        </is>
      </c>
      <c r="H57" s="3" t="n">
        <v>0.7</v>
      </c>
      <c r="I57" s="3" t="inlineStr">
        <is>
          <t>MoE total/active parameter 읽기용 비교 source.</t>
        </is>
      </c>
    </row>
    <row r="58">
      <c r="A58" s="3" t="inlineStr">
        <is>
          <t>SRC_OPENAI_API_PRICING</t>
        </is>
      </c>
      <c r="B58" s="3" t="inlineStr">
        <is>
          <t>OpenAI API pricing</t>
        </is>
      </c>
      <c r="C58" s="3" t="inlineStr">
        <is>
          <t>OpenAI</t>
        </is>
      </c>
      <c r="D58" s="3" t="inlineStr">
        <is>
          <t>2026-06-09 accessed</t>
        </is>
      </c>
      <c r="E58" s="3" t="inlineStr">
        <is>
          <t>https://openai.com/api/pricing/</t>
        </is>
      </c>
      <c r="F58" s="3" t="inlineStr">
        <is>
          <t>Tier 1</t>
        </is>
      </c>
      <c r="G58" s="3" t="inlineStr">
        <is>
          <t>Commercial token surface and price proxy</t>
        </is>
      </c>
      <c r="H58" s="3" t="n">
        <v>0.78</v>
      </c>
      <c r="I58" s="3" t="inlineStr">
        <is>
          <t>price surface proxy. output volume 또는 tokens/MW production fact는 아님.</t>
        </is>
      </c>
    </row>
    <row r="59">
      <c r="A59" s="3" t="inlineStr">
        <is>
          <t>SRC_OPENAI_CODEX_RATE_CARD</t>
        </is>
      </c>
      <c r="B59" s="3" t="inlineStr">
        <is>
          <t>Codex rate card</t>
        </is>
      </c>
      <c r="C59" s="3" t="inlineStr">
        <is>
          <t>OpenAI Help Center</t>
        </is>
      </c>
      <c r="D59" s="3" t="inlineStr">
        <is>
          <t>2026-07 accessed</t>
        </is>
      </c>
      <c r="E59" s="3" t="inlineStr">
        <is>
          <t>https://help.openai.com/en/articles/20001106</t>
        </is>
      </c>
      <c r="F59" s="3" t="inlineStr">
        <is>
          <t>Tier 1</t>
        </is>
      </c>
      <c r="G59" s="3" t="inlineStr">
        <is>
          <t>Codex usage is token-metered with separate input/cached-input/output token rates; supports modeling Codex as high-context agentic workload.</t>
        </is>
      </c>
      <c r="H59" s="3" t="n">
        <v>0.84</v>
      </c>
      <c r="I59" s="3" t="inlineStr">
        <is>
          <t>Codex seat/usage pricing이 token 기반으로 바뀐 점은 agentic workload가 별도 consumption surface임을 보여준다.</t>
        </is>
      </c>
    </row>
    <row r="60">
      <c r="A60" s="3" t="inlineStr">
        <is>
          <t>SRC_OPENAI_CHATGPT_ENTERPRISE</t>
        </is>
      </c>
      <c r="B60" s="3" t="inlineStr">
        <is>
          <t>What is ChatGPT Enterprise?</t>
        </is>
      </c>
      <c r="C60" s="3" t="inlineStr">
        <is>
          <t>OpenAI Help Center</t>
        </is>
      </c>
      <c r="D60" s="3" t="inlineStr">
        <is>
          <t>2026-07 accessed</t>
        </is>
      </c>
      <c r="E60" s="3" t="inlineStr">
        <is>
          <t>https://help.openai.com/en/articles/8265053-what-is-chatgpt-enterprise</t>
        </is>
      </c>
      <c r="F60" s="3" t="inlineStr">
        <is>
          <t>Tier 1</t>
        </is>
      </c>
      <c r="G60" s="3" t="inlineStr">
        <is>
          <t>Enterprise includes ChatGPT, ChatGPT Agent, Deep Research and Codex/Codex seats; supports separating chat and agentic surfaces.</t>
        </is>
      </c>
      <c r="H60" s="3" t="n">
        <v>0.82</v>
      </c>
      <c r="I60" s="3" t="inlineStr">
        <is>
          <t>ChatGPT Enterprise의 standard/Codex seat 구분과 advanced tools는 workload mix 근거로만 사용.</t>
        </is>
      </c>
    </row>
    <row r="61">
      <c r="A61" s="3" t="inlineStr">
        <is>
          <t>SRC_ANTHROPIC_PRICING</t>
        </is>
      </c>
      <c r="B61" s="3" t="inlineStr">
        <is>
          <t>Anthropic API pricing</t>
        </is>
      </c>
      <c r="C61" s="3" t="inlineStr">
        <is>
          <t>Anthropic</t>
        </is>
      </c>
      <c r="D61" s="3" t="inlineStr">
        <is>
          <t>2026-06-09 accessed</t>
        </is>
      </c>
      <c r="E61" s="3" t="inlineStr">
        <is>
          <t>https://www.anthropic.com/pricing</t>
        </is>
      </c>
      <c r="F61" s="3" t="inlineStr">
        <is>
          <t>Tier 1</t>
        </is>
      </c>
      <c r="G61" s="3" t="inlineStr">
        <is>
          <t>Commercial token surface and price proxy</t>
        </is>
      </c>
      <c r="H61" s="3" t="n">
        <v>0.78</v>
      </c>
      <c r="I61" s="3" t="inlineStr">
        <is>
          <t>price surface proxy. Claude production output volume은 공개하지 않음.</t>
        </is>
      </c>
    </row>
    <row r="62">
      <c r="A62" s="3" t="inlineStr">
        <is>
          <t>SRC_ANTHROPIC_CONSUMPTION_GUIDE</t>
        </is>
      </c>
      <c r="B62" s="3" t="inlineStr">
        <is>
          <t>Claude Enterprise consumption guide</t>
        </is>
      </c>
      <c r="C62" s="3" t="inlineStr">
        <is>
          <t>Anthropic Help Center</t>
        </is>
      </c>
      <c r="D62" s="3" t="inlineStr">
        <is>
          <t>2026-07 accessed</t>
        </is>
      </c>
      <c r="E62" s="3" t="inlineStr">
        <is>
          <t>https://support.claude.com/en/articles/14782391-claude-enterprise-consumption-guide</t>
        </is>
      </c>
      <c r="F62" s="3" t="inlineStr">
        <is>
          <t>Tier 1</t>
        </is>
      </c>
      <c r="G62" s="3" t="inlineStr">
        <is>
          <t>Anthropic states Claude Code and Cowork are significantly more token-intensive than standard chat.</t>
        </is>
      </c>
      <c r="H62" s="3" t="n">
        <v>0.88</v>
      </c>
      <c r="I62" s="3" t="inlineStr">
        <is>
          <t>Claude의 agentic/coding workload 비중 및 high token intensity를 정당화하되, 회사별 traffic share는 scenario.</t>
        </is>
      </c>
    </row>
    <row r="63">
      <c r="A63" s="3" t="inlineStr">
        <is>
          <t>SRC_ANTHROPIC_CODE_PRACTICE</t>
        </is>
      </c>
      <c r="B63" s="3" t="inlineStr">
        <is>
          <t>Agentic coding and persistent returns to expertise</t>
        </is>
      </c>
      <c r="C63" s="3" t="inlineStr">
        <is>
          <t>Anthropic Research</t>
        </is>
      </c>
      <c r="D63" s="3" t="inlineStr">
        <is>
          <t>2026-06-16</t>
        </is>
      </c>
      <c r="E63" s="3" t="inlineStr">
        <is>
          <t>https://www.anthropic.com/research/claude-code-expertise</t>
        </is>
      </c>
      <c r="F63" s="3" t="inlineStr">
        <is>
          <t>Tier 1</t>
        </is>
      </c>
      <c r="G63" s="3" t="inlineStr">
        <is>
          <t>Claude Code usage study of roughly 400k sessions; supports agentic coding as a major Claude surface.</t>
        </is>
      </c>
      <c r="H63" s="3" t="n">
        <v>0.84</v>
      </c>
      <c r="I63" s="3" t="inlineStr">
        <is>
          <t>Claude Code adoption/usage intensity direction의 근거. tokens/MW 생산 telemetry는 아님.</t>
        </is>
      </c>
    </row>
    <row r="64">
      <c r="A64" s="3" t="inlineStr">
        <is>
          <t>SRC_GOOGLE_GEMINI_LONG_CONTEXT</t>
        </is>
      </c>
      <c r="B64" s="3" t="inlineStr">
        <is>
          <t>Gemini API long context documentation</t>
        </is>
      </c>
      <c r="C64" s="3" t="inlineStr">
        <is>
          <t>Google AI for Developers</t>
        </is>
      </c>
      <c r="D64" s="3" t="inlineStr">
        <is>
          <t>2026-07 accessed</t>
        </is>
      </c>
      <c r="E64" s="3" t="inlineStr">
        <is>
          <t>https://ai.google.dev/gemini-api/docs/long-context</t>
        </is>
      </c>
      <c r="F64" s="3" t="inlineStr">
        <is>
          <t>Tier 1</t>
        </is>
      </c>
      <c r="G64" s="3" t="inlineStr">
        <is>
          <t>Gemini models support 1M+ context windows and long-context use cases; supports a separate long-chat workload class.</t>
        </is>
      </c>
      <c r="H64" s="3" t="n">
        <v>0.86</v>
      </c>
      <c r="I64" s="3" t="inlineStr">
        <is>
          <t>Gemini long context는 workload shape 근거이며, production traffic share 또는 tokens/MW fact가 아님.</t>
        </is>
      </c>
    </row>
    <row r="65">
      <c r="A65" s="3" t="inlineStr">
        <is>
          <t>SRC_GOOGLE_GEMINI_AGENT_PLATFORM</t>
        </is>
      </c>
      <c r="B65" s="3" t="inlineStr">
        <is>
          <t>Introducing Gemini Enterprise Agent Platform</t>
        </is>
      </c>
      <c r="C65" s="3" t="inlineStr">
        <is>
          <t>Google Cloud</t>
        </is>
      </c>
      <c r="D65" s="3" t="inlineStr">
        <is>
          <t>2026-04-22</t>
        </is>
      </c>
      <c r="E65" s="3" t="inlineStr">
        <is>
          <t>https://cloud.google.com/blog/products/ai-machine-learning/introducing-gemini-enterprise-agent-platform</t>
        </is>
      </c>
      <c r="F65" s="3" t="inlineStr">
        <is>
          <t>Tier 1</t>
        </is>
      </c>
      <c r="G65" s="3" t="inlineStr">
        <is>
          <t>Google positions Gemini Enterprise Agent Platform for agents interacting across systems.</t>
        </is>
      </c>
      <c r="H65" s="3" t="n">
        <v>0.82</v>
      </c>
      <c r="I65" s="3" t="inlineStr">
        <is>
          <t>Google agentic enterprise surface의 방향성 근거. exact traffic mix는 scenario.</t>
        </is>
      </c>
    </row>
    <row r="66">
      <c r="A66" s="3" t="inlineStr">
        <is>
          <t>SRC_META_BUSINESS_AGENT</t>
        </is>
      </c>
      <c r="B66" s="3" t="inlineStr">
        <is>
          <t>Be There for Every Customer With Meta Business Agent</t>
        </is>
      </c>
      <c r="C66" s="3" t="inlineStr">
        <is>
          <t>Meta</t>
        </is>
      </c>
      <c r="D66" s="3" t="inlineStr">
        <is>
          <t>2026-06-03</t>
        </is>
      </c>
      <c r="E66" s="3" t="inlineStr">
        <is>
          <t>https://about.fb.com/news/2026/06/meta-business-agent/</t>
        </is>
      </c>
      <c r="F66" s="3" t="inlineStr">
        <is>
          <t>Tier 1</t>
        </is>
      </c>
      <c r="G66" s="3" t="inlineStr">
        <is>
          <t>Meta discloses broad business-agent messaging surface and over one million businesses using Meta Business Agent.</t>
        </is>
      </c>
      <c r="H66" s="3" t="n">
        <v>0.86</v>
      </c>
      <c r="I66" s="3" t="inlineStr">
        <is>
          <t>Meta workload mix를 short/business chat-heavy로 두는 방향성 근거.</t>
        </is>
      </c>
    </row>
    <row r="67">
      <c r="A67" s="3" t="inlineStr">
        <is>
          <t>SRC_INFERENCEX_AGENTIC_TRACES_256K</t>
        </is>
      </c>
      <c r="B67" s="3" t="inlineStr">
        <is>
          <t>CC Traces — Weka, With Subagents, 256k cap</t>
        </is>
      </c>
      <c r="C67" s="3" t="inlineStr">
        <is>
          <t>SemiAnalysisAI / Hugging Face</t>
        </is>
      </c>
      <c r="D67" s="3" t="inlineStr">
        <is>
          <t>2026-06-21</t>
        </is>
      </c>
      <c r="E67" s="3" t="inlineStr">
        <is>
          <t>https://huggingface.co/datasets/semianalysisai/cc-traces-weka-062126-256k</t>
        </is>
      </c>
      <c r="F67" s="3" t="inlineStr">
        <is>
          <t>Tier 2</t>
        </is>
      </c>
      <c r="G67" s="3" t="inlineStr">
        <is>
          <t>Agentic coding trace profile used for input/output load-shape calibration.</t>
        </is>
      </c>
      <c r="H67" s="3" t="n">
        <v>0.74</v>
      </c>
      <c r="I67" s="3" t="inlineStr">
        <is>
          <t>평균 input 약 101k/output 약 860 tokens/request인 agentic load shape 근거. throughput telemetry는 아님.</t>
        </is>
      </c>
    </row>
    <row r="68">
      <c r="A68" s="3" t="inlineStr">
        <is>
          <t>SRC_AZURE_OPENAI</t>
        </is>
      </c>
      <c r="B68" s="3" t="inlineStr">
        <is>
          <t>Azure OpenAI Service documentation</t>
        </is>
      </c>
      <c r="C68" s="3" t="inlineStr">
        <is>
          <t>Microsoft</t>
        </is>
      </c>
      <c r="D68" s="3" t="inlineStr">
        <is>
          <t>2026-06-09 accessed</t>
        </is>
      </c>
      <c r="E68" s="3" t="inlineStr">
        <is>
          <t>https://learn.microsoft.com/azure/ai-services/openai/</t>
        </is>
      </c>
      <c r="F68" s="3" t="inlineStr">
        <is>
          <t>Tier 1</t>
        </is>
      </c>
      <c r="G68" s="3" t="inlineStr">
        <is>
          <t>Microsoft host/product surface vs OpenAI model attribution</t>
        </is>
      </c>
      <c r="H68" s="3" t="n">
        <v>0.78</v>
      </c>
      <c r="I68" s="3" t="inlineStr">
        <is>
          <t>OpenAI model owner와 Azure product/host surface 분리용.</t>
        </is>
      </c>
    </row>
    <row r="69">
      <c r="A69" s="3" t="inlineStr">
        <is>
          <t>SRC_GOOGLE_CLOUD_ANTHROPIC</t>
        </is>
      </c>
      <c r="B69" s="3" t="inlineStr">
        <is>
          <t>Google Cloud and Anthropic partnership</t>
        </is>
      </c>
      <c r="C69" s="3" t="inlineStr">
        <is>
          <t>Google Cloud</t>
        </is>
      </c>
      <c r="D69" s="3" t="inlineStr">
        <is>
          <t>2026-06-09 accessed</t>
        </is>
      </c>
      <c r="E69" s="3" t="inlineStr">
        <is>
          <t>https://cloud.google.com/blog/products/ai-machine-learning/google-cloud-anthropic-ai-partnership</t>
        </is>
      </c>
      <c r="F69" s="3" t="inlineStr">
        <is>
          <t>Tier 1/2</t>
        </is>
      </c>
      <c r="G69" s="3" t="inlineStr">
        <is>
          <t>Third-party model hosted on cloud provider</t>
        </is>
      </c>
      <c r="H69" s="3" t="n">
        <v>0.72</v>
      </c>
      <c r="I69" s="3" t="inlineStr">
        <is>
          <t>Google host capacity와 Anthropic model-owner attribution 분리용.</t>
        </is>
      </c>
    </row>
    <row r="70">
      <c r="A70" s="3" t="inlineStr">
        <is>
          <t>SRC_ARTIFICIAL_ANALYSIS</t>
        </is>
      </c>
      <c r="B70" s="3" t="inlineStr">
        <is>
          <t>Artificial Analysis model and API benchmarks</t>
        </is>
      </c>
      <c r="C70" s="3" t="inlineStr">
        <is>
          <t>Artificial Analysis</t>
        </is>
      </c>
      <c r="D70" s="3" t="inlineStr">
        <is>
          <t>2026-06-09 accessed</t>
        </is>
      </c>
      <c r="E70" s="3" t="inlineStr">
        <is>
          <t>https://artificialanalysis.ai/</t>
        </is>
      </c>
      <c r="F70" s="3" t="inlineStr">
        <is>
          <t>Tier 2</t>
        </is>
      </c>
      <c r="G70" s="3" t="inlineStr">
        <is>
          <t>Public API price/performance and latency proxy</t>
        </is>
      </c>
      <c r="H70" s="3" t="n">
        <v>0.64</v>
      </c>
      <c r="I70" s="3" t="inlineStr">
        <is>
          <t>commercial API price/latency proxy. company capacity fact 아님.</t>
        </is>
      </c>
    </row>
    <row r="71">
      <c r="A71" s="3" t="inlineStr">
        <is>
          <t>SRC_OPENROUTER_RANKINGS</t>
        </is>
      </c>
      <c r="B71" s="3" t="inlineStr">
        <is>
          <t>OpenRouter model pricing and usage market signals</t>
        </is>
      </c>
      <c r="C71" s="3" t="inlineStr">
        <is>
          <t>OpenRouter</t>
        </is>
      </c>
      <c r="D71" s="3" t="inlineStr">
        <is>
          <t>2026-06-09 accessed</t>
        </is>
      </c>
      <c r="E71" s="3" t="inlineStr">
        <is>
          <t>https://openrouter.ai/rankings</t>
        </is>
      </c>
      <c r="F71" s="3" t="inlineStr">
        <is>
          <t>Tier 2</t>
        </is>
      </c>
      <c r="G71" s="3" t="inlineStr">
        <is>
          <t>API price and demand mix proxy</t>
        </is>
      </c>
      <c r="H71" s="3" t="n">
        <v>0.58</v>
      </c>
      <c r="I71" s="3" t="inlineStr">
        <is>
          <t>market routing proxy. 전체 production traffic fact로 해석하지 않음.</t>
        </is>
      </c>
    </row>
    <row r="72">
      <c r="A72" s="3" t="inlineStr">
        <is>
          <t>SRC_SEMI_100K_CLUSTER</t>
        </is>
      </c>
      <c r="B72" s="3" t="inlineStr">
        <is>
          <t>SemiAnalysis AI infrastructure and 100k H100 cluster analysis</t>
        </is>
      </c>
      <c r="C72" s="3" t="inlineStr">
        <is>
          <t>SemiAnalysis</t>
        </is>
      </c>
      <c r="D72" s="3" t="inlineStr">
        <is>
          <t>2026-06-09 accessed</t>
        </is>
      </c>
      <c r="E72" s="3" t="inlineStr">
        <is>
          <t>https://semianalysis.com/</t>
        </is>
      </c>
      <c r="F72" s="3" t="inlineStr">
        <is>
          <t>Tier 2</t>
        </is>
      </c>
      <c r="G72" s="3" t="inlineStr">
        <is>
          <t>Accelerator cluster, networking and non-GPU overhead context</t>
        </is>
      </c>
      <c r="H72" s="3" t="n">
        <v>0.62</v>
      </c>
      <c r="I72" s="3" t="inlineStr">
        <is>
          <t>cluster architecture context. specific company active GW fact는 아님.</t>
        </is>
      </c>
    </row>
    <row r="73">
      <c r="A73" s="3" t="inlineStr">
        <is>
          <t>SRC_DELLORO_AI_NETWORKS</t>
        </is>
      </c>
      <c r="B73" s="3" t="inlineStr">
        <is>
          <t>AI networks and data center switch market context</t>
        </is>
      </c>
      <c r="C73" s="3" t="inlineStr">
        <is>
          <t>Dell'Oro Group</t>
        </is>
      </c>
      <c r="D73" s="3" t="inlineStr">
        <is>
          <t>2026-06-09 accessed</t>
        </is>
      </c>
      <c r="E73" s="3" t="inlineStr">
        <is>
          <t>https://www.delloro.com/</t>
        </is>
      </c>
      <c r="F73" s="3" t="inlineStr">
        <is>
          <t>Tier 2</t>
        </is>
      </c>
      <c r="G73" s="3" t="inlineStr">
        <is>
          <t>Network/power overhead and AI cluster infrastructure context</t>
        </is>
      </c>
      <c r="H73" s="3" t="n">
        <v>0.58</v>
      </c>
      <c r="I73" s="3" t="inlineStr">
        <is>
          <t>network overhead/context source. model equation에는 직접 계수로 넣지 않음.</t>
        </is>
      </c>
    </row>
  </sheetData>
  <autoFilter ref="A1:I7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SRC_MS_MAIA200; SRC_EPOCH_AI_DATA_CENTERS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SRC_MS_MAIA200; SRC_EPOCH_AI_DATA_CENTERS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1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SRC_EPOCH_AI_DATA_CENTERS;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0.173278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0.826722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SRC_EPOCH_AI_DATA_CENTERS;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2587859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h200_share*h200_workload_avg + b200_share*b200_workload_avg + gb200_share*gb200_workload_avg + purpose_built_share*purpose_workload_avg</t>
        </is>
      </c>
      <c r="I1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" s="3" t="inlineStr">
        <is>
          <t>SRC_SEMIANALYSIS_INFERENCEX; ASSUMP_NUMERIC_ACCELERATOR_MIX; ASSUMP_WORKLOAD_CLASS_MIX; ASSUMP_AGENTIC_CONTEXT_PENALTY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1035144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each GPU's short chat, long chat and agentic TPS/MW are weighted before fleet mix and commercial fit are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1806787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SRC_EPOCH_AI_DATA_CENTERS;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SRC_EPOCH_AI_DATA_CENTERS;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SRC_MS_MAIA200; SRC_EPOCH_AI_DATA_CENTERS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SRC_EPOCH_AI_DATA_CENTERS;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SRC_MS_MAIA200; SRC_EPOCH_AI_DATA_CENTERS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1035144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48832297113600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SRC_EPOCH_AI_DATA_CENTERS;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1.7823788446464e+16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SRC_EPOCH_AI_DATA_CENTERS;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SRC_MS_MAIA200; SRC_EPOCH_AI_DATA_CENTERS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SRC_MS_MAIA200; SRC_EPOCH_AI_DATA_CENTERS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SRC_EPOCH_AI_DATA_CENTERS;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0.124979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0.875021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SRC_EPOCH_AI_DATA_CENTERS;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2672937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h200_share*h200_workload_avg + b200_share*b200_workload_avg + gb200_share*gb200_workload_avg + purpose_built_share*purpose_workload_avg</t>
        </is>
      </c>
      <c r="I3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" s="3" t="inlineStr">
        <is>
          <t>SRC_SEMIANALYSIS_INFERENCEX; ASSUMP_NUMERIC_ACCELERATOR_MIX; ASSUMP_WORKLOAD_CLASS_MIX; ASSUMP_AGENTIC_CONTEXT_PENALTY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1069175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each GPU's short chat, long chat and agentic TPS/MW are weighted before fleet mix and commercial fit are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1806787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SRC_EPOCH_AI_DATA_CENTERS;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SRC_EPOCH_AI_DATA_CENTERS;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SRC_MS_MAIA200; SRC_EPOCH_AI_DATA_CENTERS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SRC_EPOCH_AI_DATA_CENTERS;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SRC_MS_MAIA200; SRC_EPOCH_AI_DATA_CENTERS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1069175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87018870240000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SRC_EPOCH_AI_DATA_CENTERS;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3.17618876376e+16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SRC_EPOCH_AI_DATA_CENTERS;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SRC_MS_MAIA200; SRC_EPOCH_AI_DATA_CENTERS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SRC_MS_MAIA200; SRC_EPOCH_AI_DATA_CENTERS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1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SRC_EPOCH_AI_DATA_CENTERS;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0.052258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0.947742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SRC_EPOCH_AI_DATA_CENTERS;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2801033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h200_share*h200_workload_avg + b200_share*b200_workload_avg + gb200_share*gb200_workload_avg + purpose_built_share*purpose_workload_avg</t>
        </is>
      </c>
      <c r="I6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0" s="3" t="inlineStr">
        <is>
          <t>SRC_SEMIANALYSIS_INFERENCEX; ASSUMP_NUMERIC_ACCELERATOR_MIX; ASSUMP_WORKLOAD_CLASS_MIX; ASSUMP_AGENTIC_CONTEXT_PENALTY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1120413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each GPU's short chat, long chat and agentic TPS/MW are weighted before fleet mix and commercial fit are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1806787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SRC_EPOCH_AI_DATA_CENTERS;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SRC_EPOCH_AI_DATA_CENTERS;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SRC_MS_MAIA200; SRC_EPOCH_AI_DATA_CENTERS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SRC_EPOCH_AI_DATA_CENTERS;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SRC_MS_MAIA200; SRC_EPOCH_AI_DATA_CENTERS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1120413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133685886499200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SRC_EPOCH_AI_DATA_CENTERS;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4.8795348572208e+16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SRC_EPOCH_AI_DATA_CENTERS;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SRC_MS_MAIA200; SRC_EPOCH_AI_DATA_CENTERS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SRC_MS_MAIA200; SRC_EPOCH_AI_DATA_CENTERS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1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SRC_EPOCH_AI_DATA_CENTERS;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0.052258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0.947742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SRC_EPOCH_AI_DATA_CENTERS;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2801033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h200_share*h200_workload_avg + b200_share*b200_workload_avg + gb200_share*gb200_workload_avg + purpose_built_share*purpose_workload_avg</t>
        </is>
      </c>
      <c r="I8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83" s="3" t="inlineStr">
        <is>
          <t>SRC_SEMIANALYSIS_INFERENCEX; ASSUMP_NUMERIC_ACCELERATOR_MIX; ASSUMP_WORKLOAD_CLASS_MIX; ASSUMP_AGENTIC_CONTEXT_PENALTY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1120413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each GPU's short chat, long chat and agentic TPS/MW are weighted before fleet mix and commercial fit are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1806787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SRC_EPOCH_AI_DATA_CENTERS;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SRC_EPOCH_AI_DATA_CENTERS;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SRC_MS_MAIA200; SRC_EPOCH_AI_DATA_CENTERS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SRC_EPOCH_AI_DATA_CENTERS;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SRC_MS_MAIA200; SRC_EPOCH_AI_DATA_CENTERS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1120413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179764439702400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SRC_EPOCH_AI_DATA_CENTERS;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6.5614020491376e+16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SRC_EPOCH_AI_DATA_CENTERS;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SRC_MS_MAIA200; SRC_EPOCH_AI_DATA_CENTERS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SRC_MS_MAIA200; SRC_EPOCH_AI_DATA_CENTERS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1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SRC_EPOCH_AI_DATA_CENTERS;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0.052258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0.947742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SRC_EPOCH_AI_DATA_CENTERS;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2801033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h200_share*h200_workload_avg + b200_share*b200_workload_avg + gb200_share*gb200_workload_avg + purpose_built_share*purpose_workload_avg</t>
        </is>
      </c>
      <c r="I10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6" s="3" t="inlineStr">
        <is>
          <t>SRC_SEMIANALYSIS_INFERENCEX; ASSUMP_NUMERIC_ACCELERATOR_MIX; ASSUMP_WORKLOAD_CLASS_MIX; ASSUMP_AGENTIC_CONTEXT_PENALTY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1120413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each GPU's short chat, long chat and agentic TPS/MW are weighted before fleet mix and commercial fit are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1806787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SRC_EPOCH_AI_DATA_CENTERS;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SRC_EPOCH_AI_DATA_CENTERS;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SRC_MS_MAIA200; SRC_EPOCH_AI_DATA_CENTERS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SRC_EPOCH_AI_DATA_CENTERS;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SRC_MS_MAIA200; SRC_EPOCH_AI_DATA_CENTERS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1120413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229231121817600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SRC_EPOCH_AI_DATA_CENTERS;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8.3669359463424e+16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SRC_EPOCH_AI_DATA_CENTERS;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SRC_GOOGLE_TPU_V6E; SRC_EPOCH_AI_DATA_CENTERS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SRC_GOOGLE_TPU_V6E; SRC_EPOCH_AI_DATA_CENTERS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0.057223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SRC_EPOCH_AI_DATA_CENTERS;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0.057223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0.942777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SRC_EPOCH_AI_DATA_CENTERS;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167768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h200_share*h200_workload_avg + b200_share*b200_workload_avg + gb200_share*gb200_workload_avg + purpose_built_share*purpose_workload_avg</t>
        </is>
      </c>
      <c r="I12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9" s="3" t="inlineStr">
        <is>
          <t>SRC_SEMIANALYSIS_INFERENCEX; ASSUMP_NUMERIC_ACCELERATOR_MIX; ASSUMP_WORKLOAD_CLASS_MIX; ASSUMP_AGENTIC_CONTEXT_PENALTY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67107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each GPU's short chat, long chat and agentic TPS/MW are weighted before fleet mix and commercial fit are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54122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SRC_EPOCH_AI_DATA_CENTERS;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SRC_EPOCH_AI_DATA_CENTERS;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SRC_GOOGLE_TPU_V6E; SRC_EPOCH_AI_DATA_CENTERS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SRC_EPOCH_AI_DATA_CENTERS;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SRC_GOOGLE_TPU_V6E; SRC_EPOCH_AI_DATA_CENTERS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67107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4023843091200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SRC_EPOCH_AI_DATA_CENTERS;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1468702728288000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SRC_EPOCH_AI_DATA_CENTERS;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SRC_GOOGLE_TPU_V6E; SRC_EPOCH_AI_DATA_CENTERS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SRC_GOOGLE_TPU_V6E; SRC_EPOCH_AI_DATA_CENTERS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0.088811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SRC_EPOCH_AI_DATA_CENTERS;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0.088811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0.911189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SRC_EPOCH_AI_DATA_CENTERS;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167768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h200_share*h200_workload_avg + b200_share*b200_workload_avg + gb200_share*gb200_workload_avg + purpose_built_share*purpose_workload_avg</t>
        </is>
      </c>
      <c r="I15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2" s="3" t="inlineStr">
        <is>
          <t>SRC_SEMIANALYSIS_INFERENCEX; ASSUMP_NUMERIC_ACCELERATOR_MIX; ASSUMP_WORKLOAD_CLASS_MIX; ASSUMP_AGENTIC_CONTEXT_PENALTY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67107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each GPU's short chat, long chat and agentic TPS/MW are weighted before fleet mix and commercial fit are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54122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SRC_EPOCH_AI_DATA_CENTERS;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SRC_EPOCH_AI_DATA_CENTERS;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SRC_GOOGLE_TPU_V6E; SRC_EPOCH_AI_DATA_CENTERS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SRC_EPOCH_AI_DATA_CENTERS;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SRC_GOOGLE_TPU_V6E; SRC_EPOCH_AI_DATA_CENTERS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67107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6470617996800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SRC_EPOCH_AI_DATA_CENTERS;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2361775568832000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SRC_EPOCH_AI_DATA_CENTERS;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SRC_GOOGLE_TPU_V6E; SRC_EPOCH_AI_DATA_CENTERS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SRC_GOOGLE_TPU_V6E; SRC_EPOCH_AI_DATA_CENTERS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0.088811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SRC_EPOCH_AI_DATA_CENTERS;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0.088811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0.911189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SRC_EPOCH_AI_DATA_CENTERS;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167768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h200_share*h200_workload_avg + b200_share*b200_workload_avg + gb200_share*gb200_workload_avg + purpose_built_share*purpose_workload_avg</t>
        </is>
      </c>
      <c r="I17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5" s="3" t="inlineStr">
        <is>
          <t>SRC_SEMIANALYSIS_INFERENCEX; ASSUMP_NUMERIC_ACCELERATOR_MIX; ASSUMP_WORKLOAD_CLASS_MIX; ASSUMP_AGENTIC_CONTEXT_PENALTY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67107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each GPU's short chat, long chat and agentic TPS/MW are weighted before fleet mix and commercial fit are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54122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SRC_EPOCH_AI_DATA_CENTERS;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SRC_EPOCH_AI_DATA_CENTERS;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SRC_GOOGLE_TPU_V6E; SRC_EPOCH_AI_DATA_CENTERS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SRC_EPOCH_AI_DATA_CENTERS;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SRC_GOOGLE_TPU_V6E; SRC_EPOCH_AI_DATA_CENTERS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67107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9120324470400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SRC_EPOCH_AI_DATA_CENTERS;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3328918431696000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SRC_EPOCH_AI_DATA_CENTERS;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SRC_GOOGLE_TPU_V6E; SRC_EPOCH_AI_DATA_CENTERS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SRC_GOOGLE_TPU_V6E; SRC_EPOCH_AI_DATA_CENTERS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0.088811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SRC_EPOCH_AI_DATA_CENTERS;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0.088811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0.911189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SRC_EPOCH_AI_DATA_CENTERS;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167768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h200_share*h200_workload_avg + b200_share*b200_workload_avg + gb200_share*gb200_workload_avg + purpose_built_share*purpose_workload_avg</t>
        </is>
      </c>
      <c r="I19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98" s="3" t="inlineStr">
        <is>
          <t>SRC_SEMIANALYSIS_INFERENCEX; ASSUMP_NUMERIC_ACCELERATOR_MIX; ASSUMP_WORKLOAD_CLASS_MIX; ASSUMP_AGENTIC_CONTEXT_PENALTY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67107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each GPU's short chat, long chat and agentic TPS/MW are weighted before fleet mix and commercial fit are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54122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SRC_EPOCH_AI_DATA_CENTERS;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SRC_EPOCH_AI_DATA_CENTERS;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SRC_GOOGLE_TPU_V6E; SRC_EPOCH_AI_DATA_CENTERS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SRC_EPOCH_AI_DATA_CENTERS;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SRC_GOOGLE_TPU_V6E; SRC_EPOCH_AI_DATA_CENTERS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67107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11955568377600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SRC_EPOCH_AI_DATA_CENTERS;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4363782457824000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SRC_EPOCH_AI_DATA_CENTERS;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SRC_GOOGLE_TPU_V6E; SRC_EPOCH_AI_DATA_CENTERS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SRC_GOOGLE_TPU_V6E; SRC_EPOCH_AI_DATA_CENTERS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0.088811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SRC_EPOCH_AI_DATA_CENTERS;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0.088811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0.911189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SRC_EPOCH_AI_DATA_CENTERS;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167768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h200_share*h200_workload_avg + b200_share*b200_workload_avg + gb200_share*gb200_workload_avg + purpose_built_share*purpose_workload_avg</t>
        </is>
      </c>
      <c r="I22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1" s="3" t="inlineStr">
        <is>
          <t>SRC_SEMIANALYSIS_INFERENCEX; ASSUMP_NUMERIC_ACCELERATOR_MIX; ASSUMP_WORKLOAD_CLASS_MIX; ASSUMP_AGENTIC_CONTEXT_PENALTY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67107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each GPU's short chat, long chat and agentic TPS/MW are weighted before fleet mix and commercial fit are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54122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SRC_EPOCH_AI_DATA_CENTERS;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SRC_EPOCH_AI_DATA_CENTERS;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SRC_GOOGLE_TPU_V6E; SRC_EPOCH_AI_DATA_CENTERS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SRC_EPOCH_AI_DATA_CENTERS;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SRC_GOOGLE_TPU_V6E; SRC_EPOCH_AI_DATA_CENTERS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67107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14947359494400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SRC_EPOCH_AI_DATA_CENTERS;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5455786215456000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SRC_EPOCH_AI_DATA_CENTERS;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SRC_META_MTIA_GENAI_2026; SRC_EPOCH_AI_DATA_CENTERS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SRC_META_MTIA_GENAI_2026; SRC_EPOCH_AI_DATA_CENTERS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1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SRC_EPOCH_AI_DATA_CENTERS;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0.09603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0.9039700000000001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SRC_EPOCH_AI_DATA_CENTERS;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920581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h200_share*h200_workload_avg + b200_share*b200_workload_avg + gb200_share*gb200_workload_avg + purpose_built_share*purpose_workload_avg</t>
        </is>
      </c>
      <c r="I24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4" s="3" t="inlineStr">
        <is>
          <t>SRC_SEMIANALYSIS_INFERENCEX; ASSUMP_NUMERIC_ACCELERATOR_MIX; ASSUMP_WORKLOAD_CLASS_MIX; ASSUMP_AGENTIC_CONTEXT_PENALTY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690436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each GPU's short chat, long chat and agentic TPS/MW are weighted before fleet mix and commercial fit are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921386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SRC_EPOCH_AI_DATA_CENTERS;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SRC_EPOCH_AI_DATA_CENTERS;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SRC_META_MTIA_GENAI_2026; SRC_EPOCH_AI_DATA_CENTERS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SRC_EPOCH_AI_DATA_CENTERS;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SRC_META_MTIA_GENAI_2026; SRC_EPOCH_AI_DATA_CENTERS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690436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31139215948800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SRC_EPOCH_AI_DATA_CENTERS;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1.1365813821312e+16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SRC_EPOCH_AI_DATA_CENTERS;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SRC_META_MTIA_GENAI_2026; SRC_EPOCH_AI_DATA_CENTERS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SRC_META_MTIA_GENAI_2026; SRC_EPOCH_AI_DATA_CENTERS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SRC_EPOCH_AI_DATA_CENTERS;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0.09216000000000001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0.90784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SRC_EPOCH_AI_DATA_CENTERS;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921407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h200_share*h200_workload_avg + b200_share*b200_workload_avg + gb200_share*gb200_workload_avg + purpose_built_share*purpose_workload_avg</t>
        </is>
      </c>
      <c r="I26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67" s="3" t="inlineStr">
        <is>
          <t>SRC_SEMIANALYSIS_INFERENCEX; ASSUMP_NUMERIC_ACCELERATOR_MIX; ASSUMP_WORKLOAD_CLASS_MIX; ASSUMP_AGENTIC_CONTEXT_PENALTY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691055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each GPU's short chat, long chat and agentic TPS/MW are weighted before fleet mix and commercial fit are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921386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SRC_EPOCH_AI_DATA_CENTERS;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SRC_EPOCH_AI_DATA_CENTERS;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SRC_META_MTIA_GENAI_2026; SRC_EPOCH_AI_DATA_CENTERS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SRC_EPOCH_AI_DATA_CENTERS;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SRC_META_MTIA_GENAI_2026; SRC_EPOCH_AI_DATA_CENTERS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691055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54990286992000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SRC_EPOCH_AI_DATA_CENTERS;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2.007145475208e+16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SRC_EPOCH_AI_DATA_CENTERS;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SRC_META_MTIA_GENAI_2026; SRC_EPOCH_AI_DATA_CENTERS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SRC_META_MTIA_GENAI_2026; SRC_EPOCH_AI_DATA_CENTERS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0.812926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SRC_EPOCH_AI_DATA_CENTERS;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0.074919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0.738007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0.187074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SRC_EPOCH_AI_DATA_CENTERS;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925083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h200_share*h200_workload_avg + b200_share*b200_workload_avg + gb200_share*gb200_workload_avg + purpose_built_share*purpose_workload_avg</t>
        </is>
      </c>
      <c r="I29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90" s="3" t="inlineStr">
        <is>
          <t>SRC_SEMIANALYSIS_INFERENCEX; ASSUMP_NUMERIC_ACCELERATOR_MIX; ASSUMP_WORKLOAD_CLASS_MIX; ASSUMP_AGENTIC_CONTEXT_PENALTY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693812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each GPU's short chat, long chat and agentic TPS/MW are weighted before fleet mix and commercial fit are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921386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SRC_EPOCH_AI_DATA_CENTERS;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SRC_EPOCH_AI_DATA_CENTERS;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SRC_META_MTIA_GENAI_2026; SRC_EPOCH_AI_DATA_CENTERS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SRC_EPOCH_AI_DATA_CENTERS;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SRC_META_MTIA_GENAI_2026; SRC_EPOCH_AI_DATA_CENTERS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693812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81585630604800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SRC_EPOCH_AI_DATA_CENTERS;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2.9778755170752e+16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SRC_EPOCH_AI_DATA_CENTERS;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SRC_META_MTIA_GENAI_2026; SRC_EPOCH_AI_DATA_CENTERS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SRC_META_MTIA_GENAI_2026; SRC_EPOCH_AI_DATA_CENTERS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0.812926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SRC_EPOCH_AI_DATA_CENTERS;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0.074919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0.738007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0.187074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SRC_EPOCH_AI_DATA_CENTERS;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925083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h200_share*h200_workload_avg + b200_share*b200_workload_avg + gb200_share*gb200_workload_avg + purpose_built_share*purpose_workload_avg</t>
        </is>
      </c>
      <c r="I31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13" s="3" t="inlineStr">
        <is>
          <t>SRC_SEMIANALYSIS_INFERENCEX; ASSUMP_NUMERIC_ACCELERATOR_MIX; ASSUMP_WORKLOAD_CLASS_MIX; ASSUMP_AGENTIC_CONTEXT_PENALTY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693812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each GPU's short chat, long chat and agentic TPS/MW are weighted before fleet mix and commercial fit are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921386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SRC_EPOCH_AI_DATA_CENTERS;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SRC_EPOCH_AI_DATA_CENTERS;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SRC_META_MTIA_GENAI_2026; SRC_EPOCH_AI_DATA_CENTERS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SRC_EPOCH_AI_DATA_CENTERS;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SRC_META_MTIA_GENAI_2026; SRC_EPOCH_AI_DATA_CENTERS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693812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110119620441600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SRC_EPOCH_AI_DATA_CENTERS;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4.0193661461184e+16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SRC_EPOCH_AI_DATA_CENTERS;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SRC_META_MTIA_GENAI_2026; SRC_EPOCH_AI_DATA_CENTERS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SRC_META_MTIA_GENAI_2026; SRC_EPOCH_AI_DATA_CENTERS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0.812926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SRC_EPOCH_AI_DATA_CENTERS;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0.074919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0.738007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0.187074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SRC_EPOCH_AI_DATA_CENTERS;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925083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h200_share*h200_workload_avg + b200_share*b200_workload_avg + gb200_share*gb200_workload_avg + purpose_built_share*purpose_workload_avg</t>
        </is>
      </c>
      <c r="I33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6" s="3" t="inlineStr">
        <is>
          <t>SRC_SEMIANALYSIS_INFERENCEX; ASSUMP_NUMERIC_ACCELERATOR_MIX; ASSUMP_WORKLOAD_CLASS_MIX; ASSUMP_AGENTIC_CONTEXT_PENALTY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693812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each GPU's short chat, long chat and agentic TPS/MW are weighted before fleet mix and commercial fit are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921386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SRC_EPOCH_AI_DATA_CENTERS;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SRC_EPOCH_AI_DATA_CENTERS;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SRC_META_MTIA_GENAI_2026; SRC_EPOCH_AI_DATA_CENTERS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SRC_EPOCH_AI_DATA_CENTERS;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SRC_META_MTIA_GENAI_2026; SRC_EPOCH_AI_DATA_CENTERS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693812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140571861696000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SRC_EPOCH_AI_DATA_CENTERS;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5.130872951904e+16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SRC_EPOCH_AI_DATA_CENTERS;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SRC_XAI_NVIDIA_COLOSSUS; SRC_EPOCH_AI_DATA_CENTERS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SRC_XAI_NVIDIA_COLOSSUS; SRC_EPOCH_AI_DATA_CENTERS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54" s="3" t="inlineStr">
        <is>
          <t>SRC_XAI_MODELS; SRC_XAI_NVIDIA_COLOSSUS; SRC_EPOCH_AI_DATA_CENTERS;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0.294118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0.705882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58" s="3" t="inlineStr">
        <is>
          <t>SRC_XAI_MODELS; SRC_XAI_NVIDIA_COLOSSUS; SRC_EPOCH_AI_DATA_CENTERS;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2476756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h200_share*h200_workload_avg + b200_share*b200_workload_avg + gb200_share*gb200_workload_avg + purpose_built_share*purpose_workload_avg</t>
        </is>
      </c>
      <c r="I3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9" s="3" t="inlineStr">
        <is>
          <t>SRC_SEMIANALYSIS_INFERENCEX; ASSUMP_NUMERIC_ACCELERATOR_MIX; ASSUMP_WORKLOAD_CLASS_MIX; ASSUMP_AGENTIC_CONTEXT_PENALTY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866865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each GPU's short chat, long chat and agentic TPS/MW are weighted before fleet mix and commercial fit are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1580938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SRC_EPOCH_AI_DATA_CENTERS;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SRC_EPOCH_AI_DATA_CENTERS;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SRC_XAI_NVIDIA_COLOSSUS; SRC_EPOCH_AI_DATA_CENTERS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SRC_EPOCH_AI_DATA_CENTERS;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SRC_XAI_NVIDIA_COLOSSUS; SRC_EPOCH_AI_DATA_CENTERS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866865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SRC_EPOCH_AI_DATA_CENTERS; SRC_SEMIANALYSIS_INFERENCEX; ASSUMP_NUMERIC_ACCELERATOR_MIX; ASSUMP_WORKLOAD_CLASS_MIX; ASSUMP_AGENTIC_CONTEXT_PENALTY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6066668016000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SRC_EPOCH_AI_DATA_CENTERS;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2214333825840000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SRC_EPOCH_AI_DATA_CENTERS;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SRC_XAI_NVIDIA_COLOSSUS; SRC_EPOCH_AI_DATA_CENTERS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SRC_XAI_NVIDIA_COLOSSUS; SRC_EPOCH_AI_DATA_CENTERS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77" s="3" t="inlineStr">
        <is>
          <t>SRC_XAI_MODELS; SRC_XAI_NVIDIA_COLOSSUS; SRC_EPOCH_AI_DATA_CENTERS;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0.294118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0.705882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81" s="3" t="inlineStr">
        <is>
          <t>SRC_XAI_MODELS; SRC_XAI_NVIDIA_COLOSSUS; SRC_EPOCH_AI_DATA_CENTERS;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2476756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h200_share*h200_workload_avg + b200_share*b200_workload_avg + gb200_share*gb200_workload_avg + purpose_built_share*purpose_workload_avg</t>
        </is>
      </c>
      <c r="I3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82" s="3" t="inlineStr">
        <is>
          <t>SRC_SEMIANALYSIS_INFERENCEX; ASSUMP_NUMERIC_ACCELERATOR_MIX; ASSUMP_WORKLOAD_CLASS_MIX; ASSUMP_AGENTIC_CONTEXT_PENALTY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866865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each GPU's short chat, long chat and agentic TPS/MW are weighted before fleet mix and commercial fit are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1580938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SRC_EPOCH_AI_DATA_CENTERS;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SRC_EPOCH_AI_DATA_CENTERS;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SRC_XAI_NVIDIA_COLOSSUS; SRC_EPOCH_AI_DATA_CENTERS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SRC_EPOCH_AI_DATA_CENTERS;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SRC_XAI_NVIDIA_COLOSSUS; SRC_EPOCH_AI_DATA_CENTERS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866865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SRC_EPOCH_AI_DATA_CENTERS; SRC_SEMIANALYSIS_INFERENCEX; ASSUMP_NUMERIC_ACCELERATOR_MIX; ASSUMP_WORKLOAD_CLASS_MIX; ASSUMP_AGENTIC_CONTEXT_PENALTY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17451032688000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SRC_EPOCH_AI_DATA_CENTERS;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6369626931120000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SRC_EPOCH_AI_DATA_CENTERS;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SRC_XAI_NVIDIA_COLOSSUS; SRC_EPOCH_AI_DATA_CENTERS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SRC_XAI_NVIDIA_COLOSSUS; SRC_EPOCH_AI_DATA_CENTERS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400" s="3" t="inlineStr">
        <is>
          <t>SRC_XAI_MODELS; SRC_XAI_NVIDIA_COLOSSUS; SRC_EPOCH_AI_DATA_CENTERS;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0.294118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0.705882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404" s="3" t="inlineStr">
        <is>
          <t>SRC_XAI_MODELS; SRC_XAI_NVIDIA_COLOSSUS; SRC_EPOCH_AI_DATA_CENTERS;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2476756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h200_share*h200_workload_avg + b200_share*b200_workload_avg + gb200_share*gb200_workload_avg + purpose_built_share*purpose_workload_avg</t>
        </is>
      </c>
      <c r="I4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5" s="3" t="inlineStr">
        <is>
          <t>SRC_SEMIANALYSIS_INFERENCEX; ASSUMP_NUMERIC_ACCELERATOR_MIX; ASSUMP_WORKLOAD_CLASS_MIX; ASSUMP_AGENTIC_CONTEXT_PENALTY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866865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each GPU's short chat, long chat and agentic TPS/MW are weighted before fleet mix and commercial fit are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1580938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SRC_EPOCH_AI_DATA_CENTERS;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SRC_EPOCH_AI_DATA_CENTERS;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SRC_XAI_NVIDIA_COLOSSUS; SRC_EPOCH_AI_DATA_CENTERS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SRC_EPOCH_AI_DATA_CENTERS;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SRC_XAI_NVIDIA_COLOSSUS; SRC_EPOCH_AI_DATA_CENTERS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866865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SRC_EPOCH_AI_DATA_CENTERS; SRC_SEMIANALYSIS_INFERENCEX; ASSUMP_NUMERIC_ACCELERATOR_MIX; ASSUMP_WORKLOAD_CLASS_MIX; ASSUMP_AGENTIC_CONTEXT_PENALTY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31007414304000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SRC_EPOCH_AI_DATA_CENTERS;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1.131770622096e+16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SRC_EPOCH_AI_DATA_CENTERS;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SRC_XAI_NVIDIA_COLOSSUS; SRC_EPOCH_AI_DATA_CENTERS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SRC_XAI_NVIDIA_COLOSSUS; SRC_EPOCH_AI_DATA_CENTERS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423" s="3" t="inlineStr">
        <is>
          <t>SRC_XAI_MODELS; SRC_XAI_NVIDIA_COLOSSUS; SRC_EPOCH_AI_DATA_CENTERS;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0.294118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0.705882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427" s="3" t="inlineStr">
        <is>
          <t>SRC_XAI_MODELS; SRC_XAI_NVIDIA_COLOSSUS; SRC_EPOCH_AI_DATA_CENTERS;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2476756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h200_share*h200_workload_avg + b200_share*b200_workload_avg + gb200_share*gb200_workload_avg + purpose_built_share*purpose_workload_avg</t>
        </is>
      </c>
      <c r="I4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28" s="3" t="inlineStr">
        <is>
          <t>SRC_SEMIANALYSIS_INFERENCEX; ASSUMP_NUMERIC_ACCELERATOR_MIX; ASSUMP_WORKLOAD_CLASS_MIX; ASSUMP_AGENTIC_CONTEXT_PENALTY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866865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each GPU's short chat, long chat and agentic TPS/MW are weighted before fleet mix and commercial fit are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1580938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SRC_EPOCH_AI_DATA_CENTERS;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SRC_EPOCH_AI_DATA_CENTERS;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SRC_XAI_NVIDIA_COLOSSUS; SRC_EPOCH_AI_DATA_CENTERS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SRC_EPOCH_AI_DATA_CENTERS;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SRC_XAI_NVIDIA_COLOSSUS; SRC_EPOCH_AI_DATA_CENTERS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866865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SRC_EPOCH_AI_DATA_CENTERS; SRC_SEMIANALYSIS_INFERENCEX; ASSUMP_NUMERIC_ACCELERATOR_MIX; ASSUMP_WORKLOAD_CLASS_MIX; ASSUMP_AGENTIC_CONTEXT_PENALTY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46660915728000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SRC_EPOCH_AI_DATA_CENTERS;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1.703123424072e+16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SRC_EPOCH_AI_DATA_CENTERS;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SRC_XAI_NVIDIA_COLOSSUS; SRC_EPOCH_AI_DATA_CENTERS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SRC_XAI_NVIDIA_COLOSSUS; SRC_EPOCH_AI_DATA_CENTERS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446" s="3" t="inlineStr">
        <is>
          <t>SRC_XAI_MODELS; SRC_XAI_NVIDIA_COLOSSUS; SRC_EPOCH_AI_DATA_CENTERS;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0.294118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0.705882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450" s="3" t="inlineStr">
        <is>
          <t>SRC_XAI_MODELS; SRC_XAI_NVIDIA_COLOSSUS; SRC_EPOCH_AI_DATA_CENTERS;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2476756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h200_share*h200_workload_avg + b200_share*b200_workload_avg + gb200_share*gb200_workload_avg + purpose_built_share*purpose_workload_avg</t>
        </is>
      </c>
      <c r="I4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51" s="3" t="inlineStr">
        <is>
          <t>SRC_SEMIANALYSIS_INFERENCEX; ASSUMP_NUMERIC_ACCELERATOR_MIX; ASSUMP_WORKLOAD_CLASS_MIX; ASSUMP_AGENTIC_CONTEXT_PENALTY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866865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each GPU's short chat, long chat and agentic TPS/MW are weighted before fleet mix and commercial fit are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1580938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SRC_EPOCH_AI_DATA_CENTERS;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SRC_EPOCH_AI_DATA_CENTERS;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SRC_XAI_NVIDIA_COLOSSUS; SRC_EPOCH_AI_DATA_CENTERS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SRC_EPOCH_AI_DATA_CENTERS;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SRC_XAI_NVIDIA_COLOSSUS; SRC_EPOCH_AI_DATA_CENTERS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866865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SRC_EPOCH_AI_DATA_CENTERS; SRC_SEMIANALYSIS_INFERENCEX; ASSUMP_NUMERIC_ACCELERATOR_MIX; ASSUMP_WORKLOAD_CLASS_MIX; ASSUMP_AGENTIC_CONTEXT_PENALTY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64186845552000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SRC_EPOCH_AI_DATA_CENTERS;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2.342819862648e+16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SRC_EPOCH_AI_DATA_CENTERS;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SRC_OPENAI_STARGATE_PROGRESS; SRC_EPOCH_AI_DATA_CENTERS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SRC_OPENAI_STARGATE_PROGRESS; SRC_EPOCH_AI_DATA_CENTERS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SRC_EPOCH_AI_DATA_CENTERS;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0.09216000000000001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0.90784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SRC_EPOCH_AI_DATA_CENTERS;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222741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h200_share*h200_workload_avg + b200_share*b200_workload_avg + gb200_share*gb200_workload_avg + purpose_built_share*purpose_workload_avg</t>
        </is>
      </c>
      <c r="I47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74" s="3" t="inlineStr">
        <is>
          <t>SRC_SEMIANALYSIS_INFERENCEX; ASSUMP_NUMERIC_ACCELERATOR_MIX; ASSUMP_WORKLOAD_CLASS_MIX; ASSUMP_AGENTIC_CONTEXT_PENALTY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66822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each GPU's short chat, long chat and agentic TPS/MW are weighted before fleet mix and commercial fit are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40592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SRC_EPOCH_AI_DATA_CENTERS;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SRC_EPOCH_AI_DATA_CENTERS;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SRC_OPENAI_STARGATE_PROGRESS; SRC_EPOCH_AI_DATA_CENTERS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SRC_EPOCH_AI_DATA_CENTERS;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SRC_OPENAI_STARGATE_PROGRESS; SRC_EPOCH_AI_DATA_CENTERS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66822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2667320409600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SRC_EPOCH_AI_DATA_CENTERS;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973571949504000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SRC_EPOCH_AI_DATA_CENTERS;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SRC_OPENAI_STARGATE_PROGRESS; SRC_EPOCH_AI_DATA_CENTERS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SRC_OPENAI_STARGATE_PROGRESS; SRC_EPOCH_AI_DATA_CENTERS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0.978068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SRC_EPOCH_AI_DATA_CENTERS;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0.06987599999999999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0.908191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0.021932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SRC_EPOCH_AI_DATA_CENTERS;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202019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h200_share*h200_workload_avg + b200_share*b200_workload_avg + gb200_share*gb200_workload_avg + purpose_built_share*purpose_workload_avg</t>
        </is>
      </c>
      <c r="I49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97" s="3" t="inlineStr">
        <is>
          <t>SRC_SEMIANALYSIS_INFERENCEX; ASSUMP_NUMERIC_ACCELERATOR_MIX; ASSUMP_WORKLOAD_CLASS_MIX; ASSUMP_AGENTIC_CONTEXT_PENALTY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60606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each GPU's short chat, long chat and agentic TPS/MW are weighted before fleet mix and commercial fit are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40592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SRC_EPOCH_AI_DATA_CENTERS;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SRC_EPOCH_AI_DATA_CENTERS;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SRC_OPENAI_STARGATE_PROGRESS; SRC_EPOCH_AI_DATA_CENTERS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SRC_EPOCH_AI_DATA_CENTERS;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SRC_OPENAI_STARGATE_PROGRESS; SRC_EPOCH_AI_DATA_CENTERS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60606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5849012332800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SRC_EPOCH_AI_DATA_CENTERS;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2134889501472000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SRC_EPOCH_AI_DATA_CENTERS;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SRC_OPENAI_STARGATE_PROGRESS; SRC_EPOCH_AI_DATA_CENTERS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SRC_OPENAI_STARGATE_PROGRESS; SRC_EPOCH_AI_DATA_CENTERS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0.864358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SRC_EPOCH_AI_DATA_CENTERS;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0.055734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0.784048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0.024576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0.135642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SRC_EPOCH_AI_DATA_CENTERS;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189596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h200_share*h200_workload_avg + b200_share*b200_workload_avg + gb200_share*gb200_workload_avg + purpose_built_share*purpose_workload_avg</t>
        </is>
      </c>
      <c r="I52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20" s="3" t="inlineStr">
        <is>
          <t>SRC_SEMIANALYSIS_INFERENCEX; ASSUMP_NUMERIC_ACCELERATOR_MIX; ASSUMP_WORKLOAD_CLASS_MIX; ASSUMP_AGENTIC_CONTEXT_PENALTY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56879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each GPU's short chat, long chat and agentic TPS/MW are weighted before fleet mix and commercial fit are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40592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SRC_EPOCH_AI_DATA_CENTERS;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SRC_EPOCH_AI_DATA_CENTERS;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SRC_OPENAI_STARGATE_PROGRESS; SRC_EPOCH_AI_DATA_CENTERS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SRC_EPOCH_AI_DATA_CENTERS;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SRC_OPENAI_STARGATE_PROGRESS; SRC_EPOCH_AI_DATA_CENTERS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56879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9052224595200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SRC_EPOCH_AI_DATA_CENTERS;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3304061977248000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SRC_EPOCH_AI_DATA_CENTERS;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SRC_OPENAI_STARGATE_PROGRESS; SRC_EPOCH_AI_DATA_CENTERS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SRC_OPENAI_STARGATE_PROGRESS; SRC_EPOCH_AI_DATA_CENTERS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0.869305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SRC_EPOCH_AI_DATA_CENTERS;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0.045663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0.790096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0.033546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0.130695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SRC_EPOCH_AI_DATA_CENTERS;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180497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h200_share*h200_workload_avg + b200_share*b200_workload_avg + gb200_share*gb200_workload_avg + purpose_built_share*purpose_workload_avg</t>
        </is>
      </c>
      <c r="I54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43" s="3" t="inlineStr">
        <is>
          <t>SRC_SEMIANALYSIS_INFERENCEX; ASSUMP_NUMERIC_ACCELERATOR_MIX; ASSUMP_WORKLOAD_CLASS_MIX; ASSUMP_AGENTIC_CONTEXT_PENALTY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54149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each GPU's short chat, long chat and agentic TPS/MW are weighted before fleet mix and commercial fit are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40592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SRC_EPOCH_AI_DATA_CENTERS;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SRC_EPOCH_AI_DATA_CENTERS;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SRC_OPENAI_STARGATE_PROGRESS; SRC_EPOCH_AI_DATA_CENTERS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SRC_EPOCH_AI_DATA_CENTERS;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SRC_OPENAI_STARGATE_PROGRESS; SRC_EPOCH_AI_DATA_CENTERS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54149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12309064041600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SRC_EPOCH_AI_DATA_CENTERS;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4492808375184000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SRC_EPOCH_AI_DATA_CENTERS;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SRC_OPENAI_STARGATE_PROGRESS; SRC_EPOCH_AI_DATA_CENTERS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SRC_OPENAI_STARGATE_PROGRESS; SRC_EPOCH_AI_DATA_CENTERS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0.869305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SRC_EPOCH_AI_DATA_CENTERS;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0.036744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0.789149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0.043412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0.130695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SRC_EPOCH_AI_DATA_CENTERS;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172495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h200_share*h200_workload_avg + b200_share*b200_workload_avg + gb200_share*gb200_workload_avg + purpose_built_share*purpose_workload_avg</t>
        </is>
      </c>
      <c r="I56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66" s="3" t="inlineStr">
        <is>
          <t>SRC_SEMIANALYSIS_INFERENCEX; ASSUMP_NUMERIC_ACCELERATOR_MIX; ASSUMP_WORKLOAD_CLASS_MIX; ASSUMP_AGENTIC_CONTEXT_PENALTY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51748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each GPU's short chat, long chat and agentic TPS/MW are weighted before fleet mix and commercial fit are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40592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SRC_EPOCH_AI_DATA_CENTERS;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SRC_EPOCH_AI_DATA_CENTERS;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SRC_OPENAI_STARGATE_PROGRESS; SRC_EPOCH_AI_DATA_CENTERS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SRC_EPOCH_AI_DATA_CENTERS;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SRC_OPENAI_STARGATE_PROGRESS; SRC_EPOCH_AI_DATA_CENTERS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51748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15541290547200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SRC_EPOCH_AI_DATA_CENTERS;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5672571049728000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SRC_EPOCH_AI_DATA_CENTERS;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SRC_AWS_RAINIER_ACTIVE; SRC_EPOCH_AI_DATA_CENTERS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SRC_AWS_RAINIER_ACTIVE; SRC_EPOCH_AI_DATA_CENTERS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0.342088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SRC_EPOCH_AI_DATA_CENTERS;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0.114987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0.227101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0.6579120000000001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SRC_EPOCH_AI_DATA_CENTERS;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225504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h200_share*h200_workload_avg + b200_share*b200_workload_avg + gb200_share*gb200_workload_avg + purpose_built_share*purpose_workload_avg</t>
        </is>
      </c>
      <c r="I58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89" s="3" t="inlineStr">
        <is>
          <t>SRC_SEMIANALYSIS_INFERENCEX; ASSUMP_NUMERIC_ACCELERATOR_MIX; ASSUMP_WORKLOAD_CLASS_MIX; ASSUMP_AGENTIC_CONTEXT_PENALTY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67651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each GPU's short chat, long chat and agentic TPS/MW are weighted before fleet mix and commercial fit are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40592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SRC_EPOCH_AI_DATA_CENTERS;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SRC_EPOCH_AI_DATA_CENTERS;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SRC_AWS_RAINIER_ACTIVE; SRC_EPOCH_AI_DATA_CENTERS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SRC_EPOCH_AI_DATA_CENTERS;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SRC_AWS_RAINIER_ACTIVE; SRC_EPOCH_AI_DATA_CENTERS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67651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1689218409600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SRC_EPOCH_AI_DATA_CENTERS;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616564719504000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SRC_EPOCH_AI_DATA_CENTERS;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SRC_AWS_RAINIER_ACTIVE; SRC_EPOCH_AI_DATA_CENTERS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SRC_AWS_RAINIER_ACTIVE; SRC_EPOCH_AI_DATA_CENTERS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0.336499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SRC_EPOCH_AI_DATA_CENTERS;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0.120505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0.215994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0.663501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SRC_EPOCH_AI_DATA_CENTERS;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229936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h200_share*h200_workload_avg + b200_share*b200_workload_avg + gb200_share*gb200_workload_avg + purpose_built_share*purpose_workload_avg</t>
        </is>
      </c>
      <c r="I61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12" s="3" t="inlineStr">
        <is>
          <t>SRC_SEMIANALYSIS_INFERENCEX; ASSUMP_NUMERIC_ACCELERATOR_MIX; ASSUMP_WORKLOAD_CLASS_MIX; ASSUMP_AGENTIC_CONTEXT_PENALTY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68981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each GPU's short chat, long chat and agentic TPS/MW are weighted before fleet mix and commercial fit are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40592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SRC_EPOCH_AI_DATA_CENTERS;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SRC_EPOCH_AI_DATA_CENTERS;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SRC_AWS_RAINIER_ACTIVE; SRC_EPOCH_AI_DATA_CENTERS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SRC_EPOCH_AI_DATA_CENTERS;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SRC_AWS_RAINIER_ACTIVE; SRC_EPOCH_AI_DATA_CENTERS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68981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3981252211200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SRC_EPOCH_AI_DATA_CENTERS;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1453157057088000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SRC_EPOCH_AI_DATA_CENTERS;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SRC_AWS_RAINIER_ACTIVE; SRC_EPOCH_AI_DATA_CENTERS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SRC_AWS_RAINIER_ACTIVE; SRC_EPOCH_AI_DATA_CENTERS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0.19944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SRC_EPOCH_AI_DATA_CENTERS;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0.07884099999999999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0.120599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0.80056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SRC_EPOCH_AI_DATA_CENTERS;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196472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h200_share*h200_workload_avg + b200_share*b200_workload_avg + gb200_share*gb200_workload_avg + purpose_built_share*purpose_workload_avg</t>
        </is>
      </c>
      <c r="I63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35" s="3" t="inlineStr">
        <is>
          <t>SRC_SEMIANALYSIS_INFERENCEX; ASSUMP_NUMERIC_ACCELERATOR_MIX; ASSUMP_WORKLOAD_CLASS_MIX; ASSUMP_AGENTIC_CONTEXT_PENALTY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58942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each GPU's short chat, long chat and agentic TPS/MW are weighted before fleet mix and commercial fit are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40592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SRC_EPOCH_AI_DATA_CENTERS;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SRC_EPOCH_AI_DATA_CENTERS;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SRC_AWS_RAINIER_ACTIVE; SRC_EPOCH_AI_DATA_CENTERS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SRC_EPOCH_AI_DATA_CENTERS;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SRC_AWS_RAINIER_ACTIVE; SRC_EPOCH_AI_DATA_CENTERS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58942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5601847680000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SRC_EPOCH_AI_DATA_CENTERS;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2044674403200000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SRC_EPOCH_AI_DATA_CENTERS;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SRC_AWS_RAINIER_ACTIVE; SRC_EPOCH_AI_DATA_CENTERS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SRC_AWS_RAINIER_ACTIVE; SRC_EPOCH_AI_DATA_CENTERS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0.19944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SRC_EPOCH_AI_DATA_CENTERS;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0.07884099999999999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0.120599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0.80056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SRC_EPOCH_AI_DATA_CENTERS;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196472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h200_share*h200_workload_avg + b200_share*b200_workload_avg + gb200_share*gb200_workload_avg + purpose_built_share*purpose_workload_avg</t>
        </is>
      </c>
      <c r="I65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58" s="3" t="inlineStr">
        <is>
          <t>SRC_SEMIANALYSIS_INFERENCEX; ASSUMP_NUMERIC_ACCELERATOR_MIX; ASSUMP_WORKLOAD_CLASS_MIX; ASSUMP_AGENTIC_CONTEXT_PENALTY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58942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each GPU's short chat, long chat and agentic TPS/MW are weighted before fleet mix and commercial fit are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40592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SRC_EPOCH_AI_DATA_CENTERS;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SRC_EPOCH_AI_DATA_CENTERS;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SRC_AWS_RAINIER_ACTIVE; SRC_EPOCH_AI_DATA_CENTERS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SRC_EPOCH_AI_DATA_CENTERS;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SRC_AWS_RAINIER_ACTIVE; SRC_EPOCH_AI_DATA_CENTERS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58942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8046290304000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SRC_EPOCH_AI_DATA_CENTERS;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2936895960960000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SRC_EPOCH_AI_DATA_CENTERS;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SRC_AWS_RAINIER_ACTIVE; SRC_EPOCH_AI_DATA_CENTERS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SRC_AWS_RAINIER_ACTIVE; SRC_EPOCH_AI_DATA_CENTERS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0.19944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SRC_EPOCH_AI_DATA_CENTERS;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0.07884099999999999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0.120599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0.80056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SRC_EPOCH_AI_DATA_CENTERS;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196472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h200_share*h200_workload_avg + b200_share*b200_workload_avg + gb200_share*gb200_workload_avg + purpose_built_share*purpose_workload_avg</t>
        </is>
      </c>
      <c r="I68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81" s="3" t="inlineStr">
        <is>
          <t>SRC_SEMIANALYSIS_INFERENCEX; ASSUMP_NUMERIC_ACCELERATOR_MIX; ASSUMP_WORKLOAD_CLASS_MIX; ASSUMP_AGENTIC_CONTEXT_PENALTY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58942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each GPU's short chat, long chat and agentic TPS/MW are weighted before fleet mix and commercial fit are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40592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SRC_EPOCH_AI_DATA_CENTERS;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SRC_EPOCH_AI_DATA_CENTERS;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SRC_AWS_RAINIER_ACTIVE; SRC_EPOCH_AI_DATA_CENTERS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SRC_EPOCH_AI_DATA_CENTERS;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SRC_AWS_RAINIER_ACTIVE; SRC_EPOCH_AI_DATA_CENTERS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58942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10714806835200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SRC_EPOCH_AI_DATA_CENTERS;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3910904494848000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SRC_EPOCH_AI_DATA_CENTERS;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SRC_DEEPSEEK_H800_INFERENCE; SRC_EPOCH_AI_DATA_CENTERS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SRC_DEEPSEEK_H800_INFERENCE; SRC_EPOCH_AI_DATA_CENTERS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SRC_EPOCH_AI_DATA_CENTERS;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SRC_EPOCH_AI_DATA_CENTERS;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140577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h200_share*h200_workload_avg + b200_share*b200_workload_avg + gb200_share*gb200_workload_avg + purpose_built_share*purpose_workload_avg</t>
        </is>
      </c>
      <c r="I70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04" s="3" t="inlineStr">
        <is>
          <t>SRC_SEMIANALYSIS_INFERENCEX; ASSUMP_NUMERIC_ACCELERATOR_MIX; ASSUMP_WORKLOAD_CLASS_MIX; ASSUMP_AGENTIC_CONTEXT_PENALTY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91375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each GPU's short chat, long chat and agentic TPS/MW are weighted before fleet mix and commercial fit are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255822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SRC_EPOCH_AI_DATA_CENTERS;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SRC_EPOCH_AI_DATA_CENTERS;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SRC_DEEPSEEK_H800_INFERENCE; SRC_EPOCH_AI_DATA_CENTERS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SRC_EPOCH_AI_DATA_CENTERS;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SRC_DEEPSEEK_H800_INFERENCE; SRC_EPOCH_AI_DATA_CENTERS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91375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378950400000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SRC_EPOCH_AI_DATA_CENTERS;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138316896000000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SRC_EPOCH_AI_DATA_CENTERS;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SRC_DEEPSEEK_H800_INFERENCE; SRC_EPOCH_AI_DATA_CENTERS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SRC_DEEPSEEK_H800_INFERENCE; SRC_EPOCH_AI_DATA_CENTERS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SRC_EPOCH_AI_DATA_CENTERS;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SRC_EPOCH_AI_DATA_CENTERS;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151424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h200_share*h200_workload_avg + b200_share*b200_workload_avg + gb200_share*gb200_workload_avg + purpose_built_share*purpose_workload_avg</t>
        </is>
      </c>
      <c r="I72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27" s="3" t="inlineStr">
        <is>
          <t>SRC_SEMIANALYSIS_INFERENCEX; ASSUMP_NUMERIC_ACCELERATOR_MIX; ASSUMP_WORKLOAD_CLASS_MIX; ASSUMP_AGENTIC_CONTEXT_PENALTY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98426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each GPU's short chat, long chat and agentic TPS/MW are weighted before fleet mix and commercial fit are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255822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SRC_EPOCH_AI_DATA_CENTERS;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SRC_EPOCH_AI_DATA_CENTERS;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SRC_DEEPSEEK_H800_INFERENCE; SRC_EPOCH_AI_DATA_CENTERS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SRC_EPOCH_AI_DATA_CENTERS;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SRC_DEEPSEEK_H800_INFERENCE; SRC_EPOCH_AI_DATA_CENTERS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98426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1190560896000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SRC_EPOCH_AI_DATA_CENTERS;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434554727040000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SRC_EPOCH_AI_DATA_CENTERS;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SRC_DEEPSEEK_H800_INFERENCE; SRC_EPOCH_AI_DATA_CENTERS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SRC_DEEPSEEK_H800_INFERENCE; SRC_EPOCH_AI_DATA_CENTERS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SRC_EPOCH_AI_DATA_CENTERS;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SRC_EPOCH_AI_DATA_CENTERS;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162367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h200_share*h200_workload_avg + b200_share*b200_workload_avg + gb200_share*gb200_workload_avg + purpose_built_share*purpose_workload_avg</t>
        </is>
      </c>
      <c r="I75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50" s="3" t="inlineStr">
        <is>
          <t>SRC_SEMIANALYSIS_INFERENCEX; ASSUMP_NUMERIC_ACCELERATOR_MIX; ASSUMP_WORKLOAD_CLASS_MIX; ASSUMP_AGENTIC_CONTEXT_PENALTY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105539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each GPU's short chat, long chat and agentic TPS/MW are weighted before fleet mix and commercial fit are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255822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SRC_EPOCH_AI_DATA_CENTERS;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SRC_EPOCH_AI_DATA_CENTERS;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SRC_DEEPSEEK_H800_INFERENCE; SRC_EPOCH_AI_DATA_CENTERS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SRC_EPOCH_AI_DATA_CENTERS;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SRC_DEEPSEEK_H800_INFERENCE; SRC_EPOCH_AI_DATA_CENTERS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105539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2206693843200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SRC_EPOCH_AI_DATA_CENTERS;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805443252768000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SRC_EPOCH_AI_DATA_CENTERS;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SRC_DEEPSEEK_H800_INFERENCE; SRC_EPOCH_AI_DATA_CENTERS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SRC_DEEPSEEK_H800_INFERENCE; SRC_EPOCH_AI_DATA_CENTERS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SRC_EPOCH_AI_DATA_CENTERS;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SRC_EPOCH_AI_DATA_CENTERS;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173214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h200_share*h200_workload_avg + b200_share*b200_workload_avg + gb200_share*gb200_workload_avg + purpose_built_share*purpose_workload_avg</t>
        </is>
      </c>
      <c r="I77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73" s="3" t="inlineStr">
        <is>
          <t>SRC_SEMIANALYSIS_INFERENCEX; ASSUMP_NUMERIC_ACCELERATOR_MIX; ASSUMP_WORKLOAD_CLASS_MIX; ASSUMP_AGENTIC_CONTEXT_PENALTY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112589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each GPU's short chat, long chat and agentic TPS/MW are weighted before fleet mix and commercial fit are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255822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SRC_EPOCH_AI_DATA_CENTERS;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SRC_EPOCH_AI_DATA_CENTERS;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SRC_DEEPSEEK_H800_INFERENCE; SRC_EPOCH_AI_DATA_CENTERS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SRC_EPOCH_AI_DATA_CENTERS;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SRC_DEEPSEEK_H800_INFERENCE; SRC_EPOCH_AI_DATA_CENTERS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112589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3424146739200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SRC_EPOCH_AI_DATA_CENTERS;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1249813559808000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SRC_EPOCH_AI_DATA_CENTERS;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SRC_DEEPSEEK_H800_INFERENCE; SRC_EPOCH_AI_DATA_CENTERS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SRC_DEEPSEEK_H800_INFERENCE; SRC_EPOCH_AI_DATA_CENTERS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SRC_EPOCH_AI_DATA_CENTERS;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SRC_EPOCH_AI_DATA_CENTERS;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184158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h200_share*h200_workload_avg + b200_share*b200_workload_avg + gb200_share*gb200_workload_avg + purpose_built_share*purpose_workload_avg</t>
        </is>
      </c>
      <c r="I79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96" s="3" t="inlineStr">
        <is>
          <t>SRC_SEMIANALYSIS_INFERENCEX; ASSUMP_NUMERIC_ACCELERATOR_MIX; ASSUMP_WORKLOAD_CLASS_MIX; ASSUMP_AGENTIC_CONTEXT_PENALTY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119703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each GPU's short chat, long chat and agentic TPS/MW are weighted before fleet mix and commercial fit are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255822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SRC_EPOCH_AI_DATA_CENTERS;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SRC_EPOCH_AI_DATA_CENTERS;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SRC_DEEPSEEK_H800_INFERENCE; SRC_EPOCH_AI_DATA_CENTERS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SRC_EPOCH_AI_DATA_CENTERS;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SRC_DEEPSEEK_H800_INFERENCE; SRC_EPOCH_AI_DATA_CENTERS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119703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4850557084800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SRC_EPOCH_AI_DATA_CENTERS;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1770453335952000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SRC_EPOCH_AI_DATA_CENTERS;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SRC_ALIBABA_QWEN_GPU_DEPLOY; SRC_EPOCH_AI_DATA_CENTERS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SRC_ALIBABA_QWEN_GPU_DEPLOY; SRC_EPOCH_AI_DATA_CENTERS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SRC_EPOCH_AI_DATA_CENTERS;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1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SRC_EPOCH_AI_DATA_CENTERS;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166591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h200_share*h200_workload_avg + b200_share*b200_workload_avg + gb200_share*gb200_workload_avg + purpose_built_share*purpose_workload_avg</t>
        </is>
      </c>
      <c r="I81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19" s="3" t="inlineStr">
        <is>
          <t>SRC_SEMIANALYSIS_INFERENCEX; ASSUMP_NUMERIC_ACCELERATOR_MIX; ASSUMP_WORKLOAD_CLASS_MIX; ASSUMP_AGENTIC_CONTEXT_PENALTY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116614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each GPU's short chat, long chat and agentic TPS/MW are weighted before fleet mix and commercial fit are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774713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SRC_EPOCH_AI_DATA_CENTERS;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SRC_EPOCH_AI_DATA_CENTERS;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SRC_ALIBABA_QWEN_GPU_DEPLOY; SRC_EPOCH_AI_DATA_CENTERS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SRC_EPOCH_AI_DATA_CENTERS;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SRC_ALIBABA_QWEN_GPU_DEPLOY; SRC_EPOCH_AI_DATA_CENTERS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116614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2095693516800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SRC_EPOCH_AI_DATA_CENTERS;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764928133632000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SRC_EPOCH_AI_DATA_CENTERS;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SRC_ALIBABA_QWEN_GPU_DEPLOY; SRC_EPOCH_AI_DATA_CENTERS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SRC_ALIBABA_QWEN_GPU_DEPLOY; SRC_EPOCH_AI_DATA_CENTERS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SRC_EPOCH_AI_DATA_CENTERS;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1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SRC_EPOCH_AI_DATA_CENTERS;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166591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h200_share*h200_workload_avg + b200_share*b200_workload_avg + gb200_share*gb200_workload_avg + purpose_built_share*purpose_workload_avg</t>
        </is>
      </c>
      <c r="I84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42" s="3" t="inlineStr">
        <is>
          <t>SRC_SEMIANALYSIS_INFERENCEX; ASSUMP_NUMERIC_ACCELERATOR_MIX; ASSUMP_WORKLOAD_CLASS_MIX; ASSUMP_AGENTIC_CONTEXT_PENALTY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116614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each GPU's short chat, long chat and agentic TPS/MW are weighted before fleet mix and commercial fit are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774713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SRC_EPOCH_AI_DATA_CENTERS;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SRC_EPOCH_AI_DATA_CENTERS;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SRC_ALIBABA_QWEN_GPU_DEPLOY; SRC_EPOCH_AI_DATA_CENTERS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SRC_EPOCH_AI_DATA_CENTERS;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SRC_ALIBABA_QWEN_GPU_DEPLOY; SRC_EPOCH_AI_DATA_CENTERS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116614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4402971475200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SRC_EPOCH_AI_DATA_CENTERS;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1607084588448000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SRC_EPOCH_AI_DATA_CENTERS;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SRC_ALIBABA_QWEN_GPU_DEPLOY; SRC_EPOCH_AI_DATA_CENTERS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SRC_ALIBABA_QWEN_GPU_DEPLOY; SRC_EPOCH_AI_DATA_CENTERS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SRC_EPOCH_AI_DATA_CENTERS;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1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SRC_EPOCH_AI_DATA_CENTERS;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166591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h200_share*h200_workload_avg + b200_share*b200_workload_avg + gb200_share*gb200_workload_avg + purpose_built_share*purpose_workload_avg</t>
        </is>
      </c>
      <c r="I86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65" s="3" t="inlineStr">
        <is>
          <t>SRC_SEMIANALYSIS_INFERENCEX; ASSUMP_NUMERIC_ACCELERATOR_MIX; ASSUMP_WORKLOAD_CLASS_MIX; ASSUMP_AGENTIC_CONTEXT_PENALTY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116614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each GPU's short chat, long chat and agentic TPS/MW are weighted before fleet mix and commercial fit are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774713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SRC_EPOCH_AI_DATA_CENTERS;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SRC_EPOCH_AI_DATA_CENTERS;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SRC_ALIBABA_QWEN_GPU_DEPLOY; SRC_EPOCH_AI_DATA_CENTERS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SRC_EPOCH_AI_DATA_CENTERS;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SRC_ALIBABA_QWEN_GPU_DEPLOY; SRC_EPOCH_AI_DATA_CENTERS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116614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6952060224000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SRC_EPOCH_AI_DATA_CENTERS;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2537501981760000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SRC_EPOCH_AI_DATA_CENTERS;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SRC_ALIBABA_QWEN_GPU_DEPLOY; SRC_EPOCH_AI_DATA_CENTERS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SRC_ALIBABA_QWEN_GPU_DEPLOY; SRC_EPOCH_AI_DATA_CENTERS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SRC_EPOCH_AI_DATA_CENTERS;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1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SRC_EPOCH_AI_DATA_CENTERS;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166591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h200_share*h200_workload_avg + b200_share*b200_workload_avg + gb200_share*gb200_workload_avg + purpose_built_share*purpose_workload_avg</t>
        </is>
      </c>
      <c r="I88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88" s="3" t="inlineStr">
        <is>
          <t>SRC_SEMIANALYSIS_INFERENCEX; ASSUMP_NUMERIC_ACCELERATOR_MIX; ASSUMP_WORKLOAD_CLASS_MIX; ASSUMP_AGENTIC_CONTEXT_PENALTY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116614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each GPU's short chat, long chat and agentic TPS/MW are weighted before fleet mix and commercial fit are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774713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SRC_EPOCH_AI_DATA_CENTERS;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SRC_EPOCH_AI_DATA_CENTERS;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SRC_ALIBABA_QWEN_GPU_DEPLOY; SRC_EPOCH_AI_DATA_CENTERS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SRC_EPOCH_AI_DATA_CENTERS;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SRC_ALIBABA_QWEN_GPU_DEPLOY; SRC_EPOCH_AI_DATA_CENTERS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116614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9702657964800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SRC_EPOCH_AI_DATA_CENTERS;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3541470157152000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SRC_EPOCH_AI_DATA_CENTERS;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SRC_ALIBABA_QWEN_GPU_DEPLOY; SRC_EPOCH_AI_DATA_CENTERS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SRC_ALIBABA_QWEN_GPU_DEPLOY; SRC_EPOCH_AI_DATA_CENTERS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SRC_EPOCH_AI_DATA_CENTERS;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SRC_EPOCH_AI_DATA_CENTERS;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166591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h200_share*h200_workload_avg + b200_share*b200_workload_avg + gb200_share*gb200_workload_avg + purpose_built_share*purpose_workload_avg</t>
        </is>
      </c>
      <c r="I91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911" s="3" t="inlineStr">
        <is>
          <t>SRC_SEMIANALYSIS_INFERENCEX; ASSUMP_NUMERIC_ACCELERATOR_MIX; ASSUMP_WORKLOAD_CLASS_MIX; ASSUMP_AGENTIC_CONTEXT_PENALTY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116614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each GPU's short chat, long chat and agentic TPS/MW are weighted before fleet mix and commercial fit are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774713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SRC_EPOCH_AI_DATA_CENTERS;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SRC_EPOCH_AI_DATA_CENTERS;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SRC_ALIBABA_QWEN_GPU_DEPLOY; SRC_EPOCH_AI_DATA_CENTERS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SRC_EPOCH_AI_DATA_CENTERS;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SRC_ALIBABA_QWEN_GPU_DEPLOY; SRC_EPOCH_AI_DATA_CENTERS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116614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12634613798400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SRC_EPOCH_AI_DATA_CENTERS;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4611634036416000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SRC_EPOCH_AI_DATA_CENTERS;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SRC_TENCENT_AI_INFRA_MOE; SRC_EPOCH_AI_DATA_CENTERS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SRC_TENCENT_AI_INFRA_MOE; SRC_EPOCH_AI_DATA_CENTERS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SRC_EPOCH_AI_DATA_CENTERS;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Replace 02a CSP contract allocations and 02b CSP accelerator mix with contract/procurement telemetry. 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SRC_EPOCH_AI_DATA_CENTERS;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Replace 02a CSP contract allocations and 02b CSP accelerator mix with contract/procurement telemetry. 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2359967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h200_share*h200_workload_avg + b200_share*b200_workload_avg + gb200_share*gb200_workload_avg + purpose_built_share*purpose_workload_avg</t>
        </is>
      </c>
      <c r="I9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34" s="3" t="inlineStr">
        <is>
          <t>SRC_SEMIANALYSIS_INFERENCEX; ASSUMP_NUMERIC_ACCELERATOR_MIX; ASSUMP_WORKLOAD_CLASS_MIX; ASSUMP_AGENTIC_CONTEXT_PENALTY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943987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each GPU's short chat, long chat and agentic TPS/MW are weighted before fleet mix and commercial fit are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1806787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SRC_EPOCH_AI_DATA_CENTERS;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SRC_EPOCH_AI_DATA_CENTERS;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SRC_TENCENT_AI_INFRA_MOE; SRC_EPOCH_AI_DATA_CENTERS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SRC_EPOCH_AI_DATA_CENTERS;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SRC_TENCENT_AI_INFRA_MOE; SRC_EPOCH_AI_DATA_CENTERS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943987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11744708659200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SRC_EPOCH_AI_DATA_CENTERS;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4286818660608000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SRC_EPOCH_AI_DATA_CENTERS;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SRC_TENCENT_AI_INFRA_MOE; SRC_EPOCH_AI_DATA_CENTERS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SRC_TENCENT_AI_INFRA_MOE; SRC_EPOCH_AI_DATA_CENTERS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SRC_EPOCH_AI_DATA_CENTERS;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Replace 02a CSP contract allocations and 02b CSP accelerator mix with contract/procurement telemetry. 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SRC_EPOCH_AI_DATA_CENTERS;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Replace 02a CSP contract allocations and 02b CSP accelerator mix with contract/procurement telemetry. 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2616983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h200_share*h200_workload_avg + b200_share*b200_workload_avg + gb200_share*gb200_workload_avg + purpose_built_share*purpose_workload_avg</t>
        </is>
      </c>
      <c r="I9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57" s="3" t="inlineStr">
        <is>
          <t>SRC_SEMIANALYSIS_INFERENCEX; ASSUMP_NUMERIC_ACCELERATOR_MIX; ASSUMP_WORKLOAD_CLASS_MIX; ASSUMP_AGENTIC_CONTEXT_PENALTY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1046793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each GPU's short chat, long chat and agentic TPS/MW are weighted before fleet mix and commercial fit are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1806787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SRC_EPOCH_AI_DATA_CENTERS;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SRC_EPOCH_AI_DATA_CENTERS;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SRC_TENCENT_AI_INFRA_MOE; SRC_EPOCH_AI_DATA_CENTERS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SRC_EPOCH_AI_DATA_CENTERS;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SRC_TENCENT_AI_INFRA_MOE; SRC_EPOCH_AI_DATA_CENTERS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1046793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28760847033600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SRC_EPOCH_AI_DATA_CENTERS;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1.0497709167264e+16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SRC_EPOCH_AI_DATA_CENTERS;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SRC_TENCENT_AI_INFRA_MOE; SRC_EPOCH_AI_DATA_CENTERS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SRC_TENCENT_AI_INFRA_MOE; SRC_EPOCH_AI_DATA_CENTERS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SRC_EPOCH_AI_DATA_CENTERS;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Replace 02a CSP contract allocations and 02b CSP accelerator mix with contract/procurement telemetry. 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SRC_EPOCH_AI_DATA_CENTERS;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Replace 02a CSP contract allocations and 02b CSP accelerator mix with contract/procurement telemetry. 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2876295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h200_share*h200_workload_avg + b200_share*b200_workload_avg + gb200_share*gb200_workload_avg + purpose_built_share*purpose_workload_avg</t>
        </is>
      </c>
      <c r="I9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80" s="3" t="inlineStr">
        <is>
          <t>SRC_SEMIANALYSIS_INFERENCEX; ASSUMP_NUMERIC_ACCELERATOR_MIX; ASSUMP_WORKLOAD_CLASS_MIX; ASSUMP_AGENTIC_CONTEXT_PENALTY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1150518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each GPU's short chat, long chat and agentic TPS/MW are weighted before fleet mix and commercial fit are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1806787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SRC_EPOCH_AI_DATA_CENTERS;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SRC_EPOCH_AI_DATA_CENTERS;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SRC_TENCENT_AI_INFRA_MOE; SRC_EPOCH_AI_DATA_CENTERS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SRC_EPOCH_AI_DATA_CENTERS;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SRC_TENCENT_AI_INFRA_MOE; SRC_EPOCH_AI_DATA_CENTERS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1150518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50795829907200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SRC_EPOCH_AI_DATA_CENTERS;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1.8540477916128e+16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SRC_EPOCH_AI_DATA_CENTERS;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SRC_TENCENT_AI_INFRA_MOE; SRC_EPOCH_AI_DATA_CENTERS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SRC_TENCENT_AI_INFRA_MOE; SRC_EPOCH_AI_DATA_CENTERS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SRC_EPOCH_AI_DATA_CENTERS;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Replace 02a CSP contract allocations and 02b CSP accelerator mix with contract/procurement telemetry. 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SRC_EPOCH_AI_DATA_CENTERS;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Replace 02a CSP contract allocations and 02b CSP accelerator mix with contract/procurement telemetry. 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3133311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h200_share*h200_workload_avg + b200_share*b200_workload_avg + gb200_share*gb200_workload_avg + purpose_built_share*purpose_workload_avg</t>
        </is>
      </c>
      <c r="I10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03" s="3" t="inlineStr">
        <is>
          <t>SRC_SEMIANALYSIS_INFERENCEX; ASSUMP_NUMERIC_ACCELERATOR_MIX; ASSUMP_WORKLOAD_CLASS_MIX; ASSUMP_AGENTIC_CONTEXT_PENALTY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1253324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each GPU's short chat, long chat and agentic TPS/MW are weighted before fleet mix and commercial fit are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1806787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SRC_EPOCH_AI_DATA_CENTERS;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SRC_EPOCH_AI_DATA_CENTERS;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SRC_TENCENT_AI_INFRA_MOE; SRC_EPOCH_AI_DATA_CENTERS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SRC_EPOCH_AI_DATA_CENTERS;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SRC_TENCENT_AI_INFRA_MOE; SRC_EPOCH_AI_DATA_CENTERS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1253324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77858492198400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SRC_EPOCH_AI_DATA_CENTERS;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2.8418349652416e+16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SRC_EPOCH_AI_DATA_CENTERS;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SRC_TENCENT_AI_INFRA_MOE; SRC_EPOCH_AI_DATA_CENTERS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SRC_TENCENT_AI_INFRA_MOE; SRC_EPOCH_AI_DATA_CENTERS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SRC_EPOCH_AI_DATA_CENTERS;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Replace 02a CSP contract allocations and 02b CSP accelerator mix with contract/procurement telemetry. 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SRC_EPOCH_AI_DATA_CENTERS;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Replace 02a CSP contract allocations and 02b CSP accelerator mix with contract/procurement telemetry. 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3392622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h200_share*h200_workload_avg + b200_share*b200_workload_avg + gb200_share*gb200_workload_avg + purpose_built_share*purpose_workload_avg</t>
        </is>
      </c>
      <c r="I10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26" s="3" t="inlineStr">
        <is>
          <t>SRC_SEMIANALYSIS_INFERENCEX; ASSUMP_NUMERIC_ACCELERATOR_MIX; ASSUMP_WORKLOAD_CLASS_MIX; ASSUMP_AGENTIC_CONTEXT_PENALTY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1357049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each GPU's short chat, long chat and agentic TPS/MW are weighted before fleet mix and commercial fit are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1806787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SRC_EPOCH_AI_DATA_CENTERS;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SRC_EPOCH_AI_DATA_CENTERS;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SRC_TENCENT_AI_INFRA_MOE; SRC_EPOCH_AI_DATA_CENTERS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SRC_EPOCH_AI_DATA_CENTERS;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SRC_TENCENT_AI_INFRA_MOE; SRC_EPOCH_AI_DATA_CENTERS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1357049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110331340617600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SRC_EPOCH_AI_DATA_CENTERS;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4.0270939325424e+16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SRC_EPOCH_AI_DATA_CENTERS;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SRC_MS_MAIA200; SRC_EPOCH_AI_DATA_CENTERS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SRC_MS_MAIA200; SRC_EPOCH_AI_DATA_CENTERS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1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SRC_EPOCH_AI_DATA_CENTERS;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0.173278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0.826722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SRC_EPOCH_AI_DATA_CENTERS;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2587859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h200_share*h200_workload_avg + b200_share*b200_workload_avg + gb200_share*gb200_workload_avg + purpose_built_share*purpose_workload_avg</t>
        </is>
      </c>
      <c r="I104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49" s="3" t="inlineStr">
        <is>
          <t>SRC_SEMIANALYSIS_INFERENCEX; ASSUMP_NUMERIC_ACCELERATOR_MIX; ASSUMP_WORKLOAD_CLASS_MIX; ASSUMP_AGENTIC_CONTEXT_PENALTY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1552715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each GPU's short chat, long chat and agentic TPS/MW are weighted before fleet mix and commercial fit are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2710180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SRC_EPOCH_AI_DATA_CENTERS;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SRC_EPOCH_AI_DATA_CENTERS;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SRC_MS_MAIA200; SRC_EPOCH_AI_DATA_CENTERS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SRC_EPOCH_AI_DATA_CENTERS;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SRC_MS_MAIA200; SRC_EPOCH_AI_DATA_CENTERS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1552715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95249748960000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SRC_EPOCH_AI_DATA_CENTERS;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3.47661583704e+16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SRC_EPOCH_AI_DATA_CENTERS;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SRC_MS_MAIA200; SRC_EPOCH_AI_DATA_CENTERS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SRC_MS_MAIA200; SRC_EPOCH_AI_DATA_CENTERS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SRC_EPOCH_AI_DATA_CENTERS;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0.124979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0.875021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SRC_EPOCH_AI_DATA_CENTERS;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2672937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h200_share*h200_workload_avg + b200_share*b200_workload_avg + gb200_share*gb200_workload_avg + purpose_built_share*purpose_workload_avg</t>
        </is>
      </c>
      <c r="I107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72" s="3" t="inlineStr">
        <is>
          <t>SRC_SEMIANALYSIS_INFERENCEX; ASSUMP_NUMERIC_ACCELERATOR_MIX; ASSUMP_WORKLOAD_CLASS_MIX; ASSUMP_AGENTIC_CONTEXT_PENALTY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1603762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each GPU's short chat, long chat and agentic TPS/MW are weighted before fleet mix and commercial fit are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2710180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SRC_EPOCH_AI_DATA_CENTERS;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SRC_EPOCH_AI_DATA_CENTERS;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SRC_MS_MAIA200; SRC_EPOCH_AI_DATA_CENTERS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SRC_EPOCH_AI_DATA_CENTERS;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SRC_MS_MAIA200; SRC_EPOCH_AI_DATA_CENTERS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1603762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172790600889600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SRC_EPOCH_AI_DATA_CENTERS;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6.3068569324704e+16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SRC_EPOCH_AI_DATA_CENTERS;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SRC_MS_MAIA200; SRC_EPOCH_AI_DATA_CENTERS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SRC_MS_MAIA200; SRC_EPOCH_AI_DATA_CENTERS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1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SRC_EPOCH_AI_DATA_CENTERS;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0.052258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0.947742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SRC_EPOCH_AI_DATA_CENTERS;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2801033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h200_share*h200_workload_avg + b200_share*b200_workload_avg + gb200_share*gb200_workload_avg + purpose_built_share*purpose_workload_avg</t>
        </is>
      </c>
      <c r="I109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95" s="3" t="inlineStr">
        <is>
          <t>SRC_SEMIANALYSIS_INFERENCEX; ASSUMP_NUMERIC_ACCELERATOR_MIX; ASSUMP_WORKLOAD_CLASS_MIX; ASSUMP_AGENTIC_CONTEXT_PENALTY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1680620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each GPU's short chat, long chat and agentic TPS/MW are weighted before fleet mix and commercial fit are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2710180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SRC_EPOCH_AI_DATA_CENTERS;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SRC_EPOCH_AI_DATA_CENTERS;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SRC_MS_MAIA200; SRC_EPOCH_AI_DATA_CENTERS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SRC_EPOCH_AI_DATA_CENTERS;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SRC_MS_MAIA200; SRC_EPOCH_AI_DATA_CENTERS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1680620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270517973184000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SRC_EPOCH_AI_DATA_CENTERS;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9.873906021216e+16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SRC_EPOCH_AI_DATA_CENTERS;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SRC_MS_MAIA200; SRC_EPOCH_AI_DATA_CENTERS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SRC_MS_MAIA200; SRC_EPOCH_AI_DATA_CENTERS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1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SRC_EPOCH_AI_DATA_CENTERS;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0.052258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0.947742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SRC_EPOCH_AI_DATA_CENTERS;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2801033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h200_share*h200_workload_avg + b200_share*b200_workload_avg + gb200_share*gb200_workload_avg + purpose_built_share*purpose_workload_avg</t>
        </is>
      </c>
      <c r="I111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18" s="3" t="inlineStr">
        <is>
          <t>SRC_SEMIANALYSIS_INFERENCEX; ASSUMP_NUMERIC_ACCELERATOR_MIX; ASSUMP_WORKLOAD_CLASS_MIX; ASSUMP_AGENTIC_CONTEXT_PENALTY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1680620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each GPU's short chat, long chat and agentic TPS/MW are weighted before fleet mix and commercial fit are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2710180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SRC_EPOCH_AI_DATA_CENTERS;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SRC_EPOCH_AI_DATA_CENTERS;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SRC_MS_MAIA200; SRC_EPOCH_AI_DATA_CENTERS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SRC_EPOCH_AI_DATA_CENTERS;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SRC_MS_MAIA200; SRC_EPOCH_AI_DATA_CENTERS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1680620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371581048512000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SRC_EPOCH_AI_DATA_CENTERS;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1.3562708270688e+17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SRC_EPOCH_AI_DATA_CENTERS;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SRC_MS_MAIA200; SRC_EPOCH_AI_DATA_CENTERS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SRC_MS_MAIA200; SRC_EPOCH_AI_DATA_CENTERS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1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SRC_EPOCH_AI_DATA_CENTERS;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0.052258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0.947742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SRC_EPOCH_AI_DATA_CENTERS;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2801033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h200_share*h200_workload_avg + b200_share*b200_workload_avg + gb200_share*gb200_workload_avg + purpose_built_share*purpose_workload_avg</t>
        </is>
      </c>
      <c r="I114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41" s="3" t="inlineStr">
        <is>
          <t>SRC_SEMIANALYSIS_INFERENCEX; ASSUMP_NUMERIC_ACCELERATOR_MIX; ASSUMP_WORKLOAD_CLASS_MIX; ASSUMP_AGENTIC_CONTEXT_PENALTY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1680620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each GPU's short chat, long chat and agentic TPS/MW are weighted before fleet mix and commercial fit are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2710180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SRC_EPOCH_AI_DATA_CENTERS;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SRC_EPOCH_AI_DATA_CENTERS;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SRC_MS_MAIA200; SRC_EPOCH_AI_DATA_CENTERS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SRC_EPOCH_AI_DATA_CENTERS;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SRC_MS_MAIA200; SRC_EPOCH_AI_DATA_CENTERS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1680620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483970158144000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SRC_EPOCH_AI_DATA_CENTERS;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1.7664910772256e+17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SRC_EPOCH_AI_DATA_CENTERS;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SRC_GOOGLE_TPU_V6E; SRC_EPOCH_AI_DATA_CENTERS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SRC_GOOGLE_TPU_V6E; SRC_EPOCH_AI_DATA_CENTERS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0.057223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SRC_EPOCH_AI_DATA_CENTERS;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0.057223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0.942777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SRC_EPOCH_AI_DATA_CENTERS;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167768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h200_share*h200_workload_avg + b200_share*b200_workload_avg + gb200_share*gb200_workload_avg + purpose_built_share*purpose_workload_avg</t>
        </is>
      </c>
      <c r="I116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64" s="3" t="inlineStr">
        <is>
          <t>SRC_SEMIANALYSIS_INFERENCEX; ASSUMP_NUMERIC_ACCELERATOR_MIX; ASSUMP_WORKLOAD_CLASS_MIX; ASSUMP_AGENTIC_CONTEXT_PENALTY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100661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each GPU's short chat, long chat and agentic TPS/MW are weighted before fleet mix and commercial fit are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81184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SRC_EPOCH_AI_DATA_CENTERS;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SRC_EPOCH_AI_DATA_CENTERS;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SRC_GOOGLE_TPU_V6E; SRC_EPOCH_AI_DATA_CENTERS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SRC_EPOCH_AI_DATA_CENTERS;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SRC_GOOGLE_TPU_V6E; SRC_EPOCH_AI_DATA_CENTERS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100661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7844793580800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SRC_EPOCH_AI_DATA_CENTERS;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2863349656992000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SRC_EPOCH_AI_DATA_CENTERS;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SRC_GOOGLE_TPU_V6E; SRC_EPOCH_AI_DATA_CENTERS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SRC_GOOGLE_TPU_V6E; SRC_EPOCH_AI_DATA_CENTERS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0.088811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SRC_EPOCH_AI_DATA_CENTERS;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0.088811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0.911189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SRC_EPOCH_AI_DATA_CENTERS;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167768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h200_share*h200_workload_avg + b200_share*b200_workload_avg + gb200_share*gb200_workload_avg + purpose_built_share*purpose_workload_avg</t>
        </is>
      </c>
      <c r="I118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87" s="3" t="inlineStr">
        <is>
          <t>SRC_SEMIANALYSIS_INFERENCEX; ASSUMP_NUMERIC_ACCELERATOR_MIX; ASSUMP_WORKLOAD_CLASS_MIX; ASSUMP_AGENTIC_CONTEXT_PENALTY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100661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each GPU's short chat, long chat and agentic TPS/MW are weighted before fleet mix and commercial fit are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81184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SRC_EPOCH_AI_DATA_CENTERS;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SRC_EPOCH_AI_DATA_CENTERS;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SRC_GOOGLE_TPU_V6E; SRC_EPOCH_AI_DATA_CENTERS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SRC_EPOCH_AI_DATA_CENTERS;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SRC_GOOGLE_TPU_V6E; SRC_EPOCH_AI_DATA_CENTERS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100661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12871723392000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SRC_EPOCH_AI_DATA_CENTERS;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4698179038080000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SRC_EPOCH_AI_DATA_CENTERS;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SRC_GOOGLE_TPU_V6E; SRC_EPOCH_AI_DATA_CENTERS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SRC_GOOGLE_TPU_V6E; SRC_EPOCH_AI_DATA_CENTERS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0.088811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SRC_EPOCH_AI_DATA_CENTERS;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0.088811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0.911189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SRC_EPOCH_AI_DATA_CENTERS;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167768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h200_share*h200_workload_avg + b200_share*b200_workload_avg + gb200_share*gb200_workload_avg + purpose_built_share*purpose_workload_avg</t>
        </is>
      </c>
      <c r="I121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10" s="3" t="inlineStr">
        <is>
          <t>SRC_SEMIANALYSIS_INFERENCEX; ASSUMP_NUMERIC_ACCELERATOR_MIX; ASSUMP_WORKLOAD_CLASS_MIX; ASSUMP_AGENTIC_CONTEXT_PENALTY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100661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each GPU's short chat, long chat and agentic TPS/MW are weighted before fleet mix and commercial fit are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81184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SRC_EPOCH_AI_DATA_CENTERS;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SRC_EPOCH_AI_DATA_CENTERS;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SRC_GOOGLE_TPU_V6E; SRC_EPOCH_AI_DATA_CENTERS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SRC_EPOCH_AI_DATA_CENTERS;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SRC_GOOGLE_TPU_V6E; SRC_EPOCH_AI_DATA_CENTERS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100661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18533542262400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SRC_EPOCH_AI_DATA_CENTERS;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6764742925776000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SRC_EPOCH_AI_DATA_CENTERS;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SRC_GOOGLE_TPU_V6E; SRC_EPOCH_AI_DATA_CENTERS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SRC_GOOGLE_TPU_V6E; SRC_EPOCH_AI_DATA_CENTERS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0.088811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SRC_EPOCH_AI_DATA_CENTERS;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0.088811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0.911189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SRC_EPOCH_AI_DATA_CENTERS;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167768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h200_share*h200_workload_avg + b200_share*b200_workload_avg + gb200_share*gb200_workload_avg + purpose_built_share*purpose_workload_avg</t>
        </is>
      </c>
      <c r="I123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33" s="3" t="inlineStr">
        <is>
          <t>SRC_SEMIANALYSIS_INFERENCEX; ASSUMP_NUMERIC_ACCELERATOR_MIX; ASSUMP_WORKLOAD_CLASS_MIX; ASSUMP_AGENTIC_CONTEXT_PENALTY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100661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each GPU's short chat, long chat and agentic TPS/MW are weighted before fleet mix and commercial fit are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81184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SRC_EPOCH_AI_DATA_CENTERS;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SRC_EPOCH_AI_DATA_CENTERS;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SRC_GOOGLE_TPU_V6E; SRC_EPOCH_AI_DATA_CENTERS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SRC_EPOCH_AI_DATA_CENTERS;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SRC_GOOGLE_TPU_V6E; SRC_EPOCH_AI_DATA_CENTERS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100661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24830250192000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SRC_EPOCH_AI_DATA_CENTERS;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9063041320080000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SRC_EPOCH_AI_DATA_CENTERS;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SRC_GOOGLE_TPU_V6E; SRC_EPOCH_AI_DATA_CENTERS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SRC_GOOGLE_TPU_V6E; SRC_EPOCH_AI_DATA_CENTERS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0.088811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SRC_EPOCH_AI_DATA_CENTERS;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0.088811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0.911189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SRC_EPOCH_AI_DATA_CENTERS;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167768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h200_share*h200_workload_avg + b200_share*b200_workload_avg + gb200_share*gb200_workload_avg + purpose_built_share*purpose_workload_avg</t>
        </is>
      </c>
      <c r="I125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56" s="3" t="inlineStr">
        <is>
          <t>SRC_SEMIANALYSIS_INFERENCEX; ASSUMP_NUMERIC_ACCELERATOR_MIX; ASSUMP_WORKLOAD_CLASS_MIX; ASSUMP_AGENTIC_CONTEXT_PENALTY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100661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each GPU's short chat, long chat and agentic TPS/MW are weighted before fleet mix and commercial fit are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81184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SRC_EPOCH_AI_DATA_CENTERS;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SRC_EPOCH_AI_DATA_CENTERS;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SRC_GOOGLE_TPU_V6E; SRC_EPOCH_AI_DATA_CENTERS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SRC_EPOCH_AI_DATA_CENTERS;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SRC_GOOGLE_TPU_V6E; SRC_EPOCH_AI_DATA_CENTERS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100661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31753150070400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SRC_EPOCH_AI_DATA_CENTERS;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1.1589899775696e+16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SRC_EPOCH_AI_DATA_CENTERS;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SRC_META_MTIA_GENAI_2026; SRC_EPOCH_AI_DATA_CENTERS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SRC_META_MTIA_GENAI_2026; SRC_EPOCH_AI_DATA_CENTERS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1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SRC_EPOCH_AI_DATA_CENTERS;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0.09603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0.9039700000000001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SRC_EPOCH_AI_DATA_CENTERS;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920581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h200_share*h200_workload_avg + b200_share*b200_workload_avg + gb200_share*gb200_workload_avg + purpose_built_share*purpose_workload_avg</t>
        </is>
      </c>
      <c r="I127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279" s="3" t="inlineStr">
        <is>
          <t>SRC_SEMIANALYSIS_INFERENCEX; ASSUMP_NUMERIC_ACCELERATOR_MIX; ASSUMP_WORKLOAD_CLASS_MIX; ASSUMP_AGENTIC_CONTEXT_PENALTY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828523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each GPU's short chat, long chat and agentic TPS/MW are weighted before fleet mix and commercial fit are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1105664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SRC_EPOCH_AI_DATA_CENTERS;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SRC_EPOCH_AI_DATA_CENTERS;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SRC_META_MTIA_GENAI_2026; SRC_EPOCH_AI_DATA_CENTERS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SRC_EPOCH_AI_DATA_CENTERS;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SRC_META_MTIA_GENAI_2026; SRC_EPOCH_AI_DATA_CENTERS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828523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48176292585600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SRC_EPOCH_AI_DATA_CENTERS;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1.7584346793744e+16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SRC_EPOCH_AI_DATA_CENTERS;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SRC_META_MTIA_GENAI_2026; SRC_EPOCH_AI_DATA_CENTERS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SRC_META_MTIA_GENAI_2026; SRC_EPOCH_AI_DATA_CENTERS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SRC_EPOCH_AI_DATA_CENTERS;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0.09216000000000001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0.90784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SRC_EPOCH_AI_DATA_CENTERS;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921407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h200_share*h200_workload_avg + b200_share*b200_workload_avg + gb200_share*gb200_workload_avg + purpose_built_share*purpose_workload_avg</t>
        </is>
      </c>
      <c r="I130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02" s="3" t="inlineStr">
        <is>
          <t>SRC_SEMIANALYSIS_INFERENCEX; ASSUMP_NUMERIC_ACCELERATOR_MIX; ASSUMP_WORKLOAD_CLASS_MIX; ASSUMP_AGENTIC_CONTEXT_PENALTY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829266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each GPU's short chat, long chat and agentic TPS/MW are weighted before fleet mix and commercial fit are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1105664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SRC_EPOCH_AI_DATA_CENTERS;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SRC_EPOCH_AI_DATA_CENTERS;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SRC_META_MTIA_GENAI_2026; SRC_EPOCH_AI_DATA_CENTERS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SRC_EPOCH_AI_DATA_CENTERS;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SRC_META_MTIA_GENAI_2026; SRC_EPOCH_AI_DATA_CENTERS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829266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86694784704000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SRC_EPOCH_AI_DATA_CENTERS;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3.164359641696e+16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SRC_EPOCH_AI_DATA_CENTERS;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SRC_META_MTIA_GENAI_2026; SRC_EPOCH_AI_DATA_CENTERS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SRC_META_MTIA_GENAI_2026; SRC_EPOCH_AI_DATA_CENTERS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0.812926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SRC_EPOCH_AI_DATA_CENTERS;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0.074919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0.738007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0.187074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SRC_EPOCH_AI_DATA_CENTERS;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925083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h200_share*h200_workload_avg + b200_share*b200_workload_avg + gb200_share*gb200_workload_avg + purpose_built_share*purpose_workload_avg</t>
        </is>
      </c>
      <c r="I132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25" s="3" t="inlineStr">
        <is>
          <t>SRC_SEMIANALYSIS_INFERENCEX; ASSUMP_NUMERIC_ACCELERATOR_MIX; ASSUMP_WORKLOAD_CLASS_MIX; ASSUMP_AGENTIC_CONTEXT_PENALTY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832575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each GPU's short chat, long chat and agentic TPS/MW are weighted before fleet mix and commercial fit are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1105664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SRC_EPOCH_AI_DATA_CENTERS;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SRC_EPOCH_AI_DATA_CENTERS;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SRC_META_MTIA_GENAI_2026; SRC_EPOCH_AI_DATA_CENTERS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SRC_EPOCH_AI_DATA_CENTERS;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SRC_META_MTIA_GENAI_2026; SRC_EPOCH_AI_DATA_CENTERS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832575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131208491520000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SRC_EPOCH_AI_DATA_CENTERS;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4.78910994048e+16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SRC_EPOCH_AI_DATA_CENTERS;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SRC_META_MTIA_GENAI_2026; SRC_EPOCH_AI_DATA_CENTERS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SRC_META_MTIA_GENAI_2026; SRC_EPOCH_AI_DATA_CENTERS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0.812926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SRC_EPOCH_AI_DATA_CENTERS;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0.074919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0.738007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0.187074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SRC_EPOCH_AI_DATA_CENTERS;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925083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h200_share*h200_workload_avg + b200_share*b200_workload_avg + gb200_share*gb200_workload_avg + purpose_built_share*purpose_workload_avg</t>
        </is>
      </c>
      <c r="I134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48" s="3" t="inlineStr">
        <is>
          <t>SRC_SEMIANALYSIS_INFERENCEX; ASSUMP_NUMERIC_ACCELERATOR_MIX; ASSUMP_WORKLOAD_CLASS_MIX; ASSUMP_AGENTIC_CONTEXT_PENALTY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832575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each GPU's short chat, long chat and agentic TPS/MW are weighted before fleet mix and commercial fit are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1105664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SRC_EPOCH_AI_DATA_CENTERS;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SRC_EPOCH_AI_DATA_CENTERS;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SRC_META_MTIA_GENAI_2026; SRC_EPOCH_AI_DATA_CENTERS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SRC_EPOCH_AI_DATA_CENTERS;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SRC_META_MTIA_GENAI_2026; SRC_EPOCH_AI_DATA_CENTERS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832575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180843282720000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SRC_EPOCH_AI_DATA_CENTERS;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6.60077981928e+16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SRC_EPOCH_AI_DATA_CENTERS;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SRC_META_MTIA_GENAI_2026; SRC_EPOCH_AI_DATA_CENTERS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SRC_META_MTIA_GENAI_2026; SRC_EPOCH_AI_DATA_CENTERS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0.812926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SRC_EPOCH_AI_DATA_CENTERS;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0.074919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0.738007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0.187074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SRC_EPOCH_AI_DATA_CENTERS;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925083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h200_share*h200_workload_avg + b200_share*b200_workload_avg + gb200_share*gb200_workload_avg + purpose_built_share*purpose_workload_avg</t>
        </is>
      </c>
      <c r="I137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71" s="3" t="inlineStr">
        <is>
          <t>SRC_SEMIANALYSIS_INFERENCEX; ASSUMP_NUMERIC_ACCELERATOR_MIX; ASSUMP_WORKLOAD_CLASS_MIX; ASSUMP_AGENTIC_CONTEXT_PENALTY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832575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each GPU's short chat, long chat and agentic TPS/MW are weighted before fleet mix and commercial fit are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1105664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SRC_EPOCH_AI_DATA_CENTERS;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SRC_EPOCH_AI_DATA_CENTERS;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SRC_META_MTIA_GENAI_2026; SRC_EPOCH_AI_DATA_CENTERS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SRC_EPOCH_AI_DATA_CENTERS;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SRC_META_MTIA_GENAI_2026; SRC_EPOCH_AI_DATA_CENTERS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832575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235945094400000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SRC_EPOCH_AI_DATA_CENTERS;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8.6119959456e+16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SRC_EPOCH_AI_DATA_CENTERS;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SRC_XAI_NVIDIA_COLOSSUS; SRC_EPOCH_AI_DATA_CENTERS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SRC_XAI_NVIDIA_COLOSSUS; SRC_EPOCH_AI_DATA_CENTERS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389" s="3" t="inlineStr">
        <is>
          <t>SRC_XAI_MODELS; SRC_XAI_NVIDIA_COLOSSUS; SRC_EPOCH_AI_DATA_CENTERS;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0.294118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0.705882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393" s="3" t="inlineStr">
        <is>
          <t>SRC_XAI_MODELS; SRC_XAI_NVIDIA_COLOSSUS; SRC_EPOCH_AI_DATA_CENTERS;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2476756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h200_share*h200_workload_avg + b200_share*b200_workload_avg + gb200_share*gb200_workload_avg + purpose_built_share*purpose_workload_avg</t>
        </is>
      </c>
      <c r="I13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394" s="3" t="inlineStr">
        <is>
          <t>SRC_SEMIANALYSIS_INFERENCEX; ASSUMP_NUMERIC_ACCELERATOR_MIX; ASSUMP_WORKLOAD_CLASS_MIX; ASSUMP_AGENTIC_CONTEXT_PENALTY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1362216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each GPU's short chat, long chat and agentic TPS/MW are weighted before fleet mix and commercial fit are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2484332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SRC_EPOCH_AI_DATA_CENTERS;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SRC_EPOCH_AI_DATA_CENTERS;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SRC_XAI_NVIDIA_COLOSSUS; SRC_EPOCH_AI_DATA_CENTERS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SRC_EPOCH_AI_DATA_CENTERS;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SRC_XAI_NVIDIA_COLOSSUS; SRC_EPOCH_AI_DATA_CENTERS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1362216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12946500864000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SRC_EPOCH_AI_DATA_CENTERS;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4725472815360000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SRC_EPOCH_AI_DATA_CENTERS;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SRC_XAI_NVIDIA_COLOSSUS; SRC_EPOCH_AI_DATA_CENTERS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SRC_XAI_NVIDIA_COLOSSUS; SRC_EPOCH_AI_DATA_CENTERS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412" s="3" t="inlineStr">
        <is>
          <t>SRC_XAI_MODELS; SRC_XAI_NVIDIA_COLOSSUS; SRC_EPOCH_AI_DATA_CENTERS;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0.294118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0.705882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416" s="3" t="inlineStr">
        <is>
          <t>SRC_XAI_MODELS; SRC_XAI_NVIDIA_COLOSSUS; SRC_EPOCH_AI_DATA_CENTERS;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2476756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h200_share*h200_workload_avg + b200_share*b200_workload_avg + gb200_share*gb200_workload_avg + purpose_built_share*purpose_workload_avg</t>
        </is>
      </c>
      <c r="I14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17" s="3" t="inlineStr">
        <is>
          <t>SRC_SEMIANALYSIS_INFERENCEX; ASSUMP_NUMERIC_ACCELERATOR_MIX; ASSUMP_WORKLOAD_CLASS_MIX; ASSUMP_AGENTIC_CONTEXT_PENALTY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1362216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each GPU's short chat, long chat and agentic TPS/MW are weighted before fleet mix and commercial fit are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2484332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SRC_EPOCH_AI_DATA_CENTERS;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SRC_EPOCH_AI_DATA_CENTERS;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SRC_XAI_NVIDIA_COLOSSUS; SRC_EPOCH_AI_DATA_CENTERS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SRC_EPOCH_AI_DATA_CENTERS;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SRC_XAI_NVIDIA_COLOSSUS; SRC_EPOCH_AI_DATA_CENTERS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1362216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37309461580800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SRC_EPOCH_AI_DATA_CENTERS;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1.3617953476992e+16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SRC_EPOCH_AI_DATA_CENTERS;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SRC_XAI_NVIDIA_COLOSSUS; SRC_EPOCH_AI_DATA_CENTERS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SRC_XAI_NVIDIA_COLOSSUS; SRC_EPOCH_AI_DATA_CENTERS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435" s="3" t="inlineStr">
        <is>
          <t>SRC_XAI_MODELS; SRC_XAI_NVIDIA_COLOSSUS; SRC_EPOCH_AI_DATA_CENTERS;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0.294118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0.705882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439" s="3" t="inlineStr">
        <is>
          <t>SRC_XAI_MODELS; SRC_XAI_NVIDIA_COLOSSUS; SRC_EPOCH_AI_DATA_CENTERS;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2476756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h200_share*h200_workload_avg + b200_share*b200_workload_avg + gb200_share*gb200_workload_avg + purpose_built_share*purpose_workload_avg</t>
        </is>
      </c>
      <c r="I14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40" s="3" t="inlineStr">
        <is>
          <t>SRC_SEMIANALYSIS_INFERENCEX; ASSUMP_NUMERIC_ACCELERATOR_MIX; ASSUMP_WORKLOAD_CLASS_MIX; ASSUMP_AGENTIC_CONTEXT_PENALTY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1362216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each GPU's short chat, long chat and agentic TPS/MW are weighted before fleet mix and commercial fit are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2484332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SRC_EPOCH_AI_DATA_CENTERS;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SRC_EPOCH_AI_DATA_CENTERS;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SRC_XAI_NVIDIA_COLOSSUS; SRC_EPOCH_AI_DATA_CENTERS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SRC_EPOCH_AI_DATA_CENTERS;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SRC_XAI_NVIDIA_COLOSSUS; SRC_EPOCH_AI_DATA_CENTERS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1362216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67204109030400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SRC_EPOCH_AI_DATA_CENTERS;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2.4529499796096e+16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SRC_EPOCH_AI_DATA_CENTERS;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SRC_XAI_NVIDIA_COLOSSUS; SRC_EPOCH_AI_DATA_CENTERS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SRC_XAI_NVIDIA_COLOSSUS; SRC_EPOCH_AI_DATA_CENTERS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458" s="3" t="inlineStr">
        <is>
          <t>SRC_XAI_MODELS; SRC_XAI_NVIDIA_COLOSSUS; SRC_EPOCH_AI_DATA_CENTERS;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0.294118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0.705882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462" s="3" t="inlineStr">
        <is>
          <t>SRC_XAI_MODELS; SRC_XAI_NVIDIA_COLOSSUS; SRC_EPOCH_AI_DATA_CENTERS;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2476756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h200_share*h200_workload_avg + b200_share*b200_workload_avg + gb200_share*gb200_workload_avg + purpose_built_share*purpose_workload_avg</t>
        </is>
      </c>
      <c r="I14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63" s="3" t="inlineStr">
        <is>
          <t>SRC_SEMIANALYSIS_INFERENCEX; ASSUMP_NUMERIC_ACCELERATOR_MIX; ASSUMP_WORKLOAD_CLASS_MIX; ASSUMP_AGENTIC_CONTEXT_PENALTY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1362216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each GPU's short chat, long chat and agentic TPS/MW are weighted before fleet mix and commercial fit are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2484332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SRC_EPOCH_AI_DATA_CENTERS;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SRC_EPOCH_AI_DATA_CENTERS;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SRC_XAI_NVIDIA_COLOSSUS; SRC_EPOCH_AI_DATA_CENTERS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SRC_EPOCH_AI_DATA_CENTERS;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SRC_XAI_NVIDIA_COLOSSUS; SRC_EPOCH_AI_DATA_CENTERS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1362216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102630443212800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SRC_EPOCH_AI_DATA_CENTERS;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3.7460111772672e+16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SRC_EPOCH_AI_DATA_CENTERS;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SRC_XAI_NVIDIA_COLOSSUS; SRC_EPOCH_AI_DATA_CENTERS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SRC_XAI_NVIDIA_COLOSSUS; SRC_EPOCH_AI_DATA_CENTERS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481" s="3" t="inlineStr">
        <is>
          <t>SRC_XAI_MODELS; SRC_XAI_NVIDIA_COLOSSUS; SRC_EPOCH_AI_DATA_CENTERS;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0.294118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0.705882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1485" s="3" t="inlineStr">
        <is>
          <t>SRC_XAI_MODELS; SRC_XAI_NVIDIA_COLOSSUS; SRC_EPOCH_AI_DATA_CENTERS;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2476756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h200_share*h200_workload_avg + b200_share*b200_workload_avg + gb200_share*gb200_workload_avg + purpose_built_share*purpose_workload_avg</t>
        </is>
      </c>
      <c r="I14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86" s="3" t="inlineStr">
        <is>
          <t>SRC_SEMIANALYSIS_INFERENCEX; ASSUMP_NUMERIC_ACCELERATOR_MIX; ASSUMP_WORKLOAD_CLASS_MIX; ASSUMP_AGENTIC_CONTEXT_PENALTY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1362216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each GPU's short chat, long chat and agentic TPS/MW are weighted before fleet mix and commercial fit are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2484332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SRC_EPOCH_AI_DATA_CENTERS;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SRC_EPOCH_AI_DATA_CENTERS;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SRC_XAI_NVIDIA_COLOSSUS; SRC_EPOCH_AI_DATA_CENTERS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SRC_EPOCH_AI_DATA_CENTERS;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SRC_XAI_NVIDIA_COLOSSUS; SRC_EPOCH_AI_DATA_CENTERS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1362216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143470768665600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SRC_EPOCH_AI_DATA_CENTERS;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5.2366830562944e+16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SRC_EPOCH_AI_DATA_CENTERS;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SRC_OPENAI_STARGATE_PROGRESS; SRC_EPOCH_AI_DATA_CENTERS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SRC_OPENAI_STARGATE_PROGRESS; SRC_EPOCH_AI_DATA_CENTERS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SRC_EPOCH_AI_DATA_CENTERS;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0.09216000000000001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0.90784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SRC_EPOCH_AI_DATA_CENTERS;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222741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h200_share*h200_workload_avg + b200_share*b200_workload_avg + gb200_share*gb200_workload_avg + purpose_built_share*purpose_workload_avg</t>
        </is>
      </c>
      <c r="I150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09" s="3" t="inlineStr">
        <is>
          <t>SRC_SEMIANALYSIS_INFERENCEX; ASSUMP_NUMERIC_ACCELERATOR_MIX; ASSUMP_WORKLOAD_CLASS_MIX; ASSUMP_AGENTIC_CONTEXT_PENALTY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111370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each GPU's short chat, long chat and agentic TPS/MW are weighted before fleet mix and commercial fit are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67653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SRC_EPOCH_AI_DATA_CENTERS;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SRC_EPOCH_AI_DATA_CENTERS;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SRC_OPENAI_STARGATE_PROGRESS; SRC_EPOCH_AI_DATA_CENTERS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SRC_EPOCH_AI_DATA_CENTERS;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SRC_OPENAI_STARGATE_PROGRESS; SRC_EPOCH_AI_DATA_CENTERS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111370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5725308960000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SRC_EPOCH_AI_DATA_CENTERS;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2089737770400000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SRC_EPOCH_AI_DATA_CENTERS;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SRC_OPENAI_STARGATE_PROGRESS; SRC_EPOCH_AI_DATA_CENTERS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SRC_OPENAI_STARGATE_PROGRESS; SRC_EPOCH_AI_DATA_CENTERS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0.978068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SRC_EPOCH_AI_DATA_CENTERS;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0.06987599999999999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0.908192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0.021932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SRC_EPOCH_AI_DATA_CENTERS;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202019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h200_share*h200_workload_avg + b200_share*b200_workload_avg + gb200_share*gb200_workload_avg + purpose_built_share*purpose_workload_avg</t>
        </is>
      </c>
      <c r="I153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32" s="3" t="inlineStr">
        <is>
          <t>SRC_SEMIANALYSIS_INFERENCEX; ASSUMP_NUMERIC_ACCELERATOR_MIX; ASSUMP_WORKLOAD_CLASS_MIX; ASSUMP_AGENTIC_CONTEXT_PENALTY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101010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each GPU's short chat, long chat and agentic TPS/MW are weighted before fleet mix and commercial fit are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67653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SRC_EPOCH_AI_DATA_CENTERS;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SRC_EPOCH_AI_DATA_CENTERS;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SRC_OPENAI_STARGATE_PROGRESS; SRC_EPOCH_AI_DATA_CENTERS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SRC_EPOCH_AI_DATA_CENTERS;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SRC_OPENAI_STARGATE_PROGRESS; SRC_EPOCH_AI_DATA_CENTERS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101010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12802896288000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SRC_EPOCH_AI_DATA_CENTERS;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4673057145120000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SRC_EPOCH_AI_DATA_CENTERS;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SRC_OPENAI_STARGATE_PROGRESS; SRC_EPOCH_AI_DATA_CENTERS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SRC_OPENAI_STARGATE_PROGRESS; SRC_EPOCH_AI_DATA_CENTERS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0.864358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SRC_EPOCH_AI_DATA_CENTERS;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0.055734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0.784048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0.024576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0.135642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SRC_EPOCH_AI_DATA_CENTERS;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189596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h200_share*h200_workload_avg + b200_share*b200_workload_avg + gb200_share*gb200_workload_avg + purpose_built_share*purpose_workload_avg</t>
        </is>
      </c>
      <c r="I155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55" s="3" t="inlineStr">
        <is>
          <t>SRC_SEMIANALYSIS_INFERENCEX; ASSUMP_NUMERIC_ACCELERATOR_MIX; ASSUMP_WORKLOAD_CLASS_MIX; ASSUMP_AGENTIC_CONTEXT_PENALTY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94798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each GPU's short chat, long chat and agentic TPS/MW are weighted before fleet mix and commercial fit are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67653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SRC_EPOCH_AI_DATA_CENTERS;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SRC_EPOCH_AI_DATA_CENTERS;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SRC_OPENAI_STARGATE_PROGRESS; SRC_EPOCH_AI_DATA_CENTERS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SRC_EPOCH_AI_DATA_CENTERS;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SRC_OPENAI_STARGATE_PROGRESS; SRC_EPOCH_AI_DATA_CENTERS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94798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20214270489600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SRC_EPOCH_AI_DATA_CENTERS;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7378208728704000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SRC_EPOCH_AI_DATA_CENTERS;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SRC_OPENAI_STARGATE_PROGRESS; SRC_EPOCH_AI_DATA_CENTERS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SRC_OPENAI_STARGATE_PROGRESS; SRC_EPOCH_AI_DATA_CENTERS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0.869305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SRC_EPOCH_AI_DATA_CENTERS;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0.045663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0.790096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0.033546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0.130695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SRC_EPOCH_AI_DATA_CENTERS;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180497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h200_share*h200_workload_avg + b200_share*b200_workload_avg + gb200_share*gb200_workload_avg + purpose_built_share*purpose_workload_avg</t>
        </is>
      </c>
      <c r="I157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78" s="3" t="inlineStr">
        <is>
          <t>SRC_SEMIANALYSIS_INFERENCEX; ASSUMP_NUMERIC_ACCELERATOR_MIX; ASSUMP_WORKLOAD_CLASS_MIX; ASSUMP_AGENTIC_CONTEXT_PENALTY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90248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each GPU's short chat, long chat and agentic TPS/MW are weighted before fleet mix and commercial fit are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67653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SRC_EPOCH_AI_DATA_CENTERS;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SRC_EPOCH_AI_DATA_CENTERS;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SRC_OPENAI_STARGATE_PROGRESS; SRC_EPOCH_AI_DATA_CENTERS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SRC_EPOCH_AI_DATA_CENTERS;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SRC_OPENAI_STARGATE_PROGRESS; SRC_EPOCH_AI_DATA_CENTERS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90248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28070737920000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SRC_EPOCH_AI_DATA_CENTERS;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1.02458193408e+16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SRC_EPOCH_AI_DATA_CENTERS;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SRC_OPENAI_STARGATE_PROGRESS; SRC_EPOCH_AI_DATA_CENTERS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SRC_OPENAI_STARGATE_PROGRESS; SRC_EPOCH_AI_DATA_CENTERS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0.869305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SRC_EPOCH_AI_DATA_CENTERS;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0.036744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0.789149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0.043412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0.130695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SRC_EPOCH_AI_DATA_CENTERS;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172495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h200_share*h200_workload_avg + b200_share*b200_workload_avg + gb200_share*gb200_workload_avg + purpose_built_share*purpose_workload_avg</t>
        </is>
      </c>
      <c r="I160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01" s="3" t="inlineStr">
        <is>
          <t>SRC_SEMIANALYSIS_INFERENCEX; ASSUMP_NUMERIC_ACCELERATOR_MIX; ASSUMP_WORKLOAD_CLASS_MIX; ASSUMP_AGENTIC_CONTEXT_PENALTY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86248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each GPU's short chat, long chat and agentic TPS/MW are weighted before fleet mix and commercial fit are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67653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SRC_EPOCH_AI_DATA_CENTERS;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SRC_EPOCH_AI_DATA_CENTERS;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SRC_OPENAI_STARGATE_PROGRESS; SRC_EPOCH_AI_DATA_CENTERS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SRC_EPOCH_AI_DATA_CENTERS;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SRC_OPENAI_STARGATE_PROGRESS; SRC_EPOCH_AI_DATA_CENTERS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86248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36230783846400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SRC_EPOCH_AI_DATA_CENTERS;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1.3224236103936e+16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SRC_EPOCH_AI_DATA_CENTERS;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SRC_AWS_RAINIER_ACTIVE; SRC_EPOCH_AI_DATA_CENTERS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SRC_AWS_RAINIER_ACTIVE; SRC_EPOCH_AI_DATA_CENTERS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0.342088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SRC_EPOCH_AI_DATA_CENTERS;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0.114987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0.227101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0.6579120000000001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SRC_EPOCH_AI_DATA_CENTERS;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225504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h200_share*h200_workload_avg + b200_share*b200_workload_avg + gb200_share*gb200_workload_avg + purpose_built_share*purpose_workload_avg</t>
        </is>
      </c>
      <c r="I162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24" s="3" t="inlineStr">
        <is>
          <t>SRC_SEMIANALYSIS_INFERENCEX; ASSUMP_NUMERIC_ACCELERATOR_MIX; ASSUMP_WORKLOAD_CLASS_MIX; ASSUMP_AGENTIC_CONTEXT_PENALTY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112752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each GPU's short chat, long chat and agentic TPS/MW are weighted before fleet mix and commercial fit are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67653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SRC_EPOCH_AI_DATA_CENTERS;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SRC_EPOCH_AI_DATA_CENTERS;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SRC_AWS_RAINIER_ACTIVE; SRC_EPOCH_AI_DATA_CENTERS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SRC_EPOCH_AI_DATA_CENTERS;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SRC_AWS_RAINIER_ACTIVE; SRC_EPOCH_AI_DATA_CENTERS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112752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3692131891200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SRC_EPOCH_AI_DATA_CENTERS;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1347628140288000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SRC_EPOCH_AI_DATA_CENTERS;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SRC_AWS_RAINIER_ACTIVE; SRC_EPOCH_AI_DATA_CENTERS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SRC_AWS_RAINIER_ACTIVE; SRC_EPOCH_AI_DATA_CENTERS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0.336499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SRC_EPOCH_AI_DATA_CENTERS;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0.120505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0.215994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0.663501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SRC_EPOCH_AI_DATA_CENTERS;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229936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h200_share*h200_workload_avg + b200_share*b200_workload_avg + gb200_share*gb200_workload_avg + purpose_built_share*purpose_workload_avg</t>
        </is>
      </c>
      <c r="I164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47" s="3" t="inlineStr">
        <is>
          <t>SRC_SEMIANALYSIS_INFERENCEX; ASSUMP_NUMERIC_ACCELERATOR_MIX; ASSUMP_WORKLOAD_CLASS_MIX; ASSUMP_AGENTIC_CONTEXT_PENALTY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114968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each GPU's short chat, long chat and agentic TPS/MW are weighted before fleet mix and commercial fit are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67653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SRC_EPOCH_AI_DATA_CENTERS;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SRC_EPOCH_AI_DATA_CENTERS;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SRC_AWS_RAINIER_ACTIVE; SRC_EPOCH_AI_DATA_CENTERS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SRC_EPOCH_AI_DATA_CENTERS;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SRC_AWS_RAINIER_ACTIVE; SRC_EPOCH_AI_DATA_CENTERS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114968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8850512563200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SRC_EPOCH_AI_DATA_CENTERS;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3230437085568000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SRC_EPOCH_AI_DATA_CENTERS;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SRC_AWS_RAINIER_ACTIVE; SRC_EPOCH_AI_DATA_CENTERS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SRC_AWS_RAINIER_ACTIVE; SRC_EPOCH_AI_DATA_CENTERS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0.19944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SRC_EPOCH_AI_DATA_CENTERS;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0.07884099999999999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0.120599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0.80056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SRC_EPOCH_AI_DATA_CENTERS;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196472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h200_share*h200_workload_avg + b200_share*b200_workload_avg + gb200_share*gb200_workload_avg + purpose_built_share*purpose_workload_avg</t>
        </is>
      </c>
      <c r="I167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70" s="3" t="inlineStr">
        <is>
          <t>SRC_SEMIANALYSIS_INFERENCEX; ASSUMP_NUMERIC_ACCELERATOR_MIX; ASSUMP_WORKLOAD_CLASS_MIX; ASSUMP_AGENTIC_CONTEXT_PENALTY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98236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each GPU's short chat, long chat and agentic TPS/MW are weighted before fleet mix and commercial fit are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67653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SRC_EPOCH_AI_DATA_CENTERS;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SRC_EPOCH_AI_DATA_CENTERS;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SRC_AWS_RAINIER_ACTIVE; SRC_EPOCH_AI_DATA_CENTERS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SRC_EPOCH_AI_DATA_CENTERS;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SRC_AWS_RAINIER_ACTIVE; SRC_EPOCH_AI_DATA_CENTERS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98236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12663484876800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SRC_EPOCH_AI_DATA_CENTERS;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4622171980032000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SRC_EPOCH_AI_DATA_CENTERS;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SRC_AWS_RAINIER_ACTIVE; SRC_EPOCH_AI_DATA_CENTERS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SRC_AWS_RAINIER_ACTIVE; SRC_EPOCH_AI_DATA_CENTERS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0.19944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SRC_EPOCH_AI_DATA_CENTERS;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0.07884099999999999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0.120599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0.80056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SRC_EPOCH_AI_DATA_CENTERS;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196472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h200_share*h200_workload_avg + b200_share*b200_workload_avg + gb200_share*gb200_workload_avg + purpose_built_share*purpose_workload_avg</t>
        </is>
      </c>
      <c r="I169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93" s="3" t="inlineStr">
        <is>
          <t>SRC_SEMIANALYSIS_INFERENCEX; ASSUMP_NUMERIC_ACCELERATOR_MIX; ASSUMP_WORKLOAD_CLASS_MIX; ASSUMP_AGENTIC_CONTEXT_PENALTY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98236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each GPU's short chat, long chat and agentic TPS/MW are weighted before fleet mix and commercial fit are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67653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SRC_EPOCH_AI_DATA_CENTERS;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SRC_EPOCH_AI_DATA_CENTERS;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SRC_AWS_RAINIER_ACTIVE; SRC_EPOCH_AI_DATA_CENTERS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SRC_EPOCH_AI_DATA_CENTERS;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SRC_AWS_RAINIER_ACTIVE; SRC_EPOCH_AI_DATA_CENTERS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98236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18536897433600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SRC_EPOCH_AI_DATA_CENTERS;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6765967563264000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SRC_EPOCH_AI_DATA_CENTERS;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SRC_AWS_RAINIER_ACTIVE; SRC_EPOCH_AI_DATA_CENTERS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SRC_AWS_RAINIER_ACTIVE; SRC_EPOCH_AI_DATA_CENTERS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0.19944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SRC_EPOCH_AI_DATA_CENTERS;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0.07884099999999999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0.120599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0.80056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SRC_EPOCH_AI_DATA_CENTERS;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196472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h200_share*h200_workload_avg + b200_share*b200_workload_avg + gb200_share*gb200_workload_avg + purpose_built_share*purpose_workload_avg</t>
        </is>
      </c>
      <c r="I171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16" s="3" t="inlineStr">
        <is>
          <t>SRC_SEMIANALYSIS_INFERENCEX; ASSUMP_NUMERIC_ACCELERATOR_MIX; ASSUMP_WORKLOAD_CLASS_MIX; ASSUMP_AGENTIC_CONTEXT_PENALTY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98236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each GPU's short chat, long chat and agentic TPS/MW are weighted before fleet mix and commercial fit are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67653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SRC_EPOCH_AI_DATA_CENTERS;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SRC_EPOCH_AI_DATA_CENTERS;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SRC_AWS_RAINIER_ACTIVE; SRC_EPOCH_AI_DATA_CENTERS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SRC_EPOCH_AI_DATA_CENTERS;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SRC_AWS_RAINIER_ACTIVE; SRC_EPOCH_AI_DATA_CENTERS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98236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25174193126400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SRC_EPOCH_AI_DATA_CENTERS;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9188580491136000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SRC_EPOCH_AI_DATA_CENTERS;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SRC_DEEPSEEK_H800_INFERENCE; SRC_EPOCH_AI_DATA_CENTERS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SRC_DEEPSEEK_H800_INFERENCE; SRC_EPOCH_AI_DATA_CENTERS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SRC_EPOCH_AI_DATA_CENTERS;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SRC_EPOCH_AI_DATA_CENTERS;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140577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h200_share*h200_workload_avg + b200_share*b200_workload_avg + gb200_share*gb200_workload_avg + purpose_built_share*purpose_workload_avg</t>
        </is>
      </c>
      <c r="I173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39" s="3" t="inlineStr">
        <is>
          <t>SRC_SEMIANALYSIS_INFERENCEX; ASSUMP_NUMERIC_ACCELERATOR_MIX; ASSUMP_WORKLOAD_CLASS_MIX; ASSUMP_AGENTIC_CONTEXT_PENALTY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119490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each GPU's short chat, long chat and agentic TPS/MW are weighted before fleet mix and commercial fit are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334536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SRC_EPOCH_AI_DATA_CENTERS;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SRC_EPOCH_AI_DATA_CENTERS;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SRC_DEEPSEEK_H800_INFERENCE; SRC_EPOCH_AI_DATA_CENTERS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SRC_EPOCH_AI_DATA_CENTERS;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SRC_DEEPSEEK_H800_INFERENCE; SRC_EPOCH_AI_DATA_CENTERS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119490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629760096000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SRC_EPOCH_AI_DATA_CENTERS;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229862435040000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SRC_EPOCH_AI_DATA_CENTERS;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SRC_DEEPSEEK_H800_INFERENCE; SRC_EPOCH_AI_DATA_CENTERS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SRC_DEEPSEEK_H800_INFERENCE; SRC_EPOCH_AI_DATA_CENTERS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SRC_EPOCH_AI_DATA_CENTERS;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SRC_EPOCH_AI_DATA_CENTERS;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151424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h200_share*h200_workload_avg + b200_share*b200_workload_avg + gb200_share*gb200_workload_avg + purpose_built_share*purpose_workload_avg</t>
        </is>
      </c>
      <c r="I176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62" s="3" t="inlineStr">
        <is>
          <t>SRC_SEMIANALYSIS_INFERENCEX; ASSUMP_NUMERIC_ACCELERATOR_MIX; ASSUMP_WORKLOAD_CLASS_MIX; ASSUMP_AGENTIC_CONTEXT_PENALTY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128710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each GPU's short chat, long chat and agentic TPS/MW are weighted before fleet mix and commercial fit are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334536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SRC_EPOCH_AI_DATA_CENTERS;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SRC_EPOCH_AI_DATA_CENTERS;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SRC_DEEPSEEK_H800_INFERENCE; SRC_EPOCH_AI_DATA_CENTERS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SRC_EPOCH_AI_DATA_CENTERS;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SRC_DEEPSEEK_H800_INFERENCE; SRC_EPOCH_AI_DATA_CENTERS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128710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2035059552000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SRC_EPOCH_AI_DATA_CENTERS;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742796736480000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SRC_EPOCH_AI_DATA_CENTERS;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SRC_DEEPSEEK_H800_INFERENCE; SRC_EPOCH_AI_DATA_CENTERS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SRC_DEEPSEEK_H800_INFERENCE; SRC_EPOCH_AI_DATA_CENTERS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SRC_EPOCH_AI_DATA_CENTERS;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SRC_EPOCH_AI_DATA_CENTERS;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162367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h200_share*h200_workload_avg + b200_share*b200_workload_avg + gb200_share*gb200_workload_avg + purpose_built_share*purpose_workload_avg</t>
        </is>
      </c>
      <c r="I178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85" s="3" t="inlineStr">
        <is>
          <t>SRC_SEMIANALYSIS_INFERENCEX; ASSUMP_NUMERIC_ACCELERATOR_MIX; ASSUMP_WORKLOAD_CLASS_MIX; ASSUMP_AGENTIC_CONTEXT_PENALTY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138012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each GPU's short chat, long chat and agentic TPS/MW are weighted before fleet mix and commercial fit are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334536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SRC_EPOCH_AI_DATA_CENTERS;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SRC_EPOCH_AI_DATA_CENTERS;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SRC_DEEPSEEK_H800_INFERENCE; SRC_EPOCH_AI_DATA_CENTERS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SRC_EPOCH_AI_DATA_CENTERS;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SRC_DEEPSEEK_H800_INFERENCE; SRC_EPOCH_AI_DATA_CENTERS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138012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3827680012800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SRC_EPOCH_AI_DATA_CENTERS;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1397103204672000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SRC_EPOCH_AI_DATA_CENTERS;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SRC_DEEPSEEK_H800_INFERENCE; SRC_EPOCH_AI_DATA_CENTERS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SRC_DEEPSEEK_H800_INFERENCE; SRC_EPOCH_AI_DATA_CENTERS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SRC_EPOCH_AI_DATA_CENTERS;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SRC_EPOCH_AI_DATA_CENTERS;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173214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h200_share*h200_workload_avg + b200_share*b200_workload_avg + gb200_share*gb200_workload_avg + purpose_built_share*purpose_workload_avg</t>
        </is>
      </c>
      <c r="I180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08" s="3" t="inlineStr">
        <is>
          <t>SRC_SEMIANALYSIS_INFERENCEX; ASSUMP_NUMERIC_ACCELERATOR_MIX; ASSUMP_WORKLOAD_CLASS_MIX; ASSUMP_AGENTIC_CONTEXT_PENALTY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147232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each GPU's short chat, long chat and agentic TPS/MW are weighted before fleet mix and commercial fit are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334536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SRC_EPOCH_AI_DATA_CENTERS;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SRC_EPOCH_AI_DATA_CENTERS;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SRC_DEEPSEEK_H800_INFERENCE; SRC_EPOCH_AI_DATA_CENTERS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SRC_EPOCH_AI_DATA_CENTERS;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SRC_DEEPSEEK_H800_INFERENCE; SRC_EPOCH_AI_DATA_CENTERS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147232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6067842969600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SRC_EPOCH_AI_DATA_CENTERS;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2214762683904000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SRC_EPOCH_AI_DATA_CENTERS;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SRC_DEEPSEEK_H800_INFERENCE; SRC_EPOCH_AI_DATA_CENTERS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SRC_DEEPSEEK_H800_INFERENCE; SRC_EPOCH_AI_DATA_CENTERS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SRC_EPOCH_AI_DATA_CENTERS;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SRC_EPOCH_AI_DATA_CENTERS;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184158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h200_share*h200_workload_avg + b200_share*b200_workload_avg + gb200_share*gb200_workload_avg + purpose_built_share*purpose_workload_avg</t>
        </is>
      </c>
      <c r="I183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31" s="3" t="inlineStr">
        <is>
          <t>SRC_SEMIANALYSIS_INFERENCEX; ASSUMP_NUMERIC_ACCELERATOR_MIX; ASSUMP_WORKLOAD_CLASS_MIX; ASSUMP_AGENTIC_CONTEXT_PENALTY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156534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each GPU's short chat, long chat and agentic TPS/MW are weighted before fleet mix and commercial fit are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334536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SRC_EPOCH_AI_DATA_CENTERS;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SRC_EPOCH_AI_DATA_CENTERS;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SRC_DEEPSEEK_H800_INFERENCE; SRC_EPOCH_AI_DATA_CENTERS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SRC_EPOCH_AI_DATA_CENTERS;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SRC_DEEPSEEK_H800_INFERENCE; SRC_EPOCH_AI_DATA_CENTERS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156534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8804473977600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SRC_EPOCH_AI_DATA_CENTERS;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3213633001824000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SRC_EPOCH_AI_DATA_CENTERS;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SRC_ALIBABA_QWEN_GPU_DEPLOY; SRC_EPOCH_AI_DATA_CENTERS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SRC_ALIBABA_QWEN_GPU_DEPLOY; SRC_EPOCH_AI_DATA_CENTERS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SRC_EPOCH_AI_DATA_CENTERS;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1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SRC_EPOCH_AI_DATA_CENTERS;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166591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h200_share*h200_workload_avg + b200_share*b200_workload_avg + gb200_share*gb200_workload_avg + purpose_built_share*purpose_workload_avg</t>
        </is>
      </c>
      <c r="I185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54" s="3" t="inlineStr">
        <is>
          <t>SRC_SEMIANALYSIS_INFERENCEX; ASSUMP_NUMERIC_ACCELERATOR_MIX; ASSUMP_WORKLOAD_CLASS_MIX; ASSUMP_AGENTIC_CONTEXT_PENALTY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149932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each GPU's short chat, long chat and agentic TPS/MW are weighted before fleet mix and commercial fit are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996060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SRC_EPOCH_AI_DATA_CENTERS;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SRC_EPOCH_AI_DATA_CENTERS;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SRC_ALIBABA_QWEN_GPU_DEPLOY; SRC_EPOCH_AI_DATA_CENTERS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SRC_EPOCH_AI_DATA_CENTERS;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SRC_ALIBABA_QWEN_GPU_DEPLOY; SRC_EPOCH_AI_DATA_CENTERS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149932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3445797196800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SRC_EPOCH_AI_DATA_CENTERS;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1257715976832000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SRC_EPOCH_AI_DATA_CENTERS;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SRC_ALIBABA_QWEN_GPU_DEPLOY; SRC_EPOCH_AI_DATA_CENTERS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SRC_ALIBABA_QWEN_GPU_DEPLOY; SRC_EPOCH_AI_DATA_CENTERS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SRC_EPOCH_AI_DATA_CENTERS;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1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SRC_EPOCH_AI_DATA_CENTERS;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166591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h200_share*h200_workload_avg + b200_share*b200_workload_avg + gb200_share*gb200_workload_avg + purpose_built_share*purpose_workload_avg</t>
        </is>
      </c>
      <c r="I187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77" s="3" t="inlineStr">
        <is>
          <t>SRC_SEMIANALYSIS_INFERENCEX; ASSUMP_NUMERIC_ACCELERATOR_MIX; ASSUMP_WORKLOAD_CLASS_MIX; ASSUMP_AGENTIC_CONTEXT_PENALTY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149932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each GPU's short chat, long chat and agentic TPS/MW are weighted before fleet mix and commercial fit are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996060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SRC_EPOCH_AI_DATA_CENTERS;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SRC_EPOCH_AI_DATA_CENTERS;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SRC_ALIBABA_QWEN_GPU_DEPLOY; SRC_EPOCH_AI_DATA_CENTERS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SRC_EPOCH_AI_DATA_CENTERS;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SRC_ALIBABA_QWEN_GPU_DEPLOY; SRC_EPOCH_AI_DATA_CENTERS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149932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7409759385600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SRC_EPOCH_AI_DATA_CENTERS;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2704562175744000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SRC_EPOCH_AI_DATA_CENTERS;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SRC_ALIBABA_QWEN_GPU_DEPLOY; SRC_EPOCH_AI_DATA_CENTERS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SRC_ALIBABA_QWEN_GPU_DEPLOY; SRC_EPOCH_AI_DATA_CENTERS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SRC_EPOCH_AI_DATA_CENTERS;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1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SRC_EPOCH_AI_DATA_CENTERS;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166591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h200_share*h200_workload_avg + b200_share*b200_workload_avg + gb200_share*gb200_workload_avg + purpose_built_share*purpose_workload_avg</t>
        </is>
      </c>
      <c r="I190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00" s="3" t="inlineStr">
        <is>
          <t>SRC_SEMIANALYSIS_INFERENCEX; ASSUMP_NUMERIC_ACCELERATOR_MIX; ASSUMP_WORKLOAD_CLASS_MIX; ASSUMP_AGENTIC_CONTEXT_PENALTY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149932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each GPU's short chat, long chat and agentic TPS/MW are weighted before fleet mix and commercial fit are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996060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SRC_EPOCH_AI_DATA_CENTERS;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SRC_EPOCH_AI_DATA_CENTERS;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SRC_ALIBABA_QWEN_GPU_DEPLOY; SRC_EPOCH_AI_DATA_CENTERS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SRC_EPOCH_AI_DATA_CENTERS;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SRC_ALIBABA_QWEN_GPU_DEPLOY; SRC_EPOCH_AI_DATA_CENTERS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149932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11917794816000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SRC_EPOCH_AI_DATA_CENTERS;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4349995107840000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SRC_EPOCH_AI_DATA_CENTERS;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SRC_ALIBABA_QWEN_GPU_DEPLOY; SRC_EPOCH_AI_DATA_CENTERS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SRC_ALIBABA_QWEN_GPU_DEPLOY; SRC_EPOCH_AI_DATA_CENTERS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SRC_EPOCH_AI_DATA_CENTERS;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1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SRC_EPOCH_AI_DATA_CENTERS;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166591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h200_share*h200_workload_avg + b200_share*b200_workload_avg + gb200_share*gb200_workload_avg + purpose_built_share*purpose_workload_avg</t>
        </is>
      </c>
      <c r="I192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23" s="3" t="inlineStr">
        <is>
          <t>SRC_SEMIANALYSIS_INFERENCEX; ASSUMP_NUMERIC_ACCELERATOR_MIX; ASSUMP_WORKLOAD_CLASS_MIX; ASSUMP_AGENTIC_CONTEXT_PENALTY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149932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each GPU's short chat, long chat and agentic TPS/MW are weighted before fleet mix and commercial fit are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996060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SRC_EPOCH_AI_DATA_CENTERS;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SRC_EPOCH_AI_DATA_CENTERS;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SRC_ALIBABA_QWEN_GPU_DEPLOY; SRC_EPOCH_AI_DATA_CENTERS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SRC_EPOCH_AI_DATA_CENTERS;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SRC_ALIBABA_QWEN_GPU_DEPLOY; SRC_EPOCH_AI_DATA_CENTERS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149932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16995811737600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SRC_EPOCH_AI_DATA_CENTERS;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6203471284224000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SRC_EPOCH_AI_DATA_CENTERS;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SRC_ALIBABA_QWEN_GPU_DEPLOY; SRC_EPOCH_AI_DATA_CENTERS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SRC_ALIBABA_QWEN_GPU_DEPLOY; SRC_EPOCH_AI_DATA_CENTERS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SRC_EPOCH_AI_DATA_CENTERS;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SRC_EPOCH_AI_DATA_CENTERS;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166591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h200_share*h200_workload_avg + b200_share*b200_workload_avg + gb200_share*gb200_workload_avg + purpose_built_share*purpose_workload_avg</t>
        </is>
      </c>
      <c r="I194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46" s="3" t="inlineStr">
        <is>
          <t>SRC_SEMIANALYSIS_INFERENCEX; ASSUMP_NUMERIC_ACCELERATOR_MIX; ASSUMP_WORKLOAD_CLASS_MIX; ASSUMP_AGENTIC_CONTEXT_PENALTY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149932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each GPU's short chat, long chat and agentic TPS/MW are weighted before fleet mix and commercial fit are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996060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SRC_EPOCH_AI_DATA_CENTERS;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SRC_EPOCH_AI_DATA_CENTERS;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SRC_ALIBABA_QWEN_GPU_DEPLOY; SRC_EPOCH_AI_DATA_CENTERS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SRC_EPOCH_AI_DATA_CENTERS;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SRC_ALIBABA_QWEN_GPU_DEPLOY; SRC_EPOCH_AI_DATA_CENTERS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149932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22643810150400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SRC_EPOCH_AI_DATA_CENTERS;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8264990704896000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SRC_EPOCH_AI_DATA_CENTERS;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SRC_TENCENT_AI_INFRA_MOE; SRC_EPOCH_AI_DATA_CENTERS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SRC_TENCENT_AI_INFRA_MOE; SRC_EPOCH_AI_DATA_CENTERS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SRC_EPOCH_AI_DATA_CENTERS;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Replace 02a CSP contract allocations and 02b CSP accelerator mix with contract/procurement telemetry. 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SRC_EPOCH_AI_DATA_CENTERS;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Replace 02a CSP contract allocations and 02b CSP accelerator mix with contract/procurement telemetry. 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2359967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h200_share*h200_workload_avg + b200_share*b200_workload_avg + gb200_share*gb200_workload_avg + purpose_built_share*purpose_workload_avg</t>
        </is>
      </c>
      <c r="I196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69" s="3" t="inlineStr">
        <is>
          <t>SRC_SEMIANALYSIS_INFERENCEX; ASSUMP_NUMERIC_ACCELERATOR_MIX; ASSUMP_WORKLOAD_CLASS_MIX; ASSUMP_AGENTIC_CONTEXT_PENALTY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1415980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each GPU's short chat, long chat and agentic TPS/MW are weighted before fleet mix and commercial fit are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2710180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SRC_EPOCH_AI_DATA_CENTERS;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SRC_EPOCH_AI_DATA_CENTERS;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SRC_TENCENT_AI_INFRA_MOE; SRC_EPOCH_AI_DATA_CENTERS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SRC_EPOCH_AI_DATA_CENTERS;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SRC_TENCENT_AI_INFRA_MOE; SRC_EPOCH_AI_DATA_CENTERS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1415980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22510683648000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SRC_EPOCH_AI_DATA_CENTERS;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8216399531520000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SRC_EPOCH_AI_DATA_CENTERS;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SRC_TENCENT_AI_INFRA_MOE; SRC_EPOCH_AI_DATA_CENTERS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SRC_TENCENT_AI_INFRA_MOE; SRC_EPOCH_AI_DATA_CENTERS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SRC_EPOCH_AI_DATA_CENTERS;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Replace 02a CSP contract allocations and 02b CSP accelerator mix with contract/procurement telemetry. 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SRC_EPOCH_AI_DATA_CENTERS;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Replace 02a CSP contract allocations and 02b CSP accelerator mix with contract/procurement telemetry. 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2616983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h200_share*h200_workload_avg + b200_share*b200_workload_avg + gb200_share*gb200_workload_avg + purpose_built_share*purpose_workload_avg</t>
        </is>
      </c>
      <c r="I199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92" s="3" t="inlineStr">
        <is>
          <t>SRC_SEMIANALYSIS_INFERENCEX; ASSUMP_NUMERIC_ACCELERATOR_MIX; ASSUMP_WORKLOAD_CLASS_MIX; ASSUMP_AGENTIC_CONTEXT_PENALTY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1570190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each GPU's short chat, long chat and agentic TPS/MW are weighted before fleet mix and commercial fit are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2710180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SRC_EPOCH_AI_DATA_CENTERS;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SRC_EPOCH_AI_DATA_CENTERS;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SRC_TENCENT_AI_INFRA_MOE; SRC_EPOCH_AI_DATA_CENTERS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SRC_EPOCH_AI_DATA_CENTERS;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SRC_TENCENT_AI_INFRA_MOE; SRC_EPOCH_AI_DATA_CENTERS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1570190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56436397056000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SRC_EPOCH_AI_DATA_CENTERS;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2.059928492544e+16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SRC_EPOCH_AI_DATA_CENTERS;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SRC_TENCENT_AI_INFRA_MOE; SRC_EPOCH_AI_DATA_CENTERS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SRC_TENCENT_AI_INFRA_MOE; SRC_EPOCH_AI_DATA_CENTERS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SRC_EPOCH_AI_DATA_CENTERS;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Replace 02a CSP contract allocations and 02b CSP accelerator mix with contract/procurement telemetry. 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SRC_EPOCH_AI_DATA_CENTERS;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Replace 02a CSP contract allocations and 02b CSP accelerator mix with contract/procurement telemetry. 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2876295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h200_share*h200_workload_avg + b200_share*b200_workload_avg + gb200_share*gb200_workload_avg + purpose_built_share*purpose_workload_avg</t>
        </is>
      </c>
      <c r="I201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15" s="3" t="inlineStr">
        <is>
          <t>SRC_SEMIANALYSIS_INFERENCEX; ASSUMP_NUMERIC_ACCELERATOR_MIX; ASSUMP_WORKLOAD_CLASS_MIX; ASSUMP_AGENTIC_CONTEXT_PENALTY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1725777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each GPU's short chat, long chat and agentic TPS/MW are weighted before fleet mix and commercial fit are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2710180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SRC_EPOCH_AI_DATA_CENTERS;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SRC_EPOCH_AI_DATA_CENTERS;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SRC_TENCENT_AI_INFRA_MOE; SRC_EPOCH_AI_DATA_CENTERS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SRC_EPOCH_AI_DATA_CENTERS;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SRC_TENCENT_AI_INFRA_MOE; SRC_EPOCH_AI_DATA_CENTERS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1725777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101541957436800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SRC_EPOCH_AI_DATA_CENTERS;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3.7062814464432e+16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SRC_EPOCH_AI_DATA_CENTERS;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SRC_TENCENT_AI_INFRA_MOE; SRC_EPOCH_AI_DATA_CENTERS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SRC_TENCENT_AI_INFRA_MOE; SRC_EPOCH_AI_DATA_CENTERS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SRC_EPOCH_AI_DATA_CENTERS;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Replace 02a CSP contract allocations and 02b CSP accelerator mix with contract/procurement telemetry. 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SRC_EPOCH_AI_DATA_CENTERS;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Replace 02a CSP contract allocations and 02b CSP accelerator mix with contract/procurement telemetry. 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3133311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h200_share*h200_workload_avg + b200_share*b200_workload_avg + gb200_share*gb200_workload_avg + purpose_built_share*purpose_workload_avg</t>
        </is>
      </c>
      <c r="I203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38" s="3" t="inlineStr">
        <is>
          <t>SRC_SEMIANALYSIS_INFERENCEX; ASSUMP_NUMERIC_ACCELERATOR_MIX; ASSUMP_WORKLOAD_CLASS_MIX; ASSUMP_AGENTIC_CONTEXT_PENALTY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1879987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each GPU's short chat, long chat and agentic TPS/MW are weighted before fleet mix and commercial fit are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2710180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SRC_EPOCH_AI_DATA_CENTERS;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SRC_EPOCH_AI_DATA_CENTERS;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SRC_TENCENT_AI_INFRA_MOE; SRC_EPOCH_AI_DATA_CENTERS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SRC_EPOCH_AI_DATA_CENTERS;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SRC_TENCENT_AI_INFRA_MOE; SRC_EPOCH_AI_DATA_CENTERS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1879987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159182259264000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SRC_EPOCH_AI_DATA_CENTERS;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5.810152463136e+16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SRC_EPOCH_AI_DATA_CENTERS;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SRC_TENCENT_AI_INFRA_MOE; SRC_EPOCH_AI_DATA_CENTERS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SRC_TENCENT_AI_INFRA_MOE; SRC_EPOCH_AI_DATA_CENTERS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SRC_EPOCH_AI_DATA_CENTERS;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Replace 02a CSP contract allocations and 02b CSP accelerator mix with contract/procurement telemetry. 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SRC_EPOCH_AI_DATA_CENTERS;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Replace 02a CSP contract allocations and 02b CSP accelerator mix with contract/procurement telemetry. 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3392622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h200_share*h200_workload_avg + b200_share*b200_workload_avg + gb200_share*gb200_workload_avg + purpose_built_share*purpose_workload_avg</t>
        </is>
      </c>
      <c r="I206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61" s="3" t="inlineStr">
        <is>
          <t>SRC_SEMIANALYSIS_INFERENCEX; ASSUMP_NUMERIC_ACCELERATOR_MIX; ASSUMP_WORKLOAD_CLASS_MIX; ASSUMP_AGENTIC_CONTEXT_PENALTY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2035573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each GPU's short chat, long chat and agentic TPS/MW are weighted before fleet mix and commercial fit are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2710180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SRC_EPOCH_AI_DATA_CENTERS;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SRC_EPOCH_AI_DATA_CENTERS;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SRC_TENCENT_AI_INFRA_MOE; SRC_EPOCH_AI_DATA_CENTERS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SRC_EPOCH_AI_DATA_CENTERS;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SRC_TENCENT_AI_INFRA_MOE; SRC_EPOCH_AI_DATA_CENTERS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2035573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230570167939200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SRC_EPOCH_AI_DATA_CENTERS;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8.4158111297808e+16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SRC_EPOCH_AI_DATA_CENTERS;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SRC_MS_MAIA200; SRC_EPOCH_AI_DATA_CENTERS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SRC_MS_MAIA200; SRC_EPOCH_AI_DATA_CENTERS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1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SRC_EPOCH_AI_DATA_CENTERS;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0.173278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0.826722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SRC_EPOCH_AI_DATA_CENTERS;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2587859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h200_share*h200_workload_avg + b200_share*b200_workload_avg + gb200_share*gb200_workload_avg + purpose_built_share*purpose_workload_avg</t>
        </is>
      </c>
      <c r="I208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84" s="3" t="inlineStr">
        <is>
          <t>SRC_SEMIANALYSIS_INFERENCEX; ASSUMP_NUMERIC_ACCELERATOR_MIX; ASSUMP_WORKLOAD_CLASS_MIX; ASSUMP_AGENTIC_CONTEXT_PENALTY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2070287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each GPU's short chat, long chat and agentic TPS/MW are weighted before fleet mix and commercial fit are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3613574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SRC_EPOCH_AI_DATA_CENTERS;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SRC_EPOCH_AI_DATA_CENTERS;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SRC_MS_MAIA200; SRC_EPOCH_AI_DATA_CENTERS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SRC_EPOCH_AI_DATA_CENTERS;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SRC_MS_MAIA200; SRC_EPOCH_AI_DATA_CENTERS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2070287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145423583798400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SRC_EPOCH_AI_DATA_CENTERS;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5.3079608086416e+16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SRC_EPOCH_AI_DATA_CENTERS;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SRC_MS_MAIA200; SRC_EPOCH_AI_DATA_CENTERS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SRC_MS_MAIA200; SRC_EPOCH_AI_DATA_CENTERS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SRC_EPOCH_AI_DATA_CENTERS;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0.124979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0.875021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SRC_EPOCH_AI_DATA_CENTERS;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2672937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h200_share*h200_workload_avg + b200_share*b200_workload_avg + gb200_share*gb200_workload_avg + purpose_built_share*purpose_workload_avg</t>
        </is>
      </c>
      <c r="I210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07" s="3" t="inlineStr">
        <is>
          <t>SRC_SEMIANALYSIS_INFERENCEX; ASSUMP_NUMERIC_ACCELERATOR_MIX; ASSUMP_WORKLOAD_CLASS_MIX; ASSUMP_AGENTIC_CONTEXT_PENALTY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2138350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each GPU's short chat, long chat and agentic TPS/MW are weighted before fleet mix and commercial fit are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3613574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SRC_EPOCH_AI_DATA_CENTERS;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SRC_EPOCH_AI_DATA_CENTERS;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SRC_MS_MAIA200; SRC_EPOCH_AI_DATA_CENTERS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SRC_EPOCH_AI_DATA_CENTERS;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SRC_MS_MAIA200; SRC_EPOCH_AI_DATA_CENTERS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2138350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273250337760000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SRC_EPOCH_AI_DATA_CENTERS;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9.97363732824e+16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SRC_EPOCH_AI_DATA_CENTERS;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SRC_MS_MAIA200; SRC_EPOCH_AI_DATA_CENTERS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SRC_MS_MAIA200; SRC_EPOCH_AI_DATA_CENTERS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1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SRC_EPOCH_AI_DATA_CENTERS;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0.052258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0.947742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SRC_EPOCH_AI_DATA_CENTERS;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2801033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h200_share*h200_workload_avg + b200_share*b200_workload_avg + gb200_share*gb200_workload_avg + purpose_built_share*purpose_workload_avg</t>
        </is>
      </c>
      <c r="I213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30" s="3" t="inlineStr">
        <is>
          <t>SRC_SEMIANALYSIS_INFERENCEX; ASSUMP_NUMERIC_ACCELERATOR_MIX; ASSUMP_WORKLOAD_CLASS_MIX; ASSUMP_AGENTIC_CONTEXT_PENALTY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2240826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each GPU's short chat, long chat and agentic TPS/MW are weighted before fleet mix and commercial fit are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3613574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SRC_EPOCH_AI_DATA_CENTERS;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SRC_EPOCH_AI_DATA_CENTERS;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SRC_MS_MAIA200; SRC_EPOCH_AI_DATA_CENTERS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SRC_EPOCH_AI_DATA_CENTERS;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SRC_MS_MAIA200; SRC_EPOCH_AI_DATA_CENTERS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2240826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442392832224000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SRC_EPOCH_AI_DATA_CENTERS;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1.6147338376176e+17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SRC_EPOCH_AI_DATA_CENTERS;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SRC_MS_MAIA200; SRC_EPOCH_AI_DATA_CENTERS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SRC_MS_MAIA200; SRC_EPOCH_AI_DATA_CENTERS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1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SRC_EPOCH_AI_DATA_CENTERS;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0.052258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0.947742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SRC_EPOCH_AI_DATA_CENTERS;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2801033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h200_share*h200_workload_avg + b200_share*b200_workload_avg + gb200_share*gb200_workload_avg + purpose_built_share*purpose_workload_avg</t>
        </is>
      </c>
      <c r="I215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53" s="3" t="inlineStr">
        <is>
          <t>SRC_SEMIANALYSIS_INFERENCEX; ASSUMP_NUMERIC_ACCELERATOR_MIX; ASSUMP_WORKLOAD_CLASS_MIX; ASSUMP_AGENTIC_CONTEXT_PENALTY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2240826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each GPU's short chat, long chat and agentic TPS/MW are weighted before fleet mix and commercial fit are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3613574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SRC_EPOCH_AI_DATA_CENTERS;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SRC_EPOCH_AI_DATA_CENTERS;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SRC_MS_MAIA200; SRC_EPOCH_AI_DATA_CENTERS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SRC_EPOCH_AI_DATA_CENTERS;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SRC_MS_MAIA200; SRC_EPOCH_AI_DATA_CENTERS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2240826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627287867136000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SRC_EPOCH_AI_DATA_CENTERS;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2.2896007150464e+17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SRC_EPOCH_AI_DATA_CENTERS;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SRC_MS_MAIA200; SRC_EPOCH_AI_DATA_CENTERS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SRC_MS_MAIA200; SRC_EPOCH_AI_DATA_CENTERS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1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SRC_EPOCH_AI_DATA_CENTERS;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0.052258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0.947742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SRC_EPOCH_AI_DATA_CENTERS;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2801033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h200_share*h200_workload_avg + b200_share*b200_workload_avg + gb200_share*gb200_workload_avg + purpose_built_share*purpose_workload_avg</t>
        </is>
      </c>
      <c r="I217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76" s="3" t="inlineStr">
        <is>
          <t>SRC_SEMIANALYSIS_INFERENCEX; ASSUMP_NUMERIC_ACCELERATOR_MIX; ASSUMP_WORKLOAD_CLASS_MIX; ASSUMP_AGENTIC_CONTEXT_PENALTY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2240826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each GPU's short chat, long chat and agentic TPS/MW are weighted before fleet mix and commercial fit are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3613574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SRC_EPOCH_AI_DATA_CENTERS;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SRC_EPOCH_AI_DATA_CENTERS;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SRC_MS_MAIA200; SRC_EPOCH_AI_DATA_CENTERS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SRC_EPOCH_AI_DATA_CENTERS;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SRC_MS_MAIA200; SRC_EPOCH_AI_DATA_CENTERS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2240826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842579258572800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SRC_EPOCH_AI_DATA_CENTERS;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3.07541429379072e+17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SRC_EPOCH_AI_DATA_CENTERS;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SRC_GOOGLE_TPU_V6E; SRC_EPOCH_AI_DATA_CENTERS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SRC_GOOGLE_TPU_V6E; SRC_EPOCH_AI_DATA_CENTERS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0.057223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SRC_EPOCH_AI_DATA_CENTERS;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0.057223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0.942777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SRC_EPOCH_AI_DATA_CENTERS;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167768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h200_share*h200_workload_avg + b200_share*b200_workload_avg + gb200_share*gb200_workload_avg + purpose_built_share*purpose_workload_avg</t>
        </is>
      </c>
      <c r="I219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199" s="3" t="inlineStr">
        <is>
          <t>SRC_SEMIANALYSIS_INFERENCEX; ASSUMP_NUMERIC_ACCELERATOR_MIX; ASSUMP_WORKLOAD_CLASS_MIX; ASSUMP_AGENTIC_CONTEXT_PENALTY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134214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each GPU's short chat, long chat and agentic TPS/MW are weighted before fleet mix and commercial fit are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108245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SRC_EPOCH_AI_DATA_CENTERS;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SRC_EPOCH_AI_DATA_CENTERS;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SRC_GOOGLE_TPU_V6E; SRC_EPOCH_AI_DATA_CENTERS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SRC_EPOCH_AI_DATA_CENTERS;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SRC_GOOGLE_TPU_V6E; SRC_EPOCH_AI_DATA_CENTERS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134214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11990356646400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SRC_EPOCH_AI_DATA_CENTERS;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4376480175936000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SRC_EPOCH_AI_DATA_CENTERS;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SRC_GOOGLE_TPU_V6E; SRC_EPOCH_AI_DATA_CENTERS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SRC_GOOGLE_TPU_V6E; SRC_EPOCH_AI_DATA_CENTERS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0.088811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SRC_EPOCH_AI_DATA_CENTERS;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0.088811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0.911189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SRC_EPOCH_AI_DATA_CENTERS;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167768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h200_share*h200_workload_avg + b200_share*b200_workload_avg + gb200_share*gb200_workload_avg + purpose_built_share*purpose_workload_avg</t>
        </is>
      </c>
      <c r="I222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22" s="3" t="inlineStr">
        <is>
          <t>SRC_SEMIANALYSIS_INFERENCEX; ASSUMP_NUMERIC_ACCELERATOR_MIX; ASSUMP_WORKLOAD_CLASS_MIX; ASSUMP_AGENTIC_CONTEXT_PENALTY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134214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each GPU's short chat, long chat and agentic TPS/MW are weighted before fleet mix and commercial fit are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108245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SRC_EPOCH_AI_DATA_CENTERS;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SRC_EPOCH_AI_DATA_CENTERS;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SRC_GOOGLE_TPU_V6E; SRC_EPOCH_AI_DATA_CENTERS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SRC_EPOCH_AI_DATA_CENTERS;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SRC_GOOGLE_TPU_V6E; SRC_EPOCH_AI_DATA_CENTERS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134214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20385925516800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SRC_EPOCH_AI_DATA_CENTERS;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7440862813632000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SRC_EPOCH_AI_DATA_CENTERS;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SRC_GOOGLE_TPU_V6E; SRC_EPOCH_AI_DATA_CENTERS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SRC_GOOGLE_TPU_V6E; SRC_EPOCH_AI_DATA_CENTERS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0.088811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SRC_EPOCH_AI_DATA_CENTERS;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0.088811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0.911189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SRC_EPOCH_AI_DATA_CENTERS;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167768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h200_share*h200_workload_avg + b200_share*b200_workload_avg + gb200_share*gb200_workload_avg + purpose_built_share*purpose_workload_avg</t>
        </is>
      </c>
      <c r="I224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45" s="3" t="inlineStr">
        <is>
          <t>SRC_SEMIANALYSIS_INFERENCEX; ASSUMP_NUMERIC_ACCELERATOR_MIX; ASSUMP_WORKLOAD_CLASS_MIX; ASSUMP_AGENTIC_CONTEXT_PENALTY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134214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each GPU's short chat, long chat and agentic TPS/MW are weighted before fleet mix and commercial fit are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108245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SRC_EPOCH_AI_DATA_CENTERS;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SRC_EPOCH_AI_DATA_CENTERS;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SRC_GOOGLE_TPU_V6E; SRC_EPOCH_AI_DATA_CENTERS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SRC_EPOCH_AI_DATA_CENTERS;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SRC_GOOGLE_TPU_V6E; SRC_EPOCH_AI_DATA_CENTERS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134214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30370158662400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SRC_EPOCH_AI_DATA_CENTERS;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1.1085107911776e+16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SRC_EPOCH_AI_DATA_CENTERS;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SRC_GOOGLE_TPU_V6E; SRC_EPOCH_AI_DATA_CENTERS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SRC_GOOGLE_TPU_V6E; SRC_EPOCH_AI_DATA_CENTERS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0.088811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SRC_EPOCH_AI_DATA_CENTERS;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0.088811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0.911189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SRC_EPOCH_AI_DATA_CENTERS;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167768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h200_share*h200_workload_avg + b200_share*b200_workload_avg + gb200_share*gb200_workload_avg + purpose_built_share*purpose_workload_avg</t>
        </is>
      </c>
      <c r="I226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68" s="3" t="inlineStr">
        <is>
          <t>SRC_SEMIANALYSIS_INFERENCEX; ASSUMP_NUMERIC_ACCELERATOR_MIX; ASSUMP_WORKLOAD_CLASS_MIX; ASSUMP_AGENTIC_CONTEXT_PENALTY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134214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each GPU's short chat, long chat and agentic TPS/MW are weighted before fleet mix and commercial fit are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108245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SRC_EPOCH_AI_DATA_CENTERS;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SRC_EPOCH_AI_DATA_CENTERS;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SRC_GOOGLE_TPU_V6E; SRC_EPOCH_AI_DATA_CENTERS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SRC_EPOCH_AI_DATA_CENTERS;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SRC_GOOGLE_TPU_V6E; SRC_EPOCH_AI_DATA_CENTERS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134214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42047420889600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SRC_EPOCH_AI_DATA_CENTERS;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1.5347308624704e+16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SRC_EPOCH_AI_DATA_CENTERS;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SRC_GOOGLE_TPU_V6E; SRC_EPOCH_AI_DATA_CENTERS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SRC_GOOGLE_TPU_V6E; SRC_EPOCH_AI_DATA_CENTERS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0.088811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SRC_EPOCH_AI_DATA_CENTERS;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0.088811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0.911189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SRC_EPOCH_AI_DATA_CENTERS;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167768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h200_share*h200_workload_avg + b200_share*b200_workload_avg + gb200_share*gb200_workload_avg + purpose_built_share*purpose_workload_avg</t>
        </is>
      </c>
      <c r="I229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91" s="3" t="inlineStr">
        <is>
          <t>SRC_SEMIANALYSIS_INFERENCEX; ASSUMP_NUMERIC_ACCELERATOR_MIX; ASSUMP_WORKLOAD_CLASS_MIX; ASSUMP_AGENTIC_CONTEXT_PENALTY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134214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each GPU's short chat, long chat and agentic TPS/MW are weighted before fleet mix and commercial fit are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108245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SRC_EPOCH_AI_DATA_CENTERS;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SRC_EPOCH_AI_DATA_CENTERS;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SRC_GOOGLE_TPU_V6E; SRC_EPOCH_AI_DATA_CENTERS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SRC_EPOCH_AI_DATA_CENTERS;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SRC_GOOGLE_TPU_V6E; SRC_EPOCH_AI_DATA_CENTERS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134214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55348135660800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SRC_EPOCH_AI_DATA_CENTERS;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2.0202069516192e+16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SRC_EPOCH_AI_DATA_CENTERS;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SRC_META_MTIA_GENAI_2026; SRC_EPOCH_AI_DATA_CENTERS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SRC_META_MTIA_GENAI_2026; SRC_EPOCH_AI_DATA_CENTERS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1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SRC_EPOCH_AI_DATA_CENTERS;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0.09603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0.9039700000000001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SRC_EPOCH_AI_DATA_CENTERS;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920581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h200_share*h200_workload_avg + b200_share*b200_workload_avg + gb200_share*gb200_workload_avg + purpose_built_share*purpose_workload_avg</t>
        </is>
      </c>
      <c r="I231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14" s="3" t="inlineStr">
        <is>
          <t>SRC_SEMIANALYSIS_INFERENCEX; ASSUMP_NUMERIC_ACCELERATOR_MIX; ASSUMP_WORKLOAD_CLASS_MIX; ASSUMP_AGENTIC_CONTEXT_PENALTY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920581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each GPU's short chat, long chat and agentic TPS/MW are weighted before fleet mix and commercial fit are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1228515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SRC_EPOCH_AI_DATA_CENTERS;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SRC_EPOCH_AI_DATA_CENTERS;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SRC_META_MTIA_GENAI_2026; SRC_EPOCH_AI_DATA_CENTERS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SRC_EPOCH_AI_DATA_CENTERS;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SRC_META_MTIA_GENAI_2026; SRC_EPOCH_AI_DATA_CENTERS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920581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61005798172800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SRC_EPOCH_AI_DATA_CENTERS;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2.2267116333072e+16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SRC_EPOCH_AI_DATA_CENTERS;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SRC_META_MTIA_GENAI_2026; SRC_EPOCH_AI_DATA_CENTERS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SRC_META_MTIA_GENAI_2026; SRC_EPOCH_AI_DATA_CENTERS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SRC_EPOCH_AI_DATA_CENTERS;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0.09216000000000001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0.90784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SRC_EPOCH_AI_DATA_CENTERS;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921407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h200_share*h200_workload_avg + b200_share*b200_workload_avg + gb200_share*gb200_workload_avg + purpose_built_share*purpose_workload_avg</t>
        </is>
      </c>
      <c r="I233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37" s="3" t="inlineStr">
        <is>
          <t>SRC_SEMIANALYSIS_INFERENCEX; ASSUMP_NUMERIC_ACCELERATOR_MIX; ASSUMP_WORKLOAD_CLASS_MIX; ASSUMP_AGENTIC_CONTEXT_PENALTY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921407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each GPU's short chat, long chat and agentic TPS/MW are weighted before fleet mix and commercial fit are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1228515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SRC_EPOCH_AI_DATA_CENTERS;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SRC_EPOCH_AI_DATA_CENTERS;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SRC_META_MTIA_GENAI_2026; SRC_EPOCH_AI_DATA_CENTERS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SRC_EPOCH_AI_DATA_CENTERS;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SRC_META_MTIA_GENAI_2026; SRC_EPOCH_AI_DATA_CENTERS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921407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113841677664000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SRC_EPOCH_AI_DATA_CENTERS;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4.155221234736e+16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SRC_EPOCH_AI_DATA_CENTERS;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SRC_META_MTIA_GENAI_2026; SRC_EPOCH_AI_DATA_CENTERS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SRC_META_MTIA_GENAI_2026; SRC_EPOCH_AI_DATA_CENTERS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0.812926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SRC_EPOCH_AI_DATA_CENTERS;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0.074919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0.738007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0.187074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SRC_EPOCH_AI_DATA_CENTERS;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925083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h200_share*h200_workload_avg + b200_share*b200_workload_avg + gb200_share*gb200_workload_avg + purpose_built_share*purpose_workload_avg</t>
        </is>
      </c>
      <c r="I236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60" s="3" t="inlineStr">
        <is>
          <t>SRC_SEMIANALYSIS_INFERENCEX; ASSUMP_NUMERIC_ACCELERATOR_MIX; ASSUMP_WORKLOAD_CLASS_MIX; ASSUMP_AGENTIC_CONTEXT_PENALTY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925083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each GPU's short chat, long chat and agentic TPS/MW are weighted before fleet mix and commercial fit are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1228515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SRC_EPOCH_AI_DATA_CENTERS;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SRC_EPOCH_AI_DATA_CENTERS;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SRC_META_MTIA_GENAI_2026; SRC_EPOCH_AI_DATA_CENTERS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SRC_EPOCH_AI_DATA_CENTERS;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SRC_META_MTIA_GENAI_2026; SRC_EPOCH_AI_DATA_CENTERS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925083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178077737433600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SRC_EPOCH_AI_DATA_CENTERS;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6.4998374163264e+16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SRC_EPOCH_AI_DATA_CENTERS;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SRC_META_MTIA_GENAI_2026; SRC_EPOCH_AI_DATA_CENTERS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SRC_META_MTIA_GENAI_2026; SRC_EPOCH_AI_DATA_CENTERS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0.812926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SRC_EPOCH_AI_DATA_CENTERS;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0.074919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0.738007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0.187074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SRC_EPOCH_AI_DATA_CENTERS;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925083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h200_share*h200_workload_avg + b200_share*b200_workload_avg + gb200_share*gb200_workload_avg + purpose_built_share*purpose_workload_avg</t>
        </is>
      </c>
      <c r="I238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83" s="3" t="inlineStr">
        <is>
          <t>SRC_SEMIANALYSIS_INFERENCEX; ASSUMP_NUMERIC_ACCELERATOR_MIX; ASSUMP_WORKLOAD_CLASS_MIX; ASSUMP_AGENTIC_CONTEXT_PENALTY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925083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each GPU's short chat, long chat and agentic TPS/MW are weighted before fleet mix and commercial fit are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1228515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SRC_EPOCH_AI_DATA_CENTERS;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SRC_EPOCH_AI_DATA_CENTERS;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SRC_META_MTIA_GENAI_2026; SRC_EPOCH_AI_DATA_CENTERS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SRC_EPOCH_AI_DATA_CENTERS;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SRC_META_MTIA_GENAI_2026; SRC_EPOCH_AI_DATA_CENTERS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925083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253449059875200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SRC_EPOCH_AI_DATA_CENTERS;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9.2508906854448e+16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SRC_EPOCH_AI_DATA_CENTERS;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SRC_META_MTIA_GENAI_2026; SRC_EPOCH_AI_DATA_CENTERS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SRC_META_MTIA_GENAI_2026; SRC_EPOCH_AI_DATA_CENTERS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0.812926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SRC_EPOCH_AI_DATA_CENTERS;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0.074919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0.738007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0.187074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SRC_EPOCH_AI_DATA_CENTERS;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925083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h200_share*h200_workload_avg + b200_share*b200_workload_avg + gb200_share*gb200_workload_avg + purpose_built_share*purpose_workload_avg</t>
        </is>
      </c>
      <c r="I240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06" s="3" t="inlineStr">
        <is>
          <t>SRC_SEMIANALYSIS_INFERENCEX; ASSUMP_NUMERIC_ACCELERATOR_MIX; ASSUMP_WORKLOAD_CLASS_MIX; ASSUMP_AGENTIC_CONTEXT_PENALTY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925083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each GPU's short chat, long chat and agentic TPS/MW are weighted before fleet mix and commercial fit are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1228515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SRC_EPOCH_AI_DATA_CENTERS;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SRC_EPOCH_AI_DATA_CENTERS;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SRC_META_MTIA_GENAI_2026; SRC_EPOCH_AI_DATA_CENTERS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SRC_EPOCH_AI_DATA_CENTERS;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SRC_META_MTIA_GENAI_2026; SRC_EPOCH_AI_DATA_CENTERS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925083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341049239510400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SRC_EPOCH_AI_DATA_CENTERS;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1.24482972421296e+17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SRC_EPOCH_AI_DATA_CENTERS;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SRC_XAI_NVIDIA_COLOSSUS; SRC_EPOCH_AI_DATA_CENTERS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SRC_XAI_NVIDIA_COLOSSUS; SRC_EPOCH_AI_DATA_CENTERS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424" s="3" t="inlineStr">
        <is>
          <t>SRC_XAI_MODELS; SRC_XAI_NVIDIA_COLOSSUS; SRC_EPOCH_AI_DATA_CENTERS;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0.294118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0.705882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428" s="3" t="inlineStr">
        <is>
          <t>SRC_XAI_MODELS; SRC_XAI_NVIDIA_COLOSSUS; SRC_EPOCH_AI_DATA_CENTERS;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2476756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h200_share*h200_workload_avg + b200_share*b200_workload_avg + gb200_share*gb200_workload_avg + purpose_built_share*purpose_workload_avg</t>
        </is>
      </c>
      <c r="I24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29" s="3" t="inlineStr">
        <is>
          <t>SRC_SEMIANALYSIS_INFERENCEX; ASSUMP_NUMERIC_ACCELERATOR_MIX; ASSUMP_WORKLOAD_CLASS_MIX; ASSUMP_AGENTIC_CONTEXT_PENALTY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1857567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each GPU's short chat, long chat and agentic TPS/MW are weighted before fleet mix and commercial fit are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3387725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SRC_EPOCH_AI_DATA_CENTERS;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SRC_EPOCH_AI_DATA_CENTERS;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SRC_XAI_NVIDIA_COLOSSUS; SRC_EPOCH_AI_DATA_CENTERS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SRC_EPOCH_AI_DATA_CENTERS;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SRC_XAI_NVIDIA_COLOSSUS; SRC_EPOCH_AI_DATA_CENTERS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1857567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SRC_EPOCH_AI_DATA_CENTERS; SRC_SEMIANALYSIS_INFERENCEX; ASSUMP_NUMERIC_ACCELERATOR_MIX; ASSUMP_WORKLOAD_CLASS_MIX; ASSUMP_AGENTIC_CONTEXT_PENALTY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20543204966400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SRC_EPOCH_AI_DATA_CENTERS;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7498269812736000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SRC_EPOCH_AI_DATA_CENTERS;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SRC_XAI_NVIDIA_COLOSSUS; SRC_EPOCH_AI_DATA_CENTERS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SRC_XAI_NVIDIA_COLOSSUS; SRC_EPOCH_AI_DATA_CENTERS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447" s="3" t="inlineStr">
        <is>
          <t>SRC_XAI_MODELS; SRC_XAI_NVIDIA_COLOSSUS; SRC_EPOCH_AI_DATA_CENTERS;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0.294118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0.705882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451" s="3" t="inlineStr">
        <is>
          <t>SRC_XAI_MODELS; SRC_XAI_NVIDIA_COLOSSUS; SRC_EPOCH_AI_DATA_CENTERS;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2476756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h200_share*h200_workload_avg + b200_share*b200_workload_avg + gb200_share*gb200_workload_avg + purpose_built_share*purpose_workload_avg</t>
        </is>
      </c>
      <c r="I24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52" s="3" t="inlineStr">
        <is>
          <t>SRC_SEMIANALYSIS_INFERENCEX; ASSUMP_NUMERIC_ACCELERATOR_MIX; ASSUMP_WORKLOAD_CLASS_MIX; ASSUMP_AGENTIC_CONTEXT_PENALTY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1857567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each GPU's short chat, long chat and agentic TPS/MW are weighted before fleet mix and commercial fit are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3387725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SRC_EPOCH_AI_DATA_CENTERS;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SRC_EPOCH_AI_DATA_CENTERS;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SRC_XAI_NVIDIA_COLOSSUS; SRC_EPOCH_AI_DATA_CENTERS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SRC_EPOCH_AI_DATA_CENTERS;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SRC_XAI_NVIDIA_COLOSSUS; SRC_EPOCH_AI_DATA_CENTERS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1857567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SRC_EPOCH_AI_DATA_CENTERS; SRC_SEMIANALYSIS_INFERENCEX; ASSUMP_NUMERIC_ACCELERATOR_MIX; ASSUMP_WORKLOAD_CLASS_MIX; ASSUMP_AGENTIC_CONTEXT_PENALTY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61308627321600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SRC_EPOCH_AI_DATA_CENTERS;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2.2377648972384e+16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SRC_EPOCH_AI_DATA_CENTERS;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SRC_XAI_NVIDIA_COLOSSUS; SRC_EPOCH_AI_DATA_CENTERS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SRC_XAI_NVIDIA_COLOSSUS; SRC_EPOCH_AI_DATA_CENTERS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470" s="3" t="inlineStr">
        <is>
          <t>SRC_XAI_MODELS; SRC_XAI_NVIDIA_COLOSSUS; SRC_EPOCH_AI_DATA_CENTERS;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0.294118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0.705882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474" s="3" t="inlineStr">
        <is>
          <t>SRC_XAI_MODELS; SRC_XAI_NVIDIA_COLOSSUS; SRC_EPOCH_AI_DATA_CENTERS;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2476756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h200_share*h200_workload_avg + b200_share*b200_workload_avg + gb200_share*gb200_workload_avg + purpose_built_share*purpose_workload_avg</t>
        </is>
      </c>
      <c r="I24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75" s="3" t="inlineStr">
        <is>
          <t>SRC_SEMIANALYSIS_INFERENCEX; ASSUMP_NUMERIC_ACCELERATOR_MIX; ASSUMP_WORKLOAD_CLASS_MIX; ASSUMP_AGENTIC_CONTEXT_PENALTY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1857567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each GPU's short chat, long chat and agentic TPS/MW are weighted before fleet mix and commercial fit are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3387725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SRC_EPOCH_AI_DATA_CENTERS;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SRC_EPOCH_AI_DATA_CENTERS;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SRC_XAI_NVIDIA_COLOSSUS; SRC_EPOCH_AI_DATA_CENTERS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SRC_EPOCH_AI_DATA_CENTERS;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SRC_XAI_NVIDIA_COLOSSUS; SRC_EPOCH_AI_DATA_CENTERS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1857567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SRC_EPOCH_AI_DATA_CENTERS; SRC_SEMIANALYSIS_INFERENCEX; ASSUMP_NUMERIC_ACCELERATOR_MIX; ASSUMP_WORKLOAD_CLASS_MIX; ASSUMP_AGENTIC_CONTEXT_PENALTY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113629602470400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SRC_EPOCH_AI_DATA_CENTERS;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4.1474804901696e+16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SRC_EPOCH_AI_DATA_CENTERS;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SRC_XAI_NVIDIA_COLOSSUS; SRC_EPOCH_AI_DATA_CENTERS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SRC_XAI_NVIDIA_COLOSSUS; SRC_EPOCH_AI_DATA_CENTERS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493" s="3" t="inlineStr">
        <is>
          <t>SRC_XAI_MODELS; SRC_XAI_NVIDIA_COLOSSUS; SRC_EPOCH_AI_DATA_CENTERS;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0.294118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0.705882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497" s="3" t="inlineStr">
        <is>
          <t>SRC_XAI_MODELS; SRC_XAI_NVIDIA_COLOSSUS; SRC_EPOCH_AI_DATA_CENTERS;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2476756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h200_share*h200_workload_avg + b200_share*b200_workload_avg + gb200_share*gb200_workload_avg + purpose_built_share*purpose_workload_avg</t>
        </is>
      </c>
      <c r="I24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98" s="3" t="inlineStr">
        <is>
          <t>SRC_SEMIANALYSIS_INFERENCEX; ASSUMP_NUMERIC_ACCELERATOR_MIX; ASSUMP_WORKLOAD_CLASS_MIX; ASSUMP_AGENTIC_CONTEXT_PENALTY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1857567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each GPU's short chat, long chat and agentic TPS/MW are weighted before fleet mix and commercial fit are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3387725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SRC_EPOCH_AI_DATA_CENTERS;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SRC_EPOCH_AI_DATA_CENTERS;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SRC_XAI_NVIDIA_COLOSSUS; SRC_EPOCH_AI_DATA_CENTERS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SRC_EPOCH_AI_DATA_CENTERS;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SRC_XAI_NVIDIA_COLOSSUS; SRC_EPOCH_AI_DATA_CENTERS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1857567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SRC_EPOCH_AI_DATA_CENTERS; SRC_SEMIANALYSIS_INFERENCEX; ASSUMP_NUMERIC_ACCELERATOR_MIX; ASSUMP_WORKLOAD_CLASS_MIX; ASSUMP_AGENTIC_CONTEXT_PENALTY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178790080723200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SRC_EPOCH_AI_DATA_CENTERS;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6.5258379463968e+16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SRC_EPOCH_AI_DATA_CENTERS;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SRC_XAI_NVIDIA_COLOSSUS; SRC_EPOCH_AI_DATA_CENTERS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SRC_XAI_NVIDIA_COLOSSUS; SRC_EPOCH_AI_DATA_CENTERS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516" s="3" t="inlineStr">
        <is>
          <t>SRC_XAI_MODELS; SRC_XAI_NVIDIA_COLOSSUS; SRC_EPOCH_AI_DATA_CENTERS;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0.294118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0.705882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2520" s="3" t="inlineStr">
        <is>
          <t>SRC_XAI_MODELS; SRC_XAI_NVIDIA_COLOSSUS; SRC_EPOCH_AI_DATA_CENTERS;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2476756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h200_share*h200_workload_avg + b200_share*b200_workload_avg + gb200_share*gb200_workload_avg + purpose_built_share*purpose_workload_avg</t>
        </is>
      </c>
      <c r="I25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21" s="3" t="inlineStr">
        <is>
          <t>SRC_SEMIANALYSIS_INFERENCEX; ASSUMP_NUMERIC_ACCELERATOR_MIX; ASSUMP_WORKLOAD_CLASS_MIX; ASSUMP_AGENTIC_CONTEXT_PENALTY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1857567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each GPU's short chat, long chat and agentic TPS/MW are weighted before fleet mix and commercial fit are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3387725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SRC_EPOCH_AI_DATA_CENTERS;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SRC_EPOCH_AI_DATA_CENTERS;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SRC_XAI_NVIDIA_COLOSSUS; SRC_EPOCH_AI_DATA_CENTERS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SRC_EPOCH_AI_DATA_CENTERS;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SRC_XAI_NVIDIA_COLOSSUS; SRC_EPOCH_AI_DATA_CENTERS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1857567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SRC_EPOCH_AI_DATA_CENTERS; SRC_SEMIANALYSIS_INFERENCEX; ASSUMP_NUMERIC_ACCELERATOR_MIX; ASSUMP_WORKLOAD_CLASS_MIX; ASSUMP_AGENTIC_CONTEXT_PENALTY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257271543446400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SRC_EPOCH_AI_DATA_CENTERS;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9.3904113357936e+16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SRC_EPOCH_AI_DATA_CENTERS;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SRC_OPENAI_STARGATE_PROGRESS; SRC_EPOCH_AI_DATA_CENTERS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SRC_OPENAI_STARGATE_PROGRESS; SRC_EPOCH_AI_DATA_CENTERS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SRC_EPOCH_AI_DATA_CENTERS;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0.09216000000000001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0.90784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SRC_EPOCH_AI_DATA_CENTERS;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222741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h200_share*h200_workload_avg + b200_share*b200_workload_avg + gb200_share*gb200_workload_avg + purpose_built_share*purpose_workload_avg</t>
        </is>
      </c>
      <c r="I254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44" s="3" t="inlineStr">
        <is>
          <t>SRC_SEMIANALYSIS_INFERENCEX; ASSUMP_NUMERIC_ACCELERATOR_MIX; ASSUMP_WORKLOAD_CLASS_MIX; ASSUMP_AGENTIC_CONTEXT_PENALTY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155919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each GPU's short chat, long chat and agentic TPS/MW are weighted before fleet mix and commercial fit are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94714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SRC_EPOCH_AI_DATA_CENTERS;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SRC_EPOCH_AI_DATA_CENTERS;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SRC_OPENAI_STARGATE_PROGRESS; SRC_EPOCH_AI_DATA_CENTERS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SRC_EPOCH_AI_DATA_CENTERS;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SRC_OPENAI_STARGATE_PROGRESS; SRC_EPOCH_AI_DATA_CENTERS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155919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9147081686400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SRC_EPOCH_AI_DATA_CENTERS;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3338684815536000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SRC_EPOCH_AI_DATA_CENTERS;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SRC_OPENAI_STARGATE_PROGRESS; SRC_EPOCH_AI_DATA_CENTERS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SRC_OPENAI_STARGATE_PROGRESS; SRC_EPOCH_AI_DATA_CENTERS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0.978068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SRC_EPOCH_AI_DATA_CENTERS;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0.06987599999999999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0.908192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0.021932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SRC_EPOCH_AI_DATA_CENTERS;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202019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h200_share*h200_workload_avg + b200_share*b200_workload_avg + gb200_share*gb200_workload_avg + purpose_built_share*purpose_workload_avg</t>
        </is>
      </c>
      <c r="I256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67" s="3" t="inlineStr">
        <is>
          <t>SRC_SEMIANALYSIS_INFERENCEX; ASSUMP_NUMERIC_ACCELERATOR_MIX; ASSUMP_WORKLOAD_CLASS_MIX; ASSUMP_AGENTIC_CONTEXT_PENALTY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141413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each GPU's short chat, long chat and agentic TPS/MW are weighted before fleet mix and commercial fit are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94714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SRC_EPOCH_AI_DATA_CENTERS;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SRC_EPOCH_AI_DATA_CENTERS;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SRC_OPENAI_STARGATE_PROGRESS; SRC_EPOCH_AI_DATA_CENTERS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SRC_EPOCH_AI_DATA_CENTERS;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SRC_OPENAI_STARGATE_PROGRESS; SRC_EPOCH_AI_DATA_CENTERS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141413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21173938185600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SRC_EPOCH_AI_DATA_CENTERS;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7728487437744000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SRC_EPOCH_AI_DATA_CENTERS;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SRC_OPENAI_STARGATE_PROGRESS; SRC_EPOCH_AI_DATA_CENTERS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SRC_OPENAI_STARGATE_PROGRESS; SRC_EPOCH_AI_DATA_CENTERS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0.864358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SRC_EPOCH_AI_DATA_CENTERS;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0.055734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0.784048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0.024576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0.135642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SRC_EPOCH_AI_DATA_CENTERS;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189596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h200_share*h200_workload_avg + b200_share*b200_workload_avg + gb200_share*gb200_workload_avg + purpose_built_share*purpose_workload_avg</t>
        </is>
      </c>
      <c r="I259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90" s="3" t="inlineStr">
        <is>
          <t>SRC_SEMIANALYSIS_INFERENCEX; ASSUMP_NUMERIC_ACCELERATOR_MIX; ASSUMP_WORKLOAD_CLASS_MIX; ASSUMP_AGENTIC_CONTEXT_PENALTY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132717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each GPU's short chat, long chat and agentic TPS/MW are weighted before fleet mix and commercial fit are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94714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SRC_EPOCH_AI_DATA_CENTERS;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SRC_EPOCH_AI_DATA_CENTERS;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SRC_OPENAI_STARGATE_PROGRESS; SRC_EPOCH_AI_DATA_CENTERS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SRC_EPOCH_AI_DATA_CENTERS;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SRC_OPENAI_STARGATE_PROGRESS; SRC_EPOCH_AI_DATA_CENTERS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132717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34572247632000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SRC_EPOCH_AI_DATA_CENTERS;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1.261887038568e+16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SRC_EPOCH_AI_DATA_CENTERS;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SRC_OPENAI_STARGATE_PROGRESS; SRC_EPOCH_AI_DATA_CENTERS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SRC_OPENAI_STARGATE_PROGRESS; SRC_EPOCH_AI_DATA_CENTERS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0.869305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SRC_EPOCH_AI_DATA_CENTERS;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0.045663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0.790096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0.033546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0.130695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SRC_EPOCH_AI_DATA_CENTERS;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180497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h200_share*h200_workload_avg + b200_share*b200_workload_avg + gb200_share*gb200_workload_avg + purpose_built_share*purpose_workload_avg</t>
        </is>
      </c>
      <c r="I261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13" s="3" t="inlineStr">
        <is>
          <t>SRC_SEMIANALYSIS_INFERENCEX; ASSUMP_NUMERIC_ACCELERATOR_MIX; ASSUMP_WORKLOAD_CLASS_MIX; ASSUMP_AGENTIC_CONTEXT_PENALTY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126348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each GPU's short chat, long chat and agentic TPS/MW are weighted before fleet mix and commercial fit are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94714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SRC_EPOCH_AI_DATA_CENTERS;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SRC_EPOCH_AI_DATA_CENTERS;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SRC_OPENAI_STARGATE_PROGRESS; SRC_EPOCH_AI_DATA_CENTERS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SRC_EPOCH_AI_DATA_CENTERS;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SRC_OPENAI_STARGATE_PROGRESS; SRC_EPOCH_AI_DATA_CENTERS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126348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49571677555200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SRC_EPOCH_AI_DATA_CENTERS;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1.8093662307648e+16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SRC_EPOCH_AI_DATA_CENTERS;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SRC_OPENAI_STARGATE_PROGRESS; SRC_EPOCH_AI_DATA_CENTERS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SRC_OPENAI_STARGATE_PROGRESS; SRC_EPOCH_AI_DATA_CENTERS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0.869305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SRC_EPOCH_AI_DATA_CENTERS;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0.036744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0.789149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0.043412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0.130695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SRC_EPOCH_AI_DATA_CENTERS;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172495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h200_share*h200_workload_avg + b200_share*b200_workload_avg + gb200_share*gb200_workload_avg + purpose_built_share*purpose_workload_avg</t>
        </is>
      </c>
      <c r="I263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36" s="3" t="inlineStr">
        <is>
          <t>SRC_SEMIANALYSIS_INFERENCEX; ASSUMP_NUMERIC_ACCELERATOR_MIX; ASSUMP_WORKLOAD_CLASS_MIX; ASSUMP_AGENTIC_CONTEXT_PENALTY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120746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each GPU's short chat, long chat and agentic TPS/MW are weighted before fleet mix and commercial fit are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94714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SRC_EPOCH_AI_DATA_CENTERS;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SRC_EPOCH_AI_DATA_CENTERS;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SRC_OPENAI_STARGATE_PROGRESS; SRC_EPOCH_AI_DATA_CENTERS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SRC_EPOCH_AI_DATA_CENTERS;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SRC_OPENAI_STARGATE_PROGRESS; SRC_EPOCH_AI_DATA_CENTERS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120746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65995706534400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SRC_EPOCH_AI_DATA_CENTERS;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2.4088432885056e+16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SRC_EPOCH_AI_DATA_CENTERS;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SRC_AWS_RAINIER_ACTIVE; SRC_EPOCH_AI_DATA_CENTERS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SRC_AWS_RAINIER_ACTIVE; SRC_EPOCH_AI_DATA_CENTERS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0.342088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SRC_EPOCH_AI_DATA_CENTERS;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0.114987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0.227101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0.6579120000000001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SRC_EPOCH_AI_DATA_CENTERS;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225504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h200_share*h200_workload_avg + b200_share*b200_workload_avg + gb200_share*gb200_workload_avg + purpose_built_share*purpose_workload_avg</t>
        </is>
      </c>
      <c r="I265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59" s="3" t="inlineStr">
        <is>
          <t>SRC_SEMIANALYSIS_INFERENCEX; ASSUMP_NUMERIC_ACCELERATOR_MIX; ASSUMP_WORKLOAD_CLASS_MIX; ASSUMP_AGENTIC_CONTEXT_PENALTY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157853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each GPU's short chat, long chat and agentic TPS/MW are weighted before fleet mix and commercial fit are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94714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SRC_EPOCH_AI_DATA_CENTERS;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SRC_EPOCH_AI_DATA_CENTERS;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SRC_AWS_RAINIER_ACTIVE; SRC_EPOCH_AI_DATA_CENTERS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SRC_EPOCH_AI_DATA_CENTERS;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SRC_AWS_RAINIER_ACTIVE; SRC_EPOCH_AI_DATA_CENTERS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157853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5946385651200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SRC_EPOCH_AI_DATA_CENTERS;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2170430762688000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SRC_EPOCH_AI_DATA_CENTERS;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SRC_AWS_RAINIER_ACTIVE; SRC_EPOCH_AI_DATA_CENTERS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SRC_AWS_RAINIER_ACTIVE; SRC_EPOCH_AI_DATA_CENTERS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0.336499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SRC_EPOCH_AI_DATA_CENTERS;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0.120505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0.215994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0.663501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SRC_EPOCH_AI_DATA_CENTERS;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229936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h200_share*h200_workload_avg + b200_share*b200_workload_avg + gb200_share*gb200_workload_avg + purpose_built_share*purpose_workload_avg</t>
        </is>
      </c>
      <c r="I268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82" s="3" t="inlineStr">
        <is>
          <t>SRC_SEMIANALYSIS_INFERENCEX; ASSUMP_NUMERIC_ACCELERATOR_MIX; ASSUMP_WORKLOAD_CLASS_MIX; ASSUMP_AGENTIC_CONTEXT_PENALTY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160955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each GPU's short chat, long chat and agentic TPS/MW are weighted before fleet mix and commercial fit are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94714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SRC_EPOCH_AI_DATA_CENTERS;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SRC_EPOCH_AI_DATA_CENTERS;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SRC_AWS_RAINIER_ACTIVE; SRC_EPOCH_AI_DATA_CENTERS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SRC_EPOCH_AI_DATA_CENTERS;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SRC_AWS_RAINIER_ACTIVE; SRC_EPOCH_AI_DATA_CENTERS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160955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14740902720000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SRC_EPOCH_AI_DATA_CENTERS;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5380429492800000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SRC_EPOCH_AI_DATA_CENTERS;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SRC_AWS_RAINIER_ACTIVE; SRC_EPOCH_AI_DATA_CENTERS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SRC_AWS_RAINIER_ACTIVE; SRC_EPOCH_AI_DATA_CENTERS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0.19944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SRC_EPOCH_AI_DATA_CENTERS;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0.07884099999999999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0.120599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0.80056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SRC_EPOCH_AI_DATA_CENTERS;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196472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h200_share*h200_workload_avg + b200_share*b200_workload_avg + gb200_share*gb200_workload_avg + purpose_built_share*purpose_workload_avg</t>
        </is>
      </c>
      <c r="I270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05" s="3" t="inlineStr">
        <is>
          <t>SRC_SEMIANALYSIS_INFERENCEX; ASSUMP_NUMERIC_ACCELERATOR_MIX; ASSUMP_WORKLOAD_CLASS_MIX; ASSUMP_AGENTIC_CONTEXT_PENALTY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137530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each GPU's short chat, long chat and agentic TPS/MW are weighted before fleet mix and commercial fit are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94714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SRC_EPOCH_AI_DATA_CENTERS;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SRC_EPOCH_AI_DATA_CENTERS;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SRC_AWS_RAINIER_ACTIVE; SRC_EPOCH_AI_DATA_CENTERS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SRC_EPOCH_AI_DATA_CENTERS;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SRC_AWS_RAINIER_ACTIVE; SRC_EPOCH_AI_DATA_CENTERS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137530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21816438912000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SRC_EPOCH_AI_DATA_CENTERS;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7963000202880000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SRC_EPOCH_AI_DATA_CENTERS;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SRC_AWS_RAINIER_ACTIVE; SRC_EPOCH_AI_DATA_CENTERS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SRC_AWS_RAINIER_ACTIVE; SRC_EPOCH_AI_DATA_CENTERS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0.19944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SRC_EPOCH_AI_DATA_CENTERS;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0.07884099999999999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0.120599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0.80056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SRC_EPOCH_AI_DATA_CENTERS;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196472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h200_share*h200_workload_avg + b200_share*b200_workload_avg + gb200_share*gb200_workload_avg + purpose_built_share*purpose_workload_avg</t>
        </is>
      </c>
      <c r="I272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28" s="3" t="inlineStr">
        <is>
          <t>SRC_SEMIANALYSIS_INFERENCEX; ASSUMP_NUMERIC_ACCELERATOR_MIX; ASSUMP_WORKLOAD_CLASS_MIX; ASSUMP_AGENTIC_CONTEXT_PENALTY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137530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each GPU's short chat, long chat and agentic TPS/MW are weighted before fleet mix and commercial fit are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94714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SRC_EPOCH_AI_DATA_CENTERS;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SRC_EPOCH_AI_DATA_CENTERS;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SRC_AWS_RAINIER_ACTIVE; SRC_EPOCH_AI_DATA_CENTERS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SRC_EPOCH_AI_DATA_CENTERS;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SRC_AWS_RAINIER_ACTIVE; SRC_EPOCH_AI_DATA_CENTERS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137530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32938545024000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SRC_EPOCH_AI_DATA_CENTERS;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1.202256893376e+16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SRC_EPOCH_AI_DATA_CENTERS;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SRC_AWS_RAINIER_ACTIVE; SRC_EPOCH_AI_DATA_CENTERS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SRC_AWS_RAINIER_ACTIVE; SRC_EPOCH_AI_DATA_CENTERS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0.19944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SRC_EPOCH_AI_DATA_CENTERS;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0.07884099999999999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0.120599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0.80056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SRC_EPOCH_AI_DATA_CENTERS;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196472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h200_share*h200_workload_avg + b200_share*b200_workload_avg + gb200_share*gb200_workload_avg + purpose_built_share*purpose_workload_avg</t>
        </is>
      </c>
      <c r="I275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51" s="3" t="inlineStr">
        <is>
          <t>SRC_SEMIANALYSIS_INFERENCEX; ASSUMP_NUMERIC_ACCELERATOR_MIX; ASSUMP_WORKLOAD_CLASS_MIX; ASSUMP_AGENTIC_CONTEXT_PENALTY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137530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each GPU's short chat, long chat and agentic TPS/MW are weighted before fleet mix and commercial fit are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94714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SRC_EPOCH_AI_DATA_CENTERS;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SRC_EPOCH_AI_DATA_CENTERS;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SRC_AWS_RAINIER_ACTIVE; SRC_EPOCH_AI_DATA_CENTERS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SRC_EPOCH_AI_DATA_CENTERS;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SRC_AWS_RAINIER_ACTIVE; SRC_EPOCH_AI_DATA_CENTERS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137530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46092574368000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SRC_EPOCH_AI_DATA_CENTERS;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1.682378964432e+16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SRC_EPOCH_AI_DATA_CENTERS;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SRC_DEEPSEEK_H800_INFERENCE; SRC_EPOCH_AI_DATA_CENTERS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SRC_DEEPSEEK_H800_INFERENCE; SRC_EPOCH_AI_DATA_CENTERS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SRC_EPOCH_AI_DATA_CENTERS;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SRC_EPOCH_AI_DATA_CENTERS;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140577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h200_share*h200_workload_avg + b200_share*b200_workload_avg + gb200_share*gb200_workload_avg + purpose_built_share*purpose_workload_avg</t>
        </is>
      </c>
      <c r="I277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74" s="3" t="inlineStr">
        <is>
          <t>SRC_SEMIANALYSIS_INFERENCEX; ASSUMP_NUMERIC_ACCELERATOR_MIX; ASSUMP_WORKLOAD_CLASS_MIX; ASSUMP_AGENTIC_CONTEXT_PENALTY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140577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each GPU's short chat, long chat and agentic TPS/MW are weighted before fleet mix and commercial fit are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393572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SRC_EPOCH_AI_DATA_CENTERS;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SRC_EPOCH_AI_DATA_CENTERS;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SRC_DEEPSEEK_H800_INFERENCE; SRC_EPOCH_AI_DATA_CENTERS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SRC_EPOCH_AI_DATA_CENTERS;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SRC_DEEPSEEK_H800_INFERENCE; SRC_EPOCH_AI_DATA_CENTERS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140577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850209696000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SRC_EPOCH_AI_DATA_CENTERS;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310326539040000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SRC_EPOCH_AI_DATA_CENTERS;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SRC_DEEPSEEK_H800_INFERENCE; SRC_EPOCH_AI_DATA_CENTERS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SRC_DEEPSEEK_H800_INFERENCE; SRC_EPOCH_AI_DATA_CENTERS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SRC_EPOCH_AI_DATA_CENTERS;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SRC_EPOCH_AI_DATA_CENTERS;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151424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h200_share*h200_workload_avg + b200_share*b200_workload_avg + gb200_share*gb200_workload_avg + purpose_built_share*purpose_workload_avg</t>
        </is>
      </c>
      <c r="I279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97" s="3" t="inlineStr">
        <is>
          <t>SRC_SEMIANALYSIS_INFERENCEX; ASSUMP_NUMERIC_ACCELERATOR_MIX; ASSUMP_WORKLOAD_CLASS_MIX; ASSUMP_AGENTIC_CONTEXT_PENALTY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151424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each GPU's short chat, long chat and agentic TPS/MW are weighted before fleet mix and commercial fit are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393572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SRC_EPOCH_AI_DATA_CENTERS;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SRC_EPOCH_AI_DATA_CENTERS;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SRC_DEEPSEEK_H800_INFERENCE; SRC_EPOCH_AI_DATA_CENTERS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SRC_EPOCH_AI_DATA_CENTERS;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SRC_DEEPSEEK_H800_INFERENCE; SRC_EPOCH_AI_DATA_CENTERS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151424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2812852224000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SRC_EPOCH_AI_DATA_CENTERS;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1026691061760000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SRC_EPOCH_AI_DATA_CENTERS;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SRC_DEEPSEEK_H800_INFERENCE; SRC_EPOCH_AI_DATA_CENTERS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SRC_DEEPSEEK_H800_INFERENCE; SRC_EPOCH_AI_DATA_CENTERS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SRC_EPOCH_AI_DATA_CENTERS;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SRC_EPOCH_AI_DATA_CENTERS;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162367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h200_share*h200_workload_avg + b200_share*b200_workload_avg + gb200_share*gb200_workload_avg + purpose_built_share*purpose_workload_avg</t>
        </is>
      </c>
      <c r="I282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20" s="3" t="inlineStr">
        <is>
          <t>SRC_SEMIANALYSIS_INFERENCEX; ASSUMP_NUMERIC_ACCELERATOR_MIX; ASSUMP_WORKLOAD_CLASS_MIX; ASSUMP_AGENTIC_CONTEXT_PENALTY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162367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each GPU's short chat, long chat and agentic TPS/MW are weighted before fleet mix and commercial fit are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393572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SRC_EPOCH_AI_DATA_CENTERS;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SRC_EPOCH_AI_DATA_CENTERS;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SRC_DEEPSEEK_H800_INFERENCE; SRC_EPOCH_AI_DATA_CENTERS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SRC_EPOCH_AI_DATA_CENTERS;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SRC_DEEPSEEK_H800_INFERENCE; SRC_EPOCH_AI_DATA_CENTERS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162367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5485146940800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SRC_EPOCH_AI_DATA_CENTERS;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2002078633392000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SRC_EPOCH_AI_DATA_CENTERS;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SRC_DEEPSEEK_H800_INFERENCE; SRC_EPOCH_AI_DATA_CENTERS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SRC_DEEPSEEK_H800_INFERENCE; SRC_EPOCH_AI_DATA_CENTERS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SRC_EPOCH_AI_DATA_CENTERS;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SRC_EPOCH_AI_DATA_CENTERS;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173214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h200_share*h200_workload_avg + b200_share*b200_workload_avg + gb200_share*gb200_workload_avg + purpose_built_share*purpose_workload_avg</t>
        </is>
      </c>
      <c r="I284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43" s="3" t="inlineStr">
        <is>
          <t>SRC_SEMIANALYSIS_INFERENCEX; ASSUMP_NUMERIC_ACCELERATOR_MIX; ASSUMP_WORKLOAD_CLASS_MIX; ASSUMP_AGENTIC_CONTEXT_PENALTY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173214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each GPU's short chat, long chat and agentic TPS/MW are weighted before fleet mix and commercial fit are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393572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SRC_EPOCH_AI_DATA_CENTERS;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SRC_EPOCH_AI_DATA_CENTERS;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SRC_DEEPSEEK_H800_INFERENCE; SRC_EPOCH_AI_DATA_CENTERS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SRC_EPOCH_AI_DATA_CENTERS;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SRC_DEEPSEEK_H800_INFERENCE; SRC_EPOCH_AI_DATA_CENTERS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173214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8964448070400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SRC_EPOCH_AI_DATA_CENTERS;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3272023545696000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SRC_EPOCH_AI_DATA_CENTERS;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SRC_DEEPSEEK_H800_INFERENCE; SRC_EPOCH_AI_DATA_CENTERS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SRC_DEEPSEEK_H800_INFERENCE; SRC_EPOCH_AI_DATA_CENTERS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SRC_EPOCH_AI_DATA_CENTERS;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SRC_EPOCH_AI_DATA_CENTERS;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184158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h200_share*h200_workload_avg + b200_share*b200_workload_avg + gb200_share*gb200_workload_avg + purpose_built_share*purpose_workload_avg</t>
        </is>
      </c>
      <c r="I286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66" s="3" t="inlineStr">
        <is>
          <t>SRC_SEMIANALYSIS_INFERENCEX; ASSUMP_NUMERIC_ACCELERATOR_MIX; ASSUMP_WORKLOAD_CLASS_MIX; ASSUMP_AGENTIC_CONTEXT_PENALTY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184158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each GPU's short chat, long chat and agentic TPS/MW are weighted before fleet mix and commercial fit are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393572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SRC_EPOCH_AI_DATA_CENTERS;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SRC_EPOCH_AI_DATA_CENTERS;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SRC_DEEPSEEK_H800_INFERENCE; SRC_EPOCH_AI_DATA_CENTERS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SRC_EPOCH_AI_DATA_CENTERS;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SRC_DEEPSEEK_H800_INFERENCE; SRC_EPOCH_AI_DATA_CENTERS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184158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13413184761600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SRC_EPOCH_AI_DATA_CENTERS;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4895812437984000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SRC_EPOCH_AI_DATA_CENTERS;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SRC_ALIBABA_QWEN_GPU_DEPLOY; SRC_EPOCH_AI_DATA_CENTERS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SRC_ALIBABA_QWEN_GPU_DEPLOY; SRC_EPOCH_AI_DATA_CENTERS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SRC_EPOCH_AI_DATA_CENTERS;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1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SRC_EPOCH_AI_DATA_CENTERS;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166591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h200_share*h200_workload_avg + b200_share*b200_workload_avg + gb200_share*gb200_workload_avg + purpose_built_share*purpose_workload_avg</t>
        </is>
      </c>
      <c r="I288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889" s="3" t="inlineStr">
        <is>
          <t>SRC_SEMIANALYSIS_INFERENCEX; ASSUMP_NUMERIC_ACCELERATOR_MIX; ASSUMP_WORKLOAD_CLASS_MIX; ASSUMP_AGENTIC_CONTEXT_PENALTY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166591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each GPU's short chat, long chat and agentic TPS/MW are weighted before fleet mix and commercial fit are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1106733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SRC_EPOCH_AI_DATA_CENTERS;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SRC_EPOCH_AI_DATA_CENTERS;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SRC_ALIBABA_QWEN_GPU_DEPLOY; SRC_EPOCH_AI_DATA_CENTERS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SRC_EPOCH_AI_DATA_CENTERS;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SRC_ALIBABA_QWEN_GPU_DEPLOY; SRC_EPOCH_AI_DATA_CENTERS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166591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4361219107200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SRC_EPOCH_AI_DATA_CENTERS;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1591844974128000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SRC_EPOCH_AI_DATA_CENTERS;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SRC_ALIBABA_QWEN_GPU_DEPLOY; SRC_EPOCH_AI_DATA_CENTERS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SRC_ALIBABA_QWEN_GPU_DEPLOY; SRC_EPOCH_AI_DATA_CENTERS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SRC_EPOCH_AI_DATA_CENTERS;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1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SRC_EPOCH_AI_DATA_CENTERS;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166591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h200_share*h200_workload_avg + b200_share*b200_workload_avg + gb200_share*gb200_workload_avg + purpose_built_share*purpose_workload_avg</t>
        </is>
      </c>
      <c r="I291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12" s="3" t="inlineStr">
        <is>
          <t>SRC_SEMIANALYSIS_INFERENCEX; ASSUMP_NUMERIC_ACCELERATOR_MIX; ASSUMP_WORKLOAD_CLASS_MIX; ASSUMP_AGENTIC_CONTEXT_PENALTY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166591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each GPU's short chat, long chat and agentic TPS/MW are weighted before fleet mix and commercial fit are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1106733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SRC_EPOCH_AI_DATA_CENTERS;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SRC_EPOCH_AI_DATA_CENTERS;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SRC_ALIBABA_QWEN_GPU_DEPLOY; SRC_EPOCH_AI_DATA_CENTERS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SRC_EPOCH_AI_DATA_CENTERS;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SRC_ALIBABA_QWEN_GPU_DEPLOY; SRC_EPOCH_AI_DATA_CENTERS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166591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9686800195200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SRC_EPOCH_AI_DATA_CENTERS;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3535682071248000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SRC_EPOCH_AI_DATA_CENTERS;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SRC_ALIBABA_QWEN_GPU_DEPLOY; SRC_EPOCH_AI_DATA_CENTERS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SRC_ALIBABA_QWEN_GPU_DEPLOY; SRC_EPOCH_AI_DATA_CENTERS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SRC_EPOCH_AI_DATA_CENTERS;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1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SRC_EPOCH_AI_DATA_CENTERS;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166591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h200_share*h200_workload_avg + b200_share*b200_workload_avg + gb200_share*gb200_workload_avg + purpose_built_share*purpose_workload_avg</t>
        </is>
      </c>
      <c r="I293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35" s="3" t="inlineStr">
        <is>
          <t>SRC_SEMIANALYSIS_INFERENCEX; ASSUMP_NUMERIC_ACCELERATOR_MIX; ASSUMP_WORKLOAD_CLASS_MIX; ASSUMP_AGENTIC_CONTEXT_PENALTY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166591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each GPU's short chat, long chat and agentic TPS/MW are weighted before fleet mix and commercial fit are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1106733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SRC_EPOCH_AI_DATA_CENTERS;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SRC_EPOCH_AI_DATA_CENTERS;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SRC_ALIBABA_QWEN_GPU_DEPLOY; SRC_EPOCH_AI_DATA_CENTERS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SRC_EPOCH_AI_DATA_CENTERS;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SRC_ALIBABA_QWEN_GPU_DEPLOY; SRC_EPOCH_AI_DATA_CENTERS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166591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16135071350400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SRC_EPOCH_AI_DATA_CENTERS;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5889301042896000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SRC_EPOCH_AI_DATA_CENTERS;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SRC_ALIBABA_QWEN_GPU_DEPLOY; SRC_EPOCH_AI_DATA_CENTERS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SRC_ALIBABA_QWEN_GPU_DEPLOY; SRC_EPOCH_AI_DATA_CENTERS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SRC_EPOCH_AI_DATA_CENTERS;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1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SRC_EPOCH_AI_DATA_CENTERS;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166591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h200_share*h200_workload_avg + b200_share*b200_workload_avg + gb200_share*gb200_workload_avg + purpose_built_share*purpose_workload_avg</t>
        </is>
      </c>
      <c r="I295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58" s="3" t="inlineStr">
        <is>
          <t>SRC_SEMIANALYSIS_INFERENCEX; ASSUMP_NUMERIC_ACCELERATOR_MIX; ASSUMP_WORKLOAD_CLASS_MIX; ASSUMP_AGENTIC_CONTEXT_PENALTY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166591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each GPU's short chat, long chat and agentic TPS/MW are weighted before fleet mix and commercial fit are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1106733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SRC_EPOCH_AI_DATA_CENTERS;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SRC_EPOCH_AI_DATA_CENTERS;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SRC_ALIBABA_QWEN_GPU_DEPLOY; SRC_EPOCH_AI_DATA_CENTERS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SRC_EPOCH_AI_DATA_CENTERS;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SRC_ALIBABA_QWEN_GPU_DEPLOY; SRC_EPOCH_AI_DATA_CENTERS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166591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23777999884800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SRC_EPOCH_AI_DATA_CENTERS;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8678969957952000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SRC_EPOCH_AI_DATA_CENTERS;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SRC_ALIBABA_QWEN_GPU_DEPLOY; SRC_EPOCH_AI_DATA_CENTERS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SRC_ALIBABA_QWEN_GPU_DEPLOY; SRC_EPOCH_AI_DATA_CENTERS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SRC_EPOCH_AI_DATA_CENTERS;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SRC_EPOCH_AI_DATA_CENTERS;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166591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h200_share*h200_workload_avg + b200_share*b200_workload_avg + gb200_share*gb200_workload_avg + purpose_built_share*purpose_workload_avg</t>
        </is>
      </c>
      <c r="I298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81" s="3" t="inlineStr">
        <is>
          <t>SRC_SEMIANALYSIS_INFERENCEX; ASSUMP_NUMERIC_ACCELERATOR_MIX; ASSUMP_WORKLOAD_CLASS_MIX; ASSUMP_AGENTIC_CONTEXT_PENALTY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166591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each GPU's short chat, long chat and agentic TPS/MW are weighted before fleet mix and commercial fit are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1106733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SRC_EPOCH_AI_DATA_CENTERS;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SRC_EPOCH_AI_DATA_CENTERS;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SRC_ALIBABA_QWEN_GPU_DEPLOY; SRC_EPOCH_AI_DATA_CENTERS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SRC_EPOCH_AI_DATA_CENTERS;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SRC_ALIBABA_QWEN_GPU_DEPLOY; SRC_EPOCH_AI_DATA_CENTERS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166591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32658766185600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SRC_EPOCH_AI_DATA_CENTERS;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1.1920449657744e+16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SRC_EPOCH_AI_DATA_CENTERS;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SRC_TENCENT_AI_INFRA_MOE; SRC_EPOCH_AI_DATA_CENTERS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SRC_TENCENT_AI_INFRA_MOE; SRC_EPOCH_AI_DATA_CENTERS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SRC_EPOCH_AI_DATA_CENTERS;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SRC_EPOCH_AI_DATA_CENTERS;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2359967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h200_share*h200_workload_avg + b200_share*b200_workload_avg + gb200_share*gb200_workload_avg + purpose_built_share*purpose_workload_avg</t>
        </is>
      </c>
      <c r="I300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04" s="3" t="inlineStr">
        <is>
          <t>SRC_SEMIANALYSIS_INFERENCEX; ASSUMP_NUMERIC_ACCELERATOR_MIX; ASSUMP_WORKLOAD_CLASS_MIX; ASSUMP_AGENTIC_CONTEXT_PENALTY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1887974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each GPU's short chat, long chat and agentic TPS/MW are weighted before fleet mix and commercial fit are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3613574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SRC_EPOCH_AI_DATA_CENTERS;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SRC_EPOCH_AI_DATA_CENTERS;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SRC_TENCENT_AI_INFRA_MOE; SRC_EPOCH_AI_DATA_CENTERS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SRC_EPOCH_AI_DATA_CENTERS;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SRC_TENCENT_AI_INFRA_MOE; SRC_EPOCH_AI_DATA_CENTERS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1887974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34255400256000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SRC_EPOCH_AI_DATA_CENTERS;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1.250322109344e+16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SRC_EPOCH_AI_DATA_CENTERS;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SRC_TENCENT_AI_INFRA_MOE; SRC_EPOCH_AI_DATA_CENTERS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SRC_TENCENT_AI_INFRA_MOE; SRC_EPOCH_AI_DATA_CENTERS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SRC_EPOCH_AI_DATA_CENTERS;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SRC_EPOCH_AI_DATA_CENTERS;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2616983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h200_share*h200_workload_avg + b200_share*b200_workload_avg + gb200_share*gb200_workload_avg + purpose_built_share*purpose_workload_avg</t>
        </is>
      </c>
      <c r="I302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27" s="3" t="inlineStr">
        <is>
          <t>SRC_SEMIANALYSIS_INFERENCEX; ASSUMP_NUMERIC_ACCELERATOR_MIX; ASSUMP_WORKLOAD_CLASS_MIX; ASSUMP_AGENTIC_CONTEXT_PENALTY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2093586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each GPU's short chat, long chat and agentic TPS/MW are weighted before fleet mix and commercial fit are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3613574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SRC_EPOCH_AI_DATA_CENTERS;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SRC_EPOCH_AI_DATA_CENTERS;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SRC_TENCENT_AI_INFRA_MOE; SRC_EPOCH_AI_DATA_CENTERS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SRC_EPOCH_AI_DATA_CENTERS;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SRC_TENCENT_AI_INFRA_MOE; SRC_EPOCH_AI_DATA_CENTERS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2093586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88634056896000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SRC_EPOCH_AI_DATA_CENTERS;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3.235143076704e+16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SRC_EPOCH_AI_DATA_CENTERS;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SRC_TENCENT_AI_INFRA_MOE; SRC_EPOCH_AI_DATA_CENTERS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SRC_TENCENT_AI_INFRA_MOE; SRC_EPOCH_AI_DATA_CENTERS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SRC_EPOCH_AI_DATA_CENTERS;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SRC_EPOCH_AI_DATA_CENTERS;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2876295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h200_share*h200_workload_avg + b200_share*b200_workload_avg + gb200_share*gb200_workload_avg + purpose_built_share*purpose_workload_avg</t>
        </is>
      </c>
      <c r="I305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50" s="3" t="inlineStr">
        <is>
          <t>SRC_SEMIANALYSIS_INFERENCEX; ASSUMP_NUMERIC_ACCELERATOR_MIX; ASSUMP_WORKLOAD_CLASS_MIX; ASSUMP_AGENTIC_CONTEXT_PENALTY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2301036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each GPU's short chat, long chat and agentic TPS/MW are weighted before fleet mix and commercial fit are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3613574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SRC_EPOCH_AI_DATA_CENTERS;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SRC_EPOCH_AI_DATA_CENTERS;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SRC_TENCENT_AI_INFRA_MOE; SRC_EPOCH_AI_DATA_CENTERS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SRC_EPOCH_AI_DATA_CENTERS;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SRC_TENCENT_AI_INFRA_MOE; SRC_EPOCH_AI_DATA_CENTERS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2301036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165011893632000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SRC_EPOCH_AI_DATA_CENTERS;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6.022934117568e+16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SRC_EPOCH_AI_DATA_CENTERS;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SRC_TENCENT_AI_INFRA_MOE; SRC_EPOCH_AI_DATA_CENTERS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SRC_TENCENT_AI_INFRA_MOE; SRC_EPOCH_AI_DATA_CENTERS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SRC_EPOCH_AI_DATA_CENTERS;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SRC_EPOCH_AI_DATA_CENTERS;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3133311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h200_share*h200_workload_avg + b200_share*b200_workload_avg + gb200_share*gb200_workload_avg + purpose_built_share*purpose_workload_avg</t>
        </is>
      </c>
      <c r="I307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73" s="3" t="inlineStr">
        <is>
          <t>SRC_SEMIANALYSIS_INFERENCEX; ASSUMP_NUMERIC_ACCELERATOR_MIX; ASSUMP_WORKLOAD_CLASS_MIX; ASSUMP_AGENTIC_CONTEXT_PENALTY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2506649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each GPU's short chat, long chat and agentic TPS/MW are weighted before fleet mix and commercial fit are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3613574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SRC_EPOCH_AI_DATA_CENTERS;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SRC_EPOCH_AI_DATA_CENTERS;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SRC_TENCENT_AI_INFRA_MOE; SRC_EPOCH_AI_DATA_CENTERS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SRC_EPOCH_AI_DATA_CENTERS;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SRC_TENCENT_AI_INFRA_MOE; SRC_EPOCH_AI_DATA_CENTERS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2506649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267036325948800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SRC_EPOCH_AI_DATA_CENTERS;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9.7468258971312e+16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SRC_EPOCH_AI_DATA_CENTERS;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SRC_TENCENT_AI_INFRA_MOE; SRC_EPOCH_AI_DATA_CENTERS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SRC_TENCENT_AI_INFRA_MOE; SRC_EPOCH_AI_DATA_CENTERS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SRC_EPOCH_AI_DATA_CENTERS;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SRC_EPOCH_AI_DATA_CENTERS;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Replace 02a CSP contract allocations and 02b CSP accelerator mix with contract/procurement telemetry. 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3392622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h200_share*h200_workload_avg + b200_share*b200_workload_avg + gb200_share*gb200_workload_avg + purpose_built_share*purpose_workload_avg</t>
        </is>
      </c>
      <c r="I309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96" s="3" t="inlineStr">
        <is>
          <t>SRC_SEMIANALYSIS_INFERENCEX; ASSUMP_NUMERIC_ACCELERATOR_MIX; ASSUMP_WORKLOAD_CLASS_MIX; ASSUMP_AGENTIC_CONTEXT_PENALTY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2714098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each GPU's short chat, long chat and agentic TPS/MW are weighted before fleet mix and commercial fit are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3613574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SRC_EPOCH_AI_DATA_CENTERS;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SRC_EPOCH_AI_DATA_CENTERS;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SRC_TENCENT_AI_INFRA_MOE; SRC_EPOCH_AI_DATA_CENTERS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SRC_EPOCH_AI_DATA_CENTERS;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SRC_TENCENT_AI_INFRA_MOE; SRC_EPOCH_AI_DATA_CENTERS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2714098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399115710374400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SRC_EPOCH_AI_DATA_CENTERS;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1.45677234286656e+17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SRC_EPOCH_AI_DATA_CENTERS;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SRC_MS_MAIA200; SRC_EPOCH_AI_DATA_CENTERS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SRC_MS_MAIA200; SRC_EPOCH_AI_DATA_CENTERS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1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SRC_EPOCH_AI_DATA_CENTERS;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0.173278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0.826722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SRC_EPOCH_AI_DATA_CENTERS;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2587859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h200_share*h200_workload_avg + b200_share*b200_workload_avg + gb200_share*gb200_workload_avg + purpose_built_share*purpose_workload_avg</t>
        </is>
      </c>
      <c r="I311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19" s="3" t="inlineStr">
        <is>
          <t>SRC_SEMIANALYSIS_INFERENCEX; ASSUMP_NUMERIC_ACCELERATOR_MIX; ASSUMP_WORKLOAD_CLASS_MIX; ASSUMP_AGENTIC_CONTEXT_PENALTY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1552715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each GPU's short chat, long chat and agentic TPS/MW are weighted before fleet mix and commercial fit are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2710180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SRC_EPOCH_AI_DATA_CENTERS;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SRC_EPOCH_AI_DATA_CENTERS;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SRC_MS_MAIA200; SRC_EPOCH_AI_DATA_CENTERS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SRC_EPOCH_AI_DATA_CENTERS;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SRC_MS_MAIA200; SRC_EPOCH_AI_DATA_CENTERS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1552715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86798010672000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SRC_EPOCH_AI_DATA_CENTERS;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3.168127389528e+16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SRC_EPOCH_AI_DATA_CENTERS;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SRC_MS_MAIA200; SRC_EPOCH_AI_DATA_CENTERS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SRC_MS_MAIA200; SRC_EPOCH_AI_DATA_CENTERS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SRC_EPOCH_AI_DATA_CENTERS;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0.124979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0.875021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SRC_EPOCH_AI_DATA_CENTERS;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2672937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h200_share*h200_workload_avg + b200_share*b200_workload_avg + gb200_share*gb200_workload_avg + purpose_built_share*purpose_workload_avg</t>
        </is>
      </c>
      <c r="I314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42" s="3" t="inlineStr">
        <is>
          <t>SRC_SEMIANALYSIS_INFERENCEX; ASSUMP_NUMERIC_ACCELERATOR_MIX; ASSUMP_WORKLOAD_CLASS_MIX; ASSUMP_AGENTIC_CONTEXT_PENALTY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1603762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each GPU's short chat, long chat and agentic TPS/MW are weighted before fleet mix and commercial fit are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2710180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SRC_EPOCH_AI_DATA_CENTERS;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SRC_EPOCH_AI_DATA_CENTERS;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SRC_MS_MAIA200; SRC_EPOCH_AI_DATA_CENTERS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SRC_EPOCH_AI_DATA_CENTERS;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SRC_MS_MAIA200; SRC_EPOCH_AI_DATA_CENTERS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1603762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151174455148800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SRC_EPOCH_AI_DATA_CENTERS;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5.5178676129312e+16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SRC_EPOCH_AI_DATA_CENTERS;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SRC_MS_MAIA200; SRC_EPOCH_AI_DATA_CENTERS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SRC_MS_MAIA200; SRC_EPOCH_AI_DATA_CENTERS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1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SRC_EPOCH_AI_DATA_CENTERS;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0.052258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0.947742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SRC_EPOCH_AI_DATA_CENTERS;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2801033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h200_share*h200_workload_avg + b200_share*b200_workload_avg + gb200_share*gb200_workload_avg + purpose_built_share*purpose_workload_avg</t>
        </is>
      </c>
      <c r="I316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65" s="3" t="inlineStr">
        <is>
          <t>SRC_SEMIANALYSIS_INFERENCEX; ASSUMP_NUMERIC_ACCELERATOR_MIX; ASSUMP_WORKLOAD_CLASS_MIX; ASSUMP_AGENTIC_CONTEXT_PENALTY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1680620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each GPU's short chat, long chat and agentic TPS/MW are weighted before fleet mix and commercial fit are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2710180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SRC_EPOCH_AI_DATA_CENTERS;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SRC_EPOCH_AI_DATA_CENTERS;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SRC_MS_MAIA200; SRC_EPOCH_AI_DATA_CENTERS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SRC_EPOCH_AI_DATA_CENTERS;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SRC_MS_MAIA200; SRC_EPOCH_AI_DATA_CENTERS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1680620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226375480512000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SRC_EPOCH_AI_DATA_CENTERS;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8.262705038688e+16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SRC_EPOCH_AI_DATA_CENTERS;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SRC_MS_MAIA200; SRC_EPOCH_AI_DATA_CENTERS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SRC_MS_MAIA200; SRC_EPOCH_AI_DATA_CENTERS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1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SRC_EPOCH_AI_DATA_CENTERS;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0.052258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0.947742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SRC_EPOCH_AI_DATA_CENTERS;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2801033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h200_share*h200_workload_avg + b200_share*b200_workload_avg + gb200_share*gb200_workload_avg + purpose_built_share*purpose_workload_avg</t>
        </is>
      </c>
      <c r="I318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88" s="3" t="inlineStr">
        <is>
          <t>SRC_SEMIANALYSIS_INFERENCEX; ASSUMP_NUMERIC_ACCELERATOR_MIX; ASSUMP_WORKLOAD_CLASS_MIX; ASSUMP_AGENTIC_CONTEXT_PENALTY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1680620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each GPU's short chat, long chat and agentic TPS/MW are weighted before fleet mix and commercial fit are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2710180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SRC_EPOCH_AI_DATA_CENTERS;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SRC_EPOCH_AI_DATA_CENTERS;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SRC_MS_MAIA200; SRC_EPOCH_AI_DATA_CENTERS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SRC_EPOCH_AI_DATA_CENTERS;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SRC_MS_MAIA200; SRC_EPOCH_AI_DATA_CENTERS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1680620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296509769856000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SRC_EPOCH_AI_DATA_CENTERS;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1.0822606599744e+17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SRC_EPOCH_AI_DATA_CENTERS;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SRC_MS_MAIA200; SRC_EPOCH_AI_DATA_CENTERS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SRC_MS_MAIA200; SRC_EPOCH_AI_DATA_CENTERS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1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SRC_EPOCH_AI_DATA_CENTERS;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0.052258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0.947742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SRC_EPOCH_AI_DATA_CENTERS;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Replace 02a CSP contract allocations and 02b CSP accelerator mix with contract/procurement telemetry. 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2801033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h200_share*h200_workload_avg + b200_share*b200_workload_avg + gb200_share*gb200_workload_avg + purpose_built_share*purpose_workload_avg</t>
        </is>
      </c>
      <c r="I321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11" s="3" t="inlineStr">
        <is>
          <t>SRC_SEMIANALYSIS_INFERENCEX; ASSUMP_NUMERIC_ACCELERATOR_MIX; ASSUMP_WORKLOAD_CLASS_MIX; ASSUMP_AGENTIC_CONTEXT_PENALTY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1680620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each GPU's short chat, long chat and agentic TPS/MW are weighted before fleet mix and commercial fit are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2710180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SRC_EPOCH_AI_DATA_CENTERS;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SRC_EPOCH_AI_DATA_CENTERS;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SRC_MS_MAIA200; SRC_EPOCH_AI_DATA_CENTERS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SRC_EPOCH_AI_DATA_CENTERS;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SRC_MS_MAIA200; SRC_EPOCH_AI_DATA_CENTERS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1680620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366934470336000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SRC_EPOCH_AI_DATA_CENTERS;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1.3393108167264e+17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SRC_EPOCH_AI_DATA_CENTERS;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SRC_GOOGLE_TPU_V6E; SRC_EPOCH_AI_DATA_CENTERS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SRC_GOOGLE_TPU_V6E; SRC_EPOCH_AI_DATA_CENTERS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0.057223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SRC_EPOCH_AI_DATA_CENTERS;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0.057223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0.942777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SRC_EPOCH_AI_DATA_CENTERS;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167768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h200_share*h200_workload_avg + b200_share*b200_workload_avg + gb200_share*gb200_workload_avg + purpose_built_share*purpose_workload_avg</t>
        </is>
      </c>
      <c r="I323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34" s="3" t="inlineStr">
        <is>
          <t>SRC_SEMIANALYSIS_INFERENCEX; ASSUMP_NUMERIC_ACCELERATOR_MIX; ASSUMP_WORKLOAD_CLASS_MIX; ASSUMP_AGENTIC_CONTEXT_PENALTY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100661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each GPU's short chat, long chat and agentic TPS/MW are weighted before fleet mix and commercial fit are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81184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SRC_EPOCH_AI_DATA_CENTERS;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SRC_EPOCH_AI_DATA_CENTERS;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SRC_GOOGLE_TPU_V6E; SRC_EPOCH_AI_DATA_CENTERS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SRC_EPOCH_AI_DATA_CENTERS;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SRC_GOOGLE_TPU_V6E; SRC_EPOCH_AI_DATA_CENTERS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100661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7157721859200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SRC_EPOCH_AI_DATA_CENTERS;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2612568478608000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SRC_EPOCH_AI_DATA_CENTERS;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SRC_GOOGLE_TPU_V6E; SRC_EPOCH_AI_DATA_CENTERS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SRC_GOOGLE_TPU_V6E; SRC_EPOCH_AI_DATA_CENTERS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0.088811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SRC_EPOCH_AI_DATA_CENTERS;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0.088811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0.911189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SRC_EPOCH_AI_DATA_CENTERS;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167768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h200_share*h200_workload_avg + b200_share*b200_workload_avg + gb200_share*gb200_workload_avg + purpose_built_share*purpose_workload_avg</t>
        </is>
      </c>
      <c r="I325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57" s="3" t="inlineStr">
        <is>
          <t>SRC_SEMIANALYSIS_INFERENCEX; ASSUMP_NUMERIC_ACCELERATOR_MIX; ASSUMP_WORKLOAD_CLASS_MIX; ASSUMP_AGENTIC_CONTEXT_PENALTY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100661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each GPU's short chat, long chat and agentic TPS/MW are weighted before fleet mix and commercial fit are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81184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SRC_EPOCH_AI_DATA_CENTERS;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SRC_EPOCH_AI_DATA_CENTERS;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SRC_GOOGLE_TPU_V6E; SRC_EPOCH_AI_DATA_CENTERS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SRC_EPOCH_AI_DATA_CENTERS;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SRC_GOOGLE_TPU_V6E; SRC_EPOCH_AI_DATA_CENTERS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100661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11271455078400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SRC_EPOCH_AI_DATA_CENTERS;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4114081103616000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SRC_EPOCH_AI_DATA_CENTERS;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SRC_GOOGLE_TPU_V6E; SRC_EPOCH_AI_DATA_CENTERS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SRC_GOOGLE_TPU_V6E; SRC_EPOCH_AI_DATA_CENTERS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0.088811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SRC_EPOCH_AI_DATA_CENTERS;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0.088811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0.911189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SRC_EPOCH_AI_DATA_CENTERS;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167768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h200_share*h200_workload_avg + b200_share*b200_workload_avg + gb200_share*gb200_workload_avg + purpose_built_share*purpose_workload_avg</t>
        </is>
      </c>
      <c r="I328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80" s="3" t="inlineStr">
        <is>
          <t>SRC_SEMIANALYSIS_INFERENCEX; ASSUMP_NUMERIC_ACCELERATOR_MIX; ASSUMP_WORKLOAD_CLASS_MIX; ASSUMP_AGENTIC_CONTEXT_PENALTY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100661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each GPU's short chat, long chat and agentic TPS/MW are weighted before fleet mix and commercial fit are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81184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SRC_EPOCH_AI_DATA_CENTERS;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SRC_EPOCH_AI_DATA_CENTERS;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SRC_GOOGLE_TPU_V6E; SRC_EPOCH_AI_DATA_CENTERS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SRC_EPOCH_AI_DATA_CENTERS;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SRC_GOOGLE_TPU_V6E; SRC_EPOCH_AI_DATA_CENTERS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100661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15524342064000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SRC_EPOCH_AI_DATA_CENTERS;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5666384853360000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SRC_EPOCH_AI_DATA_CENTERS;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SRC_GOOGLE_TPU_V6E; SRC_EPOCH_AI_DATA_CENTERS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SRC_GOOGLE_TPU_V6E; SRC_EPOCH_AI_DATA_CENTERS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0.088811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SRC_EPOCH_AI_DATA_CENTERS;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0.088811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0.911189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SRC_EPOCH_AI_DATA_CENTERS;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167768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h200_share*h200_workload_avg + b200_share*b200_workload_avg + gb200_share*gb200_workload_avg + purpose_built_share*purpose_workload_avg</t>
        </is>
      </c>
      <c r="I330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03" s="3" t="inlineStr">
        <is>
          <t>SRC_SEMIANALYSIS_INFERENCEX; ASSUMP_NUMERIC_ACCELERATOR_MIX; ASSUMP_WORKLOAD_CLASS_MIX; ASSUMP_AGENTIC_CONTEXT_PENALTY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100661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each GPU's short chat, long chat and agentic TPS/MW are weighted before fleet mix and commercial fit are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81184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SRC_EPOCH_AI_DATA_CENTERS;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SRC_EPOCH_AI_DATA_CENTERS;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SRC_GOOGLE_TPU_V6E; SRC_EPOCH_AI_DATA_CENTERS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SRC_EPOCH_AI_DATA_CENTERS;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SRC_GOOGLE_TPU_V6E; SRC_EPOCH_AI_DATA_CENTERS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100661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19846805932800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SRC_EPOCH_AI_DATA_CENTERS;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7244084165472000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SRC_EPOCH_AI_DATA_CENTERS;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SRC_GOOGLE_TPU_V6E; SRC_EPOCH_AI_DATA_CENTERS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SRC_GOOGLE_TPU_V6E; SRC_EPOCH_AI_DATA_CENTERS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0.088811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SRC_EPOCH_AI_DATA_CENTERS;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0.088811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0.911189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SRC_EPOCH_AI_DATA_CENTERS;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Replace 02a CSP contract allocations and 02b CSP accelerator mix with contract/procurement telemetry. 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167768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h200_share*h200_workload_avg + b200_share*b200_workload_avg + gb200_share*gb200_workload_avg + purpose_built_share*purpose_workload_avg</t>
        </is>
      </c>
      <c r="I332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26" s="3" t="inlineStr">
        <is>
          <t>SRC_SEMIANALYSIS_INFERENCEX; ASSUMP_NUMERIC_ACCELERATOR_MIX; ASSUMP_WORKLOAD_CLASS_MIX; ASSUMP_AGENTIC_CONTEXT_PENALTY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100661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each GPU's short chat, long chat and agentic TPS/MW are weighted before fleet mix and commercial fit are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81184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SRC_EPOCH_AI_DATA_CENTERS;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SRC_EPOCH_AI_DATA_CENTERS;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SRC_GOOGLE_TPU_V6E; SRC_EPOCH_AI_DATA_CENTERS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SRC_EPOCH_AI_DATA_CENTERS;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SRC_GOOGLE_TPU_V6E; SRC_EPOCH_AI_DATA_CENTERS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100661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24134481360000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SRC_EPOCH_AI_DATA_CENTERS;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8809085696400000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SRC_EPOCH_AI_DATA_CENTERS;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SRC_META_MTIA_GENAI_2026; SRC_EPOCH_AI_DATA_CENTERS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SRC_META_MTIA_GENAI_2026; SRC_EPOCH_AI_DATA_CENTERS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1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SRC_EPOCH_AI_DATA_CENTERS;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0.09603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0.9039700000000001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SRC_EPOCH_AI_DATA_CENTERS;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920581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h200_share*h200_workload_avg + b200_share*b200_workload_avg + gb200_share*gb200_workload_avg + purpose_built_share*purpose_workload_avg</t>
        </is>
      </c>
      <c r="I334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49" s="3" t="inlineStr">
        <is>
          <t>SRC_SEMIANALYSIS_INFERENCEX; ASSUMP_NUMERIC_ACCELERATOR_MIX; ASSUMP_WORKLOAD_CLASS_MIX; ASSUMP_AGENTIC_CONTEXT_PENALTY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828523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each GPU's short chat, long chat and agentic TPS/MW are weighted before fleet mix and commercial fit are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1105664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SRC_EPOCH_AI_DATA_CENTERS;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SRC_EPOCH_AI_DATA_CENTERS;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SRC_META_MTIA_GENAI_2026; SRC_EPOCH_AI_DATA_CENTERS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SRC_EPOCH_AI_DATA_CENTERS;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SRC_META_MTIA_GENAI_2026; SRC_EPOCH_AI_DATA_CENTERS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828523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43809644966400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SRC_EPOCH_AI_DATA_CENTERS;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1.5990520412736e+16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SRC_EPOCH_AI_DATA_CENTERS;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SRC_META_MTIA_GENAI_2026; SRC_EPOCH_AI_DATA_CENTERS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SRC_META_MTIA_GENAI_2026; SRC_EPOCH_AI_DATA_CENTERS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SRC_EPOCH_AI_DATA_CENTERS;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0.09216000000000001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0.90784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SRC_EPOCH_AI_DATA_CENTERS;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921407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h200_share*h200_workload_avg + b200_share*b200_workload_avg + gb200_share*gb200_workload_avg + purpose_built_share*purpose_workload_avg</t>
        </is>
      </c>
      <c r="I337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72" s="3" t="inlineStr">
        <is>
          <t>SRC_SEMIANALYSIS_INFERENCEX; ASSUMP_NUMERIC_ACCELERATOR_MIX; ASSUMP_WORKLOAD_CLASS_MIX; ASSUMP_AGENTIC_CONTEXT_PENALTY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829266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each GPU's short chat, long chat and agentic TPS/MW are weighted before fleet mix and commercial fit are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1105664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SRC_EPOCH_AI_DATA_CENTERS;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SRC_EPOCH_AI_DATA_CENTERS;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SRC_META_MTIA_GENAI_2026; SRC_EPOCH_AI_DATA_CENTERS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SRC_EPOCH_AI_DATA_CENTERS;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SRC_META_MTIA_GENAI_2026; SRC_EPOCH_AI_DATA_CENTERS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829266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75732551596800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SRC_EPOCH_AI_DATA_CENTERS;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2.7642381332832e+16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SRC_EPOCH_AI_DATA_CENTERS;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SRC_META_MTIA_GENAI_2026; SRC_EPOCH_AI_DATA_CENTERS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SRC_META_MTIA_GENAI_2026; SRC_EPOCH_AI_DATA_CENTERS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0.812926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SRC_EPOCH_AI_DATA_CENTERS;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0.074919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0.738007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0.187074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SRC_EPOCH_AI_DATA_CENTERS;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925083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h200_share*h200_workload_avg + b200_share*b200_workload_avg + gb200_share*gb200_workload_avg + purpose_built_share*purpose_workload_avg</t>
        </is>
      </c>
      <c r="I339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95" s="3" t="inlineStr">
        <is>
          <t>SRC_SEMIANALYSIS_INFERENCEX; ASSUMP_NUMERIC_ACCELERATOR_MIX; ASSUMP_WORKLOAD_CLASS_MIX; ASSUMP_AGENTIC_CONTEXT_PENALTY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832575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each GPU's short chat, long chat and agentic TPS/MW are weighted before fleet mix and commercial fit are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1105664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SRC_EPOCH_AI_DATA_CENTERS;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SRC_EPOCH_AI_DATA_CENTERS;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SRC_META_MTIA_GENAI_2026; SRC_EPOCH_AI_DATA_CENTERS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SRC_EPOCH_AI_DATA_CENTERS;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SRC_META_MTIA_GENAI_2026; SRC_EPOCH_AI_DATA_CENTERS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832575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109628147520000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SRC_EPOCH_AI_DATA_CENTERS;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4.00142738448e+16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SRC_EPOCH_AI_DATA_CENTERS;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SRC_META_MTIA_GENAI_2026; SRC_EPOCH_AI_DATA_CENTERS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SRC_META_MTIA_GENAI_2026; SRC_EPOCH_AI_DATA_CENTERS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0.812926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SRC_EPOCH_AI_DATA_CENTERS;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0.074919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0.738007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0.187074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SRC_EPOCH_AI_DATA_CENTERS;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925083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h200_share*h200_workload_avg + b200_share*b200_workload_avg + gb200_share*gb200_workload_avg + purpose_built_share*purpose_workload_avg</t>
        </is>
      </c>
      <c r="I341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18" s="3" t="inlineStr">
        <is>
          <t>SRC_SEMIANALYSIS_INFERENCEX; ASSUMP_NUMERIC_ACCELERATOR_MIX; ASSUMP_WORKLOAD_CLASS_MIX; ASSUMP_AGENTIC_CONTEXT_PENALTY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832575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each GPU's short chat, long chat and agentic TPS/MW are weighted before fleet mix and commercial fit are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1105664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SRC_EPOCH_AI_DATA_CENTERS;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SRC_EPOCH_AI_DATA_CENTERS;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SRC_META_MTIA_GENAI_2026; SRC_EPOCH_AI_DATA_CENTERS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SRC_EPOCH_AI_DATA_CENTERS;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SRC_META_MTIA_GENAI_2026; SRC_EPOCH_AI_DATA_CENTERS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832575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144012828960000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SRC_EPOCH_AI_DATA_CENTERS;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5.25646825704e+16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SRC_EPOCH_AI_DATA_CENTERS;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SRC_META_MTIA_GENAI_2026; SRC_EPOCH_AI_DATA_CENTERS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SRC_META_MTIA_GENAI_2026; SRC_EPOCH_AI_DATA_CENTERS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0.812926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SRC_EPOCH_AI_DATA_CENTERS;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0.074919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0.738007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0.187074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SRC_EPOCH_AI_DATA_CENTERS;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Replace 02a CSP contract allocations and 02b CSP accelerator mix with contract/procurement telemetry. 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925083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h200_share*h200_workload_avg + b200_share*b200_workload_avg + gb200_share*gb200_workload_avg + purpose_built_share*purpose_workload_avg</t>
        </is>
      </c>
      <c r="I344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41" s="3" t="inlineStr">
        <is>
          <t>SRC_SEMIANALYSIS_INFERENCEX; ASSUMP_NUMERIC_ACCELERATOR_MIX; ASSUMP_WORKLOAD_CLASS_MIX; ASSUMP_AGENTIC_CONTEXT_PENALTY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832575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each GPU's short chat, long chat and agentic TPS/MW are weighted before fleet mix and commercial fit are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1105664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SRC_EPOCH_AI_DATA_CENTERS;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SRC_EPOCH_AI_DATA_CENTERS;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SRC_META_MTIA_GENAI_2026; SRC_EPOCH_AI_DATA_CENTERS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SRC_EPOCH_AI_DATA_CENTERS;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SRC_META_MTIA_GENAI_2026; SRC_EPOCH_AI_DATA_CENTERS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832575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178613313840000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SRC_EPOCH_AI_DATA_CENTERS;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6.51938595516e+16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SRC_EPOCH_AI_DATA_CENTERS;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SRC_XAI_NVIDIA_COLOSSUS; SRC_EPOCH_AI_DATA_CENTERS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SRC_XAI_NVIDIA_COLOSSUS; SRC_EPOCH_AI_DATA_CENTERS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459" s="3" t="inlineStr">
        <is>
          <t>SRC_XAI_MODELS; SRC_XAI_NVIDIA_COLOSSUS; SRC_EPOCH_AI_DATA_CENTERS;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0.294118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0.705882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463" s="3" t="inlineStr">
        <is>
          <t>SRC_XAI_MODELS; SRC_XAI_NVIDIA_COLOSSUS; SRC_EPOCH_AI_DATA_CENTERS;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2476756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h200_share*h200_workload_avg + b200_share*b200_workload_avg + gb200_share*gb200_workload_avg + purpose_built_share*purpose_workload_avg</t>
        </is>
      </c>
      <c r="I34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64" s="3" t="inlineStr">
        <is>
          <t>SRC_SEMIANALYSIS_INFERENCEX; ASSUMP_NUMERIC_ACCELERATOR_MIX; ASSUMP_WORKLOAD_CLASS_MIX; ASSUMP_AGENTIC_CONTEXT_PENALTY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1362216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each GPU's short chat, long chat and agentic TPS/MW are weighted before fleet mix and commercial fit are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2484332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SRC_EPOCH_AI_DATA_CENTERS;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SRC_EPOCH_AI_DATA_CENTERS;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SRC_XAI_NVIDIA_COLOSSUS; SRC_EPOCH_AI_DATA_CENTERS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SRC_EPOCH_AI_DATA_CENTERS;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SRC_XAI_NVIDIA_COLOSSUS; SRC_EPOCH_AI_DATA_CENTERS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1362216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SRC_EPOCH_AI_DATA_CENTERS; SRC_SEMIANALYSIS_INFERENCEX; ASSUMP_NUMERIC_ACCELERATOR_MIX; ASSUMP_WORKLOAD_CLASS_MIX; ASSUMP_AGENTIC_CONTEXT_PENALTY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11887241702400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SRC_EPOCH_AI_DATA_CENTERS;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4338843221376000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SRC_EPOCH_AI_DATA_CENTERS;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SRC_XAI_NVIDIA_COLOSSUS; SRC_EPOCH_AI_DATA_CENTERS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SRC_XAI_NVIDIA_COLOSSUS; SRC_EPOCH_AI_DATA_CENTERS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482" s="3" t="inlineStr">
        <is>
          <t>SRC_XAI_MODELS; SRC_XAI_NVIDIA_COLOSSUS; SRC_EPOCH_AI_DATA_CENTERS;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0.294118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0.705882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486" s="3" t="inlineStr">
        <is>
          <t>SRC_XAI_MODELS; SRC_XAI_NVIDIA_COLOSSUS; SRC_EPOCH_AI_DATA_CENTERS;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2476756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h200_share*h200_workload_avg + b200_share*b200_workload_avg + gb200_share*gb200_workload_avg + purpose_built_share*purpose_workload_avg</t>
        </is>
      </c>
      <c r="I34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87" s="3" t="inlineStr">
        <is>
          <t>SRC_SEMIANALYSIS_INFERENCEX; ASSUMP_NUMERIC_ACCELERATOR_MIX; ASSUMP_WORKLOAD_CLASS_MIX; ASSUMP_AGENTIC_CONTEXT_PENALTY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1362216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each GPU's short chat, long chat and agentic TPS/MW are weighted before fleet mix and commercial fit are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2484332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SRC_EPOCH_AI_DATA_CENTERS;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SRC_EPOCH_AI_DATA_CENTERS;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SRC_XAI_NVIDIA_COLOSSUS; SRC_EPOCH_AI_DATA_CENTERS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SRC_EPOCH_AI_DATA_CENTERS;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SRC_XAI_NVIDIA_COLOSSUS; SRC_EPOCH_AI_DATA_CENTERS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1362216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SRC_EPOCH_AI_DATA_CENTERS; SRC_SEMIANALYSIS_INFERENCEX; ASSUMP_NUMERIC_ACCELERATOR_MIX; ASSUMP_WORKLOAD_CLASS_MIX; ASSUMP_AGENTIC_CONTEXT_PENALTY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32837034009600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SRC_EPOCH_AI_DATA_CENTERS;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1.1985517413504e+16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SRC_EPOCH_AI_DATA_CENTERS;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SRC_XAI_NVIDIA_COLOSSUS; SRC_EPOCH_AI_DATA_CENTERS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SRC_XAI_NVIDIA_COLOSSUS; SRC_EPOCH_AI_DATA_CENTERS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505" s="3" t="inlineStr">
        <is>
          <t>SRC_XAI_MODELS; SRC_XAI_NVIDIA_COLOSSUS; SRC_EPOCH_AI_DATA_CENTERS;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0.294118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0.705882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509" s="3" t="inlineStr">
        <is>
          <t>SRC_XAI_MODELS; SRC_XAI_NVIDIA_COLOSSUS; SRC_EPOCH_AI_DATA_CENTERS;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2476756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h200_share*h200_workload_avg + b200_share*b200_workload_avg + gb200_share*gb200_workload_avg + purpose_built_share*purpose_workload_avg</t>
        </is>
      </c>
      <c r="I35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10" s="3" t="inlineStr">
        <is>
          <t>SRC_SEMIANALYSIS_INFERENCEX; ASSUMP_NUMERIC_ACCELERATOR_MIX; ASSUMP_WORKLOAD_CLASS_MIX; ASSUMP_AGENTIC_CONTEXT_PENALTY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1362216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each GPU's short chat, long chat and agentic TPS/MW are weighted before fleet mix and commercial fit are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2484332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SRC_EPOCH_AI_DATA_CENTERS;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SRC_EPOCH_AI_DATA_CENTERS;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SRC_XAI_NVIDIA_COLOSSUS; SRC_EPOCH_AI_DATA_CENTERS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SRC_EPOCH_AI_DATA_CENTERS;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SRC_XAI_NVIDIA_COLOSSUS; SRC_EPOCH_AI_DATA_CENTERS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1362216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SRC_EPOCH_AI_DATA_CENTERS; SRC_SEMIANALYSIS_INFERENCEX; ASSUMP_NUMERIC_ACCELERATOR_MIX; ASSUMP_WORKLOAD_CLASS_MIX; ASSUMP_AGENTIC_CONTEXT_PENALTY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56611517414400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SRC_EPOCH_AI_DATA_CENTERS;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2.0663203856256e+16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SRC_EPOCH_AI_DATA_CENTERS;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SRC_XAI_NVIDIA_COLOSSUS; SRC_EPOCH_AI_DATA_CENTERS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SRC_XAI_NVIDIA_COLOSSUS; SRC_EPOCH_AI_DATA_CENTERS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528" s="3" t="inlineStr">
        <is>
          <t>SRC_XAI_MODELS; SRC_XAI_NVIDIA_COLOSSUS; SRC_EPOCH_AI_DATA_CENTERS;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0.294118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0.705882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532" s="3" t="inlineStr">
        <is>
          <t>SRC_XAI_MODELS; SRC_XAI_NVIDIA_COLOSSUS; SRC_EPOCH_AI_DATA_CENTERS;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2476756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h200_share*h200_workload_avg + b200_share*b200_workload_avg + gb200_share*gb200_workload_avg + purpose_built_share*purpose_workload_avg</t>
        </is>
      </c>
      <c r="I35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33" s="3" t="inlineStr">
        <is>
          <t>SRC_SEMIANALYSIS_INFERENCEX; ASSUMP_NUMERIC_ACCELERATOR_MIX; ASSUMP_WORKLOAD_CLASS_MIX; ASSUMP_AGENTIC_CONTEXT_PENALTY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1362216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each GPU's short chat, long chat and agentic TPS/MW are weighted before fleet mix and commercial fit are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2484332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SRC_EPOCH_AI_DATA_CENTERS;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SRC_EPOCH_AI_DATA_CENTERS;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SRC_XAI_NVIDIA_COLOSSUS; SRC_EPOCH_AI_DATA_CENTERS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SRC_EPOCH_AI_DATA_CENTERS;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SRC_XAI_NVIDIA_COLOSSUS; SRC_EPOCH_AI_DATA_CENTERS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1362216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SRC_EPOCH_AI_DATA_CENTERS; SRC_SEMIANALYSIS_INFERENCEX; ASSUMP_NUMERIC_ACCELERATOR_MIX; ASSUMP_WORKLOAD_CLASS_MIX; ASSUMP_AGENTIC_CONTEXT_PENALTY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82269128217600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SRC_EPOCH_AI_DATA_CENTERS;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3.0028231799424e+16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SRC_EPOCH_AI_DATA_CENTERS;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SRC_XAI_NVIDIA_COLOSSUS; SRC_EPOCH_AI_DATA_CENTERS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SRC_XAI_NVIDIA_COLOSSUS; SRC_EPOCH_AI_DATA_CENTERS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551" s="3" t="inlineStr">
        <is>
          <t>SRC_XAI_MODELS; SRC_XAI_NVIDIA_COLOSSUS; SRC_EPOCH_AI_DATA_CENTERS;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0.294118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0.705882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t>
        </is>
      </c>
      <c r="J3555" s="3" t="inlineStr">
        <is>
          <t>SRC_XAI_MODELS; SRC_XAI_NVIDIA_COLOSSUS; SRC_EPOCH_AI_DATA_CENTERS;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Replace 02a CSP contract allocations and 02b CSP accelerator mix with contract/procurement telemetry. 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2476756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h200_share*h200_workload_avg + b200_share*b200_workload_avg + gb200_share*gb200_workload_avg + purpose_built_share*purpose_workload_avg</t>
        </is>
      </c>
      <c r="I35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56" s="3" t="inlineStr">
        <is>
          <t>SRC_SEMIANALYSIS_INFERENCEX; ASSUMP_NUMERIC_ACCELERATOR_MIX; ASSUMP_WORKLOAD_CLASS_MIX; ASSUMP_AGENTIC_CONTEXT_PENALTY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1362216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each GPU's short chat, long chat and agentic TPS/MW are weighted before fleet mix and commercial fit are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2484332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SRC_EPOCH_AI_DATA_CENTERS;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SRC_EPOCH_AI_DATA_CENTERS;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SRC_XAI_NVIDIA_COLOSSUS; SRC_EPOCH_AI_DATA_CENTERS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SRC_EPOCH_AI_DATA_CENTERS;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SRC_XAI_NVIDIA_COLOSSUS; SRC_EPOCH_AI_DATA_CENTERS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1362216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SRC_EPOCH_AI_DATA_CENTERS; SRC_SEMIANALYSIS_INFERENCEX; ASSUMP_NUMERIC_ACCELERATOR_MIX; ASSUMP_WORKLOAD_CLASS_MIX; ASSUMP_AGENTIC_CONTEXT_PENALTY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109221389107200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SRC_EPOCH_AI_DATA_CENTERS;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3.9865807024128e+16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SRC_EPOCH_AI_DATA_CENTERS;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SRC_OPENAI_STARGATE_PROGRESS; SRC_EPOCH_AI_DATA_CENTERS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SRC_OPENAI_STARGATE_PROGRESS; SRC_EPOCH_AI_DATA_CENTERS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SRC_EPOCH_AI_DATA_CENTERS;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0.09216000000000001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0.90784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SRC_EPOCH_AI_DATA_CENTERS;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222741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h200_share*h200_workload_avg + b200_share*b200_workload_avg + gb200_share*gb200_workload_avg + purpose_built_share*purpose_workload_avg</t>
        </is>
      </c>
      <c r="I357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579" s="3" t="inlineStr">
        <is>
          <t>SRC_SEMIANALYSIS_INFERENCEX; ASSUMP_NUMERIC_ACCELERATOR_MIX; ASSUMP_WORKLOAD_CLASS_MIX; ASSUMP_AGENTIC_CONTEXT_PENALTY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111370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each GPU's short chat, long chat and agentic TPS/MW are weighted before fleet mix and commercial fit are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67653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SRC_EPOCH_AI_DATA_CENTERS;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SRC_EPOCH_AI_DATA_CENTERS;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SRC_OPENAI_STARGATE_PROGRESS; SRC_EPOCH_AI_DATA_CENTERS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SRC_EPOCH_AI_DATA_CENTERS;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SRC_OPENAI_STARGATE_PROGRESS; SRC_EPOCH_AI_DATA_CENTERS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111370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5215323456000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SRC_EPOCH_AI_DATA_CENTERS;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1903593061440000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SRC_EPOCH_AI_DATA_CENTERS;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SRC_OPENAI_STARGATE_PROGRESS; SRC_EPOCH_AI_DATA_CENTERS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SRC_OPENAI_STARGATE_PROGRESS; SRC_EPOCH_AI_DATA_CENTERS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0.978068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SRC_EPOCH_AI_DATA_CENTERS;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0.06987599999999999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0.908191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0.021932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SRC_EPOCH_AI_DATA_CENTERS;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202019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h200_share*h200_workload_avg + b200_share*b200_workload_avg + gb200_share*gb200_workload_avg + purpose_built_share*purpose_workload_avg</t>
        </is>
      </c>
      <c r="I360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02" s="3" t="inlineStr">
        <is>
          <t>SRC_SEMIANALYSIS_INFERENCEX; ASSUMP_NUMERIC_ACCELERATOR_MIX; ASSUMP_WORKLOAD_CLASS_MIX; ASSUMP_AGENTIC_CONTEXT_PENALTY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101010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each GPU's short chat, long chat and agentic TPS/MW are weighted before fleet mix and commercial fit are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67653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SRC_EPOCH_AI_DATA_CENTERS;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SRC_EPOCH_AI_DATA_CENTERS;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SRC_OPENAI_STARGATE_PROGRESS; SRC_EPOCH_AI_DATA_CENTERS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SRC_EPOCH_AI_DATA_CENTERS;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SRC_OPENAI_STARGATE_PROGRESS; SRC_EPOCH_AI_DATA_CENTERS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101010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11179625184000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SRC_EPOCH_AI_DATA_CENTERS;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4080563192160000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SRC_EPOCH_AI_DATA_CENTERS;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SRC_OPENAI_STARGATE_PROGRESS; SRC_EPOCH_AI_DATA_CENTERS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SRC_OPENAI_STARGATE_PROGRESS; SRC_EPOCH_AI_DATA_CENTERS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0.864358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SRC_EPOCH_AI_DATA_CENTERS;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0.055734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0.784048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0.024576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0.135642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SRC_EPOCH_AI_DATA_CENTERS;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189596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h200_share*h200_workload_avg + b200_share*b200_workload_avg + gb200_share*gb200_workload_avg + purpose_built_share*purpose_workload_avg</t>
        </is>
      </c>
      <c r="I362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25" s="3" t="inlineStr">
        <is>
          <t>SRC_SEMIANALYSIS_INFERENCEX; ASSUMP_NUMERIC_ACCELERATOR_MIX; ASSUMP_WORKLOAD_CLASS_MIX; ASSUMP_AGENTIC_CONTEXT_PENALTY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94798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each GPU's short chat, long chat and agentic TPS/MW are weighted before fleet mix and commercial fit are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67653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SRC_EPOCH_AI_DATA_CENTERS;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SRC_EPOCH_AI_DATA_CENTERS;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SRC_OPENAI_STARGATE_PROGRESS; SRC_EPOCH_AI_DATA_CENTERS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SRC_EPOCH_AI_DATA_CENTERS;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SRC_OPENAI_STARGATE_PROGRESS; SRC_EPOCH_AI_DATA_CENTERS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94798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16888908326400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SRC_EPOCH_AI_DATA_CENTERS;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6164451539136000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SRC_EPOCH_AI_DATA_CENTERS;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SRC_OPENAI_STARGATE_PROGRESS; SRC_EPOCH_AI_DATA_CENTERS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SRC_OPENAI_STARGATE_PROGRESS; SRC_EPOCH_AI_DATA_CENTERS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0.869305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SRC_EPOCH_AI_DATA_CENTERS;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0.045663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0.790096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0.033546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0.130695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SRC_EPOCH_AI_DATA_CENTERS;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180497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h200_share*h200_workload_avg + b200_share*b200_workload_avg + gb200_share*gb200_workload_avg + purpose_built_share*purpose_workload_avg</t>
        </is>
      </c>
      <c r="I364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48" s="3" t="inlineStr">
        <is>
          <t>SRC_SEMIANALYSIS_INFERENCEX; ASSUMP_NUMERIC_ACCELERATOR_MIX; ASSUMP_WORKLOAD_CLASS_MIX; ASSUMP_AGENTIC_CONTEXT_PENALTY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90248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each GPU's short chat, long chat and agentic TPS/MW are weighted before fleet mix and commercial fit are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67653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SRC_EPOCH_AI_DATA_CENTERS;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SRC_EPOCH_AI_DATA_CENTERS;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SRC_OPENAI_STARGATE_PROGRESS; SRC_EPOCH_AI_DATA_CENTERS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SRC_EPOCH_AI_DATA_CENTERS;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SRC_OPENAI_STARGATE_PROGRESS; SRC_EPOCH_AI_DATA_CENTERS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90248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22355223782400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SRC_EPOCH_AI_DATA_CENTERS;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8159656680576000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SRC_EPOCH_AI_DATA_CENTERS;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SRC_OPENAI_STARGATE_PROGRESS; SRC_EPOCH_AI_DATA_CENTERS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SRC_OPENAI_STARGATE_PROGRESS; SRC_EPOCH_AI_DATA_CENTERS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0.869305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SRC_EPOCH_AI_DATA_CENTERS;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0.036744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0.789149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0.043412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0.130695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SRC_EPOCH_AI_DATA_CENTERS;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Replace 02a CSP contract allocations and 02b CSP accelerator mix with contract/procurement telemetry. 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172495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h200_share*h200_workload_avg + b200_share*b200_workload_avg + gb200_share*gb200_workload_avg + purpose_built_share*purpose_workload_avg</t>
        </is>
      </c>
      <c r="I367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71" s="3" t="inlineStr">
        <is>
          <t>SRC_SEMIANALYSIS_INFERENCEX; ASSUMP_NUMERIC_ACCELERATOR_MIX; ASSUMP_WORKLOAD_CLASS_MIX; ASSUMP_AGENTIC_CONTEXT_PENALTY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86248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each GPU's short chat, long chat and agentic TPS/MW are weighted before fleet mix and commercial fit are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67653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SRC_EPOCH_AI_DATA_CENTERS;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SRC_EPOCH_AI_DATA_CENTERS;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SRC_OPENAI_STARGATE_PROGRESS; SRC_EPOCH_AI_DATA_CENTERS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SRC_EPOCH_AI_DATA_CENTERS;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SRC_OPENAI_STARGATE_PROGRESS; SRC_EPOCH_AI_DATA_CENTERS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86248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27422724096000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SRC_EPOCH_AI_DATA_CENTERS;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1.000929429504e+16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SRC_EPOCH_AI_DATA_CENTERS;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SRC_AWS_RAINIER_ACTIVE; SRC_EPOCH_AI_DATA_CENTERS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SRC_AWS_RAINIER_ACTIVE; SRC_EPOCH_AI_DATA_CENTERS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0.342088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SRC_EPOCH_AI_DATA_CENTERS;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0.114987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0.227101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0.6579120000000001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SRC_EPOCH_AI_DATA_CENTERS;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225504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h200_share*h200_workload_avg + b200_share*b200_workload_avg + gb200_share*gb200_workload_avg + purpose_built_share*purpose_workload_avg</t>
        </is>
      </c>
      <c r="I369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94" s="3" t="inlineStr">
        <is>
          <t>SRC_SEMIANALYSIS_INFERENCEX; ASSUMP_NUMERIC_ACCELERATOR_MIX; ASSUMP_WORKLOAD_CLASS_MIX; ASSUMP_AGENTIC_CONTEXT_PENALTY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112752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each GPU's short chat, long chat and agentic TPS/MW are weighted before fleet mix and commercial fit are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67653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SRC_EPOCH_AI_DATA_CENTERS;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SRC_EPOCH_AI_DATA_CENTERS;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SRC_AWS_RAINIER_ACTIVE; SRC_EPOCH_AI_DATA_CENTERS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SRC_EPOCH_AI_DATA_CENTERS;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SRC_AWS_RAINIER_ACTIVE; SRC_EPOCH_AI_DATA_CENTERS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112752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3370653388800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SRC_EPOCH_AI_DATA_CENTERS;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1230288486912000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SRC_EPOCH_AI_DATA_CENTERS;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SRC_AWS_RAINIER_ACTIVE; SRC_EPOCH_AI_DATA_CENTERS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SRC_AWS_RAINIER_ACTIVE; SRC_EPOCH_AI_DATA_CENTERS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0.336499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SRC_EPOCH_AI_DATA_CENTERS;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0.120505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0.215994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0.663501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SRC_EPOCH_AI_DATA_CENTERS;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229936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h200_share*h200_workload_avg + b200_share*b200_workload_avg + gb200_share*gb200_workload_avg + purpose_built_share*purpose_workload_avg</t>
        </is>
      </c>
      <c r="I371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17" s="3" t="inlineStr">
        <is>
          <t>SRC_SEMIANALYSIS_INFERENCEX; ASSUMP_NUMERIC_ACCELERATOR_MIX; ASSUMP_WORKLOAD_CLASS_MIX; ASSUMP_AGENTIC_CONTEXT_PENALTY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114968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each GPU's short chat, long chat and agentic TPS/MW are weighted before fleet mix and commercial fit are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67653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SRC_EPOCH_AI_DATA_CENTERS;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SRC_EPOCH_AI_DATA_CENTERS;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SRC_AWS_RAINIER_ACTIVE; SRC_EPOCH_AI_DATA_CENTERS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SRC_EPOCH_AI_DATA_CENTERS;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SRC_AWS_RAINIER_ACTIVE; SRC_EPOCH_AI_DATA_CENTERS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114968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7757856691200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SRC_EPOCH_AI_DATA_CENTERS;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2831617692288000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SRC_EPOCH_AI_DATA_CENTERS;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SRC_AWS_RAINIER_ACTIVE; SRC_EPOCH_AI_DATA_CENTERS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SRC_AWS_RAINIER_ACTIVE; SRC_EPOCH_AI_DATA_CENTERS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0.19944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SRC_EPOCH_AI_DATA_CENTERS;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0.07884099999999999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0.120599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0.80056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SRC_EPOCH_AI_DATA_CENTERS;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196472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h200_share*h200_workload_avg + b200_share*b200_workload_avg + gb200_share*gb200_workload_avg + purpose_built_share*purpose_workload_avg</t>
        </is>
      </c>
      <c r="I374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40" s="3" t="inlineStr">
        <is>
          <t>SRC_SEMIANALYSIS_INFERENCEX; ASSUMP_NUMERIC_ACCELERATOR_MIX; ASSUMP_WORKLOAD_CLASS_MIX; ASSUMP_AGENTIC_CONTEXT_PENALTY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98236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each GPU's short chat, long chat and agentic TPS/MW are weighted before fleet mix and commercial fit are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67653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SRC_EPOCH_AI_DATA_CENTERS;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SRC_EPOCH_AI_DATA_CENTERS;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SRC_AWS_RAINIER_ACTIVE; SRC_EPOCH_AI_DATA_CENTERS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SRC_EPOCH_AI_DATA_CENTERS;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SRC_AWS_RAINIER_ACTIVE; SRC_EPOCH_AI_DATA_CENTERS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98236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10617975590400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SRC_EPOCH_AI_DATA_CENTERS;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3875561090496000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SRC_EPOCH_AI_DATA_CENTERS;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SRC_AWS_RAINIER_ACTIVE; SRC_EPOCH_AI_DATA_CENTERS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SRC_AWS_RAINIER_ACTIVE; SRC_EPOCH_AI_DATA_CENTERS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0.19944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SRC_EPOCH_AI_DATA_CENTERS;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0.07884099999999999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0.120599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0.80056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SRC_EPOCH_AI_DATA_CENTERS;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196472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h200_share*h200_workload_avg + b200_share*b200_workload_avg + gb200_share*gb200_workload_avg + purpose_built_share*purpose_workload_avg</t>
        </is>
      </c>
      <c r="I376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63" s="3" t="inlineStr">
        <is>
          <t>SRC_SEMIANALYSIS_INFERENCEX; ASSUMP_NUMERIC_ACCELERATOR_MIX; ASSUMP_WORKLOAD_CLASS_MIX; ASSUMP_AGENTIC_CONTEXT_PENALTY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98236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each GPU's short chat, long chat and agentic TPS/MW are weighted before fleet mix and commercial fit are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67653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SRC_EPOCH_AI_DATA_CENTERS;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SRC_EPOCH_AI_DATA_CENTERS;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SRC_AWS_RAINIER_ACTIVE; SRC_EPOCH_AI_DATA_CENTERS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SRC_EPOCH_AI_DATA_CENTERS;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SRC_AWS_RAINIER_ACTIVE; SRC_EPOCH_AI_DATA_CENTERS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98236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14810845248000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SRC_EPOCH_AI_DATA_CENTERS;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5405958515520000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SRC_EPOCH_AI_DATA_CENTERS;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SRC_AWS_RAINIER_ACTIVE; SRC_EPOCH_AI_DATA_CENTERS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SRC_AWS_RAINIER_ACTIVE; SRC_EPOCH_AI_DATA_CENTERS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0.19944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SRC_EPOCH_AI_DATA_CENTERS;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0.07884099999999999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0.120599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0.80056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SRC_EPOCH_AI_DATA_CENTERS;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Replace 02a CSP contract allocations and 02b CSP accelerator mix with contract/procurement telemetry. 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196472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h200_share*h200_workload_avg + b200_share*b200_workload_avg + gb200_share*gb200_workload_avg + purpose_built_share*purpose_workload_avg</t>
        </is>
      </c>
      <c r="I378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86" s="3" t="inlineStr">
        <is>
          <t>SRC_SEMIANALYSIS_INFERENCEX; ASSUMP_NUMERIC_ACCELERATOR_MIX; ASSUMP_WORKLOAD_CLASS_MIX; ASSUMP_AGENTIC_CONTEXT_PENALTY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98236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each GPU's short chat, long chat and agentic TPS/MW are weighted before fleet mix and commercial fit are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67653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SRC_EPOCH_AI_DATA_CENTERS;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SRC_EPOCH_AI_DATA_CENTERS;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SRC_AWS_RAINIER_ACTIVE; SRC_EPOCH_AI_DATA_CENTERS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SRC_EPOCH_AI_DATA_CENTERS;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SRC_AWS_RAINIER_ACTIVE; SRC_EPOCH_AI_DATA_CENTERS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98236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19105565990400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SRC_EPOCH_AI_DATA_CENTERS;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6973531586496000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SRC_EPOCH_AI_DATA_CENTERS;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SRC_DEEPSEEK_H800_INFERENCE; SRC_EPOCH_AI_DATA_CENTERS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SRC_DEEPSEEK_H800_INFERENCE; SRC_EPOCH_AI_DATA_CENTERS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SRC_EPOCH_AI_DATA_CENTERS;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SRC_EPOCH_AI_DATA_CENTERS;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140577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h200_share*h200_workload_avg + b200_share*b200_workload_avg + gb200_share*gb200_workload_avg + purpose_built_share*purpose_workload_avg</t>
        </is>
      </c>
      <c r="I380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09" s="3" t="inlineStr">
        <is>
          <t>SRC_SEMIANALYSIS_INFERENCEX; ASSUMP_NUMERIC_ACCELERATOR_MIX; ASSUMP_WORKLOAD_CLASS_MIX; ASSUMP_AGENTIC_CONTEXT_PENALTY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119490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each GPU's short chat, long chat and agentic TPS/MW are weighted before fleet mix and commercial fit are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334536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SRC_EPOCH_AI_DATA_CENTERS;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SRC_EPOCH_AI_DATA_CENTERS;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SRC_DEEPSEEK_H800_INFERENCE; SRC_EPOCH_AI_DATA_CENTERS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SRC_EPOCH_AI_DATA_CENTERS;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SRC_DEEPSEEK_H800_INFERENCE; SRC_EPOCH_AI_DATA_CENTERS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119490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578140416000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SRC_EPOCH_AI_DATA_CENTERS;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211021251840000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SRC_EPOCH_AI_DATA_CENTERS;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SRC_DEEPSEEK_H800_INFERENCE; SRC_EPOCH_AI_DATA_CENTERS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SRC_DEEPSEEK_H800_INFERENCE; SRC_EPOCH_AI_DATA_CENTERS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SRC_EPOCH_AI_DATA_CENTERS;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SRC_EPOCH_AI_DATA_CENTERS;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151424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h200_share*h200_workload_avg + b200_share*b200_workload_avg + gb200_share*gb200_workload_avg + purpose_built_share*purpose_workload_avg</t>
        </is>
      </c>
      <c r="I383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32" s="3" t="inlineStr">
        <is>
          <t>SRC_SEMIANALYSIS_INFERENCEX; ASSUMP_NUMERIC_ACCELERATOR_MIX; ASSUMP_WORKLOAD_CLASS_MIX; ASSUMP_AGENTIC_CONTEXT_PENALTY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128710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each GPU's short chat, long chat and agentic TPS/MW are weighted before fleet mix and commercial fit are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334536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SRC_EPOCH_AI_DATA_CENTERS;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SRC_EPOCH_AI_DATA_CENTERS;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SRC_DEEPSEEK_H800_INFERENCE; SRC_EPOCH_AI_DATA_CENTERS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SRC_EPOCH_AI_DATA_CENTERS;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SRC_DEEPSEEK_H800_INFERENCE; SRC_EPOCH_AI_DATA_CENTERS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128710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1768166496000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SRC_EPOCH_AI_DATA_CENTERS;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645380771040000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SRC_EPOCH_AI_DATA_CENTERS;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SRC_DEEPSEEK_H800_INFERENCE; SRC_EPOCH_AI_DATA_CENTERS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SRC_DEEPSEEK_H800_INFERENCE; SRC_EPOCH_AI_DATA_CENTERS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SRC_EPOCH_AI_DATA_CENTERS;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SRC_EPOCH_AI_DATA_CENTERS;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162367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h200_share*h200_workload_avg + b200_share*b200_workload_avg + gb200_share*gb200_workload_avg + purpose_built_share*purpose_workload_avg</t>
        </is>
      </c>
      <c r="I385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55" s="3" t="inlineStr">
        <is>
          <t>SRC_SEMIANALYSIS_INFERENCEX; ASSUMP_NUMERIC_ACCELERATOR_MIX; ASSUMP_WORKLOAD_CLASS_MIX; ASSUMP_AGENTIC_CONTEXT_PENALTY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138012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each GPU's short chat, long chat and agentic TPS/MW are weighted before fleet mix and commercial fit are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334536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SRC_EPOCH_AI_DATA_CENTERS;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SRC_EPOCH_AI_DATA_CENTERS;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SRC_DEEPSEEK_H800_INFERENCE; SRC_EPOCH_AI_DATA_CENTERS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SRC_EPOCH_AI_DATA_CENTERS;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SRC_DEEPSEEK_H800_INFERENCE; SRC_EPOCH_AI_DATA_CENTERS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138012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3195695462400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SRC_EPOCH_AI_DATA_CENTERS;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1166428843776000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SRC_EPOCH_AI_DATA_CENTERS;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SRC_DEEPSEEK_H800_INFERENCE; SRC_EPOCH_AI_DATA_CENTERS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SRC_DEEPSEEK_H800_INFERENCE; SRC_EPOCH_AI_DATA_CENTERS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SRC_EPOCH_AI_DATA_CENTERS;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SRC_EPOCH_AI_DATA_CENTERS;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173214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h200_share*h200_workload_avg + b200_share*b200_workload_avg + gb200_share*gb200_workload_avg + purpose_built_share*purpose_workload_avg</t>
        </is>
      </c>
      <c r="I387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78" s="3" t="inlineStr">
        <is>
          <t>SRC_SEMIANALYSIS_INFERENCEX; ASSUMP_NUMERIC_ACCELERATOR_MIX; ASSUMP_WORKLOAD_CLASS_MIX; ASSUMP_AGENTIC_CONTEXT_PENALTY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147232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each GPU's short chat, long chat and agentic TPS/MW are weighted before fleet mix and commercial fit are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334536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SRC_EPOCH_AI_DATA_CENTERS;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SRC_EPOCH_AI_DATA_CENTERS;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SRC_DEEPSEEK_H800_INFERENCE; SRC_EPOCH_AI_DATA_CENTERS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SRC_EPOCH_AI_DATA_CENTERS;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SRC_DEEPSEEK_H800_INFERENCE; SRC_EPOCH_AI_DATA_CENTERS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147232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4821200179200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SRC_EPOCH_AI_DATA_CENTERS;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1759738065408000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SRC_EPOCH_AI_DATA_CENTERS;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SRC_DEEPSEEK_H800_INFERENCE; SRC_EPOCH_AI_DATA_CENTERS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SRC_DEEPSEEK_H800_INFERENCE; SRC_EPOCH_AI_DATA_CENTERS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SRC_EPOCH_AI_DATA_CENTERS;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SRC_EPOCH_AI_DATA_CENTERS;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Replace 02a CSP contract allocations and 02b CSP accelerator mix with contract/procurement telemetry. 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184158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h200_share*h200_workload_avg + b200_share*b200_workload_avg + gb200_share*gb200_workload_avg + purpose_built_share*purpose_workload_avg</t>
        </is>
      </c>
      <c r="I390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901" s="3" t="inlineStr">
        <is>
          <t>SRC_SEMIANALYSIS_INFERENCEX; ASSUMP_NUMERIC_ACCELERATOR_MIX; ASSUMP_WORKLOAD_CLASS_MIX; ASSUMP_AGENTIC_CONTEXT_PENALTY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156534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each GPU's short chat, long chat and agentic TPS/MW are weighted before fleet mix and commercial fit are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334536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SRC_EPOCH_AI_DATA_CENTERS;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SRC_EPOCH_AI_DATA_CENTERS;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SRC_DEEPSEEK_H800_INFERENCE; SRC_EPOCH_AI_DATA_CENTERS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SRC_EPOCH_AI_DATA_CENTERS;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SRC_DEEPSEEK_H800_INFERENCE; SRC_EPOCH_AI_DATA_CENTERS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156534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6640547961600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SRC_EPOCH_AI_DATA_CENTERS;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2423800005984000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SRC_EPOCH_AI_DATA_CENTERS;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SRC_ALIBABA_QWEN_GPU_DEPLOY; SRC_EPOCH_AI_DATA_CENTERS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SRC_ALIBABA_QWEN_GPU_DEPLOY; SRC_EPOCH_AI_DATA_CENTERS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SRC_EPOCH_AI_DATA_CENTERS;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1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SRC_EPOCH_AI_DATA_CENTERS;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166591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h200_share*h200_workload_avg + b200_share*b200_workload_avg + gb200_share*gb200_workload_avg + purpose_built_share*purpose_workload_avg</t>
        </is>
      </c>
      <c r="I392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24" s="3" t="inlineStr">
        <is>
          <t>SRC_SEMIANALYSIS_INFERENCEX; ASSUMP_NUMERIC_ACCELERATOR_MIX; ASSUMP_WORKLOAD_CLASS_MIX; ASSUMP_AGENTIC_CONTEXT_PENALTY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149932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each GPU's short chat, long chat and agentic TPS/MW are weighted before fleet mix and commercial fit are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996060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SRC_EPOCH_AI_DATA_CENTERS;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SRC_EPOCH_AI_DATA_CENTERS;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SRC_ALIBABA_QWEN_GPU_DEPLOY; SRC_EPOCH_AI_DATA_CENTERS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SRC_EPOCH_AI_DATA_CENTERS;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SRC_ALIBABA_QWEN_GPU_DEPLOY; SRC_EPOCH_AI_DATA_CENTERS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149932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3134898201600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SRC_EPOCH_AI_DATA_CENTERS;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1144237843584000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SRC_EPOCH_AI_DATA_CENTERS;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SRC_ALIBABA_QWEN_GPU_DEPLOY; SRC_EPOCH_AI_DATA_CENTERS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SRC_ALIBABA_QWEN_GPU_DEPLOY; SRC_EPOCH_AI_DATA_CENTERS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SRC_EPOCH_AI_DATA_CENTERS;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1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SRC_EPOCH_AI_DATA_CENTERS;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166591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h200_share*h200_workload_avg + b200_share*b200_workload_avg + gb200_share*gb200_workload_avg + purpose_built_share*purpose_workload_avg</t>
        </is>
      </c>
      <c r="I394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47" s="3" t="inlineStr">
        <is>
          <t>SRC_SEMIANALYSIS_INFERENCEX; ASSUMP_NUMERIC_ACCELERATOR_MIX; ASSUMP_WORKLOAD_CLASS_MIX; ASSUMP_AGENTIC_CONTEXT_PENALTY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149932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each GPU's short chat, long chat and agentic TPS/MW are weighted before fleet mix and commercial fit are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996060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SRC_EPOCH_AI_DATA_CENTERS;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SRC_EPOCH_AI_DATA_CENTERS;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SRC_ALIBABA_QWEN_GPU_DEPLOY; SRC_EPOCH_AI_DATA_CENTERS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SRC_EPOCH_AI_DATA_CENTERS;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SRC_ALIBABA_QWEN_GPU_DEPLOY; SRC_EPOCH_AI_DATA_CENTERS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149932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6464108275200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SRC_EPOCH_AI_DATA_CENTERS;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2359399520448000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SRC_EPOCH_AI_DATA_CENTERS;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SRC_ALIBABA_QWEN_GPU_DEPLOY; SRC_EPOCH_AI_DATA_CENTERS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SRC_ALIBABA_QWEN_GPU_DEPLOY; SRC_EPOCH_AI_DATA_CENTERS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SRC_EPOCH_AI_DATA_CENTERS;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1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SRC_EPOCH_AI_DATA_CENTERS;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166591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h200_share*h200_workload_avg + b200_share*b200_workload_avg + gb200_share*gb200_workload_avg + purpose_built_share*purpose_workload_avg</t>
        </is>
      </c>
      <c r="I397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70" s="3" t="inlineStr">
        <is>
          <t>SRC_SEMIANALYSIS_INFERENCEX; ASSUMP_NUMERIC_ACCELERATOR_MIX; ASSUMP_WORKLOAD_CLASS_MIX; ASSUMP_AGENTIC_CONTEXT_PENALTY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149932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each GPU's short chat, long chat and agentic TPS/MW are weighted before fleet mix and commercial fit are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996060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SRC_EPOCH_AI_DATA_CENTERS;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SRC_EPOCH_AI_DATA_CENTERS;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SRC_ALIBABA_QWEN_GPU_DEPLOY; SRC_EPOCH_AI_DATA_CENTERS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SRC_EPOCH_AI_DATA_CENTERS;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SRC_ALIBABA_QWEN_GPU_DEPLOY; SRC_EPOCH_AI_DATA_CENTERS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149932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9948767846400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SRC_EPOCH_AI_DATA_CENTERS;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3631300263936000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SRC_EPOCH_AI_DATA_CENTERS;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SRC_ALIBABA_QWEN_GPU_DEPLOY; SRC_EPOCH_AI_DATA_CENTERS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SRC_ALIBABA_QWEN_GPU_DEPLOY; SRC_EPOCH_AI_DATA_CENTERS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SRC_EPOCH_AI_DATA_CENTERS;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1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SRC_EPOCH_AI_DATA_CENTERS;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166591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h200_share*h200_workload_avg + b200_share*b200_workload_avg + gb200_share*gb200_workload_avg + purpose_built_share*purpose_workload_avg</t>
        </is>
      </c>
      <c r="I399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93" s="3" t="inlineStr">
        <is>
          <t>SRC_SEMIANALYSIS_INFERENCEX; ASSUMP_NUMERIC_ACCELERATOR_MIX; ASSUMP_WORKLOAD_CLASS_MIX; ASSUMP_AGENTIC_CONTEXT_PENALTY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149932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each GPU's short chat, long chat and agentic TPS/MW are weighted before fleet mix and commercial fit are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996060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SRC_EPOCH_AI_DATA_CENTERS;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SRC_EPOCH_AI_DATA_CENTERS;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SRC_ALIBABA_QWEN_GPU_DEPLOY; SRC_EPOCH_AI_DATA_CENTERS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SRC_EPOCH_AI_DATA_CENTERS;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SRC_ALIBABA_QWEN_GPU_DEPLOY; SRC_EPOCH_AI_DATA_CENTERS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149932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13524106291200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SRC_EPOCH_AI_DATA_CENTERS;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4936298796288000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SRC_EPOCH_AI_DATA_CENTERS;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SRC_ALIBABA_QWEN_GPU_DEPLOY; SRC_EPOCH_AI_DATA_CENTERS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SRC_ALIBABA_QWEN_GPU_DEPLOY; SRC_EPOCH_AI_DATA_CENTERS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SRC_EPOCH_AI_DATA_CENTERS;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SRC_EPOCH_AI_DATA_CENTERS;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Replace 02a CSP contract allocations and 02b CSP accelerator mix with contract/procurement telemetry. 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166591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h200_share*h200_workload_avg + b200_share*b200_workload_avg + gb200_share*gb200_workload_avg + purpose_built_share*purpose_workload_avg</t>
        </is>
      </c>
      <c r="I401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4016" s="3" t="inlineStr">
        <is>
          <t>SRC_SEMIANALYSIS_INFERENCEX; ASSUMP_NUMERIC_ACCELERATOR_MIX; ASSUMP_WORKLOAD_CLASS_MIX; ASSUMP_AGENTIC_CONTEXT_PENALTY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149932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each GPU's short chat, long chat and agentic TPS/MW are weighted before fleet mix and commercial fit are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996060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SRC_EPOCH_AI_DATA_CENTERS;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SRC_EPOCH_AI_DATA_CENTERS;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SRC_ALIBABA_QWEN_GPU_DEPLOY; SRC_EPOCH_AI_DATA_CENTERS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SRC_EPOCH_AI_DATA_CENTERS;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SRC_ALIBABA_QWEN_GPU_DEPLOY; SRC_EPOCH_AI_DATA_CENTERS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149932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17125352985600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SRC_EPOCH_AI_DATA_CENTERS;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6250753839744000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SRC_EPOCH_AI_DATA_CENTERS;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SRC_TENCENT_AI_INFRA_MOE; SRC_EPOCH_AI_DATA_CENTERS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SRC_TENCENT_AI_INFRA_MOE; SRC_EPOCH_AI_DATA_CENTERS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SRC_EPOCH_AI_DATA_CENTERS;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SRC_EPOCH_AI_DATA_CENTERS;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2359967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h200_share*h200_workload_avg + b200_share*b200_workload_avg + gb200_share*gb200_workload_avg + purpose_built_share*purpose_workload_avg</t>
        </is>
      </c>
      <c r="I403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39" s="3" t="inlineStr">
        <is>
          <t>SRC_SEMIANALYSIS_INFERENCEX; ASSUMP_NUMERIC_ACCELERATOR_MIX; ASSUMP_WORKLOAD_CLASS_MIX; ASSUMP_AGENTIC_CONTEXT_PENALTY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1415980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each GPU's short chat, long chat and agentic TPS/MW are weighted before fleet mix and commercial fit are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2710180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SRC_EPOCH_AI_DATA_CENTERS;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SRC_EPOCH_AI_DATA_CENTERS;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SRC_TENCENT_AI_INFRA_MOE; SRC_EPOCH_AI_DATA_CENTERS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SRC_EPOCH_AI_DATA_CENTERS;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SRC_TENCENT_AI_INFRA_MOE; SRC_EPOCH_AI_DATA_CENTERS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1415980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20553232896000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SRC_EPOCH_AI_DATA_CENTERS;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7501930007040000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SRC_EPOCH_AI_DATA_CENTERS;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SRC_TENCENT_AI_INFRA_MOE; SRC_EPOCH_AI_DATA_CENTERS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SRC_TENCENT_AI_INFRA_MOE; SRC_EPOCH_AI_DATA_CENTERS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SRC_EPOCH_AI_DATA_CENTERS;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SRC_EPOCH_AI_DATA_CENTERS;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2616983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h200_share*h200_workload_avg + b200_share*b200_workload_avg + gb200_share*gb200_workload_avg + purpose_built_share*purpose_workload_avg</t>
        </is>
      </c>
      <c r="I406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62" s="3" t="inlineStr">
        <is>
          <t>SRC_SEMIANALYSIS_INFERENCEX; ASSUMP_NUMERIC_ACCELERATOR_MIX; ASSUMP_WORKLOAD_CLASS_MIX; ASSUMP_AGENTIC_CONTEXT_PENALTY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1570190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each GPU's short chat, long chat and agentic TPS/MW are weighted before fleet mix and commercial fit are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2710180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SRC_EPOCH_AI_DATA_CENTERS;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SRC_EPOCH_AI_DATA_CENTERS;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SRC_TENCENT_AI_INFRA_MOE; SRC_EPOCH_AI_DATA_CENTERS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SRC_EPOCH_AI_DATA_CENTERS;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SRC_TENCENT_AI_INFRA_MOE; SRC_EPOCH_AI_DATA_CENTERS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1570190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49246183008000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SRC_EPOCH_AI_DATA_CENTERS;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1.797485679792e+16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SRC_EPOCH_AI_DATA_CENTERS;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SRC_TENCENT_AI_INFRA_MOE; SRC_EPOCH_AI_DATA_CENTERS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SRC_TENCENT_AI_INFRA_MOE; SRC_EPOCH_AI_DATA_CENTERS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SRC_EPOCH_AI_DATA_CENTERS;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SRC_EPOCH_AI_DATA_CENTERS;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2876295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h200_share*h200_workload_avg + b200_share*b200_workload_avg + gb200_share*gb200_workload_avg + purpose_built_share*purpose_workload_avg</t>
        </is>
      </c>
      <c r="I408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85" s="3" t="inlineStr">
        <is>
          <t>SRC_SEMIANALYSIS_INFERENCEX; ASSUMP_NUMERIC_ACCELERATOR_MIX; ASSUMP_WORKLOAD_CLASS_MIX; ASSUMP_AGENTIC_CONTEXT_PENALTY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1725777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each GPU's short chat, long chat and agentic TPS/MW are weighted before fleet mix and commercial fit are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2710180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SRC_EPOCH_AI_DATA_CENTERS;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SRC_EPOCH_AI_DATA_CENTERS;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SRC_TENCENT_AI_INFRA_MOE; SRC_EPOCH_AI_DATA_CENTERS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SRC_EPOCH_AI_DATA_CENTERS;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SRC_TENCENT_AI_INFRA_MOE; SRC_EPOCH_AI_DATA_CENTERS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1725777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84692851430400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SRC_EPOCH_AI_DATA_CENTERS;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3.0912890772096e+16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SRC_EPOCH_AI_DATA_CENTERS;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SRC_TENCENT_AI_INFRA_MOE; SRC_EPOCH_AI_DATA_CENTERS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SRC_TENCENT_AI_INFRA_MOE; SRC_EPOCH_AI_DATA_CENTERS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SRC_EPOCH_AI_DATA_CENTERS;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SRC_EPOCH_AI_DATA_CENTERS;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3133311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h200_share*h200_workload_avg + b200_share*b200_workload_avg + gb200_share*gb200_workload_avg + purpose_built_share*purpose_workload_avg</t>
        </is>
      </c>
      <c r="I410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08" s="3" t="inlineStr">
        <is>
          <t>SRC_SEMIANALYSIS_INFERENCEX; ASSUMP_NUMERIC_ACCELERATOR_MIX; ASSUMP_WORKLOAD_CLASS_MIX; ASSUMP_AGENTIC_CONTEXT_PENALTY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1879987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each GPU's short chat, long chat and agentic TPS/MW are weighted before fleet mix and commercial fit are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2710180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SRC_EPOCH_AI_DATA_CENTERS;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SRC_EPOCH_AI_DATA_CENTERS;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SRC_TENCENT_AI_INFRA_MOE; SRC_EPOCH_AI_DATA_CENTERS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SRC_EPOCH_AI_DATA_CENTERS;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SRC_TENCENT_AI_INFRA_MOE; SRC_EPOCH_AI_DATA_CENTERS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1879987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126533653027200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SRC_EPOCH_AI_DATA_CENTERS;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4.6184783354928e+16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SRC_EPOCH_AI_DATA_CENTERS;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SRC_TENCENT_AI_INFRA_MOE; SRC_EPOCH_AI_DATA_CENTERS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SRC_TENCENT_AI_INFRA_MOE; SRC_EPOCH_AI_DATA_CENTERS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SRC_EPOCH_AI_DATA_CENTERS;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SRC_EPOCH_AI_DATA_CENTERS;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Replace 02a CSP contract allocations and 02b CSP accelerator mix with contract/procurement telemetry. 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3392622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h200_share*h200_workload_avg + b200_share*b200_workload_avg + gb200_share*gb200_workload_avg + purpose_built_share*purpose_workload_avg</t>
        </is>
      </c>
      <c r="I413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31" s="3" t="inlineStr">
        <is>
          <t>SRC_SEMIANALYSIS_INFERENCEX; ASSUMP_NUMERIC_ACCELERATOR_MIX; ASSUMP_WORKLOAD_CLASS_MIX; ASSUMP_AGENTIC_CONTEXT_PENALTY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2035573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each GPU's short chat, long chat and agentic TPS/MW are weighted before fleet mix and commercial fit are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2710180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SRC_EPOCH_AI_DATA_CENTERS;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SRC_EPOCH_AI_DATA_CENTERS;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SRC_TENCENT_AI_INFRA_MOE; SRC_EPOCH_AI_DATA_CENTERS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SRC_EPOCH_AI_DATA_CENTERS;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SRC_TENCENT_AI_INFRA_MOE; SRC_EPOCH_AI_DATA_CENTERS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2035573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174290645635200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SRC_EPOCH_AI_DATA_CENTERS;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6.3616085656848e+16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SRC_EPOCH_AI_DATA_CENTERS;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100%/100%; purpose-built 0%/0%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SRC_MS_MAIA200; SRC_EPOCH_AI_DATA_CENTERS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1,552,715 -&gt; 1,680,620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0.095Q -&gt; 0.484Q/day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SRC_MS_MAIA200; SRC_EPOCH_AI_DATA_CENTERS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6%/9%; purpose-built 94%/91%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SRC_GOOGLE_TPU_V6E; SRC_EPOCH_AI_DATA_CENTERS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100,661 -&gt; 100,661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0.008Q -&gt; 0.032Q/day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SRC_GOOGLE_TPU_V6E; SRC_EPOCH_AI_DATA_CENTERS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100%/81%; purpose-built 0%/19%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SRC_META_MTIA_GENAI_2026; SRC_EPOCH_AI_DATA_CENTERS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828,523 -&gt; 832,575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0.048Q -&gt; 0.236Q/day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SRC_META_MTIA_GENAI_2026; SRC_EPOCH_AI_DATA_CENTERS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SRC_XAI_NVIDIA_COLOSSUS; SRC_EPOCH_AI_DATA_CENTERS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1,362,216 -&gt; 1,362,216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0.013Q -&gt; 0.143Q/day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SRC_XAI_NVIDIA_COLOSSUS; SRC_EPOCH_AI_DATA_CENTERS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100%/87%; purpose-built 0%/13%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SRC_OPENAI_STARGATE_PROGRESS; SRC_EPOCH_AI_DATA_CENTERS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111,370 -&gt; 86,248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0.006Q -&gt; 0.036Q/day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SRC_OPENAI_STARGATE_PROGRESS; SRC_EPOCH_AI_DATA_CENTERS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34%/20%; purpose-built 66%/80%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SRC_AWS_RAINIER_ACTIVE; SRC_EPOCH_AI_DATA_CENTERS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112,752 -&gt; 98,236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0.004Q -&gt; 0.025Q/day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SRC_AWS_RAINIER_ACTIVE; SRC_EPOCH_AI_DATA_CENTERS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SRC_DEEPSEEK_H800_INFERENCE; SRC_EPOCH_AI_DATA_CENTERS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119,490 -&gt; 156,534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0.001Q -&gt; 0.009Q/day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SRC_DEEPSEEK_H800_INFERENCE; SRC_EPOCH_AI_DATA_CENTERS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SRC_ALIBABA_QWEN_GPU_DEPLOY; SRC_EPOCH_AI_DATA_CENTERS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149,932 -&gt; 149,932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0.003Q -&gt; 0.023Q/day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SRC_ALIBABA_QWEN_GPU_DEPLOY; SRC_EPOCH_AI_DATA_CENTERS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SRC_TENCENT_AI_INFRA_MOE; SRC_EPOCH_AI_DATA_CENTERS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1,415,980 -&gt; 2,035,573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0.023Q -&gt; 0.231Q/day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SRC_TENCENT_AI_INFRA_MOE; SRC_EPOCH_AI_DATA_CENTERS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2026-07-30T23:47:10Z</dcterms:created>
  <dcterms:modified xmlns:dcterms="http://purl.org/dc/terms/" xmlns:xsi="http://www.w3.org/2001/XMLSchema-instance" xsi:type="dcterms:W3CDTF">2026-07-30T23:47:16Z</dcterms:modified>
</cp:coreProperties>
</file>