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</sheets>
  <definedNames>
    <definedName name="_xlnm._FilterDatabase" localSheetId="1" hidden="1">'01_Benchmark_Input'!$A$1:$M$10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'03_Calculation'!$A$1:$Z$181</definedName>
    <definedName name="_xlnm._FilterDatabase" localSheetId="6" hidden="1">'05_Checks'!$A$1:$C$8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GPU mix는 `02_GPU_Mix_Input`에서 나중에 교체 가능합니다.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fleet_reference_tps_per_mw = H200_share*H200_ref + B200_share*B200_ref + GB200_share*GB200_ref + purpose_built_share*purpose_ref</t>
        </is>
      </c>
    </row>
    <row r="7" ht="30" customHeight="1">
      <c r="A7" s="2" t="inlineStr">
        <is>
          <t>Step 4</t>
        </is>
      </c>
      <c r="B7" s="3" t="inlineStr">
        <is>
          <t>serving_tps_per_mw = fleet_reference_tps_per_mw * commercial_workload_fit_factor</t>
        </is>
      </c>
    </row>
    <row r="8" ht="30" customHeight="1">
      <c r="A8" s="2" t="inlineStr">
        <is>
          <t>Step 5</t>
        </is>
      </c>
      <c r="B8" s="3" t="inlineStr">
        <is>
          <t>generated_output_tokens_per_day = inference_gw * 1,000 * serving_tps_per_mw * 86,400</t>
        </is>
      </c>
    </row>
    <row r="9" ht="30" customHeight="1">
      <c r="A9" s="2" t="inlineStr">
        <is>
          <t>GPU mix rule</t>
        </is>
      </c>
      <c r="B9" s="3" t="inlineStr">
        <is>
          <t>H200/B200/GB200/purpose-built share의 합은 100%이며, 같은 inference MW 내 구성 차이가 token capacity를 바꿉니다.</t>
        </is>
      </c>
    </row>
    <row r="10" ht="30" customHeight="1">
      <c r="A10" s="2" t="inlineStr">
        <is>
          <t>Benchmark rule</t>
        </is>
      </c>
      <c r="B10" s="3" t="inlineStr">
        <is>
          <t>InferenceX output_tok_s_mw p50; single_turn / ISL 1024 / OSL 1024. 50행 미만/미존재 조합은 B200 placeholder로 시작합니다.</t>
        </is>
      </c>
    </row>
    <row r="11" ht="30" customHeight="1">
      <c r="A11" s="2" t="inlineStr">
        <is>
          <t>Purpose-built rule</t>
        </is>
      </c>
      <c r="B11" s="3" t="inlineStr">
        <is>
          <t>Comparable TPS/MW가 없으면 B200 placeholder를 사용하며 사용자 입력으로 교체합니다.</t>
        </is>
      </c>
    </row>
    <row r="12" ht="30" customHeight="1">
      <c r="A12" s="2" t="inlineStr">
        <is>
          <t>Excluded</t>
        </is>
      </c>
      <c r="B12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13" customWidth="1" min="3" max="3"/>
    <col width="24" customWidth="1" min="4" max="4"/>
    <col width="52" customWidth="1" min="5" max="5"/>
    <col width="24" customWidth="1" min="6" max="6"/>
    <col width="42" customWidth="1" min="7" max="7"/>
    <col width="25" customWidth="1" min="8" max="8"/>
    <col width="58" customWidth="1" min="9" max="9"/>
    <col width="30" customWidth="1" min="10" max="10"/>
    <col width="17" customWidth="1" min="11" max="11"/>
    <col width="17" customWidth="1" min="12" max="12"/>
    <col width="17" customWidth="1" min="13" max="13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h200_reference_tps_per_mw</t>
        </is>
      </c>
      <c r="E1" s="4" t="inlineStr">
        <is>
          <t>h200_status</t>
        </is>
      </c>
      <c r="F1" s="4" t="inlineStr">
        <is>
          <t>b200_reference_tps_per_mw</t>
        </is>
      </c>
      <c r="G1" s="4" t="inlineStr">
        <is>
          <t>b200_status</t>
        </is>
      </c>
      <c r="H1" s="4" t="inlineStr">
        <is>
          <t>gb200_reference_tps_per_mw</t>
        </is>
      </c>
      <c r="I1" s="4" t="inlineStr">
        <is>
          <t>gb200_status</t>
        </is>
      </c>
      <c r="J1" s="4" t="inlineStr">
        <is>
          <t>purpose_built_reference_tps_per_mw</t>
        </is>
      </c>
      <c r="K1" s="4" t="inlineStr">
        <is>
          <t>bear_fit_factor</t>
        </is>
      </c>
      <c r="L1" s="4" t="inlineStr">
        <is>
          <t>base_fit_factor</t>
        </is>
      </c>
      <c r="M1" s="4" t="inlineStr">
        <is>
          <t>bull_fit_factor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369352</v>
      </c>
      <c r="E2" s="3" t="inlineStr">
        <is>
          <t>Public reference selected</t>
        </is>
      </c>
      <c r="F2" s="5" t="n">
        <v>724940</v>
      </c>
      <c r="G2" s="3" t="inlineStr">
        <is>
          <t>Public reference selected</t>
        </is>
      </c>
      <c r="H2" s="5" t="n">
        <v>724940</v>
      </c>
      <c r="I2" s="3" t="inlineStr">
        <is>
          <t>B200 placeholder - insufficient/missing matched rows; editable input</t>
        </is>
      </c>
      <c r="J2" s="5" t="n">
        <v>724940</v>
      </c>
      <c r="K2" s="6" t="n">
        <v>0.4</v>
      </c>
      <c r="L2" s="6" t="n">
        <v>0.6</v>
      </c>
      <c r="M2" s="6" t="n">
        <v>0.8</v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369352</v>
      </c>
      <c r="E3" s="3" t="inlineStr">
        <is>
          <t>Public reference selected</t>
        </is>
      </c>
      <c r="F3" s="5" t="n">
        <v>724940</v>
      </c>
      <c r="G3" s="3" t="inlineStr">
        <is>
          <t>Public reference selected</t>
        </is>
      </c>
      <c r="H3" s="5" t="n">
        <v>724940</v>
      </c>
      <c r="I3" s="3" t="inlineStr">
        <is>
          <t>B200 placeholder - insufficient/missing matched rows; editable input</t>
        </is>
      </c>
      <c r="J3" s="5" t="n">
        <v>724940</v>
      </c>
      <c r="K3" s="6" t="n">
        <v>0.4</v>
      </c>
      <c r="L3" s="6" t="n">
        <v>0.6</v>
      </c>
      <c r="M3" s="6" t="n">
        <v>0.8</v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284640</v>
      </c>
      <c r="E4" s="3" t="inlineStr">
        <is>
          <t>Public reference selected</t>
        </is>
      </c>
      <c r="F4" s="5" t="n">
        <v>282860</v>
      </c>
      <c r="G4" s="3" t="inlineStr">
        <is>
          <t>Public reference selected</t>
        </is>
      </c>
      <c r="H4" s="5" t="n">
        <v>282860</v>
      </c>
      <c r="I4" s="3" t="inlineStr">
        <is>
          <t>B200 placeholder - insufficient/missing matched rows; editable input</t>
        </is>
      </c>
      <c r="J4" s="5" t="n">
        <v>282860</v>
      </c>
      <c r="K4" s="6" t="n">
        <v>0.75</v>
      </c>
      <c r="L4" s="6" t="n">
        <v>0.9</v>
      </c>
      <c r="M4" s="6" t="n">
        <v>1</v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369352</v>
      </c>
      <c r="E5" s="3" t="inlineStr">
        <is>
          <t>Public reference selected</t>
        </is>
      </c>
      <c r="F5" s="5" t="n">
        <v>724940</v>
      </c>
      <c r="G5" s="3" t="inlineStr">
        <is>
          <t>Public reference selected</t>
        </is>
      </c>
      <c r="H5" s="5" t="n">
        <v>724940</v>
      </c>
      <c r="I5" s="3" t="inlineStr">
        <is>
          <t>B200 placeholder - insufficient/missing matched rows; editable input</t>
        </is>
      </c>
      <c r="J5" s="5" t="n">
        <v>724940</v>
      </c>
      <c r="K5" s="6" t="n">
        <v>0.35</v>
      </c>
      <c r="L5" s="6" t="n">
        <v>0.55</v>
      </c>
      <c r="M5" s="6" t="n">
        <v>0.75</v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369352</v>
      </c>
      <c r="E6" s="3" t="inlineStr">
        <is>
          <t>Public reference selected</t>
        </is>
      </c>
      <c r="F6" s="5" t="n">
        <v>724940</v>
      </c>
      <c r="G6" s="3" t="inlineStr">
        <is>
          <t>Public reference selected</t>
        </is>
      </c>
      <c r="H6" s="5" t="n">
        <v>724940</v>
      </c>
      <c r="I6" s="3" t="inlineStr">
        <is>
          <t>B200 placeholder - insufficient/missing matched rows; editable input</t>
        </is>
      </c>
      <c r="J6" s="5" t="n">
        <v>724940</v>
      </c>
      <c r="K6" s="6" t="n">
        <v>0.3</v>
      </c>
      <c r="L6" s="6" t="n">
        <v>0.5</v>
      </c>
      <c r="M6" s="6" t="n">
        <v>0.7</v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369352</v>
      </c>
      <c r="E7" s="3" t="inlineStr">
        <is>
          <t>Public reference selected</t>
        </is>
      </c>
      <c r="F7" s="5" t="n">
        <v>724940</v>
      </c>
      <c r="G7" s="3" t="inlineStr">
        <is>
          <t>Public reference selected</t>
        </is>
      </c>
      <c r="H7" s="5" t="n">
        <v>724940</v>
      </c>
      <c r="I7" s="3" t="inlineStr">
        <is>
          <t>B200 placeholder - insufficient/missing matched rows; editable input</t>
        </is>
      </c>
      <c r="J7" s="5" t="n">
        <v>724940</v>
      </c>
      <c r="K7" s="6" t="n">
        <v>0.3</v>
      </c>
      <c r="L7" s="6" t="n">
        <v>0.5</v>
      </c>
      <c r="M7" s="6" t="n">
        <v>0.7</v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60574</v>
      </c>
      <c r="E8" s="3" t="inlineStr">
        <is>
          <t>Public reference selected</t>
        </is>
      </c>
      <c r="F8" s="5" t="n">
        <v>101245</v>
      </c>
      <c r="G8" s="3" t="inlineStr">
        <is>
          <t>Public reference selected</t>
        </is>
      </c>
      <c r="H8" s="5" t="n">
        <v>731323</v>
      </c>
      <c r="I8" s="3" t="inlineStr">
        <is>
          <t>Public reference selected</t>
        </is>
      </c>
      <c r="J8" s="5" t="n">
        <v>101245</v>
      </c>
      <c r="K8" s="6" t="n">
        <v>0.65</v>
      </c>
      <c r="L8" s="6" t="n">
        <v>0.85</v>
      </c>
      <c r="M8" s="6" t="n">
        <v>1</v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179145</v>
      </c>
      <c r="E9" s="3" t="inlineStr">
        <is>
          <t>B200 placeholder - insufficient/missing matched rows; editable input</t>
        </is>
      </c>
      <c r="F9" s="5" t="n">
        <v>179145</v>
      </c>
      <c r="G9" s="3" t="inlineStr">
        <is>
          <t>Public reference selected</t>
        </is>
      </c>
      <c r="H9" s="5" t="n">
        <v>179145</v>
      </c>
      <c r="I9" s="3" t="inlineStr">
        <is>
          <t>B200 placeholder - insufficient/missing matched rows; editable input</t>
        </is>
      </c>
      <c r="J9" s="5" t="n">
        <v>179145</v>
      </c>
      <c r="K9" s="6" t="n">
        <v>0.7</v>
      </c>
      <c r="L9" s="6" t="n">
        <v>0.9</v>
      </c>
      <c r="M9" s="6" t="n">
        <v>1</v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369352</v>
      </c>
      <c r="E10" s="3" t="inlineStr">
        <is>
          <t>Public reference selected</t>
        </is>
      </c>
      <c r="F10" s="5" t="n">
        <v>724940</v>
      </c>
      <c r="G10" s="3" t="inlineStr">
        <is>
          <t>Public reference selected</t>
        </is>
      </c>
      <c r="H10" s="5" t="n">
        <v>724940</v>
      </c>
      <c r="I10" s="3" t="inlineStr">
        <is>
          <t>B200 placeholder - insufficient/missing matched rows; editable input</t>
        </is>
      </c>
      <c r="J10" s="5" t="n">
        <v>724940</v>
      </c>
      <c r="K10" s="6" t="n">
        <v>0.4</v>
      </c>
      <c r="L10" s="6" t="n">
        <v>0.6</v>
      </c>
      <c r="M10" s="6" t="n">
        <v>0.8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9">
        <f>INDEX('01_Benchmark_Input'!$B$2:$B$10,MATCH(B2,'01_Benchmark_Input'!$A$2:$A$10,0))</f>
        <v/>
      </c>
      <c r="J2" s="9">
        <f>INDEX('01_Benchmark_Input'!$C$2:$C$10,MATCH(B2,'01_Benchmark_Input'!$A$2:$A$10,0))</f>
        <v/>
      </c>
      <c r="K2" s="10">
        <f>IF(A2="Bear",INDEX('01_Benchmark_Input'!$K$2:$K$10,MATCH(B2,'01_Benchmark_Input'!$A$2:$A$10,0)),IF(A2="Bull",INDEX('01_Benchmark_Input'!$M$2:$M$10,MATCH(B2,'01_Benchmark_Input'!$A$2:$A$10,0)),INDEX('01_Benchmark_Input'!$L$2:$L$10,MATCH(B2,'01_Benchmark_Input'!$A$2:$A$10,0))))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9">
        <f>INDEX('01_Benchmark_Input'!$B$2:$B$10,MATCH(B3,'01_Benchmark_Input'!$A$2:$A$10,0))</f>
        <v/>
      </c>
      <c r="J3" s="9">
        <f>INDEX('01_Benchmark_Input'!$C$2:$C$10,MATCH(B3,'01_Benchmark_Input'!$A$2:$A$10,0))</f>
        <v/>
      </c>
      <c r="K3" s="10">
        <f>IF(A3="Bear",INDEX('01_Benchmark_Input'!$K$2:$K$10,MATCH(B3,'01_Benchmark_Input'!$A$2:$A$10,0)),IF(A3="Bull",INDEX('01_Benchmark_Input'!$M$2:$M$10,MATCH(B3,'01_Benchmark_Input'!$A$2:$A$10,0)),INDEX('01_Benchmark_Input'!$L$2:$L$10,MATCH(B3,'01_Benchmark_Input'!$A$2:$A$10,0))))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9">
        <f>INDEX('01_Benchmark_Input'!$B$2:$B$10,MATCH(B4,'01_Benchmark_Input'!$A$2:$A$10,0))</f>
        <v/>
      </c>
      <c r="J4" s="9">
        <f>INDEX('01_Benchmark_Input'!$C$2:$C$10,MATCH(B4,'01_Benchmark_Input'!$A$2:$A$10,0))</f>
        <v/>
      </c>
      <c r="K4" s="10">
        <f>IF(A4="Bear",INDEX('01_Benchmark_Input'!$K$2:$K$10,MATCH(B4,'01_Benchmark_Input'!$A$2:$A$10,0)),IF(A4="Bull",INDEX('01_Benchmark_Input'!$M$2:$M$10,MATCH(B4,'01_Benchmark_Input'!$A$2:$A$10,0)),INDEX('01_Benchmark_Input'!$L$2:$L$10,MATCH(B4,'01_Benchmark_Input'!$A$2:$A$10,0))))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9">
        <f>INDEX('01_Benchmark_Input'!$B$2:$B$10,MATCH(B5,'01_Benchmark_Input'!$A$2:$A$10,0))</f>
        <v/>
      </c>
      <c r="J5" s="9">
        <f>INDEX('01_Benchmark_Input'!$C$2:$C$10,MATCH(B5,'01_Benchmark_Input'!$A$2:$A$10,0))</f>
        <v/>
      </c>
      <c r="K5" s="10">
        <f>IF(A5="Bear",INDEX('01_Benchmark_Input'!$K$2:$K$10,MATCH(B5,'01_Benchmark_Input'!$A$2:$A$10,0)),IF(A5="Bull",INDEX('01_Benchmark_Input'!$M$2:$M$10,MATCH(B5,'01_Benchmark_Input'!$A$2:$A$10,0)),INDEX('01_Benchmark_Input'!$L$2:$L$10,MATCH(B5,'01_Benchmark_Input'!$A$2:$A$10,0))))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9">
        <f>INDEX('01_Benchmark_Input'!$B$2:$B$10,MATCH(B6,'01_Benchmark_Input'!$A$2:$A$10,0))</f>
        <v/>
      </c>
      <c r="J6" s="9">
        <f>INDEX('01_Benchmark_Input'!$C$2:$C$10,MATCH(B6,'01_Benchmark_Input'!$A$2:$A$10,0))</f>
        <v/>
      </c>
      <c r="K6" s="10">
        <f>IF(A6="Bear",INDEX('01_Benchmark_Input'!$K$2:$K$10,MATCH(B6,'01_Benchmark_Input'!$A$2:$A$10,0)),IF(A6="Bull",INDEX('01_Benchmark_Input'!$M$2:$M$10,MATCH(B6,'01_Benchmark_Input'!$A$2:$A$10,0)),INDEX('01_Benchmark_Input'!$L$2:$L$10,MATCH(B6,'01_Benchmark_Input'!$A$2:$A$10,0))))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9">
        <f>INDEX('01_Benchmark_Input'!$B$2:$B$10,MATCH(B7,'01_Benchmark_Input'!$A$2:$A$10,0))</f>
        <v/>
      </c>
      <c r="J7" s="9">
        <f>INDEX('01_Benchmark_Input'!$C$2:$C$10,MATCH(B7,'01_Benchmark_Input'!$A$2:$A$10,0))</f>
        <v/>
      </c>
      <c r="K7" s="10">
        <f>IF(A7="Bear",INDEX('01_Benchmark_Input'!$K$2:$K$10,MATCH(B7,'01_Benchmark_Input'!$A$2:$A$10,0)),IF(A7="Bull",INDEX('01_Benchmark_Input'!$M$2:$M$10,MATCH(B7,'01_Benchmark_Input'!$A$2:$A$10,0)),INDEX('01_Benchmark_Input'!$L$2:$L$10,MATCH(B7,'01_Benchmark_Input'!$A$2:$A$10,0))))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9">
        <f>INDEX('01_Benchmark_Input'!$B$2:$B$10,MATCH(B8,'01_Benchmark_Input'!$A$2:$A$10,0))</f>
        <v/>
      </c>
      <c r="J8" s="9">
        <f>INDEX('01_Benchmark_Input'!$C$2:$C$10,MATCH(B8,'01_Benchmark_Input'!$A$2:$A$10,0))</f>
        <v/>
      </c>
      <c r="K8" s="10">
        <f>IF(A8="Bear",INDEX('01_Benchmark_Input'!$K$2:$K$10,MATCH(B8,'01_Benchmark_Input'!$A$2:$A$10,0)),IF(A8="Bull",INDEX('01_Benchmark_Input'!$M$2:$M$10,MATCH(B8,'01_Benchmark_Input'!$A$2:$A$10,0)),INDEX('01_Benchmark_Input'!$L$2:$L$10,MATCH(B8,'01_Benchmark_Input'!$A$2:$A$10,0))))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9">
        <f>INDEX('01_Benchmark_Input'!$B$2:$B$10,MATCH(B9,'01_Benchmark_Input'!$A$2:$A$10,0))</f>
        <v/>
      </c>
      <c r="J9" s="9">
        <f>INDEX('01_Benchmark_Input'!$C$2:$C$10,MATCH(B9,'01_Benchmark_Input'!$A$2:$A$10,0))</f>
        <v/>
      </c>
      <c r="K9" s="10">
        <f>IF(A9="Bear",INDEX('01_Benchmark_Input'!$K$2:$K$10,MATCH(B9,'01_Benchmark_Input'!$A$2:$A$10,0)),IF(A9="Bull",INDEX('01_Benchmark_Input'!$M$2:$M$10,MATCH(B9,'01_Benchmark_Input'!$A$2:$A$10,0)),INDEX('01_Benchmark_Input'!$L$2:$L$10,MATCH(B9,'01_Benchmark_Input'!$A$2:$A$10,0))))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9">
        <f>INDEX('01_Benchmark_Input'!$B$2:$B$10,MATCH(B10,'01_Benchmark_Input'!$A$2:$A$10,0))</f>
        <v/>
      </c>
      <c r="J10" s="9">
        <f>INDEX('01_Benchmark_Input'!$C$2:$C$10,MATCH(B10,'01_Benchmark_Input'!$A$2:$A$10,0))</f>
        <v/>
      </c>
      <c r="K10" s="10">
        <f>IF(A10="Bear",INDEX('01_Benchmark_Input'!$K$2:$K$10,MATCH(B10,'01_Benchmark_Input'!$A$2:$A$10,0)),IF(A10="Bull",INDEX('01_Benchmark_Input'!$M$2:$M$10,MATCH(B10,'01_Benchmark_Input'!$A$2:$A$10,0)),INDEX('01_Benchmark_Input'!$L$2:$L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9">
        <f>INDEX('01_Benchmark_Input'!$B$2:$B$10,MATCH(B11,'01_Benchmark_Input'!$A$2:$A$10,0))</f>
        <v/>
      </c>
      <c r="J11" s="9">
        <f>INDEX('01_Benchmark_Input'!$C$2:$C$10,MATCH(B11,'01_Benchmark_Input'!$A$2:$A$10,0))</f>
        <v/>
      </c>
      <c r="K11" s="10">
        <f>IF(A11="Bear",INDEX('01_Benchmark_Input'!$K$2:$K$10,MATCH(B11,'01_Benchmark_Input'!$A$2:$A$10,0)),IF(A11="Bull",INDEX('01_Benchmark_Input'!$M$2:$M$10,MATCH(B11,'01_Benchmark_Input'!$A$2:$A$10,0)),INDEX('01_Benchmark_Input'!$L$2:$L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9">
        <f>INDEX('01_Benchmark_Input'!$B$2:$B$10,MATCH(B12,'01_Benchmark_Input'!$A$2:$A$10,0))</f>
        <v/>
      </c>
      <c r="J12" s="9">
        <f>INDEX('01_Benchmark_Input'!$C$2:$C$10,MATCH(B12,'01_Benchmark_Input'!$A$2:$A$10,0))</f>
        <v/>
      </c>
      <c r="K12" s="10">
        <f>IF(A12="Bear",INDEX('01_Benchmark_Input'!$K$2:$K$10,MATCH(B12,'01_Benchmark_Input'!$A$2:$A$10,0)),IF(A12="Bull",INDEX('01_Benchmark_Input'!$M$2:$M$10,MATCH(B12,'01_Benchmark_Input'!$A$2:$A$10,0)),INDEX('01_Benchmark_Input'!$L$2:$L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9">
        <f>INDEX('01_Benchmark_Input'!$B$2:$B$10,MATCH(B13,'01_Benchmark_Input'!$A$2:$A$10,0))</f>
        <v/>
      </c>
      <c r="J13" s="9">
        <f>INDEX('01_Benchmark_Input'!$C$2:$C$10,MATCH(B13,'01_Benchmark_Input'!$A$2:$A$10,0))</f>
        <v/>
      </c>
      <c r="K13" s="10">
        <f>IF(A13="Bear",INDEX('01_Benchmark_Input'!$K$2:$K$10,MATCH(B13,'01_Benchmark_Input'!$A$2:$A$10,0)),IF(A13="Bull",INDEX('01_Benchmark_Input'!$M$2:$M$10,MATCH(B13,'01_Benchmark_Input'!$A$2:$A$10,0)),INDEX('01_Benchmark_Input'!$L$2:$L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9">
        <f>INDEX('01_Benchmark_Input'!$B$2:$B$10,MATCH(B14,'01_Benchmark_Input'!$A$2:$A$10,0))</f>
        <v/>
      </c>
      <c r="J14" s="9">
        <f>INDEX('01_Benchmark_Input'!$C$2:$C$10,MATCH(B14,'01_Benchmark_Input'!$A$2:$A$10,0))</f>
        <v/>
      </c>
      <c r="K14" s="10">
        <f>IF(A14="Bear",INDEX('01_Benchmark_Input'!$K$2:$K$10,MATCH(B14,'01_Benchmark_Input'!$A$2:$A$10,0)),IF(A14="Bull",INDEX('01_Benchmark_Input'!$M$2:$M$10,MATCH(B14,'01_Benchmark_Input'!$A$2:$A$10,0)),INDEX('01_Benchmark_Input'!$L$2:$L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9">
        <f>INDEX('01_Benchmark_Input'!$B$2:$B$10,MATCH(B15,'01_Benchmark_Input'!$A$2:$A$10,0))</f>
        <v/>
      </c>
      <c r="J15" s="9">
        <f>INDEX('01_Benchmark_Input'!$C$2:$C$10,MATCH(B15,'01_Benchmark_Input'!$A$2:$A$10,0))</f>
        <v/>
      </c>
      <c r="K15" s="10">
        <f>IF(A15="Bear",INDEX('01_Benchmark_Input'!$K$2:$K$10,MATCH(B15,'01_Benchmark_Input'!$A$2:$A$10,0)),IF(A15="Bull",INDEX('01_Benchmark_Input'!$M$2:$M$10,MATCH(B15,'01_Benchmark_Input'!$A$2:$A$10,0)),INDEX('01_Benchmark_Input'!$L$2:$L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9">
        <f>INDEX('01_Benchmark_Input'!$B$2:$B$10,MATCH(B16,'01_Benchmark_Input'!$A$2:$A$10,0))</f>
        <v/>
      </c>
      <c r="J16" s="9">
        <f>INDEX('01_Benchmark_Input'!$C$2:$C$10,MATCH(B16,'01_Benchmark_Input'!$A$2:$A$10,0))</f>
        <v/>
      </c>
      <c r="K16" s="10">
        <f>IF(A16="Bear",INDEX('01_Benchmark_Input'!$K$2:$K$10,MATCH(B16,'01_Benchmark_Input'!$A$2:$A$10,0)),IF(A16="Bull",INDEX('01_Benchmark_Input'!$M$2:$M$10,MATCH(B16,'01_Benchmark_Input'!$A$2:$A$10,0)),INDEX('01_Benchmark_Input'!$L$2:$L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9">
        <f>INDEX('01_Benchmark_Input'!$B$2:$B$10,MATCH(B17,'01_Benchmark_Input'!$A$2:$A$10,0))</f>
        <v/>
      </c>
      <c r="J17" s="9">
        <f>INDEX('01_Benchmark_Input'!$C$2:$C$10,MATCH(B17,'01_Benchmark_Input'!$A$2:$A$10,0))</f>
        <v/>
      </c>
      <c r="K17" s="10">
        <f>IF(A17="Bear",INDEX('01_Benchmark_Input'!$K$2:$K$10,MATCH(B17,'01_Benchmark_Input'!$A$2:$A$10,0)),IF(A17="Bull",INDEX('01_Benchmark_Input'!$M$2:$M$10,MATCH(B17,'01_Benchmark_Input'!$A$2:$A$10,0)),INDEX('01_Benchmark_Input'!$L$2:$L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9">
        <f>INDEX('01_Benchmark_Input'!$B$2:$B$10,MATCH(B18,'01_Benchmark_Input'!$A$2:$A$10,0))</f>
        <v/>
      </c>
      <c r="J18" s="9">
        <f>INDEX('01_Benchmark_Input'!$C$2:$C$10,MATCH(B18,'01_Benchmark_Input'!$A$2:$A$10,0))</f>
        <v/>
      </c>
      <c r="K18" s="10">
        <f>IF(A18="Bear",INDEX('01_Benchmark_Input'!$K$2:$K$10,MATCH(B18,'01_Benchmark_Input'!$A$2:$A$10,0)),IF(A18="Bull",INDEX('01_Benchmark_Input'!$M$2:$M$10,MATCH(B18,'01_Benchmark_Input'!$A$2:$A$10,0)),INDEX('01_Benchmark_Input'!$L$2:$L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9">
        <f>INDEX('01_Benchmark_Input'!$B$2:$B$10,MATCH(B19,'01_Benchmark_Input'!$A$2:$A$10,0))</f>
        <v/>
      </c>
      <c r="J19" s="9">
        <f>INDEX('01_Benchmark_Input'!$C$2:$C$10,MATCH(B19,'01_Benchmark_Input'!$A$2:$A$10,0))</f>
        <v/>
      </c>
      <c r="K19" s="10">
        <f>IF(A19="Bear",INDEX('01_Benchmark_Input'!$K$2:$K$10,MATCH(B19,'01_Benchmark_Input'!$A$2:$A$10,0)),IF(A19="Bull",INDEX('01_Benchmark_Input'!$M$2:$M$10,MATCH(B19,'01_Benchmark_Input'!$A$2:$A$10,0)),INDEX('01_Benchmark_Input'!$L$2:$L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9">
        <f>INDEX('01_Benchmark_Input'!$B$2:$B$10,MATCH(B20,'01_Benchmark_Input'!$A$2:$A$10,0))</f>
        <v/>
      </c>
      <c r="J20" s="9">
        <f>INDEX('01_Benchmark_Input'!$C$2:$C$10,MATCH(B20,'01_Benchmark_Input'!$A$2:$A$10,0))</f>
        <v/>
      </c>
      <c r="K20" s="10">
        <f>IF(A20="Bear",INDEX('01_Benchmark_Input'!$K$2:$K$10,MATCH(B20,'01_Benchmark_Input'!$A$2:$A$10,0)),IF(A20="Bull",INDEX('01_Benchmark_Input'!$M$2:$M$10,MATCH(B20,'01_Benchmark_Input'!$A$2:$A$10,0)),INDEX('01_Benchmark_Input'!$L$2:$L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9">
        <f>INDEX('01_Benchmark_Input'!$B$2:$B$10,MATCH(B21,'01_Benchmark_Input'!$A$2:$A$10,0))</f>
        <v/>
      </c>
      <c r="J21" s="9">
        <f>INDEX('01_Benchmark_Input'!$C$2:$C$10,MATCH(B21,'01_Benchmark_Input'!$A$2:$A$10,0))</f>
        <v/>
      </c>
      <c r="K21" s="10">
        <f>IF(A21="Bear",INDEX('01_Benchmark_Input'!$K$2:$K$10,MATCH(B21,'01_Benchmark_Input'!$A$2:$A$10,0)),IF(A21="Bull",INDEX('01_Benchmark_Input'!$M$2:$M$10,MATCH(B21,'01_Benchmark_Input'!$A$2:$A$10,0)),INDEX('01_Benchmark_Input'!$L$2:$L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9">
        <f>INDEX('01_Benchmark_Input'!$B$2:$B$10,MATCH(B22,'01_Benchmark_Input'!$A$2:$A$10,0))</f>
        <v/>
      </c>
      <c r="J22" s="9">
        <f>INDEX('01_Benchmark_Input'!$C$2:$C$10,MATCH(B22,'01_Benchmark_Input'!$A$2:$A$10,0))</f>
        <v/>
      </c>
      <c r="K22" s="10">
        <f>IF(A22="Bear",INDEX('01_Benchmark_Input'!$K$2:$K$10,MATCH(B22,'01_Benchmark_Input'!$A$2:$A$10,0)),IF(A22="Bull",INDEX('01_Benchmark_Input'!$M$2:$M$10,MATCH(B22,'01_Benchmark_Input'!$A$2:$A$10,0)),INDEX('01_Benchmark_Input'!$L$2:$L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9">
        <f>INDEX('01_Benchmark_Input'!$B$2:$B$10,MATCH(B23,'01_Benchmark_Input'!$A$2:$A$10,0))</f>
        <v/>
      </c>
      <c r="J23" s="9">
        <f>INDEX('01_Benchmark_Input'!$C$2:$C$10,MATCH(B23,'01_Benchmark_Input'!$A$2:$A$10,0))</f>
        <v/>
      </c>
      <c r="K23" s="10">
        <f>IF(A23="Bear",INDEX('01_Benchmark_Input'!$K$2:$K$10,MATCH(B23,'01_Benchmark_Input'!$A$2:$A$10,0)),IF(A23="Bull",INDEX('01_Benchmark_Input'!$M$2:$M$10,MATCH(B23,'01_Benchmark_Input'!$A$2:$A$10,0)),INDEX('01_Benchmark_Input'!$L$2:$L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9">
        <f>INDEX('01_Benchmark_Input'!$B$2:$B$10,MATCH(B24,'01_Benchmark_Input'!$A$2:$A$10,0))</f>
        <v/>
      </c>
      <c r="J24" s="9">
        <f>INDEX('01_Benchmark_Input'!$C$2:$C$10,MATCH(B24,'01_Benchmark_Input'!$A$2:$A$10,0))</f>
        <v/>
      </c>
      <c r="K24" s="10">
        <f>IF(A24="Bear",INDEX('01_Benchmark_Input'!$K$2:$K$10,MATCH(B24,'01_Benchmark_Input'!$A$2:$A$10,0)),IF(A24="Bull",INDEX('01_Benchmark_Input'!$M$2:$M$10,MATCH(B24,'01_Benchmark_Input'!$A$2:$A$10,0)),INDEX('01_Benchmark_Input'!$L$2:$L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9">
        <f>INDEX('01_Benchmark_Input'!$B$2:$B$10,MATCH(B25,'01_Benchmark_Input'!$A$2:$A$10,0))</f>
        <v/>
      </c>
      <c r="J25" s="9">
        <f>INDEX('01_Benchmark_Input'!$C$2:$C$10,MATCH(B25,'01_Benchmark_Input'!$A$2:$A$10,0))</f>
        <v/>
      </c>
      <c r="K25" s="10">
        <f>IF(A25="Bear",INDEX('01_Benchmark_Input'!$K$2:$K$10,MATCH(B25,'01_Benchmark_Input'!$A$2:$A$10,0)),IF(A25="Bull",INDEX('01_Benchmark_Input'!$M$2:$M$10,MATCH(B25,'01_Benchmark_Input'!$A$2:$A$10,0)),INDEX('01_Benchmark_Input'!$L$2:$L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9">
        <f>INDEX('01_Benchmark_Input'!$B$2:$B$10,MATCH(B26,'01_Benchmark_Input'!$A$2:$A$10,0))</f>
        <v/>
      </c>
      <c r="J26" s="9">
        <f>INDEX('01_Benchmark_Input'!$C$2:$C$10,MATCH(B26,'01_Benchmark_Input'!$A$2:$A$10,0))</f>
        <v/>
      </c>
      <c r="K26" s="10">
        <f>IF(A26="Bear",INDEX('01_Benchmark_Input'!$K$2:$K$10,MATCH(B26,'01_Benchmark_Input'!$A$2:$A$10,0)),IF(A26="Bull",INDEX('01_Benchmark_Input'!$M$2:$M$10,MATCH(B26,'01_Benchmark_Input'!$A$2:$A$10,0)),INDEX('01_Benchmark_Input'!$L$2:$L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9">
        <f>INDEX('01_Benchmark_Input'!$B$2:$B$10,MATCH(B27,'01_Benchmark_Input'!$A$2:$A$10,0))</f>
        <v/>
      </c>
      <c r="J27" s="9">
        <f>INDEX('01_Benchmark_Input'!$C$2:$C$10,MATCH(B27,'01_Benchmark_Input'!$A$2:$A$10,0))</f>
        <v/>
      </c>
      <c r="K27" s="10">
        <f>IF(A27="Bear",INDEX('01_Benchmark_Input'!$K$2:$K$10,MATCH(B27,'01_Benchmark_Input'!$A$2:$A$10,0)),IF(A27="Bull",INDEX('01_Benchmark_Input'!$M$2:$M$10,MATCH(B27,'01_Benchmark_Input'!$A$2:$A$10,0)),INDEX('01_Benchmark_Input'!$L$2:$L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9">
        <f>INDEX('01_Benchmark_Input'!$B$2:$B$10,MATCH(B28,'01_Benchmark_Input'!$A$2:$A$10,0))</f>
        <v/>
      </c>
      <c r="J28" s="9">
        <f>INDEX('01_Benchmark_Input'!$C$2:$C$10,MATCH(B28,'01_Benchmark_Input'!$A$2:$A$10,0))</f>
        <v/>
      </c>
      <c r="K28" s="10">
        <f>IF(A28="Bear",INDEX('01_Benchmark_Input'!$K$2:$K$10,MATCH(B28,'01_Benchmark_Input'!$A$2:$A$10,0)),IF(A28="Bull",INDEX('01_Benchmark_Input'!$M$2:$M$10,MATCH(B28,'01_Benchmark_Input'!$A$2:$A$10,0)),INDEX('01_Benchmark_Input'!$L$2:$L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9">
        <f>INDEX('01_Benchmark_Input'!$B$2:$B$10,MATCH(B29,'01_Benchmark_Input'!$A$2:$A$10,0))</f>
        <v/>
      </c>
      <c r="J29" s="9">
        <f>INDEX('01_Benchmark_Input'!$C$2:$C$10,MATCH(B29,'01_Benchmark_Input'!$A$2:$A$10,0))</f>
        <v/>
      </c>
      <c r="K29" s="10">
        <f>IF(A29="Bear",INDEX('01_Benchmark_Input'!$K$2:$K$10,MATCH(B29,'01_Benchmark_Input'!$A$2:$A$10,0)),IF(A29="Bull",INDEX('01_Benchmark_Input'!$M$2:$M$10,MATCH(B29,'01_Benchmark_Input'!$A$2:$A$10,0)),INDEX('01_Benchmark_Input'!$L$2:$L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9">
        <f>INDEX('01_Benchmark_Input'!$B$2:$B$10,MATCH(B30,'01_Benchmark_Input'!$A$2:$A$10,0))</f>
        <v/>
      </c>
      <c r="J30" s="9">
        <f>INDEX('01_Benchmark_Input'!$C$2:$C$10,MATCH(B30,'01_Benchmark_Input'!$A$2:$A$10,0))</f>
        <v/>
      </c>
      <c r="K30" s="10">
        <f>IF(A30="Bear",INDEX('01_Benchmark_Input'!$K$2:$K$10,MATCH(B30,'01_Benchmark_Input'!$A$2:$A$10,0)),IF(A30="Bull",INDEX('01_Benchmark_Input'!$M$2:$M$10,MATCH(B30,'01_Benchmark_Input'!$A$2:$A$10,0)),INDEX('01_Benchmark_Input'!$L$2:$L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9">
        <f>INDEX('01_Benchmark_Input'!$B$2:$B$10,MATCH(B31,'01_Benchmark_Input'!$A$2:$A$10,0))</f>
        <v/>
      </c>
      <c r="J31" s="9">
        <f>INDEX('01_Benchmark_Input'!$C$2:$C$10,MATCH(B31,'01_Benchmark_Input'!$A$2:$A$10,0))</f>
        <v/>
      </c>
      <c r="K31" s="10">
        <f>IF(A31="Bear",INDEX('01_Benchmark_Input'!$K$2:$K$10,MATCH(B31,'01_Benchmark_Input'!$A$2:$A$10,0)),IF(A31="Bull",INDEX('01_Benchmark_Input'!$M$2:$M$10,MATCH(B31,'01_Benchmark_Input'!$A$2:$A$10,0)),INDEX('01_Benchmark_Input'!$L$2:$L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9">
        <f>INDEX('01_Benchmark_Input'!$B$2:$B$10,MATCH(B32,'01_Benchmark_Input'!$A$2:$A$10,0))</f>
        <v/>
      </c>
      <c r="J32" s="9">
        <f>INDEX('01_Benchmark_Input'!$C$2:$C$10,MATCH(B32,'01_Benchmark_Input'!$A$2:$A$10,0))</f>
        <v/>
      </c>
      <c r="K32" s="10">
        <f>IF(A32="Bear",INDEX('01_Benchmark_Input'!$K$2:$K$10,MATCH(B32,'01_Benchmark_Input'!$A$2:$A$10,0)),IF(A32="Bull",INDEX('01_Benchmark_Input'!$M$2:$M$10,MATCH(B32,'01_Benchmark_Input'!$A$2:$A$10,0)),INDEX('01_Benchmark_Input'!$L$2:$L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9">
        <f>INDEX('01_Benchmark_Input'!$B$2:$B$10,MATCH(B33,'01_Benchmark_Input'!$A$2:$A$10,0))</f>
        <v/>
      </c>
      <c r="J33" s="9">
        <f>INDEX('01_Benchmark_Input'!$C$2:$C$10,MATCH(B33,'01_Benchmark_Input'!$A$2:$A$10,0))</f>
        <v/>
      </c>
      <c r="K33" s="10">
        <f>IF(A33="Bear",INDEX('01_Benchmark_Input'!$K$2:$K$10,MATCH(B33,'01_Benchmark_Input'!$A$2:$A$10,0)),IF(A33="Bull",INDEX('01_Benchmark_Input'!$M$2:$M$10,MATCH(B33,'01_Benchmark_Input'!$A$2:$A$10,0)),INDEX('01_Benchmark_Input'!$L$2:$L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9">
        <f>INDEX('01_Benchmark_Input'!$B$2:$B$10,MATCH(B34,'01_Benchmark_Input'!$A$2:$A$10,0))</f>
        <v/>
      </c>
      <c r="J34" s="9">
        <f>INDEX('01_Benchmark_Input'!$C$2:$C$10,MATCH(B34,'01_Benchmark_Input'!$A$2:$A$10,0))</f>
        <v/>
      </c>
      <c r="K34" s="10">
        <f>IF(A34="Bear",INDEX('01_Benchmark_Input'!$K$2:$K$10,MATCH(B34,'01_Benchmark_Input'!$A$2:$A$10,0)),IF(A34="Bull",INDEX('01_Benchmark_Input'!$M$2:$M$10,MATCH(B34,'01_Benchmark_Input'!$A$2:$A$10,0)),INDEX('01_Benchmark_Input'!$L$2:$L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9">
        <f>INDEX('01_Benchmark_Input'!$B$2:$B$10,MATCH(B35,'01_Benchmark_Input'!$A$2:$A$10,0))</f>
        <v/>
      </c>
      <c r="J35" s="9">
        <f>INDEX('01_Benchmark_Input'!$C$2:$C$10,MATCH(B35,'01_Benchmark_Input'!$A$2:$A$10,0))</f>
        <v/>
      </c>
      <c r="K35" s="10">
        <f>IF(A35="Bear",INDEX('01_Benchmark_Input'!$K$2:$K$10,MATCH(B35,'01_Benchmark_Input'!$A$2:$A$10,0)),IF(A35="Bull",INDEX('01_Benchmark_Input'!$M$2:$M$10,MATCH(B35,'01_Benchmark_Input'!$A$2:$A$10,0)),INDEX('01_Benchmark_Input'!$L$2:$L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9">
        <f>INDEX('01_Benchmark_Input'!$B$2:$B$10,MATCH(B36,'01_Benchmark_Input'!$A$2:$A$10,0))</f>
        <v/>
      </c>
      <c r="J36" s="9">
        <f>INDEX('01_Benchmark_Input'!$C$2:$C$10,MATCH(B36,'01_Benchmark_Input'!$A$2:$A$10,0))</f>
        <v/>
      </c>
      <c r="K36" s="10">
        <f>IF(A36="Bear",INDEX('01_Benchmark_Input'!$K$2:$K$10,MATCH(B36,'01_Benchmark_Input'!$A$2:$A$10,0)),IF(A36="Bull",INDEX('01_Benchmark_Input'!$M$2:$M$10,MATCH(B36,'01_Benchmark_Input'!$A$2:$A$10,0)),INDEX('01_Benchmark_Input'!$L$2:$L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9">
        <f>INDEX('01_Benchmark_Input'!$B$2:$B$10,MATCH(B37,'01_Benchmark_Input'!$A$2:$A$10,0))</f>
        <v/>
      </c>
      <c r="J37" s="9">
        <f>INDEX('01_Benchmark_Input'!$C$2:$C$10,MATCH(B37,'01_Benchmark_Input'!$A$2:$A$10,0))</f>
        <v/>
      </c>
      <c r="K37" s="10">
        <f>IF(A37="Bear",INDEX('01_Benchmark_Input'!$K$2:$K$10,MATCH(B37,'01_Benchmark_Input'!$A$2:$A$10,0)),IF(A37="Bull",INDEX('01_Benchmark_Input'!$M$2:$M$10,MATCH(B37,'01_Benchmark_Input'!$A$2:$A$10,0)),INDEX('01_Benchmark_Input'!$L$2:$L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9">
        <f>INDEX('01_Benchmark_Input'!$B$2:$B$10,MATCH(B38,'01_Benchmark_Input'!$A$2:$A$10,0))</f>
        <v/>
      </c>
      <c r="J38" s="9">
        <f>INDEX('01_Benchmark_Input'!$C$2:$C$10,MATCH(B38,'01_Benchmark_Input'!$A$2:$A$10,0))</f>
        <v/>
      </c>
      <c r="K38" s="10">
        <f>IF(A38="Bear",INDEX('01_Benchmark_Input'!$K$2:$K$10,MATCH(B38,'01_Benchmark_Input'!$A$2:$A$10,0)),IF(A38="Bull",INDEX('01_Benchmark_Input'!$M$2:$M$10,MATCH(B38,'01_Benchmark_Input'!$A$2:$A$10,0)),INDEX('01_Benchmark_Input'!$L$2:$L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9">
        <f>INDEX('01_Benchmark_Input'!$B$2:$B$10,MATCH(B39,'01_Benchmark_Input'!$A$2:$A$10,0))</f>
        <v/>
      </c>
      <c r="J39" s="9">
        <f>INDEX('01_Benchmark_Input'!$C$2:$C$10,MATCH(B39,'01_Benchmark_Input'!$A$2:$A$10,0))</f>
        <v/>
      </c>
      <c r="K39" s="10">
        <f>IF(A39="Bear",INDEX('01_Benchmark_Input'!$K$2:$K$10,MATCH(B39,'01_Benchmark_Input'!$A$2:$A$10,0)),IF(A39="Bull",INDEX('01_Benchmark_Input'!$M$2:$M$10,MATCH(B39,'01_Benchmark_Input'!$A$2:$A$10,0)),INDEX('01_Benchmark_Input'!$L$2:$L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9">
        <f>INDEX('01_Benchmark_Input'!$B$2:$B$10,MATCH(B40,'01_Benchmark_Input'!$A$2:$A$10,0))</f>
        <v/>
      </c>
      <c r="J40" s="9">
        <f>INDEX('01_Benchmark_Input'!$C$2:$C$10,MATCH(B40,'01_Benchmark_Input'!$A$2:$A$10,0))</f>
        <v/>
      </c>
      <c r="K40" s="10">
        <f>IF(A40="Bear",INDEX('01_Benchmark_Input'!$K$2:$K$10,MATCH(B40,'01_Benchmark_Input'!$A$2:$A$10,0)),IF(A40="Bull",INDEX('01_Benchmark_Input'!$M$2:$M$10,MATCH(B40,'01_Benchmark_Input'!$A$2:$A$10,0)),INDEX('01_Benchmark_Input'!$L$2:$L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9">
        <f>INDEX('01_Benchmark_Input'!$B$2:$B$10,MATCH(B41,'01_Benchmark_Input'!$A$2:$A$10,0))</f>
        <v/>
      </c>
      <c r="J41" s="9">
        <f>INDEX('01_Benchmark_Input'!$C$2:$C$10,MATCH(B41,'01_Benchmark_Input'!$A$2:$A$10,0))</f>
        <v/>
      </c>
      <c r="K41" s="10">
        <f>IF(A41="Bear",INDEX('01_Benchmark_Input'!$K$2:$K$10,MATCH(B41,'01_Benchmark_Input'!$A$2:$A$10,0)),IF(A41="Bull",INDEX('01_Benchmark_Input'!$M$2:$M$10,MATCH(B41,'01_Benchmark_Input'!$A$2:$A$10,0)),INDEX('01_Benchmark_Input'!$L$2:$L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9">
        <f>INDEX('01_Benchmark_Input'!$B$2:$B$10,MATCH(B42,'01_Benchmark_Input'!$A$2:$A$10,0))</f>
        <v/>
      </c>
      <c r="J42" s="9">
        <f>INDEX('01_Benchmark_Input'!$C$2:$C$10,MATCH(B42,'01_Benchmark_Input'!$A$2:$A$10,0))</f>
        <v/>
      </c>
      <c r="K42" s="10">
        <f>IF(A42="Bear",INDEX('01_Benchmark_Input'!$K$2:$K$10,MATCH(B42,'01_Benchmark_Input'!$A$2:$A$10,0)),IF(A42="Bull",INDEX('01_Benchmark_Input'!$M$2:$M$10,MATCH(B42,'01_Benchmark_Input'!$A$2:$A$10,0)),INDEX('01_Benchmark_Input'!$L$2:$L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9">
        <f>INDEX('01_Benchmark_Input'!$B$2:$B$10,MATCH(B43,'01_Benchmark_Input'!$A$2:$A$10,0))</f>
        <v/>
      </c>
      <c r="J43" s="9">
        <f>INDEX('01_Benchmark_Input'!$C$2:$C$10,MATCH(B43,'01_Benchmark_Input'!$A$2:$A$10,0))</f>
        <v/>
      </c>
      <c r="K43" s="10">
        <f>IF(A43="Bear",INDEX('01_Benchmark_Input'!$K$2:$K$10,MATCH(B43,'01_Benchmark_Input'!$A$2:$A$10,0)),IF(A43="Bull",INDEX('01_Benchmark_Input'!$M$2:$M$10,MATCH(B43,'01_Benchmark_Input'!$A$2:$A$10,0)),INDEX('01_Benchmark_Input'!$L$2:$L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9">
        <f>INDEX('01_Benchmark_Input'!$B$2:$B$10,MATCH(B44,'01_Benchmark_Input'!$A$2:$A$10,0))</f>
        <v/>
      </c>
      <c r="J44" s="9">
        <f>INDEX('01_Benchmark_Input'!$C$2:$C$10,MATCH(B44,'01_Benchmark_Input'!$A$2:$A$10,0))</f>
        <v/>
      </c>
      <c r="K44" s="10">
        <f>IF(A44="Bear",INDEX('01_Benchmark_Input'!$K$2:$K$10,MATCH(B44,'01_Benchmark_Input'!$A$2:$A$10,0)),IF(A44="Bull",INDEX('01_Benchmark_Input'!$M$2:$M$10,MATCH(B44,'01_Benchmark_Input'!$A$2:$A$10,0)),INDEX('01_Benchmark_Input'!$L$2:$L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9">
        <f>INDEX('01_Benchmark_Input'!$B$2:$B$10,MATCH(B45,'01_Benchmark_Input'!$A$2:$A$10,0))</f>
        <v/>
      </c>
      <c r="J45" s="9">
        <f>INDEX('01_Benchmark_Input'!$C$2:$C$10,MATCH(B45,'01_Benchmark_Input'!$A$2:$A$10,0))</f>
        <v/>
      </c>
      <c r="K45" s="10">
        <f>IF(A45="Bear",INDEX('01_Benchmark_Input'!$K$2:$K$10,MATCH(B45,'01_Benchmark_Input'!$A$2:$A$10,0)),IF(A45="Bull",INDEX('01_Benchmark_Input'!$M$2:$M$10,MATCH(B45,'01_Benchmark_Input'!$A$2:$A$10,0)),INDEX('01_Benchmark_Input'!$L$2:$L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9">
        <f>INDEX('01_Benchmark_Input'!$B$2:$B$10,MATCH(B46,'01_Benchmark_Input'!$A$2:$A$10,0))</f>
        <v/>
      </c>
      <c r="J46" s="9">
        <f>INDEX('01_Benchmark_Input'!$C$2:$C$10,MATCH(B46,'01_Benchmark_Input'!$A$2:$A$10,0))</f>
        <v/>
      </c>
      <c r="K46" s="10">
        <f>IF(A46="Bear",INDEX('01_Benchmark_Input'!$K$2:$K$10,MATCH(B46,'01_Benchmark_Input'!$A$2:$A$10,0)),IF(A46="Bull",INDEX('01_Benchmark_Input'!$M$2:$M$10,MATCH(B46,'01_Benchmark_Input'!$A$2:$A$10,0)),INDEX('01_Benchmark_Input'!$L$2:$L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9">
        <f>INDEX('01_Benchmark_Input'!$B$2:$B$10,MATCH(B47,'01_Benchmark_Input'!$A$2:$A$10,0))</f>
        <v/>
      </c>
      <c r="J47" s="9">
        <f>INDEX('01_Benchmark_Input'!$C$2:$C$10,MATCH(B47,'01_Benchmark_Input'!$A$2:$A$10,0))</f>
        <v/>
      </c>
      <c r="K47" s="10">
        <f>IF(A47="Bear",INDEX('01_Benchmark_Input'!$K$2:$K$10,MATCH(B47,'01_Benchmark_Input'!$A$2:$A$10,0)),IF(A47="Bull",INDEX('01_Benchmark_Input'!$M$2:$M$10,MATCH(B47,'01_Benchmark_Input'!$A$2:$A$10,0)),INDEX('01_Benchmark_Input'!$L$2:$L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9">
        <f>INDEX('01_Benchmark_Input'!$B$2:$B$10,MATCH(B48,'01_Benchmark_Input'!$A$2:$A$10,0))</f>
        <v/>
      </c>
      <c r="J48" s="9">
        <f>INDEX('01_Benchmark_Input'!$C$2:$C$10,MATCH(B48,'01_Benchmark_Input'!$A$2:$A$10,0))</f>
        <v/>
      </c>
      <c r="K48" s="10">
        <f>IF(A48="Bear",INDEX('01_Benchmark_Input'!$K$2:$K$10,MATCH(B48,'01_Benchmark_Input'!$A$2:$A$10,0)),IF(A48="Bull",INDEX('01_Benchmark_Input'!$M$2:$M$10,MATCH(B48,'01_Benchmark_Input'!$A$2:$A$10,0)),INDEX('01_Benchmark_Input'!$L$2:$L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9">
        <f>INDEX('01_Benchmark_Input'!$B$2:$B$10,MATCH(B49,'01_Benchmark_Input'!$A$2:$A$10,0))</f>
        <v/>
      </c>
      <c r="J49" s="9">
        <f>INDEX('01_Benchmark_Input'!$C$2:$C$10,MATCH(B49,'01_Benchmark_Input'!$A$2:$A$10,0))</f>
        <v/>
      </c>
      <c r="K49" s="10">
        <f>IF(A49="Bear",INDEX('01_Benchmark_Input'!$K$2:$K$10,MATCH(B49,'01_Benchmark_Input'!$A$2:$A$10,0)),IF(A49="Bull",INDEX('01_Benchmark_Input'!$M$2:$M$10,MATCH(B49,'01_Benchmark_Input'!$A$2:$A$10,0)),INDEX('01_Benchmark_Input'!$L$2:$L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9">
        <f>INDEX('01_Benchmark_Input'!$B$2:$B$10,MATCH(B50,'01_Benchmark_Input'!$A$2:$A$10,0))</f>
        <v/>
      </c>
      <c r="J50" s="9">
        <f>INDEX('01_Benchmark_Input'!$C$2:$C$10,MATCH(B50,'01_Benchmark_Input'!$A$2:$A$10,0))</f>
        <v/>
      </c>
      <c r="K50" s="10">
        <f>IF(A50="Bear",INDEX('01_Benchmark_Input'!$K$2:$K$10,MATCH(B50,'01_Benchmark_Input'!$A$2:$A$10,0)),IF(A50="Bull",INDEX('01_Benchmark_Input'!$M$2:$M$10,MATCH(B50,'01_Benchmark_Input'!$A$2:$A$10,0)),INDEX('01_Benchmark_Input'!$L$2:$L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9">
        <f>INDEX('01_Benchmark_Input'!$B$2:$B$10,MATCH(B51,'01_Benchmark_Input'!$A$2:$A$10,0))</f>
        <v/>
      </c>
      <c r="J51" s="9">
        <f>INDEX('01_Benchmark_Input'!$C$2:$C$10,MATCH(B51,'01_Benchmark_Input'!$A$2:$A$10,0))</f>
        <v/>
      </c>
      <c r="K51" s="10">
        <f>IF(A51="Bear",INDEX('01_Benchmark_Input'!$K$2:$K$10,MATCH(B51,'01_Benchmark_Input'!$A$2:$A$10,0)),IF(A51="Bull",INDEX('01_Benchmark_Input'!$M$2:$M$10,MATCH(B51,'01_Benchmark_Input'!$A$2:$A$10,0)),INDEX('01_Benchmark_Input'!$L$2:$L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9">
        <f>INDEX('01_Benchmark_Input'!$B$2:$B$10,MATCH(B52,'01_Benchmark_Input'!$A$2:$A$10,0))</f>
        <v/>
      </c>
      <c r="J52" s="9">
        <f>INDEX('01_Benchmark_Input'!$C$2:$C$10,MATCH(B52,'01_Benchmark_Input'!$A$2:$A$10,0))</f>
        <v/>
      </c>
      <c r="K52" s="10">
        <f>IF(A52="Bear",INDEX('01_Benchmark_Input'!$K$2:$K$10,MATCH(B52,'01_Benchmark_Input'!$A$2:$A$10,0)),IF(A52="Bull",INDEX('01_Benchmark_Input'!$M$2:$M$10,MATCH(B52,'01_Benchmark_Input'!$A$2:$A$10,0)),INDEX('01_Benchmark_Input'!$L$2:$L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9">
        <f>INDEX('01_Benchmark_Input'!$B$2:$B$10,MATCH(B53,'01_Benchmark_Input'!$A$2:$A$10,0))</f>
        <v/>
      </c>
      <c r="J53" s="9">
        <f>INDEX('01_Benchmark_Input'!$C$2:$C$10,MATCH(B53,'01_Benchmark_Input'!$A$2:$A$10,0))</f>
        <v/>
      </c>
      <c r="K53" s="10">
        <f>IF(A53="Bear",INDEX('01_Benchmark_Input'!$K$2:$K$10,MATCH(B53,'01_Benchmark_Input'!$A$2:$A$10,0)),IF(A53="Bull",INDEX('01_Benchmark_Input'!$M$2:$M$10,MATCH(B53,'01_Benchmark_Input'!$A$2:$A$10,0)),INDEX('01_Benchmark_Input'!$L$2:$L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9">
        <f>INDEX('01_Benchmark_Input'!$B$2:$B$10,MATCH(B54,'01_Benchmark_Input'!$A$2:$A$10,0))</f>
        <v/>
      </c>
      <c r="J54" s="9">
        <f>INDEX('01_Benchmark_Input'!$C$2:$C$10,MATCH(B54,'01_Benchmark_Input'!$A$2:$A$10,0))</f>
        <v/>
      </c>
      <c r="K54" s="10">
        <f>IF(A54="Bear",INDEX('01_Benchmark_Input'!$K$2:$K$10,MATCH(B54,'01_Benchmark_Input'!$A$2:$A$10,0)),IF(A54="Bull",INDEX('01_Benchmark_Input'!$M$2:$M$10,MATCH(B54,'01_Benchmark_Input'!$A$2:$A$10,0)),INDEX('01_Benchmark_Input'!$L$2:$L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9">
        <f>INDEX('01_Benchmark_Input'!$B$2:$B$10,MATCH(B55,'01_Benchmark_Input'!$A$2:$A$10,0))</f>
        <v/>
      </c>
      <c r="J55" s="9">
        <f>INDEX('01_Benchmark_Input'!$C$2:$C$10,MATCH(B55,'01_Benchmark_Input'!$A$2:$A$10,0))</f>
        <v/>
      </c>
      <c r="K55" s="10">
        <f>IF(A55="Bear",INDEX('01_Benchmark_Input'!$K$2:$K$10,MATCH(B55,'01_Benchmark_Input'!$A$2:$A$10,0)),IF(A55="Bull",INDEX('01_Benchmark_Input'!$M$2:$M$10,MATCH(B55,'01_Benchmark_Input'!$A$2:$A$10,0)),INDEX('01_Benchmark_Input'!$L$2:$L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9">
        <f>INDEX('01_Benchmark_Input'!$B$2:$B$10,MATCH(B56,'01_Benchmark_Input'!$A$2:$A$10,0))</f>
        <v/>
      </c>
      <c r="J56" s="9">
        <f>INDEX('01_Benchmark_Input'!$C$2:$C$10,MATCH(B56,'01_Benchmark_Input'!$A$2:$A$10,0))</f>
        <v/>
      </c>
      <c r="K56" s="10">
        <f>IF(A56="Bear",INDEX('01_Benchmark_Input'!$K$2:$K$10,MATCH(B56,'01_Benchmark_Input'!$A$2:$A$10,0)),IF(A56="Bull",INDEX('01_Benchmark_Input'!$M$2:$M$10,MATCH(B56,'01_Benchmark_Input'!$A$2:$A$10,0)),INDEX('01_Benchmark_Input'!$L$2:$L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9">
        <f>INDEX('01_Benchmark_Input'!$B$2:$B$10,MATCH(B57,'01_Benchmark_Input'!$A$2:$A$10,0))</f>
        <v/>
      </c>
      <c r="J57" s="9">
        <f>INDEX('01_Benchmark_Input'!$C$2:$C$10,MATCH(B57,'01_Benchmark_Input'!$A$2:$A$10,0))</f>
        <v/>
      </c>
      <c r="K57" s="10">
        <f>IF(A57="Bear",INDEX('01_Benchmark_Input'!$K$2:$K$10,MATCH(B57,'01_Benchmark_Input'!$A$2:$A$10,0)),IF(A57="Bull",INDEX('01_Benchmark_Input'!$M$2:$M$10,MATCH(B57,'01_Benchmark_Input'!$A$2:$A$10,0)),INDEX('01_Benchmark_Input'!$L$2:$L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9">
        <f>INDEX('01_Benchmark_Input'!$B$2:$B$10,MATCH(B58,'01_Benchmark_Input'!$A$2:$A$10,0))</f>
        <v/>
      </c>
      <c r="J58" s="9">
        <f>INDEX('01_Benchmark_Input'!$C$2:$C$10,MATCH(B58,'01_Benchmark_Input'!$A$2:$A$10,0))</f>
        <v/>
      </c>
      <c r="K58" s="10">
        <f>IF(A58="Bear",INDEX('01_Benchmark_Input'!$K$2:$K$10,MATCH(B58,'01_Benchmark_Input'!$A$2:$A$10,0)),IF(A58="Bull",INDEX('01_Benchmark_Input'!$M$2:$M$10,MATCH(B58,'01_Benchmark_Input'!$A$2:$A$10,0)),INDEX('01_Benchmark_Input'!$L$2:$L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9">
        <f>INDEX('01_Benchmark_Input'!$B$2:$B$10,MATCH(B59,'01_Benchmark_Input'!$A$2:$A$10,0))</f>
        <v/>
      </c>
      <c r="J59" s="9">
        <f>INDEX('01_Benchmark_Input'!$C$2:$C$10,MATCH(B59,'01_Benchmark_Input'!$A$2:$A$10,0))</f>
        <v/>
      </c>
      <c r="K59" s="10">
        <f>IF(A59="Bear",INDEX('01_Benchmark_Input'!$K$2:$K$10,MATCH(B59,'01_Benchmark_Input'!$A$2:$A$10,0)),IF(A59="Bull",INDEX('01_Benchmark_Input'!$M$2:$M$10,MATCH(B59,'01_Benchmark_Input'!$A$2:$A$10,0)),INDEX('01_Benchmark_Input'!$L$2:$L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9">
        <f>INDEX('01_Benchmark_Input'!$B$2:$B$10,MATCH(B60,'01_Benchmark_Input'!$A$2:$A$10,0))</f>
        <v/>
      </c>
      <c r="J60" s="9">
        <f>INDEX('01_Benchmark_Input'!$C$2:$C$10,MATCH(B60,'01_Benchmark_Input'!$A$2:$A$10,0))</f>
        <v/>
      </c>
      <c r="K60" s="10">
        <f>IF(A60="Bear",INDEX('01_Benchmark_Input'!$K$2:$K$10,MATCH(B60,'01_Benchmark_Input'!$A$2:$A$10,0)),IF(A60="Bull",INDEX('01_Benchmark_Input'!$M$2:$M$10,MATCH(B60,'01_Benchmark_Input'!$A$2:$A$10,0)),INDEX('01_Benchmark_Input'!$L$2:$L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9">
        <f>INDEX('01_Benchmark_Input'!$B$2:$B$10,MATCH(B61,'01_Benchmark_Input'!$A$2:$A$10,0))</f>
        <v/>
      </c>
      <c r="J61" s="9">
        <f>INDEX('01_Benchmark_Input'!$C$2:$C$10,MATCH(B61,'01_Benchmark_Input'!$A$2:$A$10,0))</f>
        <v/>
      </c>
      <c r="K61" s="10">
        <f>IF(A61="Bear",INDEX('01_Benchmark_Input'!$K$2:$K$10,MATCH(B61,'01_Benchmark_Input'!$A$2:$A$10,0)),IF(A61="Bull",INDEX('01_Benchmark_Input'!$M$2:$M$10,MATCH(B61,'01_Benchmark_Input'!$A$2:$A$10,0)),INDEX('01_Benchmark_Input'!$L$2:$L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9">
        <f>INDEX('01_Benchmark_Input'!$B$2:$B$10,MATCH(B62,'01_Benchmark_Input'!$A$2:$A$10,0))</f>
        <v/>
      </c>
      <c r="J62" s="9">
        <f>INDEX('01_Benchmark_Input'!$C$2:$C$10,MATCH(B62,'01_Benchmark_Input'!$A$2:$A$10,0))</f>
        <v/>
      </c>
      <c r="K62" s="10">
        <f>IF(A62="Bear",INDEX('01_Benchmark_Input'!$K$2:$K$10,MATCH(B62,'01_Benchmark_Input'!$A$2:$A$10,0)),IF(A62="Bull",INDEX('01_Benchmark_Input'!$M$2:$M$10,MATCH(B62,'01_Benchmark_Input'!$A$2:$A$10,0)),INDEX('01_Benchmark_Input'!$L$2:$L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9">
        <f>INDEX('01_Benchmark_Input'!$B$2:$B$10,MATCH(B63,'01_Benchmark_Input'!$A$2:$A$10,0))</f>
        <v/>
      </c>
      <c r="J63" s="9">
        <f>INDEX('01_Benchmark_Input'!$C$2:$C$10,MATCH(B63,'01_Benchmark_Input'!$A$2:$A$10,0))</f>
        <v/>
      </c>
      <c r="K63" s="10">
        <f>IF(A63="Bear",INDEX('01_Benchmark_Input'!$K$2:$K$10,MATCH(B63,'01_Benchmark_Input'!$A$2:$A$10,0)),IF(A63="Bull",INDEX('01_Benchmark_Input'!$M$2:$M$10,MATCH(B63,'01_Benchmark_Input'!$A$2:$A$10,0)),INDEX('01_Benchmark_Input'!$L$2:$L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9">
        <f>INDEX('01_Benchmark_Input'!$B$2:$B$10,MATCH(B64,'01_Benchmark_Input'!$A$2:$A$10,0))</f>
        <v/>
      </c>
      <c r="J64" s="9">
        <f>INDEX('01_Benchmark_Input'!$C$2:$C$10,MATCH(B64,'01_Benchmark_Input'!$A$2:$A$10,0))</f>
        <v/>
      </c>
      <c r="K64" s="10">
        <f>IF(A64="Bear",INDEX('01_Benchmark_Input'!$K$2:$K$10,MATCH(B64,'01_Benchmark_Input'!$A$2:$A$10,0)),IF(A64="Bull",INDEX('01_Benchmark_Input'!$M$2:$M$10,MATCH(B64,'01_Benchmark_Input'!$A$2:$A$10,0)),INDEX('01_Benchmark_Input'!$L$2:$L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9">
        <f>INDEX('01_Benchmark_Input'!$B$2:$B$10,MATCH(B65,'01_Benchmark_Input'!$A$2:$A$10,0))</f>
        <v/>
      </c>
      <c r="J65" s="9">
        <f>INDEX('01_Benchmark_Input'!$C$2:$C$10,MATCH(B65,'01_Benchmark_Input'!$A$2:$A$10,0))</f>
        <v/>
      </c>
      <c r="K65" s="10">
        <f>IF(A65="Bear",INDEX('01_Benchmark_Input'!$K$2:$K$10,MATCH(B65,'01_Benchmark_Input'!$A$2:$A$10,0)),IF(A65="Bull",INDEX('01_Benchmark_Input'!$M$2:$M$10,MATCH(B65,'01_Benchmark_Input'!$A$2:$A$10,0)),INDEX('01_Benchmark_Input'!$L$2:$L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9">
        <f>INDEX('01_Benchmark_Input'!$B$2:$B$10,MATCH(B66,'01_Benchmark_Input'!$A$2:$A$10,0))</f>
        <v/>
      </c>
      <c r="J66" s="9">
        <f>INDEX('01_Benchmark_Input'!$C$2:$C$10,MATCH(B66,'01_Benchmark_Input'!$A$2:$A$10,0))</f>
        <v/>
      </c>
      <c r="K66" s="10">
        <f>IF(A66="Bear",INDEX('01_Benchmark_Input'!$K$2:$K$10,MATCH(B66,'01_Benchmark_Input'!$A$2:$A$10,0)),IF(A66="Bull",INDEX('01_Benchmark_Input'!$M$2:$M$10,MATCH(B66,'01_Benchmark_Input'!$A$2:$A$10,0)),INDEX('01_Benchmark_Input'!$L$2:$L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9">
        <f>INDEX('01_Benchmark_Input'!$B$2:$B$10,MATCH(B67,'01_Benchmark_Input'!$A$2:$A$10,0))</f>
        <v/>
      </c>
      <c r="J67" s="9">
        <f>INDEX('01_Benchmark_Input'!$C$2:$C$10,MATCH(B67,'01_Benchmark_Input'!$A$2:$A$10,0))</f>
        <v/>
      </c>
      <c r="K67" s="10">
        <f>IF(A67="Bear",INDEX('01_Benchmark_Input'!$K$2:$K$10,MATCH(B67,'01_Benchmark_Input'!$A$2:$A$10,0)),IF(A67="Bull",INDEX('01_Benchmark_Input'!$M$2:$M$10,MATCH(B67,'01_Benchmark_Input'!$A$2:$A$10,0)),INDEX('01_Benchmark_Input'!$L$2:$L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9">
        <f>INDEX('01_Benchmark_Input'!$B$2:$B$10,MATCH(B68,'01_Benchmark_Input'!$A$2:$A$10,0))</f>
        <v/>
      </c>
      <c r="J68" s="9">
        <f>INDEX('01_Benchmark_Input'!$C$2:$C$10,MATCH(B68,'01_Benchmark_Input'!$A$2:$A$10,0))</f>
        <v/>
      </c>
      <c r="K68" s="10">
        <f>IF(A68="Bear",INDEX('01_Benchmark_Input'!$K$2:$K$10,MATCH(B68,'01_Benchmark_Input'!$A$2:$A$10,0)),IF(A68="Bull",INDEX('01_Benchmark_Input'!$M$2:$M$10,MATCH(B68,'01_Benchmark_Input'!$A$2:$A$10,0)),INDEX('01_Benchmark_Input'!$L$2:$L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9">
        <f>INDEX('01_Benchmark_Input'!$B$2:$B$10,MATCH(B69,'01_Benchmark_Input'!$A$2:$A$10,0))</f>
        <v/>
      </c>
      <c r="J69" s="9">
        <f>INDEX('01_Benchmark_Input'!$C$2:$C$10,MATCH(B69,'01_Benchmark_Input'!$A$2:$A$10,0))</f>
        <v/>
      </c>
      <c r="K69" s="10">
        <f>IF(A69="Bear",INDEX('01_Benchmark_Input'!$K$2:$K$10,MATCH(B69,'01_Benchmark_Input'!$A$2:$A$10,0)),IF(A69="Bull",INDEX('01_Benchmark_Input'!$M$2:$M$10,MATCH(B69,'01_Benchmark_Input'!$A$2:$A$10,0)),INDEX('01_Benchmark_Input'!$L$2:$L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9">
        <f>INDEX('01_Benchmark_Input'!$B$2:$B$10,MATCH(B70,'01_Benchmark_Input'!$A$2:$A$10,0))</f>
        <v/>
      </c>
      <c r="J70" s="9">
        <f>INDEX('01_Benchmark_Input'!$C$2:$C$10,MATCH(B70,'01_Benchmark_Input'!$A$2:$A$10,0))</f>
        <v/>
      </c>
      <c r="K70" s="10">
        <f>IF(A70="Bear",INDEX('01_Benchmark_Input'!$K$2:$K$10,MATCH(B70,'01_Benchmark_Input'!$A$2:$A$10,0)),IF(A70="Bull",INDEX('01_Benchmark_Input'!$M$2:$M$10,MATCH(B70,'01_Benchmark_Input'!$A$2:$A$10,0)),INDEX('01_Benchmark_Input'!$L$2:$L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9">
        <f>INDEX('01_Benchmark_Input'!$B$2:$B$10,MATCH(B71,'01_Benchmark_Input'!$A$2:$A$10,0))</f>
        <v/>
      </c>
      <c r="J71" s="9">
        <f>INDEX('01_Benchmark_Input'!$C$2:$C$10,MATCH(B71,'01_Benchmark_Input'!$A$2:$A$10,0))</f>
        <v/>
      </c>
      <c r="K71" s="10">
        <f>IF(A71="Bear",INDEX('01_Benchmark_Input'!$K$2:$K$10,MATCH(B71,'01_Benchmark_Input'!$A$2:$A$10,0)),IF(A71="Bull",INDEX('01_Benchmark_Input'!$M$2:$M$10,MATCH(B71,'01_Benchmark_Input'!$A$2:$A$10,0)),INDEX('01_Benchmark_Input'!$L$2:$L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9">
        <f>INDEX('01_Benchmark_Input'!$B$2:$B$10,MATCH(B72,'01_Benchmark_Input'!$A$2:$A$10,0))</f>
        <v/>
      </c>
      <c r="J72" s="9">
        <f>INDEX('01_Benchmark_Input'!$C$2:$C$10,MATCH(B72,'01_Benchmark_Input'!$A$2:$A$10,0))</f>
        <v/>
      </c>
      <c r="K72" s="10">
        <f>IF(A72="Bear",INDEX('01_Benchmark_Input'!$K$2:$K$10,MATCH(B72,'01_Benchmark_Input'!$A$2:$A$10,0)),IF(A72="Bull",INDEX('01_Benchmark_Input'!$M$2:$M$10,MATCH(B72,'01_Benchmark_Input'!$A$2:$A$10,0)),INDEX('01_Benchmark_Input'!$L$2:$L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9">
        <f>INDEX('01_Benchmark_Input'!$B$2:$B$10,MATCH(B73,'01_Benchmark_Input'!$A$2:$A$10,0))</f>
        <v/>
      </c>
      <c r="J73" s="9">
        <f>INDEX('01_Benchmark_Input'!$C$2:$C$10,MATCH(B73,'01_Benchmark_Input'!$A$2:$A$10,0))</f>
        <v/>
      </c>
      <c r="K73" s="10">
        <f>IF(A73="Bear",INDEX('01_Benchmark_Input'!$K$2:$K$10,MATCH(B73,'01_Benchmark_Input'!$A$2:$A$10,0)),IF(A73="Bull",INDEX('01_Benchmark_Input'!$M$2:$M$10,MATCH(B73,'01_Benchmark_Input'!$A$2:$A$10,0)),INDEX('01_Benchmark_Input'!$L$2:$L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9">
        <f>INDEX('01_Benchmark_Input'!$B$2:$B$10,MATCH(B74,'01_Benchmark_Input'!$A$2:$A$10,0))</f>
        <v/>
      </c>
      <c r="J74" s="9">
        <f>INDEX('01_Benchmark_Input'!$C$2:$C$10,MATCH(B74,'01_Benchmark_Input'!$A$2:$A$10,0))</f>
        <v/>
      </c>
      <c r="K74" s="10">
        <f>IF(A74="Bear",INDEX('01_Benchmark_Input'!$K$2:$K$10,MATCH(B74,'01_Benchmark_Input'!$A$2:$A$10,0)),IF(A74="Bull",INDEX('01_Benchmark_Input'!$M$2:$M$10,MATCH(B74,'01_Benchmark_Input'!$A$2:$A$10,0)),INDEX('01_Benchmark_Input'!$L$2:$L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9">
        <f>INDEX('01_Benchmark_Input'!$B$2:$B$10,MATCH(B75,'01_Benchmark_Input'!$A$2:$A$10,0))</f>
        <v/>
      </c>
      <c r="J75" s="9">
        <f>INDEX('01_Benchmark_Input'!$C$2:$C$10,MATCH(B75,'01_Benchmark_Input'!$A$2:$A$10,0))</f>
        <v/>
      </c>
      <c r="K75" s="10">
        <f>IF(A75="Bear",INDEX('01_Benchmark_Input'!$K$2:$K$10,MATCH(B75,'01_Benchmark_Input'!$A$2:$A$10,0)),IF(A75="Bull",INDEX('01_Benchmark_Input'!$M$2:$M$10,MATCH(B75,'01_Benchmark_Input'!$A$2:$A$10,0)),INDEX('01_Benchmark_Input'!$L$2:$L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9">
        <f>INDEX('01_Benchmark_Input'!$B$2:$B$10,MATCH(B76,'01_Benchmark_Input'!$A$2:$A$10,0))</f>
        <v/>
      </c>
      <c r="J76" s="9">
        <f>INDEX('01_Benchmark_Input'!$C$2:$C$10,MATCH(B76,'01_Benchmark_Input'!$A$2:$A$10,0))</f>
        <v/>
      </c>
      <c r="K76" s="10">
        <f>IF(A76="Bear",INDEX('01_Benchmark_Input'!$K$2:$K$10,MATCH(B76,'01_Benchmark_Input'!$A$2:$A$10,0)),IF(A76="Bull",INDEX('01_Benchmark_Input'!$M$2:$M$10,MATCH(B76,'01_Benchmark_Input'!$A$2:$A$10,0)),INDEX('01_Benchmark_Input'!$L$2:$L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9">
        <f>INDEX('01_Benchmark_Input'!$B$2:$B$10,MATCH(B77,'01_Benchmark_Input'!$A$2:$A$10,0))</f>
        <v/>
      </c>
      <c r="J77" s="9">
        <f>INDEX('01_Benchmark_Input'!$C$2:$C$10,MATCH(B77,'01_Benchmark_Input'!$A$2:$A$10,0))</f>
        <v/>
      </c>
      <c r="K77" s="10">
        <f>IF(A77="Bear",INDEX('01_Benchmark_Input'!$K$2:$K$10,MATCH(B77,'01_Benchmark_Input'!$A$2:$A$10,0)),IF(A77="Bull",INDEX('01_Benchmark_Input'!$M$2:$M$10,MATCH(B77,'01_Benchmark_Input'!$A$2:$A$10,0)),INDEX('01_Benchmark_Input'!$L$2:$L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9">
        <f>INDEX('01_Benchmark_Input'!$B$2:$B$10,MATCH(B78,'01_Benchmark_Input'!$A$2:$A$10,0))</f>
        <v/>
      </c>
      <c r="J78" s="9">
        <f>INDEX('01_Benchmark_Input'!$C$2:$C$10,MATCH(B78,'01_Benchmark_Input'!$A$2:$A$10,0))</f>
        <v/>
      </c>
      <c r="K78" s="10">
        <f>IF(A78="Bear",INDEX('01_Benchmark_Input'!$K$2:$K$10,MATCH(B78,'01_Benchmark_Input'!$A$2:$A$10,0)),IF(A78="Bull",INDEX('01_Benchmark_Input'!$M$2:$M$10,MATCH(B78,'01_Benchmark_Input'!$A$2:$A$10,0)),INDEX('01_Benchmark_Input'!$L$2:$L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9">
        <f>INDEX('01_Benchmark_Input'!$B$2:$B$10,MATCH(B79,'01_Benchmark_Input'!$A$2:$A$10,0))</f>
        <v/>
      </c>
      <c r="J79" s="9">
        <f>INDEX('01_Benchmark_Input'!$C$2:$C$10,MATCH(B79,'01_Benchmark_Input'!$A$2:$A$10,0))</f>
        <v/>
      </c>
      <c r="K79" s="10">
        <f>IF(A79="Bear",INDEX('01_Benchmark_Input'!$K$2:$K$10,MATCH(B79,'01_Benchmark_Input'!$A$2:$A$10,0)),IF(A79="Bull",INDEX('01_Benchmark_Input'!$M$2:$M$10,MATCH(B79,'01_Benchmark_Input'!$A$2:$A$10,0)),INDEX('01_Benchmark_Input'!$L$2:$L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9">
        <f>INDEX('01_Benchmark_Input'!$B$2:$B$10,MATCH(B80,'01_Benchmark_Input'!$A$2:$A$10,0))</f>
        <v/>
      </c>
      <c r="J80" s="9">
        <f>INDEX('01_Benchmark_Input'!$C$2:$C$10,MATCH(B80,'01_Benchmark_Input'!$A$2:$A$10,0))</f>
        <v/>
      </c>
      <c r="K80" s="10">
        <f>IF(A80="Bear",INDEX('01_Benchmark_Input'!$K$2:$K$10,MATCH(B80,'01_Benchmark_Input'!$A$2:$A$10,0)),IF(A80="Bull",INDEX('01_Benchmark_Input'!$M$2:$M$10,MATCH(B80,'01_Benchmark_Input'!$A$2:$A$10,0)),INDEX('01_Benchmark_Input'!$L$2:$L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9">
        <f>INDEX('01_Benchmark_Input'!$B$2:$B$10,MATCH(B81,'01_Benchmark_Input'!$A$2:$A$10,0))</f>
        <v/>
      </c>
      <c r="J81" s="9">
        <f>INDEX('01_Benchmark_Input'!$C$2:$C$10,MATCH(B81,'01_Benchmark_Input'!$A$2:$A$10,0))</f>
        <v/>
      </c>
      <c r="K81" s="10">
        <f>IF(A81="Bear",INDEX('01_Benchmark_Input'!$K$2:$K$10,MATCH(B81,'01_Benchmark_Input'!$A$2:$A$10,0)),IF(A81="Bull",INDEX('01_Benchmark_Input'!$M$2:$M$10,MATCH(B81,'01_Benchmark_Input'!$A$2:$A$10,0)),INDEX('01_Benchmark_Input'!$L$2:$L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9">
        <f>INDEX('01_Benchmark_Input'!$B$2:$B$10,MATCH(B82,'01_Benchmark_Input'!$A$2:$A$10,0))</f>
        <v/>
      </c>
      <c r="J82" s="9">
        <f>INDEX('01_Benchmark_Input'!$C$2:$C$10,MATCH(B82,'01_Benchmark_Input'!$A$2:$A$10,0))</f>
        <v/>
      </c>
      <c r="K82" s="10">
        <f>IF(A82="Bear",INDEX('01_Benchmark_Input'!$K$2:$K$10,MATCH(B82,'01_Benchmark_Input'!$A$2:$A$10,0)),IF(A82="Bull",INDEX('01_Benchmark_Input'!$M$2:$M$10,MATCH(B82,'01_Benchmark_Input'!$A$2:$A$10,0)),INDEX('01_Benchmark_Input'!$L$2:$L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9">
        <f>INDEX('01_Benchmark_Input'!$B$2:$B$10,MATCH(B83,'01_Benchmark_Input'!$A$2:$A$10,0))</f>
        <v/>
      </c>
      <c r="J83" s="9">
        <f>INDEX('01_Benchmark_Input'!$C$2:$C$10,MATCH(B83,'01_Benchmark_Input'!$A$2:$A$10,0))</f>
        <v/>
      </c>
      <c r="K83" s="10">
        <f>IF(A83="Bear",INDEX('01_Benchmark_Input'!$K$2:$K$10,MATCH(B83,'01_Benchmark_Input'!$A$2:$A$10,0)),IF(A83="Bull",INDEX('01_Benchmark_Input'!$M$2:$M$10,MATCH(B83,'01_Benchmark_Input'!$A$2:$A$10,0)),INDEX('01_Benchmark_Input'!$L$2:$L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9">
        <f>INDEX('01_Benchmark_Input'!$B$2:$B$10,MATCH(B84,'01_Benchmark_Input'!$A$2:$A$10,0))</f>
        <v/>
      </c>
      <c r="J84" s="9">
        <f>INDEX('01_Benchmark_Input'!$C$2:$C$10,MATCH(B84,'01_Benchmark_Input'!$A$2:$A$10,0))</f>
        <v/>
      </c>
      <c r="K84" s="10">
        <f>IF(A84="Bear",INDEX('01_Benchmark_Input'!$K$2:$K$10,MATCH(B84,'01_Benchmark_Input'!$A$2:$A$10,0)),IF(A84="Bull",INDEX('01_Benchmark_Input'!$M$2:$M$10,MATCH(B84,'01_Benchmark_Input'!$A$2:$A$10,0)),INDEX('01_Benchmark_Input'!$L$2:$L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9">
        <f>INDEX('01_Benchmark_Input'!$B$2:$B$10,MATCH(B85,'01_Benchmark_Input'!$A$2:$A$10,0))</f>
        <v/>
      </c>
      <c r="J85" s="9">
        <f>INDEX('01_Benchmark_Input'!$C$2:$C$10,MATCH(B85,'01_Benchmark_Input'!$A$2:$A$10,0))</f>
        <v/>
      </c>
      <c r="K85" s="10">
        <f>IF(A85="Bear",INDEX('01_Benchmark_Input'!$K$2:$K$10,MATCH(B85,'01_Benchmark_Input'!$A$2:$A$10,0)),IF(A85="Bull",INDEX('01_Benchmark_Input'!$M$2:$M$10,MATCH(B85,'01_Benchmark_Input'!$A$2:$A$10,0)),INDEX('01_Benchmark_Input'!$L$2:$L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9">
        <f>INDEX('01_Benchmark_Input'!$B$2:$B$10,MATCH(B86,'01_Benchmark_Input'!$A$2:$A$10,0))</f>
        <v/>
      </c>
      <c r="J86" s="9">
        <f>INDEX('01_Benchmark_Input'!$C$2:$C$10,MATCH(B86,'01_Benchmark_Input'!$A$2:$A$10,0))</f>
        <v/>
      </c>
      <c r="K86" s="10">
        <f>IF(A86="Bear",INDEX('01_Benchmark_Input'!$K$2:$K$10,MATCH(B86,'01_Benchmark_Input'!$A$2:$A$10,0)),IF(A86="Bull",INDEX('01_Benchmark_Input'!$M$2:$M$10,MATCH(B86,'01_Benchmark_Input'!$A$2:$A$10,0)),INDEX('01_Benchmark_Input'!$L$2:$L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9">
        <f>INDEX('01_Benchmark_Input'!$B$2:$B$10,MATCH(B87,'01_Benchmark_Input'!$A$2:$A$10,0))</f>
        <v/>
      </c>
      <c r="J87" s="9">
        <f>INDEX('01_Benchmark_Input'!$C$2:$C$10,MATCH(B87,'01_Benchmark_Input'!$A$2:$A$10,0))</f>
        <v/>
      </c>
      <c r="K87" s="10">
        <f>IF(A87="Bear",INDEX('01_Benchmark_Input'!$K$2:$K$10,MATCH(B87,'01_Benchmark_Input'!$A$2:$A$10,0)),IF(A87="Bull",INDEX('01_Benchmark_Input'!$M$2:$M$10,MATCH(B87,'01_Benchmark_Input'!$A$2:$A$10,0)),INDEX('01_Benchmark_Input'!$L$2:$L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9">
        <f>INDEX('01_Benchmark_Input'!$B$2:$B$10,MATCH(B88,'01_Benchmark_Input'!$A$2:$A$10,0))</f>
        <v/>
      </c>
      <c r="J88" s="9">
        <f>INDEX('01_Benchmark_Input'!$C$2:$C$10,MATCH(B88,'01_Benchmark_Input'!$A$2:$A$10,0))</f>
        <v/>
      </c>
      <c r="K88" s="10">
        <f>IF(A88="Bear",INDEX('01_Benchmark_Input'!$K$2:$K$10,MATCH(B88,'01_Benchmark_Input'!$A$2:$A$10,0)),IF(A88="Bull",INDEX('01_Benchmark_Input'!$M$2:$M$10,MATCH(B88,'01_Benchmark_Input'!$A$2:$A$10,0)),INDEX('01_Benchmark_Input'!$L$2:$L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9">
        <f>INDEX('01_Benchmark_Input'!$B$2:$B$10,MATCH(B89,'01_Benchmark_Input'!$A$2:$A$10,0))</f>
        <v/>
      </c>
      <c r="J89" s="9">
        <f>INDEX('01_Benchmark_Input'!$C$2:$C$10,MATCH(B89,'01_Benchmark_Input'!$A$2:$A$10,0))</f>
        <v/>
      </c>
      <c r="K89" s="10">
        <f>IF(A89="Bear",INDEX('01_Benchmark_Input'!$K$2:$K$10,MATCH(B89,'01_Benchmark_Input'!$A$2:$A$10,0)),IF(A89="Bull",INDEX('01_Benchmark_Input'!$M$2:$M$10,MATCH(B89,'01_Benchmark_Input'!$A$2:$A$10,0)),INDEX('01_Benchmark_Input'!$L$2:$L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9">
        <f>INDEX('01_Benchmark_Input'!$B$2:$B$10,MATCH(B90,'01_Benchmark_Input'!$A$2:$A$10,0))</f>
        <v/>
      </c>
      <c r="J90" s="9">
        <f>INDEX('01_Benchmark_Input'!$C$2:$C$10,MATCH(B90,'01_Benchmark_Input'!$A$2:$A$10,0))</f>
        <v/>
      </c>
      <c r="K90" s="10">
        <f>IF(A90="Bear",INDEX('01_Benchmark_Input'!$K$2:$K$10,MATCH(B90,'01_Benchmark_Input'!$A$2:$A$10,0)),IF(A90="Bull",INDEX('01_Benchmark_Input'!$M$2:$M$10,MATCH(B90,'01_Benchmark_Input'!$A$2:$A$10,0)),INDEX('01_Benchmark_Input'!$L$2:$L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9">
        <f>INDEX('01_Benchmark_Input'!$B$2:$B$10,MATCH(B91,'01_Benchmark_Input'!$A$2:$A$10,0))</f>
        <v/>
      </c>
      <c r="J91" s="9">
        <f>INDEX('01_Benchmark_Input'!$C$2:$C$10,MATCH(B91,'01_Benchmark_Input'!$A$2:$A$10,0))</f>
        <v/>
      </c>
      <c r="K91" s="10">
        <f>IF(A91="Bear",INDEX('01_Benchmark_Input'!$K$2:$K$10,MATCH(B91,'01_Benchmark_Input'!$A$2:$A$10,0)),IF(A91="Bull",INDEX('01_Benchmark_Input'!$M$2:$M$10,MATCH(B91,'01_Benchmark_Input'!$A$2:$A$10,0)),INDEX('01_Benchmark_Input'!$L$2:$L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9">
        <f>INDEX('01_Benchmark_Input'!$B$2:$B$10,MATCH(B92,'01_Benchmark_Input'!$A$2:$A$10,0))</f>
        <v/>
      </c>
      <c r="J92" s="9">
        <f>INDEX('01_Benchmark_Input'!$C$2:$C$10,MATCH(B92,'01_Benchmark_Input'!$A$2:$A$10,0))</f>
        <v/>
      </c>
      <c r="K92" s="10">
        <f>IF(A92="Bear",INDEX('01_Benchmark_Input'!$K$2:$K$10,MATCH(B92,'01_Benchmark_Input'!$A$2:$A$10,0)),IF(A92="Bull",INDEX('01_Benchmark_Input'!$M$2:$M$10,MATCH(B92,'01_Benchmark_Input'!$A$2:$A$10,0)),INDEX('01_Benchmark_Input'!$L$2:$L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9">
        <f>INDEX('01_Benchmark_Input'!$B$2:$B$10,MATCH(B93,'01_Benchmark_Input'!$A$2:$A$10,0))</f>
        <v/>
      </c>
      <c r="J93" s="9">
        <f>INDEX('01_Benchmark_Input'!$C$2:$C$10,MATCH(B93,'01_Benchmark_Input'!$A$2:$A$10,0))</f>
        <v/>
      </c>
      <c r="K93" s="10">
        <f>IF(A93="Bear",INDEX('01_Benchmark_Input'!$K$2:$K$10,MATCH(B93,'01_Benchmark_Input'!$A$2:$A$10,0)),IF(A93="Bull",INDEX('01_Benchmark_Input'!$M$2:$M$10,MATCH(B93,'01_Benchmark_Input'!$A$2:$A$10,0)),INDEX('01_Benchmark_Input'!$L$2:$L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9">
        <f>INDEX('01_Benchmark_Input'!$B$2:$B$10,MATCH(B94,'01_Benchmark_Input'!$A$2:$A$10,0))</f>
        <v/>
      </c>
      <c r="J94" s="9">
        <f>INDEX('01_Benchmark_Input'!$C$2:$C$10,MATCH(B94,'01_Benchmark_Input'!$A$2:$A$10,0))</f>
        <v/>
      </c>
      <c r="K94" s="10">
        <f>IF(A94="Bear",INDEX('01_Benchmark_Input'!$K$2:$K$10,MATCH(B94,'01_Benchmark_Input'!$A$2:$A$10,0)),IF(A94="Bull",INDEX('01_Benchmark_Input'!$M$2:$M$10,MATCH(B94,'01_Benchmark_Input'!$A$2:$A$10,0)),INDEX('01_Benchmark_Input'!$L$2:$L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9">
        <f>INDEX('01_Benchmark_Input'!$B$2:$B$10,MATCH(B95,'01_Benchmark_Input'!$A$2:$A$10,0))</f>
        <v/>
      </c>
      <c r="J95" s="9">
        <f>INDEX('01_Benchmark_Input'!$C$2:$C$10,MATCH(B95,'01_Benchmark_Input'!$A$2:$A$10,0))</f>
        <v/>
      </c>
      <c r="K95" s="10">
        <f>IF(A95="Bear",INDEX('01_Benchmark_Input'!$K$2:$K$10,MATCH(B95,'01_Benchmark_Input'!$A$2:$A$10,0)),IF(A95="Bull",INDEX('01_Benchmark_Input'!$M$2:$M$10,MATCH(B95,'01_Benchmark_Input'!$A$2:$A$10,0)),INDEX('01_Benchmark_Input'!$L$2:$L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9">
        <f>INDEX('01_Benchmark_Input'!$B$2:$B$10,MATCH(B96,'01_Benchmark_Input'!$A$2:$A$10,0))</f>
        <v/>
      </c>
      <c r="J96" s="9">
        <f>INDEX('01_Benchmark_Input'!$C$2:$C$10,MATCH(B96,'01_Benchmark_Input'!$A$2:$A$10,0))</f>
        <v/>
      </c>
      <c r="K96" s="10">
        <f>IF(A96="Bear",INDEX('01_Benchmark_Input'!$K$2:$K$10,MATCH(B96,'01_Benchmark_Input'!$A$2:$A$10,0)),IF(A96="Bull",INDEX('01_Benchmark_Input'!$M$2:$M$10,MATCH(B96,'01_Benchmark_Input'!$A$2:$A$10,0)),INDEX('01_Benchmark_Input'!$L$2:$L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9">
        <f>INDEX('01_Benchmark_Input'!$B$2:$B$10,MATCH(B97,'01_Benchmark_Input'!$A$2:$A$10,0))</f>
        <v/>
      </c>
      <c r="J97" s="9">
        <f>INDEX('01_Benchmark_Input'!$C$2:$C$10,MATCH(B97,'01_Benchmark_Input'!$A$2:$A$10,0))</f>
        <v/>
      </c>
      <c r="K97" s="10">
        <f>IF(A97="Bear",INDEX('01_Benchmark_Input'!$K$2:$K$10,MATCH(B97,'01_Benchmark_Input'!$A$2:$A$10,0)),IF(A97="Bull",INDEX('01_Benchmark_Input'!$M$2:$M$10,MATCH(B97,'01_Benchmark_Input'!$A$2:$A$10,0)),INDEX('01_Benchmark_Input'!$L$2:$L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9">
        <f>INDEX('01_Benchmark_Input'!$B$2:$B$10,MATCH(B98,'01_Benchmark_Input'!$A$2:$A$10,0))</f>
        <v/>
      </c>
      <c r="J98" s="9">
        <f>INDEX('01_Benchmark_Input'!$C$2:$C$10,MATCH(B98,'01_Benchmark_Input'!$A$2:$A$10,0))</f>
        <v/>
      </c>
      <c r="K98" s="10">
        <f>IF(A98="Bear",INDEX('01_Benchmark_Input'!$K$2:$K$10,MATCH(B98,'01_Benchmark_Input'!$A$2:$A$10,0)),IF(A98="Bull",INDEX('01_Benchmark_Input'!$M$2:$M$10,MATCH(B98,'01_Benchmark_Input'!$A$2:$A$10,0)),INDEX('01_Benchmark_Input'!$L$2:$L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9">
        <f>INDEX('01_Benchmark_Input'!$B$2:$B$10,MATCH(B99,'01_Benchmark_Input'!$A$2:$A$10,0))</f>
        <v/>
      </c>
      <c r="J99" s="9">
        <f>INDEX('01_Benchmark_Input'!$C$2:$C$10,MATCH(B99,'01_Benchmark_Input'!$A$2:$A$10,0))</f>
        <v/>
      </c>
      <c r="K99" s="10">
        <f>IF(A99="Bear",INDEX('01_Benchmark_Input'!$K$2:$K$10,MATCH(B99,'01_Benchmark_Input'!$A$2:$A$10,0)),IF(A99="Bull",INDEX('01_Benchmark_Input'!$M$2:$M$10,MATCH(B99,'01_Benchmark_Input'!$A$2:$A$10,0)),INDEX('01_Benchmark_Input'!$L$2:$L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9">
        <f>INDEX('01_Benchmark_Input'!$B$2:$B$10,MATCH(B100,'01_Benchmark_Input'!$A$2:$A$10,0))</f>
        <v/>
      </c>
      <c r="J100" s="9">
        <f>INDEX('01_Benchmark_Input'!$C$2:$C$10,MATCH(B100,'01_Benchmark_Input'!$A$2:$A$10,0))</f>
        <v/>
      </c>
      <c r="K100" s="10">
        <f>IF(A100="Bear",INDEX('01_Benchmark_Input'!$K$2:$K$10,MATCH(B100,'01_Benchmark_Input'!$A$2:$A$10,0)),IF(A100="Bull",INDEX('01_Benchmark_Input'!$M$2:$M$10,MATCH(B100,'01_Benchmark_Input'!$A$2:$A$10,0)),INDEX('01_Benchmark_Input'!$L$2:$L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9">
        <f>INDEX('01_Benchmark_Input'!$B$2:$B$10,MATCH(B101,'01_Benchmark_Input'!$A$2:$A$10,0))</f>
        <v/>
      </c>
      <c r="J101" s="9">
        <f>INDEX('01_Benchmark_Input'!$C$2:$C$10,MATCH(B101,'01_Benchmark_Input'!$A$2:$A$10,0))</f>
        <v/>
      </c>
      <c r="K101" s="10">
        <f>IF(A101="Bear",INDEX('01_Benchmark_Input'!$K$2:$K$10,MATCH(B101,'01_Benchmark_Input'!$A$2:$A$10,0)),IF(A101="Bull",INDEX('01_Benchmark_Input'!$M$2:$M$10,MATCH(B101,'01_Benchmark_Input'!$A$2:$A$10,0)),INDEX('01_Benchmark_Input'!$L$2:$L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9">
        <f>INDEX('01_Benchmark_Input'!$B$2:$B$10,MATCH(B102,'01_Benchmark_Input'!$A$2:$A$10,0))</f>
        <v/>
      </c>
      <c r="J102" s="9">
        <f>INDEX('01_Benchmark_Input'!$C$2:$C$10,MATCH(B102,'01_Benchmark_Input'!$A$2:$A$10,0))</f>
        <v/>
      </c>
      <c r="K102" s="10">
        <f>IF(A102="Bear",INDEX('01_Benchmark_Input'!$K$2:$K$10,MATCH(B102,'01_Benchmark_Input'!$A$2:$A$10,0)),IF(A102="Bull",INDEX('01_Benchmark_Input'!$M$2:$M$10,MATCH(B102,'01_Benchmark_Input'!$A$2:$A$10,0)),INDEX('01_Benchmark_Input'!$L$2:$L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9">
        <f>INDEX('01_Benchmark_Input'!$B$2:$B$10,MATCH(B103,'01_Benchmark_Input'!$A$2:$A$10,0))</f>
        <v/>
      </c>
      <c r="J103" s="9">
        <f>INDEX('01_Benchmark_Input'!$C$2:$C$10,MATCH(B103,'01_Benchmark_Input'!$A$2:$A$10,0))</f>
        <v/>
      </c>
      <c r="K103" s="10">
        <f>IF(A103="Bear",INDEX('01_Benchmark_Input'!$K$2:$K$10,MATCH(B103,'01_Benchmark_Input'!$A$2:$A$10,0)),IF(A103="Bull",INDEX('01_Benchmark_Input'!$M$2:$M$10,MATCH(B103,'01_Benchmark_Input'!$A$2:$A$10,0)),INDEX('01_Benchmark_Input'!$L$2:$L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9">
        <f>INDEX('01_Benchmark_Input'!$B$2:$B$10,MATCH(B104,'01_Benchmark_Input'!$A$2:$A$10,0))</f>
        <v/>
      </c>
      <c r="J104" s="9">
        <f>INDEX('01_Benchmark_Input'!$C$2:$C$10,MATCH(B104,'01_Benchmark_Input'!$A$2:$A$10,0))</f>
        <v/>
      </c>
      <c r="K104" s="10">
        <f>IF(A104="Bear",INDEX('01_Benchmark_Input'!$K$2:$K$10,MATCH(B104,'01_Benchmark_Input'!$A$2:$A$10,0)),IF(A104="Bull",INDEX('01_Benchmark_Input'!$M$2:$M$10,MATCH(B104,'01_Benchmark_Input'!$A$2:$A$10,0)),INDEX('01_Benchmark_Input'!$L$2:$L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9">
        <f>INDEX('01_Benchmark_Input'!$B$2:$B$10,MATCH(B105,'01_Benchmark_Input'!$A$2:$A$10,0))</f>
        <v/>
      </c>
      <c r="J105" s="9">
        <f>INDEX('01_Benchmark_Input'!$C$2:$C$10,MATCH(B105,'01_Benchmark_Input'!$A$2:$A$10,0))</f>
        <v/>
      </c>
      <c r="K105" s="10">
        <f>IF(A105="Bear",INDEX('01_Benchmark_Input'!$K$2:$K$10,MATCH(B105,'01_Benchmark_Input'!$A$2:$A$10,0)),IF(A105="Bull",INDEX('01_Benchmark_Input'!$M$2:$M$10,MATCH(B105,'01_Benchmark_Input'!$A$2:$A$10,0)),INDEX('01_Benchmark_Input'!$L$2:$L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9">
        <f>INDEX('01_Benchmark_Input'!$B$2:$B$10,MATCH(B106,'01_Benchmark_Input'!$A$2:$A$10,0))</f>
        <v/>
      </c>
      <c r="J106" s="9">
        <f>INDEX('01_Benchmark_Input'!$C$2:$C$10,MATCH(B106,'01_Benchmark_Input'!$A$2:$A$10,0))</f>
        <v/>
      </c>
      <c r="K106" s="10">
        <f>IF(A106="Bear",INDEX('01_Benchmark_Input'!$K$2:$K$10,MATCH(B106,'01_Benchmark_Input'!$A$2:$A$10,0)),IF(A106="Bull",INDEX('01_Benchmark_Input'!$M$2:$M$10,MATCH(B106,'01_Benchmark_Input'!$A$2:$A$10,0)),INDEX('01_Benchmark_Input'!$L$2:$L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9">
        <f>INDEX('01_Benchmark_Input'!$B$2:$B$10,MATCH(B107,'01_Benchmark_Input'!$A$2:$A$10,0))</f>
        <v/>
      </c>
      <c r="J107" s="9">
        <f>INDEX('01_Benchmark_Input'!$C$2:$C$10,MATCH(B107,'01_Benchmark_Input'!$A$2:$A$10,0))</f>
        <v/>
      </c>
      <c r="K107" s="10">
        <f>IF(A107="Bear",INDEX('01_Benchmark_Input'!$K$2:$K$10,MATCH(B107,'01_Benchmark_Input'!$A$2:$A$10,0)),IF(A107="Bull",INDEX('01_Benchmark_Input'!$M$2:$M$10,MATCH(B107,'01_Benchmark_Input'!$A$2:$A$10,0)),INDEX('01_Benchmark_Input'!$L$2:$L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9">
        <f>INDEX('01_Benchmark_Input'!$B$2:$B$10,MATCH(B108,'01_Benchmark_Input'!$A$2:$A$10,0))</f>
        <v/>
      </c>
      <c r="J108" s="9">
        <f>INDEX('01_Benchmark_Input'!$C$2:$C$10,MATCH(B108,'01_Benchmark_Input'!$A$2:$A$10,0))</f>
        <v/>
      </c>
      <c r="K108" s="10">
        <f>IF(A108="Bear",INDEX('01_Benchmark_Input'!$K$2:$K$10,MATCH(B108,'01_Benchmark_Input'!$A$2:$A$10,0)),IF(A108="Bull",INDEX('01_Benchmark_Input'!$M$2:$M$10,MATCH(B108,'01_Benchmark_Input'!$A$2:$A$10,0)),INDEX('01_Benchmark_Input'!$L$2:$L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9">
        <f>INDEX('01_Benchmark_Input'!$B$2:$B$10,MATCH(B109,'01_Benchmark_Input'!$A$2:$A$10,0))</f>
        <v/>
      </c>
      <c r="J109" s="9">
        <f>INDEX('01_Benchmark_Input'!$C$2:$C$10,MATCH(B109,'01_Benchmark_Input'!$A$2:$A$10,0))</f>
        <v/>
      </c>
      <c r="K109" s="10">
        <f>IF(A109="Bear",INDEX('01_Benchmark_Input'!$K$2:$K$10,MATCH(B109,'01_Benchmark_Input'!$A$2:$A$10,0)),IF(A109="Bull",INDEX('01_Benchmark_Input'!$M$2:$M$10,MATCH(B109,'01_Benchmark_Input'!$A$2:$A$10,0)),INDEX('01_Benchmark_Input'!$L$2:$L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9">
        <f>INDEX('01_Benchmark_Input'!$B$2:$B$10,MATCH(B110,'01_Benchmark_Input'!$A$2:$A$10,0))</f>
        <v/>
      </c>
      <c r="J110" s="9">
        <f>INDEX('01_Benchmark_Input'!$C$2:$C$10,MATCH(B110,'01_Benchmark_Input'!$A$2:$A$10,0))</f>
        <v/>
      </c>
      <c r="K110" s="10">
        <f>IF(A110="Bear",INDEX('01_Benchmark_Input'!$K$2:$K$10,MATCH(B110,'01_Benchmark_Input'!$A$2:$A$10,0)),IF(A110="Bull",INDEX('01_Benchmark_Input'!$M$2:$M$10,MATCH(B110,'01_Benchmark_Input'!$A$2:$A$10,0)),INDEX('01_Benchmark_Input'!$L$2:$L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9">
        <f>INDEX('01_Benchmark_Input'!$B$2:$B$10,MATCH(B111,'01_Benchmark_Input'!$A$2:$A$10,0))</f>
        <v/>
      </c>
      <c r="J111" s="9">
        <f>INDEX('01_Benchmark_Input'!$C$2:$C$10,MATCH(B111,'01_Benchmark_Input'!$A$2:$A$10,0))</f>
        <v/>
      </c>
      <c r="K111" s="10">
        <f>IF(A111="Bear",INDEX('01_Benchmark_Input'!$K$2:$K$10,MATCH(B111,'01_Benchmark_Input'!$A$2:$A$10,0)),IF(A111="Bull",INDEX('01_Benchmark_Input'!$M$2:$M$10,MATCH(B111,'01_Benchmark_Input'!$A$2:$A$10,0)),INDEX('01_Benchmark_Input'!$L$2:$L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9">
        <f>INDEX('01_Benchmark_Input'!$B$2:$B$10,MATCH(B112,'01_Benchmark_Input'!$A$2:$A$10,0))</f>
        <v/>
      </c>
      <c r="J112" s="9">
        <f>INDEX('01_Benchmark_Input'!$C$2:$C$10,MATCH(B112,'01_Benchmark_Input'!$A$2:$A$10,0))</f>
        <v/>
      </c>
      <c r="K112" s="10">
        <f>IF(A112="Bear",INDEX('01_Benchmark_Input'!$K$2:$K$10,MATCH(B112,'01_Benchmark_Input'!$A$2:$A$10,0)),IF(A112="Bull",INDEX('01_Benchmark_Input'!$M$2:$M$10,MATCH(B112,'01_Benchmark_Input'!$A$2:$A$10,0)),INDEX('01_Benchmark_Input'!$L$2:$L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9">
        <f>INDEX('01_Benchmark_Input'!$B$2:$B$10,MATCH(B113,'01_Benchmark_Input'!$A$2:$A$10,0))</f>
        <v/>
      </c>
      <c r="J113" s="9">
        <f>INDEX('01_Benchmark_Input'!$C$2:$C$10,MATCH(B113,'01_Benchmark_Input'!$A$2:$A$10,0))</f>
        <v/>
      </c>
      <c r="K113" s="10">
        <f>IF(A113="Bear",INDEX('01_Benchmark_Input'!$K$2:$K$10,MATCH(B113,'01_Benchmark_Input'!$A$2:$A$10,0)),IF(A113="Bull",INDEX('01_Benchmark_Input'!$M$2:$M$10,MATCH(B113,'01_Benchmark_Input'!$A$2:$A$10,0)),INDEX('01_Benchmark_Input'!$L$2:$L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9">
        <f>INDEX('01_Benchmark_Input'!$B$2:$B$10,MATCH(B114,'01_Benchmark_Input'!$A$2:$A$10,0))</f>
        <v/>
      </c>
      <c r="J114" s="9">
        <f>INDEX('01_Benchmark_Input'!$C$2:$C$10,MATCH(B114,'01_Benchmark_Input'!$A$2:$A$10,0))</f>
        <v/>
      </c>
      <c r="K114" s="10">
        <f>IF(A114="Bear",INDEX('01_Benchmark_Input'!$K$2:$K$10,MATCH(B114,'01_Benchmark_Input'!$A$2:$A$10,0)),IF(A114="Bull",INDEX('01_Benchmark_Input'!$M$2:$M$10,MATCH(B114,'01_Benchmark_Input'!$A$2:$A$10,0)),INDEX('01_Benchmark_Input'!$L$2:$L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9">
        <f>INDEX('01_Benchmark_Input'!$B$2:$B$10,MATCH(B115,'01_Benchmark_Input'!$A$2:$A$10,0))</f>
        <v/>
      </c>
      <c r="J115" s="9">
        <f>INDEX('01_Benchmark_Input'!$C$2:$C$10,MATCH(B115,'01_Benchmark_Input'!$A$2:$A$10,0))</f>
        <v/>
      </c>
      <c r="K115" s="10">
        <f>IF(A115="Bear",INDEX('01_Benchmark_Input'!$K$2:$K$10,MATCH(B115,'01_Benchmark_Input'!$A$2:$A$10,0)),IF(A115="Bull",INDEX('01_Benchmark_Input'!$M$2:$M$10,MATCH(B115,'01_Benchmark_Input'!$A$2:$A$10,0)),INDEX('01_Benchmark_Input'!$L$2:$L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9">
        <f>INDEX('01_Benchmark_Input'!$B$2:$B$10,MATCH(B116,'01_Benchmark_Input'!$A$2:$A$10,0))</f>
        <v/>
      </c>
      <c r="J116" s="9">
        <f>INDEX('01_Benchmark_Input'!$C$2:$C$10,MATCH(B116,'01_Benchmark_Input'!$A$2:$A$10,0))</f>
        <v/>
      </c>
      <c r="K116" s="10">
        <f>IF(A116="Bear",INDEX('01_Benchmark_Input'!$K$2:$K$10,MATCH(B116,'01_Benchmark_Input'!$A$2:$A$10,0)),IF(A116="Bull",INDEX('01_Benchmark_Input'!$M$2:$M$10,MATCH(B116,'01_Benchmark_Input'!$A$2:$A$10,0)),INDEX('01_Benchmark_Input'!$L$2:$L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9">
        <f>INDEX('01_Benchmark_Input'!$B$2:$B$10,MATCH(B117,'01_Benchmark_Input'!$A$2:$A$10,0))</f>
        <v/>
      </c>
      <c r="J117" s="9">
        <f>INDEX('01_Benchmark_Input'!$C$2:$C$10,MATCH(B117,'01_Benchmark_Input'!$A$2:$A$10,0))</f>
        <v/>
      </c>
      <c r="K117" s="10">
        <f>IF(A117="Bear",INDEX('01_Benchmark_Input'!$K$2:$K$10,MATCH(B117,'01_Benchmark_Input'!$A$2:$A$10,0)),IF(A117="Bull",INDEX('01_Benchmark_Input'!$M$2:$M$10,MATCH(B117,'01_Benchmark_Input'!$A$2:$A$10,0)),INDEX('01_Benchmark_Input'!$L$2:$L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9">
        <f>INDEX('01_Benchmark_Input'!$B$2:$B$10,MATCH(B118,'01_Benchmark_Input'!$A$2:$A$10,0))</f>
        <v/>
      </c>
      <c r="J118" s="9">
        <f>INDEX('01_Benchmark_Input'!$C$2:$C$10,MATCH(B118,'01_Benchmark_Input'!$A$2:$A$10,0))</f>
        <v/>
      </c>
      <c r="K118" s="10">
        <f>IF(A118="Bear",INDEX('01_Benchmark_Input'!$K$2:$K$10,MATCH(B118,'01_Benchmark_Input'!$A$2:$A$10,0)),IF(A118="Bull",INDEX('01_Benchmark_Input'!$M$2:$M$10,MATCH(B118,'01_Benchmark_Input'!$A$2:$A$10,0)),INDEX('01_Benchmark_Input'!$L$2:$L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9">
        <f>INDEX('01_Benchmark_Input'!$B$2:$B$10,MATCH(B119,'01_Benchmark_Input'!$A$2:$A$10,0))</f>
        <v/>
      </c>
      <c r="J119" s="9">
        <f>INDEX('01_Benchmark_Input'!$C$2:$C$10,MATCH(B119,'01_Benchmark_Input'!$A$2:$A$10,0))</f>
        <v/>
      </c>
      <c r="K119" s="10">
        <f>IF(A119="Bear",INDEX('01_Benchmark_Input'!$K$2:$K$10,MATCH(B119,'01_Benchmark_Input'!$A$2:$A$10,0)),IF(A119="Bull",INDEX('01_Benchmark_Input'!$M$2:$M$10,MATCH(B119,'01_Benchmark_Input'!$A$2:$A$10,0)),INDEX('01_Benchmark_Input'!$L$2:$L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9">
        <f>INDEX('01_Benchmark_Input'!$B$2:$B$10,MATCH(B120,'01_Benchmark_Input'!$A$2:$A$10,0))</f>
        <v/>
      </c>
      <c r="J120" s="9">
        <f>INDEX('01_Benchmark_Input'!$C$2:$C$10,MATCH(B120,'01_Benchmark_Input'!$A$2:$A$10,0))</f>
        <v/>
      </c>
      <c r="K120" s="10">
        <f>IF(A120="Bear",INDEX('01_Benchmark_Input'!$K$2:$K$10,MATCH(B120,'01_Benchmark_Input'!$A$2:$A$10,0)),IF(A120="Bull",INDEX('01_Benchmark_Input'!$M$2:$M$10,MATCH(B120,'01_Benchmark_Input'!$A$2:$A$10,0)),INDEX('01_Benchmark_Input'!$L$2:$L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9">
        <f>INDEX('01_Benchmark_Input'!$B$2:$B$10,MATCH(B121,'01_Benchmark_Input'!$A$2:$A$10,0))</f>
        <v/>
      </c>
      <c r="J121" s="9">
        <f>INDEX('01_Benchmark_Input'!$C$2:$C$10,MATCH(B121,'01_Benchmark_Input'!$A$2:$A$10,0))</f>
        <v/>
      </c>
      <c r="K121" s="10">
        <f>IF(A121="Bear",INDEX('01_Benchmark_Input'!$K$2:$K$10,MATCH(B121,'01_Benchmark_Input'!$A$2:$A$10,0)),IF(A121="Bull",INDEX('01_Benchmark_Input'!$M$2:$M$10,MATCH(B121,'01_Benchmark_Input'!$A$2:$A$10,0)),INDEX('01_Benchmark_Input'!$L$2:$L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9">
        <f>INDEX('01_Benchmark_Input'!$B$2:$B$10,MATCH(B122,'01_Benchmark_Input'!$A$2:$A$10,0))</f>
        <v/>
      </c>
      <c r="J122" s="9">
        <f>INDEX('01_Benchmark_Input'!$C$2:$C$10,MATCH(B122,'01_Benchmark_Input'!$A$2:$A$10,0))</f>
        <v/>
      </c>
      <c r="K122" s="10">
        <f>IF(A122="Bear",INDEX('01_Benchmark_Input'!$K$2:$K$10,MATCH(B122,'01_Benchmark_Input'!$A$2:$A$10,0)),IF(A122="Bull",INDEX('01_Benchmark_Input'!$M$2:$M$10,MATCH(B122,'01_Benchmark_Input'!$A$2:$A$10,0)),INDEX('01_Benchmark_Input'!$L$2:$L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9">
        <f>INDEX('01_Benchmark_Input'!$B$2:$B$10,MATCH(B123,'01_Benchmark_Input'!$A$2:$A$10,0))</f>
        <v/>
      </c>
      <c r="J123" s="9">
        <f>INDEX('01_Benchmark_Input'!$C$2:$C$10,MATCH(B123,'01_Benchmark_Input'!$A$2:$A$10,0))</f>
        <v/>
      </c>
      <c r="K123" s="10">
        <f>IF(A123="Bear",INDEX('01_Benchmark_Input'!$K$2:$K$10,MATCH(B123,'01_Benchmark_Input'!$A$2:$A$10,0)),IF(A123="Bull",INDEX('01_Benchmark_Input'!$M$2:$M$10,MATCH(B123,'01_Benchmark_Input'!$A$2:$A$10,0)),INDEX('01_Benchmark_Input'!$L$2:$L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9">
        <f>INDEX('01_Benchmark_Input'!$B$2:$B$10,MATCH(B124,'01_Benchmark_Input'!$A$2:$A$10,0))</f>
        <v/>
      </c>
      <c r="J124" s="9">
        <f>INDEX('01_Benchmark_Input'!$C$2:$C$10,MATCH(B124,'01_Benchmark_Input'!$A$2:$A$10,0))</f>
        <v/>
      </c>
      <c r="K124" s="10">
        <f>IF(A124="Bear",INDEX('01_Benchmark_Input'!$K$2:$K$10,MATCH(B124,'01_Benchmark_Input'!$A$2:$A$10,0)),IF(A124="Bull",INDEX('01_Benchmark_Input'!$M$2:$M$10,MATCH(B124,'01_Benchmark_Input'!$A$2:$A$10,0)),INDEX('01_Benchmark_Input'!$L$2:$L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9">
        <f>INDEX('01_Benchmark_Input'!$B$2:$B$10,MATCH(B125,'01_Benchmark_Input'!$A$2:$A$10,0))</f>
        <v/>
      </c>
      <c r="J125" s="9">
        <f>INDEX('01_Benchmark_Input'!$C$2:$C$10,MATCH(B125,'01_Benchmark_Input'!$A$2:$A$10,0))</f>
        <v/>
      </c>
      <c r="K125" s="10">
        <f>IF(A125="Bear",INDEX('01_Benchmark_Input'!$K$2:$K$10,MATCH(B125,'01_Benchmark_Input'!$A$2:$A$10,0)),IF(A125="Bull",INDEX('01_Benchmark_Input'!$M$2:$M$10,MATCH(B125,'01_Benchmark_Input'!$A$2:$A$10,0)),INDEX('01_Benchmark_Input'!$L$2:$L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9">
        <f>INDEX('01_Benchmark_Input'!$B$2:$B$10,MATCH(B126,'01_Benchmark_Input'!$A$2:$A$10,0))</f>
        <v/>
      </c>
      <c r="J126" s="9">
        <f>INDEX('01_Benchmark_Input'!$C$2:$C$10,MATCH(B126,'01_Benchmark_Input'!$A$2:$A$10,0))</f>
        <v/>
      </c>
      <c r="K126" s="10">
        <f>IF(A126="Bear",INDEX('01_Benchmark_Input'!$K$2:$K$10,MATCH(B126,'01_Benchmark_Input'!$A$2:$A$10,0)),IF(A126="Bull",INDEX('01_Benchmark_Input'!$M$2:$M$10,MATCH(B126,'01_Benchmark_Input'!$A$2:$A$10,0)),INDEX('01_Benchmark_Input'!$L$2:$L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9">
        <f>INDEX('01_Benchmark_Input'!$B$2:$B$10,MATCH(B127,'01_Benchmark_Input'!$A$2:$A$10,0))</f>
        <v/>
      </c>
      <c r="J127" s="9">
        <f>INDEX('01_Benchmark_Input'!$C$2:$C$10,MATCH(B127,'01_Benchmark_Input'!$A$2:$A$10,0))</f>
        <v/>
      </c>
      <c r="K127" s="10">
        <f>IF(A127="Bear",INDEX('01_Benchmark_Input'!$K$2:$K$10,MATCH(B127,'01_Benchmark_Input'!$A$2:$A$10,0)),IF(A127="Bull",INDEX('01_Benchmark_Input'!$M$2:$M$10,MATCH(B127,'01_Benchmark_Input'!$A$2:$A$10,0)),INDEX('01_Benchmark_Input'!$L$2:$L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9">
        <f>INDEX('01_Benchmark_Input'!$B$2:$B$10,MATCH(B128,'01_Benchmark_Input'!$A$2:$A$10,0))</f>
        <v/>
      </c>
      <c r="J128" s="9">
        <f>INDEX('01_Benchmark_Input'!$C$2:$C$10,MATCH(B128,'01_Benchmark_Input'!$A$2:$A$10,0))</f>
        <v/>
      </c>
      <c r="K128" s="10">
        <f>IF(A128="Bear",INDEX('01_Benchmark_Input'!$K$2:$K$10,MATCH(B128,'01_Benchmark_Input'!$A$2:$A$10,0)),IF(A128="Bull",INDEX('01_Benchmark_Input'!$M$2:$M$10,MATCH(B128,'01_Benchmark_Input'!$A$2:$A$10,0)),INDEX('01_Benchmark_Input'!$L$2:$L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9">
        <f>INDEX('01_Benchmark_Input'!$B$2:$B$10,MATCH(B129,'01_Benchmark_Input'!$A$2:$A$10,0))</f>
        <v/>
      </c>
      <c r="J129" s="9">
        <f>INDEX('01_Benchmark_Input'!$C$2:$C$10,MATCH(B129,'01_Benchmark_Input'!$A$2:$A$10,0))</f>
        <v/>
      </c>
      <c r="K129" s="10">
        <f>IF(A129="Bear",INDEX('01_Benchmark_Input'!$K$2:$K$10,MATCH(B129,'01_Benchmark_Input'!$A$2:$A$10,0)),IF(A129="Bull",INDEX('01_Benchmark_Input'!$M$2:$M$10,MATCH(B129,'01_Benchmark_Input'!$A$2:$A$10,0)),INDEX('01_Benchmark_Input'!$L$2:$L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9">
        <f>INDEX('01_Benchmark_Input'!$B$2:$B$10,MATCH(B130,'01_Benchmark_Input'!$A$2:$A$10,0))</f>
        <v/>
      </c>
      <c r="J130" s="9">
        <f>INDEX('01_Benchmark_Input'!$C$2:$C$10,MATCH(B130,'01_Benchmark_Input'!$A$2:$A$10,0))</f>
        <v/>
      </c>
      <c r="K130" s="10">
        <f>IF(A130="Bear",INDEX('01_Benchmark_Input'!$K$2:$K$10,MATCH(B130,'01_Benchmark_Input'!$A$2:$A$10,0)),IF(A130="Bull",INDEX('01_Benchmark_Input'!$M$2:$M$10,MATCH(B130,'01_Benchmark_Input'!$A$2:$A$10,0)),INDEX('01_Benchmark_Input'!$L$2:$L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9">
        <f>INDEX('01_Benchmark_Input'!$B$2:$B$10,MATCH(B131,'01_Benchmark_Input'!$A$2:$A$10,0))</f>
        <v/>
      </c>
      <c r="J131" s="9">
        <f>INDEX('01_Benchmark_Input'!$C$2:$C$10,MATCH(B131,'01_Benchmark_Input'!$A$2:$A$10,0))</f>
        <v/>
      </c>
      <c r="K131" s="10">
        <f>IF(A131="Bear",INDEX('01_Benchmark_Input'!$K$2:$K$10,MATCH(B131,'01_Benchmark_Input'!$A$2:$A$10,0)),IF(A131="Bull",INDEX('01_Benchmark_Input'!$M$2:$M$10,MATCH(B131,'01_Benchmark_Input'!$A$2:$A$10,0)),INDEX('01_Benchmark_Input'!$L$2:$L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9">
        <f>INDEX('01_Benchmark_Input'!$B$2:$B$10,MATCH(B132,'01_Benchmark_Input'!$A$2:$A$10,0))</f>
        <v/>
      </c>
      <c r="J132" s="9">
        <f>INDEX('01_Benchmark_Input'!$C$2:$C$10,MATCH(B132,'01_Benchmark_Input'!$A$2:$A$10,0))</f>
        <v/>
      </c>
      <c r="K132" s="10">
        <f>IF(A132="Bear",INDEX('01_Benchmark_Input'!$K$2:$K$10,MATCH(B132,'01_Benchmark_Input'!$A$2:$A$10,0)),IF(A132="Bull",INDEX('01_Benchmark_Input'!$M$2:$M$10,MATCH(B132,'01_Benchmark_Input'!$A$2:$A$10,0)),INDEX('01_Benchmark_Input'!$L$2:$L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9">
        <f>INDEX('01_Benchmark_Input'!$B$2:$B$10,MATCH(B133,'01_Benchmark_Input'!$A$2:$A$10,0))</f>
        <v/>
      </c>
      <c r="J133" s="9">
        <f>INDEX('01_Benchmark_Input'!$C$2:$C$10,MATCH(B133,'01_Benchmark_Input'!$A$2:$A$10,0))</f>
        <v/>
      </c>
      <c r="K133" s="10">
        <f>IF(A133="Bear",INDEX('01_Benchmark_Input'!$K$2:$K$10,MATCH(B133,'01_Benchmark_Input'!$A$2:$A$10,0)),IF(A133="Bull",INDEX('01_Benchmark_Input'!$M$2:$M$10,MATCH(B133,'01_Benchmark_Input'!$A$2:$A$10,0)),INDEX('01_Benchmark_Input'!$L$2:$L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9">
        <f>INDEX('01_Benchmark_Input'!$B$2:$B$10,MATCH(B134,'01_Benchmark_Input'!$A$2:$A$10,0))</f>
        <v/>
      </c>
      <c r="J134" s="9">
        <f>INDEX('01_Benchmark_Input'!$C$2:$C$10,MATCH(B134,'01_Benchmark_Input'!$A$2:$A$10,0))</f>
        <v/>
      </c>
      <c r="K134" s="10">
        <f>IF(A134="Bear",INDEX('01_Benchmark_Input'!$K$2:$K$10,MATCH(B134,'01_Benchmark_Input'!$A$2:$A$10,0)),IF(A134="Bull",INDEX('01_Benchmark_Input'!$M$2:$M$10,MATCH(B134,'01_Benchmark_Input'!$A$2:$A$10,0)),INDEX('01_Benchmark_Input'!$L$2:$L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9">
        <f>INDEX('01_Benchmark_Input'!$B$2:$B$10,MATCH(B135,'01_Benchmark_Input'!$A$2:$A$10,0))</f>
        <v/>
      </c>
      <c r="J135" s="9">
        <f>INDEX('01_Benchmark_Input'!$C$2:$C$10,MATCH(B135,'01_Benchmark_Input'!$A$2:$A$10,0))</f>
        <v/>
      </c>
      <c r="K135" s="10">
        <f>IF(A135="Bear",INDEX('01_Benchmark_Input'!$K$2:$K$10,MATCH(B135,'01_Benchmark_Input'!$A$2:$A$10,0)),IF(A135="Bull",INDEX('01_Benchmark_Input'!$M$2:$M$10,MATCH(B135,'01_Benchmark_Input'!$A$2:$A$10,0)),INDEX('01_Benchmark_Input'!$L$2:$L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9">
        <f>INDEX('01_Benchmark_Input'!$B$2:$B$10,MATCH(B136,'01_Benchmark_Input'!$A$2:$A$10,0))</f>
        <v/>
      </c>
      <c r="J136" s="9">
        <f>INDEX('01_Benchmark_Input'!$C$2:$C$10,MATCH(B136,'01_Benchmark_Input'!$A$2:$A$10,0))</f>
        <v/>
      </c>
      <c r="K136" s="10">
        <f>IF(A136="Bear",INDEX('01_Benchmark_Input'!$K$2:$K$10,MATCH(B136,'01_Benchmark_Input'!$A$2:$A$10,0)),IF(A136="Bull",INDEX('01_Benchmark_Input'!$M$2:$M$10,MATCH(B136,'01_Benchmark_Input'!$A$2:$A$10,0)),INDEX('01_Benchmark_Input'!$L$2:$L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9">
        <f>INDEX('01_Benchmark_Input'!$B$2:$B$10,MATCH(B137,'01_Benchmark_Input'!$A$2:$A$10,0))</f>
        <v/>
      </c>
      <c r="J137" s="9">
        <f>INDEX('01_Benchmark_Input'!$C$2:$C$10,MATCH(B137,'01_Benchmark_Input'!$A$2:$A$10,0))</f>
        <v/>
      </c>
      <c r="K137" s="10">
        <f>IF(A137="Bear",INDEX('01_Benchmark_Input'!$K$2:$K$10,MATCH(B137,'01_Benchmark_Input'!$A$2:$A$10,0)),IF(A137="Bull",INDEX('01_Benchmark_Input'!$M$2:$M$10,MATCH(B137,'01_Benchmark_Input'!$A$2:$A$10,0)),INDEX('01_Benchmark_Input'!$L$2:$L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9">
        <f>INDEX('01_Benchmark_Input'!$B$2:$B$10,MATCH(B138,'01_Benchmark_Input'!$A$2:$A$10,0))</f>
        <v/>
      </c>
      <c r="J138" s="9">
        <f>INDEX('01_Benchmark_Input'!$C$2:$C$10,MATCH(B138,'01_Benchmark_Input'!$A$2:$A$10,0))</f>
        <v/>
      </c>
      <c r="K138" s="10">
        <f>IF(A138="Bear",INDEX('01_Benchmark_Input'!$K$2:$K$10,MATCH(B138,'01_Benchmark_Input'!$A$2:$A$10,0)),IF(A138="Bull",INDEX('01_Benchmark_Input'!$M$2:$M$10,MATCH(B138,'01_Benchmark_Input'!$A$2:$A$10,0)),INDEX('01_Benchmark_Input'!$L$2:$L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9">
        <f>INDEX('01_Benchmark_Input'!$B$2:$B$10,MATCH(B139,'01_Benchmark_Input'!$A$2:$A$10,0))</f>
        <v/>
      </c>
      <c r="J139" s="9">
        <f>INDEX('01_Benchmark_Input'!$C$2:$C$10,MATCH(B139,'01_Benchmark_Input'!$A$2:$A$10,0))</f>
        <v/>
      </c>
      <c r="K139" s="10">
        <f>IF(A139="Bear",INDEX('01_Benchmark_Input'!$K$2:$K$10,MATCH(B139,'01_Benchmark_Input'!$A$2:$A$10,0)),IF(A139="Bull",INDEX('01_Benchmark_Input'!$M$2:$M$10,MATCH(B139,'01_Benchmark_Input'!$A$2:$A$10,0)),INDEX('01_Benchmark_Input'!$L$2:$L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9">
        <f>INDEX('01_Benchmark_Input'!$B$2:$B$10,MATCH(B140,'01_Benchmark_Input'!$A$2:$A$10,0))</f>
        <v/>
      </c>
      <c r="J140" s="9">
        <f>INDEX('01_Benchmark_Input'!$C$2:$C$10,MATCH(B140,'01_Benchmark_Input'!$A$2:$A$10,0))</f>
        <v/>
      </c>
      <c r="K140" s="10">
        <f>IF(A140="Bear",INDEX('01_Benchmark_Input'!$K$2:$K$10,MATCH(B140,'01_Benchmark_Input'!$A$2:$A$10,0)),IF(A140="Bull",INDEX('01_Benchmark_Input'!$M$2:$M$10,MATCH(B140,'01_Benchmark_Input'!$A$2:$A$10,0)),INDEX('01_Benchmark_Input'!$L$2:$L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9">
        <f>INDEX('01_Benchmark_Input'!$B$2:$B$10,MATCH(B141,'01_Benchmark_Input'!$A$2:$A$10,0))</f>
        <v/>
      </c>
      <c r="J141" s="9">
        <f>INDEX('01_Benchmark_Input'!$C$2:$C$10,MATCH(B141,'01_Benchmark_Input'!$A$2:$A$10,0))</f>
        <v/>
      </c>
      <c r="K141" s="10">
        <f>IF(A141="Bear",INDEX('01_Benchmark_Input'!$K$2:$K$10,MATCH(B141,'01_Benchmark_Input'!$A$2:$A$10,0)),IF(A141="Bull",INDEX('01_Benchmark_Input'!$M$2:$M$10,MATCH(B141,'01_Benchmark_Input'!$A$2:$A$10,0)),INDEX('01_Benchmark_Input'!$L$2:$L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9">
        <f>INDEX('01_Benchmark_Input'!$B$2:$B$10,MATCH(B142,'01_Benchmark_Input'!$A$2:$A$10,0))</f>
        <v/>
      </c>
      <c r="J142" s="9">
        <f>INDEX('01_Benchmark_Input'!$C$2:$C$10,MATCH(B142,'01_Benchmark_Input'!$A$2:$A$10,0))</f>
        <v/>
      </c>
      <c r="K142" s="10">
        <f>IF(A142="Bear",INDEX('01_Benchmark_Input'!$K$2:$K$10,MATCH(B142,'01_Benchmark_Input'!$A$2:$A$10,0)),IF(A142="Bull",INDEX('01_Benchmark_Input'!$M$2:$M$10,MATCH(B142,'01_Benchmark_Input'!$A$2:$A$10,0)),INDEX('01_Benchmark_Input'!$L$2:$L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9">
        <f>INDEX('01_Benchmark_Input'!$B$2:$B$10,MATCH(B143,'01_Benchmark_Input'!$A$2:$A$10,0))</f>
        <v/>
      </c>
      <c r="J143" s="9">
        <f>INDEX('01_Benchmark_Input'!$C$2:$C$10,MATCH(B143,'01_Benchmark_Input'!$A$2:$A$10,0))</f>
        <v/>
      </c>
      <c r="K143" s="10">
        <f>IF(A143="Bear",INDEX('01_Benchmark_Input'!$K$2:$K$10,MATCH(B143,'01_Benchmark_Input'!$A$2:$A$10,0)),IF(A143="Bull",INDEX('01_Benchmark_Input'!$M$2:$M$10,MATCH(B143,'01_Benchmark_Input'!$A$2:$A$10,0)),INDEX('01_Benchmark_Input'!$L$2:$L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9">
        <f>INDEX('01_Benchmark_Input'!$B$2:$B$10,MATCH(B144,'01_Benchmark_Input'!$A$2:$A$10,0))</f>
        <v/>
      </c>
      <c r="J144" s="9">
        <f>INDEX('01_Benchmark_Input'!$C$2:$C$10,MATCH(B144,'01_Benchmark_Input'!$A$2:$A$10,0))</f>
        <v/>
      </c>
      <c r="K144" s="10">
        <f>IF(A144="Bear",INDEX('01_Benchmark_Input'!$K$2:$K$10,MATCH(B144,'01_Benchmark_Input'!$A$2:$A$10,0)),IF(A144="Bull",INDEX('01_Benchmark_Input'!$M$2:$M$10,MATCH(B144,'01_Benchmark_Input'!$A$2:$A$10,0)),INDEX('01_Benchmark_Input'!$L$2:$L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9">
        <f>INDEX('01_Benchmark_Input'!$B$2:$B$10,MATCH(B145,'01_Benchmark_Input'!$A$2:$A$10,0))</f>
        <v/>
      </c>
      <c r="J145" s="9">
        <f>INDEX('01_Benchmark_Input'!$C$2:$C$10,MATCH(B145,'01_Benchmark_Input'!$A$2:$A$10,0))</f>
        <v/>
      </c>
      <c r="K145" s="10">
        <f>IF(A145="Bear",INDEX('01_Benchmark_Input'!$K$2:$K$10,MATCH(B145,'01_Benchmark_Input'!$A$2:$A$10,0)),IF(A145="Bull",INDEX('01_Benchmark_Input'!$M$2:$M$10,MATCH(B145,'01_Benchmark_Input'!$A$2:$A$10,0)),INDEX('01_Benchmark_Input'!$L$2:$L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9">
        <f>INDEX('01_Benchmark_Input'!$B$2:$B$10,MATCH(B146,'01_Benchmark_Input'!$A$2:$A$10,0))</f>
        <v/>
      </c>
      <c r="J146" s="9">
        <f>INDEX('01_Benchmark_Input'!$C$2:$C$10,MATCH(B146,'01_Benchmark_Input'!$A$2:$A$10,0))</f>
        <v/>
      </c>
      <c r="K146" s="10">
        <f>IF(A146="Bear",INDEX('01_Benchmark_Input'!$K$2:$K$10,MATCH(B146,'01_Benchmark_Input'!$A$2:$A$10,0)),IF(A146="Bull",INDEX('01_Benchmark_Input'!$M$2:$M$10,MATCH(B146,'01_Benchmark_Input'!$A$2:$A$10,0)),INDEX('01_Benchmark_Input'!$L$2:$L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9">
        <f>INDEX('01_Benchmark_Input'!$B$2:$B$10,MATCH(B147,'01_Benchmark_Input'!$A$2:$A$10,0))</f>
        <v/>
      </c>
      <c r="J147" s="9">
        <f>INDEX('01_Benchmark_Input'!$C$2:$C$10,MATCH(B147,'01_Benchmark_Input'!$A$2:$A$10,0))</f>
        <v/>
      </c>
      <c r="K147" s="10">
        <f>IF(A147="Bear",INDEX('01_Benchmark_Input'!$K$2:$K$10,MATCH(B147,'01_Benchmark_Input'!$A$2:$A$10,0)),IF(A147="Bull",INDEX('01_Benchmark_Input'!$M$2:$M$10,MATCH(B147,'01_Benchmark_Input'!$A$2:$A$10,0)),INDEX('01_Benchmark_Input'!$L$2:$L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9">
        <f>INDEX('01_Benchmark_Input'!$B$2:$B$10,MATCH(B148,'01_Benchmark_Input'!$A$2:$A$10,0))</f>
        <v/>
      </c>
      <c r="J148" s="9">
        <f>INDEX('01_Benchmark_Input'!$C$2:$C$10,MATCH(B148,'01_Benchmark_Input'!$A$2:$A$10,0))</f>
        <v/>
      </c>
      <c r="K148" s="10">
        <f>IF(A148="Bear",INDEX('01_Benchmark_Input'!$K$2:$K$10,MATCH(B148,'01_Benchmark_Input'!$A$2:$A$10,0)),IF(A148="Bull",INDEX('01_Benchmark_Input'!$M$2:$M$10,MATCH(B148,'01_Benchmark_Input'!$A$2:$A$10,0)),INDEX('01_Benchmark_Input'!$L$2:$L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9">
        <f>INDEX('01_Benchmark_Input'!$B$2:$B$10,MATCH(B149,'01_Benchmark_Input'!$A$2:$A$10,0))</f>
        <v/>
      </c>
      <c r="J149" s="9">
        <f>INDEX('01_Benchmark_Input'!$C$2:$C$10,MATCH(B149,'01_Benchmark_Input'!$A$2:$A$10,0))</f>
        <v/>
      </c>
      <c r="K149" s="10">
        <f>IF(A149="Bear",INDEX('01_Benchmark_Input'!$K$2:$K$10,MATCH(B149,'01_Benchmark_Input'!$A$2:$A$10,0)),IF(A149="Bull",INDEX('01_Benchmark_Input'!$M$2:$M$10,MATCH(B149,'01_Benchmark_Input'!$A$2:$A$10,0)),INDEX('01_Benchmark_Input'!$L$2:$L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9">
        <f>INDEX('01_Benchmark_Input'!$B$2:$B$10,MATCH(B150,'01_Benchmark_Input'!$A$2:$A$10,0))</f>
        <v/>
      </c>
      <c r="J150" s="9">
        <f>INDEX('01_Benchmark_Input'!$C$2:$C$10,MATCH(B150,'01_Benchmark_Input'!$A$2:$A$10,0))</f>
        <v/>
      </c>
      <c r="K150" s="10">
        <f>IF(A150="Bear",INDEX('01_Benchmark_Input'!$K$2:$K$10,MATCH(B150,'01_Benchmark_Input'!$A$2:$A$10,0)),IF(A150="Bull",INDEX('01_Benchmark_Input'!$M$2:$M$10,MATCH(B150,'01_Benchmark_Input'!$A$2:$A$10,0)),INDEX('01_Benchmark_Input'!$L$2:$L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9">
        <f>INDEX('01_Benchmark_Input'!$B$2:$B$10,MATCH(B151,'01_Benchmark_Input'!$A$2:$A$10,0))</f>
        <v/>
      </c>
      <c r="J151" s="9">
        <f>INDEX('01_Benchmark_Input'!$C$2:$C$10,MATCH(B151,'01_Benchmark_Input'!$A$2:$A$10,0))</f>
        <v/>
      </c>
      <c r="K151" s="10">
        <f>IF(A151="Bear",INDEX('01_Benchmark_Input'!$K$2:$K$10,MATCH(B151,'01_Benchmark_Input'!$A$2:$A$10,0)),IF(A151="Bull",INDEX('01_Benchmark_Input'!$M$2:$M$10,MATCH(B151,'01_Benchmark_Input'!$A$2:$A$10,0)),INDEX('01_Benchmark_Input'!$L$2:$L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9">
        <f>INDEX('01_Benchmark_Input'!$B$2:$B$10,MATCH(B152,'01_Benchmark_Input'!$A$2:$A$10,0))</f>
        <v/>
      </c>
      <c r="J152" s="9">
        <f>INDEX('01_Benchmark_Input'!$C$2:$C$10,MATCH(B152,'01_Benchmark_Input'!$A$2:$A$10,0))</f>
        <v/>
      </c>
      <c r="K152" s="10">
        <f>IF(A152="Bear",INDEX('01_Benchmark_Input'!$K$2:$K$10,MATCH(B152,'01_Benchmark_Input'!$A$2:$A$10,0)),IF(A152="Bull",INDEX('01_Benchmark_Input'!$M$2:$M$10,MATCH(B152,'01_Benchmark_Input'!$A$2:$A$10,0)),INDEX('01_Benchmark_Input'!$L$2:$L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9">
        <f>INDEX('01_Benchmark_Input'!$B$2:$B$10,MATCH(B153,'01_Benchmark_Input'!$A$2:$A$10,0))</f>
        <v/>
      </c>
      <c r="J153" s="9">
        <f>INDEX('01_Benchmark_Input'!$C$2:$C$10,MATCH(B153,'01_Benchmark_Input'!$A$2:$A$10,0))</f>
        <v/>
      </c>
      <c r="K153" s="10">
        <f>IF(A153="Bear",INDEX('01_Benchmark_Input'!$K$2:$K$10,MATCH(B153,'01_Benchmark_Input'!$A$2:$A$10,0)),IF(A153="Bull",INDEX('01_Benchmark_Input'!$M$2:$M$10,MATCH(B153,'01_Benchmark_Input'!$A$2:$A$10,0)),INDEX('01_Benchmark_Input'!$L$2:$L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9">
        <f>INDEX('01_Benchmark_Input'!$B$2:$B$10,MATCH(B154,'01_Benchmark_Input'!$A$2:$A$10,0))</f>
        <v/>
      </c>
      <c r="J154" s="9">
        <f>INDEX('01_Benchmark_Input'!$C$2:$C$10,MATCH(B154,'01_Benchmark_Input'!$A$2:$A$10,0))</f>
        <v/>
      </c>
      <c r="K154" s="10">
        <f>IF(A154="Bear",INDEX('01_Benchmark_Input'!$K$2:$K$10,MATCH(B154,'01_Benchmark_Input'!$A$2:$A$10,0)),IF(A154="Bull",INDEX('01_Benchmark_Input'!$M$2:$M$10,MATCH(B154,'01_Benchmark_Input'!$A$2:$A$10,0)),INDEX('01_Benchmark_Input'!$L$2:$L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9">
        <f>INDEX('01_Benchmark_Input'!$B$2:$B$10,MATCH(B155,'01_Benchmark_Input'!$A$2:$A$10,0))</f>
        <v/>
      </c>
      <c r="J155" s="9">
        <f>INDEX('01_Benchmark_Input'!$C$2:$C$10,MATCH(B155,'01_Benchmark_Input'!$A$2:$A$10,0))</f>
        <v/>
      </c>
      <c r="K155" s="10">
        <f>IF(A155="Bear",INDEX('01_Benchmark_Input'!$K$2:$K$10,MATCH(B155,'01_Benchmark_Input'!$A$2:$A$10,0)),IF(A155="Bull",INDEX('01_Benchmark_Input'!$M$2:$M$10,MATCH(B155,'01_Benchmark_Input'!$A$2:$A$10,0)),INDEX('01_Benchmark_Input'!$L$2:$L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9">
        <f>INDEX('01_Benchmark_Input'!$B$2:$B$10,MATCH(B156,'01_Benchmark_Input'!$A$2:$A$10,0))</f>
        <v/>
      </c>
      <c r="J156" s="9">
        <f>INDEX('01_Benchmark_Input'!$C$2:$C$10,MATCH(B156,'01_Benchmark_Input'!$A$2:$A$10,0))</f>
        <v/>
      </c>
      <c r="K156" s="10">
        <f>IF(A156="Bear",INDEX('01_Benchmark_Input'!$K$2:$K$10,MATCH(B156,'01_Benchmark_Input'!$A$2:$A$10,0)),IF(A156="Bull",INDEX('01_Benchmark_Input'!$M$2:$M$10,MATCH(B156,'01_Benchmark_Input'!$A$2:$A$10,0)),INDEX('01_Benchmark_Input'!$L$2:$L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9">
        <f>INDEX('01_Benchmark_Input'!$B$2:$B$10,MATCH(B157,'01_Benchmark_Input'!$A$2:$A$10,0))</f>
        <v/>
      </c>
      <c r="J157" s="9">
        <f>INDEX('01_Benchmark_Input'!$C$2:$C$10,MATCH(B157,'01_Benchmark_Input'!$A$2:$A$10,0))</f>
        <v/>
      </c>
      <c r="K157" s="10">
        <f>IF(A157="Bear",INDEX('01_Benchmark_Input'!$K$2:$K$10,MATCH(B157,'01_Benchmark_Input'!$A$2:$A$10,0)),IF(A157="Bull",INDEX('01_Benchmark_Input'!$M$2:$M$10,MATCH(B157,'01_Benchmark_Input'!$A$2:$A$10,0)),INDEX('01_Benchmark_Input'!$L$2:$L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9">
        <f>INDEX('01_Benchmark_Input'!$B$2:$B$10,MATCH(B158,'01_Benchmark_Input'!$A$2:$A$10,0))</f>
        <v/>
      </c>
      <c r="J158" s="9">
        <f>INDEX('01_Benchmark_Input'!$C$2:$C$10,MATCH(B158,'01_Benchmark_Input'!$A$2:$A$10,0))</f>
        <v/>
      </c>
      <c r="K158" s="10">
        <f>IF(A158="Bear",INDEX('01_Benchmark_Input'!$K$2:$K$10,MATCH(B158,'01_Benchmark_Input'!$A$2:$A$10,0)),IF(A158="Bull",INDEX('01_Benchmark_Input'!$M$2:$M$10,MATCH(B158,'01_Benchmark_Input'!$A$2:$A$10,0)),INDEX('01_Benchmark_Input'!$L$2:$L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9">
        <f>INDEX('01_Benchmark_Input'!$B$2:$B$10,MATCH(B159,'01_Benchmark_Input'!$A$2:$A$10,0))</f>
        <v/>
      </c>
      <c r="J159" s="9">
        <f>INDEX('01_Benchmark_Input'!$C$2:$C$10,MATCH(B159,'01_Benchmark_Input'!$A$2:$A$10,0))</f>
        <v/>
      </c>
      <c r="K159" s="10">
        <f>IF(A159="Bear",INDEX('01_Benchmark_Input'!$K$2:$K$10,MATCH(B159,'01_Benchmark_Input'!$A$2:$A$10,0)),IF(A159="Bull",INDEX('01_Benchmark_Input'!$M$2:$M$10,MATCH(B159,'01_Benchmark_Input'!$A$2:$A$10,0)),INDEX('01_Benchmark_Input'!$L$2:$L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9">
        <f>INDEX('01_Benchmark_Input'!$B$2:$B$10,MATCH(B160,'01_Benchmark_Input'!$A$2:$A$10,0))</f>
        <v/>
      </c>
      <c r="J160" s="9">
        <f>INDEX('01_Benchmark_Input'!$C$2:$C$10,MATCH(B160,'01_Benchmark_Input'!$A$2:$A$10,0))</f>
        <v/>
      </c>
      <c r="K160" s="10">
        <f>IF(A160="Bear",INDEX('01_Benchmark_Input'!$K$2:$K$10,MATCH(B160,'01_Benchmark_Input'!$A$2:$A$10,0)),IF(A160="Bull",INDEX('01_Benchmark_Input'!$M$2:$M$10,MATCH(B160,'01_Benchmark_Input'!$A$2:$A$10,0)),INDEX('01_Benchmark_Input'!$L$2:$L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9">
        <f>INDEX('01_Benchmark_Input'!$B$2:$B$10,MATCH(B161,'01_Benchmark_Input'!$A$2:$A$10,0))</f>
        <v/>
      </c>
      <c r="J161" s="9">
        <f>INDEX('01_Benchmark_Input'!$C$2:$C$10,MATCH(B161,'01_Benchmark_Input'!$A$2:$A$10,0))</f>
        <v/>
      </c>
      <c r="K161" s="10">
        <f>IF(A161="Bear",INDEX('01_Benchmark_Input'!$K$2:$K$10,MATCH(B161,'01_Benchmark_Input'!$A$2:$A$10,0)),IF(A161="Bull",INDEX('01_Benchmark_Input'!$M$2:$M$10,MATCH(B161,'01_Benchmark_Input'!$A$2:$A$10,0)),INDEX('01_Benchmark_Input'!$L$2:$L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9">
        <f>INDEX('01_Benchmark_Input'!$B$2:$B$10,MATCH(B162,'01_Benchmark_Input'!$A$2:$A$10,0))</f>
        <v/>
      </c>
      <c r="J162" s="9">
        <f>INDEX('01_Benchmark_Input'!$C$2:$C$10,MATCH(B162,'01_Benchmark_Input'!$A$2:$A$10,0))</f>
        <v/>
      </c>
      <c r="K162" s="10">
        <f>IF(A162="Bear",INDEX('01_Benchmark_Input'!$K$2:$K$10,MATCH(B162,'01_Benchmark_Input'!$A$2:$A$10,0)),IF(A162="Bull",INDEX('01_Benchmark_Input'!$M$2:$M$10,MATCH(B162,'01_Benchmark_Input'!$A$2:$A$10,0)),INDEX('01_Benchmark_Input'!$L$2:$L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9">
        <f>INDEX('01_Benchmark_Input'!$B$2:$B$10,MATCH(B163,'01_Benchmark_Input'!$A$2:$A$10,0))</f>
        <v/>
      </c>
      <c r="J163" s="9">
        <f>INDEX('01_Benchmark_Input'!$C$2:$C$10,MATCH(B163,'01_Benchmark_Input'!$A$2:$A$10,0))</f>
        <v/>
      </c>
      <c r="K163" s="10">
        <f>IF(A163="Bear",INDEX('01_Benchmark_Input'!$K$2:$K$10,MATCH(B163,'01_Benchmark_Input'!$A$2:$A$10,0)),IF(A163="Bull",INDEX('01_Benchmark_Input'!$M$2:$M$10,MATCH(B163,'01_Benchmark_Input'!$A$2:$A$10,0)),INDEX('01_Benchmark_Input'!$L$2:$L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9">
        <f>INDEX('01_Benchmark_Input'!$B$2:$B$10,MATCH(B164,'01_Benchmark_Input'!$A$2:$A$10,0))</f>
        <v/>
      </c>
      <c r="J164" s="9">
        <f>INDEX('01_Benchmark_Input'!$C$2:$C$10,MATCH(B164,'01_Benchmark_Input'!$A$2:$A$10,0))</f>
        <v/>
      </c>
      <c r="K164" s="10">
        <f>IF(A164="Bear",INDEX('01_Benchmark_Input'!$K$2:$K$10,MATCH(B164,'01_Benchmark_Input'!$A$2:$A$10,0)),IF(A164="Bull",INDEX('01_Benchmark_Input'!$M$2:$M$10,MATCH(B164,'01_Benchmark_Input'!$A$2:$A$10,0)),INDEX('01_Benchmark_Input'!$L$2:$L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9">
        <f>INDEX('01_Benchmark_Input'!$B$2:$B$10,MATCH(B165,'01_Benchmark_Input'!$A$2:$A$10,0))</f>
        <v/>
      </c>
      <c r="J165" s="9">
        <f>INDEX('01_Benchmark_Input'!$C$2:$C$10,MATCH(B165,'01_Benchmark_Input'!$A$2:$A$10,0))</f>
        <v/>
      </c>
      <c r="K165" s="10">
        <f>IF(A165="Bear",INDEX('01_Benchmark_Input'!$K$2:$K$10,MATCH(B165,'01_Benchmark_Input'!$A$2:$A$10,0)),IF(A165="Bull",INDEX('01_Benchmark_Input'!$M$2:$M$10,MATCH(B165,'01_Benchmark_Input'!$A$2:$A$10,0)),INDEX('01_Benchmark_Input'!$L$2:$L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9">
        <f>INDEX('01_Benchmark_Input'!$B$2:$B$10,MATCH(B166,'01_Benchmark_Input'!$A$2:$A$10,0))</f>
        <v/>
      </c>
      <c r="J166" s="9">
        <f>INDEX('01_Benchmark_Input'!$C$2:$C$10,MATCH(B166,'01_Benchmark_Input'!$A$2:$A$10,0))</f>
        <v/>
      </c>
      <c r="K166" s="10">
        <f>IF(A166="Bear",INDEX('01_Benchmark_Input'!$K$2:$K$10,MATCH(B166,'01_Benchmark_Input'!$A$2:$A$10,0)),IF(A166="Bull",INDEX('01_Benchmark_Input'!$M$2:$M$10,MATCH(B166,'01_Benchmark_Input'!$A$2:$A$10,0)),INDEX('01_Benchmark_Input'!$L$2:$L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9">
        <f>INDEX('01_Benchmark_Input'!$B$2:$B$10,MATCH(B167,'01_Benchmark_Input'!$A$2:$A$10,0))</f>
        <v/>
      </c>
      <c r="J167" s="9">
        <f>INDEX('01_Benchmark_Input'!$C$2:$C$10,MATCH(B167,'01_Benchmark_Input'!$A$2:$A$10,0))</f>
        <v/>
      </c>
      <c r="K167" s="10">
        <f>IF(A167="Bear",INDEX('01_Benchmark_Input'!$K$2:$K$10,MATCH(B167,'01_Benchmark_Input'!$A$2:$A$10,0)),IF(A167="Bull",INDEX('01_Benchmark_Input'!$M$2:$M$10,MATCH(B167,'01_Benchmark_Input'!$A$2:$A$10,0)),INDEX('01_Benchmark_Input'!$L$2:$L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9">
        <f>INDEX('01_Benchmark_Input'!$B$2:$B$10,MATCH(B168,'01_Benchmark_Input'!$A$2:$A$10,0))</f>
        <v/>
      </c>
      <c r="J168" s="9">
        <f>INDEX('01_Benchmark_Input'!$C$2:$C$10,MATCH(B168,'01_Benchmark_Input'!$A$2:$A$10,0))</f>
        <v/>
      </c>
      <c r="K168" s="10">
        <f>IF(A168="Bear",INDEX('01_Benchmark_Input'!$K$2:$K$10,MATCH(B168,'01_Benchmark_Input'!$A$2:$A$10,0)),IF(A168="Bull",INDEX('01_Benchmark_Input'!$M$2:$M$10,MATCH(B168,'01_Benchmark_Input'!$A$2:$A$10,0)),INDEX('01_Benchmark_Input'!$L$2:$L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9">
        <f>INDEX('01_Benchmark_Input'!$B$2:$B$10,MATCH(B169,'01_Benchmark_Input'!$A$2:$A$10,0))</f>
        <v/>
      </c>
      <c r="J169" s="9">
        <f>INDEX('01_Benchmark_Input'!$C$2:$C$10,MATCH(B169,'01_Benchmark_Input'!$A$2:$A$10,0))</f>
        <v/>
      </c>
      <c r="K169" s="10">
        <f>IF(A169="Bear",INDEX('01_Benchmark_Input'!$K$2:$K$10,MATCH(B169,'01_Benchmark_Input'!$A$2:$A$10,0)),IF(A169="Bull",INDEX('01_Benchmark_Input'!$M$2:$M$10,MATCH(B169,'01_Benchmark_Input'!$A$2:$A$10,0)),INDEX('01_Benchmark_Input'!$L$2:$L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9">
        <f>INDEX('01_Benchmark_Input'!$B$2:$B$10,MATCH(B170,'01_Benchmark_Input'!$A$2:$A$10,0))</f>
        <v/>
      </c>
      <c r="J170" s="9">
        <f>INDEX('01_Benchmark_Input'!$C$2:$C$10,MATCH(B170,'01_Benchmark_Input'!$A$2:$A$10,0))</f>
        <v/>
      </c>
      <c r="K170" s="10">
        <f>IF(A170="Bear",INDEX('01_Benchmark_Input'!$K$2:$K$10,MATCH(B170,'01_Benchmark_Input'!$A$2:$A$10,0)),IF(A170="Bull",INDEX('01_Benchmark_Input'!$M$2:$M$10,MATCH(B170,'01_Benchmark_Input'!$A$2:$A$10,0)),INDEX('01_Benchmark_Input'!$L$2:$L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9">
        <f>INDEX('01_Benchmark_Input'!$B$2:$B$10,MATCH(B171,'01_Benchmark_Input'!$A$2:$A$10,0))</f>
        <v/>
      </c>
      <c r="J171" s="9">
        <f>INDEX('01_Benchmark_Input'!$C$2:$C$10,MATCH(B171,'01_Benchmark_Input'!$A$2:$A$10,0))</f>
        <v/>
      </c>
      <c r="K171" s="10">
        <f>IF(A171="Bear",INDEX('01_Benchmark_Input'!$K$2:$K$10,MATCH(B171,'01_Benchmark_Input'!$A$2:$A$10,0)),IF(A171="Bull",INDEX('01_Benchmark_Input'!$M$2:$M$10,MATCH(B171,'01_Benchmark_Input'!$A$2:$A$10,0)),INDEX('01_Benchmark_Input'!$L$2:$L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9">
        <f>INDEX('01_Benchmark_Input'!$B$2:$B$10,MATCH(B172,'01_Benchmark_Input'!$A$2:$A$10,0))</f>
        <v/>
      </c>
      <c r="J172" s="9">
        <f>INDEX('01_Benchmark_Input'!$C$2:$C$10,MATCH(B172,'01_Benchmark_Input'!$A$2:$A$10,0))</f>
        <v/>
      </c>
      <c r="K172" s="10">
        <f>IF(A172="Bear",INDEX('01_Benchmark_Input'!$K$2:$K$10,MATCH(B172,'01_Benchmark_Input'!$A$2:$A$10,0)),IF(A172="Bull",INDEX('01_Benchmark_Input'!$M$2:$M$10,MATCH(B172,'01_Benchmark_Input'!$A$2:$A$10,0)),INDEX('01_Benchmark_Input'!$L$2:$L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9">
        <f>INDEX('01_Benchmark_Input'!$B$2:$B$10,MATCH(B173,'01_Benchmark_Input'!$A$2:$A$10,0))</f>
        <v/>
      </c>
      <c r="J173" s="9">
        <f>INDEX('01_Benchmark_Input'!$C$2:$C$10,MATCH(B173,'01_Benchmark_Input'!$A$2:$A$10,0))</f>
        <v/>
      </c>
      <c r="K173" s="10">
        <f>IF(A173="Bear",INDEX('01_Benchmark_Input'!$K$2:$K$10,MATCH(B173,'01_Benchmark_Input'!$A$2:$A$10,0)),IF(A173="Bull",INDEX('01_Benchmark_Input'!$M$2:$M$10,MATCH(B173,'01_Benchmark_Input'!$A$2:$A$10,0)),INDEX('01_Benchmark_Input'!$L$2:$L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9">
        <f>INDEX('01_Benchmark_Input'!$B$2:$B$10,MATCH(B174,'01_Benchmark_Input'!$A$2:$A$10,0))</f>
        <v/>
      </c>
      <c r="J174" s="9">
        <f>INDEX('01_Benchmark_Input'!$C$2:$C$10,MATCH(B174,'01_Benchmark_Input'!$A$2:$A$10,0))</f>
        <v/>
      </c>
      <c r="K174" s="10">
        <f>IF(A174="Bear",INDEX('01_Benchmark_Input'!$K$2:$K$10,MATCH(B174,'01_Benchmark_Input'!$A$2:$A$10,0)),IF(A174="Bull",INDEX('01_Benchmark_Input'!$M$2:$M$10,MATCH(B174,'01_Benchmark_Input'!$A$2:$A$10,0)),INDEX('01_Benchmark_Input'!$L$2:$L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9">
        <f>INDEX('01_Benchmark_Input'!$B$2:$B$10,MATCH(B175,'01_Benchmark_Input'!$A$2:$A$10,0))</f>
        <v/>
      </c>
      <c r="J175" s="9">
        <f>INDEX('01_Benchmark_Input'!$C$2:$C$10,MATCH(B175,'01_Benchmark_Input'!$A$2:$A$10,0))</f>
        <v/>
      </c>
      <c r="K175" s="10">
        <f>IF(A175="Bear",INDEX('01_Benchmark_Input'!$K$2:$K$10,MATCH(B175,'01_Benchmark_Input'!$A$2:$A$10,0)),IF(A175="Bull",INDEX('01_Benchmark_Input'!$M$2:$M$10,MATCH(B175,'01_Benchmark_Input'!$A$2:$A$10,0)),INDEX('01_Benchmark_Input'!$L$2:$L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9">
        <f>INDEX('01_Benchmark_Input'!$B$2:$B$10,MATCH(B176,'01_Benchmark_Input'!$A$2:$A$10,0))</f>
        <v/>
      </c>
      <c r="J176" s="9">
        <f>INDEX('01_Benchmark_Input'!$C$2:$C$10,MATCH(B176,'01_Benchmark_Input'!$A$2:$A$10,0))</f>
        <v/>
      </c>
      <c r="K176" s="10">
        <f>IF(A176="Bear",INDEX('01_Benchmark_Input'!$K$2:$K$10,MATCH(B176,'01_Benchmark_Input'!$A$2:$A$10,0)),IF(A176="Bull",INDEX('01_Benchmark_Input'!$M$2:$M$10,MATCH(B176,'01_Benchmark_Input'!$A$2:$A$10,0)),INDEX('01_Benchmark_Input'!$L$2:$L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9">
        <f>INDEX('01_Benchmark_Input'!$B$2:$B$10,MATCH(B177,'01_Benchmark_Input'!$A$2:$A$10,0))</f>
        <v/>
      </c>
      <c r="J177" s="9">
        <f>INDEX('01_Benchmark_Input'!$C$2:$C$10,MATCH(B177,'01_Benchmark_Input'!$A$2:$A$10,0))</f>
        <v/>
      </c>
      <c r="K177" s="10">
        <f>IF(A177="Bear",INDEX('01_Benchmark_Input'!$K$2:$K$10,MATCH(B177,'01_Benchmark_Input'!$A$2:$A$10,0)),IF(A177="Bull",INDEX('01_Benchmark_Input'!$M$2:$M$10,MATCH(B177,'01_Benchmark_Input'!$A$2:$A$10,0)),INDEX('01_Benchmark_Input'!$L$2:$L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9">
        <f>INDEX('01_Benchmark_Input'!$B$2:$B$10,MATCH(B178,'01_Benchmark_Input'!$A$2:$A$10,0))</f>
        <v/>
      </c>
      <c r="J178" s="9">
        <f>INDEX('01_Benchmark_Input'!$C$2:$C$10,MATCH(B178,'01_Benchmark_Input'!$A$2:$A$10,0))</f>
        <v/>
      </c>
      <c r="K178" s="10">
        <f>IF(A178="Bear",INDEX('01_Benchmark_Input'!$K$2:$K$10,MATCH(B178,'01_Benchmark_Input'!$A$2:$A$10,0)),IF(A178="Bull",INDEX('01_Benchmark_Input'!$M$2:$M$10,MATCH(B178,'01_Benchmark_Input'!$A$2:$A$10,0)),INDEX('01_Benchmark_Input'!$L$2:$L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9">
        <f>INDEX('01_Benchmark_Input'!$B$2:$B$10,MATCH(B179,'01_Benchmark_Input'!$A$2:$A$10,0))</f>
        <v/>
      </c>
      <c r="J179" s="9">
        <f>INDEX('01_Benchmark_Input'!$C$2:$C$10,MATCH(B179,'01_Benchmark_Input'!$A$2:$A$10,0))</f>
        <v/>
      </c>
      <c r="K179" s="10">
        <f>IF(A179="Bear",INDEX('01_Benchmark_Input'!$K$2:$K$10,MATCH(B179,'01_Benchmark_Input'!$A$2:$A$10,0)),IF(A179="Bull",INDEX('01_Benchmark_Input'!$M$2:$M$10,MATCH(B179,'01_Benchmark_Input'!$A$2:$A$10,0)),INDEX('01_Benchmark_Input'!$L$2:$L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9">
        <f>INDEX('01_Benchmark_Input'!$B$2:$B$10,MATCH(B180,'01_Benchmark_Input'!$A$2:$A$10,0))</f>
        <v/>
      </c>
      <c r="J180" s="9">
        <f>INDEX('01_Benchmark_Input'!$C$2:$C$10,MATCH(B180,'01_Benchmark_Input'!$A$2:$A$10,0))</f>
        <v/>
      </c>
      <c r="K180" s="10">
        <f>IF(A180="Bear",INDEX('01_Benchmark_Input'!$K$2:$K$10,MATCH(B180,'01_Benchmark_Input'!$A$2:$A$10,0)),IF(A180="Bull",INDEX('01_Benchmark_Input'!$M$2:$M$10,MATCH(B180,'01_Benchmark_Input'!$A$2:$A$10,0)),INDEX('01_Benchmark_Input'!$L$2:$L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9">
        <f>INDEX('01_Benchmark_Input'!$B$2:$B$10,MATCH(B181,'01_Benchmark_Input'!$A$2:$A$10,0))</f>
        <v/>
      </c>
      <c r="J181" s="9">
        <f>INDEX('01_Benchmark_Input'!$C$2:$C$10,MATCH(B181,'01_Benchmark_Input'!$A$2:$A$10,0))</f>
        <v/>
      </c>
      <c r="K181" s="10">
        <f>IF(A181="Bear",INDEX('01_Benchmark_Input'!$K$2:$K$10,MATCH(B181,'01_Benchmark_Input'!$A$2:$A$10,0)),IF(A181="Bull",INDEX('01_Benchmark_Input'!$M$2:$M$10,MATCH(B181,'01_Benchmark_Input'!$A$2:$A$10,0)),INDEX('01_Benchmark_Input'!$L$2:$L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 t="n">
        <v>0.495</v>
      </c>
      <c r="E2" s="6" t="n">
        <v>0.36</v>
      </c>
      <c r="F2" s="6" t="n">
        <v>0.045</v>
      </c>
      <c r="G2" s="6" t="n">
        <v>0.1</v>
      </c>
      <c r="H2" s="10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 t="n">
        <v>0.355</v>
      </c>
      <c r="E3" s="6" t="n">
        <v>0.315</v>
      </c>
      <c r="F3" s="6" t="n">
        <v>0.142</v>
      </c>
      <c r="G3" s="6" t="n">
        <v>0.188</v>
      </c>
      <c r="H3" s="10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 t="n">
        <v>0.236</v>
      </c>
      <c r="E4" s="6" t="n">
        <v>0.272</v>
      </c>
      <c r="F4" s="6" t="n">
        <v>0.217</v>
      </c>
      <c r="G4" s="6" t="n">
        <v>0.275</v>
      </c>
      <c r="H4" s="10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 t="n">
        <v>0.135</v>
      </c>
      <c r="E5" s="6" t="n">
        <v>0.231</v>
      </c>
      <c r="F5" s="6" t="n">
        <v>0.272</v>
      </c>
      <c r="G5" s="6" t="n">
        <v>0.362</v>
      </c>
      <c r="H5" s="10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 t="n">
        <v>0.055</v>
      </c>
      <c r="E6" s="6" t="n">
        <v>0.193</v>
      </c>
      <c r="F6" s="6" t="n">
        <v>0.302</v>
      </c>
      <c r="G6" s="6" t="n">
        <v>0.45</v>
      </c>
      <c r="H6" s="10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 t="n">
        <v>0.11</v>
      </c>
      <c r="E7" s="6" t="n">
        <v>0.08</v>
      </c>
      <c r="F7" s="6" t="n">
        <v>0.01</v>
      </c>
      <c r="G7" s="6" t="n">
        <v>0.8</v>
      </c>
      <c r="H7" s="10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 t="n">
        <v>0.077</v>
      </c>
      <c r="E8" s="6" t="n">
        <v>0.068</v>
      </c>
      <c r="F8" s="6" t="n">
        <v>0.03</v>
      </c>
      <c r="G8" s="6" t="n">
        <v>0.825</v>
      </c>
      <c r="H8" s="10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 t="n">
        <v>0.049</v>
      </c>
      <c r="E9" s="6" t="n">
        <v>0.056</v>
      </c>
      <c r="F9" s="6" t="n">
        <v>0.045</v>
      </c>
      <c r="G9" s="6" t="n">
        <v>0.85</v>
      </c>
      <c r="H9" s="10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 t="n">
        <v>0.027</v>
      </c>
      <c r="E10" s="6" t="n">
        <v>0.045</v>
      </c>
      <c r="F10" s="6" t="n">
        <v>0.053</v>
      </c>
      <c r="G10" s="6" t="n">
        <v>0.875</v>
      </c>
      <c r="H10" s="10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 t="n">
        <v>0.01</v>
      </c>
      <c r="E11" s="6" t="n">
        <v>0.035</v>
      </c>
      <c r="F11" s="6" t="n">
        <v>0.055</v>
      </c>
      <c r="G11" s="6" t="n">
        <v>0.9</v>
      </c>
      <c r="H11" s="10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 t="n">
        <v>0.495</v>
      </c>
      <c r="E12" s="6" t="n">
        <v>0.36</v>
      </c>
      <c r="F12" s="6" t="n">
        <v>0.045</v>
      </c>
      <c r="G12" s="6" t="n">
        <v>0.1</v>
      </c>
      <c r="H12" s="10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 t="n">
        <v>0.355</v>
      </c>
      <c r="E13" s="6" t="n">
        <v>0.315</v>
      </c>
      <c r="F13" s="6" t="n">
        <v>0.142</v>
      </c>
      <c r="G13" s="6" t="n">
        <v>0.188</v>
      </c>
      <c r="H13" s="10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 t="n">
        <v>0.236</v>
      </c>
      <c r="E14" s="6" t="n">
        <v>0.272</v>
      </c>
      <c r="F14" s="6" t="n">
        <v>0.217</v>
      </c>
      <c r="G14" s="6" t="n">
        <v>0.275</v>
      </c>
      <c r="H14" s="10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 t="n">
        <v>0.135</v>
      </c>
      <c r="E15" s="6" t="n">
        <v>0.231</v>
      </c>
      <c r="F15" s="6" t="n">
        <v>0.272</v>
      </c>
      <c r="G15" s="6" t="n">
        <v>0.362</v>
      </c>
      <c r="H15" s="10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 t="n">
        <v>0.055</v>
      </c>
      <c r="E16" s="6" t="n">
        <v>0.193</v>
      </c>
      <c r="F16" s="6" t="n">
        <v>0.302</v>
      </c>
      <c r="G16" s="6" t="n">
        <v>0.45</v>
      </c>
      <c r="H16" s="10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 t="n">
        <v>0.55</v>
      </c>
      <c r="E17" s="6" t="n">
        <v>0.4</v>
      </c>
      <c r="F17" s="6" t="n">
        <v>0.05</v>
      </c>
      <c r="G17" s="6" t="n">
        <v>0</v>
      </c>
      <c r="H17" s="10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 t="n">
        <v>0.438</v>
      </c>
      <c r="E18" s="6" t="n">
        <v>0.388</v>
      </c>
      <c r="F18" s="6" t="n">
        <v>0.174</v>
      </c>
      <c r="G18" s="6" t="n">
        <v>0</v>
      </c>
      <c r="H18" s="10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 t="n">
        <v>0.325</v>
      </c>
      <c r="E19" s="6" t="n">
        <v>0.375</v>
      </c>
      <c r="F19" s="6" t="n">
        <v>0.3</v>
      </c>
      <c r="G19" s="6" t="n">
        <v>0</v>
      </c>
      <c r="H19" s="10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 t="n">
        <v>0.213</v>
      </c>
      <c r="E20" s="6" t="n">
        <v>0.362</v>
      </c>
      <c r="F20" s="6" t="n">
        <v>0.425</v>
      </c>
      <c r="G20" s="6" t="n">
        <v>0</v>
      </c>
      <c r="H20" s="10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 t="n">
        <v>0.1</v>
      </c>
      <c r="E21" s="6" t="n">
        <v>0.35</v>
      </c>
      <c r="F21" s="6" t="n">
        <v>0.55</v>
      </c>
      <c r="G21" s="6" t="n">
        <v>0</v>
      </c>
      <c r="H21" s="10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 t="n">
        <v>0.55</v>
      </c>
      <c r="E22" s="6" t="n">
        <v>0.4</v>
      </c>
      <c r="F22" s="6" t="n">
        <v>0.05</v>
      </c>
      <c r="G22" s="6" t="n">
        <v>0</v>
      </c>
      <c r="H22" s="10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 t="n">
        <v>0.438</v>
      </c>
      <c r="E23" s="6" t="n">
        <v>0.388</v>
      </c>
      <c r="F23" s="6" t="n">
        <v>0.174</v>
      </c>
      <c r="G23" s="6" t="n">
        <v>0</v>
      </c>
      <c r="H23" s="10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 t="n">
        <v>0.325</v>
      </c>
      <c r="E24" s="6" t="n">
        <v>0.375</v>
      </c>
      <c r="F24" s="6" t="n">
        <v>0.3</v>
      </c>
      <c r="G24" s="6" t="n">
        <v>0</v>
      </c>
      <c r="H24" s="10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 t="n">
        <v>0.213</v>
      </c>
      <c r="E25" s="6" t="n">
        <v>0.362</v>
      </c>
      <c r="F25" s="6" t="n">
        <v>0.425</v>
      </c>
      <c r="G25" s="6" t="n">
        <v>0</v>
      </c>
      <c r="H25" s="10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 t="n">
        <v>0.1</v>
      </c>
      <c r="E26" s="6" t="n">
        <v>0.35</v>
      </c>
      <c r="F26" s="6" t="n">
        <v>0.55</v>
      </c>
      <c r="G26" s="6" t="n">
        <v>0</v>
      </c>
      <c r="H26" s="10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 t="n">
        <v>0.193</v>
      </c>
      <c r="E27" s="6" t="n">
        <v>0.14</v>
      </c>
      <c r="F27" s="6" t="n">
        <v>0.017</v>
      </c>
      <c r="G27" s="6" t="n">
        <v>0.65</v>
      </c>
      <c r="H27" s="10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 t="n">
        <v>0.131</v>
      </c>
      <c r="E28" s="6" t="n">
        <v>0.116</v>
      </c>
      <c r="F28" s="6" t="n">
        <v>0.053</v>
      </c>
      <c r="G28" s="6" t="n">
        <v>0.7</v>
      </c>
      <c r="H28" s="10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 t="n">
        <v>0.081</v>
      </c>
      <c r="E29" s="6" t="n">
        <v>0.094</v>
      </c>
      <c r="F29" s="6" t="n">
        <v>0.075</v>
      </c>
      <c r="G29" s="6" t="n">
        <v>0.75</v>
      </c>
      <c r="H29" s="10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 t="n">
        <v>0.043</v>
      </c>
      <c r="E30" s="6" t="n">
        <v>0.07199999999999999</v>
      </c>
      <c r="F30" s="6" t="n">
        <v>0.08500000000000001</v>
      </c>
      <c r="G30" s="6" t="n">
        <v>0.8</v>
      </c>
      <c r="H30" s="10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 t="n">
        <v>0.015</v>
      </c>
      <c r="E31" s="6" t="n">
        <v>0.052</v>
      </c>
      <c r="F31" s="6" t="n">
        <v>0.083</v>
      </c>
      <c r="G31" s="6" t="n">
        <v>0.85</v>
      </c>
      <c r="H31" s="10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 t="n">
        <v>0.55</v>
      </c>
      <c r="E32" s="6" t="n">
        <v>0.4</v>
      </c>
      <c r="F32" s="6" t="n">
        <v>0.05</v>
      </c>
      <c r="G32" s="6" t="n">
        <v>0</v>
      </c>
      <c r="H32" s="10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 t="n">
        <v>0.438</v>
      </c>
      <c r="E33" s="6" t="n">
        <v>0.388</v>
      </c>
      <c r="F33" s="6" t="n">
        <v>0.174</v>
      </c>
      <c r="G33" s="6" t="n">
        <v>0</v>
      </c>
      <c r="H33" s="10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 t="n">
        <v>0.325</v>
      </c>
      <c r="E34" s="6" t="n">
        <v>0.375</v>
      </c>
      <c r="F34" s="6" t="n">
        <v>0.3</v>
      </c>
      <c r="G34" s="6" t="n">
        <v>0</v>
      </c>
      <c r="H34" s="10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 t="n">
        <v>0.213</v>
      </c>
      <c r="E35" s="6" t="n">
        <v>0.362</v>
      </c>
      <c r="F35" s="6" t="n">
        <v>0.425</v>
      </c>
      <c r="G35" s="6" t="n">
        <v>0</v>
      </c>
      <c r="H35" s="10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 t="n">
        <v>0.1</v>
      </c>
      <c r="E36" s="6" t="n">
        <v>0.35</v>
      </c>
      <c r="F36" s="6" t="n">
        <v>0.55</v>
      </c>
      <c r="G36" s="6" t="n">
        <v>0</v>
      </c>
      <c r="H36" s="10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 t="n">
        <v>0.55</v>
      </c>
      <c r="E37" s="6" t="n">
        <v>0.4</v>
      </c>
      <c r="F37" s="6" t="n">
        <v>0.05</v>
      </c>
      <c r="G37" s="6" t="n">
        <v>0</v>
      </c>
      <c r="H37" s="10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 t="n">
        <v>0.438</v>
      </c>
      <c r="E38" s="6" t="n">
        <v>0.388</v>
      </c>
      <c r="F38" s="6" t="n">
        <v>0.174</v>
      </c>
      <c r="G38" s="6" t="n">
        <v>0</v>
      </c>
      <c r="H38" s="10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 t="n">
        <v>0.325</v>
      </c>
      <c r="E39" s="6" t="n">
        <v>0.375</v>
      </c>
      <c r="F39" s="6" t="n">
        <v>0.3</v>
      </c>
      <c r="G39" s="6" t="n">
        <v>0</v>
      </c>
      <c r="H39" s="10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 t="n">
        <v>0.213</v>
      </c>
      <c r="E40" s="6" t="n">
        <v>0.362</v>
      </c>
      <c r="F40" s="6" t="n">
        <v>0.425</v>
      </c>
      <c r="G40" s="6" t="n">
        <v>0</v>
      </c>
      <c r="H40" s="10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 t="n">
        <v>0.1</v>
      </c>
      <c r="E41" s="6" t="n">
        <v>0.35</v>
      </c>
      <c r="F41" s="6" t="n">
        <v>0.55</v>
      </c>
      <c r="G41" s="6" t="n">
        <v>0</v>
      </c>
      <c r="H41" s="10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 t="n">
        <v>0.55</v>
      </c>
      <c r="E42" s="6" t="n">
        <v>0.4</v>
      </c>
      <c r="F42" s="6" t="n">
        <v>0.05</v>
      </c>
      <c r="G42" s="6" t="n">
        <v>0</v>
      </c>
      <c r="H42" s="10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 t="n">
        <v>0.438</v>
      </c>
      <c r="E43" s="6" t="n">
        <v>0.388</v>
      </c>
      <c r="F43" s="6" t="n">
        <v>0.174</v>
      </c>
      <c r="G43" s="6" t="n">
        <v>0</v>
      </c>
      <c r="H43" s="10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 t="n">
        <v>0.325</v>
      </c>
      <c r="E44" s="6" t="n">
        <v>0.375</v>
      </c>
      <c r="F44" s="6" t="n">
        <v>0.3</v>
      </c>
      <c r="G44" s="6" t="n">
        <v>0</v>
      </c>
      <c r="H44" s="10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 t="n">
        <v>0.213</v>
      </c>
      <c r="E45" s="6" t="n">
        <v>0.362</v>
      </c>
      <c r="F45" s="6" t="n">
        <v>0.425</v>
      </c>
      <c r="G45" s="6" t="n">
        <v>0</v>
      </c>
      <c r="H45" s="10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 t="n">
        <v>0.1</v>
      </c>
      <c r="E46" s="6" t="n">
        <v>0.35</v>
      </c>
      <c r="F46" s="6" t="n">
        <v>0.55</v>
      </c>
      <c r="G46" s="6" t="n">
        <v>0</v>
      </c>
      <c r="H46" s="10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 t="n">
        <v>0.495</v>
      </c>
      <c r="E47" s="6" t="n">
        <v>0.36</v>
      </c>
      <c r="F47" s="6" t="n">
        <v>0.045</v>
      </c>
      <c r="G47" s="6" t="n">
        <v>0.1</v>
      </c>
      <c r="H47" s="10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 t="n">
        <v>0.355</v>
      </c>
      <c r="E48" s="6" t="n">
        <v>0.315</v>
      </c>
      <c r="F48" s="6" t="n">
        <v>0.142</v>
      </c>
      <c r="G48" s="6" t="n">
        <v>0.188</v>
      </c>
      <c r="H48" s="10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 t="n">
        <v>0.236</v>
      </c>
      <c r="E49" s="6" t="n">
        <v>0.272</v>
      </c>
      <c r="F49" s="6" t="n">
        <v>0.217</v>
      </c>
      <c r="G49" s="6" t="n">
        <v>0.275</v>
      </c>
      <c r="H49" s="10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 t="n">
        <v>0.135</v>
      </c>
      <c r="E50" s="6" t="n">
        <v>0.231</v>
      </c>
      <c r="F50" s="6" t="n">
        <v>0.272</v>
      </c>
      <c r="G50" s="6" t="n">
        <v>0.362</v>
      </c>
      <c r="H50" s="10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 t="n">
        <v>0.055</v>
      </c>
      <c r="E51" s="6" t="n">
        <v>0.193</v>
      </c>
      <c r="F51" s="6" t="n">
        <v>0.302</v>
      </c>
      <c r="G51" s="6" t="n">
        <v>0.45</v>
      </c>
      <c r="H51" s="10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 t="n">
        <v>0.11</v>
      </c>
      <c r="E52" s="6" t="n">
        <v>0.08</v>
      </c>
      <c r="F52" s="6" t="n">
        <v>0.01</v>
      </c>
      <c r="G52" s="6" t="n">
        <v>0.8</v>
      </c>
      <c r="H52" s="10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 t="n">
        <v>0.077</v>
      </c>
      <c r="E53" s="6" t="n">
        <v>0.068</v>
      </c>
      <c r="F53" s="6" t="n">
        <v>0.03</v>
      </c>
      <c r="G53" s="6" t="n">
        <v>0.825</v>
      </c>
      <c r="H53" s="10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 t="n">
        <v>0.049</v>
      </c>
      <c r="E54" s="6" t="n">
        <v>0.056</v>
      </c>
      <c r="F54" s="6" t="n">
        <v>0.045</v>
      </c>
      <c r="G54" s="6" t="n">
        <v>0.85</v>
      </c>
      <c r="H54" s="10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 t="n">
        <v>0.027</v>
      </c>
      <c r="E55" s="6" t="n">
        <v>0.045</v>
      </c>
      <c r="F55" s="6" t="n">
        <v>0.053</v>
      </c>
      <c r="G55" s="6" t="n">
        <v>0.875</v>
      </c>
      <c r="H55" s="10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 t="n">
        <v>0.01</v>
      </c>
      <c r="E56" s="6" t="n">
        <v>0.035</v>
      </c>
      <c r="F56" s="6" t="n">
        <v>0.055</v>
      </c>
      <c r="G56" s="6" t="n">
        <v>0.9</v>
      </c>
      <c r="H56" s="10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 t="n">
        <v>0.495</v>
      </c>
      <c r="E57" s="6" t="n">
        <v>0.36</v>
      </c>
      <c r="F57" s="6" t="n">
        <v>0.045</v>
      </c>
      <c r="G57" s="6" t="n">
        <v>0.1</v>
      </c>
      <c r="H57" s="10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 t="n">
        <v>0.355</v>
      </c>
      <c r="E58" s="6" t="n">
        <v>0.315</v>
      </c>
      <c r="F58" s="6" t="n">
        <v>0.142</v>
      </c>
      <c r="G58" s="6" t="n">
        <v>0.188</v>
      </c>
      <c r="H58" s="10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 t="n">
        <v>0.236</v>
      </c>
      <c r="E59" s="6" t="n">
        <v>0.272</v>
      </c>
      <c r="F59" s="6" t="n">
        <v>0.217</v>
      </c>
      <c r="G59" s="6" t="n">
        <v>0.275</v>
      </c>
      <c r="H59" s="10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 t="n">
        <v>0.135</v>
      </c>
      <c r="E60" s="6" t="n">
        <v>0.231</v>
      </c>
      <c r="F60" s="6" t="n">
        <v>0.272</v>
      </c>
      <c r="G60" s="6" t="n">
        <v>0.362</v>
      </c>
      <c r="H60" s="10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 t="n">
        <v>0.055</v>
      </c>
      <c r="E61" s="6" t="n">
        <v>0.193</v>
      </c>
      <c r="F61" s="6" t="n">
        <v>0.302</v>
      </c>
      <c r="G61" s="6" t="n">
        <v>0.45</v>
      </c>
      <c r="H61" s="10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 t="n">
        <v>0.55</v>
      </c>
      <c r="E62" s="6" t="n">
        <v>0.4</v>
      </c>
      <c r="F62" s="6" t="n">
        <v>0.05</v>
      </c>
      <c r="G62" s="6" t="n">
        <v>0</v>
      </c>
      <c r="H62" s="10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 t="n">
        <v>0.438</v>
      </c>
      <c r="E63" s="6" t="n">
        <v>0.388</v>
      </c>
      <c r="F63" s="6" t="n">
        <v>0.174</v>
      </c>
      <c r="G63" s="6" t="n">
        <v>0</v>
      </c>
      <c r="H63" s="10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 t="n">
        <v>0.325</v>
      </c>
      <c r="E64" s="6" t="n">
        <v>0.375</v>
      </c>
      <c r="F64" s="6" t="n">
        <v>0.3</v>
      </c>
      <c r="G64" s="6" t="n">
        <v>0</v>
      </c>
      <c r="H64" s="10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 t="n">
        <v>0.213</v>
      </c>
      <c r="E65" s="6" t="n">
        <v>0.362</v>
      </c>
      <c r="F65" s="6" t="n">
        <v>0.425</v>
      </c>
      <c r="G65" s="6" t="n">
        <v>0</v>
      </c>
      <c r="H65" s="10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 t="n">
        <v>0.1</v>
      </c>
      <c r="E66" s="6" t="n">
        <v>0.35</v>
      </c>
      <c r="F66" s="6" t="n">
        <v>0.55</v>
      </c>
      <c r="G66" s="6" t="n">
        <v>0</v>
      </c>
      <c r="H66" s="10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 t="n">
        <v>0.55</v>
      </c>
      <c r="E67" s="6" t="n">
        <v>0.4</v>
      </c>
      <c r="F67" s="6" t="n">
        <v>0.05</v>
      </c>
      <c r="G67" s="6" t="n">
        <v>0</v>
      </c>
      <c r="H67" s="10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 t="n">
        <v>0.438</v>
      </c>
      <c r="E68" s="6" t="n">
        <v>0.388</v>
      </c>
      <c r="F68" s="6" t="n">
        <v>0.174</v>
      </c>
      <c r="G68" s="6" t="n">
        <v>0</v>
      </c>
      <c r="H68" s="10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 t="n">
        <v>0.325</v>
      </c>
      <c r="E69" s="6" t="n">
        <v>0.375</v>
      </c>
      <c r="F69" s="6" t="n">
        <v>0.3</v>
      </c>
      <c r="G69" s="6" t="n">
        <v>0</v>
      </c>
      <c r="H69" s="10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 t="n">
        <v>0.213</v>
      </c>
      <c r="E70" s="6" t="n">
        <v>0.362</v>
      </c>
      <c r="F70" s="6" t="n">
        <v>0.425</v>
      </c>
      <c r="G70" s="6" t="n">
        <v>0</v>
      </c>
      <c r="H70" s="10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 t="n">
        <v>0.1</v>
      </c>
      <c r="E71" s="6" t="n">
        <v>0.35</v>
      </c>
      <c r="F71" s="6" t="n">
        <v>0.55</v>
      </c>
      <c r="G71" s="6" t="n">
        <v>0</v>
      </c>
      <c r="H71" s="10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 t="n">
        <v>0.193</v>
      </c>
      <c r="E72" s="6" t="n">
        <v>0.14</v>
      </c>
      <c r="F72" s="6" t="n">
        <v>0.017</v>
      </c>
      <c r="G72" s="6" t="n">
        <v>0.65</v>
      </c>
      <c r="H72" s="10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 t="n">
        <v>0.131</v>
      </c>
      <c r="E73" s="6" t="n">
        <v>0.116</v>
      </c>
      <c r="F73" s="6" t="n">
        <v>0.053</v>
      </c>
      <c r="G73" s="6" t="n">
        <v>0.7</v>
      </c>
      <c r="H73" s="10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 t="n">
        <v>0.081</v>
      </c>
      <c r="E74" s="6" t="n">
        <v>0.094</v>
      </c>
      <c r="F74" s="6" t="n">
        <v>0.075</v>
      </c>
      <c r="G74" s="6" t="n">
        <v>0.75</v>
      </c>
      <c r="H74" s="10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 t="n">
        <v>0.043</v>
      </c>
      <c r="E75" s="6" t="n">
        <v>0.07199999999999999</v>
      </c>
      <c r="F75" s="6" t="n">
        <v>0.08500000000000001</v>
      </c>
      <c r="G75" s="6" t="n">
        <v>0.8</v>
      </c>
      <c r="H75" s="10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 t="n">
        <v>0.015</v>
      </c>
      <c r="E76" s="6" t="n">
        <v>0.052</v>
      </c>
      <c r="F76" s="6" t="n">
        <v>0.083</v>
      </c>
      <c r="G76" s="6" t="n">
        <v>0.85</v>
      </c>
      <c r="H76" s="10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 t="n">
        <v>0.55</v>
      </c>
      <c r="E77" s="6" t="n">
        <v>0.4</v>
      </c>
      <c r="F77" s="6" t="n">
        <v>0.05</v>
      </c>
      <c r="G77" s="6" t="n">
        <v>0</v>
      </c>
      <c r="H77" s="10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 t="n">
        <v>0.438</v>
      </c>
      <c r="E78" s="6" t="n">
        <v>0.388</v>
      </c>
      <c r="F78" s="6" t="n">
        <v>0.174</v>
      </c>
      <c r="G78" s="6" t="n">
        <v>0</v>
      </c>
      <c r="H78" s="10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 t="n">
        <v>0.325</v>
      </c>
      <c r="E79" s="6" t="n">
        <v>0.375</v>
      </c>
      <c r="F79" s="6" t="n">
        <v>0.3</v>
      </c>
      <c r="G79" s="6" t="n">
        <v>0</v>
      </c>
      <c r="H79" s="10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 t="n">
        <v>0.213</v>
      </c>
      <c r="E80" s="6" t="n">
        <v>0.362</v>
      </c>
      <c r="F80" s="6" t="n">
        <v>0.425</v>
      </c>
      <c r="G80" s="6" t="n">
        <v>0</v>
      </c>
      <c r="H80" s="10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 t="n">
        <v>0.1</v>
      </c>
      <c r="E81" s="6" t="n">
        <v>0.35</v>
      </c>
      <c r="F81" s="6" t="n">
        <v>0.55</v>
      </c>
      <c r="G81" s="6" t="n">
        <v>0</v>
      </c>
      <c r="H81" s="10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 t="n">
        <v>0.55</v>
      </c>
      <c r="E82" s="6" t="n">
        <v>0.4</v>
      </c>
      <c r="F82" s="6" t="n">
        <v>0.05</v>
      </c>
      <c r="G82" s="6" t="n">
        <v>0</v>
      </c>
      <c r="H82" s="10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 t="n">
        <v>0.438</v>
      </c>
      <c r="E83" s="6" t="n">
        <v>0.388</v>
      </c>
      <c r="F83" s="6" t="n">
        <v>0.174</v>
      </c>
      <c r="G83" s="6" t="n">
        <v>0</v>
      </c>
      <c r="H83" s="10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 t="n">
        <v>0.325</v>
      </c>
      <c r="E84" s="6" t="n">
        <v>0.375</v>
      </c>
      <c r="F84" s="6" t="n">
        <v>0.3</v>
      </c>
      <c r="G84" s="6" t="n">
        <v>0</v>
      </c>
      <c r="H84" s="10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 t="n">
        <v>0.213</v>
      </c>
      <c r="E85" s="6" t="n">
        <v>0.362</v>
      </c>
      <c r="F85" s="6" t="n">
        <v>0.425</v>
      </c>
      <c r="G85" s="6" t="n">
        <v>0</v>
      </c>
      <c r="H85" s="10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 t="n">
        <v>0.1</v>
      </c>
      <c r="E86" s="6" t="n">
        <v>0.35</v>
      </c>
      <c r="F86" s="6" t="n">
        <v>0.55</v>
      </c>
      <c r="G86" s="6" t="n">
        <v>0</v>
      </c>
      <c r="H86" s="10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 t="n">
        <v>0.55</v>
      </c>
      <c r="E87" s="6" t="n">
        <v>0.4</v>
      </c>
      <c r="F87" s="6" t="n">
        <v>0.05</v>
      </c>
      <c r="G87" s="6" t="n">
        <v>0</v>
      </c>
      <c r="H87" s="10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 t="n">
        <v>0.438</v>
      </c>
      <c r="E88" s="6" t="n">
        <v>0.388</v>
      </c>
      <c r="F88" s="6" t="n">
        <v>0.174</v>
      </c>
      <c r="G88" s="6" t="n">
        <v>0</v>
      </c>
      <c r="H88" s="10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 t="n">
        <v>0.325</v>
      </c>
      <c r="E89" s="6" t="n">
        <v>0.375</v>
      </c>
      <c r="F89" s="6" t="n">
        <v>0.3</v>
      </c>
      <c r="G89" s="6" t="n">
        <v>0</v>
      </c>
      <c r="H89" s="10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 t="n">
        <v>0.213</v>
      </c>
      <c r="E90" s="6" t="n">
        <v>0.362</v>
      </c>
      <c r="F90" s="6" t="n">
        <v>0.425</v>
      </c>
      <c r="G90" s="6" t="n">
        <v>0</v>
      </c>
      <c r="H90" s="10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 t="n">
        <v>0.1</v>
      </c>
      <c r="E91" s="6" t="n">
        <v>0.35</v>
      </c>
      <c r="F91" s="6" t="n">
        <v>0.55</v>
      </c>
      <c r="G91" s="6" t="n">
        <v>0</v>
      </c>
      <c r="H91" s="10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 t="n">
        <v>0.495</v>
      </c>
      <c r="E92" s="6" t="n">
        <v>0.36</v>
      </c>
      <c r="F92" s="6" t="n">
        <v>0.045</v>
      </c>
      <c r="G92" s="6" t="n">
        <v>0.1</v>
      </c>
      <c r="H92" s="10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 t="n">
        <v>0.355</v>
      </c>
      <c r="E93" s="6" t="n">
        <v>0.315</v>
      </c>
      <c r="F93" s="6" t="n">
        <v>0.142</v>
      </c>
      <c r="G93" s="6" t="n">
        <v>0.188</v>
      </c>
      <c r="H93" s="10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 t="n">
        <v>0.236</v>
      </c>
      <c r="E94" s="6" t="n">
        <v>0.272</v>
      </c>
      <c r="F94" s="6" t="n">
        <v>0.217</v>
      </c>
      <c r="G94" s="6" t="n">
        <v>0.275</v>
      </c>
      <c r="H94" s="10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 t="n">
        <v>0.135</v>
      </c>
      <c r="E95" s="6" t="n">
        <v>0.231</v>
      </c>
      <c r="F95" s="6" t="n">
        <v>0.272</v>
      </c>
      <c r="G95" s="6" t="n">
        <v>0.362</v>
      </c>
      <c r="H95" s="10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 t="n">
        <v>0.055</v>
      </c>
      <c r="E96" s="6" t="n">
        <v>0.193</v>
      </c>
      <c r="F96" s="6" t="n">
        <v>0.302</v>
      </c>
      <c r="G96" s="6" t="n">
        <v>0.45</v>
      </c>
      <c r="H96" s="10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 t="n">
        <v>0.11</v>
      </c>
      <c r="E97" s="6" t="n">
        <v>0.08</v>
      </c>
      <c r="F97" s="6" t="n">
        <v>0.01</v>
      </c>
      <c r="G97" s="6" t="n">
        <v>0.8</v>
      </c>
      <c r="H97" s="10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 t="n">
        <v>0.077</v>
      </c>
      <c r="E98" s="6" t="n">
        <v>0.068</v>
      </c>
      <c r="F98" s="6" t="n">
        <v>0.03</v>
      </c>
      <c r="G98" s="6" t="n">
        <v>0.825</v>
      </c>
      <c r="H98" s="10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 t="n">
        <v>0.049</v>
      </c>
      <c r="E99" s="6" t="n">
        <v>0.056</v>
      </c>
      <c r="F99" s="6" t="n">
        <v>0.045</v>
      </c>
      <c r="G99" s="6" t="n">
        <v>0.85</v>
      </c>
      <c r="H99" s="10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 t="n">
        <v>0.027</v>
      </c>
      <c r="E100" s="6" t="n">
        <v>0.045</v>
      </c>
      <c r="F100" s="6" t="n">
        <v>0.053</v>
      </c>
      <c r="G100" s="6" t="n">
        <v>0.875</v>
      </c>
      <c r="H100" s="10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 t="n">
        <v>0.01</v>
      </c>
      <c r="E101" s="6" t="n">
        <v>0.035</v>
      </c>
      <c r="F101" s="6" t="n">
        <v>0.055</v>
      </c>
      <c r="G101" s="6" t="n">
        <v>0.9</v>
      </c>
      <c r="H101" s="10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 t="n">
        <v>0.495</v>
      </c>
      <c r="E102" s="6" t="n">
        <v>0.36</v>
      </c>
      <c r="F102" s="6" t="n">
        <v>0.045</v>
      </c>
      <c r="G102" s="6" t="n">
        <v>0.1</v>
      </c>
      <c r="H102" s="10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 t="n">
        <v>0.355</v>
      </c>
      <c r="E103" s="6" t="n">
        <v>0.315</v>
      </c>
      <c r="F103" s="6" t="n">
        <v>0.142</v>
      </c>
      <c r="G103" s="6" t="n">
        <v>0.188</v>
      </c>
      <c r="H103" s="10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 t="n">
        <v>0.236</v>
      </c>
      <c r="E104" s="6" t="n">
        <v>0.272</v>
      </c>
      <c r="F104" s="6" t="n">
        <v>0.217</v>
      </c>
      <c r="G104" s="6" t="n">
        <v>0.275</v>
      </c>
      <c r="H104" s="10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 t="n">
        <v>0.135</v>
      </c>
      <c r="E105" s="6" t="n">
        <v>0.231</v>
      </c>
      <c r="F105" s="6" t="n">
        <v>0.272</v>
      </c>
      <c r="G105" s="6" t="n">
        <v>0.362</v>
      </c>
      <c r="H105" s="10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 t="n">
        <v>0.055</v>
      </c>
      <c r="E106" s="6" t="n">
        <v>0.193</v>
      </c>
      <c r="F106" s="6" t="n">
        <v>0.302</v>
      </c>
      <c r="G106" s="6" t="n">
        <v>0.45</v>
      </c>
      <c r="H106" s="10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 t="n">
        <v>0.55</v>
      </c>
      <c r="E107" s="6" t="n">
        <v>0.4</v>
      </c>
      <c r="F107" s="6" t="n">
        <v>0.05</v>
      </c>
      <c r="G107" s="6" t="n">
        <v>0</v>
      </c>
      <c r="H107" s="10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 t="n">
        <v>0.438</v>
      </c>
      <c r="E108" s="6" t="n">
        <v>0.388</v>
      </c>
      <c r="F108" s="6" t="n">
        <v>0.174</v>
      </c>
      <c r="G108" s="6" t="n">
        <v>0</v>
      </c>
      <c r="H108" s="10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 t="n">
        <v>0.325</v>
      </c>
      <c r="E109" s="6" t="n">
        <v>0.375</v>
      </c>
      <c r="F109" s="6" t="n">
        <v>0.3</v>
      </c>
      <c r="G109" s="6" t="n">
        <v>0</v>
      </c>
      <c r="H109" s="10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 t="n">
        <v>0.213</v>
      </c>
      <c r="E110" s="6" t="n">
        <v>0.362</v>
      </c>
      <c r="F110" s="6" t="n">
        <v>0.425</v>
      </c>
      <c r="G110" s="6" t="n">
        <v>0</v>
      </c>
      <c r="H110" s="10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 t="n">
        <v>0.1</v>
      </c>
      <c r="E111" s="6" t="n">
        <v>0.35</v>
      </c>
      <c r="F111" s="6" t="n">
        <v>0.55</v>
      </c>
      <c r="G111" s="6" t="n">
        <v>0</v>
      </c>
      <c r="H111" s="10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 t="n">
        <v>0.55</v>
      </c>
      <c r="E112" s="6" t="n">
        <v>0.4</v>
      </c>
      <c r="F112" s="6" t="n">
        <v>0.05</v>
      </c>
      <c r="G112" s="6" t="n">
        <v>0</v>
      </c>
      <c r="H112" s="10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 t="n">
        <v>0.438</v>
      </c>
      <c r="E113" s="6" t="n">
        <v>0.388</v>
      </c>
      <c r="F113" s="6" t="n">
        <v>0.174</v>
      </c>
      <c r="G113" s="6" t="n">
        <v>0</v>
      </c>
      <c r="H113" s="10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 t="n">
        <v>0.325</v>
      </c>
      <c r="E114" s="6" t="n">
        <v>0.375</v>
      </c>
      <c r="F114" s="6" t="n">
        <v>0.3</v>
      </c>
      <c r="G114" s="6" t="n">
        <v>0</v>
      </c>
      <c r="H114" s="10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 t="n">
        <v>0.213</v>
      </c>
      <c r="E115" s="6" t="n">
        <v>0.362</v>
      </c>
      <c r="F115" s="6" t="n">
        <v>0.425</v>
      </c>
      <c r="G115" s="6" t="n">
        <v>0</v>
      </c>
      <c r="H115" s="10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 t="n">
        <v>0.1</v>
      </c>
      <c r="E116" s="6" t="n">
        <v>0.35</v>
      </c>
      <c r="F116" s="6" t="n">
        <v>0.55</v>
      </c>
      <c r="G116" s="6" t="n">
        <v>0</v>
      </c>
      <c r="H116" s="10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 t="n">
        <v>0.193</v>
      </c>
      <c r="E117" s="6" t="n">
        <v>0.14</v>
      </c>
      <c r="F117" s="6" t="n">
        <v>0.017</v>
      </c>
      <c r="G117" s="6" t="n">
        <v>0.65</v>
      </c>
      <c r="H117" s="10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 t="n">
        <v>0.131</v>
      </c>
      <c r="E118" s="6" t="n">
        <v>0.116</v>
      </c>
      <c r="F118" s="6" t="n">
        <v>0.053</v>
      </c>
      <c r="G118" s="6" t="n">
        <v>0.7</v>
      </c>
      <c r="H118" s="10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 t="n">
        <v>0.081</v>
      </c>
      <c r="E119" s="6" t="n">
        <v>0.094</v>
      </c>
      <c r="F119" s="6" t="n">
        <v>0.075</v>
      </c>
      <c r="G119" s="6" t="n">
        <v>0.75</v>
      </c>
      <c r="H119" s="10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 t="n">
        <v>0.043</v>
      </c>
      <c r="E120" s="6" t="n">
        <v>0.07199999999999999</v>
      </c>
      <c r="F120" s="6" t="n">
        <v>0.08500000000000001</v>
      </c>
      <c r="G120" s="6" t="n">
        <v>0.8</v>
      </c>
      <c r="H120" s="10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 t="n">
        <v>0.015</v>
      </c>
      <c r="E121" s="6" t="n">
        <v>0.052</v>
      </c>
      <c r="F121" s="6" t="n">
        <v>0.083</v>
      </c>
      <c r="G121" s="6" t="n">
        <v>0.85</v>
      </c>
      <c r="H121" s="10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 t="n">
        <v>0.55</v>
      </c>
      <c r="E122" s="6" t="n">
        <v>0.4</v>
      </c>
      <c r="F122" s="6" t="n">
        <v>0.05</v>
      </c>
      <c r="G122" s="6" t="n">
        <v>0</v>
      </c>
      <c r="H122" s="10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 t="n">
        <v>0.438</v>
      </c>
      <c r="E123" s="6" t="n">
        <v>0.388</v>
      </c>
      <c r="F123" s="6" t="n">
        <v>0.174</v>
      </c>
      <c r="G123" s="6" t="n">
        <v>0</v>
      </c>
      <c r="H123" s="10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 t="n">
        <v>0.325</v>
      </c>
      <c r="E124" s="6" t="n">
        <v>0.375</v>
      </c>
      <c r="F124" s="6" t="n">
        <v>0.3</v>
      </c>
      <c r="G124" s="6" t="n">
        <v>0</v>
      </c>
      <c r="H124" s="10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 t="n">
        <v>0.213</v>
      </c>
      <c r="E125" s="6" t="n">
        <v>0.362</v>
      </c>
      <c r="F125" s="6" t="n">
        <v>0.425</v>
      </c>
      <c r="G125" s="6" t="n">
        <v>0</v>
      </c>
      <c r="H125" s="10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 t="n">
        <v>0.1</v>
      </c>
      <c r="E126" s="6" t="n">
        <v>0.35</v>
      </c>
      <c r="F126" s="6" t="n">
        <v>0.55</v>
      </c>
      <c r="G126" s="6" t="n">
        <v>0</v>
      </c>
      <c r="H126" s="10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 t="n">
        <v>0.55</v>
      </c>
      <c r="E127" s="6" t="n">
        <v>0.4</v>
      </c>
      <c r="F127" s="6" t="n">
        <v>0.05</v>
      </c>
      <c r="G127" s="6" t="n">
        <v>0</v>
      </c>
      <c r="H127" s="10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 t="n">
        <v>0.438</v>
      </c>
      <c r="E128" s="6" t="n">
        <v>0.388</v>
      </c>
      <c r="F128" s="6" t="n">
        <v>0.174</v>
      </c>
      <c r="G128" s="6" t="n">
        <v>0</v>
      </c>
      <c r="H128" s="10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 t="n">
        <v>0.325</v>
      </c>
      <c r="E129" s="6" t="n">
        <v>0.375</v>
      </c>
      <c r="F129" s="6" t="n">
        <v>0.3</v>
      </c>
      <c r="G129" s="6" t="n">
        <v>0</v>
      </c>
      <c r="H129" s="10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 t="n">
        <v>0.213</v>
      </c>
      <c r="E130" s="6" t="n">
        <v>0.362</v>
      </c>
      <c r="F130" s="6" t="n">
        <v>0.425</v>
      </c>
      <c r="G130" s="6" t="n">
        <v>0</v>
      </c>
      <c r="H130" s="10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 t="n">
        <v>0.1</v>
      </c>
      <c r="E131" s="6" t="n">
        <v>0.35</v>
      </c>
      <c r="F131" s="6" t="n">
        <v>0.55</v>
      </c>
      <c r="G131" s="6" t="n">
        <v>0</v>
      </c>
      <c r="H131" s="10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 t="n">
        <v>0.55</v>
      </c>
      <c r="E132" s="6" t="n">
        <v>0.4</v>
      </c>
      <c r="F132" s="6" t="n">
        <v>0.05</v>
      </c>
      <c r="G132" s="6" t="n">
        <v>0</v>
      </c>
      <c r="H132" s="10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 t="n">
        <v>0.438</v>
      </c>
      <c r="E133" s="6" t="n">
        <v>0.388</v>
      </c>
      <c r="F133" s="6" t="n">
        <v>0.174</v>
      </c>
      <c r="G133" s="6" t="n">
        <v>0</v>
      </c>
      <c r="H133" s="10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 t="n">
        <v>0.325</v>
      </c>
      <c r="E134" s="6" t="n">
        <v>0.375</v>
      </c>
      <c r="F134" s="6" t="n">
        <v>0.3</v>
      </c>
      <c r="G134" s="6" t="n">
        <v>0</v>
      </c>
      <c r="H134" s="10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 t="n">
        <v>0.213</v>
      </c>
      <c r="E135" s="6" t="n">
        <v>0.362</v>
      </c>
      <c r="F135" s="6" t="n">
        <v>0.425</v>
      </c>
      <c r="G135" s="6" t="n">
        <v>0</v>
      </c>
      <c r="H135" s="10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 t="n">
        <v>0.1</v>
      </c>
      <c r="E136" s="6" t="n">
        <v>0.35</v>
      </c>
      <c r="F136" s="6" t="n">
        <v>0.55</v>
      </c>
      <c r="G136" s="6" t="n">
        <v>0</v>
      </c>
      <c r="H136" s="10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 t="n">
        <v>0.495</v>
      </c>
      <c r="E137" s="6" t="n">
        <v>0.36</v>
      </c>
      <c r="F137" s="6" t="n">
        <v>0.045</v>
      </c>
      <c r="G137" s="6" t="n">
        <v>0.1</v>
      </c>
      <c r="H137" s="10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 t="n">
        <v>0.355</v>
      </c>
      <c r="E138" s="6" t="n">
        <v>0.315</v>
      </c>
      <c r="F138" s="6" t="n">
        <v>0.142</v>
      </c>
      <c r="G138" s="6" t="n">
        <v>0.188</v>
      </c>
      <c r="H138" s="10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 t="n">
        <v>0.236</v>
      </c>
      <c r="E139" s="6" t="n">
        <v>0.272</v>
      </c>
      <c r="F139" s="6" t="n">
        <v>0.217</v>
      </c>
      <c r="G139" s="6" t="n">
        <v>0.275</v>
      </c>
      <c r="H139" s="10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 t="n">
        <v>0.135</v>
      </c>
      <c r="E140" s="6" t="n">
        <v>0.231</v>
      </c>
      <c r="F140" s="6" t="n">
        <v>0.272</v>
      </c>
      <c r="G140" s="6" t="n">
        <v>0.362</v>
      </c>
      <c r="H140" s="10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 t="n">
        <v>0.055</v>
      </c>
      <c r="E141" s="6" t="n">
        <v>0.193</v>
      </c>
      <c r="F141" s="6" t="n">
        <v>0.302</v>
      </c>
      <c r="G141" s="6" t="n">
        <v>0.45</v>
      </c>
      <c r="H141" s="10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 t="n">
        <v>0.11</v>
      </c>
      <c r="E142" s="6" t="n">
        <v>0.08</v>
      </c>
      <c r="F142" s="6" t="n">
        <v>0.01</v>
      </c>
      <c r="G142" s="6" t="n">
        <v>0.8</v>
      </c>
      <c r="H142" s="10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 t="n">
        <v>0.077</v>
      </c>
      <c r="E143" s="6" t="n">
        <v>0.068</v>
      </c>
      <c r="F143" s="6" t="n">
        <v>0.03</v>
      </c>
      <c r="G143" s="6" t="n">
        <v>0.825</v>
      </c>
      <c r="H143" s="10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 t="n">
        <v>0.049</v>
      </c>
      <c r="E144" s="6" t="n">
        <v>0.056</v>
      </c>
      <c r="F144" s="6" t="n">
        <v>0.045</v>
      </c>
      <c r="G144" s="6" t="n">
        <v>0.85</v>
      </c>
      <c r="H144" s="10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 t="n">
        <v>0.027</v>
      </c>
      <c r="E145" s="6" t="n">
        <v>0.045</v>
      </c>
      <c r="F145" s="6" t="n">
        <v>0.053</v>
      </c>
      <c r="G145" s="6" t="n">
        <v>0.875</v>
      </c>
      <c r="H145" s="10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 t="n">
        <v>0.01</v>
      </c>
      <c r="E146" s="6" t="n">
        <v>0.035</v>
      </c>
      <c r="F146" s="6" t="n">
        <v>0.055</v>
      </c>
      <c r="G146" s="6" t="n">
        <v>0.9</v>
      </c>
      <c r="H146" s="10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 t="n">
        <v>0.495</v>
      </c>
      <c r="E147" s="6" t="n">
        <v>0.36</v>
      </c>
      <c r="F147" s="6" t="n">
        <v>0.045</v>
      </c>
      <c r="G147" s="6" t="n">
        <v>0.1</v>
      </c>
      <c r="H147" s="10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 t="n">
        <v>0.355</v>
      </c>
      <c r="E148" s="6" t="n">
        <v>0.315</v>
      </c>
      <c r="F148" s="6" t="n">
        <v>0.142</v>
      </c>
      <c r="G148" s="6" t="n">
        <v>0.188</v>
      </c>
      <c r="H148" s="10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 t="n">
        <v>0.236</v>
      </c>
      <c r="E149" s="6" t="n">
        <v>0.272</v>
      </c>
      <c r="F149" s="6" t="n">
        <v>0.217</v>
      </c>
      <c r="G149" s="6" t="n">
        <v>0.275</v>
      </c>
      <c r="H149" s="10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 t="n">
        <v>0.135</v>
      </c>
      <c r="E150" s="6" t="n">
        <v>0.231</v>
      </c>
      <c r="F150" s="6" t="n">
        <v>0.272</v>
      </c>
      <c r="G150" s="6" t="n">
        <v>0.362</v>
      </c>
      <c r="H150" s="10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 t="n">
        <v>0.055</v>
      </c>
      <c r="E151" s="6" t="n">
        <v>0.193</v>
      </c>
      <c r="F151" s="6" t="n">
        <v>0.302</v>
      </c>
      <c r="G151" s="6" t="n">
        <v>0.45</v>
      </c>
      <c r="H151" s="10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 t="n">
        <v>0.55</v>
      </c>
      <c r="E152" s="6" t="n">
        <v>0.4</v>
      </c>
      <c r="F152" s="6" t="n">
        <v>0.05</v>
      </c>
      <c r="G152" s="6" t="n">
        <v>0</v>
      </c>
      <c r="H152" s="10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 t="n">
        <v>0.438</v>
      </c>
      <c r="E153" s="6" t="n">
        <v>0.388</v>
      </c>
      <c r="F153" s="6" t="n">
        <v>0.174</v>
      </c>
      <c r="G153" s="6" t="n">
        <v>0</v>
      </c>
      <c r="H153" s="10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 t="n">
        <v>0.325</v>
      </c>
      <c r="E154" s="6" t="n">
        <v>0.375</v>
      </c>
      <c r="F154" s="6" t="n">
        <v>0.3</v>
      </c>
      <c r="G154" s="6" t="n">
        <v>0</v>
      </c>
      <c r="H154" s="10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 t="n">
        <v>0.213</v>
      </c>
      <c r="E155" s="6" t="n">
        <v>0.362</v>
      </c>
      <c r="F155" s="6" t="n">
        <v>0.425</v>
      </c>
      <c r="G155" s="6" t="n">
        <v>0</v>
      </c>
      <c r="H155" s="10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 t="n">
        <v>0.1</v>
      </c>
      <c r="E156" s="6" t="n">
        <v>0.35</v>
      </c>
      <c r="F156" s="6" t="n">
        <v>0.55</v>
      </c>
      <c r="G156" s="6" t="n">
        <v>0</v>
      </c>
      <c r="H156" s="10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 t="n">
        <v>0.55</v>
      </c>
      <c r="E157" s="6" t="n">
        <v>0.4</v>
      </c>
      <c r="F157" s="6" t="n">
        <v>0.05</v>
      </c>
      <c r="G157" s="6" t="n">
        <v>0</v>
      </c>
      <c r="H157" s="10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 t="n">
        <v>0.438</v>
      </c>
      <c r="E158" s="6" t="n">
        <v>0.388</v>
      </c>
      <c r="F158" s="6" t="n">
        <v>0.174</v>
      </c>
      <c r="G158" s="6" t="n">
        <v>0</v>
      </c>
      <c r="H158" s="10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 t="n">
        <v>0.325</v>
      </c>
      <c r="E159" s="6" t="n">
        <v>0.375</v>
      </c>
      <c r="F159" s="6" t="n">
        <v>0.3</v>
      </c>
      <c r="G159" s="6" t="n">
        <v>0</v>
      </c>
      <c r="H159" s="10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 t="n">
        <v>0.213</v>
      </c>
      <c r="E160" s="6" t="n">
        <v>0.362</v>
      </c>
      <c r="F160" s="6" t="n">
        <v>0.425</v>
      </c>
      <c r="G160" s="6" t="n">
        <v>0</v>
      </c>
      <c r="H160" s="10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 t="n">
        <v>0.1</v>
      </c>
      <c r="E161" s="6" t="n">
        <v>0.35</v>
      </c>
      <c r="F161" s="6" t="n">
        <v>0.55</v>
      </c>
      <c r="G161" s="6" t="n">
        <v>0</v>
      </c>
      <c r="H161" s="10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 t="n">
        <v>0.193</v>
      </c>
      <c r="E162" s="6" t="n">
        <v>0.14</v>
      </c>
      <c r="F162" s="6" t="n">
        <v>0.017</v>
      </c>
      <c r="G162" s="6" t="n">
        <v>0.65</v>
      </c>
      <c r="H162" s="10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 t="n">
        <v>0.131</v>
      </c>
      <c r="E163" s="6" t="n">
        <v>0.116</v>
      </c>
      <c r="F163" s="6" t="n">
        <v>0.053</v>
      </c>
      <c r="G163" s="6" t="n">
        <v>0.7</v>
      </c>
      <c r="H163" s="10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 t="n">
        <v>0.081</v>
      </c>
      <c r="E164" s="6" t="n">
        <v>0.094</v>
      </c>
      <c r="F164" s="6" t="n">
        <v>0.075</v>
      </c>
      <c r="G164" s="6" t="n">
        <v>0.75</v>
      </c>
      <c r="H164" s="10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 t="n">
        <v>0.043</v>
      </c>
      <c r="E165" s="6" t="n">
        <v>0.07199999999999999</v>
      </c>
      <c r="F165" s="6" t="n">
        <v>0.08500000000000001</v>
      </c>
      <c r="G165" s="6" t="n">
        <v>0.8</v>
      </c>
      <c r="H165" s="10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 t="n">
        <v>0.015</v>
      </c>
      <c r="E166" s="6" t="n">
        <v>0.052</v>
      </c>
      <c r="F166" s="6" t="n">
        <v>0.083</v>
      </c>
      <c r="G166" s="6" t="n">
        <v>0.85</v>
      </c>
      <c r="H166" s="10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 t="n">
        <v>0.55</v>
      </c>
      <c r="E167" s="6" t="n">
        <v>0.4</v>
      </c>
      <c r="F167" s="6" t="n">
        <v>0.05</v>
      </c>
      <c r="G167" s="6" t="n">
        <v>0</v>
      </c>
      <c r="H167" s="10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 t="n">
        <v>0.438</v>
      </c>
      <c r="E168" s="6" t="n">
        <v>0.388</v>
      </c>
      <c r="F168" s="6" t="n">
        <v>0.174</v>
      </c>
      <c r="G168" s="6" t="n">
        <v>0</v>
      </c>
      <c r="H168" s="10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 t="n">
        <v>0.325</v>
      </c>
      <c r="E169" s="6" t="n">
        <v>0.375</v>
      </c>
      <c r="F169" s="6" t="n">
        <v>0.3</v>
      </c>
      <c r="G169" s="6" t="n">
        <v>0</v>
      </c>
      <c r="H169" s="10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 t="n">
        <v>0.213</v>
      </c>
      <c r="E170" s="6" t="n">
        <v>0.362</v>
      </c>
      <c r="F170" s="6" t="n">
        <v>0.425</v>
      </c>
      <c r="G170" s="6" t="n">
        <v>0</v>
      </c>
      <c r="H170" s="10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 t="n">
        <v>0.1</v>
      </c>
      <c r="E171" s="6" t="n">
        <v>0.35</v>
      </c>
      <c r="F171" s="6" t="n">
        <v>0.55</v>
      </c>
      <c r="G171" s="6" t="n">
        <v>0</v>
      </c>
      <c r="H171" s="10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 t="n">
        <v>0.55</v>
      </c>
      <c r="E172" s="6" t="n">
        <v>0.4</v>
      </c>
      <c r="F172" s="6" t="n">
        <v>0.05</v>
      </c>
      <c r="G172" s="6" t="n">
        <v>0</v>
      </c>
      <c r="H172" s="10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 t="n">
        <v>0.438</v>
      </c>
      <c r="E173" s="6" t="n">
        <v>0.388</v>
      </c>
      <c r="F173" s="6" t="n">
        <v>0.174</v>
      </c>
      <c r="G173" s="6" t="n">
        <v>0</v>
      </c>
      <c r="H173" s="10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 t="n">
        <v>0.325</v>
      </c>
      <c r="E174" s="6" t="n">
        <v>0.375</v>
      </c>
      <c r="F174" s="6" t="n">
        <v>0.3</v>
      </c>
      <c r="G174" s="6" t="n">
        <v>0</v>
      </c>
      <c r="H174" s="10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 t="n">
        <v>0.213</v>
      </c>
      <c r="E175" s="6" t="n">
        <v>0.362</v>
      </c>
      <c r="F175" s="6" t="n">
        <v>0.425</v>
      </c>
      <c r="G175" s="6" t="n">
        <v>0</v>
      </c>
      <c r="H175" s="10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 t="n">
        <v>0.1</v>
      </c>
      <c r="E176" s="6" t="n">
        <v>0.35</v>
      </c>
      <c r="F176" s="6" t="n">
        <v>0.55</v>
      </c>
      <c r="G176" s="6" t="n">
        <v>0</v>
      </c>
      <c r="H176" s="10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 t="n">
        <v>0.55</v>
      </c>
      <c r="E177" s="6" t="n">
        <v>0.4</v>
      </c>
      <c r="F177" s="6" t="n">
        <v>0.05</v>
      </c>
      <c r="G177" s="6" t="n">
        <v>0</v>
      </c>
      <c r="H177" s="10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 t="n">
        <v>0.438</v>
      </c>
      <c r="E178" s="6" t="n">
        <v>0.388</v>
      </c>
      <c r="F178" s="6" t="n">
        <v>0.174</v>
      </c>
      <c r="G178" s="6" t="n">
        <v>0</v>
      </c>
      <c r="H178" s="10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 t="n">
        <v>0.325</v>
      </c>
      <c r="E179" s="6" t="n">
        <v>0.375</v>
      </c>
      <c r="F179" s="6" t="n">
        <v>0.3</v>
      </c>
      <c r="G179" s="6" t="n">
        <v>0</v>
      </c>
      <c r="H179" s="10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 t="n">
        <v>0.213</v>
      </c>
      <c r="E180" s="6" t="n">
        <v>0.362</v>
      </c>
      <c r="F180" s="6" t="n">
        <v>0.425</v>
      </c>
      <c r="G180" s="6" t="n">
        <v>0</v>
      </c>
      <c r="H180" s="10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 t="n">
        <v>0.1</v>
      </c>
      <c r="E181" s="6" t="n">
        <v>0.35</v>
      </c>
      <c r="F181" s="6" t="n">
        <v>0.55</v>
      </c>
      <c r="G181" s="6" t="n">
        <v>0</v>
      </c>
      <c r="H181" s="10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2" customWidth="1" min="22" max="22"/>
    <col width="38" customWidth="1" min="23" max="23"/>
    <col width="20" customWidth="1" min="24" max="24"/>
    <col width="26" customWidth="1" min="25" max="25"/>
    <col width="27" customWidth="1" min="26" max="26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h200_reference_tps_per_mw</t>
        </is>
      </c>
      <c r="S1" s="4" t="inlineStr">
        <is>
          <t>b200_reference_tps_per_mw</t>
        </is>
      </c>
      <c r="T1" s="4" t="inlineStr">
        <is>
          <t>gb200_reference_tps_per_mw</t>
        </is>
      </c>
      <c r="U1" s="4" t="inlineStr">
        <is>
          <t>purpose_built_reference_tps_per_mw</t>
        </is>
      </c>
      <c r="V1" s="4" t="inlineStr">
        <is>
          <t>commercial_workload_fit_factor</t>
        </is>
      </c>
      <c r="W1" s="4" t="inlineStr">
        <is>
          <t>fleet_reference_tps_per_mw</t>
        </is>
      </c>
      <c r="X1" s="4" t="inlineStr">
        <is>
          <t>serving_tps_per_mw</t>
        </is>
      </c>
      <c r="Y1" s="4" t="inlineStr">
        <is>
          <t>inference_tokens_per_day</t>
        </is>
      </c>
      <c r="Z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'02_GPU_Mix_Input'!D2</f>
        <v/>
      </c>
      <c r="O2" s="10">
        <f>'02_GPU_Mix_Input'!E2</f>
        <v/>
      </c>
      <c r="P2" s="10">
        <f>'02_GPU_Mix_Input'!F2</f>
        <v/>
      </c>
      <c r="Q2" s="10">
        <f>'02_GPU_Mix_Input'!G2</f>
        <v/>
      </c>
      <c r="R2" s="12">
        <f>INDEX('01_Benchmark_Input'!$D$2:$D$10,MATCH(B2,'01_Benchmark_Input'!$A$2:$A$10,0))</f>
        <v/>
      </c>
      <c r="S2" s="12">
        <f>INDEX('01_Benchmark_Input'!$F$2:$F$10,MATCH(B2,'01_Benchmark_Input'!$A$2:$A$10,0))</f>
        <v/>
      </c>
      <c r="T2" s="12">
        <f>INDEX('01_Benchmark_Input'!$H$2:$H$10,MATCH(B2,'01_Benchmark_Input'!$A$2:$A$10,0))</f>
        <v/>
      </c>
      <c r="U2" s="12">
        <f>INDEX('01_Benchmark_Input'!$J$2:$J$10,MATCH(B2,'01_Benchmark_Input'!$A$2:$A$10,0))</f>
        <v/>
      </c>
      <c r="V2" s="10">
        <f>'02_Inputs'!K2</f>
        <v/>
      </c>
      <c r="W2" s="12">
        <f>N2*R2+O2*S2+P2*T2+Q2*U2</f>
        <v/>
      </c>
      <c r="X2" s="12">
        <f>W2*V2</f>
        <v/>
      </c>
      <c r="Y2" s="12">
        <f>L2*1000*X2*86400</f>
        <v/>
      </c>
      <c r="Z2" s="12">
        <f>Y2*365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'02_GPU_Mix_Input'!D3</f>
        <v/>
      </c>
      <c r="O3" s="10">
        <f>'02_GPU_Mix_Input'!E3</f>
        <v/>
      </c>
      <c r="P3" s="10">
        <f>'02_GPU_Mix_Input'!F3</f>
        <v/>
      </c>
      <c r="Q3" s="10">
        <f>'02_GPU_Mix_Input'!G3</f>
        <v/>
      </c>
      <c r="R3" s="12">
        <f>INDEX('01_Benchmark_Input'!$D$2:$D$10,MATCH(B3,'01_Benchmark_Input'!$A$2:$A$10,0))</f>
        <v/>
      </c>
      <c r="S3" s="12">
        <f>INDEX('01_Benchmark_Input'!$F$2:$F$10,MATCH(B3,'01_Benchmark_Input'!$A$2:$A$10,0))</f>
        <v/>
      </c>
      <c r="T3" s="12">
        <f>INDEX('01_Benchmark_Input'!$H$2:$H$10,MATCH(B3,'01_Benchmark_Input'!$A$2:$A$10,0))</f>
        <v/>
      </c>
      <c r="U3" s="12">
        <f>INDEX('01_Benchmark_Input'!$J$2:$J$10,MATCH(B3,'01_Benchmark_Input'!$A$2:$A$10,0))</f>
        <v/>
      </c>
      <c r="V3" s="10">
        <f>'02_Inputs'!K3</f>
        <v/>
      </c>
      <c r="W3" s="12">
        <f>N3*R3+O3*S3+P3*T3+Q3*U3</f>
        <v/>
      </c>
      <c r="X3" s="12">
        <f>W3*V3</f>
        <v/>
      </c>
      <c r="Y3" s="12">
        <f>L3*1000*X3*86400</f>
        <v/>
      </c>
      <c r="Z3" s="12">
        <f>Y3*365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'02_GPU_Mix_Input'!D4</f>
        <v/>
      </c>
      <c r="O4" s="10">
        <f>'02_GPU_Mix_Input'!E4</f>
        <v/>
      </c>
      <c r="P4" s="10">
        <f>'02_GPU_Mix_Input'!F4</f>
        <v/>
      </c>
      <c r="Q4" s="10">
        <f>'02_GPU_Mix_Input'!G4</f>
        <v/>
      </c>
      <c r="R4" s="12">
        <f>INDEX('01_Benchmark_Input'!$D$2:$D$10,MATCH(B4,'01_Benchmark_Input'!$A$2:$A$10,0))</f>
        <v/>
      </c>
      <c r="S4" s="12">
        <f>INDEX('01_Benchmark_Input'!$F$2:$F$10,MATCH(B4,'01_Benchmark_Input'!$A$2:$A$10,0))</f>
        <v/>
      </c>
      <c r="T4" s="12">
        <f>INDEX('01_Benchmark_Input'!$H$2:$H$10,MATCH(B4,'01_Benchmark_Input'!$A$2:$A$10,0))</f>
        <v/>
      </c>
      <c r="U4" s="12">
        <f>INDEX('01_Benchmark_Input'!$J$2:$J$10,MATCH(B4,'01_Benchmark_Input'!$A$2:$A$10,0))</f>
        <v/>
      </c>
      <c r="V4" s="10">
        <f>'02_Inputs'!K4</f>
        <v/>
      </c>
      <c r="W4" s="12">
        <f>N4*R4+O4*S4+P4*T4+Q4*U4</f>
        <v/>
      </c>
      <c r="X4" s="12">
        <f>W4*V4</f>
        <v/>
      </c>
      <c r="Y4" s="12">
        <f>L4*1000*X4*86400</f>
        <v/>
      </c>
      <c r="Z4" s="12">
        <f>Y4*365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'02_GPU_Mix_Input'!D5</f>
        <v/>
      </c>
      <c r="O5" s="10">
        <f>'02_GPU_Mix_Input'!E5</f>
        <v/>
      </c>
      <c r="P5" s="10">
        <f>'02_GPU_Mix_Input'!F5</f>
        <v/>
      </c>
      <c r="Q5" s="10">
        <f>'02_GPU_Mix_Input'!G5</f>
        <v/>
      </c>
      <c r="R5" s="12">
        <f>INDEX('01_Benchmark_Input'!$D$2:$D$10,MATCH(B5,'01_Benchmark_Input'!$A$2:$A$10,0))</f>
        <v/>
      </c>
      <c r="S5" s="12">
        <f>INDEX('01_Benchmark_Input'!$F$2:$F$10,MATCH(B5,'01_Benchmark_Input'!$A$2:$A$10,0))</f>
        <v/>
      </c>
      <c r="T5" s="12">
        <f>INDEX('01_Benchmark_Input'!$H$2:$H$10,MATCH(B5,'01_Benchmark_Input'!$A$2:$A$10,0))</f>
        <v/>
      </c>
      <c r="U5" s="12">
        <f>INDEX('01_Benchmark_Input'!$J$2:$J$10,MATCH(B5,'01_Benchmark_Input'!$A$2:$A$10,0))</f>
        <v/>
      </c>
      <c r="V5" s="10">
        <f>'02_Inputs'!K5</f>
        <v/>
      </c>
      <c r="W5" s="12">
        <f>N5*R5+O5*S5+P5*T5+Q5*U5</f>
        <v/>
      </c>
      <c r="X5" s="12">
        <f>W5*V5</f>
        <v/>
      </c>
      <c r="Y5" s="12">
        <f>L5*1000*X5*86400</f>
        <v/>
      </c>
      <c r="Z5" s="12">
        <f>Y5*365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'02_GPU_Mix_Input'!D6</f>
        <v/>
      </c>
      <c r="O6" s="10">
        <f>'02_GPU_Mix_Input'!E6</f>
        <v/>
      </c>
      <c r="P6" s="10">
        <f>'02_GPU_Mix_Input'!F6</f>
        <v/>
      </c>
      <c r="Q6" s="10">
        <f>'02_GPU_Mix_Input'!G6</f>
        <v/>
      </c>
      <c r="R6" s="12">
        <f>INDEX('01_Benchmark_Input'!$D$2:$D$10,MATCH(B6,'01_Benchmark_Input'!$A$2:$A$10,0))</f>
        <v/>
      </c>
      <c r="S6" s="12">
        <f>INDEX('01_Benchmark_Input'!$F$2:$F$10,MATCH(B6,'01_Benchmark_Input'!$A$2:$A$10,0))</f>
        <v/>
      </c>
      <c r="T6" s="12">
        <f>INDEX('01_Benchmark_Input'!$H$2:$H$10,MATCH(B6,'01_Benchmark_Input'!$A$2:$A$10,0))</f>
        <v/>
      </c>
      <c r="U6" s="12">
        <f>INDEX('01_Benchmark_Input'!$J$2:$J$10,MATCH(B6,'01_Benchmark_Input'!$A$2:$A$10,0))</f>
        <v/>
      </c>
      <c r="V6" s="10">
        <f>'02_Inputs'!K6</f>
        <v/>
      </c>
      <c r="W6" s="12">
        <f>N6*R6+O6*S6+P6*T6+Q6*U6</f>
        <v/>
      </c>
      <c r="X6" s="12">
        <f>W6*V6</f>
        <v/>
      </c>
      <c r="Y6" s="12">
        <f>L6*1000*X6*86400</f>
        <v/>
      </c>
      <c r="Z6" s="12">
        <f>Y6*365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'02_GPU_Mix_Input'!D7</f>
        <v/>
      </c>
      <c r="O7" s="10">
        <f>'02_GPU_Mix_Input'!E7</f>
        <v/>
      </c>
      <c r="P7" s="10">
        <f>'02_GPU_Mix_Input'!F7</f>
        <v/>
      </c>
      <c r="Q7" s="10">
        <f>'02_GPU_Mix_Input'!G7</f>
        <v/>
      </c>
      <c r="R7" s="12">
        <f>INDEX('01_Benchmark_Input'!$D$2:$D$10,MATCH(B7,'01_Benchmark_Input'!$A$2:$A$10,0))</f>
        <v/>
      </c>
      <c r="S7" s="12">
        <f>INDEX('01_Benchmark_Input'!$F$2:$F$10,MATCH(B7,'01_Benchmark_Input'!$A$2:$A$10,0))</f>
        <v/>
      </c>
      <c r="T7" s="12">
        <f>INDEX('01_Benchmark_Input'!$H$2:$H$10,MATCH(B7,'01_Benchmark_Input'!$A$2:$A$10,0))</f>
        <v/>
      </c>
      <c r="U7" s="12">
        <f>INDEX('01_Benchmark_Input'!$J$2:$J$10,MATCH(B7,'01_Benchmark_Input'!$A$2:$A$10,0))</f>
        <v/>
      </c>
      <c r="V7" s="10">
        <f>'02_Inputs'!K7</f>
        <v/>
      </c>
      <c r="W7" s="12">
        <f>N7*R7+O7*S7+P7*T7+Q7*U7</f>
        <v/>
      </c>
      <c r="X7" s="12">
        <f>W7*V7</f>
        <v/>
      </c>
      <c r="Y7" s="12">
        <f>L7*1000*X7*86400</f>
        <v/>
      </c>
      <c r="Z7" s="12">
        <f>Y7*365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'02_GPU_Mix_Input'!D8</f>
        <v/>
      </c>
      <c r="O8" s="10">
        <f>'02_GPU_Mix_Input'!E8</f>
        <v/>
      </c>
      <c r="P8" s="10">
        <f>'02_GPU_Mix_Input'!F8</f>
        <v/>
      </c>
      <c r="Q8" s="10">
        <f>'02_GPU_Mix_Input'!G8</f>
        <v/>
      </c>
      <c r="R8" s="12">
        <f>INDEX('01_Benchmark_Input'!$D$2:$D$10,MATCH(B8,'01_Benchmark_Input'!$A$2:$A$10,0))</f>
        <v/>
      </c>
      <c r="S8" s="12">
        <f>INDEX('01_Benchmark_Input'!$F$2:$F$10,MATCH(B8,'01_Benchmark_Input'!$A$2:$A$10,0))</f>
        <v/>
      </c>
      <c r="T8" s="12">
        <f>INDEX('01_Benchmark_Input'!$H$2:$H$10,MATCH(B8,'01_Benchmark_Input'!$A$2:$A$10,0))</f>
        <v/>
      </c>
      <c r="U8" s="12">
        <f>INDEX('01_Benchmark_Input'!$J$2:$J$10,MATCH(B8,'01_Benchmark_Input'!$A$2:$A$10,0))</f>
        <v/>
      </c>
      <c r="V8" s="10">
        <f>'02_Inputs'!K8</f>
        <v/>
      </c>
      <c r="W8" s="12">
        <f>N8*R8+O8*S8+P8*T8+Q8*U8</f>
        <v/>
      </c>
      <c r="X8" s="12">
        <f>W8*V8</f>
        <v/>
      </c>
      <c r="Y8" s="12">
        <f>L8*1000*X8*86400</f>
        <v/>
      </c>
      <c r="Z8" s="12">
        <f>Y8*365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'02_GPU_Mix_Input'!D9</f>
        <v/>
      </c>
      <c r="O9" s="10">
        <f>'02_GPU_Mix_Input'!E9</f>
        <v/>
      </c>
      <c r="P9" s="10">
        <f>'02_GPU_Mix_Input'!F9</f>
        <v/>
      </c>
      <c r="Q9" s="10">
        <f>'02_GPU_Mix_Input'!G9</f>
        <v/>
      </c>
      <c r="R9" s="12">
        <f>INDEX('01_Benchmark_Input'!$D$2:$D$10,MATCH(B9,'01_Benchmark_Input'!$A$2:$A$10,0))</f>
        <v/>
      </c>
      <c r="S9" s="12">
        <f>INDEX('01_Benchmark_Input'!$F$2:$F$10,MATCH(B9,'01_Benchmark_Input'!$A$2:$A$10,0))</f>
        <v/>
      </c>
      <c r="T9" s="12">
        <f>INDEX('01_Benchmark_Input'!$H$2:$H$10,MATCH(B9,'01_Benchmark_Input'!$A$2:$A$10,0))</f>
        <v/>
      </c>
      <c r="U9" s="12">
        <f>INDEX('01_Benchmark_Input'!$J$2:$J$10,MATCH(B9,'01_Benchmark_Input'!$A$2:$A$10,0))</f>
        <v/>
      </c>
      <c r="V9" s="10">
        <f>'02_Inputs'!K9</f>
        <v/>
      </c>
      <c r="W9" s="12">
        <f>N9*R9+O9*S9+P9*T9+Q9*U9</f>
        <v/>
      </c>
      <c r="X9" s="12">
        <f>W9*V9</f>
        <v/>
      </c>
      <c r="Y9" s="12">
        <f>L9*1000*X9*86400</f>
        <v/>
      </c>
      <c r="Z9" s="12">
        <f>Y9*365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'02_GPU_Mix_Input'!D10</f>
        <v/>
      </c>
      <c r="O10" s="10">
        <f>'02_GPU_Mix_Input'!E10</f>
        <v/>
      </c>
      <c r="P10" s="10">
        <f>'02_GPU_Mix_Input'!F10</f>
        <v/>
      </c>
      <c r="Q10" s="10">
        <f>'02_GPU_Mix_Input'!G10</f>
        <v/>
      </c>
      <c r="R10" s="12">
        <f>INDEX('01_Benchmark_Input'!$D$2:$D$10,MATCH(B10,'01_Benchmark_Input'!$A$2:$A$10,0))</f>
        <v/>
      </c>
      <c r="S10" s="12">
        <f>INDEX('01_Benchmark_Input'!$F$2:$F$10,MATCH(B10,'01_Benchmark_Input'!$A$2:$A$10,0))</f>
        <v/>
      </c>
      <c r="T10" s="12">
        <f>INDEX('01_Benchmark_Input'!$H$2:$H$10,MATCH(B10,'01_Benchmark_Input'!$A$2:$A$10,0))</f>
        <v/>
      </c>
      <c r="U10" s="12">
        <f>INDEX('01_Benchmark_Input'!$J$2:$J$10,MATCH(B10,'01_Benchmark_Input'!$A$2:$A$10,0))</f>
        <v/>
      </c>
      <c r="V10" s="10">
        <f>'02_Inputs'!K10</f>
        <v/>
      </c>
      <c r="W10" s="12">
        <f>N10*R10+O10*S10+P10*T10+Q10*U10</f>
        <v/>
      </c>
      <c r="X10" s="12">
        <f>W10*V10</f>
        <v/>
      </c>
      <c r="Y10" s="12">
        <f>L10*1000*X10*86400</f>
        <v/>
      </c>
      <c r="Z10" s="12">
        <f>Y10*365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'02_GPU_Mix_Input'!D11</f>
        <v/>
      </c>
      <c r="O11" s="10">
        <f>'02_GPU_Mix_Input'!E11</f>
        <v/>
      </c>
      <c r="P11" s="10">
        <f>'02_GPU_Mix_Input'!F11</f>
        <v/>
      </c>
      <c r="Q11" s="10">
        <f>'02_GPU_Mix_Input'!G11</f>
        <v/>
      </c>
      <c r="R11" s="12">
        <f>INDEX('01_Benchmark_Input'!$D$2:$D$10,MATCH(B11,'01_Benchmark_Input'!$A$2:$A$10,0))</f>
        <v/>
      </c>
      <c r="S11" s="12">
        <f>INDEX('01_Benchmark_Input'!$F$2:$F$10,MATCH(B11,'01_Benchmark_Input'!$A$2:$A$10,0))</f>
        <v/>
      </c>
      <c r="T11" s="12">
        <f>INDEX('01_Benchmark_Input'!$H$2:$H$10,MATCH(B11,'01_Benchmark_Input'!$A$2:$A$10,0))</f>
        <v/>
      </c>
      <c r="U11" s="12">
        <f>INDEX('01_Benchmark_Input'!$J$2:$J$10,MATCH(B11,'01_Benchmark_Input'!$A$2:$A$10,0))</f>
        <v/>
      </c>
      <c r="V11" s="10">
        <f>'02_Inputs'!K11</f>
        <v/>
      </c>
      <c r="W11" s="12">
        <f>N11*R11+O11*S11+P11*T11+Q11*U11</f>
        <v/>
      </c>
      <c r="X11" s="12">
        <f>W11*V11</f>
        <v/>
      </c>
      <c r="Y11" s="12">
        <f>L11*1000*X11*86400</f>
        <v/>
      </c>
      <c r="Z11" s="12">
        <f>Y11*365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'02_GPU_Mix_Input'!D12</f>
        <v/>
      </c>
      <c r="O12" s="10">
        <f>'02_GPU_Mix_Input'!E12</f>
        <v/>
      </c>
      <c r="P12" s="10">
        <f>'02_GPU_Mix_Input'!F12</f>
        <v/>
      </c>
      <c r="Q12" s="10">
        <f>'02_GPU_Mix_Input'!G12</f>
        <v/>
      </c>
      <c r="R12" s="12">
        <f>INDEX('01_Benchmark_Input'!$D$2:$D$10,MATCH(B12,'01_Benchmark_Input'!$A$2:$A$10,0))</f>
        <v/>
      </c>
      <c r="S12" s="12">
        <f>INDEX('01_Benchmark_Input'!$F$2:$F$10,MATCH(B12,'01_Benchmark_Input'!$A$2:$A$10,0))</f>
        <v/>
      </c>
      <c r="T12" s="12">
        <f>INDEX('01_Benchmark_Input'!$H$2:$H$10,MATCH(B12,'01_Benchmark_Input'!$A$2:$A$10,0))</f>
        <v/>
      </c>
      <c r="U12" s="12">
        <f>INDEX('01_Benchmark_Input'!$J$2:$J$10,MATCH(B12,'01_Benchmark_Input'!$A$2:$A$10,0))</f>
        <v/>
      </c>
      <c r="V12" s="10">
        <f>'02_Inputs'!K12</f>
        <v/>
      </c>
      <c r="W12" s="12">
        <f>N12*R12+O12*S12+P12*T12+Q12*U12</f>
        <v/>
      </c>
      <c r="X12" s="12">
        <f>W12*V12</f>
        <v/>
      </c>
      <c r="Y12" s="12">
        <f>L12*1000*X12*86400</f>
        <v/>
      </c>
      <c r="Z12" s="12">
        <f>Y12*365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'02_GPU_Mix_Input'!D13</f>
        <v/>
      </c>
      <c r="O13" s="10">
        <f>'02_GPU_Mix_Input'!E13</f>
        <v/>
      </c>
      <c r="P13" s="10">
        <f>'02_GPU_Mix_Input'!F13</f>
        <v/>
      </c>
      <c r="Q13" s="10">
        <f>'02_GPU_Mix_Input'!G13</f>
        <v/>
      </c>
      <c r="R13" s="12">
        <f>INDEX('01_Benchmark_Input'!$D$2:$D$10,MATCH(B13,'01_Benchmark_Input'!$A$2:$A$10,0))</f>
        <v/>
      </c>
      <c r="S13" s="12">
        <f>INDEX('01_Benchmark_Input'!$F$2:$F$10,MATCH(B13,'01_Benchmark_Input'!$A$2:$A$10,0))</f>
        <v/>
      </c>
      <c r="T13" s="12">
        <f>INDEX('01_Benchmark_Input'!$H$2:$H$10,MATCH(B13,'01_Benchmark_Input'!$A$2:$A$10,0))</f>
        <v/>
      </c>
      <c r="U13" s="12">
        <f>INDEX('01_Benchmark_Input'!$J$2:$J$10,MATCH(B13,'01_Benchmark_Input'!$A$2:$A$10,0))</f>
        <v/>
      </c>
      <c r="V13" s="10">
        <f>'02_Inputs'!K13</f>
        <v/>
      </c>
      <c r="W13" s="12">
        <f>N13*R13+O13*S13+P13*T13+Q13*U13</f>
        <v/>
      </c>
      <c r="X13" s="12">
        <f>W13*V13</f>
        <v/>
      </c>
      <c r="Y13" s="12">
        <f>L13*1000*X13*86400</f>
        <v/>
      </c>
      <c r="Z13" s="12">
        <f>Y13*365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'02_GPU_Mix_Input'!D14</f>
        <v/>
      </c>
      <c r="O14" s="10">
        <f>'02_GPU_Mix_Input'!E14</f>
        <v/>
      </c>
      <c r="P14" s="10">
        <f>'02_GPU_Mix_Input'!F14</f>
        <v/>
      </c>
      <c r="Q14" s="10">
        <f>'02_GPU_Mix_Input'!G14</f>
        <v/>
      </c>
      <c r="R14" s="12">
        <f>INDEX('01_Benchmark_Input'!$D$2:$D$10,MATCH(B14,'01_Benchmark_Input'!$A$2:$A$10,0))</f>
        <v/>
      </c>
      <c r="S14" s="12">
        <f>INDEX('01_Benchmark_Input'!$F$2:$F$10,MATCH(B14,'01_Benchmark_Input'!$A$2:$A$10,0))</f>
        <v/>
      </c>
      <c r="T14" s="12">
        <f>INDEX('01_Benchmark_Input'!$H$2:$H$10,MATCH(B14,'01_Benchmark_Input'!$A$2:$A$10,0))</f>
        <v/>
      </c>
      <c r="U14" s="12">
        <f>INDEX('01_Benchmark_Input'!$J$2:$J$10,MATCH(B14,'01_Benchmark_Input'!$A$2:$A$10,0))</f>
        <v/>
      </c>
      <c r="V14" s="10">
        <f>'02_Inputs'!K14</f>
        <v/>
      </c>
      <c r="W14" s="12">
        <f>N14*R14+O14*S14+P14*T14+Q14*U14</f>
        <v/>
      </c>
      <c r="X14" s="12">
        <f>W14*V14</f>
        <v/>
      </c>
      <c r="Y14" s="12">
        <f>L14*1000*X14*86400</f>
        <v/>
      </c>
      <c r="Z14" s="12">
        <f>Y14*365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'02_GPU_Mix_Input'!D15</f>
        <v/>
      </c>
      <c r="O15" s="10">
        <f>'02_GPU_Mix_Input'!E15</f>
        <v/>
      </c>
      <c r="P15" s="10">
        <f>'02_GPU_Mix_Input'!F15</f>
        <v/>
      </c>
      <c r="Q15" s="10">
        <f>'02_GPU_Mix_Input'!G15</f>
        <v/>
      </c>
      <c r="R15" s="12">
        <f>INDEX('01_Benchmark_Input'!$D$2:$D$10,MATCH(B15,'01_Benchmark_Input'!$A$2:$A$10,0))</f>
        <v/>
      </c>
      <c r="S15" s="12">
        <f>INDEX('01_Benchmark_Input'!$F$2:$F$10,MATCH(B15,'01_Benchmark_Input'!$A$2:$A$10,0))</f>
        <v/>
      </c>
      <c r="T15" s="12">
        <f>INDEX('01_Benchmark_Input'!$H$2:$H$10,MATCH(B15,'01_Benchmark_Input'!$A$2:$A$10,0))</f>
        <v/>
      </c>
      <c r="U15" s="12">
        <f>INDEX('01_Benchmark_Input'!$J$2:$J$10,MATCH(B15,'01_Benchmark_Input'!$A$2:$A$10,0))</f>
        <v/>
      </c>
      <c r="V15" s="10">
        <f>'02_Inputs'!K15</f>
        <v/>
      </c>
      <c r="W15" s="12">
        <f>N15*R15+O15*S15+P15*T15+Q15*U15</f>
        <v/>
      </c>
      <c r="X15" s="12">
        <f>W15*V15</f>
        <v/>
      </c>
      <c r="Y15" s="12">
        <f>L15*1000*X15*86400</f>
        <v/>
      </c>
      <c r="Z15" s="12">
        <f>Y15*365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'02_GPU_Mix_Input'!D16</f>
        <v/>
      </c>
      <c r="O16" s="10">
        <f>'02_GPU_Mix_Input'!E16</f>
        <v/>
      </c>
      <c r="P16" s="10">
        <f>'02_GPU_Mix_Input'!F16</f>
        <v/>
      </c>
      <c r="Q16" s="10">
        <f>'02_GPU_Mix_Input'!G16</f>
        <v/>
      </c>
      <c r="R16" s="12">
        <f>INDEX('01_Benchmark_Input'!$D$2:$D$10,MATCH(B16,'01_Benchmark_Input'!$A$2:$A$10,0))</f>
        <v/>
      </c>
      <c r="S16" s="12">
        <f>INDEX('01_Benchmark_Input'!$F$2:$F$10,MATCH(B16,'01_Benchmark_Input'!$A$2:$A$10,0))</f>
        <v/>
      </c>
      <c r="T16" s="12">
        <f>INDEX('01_Benchmark_Input'!$H$2:$H$10,MATCH(B16,'01_Benchmark_Input'!$A$2:$A$10,0))</f>
        <v/>
      </c>
      <c r="U16" s="12">
        <f>INDEX('01_Benchmark_Input'!$J$2:$J$10,MATCH(B16,'01_Benchmark_Input'!$A$2:$A$10,0))</f>
        <v/>
      </c>
      <c r="V16" s="10">
        <f>'02_Inputs'!K16</f>
        <v/>
      </c>
      <c r="W16" s="12">
        <f>N16*R16+O16*S16+P16*T16+Q16*U16</f>
        <v/>
      </c>
      <c r="X16" s="12">
        <f>W16*V16</f>
        <v/>
      </c>
      <c r="Y16" s="12">
        <f>L16*1000*X16*86400</f>
        <v/>
      </c>
      <c r="Z16" s="12">
        <f>Y16*365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'02_GPU_Mix_Input'!D17</f>
        <v/>
      </c>
      <c r="O17" s="10">
        <f>'02_GPU_Mix_Input'!E17</f>
        <v/>
      </c>
      <c r="P17" s="10">
        <f>'02_GPU_Mix_Input'!F17</f>
        <v/>
      </c>
      <c r="Q17" s="10">
        <f>'02_GPU_Mix_Input'!G17</f>
        <v/>
      </c>
      <c r="R17" s="12">
        <f>INDEX('01_Benchmark_Input'!$D$2:$D$10,MATCH(B17,'01_Benchmark_Input'!$A$2:$A$10,0))</f>
        <v/>
      </c>
      <c r="S17" s="12">
        <f>INDEX('01_Benchmark_Input'!$F$2:$F$10,MATCH(B17,'01_Benchmark_Input'!$A$2:$A$10,0))</f>
        <v/>
      </c>
      <c r="T17" s="12">
        <f>INDEX('01_Benchmark_Input'!$H$2:$H$10,MATCH(B17,'01_Benchmark_Input'!$A$2:$A$10,0))</f>
        <v/>
      </c>
      <c r="U17" s="12">
        <f>INDEX('01_Benchmark_Input'!$J$2:$J$10,MATCH(B17,'01_Benchmark_Input'!$A$2:$A$10,0))</f>
        <v/>
      </c>
      <c r="V17" s="10">
        <f>'02_Inputs'!K17</f>
        <v/>
      </c>
      <c r="W17" s="12">
        <f>N17*R17+O17*S17+P17*T17+Q17*U17</f>
        <v/>
      </c>
      <c r="X17" s="12">
        <f>W17*V17</f>
        <v/>
      </c>
      <c r="Y17" s="12">
        <f>L17*1000*X17*86400</f>
        <v/>
      </c>
      <c r="Z17" s="12">
        <f>Y17*365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'02_GPU_Mix_Input'!D18</f>
        <v/>
      </c>
      <c r="O18" s="10">
        <f>'02_GPU_Mix_Input'!E18</f>
        <v/>
      </c>
      <c r="P18" s="10">
        <f>'02_GPU_Mix_Input'!F18</f>
        <v/>
      </c>
      <c r="Q18" s="10">
        <f>'02_GPU_Mix_Input'!G18</f>
        <v/>
      </c>
      <c r="R18" s="12">
        <f>INDEX('01_Benchmark_Input'!$D$2:$D$10,MATCH(B18,'01_Benchmark_Input'!$A$2:$A$10,0))</f>
        <v/>
      </c>
      <c r="S18" s="12">
        <f>INDEX('01_Benchmark_Input'!$F$2:$F$10,MATCH(B18,'01_Benchmark_Input'!$A$2:$A$10,0))</f>
        <v/>
      </c>
      <c r="T18" s="12">
        <f>INDEX('01_Benchmark_Input'!$H$2:$H$10,MATCH(B18,'01_Benchmark_Input'!$A$2:$A$10,0))</f>
        <v/>
      </c>
      <c r="U18" s="12">
        <f>INDEX('01_Benchmark_Input'!$J$2:$J$10,MATCH(B18,'01_Benchmark_Input'!$A$2:$A$10,0))</f>
        <v/>
      </c>
      <c r="V18" s="10">
        <f>'02_Inputs'!K18</f>
        <v/>
      </c>
      <c r="W18" s="12">
        <f>N18*R18+O18*S18+P18*T18+Q18*U18</f>
        <v/>
      </c>
      <c r="X18" s="12">
        <f>W18*V18</f>
        <v/>
      </c>
      <c r="Y18" s="12">
        <f>L18*1000*X18*86400</f>
        <v/>
      </c>
      <c r="Z18" s="12">
        <f>Y18*365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'02_GPU_Mix_Input'!D19</f>
        <v/>
      </c>
      <c r="O19" s="10">
        <f>'02_GPU_Mix_Input'!E19</f>
        <v/>
      </c>
      <c r="P19" s="10">
        <f>'02_GPU_Mix_Input'!F19</f>
        <v/>
      </c>
      <c r="Q19" s="10">
        <f>'02_GPU_Mix_Input'!G19</f>
        <v/>
      </c>
      <c r="R19" s="12">
        <f>INDEX('01_Benchmark_Input'!$D$2:$D$10,MATCH(B19,'01_Benchmark_Input'!$A$2:$A$10,0))</f>
        <v/>
      </c>
      <c r="S19" s="12">
        <f>INDEX('01_Benchmark_Input'!$F$2:$F$10,MATCH(B19,'01_Benchmark_Input'!$A$2:$A$10,0))</f>
        <v/>
      </c>
      <c r="T19" s="12">
        <f>INDEX('01_Benchmark_Input'!$H$2:$H$10,MATCH(B19,'01_Benchmark_Input'!$A$2:$A$10,0))</f>
        <v/>
      </c>
      <c r="U19" s="12">
        <f>INDEX('01_Benchmark_Input'!$J$2:$J$10,MATCH(B19,'01_Benchmark_Input'!$A$2:$A$10,0))</f>
        <v/>
      </c>
      <c r="V19" s="10">
        <f>'02_Inputs'!K19</f>
        <v/>
      </c>
      <c r="W19" s="12">
        <f>N19*R19+O19*S19+P19*T19+Q19*U19</f>
        <v/>
      </c>
      <c r="X19" s="12">
        <f>W19*V19</f>
        <v/>
      </c>
      <c r="Y19" s="12">
        <f>L19*1000*X19*86400</f>
        <v/>
      </c>
      <c r="Z19" s="12">
        <f>Y19*365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'02_GPU_Mix_Input'!D20</f>
        <v/>
      </c>
      <c r="O20" s="10">
        <f>'02_GPU_Mix_Input'!E20</f>
        <v/>
      </c>
      <c r="P20" s="10">
        <f>'02_GPU_Mix_Input'!F20</f>
        <v/>
      </c>
      <c r="Q20" s="10">
        <f>'02_GPU_Mix_Input'!G20</f>
        <v/>
      </c>
      <c r="R20" s="12">
        <f>INDEX('01_Benchmark_Input'!$D$2:$D$10,MATCH(B20,'01_Benchmark_Input'!$A$2:$A$10,0))</f>
        <v/>
      </c>
      <c r="S20" s="12">
        <f>INDEX('01_Benchmark_Input'!$F$2:$F$10,MATCH(B20,'01_Benchmark_Input'!$A$2:$A$10,0))</f>
        <v/>
      </c>
      <c r="T20" s="12">
        <f>INDEX('01_Benchmark_Input'!$H$2:$H$10,MATCH(B20,'01_Benchmark_Input'!$A$2:$A$10,0))</f>
        <v/>
      </c>
      <c r="U20" s="12">
        <f>INDEX('01_Benchmark_Input'!$J$2:$J$10,MATCH(B20,'01_Benchmark_Input'!$A$2:$A$10,0))</f>
        <v/>
      </c>
      <c r="V20" s="10">
        <f>'02_Inputs'!K20</f>
        <v/>
      </c>
      <c r="W20" s="12">
        <f>N20*R20+O20*S20+P20*T20+Q20*U20</f>
        <v/>
      </c>
      <c r="X20" s="12">
        <f>W20*V20</f>
        <v/>
      </c>
      <c r="Y20" s="12">
        <f>L20*1000*X20*86400</f>
        <v/>
      </c>
      <c r="Z20" s="12">
        <f>Y20*365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'02_GPU_Mix_Input'!D21</f>
        <v/>
      </c>
      <c r="O21" s="10">
        <f>'02_GPU_Mix_Input'!E21</f>
        <v/>
      </c>
      <c r="P21" s="10">
        <f>'02_GPU_Mix_Input'!F21</f>
        <v/>
      </c>
      <c r="Q21" s="10">
        <f>'02_GPU_Mix_Input'!G21</f>
        <v/>
      </c>
      <c r="R21" s="12">
        <f>INDEX('01_Benchmark_Input'!$D$2:$D$10,MATCH(B21,'01_Benchmark_Input'!$A$2:$A$10,0))</f>
        <v/>
      </c>
      <c r="S21" s="12">
        <f>INDEX('01_Benchmark_Input'!$F$2:$F$10,MATCH(B21,'01_Benchmark_Input'!$A$2:$A$10,0))</f>
        <v/>
      </c>
      <c r="T21" s="12">
        <f>INDEX('01_Benchmark_Input'!$H$2:$H$10,MATCH(B21,'01_Benchmark_Input'!$A$2:$A$10,0))</f>
        <v/>
      </c>
      <c r="U21" s="12">
        <f>INDEX('01_Benchmark_Input'!$J$2:$J$10,MATCH(B21,'01_Benchmark_Input'!$A$2:$A$10,0))</f>
        <v/>
      </c>
      <c r="V21" s="10">
        <f>'02_Inputs'!K21</f>
        <v/>
      </c>
      <c r="W21" s="12">
        <f>N21*R21+O21*S21+P21*T21+Q21*U21</f>
        <v/>
      </c>
      <c r="X21" s="12">
        <f>W21*V21</f>
        <v/>
      </c>
      <c r="Y21" s="12">
        <f>L21*1000*X21*86400</f>
        <v/>
      </c>
      <c r="Z21" s="12">
        <f>Y21*365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'02_GPU_Mix_Input'!D22</f>
        <v/>
      </c>
      <c r="O22" s="10">
        <f>'02_GPU_Mix_Input'!E22</f>
        <v/>
      </c>
      <c r="P22" s="10">
        <f>'02_GPU_Mix_Input'!F22</f>
        <v/>
      </c>
      <c r="Q22" s="10">
        <f>'02_GPU_Mix_Input'!G22</f>
        <v/>
      </c>
      <c r="R22" s="12">
        <f>INDEX('01_Benchmark_Input'!$D$2:$D$10,MATCH(B22,'01_Benchmark_Input'!$A$2:$A$10,0))</f>
        <v/>
      </c>
      <c r="S22" s="12">
        <f>INDEX('01_Benchmark_Input'!$F$2:$F$10,MATCH(B22,'01_Benchmark_Input'!$A$2:$A$10,0))</f>
        <v/>
      </c>
      <c r="T22" s="12">
        <f>INDEX('01_Benchmark_Input'!$H$2:$H$10,MATCH(B22,'01_Benchmark_Input'!$A$2:$A$10,0))</f>
        <v/>
      </c>
      <c r="U22" s="12">
        <f>INDEX('01_Benchmark_Input'!$J$2:$J$10,MATCH(B22,'01_Benchmark_Input'!$A$2:$A$10,0))</f>
        <v/>
      </c>
      <c r="V22" s="10">
        <f>'02_Inputs'!K22</f>
        <v/>
      </c>
      <c r="W22" s="12">
        <f>N22*R22+O22*S22+P22*T22+Q22*U22</f>
        <v/>
      </c>
      <c r="X22" s="12">
        <f>W22*V22</f>
        <v/>
      </c>
      <c r="Y22" s="12">
        <f>L22*1000*X22*86400</f>
        <v/>
      </c>
      <c r="Z22" s="12">
        <f>Y22*365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'02_GPU_Mix_Input'!D23</f>
        <v/>
      </c>
      <c r="O23" s="10">
        <f>'02_GPU_Mix_Input'!E23</f>
        <v/>
      </c>
      <c r="P23" s="10">
        <f>'02_GPU_Mix_Input'!F23</f>
        <v/>
      </c>
      <c r="Q23" s="10">
        <f>'02_GPU_Mix_Input'!G23</f>
        <v/>
      </c>
      <c r="R23" s="12">
        <f>INDEX('01_Benchmark_Input'!$D$2:$D$10,MATCH(B23,'01_Benchmark_Input'!$A$2:$A$10,0))</f>
        <v/>
      </c>
      <c r="S23" s="12">
        <f>INDEX('01_Benchmark_Input'!$F$2:$F$10,MATCH(B23,'01_Benchmark_Input'!$A$2:$A$10,0))</f>
        <v/>
      </c>
      <c r="T23" s="12">
        <f>INDEX('01_Benchmark_Input'!$H$2:$H$10,MATCH(B23,'01_Benchmark_Input'!$A$2:$A$10,0))</f>
        <v/>
      </c>
      <c r="U23" s="12">
        <f>INDEX('01_Benchmark_Input'!$J$2:$J$10,MATCH(B23,'01_Benchmark_Input'!$A$2:$A$10,0))</f>
        <v/>
      </c>
      <c r="V23" s="10">
        <f>'02_Inputs'!K23</f>
        <v/>
      </c>
      <c r="W23" s="12">
        <f>N23*R23+O23*S23+P23*T23+Q23*U23</f>
        <v/>
      </c>
      <c r="X23" s="12">
        <f>W23*V23</f>
        <v/>
      </c>
      <c r="Y23" s="12">
        <f>L23*1000*X23*86400</f>
        <v/>
      </c>
      <c r="Z23" s="12">
        <f>Y23*365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'02_GPU_Mix_Input'!D24</f>
        <v/>
      </c>
      <c r="O24" s="10">
        <f>'02_GPU_Mix_Input'!E24</f>
        <v/>
      </c>
      <c r="P24" s="10">
        <f>'02_GPU_Mix_Input'!F24</f>
        <v/>
      </c>
      <c r="Q24" s="10">
        <f>'02_GPU_Mix_Input'!G24</f>
        <v/>
      </c>
      <c r="R24" s="12">
        <f>INDEX('01_Benchmark_Input'!$D$2:$D$10,MATCH(B24,'01_Benchmark_Input'!$A$2:$A$10,0))</f>
        <v/>
      </c>
      <c r="S24" s="12">
        <f>INDEX('01_Benchmark_Input'!$F$2:$F$10,MATCH(B24,'01_Benchmark_Input'!$A$2:$A$10,0))</f>
        <v/>
      </c>
      <c r="T24" s="12">
        <f>INDEX('01_Benchmark_Input'!$H$2:$H$10,MATCH(B24,'01_Benchmark_Input'!$A$2:$A$10,0))</f>
        <v/>
      </c>
      <c r="U24" s="12">
        <f>INDEX('01_Benchmark_Input'!$J$2:$J$10,MATCH(B24,'01_Benchmark_Input'!$A$2:$A$10,0))</f>
        <v/>
      </c>
      <c r="V24" s="10">
        <f>'02_Inputs'!K24</f>
        <v/>
      </c>
      <c r="W24" s="12">
        <f>N24*R24+O24*S24+P24*T24+Q24*U24</f>
        <v/>
      </c>
      <c r="X24" s="12">
        <f>W24*V24</f>
        <v/>
      </c>
      <c r="Y24" s="12">
        <f>L24*1000*X24*86400</f>
        <v/>
      </c>
      <c r="Z24" s="12">
        <f>Y24*365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'02_GPU_Mix_Input'!D25</f>
        <v/>
      </c>
      <c r="O25" s="10">
        <f>'02_GPU_Mix_Input'!E25</f>
        <v/>
      </c>
      <c r="P25" s="10">
        <f>'02_GPU_Mix_Input'!F25</f>
        <v/>
      </c>
      <c r="Q25" s="10">
        <f>'02_GPU_Mix_Input'!G25</f>
        <v/>
      </c>
      <c r="R25" s="12">
        <f>INDEX('01_Benchmark_Input'!$D$2:$D$10,MATCH(B25,'01_Benchmark_Input'!$A$2:$A$10,0))</f>
        <v/>
      </c>
      <c r="S25" s="12">
        <f>INDEX('01_Benchmark_Input'!$F$2:$F$10,MATCH(B25,'01_Benchmark_Input'!$A$2:$A$10,0))</f>
        <v/>
      </c>
      <c r="T25" s="12">
        <f>INDEX('01_Benchmark_Input'!$H$2:$H$10,MATCH(B25,'01_Benchmark_Input'!$A$2:$A$10,0))</f>
        <v/>
      </c>
      <c r="U25" s="12">
        <f>INDEX('01_Benchmark_Input'!$J$2:$J$10,MATCH(B25,'01_Benchmark_Input'!$A$2:$A$10,0))</f>
        <v/>
      </c>
      <c r="V25" s="10">
        <f>'02_Inputs'!K25</f>
        <v/>
      </c>
      <c r="W25" s="12">
        <f>N25*R25+O25*S25+P25*T25+Q25*U25</f>
        <v/>
      </c>
      <c r="X25" s="12">
        <f>W25*V25</f>
        <v/>
      </c>
      <c r="Y25" s="12">
        <f>L25*1000*X25*86400</f>
        <v/>
      </c>
      <c r="Z25" s="12">
        <f>Y25*365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'02_GPU_Mix_Input'!D26</f>
        <v/>
      </c>
      <c r="O26" s="10">
        <f>'02_GPU_Mix_Input'!E26</f>
        <v/>
      </c>
      <c r="P26" s="10">
        <f>'02_GPU_Mix_Input'!F26</f>
        <v/>
      </c>
      <c r="Q26" s="10">
        <f>'02_GPU_Mix_Input'!G26</f>
        <v/>
      </c>
      <c r="R26" s="12">
        <f>INDEX('01_Benchmark_Input'!$D$2:$D$10,MATCH(B26,'01_Benchmark_Input'!$A$2:$A$10,0))</f>
        <v/>
      </c>
      <c r="S26" s="12">
        <f>INDEX('01_Benchmark_Input'!$F$2:$F$10,MATCH(B26,'01_Benchmark_Input'!$A$2:$A$10,0))</f>
        <v/>
      </c>
      <c r="T26" s="12">
        <f>INDEX('01_Benchmark_Input'!$H$2:$H$10,MATCH(B26,'01_Benchmark_Input'!$A$2:$A$10,0))</f>
        <v/>
      </c>
      <c r="U26" s="12">
        <f>INDEX('01_Benchmark_Input'!$J$2:$J$10,MATCH(B26,'01_Benchmark_Input'!$A$2:$A$10,0))</f>
        <v/>
      </c>
      <c r="V26" s="10">
        <f>'02_Inputs'!K26</f>
        <v/>
      </c>
      <c r="W26" s="12">
        <f>N26*R26+O26*S26+P26*T26+Q26*U26</f>
        <v/>
      </c>
      <c r="X26" s="12">
        <f>W26*V26</f>
        <v/>
      </c>
      <c r="Y26" s="12">
        <f>L26*1000*X26*86400</f>
        <v/>
      </c>
      <c r="Z26" s="12">
        <f>Y26*365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'02_GPU_Mix_Input'!D27</f>
        <v/>
      </c>
      <c r="O27" s="10">
        <f>'02_GPU_Mix_Input'!E27</f>
        <v/>
      </c>
      <c r="P27" s="10">
        <f>'02_GPU_Mix_Input'!F27</f>
        <v/>
      </c>
      <c r="Q27" s="10">
        <f>'02_GPU_Mix_Input'!G27</f>
        <v/>
      </c>
      <c r="R27" s="12">
        <f>INDEX('01_Benchmark_Input'!$D$2:$D$10,MATCH(B27,'01_Benchmark_Input'!$A$2:$A$10,0))</f>
        <v/>
      </c>
      <c r="S27" s="12">
        <f>INDEX('01_Benchmark_Input'!$F$2:$F$10,MATCH(B27,'01_Benchmark_Input'!$A$2:$A$10,0))</f>
        <v/>
      </c>
      <c r="T27" s="12">
        <f>INDEX('01_Benchmark_Input'!$H$2:$H$10,MATCH(B27,'01_Benchmark_Input'!$A$2:$A$10,0))</f>
        <v/>
      </c>
      <c r="U27" s="12">
        <f>INDEX('01_Benchmark_Input'!$J$2:$J$10,MATCH(B27,'01_Benchmark_Input'!$A$2:$A$10,0))</f>
        <v/>
      </c>
      <c r="V27" s="10">
        <f>'02_Inputs'!K27</f>
        <v/>
      </c>
      <c r="W27" s="12">
        <f>N27*R27+O27*S27+P27*T27+Q27*U27</f>
        <v/>
      </c>
      <c r="X27" s="12">
        <f>W27*V27</f>
        <v/>
      </c>
      <c r="Y27" s="12">
        <f>L27*1000*X27*86400</f>
        <v/>
      </c>
      <c r="Z27" s="12">
        <f>Y27*365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'02_GPU_Mix_Input'!D28</f>
        <v/>
      </c>
      <c r="O28" s="10">
        <f>'02_GPU_Mix_Input'!E28</f>
        <v/>
      </c>
      <c r="P28" s="10">
        <f>'02_GPU_Mix_Input'!F28</f>
        <v/>
      </c>
      <c r="Q28" s="10">
        <f>'02_GPU_Mix_Input'!G28</f>
        <v/>
      </c>
      <c r="R28" s="12">
        <f>INDEX('01_Benchmark_Input'!$D$2:$D$10,MATCH(B28,'01_Benchmark_Input'!$A$2:$A$10,0))</f>
        <v/>
      </c>
      <c r="S28" s="12">
        <f>INDEX('01_Benchmark_Input'!$F$2:$F$10,MATCH(B28,'01_Benchmark_Input'!$A$2:$A$10,0))</f>
        <v/>
      </c>
      <c r="T28" s="12">
        <f>INDEX('01_Benchmark_Input'!$H$2:$H$10,MATCH(B28,'01_Benchmark_Input'!$A$2:$A$10,0))</f>
        <v/>
      </c>
      <c r="U28" s="12">
        <f>INDEX('01_Benchmark_Input'!$J$2:$J$10,MATCH(B28,'01_Benchmark_Input'!$A$2:$A$10,0))</f>
        <v/>
      </c>
      <c r="V28" s="10">
        <f>'02_Inputs'!K28</f>
        <v/>
      </c>
      <c r="W28" s="12">
        <f>N28*R28+O28*S28+P28*T28+Q28*U28</f>
        <v/>
      </c>
      <c r="X28" s="12">
        <f>W28*V28</f>
        <v/>
      </c>
      <c r="Y28" s="12">
        <f>L28*1000*X28*86400</f>
        <v/>
      </c>
      <c r="Z28" s="12">
        <f>Y28*365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'02_GPU_Mix_Input'!D29</f>
        <v/>
      </c>
      <c r="O29" s="10">
        <f>'02_GPU_Mix_Input'!E29</f>
        <v/>
      </c>
      <c r="P29" s="10">
        <f>'02_GPU_Mix_Input'!F29</f>
        <v/>
      </c>
      <c r="Q29" s="10">
        <f>'02_GPU_Mix_Input'!G29</f>
        <v/>
      </c>
      <c r="R29" s="12">
        <f>INDEX('01_Benchmark_Input'!$D$2:$D$10,MATCH(B29,'01_Benchmark_Input'!$A$2:$A$10,0))</f>
        <v/>
      </c>
      <c r="S29" s="12">
        <f>INDEX('01_Benchmark_Input'!$F$2:$F$10,MATCH(B29,'01_Benchmark_Input'!$A$2:$A$10,0))</f>
        <v/>
      </c>
      <c r="T29" s="12">
        <f>INDEX('01_Benchmark_Input'!$H$2:$H$10,MATCH(B29,'01_Benchmark_Input'!$A$2:$A$10,0))</f>
        <v/>
      </c>
      <c r="U29" s="12">
        <f>INDEX('01_Benchmark_Input'!$J$2:$J$10,MATCH(B29,'01_Benchmark_Input'!$A$2:$A$10,0))</f>
        <v/>
      </c>
      <c r="V29" s="10">
        <f>'02_Inputs'!K29</f>
        <v/>
      </c>
      <c r="W29" s="12">
        <f>N29*R29+O29*S29+P29*T29+Q29*U29</f>
        <v/>
      </c>
      <c r="X29" s="12">
        <f>W29*V29</f>
        <v/>
      </c>
      <c r="Y29" s="12">
        <f>L29*1000*X29*86400</f>
        <v/>
      </c>
      <c r="Z29" s="12">
        <f>Y29*365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'02_GPU_Mix_Input'!D30</f>
        <v/>
      </c>
      <c r="O30" s="10">
        <f>'02_GPU_Mix_Input'!E30</f>
        <v/>
      </c>
      <c r="P30" s="10">
        <f>'02_GPU_Mix_Input'!F30</f>
        <v/>
      </c>
      <c r="Q30" s="10">
        <f>'02_GPU_Mix_Input'!G30</f>
        <v/>
      </c>
      <c r="R30" s="12">
        <f>INDEX('01_Benchmark_Input'!$D$2:$D$10,MATCH(B30,'01_Benchmark_Input'!$A$2:$A$10,0))</f>
        <v/>
      </c>
      <c r="S30" s="12">
        <f>INDEX('01_Benchmark_Input'!$F$2:$F$10,MATCH(B30,'01_Benchmark_Input'!$A$2:$A$10,0))</f>
        <v/>
      </c>
      <c r="T30" s="12">
        <f>INDEX('01_Benchmark_Input'!$H$2:$H$10,MATCH(B30,'01_Benchmark_Input'!$A$2:$A$10,0))</f>
        <v/>
      </c>
      <c r="U30" s="12">
        <f>INDEX('01_Benchmark_Input'!$J$2:$J$10,MATCH(B30,'01_Benchmark_Input'!$A$2:$A$10,0))</f>
        <v/>
      </c>
      <c r="V30" s="10">
        <f>'02_Inputs'!K30</f>
        <v/>
      </c>
      <c r="W30" s="12">
        <f>N30*R30+O30*S30+P30*T30+Q30*U30</f>
        <v/>
      </c>
      <c r="X30" s="12">
        <f>W30*V30</f>
        <v/>
      </c>
      <c r="Y30" s="12">
        <f>L30*1000*X30*86400</f>
        <v/>
      </c>
      <c r="Z30" s="12">
        <f>Y30*365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'02_GPU_Mix_Input'!D31</f>
        <v/>
      </c>
      <c r="O31" s="10">
        <f>'02_GPU_Mix_Input'!E31</f>
        <v/>
      </c>
      <c r="P31" s="10">
        <f>'02_GPU_Mix_Input'!F31</f>
        <v/>
      </c>
      <c r="Q31" s="10">
        <f>'02_GPU_Mix_Input'!G31</f>
        <v/>
      </c>
      <c r="R31" s="12">
        <f>INDEX('01_Benchmark_Input'!$D$2:$D$10,MATCH(B31,'01_Benchmark_Input'!$A$2:$A$10,0))</f>
        <v/>
      </c>
      <c r="S31" s="12">
        <f>INDEX('01_Benchmark_Input'!$F$2:$F$10,MATCH(B31,'01_Benchmark_Input'!$A$2:$A$10,0))</f>
        <v/>
      </c>
      <c r="T31" s="12">
        <f>INDEX('01_Benchmark_Input'!$H$2:$H$10,MATCH(B31,'01_Benchmark_Input'!$A$2:$A$10,0))</f>
        <v/>
      </c>
      <c r="U31" s="12">
        <f>INDEX('01_Benchmark_Input'!$J$2:$J$10,MATCH(B31,'01_Benchmark_Input'!$A$2:$A$10,0))</f>
        <v/>
      </c>
      <c r="V31" s="10">
        <f>'02_Inputs'!K31</f>
        <v/>
      </c>
      <c r="W31" s="12">
        <f>N31*R31+O31*S31+P31*T31+Q31*U31</f>
        <v/>
      </c>
      <c r="X31" s="12">
        <f>W31*V31</f>
        <v/>
      </c>
      <c r="Y31" s="12">
        <f>L31*1000*X31*86400</f>
        <v/>
      </c>
      <c r="Z31" s="12">
        <f>Y31*365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'02_GPU_Mix_Input'!D32</f>
        <v/>
      </c>
      <c r="O32" s="10">
        <f>'02_GPU_Mix_Input'!E32</f>
        <v/>
      </c>
      <c r="P32" s="10">
        <f>'02_GPU_Mix_Input'!F32</f>
        <v/>
      </c>
      <c r="Q32" s="10">
        <f>'02_GPU_Mix_Input'!G32</f>
        <v/>
      </c>
      <c r="R32" s="12">
        <f>INDEX('01_Benchmark_Input'!$D$2:$D$10,MATCH(B32,'01_Benchmark_Input'!$A$2:$A$10,0))</f>
        <v/>
      </c>
      <c r="S32" s="12">
        <f>INDEX('01_Benchmark_Input'!$F$2:$F$10,MATCH(B32,'01_Benchmark_Input'!$A$2:$A$10,0))</f>
        <v/>
      </c>
      <c r="T32" s="12">
        <f>INDEX('01_Benchmark_Input'!$H$2:$H$10,MATCH(B32,'01_Benchmark_Input'!$A$2:$A$10,0))</f>
        <v/>
      </c>
      <c r="U32" s="12">
        <f>INDEX('01_Benchmark_Input'!$J$2:$J$10,MATCH(B32,'01_Benchmark_Input'!$A$2:$A$10,0))</f>
        <v/>
      </c>
      <c r="V32" s="10">
        <f>'02_Inputs'!K32</f>
        <v/>
      </c>
      <c r="W32" s="12">
        <f>N32*R32+O32*S32+P32*T32+Q32*U32</f>
        <v/>
      </c>
      <c r="X32" s="12">
        <f>W32*V32</f>
        <v/>
      </c>
      <c r="Y32" s="12">
        <f>L32*1000*X32*86400</f>
        <v/>
      </c>
      <c r="Z32" s="12">
        <f>Y32*365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'02_GPU_Mix_Input'!D33</f>
        <v/>
      </c>
      <c r="O33" s="10">
        <f>'02_GPU_Mix_Input'!E33</f>
        <v/>
      </c>
      <c r="P33" s="10">
        <f>'02_GPU_Mix_Input'!F33</f>
        <v/>
      </c>
      <c r="Q33" s="10">
        <f>'02_GPU_Mix_Input'!G33</f>
        <v/>
      </c>
      <c r="R33" s="12">
        <f>INDEX('01_Benchmark_Input'!$D$2:$D$10,MATCH(B33,'01_Benchmark_Input'!$A$2:$A$10,0))</f>
        <v/>
      </c>
      <c r="S33" s="12">
        <f>INDEX('01_Benchmark_Input'!$F$2:$F$10,MATCH(B33,'01_Benchmark_Input'!$A$2:$A$10,0))</f>
        <v/>
      </c>
      <c r="T33" s="12">
        <f>INDEX('01_Benchmark_Input'!$H$2:$H$10,MATCH(B33,'01_Benchmark_Input'!$A$2:$A$10,0))</f>
        <v/>
      </c>
      <c r="U33" s="12">
        <f>INDEX('01_Benchmark_Input'!$J$2:$J$10,MATCH(B33,'01_Benchmark_Input'!$A$2:$A$10,0))</f>
        <v/>
      </c>
      <c r="V33" s="10">
        <f>'02_Inputs'!K33</f>
        <v/>
      </c>
      <c r="W33" s="12">
        <f>N33*R33+O33*S33+P33*T33+Q33*U33</f>
        <v/>
      </c>
      <c r="X33" s="12">
        <f>W33*V33</f>
        <v/>
      </c>
      <c r="Y33" s="12">
        <f>L33*1000*X33*86400</f>
        <v/>
      </c>
      <c r="Z33" s="12">
        <f>Y33*365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'02_GPU_Mix_Input'!D34</f>
        <v/>
      </c>
      <c r="O34" s="10">
        <f>'02_GPU_Mix_Input'!E34</f>
        <v/>
      </c>
      <c r="P34" s="10">
        <f>'02_GPU_Mix_Input'!F34</f>
        <v/>
      </c>
      <c r="Q34" s="10">
        <f>'02_GPU_Mix_Input'!G34</f>
        <v/>
      </c>
      <c r="R34" s="12">
        <f>INDEX('01_Benchmark_Input'!$D$2:$D$10,MATCH(B34,'01_Benchmark_Input'!$A$2:$A$10,0))</f>
        <v/>
      </c>
      <c r="S34" s="12">
        <f>INDEX('01_Benchmark_Input'!$F$2:$F$10,MATCH(B34,'01_Benchmark_Input'!$A$2:$A$10,0))</f>
        <v/>
      </c>
      <c r="T34" s="12">
        <f>INDEX('01_Benchmark_Input'!$H$2:$H$10,MATCH(B34,'01_Benchmark_Input'!$A$2:$A$10,0))</f>
        <v/>
      </c>
      <c r="U34" s="12">
        <f>INDEX('01_Benchmark_Input'!$J$2:$J$10,MATCH(B34,'01_Benchmark_Input'!$A$2:$A$10,0))</f>
        <v/>
      </c>
      <c r="V34" s="10">
        <f>'02_Inputs'!K34</f>
        <v/>
      </c>
      <c r="W34" s="12">
        <f>N34*R34+O34*S34+P34*T34+Q34*U34</f>
        <v/>
      </c>
      <c r="X34" s="12">
        <f>W34*V34</f>
        <v/>
      </c>
      <c r="Y34" s="12">
        <f>L34*1000*X34*86400</f>
        <v/>
      </c>
      <c r="Z34" s="12">
        <f>Y34*365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'02_GPU_Mix_Input'!D35</f>
        <v/>
      </c>
      <c r="O35" s="10">
        <f>'02_GPU_Mix_Input'!E35</f>
        <v/>
      </c>
      <c r="P35" s="10">
        <f>'02_GPU_Mix_Input'!F35</f>
        <v/>
      </c>
      <c r="Q35" s="10">
        <f>'02_GPU_Mix_Input'!G35</f>
        <v/>
      </c>
      <c r="R35" s="12">
        <f>INDEX('01_Benchmark_Input'!$D$2:$D$10,MATCH(B35,'01_Benchmark_Input'!$A$2:$A$10,0))</f>
        <v/>
      </c>
      <c r="S35" s="12">
        <f>INDEX('01_Benchmark_Input'!$F$2:$F$10,MATCH(B35,'01_Benchmark_Input'!$A$2:$A$10,0))</f>
        <v/>
      </c>
      <c r="T35" s="12">
        <f>INDEX('01_Benchmark_Input'!$H$2:$H$10,MATCH(B35,'01_Benchmark_Input'!$A$2:$A$10,0))</f>
        <v/>
      </c>
      <c r="U35" s="12">
        <f>INDEX('01_Benchmark_Input'!$J$2:$J$10,MATCH(B35,'01_Benchmark_Input'!$A$2:$A$10,0))</f>
        <v/>
      </c>
      <c r="V35" s="10">
        <f>'02_Inputs'!K35</f>
        <v/>
      </c>
      <c r="W35" s="12">
        <f>N35*R35+O35*S35+P35*T35+Q35*U35</f>
        <v/>
      </c>
      <c r="X35" s="12">
        <f>W35*V35</f>
        <v/>
      </c>
      <c r="Y35" s="12">
        <f>L35*1000*X35*86400</f>
        <v/>
      </c>
      <c r="Z35" s="12">
        <f>Y35*365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'02_GPU_Mix_Input'!D36</f>
        <v/>
      </c>
      <c r="O36" s="10">
        <f>'02_GPU_Mix_Input'!E36</f>
        <v/>
      </c>
      <c r="P36" s="10">
        <f>'02_GPU_Mix_Input'!F36</f>
        <v/>
      </c>
      <c r="Q36" s="10">
        <f>'02_GPU_Mix_Input'!G36</f>
        <v/>
      </c>
      <c r="R36" s="12">
        <f>INDEX('01_Benchmark_Input'!$D$2:$D$10,MATCH(B36,'01_Benchmark_Input'!$A$2:$A$10,0))</f>
        <v/>
      </c>
      <c r="S36" s="12">
        <f>INDEX('01_Benchmark_Input'!$F$2:$F$10,MATCH(B36,'01_Benchmark_Input'!$A$2:$A$10,0))</f>
        <v/>
      </c>
      <c r="T36" s="12">
        <f>INDEX('01_Benchmark_Input'!$H$2:$H$10,MATCH(B36,'01_Benchmark_Input'!$A$2:$A$10,0))</f>
        <v/>
      </c>
      <c r="U36" s="12">
        <f>INDEX('01_Benchmark_Input'!$J$2:$J$10,MATCH(B36,'01_Benchmark_Input'!$A$2:$A$10,0))</f>
        <v/>
      </c>
      <c r="V36" s="10">
        <f>'02_Inputs'!K36</f>
        <v/>
      </c>
      <c r="W36" s="12">
        <f>N36*R36+O36*S36+P36*T36+Q36*U36</f>
        <v/>
      </c>
      <c r="X36" s="12">
        <f>W36*V36</f>
        <v/>
      </c>
      <c r="Y36" s="12">
        <f>L36*1000*X36*86400</f>
        <v/>
      </c>
      <c r="Z36" s="12">
        <f>Y36*365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'02_GPU_Mix_Input'!D37</f>
        <v/>
      </c>
      <c r="O37" s="10">
        <f>'02_GPU_Mix_Input'!E37</f>
        <v/>
      </c>
      <c r="P37" s="10">
        <f>'02_GPU_Mix_Input'!F37</f>
        <v/>
      </c>
      <c r="Q37" s="10">
        <f>'02_GPU_Mix_Input'!G37</f>
        <v/>
      </c>
      <c r="R37" s="12">
        <f>INDEX('01_Benchmark_Input'!$D$2:$D$10,MATCH(B37,'01_Benchmark_Input'!$A$2:$A$10,0))</f>
        <v/>
      </c>
      <c r="S37" s="12">
        <f>INDEX('01_Benchmark_Input'!$F$2:$F$10,MATCH(B37,'01_Benchmark_Input'!$A$2:$A$10,0))</f>
        <v/>
      </c>
      <c r="T37" s="12">
        <f>INDEX('01_Benchmark_Input'!$H$2:$H$10,MATCH(B37,'01_Benchmark_Input'!$A$2:$A$10,0))</f>
        <v/>
      </c>
      <c r="U37" s="12">
        <f>INDEX('01_Benchmark_Input'!$J$2:$J$10,MATCH(B37,'01_Benchmark_Input'!$A$2:$A$10,0))</f>
        <v/>
      </c>
      <c r="V37" s="10">
        <f>'02_Inputs'!K37</f>
        <v/>
      </c>
      <c r="W37" s="12">
        <f>N37*R37+O37*S37+P37*T37+Q37*U37</f>
        <v/>
      </c>
      <c r="X37" s="12">
        <f>W37*V37</f>
        <v/>
      </c>
      <c r="Y37" s="12">
        <f>L37*1000*X37*86400</f>
        <v/>
      </c>
      <c r="Z37" s="12">
        <f>Y37*365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'02_GPU_Mix_Input'!D38</f>
        <v/>
      </c>
      <c r="O38" s="10">
        <f>'02_GPU_Mix_Input'!E38</f>
        <v/>
      </c>
      <c r="P38" s="10">
        <f>'02_GPU_Mix_Input'!F38</f>
        <v/>
      </c>
      <c r="Q38" s="10">
        <f>'02_GPU_Mix_Input'!G38</f>
        <v/>
      </c>
      <c r="R38" s="12">
        <f>INDEX('01_Benchmark_Input'!$D$2:$D$10,MATCH(B38,'01_Benchmark_Input'!$A$2:$A$10,0))</f>
        <v/>
      </c>
      <c r="S38" s="12">
        <f>INDEX('01_Benchmark_Input'!$F$2:$F$10,MATCH(B38,'01_Benchmark_Input'!$A$2:$A$10,0))</f>
        <v/>
      </c>
      <c r="T38" s="12">
        <f>INDEX('01_Benchmark_Input'!$H$2:$H$10,MATCH(B38,'01_Benchmark_Input'!$A$2:$A$10,0))</f>
        <v/>
      </c>
      <c r="U38" s="12">
        <f>INDEX('01_Benchmark_Input'!$J$2:$J$10,MATCH(B38,'01_Benchmark_Input'!$A$2:$A$10,0))</f>
        <v/>
      </c>
      <c r="V38" s="10">
        <f>'02_Inputs'!K38</f>
        <v/>
      </c>
      <c r="W38" s="12">
        <f>N38*R38+O38*S38+P38*T38+Q38*U38</f>
        <v/>
      </c>
      <c r="X38" s="12">
        <f>W38*V38</f>
        <v/>
      </c>
      <c r="Y38" s="12">
        <f>L38*1000*X38*86400</f>
        <v/>
      </c>
      <c r="Z38" s="12">
        <f>Y38*365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'02_GPU_Mix_Input'!D39</f>
        <v/>
      </c>
      <c r="O39" s="10">
        <f>'02_GPU_Mix_Input'!E39</f>
        <v/>
      </c>
      <c r="P39" s="10">
        <f>'02_GPU_Mix_Input'!F39</f>
        <v/>
      </c>
      <c r="Q39" s="10">
        <f>'02_GPU_Mix_Input'!G39</f>
        <v/>
      </c>
      <c r="R39" s="12">
        <f>INDEX('01_Benchmark_Input'!$D$2:$D$10,MATCH(B39,'01_Benchmark_Input'!$A$2:$A$10,0))</f>
        <v/>
      </c>
      <c r="S39" s="12">
        <f>INDEX('01_Benchmark_Input'!$F$2:$F$10,MATCH(B39,'01_Benchmark_Input'!$A$2:$A$10,0))</f>
        <v/>
      </c>
      <c r="T39" s="12">
        <f>INDEX('01_Benchmark_Input'!$H$2:$H$10,MATCH(B39,'01_Benchmark_Input'!$A$2:$A$10,0))</f>
        <v/>
      </c>
      <c r="U39" s="12">
        <f>INDEX('01_Benchmark_Input'!$J$2:$J$10,MATCH(B39,'01_Benchmark_Input'!$A$2:$A$10,0))</f>
        <v/>
      </c>
      <c r="V39" s="10">
        <f>'02_Inputs'!K39</f>
        <v/>
      </c>
      <c r="W39" s="12">
        <f>N39*R39+O39*S39+P39*T39+Q39*U39</f>
        <v/>
      </c>
      <c r="X39" s="12">
        <f>W39*V39</f>
        <v/>
      </c>
      <c r="Y39" s="12">
        <f>L39*1000*X39*86400</f>
        <v/>
      </c>
      <c r="Z39" s="12">
        <f>Y39*365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'02_GPU_Mix_Input'!D40</f>
        <v/>
      </c>
      <c r="O40" s="10">
        <f>'02_GPU_Mix_Input'!E40</f>
        <v/>
      </c>
      <c r="P40" s="10">
        <f>'02_GPU_Mix_Input'!F40</f>
        <v/>
      </c>
      <c r="Q40" s="10">
        <f>'02_GPU_Mix_Input'!G40</f>
        <v/>
      </c>
      <c r="R40" s="12">
        <f>INDEX('01_Benchmark_Input'!$D$2:$D$10,MATCH(B40,'01_Benchmark_Input'!$A$2:$A$10,0))</f>
        <v/>
      </c>
      <c r="S40" s="12">
        <f>INDEX('01_Benchmark_Input'!$F$2:$F$10,MATCH(B40,'01_Benchmark_Input'!$A$2:$A$10,0))</f>
        <v/>
      </c>
      <c r="T40" s="12">
        <f>INDEX('01_Benchmark_Input'!$H$2:$H$10,MATCH(B40,'01_Benchmark_Input'!$A$2:$A$10,0))</f>
        <v/>
      </c>
      <c r="U40" s="12">
        <f>INDEX('01_Benchmark_Input'!$J$2:$J$10,MATCH(B40,'01_Benchmark_Input'!$A$2:$A$10,0))</f>
        <v/>
      </c>
      <c r="V40" s="10">
        <f>'02_Inputs'!K40</f>
        <v/>
      </c>
      <c r="W40" s="12">
        <f>N40*R40+O40*S40+P40*T40+Q40*U40</f>
        <v/>
      </c>
      <c r="X40" s="12">
        <f>W40*V40</f>
        <v/>
      </c>
      <c r="Y40" s="12">
        <f>L40*1000*X40*86400</f>
        <v/>
      </c>
      <c r="Z40" s="12">
        <f>Y40*365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'02_GPU_Mix_Input'!D41</f>
        <v/>
      </c>
      <c r="O41" s="10">
        <f>'02_GPU_Mix_Input'!E41</f>
        <v/>
      </c>
      <c r="P41" s="10">
        <f>'02_GPU_Mix_Input'!F41</f>
        <v/>
      </c>
      <c r="Q41" s="10">
        <f>'02_GPU_Mix_Input'!G41</f>
        <v/>
      </c>
      <c r="R41" s="12">
        <f>INDEX('01_Benchmark_Input'!$D$2:$D$10,MATCH(B41,'01_Benchmark_Input'!$A$2:$A$10,0))</f>
        <v/>
      </c>
      <c r="S41" s="12">
        <f>INDEX('01_Benchmark_Input'!$F$2:$F$10,MATCH(B41,'01_Benchmark_Input'!$A$2:$A$10,0))</f>
        <v/>
      </c>
      <c r="T41" s="12">
        <f>INDEX('01_Benchmark_Input'!$H$2:$H$10,MATCH(B41,'01_Benchmark_Input'!$A$2:$A$10,0))</f>
        <v/>
      </c>
      <c r="U41" s="12">
        <f>INDEX('01_Benchmark_Input'!$J$2:$J$10,MATCH(B41,'01_Benchmark_Input'!$A$2:$A$10,0))</f>
        <v/>
      </c>
      <c r="V41" s="10">
        <f>'02_Inputs'!K41</f>
        <v/>
      </c>
      <c r="W41" s="12">
        <f>N41*R41+O41*S41+P41*T41+Q41*U41</f>
        <v/>
      </c>
      <c r="X41" s="12">
        <f>W41*V41</f>
        <v/>
      </c>
      <c r="Y41" s="12">
        <f>L41*1000*X41*86400</f>
        <v/>
      </c>
      <c r="Z41" s="12">
        <f>Y41*365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'02_GPU_Mix_Input'!D42</f>
        <v/>
      </c>
      <c r="O42" s="10">
        <f>'02_GPU_Mix_Input'!E42</f>
        <v/>
      </c>
      <c r="P42" s="10">
        <f>'02_GPU_Mix_Input'!F42</f>
        <v/>
      </c>
      <c r="Q42" s="10">
        <f>'02_GPU_Mix_Input'!G42</f>
        <v/>
      </c>
      <c r="R42" s="12">
        <f>INDEX('01_Benchmark_Input'!$D$2:$D$10,MATCH(B42,'01_Benchmark_Input'!$A$2:$A$10,0))</f>
        <v/>
      </c>
      <c r="S42" s="12">
        <f>INDEX('01_Benchmark_Input'!$F$2:$F$10,MATCH(B42,'01_Benchmark_Input'!$A$2:$A$10,0))</f>
        <v/>
      </c>
      <c r="T42" s="12">
        <f>INDEX('01_Benchmark_Input'!$H$2:$H$10,MATCH(B42,'01_Benchmark_Input'!$A$2:$A$10,0))</f>
        <v/>
      </c>
      <c r="U42" s="12">
        <f>INDEX('01_Benchmark_Input'!$J$2:$J$10,MATCH(B42,'01_Benchmark_Input'!$A$2:$A$10,0))</f>
        <v/>
      </c>
      <c r="V42" s="10">
        <f>'02_Inputs'!K42</f>
        <v/>
      </c>
      <c r="W42" s="12">
        <f>N42*R42+O42*S42+P42*T42+Q42*U42</f>
        <v/>
      </c>
      <c r="X42" s="12">
        <f>W42*V42</f>
        <v/>
      </c>
      <c r="Y42" s="12">
        <f>L42*1000*X42*86400</f>
        <v/>
      </c>
      <c r="Z42" s="12">
        <f>Y42*365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'02_GPU_Mix_Input'!D43</f>
        <v/>
      </c>
      <c r="O43" s="10">
        <f>'02_GPU_Mix_Input'!E43</f>
        <v/>
      </c>
      <c r="P43" s="10">
        <f>'02_GPU_Mix_Input'!F43</f>
        <v/>
      </c>
      <c r="Q43" s="10">
        <f>'02_GPU_Mix_Input'!G43</f>
        <v/>
      </c>
      <c r="R43" s="12">
        <f>INDEX('01_Benchmark_Input'!$D$2:$D$10,MATCH(B43,'01_Benchmark_Input'!$A$2:$A$10,0))</f>
        <v/>
      </c>
      <c r="S43" s="12">
        <f>INDEX('01_Benchmark_Input'!$F$2:$F$10,MATCH(B43,'01_Benchmark_Input'!$A$2:$A$10,0))</f>
        <v/>
      </c>
      <c r="T43" s="12">
        <f>INDEX('01_Benchmark_Input'!$H$2:$H$10,MATCH(B43,'01_Benchmark_Input'!$A$2:$A$10,0))</f>
        <v/>
      </c>
      <c r="U43" s="12">
        <f>INDEX('01_Benchmark_Input'!$J$2:$J$10,MATCH(B43,'01_Benchmark_Input'!$A$2:$A$10,0))</f>
        <v/>
      </c>
      <c r="V43" s="10">
        <f>'02_Inputs'!K43</f>
        <v/>
      </c>
      <c r="W43" s="12">
        <f>N43*R43+O43*S43+P43*T43+Q43*U43</f>
        <v/>
      </c>
      <c r="X43" s="12">
        <f>W43*V43</f>
        <v/>
      </c>
      <c r="Y43" s="12">
        <f>L43*1000*X43*86400</f>
        <v/>
      </c>
      <c r="Z43" s="12">
        <f>Y43*365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'02_GPU_Mix_Input'!D44</f>
        <v/>
      </c>
      <c r="O44" s="10">
        <f>'02_GPU_Mix_Input'!E44</f>
        <v/>
      </c>
      <c r="P44" s="10">
        <f>'02_GPU_Mix_Input'!F44</f>
        <v/>
      </c>
      <c r="Q44" s="10">
        <f>'02_GPU_Mix_Input'!G44</f>
        <v/>
      </c>
      <c r="R44" s="12">
        <f>INDEX('01_Benchmark_Input'!$D$2:$D$10,MATCH(B44,'01_Benchmark_Input'!$A$2:$A$10,0))</f>
        <v/>
      </c>
      <c r="S44" s="12">
        <f>INDEX('01_Benchmark_Input'!$F$2:$F$10,MATCH(B44,'01_Benchmark_Input'!$A$2:$A$10,0))</f>
        <v/>
      </c>
      <c r="T44" s="12">
        <f>INDEX('01_Benchmark_Input'!$H$2:$H$10,MATCH(B44,'01_Benchmark_Input'!$A$2:$A$10,0))</f>
        <v/>
      </c>
      <c r="U44" s="12">
        <f>INDEX('01_Benchmark_Input'!$J$2:$J$10,MATCH(B44,'01_Benchmark_Input'!$A$2:$A$10,0))</f>
        <v/>
      </c>
      <c r="V44" s="10">
        <f>'02_Inputs'!K44</f>
        <v/>
      </c>
      <c r="W44" s="12">
        <f>N44*R44+O44*S44+P44*T44+Q44*U44</f>
        <v/>
      </c>
      <c r="X44" s="12">
        <f>W44*V44</f>
        <v/>
      </c>
      <c r="Y44" s="12">
        <f>L44*1000*X44*86400</f>
        <v/>
      </c>
      <c r="Z44" s="12">
        <f>Y44*365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'02_GPU_Mix_Input'!D45</f>
        <v/>
      </c>
      <c r="O45" s="10">
        <f>'02_GPU_Mix_Input'!E45</f>
        <v/>
      </c>
      <c r="P45" s="10">
        <f>'02_GPU_Mix_Input'!F45</f>
        <v/>
      </c>
      <c r="Q45" s="10">
        <f>'02_GPU_Mix_Input'!G45</f>
        <v/>
      </c>
      <c r="R45" s="12">
        <f>INDEX('01_Benchmark_Input'!$D$2:$D$10,MATCH(B45,'01_Benchmark_Input'!$A$2:$A$10,0))</f>
        <v/>
      </c>
      <c r="S45" s="12">
        <f>INDEX('01_Benchmark_Input'!$F$2:$F$10,MATCH(B45,'01_Benchmark_Input'!$A$2:$A$10,0))</f>
        <v/>
      </c>
      <c r="T45" s="12">
        <f>INDEX('01_Benchmark_Input'!$H$2:$H$10,MATCH(B45,'01_Benchmark_Input'!$A$2:$A$10,0))</f>
        <v/>
      </c>
      <c r="U45" s="12">
        <f>INDEX('01_Benchmark_Input'!$J$2:$J$10,MATCH(B45,'01_Benchmark_Input'!$A$2:$A$10,0))</f>
        <v/>
      </c>
      <c r="V45" s="10">
        <f>'02_Inputs'!K45</f>
        <v/>
      </c>
      <c r="W45" s="12">
        <f>N45*R45+O45*S45+P45*T45+Q45*U45</f>
        <v/>
      </c>
      <c r="X45" s="12">
        <f>W45*V45</f>
        <v/>
      </c>
      <c r="Y45" s="12">
        <f>L45*1000*X45*86400</f>
        <v/>
      </c>
      <c r="Z45" s="12">
        <f>Y45*365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'02_GPU_Mix_Input'!D46</f>
        <v/>
      </c>
      <c r="O46" s="10">
        <f>'02_GPU_Mix_Input'!E46</f>
        <v/>
      </c>
      <c r="P46" s="10">
        <f>'02_GPU_Mix_Input'!F46</f>
        <v/>
      </c>
      <c r="Q46" s="10">
        <f>'02_GPU_Mix_Input'!G46</f>
        <v/>
      </c>
      <c r="R46" s="12">
        <f>INDEX('01_Benchmark_Input'!$D$2:$D$10,MATCH(B46,'01_Benchmark_Input'!$A$2:$A$10,0))</f>
        <v/>
      </c>
      <c r="S46" s="12">
        <f>INDEX('01_Benchmark_Input'!$F$2:$F$10,MATCH(B46,'01_Benchmark_Input'!$A$2:$A$10,0))</f>
        <v/>
      </c>
      <c r="T46" s="12">
        <f>INDEX('01_Benchmark_Input'!$H$2:$H$10,MATCH(B46,'01_Benchmark_Input'!$A$2:$A$10,0))</f>
        <v/>
      </c>
      <c r="U46" s="12">
        <f>INDEX('01_Benchmark_Input'!$J$2:$J$10,MATCH(B46,'01_Benchmark_Input'!$A$2:$A$10,0))</f>
        <v/>
      </c>
      <c r="V46" s="10">
        <f>'02_Inputs'!K46</f>
        <v/>
      </c>
      <c r="W46" s="12">
        <f>N46*R46+O46*S46+P46*T46+Q46*U46</f>
        <v/>
      </c>
      <c r="X46" s="12">
        <f>W46*V46</f>
        <v/>
      </c>
      <c r="Y46" s="12">
        <f>L46*1000*X46*86400</f>
        <v/>
      </c>
      <c r="Z46" s="12">
        <f>Y46*365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'02_GPU_Mix_Input'!D47</f>
        <v/>
      </c>
      <c r="O47" s="10">
        <f>'02_GPU_Mix_Input'!E47</f>
        <v/>
      </c>
      <c r="P47" s="10">
        <f>'02_GPU_Mix_Input'!F47</f>
        <v/>
      </c>
      <c r="Q47" s="10">
        <f>'02_GPU_Mix_Input'!G47</f>
        <v/>
      </c>
      <c r="R47" s="12">
        <f>INDEX('01_Benchmark_Input'!$D$2:$D$10,MATCH(B47,'01_Benchmark_Input'!$A$2:$A$10,0))</f>
        <v/>
      </c>
      <c r="S47" s="12">
        <f>INDEX('01_Benchmark_Input'!$F$2:$F$10,MATCH(B47,'01_Benchmark_Input'!$A$2:$A$10,0))</f>
        <v/>
      </c>
      <c r="T47" s="12">
        <f>INDEX('01_Benchmark_Input'!$H$2:$H$10,MATCH(B47,'01_Benchmark_Input'!$A$2:$A$10,0))</f>
        <v/>
      </c>
      <c r="U47" s="12">
        <f>INDEX('01_Benchmark_Input'!$J$2:$J$10,MATCH(B47,'01_Benchmark_Input'!$A$2:$A$10,0))</f>
        <v/>
      </c>
      <c r="V47" s="10">
        <f>'02_Inputs'!K47</f>
        <v/>
      </c>
      <c r="W47" s="12">
        <f>N47*R47+O47*S47+P47*T47+Q47*U47</f>
        <v/>
      </c>
      <c r="X47" s="12">
        <f>W47*V47</f>
        <v/>
      </c>
      <c r="Y47" s="12">
        <f>L47*1000*X47*86400</f>
        <v/>
      </c>
      <c r="Z47" s="12">
        <f>Y47*365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'02_GPU_Mix_Input'!D48</f>
        <v/>
      </c>
      <c r="O48" s="10">
        <f>'02_GPU_Mix_Input'!E48</f>
        <v/>
      </c>
      <c r="P48" s="10">
        <f>'02_GPU_Mix_Input'!F48</f>
        <v/>
      </c>
      <c r="Q48" s="10">
        <f>'02_GPU_Mix_Input'!G48</f>
        <v/>
      </c>
      <c r="R48" s="12">
        <f>INDEX('01_Benchmark_Input'!$D$2:$D$10,MATCH(B48,'01_Benchmark_Input'!$A$2:$A$10,0))</f>
        <v/>
      </c>
      <c r="S48" s="12">
        <f>INDEX('01_Benchmark_Input'!$F$2:$F$10,MATCH(B48,'01_Benchmark_Input'!$A$2:$A$10,0))</f>
        <v/>
      </c>
      <c r="T48" s="12">
        <f>INDEX('01_Benchmark_Input'!$H$2:$H$10,MATCH(B48,'01_Benchmark_Input'!$A$2:$A$10,0))</f>
        <v/>
      </c>
      <c r="U48" s="12">
        <f>INDEX('01_Benchmark_Input'!$J$2:$J$10,MATCH(B48,'01_Benchmark_Input'!$A$2:$A$10,0))</f>
        <v/>
      </c>
      <c r="V48" s="10">
        <f>'02_Inputs'!K48</f>
        <v/>
      </c>
      <c r="W48" s="12">
        <f>N48*R48+O48*S48+P48*T48+Q48*U48</f>
        <v/>
      </c>
      <c r="X48" s="12">
        <f>W48*V48</f>
        <v/>
      </c>
      <c r="Y48" s="12">
        <f>L48*1000*X48*86400</f>
        <v/>
      </c>
      <c r="Z48" s="12">
        <f>Y48*365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'02_GPU_Mix_Input'!D49</f>
        <v/>
      </c>
      <c r="O49" s="10">
        <f>'02_GPU_Mix_Input'!E49</f>
        <v/>
      </c>
      <c r="P49" s="10">
        <f>'02_GPU_Mix_Input'!F49</f>
        <v/>
      </c>
      <c r="Q49" s="10">
        <f>'02_GPU_Mix_Input'!G49</f>
        <v/>
      </c>
      <c r="R49" s="12">
        <f>INDEX('01_Benchmark_Input'!$D$2:$D$10,MATCH(B49,'01_Benchmark_Input'!$A$2:$A$10,0))</f>
        <v/>
      </c>
      <c r="S49" s="12">
        <f>INDEX('01_Benchmark_Input'!$F$2:$F$10,MATCH(B49,'01_Benchmark_Input'!$A$2:$A$10,0))</f>
        <v/>
      </c>
      <c r="T49" s="12">
        <f>INDEX('01_Benchmark_Input'!$H$2:$H$10,MATCH(B49,'01_Benchmark_Input'!$A$2:$A$10,0))</f>
        <v/>
      </c>
      <c r="U49" s="12">
        <f>INDEX('01_Benchmark_Input'!$J$2:$J$10,MATCH(B49,'01_Benchmark_Input'!$A$2:$A$10,0))</f>
        <v/>
      </c>
      <c r="V49" s="10">
        <f>'02_Inputs'!K49</f>
        <v/>
      </c>
      <c r="W49" s="12">
        <f>N49*R49+O49*S49+P49*T49+Q49*U49</f>
        <v/>
      </c>
      <c r="X49" s="12">
        <f>W49*V49</f>
        <v/>
      </c>
      <c r="Y49" s="12">
        <f>L49*1000*X49*86400</f>
        <v/>
      </c>
      <c r="Z49" s="12">
        <f>Y49*365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'02_GPU_Mix_Input'!D50</f>
        <v/>
      </c>
      <c r="O50" s="10">
        <f>'02_GPU_Mix_Input'!E50</f>
        <v/>
      </c>
      <c r="P50" s="10">
        <f>'02_GPU_Mix_Input'!F50</f>
        <v/>
      </c>
      <c r="Q50" s="10">
        <f>'02_GPU_Mix_Input'!G50</f>
        <v/>
      </c>
      <c r="R50" s="12">
        <f>INDEX('01_Benchmark_Input'!$D$2:$D$10,MATCH(B50,'01_Benchmark_Input'!$A$2:$A$10,0))</f>
        <v/>
      </c>
      <c r="S50" s="12">
        <f>INDEX('01_Benchmark_Input'!$F$2:$F$10,MATCH(B50,'01_Benchmark_Input'!$A$2:$A$10,0))</f>
        <v/>
      </c>
      <c r="T50" s="12">
        <f>INDEX('01_Benchmark_Input'!$H$2:$H$10,MATCH(B50,'01_Benchmark_Input'!$A$2:$A$10,0))</f>
        <v/>
      </c>
      <c r="U50" s="12">
        <f>INDEX('01_Benchmark_Input'!$J$2:$J$10,MATCH(B50,'01_Benchmark_Input'!$A$2:$A$10,0))</f>
        <v/>
      </c>
      <c r="V50" s="10">
        <f>'02_Inputs'!K50</f>
        <v/>
      </c>
      <c r="W50" s="12">
        <f>N50*R50+O50*S50+P50*T50+Q50*U50</f>
        <v/>
      </c>
      <c r="X50" s="12">
        <f>W50*V50</f>
        <v/>
      </c>
      <c r="Y50" s="12">
        <f>L50*1000*X50*86400</f>
        <v/>
      </c>
      <c r="Z50" s="12">
        <f>Y50*365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'02_GPU_Mix_Input'!D51</f>
        <v/>
      </c>
      <c r="O51" s="10">
        <f>'02_GPU_Mix_Input'!E51</f>
        <v/>
      </c>
      <c r="P51" s="10">
        <f>'02_GPU_Mix_Input'!F51</f>
        <v/>
      </c>
      <c r="Q51" s="10">
        <f>'02_GPU_Mix_Input'!G51</f>
        <v/>
      </c>
      <c r="R51" s="12">
        <f>INDEX('01_Benchmark_Input'!$D$2:$D$10,MATCH(B51,'01_Benchmark_Input'!$A$2:$A$10,0))</f>
        <v/>
      </c>
      <c r="S51" s="12">
        <f>INDEX('01_Benchmark_Input'!$F$2:$F$10,MATCH(B51,'01_Benchmark_Input'!$A$2:$A$10,0))</f>
        <v/>
      </c>
      <c r="T51" s="12">
        <f>INDEX('01_Benchmark_Input'!$H$2:$H$10,MATCH(B51,'01_Benchmark_Input'!$A$2:$A$10,0))</f>
        <v/>
      </c>
      <c r="U51" s="12">
        <f>INDEX('01_Benchmark_Input'!$J$2:$J$10,MATCH(B51,'01_Benchmark_Input'!$A$2:$A$10,0))</f>
        <v/>
      </c>
      <c r="V51" s="10">
        <f>'02_Inputs'!K51</f>
        <v/>
      </c>
      <c r="W51" s="12">
        <f>N51*R51+O51*S51+P51*T51+Q51*U51</f>
        <v/>
      </c>
      <c r="X51" s="12">
        <f>W51*V51</f>
        <v/>
      </c>
      <c r="Y51" s="12">
        <f>L51*1000*X51*86400</f>
        <v/>
      </c>
      <c r="Z51" s="12">
        <f>Y51*365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'02_GPU_Mix_Input'!D52</f>
        <v/>
      </c>
      <c r="O52" s="10">
        <f>'02_GPU_Mix_Input'!E52</f>
        <v/>
      </c>
      <c r="P52" s="10">
        <f>'02_GPU_Mix_Input'!F52</f>
        <v/>
      </c>
      <c r="Q52" s="10">
        <f>'02_GPU_Mix_Input'!G52</f>
        <v/>
      </c>
      <c r="R52" s="12">
        <f>INDEX('01_Benchmark_Input'!$D$2:$D$10,MATCH(B52,'01_Benchmark_Input'!$A$2:$A$10,0))</f>
        <v/>
      </c>
      <c r="S52" s="12">
        <f>INDEX('01_Benchmark_Input'!$F$2:$F$10,MATCH(B52,'01_Benchmark_Input'!$A$2:$A$10,0))</f>
        <v/>
      </c>
      <c r="T52" s="12">
        <f>INDEX('01_Benchmark_Input'!$H$2:$H$10,MATCH(B52,'01_Benchmark_Input'!$A$2:$A$10,0))</f>
        <v/>
      </c>
      <c r="U52" s="12">
        <f>INDEX('01_Benchmark_Input'!$J$2:$J$10,MATCH(B52,'01_Benchmark_Input'!$A$2:$A$10,0))</f>
        <v/>
      </c>
      <c r="V52" s="10">
        <f>'02_Inputs'!K52</f>
        <v/>
      </c>
      <c r="W52" s="12">
        <f>N52*R52+O52*S52+P52*T52+Q52*U52</f>
        <v/>
      </c>
      <c r="X52" s="12">
        <f>W52*V52</f>
        <v/>
      </c>
      <c r="Y52" s="12">
        <f>L52*1000*X52*86400</f>
        <v/>
      </c>
      <c r="Z52" s="12">
        <f>Y52*365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'02_GPU_Mix_Input'!D53</f>
        <v/>
      </c>
      <c r="O53" s="10">
        <f>'02_GPU_Mix_Input'!E53</f>
        <v/>
      </c>
      <c r="P53" s="10">
        <f>'02_GPU_Mix_Input'!F53</f>
        <v/>
      </c>
      <c r="Q53" s="10">
        <f>'02_GPU_Mix_Input'!G53</f>
        <v/>
      </c>
      <c r="R53" s="12">
        <f>INDEX('01_Benchmark_Input'!$D$2:$D$10,MATCH(B53,'01_Benchmark_Input'!$A$2:$A$10,0))</f>
        <v/>
      </c>
      <c r="S53" s="12">
        <f>INDEX('01_Benchmark_Input'!$F$2:$F$10,MATCH(B53,'01_Benchmark_Input'!$A$2:$A$10,0))</f>
        <v/>
      </c>
      <c r="T53" s="12">
        <f>INDEX('01_Benchmark_Input'!$H$2:$H$10,MATCH(B53,'01_Benchmark_Input'!$A$2:$A$10,0))</f>
        <v/>
      </c>
      <c r="U53" s="12">
        <f>INDEX('01_Benchmark_Input'!$J$2:$J$10,MATCH(B53,'01_Benchmark_Input'!$A$2:$A$10,0))</f>
        <v/>
      </c>
      <c r="V53" s="10">
        <f>'02_Inputs'!K53</f>
        <v/>
      </c>
      <c r="W53" s="12">
        <f>N53*R53+O53*S53+P53*T53+Q53*U53</f>
        <v/>
      </c>
      <c r="X53" s="12">
        <f>W53*V53</f>
        <v/>
      </c>
      <c r="Y53" s="12">
        <f>L53*1000*X53*86400</f>
        <v/>
      </c>
      <c r="Z53" s="12">
        <f>Y53*365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'02_GPU_Mix_Input'!D54</f>
        <v/>
      </c>
      <c r="O54" s="10">
        <f>'02_GPU_Mix_Input'!E54</f>
        <v/>
      </c>
      <c r="P54" s="10">
        <f>'02_GPU_Mix_Input'!F54</f>
        <v/>
      </c>
      <c r="Q54" s="10">
        <f>'02_GPU_Mix_Input'!G54</f>
        <v/>
      </c>
      <c r="R54" s="12">
        <f>INDEX('01_Benchmark_Input'!$D$2:$D$10,MATCH(B54,'01_Benchmark_Input'!$A$2:$A$10,0))</f>
        <v/>
      </c>
      <c r="S54" s="12">
        <f>INDEX('01_Benchmark_Input'!$F$2:$F$10,MATCH(B54,'01_Benchmark_Input'!$A$2:$A$10,0))</f>
        <v/>
      </c>
      <c r="T54" s="12">
        <f>INDEX('01_Benchmark_Input'!$H$2:$H$10,MATCH(B54,'01_Benchmark_Input'!$A$2:$A$10,0))</f>
        <v/>
      </c>
      <c r="U54" s="12">
        <f>INDEX('01_Benchmark_Input'!$J$2:$J$10,MATCH(B54,'01_Benchmark_Input'!$A$2:$A$10,0))</f>
        <v/>
      </c>
      <c r="V54" s="10">
        <f>'02_Inputs'!K54</f>
        <v/>
      </c>
      <c r="W54" s="12">
        <f>N54*R54+O54*S54+P54*T54+Q54*U54</f>
        <v/>
      </c>
      <c r="X54" s="12">
        <f>W54*V54</f>
        <v/>
      </c>
      <c r="Y54" s="12">
        <f>L54*1000*X54*86400</f>
        <v/>
      </c>
      <c r="Z54" s="12">
        <f>Y54*365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'02_GPU_Mix_Input'!D55</f>
        <v/>
      </c>
      <c r="O55" s="10">
        <f>'02_GPU_Mix_Input'!E55</f>
        <v/>
      </c>
      <c r="P55" s="10">
        <f>'02_GPU_Mix_Input'!F55</f>
        <v/>
      </c>
      <c r="Q55" s="10">
        <f>'02_GPU_Mix_Input'!G55</f>
        <v/>
      </c>
      <c r="R55" s="12">
        <f>INDEX('01_Benchmark_Input'!$D$2:$D$10,MATCH(B55,'01_Benchmark_Input'!$A$2:$A$10,0))</f>
        <v/>
      </c>
      <c r="S55" s="12">
        <f>INDEX('01_Benchmark_Input'!$F$2:$F$10,MATCH(B55,'01_Benchmark_Input'!$A$2:$A$10,0))</f>
        <v/>
      </c>
      <c r="T55" s="12">
        <f>INDEX('01_Benchmark_Input'!$H$2:$H$10,MATCH(B55,'01_Benchmark_Input'!$A$2:$A$10,0))</f>
        <v/>
      </c>
      <c r="U55" s="12">
        <f>INDEX('01_Benchmark_Input'!$J$2:$J$10,MATCH(B55,'01_Benchmark_Input'!$A$2:$A$10,0))</f>
        <v/>
      </c>
      <c r="V55" s="10">
        <f>'02_Inputs'!K55</f>
        <v/>
      </c>
      <c r="W55" s="12">
        <f>N55*R55+O55*S55+P55*T55+Q55*U55</f>
        <v/>
      </c>
      <c r="X55" s="12">
        <f>W55*V55</f>
        <v/>
      </c>
      <c r="Y55" s="12">
        <f>L55*1000*X55*86400</f>
        <v/>
      </c>
      <c r="Z55" s="12">
        <f>Y55*365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'02_GPU_Mix_Input'!D56</f>
        <v/>
      </c>
      <c r="O56" s="10">
        <f>'02_GPU_Mix_Input'!E56</f>
        <v/>
      </c>
      <c r="P56" s="10">
        <f>'02_GPU_Mix_Input'!F56</f>
        <v/>
      </c>
      <c r="Q56" s="10">
        <f>'02_GPU_Mix_Input'!G56</f>
        <v/>
      </c>
      <c r="R56" s="12">
        <f>INDEX('01_Benchmark_Input'!$D$2:$D$10,MATCH(B56,'01_Benchmark_Input'!$A$2:$A$10,0))</f>
        <v/>
      </c>
      <c r="S56" s="12">
        <f>INDEX('01_Benchmark_Input'!$F$2:$F$10,MATCH(B56,'01_Benchmark_Input'!$A$2:$A$10,0))</f>
        <v/>
      </c>
      <c r="T56" s="12">
        <f>INDEX('01_Benchmark_Input'!$H$2:$H$10,MATCH(B56,'01_Benchmark_Input'!$A$2:$A$10,0))</f>
        <v/>
      </c>
      <c r="U56" s="12">
        <f>INDEX('01_Benchmark_Input'!$J$2:$J$10,MATCH(B56,'01_Benchmark_Input'!$A$2:$A$10,0))</f>
        <v/>
      </c>
      <c r="V56" s="10">
        <f>'02_Inputs'!K56</f>
        <v/>
      </c>
      <c r="W56" s="12">
        <f>N56*R56+O56*S56+P56*T56+Q56*U56</f>
        <v/>
      </c>
      <c r="X56" s="12">
        <f>W56*V56</f>
        <v/>
      </c>
      <c r="Y56" s="12">
        <f>L56*1000*X56*86400</f>
        <v/>
      </c>
      <c r="Z56" s="12">
        <f>Y56*365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'02_GPU_Mix_Input'!D57</f>
        <v/>
      </c>
      <c r="O57" s="10">
        <f>'02_GPU_Mix_Input'!E57</f>
        <v/>
      </c>
      <c r="P57" s="10">
        <f>'02_GPU_Mix_Input'!F57</f>
        <v/>
      </c>
      <c r="Q57" s="10">
        <f>'02_GPU_Mix_Input'!G57</f>
        <v/>
      </c>
      <c r="R57" s="12">
        <f>INDEX('01_Benchmark_Input'!$D$2:$D$10,MATCH(B57,'01_Benchmark_Input'!$A$2:$A$10,0))</f>
        <v/>
      </c>
      <c r="S57" s="12">
        <f>INDEX('01_Benchmark_Input'!$F$2:$F$10,MATCH(B57,'01_Benchmark_Input'!$A$2:$A$10,0))</f>
        <v/>
      </c>
      <c r="T57" s="12">
        <f>INDEX('01_Benchmark_Input'!$H$2:$H$10,MATCH(B57,'01_Benchmark_Input'!$A$2:$A$10,0))</f>
        <v/>
      </c>
      <c r="U57" s="12">
        <f>INDEX('01_Benchmark_Input'!$J$2:$J$10,MATCH(B57,'01_Benchmark_Input'!$A$2:$A$10,0))</f>
        <v/>
      </c>
      <c r="V57" s="10">
        <f>'02_Inputs'!K57</f>
        <v/>
      </c>
      <c r="W57" s="12">
        <f>N57*R57+O57*S57+P57*T57+Q57*U57</f>
        <v/>
      </c>
      <c r="X57" s="12">
        <f>W57*V57</f>
        <v/>
      </c>
      <c r="Y57" s="12">
        <f>L57*1000*X57*86400</f>
        <v/>
      </c>
      <c r="Z57" s="12">
        <f>Y57*365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'02_GPU_Mix_Input'!D58</f>
        <v/>
      </c>
      <c r="O58" s="10">
        <f>'02_GPU_Mix_Input'!E58</f>
        <v/>
      </c>
      <c r="P58" s="10">
        <f>'02_GPU_Mix_Input'!F58</f>
        <v/>
      </c>
      <c r="Q58" s="10">
        <f>'02_GPU_Mix_Input'!G58</f>
        <v/>
      </c>
      <c r="R58" s="12">
        <f>INDEX('01_Benchmark_Input'!$D$2:$D$10,MATCH(B58,'01_Benchmark_Input'!$A$2:$A$10,0))</f>
        <v/>
      </c>
      <c r="S58" s="12">
        <f>INDEX('01_Benchmark_Input'!$F$2:$F$10,MATCH(B58,'01_Benchmark_Input'!$A$2:$A$10,0))</f>
        <v/>
      </c>
      <c r="T58" s="12">
        <f>INDEX('01_Benchmark_Input'!$H$2:$H$10,MATCH(B58,'01_Benchmark_Input'!$A$2:$A$10,0))</f>
        <v/>
      </c>
      <c r="U58" s="12">
        <f>INDEX('01_Benchmark_Input'!$J$2:$J$10,MATCH(B58,'01_Benchmark_Input'!$A$2:$A$10,0))</f>
        <v/>
      </c>
      <c r="V58" s="10">
        <f>'02_Inputs'!K58</f>
        <v/>
      </c>
      <c r="W58" s="12">
        <f>N58*R58+O58*S58+P58*T58+Q58*U58</f>
        <v/>
      </c>
      <c r="X58" s="12">
        <f>W58*V58</f>
        <v/>
      </c>
      <c r="Y58" s="12">
        <f>L58*1000*X58*86400</f>
        <v/>
      </c>
      <c r="Z58" s="12">
        <f>Y58*365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'02_GPU_Mix_Input'!D59</f>
        <v/>
      </c>
      <c r="O59" s="10">
        <f>'02_GPU_Mix_Input'!E59</f>
        <v/>
      </c>
      <c r="P59" s="10">
        <f>'02_GPU_Mix_Input'!F59</f>
        <v/>
      </c>
      <c r="Q59" s="10">
        <f>'02_GPU_Mix_Input'!G59</f>
        <v/>
      </c>
      <c r="R59" s="12">
        <f>INDEX('01_Benchmark_Input'!$D$2:$D$10,MATCH(B59,'01_Benchmark_Input'!$A$2:$A$10,0))</f>
        <v/>
      </c>
      <c r="S59" s="12">
        <f>INDEX('01_Benchmark_Input'!$F$2:$F$10,MATCH(B59,'01_Benchmark_Input'!$A$2:$A$10,0))</f>
        <v/>
      </c>
      <c r="T59" s="12">
        <f>INDEX('01_Benchmark_Input'!$H$2:$H$10,MATCH(B59,'01_Benchmark_Input'!$A$2:$A$10,0))</f>
        <v/>
      </c>
      <c r="U59" s="12">
        <f>INDEX('01_Benchmark_Input'!$J$2:$J$10,MATCH(B59,'01_Benchmark_Input'!$A$2:$A$10,0))</f>
        <v/>
      </c>
      <c r="V59" s="10">
        <f>'02_Inputs'!K59</f>
        <v/>
      </c>
      <c r="W59" s="12">
        <f>N59*R59+O59*S59+P59*T59+Q59*U59</f>
        <v/>
      </c>
      <c r="X59" s="12">
        <f>W59*V59</f>
        <v/>
      </c>
      <c r="Y59" s="12">
        <f>L59*1000*X59*86400</f>
        <v/>
      </c>
      <c r="Z59" s="12">
        <f>Y59*365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'02_GPU_Mix_Input'!D60</f>
        <v/>
      </c>
      <c r="O60" s="10">
        <f>'02_GPU_Mix_Input'!E60</f>
        <v/>
      </c>
      <c r="P60" s="10">
        <f>'02_GPU_Mix_Input'!F60</f>
        <v/>
      </c>
      <c r="Q60" s="10">
        <f>'02_GPU_Mix_Input'!G60</f>
        <v/>
      </c>
      <c r="R60" s="12">
        <f>INDEX('01_Benchmark_Input'!$D$2:$D$10,MATCH(B60,'01_Benchmark_Input'!$A$2:$A$10,0))</f>
        <v/>
      </c>
      <c r="S60" s="12">
        <f>INDEX('01_Benchmark_Input'!$F$2:$F$10,MATCH(B60,'01_Benchmark_Input'!$A$2:$A$10,0))</f>
        <v/>
      </c>
      <c r="T60" s="12">
        <f>INDEX('01_Benchmark_Input'!$H$2:$H$10,MATCH(B60,'01_Benchmark_Input'!$A$2:$A$10,0))</f>
        <v/>
      </c>
      <c r="U60" s="12">
        <f>INDEX('01_Benchmark_Input'!$J$2:$J$10,MATCH(B60,'01_Benchmark_Input'!$A$2:$A$10,0))</f>
        <v/>
      </c>
      <c r="V60" s="10">
        <f>'02_Inputs'!K60</f>
        <v/>
      </c>
      <c r="W60" s="12">
        <f>N60*R60+O60*S60+P60*T60+Q60*U60</f>
        <v/>
      </c>
      <c r="X60" s="12">
        <f>W60*V60</f>
        <v/>
      </c>
      <c r="Y60" s="12">
        <f>L60*1000*X60*86400</f>
        <v/>
      </c>
      <c r="Z60" s="12">
        <f>Y60*365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'02_GPU_Mix_Input'!D61</f>
        <v/>
      </c>
      <c r="O61" s="10">
        <f>'02_GPU_Mix_Input'!E61</f>
        <v/>
      </c>
      <c r="P61" s="10">
        <f>'02_GPU_Mix_Input'!F61</f>
        <v/>
      </c>
      <c r="Q61" s="10">
        <f>'02_GPU_Mix_Input'!G61</f>
        <v/>
      </c>
      <c r="R61" s="12">
        <f>INDEX('01_Benchmark_Input'!$D$2:$D$10,MATCH(B61,'01_Benchmark_Input'!$A$2:$A$10,0))</f>
        <v/>
      </c>
      <c r="S61" s="12">
        <f>INDEX('01_Benchmark_Input'!$F$2:$F$10,MATCH(B61,'01_Benchmark_Input'!$A$2:$A$10,0))</f>
        <v/>
      </c>
      <c r="T61" s="12">
        <f>INDEX('01_Benchmark_Input'!$H$2:$H$10,MATCH(B61,'01_Benchmark_Input'!$A$2:$A$10,0))</f>
        <v/>
      </c>
      <c r="U61" s="12">
        <f>INDEX('01_Benchmark_Input'!$J$2:$J$10,MATCH(B61,'01_Benchmark_Input'!$A$2:$A$10,0))</f>
        <v/>
      </c>
      <c r="V61" s="10">
        <f>'02_Inputs'!K61</f>
        <v/>
      </c>
      <c r="W61" s="12">
        <f>N61*R61+O61*S61+P61*T61+Q61*U61</f>
        <v/>
      </c>
      <c r="X61" s="12">
        <f>W61*V61</f>
        <v/>
      </c>
      <c r="Y61" s="12">
        <f>L61*1000*X61*86400</f>
        <v/>
      </c>
      <c r="Z61" s="12">
        <f>Y61*365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'02_GPU_Mix_Input'!D62</f>
        <v/>
      </c>
      <c r="O62" s="10">
        <f>'02_GPU_Mix_Input'!E62</f>
        <v/>
      </c>
      <c r="P62" s="10">
        <f>'02_GPU_Mix_Input'!F62</f>
        <v/>
      </c>
      <c r="Q62" s="10">
        <f>'02_GPU_Mix_Input'!G62</f>
        <v/>
      </c>
      <c r="R62" s="12">
        <f>INDEX('01_Benchmark_Input'!$D$2:$D$10,MATCH(B62,'01_Benchmark_Input'!$A$2:$A$10,0))</f>
        <v/>
      </c>
      <c r="S62" s="12">
        <f>INDEX('01_Benchmark_Input'!$F$2:$F$10,MATCH(B62,'01_Benchmark_Input'!$A$2:$A$10,0))</f>
        <v/>
      </c>
      <c r="T62" s="12">
        <f>INDEX('01_Benchmark_Input'!$H$2:$H$10,MATCH(B62,'01_Benchmark_Input'!$A$2:$A$10,0))</f>
        <v/>
      </c>
      <c r="U62" s="12">
        <f>INDEX('01_Benchmark_Input'!$J$2:$J$10,MATCH(B62,'01_Benchmark_Input'!$A$2:$A$10,0))</f>
        <v/>
      </c>
      <c r="V62" s="10">
        <f>'02_Inputs'!K62</f>
        <v/>
      </c>
      <c r="W62" s="12">
        <f>N62*R62+O62*S62+P62*T62+Q62*U62</f>
        <v/>
      </c>
      <c r="X62" s="12">
        <f>W62*V62</f>
        <v/>
      </c>
      <c r="Y62" s="12">
        <f>L62*1000*X62*86400</f>
        <v/>
      </c>
      <c r="Z62" s="12">
        <f>Y62*365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'02_GPU_Mix_Input'!D63</f>
        <v/>
      </c>
      <c r="O63" s="10">
        <f>'02_GPU_Mix_Input'!E63</f>
        <v/>
      </c>
      <c r="P63" s="10">
        <f>'02_GPU_Mix_Input'!F63</f>
        <v/>
      </c>
      <c r="Q63" s="10">
        <f>'02_GPU_Mix_Input'!G63</f>
        <v/>
      </c>
      <c r="R63" s="12">
        <f>INDEX('01_Benchmark_Input'!$D$2:$D$10,MATCH(B63,'01_Benchmark_Input'!$A$2:$A$10,0))</f>
        <v/>
      </c>
      <c r="S63" s="12">
        <f>INDEX('01_Benchmark_Input'!$F$2:$F$10,MATCH(B63,'01_Benchmark_Input'!$A$2:$A$10,0))</f>
        <v/>
      </c>
      <c r="T63" s="12">
        <f>INDEX('01_Benchmark_Input'!$H$2:$H$10,MATCH(B63,'01_Benchmark_Input'!$A$2:$A$10,0))</f>
        <v/>
      </c>
      <c r="U63" s="12">
        <f>INDEX('01_Benchmark_Input'!$J$2:$J$10,MATCH(B63,'01_Benchmark_Input'!$A$2:$A$10,0))</f>
        <v/>
      </c>
      <c r="V63" s="10">
        <f>'02_Inputs'!K63</f>
        <v/>
      </c>
      <c r="W63" s="12">
        <f>N63*R63+O63*S63+P63*T63+Q63*U63</f>
        <v/>
      </c>
      <c r="X63" s="12">
        <f>W63*V63</f>
        <v/>
      </c>
      <c r="Y63" s="12">
        <f>L63*1000*X63*86400</f>
        <v/>
      </c>
      <c r="Z63" s="12">
        <f>Y63*365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'02_GPU_Mix_Input'!D64</f>
        <v/>
      </c>
      <c r="O64" s="10">
        <f>'02_GPU_Mix_Input'!E64</f>
        <v/>
      </c>
      <c r="P64" s="10">
        <f>'02_GPU_Mix_Input'!F64</f>
        <v/>
      </c>
      <c r="Q64" s="10">
        <f>'02_GPU_Mix_Input'!G64</f>
        <v/>
      </c>
      <c r="R64" s="12">
        <f>INDEX('01_Benchmark_Input'!$D$2:$D$10,MATCH(B64,'01_Benchmark_Input'!$A$2:$A$10,0))</f>
        <v/>
      </c>
      <c r="S64" s="12">
        <f>INDEX('01_Benchmark_Input'!$F$2:$F$10,MATCH(B64,'01_Benchmark_Input'!$A$2:$A$10,0))</f>
        <v/>
      </c>
      <c r="T64" s="12">
        <f>INDEX('01_Benchmark_Input'!$H$2:$H$10,MATCH(B64,'01_Benchmark_Input'!$A$2:$A$10,0))</f>
        <v/>
      </c>
      <c r="U64" s="12">
        <f>INDEX('01_Benchmark_Input'!$J$2:$J$10,MATCH(B64,'01_Benchmark_Input'!$A$2:$A$10,0))</f>
        <v/>
      </c>
      <c r="V64" s="10">
        <f>'02_Inputs'!K64</f>
        <v/>
      </c>
      <c r="W64" s="12">
        <f>N64*R64+O64*S64+P64*T64+Q64*U64</f>
        <v/>
      </c>
      <c r="X64" s="12">
        <f>W64*V64</f>
        <v/>
      </c>
      <c r="Y64" s="12">
        <f>L64*1000*X64*86400</f>
        <v/>
      </c>
      <c r="Z64" s="12">
        <f>Y64*365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'02_GPU_Mix_Input'!D65</f>
        <v/>
      </c>
      <c r="O65" s="10">
        <f>'02_GPU_Mix_Input'!E65</f>
        <v/>
      </c>
      <c r="P65" s="10">
        <f>'02_GPU_Mix_Input'!F65</f>
        <v/>
      </c>
      <c r="Q65" s="10">
        <f>'02_GPU_Mix_Input'!G65</f>
        <v/>
      </c>
      <c r="R65" s="12">
        <f>INDEX('01_Benchmark_Input'!$D$2:$D$10,MATCH(B65,'01_Benchmark_Input'!$A$2:$A$10,0))</f>
        <v/>
      </c>
      <c r="S65" s="12">
        <f>INDEX('01_Benchmark_Input'!$F$2:$F$10,MATCH(B65,'01_Benchmark_Input'!$A$2:$A$10,0))</f>
        <v/>
      </c>
      <c r="T65" s="12">
        <f>INDEX('01_Benchmark_Input'!$H$2:$H$10,MATCH(B65,'01_Benchmark_Input'!$A$2:$A$10,0))</f>
        <v/>
      </c>
      <c r="U65" s="12">
        <f>INDEX('01_Benchmark_Input'!$J$2:$J$10,MATCH(B65,'01_Benchmark_Input'!$A$2:$A$10,0))</f>
        <v/>
      </c>
      <c r="V65" s="10">
        <f>'02_Inputs'!K65</f>
        <v/>
      </c>
      <c r="W65" s="12">
        <f>N65*R65+O65*S65+P65*T65+Q65*U65</f>
        <v/>
      </c>
      <c r="X65" s="12">
        <f>W65*V65</f>
        <v/>
      </c>
      <c r="Y65" s="12">
        <f>L65*1000*X65*86400</f>
        <v/>
      </c>
      <c r="Z65" s="12">
        <f>Y65*365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'02_GPU_Mix_Input'!D66</f>
        <v/>
      </c>
      <c r="O66" s="10">
        <f>'02_GPU_Mix_Input'!E66</f>
        <v/>
      </c>
      <c r="P66" s="10">
        <f>'02_GPU_Mix_Input'!F66</f>
        <v/>
      </c>
      <c r="Q66" s="10">
        <f>'02_GPU_Mix_Input'!G66</f>
        <v/>
      </c>
      <c r="R66" s="12">
        <f>INDEX('01_Benchmark_Input'!$D$2:$D$10,MATCH(B66,'01_Benchmark_Input'!$A$2:$A$10,0))</f>
        <v/>
      </c>
      <c r="S66" s="12">
        <f>INDEX('01_Benchmark_Input'!$F$2:$F$10,MATCH(B66,'01_Benchmark_Input'!$A$2:$A$10,0))</f>
        <v/>
      </c>
      <c r="T66" s="12">
        <f>INDEX('01_Benchmark_Input'!$H$2:$H$10,MATCH(B66,'01_Benchmark_Input'!$A$2:$A$10,0))</f>
        <v/>
      </c>
      <c r="U66" s="12">
        <f>INDEX('01_Benchmark_Input'!$J$2:$J$10,MATCH(B66,'01_Benchmark_Input'!$A$2:$A$10,0))</f>
        <v/>
      </c>
      <c r="V66" s="10">
        <f>'02_Inputs'!K66</f>
        <v/>
      </c>
      <c r="W66" s="12">
        <f>N66*R66+O66*S66+P66*T66+Q66*U66</f>
        <v/>
      </c>
      <c r="X66" s="12">
        <f>W66*V66</f>
        <v/>
      </c>
      <c r="Y66" s="12">
        <f>L66*1000*X66*86400</f>
        <v/>
      </c>
      <c r="Z66" s="12">
        <f>Y66*365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'02_GPU_Mix_Input'!D67</f>
        <v/>
      </c>
      <c r="O67" s="10">
        <f>'02_GPU_Mix_Input'!E67</f>
        <v/>
      </c>
      <c r="P67" s="10">
        <f>'02_GPU_Mix_Input'!F67</f>
        <v/>
      </c>
      <c r="Q67" s="10">
        <f>'02_GPU_Mix_Input'!G67</f>
        <v/>
      </c>
      <c r="R67" s="12">
        <f>INDEX('01_Benchmark_Input'!$D$2:$D$10,MATCH(B67,'01_Benchmark_Input'!$A$2:$A$10,0))</f>
        <v/>
      </c>
      <c r="S67" s="12">
        <f>INDEX('01_Benchmark_Input'!$F$2:$F$10,MATCH(B67,'01_Benchmark_Input'!$A$2:$A$10,0))</f>
        <v/>
      </c>
      <c r="T67" s="12">
        <f>INDEX('01_Benchmark_Input'!$H$2:$H$10,MATCH(B67,'01_Benchmark_Input'!$A$2:$A$10,0))</f>
        <v/>
      </c>
      <c r="U67" s="12">
        <f>INDEX('01_Benchmark_Input'!$J$2:$J$10,MATCH(B67,'01_Benchmark_Input'!$A$2:$A$10,0))</f>
        <v/>
      </c>
      <c r="V67" s="10">
        <f>'02_Inputs'!K67</f>
        <v/>
      </c>
      <c r="W67" s="12">
        <f>N67*R67+O67*S67+P67*T67+Q67*U67</f>
        <v/>
      </c>
      <c r="X67" s="12">
        <f>W67*V67</f>
        <v/>
      </c>
      <c r="Y67" s="12">
        <f>L67*1000*X67*86400</f>
        <v/>
      </c>
      <c r="Z67" s="12">
        <f>Y67*365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'02_GPU_Mix_Input'!D68</f>
        <v/>
      </c>
      <c r="O68" s="10">
        <f>'02_GPU_Mix_Input'!E68</f>
        <v/>
      </c>
      <c r="P68" s="10">
        <f>'02_GPU_Mix_Input'!F68</f>
        <v/>
      </c>
      <c r="Q68" s="10">
        <f>'02_GPU_Mix_Input'!G68</f>
        <v/>
      </c>
      <c r="R68" s="12">
        <f>INDEX('01_Benchmark_Input'!$D$2:$D$10,MATCH(B68,'01_Benchmark_Input'!$A$2:$A$10,0))</f>
        <v/>
      </c>
      <c r="S68" s="12">
        <f>INDEX('01_Benchmark_Input'!$F$2:$F$10,MATCH(B68,'01_Benchmark_Input'!$A$2:$A$10,0))</f>
        <v/>
      </c>
      <c r="T68" s="12">
        <f>INDEX('01_Benchmark_Input'!$H$2:$H$10,MATCH(B68,'01_Benchmark_Input'!$A$2:$A$10,0))</f>
        <v/>
      </c>
      <c r="U68" s="12">
        <f>INDEX('01_Benchmark_Input'!$J$2:$J$10,MATCH(B68,'01_Benchmark_Input'!$A$2:$A$10,0))</f>
        <v/>
      </c>
      <c r="V68" s="10">
        <f>'02_Inputs'!K68</f>
        <v/>
      </c>
      <c r="W68" s="12">
        <f>N68*R68+O68*S68+P68*T68+Q68*U68</f>
        <v/>
      </c>
      <c r="X68" s="12">
        <f>W68*V68</f>
        <v/>
      </c>
      <c r="Y68" s="12">
        <f>L68*1000*X68*86400</f>
        <v/>
      </c>
      <c r="Z68" s="12">
        <f>Y68*365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'02_GPU_Mix_Input'!D69</f>
        <v/>
      </c>
      <c r="O69" s="10">
        <f>'02_GPU_Mix_Input'!E69</f>
        <v/>
      </c>
      <c r="P69" s="10">
        <f>'02_GPU_Mix_Input'!F69</f>
        <v/>
      </c>
      <c r="Q69" s="10">
        <f>'02_GPU_Mix_Input'!G69</f>
        <v/>
      </c>
      <c r="R69" s="12">
        <f>INDEX('01_Benchmark_Input'!$D$2:$D$10,MATCH(B69,'01_Benchmark_Input'!$A$2:$A$10,0))</f>
        <v/>
      </c>
      <c r="S69" s="12">
        <f>INDEX('01_Benchmark_Input'!$F$2:$F$10,MATCH(B69,'01_Benchmark_Input'!$A$2:$A$10,0))</f>
        <v/>
      </c>
      <c r="T69" s="12">
        <f>INDEX('01_Benchmark_Input'!$H$2:$H$10,MATCH(B69,'01_Benchmark_Input'!$A$2:$A$10,0))</f>
        <v/>
      </c>
      <c r="U69" s="12">
        <f>INDEX('01_Benchmark_Input'!$J$2:$J$10,MATCH(B69,'01_Benchmark_Input'!$A$2:$A$10,0))</f>
        <v/>
      </c>
      <c r="V69" s="10">
        <f>'02_Inputs'!K69</f>
        <v/>
      </c>
      <c r="W69" s="12">
        <f>N69*R69+O69*S69+P69*T69+Q69*U69</f>
        <v/>
      </c>
      <c r="X69" s="12">
        <f>W69*V69</f>
        <v/>
      </c>
      <c r="Y69" s="12">
        <f>L69*1000*X69*86400</f>
        <v/>
      </c>
      <c r="Z69" s="12">
        <f>Y69*365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'02_GPU_Mix_Input'!D70</f>
        <v/>
      </c>
      <c r="O70" s="10">
        <f>'02_GPU_Mix_Input'!E70</f>
        <v/>
      </c>
      <c r="P70" s="10">
        <f>'02_GPU_Mix_Input'!F70</f>
        <v/>
      </c>
      <c r="Q70" s="10">
        <f>'02_GPU_Mix_Input'!G70</f>
        <v/>
      </c>
      <c r="R70" s="12">
        <f>INDEX('01_Benchmark_Input'!$D$2:$D$10,MATCH(B70,'01_Benchmark_Input'!$A$2:$A$10,0))</f>
        <v/>
      </c>
      <c r="S70" s="12">
        <f>INDEX('01_Benchmark_Input'!$F$2:$F$10,MATCH(B70,'01_Benchmark_Input'!$A$2:$A$10,0))</f>
        <v/>
      </c>
      <c r="T70" s="12">
        <f>INDEX('01_Benchmark_Input'!$H$2:$H$10,MATCH(B70,'01_Benchmark_Input'!$A$2:$A$10,0))</f>
        <v/>
      </c>
      <c r="U70" s="12">
        <f>INDEX('01_Benchmark_Input'!$J$2:$J$10,MATCH(B70,'01_Benchmark_Input'!$A$2:$A$10,0))</f>
        <v/>
      </c>
      <c r="V70" s="10">
        <f>'02_Inputs'!K70</f>
        <v/>
      </c>
      <c r="W70" s="12">
        <f>N70*R70+O70*S70+P70*T70+Q70*U70</f>
        <v/>
      </c>
      <c r="X70" s="12">
        <f>W70*V70</f>
        <v/>
      </c>
      <c r="Y70" s="12">
        <f>L70*1000*X70*86400</f>
        <v/>
      </c>
      <c r="Z70" s="12">
        <f>Y70*365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'02_GPU_Mix_Input'!D71</f>
        <v/>
      </c>
      <c r="O71" s="10">
        <f>'02_GPU_Mix_Input'!E71</f>
        <v/>
      </c>
      <c r="P71" s="10">
        <f>'02_GPU_Mix_Input'!F71</f>
        <v/>
      </c>
      <c r="Q71" s="10">
        <f>'02_GPU_Mix_Input'!G71</f>
        <v/>
      </c>
      <c r="R71" s="12">
        <f>INDEX('01_Benchmark_Input'!$D$2:$D$10,MATCH(B71,'01_Benchmark_Input'!$A$2:$A$10,0))</f>
        <v/>
      </c>
      <c r="S71" s="12">
        <f>INDEX('01_Benchmark_Input'!$F$2:$F$10,MATCH(B71,'01_Benchmark_Input'!$A$2:$A$10,0))</f>
        <v/>
      </c>
      <c r="T71" s="12">
        <f>INDEX('01_Benchmark_Input'!$H$2:$H$10,MATCH(B71,'01_Benchmark_Input'!$A$2:$A$10,0))</f>
        <v/>
      </c>
      <c r="U71" s="12">
        <f>INDEX('01_Benchmark_Input'!$J$2:$J$10,MATCH(B71,'01_Benchmark_Input'!$A$2:$A$10,0))</f>
        <v/>
      </c>
      <c r="V71" s="10">
        <f>'02_Inputs'!K71</f>
        <v/>
      </c>
      <c r="W71" s="12">
        <f>N71*R71+O71*S71+P71*T71+Q71*U71</f>
        <v/>
      </c>
      <c r="X71" s="12">
        <f>W71*V71</f>
        <v/>
      </c>
      <c r="Y71" s="12">
        <f>L71*1000*X71*86400</f>
        <v/>
      </c>
      <c r="Z71" s="12">
        <f>Y71*365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'02_GPU_Mix_Input'!D72</f>
        <v/>
      </c>
      <c r="O72" s="10">
        <f>'02_GPU_Mix_Input'!E72</f>
        <v/>
      </c>
      <c r="P72" s="10">
        <f>'02_GPU_Mix_Input'!F72</f>
        <v/>
      </c>
      <c r="Q72" s="10">
        <f>'02_GPU_Mix_Input'!G72</f>
        <v/>
      </c>
      <c r="R72" s="12">
        <f>INDEX('01_Benchmark_Input'!$D$2:$D$10,MATCH(B72,'01_Benchmark_Input'!$A$2:$A$10,0))</f>
        <v/>
      </c>
      <c r="S72" s="12">
        <f>INDEX('01_Benchmark_Input'!$F$2:$F$10,MATCH(B72,'01_Benchmark_Input'!$A$2:$A$10,0))</f>
        <v/>
      </c>
      <c r="T72" s="12">
        <f>INDEX('01_Benchmark_Input'!$H$2:$H$10,MATCH(B72,'01_Benchmark_Input'!$A$2:$A$10,0))</f>
        <v/>
      </c>
      <c r="U72" s="12">
        <f>INDEX('01_Benchmark_Input'!$J$2:$J$10,MATCH(B72,'01_Benchmark_Input'!$A$2:$A$10,0))</f>
        <v/>
      </c>
      <c r="V72" s="10">
        <f>'02_Inputs'!K72</f>
        <v/>
      </c>
      <c r="W72" s="12">
        <f>N72*R72+O72*S72+P72*T72+Q72*U72</f>
        <v/>
      </c>
      <c r="X72" s="12">
        <f>W72*V72</f>
        <v/>
      </c>
      <c r="Y72" s="12">
        <f>L72*1000*X72*86400</f>
        <v/>
      </c>
      <c r="Z72" s="12">
        <f>Y72*365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'02_GPU_Mix_Input'!D73</f>
        <v/>
      </c>
      <c r="O73" s="10">
        <f>'02_GPU_Mix_Input'!E73</f>
        <v/>
      </c>
      <c r="P73" s="10">
        <f>'02_GPU_Mix_Input'!F73</f>
        <v/>
      </c>
      <c r="Q73" s="10">
        <f>'02_GPU_Mix_Input'!G73</f>
        <v/>
      </c>
      <c r="R73" s="12">
        <f>INDEX('01_Benchmark_Input'!$D$2:$D$10,MATCH(B73,'01_Benchmark_Input'!$A$2:$A$10,0))</f>
        <v/>
      </c>
      <c r="S73" s="12">
        <f>INDEX('01_Benchmark_Input'!$F$2:$F$10,MATCH(B73,'01_Benchmark_Input'!$A$2:$A$10,0))</f>
        <v/>
      </c>
      <c r="T73" s="12">
        <f>INDEX('01_Benchmark_Input'!$H$2:$H$10,MATCH(B73,'01_Benchmark_Input'!$A$2:$A$10,0))</f>
        <v/>
      </c>
      <c r="U73" s="12">
        <f>INDEX('01_Benchmark_Input'!$J$2:$J$10,MATCH(B73,'01_Benchmark_Input'!$A$2:$A$10,0))</f>
        <v/>
      </c>
      <c r="V73" s="10">
        <f>'02_Inputs'!K73</f>
        <v/>
      </c>
      <c r="W73" s="12">
        <f>N73*R73+O73*S73+P73*T73+Q73*U73</f>
        <v/>
      </c>
      <c r="X73" s="12">
        <f>W73*V73</f>
        <v/>
      </c>
      <c r="Y73" s="12">
        <f>L73*1000*X73*86400</f>
        <v/>
      </c>
      <c r="Z73" s="12">
        <f>Y73*365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'02_GPU_Mix_Input'!D74</f>
        <v/>
      </c>
      <c r="O74" s="10">
        <f>'02_GPU_Mix_Input'!E74</f>
        <v/>
      </c>
      <c r="P74" s="10">
        <f>'02_GPU_Mix_Input'!F74</f>
        <v/>
      </c>
      <c r="Q74" s="10">
        <f>'02_GPU_Mix_Input'!G74</f>
        <v/>
      </c>
      <c r="R74" s="12">
        <f>INDEX('01_Benchmark_Input'!$D$2:$D$10,MATCH(B74,'01_Benchmark_Input'!$A$2:$A$10,0))</f>
        <v/>
      </c>
      <c r="S74" s="12">
        <f>INDEX('01_Benchmark_Input'!$F$2:$F$10,MATCH(B74,'01_Benchmark_Input'!$A$2:$A$10,0))</f>
        <v/>
      </c>
      <c r="T74" s="12">
        <f>INDEX('01_Benchmark_Input'!$H$2:$H$10,MATCH(B74,'01_Benchmark_Input'!$A$2:$A$10,0))</f>
        <v/>
      </c>
      <c r="U74" s="12">
        <f>INDEX('01_Benchmark_Input'!$J$2:$J$10,MATCH(B74,'01_Benchmark_Input'!$A$2:$A$10,0))</f>
        <v/>
      </c>
      <c r="V74" s="10">
        <f>'02_Inputs'!K74</f>
        <v/>
      </c>
      <c r="W74" s="12">
        <f>N74*R74+O74*S74+P74*T74+Q74*U74</f>
        <v/>
      </c>
      <c r="X74" s="12">
        <f>W74*V74</f>
        <v/>
      </c>
      <c r="Y74" s="12">
        <f>L74*1000*X74*86400</f>
        <v/>
      </c>
      <c r="Z74" s="12">
        <f>Y74*365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'02_GPU_Mix_Input'!D75</f>
        <v/>
      </c>
      <c r="O75" s="10">
        <f>'02_GPU_Mix_Input'!E75</f>
        <v/>
      </c>
      <c r="P75" s="10">
        <f>'02_GPU_Mix_Input'!F75</f>
        <v/>
      </c>
      <c r="Q75" s="10">
        <f>'02_GPU_Mix_Input'!G75</f>
        <v/>
      </c>
      <c r="R75" s="12">
        <f>INDEX('01_Benchmark_Input'!$D$2:$D$10,MATCH(B75,'01_Benchmark_Input'!$A$2:$A$10,0))</f>
        <v/>
      </c>
      <c r="S75" s="12">
        <f>INDEX('01_Benchmark_Input'!$F$2:$F$10,MATCH(B75,'01_Benchmark_Input'!$A$2:$A$10,0))</f>
        <v/>
      </c>
      <c r="T75" s="12">
        <f>INDEX('01_Benchmark_Input'!$H$2:$H$10,MATCH(B75,'01_Benchmark_Input'!$A$2:$A$10,0))</f>
        <v/>
      </c>
      <c r="U75" s="12">
        <f>INDEX('01_Benchmark_Input'!$J$2:$J$10,MATCH(B75,'01_Benchmark_Input'!$A$2:$A$10,0))</f>
        <v/>
      </c>
      <c r="V75" s="10">
        <f>'02_Inputs'!K75</f>
        <v/>
      </c>
      <c r="W75" s="12">
        <f>N75*R75+O75*S75+P75*T75+Q75*U75</f>
        <v/>
      </c>
      <c r="X75" s="12">
        <f>W75*V75</f>
        <v/>
      </c>
      <c r="Y75" s="12">
        <f>L75*1000*X75*86400</f>
        <v/>
      </c>
      <c r="Z75" s="12">
        <f>Y75*365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'02_GPU_Mix_Input'!D76</f>
        <v/>
      </c>
      <c r="O76" s="10">
        <f>'02_GPU_Mix_Input'!E76</f>
        <v/>
      </c>
      <c r="P76" s="10">
        <f>'02_GPU_Mix_Input'!F76</f>
        <v/>
      </c>
      <c r="Q76" s="10">
        <f>'02_GPU_Mix_Input'!G76</f>
        <v/>
      </c>
      <c r="R76" s="12">
        <f>INDEX('01_Benchmark_Input'!$D$2:$D$10,MATCH(B76,'01_Benchmark_Input'!$A$2:$A$10,0))</f>
        <v/>
      </c>
      <c r="S76" s="12">
        <f>INDEX('01_Benchmark_Input'!$F$2:$F$10,MATCH(B76,'01_Benchmark_Input'!$A$2:$A$10,0))</f>
        <v/>
      </c>
      <c r="T76" s="12">
        <f>INDEX('01_Benchmark_Input'!$H$2:$H$10,MATCH(B76,'01_Benchmark_Input'!$A$2:$A$10,0))</f>
        <v/>
      </c>
      <c r="U76" s="12">
        <f>INDEX('01_Benchmark_Input'!$J$2:$J$10,MATCH(B76,'01_Benchmark_Input'!$A$2:$A$10,0))</f>
        <v/>
      </c>
      <c r="V76" s="10">
        <f>'02_Inputs'!K76</f>
        <v/>
      </c>
      <c r="W76" s="12">
        <f>N76*R76+O76*S76+P76*T76+Q76*U76</f>
        <v/>
      </c>
      <c r="X76" s="12">
        <f>W76*V76</f>
        <v/>
      </c>
      <c r="Y76" s="12">
        <f>L76*1000*X76*86400</f>
        <v/>
      </c>
      <c r="Z76" s="12">
        <f>Y76*365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'02_GPU_Mix_Input'!D77</f>
        <v/>
      </c>
      <c r="O77" s="10">
        <f>'02_GPU_Mix_Input'!E77</f>
        <v/>
      </c>
      <c r="P77" s="10">
        <f>'02_GPU_Mix_Input'!F77</f>
        <v/>
      </c>
      <c r="Q77" s="10">
        <f>'02_GPU_Mix_Input'!G77</f>
        <v/>
      </c>
      <c r="R77" s="12">
        <f>INDEX('01_Benchmark_Input'!$D$2:$D$10,MATCH(B77,'01_Benchmark_Input'!$A$2:$A$10,0))</f>
        <v/>
      </c>
      <c r="S77" s="12">
        <f>INDEX('01_Benchmark_Input'!$F$2:$F$10,MATCH(B77,'01_Benchmark_Input'!$A$2:$A$10,0))</f>
        <v/>
      </c>
      <c r="T77" s="12">
        <f>INDEX('01_Benchmark_Input'!$H$2:$H$10,MATCH(B77,'01_Benchmark_Input'!$A$2:$A$10,0))</f>
        <v/>
      </c>
      <c r="U77" s="12">
        <f>INDEX('01_Benchmark_Input'!$J$2:$J$10,MATCH(B77,'01_Benchmark_Input'!$A$2:$A$10,0))</f>
        <v/>
      </c>
      <c r="V77" s="10">
        <f>'02_Inputs'!K77</f>
        <v/>
      </c>
      <c r="W77" s="12">
        <f>N77*R77+O77*S77+P77*T77+Q77*U77</f>
        <v/>
      </c>
      <c r="X77" s="12">
        <f>W77*V77</f>
        <v/>
      </c>
      <c r="Y77" s="12">
        <f>L77*1000*X77*86400</f>
        <v/>
      </c>
      <c r="Z77" s="12">
        <f>Y77*365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'02_GPU_Mix_Input'!D78</f>
        <v/>
      </c>
      <c r="O78" s="10">
        <f>'02_GPU_Mix_Input'!E78</f>
        <v/>
      </c>
      <c r="P78" s="10">
        <f>'02_GPU_Mix_Input'!F78</f>
        <v/>
      </c>
      <c r="Q78" s="10">
        <f>'02_GPU_Mix_Input'!G78</f>
        <v/>
      </c>
      <c r="R78" s="12">
        <f>INDEX('01_Benchmark_Input'!$D$2:$D$10,MATCH(B78,'01_Benchmark_Input'!$A$2:$A$10,0))</f>
        <v/>
      </c>
      <c r="S78" s="12">
        <f>INDEX('01_Benchmark_Input'!$F$2:$F$10,MATCH(B78,'01_Benchmark_Input'!$A$2:$A$10,0))</f>
        <v/>
      </c>
      <c r="T78" s="12">
        <f>INDEX('01_Benchmark_Input'!$H$2:$H$10,MATCH(B78,'01_Benchmark_Input'!$A$2:$A$10,0))</f>
        <v/>
      </c>
      <c r="U78" s="12">
        <f>INDEX('01_Benchmark_Input'!$J$2:$J$10,MATCH(B78,'01_Benchmark_Input'!$A$2:$A$10,0))</f>
        <v/>
      </c>
      <c r="V78" s="10">
        <f>'02_Inputs'!K78</f>
        <v/>
      </c>
      <c r="W78" s="12">
        <f>N78*R78+O78*S78+P78*T78+Q78*U78</f>
        <v/>
      </c>
      <c r="X78" s="12">
        <f>W78*V78</f>
        <v/>
      </c>
      <c r="Y78" s="12">
        <f>L78*1000*X78*86400</f>
        <v/>
      </c>
      <c r="Z78" s="12">
        <f>Y78*365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'02_GPU_Mix_Input'!D79</f>
        <v/>
      </c>
      <c r="O79" s="10">
        <f>'02_GPU_Mix_Input'!E79</f>
        <v/>
      </c>
      <c r="P79" s="10">
        <f>'02_GPU_Mix_Input'!F79</f>
        <v/>
      </c>
      <c r="Q79" s="10">
        <f>'02_GPU_Mix_Input'!G79</f>
        <v/>
      </c>
      <c r="R79" s="12">
        <f>INDEX('01_Benchmark_Input'!$D$2:$D$10,MATCH(B79,'01_Benchmark_Input'!$A$2:$A$10,0))</f>
        <v/>
      </c>
      <c r="S79" s="12">
        <f>INDEX('01_Benchmark_Input'!$F$2:$F$10,MATCH(B79,'01_Benchmark_Input'!$A$2:$A$10,0))</f>
        <v/>
      </c>
      <c r="T79" s="12">
        <f>INDEX('01_Benchmark_Input'!$H$2:$H$10,MATCH(B79,'01_Benchmark_Input'!$A$2:$A$10,0))</f>
        <v/>
      </c>
      <c r="U79" s="12">
        <f>INDEX('01_Benchmark_Input'!$J$2:$J$10,MATCH(B79,'01_Benchmark_Input'!$A$2:$A$10,0))</f>
        <v/>
      </c>
      <c r="V79" s="10">
        <f>'02_Inputs'!K79</f>
        <v/>
      </c>
      <c r="W79" s="12">
        <f>N79*R79+O79*S79+P79*T79+Q79*U79</f>
        <v/>
      </c>
      <c r="X79" s="12">
        <f>W79*V79</f>
        <v/>
      </c>
      <c r="Y79" s="12">
        <f>L79*1000*X79*86400</f>
        <v/>
      </c>
      <c r="Z79" s="12">
        <f>Y79*365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'02_GPU_Mix_Input'!D80</f>
        <v/>
      </c>
      <c r="O80" s="10">
        <f>'02_GPU_Mix_Input'!E80</f>
        <v/>
      </c>
      <c r="P80" s="10">
        <f>'02_GPU_Mix_Input'!F80</f>
        <v/>
      </c>
      <c r="Q80" s="10">
        <f>'02_GPU_Mix_Input'!G80</f>
        <v/>
      </c>
      <c r="R80" s="12">
        <f>INDEX('01_Benchmark_Input'!$D$2:$D$10,MATCH(B80,'01_Benchmark_Input'!$A$2:$A$10,0))</f>
        <v/>
      </c>
      <c r="S80" s="12">
        <f>INDEX('01_Benchmark_Input'!$F$2:$F$10,MATCH(B80,'01_Benchmark_Input'!$A$2:$A$10,0))</f>
        <v/>
      </c>
      <c r="T80" s="12">
        <f>INDEX('01_Benchmark_Input'!$H$2:$H$10,MATCH(B80,'01_Benchmark_Input'!$A$2:$A$10,0))</f>
        <v/>
      </c>
      <c r="U80" s="12">
        <f>INDEX('01_Benchmark_Input'!$J$2:$J$10,MATCH(B80,'01_Benchmark_Input'!$A$2:$A$10,0))</f>
        <v/>
      </c>
      <c r="V80" s="10">
        <f>'02_Inputs'!K80</f>
        <v/>
      </c>
      <c r="W80" s="12">
        <f>N80*R80+O80*S80+P80*T80+Q80*U80</f>
        <v/>
      </c>
      <c r="X80" s="12">
        <f>W80*V80</f>
        <v/>
      </c>
      <c r="Y80" s="12">
        <f>L80*1000*X80*86400</f>
        <v/>
      </c>
      <c r="Z80" s="12">
        <f>Y80*365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'02_GPU_Mix_Input'!D81</f>
        <v/>
      </c>
      <c r="O81" s="10">
        <f>'02_GPU_Mix_Input'!E81</f>
        <v/>
      </c>
      <c r="P81" s="10">
        <f>'02_GPU_Mix_Input'!F81</f>
        <v/>
      </c>
      <c r="Q81" s="10">
        <f>'02_GPU_Mix_Input'!G81</f>
        <v/>
      </c>
      <c r="R81" s="12">
        <f>INDEX('01_Benchmark_Input'!$D$2:$D$10,MATCH(B81,'01_Benchmark_Input'!$A$2:$A$10,0))</f>
        <v/>
      </c>
      <c r="S81" s="12">
        <f>INDEX('01_Benchmark_Input'!$F$2:$F$10,MATCH(B81,'01_Benchmark_Input'!$A$2:$A$10,0))</f>
        <v/>
      </c>
      <c r="T81" s="12">
        <f>INDEX('01_Benchmark_Input'!$H$2:$H$10,MATCH(B81,'01_Benchmark_Input'!$A$2:$A$10,0))</f>
        <v/>
      </c>
      <c r="U81" s="12">
        <f>INDEX('01_Benchmark_Input'!$J$2:$J$10,MATCH(B81,'01_Benchmark_Input'!$A$2:$A$10,0))</f>
        <v/>
      </c>
      <c r="V81" s="10">
        <f>'02_Inputs'!K81</f>
        <v/>
      </c>
      <c r="W81" s="12">
        <f>N81*R81+O81*S81+P81*T81+Q81*U81</f>
        <v/>
      </c>
      <c r="X81" s="12">
        <f>W81*V81</f>
        <v/>
      </c>
      <c r="Y81" s="12">
        <f>L81*1000*X81*86400</f>
        <v/>
      </c>
      <c r="Z81" s="12">
        <f>Y81*365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'02_GPU_Mix_Input'!D82</f>
        <v/>
      </c>
      <c r="O82" s="10">
        <f>'02_GPU_Mix_Input'!E82</f>
        <v/>
      </c>
      <c r="P82" s="10">
        <f>'02_GPU_Mix_Input'!F82</f>
        <v/>
      </c>
      <c r="Q82" s="10">
        <f>'02_GPU_Mix_Input'!G82</f>
        <v/>
      </c>
      <c r="R82" s="12">
        <f>INDEX('01_Benchmark_Input'!$D$2:$D$10,MATCH(B82,'01_Benchmark_Input'!$A$2:$A$10,0))</f>
        <v/>
      </c>
      <c r="S82" s="12">
        <f>INDEX('01_Benchmark_Input'!$F$2:$F$10,MATCH(B82,'01_Benchmark_Input'!$A$2:$A$10,0))</f>
        <v/>
      </c>
      <c r="T82" s="12">
        <f>INDEX('01_Benchmark_Input'!$H$2:$H$10,MATCH(B82,'01_Benchmark_Input'!$A$2:$A$10,0))</f>
        <v/>
      </c>
      <c r="U82" s="12">
        <f>INDEX('01_Benchmark_Input'!$J$2:$J$10,MATCH(B82,'01_Benchmark_Input'!$A$2:$A$10,0))</f>
        <v/>
      </c>
      <c r="V82" s="10">
        <f>'02_Inputs'!K82</f>
        <v/>
      </c>
      <c r="W82" s="12">
        <f>N82*R82+O82*S82+P82*T82+Q82*U82</f>
        <v/>
      </c>
      <c r="X82" s="12">
        <f>W82*V82</f>
        <v/>
      </c>
      <c r="Y82" s="12">
        <f>L82*1000*X82*86400</f>
        <v/>
      </c>
      <c r="Z82" s="12">
        <f>Y82*365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'02_GPU_Mix_Input'!D83</f>
        <v/>
      </c>
      <c r="O83" s="10">
        <f>'02_GPU_Mix_Input'!E83</f>
        <v/>
      </c>
      <c r="P83" s="10">
        <f>'02_GPU_Mix_Input'!F83</f>
        <v/>
      </c>
      <c r="Q83" s="10">
        <f>'02_GPU_Mix_Input'!G83</f>
        <v/>
      </c>
      <c r="R83" s="12">
        <f>INDEX('01_Benchmark_Input'!$D$2:$D$10,MATCH(B83,'01_Benchmark_Input'!$A$2:$A$10,0))</f>
        <v/>
      </c>
      <c r="S83" s="12">
        <f>INDEX('01_Benchmark_Input'!$F$2:$F$10,MATCH(B83,'01_Benchmark_Input'!$A$2:$A$10,0))</f>
        <v/>
      </c>
      <c r="T83" s="12">
        <f>INDEX('01_Benchmark_Input'!$H$2:$H$10,MATCH(B83,'01_Benchmark_Input'!$A$2:$A$10,0))</f>
        <v/>
      </c>
      <c r="U83" s="12">
        <f>INDEX('01_Benchmark_Input'!$J$2:$J$10,MATCH(B83,'01_Benchmark_Input'!$A$2:$A$10,0))</f>
        <v/>
      </c>
      <c r="V83" s="10">
        <f>'02_Inputs'!K83</f>
        <v/>
      </c>
      <c r="W83" s="12">
        <f>N83*R83+O83*S83+P83*T83+Q83*U83</f>
        <v/>
      </c>
      <c r="X83" s="12">
        <f>W83*V83</f>
        <v/>
      </c>
      <c r="Y83" s="12">
        <f>L83*1000*X83*86400</f>
        <v/>
      </c>
      <c r="Z83" s="12">
        <f>Y83*365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'02_GPU_Mix_Input'!D84</f>
        <v/>
      </c>
      <c r="O84" s="10">
        <f>'02_GPU_Mix_Input'!E84</f>
        <v/>
      </c>
      <c r="P84" s="10">
        <f>'02_GPU_Mix_Input'!F84</f>
        <v/>
      </c>
      <c r="Q84" s="10">
        <f>'02_GPU_Mix_Input'!G84</f>
        <v/>
      </c>
      <c r="R84" s="12">
        <f>INDEX('01_Benchmark_Input'!$D$2:$D$10,MATCH(B84,'01_Benchmark_Input'!$A$2:$A$10,0))</f>
        <v/>
      </c>
      <c r="S84" s="12">
        <f>INDEX('01_Benchmark_Input'!$F$2:$F$10,MATCH(B84,'01_Benchmark_Input'!$A$2:$A$10,0))</f>
        <v/>
      </c>
      <c r="T84" s="12">
        <f>INDEX('01_Benchmark_Input'!$H$2:$H$10,MATCH(B84,'01_Benchmark_Input'!$A$2:$A$10,0))</f>
        <v/>
      </c>
      <c r="U84" s="12">
        <f>INDEX('01_Benchmark_Input'!$J$2:$J$10,MATCH(B84,'01_Benchmark_Input'!$A$2:$A$10,0))</f>
        <v/>
      </c>
      <c r="V84" s="10">
        <f>'02_Inputs'!K84</f>
        <v/>
      </c>
      <c r="W84" s="12">
        <f>N84*R84+O84*S84+P84*T84+Q84*U84</f>
        <v/>
      </c>
      <c r="X84" s="12">
        <f>W84*V84</f>
        <v/>
      </c>
      <c r="Y84" s="12">
        <f>L84*1000*X84*86400</f>
        <v/>
      </c>
      <c r="Z84" s="12">
        <f>Y84*365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'02_GPU_Mix_Input'!D85</f>
        <v/>
      </c>
      <c r="O85" s="10">
        <f>'02_GPU_Mix_Input'!E85</f>
        <v/>
      </c>
      <c r="P85" s="10">
        <f>'02_GPU_Mix_Input'!F85</f>
        <v/>
      </c>
      <c r="Q85" s="10">
        <f>'02_GPU_Mix_Input'!G85</f>
        <v/>
      </c>
      <c r="R85" s="12">
        <f>INDEX('01_Benchmark_Input'!$D$2:$D$10,MATCH(B85,'01_Benchmark_Input'!$A$2:$A$10,0))</f>
        <v/>
      </c>
      <c r="S85" s="12">
        <f>INDEX('01_Benchmark_Input'!$F$2:$F$10,MATCH(B85,'01_Benchmark_Input'!$A$2:$A$10,0))</f>
        <v/>
      </c>
      <c r="T85" s="12">
        <f>INDEX('01_Benchmark_Input'!$H$2:$H$10,MATCH(B85,'01_Benchmark_Input'!$A$2:$A$10,0))</f>
        <v/>
      </c>
      <c r="U85" s="12">
        <f>INDEX('01_Benchmark_Input'!$J$2:$J$10,MATCH(B85,'01_Benchmark_Input'!$A$2:$A$10,0))</f>
        <v/>
      </c>
      <c r="V85" s="10">
        <f>'02_Inputs'!K85</f>
        <v/>
      </c>
      <c r="W85" s="12">
        <f>N85*R85+O85*S85+P85*T85+Q85*U85</f>
        <v/>
      </c>
      <c r="X85" s="12">
        <f>W85*V85</f>
        <v/>
      </c>
      <c r="Y85" s="12">
        <f>L85*1000*X85*86400</f>
        <v/>
      </c>
      <c r="Z85" s="12">
        <f>Y85*365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'02_GPU_Mix_Input'!D86</f>
        <v/>
      </c>
      <c r="O86" s="10">
        <f>'02_GPU_Mix_Input'!E86</f>
        <v/>
      </c>
      <c r="P86" s="10">
        <f>'02_GPU_Mix_Input'!F86</f>
        <v/>
      </c>
      <c r="Q86" s="10">
        <f>'02_GPU_Mix_Input'!G86</f>
        <v/>
      </c>
      <c r="R86" s="12">
        <f>INDEX('01_Benchmark_Input'!$D$2:$D$10,MATCH(B86,'01_Benchmark_Input'!$A$2:$A$10,0))</f>
        <v/>
      </c>
      <c r="S86" s="12">
        <f>INDEX('01_Benchmark_Input'!$F$2:$F$10,MATCH(B86,'01_Benchmark_Input'!$A$2:$A$10,0))</f>
        <v/>
      </c>
      <c r="T86" s="12">
        <f>INDEX('01_Benchmark_Input'!$H$2:$H$10,MATCH(B86,'01_Benchmark_Input'!$A$2:$A$10,0))</f>
        <v/>
      </c>
      <c r="U86" s="12">
        <f>INDEX('01_Benchmark_Input'!$J$2:$J$10,MATCH(B86,'01_Benchmark_Input'!$A$2:$A$10,0))</f>
        <v/>
      </c>
      <c r="V86" s="10">
        <f>'02_Inputs'!K86</f>
        <v/>
      </c>
      <c r="W86" s="12">
        <f>N86*R86+O86*S86+P86*T86+Q86*U86</f>
        <v/>
      </c>
      <c r="X86" s="12">
        <f>W86*V86</f>
        <v/>
      </c>
      <c r="Y86" s="12">
        <f>L86*1000*X86*86400</f>
        <v/>
      </c>
      <c r="Z86" s="12">
        <f>Y86*365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'02_GPU_Mix_Input'!D87</f>
        <v/>
      </c>
      <c r="O87" s="10">
        <f>'02_GPU_Mix_Input'!E87</f>
        <v/>
      </c>
      <c r="P87" s="10">
        <f>'02_GPU_Mix_Input'!F87</f>
        <v/>
      </c>
      <c r="Q87" s="10">
        <f>'02_GPU_Mix_Input'!G87</f>
        <v/>
      </c>
      <c r="R87" s="12">
        <f>INDEX('01_Benchmark_Input'!$D$2:$D$10,MATCH(B87,'01_Benchmark_Input'!$A$2:$A$10,0))</f>
        <v/>
      </c>
      <c r="S87" s="12">
        <f>INDEX('01_Benchmark_Input'!$F$2:$F$10,MATCH(B87,'01_Benchmark_Input'!$A$2:$A$10,0))</f>
        <v/>
      </c>
      <c r="T87" s="12">
        <f>INDEX('01_Benchmark_Input'!$H$2:$H$10,MATCH(B87,'01_Benchmark_Input'!$A$2:$A$10,0))</f>
        <v/>
      </c>
      <c r="U87" s="12">
        <f>INDEX('01_Benchmark_Input'!$J$2:$J$10,MATCH(B87,'01_Benchmark_Input'!$A$2:$A$10,0))</f>
        <v/>
      </c>
      <c r="V87" s="10">
        <f>'02_Inputs'!K87</f>
        <v/>
      </c>
      <c r="W87" s="12">
        <f>N87*R87+O87*S87+P87*T87+Q87*U87</f>
        <v/>
      </c>
      <c r="X87" s="12">
        <f>W87*V87</f>
        <v/>
      </c>
      <c r="Y87" s="12">
        <f>L87*1000*X87*86400</f>
        <v/>
      </c>
      <c r="Z87" s="12">
        <f>Y87*365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'02_GPU_Mix_Input'!D88</f>
        <v/>
      </c>
      <c r="O88" s="10">
        <f>'02_GPU_Mix_Input'!E88</f>
        <v/>
      </c>
      <c r="P88" s="10">
        <f>'02_GPU_Mix_Input'!F88</f>
        <v/>
      </c>
      <c r="Q88" s="10">
        <f>'02_GPU_Mix_Input'!G88</f>
        <v/>
      </c>
      <c r="R88" s="12">
        <f>INDEX('01_Benchmark_Input'!$D$2:$D$10,MATCH(B88,'01_Benchmark_Input'!$A$2:$A$10,0))</f>
        <v/>
      </c>
      <c r="S88" s="12">
        <f>INDEX('01_Benchmark_Input'!$F$2:$F$10,MATCH(B88,'01_Benchmark_Input'!$A$2:$A$10,0))</f>
        <v/>
      </c>
      <c r="T88" s="12">
        <f>INDEX('01_Benchmark_Input'!$H$2:$H$10,MATCH(B88,'01_Benchmark_Input'!$A$2:$A$10,0))</f>
        <v/>
      </c>
      <c r="U88" s="12">
        <f>INDEX('01_Benchmark_Input'!$J$2:$J$10,MATCH(B88,'01_Benchmark_Input'!$A$2:$A$10,0))</f>
        <v/>
      </c>
      <c r="V88" s="10">
        <f>'02_Inputs'!K88</f>
        <v/>
      </c>
      <c r="W88" s="12">
        <f>N88*R88+O88*S88+P88*T88+Q88*U88</f>
        <v/>
      </c>
      <c r="X88" s="12">
        <f>W88*V88</f>
        <v/>
      </c>
      <c r="Y88" s="12">
        <f>L88*1000*X88*86400</f>
        <v/>
      </c>
      <c r="Z88" s="12">
        <f>Y88*365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'02_GPU_Mix_Input'!D89</f>
        <v/>
      </c>
      <c r="O89" s="10">
        <f>'02_GPU_Mix_Input'!E89</f>
        <v/>
      </c>
      <c r="P89" s="10">
        <f>'02_GPU_Mix_Input'!F89</f>
        <v/>
      </c>
      <c r="Q89" s="10">
        <f>'02_GPU_Mix_Input'!G89</f>
        <v/>
      </c>
      <c r="R89" s="12">
        <f>INDEX('01_Benchmark_Input'!$D$2:$D$10,MATCH(B89,'01_Benchmark_Input'!$A$2:$A$10,0))</f>
        <v/>
      </c>
      <c r="S89" s="12">
        <f>INDEX('01_Benchmark_Input'!$F$2:$F$10,MATCH(B89,'01_Benchmark_Input'!$A$2:$A$10,0))</f>
        <v/>
      </c>
      <c r="T89" s="12">
        <f>INDEX('01_Benchmark_Input'!$H$2:$H$10,MATCH(B89,'01_Benchmark_Input'!$A$2:$A$10,0))</f>
        <v/>
      </c>
      <c r="U89" s="12">
        <f>INDEX('01_Benchmark_Input'!$J$2:$J$10,MATCH(B89,'01_Benchmark_Input'!$A$2:$A$10,0))</f>
        <v/>
      </c>
      <c r="V89" s="10">
        <f>'02_Inputs'!K89</f>
        <v/>
      </c>
      <c r="W89" s="12">
        <f>N89*R89+O89*S89+P89*T89+Q89*U89</f>
        <v/>
      </c>
      <c r="X89" s="12">
        <f>W89*V89</f>
        <v/>
      </c>
      <c r="Y89" s="12">
        <f>L89*1000*X89*86400</f>
        <v/>
      </c>
      <c r="Z89" s="12">
        <f>Y89*365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'02_GPU_Mix_Input'!D90</f>
        <v/>
      </c>
      <c r="O90" s="10">
        <f>'02_GPU_Mix_Input'!E90</f>
        <v/>
      </c>
      <c r="P90" s="10">
        <f>'02_GPU_Mix_Input'!F90</f>
        <v/>
      </c>
      <c r="Q90" s="10">
        <f>'02_GPU_Mix_Input'!G90</f>
        <v/>
      </c>
      <c r="R90" s="12">
        <f>INDEX('01_Benchmark_Input'!$D$2:$D$10,MATCH(B90,'01_Benchmark_Input'!$A$2:$A$10,0))</f>
        <v/>
      </c>
      <c r="S90" s="12">
        <f>INDEX('01_Benchmark_Input'!$F$2:$F$10,MATCH(B90,'01_Benchmark_Input'!$A$2:$A$10,0))</f>
        <v/>
      </c>
      <c r="T90" s="12">
        <f>INDEX('01_Benchmark_Input'!$H$2:$H$10,MATCH(B90,'01_Benchmark_Input'!$A$2:$A$10,0))</f>
        <v/>
      </c>
      <c r="U90" s="12">
        <f>INDEX('01_Benchmark_Input'!$J$2:$J$10,MATCH(B90,'01_Benchmark_Input'!$A$2:$A$10,0))</f>
        <v/>
      </c>
      <c r="V90" s="10">
        <f>'02_Inputs'!K90</f>
        <v/>
      </c>
      <c r="W90" s="12">
        <f>N90*R90+O90*S90+P90*T90+Q90*U90</f>
        <v/>
      </c>
      <c r="X90" s="12">
        <f>W90*V90</f>
        <v/>
      </c>
      <c r="Y90" s="12">
        <f>L90*1000*X90*86400</f>
        <v/>
      </c>
      <c r="Z90" s="12">
        <f>Y90*365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'02_GPU_Mix_Input'!D91</f>
        <v/>
      </c>
      <c r="O91" s="10">
        <f>'02_GPU_Mix_Input'!E91</f>
        <v/>
      </c>
      <c r="P91" s="10">
        <f>'02_GPU_Mix_Input'!F91</f>
        <v/>
      </c>
      <c r="Q91" s="10">
        <f>'02_GPU_Mix_Input'!G91</f>
        <v/>
      </c>
      <c r="R91" s="12">
        <f>INDEX('01_Benchmark_Input'!$D$2:$D$10,MATCH(B91,'01_Benchmark_Input'!$A$2:$A$10,0))</f>
        <v/>
      </c>
      <c r="S91" s="12">
        <f>INDEX('01_Benchmark_Input'!$F$2:$F$10,MATCH(B91,'01_Benchmark_Input'!$A$2:$A$10,0))</f>
        <v/>
      </c>
      <c r="T91" s="12">
        <f>INDEX('01_Benchmark_Input'!$H$2:$H$10,MATCH(B91,'01_Benchmark_Input'!$A$2:$A$10,0))</f>
        <v/>
      </c>
      <c r="U91" s="12">
        <f>INDEX('01_Benchmark_Input'!$J$2:$J$10,MATCH(B91,'01_Benchmark_Input'!$A$2:$A$10,0))</f>
        <v/>
      </c>
      <c r="V91" s="10">
        <f>'02_Inputs'!K91</f>
        <v/>
      </c>
      <c r="W91" s="12">
        <f>N91*R91+O91*S91+P91*T91+Q91*U91</f>
        <v/>
      </c>
      <c r="X91" s="12">
        <f>W91*V91</f>
        <v/>
      </c>
      <c r="Y91" s="12">
        <f>L91*1000*X91*86400</f>
        <v/>
      </c>
      <c r="Z91" s="12">
        <f>Y91*365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'02_GPU_Mix_Input'!D92</f>
        <v/>
      </c>
      <c r="O92" s="10">
        <f>'02_GPU_Mix_Input'!E92</f>
        <v/>
      </c>
      <c r="P92" s="10">
        <f>'02_GPU_Mix_Input'!F92</f>
        <v/>
      </c>
      <c r="Q92" s="10">
        <f>'02_GPU_Mix_Input'!G92</f>
        <v/>
      </c>
      <c r="R92" s="12">
        <f>INDEX('01_Benchmark_Input'!$D$2:$D$10,MATCH(B92,'01_Benchmark_Input'!$A$2:$A$10,0))</f>
        <v/>
      </c>
      <c r="S92" s="12">
        <f>INDEX('01_Benchmark_Input'!$F$2:$F$10,MATCH(B92,'01_Benchmark_Input'!$A$2:$A$10,0))</f>
        <v/>
      </c>
      <c r="T92" s="12">
        <f>INDEX('01_Benchmark_Input'!$H$2:$H$10,MATCH(B92,'01_Benchmark_Input'!$A$2:$A$10,0))</f>
        <v/>
      </c>
      <c r="U92" s="12">
        <f>INDEX('01_Benchmark_Input'!$J$2:$J$10,MATCH(B92,'01_Benchmark_Input'!$A$2:$A$10,0))</f>
        <v/>
      </c>
      <c r="V92" s="10">
        <f>'02_Inputs'!K92</f>
        <v/>
      </c>
      <c r="W92" s="12">
        <f>N92*R92+O92*S92+P92*T92+Q92*U92</f>
        <v/>
      </c>
      <c r="X92" s="12">
        <f>W92*V92</f>
        <v/>
      </c>
      <c r="Y92" s="12">
        <f>L92*1000*X92*86400</f>
        <v/>
      </c>
      <c r="Z92" s="12">
        <f>Y92*365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'02_GPU_Mix_Input'!D93</f>
        <v/>
      </c>
      <c r="O93" s="10">
        <f>'02_GPU_Mix_Input'!E93</f>
        <v/>
      </c>
      <c r="P93" s="10">
        <f>'02_GPU_Mix_Input'!F93</f>
        <v/>
      </c>
      <c r="Q93" s="10">
        <f>'02_GPU_Mix_Input'!G93</f>
        <v/>
      </c>
      <c r="R93" s="12">
        <f>INDEX('01_Benchmark_Input'!$D$2:$D$10,MATCH(B93,'01_Benchmark_Input'!$A$2:$A$10,0))</f>
        <v/>
      </c>
      <c r="S93" s="12">
        <f>INDEX('01_Benchmark_Input'!$F$2:$F$10,MATCH(B93,'01_Benchmark_Input'!$A$2:$A$10,0))</f>
        <v/>
      </c>
      <c r="T93" s="12">
        <f>INDEX('01_Benchmark_Input'!$H$2:$H$10,MATCH(B93,'01_Benchmark_Input'!$A$2:$A$10,0))</f>
        <v/>
      </c>
      <c r="U93" s="12">
        <f>INDEX('01_Benchmark_Input'!$J$2:$J$10,MATCH(B93,'01_Benchmark_Input'!$A$2:$A$10,0))</f>
        <v/>
      </c>
      <c r="V93" s="10">
        <f>'02_Inputs'!K93</f>
        <v/>
      </c>
      <c r="W93" s="12">
        <f>N93*R93+O93*S93+P93*T93+Q93*U93</f>
        <v/>
      </c>
      <c r="X93" s="12">
        <f>W93*V93</f>
        <v/>
      </c>
      <c r="Y93" s="12">
        <f>L93*1000*X93*86400</f>
        <v/>
      </c>
      <c r="Z93" s="12">
        <f>Y93*365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'02_GPU_Mix_Input'!D94</f>
        <v/>
      </c>
      <c r="O94" s="10">
        <f>'02_GPU_Mix_Input'!E94</f>
        <v/>
      </c>
      <c r="P94" s="10">
        <f>'02_GPU_Mix_Input'!F94</f>
        <v/>
      </c>
      <c r="Q94" s="10">
        <f>'02_GPU_Mix_Input'!G94</f>
        <v/>
      </c>
      <c r="R94" s="12">
        <f>INDEX('01_Benchmark_Input'!$D$2:$D$10,MATCH(B94,'01_Benchmark_Input'!$A$2:$A$10,0))</f>
        <v/>
      </c>
      <c r="S94" s="12">
        <f>INDEX('01_Benchmark_Input'!$F$2:$F$10,MATCH(B94,'01_Benchmark_Input'!$A$2:$A$10,0))</f>
        <v/>
      </c>
      <c r="T94" s="12">
        <f>INDEX('01_Benchmark_Input'!$H$2:$H$10,MATCH(B94,'01_Benchmark_Input'!$A$2:$A$10,0))</f>
        <v/>
      </c>
      <c r="U94" s="12">
        <f>INDEX('01_Benchmark_Input'!$J$2:$J$10,MATCH(B94,'01_Benchmark_Input'!$A$2:$A$10,0))</f>
        <v/>
      </c>
      <c r="V94" s="10">
        <f>'02_Inputs'!K94</f>
        <v/>
      </c>
      <c r="W94" s="12">
        <f>N94*R94+O94*S94+P94*T94+Q94*U94</f>
        <v/>
      </c>
      <c r="X94" s="12">
        <f>W94*V94</f>
        <v/>
      </c>
      <c r="Y94" s="12">
        <f>L94*1000*X94*86400</f>
        <v/>
      </c>
      <c r="Z94" s="12">
        <f>Y94*365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'02_GPU_Mix_Input'!D95</f>
        <v/>
      </c>
      <c r="O95" s="10">
        <f>'02_GPU_Mix_Input'!E95</f>
        <v/>
      </c>
      <c r="P95" s="10">
        <f>'02_GPU_Mix_Input'!F95</f>
        <v/>
      </c>
      <c r="Q95" s="10">
        <f>'02_GPU_Mix_Input'!G95</f>
        <v/>
      </c>
      <c r="R95" s="12">
        <f>INDEX('01_Benchmark_Input'!$D$2:$D$10,MATCH(B95,'01_Benchmark_Input'!$A$2:$A$10,0))</f>
        <v/>
      </c>
      <c r="S95" s="12">
        <f>INDEX('01_Benchmark_Input'!$F$2:$F$10,MATCH(B95,'01_Benchmark_Input'!$A$2:$A$10,0))</f>
        <v/>
      </c>
      <c r="T95" s="12">
        <f>INDEX('01_Benchmark_Input'!$H$2:$H$10,MATCH(B95,'01_Benchmark_Input'!$A$2:$A$10,0))</f>
        <v/>
      </c>
      <c r="U95" s="12">
        <f>INDEX('01_Benchmark_Input'!$J$2:$J$10,MATCH(B95,'01_Benchmark_Input'!$A$2:$A$10,0))</f>
        <v/>
      </c>
      <c r="V95" s="10">
        <f>'02_Inputs'!K95</f>
        <v/>
      </c>
      <c r="W95" s="12">
        <f>N95*R95+O95*S95+P95*T95+Q95*U95</f>
        <v/>
      </c>
      <c r="X95" s="12">
        <f>W95*V95</f>
        <v/>
      </c>
      <c r="Y95" s="12">
        <f>L95*1000*X95*86400</f>
        <v/>
      </c>
      <c r="Z95" s="12">
        <f>Y95*365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'02_GPU_Mix_Input'!D96</f>
        <v/>
      </c>
      <c r="O96" s="10">
        <f>'02_GPU_Mix_Input'!E96</f>
        <v/>
      </c>
      <c r="P96" s="10">
        <f>'02_GPU_Mix_Input'!F96</f>
        <v/>
      </c>
      <c r="Q96" s="10">
        <f>'02_GPU_Mix_Input'!G96</f>
        <v/>
      </c>
      <c r="R96" s="12">
        <f>INDEX('01_Benchmark_Input'!$D$2:$D$10,MATCH(B96,'01_Benchmark_Input'!$A$2:$A$10,0))</f>
        <v/>
      </c>
      <c r="S96" s="12">
        <f>INDEX('01_Benchmark_Input'!$F$2:$F$10,MATCH(B96,'01_Benchmark_Input'!$A$2:$A$10,0))</f>
        <v/>
      </c>
      <c r="T96" s="12">
        <f>INDEX('01_Benchmark_Input'!$H$2:$H$10,MATCH(B96,'01_Benchmark_Input'!$A$2:$A$10,0))</f>
        <v/>
      </c>
      <c r="U96" s="12">
        <f>INDEX('01_Benchmark_Input'!$J$2:$J$10,MATCH(B96,'01_Benchmark_Input'!$A$2:$A$10,0))</f>
        <v/>
      </c>
      <c r="V96" s="10">
        <f>'02_Inputs'!K96</f>
        <v/>
      </c>
      <c r="W96" s="12">
        <f>N96*R96+O96*S96+P96*T96+Q96*U96</f>
        <v/>
      </c>
      <c r="X96" s="12">
        <f>W96*V96</f>
        <v/>
      </c>
      <c r="Y96" s="12">
        <f>L96*1000*X96*86400</f>
        <v/>
      </c>
      <c r="Z96" s="12">
        <f>Y96*365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'02_GPU_Mix_Input'!D97</f>
        <v/>
      </c>
      <c r="O97" s="10">
        <f>'02_GPU_Mix_Input'!E97</f>
        <v/>
      </c>
      <c r="P97" s="10">
        <f>'02_GPU_Mix_Input'!F97</f>
        <v/>
      </c>
      <c r="Q97" s="10">
        <f>'02_GPU_Mix_Input'!G97</f>
        <v/>
      </c>
      <c r="R97" s="12">
        <f>INDEX('01_Benchmark_Input'!$D$2:$D$10,MATCH(B97,'01_Benchmark_Input'!$A$2:$A$10,0))</f>
        <v/>
      </c>
      <c r="S97" s="12">
        <f>INDEX('01_Benchmark_Input'!$F$2:$F$10,MATCH(B97,'01_Benchmark_Input'!$A$2:$A$10,0))</f>
        <v/>
      </c>
      <c r="T97" s="12">
        <f>INDEX('01_Benchmark_Input'!$H$2:$H$10,MATCH(B97,'01_Benchmark_Input'!$A$2:$A$10,0))</f>
        <v/>
      </c>
      <c r="U97" s="12">
        <f>INDEX('01_Benchmark_Input'!$J$2:$J$10,MATCH(B97,'01_Benchmark_Input'!$A$2:$A$10,0))</f>
        <v/>
      </c>
      <c r="V97" s="10">
        <f>'02_Inputs'!K97</f>
        <v/>
      </c>
      <c r="W97" s="12">
        <f>N97*R97+O97*S97+P97*T97+Q97*U97</f>
        <v/>
      </c>
      <c r="X97" s="12">
        <f>W97*V97</f>
        <v/>
      </c>
      <c r="Y97" s="12">
        <f>L97*1000*X97*86400</f>
        <v/>
      </c>
      <c r="Z97" s="12">
        <f>Y97*365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'02_GPU_Mix_Input'!D98</f>
        <v/>
      </c>
      <c r="O98" s="10">
        <f>'02_GPU_Mix_Input'!E98</f>
        <v/>
      </c>
      <c r="P98" s="10">
        <f>'02_GPU_Mix_Input'!F98</f>
        <v/>
      </c>
      <c r="Q98" s="10">
        <f>'02_GPU_Mix_Input'!G98</f>
        <v/>
      </c>
      <c r="R98" s="12">
        <f>INDEX('01_Benchmark_Input'!$D$2:$D$10,MATCH(B98,'01_Benchmark_Input'!$A$2:$A$10,0))</f>
        <v/>
      </c>
      <c r="S98" s="12">
        <f>INDEX('01_Benchmark_Input'!$F$2:$F$10,MATCH(B98,'01_Benchmark_Input'!$A$2:$A$10,0))</f>
        <v/>
      </c>
      <c r="T98" s="12">
        <f>INDEX('01_Benchmark_Input'!$H$2:$H$10,MATCH(B98,'01_Benchmark_Input'!$A$2:$A$10,0))</f>
        <v/>
      </c>
      <c r="U98" s="12">
        <f>INDEX('01_Benchmark_Input'!$J$2:$J$10,MATCH(B98,'01_Benchmark_Input'!$A$2:$A$10,0))</f>
        <v/>
      </c>
      <c r="V98" s="10">
        <f>'02_Inputs'!K98</f>
        <v/>
      </c>
      <c r="W98" s="12">
        <f>N98*R98+O98*S98+P98*T98+Q98*U98</f>
        <v/>
      </c>
      <c r="X98" s="12">
        <f>W98*V98</f>
        <v/>
      </c>
      <c r="Y98" s="12">
        <f>L98*1000*X98*86400</f>
        <v/>
      </c>
      <c r="Z98" s="12">
        <f>Y98*365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'02_GPU_Mix_Input'!D99</f>
        <v/>
      </c>
      <c r="O99" s="10">
        <f>'02_GPU_Mix_Input'!E99</f>
        <v/>
      </c>
      <c r="P99" s="10">
        <f>'02_GPU_Mix_Input'!F99</f>
        <v/>
      </c>
      <c r="Q99" s="10">
        <f>'02_GPU_Mix_Input'!G99</f>
        <v/>
      </c>
      <c r="R99" s="12">
        <f>INDEX('01_Benchmark_Input'!$D$2:$D$10,MATCH(B99,'01_Benchmark_Input'!$A$2:$A$10,0))</f>
        <v/>
      </c>
      <c r="S99" s="12">
        <f>INDEX('01_Benchmark_Input'!$F$2:$F$10,MATCH(B99,'01_Benchmark_Input'!$A$2:$A$10,0))</f>
        <v/>
      </c>
      <c r="T99" s="12">
        <f>INDEX('01_Benchmark_Input'!$H$2:$H$10,MATCH(B99,'01_Benchmark_Input'!$A$2:$A$10,0))</f>
        <v/>
      </c>
      <c r="U99" s="12">
        <f>INDEX('01_Benchmark_Input'!$J$2:$J$10,MATCH(B99,'01_Benchmark_Input'!$A$2:$A$10,0))</f>
        <v/>
      </c>
      <c r="V99" s="10">
        <f>'02_Inputs'!K99</f>
        <v/>
      </c>
      <c r="W99" s="12">
        <f>N99*R99+O99*S99+P99*T99+Q99*U99</f>
        <v/>
      </c>
      <c r="X99" s="12">
        <f>W99*V99</f>
        <v/>
      </c>
      <c r="Y99" s="12">
        <f>L99*1000*X99*86400</f>
        <v/>
      </c>
      <c r="Z99" s="12">
        <f>Y99*365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'02_GPU_Mix_Input'!D100</f>
        <v/>
      </c>
      <c r="O100" s="10">
        <f>'02_GPU_Mix_Input'!E100</f>
        <v/>
      </c>
      <c r="P100" s="10">
        <f>'02_GPU_Mix_Input'!F100</f>
        <v/>
      </c>
      <c r="Q100" s="10">
        <f>'02_GPU_Mix_Input'!G100</f>
        <v/>
      </c>
      <c r="R100" s="12">
        <f>INDEX('01_Benchmark_Input'!$D$2:$D$10,MATCH(B100,'01_Benchmark_Input'!$A$2:$A$10,0))</f>
        <v/>
      </c>
      <c r="S100" s="12">
        <f>INDEX('01_Benchmark_Input'!$F$2:$F$10,MATCH(B100,'01_Benchmark_Input'!$A$2:$A$10,0))</f>
        <v/>
      </c>
      <c r="T100" s="12">
        <f>INDEX('01_Benchmark_Input'!$H$2:$H$10,MATCH(B100,'01_Benchmark_Input'!$A$2:$A$10,0))</f>
        <v/>
      </c>
      <c r="U100" s="12">
        <f>INDEX('01_Benchmark_Input'!$J$2:$J$10,MATCH(B100,'01_Benchmark_Input'!$A$2:$A$10,0))</f>
        <v/>
      </c>
      <c r="V100" s="10">
        <f>'02_Inputs'!K100</f>
        <v/>
      </c>
      <c r="W100" s="12">
        <f>N100*R100+O100*S100+P100*T100+Q100*U100</f>
        <v/>
      </c>
      <c r="X100" s="12">
        <f>W100*V100</f>
        <v/>
      </c>
      <c r="Y100" s="12">
        <f>L100*1000*X100*86400</f>
        <v/>
      </c>
      <c r="Z100" s="12">
        <f>Y100*365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'02_GPU_Mix_Input'!D101</f>
        <v/>
      </c>
      <c r="O101" s="10">
        <f>'02_GPU_Mix_Input'!E101</f>
        <v/>
      </c>
      <c r="P101" s="10">
        <f>'02_GPU_Mix_Input'!F101</f>
        <v/>
      </c>
      <c r="Q101" s="10">
        <f>'02_GPU_Mix_Input'!G101</f>
        <v/>
      </c>
      <c r="R101" s="12">
        <f>INDEX('01_Benchmark_Input'!$D$2:$D$10,MATCH(B101,'01_Benchmark_Input'!$A$2:$A$10,0))</f>
        <v/>
      </c>
      <c r="S101" s="12">
        <f>INDEX('01_Benchmark_Input'!$F$2:$F$10,MATCH(B101,'01_Benchmark_Input'!$A$2:$A$10,0))</f>
        <v/>
      </c>
      <c r="T101" s="12">
        <f>INDEX('01_Benchmark_Input'!$H$2:$H$10,MATCH(B101,'01_Benchmark_Input'!$A$2:$A$10,0))</f>
        <v/>
      </c>
      <c r="U101" s="12">
        <f>INDEX('01_Benchmark_Input'!$J$2:$J$10,MATCH(B101,'01_Benchmark_Input'!$A$2:$A$10,0))</f>
        <v/>
      </c>
      <c r="V101" s="10">
        <f>'02_Inputs'!K101</f>
        <v/>
      </c>
      <c r="W101" s="12">
        <f>N101*R101+O101*S101+P101*T101+Q101*U101</f>
        <v/>
      </c>
      <c r="X101" s="12">
        <f>W101*V101</f>
        <v/>
      </c>
      <c r="Y101" s="12">
        <f>L101*1000*X101*86400</f>
        <v/>
      </c>
      <c r="Z101" s="12">
        <f>Y101*365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'02_GPU_Mix_Input'!D102</f>
        <v/>
      </c>
      <c r="O102" s="10">
        <f>'02_GPU_Mix_Input'!E102</f>
        <v/>
      </c>
      <c r="P102" s="10">
        <f>'02_GPU_Mix_Input'!F102</f>
        <v/>
      </c>
      <c r="Q102" s="10">
        <f>'02_GPU_Mix_Input'!G102</f>
        <v/>
      </c>
      <c r="R102" s="12">
        <f>INDEX('01_Benchmark_Input'!$D$2:$D$10,MATCH(B102,'01_Benchmark_Input'!$A$2:$A$10,0))</f>
        <v/>
      </c>
      <c r="S102" s="12">
        <f>INDEX('01_Benchmark_Input'!$F$2:$F$10,MATCH(B102,'01_Benchmark_Input'!$A$2:$A$10,0))</f>
        <v/>
      </c>
      <c r="T102" s="12">
        <f>INDEX('01_Benchmark_Input'!$H$2:$H$10,MATCH(B102,'01_Benchmark_Input'!$A$2:$A$10,0))</f>
        <v/>
      </c>
      <c r="U102" s="12">
        <f>INDEX('01_Benchmark_Input'!$J$2:$J$10,MATCH(B102,'01_Benchmark_Input'!$A$2:$A$10,0))</f>
        <v/>
      </c>
      <c r="V102" s="10">
        <f>'02_Inputs'!K102</f>
        <v/>
      </c>
      <c r="W102" s="12">
        <f>N102*R102+O102*S102+P102*T102+Q102*U102</f>
        <v/>
      </c>
      <c r="X102" s="12">
        <f>W102*V102</f>
        <v/>
      </c>
      <c r="Y102" s="12">
        <f>L102*1000*X102*86400</f>
        <v/>
      </c>
      <c r="Z102" s="12">
        <f>Y102*365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'02_GPU_Mix_Input'!D103</f>
        <v/>
      </c>
      <c r="O103" s="10">
        <f>'02_GPU_Mix_Input'!E103</f>
        <v/>
      </c>
      <c r="P103" s="10">
        <f>'02_GPU_Mix_Input'!F103</f>
        <v/>
      </c>
      <c r="Q103" s="10">
        <f>'02_GPU_Mix_Input'!G103</f>
        <v/>
      </c>
      <c r="R103" s="12">
        <f>INDEX('01_Benchmark_Input'!$D$2:$D$10,MATCH(B103,'01_Benchmark_Input'!$A$2:$A$10,0))</f>
        <v/>
      </c>
      <c r="S103" s="12">
        <f>INDEX('01_Benchmark_Input'!$F$2:$F$10,MATCH(B103,'01_Benchmark_Input'!$A$2:$A$10,0))</f>
        <v/>
      </c>
      <c r="T103" s="12">
        <f>INDEX('01_Benchmark_Input'!$H$2:$H$10,MATCH(B103,'01_Benchmark_Input'!$A$2:$A$10,0))</f>
        <v/>
      </c>
      <c r="U103" s="12">
        <f>INDEX('01_Benchmark_Input'!$J$2:$J$10,MATCH(B103,'01_Benchmark_Input'!$A$2:$A$10,0))</f>
        <v/>
      </c>
      <c r="V103" s="10">
        <f>'02_Inputs'!K103</f>
        <v/>
      </c>
      <c r="W103" s="12">
        <f>N103*R103+O103*S103+P103*T103+Q103*U103</f>
        <v/>
      </c>
      <c r="X103" s="12">
        <f>W103*V103</f>
        <v/>
      </c>
      <c r="Y103" s="12">
        <f>L103*1000*X103*86400</f>
        <v/>
      </c>
      <c r="Z103" s="12">
        <f>Y103*365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'02_GPU_Mix_Input'!D104</f>
        <v/>
      </c>
      <c r="O104" s="10">
        <f>'02_GPU_Mix_Input'!E104</f>
        <v/>
      </c>
      <c r="P104" s="10">
        <f>'02_GPU_Mix_Input'!F104</f>
        <v/>
      </c>
      <c r="Q104" s="10">
        <f>'02_GPU_Mix_Input'!G104</f>
        <v/>
      </c>
      <c r="R104" s="12">
        <f>INDEX('01_Benchmark_Input'!$D$2:$D$10,MATCH(B104,'01_Benchmark_Input'!$A$2:$A$10,0))</f>
        <v/>
      </c>
      <c r="S104" s="12">
        <f>INDEX('01_Benchmark_Input'!$F$2:$F$10,MATCH(B104,'01_Benchmark_Input'!$A$2:$A$10,0))</f>
        <v/>
      </c>
      <c r="T104" s="12">
        <f>INDEX('01_Benchmark_Input'!$H$2:$H$10,MATCH(B104,'01_Benchmark_Input'!$A$2:$A$10,0))</f>
        <v/>
      </c>
      <c r="U104" s="12">
        <f>INDEX('01_Benchmark_Input'!$J$2:$J$10,MATCH(B104,'01_Benchmark_Input'!$A$2:$A$10,0))</f>
        <v/>
      </c>
      <c r="V104" s="10">
        <f>'02_Inputs'!K104</f>
        <v/>
      </c>
      <c r="W104" s="12">
        <f>N104*R104+O104*S104+P104*T104+Q104*U104</f>
        <v/>
      </c>
      <c r="X104" s="12">
        <f>W104*V104</f>
        <v/>
      </c>
      <c r="Y104" s="12">
        <f>L104*1000*X104*86400</f>
        <v/>
      </c>
      <c r="Z104" s="12">
        <f>Y104*365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'02_GPU_Mix_Input'!D105</f>
        <v/>
      </c>
      <c r="O105" s="10">
        <f>'02_GPU_Mix_Input'!E105</f>
        <v/>
      </c>
      <c r="P105" s="10">
        <f>'02_GPU_Mix_Input'!F105</f>
        <v/>
      </c>
      <c r="Q105" s="10">
        <f>'02_GPU_Mix_Input'!G105</f>
        <v/>
      </c>
      <c r="R105" s="12">
        <f>INDEX('01_Benchmark_Input'!$D$2:$D$10,MATCH(B105,'01_Benchmark_Input'!$A$2:$A$10,0))</f>
        <v/>
      </c>
      <c r="S105" s="12">
        <f>INDEX('01_Benchmark_Input'!$F$2:$F$10,MATCH(B105,'01_Benchmark_Input'!$A$2:$A$10,0))</f>
        <v/>
      </c>
      <c r="T105" s="12">
        <f>INDEX('01_Benchmark_Input'!$H$2:$H$10,MATCH(B105,'01_Benchmark_Input'!$A$2:$A$10,0))</f>
        <v/>
      </c>
      <c r="U105" s="12">
        <f>INDEX('01_Benchmark_Input'!$J$2:$J$10,MATCH(B105,'01_Benchmark_Input'!$A$2:$A$10,0))</f>
        <v/>
      </c>
      <c r="V105" s="10">
        <f>'02_Inputs'!K105</f>
        <v/>
      </c>
      <c r="W105" s="12">
        <f>N105*R105+O105*S105+P105*T105+Q105*U105</f>
        <v/>
      </c>
      <c r="X105" s="12">
        <f>W105*V105</f>
        <v/>
      </c>
      <c r="Y105" s="12">
        <f>L105*1000*X105*86400</f>
        <v/>
      </c>
      <c r="Z105" s="12">
        <f>Y105*365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'02_GPU_Mix_Input'!D106</f>
        <v/>
      </c>
      <c r="O106" s="10">
        <f>'02_GPU_Mix_Input'!E106</f>
        <v/>
      </c>
      <c r="P106" s="10">
        <f>'02_GPU_Mix_Input'!F106</f>
        <v/>
      </c>
      <c r="Q106" s="10">
        <f>'02_GPU_Mix_Input'!G106</f>
        <v/>
      </c>
      <c r="R106" s="12">
        <f>INDEX('01_Benchmark_Input'!$D$2:$D$10,MATCH(B106,'01_Benchmark_Input'!$A$2:$A$10,0))</f>
        <v/>
      </c>
      <c r="S106" s="12">
        <f>INDEX('01_Benchmark_Input'!$F$2:$F$10,MATCH(B106,'01_Benchmark_Input'!$A$2:$A$10,0))</f>
        <v/>
      </c>
      <c r="T106" s="12">
        <f>INDEX('01_Benchmark_Input'!$H$2:$H$10,MATCH(B106,'01_Benchmark_Input'!$A$2:$A$10,0))</f>
        <v/>
      </c>
      <c r="U106" s="12">
        <f>INDEX('01_Benchmark_Input'!$J$2:$J$10,MATCH(B106,'01_Benchmark_Input'!$A$2:$A$10,0))</f>
        <v/>
      </c>
      <c r="V106" s="10">
        <f>'02_Inputs'!K106</f>
        <v/>
      </c>
      <c r="W106" s="12">
        <f>N106*R106+O106*S106+P106*T106+Q106*U106</f>
        <v/>
      </c>
      <c r="X106" s="12">
        <f>W106*V106</f>
        <v/>
      </c>
      <c r="Y106" s="12">
        <f>L106*1000*X106*86400</f>
        <v/>
      </c>
      <c r="Z106" s="12">
        <f>Y106*365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'02_GPU_Mix_Input'!D107</f>
        <v/>
      </c>
      <c r="O107" s="10">
        <f>'02_GPU_Mix_Input'!E107</f>
        <v/>
      </c>
      <c r="P107" s="10">
        <f>'02_GPU_Mix_Input'!F107</f>
        <v/>
      </c>
      <c r="Q107" s="10">
        <f>'02_GPU_Mix_Input'!G107</f>
        <v/>
      </c>
      <c r="R107" s="12">
        <f>INDEX('01_Benchmark_Input'!$D$2:$D$10,MATCH(B107,'01_Benchmark_Input'!$A$2:$A$10,0))</f>
        <v/>
      </c>
      <c r="S107" s="12">
        <f>INDEX('01_Benchmark_Input'!$F$2:$F$10,MATCH(B107,'01_Benchmark_Input'!$A$2:$A$10,0))</f>
        <v/>
      </c>
      <c r="T107" s="12">
        <f>INDEX('01_Benchmark_Input'!$H$2:$H$10,MATCH(B107,'01_Benchmark_Input'!$A$2:$A$10,0))</f>
        <v/>
      </c>
      <c r="U107" s="12">
        <f>INDEX('01_Benchmark_Input'!$J$2:$J$10,MATCH(B107,'01_Benchmark_Input'!$A$2:$A$10,0))</f>
        <v/>
      </c>
      <c r="V107" s="10">
        <f>'02_Inputs'!K107</f>
        <v/>
      </c>
      <c r="W107" s="12">
        <f>N107*R107+O107*S107+P107*T107+Q107*U107</f>
        <v/>
      </c>
      <c r="X107" s="12">
        <f>W107*V107</f>
        <v/>
      </c>
      <c r="Y107" s="12">
        <f>L107*1000*X107*86400</f>
        <v/>
      </c>
      <c r="Z107" s="12">
        <f>Y107*365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'02_GPU_Mix_Input'!D108</f>
        <v/>
      </c>
      <c r="O108" s="10">
        <f>'02_GPU_Mix_Input'!E108</f>
        <v/>
      </c>
      <c r="P108" s="10">
        <f>'02_GPU_Mix_Input'!F108</f>
        <v/>
      </c>
      <c r="Q108" s="10">
        <f>'02_GPU_Mix_Input'!G108</f>
        <v/>
      </c>
      <c r="R108" s="12">
        <f>INDEX('01_Benchmark_Input'!$D$2:$D$10,MATCH(B108,'01_Benchmark_Input'!$A$2:$A$10,0))</f>
        <v/>
      </c>
      <c r="S108" s="12">
        <f>INDEX('01_Benchmark_Input'!$F$2:$F$10,MATCH(B108,'01_Benchmark_Input'!$A$2:$A$10,0))</f>
        <v/>
      </c>
      <c r="T108" s="12">
        <f>INDEX('01_Benchmark_Input'!$H$2:$H$10,MATCH(B108,'01_Benchmark_Input'!$A$2:$A$10,0))</f>
        <v/>
      </c>
      <c r="U108" s="12">
        <f>INDEX('01_Benchmark_Input'!$J$2:$J$10,MATCH(B108,'01_Benchmark_Input'!$A$2:$A$10,0))</f>
        <v/>
      </c>
      <c r="V108" s="10">
        <f>'02_Inputs'!K108</f>
        <v/>
      </c>
      <c r="W108" s="12">
        <f>N108*R108+O108*S108+P108*T108+Q108*U108</f>
        <v/>
      </c>
      <c r="X108" s="12">
        <f>W108*V108</f>
        <v/>
      </c>
      <c r="Y108" s="12">
        <f>L108*1000*X108*86400</f>
        <v/>
      </c>
      <c r="Z108" s="12">
        <f>Y108*365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'02_GPU_Mix_Input'!D109</f>
        <v/>
      </c>
      <c r="O109" s="10">
        <f>'02_GPU_Mix_Input'!E109</f>
        <v/>
      </c>
      <c r="P109" s="10">
        <f>'02_GPU_Mix_Input'!F109</f>
        <v/>
      </c>
      <c r="Q109" s="10">
        <f>'02_GPU_Mix_Input'!G109</f>
        <v/>
      </c>
      <c r="R109" s="12">
        <f>INDEX('01_Benchmark_Input'!$D$2:$D$10,MATCH(B109,'01_Benchmark_Input'!$A$2:$A$10,0))</f>
        <v/>
      </c>
      <c r="S109" s="12">
        <f>INDEX('01_Benchmark_Input'!$F$2:$F$10,MATCH(B109,'01_Benchmark_Input'!$A$2:$A$10,0))</f>
        <v/>
      </c>
      <c r="T109" s="12">
        <f>INDEX('01_Benchmark_Input'!$H$2:$H$10,MATCH(B109,'01_Benchmark_Input'!$A$2:$A$10,0))</f>
        <v/>
      </c>
      <c r="U109" s="12">
        <f>INDEX('01_Benchmark_Input'!$J$2:$J$10,MATCH(B109,'01_Benchmark_Input'!$A$2:$A$10,0))</f>
        <v/>
      </c>
      <c r="V109" s="10">
        <f>'02_Inputs'!K109</f>
        <v/>
      </c>
      <c r="W109" s="12">
        <f>N109*R109+O109*S109+P109*T109+Q109*U109</f>
        <v/>
      </c>
      <c r="X109" s="12">
        <f>W109*V109</f>
        <v/>
      </c>
      <c r="Y109" s="12">
        <f>L109*1000*X109*86400</f>
        <v/>
      </c>
      <c r="Z109" s="12">
        <f>Y109*365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'02_GPU_Mix_Input'!D110</f>
        <v/>
      </c>
      <c r="O110" s="10">
        <f>'02_GPU_Mix_Input'!E110</f>
        <v/>
      </c>
      <c r="P110" s="10">
        <f>'02_GPU_Mix_Input'!F110</f>
        <v/>
      </c>
      <c r="Q110" s="10">
        <f>'02_GPU_Mix_Input'!G110</f>
        <v/>
      </c>
      <c r="R110" s="12">
        <f>INDEX('01_Benchmark_Input'!$D$2:$D$10,MATCH(B110,'01_Benchmark_Input'!$A$2:$A$10,0))</f>
        <v/>
      </c>
      <c r="S110" s="12">
        <f>INDEX('01_Benchmark_Input'!$F$2:$F$10,MATCH(B110,'01_Benchmark_Input'!$A$2:$A$10,0))</f>
        <v/>
      </c>
      <c r="T110" s="12">
        <f>INDEX('01_Benchmark_Input'!$H$2:$H$10,MATCH(B110,'01_Benchmark_Input'!$A$2:$A$10,0))</f>
        <v/>
      </c>
      <c r="U110" s="12">
        <f>INDEX('01_Benchmark_Input'!$J$2:$J$10,MATCH(B110,'01_Benchmark_Input'!$A$2:$A$10,0))</f>
        <v/>
      </c>
      <c r="V110" s="10">
        <f>'02_Inputs'!K110</f>
        <v/>
      </c>
      <c r="W110" s="12">
        <f>N110*R110+O110*S110+P110*T110+Q110*U110</f>
        <v/>
      </c>
      <c r="X110" s="12">
        <f>W110*V110</f>
        <v/>
      </c>
      <c r="Y110" s="12">
        <f>L110*1000*X110*86400</f>
        <v/>
      </c>
      <c r="Z110" s="12">
        <f>Y110*365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'02_GPU_Mix_Input'!D111</f>
        <v/>
      </c>
      <c r="O111" s="10">
        <f>'02_GPU_Mix_Input'!E111</f>
        <v/>
      </c>
      <c r="P111" s="10">
        <f>'02_GPU_Mix_Input'!F111</f>
        <v/>
      </c>
      <c r="Q111" s="10">
        <f>'02_GPU_Mix_Input'!G111</f>
        <v/>
      </c>
      <c r="R111" s="12">
        <f>INDEX('01_Benchmark_Input'!$D$2:$D$10,MATCH(B111,'01_Benchmark_Input'!$A$2:$A$10,0))</f>
        <v/>
      </c>
      <c r="S111" s="12">
        <f>INDEX('01_Benchmark_Input'!$F$2:$F$10,MATCH(B111,'01_Benchmark_Input'!$A$2:$A$10,0))</f>
        <v/>
      </c>
      <c r="T111" s="12">
        <f>INDEX('01_Benchmark_Input'!$H$2:$H$10,MATCH(B111,'01_Benchmark_Input'!$A$2:$A$10,0))</f>
        <v/>
      </c>
      <c r="U111" s="12">
        <f>INDEX('01_Benchmark_Input'!$J$2:$J$10,MATCH(B111,'01_Benchmark_Input'!$A$2:$A$10,0))</f>
        <v/>
      </c>
      <c r="V111" s="10">
        <f>'02_Inputs'!K111</f>
        <v/>
      </c>
      <c r="W111" s="12">
        <f>N111*R111+O111*S111+P111*T111+Q111*U111</f>
        <v/>
      </c>
      <c r="X111" s="12">
        <f>W111*V111</f>
        <v/>
      </c>
      <c r="Y111" s="12">
        <f>L111*1000*X111*86400</f>
        <v/>
      </c>
      <c r="Z111" s="12">
        <f>Y111*365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'02_GPU_Mix_Input'!D112</f>
        <v/>
      </c>
      <c r="O112" s="10">
        <f>'02_GPU_Mix_Input'!E112</f>
        <v/>
      </c>
      <c r="P112" s="10">
        <f>'02_GPU_Mix_Input'!F112</f>
        <v/>
      </c>
      <c r="Q112" s="10">
        <f>'02_GPU_Mix_Input'!G112</f>
        <v/>
      </c>
      <c r="R112" s="12">
        <f>INDEX('01_Benchmark_Input'!$D$2:$D$10,MATCH(B112,'01_Benchmark_Input'!$A$2:$A$10,0))</f>
        <v/>
      </c>
      <c r="S112" s="12">
        <f>INDEX('01_Benchmark_Input'!$F$2:$F$10,MATCH(B112,'01_Benchmark_Input'!$A$2:$A$10,0))</f>
        <v/>
      </c>
      <c r="T112" s="12">
        <f>INDEX('01_Benchmark_Input'!$H$2:$H$10,MATCH(B112,'01_Benchmark_Input'!$A$2:$A$10,0))</f>
        <v/>
      </c>
      <c r="U112" s="12">
        <f>INDEX('01_Benchmark_Input'!$J$2:$J$10,MATCH(B112,'01_Benchmark_Input'!$A$2:$A$10,0))</f>
        <v/>
      </c>
      <c r="V112" s="10">
        <f>'02_Inputs'!K112</f>
        <v/>
      </c>
      <c r="W112" s="12">
        <f>N112*R112+O112*S112+P112*T112+Q112*U112</f>
        <v/>
      </c>
      <c r="X112" s="12">
        <f>W112*V112</f>
        <v/>
      </c>
      <c r="Y112" s="12">
        <f>L112*1000*X112*86400</f>
        <v/>
      </c>
      <c r="Z112" s="12">
        <f>Y112*365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'02_GPU_Mix_Input'!D113</f>
        <v/>
      </c>
      <c r="O113" s="10">
        <f>'02_GPU_Mix_Input'!E113</f>
        <v/>
      </c>
      <c r="P113" s="10">
        <f>'02_GPU_Mix_Input'!F113</f>
        <v/>
      </c>
      <c r="Q113" s="10">
        <f>'02_GPU_Mix_Input'!G113</f>
        <v/>
      </c>
      <c r="R113" s="12">
        <f>INDEX('01_Benchmark_Input'!$D$2:$D$10,MATCH(B113,'01_Benchmark_Input'!$A$2:$A$10,0))</f>
        <v/>
      </c>
      <c r="S113" s="12">
        <f>INDEX('01_Benchmark_Input'!$F$2:$F$10,MATCH(B113,'01_Benchmark_Input'!$A$2:$A$10,0))</f>
        <v/>
      </c>
      <c r="T113" s="12">
        <f>INDEX('01_Benchmark_Input'!$H$2:$H$10,MATCH(B113,'01_Benchmark_Input'!$A$2:$A$10,0))</f>
        <v/>
      </c>
      <c r="U113" s="12">
        <f>INDEX('01_Benchmark_Input'!$J$2:$J$10,MATCH(B113,'01_Benchmark_Input'!$A$2:$A$10,0))</f>
        <v/>
      </c>
      <c r="V113" s="10">
        <f>'02_Inputs'!K113</f>
        <v/>
      </c>
      <c r="W113" s="12">
        <f>N113*R113+O113*S113+P113*T113+Q113*U113</f>
        <v/>
      </c>
      <c r="X113" s="12">
        <f>W113*V113</f>
        <v/>
      </c>
      <c r="Y113" s="12">
        <f>L113*1000*X113*86400</f>
        <v/>
      </c>
      <c r="Z113" s="12">
        <f>Y113*365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'02_GPU_Mix_Input'!D114</f>
        <v/>
      </c>
      <c r="O114" s="10">
        <f>'02_GPU_Mix_Input'!E114</f>
        <v/>
      </c>
      <c r="P114" s="10">
        <f>'02_GPU_Mix_Input'!F114</f>
        <v/>
      </c>
      <c r="Q114" s="10">
        <f>'02_GPU_Mix_Input'!G114</f>
        <v/>
      </c>
      <c r="R114" s="12">
        <f>INDEX('01_Benchmark_Input'!$D$2:$D$10,MATCH(B114,'01_Benchmark_Input'!$A$2:$A$10,0))</f>
        <v/>
      </c>
      <c r="S114" s="12">
        <f>INDEX('01_Benchmark_Input'!$F$2:$F$10,MATCH(B114,'01_Benchmark_Input'!$A$2:$A$10,0))</f>
        <v/>
      </c>
      <c r="T114" s="12">
        <f>INDEX('01_Benchmark_Input'!$H$2:$H$10,MATCH(B114,'01_Benchmark_Input'!$A$2:$A$10,0))</f>
        <v/>
      </c>
      <c r="U114" s="12">
        <f>INDEX('01_Benchmark_Input'!$J$2:$J$10,MATCH(B114,'01_Benchmark_Input'!$A$2:$A$10,0))</f>
        <v/>
      </c>
      <c r="V114" s="10">
        <f>'02_Inputs'!K114</f>
        <v/>
      </c>
      <c r="W114" s="12">
        <f>N114*R114+O114*S114+P114*T114+Q114*U114</f>
        <v/>
      </c>
      <c r="X114" s="12">
        <f>W114*V114</f>
        <v/>
      </c>
      <c r="Y114" s="12">
        <f>L114*1000*X114*86400</f>
        <v/>
      </c>
      <c r="Z114" s="12">
        <f>Y114*365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'02_GPU_Mix_Input'!D115</f>
        <v/>
      </c>
      <c r="O115" s="10">
        <f>'02_GPU_Mix_Input'!E115</f>
        <v/>
      </c>
      <c r="P115" s="10">
        <f>'02_GPU_Mix_Input'!F115</f>
        <v/>
      </c>
      <c r="Q115" s="10">
        <f>'02_GPU_Mix_Input'!G115</f>
        <v/>
      </c>
      <c r="R115" s="12">
        <f>INDEX('01_Benchmark_Input'!$D$2:$D$10,MATCH(B115,'01_Benchmark_Input'!$A$2:$A$10,0))</f>
        <v/>
      </c>
      <c r="S115" s="12">
        <f>INDEX('01_Benchmark_Input'!$F$2:$F$10,MATCH(B115,'01_Benchmark_Input'!$A$2:$A$10,0))</f>
        <v/>
      </c>
      <c r="T115" s="12">
        <f>INDEX('01_Benchmark_Input'!$H$2:$H$10,MATCH(B115,'01_Benchmark_Input'!$A$2:$A$10,0))</f>
        <v/>
      </c>
      <c r="U115" s="12">
        <f>INDEX('01_Benchmark_Input'!$J$2:$J$10,MATCH(B115,'01_Benchmark_Input'!$A$2:$A$10,0))</f>
        <v/>
      </c>
      <c r="V115" s="10">
        <f>'02_Inputs'!K115</f>
        <v/>
      </c>
      <c r="W115" s="12">
        <f>N115*R115+O115*S115+P115*T115+Q115*U115</f>
        <v/>
      </c>
      <c r="X115" s="12">
        <f>W115*V115</f>
        <v/>
      </c>
      <c r="Y115" s="12">
        <f>L115*1000*X115*86400</f>
        <v/>
      </c>
      <c r="Z115" s="12">
        <f>Y115*365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'02_GPU_Mix_Input'!D116</f>
        <v/>
      </c>
      <c r="O116" s="10">
        <f>'02_GPU_Mix_Input'!E116</f>
        <v/>
      </c>
      <c r="P116" s="10">
        <f>'02_GPU_Mix_Input'!F116</f>
        <v/>
      </c>
      <c r="Q116" s="10">
        <f>'02_GPU_Mix_Input'!G116</f>
        <v/>
      </c>
      <c r="R116" s="12">
        <f>INDEX('01_Benchmark_Input'!$D$2:$D$10,MATCH(B116,'01_Benchmark_Input'!$A$2:$A$10,0))</f>
        <v/>
      </c>
      <c r="S116" s="12">
        <f>INDEX('01_Benchmark_Input'!$F$2:$F$10,MATCH(B116,'01_Benchmark_Input'!$A$2:$A$10,0))</f>
        <v/>
      </c>
      <c r="T116" s="12">
        <f>INDEX('01_Benchmark_Input'!$H$2:$H$10,MATCH(B116,'01_Benchmark_Input'!$A$2:$A$10,0))</f>
        <v/>
      </c>
      <c r="U116" s="12">
        <f>INDEX('01_Benchmark_Input'!$J$2:$J$10,MATCH(B116,'01_Benchmark_Input'!$A$2:$A$10,0))</f>
        <v/>
      </c>
      <c r="V116" s="10">
        <f>'02_Inputs'!K116</f>
        <v/>
      </c>
      <c r="W116" s="12">
        <f>N116*R116+O116*S116+P116*T116+Q116*U116</f>
        <v/>
      </c>
      <c r="X116" s="12">
        <f>W116*V116</f>
        <v/>
      </c>
      <c r="Y116" s="12">
        <f>L116*1000*X116*86400</f>
        <v/>
      </c>
      <c r="Z116" s="12">
        <f>Y116*365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'02_GPU_Mix_Input'!D117</f>
        <v/>
      </c>
      <c r="O117" s="10">
        <f>'02_GPU_Mix_Input'!E117</f>
        <v/>
      </c>
      <c r="P117" s="10">
        <f>'02_GPU_Mix_Input'!F117</f>
        <v/>
      </c>
      <c r="Q117" s="10">
        <f>'02_GPU_Mix_Input'!G117</f>
        <v/>
      </c>
      <c r="R117" s="12">
        <f>INDEX('01_Benchmark_Input'!$D$2:$D$10,MATCH(B117,'01_Benchmark_Input'!$A$2:$A$10,0))</f>
        <v/>
      </c>
      <c r="S117" s="12">
        <f>INDEX('01_Benchmark_Input'!$F$2:$F$10,MATCH(B117,'01_Benchmark_Input'!$A$2:$A$10,0))</f>
        <v/>
      </c>
      <c r="T117" s="12">
        <f>INDEX('01_Benchmark_Input'!$H$2:$H$10,MATCH(B117,'01_Benchmark_Input'!$A$2:$A$10,0))</f>
        <v/>
      </c>
      <c r="U117" s="12">
        <f>INDEX('01_Benchmark_Input'!$J$2:$J$10,MATCH(B117,'01_Benchmark_Input'!$A$2:$A$10,0))</f>
        <v/>
      </c>
      <c r="V117" s="10">
        <f>'02_Inputs'!K117</f>
        <v/>
      </c>
      <c r="W117" s="12">
        <f>N117*R117+O117*S117+P117*T117+Q117*U117</f>
        <v/>
      </c>
      <c r="X117" s="12">
        <f>W117*V117</f>
        <v/>
      </c>
      <c r="Y117" s="12">
        <f>L117*1000*X117*86400</f>
        <v/>
      </c>
      <c r="Z117" s="12">
        <f>Y117*365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'02_GPU_Mix_Input'!D118</f>
        <v/>
      </c>
      <c r="O118" s="10">
        <f>'02_GPU_Mix_Input'!E118</f>
        <v/>
      </c>
      <c r="P118" s="10">
        <f>'02_GPU_Mix_Input'!F118</f>
        <v/>
      </c>
      <c r="Q118" s="10">
        <f>'02_GPU_Mix_Input'!G118</f>
        <v/>
      </c>
      <c r="R118" s="12">
        <f>INDEX('01_Benchmark_Input'!$D$2:$D$10,MATCH(B118,'01_Benchmark_Input'!$A$2:$A$10,0))</f>
        <v/>
      </c>
      <c r="S118" s="12">
        <f>INDEX('01_Benchmark_Input'!$F$2:$F$10,MATCH(B118,'01_Benchmark_Input'!$A$2:$A$10,0))</f>
        <v/>
      </c>
      <c r="T118" s="12">
        <f>INDEX('01_Benchmark_Input'!$H$2:$H$10,MATCH(B118,'01_Benchmark_Input'!$A$2:$A$10,0))</f>
        <v/>
      </c>
      <c r="U118" s="12">
        <f>INDEX('01_Benchmark_Input'!$J$2:$J$10,MATCH(B118,'01_Benchmark_Input'!$A$2:$A$10,0))</f>
        <v/>
      </c>
      <c r="V118" s="10">
        <f>'02_Inputs'!K118</f>
        <v/>
      </c>
      <c r="W118" s="12">
        <f>N118*R118+O118*S118+P118*T118+Q118*U118</f>
        <v/>
      </c>
      <c r="X118" s="12">
        <f>W118*V118</f>
        <v/>
      </c>
      <c r="Y118" s="12">
        <f>L118*1000*X118*86400</f>
        <v/>
      </c>
      <c r="Z118" s="12">
        <f>Y118*365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'02_GPU_Mix_Input'!D119</f>
        <v/>
      </c>
      <c r="O119" s="10">
        <f>'02_GPU_Mix_Input'!E119</f>
        <v/>
      </c>
      <c r="P119" s="10">
        <f>'02_GPU_Mix_Input'!F119</f>
        <v/>
      </c>
      <c r="Q119" s="10">
        <f>'02_GPU_Mix_Input'!G119</f>
        <v/>
      </c>
      <c r="R119" s="12">
        <f>INDEX('01_Benchmark_Input'!$D$2:$D$10,MATCH(B119,'01_Benchmark_Input'!$A$2:$A$10,0))</f>
        <v/>
      </c>
      <c r="S119" s="12">
        <f>INDEX('01_Benchmark_Input'!$F$2:$F$10,MATCH(B119,'01_Benchmark_Input'!$A$2:$A$10,0))</f>
        <v/>
      </c>
      <c r="T119" s="12">
        <f>INDEX('01_Benchmark_Input'!$H$2:$H$10,MATCH(B119,'01_Benchmark_Input'!$A$2:$A$10,0))</f>
        <v/>
      </c>
      <c r="U119" s="12">
        <f>INDEX('01_Benchmark_Input'!$J$2:$J$10,MATCH(B119,'01_Benchmark_Input'!$A$2:$A$10,0))</f>
        <v/>
      </c>
      <c r="V119" s="10">
        <f>'02_Inputs'!K119</f>
        <v/>
      </c>
      <c r="W119" s="12">
        <f>N119*R119+O119*S119+P119*T119+Q119*U119</f>
        <v/>
      </c>
      <c r="X119" s="12">
        <f>W119*V119</f>
        <v/>
      </c>
      <c r="Y119" s="12">
        <f>L119*1000*X119*86400</f>
        <v/>
      </c>
      <c r="Z119" s="12">
        <f>Y119*365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'02_GPU_Mix_Input'!D120</f>
        <v/>
      </c>
      <c r="O120" s="10">
        <f>'02_GPU_Mix_Input'!E120</f>
        <v/>
      </c>
      <c r="P120" s="10">
        <f>'02_GPU_Mix_Input'!F120</f>
        <v/>
      </c>
      <c r="Q120" s="10">
        <f>'02_GPU_Mix_Input'!G120</f>
        <v/>
      </c>
      <c r="R120" s="12">
        <f>INDEX('01_Benchmark_Input'!$D$2:$D$10,MATCH(B120,'01_Benchmark_Input'!$A$2:$A$10,0))</f>
        <v/>
      </c>
      <c r="S120" s="12">
        <f>INDEX('01_Benchmark_Input'!$F$2:$F$10,MATCH(B120,'01_Benchmark_Input'!$A$2:$A$10,0))</f>
        <v/>
      </c>
      <c r="T120" s="12">
        <f>INDEX('01_Benchmark_Input'!$H$2:$H$10,MATCH(B120,'01_Benchmark_Input'!$A$2:$A$10,0))</f>
        <v/>
      </c>
      <c r="U120" s="12">
        <f>INDEX('01_Benchmark_Input'!$J$2:$J$10,MATCH(B120,'01_Benchmark_Input'!$A$2:$A$10,0))</f>
        <v/>
      </c>
      <c r="V120" s="10">
        <f>'02_Inputs'!K120</f>
        <v/>
      </c>
      <c r="W120" s="12">
        <f>N120*R120+O120*S120+P120*T120+Q120*U120</f>
        <v/>
      </c>
      <c r="X120" s="12">
        <f>W120*V120</f>
        <v/>
      </c>
      <c r="Y120" s="12">
        <f>L120*1000*X120*86400</f>
        <v/>
      </c>
      <c r="Z120" s="12">
        <f>Y120*365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'02_GPU_Mix_Input'!D121</f>
        <v/>
      </c>
      <c r="O121" s="10">
        <f>'02_GPU_Mix_Input'!E121</f>
        <v/>
      </c>
      <c r="P121" s="10">
        <f>'02_GPU_Mix_Input'!F121</f>
        <v/>
      </c>
      <c r="Q121" s="10">
        <f>'02_GPU_Mix_Input'!G121</f>
        <v/>
      </c>
      <c r="R121" s="12">
        <f>INDEX('01_Benchmark_Input'!$D$2:$D$10,MATCH(B121,'01_Benchmark_Input'!$A$2:$A$10,0))</f>
        <v/>
      </c>
      <c r="S121" s="12">
        <f>INDEX('01_Benchmark_Input'!$F$2:$F$10,MATCH(B121,'01_Benchmark_Input'!$A$2:$A$10,0))</f>
        <v/>
      </c>
      <c r="T121" s="12">
        <f>INDEX('01_Benchmark_Input'!$H$2:$H$10,MATCH(B121,'01_Benchmark_Input'!$A$2:$A$10,0))</f>
        <v/>
      </c>
      <c r="U121" s="12">
        <f>INDEX('01_Benchmark_Input'!$J$2:$J$10,MATCH(B121,'01_Benchmark_Input'!$A$2:$A$10,0))</f>
        <v/>
      </c>
      <c r="V121" s="10">
        <f>'02_Inputs'!K121</f>
        <v/>
      </c>
      <c r="W121" s="12">
        <f>N121*R121+O121*S121+P121*T121+Q121*U121</f>
        <v/>
      </c>
      <c r="X121" s="12">
        <f>W121*V121</f>
        <v/>
      </c>
      <c r="Y121" s="12">
        <f>L121*1000*X121*86400</f>
        <v/>
      </c>
      <c r="Z121" s="12">
        <f>Y121*365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'02_GPU_Mix_Input'!D122</f>
        <v/>
      </c>
      <c r="O122" s="10">
        <f>'02_GPU_Mix_Input'!E122</f>
        <v/>
      </c>
      <c r="P122" s="10">
        <f>'02_GPU_Mix_Input'!F122</f>
        <v/>
      </c>
      <c r="Q122" s="10">
        <f>'02_GPU_Mix_Input'!G122</f>
        <v/>
      </c>
      <c r="R122" s="12">
        <f>INDEX('01_Benchmark_Input'!$D$2:$D$10,MATCH(B122,'01_Benchmark_Input'!$A$2:$A$10,0))</f>
        <v/>
      </c>
      <c r="S122" s="12">
        <f>INDEX('01_Benchmark_Input'!$F$2:$F$10,MATCH(B122,'01_Benchmark_Input'!$A$2:$A$10,0))</f>
        <v/>
      </c>
      <c r="T122" s="12">
        <f>INDEX('01_Benchmark_Input'!$H$2:$H$10,MATCH(B122,'01_Benchmark_Input'!$A$2:$A$10,0))</f>
        <v/>
      </c>
      <c r="U122" s="12">
        <f>INDEX('01_Benchmark_Input'!$J$2:$J$10,MATCH(B122,'01_Benchmark_Input'!$A$2:$A$10,0))</f>
        <v/>
      </c>
      <c r="V122" s="10">
        <f>'02_Inputs'!K122</f>
        <v/>
      </c>
      <c r="W122" s="12">
        <f>N122*R122+O122*S122+P122*T122+Q122*U122</f>
        <v/>
      </c>
      <c r="X122" s="12">
        <f>W122*V122</f>
        <v/>
      </c>
      <c r="Y122" s="12">
        <f>L122*1000*X122*86400</f>
        <v/>
      </c>
      <c r="Z122" s="12">
        <f>Y122*365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'02_GPU_Mix_Input'!D123</f>
        <v/>
      </c>
      <c r="O123" s="10">
        <f>'02_GPU_Mix_Input'!E123</f>
        <v/>
      </c>
      <c r="P123" s="10">
        <f>'02_GPU_Mix_Input'!F123</f>
        <v/>
      </c>
      <c r="Q123" s="10">
        <f>'02_GPU_Mix_Input'!G123</f>
        <v/>
      </c>
      <c r="R123" s="12">
        <f>INDEX('01_Benchmark_Input'!$D$2:$D$10,MATCH(B123,'01_Benchmark_Input'!$A$2:$A$10,0))</f>
        <v/>
      </c>
      <c r="S123" s="12">
        <f>INDEX('01_Benchmark_Input'!$F$2:$F$10,MATCH(B123,'01_Benchmark_Input'!$A$2:$A$10,0))</f>
        <v/>
      </c>
      <c r="T123" s="12">
        <f>INDEX('01_Benchmark_Input'!$H$2:$H$10,MATCH(B123,'01_Benchmark_Input'!$A$2:$A$10,0))</f>
        <v/>
      </c>
      <c r="U123" s="12">
        <f>INDEX('01_Benchmark_Input'!$J$2:$J$10,MATCH(B123,'01_Benchmark_Input'!$A$2:$A$10,0))</f>
        <v/>
      </c>
      <c r="V123" s="10">
        <f>'02_Inputs'!K123</f>
        <v/>
      </c>
      <c r="W123" s="12">
        <f>N123*R123+O123*S123+P123*T123+Q123*U123</f>
        <v/>
      </c>
      <c r="X123" s="12">
        <f>W123*V123</f>
        <v/>
      </c>
      <c r="Y123" s="12">
        <f>L123*1000*X123*86400</f>
        <v/>
      </c>
      <c r="Z123" s="12">
        <f>Y123*365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'02_GPU_Mix_Input'!D124</f>
        <v/>
      </c>
      <c r="O124" s="10">
        <f>'02_GPU_Mix_Input'!E124</f>
        <v/>
      </c>
      <c r="P124" s="10">
        <f>'02_GPU_Mix_Input'!F124</f>
        <v/>
      </c>
      <c r="Q124" s="10">
        <f>'02_GPU_Mix_Input'!G124</f>
        <v/>
      </c>
      <c r="R124" s="12">
        <f>INDEX('01_Benchmark_Input'!$D$2:$D$10,MATCH(B124,'01_Benchmark_Input'!$A$2:$A$10,0))</f>
        <v/>
      </c>
      <c r="S124" s="12">
        <f>INDEX('01_Benchmark_Input'!$F$2:$F$10,MATCH(B124,'01_Benchmark_Input'!$A$2:$A$10,0))</f>
        <v/>
      </c>
      <c r="T124" s="12">
        <f>INDEX('01_Benchmark_Input'!$H$2:$H$10,MATCH(B124,'01_Benchmark_Input'!$A$2:$A$10,0))</f>
        <v/>
      </c>
      <c r="U124" s="12">
        <f>INDEX('01_Benchmark_Input'!$J$2:$J$10,MATCH(B124,'01_Benchmark_Input'!$A$2:$A$10,0))</f>
        <v/>
      </c>
      <c r="V124" s="10">
        <f>'02_Inputs'!K124</f>
        <v/>
      </c>
      <c r="W124" s="12">
        <f>N124*R124+O124*S124+P124*T124+Q124*U124</f>
        <v/>
      </c>
      <c r="X124" s="12">
        <f>W124*V124</f>
        <v/>
      </c>
      <c r="Y124" s="12">
        <f>L124*1000*X124*86400</f>
        <v/>
      </c>
      <c r="Z124" s="12">
        <f>Y124*365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'02_GPU_Mix_Input'!D125</f>
        <v/>
      </c>
      <c r="O125" s="10">
        <f>'02_GPU_Mix_Input'!E125</f>
        <v/>
      </c>
      <c r="P125" s="10">
        <f>'02_GPU_Mix_Input'!F125</f>
        <v/>
      </c>
      <c r="Q125" s="10">
        <f>'02_GPU_Mix_Input'!G125</f>
        <v/>
      </c>
      <c r="R125" s="12">
        <f>INDEX('01_Benchmark_Input'!$D$2:$D$10,MATCH(B125,'01_Benchmark_Input'!$A$2:$A$10,0))</f>
        <v/>
      </c>
      <c r="S125" s="12">
        <f>INDEX('01_Benchmark_Input'!$F$2:$F$10,MATCH(B125,'01_Benchmark_Input'!$A$2:$A$10,0))</f>
        <v/>
      </c>
      <c r="T125" s="12">
        <f>INDEX('01_Benchmark_Input'!$H$2:$H$10,MATCH(B125,'01_Benchmark_Input'!$A$2:$A$10,0))</f>
        <v/>
      </c>
      <c r="U125" s="12">
        <f>INDEX('01_Benchmark_Input'!$J$2:$J$10,MATCH(B125,'01_Benchmark_Input'!$A$2:$A$10,0))</f>
        <v/>
      </c>
      <c r="V125" s="10">
        <f>'02_Inputs'!K125</f>
        <v/>
      </c>
      <c r="W125" s="12">
        <f>N125*R125+O125*S125+P125*T125+Q125*U125</f>
        <v/>
      </c>
      <c r="X125" s="12">
        <f>W125*V125</f>
        <v/>
      </c>
      <c r="Y125" s="12">
        <f>L125*1000*X125*86400</f>
        <v/>
      </c>
      <c r="Z125" s="12">
        <f>Y125*365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'02_GPU_Mix_Input'!D126</f>
        <v/>
      </c>
      <c r="O126" s="10">
        <f>'02_GPU_Mix_Input'!E126</f>
        <v/>
      </c>
      <c r="P126" s="10">
        <f>'02_GPU_Mix_Input'!F126</f>
        <v/>
      </c>
      <c r="Q126" s="10">
        <f>'02_GPU_Mix_Input'!G126</f>
        <v/>
      </c>
      <c r="R126" s="12">
        <f>INDEX('01_Benchmark_Input'!$D$2:$D$10,MATCH(B126,'01_Benchmark_Input'!$A$2:$A$10,0))</f>
        <v/>
      </c>
      <c r="S126" s="12">
        <f>INDEX('01_Benchmark_Input'!$F$2:$F$10,MATCH(B126,'01_Benchmark_Input'!$A$2:$A$10,0))</f>
        <v/>
      </c>
      <c r="T126" s="12">
        <f>INDEX('01_Benchmark_Input'!$H$2:$H$10,MATCH(B126,'01_Benchmark_Input'!$A$2:$A$10,0))</f>
        <v/>
      </c>
      <c r="U126" s="12">
        <f>INDEX('01_Benchmark_Input'!$J$2:$J$10,MATCH(B126,'01_Benchmark_Input'!$A$2:$A$10,0))</f>
        <v/>
      </c>
      <c r="V126" s="10">
        <f>'02_Inputs'!K126</f>
        <v/>
      </c>
      <c r="W126" s="12">
        <f>N126*R126+O126*S126+P126*T126+Q126*U126</f>
        <v/>
      </c>
      <c r="X126" s="12">
        <f>W126*V126</f>
        <v/>
      </c>
      <c r="Y126" s="12">
        <f>L126*1000*X126*86400</f>
        <v/>
      </c>
      <c r="Z126" s="12">
        <f>Y126*365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'02_GPU_Mix_Input'!D127</f>
        <v/>
      </c>
      <c r="O127" s="10">
        <f>'02_GPU_Mix_Input'!E127</f>
        <v/>
      </c>
      <c r="P127" s="10">
        <f>'02_GPU_Mix_Input'!F127</f>
        <v/>
      </c>
      <c r="Q127" s="10">
        <f>'02_GPU_Mix_Input'!G127</f>
        <v/>
      </c>
      <c r="R127" s="12">
        <f>INDEX('01_Benchmark_Input'!$D$2:$D$10,MATCH(B127,'01_Benchmark_Input'!$A$2:$A$10,0))</f>
        <v/>
      </c>
      <c r="S127" s="12">
        <f>INDEX('01_Benchmark_Input'!$F$2:$F$10,MATCH(B127,'01_Benchmark_Input'!$A$2:$A$10,0))</f>
        <v/>
      </c>
      <c r="T127" s="12">
        <f>INDEX('01_Benchmark_Input'!$H$2:$H$10,MATCH(B127,'01_Benchmark_Input'!$A$2:$A$10,0))</f>
        <v/>
      </c>
      <c r="U127" s="12">
        <f>INDEX('01_Benchmark_Input'!$J$2:$J$10,MATCH(B127,'01_Benchmark_Input'!$A$2:$A$10,0))</f>
        <v/>
      </c>
      <c r="V127" s="10">
        <f>'02_Inputs'!K127</f>
        <v/>
      </c>
      <c r="W127" s="12">
        <f>N127*R127+O127*S127+P127*T127+Q127*U127</f>
        <v/>
      </c>
      <c r="X127" s="12">
        <f>W127*V127</f>
        <v/>
      </c>
      <c r="Y127" s="12">
        <f>L127*1000*X127*86400</f>
        <v/>
      </c>
      <c r="Z127" s="12">
        <f>Y127*365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'02_GPU_Mix_Input'!D128</f>
        <v/>
      </c>
      <c r="O128" s="10">
        <f>'02_GPU_Mix_Input'!E128</f>
        <v/>
      </c>
      <c r="P128" s="10">
        <f>'02_GPU_Mix_Input'!F128</f>
        <v/>
      </c>
      <c r="Q128" s="10">
        <f>'02_GPU_Mix_Input'!G128</f>
        <v/>
      </c>
      <c r="R128" s="12">
        <f>INDEX('01_Benchmark_Input'!$D$2:$D$10,MATCH(B128,'01_Benchmark_Input'!$A$2:$A$10,0))</f>
        <v/>
      </c>
      <c r="S128" s="12">
        <f>INDEX('01_Benchmark_Input'!$F$2:$F$10,MATCH(B128,'01_Benchmark_Input'!$A$2:$A$10,0))</f>
        <v/>
      </c>
      <c r="T128" s="12">
        <f>INDEX('01_Benchmark_Input'!$H$2:$H$10,MATCH(B128,'01_Benchmark_Input'!$A$2:$A$10,0))</f>
        <v/>
      </c>
      <c r="U128" s="12">
        <f>INDEX('01_Benchmark_Input'!$J$2:$J$10,MATCH(B128,'01_Benchmark_Input'!$A$2:$A$10,0))</f>
        <v/>
      </c>
      <c r="V128" s="10">
        <f>'02_Inputs'!K128</f>
        <v/>
      </c>
      <c r="W128" s="12">
        <f>N128*R128+O128*S128+P128*T128+Q128*U128</f>
        <v/>
      </c>
      <c r="X128" s="12">
        <f>W128*V128</f>
        <v/>
      </c>
      <c r="Y128" s="12">
        <f>L128*1000*X128*86400</f>
        <v/>
      </c>
      <c r="Z128" s="12">
        <f>Y128*365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'02_GPU_Mix_Input'!D129</f>
        <v/>
      </c>
      <c r="O129" s="10">
        <f>'02_GPU_Mix_Input'!E129</f>
        <v/>
      </c>
      <c r="P129" s="10">
        <f>'02_GPU_Mix_Input'!F129</f>
        <v/>
      </c>
      <c r="Q129" s="10">
        <f>'02_GPU_Mix_Input'!G129</f>
        <v/>
      </c>
      <c r="R129" s="12">
        <f>INDEX('01_Benchmark_Input'!$D$2:$D$10,MATCH(B129,'01_Benchmark_Input'!$A$2:$A$10,0))</f>
        <v/>
      </c>
      <c r="S129" s="12">
        <f>INDEX('01_Benchmark_Input'!$F$2:$F$10,MATCH(B129,'01_Benchmark_Input'!$A$2:$A$10,0))</f>
        <v/>
      </c>
      <c r="T129" s="12">
        <f>INDEX('01_Benchmark_Input'!$H$2:$H$10,MATCH(B129,'01_Benchmark_Input'!$A$2:$A$10,0))</f>
        <v/>
      </c>
      <c r="U129" s="12">
        <f>INDEX('01_Benchmark_Input'!$J$2:$J$10,MATCH(B129,'01_Benchmark_Input'!$A$2:$A$10,0))</f>
        <v/>
      </c>
      <c r="V129" s="10">
        <f>'02_Inputs'!K129</f>
        <v/>
      </c>
      <c r="W129" s="12">
        <f>N129*R129+O129*S129+P129*T129+Q129*U129</f>
        <v/>
      </c>
      <c r="X129" s="12">
        <f>W129*V129</f>
        <v/>
      </c>
      <c r="Y129" s="12">
        <f>L129*1000*X129*86400</f>
        <v/>
      </c>
      <c r="Z129" s="12">
        <f>Y129*365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'02_GPU_Mix_Input'!D130</f>
        <v/>
      </c>
      <c r="O130" s="10">
        <f>'02_GPU_Mix_Input'!E130</f>
        <v/>
      </c>
      <c r="P130" s="10">
        <f>'02_GPU_Mix_Input'!F130</f>
        <v/>
      </c>
      <c r="Q130" s="10">
        <f>'02_GPU_Mix_Input'!G130</f>
        <v/>
      </c>
      <c r="R130" s="12">
        <f>INDEX('01_Benchmark_Input'!$D$2:$D$10,MATCH(B130,'01_Benchmark_Input'!$A$2:$A$10,0))</f>
        <v/>
      </c>
      <c r="S130" s="12">
        <f>INDEX('01_Benchmark_Input'!$F$2:$F$10,MATCH(B130,'01_Benchmark_Input'!$A$2:$A$10,0))</f>
        <v/>
      </c>
      <c r="T130" s="12">
        <f>INDEX('01_Benchmark_Input'!$H$2:$H$10,MATCH(B130,'01_Benchmark_Input'!$A$2:$A$10,0))</f>
        <v/>
      </c>
      <c r="U130" s="12">
        <f>INDEX('01_Benchmark_Input'!$J$2:$J$10,MATCH(B130,'01_Benchmark_Input'!$A$2:$A$10,0))</f>
        <v/>
      </c>
      <c r="V130" s="10">
        <f>'02_Inputs'!K130</f>
        <v/>
      </c>
      <c r="W130" s="12">
        <f>N130*R130+O130*S130+P130*T130+Q130*U130</f>
        <v/>
      </c>
      <c r="X130" s="12">
        <f>W130*V130</f>
        <v/>
      </c>
      <c r="Y130" s="12">
        <f>L130*1000*X130*86400</f>
        <v/>
      </c>
      <c r="Z130" s="12">
        <f>Y130*365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'02_GPU_Mix_Input'!D131</f>
        <v/>
      </c>
      <c r="O131" s="10">
        <f>'02_GPU_Mix_Input'!E131</f>
        <v/>
      </c>
      <c r="P131" s="10">
        <f>'02_GPU_Mix_Input'!F131</f>
        <v/>
      </c>
      <c r="Q131" s="10">
        <f>'02_GPU_Mix_Input'!G131</f>
        <v/>
      </c>
      <c r="R131" s="12">
        <f>INDEX('01_Benchmark_Input'!$D$2:$D$10,MATCH(B131,'01_Benchmark_Input'!$A$2:$A$10,0))</f>
        <v/>
      </c>
      <c r="S131" s="12">
        <f>INDEX('01_Benchmark_Input'!$F$2:$F$10,MATCH(B131,'01_Benchmark_Input'!$A$2:$A$10,0))</f>
        <v/>
      </c>
      <c r="T131" s="12">
        <f>INDEX('01_Benchmark_Input'!$H$2:$H$10,MATCH(B131,'01_Benchmark_Input'!$A$2:$A$10,0))</f>
        <v/>
      </c>
      <c r="U131" s="12">
        <f>INDEX('01_Benchmark_Input'!$J$2:$J$10,MATCH(B131,'01_Benchmark_Input'!$A$2:$A$10,0))</f>
        <v/>
      </c>
      <c r="V131" s="10">
        <f>'02_Inputs'!K131</f>
        <v/>
      </c>
      <c r="W131" s="12">
        <f>N131*R131+O131*S131+P131*T131+Q131*U131</f>
        <v/>
      </c>
      <c r="X131" s="12">
        <f>W131*V131</f>
        <v/>
      </c>
      <c r="Y131" s="12">
        <f>L131*1000*X131*86400</f>
        <v/>
      </c>
      <c r="Z131" s="12">
        <f>Y131*365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'02_GPU_Mix_Input'!D132</f>
        <v/>
      </c>
      <c r="O132" s="10">
        <f>'02_GPU_Mix_Input'!E132</f>
        <v/>
      </c>
      <c r="P132" s="10">
        <f>'02_GPU_Mix_Input'!F132</f>
        <v/>
      </c>
      <c r="Q132" s="10">
        <f>'02_GPU_Mix_Input'!G132</f>
        <v/>
      </c>
      <c r="R132" s="12">
        <f>INDEX('01_Benchmark_Input'!$D$2:$D$10,MATCH(B132,'01_Benchmark_Input'!$A$2:$A$10,0))</f>
        <v/>
      </c>
      <c r="S132" s="12">
        <f>INDEX('01_Benchmark_Input'!$F$2:$F$10,MATCH(B132,'01_Benchmark_Input'!$A$2:$A$10,0))</f>
        <v/>
      </c>
      <c r="T132" s="12">
        <f>INDEX('01_Benchmark_Input'!$H$2:$H$10,MATCH(B132,'01_Benchmark_Input'!$A$2:$A$10,0))</f>
        <v/>
      </c>
      <c r="U132" s="12">
        <f>INDEX('01_Benchmark_Input'!$J$2:$J$10,MATCH(B132,'01_Benchmark_Input'!$A$2:$A$10,0))</f>
        <v/>
      </c>
      <c r="V132" s="10">
        <f>'02_Inputs'!K132</f>
        <v/>
      </c>
      <c r="W132" s="12">
        <f>N132*R132+O132*S132+P132*T132+Q132*U132</f>
        <v/>
      </c>
      <c r="X132" s="12">
        <f>W132*V132</f>
        <v/>
      </c>
      <c r="Y132" s="12">
        <f>L132*1000*X132*86400</f>
        <v/>
      </c>
      <c r="Z132" s="12">
        <f>Y132*365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'02_GPU_Mix_Input'!D133</f>
        <v/>
      </c>
      <c r="O133" s="10">
        <f>'02_GPU_Mix_Input'!E133</f>
        <v/>
      </c>
      <c r="P133" s="10">
        <f>'02_GPU_Mix_Input'!F133</f>
        <v/>
      </c>
      <c r="Q133" s="10">
        <f>'02_GPU_Mix_Input'!G133</f>
        <v/>
      </c>
      <c r="R133" s="12">
        <f>INDEX('01_Benchmark_Input'!$D$2:$D$10,MATCH(B133,'01_Benchmark_Input'!$A$2:$A$10,0))</f>
        <v/>
      </c>
      <c r="S133" s="12">
        <f>INDEX('01_Benchmark_Input'!$F$2:$F$10,MATCH(B133,'01_Benchmark_Input'!$A$2:$A$10,0))</f>
        <v/>
      </c>
      <c r="T133" s="12">
        <f>INDEX('01_Benchmark_Input'!$H$2:$H$10,MATCH(B133,'01_Benchmark_Input'!$A$2:$A$10,0))</f>
        <v/>
      </c>
      <c r="U133" s="12">
        <f>INDEX('01_Benchmark_Input'!$J$2:$J$10,MATCH(B133,'01_Benchmark_Input'!$A$2:$A$10,0))</f>
        <v/>
      </c>
      <c r="V133" s="10">
        <f>'02_Inputs'!K133</f>
        <v/>
      </c>
      <c r="W133" s="12">
        <f>N133*R133+O133*S133+P133*T133+Q133*U133</f>
        <v/>
      </c>
      <c r="X133" s="12">
        <f>W133*V133</f>
        <v/>
      </c>
      <c r="Y133" s="12">
        <f>L133*1000*X133*86400</f>
        <v/>
      </c>
      <c r="Z133" s="12">
        <f>Y133*365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'02_GPU_Mix_Input'!D134</f>
        <v/>
      </c>
      <c r="O134" s="10">
        <f>'02_GPU_Mix_Input'!E134</f>
        <v/>
      </c>
      <c r="P134" s="10">
        <f>'02_GPU_Mix_Input'!F134</f>
        <v/>
      </c>
      <c r="Q134" s="10">
        <f>'02_GPU_Mix_Input'!G134</f>
        <v/>
      </c>
      <c r="R134" s="12">
        <f>INDEX('01_Benchmark_Input'!$D$2:$D$10,MATCH(B134,'01_Benchmark_Input'!$A$2:$A$10,0))</f>
        <v/>
      </c>
      <c r="S134" s="12">
        <f>INDEX('01_Benchmark_Input'!$F$2:$F$10,MATCH(B134,'01_Benchmark_Input'!$A$2:$A$10,0))</f>
        <v/>
      </c>
      <c r="T134" s="12">
        <f>INDEX('01_Benchmark_Input'!$H$2:$H$10,MATCH(B134,'01_Benchmark_Input'!$A$2:$A$10,0))</f>
        <v/>
      </c>
      <c r="U134" s="12">
        <f>INDEX('01_Benchmark_Input'!$J$2:$J$10,MATCH(B134,'01_Benchmark_Input'!$A$2:$A$10,0))</f>
        <v/>
      </c>
      <c r="V134" s="10">
        <f>'02_Inputs'!K134</f>
        <v/>
      </c>
      <c r="W134" s="12">
        <f>N134*R134+O134*S134+P134*T134+Q134*U134</f>
        <v/>
      </c>
      <c r="X134" s="12">
        <f>W134*V134</f>
        <v/>
      </c>
      <c r="Y134" s="12">
        <f>L134*1000*X134*86400</f>
        <v/>
      </c>
      <c r="Z134" s="12">
        <f>Y134*365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'02_GPU_Mix_Input'!D135</f>
        <v/>
      </c>
      <c r="O135" s="10">
        <f>'02_GPU_Mix_Input'!E135</f>
        <v/>
      </c>
      <c r="P135" s="10">
        <f>'02_GPU_Mix_Input'!F135</f>
        <v/>
      </c>
      <c r="Q135" s="10">
        <f>'02_GPU_Mix_Input'!G135</f>
        <v/>
      </c>
      <c r="R135" s="12">
        <f>INDEX('01_Benchmark_Input'!$D$2:$D$10,MATCH(B135,'01_Benchmark_Input'!$A$2:$A$10,0))</f>
        <v/>
      </c>
      <c r="S135" s="12">
        <f>INDEX('01_Benchmark_Input'!$F$2:$F$10,MATCH(B135,'01_Benchmark_Input'!$A$2:$A$10,0))</f>
        <v/>
      </c>
      <c r="T135" s="12">
        <f>INDEX('01_Benchmark_Input'!$H$2:$H$10,MATCH(B135,'01_Benchmark_Input'!$A$2:$A$10,0))</f>
        <v/>
      </c>
      <c r="U135" s="12">
        <f>INDEX('01_Benchmark_Input'!$J$2:$J$10,MATCH(B135,'01_Benchmark_Input'!$A$2:$A$10,0))</f>
        <v/>
      </c>
      <c r="V135" s="10">
        <f>'02_Inputs'!K135</f>
        <v/>
      </c>
      <c r="W135" s="12">
        <f>N135*R135+O135*S135+P135*T135+Q135*U135</f>
        <v/>
      </c>
      <c r="X135" s="12">
        <f>W135*V135</f>
        <v/>
      </c>
      <c r="Y135" s="12">
        <f>L135*1000*X135*86400</f>
        <v/>
      </c>
      <c r="Z135" s="12">
        <f>Y135*365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'02_GPU_Mix_Input'!D136</f>
        <v/>
      </c>
      <c r="O136" s="10">
        <f>'02_GPU_Mix_Input'!E136</f>
        <v/>
      </c>
      <c r="P136" s="10">
        <f>'02_GPU_Mix_Input'!F136</f>
        <v/>
      </c>
      <c r="Q136" s="10">
        <f>'02_GPU_Mix_Input'!G136</f>
        <v/>
      </c>
      <c r="R136" s="12">
        <f>INDEX('01_Benchmark_Input'!$D$2:$D$10,MATCH(B136,'01_Benchmark_Input'!$A$2:$A$10,0))</f>
        <v/>
      </c>
      <c r="S136" s="12">
        <f>INDEX('01_Benchmark_Input'!$F$2:$F$10,MATCH(B136,'01_Benchmark_Input'!$A$2:$A$10,0))</f>
        <v/>
      </c>
      <c r="T136" s="12">
        <f>INDEX('01_Benchmark_Input'!$H$2:$H$10,MATCH(B136,'01_Benchmark_Input'!$A$2:$A$10,0))</f>
        <v/>
      </c>
      <c r="U136" s="12">
        <f>INDEX('01_Benchmark_Input'!$J$2:$J$10,MATCH(B136,'01_Benchmark_Input'!$A$2:$A$10,0))</f>
        <v/>
      </c>
      <c r="V136" s="10">
        <f>'02_Inputs'!K136</f>
        <v/>
      </c>
      <c r="W136" s="12">
        <f>N136*R136+O136*S136+P136*T136+Q136*U136</f>
        <v/>
      </c>
      <c r="X136" s="12">
        <f>W136*V136</f>
        <v/>
      </c>
      <c r="Y136" s="12">
        <f>L136*1000*X136*86400</f>
        <v/>
      </c>
      <c r="Z136" s="12">
        <f>Y136*365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'02_GPU_Mix_Input'!D137</f>
        <v/>
      </c>
      <c r="O137" s="10">
        <f>'02_GPU_Mix_Input'!E137</f>
        <v/>
      </c>
      <c r="P137" s="10">
        <f>'02_GPU_Mix_Input'!F137</f>
        <v/>
      </c>
      <c r="Q137" s="10">
        <f>'02_GPU_Mix_Input'!G137</f>
        <v/>
      </c>
      <c r="R137" s="12">
        <f>INDEX('01_Benchmark_Input'!$D$2:$D$10,MATCH(B137,'01_Benchmark_Input'!$A$2:$A$10,0))</f>
        <v/>
      </c>
      <c r="S137" s="12">
        <f>INDEX('01_Benchmark_Input'!$F$2:$F$10,MATCH(B137,'01_Benchmark_Input'!$A$2:$A$10,0))</f>
        <v/>
      </c>
      <c r="T137" s="12">
        <f>INDEX('01_Benchmark_Input'!$H$2:$H$10,MATCH(B137,'01_Benchmark_Input'!$A$2:$A$10,0))</f>
        <v/>
      </c>
      <c r="U137" s="12">
        <f>INDEX('01_Benchmark_Input'!$J$2:$J$10,MATCH(B137,'01_Benchmark_Input'!$A$2:$A$10,0))</f>
        <v/>
      </c>
      <c r="V137" s="10">
        <f>'02_Inputs'!K137</f>
        <v/>
      </c>
      <c r="W137" s="12">
        <f>N137*R137+O137*S137+P137*T137+Q137*U137</f>
        <v/>
      </c>
      <c r="X137" s="12">
        <f>W137*V137</f>
        <v/>
      </c>
      <c r="Y137" s="12">
        <f>L137*1000*X137*86400</f>
        <v/>
      </c>
      <c r="Z137" s="12">
        <f>Y137*365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'02_GPU_Mix_Input'!D138</f>
        <v/>
      </c>
      <c r="O138" s="10">
        <f>'02_GPU_Mix_Input'!E138</f>
        <v/>
      </c>
      <c r="P138" s="10">
        <f>'02_GPU_Mix_Input'!F138</f>
        <v/>
      </c>
      <c r="Q138" s="10">
        <f>'02_GPU_Mix_Input'!G138</f>
        <v/>
      </c>
      <c r="R138" s="12">
        <f>INDEX('01_Benchmark_Input'!$D$2:$D$10,MATCH(B138,'01_Benchmark_Input'!$A$2:$A$10,0))</f>
        <v/>
      </c>
      <c r="S138" s="12">
        <f>INDEX('01_Benchmark_Input'!$F$2:$F$10,MATCH(B138,'01_Benchmark_Input'!$A$2:$A$10,0))</f>
        <v/>
      </c>
      <c r="T138" s="12">
        <f>INDEX('01_Benchmark_Input'!$H$2:$H$10,MATCH(B138,'01_Benchmark_Input'!$A$2:$A$10,0))</f>
        <v/>
      </c>
      <c r="U138" s="12">
        <f>INDEX('01_Benchmark_Input'!$J$2:$J$10,MATCH(B138,'01_Benchmark_Input'!$A$2:$A$10,0))</f>
        <v/>
      </c>
      <c r="V138" s="10">
        <f>'02_Inputs'!K138</f>
        <v/>
      </c>
      <c r="W138" s="12">
        <f>N138*R138+O138*S138+P138*T138+Q138*U138</f>
        <v/>
      </c>
      <c r="X138" s="12">
        <f>W138*V138</f>
        <v/>
      </c>
      <c r="Y138" s="12">
        <f>L138*1000*X138*86400</f>
        <v/>
      </c>
      <c r="Z138" s="12">
        <f>Y138*365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'02_GPU_Mix_Input'!D139</f>
        <v/>
      </c>
      <c r="O139" s="10">
        <f>'02_GPU_Mix_Input'!E139</f>
        <v/>
      </c>
      <c r="P139" s="10">
        <f>'02_GPU_Mix_Input'!F139</f>
        <v/>
      </c>
      <c r="Q139" s="10">
        <f>'02_GPU_Mix_Input'!G139</f>
        <v/>
      </c>
      <c r="R139" s="12">
        <f>INDEX('01_Benchmark_Input'!$D$2:$D$10,MATCH(B139,'01_Benchmark_Input'!$A$2:$A$10,0))</f>
        <v/>
      </c>
      <c r="S139" s="12">
        <f>INDEX('01_Benchmark_Input'!$F$2:$F$10,MATCH(B139,'01_Benchmark_Input'!$A$2:$A$10,0))</f>
        <v/>
      </c>
      <c r="T139" s="12">
        <f>INDEX('01_Benchmark_Input'!$H$2:$H$10,MATCH(B139,'01_Benchmark_Input'!$A$2:$A$10,0))</f>
        <v/>
      </c>
      <c r="U139" s="12">
        <f>INDEX('01_Benchmark_Input'!$J$2:$J$10,MATCH(B139,'01_Benchmark_Input'!$A$2:$A$10,0))</f>
        <v/>
      </c>
      <c r="V139" s="10">
        <f>'02_Inputs'!K139</f>
        <v/>
      </c>
      <c r="W139" s="12">
        <f>N139*R139+O139*S139+P139*T139+Q139*U139</f>
        <v/>
      </c>
      <c r="X139" s="12">
        <f>W139*V139</f>
        <v/>
      </c>
      <c r="Y139" s="12">
        <f>L139*1000*X139*86400</f>
        <v/>
      </c>
      <c r="Z139" s="12">
        <f>Y139*365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'02_GPU_Mix_Input'!D140</f>
        <v/>
      </c>
      <c r="O140" s="10">
        <f>'02_GPU_Mix_Input'!E140</f>
        <v/>
      </c>
      <c r="P140" s="10">
        <f>'02_GPU_Mix_Input'!F140</f>
        <v/>
      </c>
      <c r="Q140" s="10">
        <f>'02_GPU_Mix_Input'!G140</f>
        <v/>
      </c>
      <c r="R140" s="12">
        <f>INDEX('01_Benchmark_Input'!$D$2:$D$10,MATCH(B140,'01_Benchmark_Input'!$A$2:$A$10,0))</f>
        <v/>
      </c>
      <c r="S140" s="12">
        <f>INDEX('01_Benchmark_Input'!$F$2:$F$10,MATCH(B140,'01_Benchmark_Input'!$A$2:$A$10,0))</f>
        <v/>
      </c>
      <c r="T140" s="12">
        <f>INDEX('01_Benchmark_Input'!$H$2:$H$10,MATCH(B140,'01_Benchmark_Input'!$A$2:$A$10,0))</f>
        <v/>
      </c>
      <c r="U140" s="12">
        <f>INDEX('01_Benchmark_Input'!$J$2:$J$10,MATCH(B140,'01_Benchmark_Input'!$A$2:$A$10,0))</f>
        <v/>
      </c>
      <c r="V140" s="10">
        <f>'02_Inputs'!K140</f>
        <v/>
      </c>
      <c r="W140" s="12">
        <f>N140*R140+O140*S140+P140*T140+Q140*U140</f>
        <v/>
      </c>
      <c r="X140" s="12">
        <f>W140*V140</f>
        <v/>
      </c>
      <c r="Y140" s="12">
        <f>L140*1000*X140*86400</f>
        <v/>
      </c>
      <c r="Z140" s="12">
        <f>Y140*365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'02_GPU_Mix_Input'!D141</f>
        <v/>
      </c>
      <c r="O141" s="10">
        <f>'02_GPU_Mix_Input'!E141</f>
        <v/>
      </c>
      <c r="P141" s="10">
        <f>'02_GPU_Mix_Input'!F141</f>
        <v/>
      </c>
      <c r="Q141" s="10">
        <f>'02_GPU_Mix_Input'!G141</f>
        <v/>
      </c>
      <c r="R141" s="12">
        <f>INDEX('01_Benchmark_Input'!$D$2:$D$10,MATCH(B141,'01_Benchmark_Input'!$A$2:$A$10,0))</f>
        <v/>
      </c>
      <c r="S141" s="12">
        <f>INDEX('01_Benchmark_Input'!$F$2:$F$10,MATCH(B141,'01_Benchmark_Input'!$A$2:$A$10,0))</f>
        <v/>
      </c>
      <c r="T141" s="12">
        <f>INDEX('01_Benchmark_Input'!$H$2:$H$10,MATCH(B141,'01_Benchmark_Input'!$A$2:$A$10,0))</f>
        <v/>
      </c>
      <c r="U141" s="12">
        <f>INDEX('01_Benchmark_Input'!$J$2:$J$10,MATCH(B141,'01_Benchmark_Input'!$A$2:$A$10,0))</f>
        <v/>
      </c>
      <c r="V141" s="10">
        <f>'02_Inputs'!K141</f>
        <v/>
      </c>
      <c r="W141" s="12">
        <f>N141*R141+O141*S141+P141*T141+Q141*U141</f>
        <v/>
      </c>
      <c r="X141" s="12">
        <f>W141*V141</f>
        <v/>
      </c>
      <c r="Y141" s="12">
        <f>L141*1000*X141*86400</f>
        <v/>
      </c>
      <c r="Z141" s="12">
        <f>Y141*365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'02_GPU_Mix_Input'!D142</f>
        <v/>
      </c>
      <c r="O142" s="10">
        <f>'02_GPU_Mix_Input'!E142</f>
        <v/>
      </c>
      <c r="P142" s="10">
        <f>'02_GPU_Mix_Input'!F142</f>
        <v/>
      </c>
      <c r="Q142" s="10">
        <f>'02_GPU_Mix_Input'!G142</f>
        <v/>
      </c>
      <c r="R142" s="12">
        <f>INDEX('01_Benchmark_Input'!$D$2:$D$10,MATCH(B142,'01_Benchmark_Input'!$A$2:$A$10,0))</f>
        <v/>
      </c>
      <c r="S142" s="12">
        <f>INDEX('01_Benchmark_Input'!$F$2:$F$10,MATCH(B142,'01_Benchmark_Input'!$A$2:$A$10,0))</f>
        <v/>
      </c>
      <c r="T142" s="12">
        <f>INDEX('01_Benchmark_Input'!$H$2:$H$10,MATCH(B142,'01_Benchmark_Input'!$A$2:$A$10,0))</f>
        <v/>
      </c>
      <c r="U142" s="12">
        <f>INDEX('01_Benchmark_Input'!$J$2:$J$10,MATCH(B142,'01_Benchmark_Input'!$A$2:$A$10,0))</f>
        <v/>
      </c>
      <c r="V142" s="10">
        <f>'02_Inputs'!K142</f>
        <v/>
      </c>
      <c r="W142" s="12">
        <f>N142*R142+O142*S142+P142*T142+Q142*U142</f>
        <v/>
      </c>
      <c r="X142" s="12">
        <f>W142*V142</f>
        <v/>
      </c>
      <c r="Y142" s="12">
        <f>L142*1000*X142*86400</f>
        <v/>
      </c>
      <c r="Z142" s="12">
        <f>Y142*365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'02_GPU_Mix_Input'!D143</f>
        <v/>
      </c>
      <c r="O143" s="10">
        <f>'02_GPU_Mix_Input'!E143</f>
        <v/>
      </c>
      <c r="P143" s="10">
        <f>'02_GPU_Mix_Input'!F143</f>
        <v/>
      </c>
      <c r="Q143" s="10">
        <f>'02_GPU_Mix_Input'!G143</f>
        <v/>
      </c>
      <c r="R143" s="12">
        <f>INDEX('01_Benchmark_Input'!$D$2:$D$10,MATCH(B143,'01_Benchmark_Input'!$A$2:$A$10,0))</f>
        <v/>
      </c>
      <c r="S143" s="12">
        <f>INDEX('01_Benchmark_Input'!$F$2:$F$10,MATCH(B143,'01_Benchmark_Input'!$A$2:$A$10,0))</f>
        <v/>
      </c>
      <c r="T143" s="12">
        <f>INDEX('01_Benchmark_Input'!$H$2:$H$10,MATCH(B143,'01_Benchmark_Input'!$A$2:$A$10,0))</f>
        <v/>
      </c>
      <c r="U143" s="12">
        <f>INDEX('01_Benchmark_Input'!$J$2:$J$10,MATCH(B143,'01_Benchmark_Input'!$A$2:$A$10,0))</f>
        <v/>
      </c>
      <c r="V143" s="10">
        <f>'02_Inputs'!K143</f>
        <v/>
      </c>
      <c r="W143" s="12">
        <f>N143*R143+O143*S143+P143*T143+Q143*U143</f>
        <v/>
      </c>
      <c r="X143" s="12">
        <f>W143*V143</f>
        <v/>
      </c>
      <c r="Y143" s="12">
        <f>L143*1000*X143*86400</f>
        <v/>
      </c>
      <c r="Z143" s="12">
        <f>Y143*365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'02_GPU_Mix_Input'!D144</f>
        <v/>
      </c>
      <c r="O144" s="10">
        <f>'02_GPU_Mix_Input'!E144</f>
        <v/>
      </c>
      <c r="P144" s="10">
        <f>'02_GPU_Mix_Input'!F144</f>
        <v/>
      </c>
      <c r="Q144" s="10">
        <f>'02_GPU_Mix_Input'!G144</f>
        <v/>
      </c>
      <c r="R144" s="12">
        <f>INDEX('01_Benchmark_Input'!$D$2:$D$10,MATCH(B144,'01_Benchmark_Input'!$A$2:$A$10,0))</f>
        <v/>
      </c>
      <c r="S144" s="12">
        <f>INDEX('01_Benchmark_Input'!$F$2:$F$10,MATCH(B144,'01_Benchmark_Input'!$A$2:$A$10,0))</f>
        <v/>
      </c>
      <c r="T144" s="12">
        <f>INDEX('01_Benchmark_Input'!$H$2:$H$10,MATCH(B144,'01_Benchmark_Input'!$A$2:$A$10,0))</f>
        <v/>
      </c>
      <c r="U144" s="12">
        <f>INDEX('01_Benchmark_Input'!$J$2:$J$10,MATCH(B144,'01_Benchmark_Input'!$A$2:$A$10,0))</f>
        <v/>
      </c>
      <c r="V144" s="10">
        <f>'02_Inputs'!K144</f>
        <v/>
      </c>
      <c r="W144" s="12">
        <f>N144*R144+O144*S144+P144*T144+Q144*U144</f>
        <v/>
      </c>
      <c r="X144" s="12">
        <f>W144*V144</f>
        <v/>
      </c>
      <c r="Y144" s="12">
        <f>L144*1000*X144*86400</f>
        <v/>
      </c>
      <c r="Z144" s="12">
        <f>Y144*365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'02_GPU_Mix_Input'!D145</f>
        <v/>
      </c>
      <c r="O145" s="10">
        <f>'02_GPU_Mix_Input'!E145</f>
        <v/>
      </c>
      <c r="P145" s="10">
        <f>'02_GPU_Mix_Input'!F145</f>
        <v/>
      </c>
      <c r="Q145" s="10">
        <f>'02_GPU_Mix_Input'!G145</f>
        <v/>
      </c>
      <c r="R145" s="12">
        <f>INDEX('01_Benchmark_Input'!$D$2:$D$10,MATCH(B145,'01_Benchmark_Input'!$A$2:$A$10,0))</f>
        <v/>
      </c>
      <c r="S145" s="12">
        <f>INDEX('01_Benchmark_Input'!$F$2:$F$10,MATCH(B145,'01_Benchmark_Input'!$A$2:$A$10,0))</f>
        <v/>
      </c>
      <c r="T145" s="12">
        <f>INDEX('01_Benchmark_Input'!$H$2:$H$10,MATCH(B145,'01_Benchmark_Input'!$A$2:$A$10,0))</f>
        <v/>
      </c>
      <c r="U145" s="12">
        <f>INDEX('01_Benchmark_Input'!$J$2:$J$10,MATCH(B145,'01_Benchmark_Input'!$A$2:$A$10,0))</f>
        <v/>
      </c>
      <c r="V145" s="10">
        <f>'02_Inputs'!K145</f>
        <v/>
      </c>
      <c r="W145" s="12">
        <f>N145*R145+O145*S145+P145*T145+Q145*U145</f>
        <v/>
      </c>
      <c r="X145" s="12">
        <f>W145*V145</f>
        <v/>
      </c>
      <c r="Y145" s="12">
        <f>L145*1000*X145*86400</f>
        <v/>
      </c>
      <c r="Z145" s="12">
        <f>Y145*365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'02_GPU_Mix_Input'!D146</f>
        <v/>
      </c>
      <c r="O146" s="10">
        <f>'02_GPU_Mix_Input'!E146</f>
        <v/>
      </c>
      <c r="P146" s="10">
        <f>'02_GPU_Mix_Input'!F146</f>
        <v/>
      </c>
      <c r="Q146" s="10">
        <f>'02_GPU_Mix_Input'!G146</f>
        <v/>
      </c>
      <c r="R146" s="12">
        <f>INDEX('01_Benchmark_Input'!$D$2:$D$10,MATCH(B146,'01_Benchmark_Input'!$A$2:$A$10,0))</f>
        <v/>
      </c>
      <c r="S146" s="12">
        <f>INDEX('01_Benchmark_Input'!$F$2:$F$10,MATCH(B146,'01_Benchmark_Input'!$A$2:$A$10,0))</f>
        <v/>
      </c>
      <c r="T146" s="12">
        <f>INDEX('01_Benchmark_Input'!$H$2:$H$10,MATCH(B146,'01_Benchmark_Input'!$A$2:$A$10,0))</f>
        <v/>
      </c>
      <c r="U146" s="12">
        <f>INDEX('01_Benchmark_Input'!$J$2:$J$10,MATCH(B146,'01_Benchmark_Input'!$A$2:$A$10,0))</f>
        <v/>
      </c>
      <c r="V146" s="10">
        <f>'02_Inputs'!K146</f>
        <v/>
      </c>
      <c r="W146" s="12">
        <f>N146*R146+O146*S146+P146*T146+Q146*U146</f>
        <v/>
      </c>
      <c r="X146" s="12">
        <f>W146*V146</f>
        <v/>
      </c>
      <c r="Y146" s="12">
        <f>L146*1000*X146*86400</f>
        <v/>
      </c>
      <c r="Z146" s="12">
        <f>Y146*365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'02_GPU_Mix_Input'!D147</f>
        <v/>
      </c>
      <c r="O147" s="10">
        <f>'02_GPU_Mix_Input'!E147</f>
        <v/>
      </c>
      <c r="P147" s="10">
        <f>'02_GPU_Mix_Input'!F147</f>
        <v/>
      </c>
      <c r="Q147" s="10">
        <f>'02_GPU_Mix_Input'!G147</f>
        <v/>
      </c>
      <c r="R147" s="12">
        <f>INDEX('01_Benchmark_Input'!$D$2:$D$10,MATCH(B147,'01_Benchmark_Input'!$A$2:$A$10,0))</f>
        <v/>
      </c>
      <c r="S147" s="12">
        <f>INDEX('01_Benchmark_Input'!$F$2:$F$10,MATCH(B147,'01_Benchmark_Input'!$A$2:$A$10,0))</f>
        <v/>
      </c>
      <c r="T147" s="12">
        <f>INDEX('01_Benchmark_Input'!$H$2:$H$10,MATCH(B147,'01_Benchmark_Input'!$A$2:$A$10,0))</f>
        <v/>
      </c>
      <c r="U147" s="12">
        <f>INDEX('01_Benchmark_Input'!$J$2:$J$10,MATCH(B147,'01_Benchmark_Input'!$A$2:$A$10,0))</f>
        <v/>
      </c>
      <c r="V147" s="10">
        <f>'02_Inputs'!K147</f>
        <v/>
      </c>
      <c r="W147" s="12">
        <f>N147*R147+O147*S147+P147*T147+Q147*U147</f>
        <v/>
      </c>
      <c r="X147" s="12">
        <f>W147*V147</f>
        <v/>
      </c>
      <c r="Y147" s="12">
        <f>L147*1000*X147*86400</f>
        <v/>
      </c>
      <c r="Z147" s="12">
        <f>Y147*365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'02_GPU_Mix_Input'!D148</f>
        <v/>
      </c>
      <c r="O148" s="10">
        <f>'02_GPU_Mix_Input'!E148</f>
        <v/>
      </c>
      <c r="P148" s="10">
        <f>'02_GPU_Mix_Input'!F148</f>
        <v/>
      </c>
      <c r="Q148" s="10">
        <f>'02_GPU_Mix_Input'!G148</f>
        <v/>
      </c>
      <c r="R148" s="12">
        <f>INDEX('01_Benchmark_Input'!$D$2:$D$10,MATCH(B148,'01_Benchmark_Input'!$A$2:$A$10,0))</f>
        <v/>
      </c>
      <c r="S148" s="12">
        <f>INDEX('01_Benchmark_Input'!$F$2:$F$10,MATCH(B148,'01_Benchmark_Input'!$A$2:$A$10,0))</f>
        <v/>
      </c>
      <c r="T148" s="12">
        <f>INDEX('01_Benchmark_Input'!$H$2:$H$10,MATCH(B148,'01_Benchmark_Input'!$A$2:$A$10,0))</f>
        <v/>
      </c>
      <c r="U148" s="12">
        <f>INDEX('01_Benchmark_Input'!$J$2:$J$10,MATCH(B148,'01_Benchmark_Input'!$A$2:$A$10,0))</f>
        <v/>
      </c>
      <c r="V148" s="10">
        <f>'02_Inputs'!K148</f>
        <v/>
      </c>
      <c r="W148" s="12">
        <f>N148*R148+O148*S148+P148*T148+Q148*U148</f>
        <v/>
      </c>
      <c r="X148" s="12">
        <f>W148*V148</f>
        <v/>
      </c>
      <c r="Y148" s="12">
        <f>L148*1000*X148*86400</f>
        <v/>
      </c>
      <c r="Z148" s="12">
        <f>Y148*365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'02_GPU_Mix_Input'!D149</f>
        <v/>
      </c>
      <c r="O149" s="10">
        <f>'02_GPU_Mix_Input'!E149</f>
        <v/>
      </c>
      <c r="P149" s="10">
        <f>'02_GPU_Mix_Input'!F149</f>
        <v/>
      </c>
      <c r="Q149" s="10">
        <f>'02_GPU_Mix_Input'!G149</f>
        <v/>
      </c>
      <c r="R149" s="12">
        <f>INDEX('01_Benchmark_Input'!$D$2:$D$10,MATCH(B149,'01_Benchmark_Input'!$A$2:$A$10,0))</f>
        <v/>
      </c>
      <c r="S149" s="12">
        <f>INDEX('01_Benchmark_Input'!$F$2:$F$10,MATCH(B149,'01_Benchmark_Input'!$A$2:$A$10,0))</f>
        <v/>
      </c>
      <c r="T149" s="12">
        <f>INDEX('01_Benchmark_Input'!$H$2:$H$10,MATCH(B149,'01_Benchmark_Input'!$A$2:$A$10,0))</f>
        <v/>
      </c>
      <c r="U149" s="12">
        <f>INDEX('01_Benchmark_Input'!$J$2:$J$10,MATCH(B149,'01_Benchmark_Input'!$A$2:$A$10,0))</f>
        <v/>
      </c>
      <c r="V149" s="10">
        <f>'02_Inputs'!K149</f>
        <v/>
      </c>
      <c r="W149" s="12">
        <f>N149*R149+O149*S149+P149*T149+Q149*U149</f>
        <v/>
      </c>
      <c r="X149" s="12">
        <f>W149*V149</f>
        <v/>
      </c>
      <c r="Y149" s="12">
        <f>L149*1000*X149*86400</f>
        <v/>
      </c>
      <c r="Z149" s="12">
        <f>Y149*365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'02_GPU_Mix_Input'!D150</f>
        <v/>
      </c>
      <c r="O150" s="10">
        <f>'02_GPU_Mix_Input'!E150</f>
        <v/>
      </c>
      <c r="P150" s="10">
        <f>'02_GPU_Mix_Input'!F150</f>
        <v/>
      </c>
      <c r="Q150" s="10">
        <f>'02_GPU_Mix_Input'!G150</f>
        <v/>
      </c>
      <c r="R150" s="12">
        <f>INDEX('01_Benchmark_Input'!$D$2:$D$10,MATCH(B150,'01_Benchmark_Input'!$A$2:$A$10,0))</f>
        <v/>
      </c>
      <c r="S150" s="12">
        <f>INDEX('01_Benchmark_Input'!$F$2:$F$10,MATCH(B150,'01_Benchmark_Input'!$A$2:$A$10,0))</f>
        <v/>
      </c>
      <c r="T150" s="12">
        <f>INDEX('01_Benchmark_Input'!$H$2:$H$10,MATCH(B150,'01_Benchmark_Input'!$A$2:$A$10,0))</f>
        <v/>
      </c>
      <c r="U150" s="12">
        <f>INDEX('01_Benchmark_Input'!$J$2:$J$10,MATCH(B150,'01_Benchmark_Input'!$A$2:$A$10,0))</f>
        <v/>
      </c>
      <c r="V150" s="10">
        <f>'02_Inputs'!K150</f>
        <v/>
      </c>
      <c r="W150" s="12">
        <f>N150*R150+O150*S150+P150*T150+Q150*U150</f>
        <v/>
      </c>
      <c r="X150" s="12">
        <f>W150*V150</f>
        <v/>
      </c>
      <c r="Y150" s="12">
        <f>L150*1000*X150*86400</f>
        <v/>
      </c>
      <c r="Z150" s="12">
        <f>Y150*365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'02_GPU_Mix_Input'!D151</f>
        <v/>
      </c>
      <c r="O151" s="10">
        <f>'02_GPU_Mix_Input'!E151</f>
        <v/>
      </c>
      <c r="P151" s="10">
        <f>'02_GPU_Mix_Input'!F151</f>
        <v/>
      </c>
      <c r="Q151" s="10">
        <f>'02_GPU_Mix_Input'!G151</f>
        <v/>
      </c>
      <c r="R151" s="12">
        <f>INDEX('01_Benchmark_Input'!$D$2:$D$10,MATCH(B151,'01_Benchmark_Input'!$A$2:$A$10,0))</f>
        <v/>
      </c>
      <c r="S151" s="12">
        <f>INDEX('01_Benchmark_Input'!$F$2:$F$10,MATCH(B151,'01_Benchmark_Input'!$A$2:$A$10,0))</f>
        <v/>
      </c>
      <c r="T151" s="12">
        <f>INDEX('01_Benchmark_Input'!$H$2:$H$10,MATCH(B151,'01_Benchmark_Input'!$A$2:$A$10,0))</f>
        <v/>
      </c>
      <c r="U151" s="12">
        <f>INDEX('01_Benchmark_Input'!$J$2:$J$10,MATCH(B151,'01_Benchmark_Input'!$A$2:$A$10,0))</f>
        <v/>
      </c>
      <c r="V151" s="10">
        <f>'02_Inputs'!K151</f>
        <v/>
      </c>
      <c r="W151" s="12">
        <f>N151*R151+O151*S151+P151*T151+Q151*U151</f>
        <v/>
      </c>
      <c r="X151" s="12">
        <f>W151*V151</f>
        <v/>
      </c>
      <c r="Y151" s="12">
        <f>L151*1000*X151*86400</f>
        <v/>
      </c>
      <c r="Z151" s="12">
        <f>Y151*365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'02_GPU_Mix_Input'!D152</f>
        <v/>
      </c>
      <c r="O152" s="10">
        <f>'02_GPU_Mix_Input'!E152</f>
        <v/>
      </c>
      <c r="P152" s="10">
        <f>'02_GPU_Mix_Input'!F152</f>
        <v/>
      </c>
      <c r="Q152" s="10">
        <f>'02_GPU_Mix_Input'!G152</f>
        <v/>
      </c>
      <c r="R152" s="12">
        <f>INDEX('01_Benchmark_Input'!$D$2:$D$10,MATCH(B152,'01_Benchmark_Input'!$A$2:$A$10,0))</f>
        <v/>
      </c>
      <c r="S152" s="12">
        <f>INDEX('01_Benchmark_Input'!$F$2:$F$10,MATCH(B152,'01_Benchmark_Input'!$A$2:$A$10,0))</f>
        <v/>
      </c>
      <c r="T152" s="12">
        <f>INDEX('01_Benchmark_Input'!$H$2:$H$10,MATCH(B152,'01_Benchmark_Input'!$A$2:$A$10,0))</f>
        <v/>
      </c>
      <c r="U152" s="12">
        <f>INDEX('01_Benchmark_Input'!$J$2:$J$10,MATCH(B152,'01_Benchmark_Input'!$A$2:$A$10,0))</f>
        <v/>
      </c>
      <c r="V152" s="10">
        <f>'02_Inputs'!K152</f>
        <v/>
      </c>
      <c r="W152" s="12">
        <f>N152*R152+O152*S152+P152*T152+Q152*U152</f>
        <v/>
      </c>
      <c r="X152" s="12">
        <f>W152*V152</f>
        <v/>
      </c>
      <c r="Y152" s="12">
        <f>L152*1000*X152*86400</f>
        <v/>
      </c>
      <c r="Z152" s="12">
        <f>Y152*365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'02_GPU_Mix_Input'!D153</f>
        <v/>
      </c>
      <c r="O153" s="10">
        <f>'02_GPU_Mix_Input'!E153</f>
        <v/>
      </c>
      <c r="P153" s="10">
        <f>'02_GPU_Mix_Input'!F153</f>
        <v/>
      </c>
      <c r="Q153" s="10">
        <f>'02_GPU_Mix_Input'!G153</f>
        <v/>
      </c>
      <c r="R153" s="12">
        <f>INDEX('01_Benchmark_Input'!$D$2:$D$10,MATCH(B153,'01_Benchmark_Input'!$A$2:$A$10,0))</f>
        <v/>
      </c>
      <c r="S153" s="12">
        <f>INDEX('01_Benchmark_Input'!$F$2:$F$10,MATCH(B153,'01_Benchmark_Input'!$A$2:$A$10,0))</f>
        <v/>
      </c>
      <c r="T153" s="12">
        <f>INDEX('01_Benchmark_Input'!$H$2:$H$10,MATCH(B153,'01_Benchmark_Input'!$A$2:$A$10,0))</f>
        <v/>
      </c>
      <c r="U153" s="12">
        <f>INDEX('01_Benchmark_Input'!$J$2:$J$10,MATCH(B153,'01_Benchmark_Input'!$A$2:$A$10,0))</f>
        <v/>
      </c>
      <c r="V153" s="10">
        <f>'02_Inputs'!K153</f>
        <v/>
      </c>
      <c r="W153" s="12">
        <f>N153*R153+O153*S153+P153*T153+Q153*U153</f>
        <v/>
      </c>
      <c r="X153" s="12">
        <f>W153*V153</f>
        <v/>
      </c>
      <c r="Y153" s="12">
        <f>L153*1000*X153*86400</f>
        <v/>
      </c>
      <c r="Z153" s="12">
        <f>Y153*365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'02_GPU_Mix_Input'!D154</f>
        <v/>
      </c>
      <c r="O154" s="10">
        <f>'02_GPU_Mix_Input'!E154</f>
        <v/>
      </c>
      <c r="P154" s="10">
        <f>'02_GPU_Mix_Input'!F154</f>
        <v/>
      </c>
      <c r="Q154" s="10">
        <f>'02_GPU_Mix_Input'!G154</f>
        <v/>
      </c>
      <c r="R154" s="12">
        <f>INDEX('01_Benchmark_Input'!$D$2:$D$10,MATCH(B154,'01_Benchmark_Input'!$A$2:$A$10,0))</f>
        <v/>
      </c>
      <c r="S154" s="12">
        <f>INDEX('01_Benchmark_Input'!$F$2:$F$10,MATCH(B154,'01_Benchmark_Input'!$A$2:$A$10,0))</f>
        <v/>
      </c>
      <c r="T154" s="12">
        <f>INDEX('01_Benchmark_Input'!$H$2:$H$10,MATCH(B154,'01_Benchmark_Input'!$A$2:$A$10,0))</f>
        <v/>
      </c>
      <c r="U154" s="12">
        <f>INDEX('01_Benchmark_Input'!$J$2:$J$10,MATCH(B154,'01_Benchmark_Input'!$A$2:$A$10,0))</f>
        <v/>
      </c>
      <c r="V154" s="10">
        <f>'02_Inputs'!K154</f>
        <v/>
      </c>
      <c r="W154" s="12">
        <f>N154*R154+O154*S154+P154*T154+Q154*U154</f>
        <v/>
      </c>
      <c r="X154" s="12">
        <f>W154*V154</f>
        <v/>
      </c>
      <c r="Y154" s="12">
        <f>L154*1000*X154*86400</f>
        <v/>
      </c>
      <c r="Z154" s="12">
        <f>Y154*365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'02_GPU_Mix_Input'!D155</f>
        <v/>
      </c>
      <c r="O155" s="10">
        <f>'02_GPU_Mix_Input'!E155</f>
        <v/>
      </c>
      <c r="P155" s="10">
        <f>'02_GPU_Mix_Input'!F155</f>
        <v/>
      </c>
      <c r="Q155" s="10">
        <f>'02_GPU_Mix_Input'!G155</f>
        <v/>
      </c>
      <c r="R155" s="12">
        <f>INDEX('01_Benchmark_Input'!$D$2:$D$10,MATCH(B155,'01_Benchmark_Input'!$A$2:$A$10,0))</f>
        <v/>
      </c>
      <c r="S155" s="12">
        <f>INDEX('01_Benchmark_Input'!$F$2:$F$10,MATCH(B155,'01_Benchmark_Input'!$A$2:$A$10,0))</f>
        <v/>
      </c>
      <c r="T155" s="12">
        <f>INDEX('01_Benchmark_Input'!$H$2:$H$10,MATCH(B155,'01_Benchmark_Input'!$A$2:$A$10,0))</f>
        <v/>
      </c>
      <c r="U155" s="12">
        <f>INDEX('01_Benchmark_Input'!$J$2:$J$10,MATCH(B155,'01_Benchmark_Input'!$A$2:$A$10,0))</f>
        <v/>
      </c>
      <c r="V155" s="10">
        <f>'02_Inputs'!K155</f>
        <v/>
      </c>
      <c r="W155" s="12">
        <f>N155*R155+O155*S155+P155*T155+Q155*U155</f>
        <v/>
      </c>
      <c r="X155" s="12">
        <f>W155*V155</f>
        <v/>
      </c>
      <c r="Y155" s="12">
        <f>L155*1000*X155*86400</f>
        <v/>
      </c>
      <c r="Z155" s="12">
        <f>Y155*365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'02_GPU_Mix_Input'!D156</f>
        <v/>
      </c>
      <c r="O156" s="10">
        <f>'02_GPU_Mix_Input'!E156</f>
        <v/>
      </c>
      <c r="P156" s="10">
        <f>'02_GPU_Mix_Input'!F156</f>
        <v/>
      </c>
      <c r="Q156" s="10">
        <f>'02_GPU_Mix_Input'!G156</f>
        <v/>
      </c>
      <c r="R156" s="12">
        <f>INDEX('01_Benchmark_Input'!$D$2:$D$10,MATCH(B156,'01_Benchmark_Input'!$A$2:$A$10,0))</f>
        <v/>
      </c>
      <c r="S156" s="12">
        <f>INDEX('01_Benchmark_Input'!$F$2:$F$10,MATCH(B156,'01_Benchmark_Input'!$A$2:$A$10,0))</f>
        <v/>
      </c>
      <c r="T156" s="12">
        <f>INDEX('01_Benchmark_Input'!$H$2:$H$10,MATCH(B156,'01_Benchmark_Input'!$A$2:$A$10,0))</f>
        <v/>
      </c>
      <c r="U156" s="12">
        <f>INDEX('01_Benchmark_Input'!$J$2:$J$10,MATCH(B156,'01_Benchmark_Input'!$A$2:$A$10,0))</f>
        <v/>
      </c>
      <c r="V156" s="10">
        <f>'02_Inputs'!K156</f>
        <v/>
      </c>
      <c r="W156" s="12">
        <f>N156*R156+O156*S156+P156*T156+Q156*U156</f>
        <v/>
      </c>
      <c r="X156" s="12">
        <f>W156*V156</f>
        <v/>
      </c>
      <c r="Y156" s="12">
        <f>L156*1000*X156*86400</f>
        <v/>
      </c>
      <c r="Z156" s="12">
        <f>Y156*365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'02_GPU_Mix_Input'!D157</f>
        <v/>
      </c>
      <c r="O157" s="10">
        <f>'02_GPU_Mix_Input'!E157</f>
        <v/>
      </c>
      <c r="P157" s="10">
        <f>'02_GPU_Mix_Input'!F157</f>
        <v/>
      </c>
      <c r="Q157" s="10">
        <f>'02_GPU_Mix_Input'!G157</f>
        <v/>
      </c>
      <c r="R157" s="12">
        <f>INDEX('01_Benchmark_Input'!$D$2:$D$10,MATCH(B157,'01_Benchmark_Input'!$A$2:$A$10,0))</f>
        <v/>
      </c>
      <c r="S157" s="12">
        <f>INDEX('01_Benchmark_Input'!$F$2:$F$10,MATCH(B157,'01_Benchmark_Input'!$A$2:$A$10,0))</f>
        <v/>
      </c>
      <c r="T157" s="12">
        <f>INDEX('01_Benchmark_Input'!$H$2:$H$10,MATCH(B157,'01_Benchmark_Input'!$A$2:$A$10,0))</f>
        <v/>
      </c>
      <c r="U157" s="12">
        <f>INDEX('01_Benchmark_Input'!$J$2:$J$10,MATCH(B157,'01_Benchmark_Input'!$A$2:$A$10,0))</f>
        <v/>
      </c>
      <c r="V157" s="10">
        <f>'02_Inputs'!K157</f>
        <v/>
      </c>
      <c r="W157" s="12">
        <f>N157*R157+O157*S157+P157*T157+Q157*U157</f>
        <v/>
      </c>
      <c r="X157" s="12">
        <f>W157*V157</f>
        <v/>
      </c>
      <c r="Y157" s="12">
        <f>L157*1000*X157*86400</f>
        <v/>
      </c>
      <c r="Z157" s="12">
        <f>Y157*365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'02_GPU_Mix_Input'!D158</f>
        <v/>
      </c>
      <c r="O158" s="10">
        <f>'02_GPU_Mix_Input'!E158</f>
        <v/>
      </c>
      <c r="P158" s="10">
        <f>'02_GPU_Mix_Input'!F158</f>
        <v/>
      </c>
      <c r="Q158" s="10">
        <f>'02_GPU_Mix_Input'!G158</f>
        <v/>
      </c>
      <c r="R158" s="12">
        <f>INDEX('01_Benchmark_Input'!$D$2:$D$10,MATCH(B158,'01_Benchmark_Input'!$A$2:$A$10,0))</f>
        <v/>
      </c>
      <c r="S158" s="12">
        <f>INDEX('01_Benchmark_Input'!$F$2:$F$10,MATCH(B158,'01_Benchmark_Input'!$A$2:$A$10,0))</f>
        <v/>
      </c>
      <c r="T158" s="12">
        <f>INDEX('01_Benchmark_Input'!$H$2:$H$10,MATCH(B158,'01_Benchmark_Input'!$A$2:$A$10,0))</f>
        <v/>
      </c>
      <c r="U158" s="12">
        <f>INDEX('01_Benchmark_Input'!$J$2:$J$10,MATCH(B158,'01_Benchmark_Input'!$A$2:$A$10,0))</f>
        <v/>
      </c>
      <c r="V158" s="10">
        <f>'02_Inputs'!K158</f>
        <v/>
      </c>
      <c r="W158" s="12">
        <f>N158*R158+O158*S158+P158*T158+Q158*U158</f>
        <v/>
      </c>
      <c r="X158" s="12">
        <f>W158*V158</f>
        <v/>
      </c>
      <c r="Y158" s="12">
        <f>L158*1000*X158*86400</f>
        <v/>
      </c>
      <c r="Z158" s="12">
        <f>Y158*365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'02_GPU_Mix_Input'!D159</f>
        <v/>
      </c>
      <c r="O159" s="10">
        <f>'02_GPU_Mix_Input'!E159</f>
        <v/>
      </c>
      <c r="P159" s="10">
        <f>'02_GPU_Mix_Input'!F159</f>
        <v/>
      </c>
      <c r="Q159" s="10">
        <f>'02_GPU_Mix_Input'!G159</f>
        <v/>
      </c>
      <c r="R159" s="12">
        <f>INDEX('01_Benchmark_Input'!$D$2:$D$10,MATCH(B159,'01_Benchmark_Input'!$A$2:$A$10,0))</f>
        <v/>
      </c>
      <c r="S159" s="12">
        <f>INDEX('01_Benchmark_Input'!$F$2:$F$10,MATCH(B159,'01_Benchmark_Input'!$A$2:$A$10,0))</f>
        <v/>
      </c>
      <c r="T159" s="12">
        <f>INDEX('01_Benchmark_Input'!$H$2:$H$10,MATCH(B159,'01_Benchmark_Input'!$A$2:$A$10,0))</f>
        <v/>
      </c>
      <c r="U159" s="12">
        <f>INDEX('01_Benchmark_Input'!$J$2:$J$10,MATCH(B159,'01_Benchmark_Input'!$A$2:$A$10,0))</f>
        <v/>
      </c>
      <c r="V159" s="10">
        <f>'02_Inputs'!K159</f>
        <v/>
      </c>
      <c r="W159" s="12">
        <f>N159*R159+O159*S159+P159*T159+Q159*U159</f>
        <v/>
      </c>
      <c r="X159" s="12">
        <f>W159*V159</f>
        <v/>
      </c>
      <c r="Y159" s="12">
        <f>L159*1000*X159*86400</f>
        <v/>
      </c>
      <c r="Z159" s="12">
        <f>Y159*365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'02_GPU_Mix_Input'!D160</f>
        <v/>
      </c>
      <c r="O160" s="10">
        <f>'02_GPU_Mix_Input'!E160</f>
        <v/>
      </c>
      <c r="P160" s="10">
        <f>'02_GPU_Mix_Input'!F160</f>
        <v/>
      </c>
      <c r="Q160" s="10">
        <f>'02_GPU_Mix_Input'!G160</f>
        <v/>
      </c>
      <c r="R160" s="12">
        <f>INDEX('01_Benchmark_Input'!$D$2:$D$10,MATCH(B160,'01_Benchmark_Input'!$A$2:$A$10,0))</f>
        <v/>
      </c>
      <c r="S160" s="12">
        <f>INDEX('01_Benchmark_Input'!$F$2:$F$10,MATCH(B160,'01_Benchmark_Input'!$A$2:$A$10,0))</f>
        <v/>
      </c>
      <c r="T160" s="12">
        <f>INDEX('01_Benchmark_Input'!$H$2:$H$10,MATCH(B160,'01_Benchmark_Input'!$A$2:$A$10,0))</f>
        <v/>
      </c>
      <c r="U160" s="12">
        <f>INDEX('01_Benchmark_Input'!$J$2:$J$10,MATCH(B160,'01_Benchmark_Input'!$A$2:$A$10,0))</f>
        <v/>
      </c>
      <c r="V160" s="10">
        <f>'02_Inputs'!K160</f>
        <v/>
      </c>
      <c r="W160" s="12">
        <f>N160*R160+O160*S160+P160*T160+Q160*U160</f>
        <v/>
      </c>
      <c r="X160" s="12">
        <f>W160*V160</f>
        <v/>
      </c>
      <c r="Y160" s="12">
        <f>L160*1000*X160*86400</f>
        <v/>
      </c>
      <c r="Z160" s="12">
        <f>Y160*365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'02_GPU_Mix_Input'!D161</f>
        <v/>
      </c>
      <c r="O161" s="10">
        <f>'02_GPU_Mix_Input'!E161</f>
        <v/>
      </c>
      <c r="P161" s="10">
        <f>'02_GPU_Mix_Input'!F161</f>
        <v/>
      </c>
      <c r="Q161" s="10">
        <f>'02_GPU_Mix_Input'!G161</f>
        <v/>
      </c>
      <c r="R161" s="12">
        <f>INDEX('01_Benchmark_Input'!$D$2:$D$10,MATCH(B161,'01_Benchmark_Input'!$A$2:$A$10,0))</f>
        <v/>
      </c>
      <c r="S161" s="12">
        <f>INDEX('01_Benchmark_Input'!$F$2:$F$10,MATCH(B161,'01_Benchmark_Input'!$A$2:$A$10,0))</f>
        <v/>
      </c>
      <c r="T161" s="12">
        <f>INDEX('01_Benchmark_Input'!$H$2:$H$10,MATCH(B161,'01_Benchmark_Input'!$A$2:$A$10,0))</f>
        <v/>
      </c>
      <c r="U161" s="12">
        <f>INDEX('01_Benchmark_Input'!$J$2:$J$10,MATCH(B161,'01_Benchmark_Input'!$A$2:$A$10,0))</f>
        <v/>
      </c>
      <c r="V161" s="10">
        <f>'02_Inputs'!K161</f>
        <v/>
      </c>
      <c r="W161" s="12">
        <f>N161*R161+O161*S161+P161*T161+Q161*U161</f>
        <v/>
      </c>
      <c r="X161" s="12">
        <f>W161*V161</f>
        <v/>
      </c>
      <c r="Y161" s="12">
        <f>L161*1000*X161*86400</f>
        <v/>
      </c>
      <c r="Z161" s="12">
        <f>Y161*365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'02_GPU_Mix_Input'!D162</f>
        <v/>
      </c>
      <c r="O162" s="10">
        <f>'02_GPU_Mix_Input'!E162</f>
        <v/>
      </c>
      <c r="P162" s="10">
        <f>'02_GPU_Mix_Input'!F162</f>
        <v/>
      </c>
      <c r="Q162" s="10">
        <f>'02_GPU_Mix_Input'!G162</f>
        <v/>
      </c>
      <c r="R162" s="12">
        <f>INDEX('01_Benchmark_Input'!$D$2:$D$10,MATCH(B162,'01_Benchmark_Input'!$A$2:$A$10,0))</f>
        <v/>
      </c>
      <c r="S162" s="12">
        <f>INDEX('01_Benchmark_Input'!$F$2:$F$10,MATCH(B162,'01_Benchmark_Input'!$A$2:$A$10,0))</f>
        <v/>
      </c>
      <c r="T162" s="12">
        <f>INDEX('01_Benchmark_Input'!$H$2:$H$10,MATCH(B162,'01_Benchmark_Input'!$A$2:$A$10,0))</f>
        <v/>
      </c>
      <c r="U162" s="12">
        <f>INDEX('01_Benchmark_Input'!$J$2:$J$10,MATCH(B162,'01_Benchmark_Input'!$A$2:$A$10,0))</f>
        <v/>
      </c>
      <c r="V162" s="10">
        <f>'02_Inputs'!K162</f>
        <v/>
      </c>
      <c r="W162" s="12">
        <f>N162*R162+O162*S162+P162*T162+Q162*U162</f>
        <v/>
      </c>
      <c r="X162" s="12">
        <f>W162*V162</f>
        <v/>
      </c>
      <c r="Y162" s="12">
        <f>L162*1000*X162*86400</f>
        <v/>
      </c>
      <c r="Z162" s="12">
        <f>Y162*365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'02_GPU_Mix_Input'!D163</f>
        <v/>
      </c>
      <c r="O163" s="10">
        <f>'02_GPU_Mix_Input'!E163</f>
        <v/>
      </c>
      <c r="P163" s="10">
        <f>'02_GPU_Mix_Input'!F163</f>
        <v/>
      </c>
      <c r="Q163" s="10">
        <f>'02_GPU_Mix_Input'!G163</f>
        <v/>
      </c>
      <c r="R163" s="12">
        <f>INDEX('01_Benchmark_Input'!$D$2:$D$10,MATCH(B163,'01_Benchmark_Input'!$A$2:$A$10,0))</f>
        <v/>
      </c>
      <c r="S163" s="12">
        <f>INDEX('01_Benchmark_Input'!$F$2:$F$10,MATCH(B163,'01_Benchmark_Input'!$A$2:$A$10,0))</f>
        <v/>
      </c>
      <c r="T163" s="12">
        <f>INDEX('01_Benchmark_Input'!$H$2:$H$10,MATCH(B163,'01_Benchmark_Input'!$A$2:$A$10,0))</f>
        <v/>
      </c>
      <c r="U163" s="12">
        <f>INDEX('01_Benchmark_Input'!$J$2:$J$10,MATCH(B163,'01_Benchmark_Input'!$A$2:$A$10,0))</f>
        <v/>
      </c>
      <c r="V163" s="10">
        <f>'02_Inputs'!K163</f>
        <v/>
      </c>
      <c r="W163" s="12">
        <f>N163*R163+O163*S163+P163*T163+Q163*U163</f>
        <v/>
      </c>
      <c r="X163" s="12">
        <f>W163*V163</f>
        <v/>
      </c>
      <c r="Y163" s="12">
        <f>L163*1000*X163*86400</f>
        <v/>
      </c>
      <c r="Z163" s="12">
        <f>Y163*365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'02_GPU_Mix_Input'!D164</f>
        <v/>
      </c>
      <c r="O164" s="10">
        <f>'02_GPU_Mix_Input'!E164</f>
        <v/>
      </c>
      <c r="P164" s="10">
        <f>'02_GPU_Mix_Input'!F164</f>
        <v/>
      </c>
      <c r="Q164" s="10">
        <f>'02_GPU_Mix_Input'!G164</f>
        <v/>
      </c>
      <c r="R164" s="12">
        <f>INDEX('01_Benchmark_Input'!$D$2:$D$10,MATCH(B164,'01_Benchmark_Input'!$A$2:$A$10,0))</f>
        <v/>
      </c>
      <c r="S164" s="12">
        <f>INDEX('01_Benchmark_Input'!$F$2:$F$10,MATCH(B164,'01_Benchmark_Input'!$A$2:$A$10,0))</f>
        <v/>
      </c>
      <c r="T164" s="12">
        <f>INDEX('01_Benchmark_Input'!$H$2:$H$10,MATCH(B164,'01_Benchmark_Input'!$A$2:$A$10,0))</f>
        <v/>
      </c>
      <c r="U164" s="12">
        <f>INDEX('01_Benchmark_Input'!$J$2:$J$10,MATCH(B164,'01_Benchmark_Input'!$A$2:$A$10,0))</f>
        <v/>
      </c>
      <c r="V164" s="10">
        <f>'02_Inputs'!K164</f>
        <v/>
      </c>
      <c r="W164" s="12">
        <f>N164*R164+O164*S164+P164*T164+Q164*U164</f>
        <v/>
      </c>
      <c r="X164" s="12">
        <f>W164*V164</f>
        <v/>
      </c>
      <c r="Y164" s="12">
        <f>L164*1000*X164*86400</f>
        <v/>
      </c>
      <c r="Z164" s="12">
        <f>Y164*365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'02_GPU_Mix_Input'!D165</f>
        <v/>
      </c>
      <c r="O165" s="10">
        <f>'02_GPU_Mix_Input'!E165</f>
        <v/>
      </c>
      <c r="P165" s="10">
        <f>'02_GPU_Mix_Input'!F165</f>
        <v/>
      </c>
      <c r="Q165" s="10">
        <f>'02_GPU_Mix_Input'!G165</f>
        <v/>
      </c>
      <c r="R165" s="12">
        <f>INDEX('01_Benchmark_Input'!$D$2:$D$10,MATCH(B165,'01_Benchmark_Input'!$A$2:$A$10,0))</f>
        <v/>
      </c>
      <c r="S165" s="12">
        <f>INDEX('01_Benchmark_Input'!$F$2:$F$10,MATCH(B165,'01_Benchmark_Input'!$A$2:$A$10,0))</f>
        <v/>
      </c>
      <c r="T165" s="12">
        <f>INDEX('01_Benchmark_Input'!$H$2:$H$10,MATCH(B165,'01_Benchmark_Input'!$A$2:$A$10,0))</f>
        <v/>
      </c>
      <c r="U165" s="12">
        <f>INDEX('01_Benchmark_Input'!$J$2:$J$10,MATCH(B165,'01_Benchmark_Input'!$A$2:$A$10,0))</f>
        <v/>
      </c>
      <c r="V165" s="10">
        <f>'02_Inputs'!K165</f>
        <v/>
      </c>
      <c r="W165" s="12">
        <f>N165*R165+O165*S165+P165*T165+Q165*U165</f>
        <v/>
      </c>
      <c r="X165" s="12">
        <f>W165*V165</f>
        <v/>
      </c>
      <c r="Y165" s="12">
        <f>L165*1000*X165*86400</f>
        <v/>
      </c>
      <c r="Z165" s="12">
        <f>Y165*365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'02_GPU_Mix_Input'!D166</f>
        <v/>
      </c>
      <c r="O166" s="10">
        <f>'02_GPU_Mix_Input'!E166</f>
        <v/>
      </c>
      <c r="P166" s="10">
        <f>'02_GPU_Mix_Input'!F166</f>
        <v/>
      </c>
      <c r="Q166" s="10">
        <f>'02_GPU_Mix_Input'!G166</f>
        <v/>
      </c>
      <c r="R166" s="12">
        <f>INDEX('01_Benchmark_Input'!$D$2:$D$10,MATCH(B166,'01_Benchmark_Input'!$A$2:$A$10,0))</f>
        <v/>
      </c>
      <c r="S166" s="12">
        <f>INDEX('01_Benchmark_Input'!$F$2:$F$10,MATCH(B166,'01_Benchmark_Input'!$A$2:$A$10,0))</f>
        <v/>
      </c>
      <c r="T166" s="12">
        <f>INDEX('01_Benchmark_Input'!$H$2:$H$10,MATCH(B166,'01_Benchmark_Input'!$A$2:$A$10,0))</f>
        <v/>
      </c>
      <c r="U166" s="12">
        <f>INDEX('01_Benchmark_Input'!$J$2:$J$10,MATCH(B166,'01_Benchmark_Input'!$A$2:$A$10,0))</f>
        <v/>
      </c>
      <c r="V166" s="10">
        <f>'02_Inputs'!K166</f>
        <v/>
      </c>
      <c r="W166" s="12">
        <f>N166*R166+O166*S166+P166*T166+Q166*U166</f>
        <v/>
      </c>
      <c r="X166" s="12">
        <f>W166*V166</f>
        <v/>
      </c>
      <c r="Y166" s="12">
        <f>L166*1000*X166*86400</f>
        <v/>
      </c>
      <c r="Z166" s="12">
        <f>Y166*365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'02_GPU_Mix_Input'!D167</f>
        <v/>
      </c>
      <c r="O167" s="10">
        <f>'02_GPU_Mix_Input'!E167</f>
        <v/>
      </c>
      <c r="P167" s="10">
        <f>'02_GPU_Mix_Input'!F167</f>
        <v/>
      </c>
      <c r="Q167" s="10">
        <f>'02_GPU_Mix_Input'!G167</f>
        <v/>
      </c>
      <c r="R167" s="12">
        <f>INDEX('01_Benchmark_Input'!$D$2:$D$10,MATCH(B167,'01_Benchmark_Input'!$A$2:$A$10,0))</f>
        <v/>
      </c>
      <c r="S167" s="12">
        <f>INDEX('01_Benchmark_Input'!$F$2:$F$10,MATCH(B167,'01_Benchmark_Input'!$A$2:$A$10,0))</f>
        <v/>
      </c>
      <c r="T167" s="12">
        <f>INDEX('01_Benchmark_Input'!$H$2:$H$10,MATCH(B167,'01_Benchmark_Input'!$A$2:$A$10,0))</f>
        <v/>
      </c>
      <c r="U167" s="12">
        <f>INDEX('01_Benchmark_Input'!$J$2:$J$10,MATCH(B167,'01_Benchmark_Input'!$A$2:$A$10,0))</f>
        <v/>
      </c>
      <c r="V167" s="10">
        <f>'02_Inputs'!K167</f>
        <v/>
      </c>
      <c r="W167" s="12">
        <f>N167*R167+O167*S167+P167*T167+Q167*U167</f>
        <v/>
      </c>
      <c r="X167" s="12">
        <f>W167*V167</f>
        <v/>
      </c>
      <c r="Y167" s="12">
        <f>L167*1000*X167*86400</f>
        <v/>
      </c>
      <c r="Z167" s="12">
        <f>Y167*365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'02_GPU_Mix_Input'!D168</f>
        <v/>
      </c>
      <c r="O168" s="10">
        <f>'02_GPU_Mix_Input'!E168</f>
        <v/>
      </c>
      <c r="P168" s="10">
        <f>'02_GPU_Mix_Input'!F168</f>
        <v/>
      </c>
      <c r="Q168" s="10">
        <f>'02_GPU_Mix_Input'!G168</f>
        <v/>
      </c>
      <c r="R168" s="12">
        <f>INDEX('01_Benchmark_Input'!$D$2:$D$10,MATCH(B168,'01_Benchmark_Input'!$A$2:$A$10,0))</f>
        <v/>
      </c>
      <c r="S168" s="12">
        <f>INDEX('01_Benchmark_Input'!$F$2:$F$10,MATCH(B168,'01_Benchmark_Input'!$A$2:$A$10,0))</f>
        <v/>
      </c>
      <c r="T168" s="12">
        <f>INDEX('01_Benchmark_Input'!$H$2:$H$10,MATCH(B168,'01_Benchmark_Input'!$A$2:$A$10,0))</f>
        <v/>
      </c>
      <c r="U168" s="12">
        <f>INDEX('01_Benchmark_Input'!$J$2:$J$10,MATCH(B168,'01_Benchmark_Input'!$A$2:$A$10,0))</f>
        <v/>
      </c>
      <c r="V168" s="10">
        <f>'02_Inputs'!K168</f>
        <v/>
      </c>
      <c r="W168" s="12">
        <f>N168*R168+O168*S168+P168*T168+Q168*U168</f>
        <v/>
      </c>
      <c r="X168" s="12">
        <f>W168*V168</f>
        <v/>
      </c>
      <c r="Y168" s="12">
        <f>L168*1000*X168*86400</f>
        <v/>
      </c>
      <c r="Z168" s="12">
        <f>Y168*365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'02_GPU_Mix_Input'!D169</f>
        <v/>
      </c>
      <c r="O169" s="10">
        <f>'02_GPU_Mix_Input'!E169</f>
        <v/>
      </c>
      <c r="P169" s="10">
        <f>'02_GPU_Mix_Input'!F169</f>
        <v/>
      </c>
      <c r="Q169" s="10">
        <f>'02_GPU_Mix_Input'!G169</f>
        <v/>
      </c>
      <c r="R169" s="12">
        <f>INDEX('01_Benchmark_Input'!$D$2:$D$10,MATCH(B169,'01_Benchmark_Input'!$A$2:$A$10,0))</f>
        <v/>
      </c>
      <c r="S169" s="12">
        <f>INDEX('01_Benchmark_Input'!$F$2:$F$10,MATCH(B169,'01_Benchmark_Input'!$A$2:$A$10,0))</f>
        <v/>
      </c>
      <c r="T169" s="12">
        <f>INDEX('01_Benchmark_Input'!$H$2:$H$10,MATCH(B169,'01_Benchmark_Input'!$A$2:$A$10,0))</f>
        <v/>
      </c>
      <c r="U169" s="12">
        <f>INDEX('01_Benchmark_Input'!$J$2:$J$10,MATCH(B169,'01_Benchmark_Input'!$A$2:$A$10,0))</f>
        <v/>
      </c>
      <c r="V169" s="10">
        <f>'02_Inputs'!K169</f>
        <v/>
      </c>
      <c r="W169" s="12">
        <f>N169*R169+O169*S169+P169*T169+Q169*U169</f>
        <v/>
      </c>
      <c r="X169" s="12">
        <f>W169*V169</f>
        <v/>
      </c>
      <c r="Y169" s="12">
        <f>L169*1000*X169*86400</f>
        <v/>
      </c>
      <c r="Z169" s="12">
        <f>Y169*365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'02_GPU_Mix_Input'!D170</f>
        <v/>
      </c>
      <c r="O170" s="10">
        <f>'02_GPU_Mix_Input'!E170</f>
        <v/>
      </c>
      <c r="P170" s="10">
        <f>'02_GPU_Mix_Input'!F170</f>
        <v/>
      </c>
      <c r="Q170" s="10">
        <f>'02_GPU_Mix_Input'!G170</f>
        <v/>
      </c>
      <c r="R170" s="12">
        <f>INDEX('01_Benchmark_Input'!$D$2:$D$10,MATCH(B170,'01_Benchmark_Input'!$A$2:$A$10,0))</f>
        <v/>
      </c>
      <c r="S170" s="12">
        <f>INDEX('01_Benchmark_Input'!$F$2:$F$10,MATCH(B170,'01_Benchmark_Input'!$A$2:$A$10,0))</f>
        <v/>
      </c>
      <c r="T170" s="12">
        <f>INDEX('01_Benchmark_Input'!$H$2:$H$10,MATCH(B170,'01_Benchmark_Input'!$A$2:$A$10,0))</f>
        <v/>
      </c>
      <c r="U170" s="12">
        <f>INDEX('01_Benchmark_Input'!$J$2:$J$10,MATCH(B170,'01_Benchmark_Input'!$A$2:$A$10,0))</f>
        <v/>
      </c>
      <c r="V170" s="10">
        <f>'02_Inputs'!K170</f>
        <v/>
      </c>
      <c r="W170" s="12">
        <f>N170*R170+O170*S170+P170*T170+Q170*U170</f>
        <v/>
      </c>
      <c r="X170" s="12">
        <f>W170*V170</f>
        <v/>
      </c>
      <c r="Y170" s="12">
        <f>L170*1000*X170*86400</f>
        <v/>
      </c>
      <c r="Z170" s="12">
        <f>Y170*365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'02_GPU_Mix_Input'!D171</f>
        <v/>
      </c>
      <c r="O171" s="10">
        <f>'02_GPU_Mix_Input'!E171</f>
        <v/>
      </c>
      <c r="P171" s="10">
        <f>'02_GPU_Mix_Input'!F171</f>
        <v/>
      </c>
      <c r="Q171" s="10">
        <f>'02_GPU_Mix_Input'!G171</f>
        <v/>
      </c>
      <c r="R171" s="12">
        <f>INDEX('01_Benchmark_Input'!$D$2:$D$10,MATCH(B171,'01_Benchmark_Input'!$A$2:$A$10,0))</f>
        <v/>
      </c>
      <c r="S171" s="12">
        <f>INDEX('01_Benchmark_Input'!$F$2:$F$10,MATCH(B171,'01_Benchmark_Input'!$A$2:$A$10,0))</f>
        <v/>
      </c>
      <c r="T171" s="12">
        <f>INDEX('01_Benchmark_Input'!$H$2:$H$10,MATCH(B171,'01_Benchmark_Input'!$A$2:$A$10,0))</f>
        <v/>
      </c>
      <c r="U171" s="12">
        <f>INDEX('01_Benchmark_Input'!$J$2:$J$10,MATCH(B171,'01_Benchmark_Input'!$A$2:$A$10,0))</f>
        <v/>
      </c>
      <c r="V171" s="10">
        <f>'02_Inputs'!K171</f>
        <v/>
      </c>
      <c r="W171" s="12">
        <f>N171*R171+O171*S171+P171*T171+Q171*U171</f>
        <v/>
      </c>
      <c r="X171" s="12">
        <f>W171*V171</f>
        <v/>
      </c>
      <c r="Y171" s="12">
        <f>L171*1000*X171*86400</f>
        <v/>
      </c>
      <c r="Z171" s="12">
        <f>Y171*365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'02_GPU_Mix_Input'!D172</f>
        <v/>
      </c>
      <c r="O172" s="10">
        <f>'02_GPU_Mix_Input'!E172</f>
        <v/>
      </c>
      <c r="P172" s="10">
        <f>'02_GPU_Mix_Input'!F172</f>
        <v/>
      </c>
      <c r="Q172" s="10">
        <f>'02_GPU_Mix_Input'!G172</f>
        <v/>
      </c>
      <c r="R172" s="12">
        <f>INDEX('01_Benchmark_Input'!$D$2:$D$10,MATCH(B172,'01_Benchmark_Input'!$A$2:$A$10,0))</f>
        <v/>
      </c>
      <c r="S172" s="12">
        <f>INDEX('01_Benchmark_Input'!$F$2:$F$10,MATCH(B172,'01_Benchmark_Input'!$A$2:$A$10,0))</f>
        <v/>
      </c>
      <c r="T172" s="12">
        <f>INDEX('01_Benchmark_Input'!$H$2:$H$10,MATCH(B172,'01_Benchmark_Input'!$A$2:$A$10,0))</f>
        <v/>
      </c>
      <c r="U172" s="12">
        <f>INDEX('01_Benchmark_Input'!$J$2:$J$10,MATCH(B172,'01_Benchmark_Input'!$A$2:$A$10,0))</f>
        <v/>
      </c>
      <c r="V172" s="10">
        <f>'02_Inputs'!K172</f>
        <v/>
      </c>
      <c r="W172" s="12">
        <f>N172*R172+O172*S172+P172*T172+Q172*U172</f>
        <v/>
      </c>
      <c r="X172" s="12">
        <f>W172*V172</f>
        <v/>
      </c>
      <c r="Y172" s="12">
        <f>L172*1000*X172*86400</f>
        <v/>
      </c>
      <c r="Z172" s="12">
        <f>Y172*365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'02_GPU_Mix_Input'!D173</f>
        <v/>
      </c>
      <c r="O173" s="10">
        <f>'02_GPU_Mix_Input'!E173</f>
        <v/>
      </c>
      <c r="P173" s="10">
        <f>'02_GPU_Mix_Input'!F173</f>
        <v/>
      </c>
      <c r="Q173" s="10">
        <f>'02_GPU_Mix_Input'!G173</f>
        <v/>
      </c>
      <c r="R173" s="12">
        <f>INDEX('01_Benchmark_Input'!$D$2:$D$10,MATCH(B173,'01_Benchmark_Input'!$A$2:$A$10,0))</f>
        <v/>
      </c>
      <c r="S173" s="12">
        <f>INDEX('01_Benchmark_Input'!$F$2:$F$10,MATCH(B173,'01_Benchmark_Input'!$A$2:$A$10,0))</f>
        <v/>
      </c>
      <c r="T173" s="12">
        <f>INDEX('01_Benchmark_Input'!$H$2:$H$10,MATCH(B173,'01_Benchmark_Input'!$A$2:$A$10,0))</f>
        <v/>
      </c>
      <c r="U173" s="12">
        <f>INDEX('01_Benchmark_Input'!$J$2:$J$10,MATCH(B173,'01_Benchmark_Input'!$A$2:$A$10,0))</f>
        <v/>
      </c>
      <c r="V173" s="10">
        <f>'02_Inputs'!K173</f>
        <v/>
      </c>
      <c r="W173" s="12">
        <f>N173*R173+O173*S173+P173*T173+Q173*U173</f>
        <v/>
      </c>
      <c r="X173" s="12">
        <f>W173*V173</f>
        <v/>
      </c>
      <c r="Y173" s="12">
        <f>L173*1000*X173*86400</f>
        <v/>
      </c>
      <c r="Z173" s="12">
        <f>Y173*365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'02_GPU_Mix_Input'!D174</f>
        <v/>
      </c>
      <c r="O174" s="10">
        <f>'02_GPU_Mix_Input'!E174</f>
        <v/>
      </c>
      <c r="P174" s="10">
        <f>'02_GPU_Mix_Input'!F174</f>
        <v/>
      </c>
      <c r="Q174" s="10">
        <f>'02_GPU_Mix_Input'!G174</f>
        <v/>
      </c>
      <c r="R174" s="12">
        <f>INDEX('01_Benchmark_Input'!$D$2:$D$10,MATCH(B174,'01_Benchmark_Input'!$A$2:$A$10,0))</f>
        <v/>
      </c>
      <c r="S174" s="12">
        <f>INDEX('01_Benchmark_Input'!$F$2:$F$10,MATCH(B174,'01_Benchmark_Input'!$A$2:$A$10,0))</f>
        <v/>
      </c>
      <c r="T174" s="12">
        <f>INDEX('01_Benchmark_Input'!$H$2:$H$10,MATCH(B174,'01_Benchmark_Input'!$A$2:$A$10,0))</f>
        <v/>
      </c>
      <c r="U174" s="12">
        <f>INDEX('01_Benchmark_Input'!$J$2:$J$10,MATCH(B174,'01_Benchmark_Input'!$A$2:$A$10,0))</f>
        <v/>
      </c>
      <c r="V174" s="10">
        <f>'02_Inputs'!K174</f>
        <v/>
      </c>
      <c r="W174" s="12">
        <f>N174*R174+O174*S174+P174*T174+Q174*U174</f>
        <v/>
      </c>
      <c r="X174" s="12">
        <f>W174*V174</f>
        <v/>
      </c>
      <c r="Y174" s="12">
        <f>L174*1000*X174*86400</f>
        <v/>
      </c>
      <c r="Z174" s="12">
        <f>Y174*365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'02_GPU_Mix_Input'!D175</f>
        <v/>
      </c>
      <c r="O175" s="10">
        <f>'02_GPU_Mix_Input'!E175</f>
        <v/>
      </c>
      <c r="P175" s="10">
        <f>'02_GPU_Mix_Input'!F175</f>
        <v/>
      </c>
      <c r="Q175" s="10">
        <f>'02_GPU_Mix_Input'!G175</f>
        <v/>
      </c>
      <c r="R175" s="12">
        <f>INDEX('01_Benchmark_Input'!$D$2:$D$10,MATCH(B175,'01_Benchmark_Input'!$A$2:$A$10,0))</f>
        <v/>
      </c>
      <c r="S175" s="12">
        <f>INDEX('01_Benchmark_Input'!$F$2:$F$10,MATCH(B175,'01_Benchmark_Input'!$A$2:$A$10,0))</f>
        <v/>
      </c>
      <c r="T175" s="12">
        <f>INDEX('01_Benchmark_Input'!$H$2:$H$10,MATCH(B175,'01_Benchmark_Input'!$A$2:$A$10,0))</f>
        <v/>
      </c>
      <c r="U175" s="12">
        <f>INDEX('01_Benchmark_Input'!$J$2:$J$10,MATCH(B175,'01_Benchmark_Input'!$A$2:$A$10,0))</f>
        <v/>
      </c>
      <c r="V175" s="10">
        <f>'02_Inputs'!K175</f>
        <v/>
      </c>
      <c r="W175" s="12">
        <f>N175*R175+O175*S175+P175*T175+Q175*U175</f>
        <v/>
      </c>
      <c r="X175" s="12">
        <f>W175*V175</f>
        <v/>
      </c>
      <c r="Y175" s="12">
        <f>L175*1000*X175*86400</f>
        <v/>
      </c>
      <c r="Z175" s="12">
        <f>Y175*365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'02_GPU_Mix_Input'!D176</f>
        <v/>
      </c>
      <c r="O176" s="10">
        <f>'02_GPU_Mix_Input'!E176</f>
        <v/>
      </c>
      <c r="P176" s="10">
        <f>'02_GPU_Mix_Input'!F176</f>
        <v/>
      </c>
      <c r="Q176" s="10">
        <f>'02_GPU_Mix_Input'!G176</f>
        <v/>
      </c>
      <c r="R176" s="12">
        <f>INDEX('01_Benchmark_Input'!$D$2:$D$10,MATCH(B176,'01_Benchmark_Input'!$A$2:$A$10,0))</f>
        <v/>
      </c>
      <c r="S176" s="12">
        <f>INDEX('01_Benchmark_Input'!$F$2:$F$10,MATCH(B176,'01_Benchmark_Input'!$A$2:$A$10,0))</f>
        <v/>
      </c>
      <c r="T176" s="12">
        <f>INDEX('01_Benchmark_Input'!$H$2:$H$10,MATCH(B176,'01_Benchmark_Input'!$A$2:$A$10,0))</f>
        <v/>
      </c>
      <c r="U176" s="12">
        <f>INDEX('01_Benchmark_Input'!$J$2:$J$10,MATCH(B176,'01_Benchmark_Input'!$A$2:$A$10,0))</f>
        <v/>
      </c>
      <c r="V176" s="10">
        <f>'02_Inputs'!K176</f>
        <v/>
      </c>
      <c r="W176" s="12">
        <f>N176*R176+O176*S176+P176*T176+Q176*U176</f>
        <v/>
      </c>
      <c r="X176" s="12">
        <f>W176*V176</f>
        <v/>
      </c>
      <c r="Y176" s="12">
        <f>L176*1000*X176*86400</f>
        <v/>
      </c>
      <c r="Z176" s="12">
        <f>Y176*365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'02_GPU_Mix_Input'!D177</f>
        <v/>
      </c>
      <c r="O177" s="10">
        <f>'02_GPU_Mix_Input'!E177</f>
        <v/>
      </c>
      <c r="P177" s="10">
        <f>'02_GPU_Mix_Input'!F177</f>
        <v/>
      </c>
      <c r="Q177" s="10">
        <f>'02_GPU_Mix_Input'!G177</f>
        <v/>
      </c>
      <c r="R177" s="12">
        <f>INDEX('01_Benchmark_Input'!$D$2:$D$10,MATCH(B177,'01_Benchmark_Input'!$A$2:$A$10,0))</f>
        <v/>
      </c>
      <c r="S177" s="12">
        <f>INDEX('01_Benchmark_Input'!$F$2:$F$10,MATCH(B177,'01_Benchmark_Input'!$A$2:$A$10,0))</f>
        <v/>
      </c>
      <c r="T177" s="12">
        <f>INDEX('01_Benchmark_Input'!$H$2:$H$10,MATCH(B177,'01_Benchmark_Input'!$A$2:$A$10,0))</f>
        <v/>
      </c>
      <c r="U177" s="12">
        <f>INDEX('01_Benchmark_Input'!$J$2:$J$10,MATCH(B177,'01_Benchmark_Input'!$A$2:$A$10,0))</f>
        <v/>
      </c>
      <c r="V177" s="10">
        <f>'02_Inputs'!K177</f>
        <v/>
      </c>
      <c r="W177" s="12">
        <f>N177*R177+O177*S177+P177*T177+Q177*U177</f>
        <v/>
      </c>
      <c r="X177" s="12">
        <f>W177*V177</f>
        <v/>
      </c>
      <c r="Y177" s="12">
        <f>L177*1000*X177*86400</f>
        <v/>
      </c>
      <c r="Z177" s="12">
        <f>Y177*365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'02_GPU_Mix_Input'!D178</f>
        <v/>
      </c>
      <c r="O178" s="10">
        <f>'02_GPU_Mix_Input'!E178</f>
        <v/>
      </c>
      <c r="P178" s="10">
        <f>'02_GPU_Mix_Input'!F178</f>
        <v/>
      </c>
      <c r="Q178" s="10">
        <f>'02_GPU_Mix_Input'!G178</f>
        <v/>
      </c>
      <c r="R178" s="12">
        <f>INDEX('01_Benchmark_Input'!$D$2:$D$10,MATCH(B178,'01_Benchmark_Input'!$A$2:$A$10,0))</f>
        <v/>
      </c>
      <c r="S178" s="12">
        <f>INDEX('01_Benchmark_Input'!$F$2:$F$10,MATCH(B178,'01_Benchmark_Input'!$A$2:$A$10,0))</f>
        <v/>
      </c>
      <c r="T178" s="12">
        <f>INDEX('01_Benchmark_Input'!$H$2:$H$10,MATCH(B178,'01_Benchmark_Input'!$A$2:$A$10,0))</f>
        <v/>
      </c>
      <c r="U178" s="12">
        <f>INDEX('01_Benchmark_Input'!$J$2:$J$10,MATCH(B178,'01_Benchmark_Input'!$A$2:$A$10,0))</f>
        <v/>
      </c>
      <c r="V178" s="10">
        <f>'02_Inputs'!K178</f>
        <v/>
      </c>
      <c r="W178" s="12">
        <f>N178*R178+O178*S178+P178*T178+Q178*U178</f>
        <v/>
      </c>
      <c r="X178" s="12">
        <f>W178*V178</f>
        <v/>
      </c>
      <c r="Y178" s="12">
        <f>L178*1000*X178*86400</f>
        <v/>
      </c>
      <c r="Z178" s="12">
        <f>Y178*365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'02_GPU_Mix_Input'!D179</f>
        <v/>
      </c>
      <c r="O179" s="10">
        <f>'02_GPU_Mix_Input'!E179</f>
        <v/>
      </c>
      <c r="P179" s="10">
        <f>'02_GPU_Mix_Input'!F179</f>
        <v/>
      </c>
      <c r="Q179" s="10">
        <f>'02_GPU_Mix_Input'!G179</f>
        <v/>
      </c>
      <c r="R179" s="12">
        <f>INDEX('01_Benchmark_Input'!$D$2:$D$10,MATCH(B179,'01_Benchmark_Input'!$A$2:$A$10,0))</f>
        <v/>
      </c>
      <c r="S179" s="12">
        <f>INDEX('01_Benchmark_Input'!$F$2:$F$10,MATCH(B179,'01_Benchmark_Input'!$A$2:$A$10,0))</f>
        <v/>
      </c>
      <c r="T179" s="12">
        <f>INDEX('01_Benchmark_Input'!$H$2:$H$10,MATCH(B179,'01_Benchmark_Input'!$A$2:$A$10,0))</f>
        <v/>
      </c>
      <c r="U179" s="12">
        <f>INDEX('01_Benchmark_Input'!$J$2:$J$10,MATCH(B179,'01_Benchmark_Input'!$A$2:$A$10,0))</f>
        <v/>
      </c>
      <c r="V179" s="10">
        <f>'02_Inputs'!K179</f>
        <v/>
      </c>
      <c r="W179" s="12">
        <f>N179*R179+O179*S179+P179*T179+Q179*U179</f>
        <v/>
      </c>
      <c r="X179" s="12">
        <f>W179*V179</f>
        <v/>
      </c>
      <c r="Y179" s="12">
        <f>L179*1000*X179*86400</f>
        <v/>
      </c>
      <c r="Z179" s="12">
        <f>Y179*365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'02_GPU_Mix_Input'!D180</f>
        <v/>
      </c>
      <c r="O180" s="10">
        <f>'02_GPU_Mix_Input'!E180</f>
        <v/>
      </c>
      <c r="P180" s="10">
        <f>'02_GPU_Mix_Input'!F180</f>
        <v/>
      </c>
      <c r="Q180" s="10">
        <f>'02_GPU_Mix_Input'!G180</f>
        <v/>
      </c>
      <c r="R180" s="12">
        <f>INDEX('01_Benchmark_Input'!$D$2:$D$10,MATCH(B180,'01_Benchmark_Input'!$A$2:$A$10,0))</f>
        <v/>
      </c>
      <c r="S180" s="12">
        <f>INDEX('01_Benchmark_Input'!$F$2:$F$10,MATCH(B180,'01_Benchmark_Input'!$A$2:$A$10,0))</f>
        <v/>
      </c>
      <c r="T180" s="12">
        <f>INDEX('01_Benchmark_Input'!$H$2:$H$10,MATCH(B180,'01_Benchmark_Input'!$A$2:$A$10,0))</f>
        <v/>
      </c>
      <c r="U180" s="12">
        <f>INDEX('01_Benchmark_Input'!$J$2:$J$10,MATCH(B180,'01_Benchmark_Input'!$A$2:$A$10,0))</f>
        <v/>
      </c>
      <c r="V180" s="10">
        <f>'02_Inputs'!K180</f>
        <v/>
      </c>
      <c r="W180" s="12">
        <f>N180*R180+O180*S180+P180*T180+Q180*U180</f>
        <v/>
      </c>
      <c r="X180" s="12">
        <f>W180*V180</f>
        <v/>
      </c>
      <c r="Y180" s="12">
        <f>L180*1000*X180*86400</f>
        <v/>
      </c>
      <c r="Z180" s="12">
        <f>Y180*365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'02_GPU_Mix_Input'!D181</f>
        <v/>
      </c>
      <c r="O181" s="10">
        <f>'02_GPU_Mix_Input'!E181</f>
        <v/>
      </c>
      <c r="P181" s="10">
        <f>'02_GPU_Mix_Input'!F181</f>
        <v/>
      </c>
      <c r="Q181" s="10">
        <f>'02_GPU_Mix_Input'!G181</f>
        <v/>
      </c>
      <c r="R181" s="12">
        <f>INDEX('01_Benchmark_Input'!$D$2:$D$10,MATCH(B181,'01_Benchmark_Input'!$A$2:$A$10,0))</f>
        <v/>
      </c>
      <c r="S181" s="12">
        <f>INDEX('01_Benchmark_Input'!$F$2:$F$10,MATCH(B181,'01_Benchmark_Input'!$A$2:$A$10,0))</f>
        <v/>
      </c>
      <c r="T181" s="12">
        <f>INDEX('01_Benchmark_Input'!$H$2:$H$10,MATCH(B181,'01_Benchmark_Input'!$A$2:$A$10,0))</f>
        <v/>
      </c>
      <c r="U181" s="12">
        <f>INDEX('01_Benchmark_Input'!$J$2:$J$10,MATCH(B181,'01_Benchmark_Input'!$A$2:$A$10,0))</f>
        <v/>
      </c>
      <c r="V181" s="10">
        <f>'02_Inputs'!K181</f>
        <v/>
      </c>
      <c r="W181" s="12">
        <f>N181*R181+O181*S181+P181*T181+Q181*U181</f>
        <v/>
      </c>
      <c r="X181" s="12">
        <f>W181*V181</f>
        <v/>
      </c>
      <c r="Y181" s="12">
        <f>L181*1000*X181*86400</f>
        <v/>
      </c>
      <c r="Z181" s="12">
        <f>Y181*365</f>
        <v/>
      </c>
    </row>
  </sheetData>
  <autoFilter ref="A1:Z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1">
        <f>SUMIFS('03_Calculation'!$Y$2:$Y$181,'03_Calculation'!$A$2:$A$181,"Base",'03_Calculation'!$B$2:$B$181,$A6,'03_Calculation'!$C$2:$C$181,B$5)/1000000000000000</f>
        <v/>
      </c>
      <c r="C6" s="11">
        <f>SUMIFS('03_Calculation'!$Y$2:$Y$181,'03_Calculation'!$A$2:$A$181,"Base",'03_Calculation'!$B$2:$B$181,$A6,'03_Calculation'!$C$2:$C$181,C$5)/1000000000000000</f>
        <v/>
      </c>
      <c r="D6" s="11">
        <f>SUMIFS('03_Calculation'!$Y$2:$Y$181,'03_Calculation'!$A$2:$A$181,"Base",'03_Calculation'!$B$2:$B$181,$A6,'03_Calculation'!$C$2:$C$181,D$5)/1000000000000000</f>
        <v/>
      </c>
      <c r="E6" s="11">
        <f>SUMIFS('03_Calculation'!$Y$2:$Y$181,'03_Calculation'!$A$2:$A$181,"Base",'03_Calculation'!$B$2:$B$181,$A6,'03_Calculation'!$C$2:$C$181,E$5)/1000000000000000</f>
        <v/>
      </c>
      <c r="F6" s="11">
        <f>SUMIFS('03_Calculation'!$Y$2:$Y$181,'03_Calculation'!$A$2:$A$181,"Base",'03_Calculation'!$B$2:$B$181,$A6,'03_Calculation'!$C$2:$C$181,F$5)/1000000000000000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1">
        <f>SUMIFS('03_Calculation'!$Y$2:$Y$181,'03_Calculation'!$A$2:$A$181,"Base",'03_Calculation'!$B$2:$B$181,$A7,'03_Calculation'!$C$2:$C$181,B$5)/1000000000000000</f>
        <v/>
      </c>
      <c r="C7" s="11">
        <f>SUMIFS('03_Calculation'!$Y$2:$Y$181,'03_Calculation'!$A$2:$A$181,"Base",'03_Calculation'!$B$2:$B$181,$A7,'03_Calculation'!$C$2:$C$181,C$5)/1000000000000000</f>
        <v/>
      </c>
      <c r="D7" s="11">
        <f>SUMIFS('03_Calculation'!$Y$2:$Y$181,'03_Calculation'!$A$2:$A$181,"Base",'03_Calculation'!$B$2:$B$181,$A7,'03_Calculation'!$C$2:$C$181,D$5)/1000000000000000</f>
        <v/>
      </c>
      <c r="E7" s="11">
        <f>SUMIFS('03_Calculation'!$Y$2:$Y$181,'03_Calculation'!$A$2:$A$181,"Base",'03_Calculation'!$B$2:$B$181,$A7,'03_Calculation'!$C$2:$C$181,E$5)/1000000000000000</f>
        <v/>
      </c>
      <c r="F7" s="11">
        <f>SUMIFS('03_Calculation'!$Y$2:$Y$181,'03_Calculation'!$A$2:$A$181,"Base",'03_Calculation'!$B$2:$B$181,$A7,'03_Calculation'!$C$2:$C$181,F$5)/1000000000000000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1">
        <f>SUMIFS('03_Calculation'!$Y$2:$Y$181,'03_Calculation'!$A$2:$A$181,"Base",'03_Calculation'!$B$2:$B$181,$A8,'03_Calculation'!$C$2:$C$181,B$5)/1000000000000000</f>
        <v/>
      </c>
      <c r="C8" s="11">
        <f>SUMIFS('03_Calculation'!$Y$2:$Y$181,'03_Calculation'!$A$2:$A$181,"Base",'03_Calculation'!$B$2:$B$181,$A8,'03_Calculation'!$C$2:$C$181,C$5)/1000000000000000</f>
        <v/>
      </c>
      <c r="D8" s="11">
        <f>SUMIFS('03_Calculation'!$Y$2:$Y$181,'03_Calculation'!$A$2:$A$181,"Base",'03_Calculation'!$B$2:$B$181,$A8,'03_Calculation'!$C$2:$C$181,D$5)/1000000000000000</f>
        <v/>
      </c>
      <c r="E8" s="11">
        <f>SUMIFS('03_Calculation'!$Y$2:$Y$181,'03_Calculation'!$A$2:$A$181,"Base",'03_Calculation'!$B$2:$B$181,$A8,'03_Calculation'!$C$2:$C$181,E$5)/1000000000000000</f>
        <v/>
      </c>
      <c r="F8" s="11">
        <f>SUMIFS('03_Calculation'!$Y$2:$Y$181,'03_Calculation'!$A$2:$A$181,"Base",'03_Calculation'!$B$2:$B$181,$A8,'03_Calculation'!$C$2:$C$181,F$5)/1000000000000000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1">
        <f>SUMIFS('03_Calculation'!$Y$2:$Y$181,'03_Calculation'!$A$2:$A$181,"Base",'03_Calculation'!$B$2:$B$181,$A9,'03_Calculation'!$C$2:$C$181,B$5)/1000000000000000</f>
        <v/>
      </c>
      <c r="C9" s="11">
        <f>SUMIFS('03_Calculation'!$Y$2:$Y$181,'03_Calculation'!$A$2:$A$181,"Base",'03_Calculation'!$B$2:$B$181,$A9,'03_Calculation'!$C$2:$C$181,C$5)/1000000000000000</f>
        <v/>
      </c>
      <c r="D9" s="11">
        <f>SUMIFS('03_Calculation'!$Y$2:$Y$181,'03_Calculation'!$A$2:$A$181,"Base",'03_Calculation'!$B$2:$B$181,$A9,'03_Calculation'!$C$2:$C$181,D$5)/1000000000000000</f>
        <v/>
      </c>
      <c r="E9" s="11">
        <f>SUMIFS('03_Calculation'!$Y$2:$Y$181,'03_Calculation'!$A$2:$A$181,"Base",'03_Calculation'!$B$2:$B$181,$A9,'03_Calculation'!$C$2:$C$181,E$5)/1000000000000000</f>
        <v/>
      </c>
      <c r="F9" s="11">
        <f>SUMIFS('03_Calculation'!$Y$2:$Y$181,'03_Calculation'!$A$2:$A$181,"Base",'03_Calculation'!$B$2:$B$181,$A9,'03_Calculation'!$C$2:$C$181,F$5)/1000000000000000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1">
        <f>SUMIFS('03_Calculation'!$Y$2:$Y$181,'03_Calculation'!$A$2:$A$181,"Base",'03_Calculation'!$B$2:$B$181,$A10,'03_Calculation'!$C$2:$C$181,B$5)/1000000000000000</f>
        <v/>
      </c>
      <c r="C10" s="11">
        <f>SUMIFS('03_Calculation'!$Y$2:$Y$181,'03_Calculation'!$A$2:$A$181,"Base",'03_Calculation'!$B$2:$B$181,$A10,'03_Calculation'!$C$2:$C$181,C$5)/1000000000000000</f>
        <v/>
      </c>
      <c r="D10" s="11">
        <f>SUMIFS('03_Calculation'!$Y$2:$Y$181,'03_Calculation'!$A$2:$A$181,"Base",'03_Calculation'!$B$2:$B$181,$A10,'03_Calculation'!$C$2:$C$181,D$5)/1000000000000000</f>
        <v/>
      </c>
      <c r="E10" s="11">
        <f>SUMIFS('03_Calculation'!$Y$2:$Y$181,'03_Calculation'!$A$2:$A$181,"Base",'03_Calculation'!$B$2:$B$181,$A10,'03_Calculation'!$C$2:$C$181,E$5)/1000000000000000</f>
        <v/>
      </c>
      <c r="F10" s="11">
        <f>SUMIFS('03_Calculation'!$Y$2:$Y$181,'03_Calculation'!$A$2:$A$181,"Base",'03_Calculation'!$B$2:$B$181,$A10,'03_Calculation'!$C$2:$C$181,F$5)/1000000000000000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1">
        <f>SUMIFS('03_Calculation'!$Y$2:$Y$181,'03_Calculation'!$A$2:$A$181,"Base",'03_Calculation'!$B$2:$B$181,$A11,'03_Calculation'!$C$2:$C$181,B$5)/1000000000000000</f>
        <v/>
      </c>
      <c r="C11" s="11">
        <f>SUMIFS('03_Calculation'!$Y$2:$Y$181,'03_Calculation'!$A$2:$A$181,"Base",'03_Calculation'!$B$2:$B$181,$A11,'03_Calculation'!$C$2:$C$181,C$5)/1000000000000000</f>
        <v/>
      </c>
      <c r="D11" s="11">
        <f>SUMIFS('03_Calculation'!$Y$2:$Y$181,'03_Calculation'!$A$2:$A$181,"Base",'03_Calculation'!$B$2:$B$181,$A11,'03_Calculation'!$C$2:$C$181,D$5)/1000000000000000</f>
        <v/>
      </c>
      <c r="E11" s="11">
        <f>SUMIFS('03_Calculation'!$Y$2:$Y$181,'03_Calculation'!$A$2:$A$181,"Base",'03_Calculation'!$B$2:$B$181,$A11,'03_Calculation'!$C$2:$C$181,E$5)/1000000000000000</f>
        <v/>
      </c>
      <c r="F11" s="11">
        <f>SUMIFS('03_Calculation'!$Y$2:$Y$181,'03_Calculation'!$A$2:$A$181,"Base",'03_Calculation'!$B$2:$B$181,$A11,'03_Calculation'!$C$2:$C$181,F$5)/1000000000000000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1">
        <f>SUMIFS('03_Calculation'!$Y$2:$Y$181,'03_Calculation'!$A$2:$A$181,"Base",'03_Calculation'!$B$2:$B$181,$A12,'03_Calculation'!$C$2:$C$181,B$5)/1000000000000000</f>
        <v/>
      </c>
      <c r="C12" s="11">
        <f>SUMIFS('03_Calculation'!$Y$2:$Y$181,'03_Calculation'!$A$2:$A$181,"Base",'03_Calculation'!$B$2:$B$181,$A12,'03_Calculation'!$C$2:$C$181,C$5)/1000000000000000</f>
        <v/>
      </c>
      <c r="D12" s="11">
        <f>SUMIFS('03_Calculation'!$Y$2:$Y$181,'03_Calculation'!$A$2:$A$181,"Base",'03_Calculation'!$B$2:$B$181,$A12,'03_Calculation'!$C$2:$C$181,D$5)/1000000000000000</f>
        <v/>
      </c>
      <c r="E12" s="11">
        <f>SUMIFS('03_Calculation'!$Y$2:$Y$181,'03_Calculation'!$A$2:$A$181,"Base",'03_Calculation'!$B$2:$B$181,$A12,'03_Calculation'!$C$2:$C$181,E$5)/1000000000000000</f>
        <v/>
      </c>
      <c r="F12" s="11">
        <f>SUMIFS('03_Calculation'!$Y$2:$Y$181,'03_Calculation'!$A$2:$A$181,"Base",'03_Calculation'!$B$2:$B$181,$A12,'03_Calculation'!$C$2:$C$181,F$5)/1000000000000000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1">
        <f>SUMIFS('03_Calculation'!$Y$2:$Y$181,'03_Calculation'!$A$2:$A$181,"Base",'03_Calculation'!$B$2:$B$181,$A13,'03_Calculation'!$C$2:$C$181,B$5)/1000000000000000</f>
        <v/>
      </c>
      <c r="C13" s="11">
        <f>SUMIFS('03_Calculation'!$Y$2:$Y$181,'03_Calculation'!$A$2:$A$181,"Base",'03_Calculation'!$B$2:$B$181,$A13,'03_Calculation'!$C$2:$C$181,C$5)/1000000000000000</f>
        <v/>
      </c>
      <c r="D13" s="11">
        <f>SUMIFS('03_Calculation'!$Y$2:$Y$181,'03_Calculation'!$A$2:$A$181,"Base",'03_Calculation'!$B$2:$B$181,$A13,'03_Calculation'!$C$2:$C$181,D$5)/1000000000000000</f>
        <v/>
      </c>
      <c r="E13" s="11">
        <f>SUMIFS('03_Calculation'!$Y$2:$Y$181,'03_Calculation'!$A$2:$A$181,"Base",'03_Calculation'!$B$2:$B$181,$A13,'03_Calculation'!$C$2:$C$181,E$5)/1000000000000000</f>
        <v/>
      </c>
      <c r="F13" s="11">
        <f>SUMIFS('03_Calculation'!$Y$2:$Y$181,'03_Calculation'!$A$2:$A$181,"Base",'03_Calculation'!$B$2:$B$181,$A13,'03_Calculation'!$C$2:$C$181,F$5)/1000000000000000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1">
        <f>SUMIFS('03_Calculation'!$Y$2:$Y$181,'03_Calculation'!$A$2:$A$181,"Base",'03_Calculation'!$B$2:$B$181,$A14,'03_Calculation'!$C$2:$C$181,B$5)/1000000000000000</f>
        <v/>
      </c>
      <c r="C14" s="11">
        <f>SUMIFS('03_Calculation'!$Y$2:$Y$181,'03_Calculation'!$A$2:$A$181,"Base",'03_Calculation'!$B$2:$B$181,$A14,'03_Calculation'!$C$2:$C$181,C$5)/1000000000000000</f>
        <v/>
      </c>
      <c r="D14" s="11">
        <f>SUMIFS('03_Calculation'!$Y$2:$Y$181,'03_Calculation'!$A$2:$A$181,"Base",'03_Calculation'!$B$2:$B$181,$A14,'03_Calculation'!$C$2:$C$181,D$5)/1000000000000000</f>
        <v/>
      </c>
      <c r="E14" s="11">
        <f>SUMIFS('03_Calculation'!$Y$2:$Y$181,'03_Calculation'!$A$2:$A$181,"Base",'03_Calculation'!$B$2:$B$181,$A14,'03_Calculation'!$C$2:$C$181,E$5)/1000000000000000</f>
        <v/>
      </c>
      <c r="F14" s="11">
        <f>SUMIFS('03_Calculation'!$Y$2:$Y$181,'03_Calculation'!$A$2:$A$181,"Base",'03_Calculation'!$B$2:$B$181,$A14,'03_Calculation'!$C$2:$C$181,F$5)/1000000000000000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1">
        <f>SUMIFS('03_Calculation'!$Z$2:$Z$181,'03_Calculation'!$A$2:$A$181,"Base",'03_Calculation'!$B$2:$B$181,$A19,'03_Calculation'!$C$2:$C$181,B$18)/1000000000000000</f>
        <v/>
      </c>
      <c r="C19" s="11">
        <f>SUMIFS('03_Calculation'!$Z$2:$Z$181,'03_Calculation'!$A$2:$A$181,"Base",'03_Calculation'!$B$2:$B$181,$A19,'03_Calculation'!$C$2:$C$181,C$18)/1000000000000000</f>
        <v/>
      </c>
      <c r="D19" s="11">
        <f>SUMIFS('03_Calculation'!$Z$2:$Z$181,'03_Calculation'!$A$2:$A$181,"Base",'03_Calculation'!$B$2:$B$181,$A19,'03_Calculation'!$C$2:$C$181,D$18)/1000000000000000</f>
        <v/>
      </c>
      <c r="E19" s="11">
        <f>SUMIFS('03_Calculation'!$Z$2:$Z$181,'03_Calculation'!$A$2:$A$181,"Base",'03_Calculation'!$B$2:$B$181,$A19,'03_Calculation'!$C$2:$C$181,E$18)/1000000000000000</f>
        <v/>
      </c>
      <c r="F19" s="11">
        <f>SUMIFS('03_Calculation'!$Z$2:$Z$181,'03_Calculation'!$A$2:$A$181,"Base",'03_Calculation'!$B$2:$B$181,$A19,'03_Calculation'!$C$2:$C$181,F$18)/1000000000000000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1">
        <f>SUMIFS('03_Calculation'!$Z$2:$Z$181,'03_Calculation'!$A$2:$A$181,"Base",'03_Calculation'!$B$2:$B$181,$A20,'03_Calculation'!$C$2:$C$181,B$18)/1000000000000000</f>
        <v/>
      </c>
      <c r="C20" s="11">
        <f>SUMIFS('03_Calculation'!$Z$2:$Z$181,'03_Calculation'!$A$2:$A$181,"Base",'03_Calculation'!$B$2:$B$181,$A20,'03_Calculation'!$C$2:$C$181,C$18)/1000000000000000</f>
        <v/>
      </c>
      <c r="D20" s="11">
        <f>SUMIFS('03_Calculation'!$Z$2:$Z$181,'03_Calculation'!$A$2:$A$181,"Base",'03_Calculation'!$B$2:$B$181,$A20,'03_Calculation'!$C$2:$C$181,D$18)/1000000000000000</f>
        <v/>
      </c>
      <c r="E20" s="11">
        <f>SUMIFS('03_Calculation'!$Z$2:$Z$181,'03_Calculation'!$A$2:$A$181,"Base",'03_Calculation'!$B$2:$B$181,$A20,'03_Calculation'!$C$2:$C$181,E$18)/1000000000000000</f>
        <v/>
      </c>
      <c r="F20" s="11">
        <f>SUMIFS('03_Calculation'!$Z$2:$Z$181,'03_Calculation'!$A$2:$A$181,"Base",'03_Calculation'!$B$2:$B$181,$A20,'03_Calculation'!$C$2:$C$181,F$18)/1000000000000000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1">
        <f>SUMIFS('03_Calculation'!$Z$2:$Z$181,'03_Calculation'!$A$2:$A$181,"Base",'03_Calculation'!$B$2:$B$181,$A21,'03_Calculation'!$C$2:$C$181,B$18)/1000000000000000</f>
        <v/>
      </c>
      <c r="C21" s="11">
        <f>SUMIFS('03_Calculation'!$Z$2:$Z$181,'03_Calculation'!$A$2:$A$181,"Base",'03_Calculation'!$B$2:$B$181,$A21,'03_Calculation'!$C$2:$C$181,C$18)/1000000000000000</f>
        <v/>
      </c>
      <c r="D21" s="11">
        <f>SUMIFS('03_Calculation'!$Z$2:$Z$181,'03_Calculation'!$A$2:$A$181,"Base",'03_Calculation'!$B$2:$B$181,$A21,'03_Calculation'!$C$2:$C$181,D$18)/1000000000000000</f>
        <v/>
      </c>
      <c r="E21" s="11">
        <f>SUMIFS('03_Calculation'!$Z$2:$Z$181,'03_Calculation'!$A$2:$A$181,"Base",'03_Calculation'!$B$2:$B$181,$A21,'03_Calculation'!$C$2:$C$181,E$18)/1000000000000000</f>
        <v/>
      </c>
      <c r="F21" s="11">
        <f>SUMIFS('03_Calculation'!$Z$2:$Z$181,'03_Calculation'!$A$2:$A$181,"Base",'03_Calculation'!$B$2:$B$181,$A21,'03_Calculation'!$C$2:$C$181,F$18)/1000000000000000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1">
        <f>SUMIFS('03_Calculation'!$Z$2:$Z$181,'03_Calculation'!$A$2:$A$181,"Base",'03_Calculation'!$B$2:$B$181,$A22,'03_Calculation'!$C$2:$C$181,B$18)/1000000000000000</f>
        <v/>
      </c>
      <c r="C22" s="11">
        <f>SUMIFS('03_Calculation'!$Z$2:$Z$181,'03_Calculation'!$A$2:$A$181,"Base",'03_Calculation'!$B$2:$B$181,$A22,'03_Calculation'!$C$2:$C$181,C$18)/1000000000000000</f>
        <v/>
      </c>
      <c r="D22" s="11">
        <f>SUMIFS('03_Calculation'!$Z$2:$Z$181,'03_Calculation'!$A$2:$A$181,"Base",'03_Calculation'!$B$2:$B$181,$A22,'03_Calculation'!$C$2:$C$181,D$18)/1000000000000000</f>
        <v/>
      </c>
      <c r="E22" s="11">
        <f>SUMIFS('03_Calculation'!$Z$2:$Z$181,'03_Calculation'!$A$2:$A$181,"Base",'03_Calculation'!$B$2:$B$181,$A22,'03_Calculation'!$C$2:$C$181,E$18)/1000000000000000</f>
        <v/>
      </c>
      <c r="F22" s="11">
        <f>SUMIFS('03_Calculation'!$Z$2:$Z$181,'03_Calculation'!$A$2:$A$181,"Base",'03_Calculation'!$B$2:$B$181,$A22,'03_Calculation'!$C$2:$C$181,F$18)/1000000000000000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1">
        <f>SUMIFS('03_Calculation'!$Z$2:$Z$181,'03_Calculation'!$A$2:$A$181,"Base",'03_Calculation'!$B$2:$B$181,$A23,'03_Calculation'!$C$2:$C$181,B$18)/1000000000000000</f>
        <v/>
      </c>
      <c r="C23" s="11">
        <f>SUMIFS('03_Calculation'!$Z$2:$Z$181,'03_Calculation'!$A$2:$A$181,"Base",'03_Calculation'!$B$2:$B$181,$A23,'03_Calculation'!$C$2:$C$181,C$18)/1000000000000000</f>
        <v/>
      </c>
      <c r="D23" s="11">
        <f>SUMIFS('03_Calculation'!$Z$2:$Z$181,'03_Calculation'!$A$2:$A$181,"Base",'03_Calculation'!$B$2:$B$181,$A23,'03_Calculation'!$C$2:$C$181,D$18)/1000000000000000</f>
        <v/>
      </c>
      <c r="E23" s="11">
        <f>SUMIFS('03_Calculation'!$Z$2:$Z$181,'03_Calculation'!$A$2:$A$181,"Base",'03_Calculation'!$B$2:$B$181,$A23,'03_Calculation'!$C$2:$C$181,E$18)/1000000000000000</f>
        <v/>
      </c>
      <c r="F23" s="11">
        <f>SUMIFS('03_Calculation'!$Z$2:$Z$181,'03_Calculation'!$A$2:$A$181,"Base",'03_Calculation'!$B$2:$B$181,$A23,'03_Calculation'!$C$2:$C$181,F$18)/1000000000000000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1">
        <f>SUMIFS('03_Calculation'!$Z$2:$Z$181,'03_Calculation'!$A$2:$A$181,"Base",'03_Calculation'!$B$2:$B$181,$A24,'03_Calculation'!$C$2:$C$181,B$18)/1000000000000000</f>
        <v/>
      </c>
      <c r="C24" s="11">
        <f>SUMIFS('03_Calculation'!$Z$2:$Z$181,'03_Calculation'!$A$2:$A$181,"Base",'03_Calculation'!$B$2:$B$181,$A24,'03_Calculation'!$C$2:$C$181,C$18)/1000000000000000</f>
        <v/>
      </c>
      <c r="D24" s="11">
        <f>SUMIFS('03_Calculation'!$Z$2:$Z$181,'03_Calculation'!$A$2:$A$181,"Base",'03_Calculation'!$B$2:$B$181,$A24,'03_Calculation'!$C$2:$C$181,D$18)/1000000000000000</f>
        <v/>
      </c>
      <c r="E24" s="11">
        <f>SUMIFS('03_Calculation'!$Z$2:$Z$181,'03_Calculation'!$A$2:$A$181,"Base",'03_Calculation'!$B$2:$B$181,$A24,'03_Calculation'!$C$2:$C$181,E$18)/1000000000000000</f>
        <v/>
      </c>
      <c r="F24" s="11">
        <f>SUMIFS('03_Calculation'!$Z$2:$Z$181,'03_Calculation'!$A$2:$A$181,"Base",'03_Calculation'!$B$2:$B$181,$A24,'03_Calculation'!$C$2:$C$181,F$18)/1000000000000000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1">
        <f>SUMIFS('03_Calculation'!$Z$2:$Z$181,'03_Calculation'!$A$2:$A$181,"Base",'03_Calculation'!$B$2:$B$181,$A25,'03_Calculation'!$C$2:$C$181,B$18)/1000000000000000</f>
        <v/>
      </c>
      <c r="C25" s="11">
        <f>SUMIFS('03_Calculation'!$Z$2:$Z$181,'03_Calculation'!$A$2:$A$181,"Base",'03_Calculation'!$B$2:$B$181,$A25,'03_Calculation'!$C$2:$C$181,C$18)/1000000000000000</f>
        <v/>
      </c>
      <c r="D25" s="11">
        <f>SUMIFS('03_Calculation'!$Z$2:$Z$181,'03_Calculation'!$A$2:$A$181,"Base",'03_Calculation'!$B$2:$B$181,$A25,'03_Calculation'!$C$2:$C$181,D$18)/1000000000000000</f>
        <v/>
      </c>
      <c r="E25" s="11">
        <f>SUMIFS('03_Calculation'!$Z$2:$Z$181,'03_Calculation'!$A$2:$A$181,"Base",'03_Calculation'!$B$2:$B$181,$A25,'03_Calculation'!$C$2:$C$181,E$18)/1000000000000000</f>
        <v/>
      </c>
      <c r="F25" s="11">
        <f>SUMIFS('03_Calculation'!$Z$2:$Z$181,'03_Calculation'!$A$2:$A$181,"Base",'03_Calculation'!$B$2:$B$181,$A25,'03_Calculation'!$C$2:$C$181,F$18)/1000000000000000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1">
        <f>SUMIFS('03_Calculation'!$Z$2:$Z$181,'03_Calculation'!$A$2:$A$181,"Base",'03_Calculation'!$B$2:$B$181,$A26,'03_Calculation'!$C$2:$C$181,B$18)/1000000000000000</f>
        <v/>
      </c>
      <c r="C26" s="11">
        <f>SUMIFS('03_Calculation'!$Z$2:$Z$181,'03_Calculation'!$A$2:$A$181,"Base",'03_Calculation'!$B$2:$B$181,$A26,'03_Calculation'!$C$2:$C$181,C$18)/1000000000000000</f>
        <v/>
      </c>
      <c r="D26" s="11">
        <f>SUMIFS('03_Calculation'!$Z$2:$Z$181,'03_Calculation'!$A$2:$A$181,"Base",'03_Calculation'!$B$2:$B$181,$A26,'03_Calculation'!$C$2:$C$181,D$18)/1000000000000000</f>
        <v/>
      </c>
      <c r="E26" s="11">
        <f>SUMIFS('03_Calculation'!$Z$2:$Z$181,'03_Calculation'!$A$2:$A$181,"Base",'03_Calculation'!$B$2:$B$181,$A26,'03_Calculation'!$C$2:$C$181,E$18)/1000000000000000</f>
        <v/>
      </c>
      <c r="F26" s="11">
        <f>SUMIFS('03_Calculation'!$Z$2:$Z$181,'03_Calculation'!$A$2:$A$181,"Base",'03_Calculation'!$B$2:$B$181,$A26,'03_Calculation'!$C$2:$C$181,F$18)/1000000000000000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1">
        <f>SUMIFS('03_Calculation'!$Z$2:$Z$181,'03_Calculation'!$A$2:$A$181,"Base",'03_Calculation'!$B$2:$B$181,$A27,'03_Calculation'!$C$2:$C$181,B$18)/1000000000000000</f>
        <v/>
      </c>
      <c r="C27" s="11">
        <f>SUMIFS('03_Calculation'!$Z$2:$Z$181,'03_Calculation'!$A$2:$A$181,"Base",'03_Calculation'!$B$2:$B$181,$A27,'03_Calculation'!$C$2:$C$181,C$18)/1000000000000000</f>
        <v/>
      </c>
      <c r="D27" s="11">
        <f>SUMIFS('03_Calculation'!$Z$2:$Z$181,'03_Calculation'!$A$2:$A$181,"Base",'03_Calculation'!$B$2:$B$181,$A27,'03_Calculation'!$C$2:$C$181,D$18)/1000000000000000</f>
        <v/>
      </c>
      <c r="E27" s="11">
        <f>SUMIFS('03_Calculation'!$Z$2:$Z$181,'03_Calculation'!$A$2:$A$181,"Base",'03_Calculation'!$B$2:$B$181,$A27,'03_Calculation'!$C$2:$C$181,E$18)/1000000000000000</f>
        <v/>
      </c>
      <c r="F27" s="11">
        <f>SUMIFS('03_Calculation'!$Z$2:$Z$181,'03_Calculation'!$A$2:$A$181,"Base",'03_Calculation'!$B$2:$B$181,$A27,'03_Calculation'!$C$2:$C$181,F$18)/1000000000000000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1">
        <f>SUMIFS('03_Calculation'!$Y$2:$Y$181,'03_Calculation'!$A$2:$A$181,$A32,'03_Calculation'!$C$2:$C$181,B$31)/1000000000000000</f>
        <v/>
      </c>
      <c r="C32" s="11">
        <f>SUMIFS('03_Calculation'!$Y$2:$Y$181,'03_Calculation'!$A$2:$A$181,$A32,'03_Calculation'!$C$2:$C$181,C$31)/1000000000000000</f>
        <v/>
      </c>
      <c r="D32" s="11">
        <f>SUMIFS('03_Calculation'!$Y$2:$Y$181,'03_Calculation'!$A$2:$A$181,$A32,'03_Calculation'!$C$2:$C$181,D$31)/1000000000000000</f>
        <v/>
      </c>
      <c r="E32" s="11">
        <f>SUMIFS('03_Calculation'!$Y$2:$Y$181,'03_Calculation'!$A$2:$A$181,$A32,'03_Calculation'!$C$2:$C$181,E$31)/1000000000000000</f>
        <v/>
      </c>
      <c r="F32" s="11">
        <f>SUMIFS('03_Calculation'!$Y$2:$Y$181,'03_Calculation'!$A$2:$A$181,$A32,'03_Calculation'!$C$2:$C$181,F$31)/1000000000000000</f>
        <v/>
      </c>
    </row>
    <row r="33">
      <c r="A33" s="3" t="inlineStr">
        <is>
          <t>Base</t>
        </is>
      </c>
      <c r="B33" s="11">
        <f>SUMIFS('03_Calculation'!$Y$2:$Y$181,'03_Calculation'!$A$2:$A$181,$A33,'03_Calculation'!$C$2:$C$181,B$31)/1000000000000000</f>
        <v/>
      </c>
      <c r="C33" s="11">
        <f>SUMIFS('03_Calculation'!$Y$2:$Y$181,'03_Calculation'!$A$2:$A$181,$A33,'03_Calculation'!$C$2:$C$181,C$31)/1000000000000000</f>
        <v/>
      </c>
      <c r="D33" s="11">
        <f>SUMIFS('03_Calculation'!$Y$2:$Y$181,'03_Calculation'!$A$2:$A$181,$A33,'03_Calculation'!$C$2:$C$181,D$31)/1000000000000000</f>
        <v/>
      </c>
      <c r="E33" s="11">
        <f>SUMIFS('03_Calculation'!$Y$2:$Y$181,'03_Calculation'!$A$2:$A$181,$A33,'03_Calculation'!$C$2:$C$181,E$31)/1000000000000000</f>
        <v/>
      </c>
      <c r="F33" s="11">
        <f>SUMIFS('03_Calculation'!$Y$2:$Y$181,'03_Calculation'!$A$2:$A$181,$A33,'03_Calculation'!$C$2:$C$181,F$31)/1000000000000000</f>
        <v/>
      </c>
    </row>
    <row r="34">
      <c r="A34" s="3" t="inlineStr">
        <is>
          <t>Bull</t>
        </is>
      </c>
      <c r="B34" s="11">
        <f>SUMIFS('03_Calculation'!$Y$2:$Y$181,'03_Calculation'!$A$2:$A$181,$A34,'03_Calculation'!$C$2:$C$181,B$31)/1000000000000000</f>
        <v/>
      </c>
      <c r="C34" s="11">
        <f>SUMIFS('03_Calculation'!$Y$2:$Y$181,'03_Calculation'!$A$2:$A$181,$A34,'03_Calculation'!$C$2:$C$181,C$31)/1000000000000000</f>
        <v/>
      </c>
      <c r="D34" s="11">
        <f>SUMIFS('03_Calculation'!$Y$2:$Y$181,'03_Calculation'!$A$2:$A$181,$A34,'03_Calculation'!$C$2:$C$181,D$31)/1000000000000000</f>
        <v/>
      </c>
      <c r="E34" s="11">
        <f>SUMIFS('03_Calculation'!$Y$2:$Y$181,'03_Calculation'!$A$2:$A$181,$A34,'03_Calculation'!$C$2:$C$181,E$31)/1000000000000000</f>
        <v/>
      </c>
      <c r="F34" s="11">
        <f>SUMIFS('03_Calculation'!$Y$2:$Y$181,'03_Calculation'!$A$2:$A$181,$A34,'03_Calculation'!$C$2:$C$181,F$31)/1000000000000000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1">
        <f>SUMIFS('03_Calculation'!$Y$2:$Y$181,'03_Calculation'!$A$2:$A$181,$A35,'03_Calculation'!$C$2:$C$181,B$31)/1000000000000000</f>
        <v/>
      </c>
      <c r="C35" s="11">
        <f>SUMIFS('03_Calculation'!$Y$2:$Y$181,'03_Calculation'!$A$2:$A$181,$A35,'03_Calculation'!$C$2:$C$181,C$31)/1000000000000000</f>
        <v/>
      </c>
      <c r="D35" s="11">
        <f>SUMIFS('03_Calculation'!$Y$2:$Y$181,'03_Calculation'!$A$2:$A$181,$A35,'03_Calculation'!$C$2:$C$181,D$31)/1000000000000000</f>
        <v/>
      </c>
      <c r="E35" s="11">
        <f>SUMIFS('03_Calculation'!$Y$2:$Y$181,'03_Calculation'!$A$2:$A$181,$A35,'03_Calculation'!$C$2:$C$181,E$31)/1000000000000000</f>
        <v/>
      </c>
      <c r="F35" s="11">
        <f>SUMIFS('03_Calculation'!$Y$2:$Y$181,'03_Calculation'!$A$2:$A$181,$A35,'03_Calculation'!$C$2:$C$181,F$31)/1000000000000000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1">
        <f>SUMIFS('03_Calculation'!$Z$2:$Z$181,'03_Calculation'!$A$2:$A$181,$A39,'03_Calculation'!$C$2:$C$181,B$38)/1000000000000000</f>
        <v/>
      </c>
      <c r="C39" s="11">
        <f>SUMIFS('03_Calculation'!$Z$2:$Z$181,'03_Calculation'!$A$2:$A$181,$A39,'03_Calculation'!$C$2:$C$181,C$38)/1000000000000000</f>
        <v/>
      </c>
      <c r="D39" s="11">
        <f>SUMIFS('03_Calculation'!$Z$2:$Z$181,'03_Calculation'!$A$2:$A$181,$A39,'03_Calculation'!$C$2:$C$181,D$38)/1000000000000000</f>
        <v/>
      </c>
      <c r="E39" s="11">
        <f>SUMIFS('03_Calculation'!$Z$2:$Z$181,'03_Calculation'!$A$2:$A$181,$A39,'03_Calculation'!$C$2:$C$181,E$38)/1000000000000000</f>
        <v/>
      </c>
      <c r="F39" s="11">
        <f>SUMIFS('03_Calculation'!$Z$2:$Z$181,'03_Calculation'!$A$2:$A$181,$A39,'03_Calculation'!$C$2:$C$181,F$38)/1000000000000000</f>
        <v/>
      </c>
    </row>
    <row r="40">
      <c r="A40" s="3" t="inlineStr">
        <is>
          <t>Base</t>
        </is>
      </c>
      <c r="B40" s="11">
        <f>SUMIFS('03_Calculation'!$Z$2:$Z$181,'03_Calculation'!$A$2:$A$181,$A40,'03_Calculation'!$C$2:$C$181,B$38)/1000000000000000</f>
        <v/>
      </c>
      <c r="C40" s="11">
        <f>SUMIFS('03_Calculation'!$Z$2:$Z$181,'03_Calculation'!$A$2:$A$181,$A40,'03_Calculation'!$C$2:$C$181,C$38)/1000000000000000</f>
        <v/>
      </c>
      <c r="D40" s="11">
        <f>SUMIFS('03_Calculation'!$Z$2:$Z$181,'03_Calculation'!$A$2:$A$181,$A40,'03_Calculation'!$C$2:$C$181,D$38)/1000000000000000</f>
        <v/>
      </c>
      <c r="E40" s="11">
        <f>SUMIFS('03_Calculation'!$Z$2:$Z$181,'03_Calculation'!$A$2:$A$181,$A40,'03_Calculation'!$C$2:$C$181,E$38)/1000000000000000</f>
        <v/>
      </c>
      <c r="F40" s="11">
        <f>SUMIFS('03_Calculation'!$Z$2:$Z$181,'03_Calculation'!$A$2:$A$181,$A40,'03_Calculation'!$C$2:$C$181,F$38)/1000000000000000</f>
        <v/>
      </c>
    </row>
    <row r="41">
      <c r="A41" s="3" t="inlineStr">
        <is>
          <t>Bull</t>
        </is>
      </c>
      <c r="B41" s="11">
        <f>SUMIFS('03_Calculation'!$Z$2:$Z$181,'03_Calculation'!$A$2:$A$181,$A41,'03_Calculation'!$C$2:$C$181,B$38)/1000000000000000</f>
        <v/>
      </c>
      <c r="C41" s="11">
        <f>SUMIFS('03_Calculation'!$Z$2:$Z$181,'03_Calculation'!$A$2:$A$181,$A41,'03_Calculation'!$C$2:$C$181,C$38)/1000000000000000</f>
        <v/>
      </c>
      <c r="D41" s="11">
        <f>SUMIFS('03_Calculation'!$Z$2:$Z$181,'03_Calculation'!$A$2:$A$181,$A41,'03_Calculation'!$C$2:$C$181,D$38)/1000000000000000</f>
        <v/>
      </c>
      <c r="E41" s="11">
        <f>SUMIFS('03_Calculation'!$Z$2:$Z$181,'03_Calculation'!$A$2:$A$181,$A41,'03_Calculation'!$C$2:$C$181,E$38)/1000000000000000</f>
        <v/>
      </c>
      <c r="F41" s="11">
        <f>SUMIFS('03_Calculation'!$Z$2:$Z$181,'03_Calculation'!$A$2:$A$181,$A41,'03_Calculation'!$C$2:$C$181,F$38)/1000000000000000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1">
        <f>SUMIFS('03_Calculation'!$Z$2:$Z$181,'03_Calculation'!$A$2:$A$181,$A42,'03_Calculation'!$C$2:$C$181,B$38)/1000000000000000</f>
        <v/>
      </c>
      <c r="C42" s="11">
        <f>SUMIFS('03_Calculation'!$Z$2:$Z$181,'03_Calculation'!$A$2:$A$181,$A42,'03_Calculation'!$C$2:$C$181,C$38)/1000000000000000</f>
        <v/>
      </c>
      <c r="D42" s="11">
        <f>SUMIFS('03_Calculation'!$Z$2:$Z$181,'03_Calculation'!$A$2:$A$181,$A42,'03_Calculation'!$C$2:$C$181,D$38)/1000000000000000</f>
        <v/>
      </c>
      <c r="E42" s="11">
        <f>SUMIFS('03_Calculation'!$Z$2:$Z$181,'03_Calculation'!$A$2:$A$181,$A42,'03_Calculation'!$C$2:$C$181,E$38)/1000000000000000</f>
        <v/>
      </c>
      <c r="F42" s="11">
        <f>SUMIFS('03_Calculation'!$Z$2:$Z$181,'03_Calculation'!$A$2:$A$181,$A42,'03_Calculation'!$C$2:$C$181,F$38)/1000000000000000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Serving reference equals fleet reference x workload fit</t>
        </is>
      </c>
      <c r="B6" s="3">
        <f>IF(SUMPRODUCT(--(ABS('03_Calculation'!$X$2:$X$181-('03_Calculation'!$W$2:$W$181*'03_Calculation'!$V$2:$V$181))&gt;0.01))=0,"PASS","FAIL")</f>
        <v/>
      </c>
      <c r="C6" s="17">
        <f>B6</f>
        <v/>
      </c>
    </row>
    <row r="7">
      <c r="A7" s="3" t="inlineStr">
        <is>
          <t>Purpose-built reference defaults to B200 without unsupported uplift</t>
        </is>
      </c>
      <c r="B7" s="3">
        <f>IF(SUMPRODUCT(--('01_Benchmark_Input'!$J$2:$J$10&lt;&gt;'01_Benchmark_Input'!$F$2:$F$10))=0,"PASS","FAIL")</f>
        <v/>
      </c>
      <c r="C7" s="17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fleet-weighted serving TPS/MW x seconds/day only"</f>
        <v/>
      </c>
      <c r="C8" s="17">
        <f>B8</f>
        <v/>
      </c>
    </row>
  </sheetData>
  <autoFilter ref="A1:C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'03_Calculation'!Y51/1000000000000000</f>
        <v/>
      </c>
      <c r="C4" s="20">
        <f>'03_Calculation'!Y96/1000000000000000</f>
        <v/>
      </c>
      <c r="D4" s="21">
        <f>C4/B4-1</f>
        <v/>
      </c>
      <c r="E4" s="21">
        <f>'03_Calculation'!V96</f>
        <v/>
      </c>
      <c r="F4" s="19">
        <f>'03_Calculation'!X96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'03_Calculation'!Y56/1000000000000000</f>
        <v/>
      </c>
      <c r="C5" s="20">
        <f>'03_Calculation'!Y101/1000000000000000</f>
        <v/>
      </c>
      <c r="D5" s="21">
        <f>C5/B5-1</f>
        <v/>
      </c>
      <c r="E5" s="21">
        <f>'03_Calculation'!V101</f>
        <v/>
      </c>
      <c r="F5" s="19">
        <f>'03_Calculation'!X101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'03_Calculation'!Y61/1000000000000000</f>
        <v/>
      </c>
      <c r="C6" s="20">
        <f>'03_Calculation'!Y106/1000000000000000</f>
        <v/>
      </c>
      <c r="D6" s="21">
        <f>C6/B6-1</f>
        <v/>
      </c>
      <c r="E6" s="21">
        <f>'03_Calculation'!V106</f>
        <v/>
      </c>
      <c r="F6" s="19">
        <f>'03_Calculation'!X106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'03_Calculation'!Y66/1000000000000000</f>
        <v/>
      </c>
      <c r="C7" s="20">
        <f>'03_Calculation'!Y111/1000000000000000</f>
        <v/>
      </c>
      <c r="D7" s="21">
        <f>C7/B7-1</f>
        <v/>
      </c>
      <c r="E7" s="21">
        <f>'03_Calculation'!V111</f>
        <v/>
      </c>
      <c r="F7" s="19">
        <f>'03_Calculation'!X111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'03_Calculation'!Y71/1000000000000000</f>
        <v/>
      </c>
      <c r="C8" s="20">
        <f>'03_Calculation'!Y116/1000000000000000</f>
        <v/>
      </c>
      <c r="D8" s="21">
        <f>C8/B8-1</f>
        <v/>
      </c>
      <c r="E8" s="21">
        <f>'03_Calculation'!V116</f>
        <v/>
      </c>
      <c r="F8" s="19">
        <f>'03_Calculation'!X116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'03_Calculation'!Y76/1000000000000000</f>
        <v/>
      </c>
      <c r="C9" s="20">
        <f>'03_Calculation'!Y121/1000000000000000</f>
        <v/>
      </c>
      <c r="D9" s="21">
        <f>C9/B9-1</f>
        <v/>
      </c>
      <c r="E9" s="21">
        <f>'03_Calculation'!V121</f>
        <v/>
      </c>
      <c r="F9" s="19">
        <f>'03_Calculation'!X121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'03_Calculation'!Y81/1000000000000000</f>
        <v/>
      </c>
      <c r="C10" s="20">
        <f>'03_Calculation'!Y126/1000000000000000</f>
        <v/>
      </c>
      <c r="D10" s="21">
        <f>C10/B10-1</f>
        <v/>
      </c>
      <c r="E10" s="21">
        <f>'03_Calculation'!V126</f>
        <v/>
      </c>
      <c r="F10" s="19">
        <f>'03_Calculation'!X126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'03_Calculation'!Y86/1000000000000000</f>
        <v/>
      </c>
      <c r="C11" s="20">
        <f>'03_Calculation'!Y131/1000000000000000</f>
        <v/>
      </c>
      <c r="D11" s="21">
        <f>C11/B11-1</f>
        <v/>
      </c>
      <c r="E11" s="21">
        <f>'03_Calculation'!V131</f>
        <v/>
      </c>
      <c r="F11" s="19">
        <f>'03_Calculation'!X131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'03_Calculation'!Y91/1000000000000000</f>
        <v/>
      </c>
      <c r="C12" s="20">
        <f>'03_Calculation'!Y136/1000000000000000</f>
        <v/>
      </c>
      <c r="D12" s="21">
        <f>C12/B12-1</f>
        <v/>
      </c>
      <c r="E12" s="21">
        <f>'03_Calculation'!V136</f>
        <v/>
      </c>
      <c r="F12" s="19">
        <f>'03_Calculation'!X136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SUMIFS('03_Calculation'!$Y:$Y,'03_Calculation'!$A:$A,"Base",'03_Calculation'!$C:$C,$A15)/1000000000000000</f>
        <v/>
      </c>
      <c r="C15" s="20">
        <f>SUMIFS('03_Calculation'!$Y:$Y,'03_Calculation'!$A:$A,"Bull",'03_Calculation'!$C:$C,$A15)/1000000000000000</f>
        <v/>
      </c>
      <c r="D15" s="20">
        <f>SUMPRODUCT(('03_Calculation'!$A$2:$A$181="Bull")*('03_Calculation'!$C$2:$C$181=$A15)*('03_Calculation'!$Y$2:$Y$181/'03_Calculation'!$V$2:$V$181))/1000000000000000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SUMIFS('03_Calculation'!$Y:$Y,'03_Calculation'!$A:$A,"Base",'03_Calculation'!$C:$C,$A16)/1000000000000000</f>
        <v/>
      </c>
      <c r="C16" s="20">
        <f>SUMIFS('03_Calculation'!$Y:$Y,'03_Calculation'!$A:$A,"Bull",'03_Calculation'!$C:$C,$A16)/1000000000000000</f>
        <v/>
      </c>
      <c r="D16" s="20">
        <f>SUMPRODUCT(('03_Calculation'!$A$2:$A$181="Bull")*('03_Calculation'!$C$2:$C$181=$A16)*('03_Calculation'!$Y$2:$Y$181/'03_Calculation'!$V$2:$V$181))/1000000000000000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SUMIFS('03_Calculation'!$Y:$Y,'03_Calculation'!$A:$A,"Base",'03_Calculation'!$C:$C,$A17)/1000000000000000</f>
        <v/>
      </c>
      <c r="C17" s="20">
        <f>SUMIFS('03_Calculation'!$Y:$Y,'03_Calculation'!$A:$A,"Bull",'03_Calculation'!$C:$C,$A17)/1000000000000000</f>
        <v/>
      </c>
      <c r="D17" s="20">
        <f>SUMPRODUCT(('03_Calculation'!$A$2:$A$181="Bull")*('03_Calculation'!$C$2:$C$181=$A17)*('03_Calculation'!$Y$2:$Y$181/'03_Calculation'!$V$2:$V$181))/1000000000000000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SUMIFS('03_Calculation'!$Y:$Y,'03_Calculation'!$A:$A,"Base",'03_Calculation'!$C:$C,$A18)/1000000000000000</f>
        <v/>
      </c>
      <c r="C18" s="20">
        <f>SUMIFS('03_Calculation'!$Y:$Y,'03_Calculation'!$A:$A,"Bull",'03_Calculation'!$C:$C,$A18)/1000000000000000</f>
        <v/>
      </c>
      <c r="D18" s="20">
        <f>SUMPRODUCT(('03_Calculation'!$A$2:$A$181="Bull")*('03_Calculation'!$C$2:$C$181=$A18)*('03_Calculation'!$Y$2:$Y$181/'03_Calculation'!$V$2:$V$181))/1000000000000000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SUMIFS('03_Calculation'!$Y:$Y,'03_Calculation'!$A:$A,"Base",'03_Calculation'!$C:$C,$A19)/1000000000000000</f>
        <v/>
      </c>
      <c r="C19" s="20">
        <f>SUMIFS('03_Calculation'!$Y:$Y,'03_Calculation'!$A:$A,"Bull",'03_Calculation'!$C:$C,$A19)/1000000000000000</f>
        <v/>
      </c>
      <c r="D19" s="20">
        <f>SUMPRODUCT(('03_Calculation'!$A$2:$A$181="Bull")*('03_Calculation'!$C$2:$C$181=$A19)*('03_Calculation'!$Y$2:$Y$181/'03_Calculation'!$V$2:$V$181))/1000000000000000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2026-05-27T22:42:43Z</dcterms:created>
  <dcterms:modified xmlns:dcterms="http://purl.org/dc/terms/" xmlns:xsi="http://www.w3.org/2001/XMLSchema-instance" xsi:type="dcterms:W3CDTF">2026-05-27T22:42:44Z</dcterms:modified>
</cp:coreProperties>
</file>